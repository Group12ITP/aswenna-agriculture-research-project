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65" windowWidth="15135" windowHeight="8010" firstSheet="18" activeTab="18"/>
  </bookViews>
  <sheets>
    <sheet name="Black gram-A'pura" sheetId="28" r:id="rId1"/>
    <sheet name="Black gram-Vavuniya" sheetId="8" r:id="rId2"/>
    <sheet name="cabbage'- Neliya" sheetId="6" r:id="rId3"/>
    <sheet name="Capsicum-Badulla" sheetId="9" r:id="rId4"/>
    <sheet name="Carrot-NÉliya" sheetId="10" r:id="rId5"/>
    <sheet name="Chilli-A'pura" sheetId="11" r:id="rId6"/>
    <sheet name="Cowpea-Ampara" sheetId="12" r:id="rId7"/>
    <sheet name="Gingelly-H'tota" sheetId="13" r:id="rId8"/>
    <sheet name="Green gram-H'tota" sheetId="14" r:id="rId9"/>
    <sheet name="Ground nut-Monaragala" sheetId="15" r:id="rId10"/>
    <sheet name="Kurakkan-A'Pura" sheetId="16" r:id="rId11"/>
    <sheet name="Maize-Anuradhapura" sheetId="17" r:id="rId12"/>
    <sheet name="Maize-Ampara" sheetId="18" r:id="rId13"/>
    <sheet name="Maize-Monaragala" sheetId="19" r:id="rId14"/>
    <sheet name="Pole bean-matale" sheetId="20" r:id="rId15"/>
    <sheet name="Pole-bean Badulla" sheetId="21" r:id="rId16"/>
    <sheet name="Potato-Badulla" sheetId="22" r:id="rId17"/>
    <sheet name="Potato-NÉliya" sheetId="23" r:id="rId18"/>
    <sheet name="Brinjal-A'Pura" sheetId="7" r:id="rId19"/>
    <sheet name="Pupkin-A;pura" sheetId="24" r:id="rId20"/>
    <sheet name="Red Onion-Jaffna" sheetId="25" r:id="rId21"/>
    <sheet name="Rd Onion-Puttalam" sheetId="26" r:id="rId22"/>
    <sheet name="Tomato-Badulla" sheetId="27" r:id="rId23"/>
  </sheets>
  <calcPr calcId="124519"/>
</workbook>
</file>

<file path=xl/calcChain.xml><?xml version="1.0" encoding="utf-8"?>
<calcChain xmlns="http://schemas.openxmlformats.org/spreadsheetml/2006/main">
  <c r="I34" i="28"/>
  <c r="G34"/>
  <c r="I32"/>
  <c r="E29"/>
  <c r="H16"/>
  <c r="M15"/>
  <c r="L15"/>
  <c r="I16" s="1"/>
  <c r="K16" s="1"/>
  <c r="G39" s="1"/>
  <c r="J15"/>
  <c r="J16" s="1"/>
  <c r="I15"/>
  <c r="E15"/>
  <c r="H14"/>
  <c r="K14" s="1"/>
  <c r="F14"/>
  <c r="F15" s="1"/>
  <c r="H13"/>
  <c r="H12"/>
  <c r="K12" s="1"/>
  <c r="H11"/>
  <c r="K11" s="1"/>
  <c r="J10"/>
  <c r="K10" s="1"/>
  <c r="H10"/>
  <c r="K9"/>
  <c r="H9"/>
  <c r="K8"/>
  <c r="H8"/>
  <c r="E16" l="1"/>
  <c r="G36"/>
  <c r="I36" s="1"/>
  <c r="H15"/>
  <c r="K15" s="1"/>
  <c r="G38" s="1"/>
  <c r="G35" l="1"/>
  <c r="I35" s="1"/>
  <c r="J44" i="27" l="1"/>
  <c r="G44"/>
  <c r="J42"/>
  <c r="E35"/>
  <c r="I23"/>
  <c r="K23" s="1"/>
  <c r="G48" s="1"/>
  <c r="H23"/>
  <c r="M22"/>
  <c r="J23" s="1"/>
  <c r="L22"/>
  <c r="I22"/>
  <c r="F22"/>
  <c r="E23" s="1"/>
  <c r="E22"/>
  <c r="K21"/>
  <c r="H20"/>
  <c r="K20" s="1"/>
  <c r="H19"/>
  <c r="K19" s="1"/>
  <c r="F19"/>
  <c r="K18"/>
  <c r="H18"/>
  <c r="F18"/>
  <c r="H17"/>
  <c r="K17" s="1"/>
  <c r="H16"/>
  <c r="K16" s="1"/>
  <c r="F16"/>
  <c r="K15"/>
  <c r="J15"/>
  <c r="H15"/>
  <c r="F15"/>
  <c r="K14"/>
  <c r="J14"/>
  <c r="H14"/>
  <c r="F14"/>
  <c r="K13"/>
  <c r="F13"/>
  <c r="F12"/>
  <c r="K11"/>
  <c r="K10"/>
  <c r="H10"/>
  <c r="K9"/>
  <c r="F9"/>
  <c r="K8"/>
  <c r="H8"/>
  <c r="H22" s="1"/>
  <c r="K22" s="1"/>
  <c r="H40" i="26"/>
  <c r="G40"/>
  <c r="H38"/>
  <c r="E31"/>
  <c r="H20"/>
  <c r="E20"/>
  <c r="L19"/>
  <c r="I19"/>
  <c r="I20" s="1"/>
  <c r="K20" s="1"/>
  <c r="G44" s="1"/>
  <c r="F19"/>
  <c r="E19"/>
  <c r="K18"/>
  <c r="H18"/>
  <c r="K17"/>
  <c r="H17"/>
  <c r="K16"/>
  <c r="K15"/>
  <c r="M14"/>
  <c r="H14"/>
  <c r="K14" s="1"/>
  <c r="K13"/>
  <c r="H13"/>
  <c r="K12"/>
  <c r="K11"/>
  <c r="J11"/>
  <c r="K10"/>
  <c r="J10"/>
  <c r="J19" s="1"/>
  <c r="J20" s="1"/>
  <c r="K9"/>
  <c r="H9"/>
  <c r="H19" s="1"/>
  <c r="K8"/>
  <c r="H8"/>
  <c r="I45" i="25"/>
  <c r="G45"/>
  <c r="I43"/>
  <c r="E32"/>
  <c r="H22"/>
  <c r="M21"/>
  <c r="L21"/>
  <c r="I22" s="1"/>
  <c r="I21"/>
  <c r="G21"/>
  <c r="F21"/>
  <c r="E22" s="1"/>
  <c r="E21"/>
  <c r="K19"/>
  <c r="H18"/>
  <c r="K18" s="1"/>
  <c r="H17"/>
  <c r="K17" s="1"/>
  <c r="K16"/>
  <c r="K15"/>
  <c r="H15"/>
  <c r="K14"/>
  <c r="J13"/>
  <c r="K13" s="1"/>
  <c r="J12"/>
  <c r="K12" s="1"/>
  <c r="H11"/>
  <c r="K11" s="1"/>
  <c r="K10"/>
  <c r="K9"/>
  <c r="H9"/>
  <c r="K7"/>
  <c r="H7"/>
  <c r="G39" i="24"/>
  <c r="I37"/>
  <c r="E30"/>
  <c r="H17"/>
  <c r="K17" s="1"/>
  <c r="G44" s="1"/>
  <c r="M16"/>
  <c r="L16"/>
  <c r="I17" s="1"/>
  <c r="I16"/>
  <c r="H16"/>
  <c r="K16" s="1"/>
  <c r="F16"/>
  <c r="E16"/>
  <c r="E17" s="1"/>
  <c r="K15"/>
  <c r="K14"/>
  <c r="K13"/>
  <c r="K12"/>
  <c r="K11"/>
  <c r="K10"/>
  <c r="J10"/>
  <c r="J16" s="1"/>
  <c r="J17" s="1"/>
  <c r="H10"/>
  <c r="K9"/>
  <c r="K8"/>
  <c r="H8"/>
  <c r="K7"/>
  <c r="G47" i="23"/>
  <c r="I43"/>
  <c r="G43"/>
  <c r="G44" s="1"/>
  <c r="I44" s="1"/>
  <c r="I41"/>
  <c r="J18"/>
  <c r="I18"/>
  <c r="H18"/>
  <c r="K18" s="1"/>
  <c r="E18"/>
  <c r="K16"/>
  <c r="H16"/>
  <c r="H15"/>
  <c r="K15" s="1"/>
  <c r="K14"/>
  <c r="H14"/>
  <c r="J13"/>
  <c r="H13"/>
  <c r="K13" s="1"/>
  <c r="K12"/>
  <c r="H12"/>
  <c r="K11"/>
  <c r="J11"/>
  <c r="H11"/>
  <c r="H10"/>
  <c r="K8"/>
  <c r="H8"/>
  <c r="K7"/>
  <c r="H7"/>
  <c r="G41" i="22"/>
  <c r="I39"/>
  <c r="E32"/>
  <c r="H19"/>
  <c r="M18"/>
  <c r="L18"/>
  <c r="I19" s="1"/>
  <c r="I18"/>
  <c r="E18"/>
  <c r="E19" s="1"/>
  <c r="K17"/>
  <c r="F17"/>
  <c r="F18" s="1"/>
  <c r="K16"/>
  <c r="H16"/>
  <c r="H15"/>
  <c r="K15" s="1"/>
  <c r="K14"/>
  <c r="H14"/>
  <c r="F14"/>
  <c r="K13"/>
  <c r="J13"/>
  <c r="F13"/>
  <c r="J12"/>
  <c r="K12" s="1"/>
  <c r="K11"/>
  <c r="F11"/>
  <c r="H9"/>
  <c r="K9" s="1"/>
  <c r="K8"/>
  <c r="F8"/>
  <c r="G42" i="21"/>
  <c r="J40"/>
  <c r="E33"/>
  <c r="H20"/>
  <c r="K20" s="1"/>
  <c r="G46" s="1"/>
  <c r="M19"/>
  <c r="L19"/>
  <c r="I19"/>
  <c r="I20" s="1"/>
  <c r="E19"/>
  <c r="K18"/>
  <c r="F18"/>
  <c r="K17"/>
  <c r="H17"/>
  <c r="K16"/>
  <c r="F16"/>
  <c r="K15"/>
  <c r="H15"/>
  <c r="K14"/>
  <c r="H14"/>
  <c r="J13"/>
  <c r="J19" s="1"/>
  <c r="J20" s="1"/>
  <c r="H13"/>
  <c r="K13" s="1"/>
  <c r="F13"/>
  <c r="K12"/>
  <c r="K11"/>
  <c r="F11"/>
  <c r="K9"/>
  <c r="H9"/>
  <c r="H8"/>
  <c r="K8" s="1"/>
  <c r="F8"/>
  <c r="F19" s="1"/>
  <c r="H42" i="20"/>
  <c r="F42"/>
  <c r="H40"/>
  <c r="E33"/>
  <c r="H22"/>
  <c r="M21"/>
  <c r="L21"/>
  <c r="I22" s="1"/>
  <c r="I21"/>
  <c r="F21"/>
  <c r="E21"/>
  <c r="E22" s="1"/>
  <c r="H20"/>
  <c r="K20" s="1"/>
  <c r="H19"/>
  <c r="K19" s="1"/>
  <c r="H18"/>
  <c r="K18" s="1"/>
  <c r="H17"/>
  <c r="K17" s="1"/>
  <c r="J16"/>
  <c r="J21" s="1"/>
  <c r="J22" s="1"/>
  <c r="H16"/>
  <c r="K16" s="1"/>
  <c r="K15"/>
  <c r="J15"/>
  <c r="H15"/>
  <c r="H14"/>
  <c r="K14" s="1"/>
  <c r="H13"/>
  <c r="K12"/>
  <c r="H12"/>
  <c r="K11"/>
  <c r="H11"/>
  <c r="K10"/>
  <c r="H10"/>
  <c r="K9"/>
  <c r="H9"/>
  <c r="I39" i="19"/>
  <c r="G39"/>
  <c r="I37"/>
  <c r="E31"/>
  <c r="H19"/>
  <c r="M18"/>
  <c r="L18"/>
  <c r="J18"/>
  <c r="J19" s="1"/>
  <c r="I18"/>
  <c r="I19" s="1"/>
  <c r="F18"/>
  <c r="E18"/>
  <c r="E19" s="1"/>
  <c r="K16"/>
  <c r="H16"/>
  <c r="H18" s="1"/>
  <c r="K18" s="1"/>
  <c r="G43" s="1"/>
  <c r="K15"/>
  <c r="K14"/>
  <c r="K13"/>
  <c r="K12"/>
  <c r="J12"/>
  <c r="K11"/>
  <c r="K10"/>
  <c r="K9"/>
  <c r="H9"/>
  <c r="K8"/>
  <c r="G47" i="27" l="1"/>
  <c r="G45"/>
  <c r="J45" s="1"/>
  <c r="G46"/>
  <c r="J46" s="1"/>
  <c r="G42" i="26"/>
  <c r="H42" s="1"/>
  <c r="K19"/>
  <c r="G43" s="1"/>
  <c r="G41"/>
  <c r="H41" s="1"/>
  <c r="K21" i="25"/>
  <c r="G48" s="1"/>
  <c r="H21"/>
  <c r="G46"/>
  <c r="I46" s="1"/>
  <c r="J21"/>
  <c r="J22" s="1"/>
  <c r="K22" s="1"/>
  <c r="G49" s="1"/>
  <c r="G41" i="24"/>
  <c r="I41" s="1"/>
  <c r="G40"/>
  <c r="I40" s="1"/>
  <c r="G43"/>
  <c r="I39"/>
  <c r="G45" i="23"/>
  <c r="I45" s="1"/>
  <c r="G48"/>
  <c r="H17"/>
  <c r="H18" i="22"/>
  <c r="J18"/>
  <c r="J19" s="1"/>
  <c r="K19" s="1"/>
  <c r="I41"/>
  <c r="E20" i="21"/>
  <c r="G44"/>
  <c r="J44" s="1"/>
  <c r="H19"/>
  <c r="K19" s="1"/>
  <c r="G45" s="1"/>
  <c r="G43"/>
  <c r="J43" s="1"/>
  <c r="J42"/>
  <c r="K22" i="20"/>
  <c r="F47" s="1"/>
  <c r="H21"/>
  <c r="K21" s="1"/>
  <c r="F46" s="1"/>
  <c r="K19" i="19"/>
  <c r="G44" s="1"/>
  <c r="G40"/>
  <c r="I40" s="1"/>
  <c r="G47" i="25" l="1"/>
  <c r="I47" s="1"/>
  <c r="G46" i="22"/>
  <c r="G43"/>
  <c r="I43" s="1"/>
  <c r="K18"/>
  <c r="F43" i="20"/>
  <c r="H43" s="1"/>
  <c r="F44"/>
  <c r="H44" s="1"/>
  <c r="G41" i="19"/>
  <c r="I41" s="1"/>
  <c r="G45" i="22" l="1"/>
  <c r="G42"/>
  <c r="I42" s="1"/>
  <c r="G39" i="18" l="1"/>
  <c r="I37"/>
  <c r="E30"/>
  <c r="K29"/>
  <c r="H20"/>
  <c r="M19"/>
  <c r="L19"/>
  <c r="J19"/>
  <c r="J20" s="1"/>
  <c r="I19"/>
  <c r="I20" s="1"/>
  <c r="F19"/>
  <c r="E19"/>
  <c r="E20" s="1"/>
  <c r="K18"/>
  <c r="H18"/>
  <c r="K16"/>
  <c r="K15"/>
  <c r="H15"/>
  <c r="K14"/>
  <c r="H14"/>
  <c r="K13"/>
  <c r="J13"/>
  <c r="K11"/>
  <c r="H11"/>
  <c r="K10"/>
  <c r="K9"/>
  <c r="H9"/>
  <c r="H19" s="1"/>
  <c r="K19" s="1"/>
  <c r="G42" s="1"/>
  <c r="K8"/>
  <c r="K20" l="1"/>
  <c r="G43" s="1"/>
  <c r="G40"/>
  <c r="I40" s="1"/>
  <c r="I39"/>
  <c r="G41" l="1"/>
  <c r="I41" s="1"/>
  <c r="G35" i="17" l="1"/>
  <c r="I35" s="1"/>
  <c r="I33"/>
  <c r="AN29"/>
  <c r="AM29"/>
  <c r="AN28"/>
  <c r="AM28"/>
  <c r="AN27"/>
  <c r="AM27"/>
  <c r="E27"/>
  <c r="AN26"/>
  <c r="AM26"/>
  <c r="AN25"/>
  <c r="AM25"/>
  <c r="AN24"/>
  <c r="AM24"/>
  <c r="H17"/>
  <c r="M16"/>
  <c r="L16"/>
  <c r="I16"/>
  <c r="I17" s="1"/>
  <c r="F16"/>
  <c r="E16"/>
  <c r="E17" s="1"/>
  <c r="K15"/>
  <c r="H14"/>
  <c r="K14" s="1"/>
  <c r="K13"/>
  <c r="K12"/>
  <c r="K11"/>
  <c r="K10"/>
  <c r="J10"/>
  <c r="J16" s="1"/>
  <c r="J17" s="1"/>
  <c r="K9"/>
  <c r="H8"/>
  <c r="K8" s="1"/>
  <c r="H7"/>
  <c r="K7" s="1"/>
  <c r="K16" l="1"/>
  <c r="K17"/>
  <c r="G40" s="1"/>
  <c r="H16"/>
  <c r="G39" l="1"/>
  <c r="G36"/>
  <c r="I36" s="1"/>
  <c r="G37"/>
  <c r="I37" s="1"/>
  <c r="I31" i="16" l="1"/>
  <c r="G31"/>
  <c r="I29"/>
  <c r="E23"/>
  <c r="H14"/>
  <c r="E14"/>
  <c r="M13"/>
  <c r="L13"/>
  <c r="I14" s="1"/>
  <c r="J13"/>
  <c r="J14" s="1"/>
  <c r="I13"/>
  <c r="K13" s="1"/>
  <c r="G34" s="1"/>
  <c r="K12"/>
  <c r="H12"/>
  <c r="K11"/>
  <c r="H11"/>
  <c r="J10"/>
  <c r="H10"/>
  <c r="K10" s="1"/>
  <c r="H9"/>
  <c r="K9" s="1"/>
  <c r="H8"/>
  <c r="K8" s="1"/>
  <c r="H7"/>
  <c r="K7" s="1"/>
  <c r="G33" i="15"/>
  <c r="I31"/>
  <c r="K26"/>
  <c r="I16"/>
  <c r="H16"/>
  <c r="K16" s="1"/>
  <c r="G38" s="1"/>
  <c r="M15"/>
  <c r="J16" s="1"/>
  <c r="I15"/>
  <c r="F15"/>
  <c r="E15"/>
  <c r="E16" s="1"/>
  <c r="K14"/>
  <c r="K13"/>
  <c r="H13"/>
  <c r="K12"/>
  <c r="H12"/>
  <c r="K11"/>
  <c r="H11"/>
  <c r="K9"/>
  <c r="K15" s="1"/>
  <c r="G37" s="1"/>
  <c r="H9"/>
  <c r="K8"/>
  <c r="G33" i="16" l="1"/>
  <c r="I33" s="1"/>
  <c r="K14"/>
  <c r="G35" s="1"/>
  <c r="G32"/>
  <c r="I32" s="1"/>
  <c r="G35" i="15"/>
  <c r="I35" s="1"/>
  <c r="G34"/>
  <c r="I34" s="1"/>
  <c r="I33"/>
  <c r="G34" i="14" l="1"/>
  <c r="H34" s="1"/>
  <c r="H32"/>
  <c r="E29"/>
  <c r="H16"/>
  <c r="M15"/>
  <c r="L15"/>
  <c r="I15"/>
  <c r="I16" s="1"/>
  <c r="F15"/>
  <c r="E15"/>
  <c r="E16" s="1"/>
  <c r="K14"/>
  <c r="K13"/>
  <c r="K12"/>
  <c r="H12"/>
  <c r="K11"/>
  <c r="J11"/>
  <c r="J15" s="1"/>
  <c r="J16" s="1"/>
  <c r="K10"/>
  <c r="H10"/>
  <c r="K9"/>
  <c r="H9"/>
  <c r="H15" s="1"/>
  <c r="K15" s="1"/>
  <c r="G38" s="1"/>
  <c r="K8"/>
  <c r="K16" l="1"/>
  <c r="G39" s="1"/>
  <c r="G35"/>
  <c r="H35" s="1"/>
  <c r="G36" l="1"/>
  <c r="H36" s="1"/>
  <c r="H33" i="13" l="1"/>
  <c r="E28"/>
  <c r="H15"/>
  <c r="M14"/>
  <c r="L14"/>
  <c r="J14"/>
  <c r="J15" s="1"/>
  <c r="I14"/>
  <c r="I15" s="1"/>
  <c r="F14"/>
  <c r="E14"/>
  <c r="E15" s="1"/>
  <c r="K13"/>
  <c r="H12"/>
  <c r="K12" s="1"/>
  <c r="K11"/>
  <c r="H11"/>
  <c r="K10"/>
  <c r="H9"/>
  <c r="K9" s="1"/>
  <c r="K8"/>
  <c r="K15" l="1"/>
  <c r="H14"/>
  <c r="K14" s="1"/>
  <c r="G35" l="1"/>
  <c r="H35" s="1"/>
  <c r="G38"/>
  <c r="G34"/>
  <c r="H34" s="1"/>
  <c r="G37"/>
  <c r="I40" i="12" l="1"/>
  <c r="G40"/>
  <c r="I38"/>
  <c r="E32"/>
  <c r="K31"/>
  <c r="K27"/>
  <c r="H19"/>
  <c r="M18"/>
  <c r="L18"/>
  <c r="I19" s="1"/>
  <c r="I18"/>
  <c r="F18"/>
  <c r="E18"/>
  <c r="E19" s="1"/>
  <c r="H17"/>
  <c r="K17" s="1"/>
  <c r="K16"/>
  <c r="K15"/>
  <c r="H15"/>
  <c r="K14"/>
  <c r="H14"/>
  <c r="K13"/>
  <c r="H13"/>
  <c r="H12"/>
  <c r="H18" s="1"/>
  <c r="K11"/>
  <c r="J11"/>
  <c r="J18" s="1"/>
  <c r="J19" s="1"/>
  <c r="K9"/>
  <c r="K8"/>
  <c r="H8"/>
  <c r="K7"/>
  <c r="H7"/>
  <c r="K19" l="1"/>
  <c r="G45" s="1"/>
  <c r="K18"/>
  <c r="G44" s="1"/>
  <c r="G42"/>
  <c r="I42" s="1"/>
  <c r="G41"/>
  <c r="I41" s="1"/>
  <c r="G36" i="11" l="1"/>
  <c r="H34"/>
  <c r="E29"/>
  <c r="I19"/>
  <c r="H19"/>
  <c r="K19" s="1"/>
  <c r="G40" s="1"/>
  <c r="L18"/>
  <c r="I18"/>
  <c r="F18"/>
  <c r="E18"/>
  <c r="E19" s="1"/>
  <c r="H17"/>
  <c r="K17" s="1"/>
  <c r="K16"/>
  <c r="H16"/>
  <c r="H15"/>
  <c r="K15" s="1"/>
  <c r="K14"/>
  <c r="J14"/>
  <c r="J18" s="1"/>
  <c r="J19" s="1"/>
  <c r="H14"/>
  <c r="H13"/>
  <c r="K13" s="1"/>
  <c r="M12"/>
  <c r="H12"/>
  <c r="K12" s="1"/>
  <c r="K11"/>
  <c r="K10"/>
  <c r="H10"/>
  <c r="H9"/>
  <c r="H18" s="1"/>
  <c r="K18" s="1"/>
  <c r="K8"/>
  <c r="H8"/>
  <c r="G39" l="1"/>
  <c r="G37"/>
  <c r="H37" s="1"/>
  <c r="G38"/>
  <c r="H38" s="1"/>
  <c r="H36"/>
  <c r="K9"/>
  <c r="G43" i="10" l="1"/>
  <c r="I41"/>
  <c r="E34"/>
  <c r="H21"/>
  <c r="K21" s="1"/>
  <c r="G47" s="1"/>
  <c r="M20"/>
  <c r="J21" s="1"/>
  <c r="L20"/>
  <c r="I21" s="1"/>
  <c r="I20"/>
  <c r="H20"/>
  <c r="K20" s="1"/>
  <c r="G46" s="1"/>
  <c r="F20"/>
  <c r="E20"/>
  <c r="E21" s="1"/>
  <c r="K19"/>
  <c r="K18"/>
  <c r="H18"/>
  <c r="K17"/>
  <c r="H17"/>
  <c r="K16"/>
  <c r="K14"/>
  <c r="K13"/>
  <c r="J13"/>
  <c r="K12"/>
  <c r="K10"/>
  <c r="K9"/>
  <c r="H9"/>
  <c r="K8"/>
  <c r="G45" l="1"/>
  <c r="I45" s="1"/>
  <c r="G44"/>
  <c r="I44" s="1"/>
  <c r="I43"/>
  <c r="J42" i="9" l="1"/>
  <c r="G42"/>
  <c r="J40"/>
  <c r="E33"/>
  <c r="H20"/>
  <c r="M19"/>
  <c r="J20" s="1"/>
  <c r="L19"/>
  <c r="I19"/>
  <c r="I20" s="1"/>
  <c r="K20" s="1"/>
  <c r="G46" s="1"/>
  <c r="E19"/>
  <c r="K18"/>
  <c r="H18"/>
  <c r="F18"/>
  <c r="H17"/>
  <c r="K17" s="1"/>
  <c r="H16"/>
  <c r="K16" s="1"/>
  <c r="H15"/>
  <c r="H19" s="1"/>
  <c r="K19" s="1"/>
  <c r="G45" s="1"/>
  <c r="J14"/>
  <c r="K14" s="1"/>
  <c r="F14"/>
  <c r="K13"/>
  <c r="J13"/>
  <c r="F13"/>
  <c r="K12"/>
  <c r="F12"/>
  <c r="F11"/>
  <c r="K10"/>
  <c r="H10"/>
  <c r="K9"/>
  <c r="F9"/>
  <c r="K8"/>
  <c r="H8"/>
  <c r="F8"/>
  <c r="F19" s="1"/>
  <c r="E20" s="1"/>
  <c r="G44" l="1"/>
  <c r="J44" s="1"/>
  <c r="K15"/>
  <c r="G43"/>
  <c r="J43" s="1"/>
  <c r="G36" i="8" l="1"/>
  <c r="I34"/>
  <c r="E31"/>
  <c r="I18"/>
  <c r="I17"/>
  <c r="F17"/>
  <c r="E17"/>
  <c r="E18" s="1"/>
  <c r="K16"/>
  <c r="H13"/>
  <c r="K13" s="1"/>
  <c r="K11"/>
  <c r="H11"/>
  <c r="K10"/>
  <c r="K9"/>
  <c r="J9"/>
  <c r="J17" s="1"/>
  <c r="J18" s="1"/>
  <c r="H8"/>
  <c r="H17" s="1"/>
  <c r="G29" l="1"/>
  <c r="H18" s="1"/>
  <c r="K18" s="1"/>
  <c r="G40" s="1"/>
  <c r="K17"/>
  <c r="G38"/>
  <c r="I38" s="1"/>
  <c r="K8"/>
  <c r="I36"/>
  <c r="G39" l="1"/>
  <c r="G37"/>
  <c r="I37" s="1"/>
  <c r="I44" i="7" l="1"/>
  <c r="G44"/>
  <c r="G45" s="1"/>
  <c r="I45" s="1"/>
  <c r="I42"/>
  <c r="K32"/>
  <c r="E32"/>
  <c r="H19"/>
  <c r="M18"/>
  <c r="L18"/>
  <c r="K18"/>
  <c r="G48" s="1"/>
  <c r="J18"/>
  <c r="J19" s="1"/>
  <c r="I18"/>
  <c r="I19" s="1"/>
  <c r="H18"/>
  <c r="F18"/>
  <c r="E18"/>
  <c r="E19" s="1"/>
  <c r="K17"/>
  <c r="K16"/>
  <c r="K15"/>
  <c r="K14"/>
  <c r="K13"/>
  <c r="K12"/>
  <c r="K11"/>
  <c r="K10"/>
  <c r="K9"/>
  <c r="K8"/>
  <c r="K7"/>
  <c r="K19" l="1"/>
  <c r="G49" s="1"/>
  <c r="G46" l="1"/>
  <c r="I46" s="1"/>
  <c r="G43" i="6" l="1"/>
  <c r="I41"/>
  <c r="E35"/>
  <c r="K30"/>
  <c r="K29"/>
  <c r="K28"/>
  <c r="H21"/>
  <c r="M20"/>
  <c r="L20"/>
  <c r="I20"/>
  <c r="I21" s="1"/>
  <c r="F20"/>
  <c r="E20"/>
  <c r="E21" s="1"/>
  <c r="K17"/>
  <c r="K16"/>
  <c r="J15"/>
  <c r="J21" s="1"/>
  <c r="K14"/>
  <c r="K13"/>
  <c r="J13"/>
  <c r="H12"/>
  <c r="K10"/>
  <c r="H10"/>
  <c r="H20" s="1"/>
  <c r="K9"/>
  <c r="K8"/>
  <c r="K21" l="1"/>
  <c r="G48" s="1"/>
  <c r="K15"/>
  <c r="K20" s="1"/>
  <c r="I43"/>
  <c r="G45" l="1"/>
  <c r="I45" s="1"/>
  <c r="G47"/>
  <c r="G44"/>
  <c r="I44" s="1"/>
</calcChain>
</file>

<file path=xl/sharedStrings.xml><?xml version="1.0" encoding="utf-8"?>
<sst xmlns="http://schemas.openxmlformats.org/spreadsheetml/2006/main" count="2028" uniqueCount="544">
  <si>
    <t>Weeding &amp; Earthing Up</t>
  </si>
  <si>
    <t>Fertilizer Application</t>
  </si>
  <si>
    <t>bags</t>
  </si>
  <si>
    <t>TDM</t>
  </si>
  <si>
    <t>Cost</t>
  </si>
  <si>
    <t>Harvesting &amp; Drawing</t>
  </si>
  <si>
    <t>Variety</t>
  </si>
  <si>
    <t>Unit</t>
  </si>
  <si>
    <t xml:space="preserve">Hired </t>
  </si>
  <si>
    <t>Urea</t>
  </si>
  <si>
    <t>MOP</t>
  </si>
  <si>
    <t>per ac</t>
  </si>
  <si>
    <t>Total</t>
  </si>
  <si>
    <t>kg</t>
  </si>
  <si>
    <t>Seed</t>
  </si>
  <si>
    <t>General Land Preparation</t>
  </si>
  <si>
    <t>Transporting</t>
  </si>
  <si>
    <t>Table:</t>
  </si>
  <si>
    <t>Operation</t>
  </si>
  <si>
    <t xml:space="preserve">  No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</si>
  <si>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</si>
  <si>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</si>
  <si>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</si>
  <si>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</si>
  <si>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</si>
  <si>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</si>
  <si>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</si>
  <si>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</si>
  <si>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</si>
  <si>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</si>
  <si>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</si>
  <si>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</si>
  <si>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</si>
  <si>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</si>
  <si>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digging holes@ seeding</t>
  </si>
  <si>
    <t>weeding $ earthingup</t>
  </si>
  <si>
    <t>Pest &amp; Disease Control</t>
  </si>
  <si>
    <t>Water Management</t>
  </si>
  <si>
    <t>Total Including Imputed Cost</t>
  </si>
  <si>
    <t xml:space="preserve">Total Excluding Imputed Cost </t>
  </si>
  <si>
    <t>RELATED INFORMATION</t>
  </si>
  <si>
    <t>Quantity and Price of Inputs</t>
  </si>
  <si>
    <t>Input</t>
  </si>
  <si>
    <t>Quantity</t>
  </si>
  <si>
    <t>Unit Price (Rs)</t>
  </si>
  <si>
    <t>SEED</t>
  </si>
  <si>
    <t>LABOUR</t>
  </si>
  <si>
    <t>Hired Labour</t>
  </si>
  <si>
    <t>md</t>
  </si>
  <si>
    <t>Family Labour</t>
  </si>
  <si>
    <t>FIELD FERTILIZER</t>
  </si>
  <si>
    <t>% Reporting</t>
  </si>
  <si>
    <t>bag</t>
  </si>
  <si>
    <t>YIELD AND RETURNS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</si>
  <si>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</si>
  <si>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</si>
  <si>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</si>
  <si>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</si>
  <si>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</si>
  <si>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</si>
  <si>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</si>
  <si>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    </t>
  </si>
  <si>
    <t>DISTRICT:</t>
  </si>
  <si>
    <t>%</t>
  </si>
  <si>
    <t>mean</t>
  </si>
  <si>
    <t>mode</t>
  </si>
  <si>
    <t xml:space="preserve">mode             </t>
  </si>
  <si>
    <t>Nuwara Eliya</t>
  </si>
  <si>
    <t>Digging holes &amp; Transplanting</t>
  </si>
  <si>
    <t>AS</t>
  </si>
  <si>
    <t>1,  Plough with manually</t>
  </si>
  <si>
    <t>(By manually)</t>
  </si>
  <si>
    <t>g</t>
  </si>
  <si>
    <t>Vegetable mix</t>
  </si>
  <si>
    <t>All nursery preparation</t>
  </si>
  <si>
    <t>Per HA</t>
  </si>
  <si>
    <t>Plants</t>
  </si>
  <si>
    <t>other</t>
  </si>
  <si>
    <t>urea</t>
  </si>
  <si>
    <t>own</t>
  </si>
  <si>
    <t>Green cornet</t>
  </si>
  <si>
    <t>cow dung</t>
  </si>
  <si>
    <t>TSP</t>
  </si>
  <si>
    <t>1,  Plough with 2wt</t>
  </si>
  <si>
    <t>(33)</t>
  </si>
  <si>
    <t>(30%')</t>
  </si>
  <si>
    <t>`(1176)</t>
  </si>
  <si>
    <t>COST OF CULTIVATION PER ACRE OF Cabbage (IRRIGATED  )-2016/17 maha</t>
  </si>
  <si>
    <t>Harvesting and drawing **</t>
  </si>
  <si>
    <t xml:space="preserve">**(by Buyer) </t>
  </si>
  <si>
    <t>* Lime</t>
  </si>
  <si>
    <t>Preparation of beds &amp; ridges</t>
  </si>
  <si>
    <t>`(13.72)</t>
  </si>
  <si>
    <t>`(10.18)</t>
  </si>
  <si>
    <t>`(16135.00)</t>
  </si>
  <si>
    <t>(22)</t>
  </si>
  <si>
    <t>(32)</t>
  </si>
  <si>
    <t>(12.64)</t>
  </si>
  <si>
    <t>`(7.45)</t>
  </si>
  <si>
    <t>`(14953.00)</t>
  </si>
  <si>
    <t>`(19059)</t>
  </si>
  <si>
    <t>`(2.70)</t>
  </si>
  <si>
    <t>6049.00*</t>
  </si>
  <si>
    <t>COST OF CULTIVATION PER ACRE OF Brinjal (IRRIGATED )</t>
  </si>
  <si>
    <t>DISTRICT: Anuradapura 16/17m</t>
  </si>
  <si>
    <t>General land preparation</t>
  </si>
  <si>
    <t xml:space="preserve">1,2 &amp;3rd   Plough with  4WT </t>
  </si>
  <si>
    <t>Fertilizer application</t>
  </si>
  <si>
    <t xml:space="preserve">Weeding &amp; earthing up </t>
  </si>
  <si>
    <t>Pest &amp; disease control</t>
  </si>
  <si>
    <t>Water management</t>
  </si>
  <si>
    <t>Harvesting &amp; drawing</t>
  </si>
  <si>
    <t>Transport</t>
  </si>
  <si>
    <t>Total including imputed cost</t>
  </si>
  <si>
    <t xml:space="preserve">Total excluding imputed cost </t>
  </si>
  <si>
    <t>Len iri</t>
  </si>
  <si>
    <t>Raveena</t>
  </si>
  <si>
    <t>Padagoda</t>
  </si>
  <si>
    <t>Hybrid</t>
  </si>
  <si>
    <t xml:space="preserve">Tinnaweli </t>
  </si>
  <si>
    <t>Mean</t>
  </si>
  <si>
    <t>Mode</t>
  </si>
  <si>
    <t>FERTILIZER</t>
  </si>
  <si>
    <t>veg - mixture</t>
  </si>
  <si>
    <t xml:space="preserve"> Urea</t>
  </si>
  <si>
    <t>. MOP</t>
  </si>
  <si>
    <t xml:space="preserve"> TSP</t>
  </si>
  <si>
    <t>ha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</si>
  <si>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</si>
  <si>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</si>
  <si>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</si>
  <si>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</si>
  <si>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</si>
  <si>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</si>
  <si>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Note- </t>
  </si>
  <si>
    <t>Crop damage due to drough</t>
  </si>
  <si>
    <t>Low yield due to drough</t>
  </si>
  <si>
    <t>COST OF CULTIVATION PER ACRE OF Black Gram-  (rainfed )</t>
  </si>
  <si>
    <t>DISTRICT: System H      20213 Maha SEASON</t>
  </si>
  <si>
    <t>VAVUNIYA</t>
  </si>
  <si>
    <t xml:space="preserve"> 2016/17 MAHA</t>
  </si>
  <si>
    <t>Tabulate and Analysed by  A.M.H.M.B.Abeykoon</t>
  </si>
  <si>
    <t xml:space="preserve">  own Machi</t>
  </si>
  <si>
    <t xml:space="preserve">  own Mate</t>
  </si>
  <si>
    <t>1,2,3 Plough with 4Wt</t>
  </si>
  <si>
    <t xml:space="preserve">Broadcasting </t>
  </si>
  <si>
    <t>Threshing &amp; Processing</t>
  </si>
  <si>
    <t>sunamy</t>
  </si>
  <si>
    <t>mannual</t>
  </si>
  <si>
    <t>`(10)</t>
  </si>
  <si>
    <t>`(5.54)</t>
  </si>
  <si>
    <t>`(2.31)</t>
  </si>
  <si>
    <t>`(4848.00)</t>
  </si>
  <si>
    <t>4wt</t>
  </si>
  <si>
    <t>`(8)</t>
  </si>
  <si>
    <t>`(0.4)</t>
  </si>
  <si>
    <t>`(360.00)</t>
  </si>
  <si>
    <t>`(3333.00)</t>
  </si>
  <si>
    <t>Transport Produce to Stores</t>
  </si>
  <si>
    <t>Aruna</t>
  </si>
  <si>
    <t>MI</t>
  </si>
  <si>
    <t>per Ac</t>
  </si>
  <si>
    <t>Per Hec</t>
  </si>
  <si>
    <t>*</t>
  </si>
  <si>
    <t>Special remarks-</t>
  </si>
  <si>
    <t>* heavy rain fall at harvesting - low yield</t>
  </si>
  <si>
    <t>COST OF CULTIVATION PER ACRE OF  Capsicum (IRRIGATED)</t>
  </si>
  <si>
    <t>DISTRICT: --Badulla------------------       2016-17m-------------- SEASON</t>
  </si>
  <si>
    <t>Tabulated &amp; analyzed by :-S.N.Kamalinie------------</t>
  </si>
  <si>
    <t>All Nursery Preperation</t>
  </si>
  <si>
    <t>1  Plough with 2wt</t>
  </si>
  <si>
    <t>Prperation beds &amp; ridges</t>
  </si>
  <si>
    <t>4991.00*</t>
  </si>
  <si>
    <t>Digging holes</t>
  </si>
  <si>
    <t>Transplanting</t>
  </si>
  <si>
    <t>.</t>
  </si>
  <si>
    <t>Weeding &amp; earthing up</t>
  </si>
  <si>
    <t>Water Management (pump)</t>
  </si>
  <si>
    <t xml:space="preserve">Harvesting </t>
  </si>
  <si>
    <t>*lime</t>
  </si>
  <si>
    <t>Unit Price (Rs/g)</t>
  </si>
  <si>
    <t>Muriya</t>
  </si>
  <si>
    <t>PS</t>
  </si>
  <si>
    <t>Other</t>
  </si>
  <si>
    <t>Poultry</t>
  </si>
  <si>
    <t>veg</t>
  </si>
  <si>
    <t>Per hec.</t>
  </si>
  <si>
    <t>The yield was redused than last season becase the</t>
  </si>
  <si>
    <t>Drought,Disease and not quality seed</t>
  </si>
  <si>
    <t>COST OF CULTIVATION PER ACRE OF IRRIGATED  (IRRIGATED  )</t>
  </si>
  <si>
    <t xml:space="preserve">DISTRICT: --------------------  </t>
  </si>
  <si>
    <t>Nuwaraeliya</t>
  </si>
  <si>
    <t>Carrot</t>
  </si>
  <si>
    <t xml:space="preserve">2016/17Maha </t>
  </si>
  <si>
    <t>(1 Plough with Manually)</t>
  </si>
  <si>
    <t>(10)</t>
  </si>
  <si>
    <t>`(21.24)</t>
  </si>
  <si>
    <t>`(15.04)</t>
  </si>
  <si>
    <t>`(23364.00)</t>
  </si>
  <si>
    <t>Preparation of beds&amp; ridges</t>
  </si>
  <si>
    <t>4004.00*</t>
  </si>
  <si>
    <t xml:space="preserve"> Seeding</t>
  </si>
  <si>
    <t>Weeding &amp; thinningout</t>
  </si>
  <si>
    <t>Weed cont. weedicide</t>
  </si>
  <si>
    <t>(24)</t>
  </si>
  <si>
    <t>`(0.44)</t>
  </si>
  <si>
    <t>`(572.00)</t>
  </si>
  <si>
    <t>(1047.00)</t>
  </si>
  <si>
    <t>Harvest &amp; drawin by buyer**</t>
  </si>
  <si>
    <t>Harvesting &amp; drawing with manualy</t>
  </si>
  <si>
    <t>`(22)</t>
  </si>
  <si>
    <t>`(25.85)</t>
  </si>
  <si>
    <t>`(0.15)</t>
  </si>
  <si>
    <t>`(23368.00)</t>
  </si>
  <si>
    <t>* lime</t>
  </si>
  <si>
    <t>** done by buyer</t>
  </si>
  <si>
    <t>Variety %</t>
  </si>
  <si>
    <t>Tarkis</t>
  </si>
  <si>
    <t>Onex</t>
  </si>
  <si>
    <t>0.5, &amp;  0.25</t>
  </si>
  <si>
    <t>Vege.mix</t>
  </si>
  <si>
    <t>Potato mixture</t>
  </si>
  <si>
    <t>Polutary</t>
  </si>
  <si>
    <t>Per Ac</t>
  </si>
  <si>
    <t>Per ha</t>
  </si>
  <si>
    <t>law yeild due to drought</t>
  </si>
  <si>
    <t>COST OF CULTIVATION PER ACRE OF CHILLI(RAINFED)</t>
  </si>
  <si>
    <t>DISTRICT: Anuradhapura     2016/17 Maha  SEASON</t>
  </si>
  <si>
    <t>Tabulated &amp; analyzed by : N.P.S.A.Menike(EA)</t>
  </si>
  <si>
    <t>1, st  Plough with 4wt</t>
  </si>
  <si>
    <t>1, st  Plough (manually)</t>
  </si>
  <si>
    <t>`(32)</t>
  </si>
  <si>
    <t>`(11.62)</t>
  </si>
  <si>
    <t>`(6.67)</t>
  </si>
  <si>
    <t>`(13944.00)</t>
  </si>
  <si>
    <t>Preparation beds &amp; ridges</t>
  </si>
  <si>
    <t>Weeding &amp; earthing up(Manual)</t>
  </si>
  <si>
    <t>Harvesting with Manual</t>
  </si>
  <si>
    <t xml:space="preserve">Seed </t>
  </si>
  <si>
    <t>KA2</t>
  </si>
  <si>
    <t>Galkiriyagama</t>
  </si>
  <si>
    <t>MI2</t>
  </si>
  <si>
    <t>Chilli Mix</t>
  </si>
  <si>
    <t>Low yield due to drought</t>
  </si>
  <si>
    <t>COST OF CULTIVATION PER ACRE OF Cowpea ( RAIN FED )</t>
  </si>
  <si>
    <t>DISTRICT:Ampara   2016/17Maha SEASON</t>
  </si>
  <si>
    <t>1st Plough with 4wt</t>
  </si>
  <si>
    <t>1st Plough with 2wt</t>
  </si>
  <si>
    <t>`(14)</t>
  </si>
  <si>
    <t>`(1.30)</t>
  </si>
  <si>
    <t>`(1300.00)</t>
  </si>
  <si>
    <t>`(6000.00)</t>
  </si>
  <si>
    <t xml:space="preserve">do Manually </t>
  </si>
  <si>
    <t>"(10)</t>
  </si>
  <si>
    <t>`(9.33)</t>
  </si>
  <si>
    <t>`(6.00)</t>
  </si>
  <si>
    <t>`(9330.00)</t>
  </si>
  <si>
    <t>Digging holes &amp; Seeding</t>
  </si>
  <si>
    <t>With buffaloes</t>
  </si>
  <si>
    <t>"(1568)</t>
  </si>
  <si>
    <t xml:space="preserve">Harvesting &amp; drawing </t>
  </si>
  <si>
    <t>Threshing &amp; Processing Manually</t>
  </si>
  <si>
    <t>% of Ext.</t>
  </si>
  <si>
    <t>seed</t>
  </si>
  <si>
    <t>Sudu</t>
  </si>
  <si>
    <t>Red</t>
  </si>
  <si>
    <t>liquid fertilizer</t>
  </si>
  <si>
    <t>P/Ac</t>
  </si>
  <si>
    <t>P/Ha</t>
  </si>
  <si>
    <t>Crop damage due to drought</t>
  </si>
  <si>
    <t>COST OF CULTIVATION PER ACRE OF GINGELLY  ( RAINFED )</t>
  </si>
  <si>
    <t>DISTRICT: Hambantota       2016/17 Maha  SEASON</t>
  </si>
  <si>
    <t xml:space="preserve">Tabulated &amp; analyzed by : J.W.Lakmali Surangi </t>
  </si>
  <si>
    <t>1, 2, &amp; 3  Plough with 4wt</t>
  </si>
  <si>
    <t>1, 2, &amp; 3  Plough Manually</t>
  </si>
  <si>
    <t>`(40)</t>
  </si>
  <si>
    <t>`(2.47)</t>
  </si>
  <si>
    <t>`(0.04)</t>
  </si>
  <si>
    <t>`(3171.00)</t>
  </si>
  <si>
    <t>kg/g/Plants</t>
  </si>
  <si>
    <t>Variety destribution %</t>
  </si>
  <si>
    <t>White</t>
  </si>
  <si>
    <t>201*</t>
  </si>
  <si>
    <t>* very low yield due to drought</t>
  </si>
  <si>
    <t>COST OF CULTIVATION PER ACRE OF  GREEN GRAM ( RAINFED )</t>
  </si>
  <si>
    <t>DISTRICT: Hambantota     2016/17 Maha SEASON</t>
  </si>
  <si>
    <t>Tabulated &amp; analyzed by :-J.W. Lakmali surangi</t>
  </si>
  <si>
    <t>Pre Weedicide Application</t>
  </si>
  <si>
    <t>1 &amp; 2 Plough with 4wt</t>
  </si>
  <si>
    <t>Broadcasting</t>
  </si>
  <si>
    <t>Threshing &amp; Processing  with 2 wt</t>
  </si>
  <si>
    <t xml:space="preserve"> Seeding </t>
  </si>
  <si>
    <t>MI 6</t>
  </si>
  <si>
    <t>Australian</t>
  </si>
  <si>
    <t>*Very Low  yeild due to drought</t>
  </si>
  <si>
    <t>COST OF CULTIVATION PER ACRE OF -GROUND NUT-  ( RAINFED )</t>
  </si>
  <si>
    <t>DISTRICT: Monaragala      2016-17 Maha SEASON</t>
  </si>
  <si>
    <t>Tabulated &amp; analyzed by :V.G.S.Nilantha</t>
  </si>
  <si>
    <t>1, 2, &amp; 3  Plough  Manually</t>
  </si>
  <si>
    <t>`(3.70)</t>
  </si>
  <si>
    <t>`(2.50)</t>
  </si>
  <si>
    <t>(4070.00)</t>
  </si>
  <si>
    <t>Digging holes &amp; seeding</t>
  </si>
  <si>
    <t>Weeding &amp; Earthing up</t>
  </si>
  <si>
    <t>Processing</t>
  </si>
  <si>
    <t xml:space="preserve">White </t>
  </si>
  <si>
    <t>Tissa</t>
  </si>
  <si>
    <t xml:space="preserve">Cost of cultivation per acre of Kurakkan (RF) - </t>
  </si>
  <si>
    <t>District :-</t>
  </si>
  <si>
    <t>Anuradhapura</t>
  </si>
  <si>
    <t xml:space="preserve"> Analized by</t>
  </si>
  <si>
    <t>IS Hamangoda</t>
  </si>
  <si>
    <t>Season: 2016/17 Maha</t>
  </si>
  <si>
    <t>General Land preparation</t>
  </si>
  <si>
    <t>1, 2, &amp; 3  Plough with4wt</t>
  </si>
  <si>
    <t>Harvesting drawing</t>
  </si>
  <si>
    <t xml:space="preserve"> prossing (mannual)</t>
  </si>
  <si>
    <t>local</t>
  </si>
  <si>
    <t>per ha</t>
  </si>
  <si>
    <t>* Law yield due to lack of water</t>
  </si>
  <si>
    <t>COST OF CULTIVATION PER ACRE OF Maize (Rain fed)-2016-17 Maha</t>
  </si>
  <si>
    <t>Anuradapura</t>
  </si>
  <si>
    <t>analized by Jeewani Gunasinghe</t>
  </si>
  <si>
    <t>1st  2nd &amp; 3rd Plough with 4wt</t>
  </si>
  <si>
    <t>Weeding control with weedicides</t>
  </si>
  <si>
    <t>`(1.19)</t>
  </si>
  <si>
    <t>`(0.34)</t>
  </si>
  <si>
    <t>`(1428.00)</t>
  </si>
  <si>
    <t>`(4062.00)</t>
  </si>
  <si>
    <t>`(36)</t>
  </si>
  <si>
    <t>`(6.44)</t>
  </si>
  <si>
    <t>`(4.21)</t>
  </si>
  <si>
    <t>`(7889.00)</t>
  </si>
  <si>
    <t xml:space="preserve">Harvesting and drawing </t>
  </si>
  <si>
    <t>Threshing &amp; procressing  with thresure</t>
  </si>
  <si>
    <t>Transport produce to stores 4wt</t>
  </si>
  <si>
    <t>`(30)</t>
  </si>
  <si>
    <t>`(0.27)</t>
  </si>
  <si>
    <t>`(440.00)</t>
  </si>
  <si>
    <t>`(775.00)</t>
  </si>
  <si>
    <t>KG</t>
  </si>
  <si>
    <t>Pasific</t>
  </si>
  <si>
    <t>Jambo</t>
  </si>
  <si>
    <t>fert</t>
  </si>
  <si>
    <t>weeding</t>
  </si>
  <si>
    <t>pest</t>
  </si>
  <si>
    <t>harvesting</t>
  </si>
  <si>
    <t>Per Ha</t>
  </si>
  <si>
    <t>COST OF CULTIVATION PER ACRE OF MAIZE RAINFED</t>
  </si>
  <si>
    <t>DISTRICT:  AMPARA    2016/17 MAHA SEASON</t>
  </si>
  <si>
    <t>Tabulated &amp; analyzed by : Buddhika priyadarshini</t>
  </si>
  <si>
    <t>1St &amp; 2nd plough with 4 wt</t>
  </si>
  <si>
    <t>1St &amp; 2nd plough (manu)</t>
  </si>
  <si>
    <t>(6)</t>
  </si>
  <si>
    <t>(4.00)</t>
  </si>
  <si>
    <t>`(4000.00)</t>
  </si>
  <si>
    <t>(1367)</t>
  </si>
  <si>
    <t>Digging holes &amp; seeding (manu)</t>
  </si>
  <si>
    <t>(Digging holes &amp; seeding)with Buffolo</t>
  </si>
  <si>
    <t>(14)</t>
  </si>
  <si>
    <t>(2.35)</t>
  </si>
  <si>
    <t>(2.10)</t>
  </si>
  <si>
    <t>(1127)</t>
  </si>
  <si>
    <t>(2648.00)</t>
  </si>
  <si>
    <t xml:space="preserve">Weeding &amp; Earthing up </t>
  </si>
  <si>
    <t>Harvesting &amp;drawing</t>
  </si>
  <si>
    <t>Processing with Tsunami</t>
  </si>
  <si>
    <t>Processing with Tresure</t>
  </si>
  <si>
    <t>(16)</t>
  </si>
  <si>
    <t>(1.78)</t>
  </si>
  <si>
    <t>(0.91)</t>
  </si>
  <si>
    <t>(888)</t>
  </si>
  <si>
    <t>`(1581.00)</t>
  </si>
  <si>
    <t>`(4750.00)</t>
  </si>
  <si>
    <t>Additional Drying &amp; winnowing</t>
  </si>
  <si>
    <t xml:space="preserve">% </t>
  </si>
  <si>
    <t>Facific</t>
  </si>
  <si>
    <t>Jet 999</t>
  </si>
  <si>
    <t>Maxa</t>
  </si>
  <si>
    <t>Per ac</t>
  </si>
  <si>
    <t>drought affected yeild</t>
  </si>
  <si>
    <t>COST OF CULTIVATION PER ACRE OF MAIZE  (RAINFED )</t>
  </si>
  <si>
    <t>DISTRICT: Monaragala      2016/17 Maha SEASON</t>
  </si>
  <si>
    <t>Tabulated &amp; analyzed by : V.G.S.Nilantha</t>
  </si>
  <si>
    <t>1,  &amp; 2  Plough with 4wt</t>
  </si>
  <si>
    <t>Preparation of raws with 4wt</t>
  </si>
  <si>
    <t>Preparation of raws with buffa</t>
  </si>
  <si>
    <t>`(4.20)</t>
  </si>
  <si>
    <t>`(4200.00)</t>
  </si>
  <si>
    <t>(1858)</t>
  </si>
  <si>
    <t>Seeding</t>
  </si>
  <si>
    <t xml:space="preserve"> Processing with Tsunami</t>
  </si>
  <si>
    <t>Pacific</t>
  </si>
  <si>
    <t>All Top D.</t>
  </si>
  <si>
    <t>A-Urea</t>
  </si>
  <si>
    <t>B-MOP</t>
  </si>
  <si>
    <t>* low yield due to drought</t>
  </si>
  <si>
    <t>COST OF CULTIVATION PER ACRE OF POLE BEEN ( RAIN FED )</t>
  </si>
  <si>
    <t>DISTRICT: - - - - - - -    20- - - - -  SEASON</t>
  </si>
  <si>
    <t>:Matale</t>
  </si>
  <si>
    <t>Season</t>
  </si>
  <si>
    <t>:2016/17 Maha</t>
  </si>
  <si>
    <t>Data Entered &amp; Analyzed By : Babaradeniya</t>
  </si>
  <si>
    <t>own material</t>
  </si>
  <si>
    <t xml:space="preserve">1st Plough With 2WT </t>
  </si>
  <si>
    <t>~(7176)</t>
  </si>
  <si>
    <t>1st Plough With manually</t>
  </si>
  <si>
    <t>1st Plough With 4 WT</t>
  </si>
  <si>
    <t>`(7)</t>
  </si>
  <si>
    <t>~(7200)</t>
  </si>
  <si>
    <t>Buffelows</t>
  </si>
  <si>
    <t>~(6800)</t>
  </si>
  <si>
    <t>Fixing Support</t>
  </si>
  <si>
    <t>Pokuru Siththi</t>
  </si>
  <si>
    <t xml:space="preserve">Basal </t>
  </si>
  <si>
    <t>`(33)</t>
  </si>
  <si>
    <t>`(94)</t>
  </si>
  <si>
    <t>`(50)</t>
  </si>
  <si>
    <t>vegi mix</t>
  </si>
  <si>
    <t>Per Acre</t>
  </si>
  <si>
    <t>Per Hect.</t>
  </si>
  <si>
    <t>Average yield (kg)</t>
  </si>
  <si>
    <t>Gross income (Rs.)</t>
  </si>
  <si>
    <t>Profit incl. imputed cost (Rs)</t>
  </si>
  <si>
    <t>Profit excl. imputed cost (Rs)</t>
  </si>
  <si>
    <t xml:space="preserve">Note- cost of pest and diseease is high </t>
  </si>
  <si>
    <t>Yield is low due to rain</t>
  </si>
  <si>
    <t>COST OF CULTIVATION PER ACRE  (IRRIGATED)</t>
  </si>
  <si>
    <t>DISTRICT: --Badulla---Polebean       2016/17 maha</t>
  </si>
  <si>
    <t>(do manually)</t>
  </si>
  <si>
    <t>`(24)</t>
  </si>
  <si>
    <t>`(8.57)</t>
  </si>
  <si>
    <t>`(4.00)</t>
  </si>
  <si>
    <t>`(10027.00)</t>
  </si>
  <si>
    <t>Fixing support</t>
  </si>
  <si>
    <t xml:space="preserve">Water Management </t>
  </si>
  <si>
    <t>Capri</t>
  </si>
  <si>
    <t>`(34)</t>
  </si>
  <si>
    <t>`(178.00)</t>
  </si>
  <si>
    <t>Low yield because tha yellowing and drought</t>
  </si>
  <si>
    <t>COST OF CULTIVATION PER ACRE OF  Potato (IRRIGATED )</t>
  </si>
  <si>
    <t>DISTRICT: --Badulla     2016-17m</t>
  </si>
  <si>
    <t>1st plough (manu)</t>
  </si>
  <si>
    <t>`(12)</t>
  </si>
  <si>
    <t>`(11.50)</t>
  </si>
  <si>
    <t>`(4.42)</t>
  </si>
  <si>
    <t>`(13225.00)</t>
  </si>
  <si>
    <t>Ganola</t>
  </si>
  <si>
    <t>potato</t>
  </si>
  <si>
    <t>COST OF CULTIVATION PER ACRE OF Potato (IRRIGATED  )-2016/17 maha</t>
  </si>
  <si>
    <t>(Padma Bambaradeniya)</t>
  </si>
  <si>
    <t>(14.52)</t>
  </si>
  <si>
    <t>~(4.84)~(1300)</t>
  </si>
  <si>
    <t>(1300)</t>
  </si>
  <si>
    <t>~(33540)</t>
  </si>
  <si>
    <t>Preparation of beds &amp;ridges</t>
  </si>
  <si>
    <t>3721.00*</t>
  </si>
  <si>
    <t xml:space="preserve">Harvesting and drawing Manually </t>
  </si>
  <si>
    <t>lime *</t>
  </si>
  <si>
    <t>Granola</t>
  </si>
  <si>
    <t>total</t>
  </si>
  <si>
    <t>0.25 &amp; 0.5</t>
  </si>
  <si>
    <t>LL</t>
  </si>
  <si>
    <t>pote-mix</t>
  </si>
  <si>
    <t>per He</t>
  </si>
  <si>
    <t>COST OF CULTIVATION PER ACRE OF Pumkin (rain-fed )</t>
  </si>
  <si>
    <t>DISTRICT: Anuradhapura (2016 / 17 Maha)</t>
  </si>
  <si>
    <t>1 Plough with 4wt</t>
  </si>
  <si>
    <t>Loosing soil &amp; earthing up</t>
  </si>
  <si>
    <t>Weed Control With Weedicides</t>
  </si>
  <si>
    <t>Pest &amp; disease Control</t>
  </si>
  <si>
    <t>Extent ( % )</t>
  </si>
  <si>
    <t>suprima</t>
  </si>
  <si>
    <t>lara</t>
  </si>
  <si>
    <t xml:space="preserve">Family </t>
  </si>
  <si>
    <t>Chilli mix</t>
  </si>
  <si>
    <t>Note: Lower yeiled due to drought, compared to the previous maha season.</t>
  </si>
  <si>
    <t xml:space="preserve">COST OF CULTIVATION PER ACRE OF RED ONION  2016/17 MAHA SEASON - </t>
  </si>
  <si>
    <t>DISTRICT: JAFFNA (IRRIGATED)  ANALYZED BY THUSHARA</t>
  </si>
  <si>
    <t xml:space="preserve"> Family</t>
  </si>
  <si>
    <t xml:space="preserve">  Wage</t>
  </si>
  <si>
    <t>(Own)    Power</t>
  </si>
  <si>
    <t xml:space="preserve"> Inputed </t>
  </si>
  <si>
    <t>Labour</t>
  </si>
  <si>
    <t xml:space="preserve"> Labour</t>
  </si>
  <si>
    <t xml:space="preserve">  Rate</t>
  </si>
  <si>
    <t xml:space="preserve">  &amp; Equipm't</t>
  </si>
  <si>
    <t xml:space="preserve">  Cost Rs/ac</t>
  </si>
  <si>
    <t>1,2  plough with 4wt</t>
  </si>
  <si>
    <t>1,2  plough with 2wt</t>
  </si>
  <si>
    <t>`(0.50)</t>
  </si>
  <si>
    <t>`(500.00)</t>
  </si>
  <si>
    <t>`(9940.00)</t>
  </si>
  <si>
    <t>`(1460.00)</t>
  </si>
  <si>
    <t>3rd  plough with 2wt</t>
  </si>
  <si>
    <t>Seeding processing</t>
  </si>
  <si>
    <t>Weed Control with weediside</t>
  </si>
  <si>
    <t>Weeding &amp; loosening soil</t>
  </si>
  <si>
    <t>Transport produce to stores</t>
  </si>
  <si>
    <t>(37)</t>
  </si>
  <si>
    <t>`(0.70)</t>
  </si>
  <si>
    <t>`(630.00)</t>
  </si>
  <si>
    <t>`(3680.00)</t>
  </si>
  <si>
    <t xml:space="preserve"> Quantity</t>
  </si>
  <si>
    <t>Extent (%)</t>
  </si>
  <si>
    <t xml:space="preserve">Variety    </t>
  </si>
  <si>
    <t>vedalan</t>
  </si>
  <si>
    <t>Basal</t>
  </si>
  <si>
    <t>Amonia</t>
  </si>
  <si>
    <t>(27)</t>
  </si>
  <si>
    <t>Cow dung</t>
  </si>
  <si>
    <t>Avereage Yield (Kg/ac)</t>
  </si>
  <si>
    <t>Price of Produce (Rs/Kg)</t>
  </si>
  <si>
    <t>law yield due to rain</t>
  </si>
  <si>
    <t>COST OF CULTIVATION PER ACRE OF Red Onion  (IRRIGATED )</t>
  </si>
  <si>
    <t>DISTRICT: Puttalam       2016/17 Maha  SEASON</t>
  </si>
  <si>
    <t>Seed Processing</t>
  </si>
  <si>
    <t>Weeding &amp; loossing soil (Manual)</t>
  </si>
  <si>
    <t>Water Management(fuel)</t>
  </si>
  <si>
    <t>* cajan cost</t>
  </si>
  <si>
    <t>Vadalan</t>
  </si>
  <si>
    <t>Thambasetti</t>
  </si>
  <si>
    <t>Cowdung</t>
  </si>
  <si>
    <t>Onion.Mix</t>
  </si>
  <si>
    <t>CU3</t>
  </si>
  <si>
    <t>COST OF CULTIVATION PER ACRE OF  Tomato  (IRRIGATED )</t>
  </si>
  <si>
    <t>DISTRICT: --Badulla -2016-17m</t>
  </si>
  <si>
    <t>1st plough with manu</t>
  </si>
  <si>
    <t>`(42)</t>
  </si>
  <si>
    <t>`(10,14)</t>
  </si>
  <si>
    <t>`(5.80)</t>
  </si>
  <si>
    <t>`(11154.00)</t>
  </si>
  <si>
    <t>3202.00*</t>
  </si>
  <si>
    <t>Training</t>
  </si>
  <si>
    <t>Pathma</t>
  </si>
  <si>
    <t>Thilini</t>
  </si>
  <si>
    <t>Seress</t>
  </si>
  <si>
    <t>COST OF CULTIVATION PER ACRE OF Black Gram-  (rain fed )</t>
  </si>
  <si>
    <t>DISTRICT: Anuradapura - Blackgrame - 16/17 maha</t>
  </si>
  <si>
    <t>Tabulated &amp; analyzed by :-japn.jayakodi</t>
  </si>
  <si>
    <t>1, 2, plough with 4wt</t>
  </si>
  <si>
    <t>No harvestig</t>
  </si>
  <si>
    <t>Processing  4wt threshing</t>
  </si>
  <si>
    <t>low yield due to drought &amp; desease</t>
  </si>
</sst>
</file>

<file path=xl/styles.xml><?xml version="1.0" encoding="utf-8"?>
<styleSheet xmlns="http://schemas.openxmlformats.org/spreadsheetml/2006/main">
  <numFmts count="10">
    <numFmt numFmtId="43" formatCode="_-* #,##0.00_-;\-* #,##0.00_-;_-* &quot;-&quot;??_-;_-@_-"/>
    <numFmt numFmtId="164" formatCode="0.00_)"/>
    <numFmt numFmtId="165" formatCode="0.0"/>
    <numFmt numFmtId="166" formatCode="0_)"/>
    <numFmt numFmtId="167" formatCode="0.0_)"/>
    <numFmt numFmtId="168" formatCode="0.0%"/>
    <numFmt numFmtId="169" formatCode="0.000"/>
    <numFmt numFmtId="170" formatCode="_(* #,##0_);_(* \(#,##0\);_(* &quot;-&quot;??_);_(@_)"/>
    <numFmt numFmtId="171" formatCode="0.00;[Red]0.00"/>
    <numFmt numFmtId="172" formatCode="0;[Red]0"/>
  </numFmts>
  <fonts count="3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0"/>
      <name val="Comic Sans MS"/>
      <family val="4"/>
    </font>
    <font>
      <sz val="8"/>
      <name val="Comic Sans MS"/>
      <family val="4"/>
    </font>
    <font>
      <b/>
      <sz val="8"/>
      <name val="Comic Sans MS"/>
      <family val="4"/>
    </font>
    <font>
      <sz val="11"/>
      <color theme="1"/>
      <name val="Calibri"/>
      <family val="2"/>
      <scheme val="minor"/>
    </font>
    <font>
      <sz val="8"/>
      <color rgb="FFFF0000"/>
      <name val="Comic Sans MS"/>
      <family val="4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omic Sans MS"/>
      <family val="4"/>
    </font>
    <font>
      <sz val="9"/>
      <name val="Comic Sans MS"/>
      <family val="4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Arial"/>
      <family val="2"/>
    </font>
    <font>
      <b/>
      <i/>
      <sz val="10"/>
      <name val="Arial"/>
      <family val="2"/>
    </font>
    <font>
      <sz val="9"/>
      <color theme="1"/>
      <name val="Comic Sans MS"/>
      <family val="4"/>
    </font>
    <font>
      <b/>
      <sz val="9"/>
      <name val="Comic Sans MS"/>
      <family val="4"/>
    </font>
    <font>
      <sz val="9"/>
      <color rgb="FFFF0000"/>
      <name val="Comic Sans MS"/>
      <family val="4"/>
    </font>
    <font>
      <b/>
      <i/>
      <sz val="9"/>
      <name val="Comic Sans MS"/>
      <family val="4"/>
    </font>
    <font>
      <sz val="10"/>
      <name val="Calibri"/>
      <family val="2"/>
    </font>
    <font>
      <sz val="12"/>
      <name val="Times New Roman"/>
      <family val="1"/>
    </font>
    <font>
      <sz val="14"/>
      <name val="Comic Sans MS"/>
      <family val="4"/>
    </font>
    <font>
      <b/>
      <sz val="9"/>
      <name val="Arial"/>
      <family val="2"/>
    </font>
    <font>
      <b/>
      <sz val="10"/>
      <name val="Arial"/>
      <family val="2"/>
    </font>
    <font>
      <b/>
      <sz val="9"/>
      <color theme="1"/>
      <name val="Comic Sans MS"/>
      <family val="4"/>
    </font>
    <font>
      <b/>
      <u/>
      <sz val="9"/>
      <color indexed="8"/>
      <name val="Comic Sans MS"/>
      <family val="4"/>
    </font>
    <font>
      <sz val="9"/>
      <color indexed="8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360">
    <xf numFmtId="0" fontId="0" fillId="0" borderId="0" xfId="0"/>
    <xf numFmtId="0" fontId="1" fillId="0" borderId="0" xfId="0" applyFont="1"/>
    <xf numFmtId="0" fontId="2" fillId="0" borderId="1" xfId="0" applyFont="1" applyFill="1" applyBorder="1"/>
    <xf numFmtId="2" fontId="1" fillId="0" borderId="0" xfId="0" applyNumberFormat="1" applyFont="1"/>
    <xf numFmtId="0" fontId="1" fillId="0" borderId="0" xfId="0" applyNumberFormat="1" applyFont="1" applyBorder="1" applyAlignment="1" applyProtection="1"/>
    <xf numFmtId="2" fontId="0" fillId="0" borderId="0" xfId="0" applyNumberForma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166" fontId="7" fillId="0" borderId="0" xfId="0" applyNumberFormat="1" applyFont="1" applyProtection="1"/>
    <xf numFmtId="2" fontId="7" fillId="0" borderId="0" xfId="0" applyNumberFormat="1" applyFont="1"/>
    <xf numFmtId="2" fontId="7" fillId="0" borderId="0" xfId="0" applyNumberFormat="1" applyFont="1" applyProtection="1"/>
    <xf numFmtId="2" fontId="7" fillId="0" borderId="0" xfId="0" applyNumberFormat="1" applyFont="1" applyFill="1"/>
    <xf numFmtId="166" fontId="7" fillId="0" borderId="1" xfId="0" applyNumberFormat="1" applyFont="1" applyBorder="1" applyProtection="1"/>
    <xf numFmtId="166" fontId="7" fillId="0" borderId="2" xfId="0" applyNumberFormat="1" applyFont="1" applyBorder="1" applyProtection="1"/>
    <xf numFmtId="2" fontId="7" fillId="0" borderId="2" xfId="0" applyNumberFormat="1" applyFont="1" applyBorder="1"/>
    <xf numFmtId="0" fontId="6" fillId="0" borderId="0" xfId="0" applyNumberFormat="1" applyFont="1" applyBorder="1" applyAlignment="1" applyProtection="1"/>
    <xf numFmtId="0" fontId="7" fillId="0" borderId="3" xfId="0" applyFont="1" applyBorder="1"/>
    <xf numFmtId="0" fontId="8" fillId="0" borderId="0" xfId="0" applyFont="1"/>
    <xf numFmtId="10" fontId="1" fillId="0" borderId="0" xfId="2" applyNumberFormat="1" applyFont="1" applyBorder="1" applyAlignment="1" applyProtection="1"/>
    <xf numFmtId="10" fontId="1" fillId="0" borderId="0" xfId="2" applyNumberFormat="1" applyFont="1" applyBorder="1" applyAlignment="1"/>
    <xf numFmtId="168" fontId="1" fillId="0" borderId="0" xfId="2" applyNumberFormat="1" applyFont="1" applyBorder="1"/>
    <xf numFmtId="0" fontId="7" fillId="0" borderId="0" xfId="0" applyFont="1" applyBorder="1" applyAlignment="1">
      <alignment horizontal="left"/>
    </xf>
    <xf numFmtId="0" fontId="7" fillId="0" borderId="0" xfId="0" quotePrefix="1" applyFont="1" applyBorder="1"/>
    <xf numFmtId="2" fontId="7" fillId="0" borderId="0" xfId="0" applyNumberFormat="1" applyFont="1" applyBorder="1"/>
    <xf numFmtId="164" fontId="7" fillId="0" borderId="0" xfId="0" applyNumberFormat="1" applyFont="1" applyBorder="1"/>
    <xf numFmtId="164" fontId="7" fillId="0" borderId="2" xfId="0" applyNumberFormat="1" applyFont="1" applyBorder="1"/>
    <xf numFmtId="166" fontId="7" fillId="0" borderId="0" xfId="0" quotePrefix="1" applyNumberFormat="1" applyFont="1" applyProtection="1"/>
    <xf numFmtId="0" fontId="0" fillId="0" borderId="0" xfId="0" applyFill="1"/>
    <xf numFmtId="0" fontId="7" fillId="0" borderId="0" xfId="0" applyNumberFormat="1" applyFont="1" applyProtection="1"/>
    <xf numFmtId="9" fontId="7" fillId="0" borderId="0" xfId="0" quotePrefix="1" applyNumberFormat="1" applyFont="1" applyBorder="1"/>
    <xf numFmtId="2" fontId="7" fillId="0" borderId="0" xfId="0" quotePrefix="1" applyNumberFormat="1" applyFont="1"/>
    <xf numFmtId="0" fontId="0" fillId="0" borderId="0" xfId="0" applyBorder="1"/>
    <xf numFmtId="1" fontId="7" fillId="0" borderId="0" xfId="0" applyNumberFormat="1" applyFont="1"/>
    <xf numFmtId="2" fontId="7" fillId="0" borderId="0" xfId="0" quotePrefix="1" applyNumberFormat="1" applyFont="1" applyProtection="1"/>
    <xf numFmtId="1" fontId="7" fillId="0" borderId="1" xfId="0" applyNumberFormat="1" applyFont="1" applyBorder="1"/>
    <xf numFmtId="1" fontId="7" fillId="0" borderId="2" xfId="0" applyNumberFormat="1" applyFont="1" applyBorder="1"/>
    <xf numFmtId="1" fontId="0" fillId="0" borderId="0" xfId="0" applyNumberFormat="1" applyBorder="1"/>
    <xf numFmtId="9" fontId="7" fillId="0" borderId="0" xfId="0" applyNumberFormat="1" applyFont="1"/>
    <xf numFmtId="2" fontId="11" fillId="0" borderId="0" xfId="0" applyNumberFormat="1" applyFont="1"/>
    <xf numFmtId="166" fontId="7" fillId="0" borderId="0" xfId="0" applyNumberFormat="1" applyFont="1" applyAlignment="1" applyProtection="1">
      <alignment horizontal="right"/>
    </xf>
    <xf numFmtId="2" fontId="7" fillId="0" borderId="0" xfId="0" applyNumberFormat="1" applyFont="1" applyBorder="1" applyAlignment="1">
      <alignment horizontal="right"/>
    </xf>
    <xf numFmtId="2" fontId="7" fillId="0" borderId="1" xfId="0" applyNumberFormat="1" applyFont="1" applyBorder="1"/>
    <xf numFmtId="166" fontId="7" fillId="0" borderId="0" xfId="0" applyNumberFormat="1" applyFont="1" applyBorder="1" applyProtection="1"/>
    <xf numFmtId="1" fontId="7" fillId="0" borderId="0" xfId="0" applyNumberFormat="1" applyFont="1" applyBorder="1"/>
    <xf numFmtId="0" fontId="13" fillId="0" borderId="0" xfId="0" applyFont="1"/>
    <xf numFmtId="0" fontId="14" fillId="0" borderId="0" xfId="0" applyFont="1" applyBorder="1"/>
    <xf numFmtId="0" fontId="14" fillId="0" borderId="0" xfId="0" applyFont="1" applyBorder="1" applyAlignment="1">
      <alignment horizontal="right"/>
    </xf>
    <xf numFmtId="0" fontId="14" fillId="0" borderId="0" xfId="0" applyFont="1"/>
    <xf numFmtId="2" fontId="14" fillId="0" borderId="0" xfId="0" applyNumberFormat="1" applyFont="1"/>
    <xf numFmtId="2" fontId="14" fillId="0" borderId="0" xfId="0" quotePrefix="1" applyNumberFormat="1" applyFont="1"/>
    <xf numFmtId="2" fontId="14" fillId="0" borderId="0" xfId="0" applyNumberFormat="1" applyFont="1" applyFill="1"/>
    <xf numFmtId="2" fontId="7" fillId="0" borderId="0" xfId="0" quotePrefix="1" applyNumberFormat="1" applyFont="1" applyFill="1"/>
    <xf numFmtId="166" fontId="7" fillId="0" borderId="0" xfId="0" applyNumberFormat="1" applyFont="1" applyFill="1" applyProtection="1"/>
    <xf numFmtId="164" fontId="7" fillId="0" borderId="0" xfId="0" applyNumberFormat="1" applyFont="1" applyFill="1" applyBorder="1" applyProtection="1"/>
    <xf numFmtId="164" fontId="7" fillId="0" borderId="0" xfId="0" applyNumberFormat="1" applyFont="1" applyFill="1" applyBorder="1"/>
    <xf numFmtId="0" fontId="7" fillId="0" borderId="0" xfId="0" applyFont="1" applyFill="1"/>
    <xf numFmtId="2" fontId="7" fillId="0" borderId="0" xfId="0" applyNumberFormat="1" applyFont="1" applyFill="1" applyBorder="1"/>
    <xf numFmtId="0" fontId="1" fillId="0" borderId="8" xfId="0" applyFont="1" applyBorder="1"/>
    <xf numFmtId="0" fontId="1" fillId="0" borderId="8" xfId="2" applyNumberFormat="1" applyFont="1" applyBorder="1"/>
    <xf numFmtId="0" fontId="1" fillId="0" borderId="8" xfId="0" applyFont="1" applyFill="1" applyBorder="1"/>
    <xf numFmtId="0" fontId="1" fillId="0" borderId="8" xfId="2" applyNumberFormat="1" applyFont="1" applyBorder="1" applyAlignment="1" applyProtection="1"/>
    <xf numFmtId="0" fontId="0" fillId="0" borderId="8" xfId="0" applyBorder="1"/>
    <xf numFmtId="1" fontId="0" fillId="0" borderId="8" xfId="0" applyNumberFormat="1" applyBorder="1"/>
    <xf numFmtId="0" fontId="7" fillId="0" borderId="0" xfId="0" applyFont="1" applyAlignment="1">
      <alignment horizontal="right"/>
    </xf>
    <xf numFmtId="166" fontId="7" fillId="0" borderId="0" xfId="0" quotePrefix="1" applyNumberFormat="1" applyFont="1" applyAlignment="1" applyProtection="1">
      <alignment horizontal="right"/>
    </xf>
    <xf numFmtId="2" fontId="7" fillId="0" borderId="0" xfId="0" applyNumberFormat="1" applyFont="1" applyFill="1" applyAlignment="1">
      <alignment horizontal="right"/>
    </xf>
    <xf numFmtId="2" fontId="7" fillId="2" borderId="0" xfId="0" applyNumberFormat="1" applyFont="1" applyFill="1" applyAlignment="1">
      <alignment horizontal="right"/>
    </xf>
    <xf numFmtId="0" fontId="7" fillId="0" borderId="0" xfId="0" applyFont="1" applyFill="1" applyBorder="1" applyAlignment="1">
      <alignment horizontal="right"/>
    </xf>
    <xf numFmtId="2" fontId="7" fillId="0" borderId="0" xfId="0" applyNumberFormat="1" applyFont="1" applyAlignment="1">
      <alignment horizontal="right"/>
    </xf>
    <xf numFmtId="0" fontId="7" fillId="2" borderId="0" xfId="0" applyFont="1" applyFill="1" applyAlignment="1">
      <alignment horizontal="right"/>
    </xf>
    <xf numFmtId="166" fontId="7" fillId="0" borderId="0" xfId="0" applyNumberFormat="1" applyFont="1" applyFill="1" applyAlignment="1" applyProtection="1">
      <alignment horizontal="right"/>
    </xf>
    <xf numFmtId="2" fontId="7" fillId="2" borderId="0" xfId="0" applyNumberFormat="1" applyFont="1" applyFill="1"/>
    <xf numFmtId="166" fontId="7" fillId="0" borderId="1" xfId="0" applyNumberFormat="1" applyFont="1" applyBorder="1" applyAlignment="1" applyProtection="1">
      <alignment horizontal="right"/>
    </xf>
    <xf numFmtId="2" fontId="7" fillId="0" borderId="1" xfId="0" applyNumberFormat="1" applyFont="1" applyBorder="1" applyAlignment="1">
      <alignment horizontal="right"/>
    </xf>
    <xf numFmtId="2" fontId="7" fillId="0" borderId="1" xfId="0" applyNumberFormat="1" applyFont="1" applyFill="1" applyBorder="1"/>
    <xf numFmtId="166" fontId="7" fillId="0" borderId="2" xfId="0" applyNumberFormat="1" applyFont="1" applyBorder="1" applyAlignment="1" applyProtection="1">
      <alignment horizontal="right"/>
    </xf>
    <xf numFmtId="2" fontId="7" fillId="0" borderId="2" xfId="0" applyNumberFormat="1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2" fontId="15" fillId="2" borderId="0" xfId="0" applyNumberFormat="1" applyFont="1" applyFill="1"/>
    <xf numFmtId="2" fontId="5" fillId="2" borderId="0" xfId="0" applyNumberFormat="1" applyFont="1" applyFill="1" applyAlignment="1">
      <alignment horizontal="right"/>
    </xf>
    <xf numFmtId="0" fontId="5" fillId="2" borderId="8" xfId="0" applyFont="1" applyFill="1" applyBorder="1"/>
    <xf numFmtId="2" fontId="5" fillId="2" borderId="8" xfId="0" applyNumberFormat="1" applyFont="1" applyFill="1" applyBorder="1"/>
    <xf numFmtId="2" fontId="16" fillId="2" borderId="8" xfId="0" applyNumberFormat="1" applyFont="1" applyFill="1" applyBorder="1"/>
    <xf numFmtId="2" fontId="0" fillId="2" borderId="8" xfId="0" applyNumberFormat="1" applyFill="1" applyBorder="1"/>
    <xf numFmtId="2" fontId="5" fillId="2" borderId="8" xfId="0" quotePrefix="1" applyNumberFormat="1" applyFont="1" applyFill="1" applyBorder="1"/>
    <xf numFmtId="0" fontId="4" fillId="0" borderId="8" xfId="0" applyFont="1" applyBorder="1"/>
    <xf numFmtId="2" fontId="7" fillId="0" borderId="8" xfId="0" applyNumberFormat="1" applyFont="1" applyBorder="1"/>
    <xf numFmtId="2" fontId="0" fillId="0" borderId="8" xfId="0" applyNumberFormat="1" applyBorder="1"/>
    <xf numFmtId="2" fontId="7" fillId="0" borderId="0" xfId="0" quotePrefix="1" applyNumberFormat="1" applyFont="1" applyBorder="1" applyAlignment="1">
      <alignment horizontal="right"/>
    </xf>
    <xf numFmtId="2" fontId="7" fillId="0" borderId="0" xfId="0" applyNumberFormat="1" applyFont="1" applyFill="1" applyBorder="1" applyAlignment="1">
      <alignment horizontal="right"/>
    </xf>
    <xf numFmtId="0" fontId="7" fillId="0" borderId="2" xfId="0" quotePrefix="1" applyFont="1" applyBorder="1"/>
    <xf numFmtId="0" fontId="17" fillId="0" borderId="0" xfId="0" applyFont="1" applyFill="1"/>
    <xf numFmtId="0" fontId="18" fillId="0" borderId="0" xfId="0" applyFont="1"/>
    <xf numFmtId="0" fontId="14" fillId="2" borderId="0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horizontal="right"/>
    </xf>
    <xf numFmtId="0" fontId="14" fillId="0" borderId="2" xfId="0" applyFont="1" applyBorder="1"/>
    <xf numFmtId="0" fontId="14" fillId="0" borderId="2" xfId="0" applyFont="1" applyBorder="1" applyAlignment="1">
      <alignment horizontal="right"/>
    </xf>
    <xf numFmtId="166" fontId="14" fillId="0" borderId="0" xfId="0" applyNumberFormat="1" applyFont="1" applyFill="1" applyAlignment="1" applyProtection="1">
      <alignment horizontal="right"/>
    </xf>
    <xf numFmtId="2" fontId="14" fillId="0" borderId="0" xfId="0" applyNumberFormat="1" applyFont="1" applyFill="1" applyAlignment="1">
      <alignment horizontal="right"/>
    </xf>
    <xf numFmtId="2" fontId="14" fillId="0" borderId="0" xfId="0" applyNumberFormat="1" applyFont="1" applyFill="1" applyProtection="1"/>
    <xf numFmtId="2" fontId="14" fillId="0" borderId="0" xfId="0" quotePrefix="1" applyNumberFormat="1" applyFont="1" applyFill="1"/>
    <xf numFmtId="0" fontId="19" fillId="0" borderId="0" xfId="0" applyFont="1" applyFill="1" applyBorder="1"/>
    <xf numFmtId="0" fontId="14" fillId="0" borderId="0" xfId="0" applyFont="1" applyFill="1"/>
    <xf numFmtId="2" fontId="19" fillId="0" borderId="0" xfId="0" applyNumberFormat="1" applyFont="1" applyFill="1" applyBorder="1"/>
    <xf numFmtId="0" fontId="14" fillId="0" borderId="0" xfId="0" applyFont="1" applyFill="1" applyAlignment="1">
      <alignment horizontal="left" vertical="top"/>
    </xf>
    <xf numFmtId="1" fontId="14" fillId="0" borderId="0" xfId="0" applyNumberFormat="1" applyFont="1" applyFill="1" applyAlignment="1">
      <alignment horizontal="left" vertical="top"/>
    </xf>
    <xf numFmtId="166" fontId="14" fillId="0" borderId="1" xfId="0" applyNumberFormat="1" applyFont="1" applyFill="1" applyBorder="1" applyProtection="1"/>
    <xf numFmtId="2" fontId="14" fillId="0" borderId="1" xfId="0" applyNumberFormat="1" applyFont="1" applyFill="1" applyBorder="1"/>
    <xf numFmtId="0" fontId="14" fillId="0" borderId="1" xfId="0" applyFont="1" applyFill="1" applyBorder="1"/>
    <xf numFmtId="166" fontId="14" fillId="0" borderId="2" xfId="0" applyNumberFormat="1" applyFont="1" applyFill="1" applyBorder="1" applyProtection="1"/>
    <xf numFmtId="2" fontId="14" fillId="0" borderId="2" xfId="0" applyNumberFormat="1" applyFont="1" applyFill="1" applyBorder="1"/>
    <xf numFmtId="0" fontId="14" fillId="0" borderId="2" xfId="0" applyFont="1" applyFill="1" applyBorder="1"/>
    <xf numFmtId="0" fontId="14" fillId="0" borderId="3" xfId="0" applyFont="1" applyBorder="1"/>
    <xf numFmtId="0" fontId="14" fillId="0" borderId="0" xfId="0" applyFont="1" applyBorder="1" applyAlignment="1">
      <alignment horizontal="left" vertical="top"/>
    </xf>
    <xf numFmtId="2" fontId="14" fillId="0" borderId="0" xfId="0" applyNumberFormat="1" applyFont="1" applyBorder="1" applyAlignment="1">
      <alignment horizontal="left" vertical="top"/>
    </xf>
    <xf numFmtId="0" fontId="14" fillId="0" borderId="8" xfId="0" applyFont="1" applyBorder="1" applyAlignment="1">
      <alignment horizontal="left" vertical="top"/>
    </xf>
    <xf numFmtId="0" fontId="14" fillId="0" borderId="8" xfId="0" applyFont="1" applyFill="1" applyBorder="1"/>
    <xf numFmtId="0" fontId="14" fillId="0" borderId="0" xfId="0" applyFont="1" applyFill="1" applyBorder="1"/>
    <xf numFmtId="0" fontId="14" fillId="0" borderId="8" xfId="0" applyFont="1" applyBorder="1"/>
    <xf numFmtId="0" fontId="14" fillId="0" borderId="9" xfId="0" applyFont="1" applyBorder="1" applyAlignment="1">
      <alignment horizontal="left" vertical="top"/>
    </xf>
    <xf numFmtId="0" fontId="14" fillId="0" borderId="9" xfId="0" applyFont="1" applyBorder="1"/>
    <xf numFmtId="164" fontId="14" fillId="0" borderId="0" xfId="0" applyNumberFormat="1" applyFont="1" applyFill="1" applyBorder="1" applyProtection="1"/>
    <xf numFmtId="1" fontId="14" fillId="0" borderId="0" xfId="0" applyNumberFormat="1" applyFont="1"/>
    <xf numFmtId="164" fontId="14" fillId="0" borderId="0" xfId="0" applyNumberFormat="1" applyFont="1" applyBorder="1"/>
    <xf numFmtId="0" fontId="14" fillId="0" borderId="0" xfId="0" applyFont="1" applyAlignment="1">
      <alignment horizontal="left" vertical="top"/>
    </xf>
    <xf numFmtId="0" fontId="14" fillId="0" borderId="1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166" fontId="14" fillId="0" borderId="0" xfId="0" applyNumberFormat="1" applyFont="1" applyProtection="1"/>
    <xf numFmtId="2" fontId="14" fillId="0" borderId="0" xfId="0" applyNumberFormat="1" applyFont="1" applyProtection="1"/>
    <xf numFmtId="166" fontId="14" fillId="0" borderId="1" xfId="0" applyNumberFormat="1" applyFont="1" applyBorder="1" applyProtection="1"/>
    <xf numFmtId="2" fontId="14" fillId="0" borderId="1" xfId="0" applyNumberFormat="1" applyFont="1" applyBorder="1"/>
    <xf numFmtId="166" fontId="14" fillId="0" borderId="2" xfId="0" applyNumberFormat="1" applyFont="1" applyBorder="1" applyProtection="1"/>
    <xf numFmtId="2" fontId="14" fillId="0" borderId="2" xfId="0" applyNumberFormat="1" applyFont="1" applyBorder="1"/>
    <xf numFmtId="9" fontId="14" fillId="0" borderId="0" xfId="0" applyNumberFormat="1" applyFont="1"/>
    <xf numFmtId="169" fontId="14" fillId="0" borderId="0" xfId="0" applyNumberFormat="1" applyFont="1" applyFill="1"/>
    <xf numFmtId="9" fontId="14" fillId="0" borderId="8" xfId="0" applyNumberFormat="1" applyFont="1" applyBorder="1"/>
    <xf numFmtId="0" fontId="14" fillId="0" borderId="0" xfId="0" quotePrefix="1" applyFont="1" applyBorder="1"/>
    <xf numFmtId="1" fontId="14" fillId="0" borderId="0" xfId="0" applyNumberFormat="1" applyFont="1" applyBorder="1"/>
    <xf numFmtId="2" fontId="14" fillId="0" borderId="0" xfId="0" applyNumberFormat="1" applyFont="1" applyFill="1" applyBorder="1"/>
    <xf numFmtId="164" fontId="14" fillId="0" borderId="0" xfId="0" applyNumberFormat="1" applyFont="1" applyFill="1" applyBorder="1"/>
    <xf numFmtId="164" fontId="14" fillId="0" borderId="2" xfId="0" applyNumberFormat="1" applyFont="1" applyBorder="1"/>
    <xf numFmtId="0" fontId="20" fillId="0" borderId="0" xfId="0" applyFont="1" applyFill="1"/>
    <xf numFmtId="0" fontId="14" fillId="0" borderId="1" xfId="0" applyFont="1" applyFill="1" applyBorder="1" applyAlignment="1">
      <alignment horizontal="right"/>
    </xf>
    <xf numFmtId="0" fontId="14" fillId="0" borderId="1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right"/>
    </xf>
    <xf numFmtId="0" fontId="14" fillId="0" borderId="0" xfId="0" applyFont="1" applyFill="1" applyBorder="1" applyAlignment="1">
      <alignment horizontal="left"/>
    </xf>
    <xf numFmtId="0" fontId="14" fillId="0" borderId="2" xfId="0" applyFont="1" applyFill="1" applyBorder="1" applyAlignment="1">
      <alignment horizontal="right"/>
    </xf>
    <xf numFmtId="166" fontId="14" fillId="0" borderId="0" xfId="0" applyNumberFormat="1" applyFont="1" applyFill="1" applyProtection="1"/>
    <xf numFmtId="164" fontId="14" fillId="0" borderId="0" xfId="0" applyNumberFormat="1" applyFont="1" applyFill="1" applyProtection="1"/>
    <xf numFmtId="164" fontId="14" fillId="0" borderId="0" xfId="0" applyNumberFormat="1" applyFont="1" applyFill="1"/>
    <xf numFmtId="1" fontId="14" fillId="0" borderId="0" xfId="0" applyNumberFormat="1" applyFont="1" applyFill="1"/>
    <xf numFmtId="170" fontId="14" fillId="0" borderId="0" xfId="4" quotePrefix="1" applyNumberFormat="1" applyFont="1" applyFill="1" applyAlignment="1" applyProtection="1">
      <alignment horizontal="right"/>
    </xf>
    <xf numFmtId="164" fontId="14" fillId="0" borderId="0" xfId="0" quotePrefix="1" applyNumberFormat="1" applyFont="1" applyFill="1" applyAlignment="1" applyProtection="1">
      <alignment horizontal="right"/>
    </xf>
    <xf numFmtId="166" fontId="14" fillId="0" borderId="0" xfId="0" quotePrefix="1" applyNumberFormat="1" applyFont="1" applyFill="1" applyProtection="1"/>
    <xf numFmtId="164" fontId="14" fillId="0" borderId="0" xfId="0" quotePrefix="1" applyNumberFormat="1" applyFont="1" applyFill="1"/>
    <xf numFmtId="164" fontId="14" fillId="0" borderId="1" xfId="0" applyNumberFormat="1" applyFont="1" applyFill="1" applyBorder="1"/>
    <xf numFmtId="164" fontId="14" fillId="0" borderId="2" xfId="0" applyNumberFormat="1" applyFont="1" applyFill="1" applyBorder="1"/>
    <xf numFmtId="2" fontId="21" fillId="0" borderId="0" xfId="0" applyNumberFormat="1" applyFont="1" applyFill="1"/>
    <xf numFmtId="0" fontId="14" fillId="0" borderId="3" xfId="0" applyFont="1" applyFill="1" applyBorder="1"/>
    <xf numFmtId="0" fontId="14" fillId="0" borderId="0" xfId="0" applyFont="1" applyFill="1" applyBorder="1" applyAlignment="1">
      <alignment horizontal="left" vertical="top"/>
    </xf>
    <xf numFmtId="0" fontId="14" fillId="0" borderId="8" xfId="0" applyFont="1" applyFill="1" applyBorder="1" applyAlignment="1">
      <alignment horizontal="left" vertical="top"/>
    </xf>
    <xf numFmtId="1" fontId="14" fillId="0" borderId="8" xfId="0" applyNumberFormat="1" applyFont="1" applyFill="1" applyBorder="1" applyAlignment="1">
      <alignment horizontal="left" vertical="top"/>
    </xf>
    <xf numFmtId="1" fontId="14" fillId="0" borderId="0" xfId="0" applyNumberFormat="1" applyFont="1" applyFill="1" applyBorder="1" applyAlignment="1">
      <alignment horizontal="left" vertical="top"/>
    </xf>
    <xf numFmtId="2" fontId="14" fillId="0" borderId="8" xfId="0" applyNumberFormat="1" applyFont="1" applyFill="1" applyBorder="1" applyAlignment="1">
      <alignment horizontal="left" vertical="top"/>
    </xf>
    <xf numFmtId="165" fontId="14" fillId="0" borderId="8" xfId="0" applyNumberFormat="1" applyFont="1" applyFill="1" applyBorder="1" applyAlignment="1">
      <alignment horizontal="left" vertical="top"/>
    </xf>
    <xf numFmtId="0" fontId="14" fillId="0" borderId="0" xfId="0" quotePrefix="1" applyFont="1" applyFill="1" applyBorder="1"/>
    <xf numFmtId="0" fontId="14" fillId="0" borderId="0" xfId="0" applyFont="1" applyFill="1" applyBorder="1" applyAlignment="1"/>
    <xf numFmtId="2" fontId="14" fillId="0" borderId="0" xfId="0" applyNumberFormat="1" applyFont="1" applyFill="1" applyBorder="1" applyAlignment="1"/>
    <xf numFmtId="2" fontId="14" fillId="0" borderId="0" xfId="0" applyNumberFormat="1" applyFont="1" applyFill="1" applyBorder="1" applyAlignment="1">
      <alignment horizontal="right"/>
    </xf>
    <xf numFmtId="2" fontId="14" fillId="0" borderId="0" xfId="0" quotePrefix="1" applyNumberFormat="1" applyFont="1" applyFill="1" applyBorder="1" applyAlignment="1">
      <alignment horizontal="right"/>
    </xf>
    <xf numFmtId="2" fontId="14" fillId="0" borderId="0" xfId="0" applyNumberFormat="1" applyFont="1" applyBorder="1"/>
    <xf numFmtId="0" fontId="20" fillId="0" borderId="1" xfId="0" applyFont="1" applyBorder="1"/>
    <xf numFmtId="0" fontId="20" fillId="0" borderId="0" xfId="0" applyFont="1"/>
    <xf numFmtId="166" fontId="14" fillId="0" borderId="0" xfId="0" quotePrefix="1" applyNumberFormat="1" applyFont="1" applyProtection="1"/>
    <xf numFmtId="2" fontId="14" fillId="0" borderId="0" xfId="0" applyNumberFormat="1" applyFont="1" applyAlignment="1">
      <alignment horizontal="right"/>
    </xf>
    <xf numFmtId="2" fontId="14" fillId="0" borderId="0" xfId="0" quotePrefix="1" applyNumberFormat="1" applyFont="1" applyAlignment="1">
      <alignment horizontal="right"/>
    </xf>
    <xf numFmtId="166" fontId="14" fillId="0" borderId="0" xfId="0" quotePrefix="1" applyNumberFormat="1" applyFont="1" applyAlignment="1" applyProtection="1">
      <alignment horizontal="right"/>
    </xf>
    <xf numFmtId="2" fontId="14" fillId="0" borderId="8" xfId="0" applyNumberFormat="1" applyFont="1" applyFill="1" applyBorder="1"/>
    <xf numFmtId="0" fontId="19" fillId="2" borderId="8" xfId="0" applyFont="1" applyFill="1" applyBorder="1"/>
    <xf numFmtId="0" fontId="19" fillId="2" borderId="8" xfId="0" applyFont="1" applyFill="1" applyBorder="1" applyAlignment="1">
      <alignment horizontal="left"/>
    </xf>
    <xf numFmtId="0" fontId="19" fillId="0" borderId="0" xfId="0" applyFont="1" applyBorder="1"/>
    <xf numFmtId="2" fontId="19" fillId="0" borderId="8" xfId="0" applyNumberFormat="1" applyFont="1" applyBorder="1"/>
    <xf numFmtId="0" fontId="19" fillId="0" borderId="8" xfId="0" applyFont="1" applyBorder="1"/>
    <xf numFmtId="164" fontId="14" fillId="0" borderId="0" xfId="0" applyNumberFormat="1" applyFont="1" applyBorder="1" applyProtection="1"/>
    <xf numFmtId="0" fontId="22" fillId="0" borderId="0" xfId="0" applyFont="1"/>
    <xf numFmtId="0" fontId="12" fillId="0" borderId="0" xfId="0" applyFont="1" applyFill="1" applyBorder="1"/>
    <xf numFmtId="165" fontId="14" fillId="0" borderId="8" xfId="0" applyNumberFormat="1" applyFont="1" applyBorder="1" applyAlignment="1">
      <alignment horizontal="left" vertical="top"/>
    </xf>
    <xf numFmtId="0" fontId="14" fillId="0" borderId="4" xfId="0" applyFont="1" applyFill="1" applyBorder="1"/>
    <xf numFmtId="0" fontId="14" fillId="0" borderId="5" xfId="0" applyFont="1" applyFill="1" applyBorder="1"/>
    <xf numFmtId="0" fontId="14" fillId="0" borderId="6" xfId="0" applyFont="1" applyFill="1" applyBorder="1"/>
    <xf numFmtId="0" fontId="14" fillId="0" borderId="7" xfId="0" applyFont="1" applyFill="1" applyBorder="1"/>
    <xf numFmtId="164" fontId="20" fillId="0" borderId="8" xfId="0" applyNumberFormat="1" applyFont="1" applyFill="1" applyBorder="1" applyProtection="1"/>
    <xf numFmtId="49" fontId="14" fillId="0" borderId="0" xfId="0" applyNumberFormat="1" applyFont="1" applyFill="1" applyProtection="1"/>
    <xf numFmtId="49" fontId="14" fillId="0" borderId="0" xfId="0" applyNumberFormat="1" applyFont="1" applyFill="1"/>
    <xf numFmtId="0" fontId="14" fillId="0" borderId="3" xfId="0" applyFont="1" applyFill="1" applyBorder="1" applyAlignment="1">
      <alignment horizontal="center"/>
    </xf>
    <xf numFmtId="165" fontId="14" fillId="0" borderId="8" xfId="0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2" fontId="14" fillId="0" borderId="0" xfId="0" applyNumberFormat="1" applyFont="1" applyFill="1" applyAlignment="1">
      <alignment horizontal="center"/>
    </xf>
    <xf numFmtId="0" fontId="14" fillId="0" borderId="8" xfId="0" applyFont="1" applyFill="1" applyBorder="1" applyAlignment="1">
      <alignment horizontal="center" vertical="top"/>
    </xf>
    <xf numFmtId="0" fontId="14" fillId="0" borderId="10" xfId="0" applyFont="1" applyFill="1" applyBorder="1" applyAlignment="1">
      <alignment horizontal="left" vertical="top"/>
    </xf>
    <xf numFmtId="1" fontId="14" fillId="0" borderId="8" xfId="0" applyNumberFormat="1" applyFont="1" applyFill="1" applyBorder="1" applyAlignment="1">
      <alignment horizontal="center" vertical="top"/>
    </xf>
    <xf numFmtId="0" fontId="20" fillId="0" borderId="1" xfId="0" applyFont="1" applyFill="1" applyBorder="1"/>
    <xf numFmtId="0" fontId="14" fillId="0" borderId="3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left"/>
    </xf>
    <xf numFmtId="0" fontId="10" fillId="0" borderId="0" xfId="0" applyFont="1" applyFill="1"/>
    <xf numFmtId="0" fontId="7" fillId="0" borderId="0" xfId="0" quotePrefix="1" applyFont="1" applyFill="1" applyBorder="1" applyAlignment="1">
      <alignment horizontal="left"/>
    </xf>
    <xf numFmtId="1" fontId="7" fillId="0" borderId="0" xfId="0" quotePrefix="1" applyNumberFormat="1" applyFont="1" applyFill="1" applyBorder="1" applyAlignment="1">
      <alignment horizontal="left"/>
    </xf>
    <xf numFmtId="2" fontId="7" fillId="0" borderId="0" xfId="0" applyNumberFormat="1" applyFont="1" applyFill="1" applyAlignment="1">
      <alignment horizontal="left"/>
    </xf>
    <xf numFmtId="0" fontId="14" fillId="0" borderId="0" xfId="0" quotePrefix="1" applyFont="1" applyFill="1" applyBorder="1" applyAlignment="1">
      <alignment horizontal="left"/>
    </xf>
    <xf numFmtId="166" fontId="7" fillId="0" borderId="0" xfId="0" quotePrefix="1" applyNumberFormat="1" applyFont="1" applyFill="1" applyAlignment="1" applyProtection="1">
      <alignment horizontal="left"/>
    </xf>
    <xf numFmtId="1" fontId="7" fillId="0" borderId="0" xfId="0" applyNumberFormat="1" applyFont="1" applyFill="1" applyAlignment="1" applyProtection="1">
      <alignment horizontal="left"/>
    </xf>
    <xf numFmtId="2" fontId="7" fillId="0" borderId="0" xfId="0" quotePrefix="1" applyNumberFormat="1" applyFont="1" applyFill="1" applyAlignment="1">
      <alignment horizontal="left"/>
    </xf>
    <xf numFmtId="0" fontId="14" fillId="0" borderId="0" xfId="0" applyFont="1" applyAlignment="1">
      <alignment horizontal="left"/>
    </xf>
    <xf numFmtId="2" fontId="14" fillId="0" borderId="0" xfId="0" applyNumberFormat="1" applyFont="1" applyFill="1" applyAlignment="1">
      <alignment horizontal="left"/>
    </xf>
    <xf numFmtId="1" fontId="7" fillId="0" borderId="0" xfId="0" quotePrefix="1" applyNumberFormat="1" applyFont="1" applyFill="1" applyAlignment="1" applyProtection="1">
      <alignment horizontal="left"/>
    </xf>
    <xf numFmtId="2" fontId="14" fillId="0" borderId="0" xfId="0" quotePrefix="1" applyNumberFormat="1" applyFont="1" applyFill="1" applyAlignment="1">
      <alignment horizontal="left"/>
    </xf>
    <xf numFmtId="166" fontId="7" fillId="0" borderId="0" xfId="0" applyNumberFormat="1" applyFont="1" applyFill="1" applyAlignment="1" applyProtection="1">
      <alignment horizontal="left"/>
    </xf>
    <xf numFmtId="0" fontId="7" fillId="0" borderId="0" xfId="0" quotePrefix="1" applyFont="1" applyFill="1" applyAlignment="1">
      <alignment horizontal="left"/>
    </xf>
    <xf numFmtId="166" fontId="7" fillId="0" borderId="1" xfId="0" applyNumberFormat="1" applyFont="1" applyFill="1" applyBorder="1" applyAlignment="1" applyProtection="1">
      <alignment horizontal="left"/>
    </xf>
    <xf numFmtId="2" fontId="7" fillId="0" borderId="1" xfId="0" applyNumberFormat="1" applyFont="1" applyFill="1" applyBorder="1" applyAlignment="1">
      <alignment horizontal="left"/>
    </xf>
    <xf numFmtId="1" fontId="7" fillId="0" borderId="1" xfId="0" applyNumberFormat="1" applyFont="1" applyFill="1" applyBorder="1" applyAlignment="1">
      <alignment horizontal="left"/>
    </xf>
    <xf numFmtId="166" fontId="7" fillId="0" borderId="2" xfId="0" applyNumberFormat="1" applyFont="1" applyFill="1" applyBorder="1" applyAlignment="1" applyProtection="1">
      <alignment horizontal="left"/>
    </xf>
    <xf numFmtId="2" fontId="7" fillId="0" borderId="2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 applyProtection="1">
      <alignment horizontal="left"/>
    </xf>
    <xf numFmtId="2" fontId="1" fillId="0" borderId="0" xfId="0" applyNumberFormat="1" applyFont="1" applyFill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8" xfId="0" applyFill="1" applyBorder="1" applyAlignment="1">
      <alignment horizontal="center"/>
    </xf>
    <xf numFmtId="0" fontId="8" fillId="0" borderId="0" xfId="0" applyFont="1" applyFill="1" applyAlignment="1">
      <alignment horizontal="left"/>
    </xf>
    <xf numFmtId="2" fontId="23" fillId="0" borderId="0" xfId="0" applyNumberFormat="1" applyFont="1" applyFill="1" applyBorder="1" applyAlignment="1">
      <alignment horizontal="left"/>
    </xf>
    <xf numFmtId="1" fontId="1" fillId="0" borderId="0" xfId="2" applyNumberFormat="1" applyFont="1" applyFill="1" applyBorder="1" applyAlignment="1" applyProtection="1">
      <alignment horizontal="left"/>
    </xf>
    <xf numFmtId="0" fontId="0" fillId="0" borderId="0" xfId="0" applyFill="1" applyBorder="1" applyAlignment="1">
      <alignment horizontal="left"/>
    </xf>
    <xf numFmtId="0" fontId="3" fillId="0" borderId="8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/>
    </xf>
    <xf numFmtId="1" fontId="2" fillId="0" borderId="8" xfId="0" applyNumberFormat="1" applyFont="1" applyFill="1" applyBorder="1"/>
    <xf numFmtId="2" fontId="2" fillId="0" borderId="0" xfId="0" applyNumberFormat="1" applyFont="1" applyFill="1" applyBorder="1"/>
    <xf numFmtId="0" fontId="1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/>
    <xf numFmtId="0" fontId="2" fillId="0" borderId="0" xfId="0" applyFont="1" applyFill="1" applyBorder="1"/>
    <xf numFmtId="2" fontId="7" fillId="0" borderId="0" xfId="0" applyNumberFormat="1" applyFont="1" applyFill="1" applyBorder="1" applyAlignment="1">
      <alignment horizontal="left"/>
    </xf>
    <xf numFmtId="1" fontId="7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164" fontId="7" fillId="0" borderId="0" xfId="0" applyNumberFormat="1" applyFont="1" applyFill="1" applyBorder="1" applyAlignment="1" applyProtection="1">
      <alignment horizontal="left"/>
    </xf>
    <xf numFmtId="1" fontId="7" fillId="0" borderId="0" xfId="0" applyNumberFormat="1" applyFont="1" applyFill="1" applyAlignment="1">
      <alignment horizontal="left"/>
    </xf>
    <xf numFmtId="164" fontId="7" fillId="0" borderId="0" xfId="0" applyNumberFormat="1" applyFont="1" applyFill="1" applyBorder="1" applyAlignment="1">
      <alignment horizontal="left"/>
    </xf>
    <xf numFmtId="164" fontId="7" fillId="0" borderId="2" xfId="0" applyNumberFormat="1" applyFont="1" applyFill="1" applyBorder="1" applyAlignment="1">
      <alignment horizontal="left"/>
    </xf>
    <xf numFmtId="0" fontId="24" fillId="0" borderId="0" xfId="0" applyFont="1" applyFill="1"/>
    <xf numFmtId="1" fontId="14" fillId="0" borderId="0" xfId="0" applyNumberFormat="1" applyFont="1" applyProtection="1"/>
    <xf numFmtId="49" fontId="14" fillId="0" borderId="0" xfId="0" applyNumberFormat="1" applyFont="1" applyAlignment="1" applyProtection="1">
      <alignment horizontal="right"/>
    </xf>
    <xf numFmtId="49" fontId="14" fillId="0" borderId="0" xfId="0" applyNumberFormat="1" applyFont="1"/>
    <xf numFmtId="49" fontId="14" fillId="0" borderId="0" xfId="0" applyNumberFormat="1" applyFont="1" applyFill="1" applyAlignment="1">
      <alignment horizontal="right"/>
    </xf>
    <xf numFmtId="49" fontId="14" fillId="0" borderId="0" xfId="0" applyNumberFormat="1" applyFont="1" applyAlignment="1">
      <alignment horizontal="right"/>
    </xf>
    <xf numFmtId="0" fontId="14" fillId="0" borderId="8" xfId="0" applyFont="1" applyBorder="1" applyAlignment="1">
      <alignment horizontal="right"/>
    </xf>
    <xf numFmtId="0" fontId="14" fillId="0" borderId="8" xfId="0" applyNumberFormat="1" applyFont="1" applyFill="1" applyBorder="1" applyProtection="1"/>
    <xf numFmtId="1" fontId="14" fillId="0" borderId="8" xfId="0" applyNumberFormat="1" applyFont="1" applyBorder="1"/>
    <xf numFmtId="2" fontId="14" fillId="0" borderId="0" xfId="0" applyNumberFormat="1" applyFont="1" applyFill="1" applyBorder="1" applyProtection="1"/>
    <xf numFmtId="0" fontId="24" fillId="0" borderId="0" xfId="0" applyFont="1" applyAlignment="1">
      <alignment horizontal="left" vertical="top"/>
    </xf>
    <xf numFmtId="49" fontId="14" fillId="0" borderId="0" xfId="0" applyNumberFormat="1" applyFont="1" applyProtection="1"/>
    <xf numFmtId="165" fontId="14" fillId="0" borderId="8" xfId="0" applyNumberFormat="1" applyFont="1" applyBorder="1"/>
    <xf numFmtId="1" fontId="14" fillId="0" borderId="8" xfId="0" applyNumberFormat="1" applyFont="1" applyBorder="1" applyAlignment="1">
      <alignment horizontal="left" vertical="top"/>
    </xf>
    <xf numFmtId="0" fontId="14" fillId="0" borderId="0" xfId="0" quotePrefix="1" applyFont="1" applyBorder="1" applyAlignment="1">
      <alignment horizontal="center"/>
    </xf>
    <xf numFmtId="166" fontId="7" fillId="0" borderId="1" xfId="0" quotePrefix="1" applyNumberFormat="1" applyFont="1" applyBorder="1" applyProtection="1"/>
    <xf numFmtId="2" fontId="7" fillId="0" borderId="1" xfId="0" applyNumberFormat="1" applyFont="1" applyBorder="1" applyProtection="1"/>
    <xf numFmtId="2" fontId="14" fillId="2" borderId="0" xfId="0" applyNumberFormat="1" applyFont="1" applyFill="1"/>
    <xf numFmtId="166" fontId="7" fillId="0" borderId="0" xfId="0" quotePrefix="1" applyNumberFormat="1" applyFont="1" applyBorder="1" applyProtection="1"/>
    <xf numFmtId="2" fontId="7" fillId="2" borderId="0" xfId="0" applyNumberFormat="1" applyFont="1" applyFill="1" applyBorder="1"/>
    <xf numFmtId="2" fontId="7" fillId="0" borderId="0" xfId="0" applyNumberFormat="1" applyFont="1" applyBorder="1" applyProtection="1"/>
    <xf numFmtId="171" fontId="7" fillId="0" borderId="0" xfId="0" applyNumberFormat="1" applyFont="1" applyBorder="1"/>
    <xf numFmtId="2" fontId="7" fillId="2" borderId="0" xfId="0" applyNumberFormat="1" applyFont="1" applyFill="1" applyBorder="1" applyProtection="1"/>
    <xf numFmtId="166" fontId="7" fillId="0" borderId="2" xfId="0" quotePrefix="1" applyNumberFormat="1" applyFont="1" applyBorder="1" applyProtection="1"/>
    <xf numFmtId="2" fontId="7" fillId="0" borderId="2" xfId="0" applyNumberFormat="1" applyFont="1" applyFill="1" applyBorder="1"/>
    <xf numFmtId="2" fontId="7" fillId="0" borderId="2" xfId="0" applyNumberFormat="1" applyFont="1" applyBorder="1" applyProtection="1"/>
    <xf numFmtId="171" fontId="7" fillId="0" borderId="2" xfId="0" applyNumberFormat="1" applyFont="1" applyBorder="1"/>
    <xf numFmtId="2" fontId="17" fillId="0" borderId="8" xfId="0" applyNumberFormat="1" applyFont="1" applyFill="1" applyBorder="1"/>
    <xf numFmtId="0" fontId="17" fillId="0" borderId="8" xfId="0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1" fontId="17" fillId="0" borderId="8" xfId="0" applyNumberFormat="1" applyFont="1" applyFill="1" applyBorder="1" applyAlignment="1">
      <alignment horizontal="left"/>
    </xf>
    <xf numFmtId="1" fontId="17" fillId="0" borderId="8" xfId="0" applyNumberFormat="1" applyFont="1" applyFill="1" applyBorder="1"/>
    <xf numFmtId="0" fontId="4" fillId="0" borderId="0" xfId="0" applyFont="1" applyBorder="1"/>
    <xf numFmtId="2" fontId="17" fillId="0" borderId="0" xfId="0" applyNumberFormat="1" applyFont="1" applyFill="1" applyBorder="1"/>
    <xf numFmtId="172" fontId="7" fillId="0" borderId="0" xfId="0" quotePrefix="1" applyNumberFormat="1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172" fontId="7" fillId="0" borderId="0" xfId="0" applyNumberFormat="1" applyFont="1" applyFill="1" applyBorder="1" applyAlignment="1">
      <alignment horizontal="right"/>
    </xf>
    <xf numFmtId="0" fontId="7" fillId="0" borderId="8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6" fillId="0" borderId="8" xfId="0" applyNumberFormat="1" applyFont="1" applyBorder="1" applyAlignment="1" applyProtection="1"/>
    <xf numFmtId="2" fontId="1" fillId="0" borderId="8" xfId="0" applyNumberFormat="1" applyFont="1" applyBorder="1"/>
    <xf numFmtId="10" fontId="1" fillId="0" borderId="8" xfId="2" applyNumberFormat="1" applyFont="1" applyBorder="1" applyAlignment="1" applyProtection="1"/>
    <xf numFmtId="0" fontId="7" fillId="0" borderId="0" xfId="0" applyFont="1" applyFill="1" applyBorder="1"/>
    <xf numFmtId="0" fontId="25" fillId="0" borderId="0" xfId="0" applyFont="1"/>
    <xf numFmtId="2" fontId="7" fillId="0" borderId="0" xfId="0" applyNumberFormat="1" applyFont="1" applyFill="1" applyProtection="1"/>
    <xf numFmtId="2" fontId="26" fillId="0" borderId="0" xfId="0" applyNumberFormat="1" applyFont="1" applyFill="1" applyBorder="1"/>
    <xf numFmtId="0" fontId="17" fillId="0" borderId="0" xfId="0" applyFont="1" applyFill="1" applyBorder="1"/>
    <xf numFmtId="1" fontId="27" fillId="0" borderId="8" xfId="0" applyNumberFormat="1" applyFont="1" applyBorder="1"/>
    <xf numFmtId="0" fontId="4" fillId="0" borderId="8" xfId="0" applyFont="1" applyFill="1" applyBorder="1"/>
    <xf numFmtId="1" fontId="27" fillId="0" borderId="8" xfId="0" applyNumberFormat="1" applyFont="1" applyFill="1" applyBorder="1"/>
    <xf numFmtId="0" fontId="7" fillId="0" borderId="8" xfId="0" applyFont="1" applyBorder="1"/>
    <xf numFmtId="0" fontId="8" fillId="0" borderId="0" xfId="0" applyFont="1" applyBorder="1"/>
    <xf numFmtId="0" fontId="7" fillId="0" borderId="0" xfId="0" quotePrefix="1" applyFont="1" applyFill="1" applyBorder="1"/>
    <xf numFmtId="2" fontId="7" fillId="0" borderId="0" xfId="0" quotePrefix="1" applyNumberFormat="1" applyFont="1" applyFill="1" applyBorder="1"/>
    <xf numFmtId="0" fontId="8" fillId="0" borderId="1" xfId="0" applyFont="1" applyBorder="1"/>
    <xf numFmtId="0" fontId="0" fillId="0" borderId="1" xfId="0" applyBorder="1"/>
    <xf numFmtId="164" fontId="14" fillId="0" borderId="0" xfId="0" applyNumberFormat="1" applyFont="1" applyFill="1" applyAlignment="1" applyProtection="1">
      <alignment horizontal="center"/>
    </xf>
    <xf numFmtId="0" fontId="19" fillId="0" borderId="0" xfId="0" applyFont="1" applyFill="1"/>
    <xf numFmtId="164" fontId="14" fillId="0" borderId="0" xfId="0" applyNumberFormat="1" applyFont="1" applyFill="1" applyBorder="1" applyAlignment="1" applyProtection="1">
      <alignment horizontal="fill"/>
    </xf>
    <xf numFmtId="164" fontId="14" fillId="0" borderId="1" xfId="0" applyNumberFormat="1" applyFont="1" applyFill="1" applyBorder="1" applyProtection="1"/>
    <xf numFmtId="164" fontId="14" fillId="0" borderId="1" xfId="0" applyNumberFormat="1" applyFont="1" applyFill="1" applyBorder="1" applyAlignment="1" applyProtection="1">
      <alignment wrapText="1"/>
    </xf>
    <xf numFmtId="164" fontId="14" fillId="0" borderId="2" xfId="0" applyNumberFormat="1" applyFont="1" applyFill="1" applyBorder="1" applyProtection="1"/>
    <xf numFmtId="49" fontId="14" fillId="0" borderId="0" xfId="0" applyNumberFormat="1" applyFont="1" applyFill="1" applyAlignment="1" applyProtection="1">
      <alignment horizontal="right"/>
    </xf>
    <xf numFmtId="166" fontId="19" fillId="0" borderId="0" xfId="0" applyNumberFormat="1" applyFont="1" applyFill="1"/>
    <xf numFmtId="164" fontId="19" fillId="0" borderId="0" xfId="0" applyNumberFormat="1" applyFont="1" applyFill="1"/>
    <xf numFmtId="0" fontId="14" fillId="0" borderId="0" xfId="0" quotePrefix="1" applyFont="1" applyFill="1" applyAlignment="1">
      <alignment horizontal="center"/>
    </xf>
    <xf numFmtId="164" fontId="14" fillId="0" borderId="0" xfId="0" applyNumberFormat="1" applyFont="1" applyFill="1" applyAlignment="1" applyProtection="1">
      <alignment vertical="center"/>
    </xf>
    <xf numFmtId="0" fontId="14" fillId="0" borderId="0" xfId="0" applyNumberFormat="1" applyFont="1" applyFill="1" applyProtection="1"/>
    <xf numFmtId="164" fontId="14" fillId="0" borderId="0" xfId="0" quotePrefix="1" applyNumberFormat="1" applyFont="1" applyFill="1" applyProtection="1"/>
    <xf numFmtId="49" fontId="14" fillId="0" borderId="2" xfId="0" applyNumberFormat="1" applyFont="1" applyFill="1" applyBorder="1" applyAlignment="1" applyProtection="1">
      <alignment horizontal="right"/>
    </xf>
    <xf numFmtId="164" fontId="14" fillId="0" borderId="3" xfId="0" applyNumberFormat="1" applyFont="1" applyFill="1" applyBorder="1" applyProtection="1"/>
    <xf numFmtId="0" fontId="28" fillId="0" borderId="0" xfId="0" applyFont="1" applyFill="1"/>
    <xf numFmtId="164" fontId="20" fillId="0" borderId="0" xfId="0" applyNumberFormat="1" applyFont="1" applyFill="1" applyBorder="1" applyProtection="1"/>
    <xf numFmtId="0" fontId="29" fillId="0" borderId="0" xfId="0" applyFont="1" applyFill="1" applyBorder="1"/>
    <xf numFmtId="2" fontId="20" fillId="0" borderId="0" xfId="0" applyNumberFormat="1" applyFont="1" applyFill="1" applyBorder="1"/>
    <xf numFmtId="0" fontId="14" fillId="0" borderId="0" xfId="0" applyNumberFormat="1" applyFont="1" applyFill="1" applyBorder="1" applyProtection="1"/>
    <xf numFmtId="164" fontId="20" fillId="0" borderId="0" xfId="0" applyNumberFormat="1" applyFont="1" applyFill="1" applyProtection="1"/>
    <xf numFmtId="2" fontId="19" fillId="0" borderId="0" xfId="0" applyNumberFormat="1" applyFont="1" applyFill="1"/>
    <xf numFmtId="2" fontId="30" fillId="0" borderId="0" xfId="0" applyNumberFormat="1" applyFont="1" applyFill="1"/>
    <xf numFmtId="0" fontId="19" fillId="0" borderId="1" xfId="0" applyFont="1" applyFill="1" applyBorder="1"/>
    <xf numFmtId="164" fontId="14" fillId="0" borderId="1" xfId="0" applyNumberFormat="1" applyFont="1" applyFill="1" applyBorder="1" applyAlignment="1" applyProtection="1">
      <alignment horizontal="fill"/>
    </xf>
    <xf numFmtId="166" fontId="14" fillId="0" borderId="0" xfId="0" applyNumberFormat="1" applyFont="1" applyFill="1" applyBorder="1" applyProtection="1"/>
    <xf numFmtId="166" fontId="14" fillId="0" borderId="0" xfId="0" quotePrefix="1" applyNumberFormat="1" applyFont="1" applyFill="1" applyBorder="1" applyProtection="1"/>
    <xf numFmtId="166" fontId="19" fillId="0" borderId="0" xfId="0" applyNumberFormat="1" applyFont="1" applyFill="1" applyBorder="1"/>
    <xf numFmtId="164" fontId="14" fillId="0" borderId="0" xfId="0" quotePrefix="1" applyNumberFormat="1" applyFont="1" applyFill="1" applyBorder="1" applyProtection="1"/>
    <xf numFmtId="167" fontId="14" fillId="0" borderId="0" xfId="0" applyNumberFormat="1" applyFont="1" applyFill="1" applyBorder="1" applyProtection="1"/>
    <xf numFmtId="164" fontId="14" fillId="0" borderId="0" xfId="0" applyNumberFormat="1" applyFont="1" applyProtection="1"/>
    <xf numFmtId="2" fontId="14" fillId="0" borderId="8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4" fillId="0" borderId="0" xfId="0" applyFont="1" applyAlignment="1"/>
    <xf numFmtId="0" fontId="14" fillId="0" borderId="0" xfId="0" applyFont="1" applyFill="1" applyAlignment="1"/>
    <xf numFmtId="0" fontId="28" fillId="0" borderId="0" xfId="0" applyFont="1" applyFill="1" applyBorder="1" applyAlignment="1">
      <alignment horizontal="left"/>
    </xf>
  </cellXfs>
  <cellStyles count="5">
    <cellStyle name="Comma" xfId="4" builtinId="3"/>
    <cellStyle name="Normal" xfId="0" builtinId="0"/>
    <cellStyle name="Normal 2" xfId="1"/>
    <cellStyle name="Percent 2" xfId="2"/>
    <cellStyle name="Percent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sqref="A1:XFD1048576"/>
    </sheetView>
  </sheetViews>
  <sheetFormatPr defaultRowHeight="14.25"/>
  <cols>
    <col min="1" max="2" width="9.140625" style="54"/>
    <col min="3" max="3" width="6.28515625" style="54" customWidth="1"/>
    <col min="4" max="4" width="5.7109375" style="54" customWidth="1"/>
    <col min="5" max="5" width="5.5703125" style="54" customWidth="1"/>
    <col min="6" max="6" width="6.28515625" style="54" customWidth="1"/>
    <col min="7" max="7" width="9" style="54" customWidth="1"/>
    <col min="8" max="8" width="8.42578125" style="54" customWidth="1"/>
    <col min="9" max="10" width="7.85546875" style="54" customWidth="1"/>
    <col min="11" max="11" width="8.7109375" style="54" customWidth="1"/>
    <col min="12" max="12" width="8.28515625" style="54" customWidth="1"/>
    <col min="13" max="13" width="6.7109375" style="54" customWidth="1"/>
    <col min="14" max="15" width="9.140625" style="54"/>
    <col min="16" max="16" width="5.5703125" style="54" customWidth="1"/>
    <col min="17" max="17" width="5.140625" style="54" customWidth="1"/>
    <col min="18" max="16384" width="9.140625" style="54"/>
  </cols>
  <sheetData>
    <row r="1" spans="1:13">
      <c r="A1" s="54" t="s">
        <v>17</v>
      </c>
      <c r="B1" s="54" t="s">
        <v>537</v>
      </c>
    </row>
    <row r="2" spans="1:13">
      <c r="B2" s="54" t="s">
        <v>538</v>
      </c>
    </row>
    <row r="3" spans="1:13">
      <c r="B3" s="54" t="s">
        <v>539</v>
      </c>
    </row>
    <row r="4" spans="1:13">
      <c r="A4" s="101" t="s">
        <v>18</v>
      </c>
      <c r="B4" s="101"/>
      <c r="C4" s="101"/>
      <c r="D4" s="102" t="s">
        <v>19</v>
      </c>
      <c r="E4" s="102" t="s">
        <v>12</v>
      </c>
      <c r="F4" s="102" t="s">
        <v>20</v>
      </c>
      <c r="G4" s="102" t="s">
        <v>21</v>
      </c>
      <c r="H4" s="102" t="s">
        <v>22</v>
      </c>
      <c r="I4" s="102" t="s">
        <v>23</v>
      </c>
      <c r="J4" s="102" t="s">
        <v>24</v>
      </c>
      <c r="K4" s="102" t="s">
        <v>25</v>
      </c>
      <c r="L4" s="133" t="s">
        <v>26</v>
      </c>
      <c r="M4" s="102"/>
    </row>
    <row r="5" spans="1:13">
      <c r="A5" s="52"/>
      <c r="B5" s="52"/>
      <c r="C5" s="52"/>
      <c r="D5" s="53" t="s">
        <v>27</v>
      </c>
      <c r="E5" s="53" t="s">
        <v>28</v>
      </c>
      <c r="F5" s="53" t="s">
        <v>28</v>
      </c>
      <c r="G5" s="53" t="s">
        <v>29</v>
      </c>
      <c r="H5" s="53" t="s">
        <v>30</v>
      </c>
      <c r="I5" s="53" t="s">
        <v>31</v>
      </c>
      <c r="J5" s="53" t="s">
        <v>30</v>
      </c>
      <c r="K5" s="53" t="s">
        <v>30</v>
      </c>
      <c r="L5" s="134" t="s">
        <v>23</v>
      </c>
      <c r="M5" s="53" t="s">
        <v>24</v>
      </c>
    </row>
    <row r="6" spans="1:13">
      <c r="A6" s="52"/>
      <c r="B6" s="52"/>
      <c r="C6" s="52"/>
      <c r="D6" s="53" t="s">
        <v>32</v>
      </c>
      <c r="E6" s="53"/>
      <c r="F6" s="53"/>
      <c r="G6" s="53"/>
      <c r="H6" s="53" t="s">
        <v>33</v>
      </c>
      <c r="I6" s="53" t="s">
        <v>30</v>
      </c>
      <c r="J6" s="53" t="s">
        <v>33</v>
      </c>
      <c r="K6" s="53" t="s">
        <v>33</v>
      </c>
      <c r="L6" s="53"/>
      <c r="M6" s="53"/>
    </row>
    <row r="7" spans="1:13">
      <c r="A7" s="103"/>
      <c r="B7" s="103"/>
      <c r="C7" s="103"/>
      <c r="D7" s="104"/>
      <c r="E7" s="104"/>
      <c r="F7" s="104"/>
      <c r="G7" s="104"/>
      <c r="H7" s="104"/>
      <c r="I7" s="104" t="s">
        <v>33</v>
      </c>
      <c r="J7" s="104"/>
      <c r="K7" s="104"/>
      <c r="L7" s="104"/>
      <c r="M7" s="104"/>
    </row>
    <row r="8" spans="1:13">
      <c r="A8" s="54" t="s">
        <v>15</v>
      </c>
      <c r="D8" s="135">
        <v>40</v>
      </c>
      <c r="E8" s="55">
        <v>1.41</v>
      </c>
      <c r="F8" s="55">
        <v>0.65</v>
      </c>
      <c r="G8" s="136">
        <v>1200</v>
      </c>
      <c r="H8" s="55">
        <f t="shared" ref="H8:H14" si="0">SUM(E8*G8)</f>
        <v>1692</v>
      </c>
      <c r="J8" s="55"/>
      <c r="K8" s="55">
        <f t="shared" ref="K8:K14" si="1">SUM(H8:J8)</f>
        <v>1692</v>
      </c>
    </row>
    <row r="9" spans="1:13">
      <c r="A9" s="54" t="s">
        <v>540</v>
      </c>
      <c r="D9" s="135">
        <v>100</v>
      </c>
      <c r="E9" s="55">
        <v>0.44</v>
      </c>
      <c r="F9" s="55">
        <v>0.42</v>
      </c>
      <c r="G9" s="136">
        <v>1000</v>
      </c>
      <c r="H9" s="55">
        <f t="shared" si="0"/>
        <v>440</v>
      </c>
      <c r="I9" s="55">
        <v>5648</v>
      </c>
      <c r="J9" s="55"/>
      <c r="K9" s="55">
        <f t="shared" si="1"/>
        <v>6088</v>
      </c>
      <c r="L9" s="54">
        <v>348</v>
      </c>
    </row>
    <row r="10" spans="1:13">
      <c r="A10" s="54" t="s">
        <v>145</v>
      </c>
      <c r="D10" s="135">
        <v>100</v>
      </c>
      <c r="E10" s="55">
        <v>1.38</v>
      </c>
      <c r="F10" s="55">
        <v>0.68</v>
      </c>
      <c r="G10" s="136">
        <v>1000</v>
      </c>
      <c r="H10" s="55">
        <f t="shared" si="0"/>
        <v>1380</v>
      </c>
      <c r="I10" s="55"/>
      <c r="J10" s="55">
        <f>E23*G23</f>
        <v>3360</v>
      </c>
      <c r="K10" s="55">
        <f t="shared" si="1"/>
        <v>4740</v>
      </c>
      <c r="M10" s="54">
        <v>541</v>
      </c>
    </row>
    <row r="11" spans="1:13">
      <c r="A11" s="54" t="s">
        <v>36</v>
      </c>
      <c r="D11" s="135">
        <v>70</v>
      </c>
      <c r="E11" s="55">
        <v>0.51</v>
      </c>
      <c r="F11" s="55">
        <v>0.46</v>
      </c>
      <c r="G11" s="136">
        <v>1500</v>
      </c>
      <c r="H11" s="55">
        <f t="shared" si="0"/>
        <v>765</v>
      </c>
      <c r="I11" s="55"/>
      <c r="J11" s="55">
        <v>1189</v>
      </c>
      <c r="K11" s="55">
        <f t="shared" si="1"/>
        <v>1954</v>
      </c>
    </row>
    <row r="12" spans="1:13">
      <c r="A12" s="54" t="s">
        <v>5</v>
      </c>
      <c r="D12" s="135">
        <v>88</v>
      </c>
      <c r="E12" s="57">
        <v>8.49</v>
      </c>
      <c r="F12" s="55">
        <v>3.76</v>
      </c>
      <c r="G12" s="136">
        <v>1100</v>
      </c>
      <c r="H12" s="55">
        <f t="shared" si="0"/>
        <v>9339</v>
      </c>
      <c r="I12" s="55"/>
      <c r="J12" s="55"/>
      <c r="K12" s="55">
        <f t="shared" si="1"/>
        <v>9339</v>
      </c>
    </row>
    <row r="13" spans="1:13">
      <c r="A13" s="54" t="s">
        <v>541</v>
      </c>
      <c r="D13" s="135" t="s">
        <v>443</v>
      </c>
      <c r="E13" s="57"/>
      <c r="F13" s="55"/>
      <c r="G13" s="136"/>
      <c r="H13" s="55">
        <f t="shared" si="0"/>
        <v>0</v>
      </c>
      <c r="I13" s="55"/>
      <c r="J13" s="55"/>
      <c r="K13" s="55"/>
    </row>
    <row r="14" spans="1:13">
      <c r="A14" s="54" t="s">
        <v>542</v>
      </c>
      <c r="D14" s="135">
        <v>88</v>
      </c>
      <c r="E14" s="55">
        <v>1.25</v>
      </c>
      <c r="F14" s="55">
        <f>0.54+0.27</f>
        <v>0.81</v>
      </c>
      <c r="G14" s="136">
        <v>1200</v>
      </c>
      <c r="H14" s="55">
        <f t="shared" si="0"/>
        <v>1500</v>
      </c>
      <c r="I14" s="57">
        <v>2641</v>
      </c>
      <c r="J14" s="55"/>
      <c r="K14" s="55">
        <f t="shared" si="1"/>
        <v>4141</v>
      </c>
    </row>
    <row r="15" spans="1:13">
      <c r="A15" s="101" t="s">
        <v>38</v>
      </c>
      <c r="B15" s="101"/>
      <c r="C15" s="101"/>
      <c r="D15" s="137"/>
      <c r="E15" s="138">
        <f>SUM(E8:E14)</f>
        <v>13.48</v>
      </c>
      <c r="F15" s="138">
        <f>SUM(F8:F14)</f>
        <v>6.7799999999999994</v>
      </c>
      <c r="G15" s="138"/>
      <c r="H15" s="138">
        <f>SUM(H8:H14)</f>
        <v>15116</v>
      </c>
      <c r="I15" s="138">
        <f>SUM(I8:I14)</f>
        <v>8289</v>
      </c>
      <c r="J15" s="138">
        <f>SUM(J8:J14)</f>
        <v>4549</v>
      </c>
      <c r="K15" s="138">
        <f>SUM(H15:J15)</f>
        <v>27954</v>
      </c>
      <c r="L15" s="101">
        <f>SUM(L8:L14)</f>
        <v>348</v>
      </c>
      <c r="M15" s="101">
        <f>SUM(M8:M14)</f>
        <v>541</v>
      </c>
    </row>
    <row r="16" spans="1:13">
      <c r="A16" s="103" t="s">
        <v>39</v>
      </c>
      <c r="B16" s="103"/>
      <c r="C16" s="103"/>
      <c r="D16" s="139"/>
      <c r="E16" s="140">
        <f>SUM(E15-F15)</f>
        <v>6.7000000000000011</v>
      </c>
      <c r="F16" s="140"/>
      <c r="G16" s="140"/>
      <c r="H16" s="140">
        <f>SUM(E27*G27)</f>
        <v>7560</v>
      </c>
      <c r="I16" s="140">
        <f>I15-L15</f>
        <v>7941</v>
      </c>
      <c r="J16" s="140">
        <f>J15-M15</f>
        <v>4008</v>
      </c>
      <c r="K16" s="140">
        <f>SUM(H16:J16)</f>
        <v>19509</v>
      </c>
      <c r="L16" s="103"/>
      <c r="M16" s="103"/>
    </row>
    <row r="18" spans="1:10">
      <c r="C18" s="54" t="s">
        <v>40</v>
      </c>
    </row>
    <row r="20" spans="1:10">
      <c r="A20" s="54" t="s">
        <v>41</v>
      </c>
    </row>
    <row r="21" spans="1:10">
      <c r="A21" s="120" t="s">
        <v>42</v>
      </c>
      <c r="B21" s="120"/>
      <c r="C21" s="120"/>
      <c r="D21" s="120" t="s">
        <v>7</v>
      </c>
      <c r="E21" s="120" t="s">
        <v>43</v>
      </c>
      <c r="F21" s="120"/>
      <c r="G21" s="120" t="s">
        <v>44</v>
      </c>
      <c r="I21" s="123" t="s">
        <v>120</v>
      </c>
      <c r="J21" s="355">
        <v>1.76</v>
      </c>
    </row>
    <row r="22" spans="1:10">
      <c r="A22" s="54" t="s">
        <v>45</v>
      </c>
      <c r="I22" s="123" t="s">
        <v>121</v>
      </c>
      <c r="J22" s="355">
        <v>2</v>
      </c>
    </row>
    <row r="23" spans="1:10">
      <c r="A23" s="54" t="s">
        <v>238</v>
      </c>
      <c r="D23" s="54" t="s">
        <v>13</v>
      </c>
      <c r="E23" s="55">
        <v>12</v>
      </c>
      <c r="F23" s="55"/>
      <c r="G23" s="55">
        <v>280</v>
      </c>
      <c r="I23" s="121"/>
      <c r="J23" s="121"/>
    </row>
    <row r="24" spans="1:10">
      <c r="I24" s="121" t="s">
        <v>6</v>
      </c>
      <c r="J24" s="121" t="s">
        <v>63</v>
      </c>
    </row>
    <row r="25" spans="1:10">
      <c r="I25" s="123" t="s">
        <v>160</v>
      </c>
      <c r="J25" s="355">
        <v>100</v>
      </c>
    </row>
    <row r="26" spans="1:10">
      <c r="A26" s="54" t="s">
        <v>46</v>
      </c>
      <c r="I26" s="121"/>
      <c r="J26" s="121"/>
    </row>
    <row r="27" spans="1:10">
      <c r="A27" s="54" t="s">
        <v>47</v>
      </c>
      <c r="D27" s="54" t="s">
        <v>48</v>
      </c>
      <c r="E27" s="55">
        <v>7</v>
      </c>
      <c r="G27" s="55">
        <v>1080</v>
      </c>
      <c r="I27" s="121"/>
      <c r="J27" s="122"/>
    </row>
    <row r="28" spans="1:10">
      <c r="A28" s="54" t="s">
        <v>49</v>
      </c>
      <c r="D28" s="54" t="s">
        <v>48</v>
      </c>
      <c r="E28" s="55">
        <v>7</v>
      </c>
      <c r="I28" s="121"/>
      <c r="J28" s="122"/>
    </row>
    <row r="29" spans="1:10">
      <c r="A29" s="54" t="s">
        <v>12</v>
      </c>
      <c r="E29" s="55">
        <f>SUM(E27:E28)</f>
        <v>14</v>
      </c>
    </row>
    <row r="31" spans="1:10">
      <c r="A31" s="101" t="s">
        <v>53</v>
      </c>
      <c r="B31" s="101"/>
      <c r="C31" s="101"/>
      <c r="D31" s="101"/>
      <c r="E31" s="101"/>
      <c r="F31" s="101"/>
      <c r="G31" s="101"/>
      <c r="I31" s="54" t="s">
        <v>127</v>
      </c>
    </row>
    <row r="32" spans="1:10">
      <c r="A32" s="52" t="s">
        <v>54</v>
      </c>
      <c r="B32" s="52"/>
      <c r="C32" s="52"/>
      <c r="D32" s="52"/>
      <c r="E32" s="52"/>
      <c r="F32" s="52"/>
      <c r="G32" s="129">
        <v>198</v>
      </c>
      <c r="I32" s="130">
        <f>G32*2.471</f>
        <v>489.25800000000004</v>
      </c>
    </row>
    <row r="33" spans="1:9">
      <c r="A33" s="52" t="s">
        <v>55</v>
      </c>
      <c r="B33" s="52"/>
      <c r="C33" s="52"/>
      <c r="D33" s="52"/>
      <c r="E33" s="52"/>
      <c r="F33" s="52"/>
      <c r="G33" s="147">
        <v>158</v>
      </c>
      <c r="I33" s="130"/>
    </row>
    <row r="34" spans="1:9">
      <c r="A34" s="52" t="s">
        <v>56</v>
      </c>
      <c r="B34" s="52"/>
      <c r="C34" s="52"/>
      <c r="D34" s="52"/>
      <c r="E34" s="52"/>
      <c r="F34" s="52"/>
      <c r="G34" s="131">
        <f>SUM(G32*G33)</f>
        <v>31284</v>
      </c>
      <c r="I34" s="130">
        <f t="shared" ref="I34:I36" si="2">G34*2.471</f>
        <v>77302.763999999996</v>
      </c>
    </row>
    <row r="35" spans="1:9">
      <c r="A35" s="52" t="s">
        <v>57</v>
      </c>
      <c r="B35" s="52"/>
      <c r="C35" s="52"/>
      <c r="D35" s="52"/>
      <c r="E35" s="52"/>
      <c r="F35" s="52"/>
      <c r="G35" s="131">
        <f>SUM(G34-K15)</f>
        <v>3330</v>
      </c>
      <c r="I35" s="130">
        <f t="shared" si="2"/>
        <v>8228.43</v>
      </c>
    </row>
    <row r="36" spans="1:9">
      <c r="A36" s="52" t="s">
        <v>58</v>
      </c>
      <c r="B36" s="52"/>
      <c r="C36" s="52"/>
      <c r="D36" s="52"/>
      <c r="E36" s="52"/>
      <c r="F36" s="52"/>
      <c r="G36" s="131">
        <f>SUM(G34-K16)</f>
        <v>11775</v>
      </c>
      <c r="I36" s="130">
        <f t="shared" si="2"/>
        <v>29096.025000000001</v>
      </c>
    </row>
    <row r="37" spans="1:9">
      <c r="A37" s="52"/>
      <c r="B37" s="52"/>
      <c r="C37" s="52"/>
      <c r="D37" s="52"/>
      <c r="E37" s="52"/>
      <c r="F37" s="52"/>
      <c r="G37" s="131"/>
    </row>
    <row r="38" spans="1:9">
      <c r="A38" s="52" t="s">
        <v>59</v>
      </c>
      <c r="B38" s="52"/>
      <c r="C38" s="52"/>
      <c r="D38" s="52"/>
      <c r="E38" s="52"/>
      <c r="F38" s="52"/>
      <c r="G38" s="131">
        <f>SUM(K15/G32)</f>
        <v>141.18181818181819</v>
      </c>
    </row>
    <row r="39" spans="1:9">
      <c r="A39" s="103" t="s">
        <v>60</v>
      </c>
      <c r="B39" s="103"/>
      <c r="C39" s="103"/>
      <c r="D39" s="103"/>
      <c r="E39" s="103"/>
      <c r="F39" s="103"/>
      <c r="G39" s="148">
        <f>SUM(K16/G32)</f>
        <v>98.530303030303031</v>
      </c>
    </row>
    <row r="41" spans="1:9">
      <c r="A41" s="54" t="s">
        <v>164</v>
      </c>
      <c r="C41" s="356" t="s">
        <v>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workbookViewId="0">
      <selection activeCell="M32" sqref="M32"/>
    </sheetView>
  </sheetViews>
  <sheetFormatPr defaultColWidth="9.140625" defaultRowHeight="14.25"/>
  <cols>
    <col min="1" max="2" width="9.140625" style="54"/>
    <col min="3" max="3" width="6.7109375" style="54" customWidth="1"/>
    <col min="4" max="4" width="6.28515625" style="54" customWidth="1"/>
    <col min="5" max="5" width="6" style="54" customWidth="1"/>
    <col min="6" max="6" width="5.85546875" style="54" customWidth="1"/>
    <col min="7" max="7" width="8.5703125" style="54" customWidth="1"/>
    <col min="8" max="8" width="8.42578125" style="54" customWidth="1"/>
    <col min="9" max="10" width="8.140625" style="54" customWidth="1"/>
    <col min="11" max="11" width="8.7109375" style="54" customWidth="1"/>
    <col min="12" max="13" width="6.85546875" style="54" customWidth="1"/>
    <col min="14" max="14" width="6.7109375" style="54" customWidth="1"/>
    <col min="15" max="15" width="6" style="54" customWidth="1"/>
    <col min="16" max="16" width="6.28515625" style="54" customWidth="1"/>
    <col min="17" max="16384" width="9.140625" style="54"/>
  </cols>
  <sheetData>
    <row r="1" spans="1:16">
      <c r="A1" s="54" t="s">
        <v>17</v>
      </c>
      <c r="B1" s="357" t="s">
        <v>137</v>
      </c>
      <c r="C1" s="357"/>
      <c r="D1" s="357"/>
      <c r="E1" s="357"/>
      <c r="F1" s="357"/>
      <c r="G1" s="357"/>
      <c r="H1" s="357"/>
    </row>
    <row r="2" spans="1:16">
      <c r="B2" s="54" t="s">
        <v>138</v>
      </c>
      <c r="C2" s="54" t="s">
        <v>139</v>
      </c>
      <c r="D2" s="54" t="s">
        <v>140</v>
      </c>
    </row>
    <row r="3" spans="1:16">
      <c r="B3" s="54" t="s">
        <v>141</v>
      </c>
      <c r="L3" s="52"/>
      <c r="M3" s="52"/>
    </row>
    <row r="4" spans="1:16">
      <c r="A4" s="101" t="s">
        <v>18</v>
      </c>
      <c r="B4" s="101"/>
      <c r="C4" s="101"/>
      <c r="D4" s="102" t="s">
        <v>19</v>
      </c>
      <c r="E4" s="102" t="s">
        <v>12</v>
      </c>
      <c r="F4" s="102" t="s">
        <v>20</v>
      </c>
      <c r="G4" s="102" t="s">
        <v>21</v>
      </c>
      <c r="H4" s="102" t="s">
        <v>22</v>
      </c>
      <c r="I4" s="102" t="s">
        <v>23</v>
      </c>
      <c r="J4" s="102" t="s">
        <v>24</v>
      </c>
      <c r="K4" s="102" t="s">
        <v>25</v>
      </c>
      <c r="L4" s="102" t="s">
        <v>142</v>
      </c>
      <c r="M4" s="102" t="s">
        <v>143</v>
      </c>
    </row>
    <row r="5" spans="1:16">
      <c r="A5" s="52"/>
      <c r="B5" s="52"/>
      <c r="C5" s="52"/>
      <c r="D5" s="53" t="s">
        <v>27</v>
      </c>
      <c r="E5" s="53" t="s">
        <v>28</v>
      </c>
      <c r="F5" s="53" t="s">
        <v>28</v>
      </c>
      <c r="G5" s="53" t="s">
        <v>29</v>
      </c>
      <c r="H5" s="53" t="s">
        <v>30</v>
      </c>
      <c r="I5" s="53" t="s">
        <v>31</v>
      </c>
      <c r="J5" s="53" t="s">
        <v>30</v>
      </c>
      <c r="K5" s="53" t="s">
        <v>30</v>
      </c>
      <c r="L5" s="53" t="s">
        <v>31</v>
      </c>
      <c r="M5" s="53" t="s">
        <v>30</v>
      </c>
    </row>
    <row r="6" spans="1:16">
      <c r="A6" s="52"/>
      <c r="B6" s="52"/>
      <c r="C6" s="52"/>
      <c r="D6" s="53" t="s">
        <v>32</v>
      </c>
      <c r="E6" s="53"/>
      <c r="F6" s="53"/>
      <c r="G6" s="53"/>
      <c r="H6" s="53" t="s">
        <v>33</v>
      </c>
      <c r="I6" s="53" t="s">
        <v>30</v>
      </c>
      <c r="J6" s="53" t="s">
        <v>33</v>
      </c>
      <c r="K6" s="53" t="s">
        <v>33</v>
      </c>
      <c r="L6" s="53" t="s">
        <v>30</v>
      </c>
      <c r="M6" s="53" t="s">
        <v>33</v>
      </c>
    </row>
    <row r="7" spans="1:16">
      <c r="A7" s="103"/>
      <c r="B7" s="103"/>
      <c r="C7" s="103"/>
      <c r="D7" s="104"/>
      <c r="E7" s="104"/>
      <c r="F7" s="104"/>
      <c r="G7" s="104"/>
      <c r="H7" s="104"/>
      <c r="I7" s="104" t="s">
        <v>33</v>
      </c>
      <c r="J7" s="104"/>
      <c r="K7" s="104"/>
      <c r="L7" s="104" t="s">
        <v>33</v>
      </c>
      <c r="M7" s="104"/>
    </row>
    <row r="8" spans="1:16">
      <c r="A8" s="358" t="s">
        <v>144</v>
      </c>
      <c r="B8" s="358"/>
      <c r="C8" s="358"/>
      <c r="D8" s="105">
        <v>100</v>
      </c>
      <c r="E8" s="106">
        <v>0.45</v>
      </c>
      <c r="F8" s="106">
        <v>0.26</v>
      </c>
      <c r="G8" s="107">
        <v>1000</v>
      </c>
      <c r="H8" s="57">
        <f t="shared" ref="H8:H13" si="0">SUM(E8*G8)</f>
        <v>450</v>
      </c>
      <c r="I8" s="108">
        <v>5513</v>
      </c>
      <c r="J8" s="57"/>
      <c r="K8" s="57">
        <f t="shared" ref="K8:K16" si="1">SUM(H8:J8)</f>
        <v>5963</v>
      </c>
      <c r="L8" s="109"/>
      <c r="M8" s="109"/>
      <c r="N8" s="109"/>
      <c r="O8" s="109"/>
      <c r="P8" s="109"/>
    </row>
    <row r="9" spans="1:16">
      <c r="A9" s="357" t="s">
        <v>145</v>
      </c>
      <c r="B9" s="357"/>
      <c r="C9" s="357"/>
      <c r="D9" s="105">
        <v>100</v>
      </c>
      <c r="E9" s="106">
        <v>0.55000000000000004</v>
      </c>
      <c r="F9" s="106">
        <v>0.41</v>
      </c>
      <c r="G9" s="107">
        <v>1088.8900000000001</v>
      </c>
      <c r="H9" s="57">
        <v>599</v>
      </c>
      <c r="I9" s="110"/>
      <c r="J9" s="57">
        <f>E25*G25</f>
        <v>2977</v>
      </c>
      <c r="K9" s="57">
        <f t="shared" si="1"/>
        <v>3576</v>
      </c>
      <c r="L9" s="109"/>
      <c r="M9" s="109"/>
      <c r="N9" s="109"/>
      <c r="O9" s="109"/>
      <c r="P9" s="109"/>
    </row>
    <row r="10" spans="1:16">
      <c r="A10" s="54" t="s">
        <v>36</v>
      </c>
      <c r="D10" s="105">
        <v>64</v>
      </c>
      <c r="E10" s="106">
        <v>0.96</v>
      </c>
      <c r="F10" s="106">
        <v>0.31</v>
      </c>
      <c r="G10" s="107">
        <v>1239</v>
      </c>
      <c r="H10" s="57">
        <v>1189</v>
      </c>
      <c r="I10" s="110"/>
      <c r="J10" s="57">
        <v>1281</v>
      </c>
      <c r="K10" s="57">
        <f t="shared" si="1"/>
        <v>2470</v>
      </c>
      <c r="L10" s="109"/>
      <c r="M10" s="109"/>
      <c r="N10" s="109"/>
      <c r="O10" s="109"/>
      <c r="P10" s="109"/>
    </row>
    <row r="11" spans="1:16">
      <c r="A11" s="54" t="s">
        <v>5</v>
      </c>
      <c r="D11" s="105">
        <v>100</v>
      </c>
      <c r="E11" s="106">
        <v>6.77</v>
      </c>
      <c r="F11" s="106">
        <v>0.86</v>
      </c>
      <c r="G11" s="107">
        <v>1100</v>
      </c>
      <c r="H11" s="57">
        <f t="shared" si="0"/>
        <v>7446.9999999999991</v>
      </c>
      <c r="I11" s="110"/>
      <c r="J11" s="57"/>
      <c r="K11" s="57">
        <f t="shared" si="1"/>
        <v>7446.9999999999991</v>
      </c>
      <c r="L11" s="109"/>
      <c r="M11" s="109"/>
      <c r="N11" s="109"/>
      <c r="O11" s="109"/>
      <c r="P11" s="109"/>
    </row>
    <row r="12" spans="1:16">
      <c r="A12" s="54" t="s">
        <v>146</v>
      </c>
      <c r="D12" s="105"/>
      <c r="E12" s="106"/>
      <c r="F12" s="106"/>
      <c r="G12" s="107"/>
      <c r="H12" s="57"/>
      <c r="I12" s="110"/>
      <c r="J12" s="57"/>
      <c r="K12" s="57"/>
      <c r="L12" s="109"/>
      <c r="M12" s="109"/>
      <c r="N12" s="109"/>
      <c r="O12" s="111"/>
      <c r="P12" s="109"/>
    </row>
    <row r="13" spans="1:16">
      <c r="B13" s="112" t="s">
        <v>147</v>
      </c>
      <c r="C13" s="113"/>
      <c r="D13" s="105">
        <v>82</v>
      </c>
      <c r="E13" s="106">
        <v>1.43</v>
      </c>
      <c r="F13" s="106">
        <v>0.39</v>
      </c>
      <c r="G13" s="107">
        <v>1100</v>
      </c>
      <c r="H13" s="57">
        <f t="shared" si="0"/>
        <v>1573</v>
      </c>
      <c r="I13" s="57">
        <v>3716</v>
      </c>
      <c r="J13" s="57"/>
      <c r="K13" s="57">
        <f t="shared" si="1"/>
        <v>5289</v>
      </c>
      <c r="L13" s="109">
        <v>232</v>
      </c>
      <c r="M13" s="109"/>
      <c r="N13" s="109"/>
      <c r="O13" s="111"/>
      <c r="P13" s="109"/>
    </row>
    <row r="14" spans="1:16">
      <c r="B14" s="112" t="s">
        <v>148</v>
      </c>
      <c r="C14" s="112"/>
      <c r="D14" s="105" t="s">
        <v>149</v>
      </c>
      <c r="E14" s="106" t="s">
        <v>150</v>
      </c>
      <c r="F14" s="106" t="s">
        <v>151</v>
      </c>
      <c r="G14" s="107">
        <v>980</v>
      </c>
      <c r="H14" s="57" t="s">
        <v>152</v>
      </c>
      <c r="I14" s="110"/>
      <c r="J14" s="57"/>
      <c r="K14" s="57"/>
      <c r="L14" s="109"/>
      <c r="M14" s="109"/>
      <c r="N14" s="109"/>
      <c r="O14" s="111"/>
      <c r="P14" s="109"/>
    </row>
    <row r="15" spans="1:16">
      <c r="B15" s="112" t="s">
        <v>153</v>
      </c>
      <c r="C15" s="112"/>
      <c r="D15" s="105" t="s">
        <v>154</v>
      </c>
      <c r="E15" s="106" t="s">
        <v>155</v>
      </c>
      <c r="F15" s="106" t="s">
        <v>155</v>
      </c>
      <c r="G15" s="107">
        <v>1000</v>
      </c>
      <c r="H15" s="107" t="s">
        <v>156</v>
      </c>
      <c r="I15" s="110" t="s">
        <v>157</v>
      </c>
      <c r="J15" s="57"/>
      <c r="K15" s="57"/>
      <c r="L15" s="109"/>
      <c r="M15" s="109"/>
      <c r="N15" s="109"/>
      <c r="O15" s="111"/>
      <c r="P15" s="109"/>
    </row>
    <row r="16" spans="1:16">
      <c r="A16" s="54" t="s">
        <v>158</v>
      </c>
      <c r="D16" s="105">
        <v>60</v>
      </c>
      <c r="E16" s="106">
        <v>0.33</v>
      </c>
      <c r="F16" s="106">
        <v>0.1</v>
      </c>
      <c r="G16" s="107">
        <v>975</v>
      </c>
      <c r="H16" s="57">
        <v>322</v>
      </c>
      <c r="I16" s="57">
        <v>526</v>
      </c>
      <c r="J16" s="57"/>
      <c r="K16" s="57">
        <f t="shared" si="1"/>
        <v>848</v>
      </c>
      <c r="L16" s="110"/>
      <c r="M16" s="110"/>
    </row>
    <row r="17" spans="1:14">
      <c r="A17" s="101" t="s">
        <v>38</v>
      </c>
      <c r="B17" s="101"/>
      <c r="C17" s="101"/>
      <c r="D17" s="114"/>
      <c r="E17" s="115">
        <f>SUM(E8:E16)</f>
        <v>10.49</v>
      </c>
      <c r="F17" s="115">
        <f>SUM(F8:F16)</f>
        <v>2.33</v>
      </c>
      <c r="G17" s="115"/>
      <c r="H17" s="115">
        <f>SUM(H8:H16)</f>
        <v>11580</v>
      </c>
      <c r="I17" s="115">
        <f>SUM(I8:I16)</f>
        <v>9755</v>
      </c>
      <c r="J17" s="115">
        <f>SUM(J8:J16)</f>
        <v>4258</v>
      </c>
      <c r="K17" s="115">
        <f>SUM(H17:J17)</f>
        <v>25593</v>
      </c>
      <c r="L17" s="116">
        <v>232</v>
      </c>
      <c r="M17" s="116"/>
      <c r="N17" s="52"/>
    </row>
    <row r="18" spans="1:14">
      <c r="A18" s="103" t="s">
        <v>39</v>
      </c>
      <c r="B18" s="103"/>
      <c r="C18" s="103"/>
      <c r="D18" s="117"/>
      <c r="E18" s="118">
        <f>SUM(E17-F17)</f>
        <v>8.16</v>
      </c>
      <c r="F18" s="118"/>
      <c r="G18" s="118"/>
      <c r="H18" s="118">
        <f>SUM(E29*G29)</f>
        <v>9264</v>
      </c>
      <c r="I18" s="118">
        <f>I17-L17</f>
        <v>9523</v>
      </c>
      <c r="J18" s="118">
        <f>J17-M17</f>
        <v>4258</v>
      </c>
      <c r="K18" s="118">
        <f>SUM(H18:J18)</f>
        <v>23045</v>
      </c>
      <c r="L18" s="119"/>
      <c r="M18" s="119"/>
      <c r="N18" s="52"/>
    </row>
    <row r="19" spans="1:14">
      <c r="D19" s="110"/>
      <c r="E19" s="110"/>
      <c r="F19" s="110"/>
      <c r="G19" s="110"/>
      <c r="H19" s="110"/>
      <c r="I19" s="110"/>
      <c r="J19" s="110"/>
      <c r="K19" s="110"/>
      <c r="L19" s="110"/>
      <c r="M19" s="110"/>
    </row>
    <row r="20" spans="1:14">
      <c r="C20" s="54" t="s">
        <v>40</v>
      </c>
      <c r="L20" s="110"/>
      <c r="M20" s="110"/>
    </row>
    <row r="21" spans="1:14">
      <c r="L21" s="110"/>
      <c r="M21" s="110"/>
    </row>
    <row r="22" spans="1:14">
      <c r="A22" s="54" t="s">
        <v>41</v>
      </c>
      <c r="L22" s="110"/>
      <c r="M22" s="110"/>
    </row>
    <row r="23" spans="1:14">
      <c r="A23" s="120" t="s">
        <v>42</v>
      </c>
      <c r="B23" s="120"/>
      <c r="C23" s="120"/>
      <c r="D23" s="120" t="s">
        <v>7</v>
      </c>
      <c r="E23" s="120" t="s">
        <v>43</v>
      </c>
      <c r="F23" s="120"/>
      <c r="G23" s="120" t="s">
        <v>44</v>
      </c>
      <c r="I23" s="121"/>
      <c r="J23" s="122"/>
      <c r="M23" s="110"/>
    </row>
    <row r="24" spans="1:14">
      <c r="A24" s="54" t="s">
        <v>45</v>
      </c>
      <c r="I24" s="123" t="s">
        <v>120</v>
      </c>
      <c r="J24" s="124">
        <v>2.13</v>
      </c>
      <c r="M24" s="110"/>
    </row>
    <row r="25" spans="1:14">
      <c r="A25" s="54" t="s">
        <v>145</v>
      </c>
      <c r="D25" s="54" t="s">
        <v>13</v>
      </c>
      <c r="E25" s="55">
        <v>13</v>
      </c>
      <c r="F25" s="55"/>
      <c r="G25" s="55">
        <v>229</v>
      </c>
      <c r="I25" s="123" t="s">
        <v>121</v>
      </c>
      <c r="J25" s="124">
        <v>1</v>
      </c>
      <c r="M25" s="110"/>
    </row>
    <row r="26" spans="1:14">
      <c r="M26" s="110"/>
    </row>
    <row r="27" spans="1:14">
      <c r="I27" s="123" t="s">
        <v>6</v>
      </c>
      <c r="J27" s="124" t="s">
        <v>63</v>
      </c>
      <c r="M27" s="110"/>
    </row>
    <row r="28" spans="1:14">
      <c r="I28" s="123" t="s">
        <v>159</v>
      </c>
      <c r="J28" s="124">
        <v>10</v>
      </c>
      <c r="M28" s="125"/>
    </row>
    <row r="29" spans="1:14">
      <c r="A29" s="54" t="s">
        <v>46</v>
      </c>
      <c r="D29" s="54" t="s">
        <v>48</v>
      </c>
      <c r="E29" s="55">
        <v>8</v>
      </c>
      <c r="G29" s="57">
        <f>SUM(H17/E31)</f>
        <v>1158</v>
      </c>
      <c r="I29" s="123" t="s">
        <v>160</v>
      </c>
      <c r="J29" s="126">
        <v>90</v>
      </c>
      <c r="K29" s="52"/>
      <c r="L29" s="52"/>
      <c r="M29" s="52"/>
    </row>
    <row r="30" spans="1:14" ht="15" thickBot="1">
      <c r="A30" s="54" t="s">
        <v>47</v>
      </c>
      <c r="D30" s="54" t="s">
        <v>48</v>
      </c>
      <c r="E30" s="55">
        <v>2</v>
      </c>
      <c r="I30" s="127"/>
      <c r="J30" s="128">
        <v>100</v>
      </c>
      <c r="K30" s="52"/>
      <c r="L30" s="122"/>
      <c r="M30" s="52"/>
    </row>
    <row r="31" spans="1:14">
      <c r="A31" s="54" t="s">
        <v>49</v>
      </c>
      <c r="D31" s="54" t="s">
        <v>48</v>
      </c>
      <c r="E31" s="55">
        <f>SUM(E29:E30)</f>
        <v>10</v>
      </c>
      <c r="K31" s="52"/>
      <c r="L31" s="121"/>
      <c r="M31" s="52"/>
    </row>
    <row r="32" spans="1:14">
      <c r="A32" s="54" t="s">
        <v>12</v>
      </c>
      <c r="L32" s="121"/>
    </row>
    <row r="33" spans="1:13">
      <c r="A33" s="101"/>
      <c r="B33" s="101"/>
      <c r="C33" s="101"/>
      <c r="D33" s="101"/>
      <c r="E33" s="101"/>
      <c r="F33" s="101"/>
      <c r="G33" s="101" t="s">
        <v>161</v>
      </c>
      <c r="I33" s="54" t="s">
        <v>162</v>
      </c>
      <c r="L33" s="121"/>
      <c r="M33" s="52"/>
    </row>
    <row r="34" spans="1:13">
      <c r="A34" s="52" t="s">
        <v>53</v>
      </c>
      <c r="B34" s="52"/>
      <c r="C34" s="52"/>
      <c r="D34" s="52"/>
      <c r="E34" s="52"/>
      <c r="F34" s="52"/>
      <c r="G34" s="129">
        <v>225</v>
      </c>
      <c r="H34" s="54" t="s">
        <v>163</v>
      </c>
      <c r="I34" s="130">
        <f>G34*2.471</f>
        <v>555.97500000000002</v>
      </c>
      <c r="L34" s="122"/>
      <c r="M34" s="52"/>
    </row>
    <row r="35" spans="1:13">
      <c r="A35" s="52" t="s">
        <v>54</v>
      </c>
      <c r="B35" s="52"/>
      <c r="C35" s="52"/>
      <c r="D35" s="52"/>
      <c r="E35" s="52"/>
      <c r="F35" s="52"/>
      <c r="G35" s="131">
        <v>165</v>
      </c>
      <c r="I35" s="130"/>
      <c r="L35" s="121"/>
      <c r="M35" s="52"/>
    </row>
    <row r="36" spans="1:13">
      <c r="A36" s="52" t="s">
        <v>55</v>
      </c>
      <c r="B36" s="52"/>
      <c r="C36" s="52"/>
      <c r="D36" s="52"/>
      <c r="E36" s="52"/>
      <c r="F36" s="52"/>
      <c r="G36" s="131">
        <f>SUM(G34*G35)</f>
        <v>37125</v>
      </c>
      <c r="I36" s="130">
        <f t="shared" ref="I36:I38" si="2">G36*2.471</f>
        <v>91735.875</v>
      </c>
      <c r="L36" s="52"/>
      <c r="M36" s="52"/>
    </row>
    <row r="37" spans="1:13">
      <c r="A37" s="52" t="s">
        <v>56</v>
      </c>
      <c r="B37" s="52"/>
      <c r="C37" s="52"/>
      <c r="D37" s="52"/>
      <c r="E37" s="52"/>
      <c r="F37" s="52"/>
      <c r="G37" s="131">
        <f>SUM(G36-K17)</f>
        <v>11532</v>
      </c>
      <c r="I37" s="130">
        <f t="shared" si="2"/>
        <v>28495.572</v>
      </c>
      <c r="M37" s="52"/>
    </row>
    <row r="38" spans="1:13">
      <c r="A38" s="52" t="s">
        <v>57</v>
      </c>
      <c r="B38" s="52"/>
      <c r="C38" s="52"/>
      <c r="D38" s="52"/>
      <c r="E38" s="52"/>
      <c r="F38" s="52"/>
      <c r="G38" s="131">
        <f>SUM(G36-K18)</f>
        <v>14080</v>
      </c>
      <c r="I38" s="130">
        <f t="shared" si="2"/>
        <v>34791.68</v>
      </c>
      <c r="M38" s="52"/>
    </row>
    <row r="39" spans="1:13">
      <c r="A39" s="52" t="s">
        <v>58</v>
      </c>
      <c r="B39" s="52"/>
      <c r="C39" s="52"/>
      <c r="D39" s="52"/>
      <c r="E39" s="52"/>
      <c r="F39" s="52"/>
      <c r="G39" s="131">
        <f>SUM(K17/G34)</f>
        <v>113.74666666666667</v>
      </c>
    </row>
    <row r="40" spans="1:13">
      <c r="A40" s="52" t="s">
        <v>59</v>
      </c>
      <c r="B40" s="52"/>
      <c r="C40" s="52"/>
      <c r="D40" s="52"/>
      <c r="E40" s="52"/>
      <c r="F40" s="52"/>
      <c r="G40" s="131">
        <f>SUM(K18/G34)</f>
        <v>102.42222222222222</v>
      </c>
    </row>
    <row r="41" spans="1:13">
      <c r="A41" s="103" t="s">
        <v>60</v>
      </c>
      <c r="B41" s="103"/>
      <c r="C41" s="103"/>
      <c r="D41" s="103"/>
      <c r="E41" s="103"/>
      <c r="F41" s="103"/>
      <c r="G41" s="103"/>
    </row>
    <row r="43" spans="1:13">
      <c r="A43" s="54" t="s">
        <v>164</v>
      </c>
    </row>
    <row r="44" spans="1:13">
      <c r="A44" s="132" t="s">
        <v>165</v>
      </c>
    </row>
  </sheetData>
  <mergeCells count="3">
    <mergeCell ref="B1:H1"/>
    <mergeCell ref="A8:C8"/>
    <mergeCell ref="A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Q51"/>
  <sheetViews>
    <sheetView workbookViewId="0">
      <selection activeCell="O24" sqref="O24"/>
    </sheetView>
  </sheetViews>
  <sheetFormatPr defaultRowHeight="12.75"/>
  <cols>
    <col min="1" max="1" width="16.28515625" style="7" customWidth="1"/>
    <col min="2" max="2" width="5" style="7" customWidth="1"/>
    <col min="3" max="3" width="4" style="7" customWidth="1"/>
    <col min="4" max="4" width="4.7109375" style="7" customWidth="1"/>
    <col min="5" max="5" width="6.5703125" style="7" customWidth="1"/>
    <col min="6" max="6" width="5.7109375" style="7" customWidth="1"/>
    <col min="7" max="7" width="9.85546875" style="7" customWidth="1"/>
    <col min="8" max="9" width="8.5703125" style="7" customWidth="1"/>
    <col min="10" max="10" width="9" style="7" customWidth="1"/>
    <col min="11" max="11" width="8.85546875" style="7" customWidth="1"/>
    <col min="12" max="12" width="6" style="7" customWidth="1"/>
    <col min="13" max="13" width="5.7109375" style="7" customWidth="1"/>
    <col min="14" max="15" width="9.140625" style="7"/>
    <col min="16" max="16" width="3.28515625" style="7" customWidth="1"/>
    <col min="17" max="17" width="6.7109375" style="7" customWidth="1"/>
    <col min="18" max="16384" width="9.140625" style="7"/>
  </cols>
  <sheetData>
    <row r="2" spans="1:17" ht="16.5">
      <c r="A2" s="6" t="s">
        <v>17</v>
      </c>
      <c r="B2" s="6" t="s">
        <v>87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7" ht="16.5">
      <c r="A3" s="6"/>
      <c r="B3" s="6" t="s">
        <v>62</v>
      </c>
      <c r="C3" s="6"/>
      <c r="D3" s="6" t="s">
        <v>67</v>
      </c>
      <c r="E3" s="6"/>
      <c r="F3" s="6"/>
      <c r="G3" s="6"/>
      <c r="H3" s="6"/>
      <c r="I3" s="6"/>
      <c r="J3" s="6"/>
      <c r="K3" s="6"/>
      <c r="L3" s="6"/>
      <c r="M3" s="6"/>
    </row>
    <row r="4" spans="1:17">
      <c r="A4" s="8" t="s">
        <v>18</v>
      </c>
      <c r="B4" s="8"/>
      <c r="C4" s="8"/>
      <c r="D4" s="9" t="s">
        <v>19</v>
      </c>
      <c r="E4" s="9" t="s">
        <v>12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9" t="s">
        <v>25</v>
      </c>
      <c r="L4" s="10" t="s">
        <v>26</v>
      </c>
      <c r="M4" s="9"/>
    </row>
    <row r="5" spans="1:17">
      <c r="A5" s="11"/>
      <c r="B5" s="11"/>
      <c r="C5" s="11"/>
      <c r="D5" s="12" t="s">
        <v>27</v>
      </c>
      <c r="E5" s="12" t="s">
        <v>28</v>
      </c>
      <c r="F5" s="12" t="s">
        <v>28</v>
      </c>
      <c r="G5" s="12" t="s">
        <v>29</v>
      </c>
      <c r="H5" s="12" t="s">
        <v>30</v>
      </c>
      <c r="I5" s="12" t="s">
        <v>31</v>
      </c>
      <c r="J5" s="12" t="s">
        <v>30</v>
      </c>
      <c r="K5" s="12" t="s">
        <v>30</v>
      </c>
      <c r="L5" s="12" t="s">
        <v>23</v>
      </c>
      <c r="M5" s="12" t="s">
        <v>24</v>
      </c>
    </row>
    <row r="6" spans="1:17">
      <c r="A6" s="11"/>
      <c r="B6" s="11"/>
      <c r="C6" s="11"/>
      <c r="D6" s="12" t="s">
        <v>32</v>
      </c>
      <c r="E6" s="12"/>
      <c r="F6" s="12"/>
      <c r="G6" s="12"/>
      <c r="H6" s="12" t="s">
        <v>33</v>
      </c>
      <c r="I6" s="12" t="s">
        <v>30</v>
      </c>
      <c r="J6" s="12" t="s">
        <v>33</v>
      </c>
      <c r="K6" s="12" t="s">
        <v>33</v>
      </c>
      <c r="L6" s="12"/>
      <c r="M6" s="12"/>
    </row>
    <row r="7" spans="1:17">
      <c r="A7" s="13"/>
      <c r="B7" s="13"/>
      <c r="C7" s="13"/>
      <c r="D7" s="14"/>
      <c r="E7" s="14"/>
      <c r="F7" s="14"/>
      <c r="G7" s="14"/>
      <c r="H7" s="14"/>
      <c r="I7" s="14" t="s">
        <v>33</v>
      </c>
      <c r="J7" s="14"/>
      <c r="K7" s="14"/>
      <c r="L7" s="14"/>
      <c r="M7" s="14"/>
    </row>
    <row r="8" spans="1:17" ht="14.25">
      <c r="A8" s="11" t="s">
        <v>74</v>
      </c>
      <c r="B8" s="11"/>
      <c r="C8" s="11"/>
      <c r="D8" s="12">
        <v>60</v>
      </c>
      <c r="E8" s="12">
        <v>4.0199999999999996</v>
      </c>
      <c r="F8" s="12">
        <v>3.51</v>
      </c>
      <c r="G8" s="47">
        <v>1239</v>
      </c>
      <c r="H8" s="16">
        <v>4981</v>
      </c>
      <c r="I8" s="47"/>
      <c r="J8" s="47">
        <v>1513</v>
      </c>
      <c r="K8" s="16">
        <f t="shared" ref="K8:K17" si="0">SUM(H8:J8)</f>
        <v>6494</v>
      </c>
      <c r="L8" s="47"/>
      <c r="M8" s="12"/>
      <c r="N8" s="52"/>
      <c r="O8" s="52"/>
      <c r="P8" s="52"/>
      <c r="Q8" s="53"/>
    </row>
    <row r="9" spans="1:17" ht="14.25">
      <c r="A9" s="7" t="s">
        <v>15</v>
      </c>
      <c r="D9" s="46">
        <v>88</v>
      </c>
      <c r="E9" s="16">
        <v>10.26</v>
      </c>
      <c r="F9" s="16">
        <v>2.5299999999999998</v>
      </c>
      <c r="G9" s="17">
        <v>1269</v>
      </c>
      <c r="H9" s="16">
        <v>13020</v>
      </c>
      <c r="I9" s="16"/>
      <c r="J9" s="16"/>
      <c r="K9" s="16">
        <f t="shared" si="0"/>
        <v>13020</v>
      </c>
      <c r="L9" s="16"/>
      <c r="N9" s="54"/>
      <c r="O9" s="54"/>
      <c r="P9" s="54"/>
      <c r="Q9" s="55"/>
    </row>
    <row r="10" spans="1:17" ht="14.25">
      <c r="A10" s="7" t="s">
        <v>83</v>
      </c>
      <c r="D10" s="35">
        <v>78</v>
      </c>
      <c r="E10" s="18">
        <v>1.5</v>
      </c>
      <c r="F10" s="16">
        <v>1.5</v>
      </c>
      <c r="G10" s="17">
        <v>1000</v>
      </c>
      <c r="H10" s="16">
        <f t="shared" ref="H10:H12" si="1">+E10*G10</f>
        <v>1500</v>
      </c>
      <c r="I10" s="16">
        <v>9188</v>
      </c>
      <c r="J10" s="16"/>
      <c r="K10" s="16">
        <f t="shared" si="0"/>
        <v>10688</v>
      </c>
      <c r="L10" s="39">
        <v>2333</v>
      </c>
      <c r="N10" s="54"/>
      <c r="O10" s="54"/>
      <c r="P10" s="54"/>
      <c r="Q10" s="55"/>
    </row>
    <row r="11" spans="1:17" ht="14.25">
      <c r="A11" s="7" t="s">
        <v>70</v>
      </c>
      <c r="D11" s="33" t="s">
        <v>95</v>
      </c>
      <c r="E11" s="58" t="s">
        <v>92</v>
      </c>
      <c r="F11" s="37" t="s">
        <v>93</v>
      </c>
      <c r="G11" s="40" t="s">
        <v>86</v>
      </c>
      <c r="H11" s="16" t="s">
        <v>94</v>
      </c>
      <c r="I11" s="37"/>
      <c r="J11" s="16"/>
      <c r="K11" s="16"/>
      <c r="L11" s="16"/>
      <c r="N11" s="54"/>
      <c r="O11" s="54"/>
      <c r="P11" s="54"/>
      <c r="Q11" s="56"/>
    </row>
    <row r="12" spans="1:17" ht="14.25">
      <c r="A12" s="7" t="s">
        <v>91</v>
      </c>
      <c r="D12" s="59">
        <v>100</v>
      </c>
      <c r="E12" s="18">
        <v>9.9499999999999993</v>
      </c>
      <c r="F12" s="16">
        <v>2.7</v>
      </c>
      <c r="G12" s="17">
        <v>1280</v>
      </c>
      <c r="H12" s="16">
        <f t="shared" si="1"/>
        <v>12736</v>
      </c>
      <c r="I12" s="16"/>
      <c r="J12" s="16" t="s">
        <v>102</v>
      </c>
      <c r="K12" s="16">
        <v>18785</v>
      </c>
      <c r="L12" s="16"/>
      <c r="N12" s="54"/>
      <c r="O12" s="54"/>
      <c r="P12" s="54"/>
      <c r="Q12" s="55"/>
    </row>
    <row r="13" spans="1:17" ht="14.25">
      <c r="A13" s="7" t="s">
        <v>34</v>
      </c>
      <c r="D13" s="15">
        <v>100</v>
      </c>
      <c r="E13" s="18">
        <v>13.3</v>
      </c>
      <c r="F13" s="16">
        <v>3.56</v>
      </c>
      <c r="G13" s="17">
        <v>1076</v>
      </c>
      <c r="H13" s="16">
        <v>14311</v>
      </c>
      <c r="I13" s="16"/>
      <c r="J13" s="16">
        <f>+E28*G28</f>
        <v>10176</v>
      </c>
      <c r="K13" s="16">
        <f t="shared" si="0"/>
        <v>24487</v>
      </c>
      <c r="L13" s="16"/>
      <c r="M13" s="16"/>
      <c r="N13" s="54"/>
      <c r="O13" s="54"/>
      <c r="P13" s="54"/>
      <c r="Q13" s="57"/>
    </row>
    <row r="14" spans="1:17" ht="14.25">
      <c r="A14" s="7" t="s">
        <v>35</v>
      </c>
      <c r="D14" s="15">
        <v>100</v>
      </c>
      <c r="E14" s="18">
        <v>13.67</v>
      </c>
      <c r="F14" s="16">
        <v>2.17</v>
      </c>
      <c r="G14" s="17">
        <v>985</v>
      </c>
      <c r="H14" s="16">
        <v>13465</v>
      </c>
      <c r="I14" s="16"/>
      <c r="J14" s="16"/>
      <c r="K14" s="16">
        <f t="shared" si="0"/>
        <v>13465</v>
      </c>
      <c r="L14" s="16"/>
      <c r="N14" s="54"/>
      <c r="O14" s="54"/>
      <c r="P14" s="54"/>
      <c r="Q14" s="57"/>
    </row>
    <row r="15" spans="1:17" ht="14.25">
      <c r="A15" s="7" t="s">
        <v>1</v>
      </c>
      <c r="D15" s="15">
        <v>100</v>
      </c>
      <c r="E15" s="7">
        <v>6.5</v>
      </c>
      <c r="F15" s="16">
        <v>2.82</v>
      </c>
      <c r="G15" s="17">
        <v>1141</v>
      </c>
      <c r="H15" s="16">
        <v>7417</v>
      </c>
      <c r="I15" s="16"/>
      <c r="J15" s="18">
        <f>+E38*G38+E39*G39</f>
        <v>24156</v>
      </c>
      <c r="K15" s="16">
        <f t="shared" si="0"/>
        <v>31573</v>
      </c>
      <c r="L15" s="16"/>
      <c r="N15" s="54"/>
      <c r="O15" s="54"/>
      <c r="P15" s="54"/>
      <c r="Q15" s="54"/>
    </row>
    <row r="16" spans="1:17" ht="14.25">
      <c r="A16" s="7" t="s">
        <v>36</v>
      </c>
      <c r="D16" s="15">
        <v>100</v>
      </c>
      <c r="E16" s="16">
        <v>8.84</v>
      </c>
      <c r="F16" s="16">
        <v>6.15</v>
      </c>
      <c r="G16" s="17">
        <v>1219</v>
      </c>
      <c r="H16" s="16">
        <v>10776</v>
      </c>
      <c r="I16" s="16"/>
      <c r="J16" s="18">
        <v>16758</v>
      </c>
      <c r="K16" s="16">
        <f t="shared" si="0"/>
        <v>27534</v>
      </c>
      <c r="L16" s="16"/>
      <c r="N16" s="54"/>
      <c r="O16" s="54"/>
      <c r="P16" s="54"/>
      <c r="Q16" s="55"/>
    </row>
    <row r="17" spans="1:17" ht="14.25">
      <c r="A17" s="7" t="s">
        <v>37</v>
      </c>
      <c r="D17" s="33">
        <v>100</v>
      </c>
      <c r="E17" s="18">
        <v>15.92</v>
      </c>
      <c r="F17" s="16">
        <v>1.67</v>
      </c>
      <c r="G17" s="17">
        <v>1172</v>
      </c>
      <c r="H17" s="16">
        <v>18658</v>
      </c>
      <c r="I17" s="18">
        <v>7331</v>
      </c>
      <c r="J17" s="16"/>
      <c r="K17" s="16">
        <f t="shared" si="0"/>
        <v>25989</v>
      </c>
      <c r="L17" s="16"/>
      <c r="N17" s="54"/>
      <c r="O17" s="54"/>
      <c r="P17" s="54"/>
      <c r="Q17" s="55"/>
    </row>
    <row r="18" spans="1:17" ht="14.25">
      <c r="A18" s="7" t="s">
        <v>88</v>
      </c>
      <c r="D18" s="15">
        <v>68</v>
      </c>
      <c r="E18" s="16"/>
      <c r="F18" s="16"/>
      <c r="G18" s="17"/>
      <c r="H18" s="16"/>
      <c r="I18" s="16"/>
      <c r="J18" s="16"/>
      <c r="K18" s="16"/>
      <c r="L18" s="16"/>
      <c r="N18" s="54"/>
      <c r="O18" s="54"/>
      <c r="P18" s="54"/>
      <c r="Q18" s="55"/>
    </row>
    <row r="19" spans="1:17" ht="14.25">
      <c r="A19" s="7" t="s">
        <v>71</v>
      </c>
      <c r="D19" s="33" t="s">
        <v>96</v>
      </c>
      <c r="E19" s="58" t="s">
        <v>97</v>
      </c>
      <c r="F19" s="16" t="s">
        <v>98</v>
      </c>
      <c r="G19" s="17">
        <v>1183</v>
      </c>
      <c r="H19" s="18" t="s">
        <v>99</v>
      </c>
      <c r="I19" s="16"/>
      <c r="J19" s="16"/>
      <c r="K19" s="16"/>
      <c r="L19" s="16"/>
      <c r="N19" s="54"/>
      <c r="O19" s="54"/>
      <c r="P19" s="54"/>
      <c r="Q19" s="56"/>
    </row>
    <row r="20" spans="1:17">
      <c r="A20" s="8" t="s">
        <v>38</v>
      </c>
      <c r="B20" s="8"/>
      <c r="C20" s="8"/>
      <c r="D20" s="19"/>
      <c r="E20" s="48">
        <f>SUM(E8:E19)</f>
        <v>83.960000000000008</v>
      </c>
      <c r="F20" s="48">
        <f t="shared" ref="F20" si="2">SUM(F8:F19)</f>
        <v>26.61</v>
      </c>
      <c r="G20" s="41"/>
      <c r="H20" s="48">
        <f>SUM(H8:H19)</f>
        <v>96864</v>
      </c>
      <c r="I20" s="48">
        <f>SUM(I8:I19)</f>
        <v>16519</v>
      </c>
      <c r="J20" s="48">
        <v>58652</v>
      </c>
      <c r="K20" s="48">
        <f>SUM(K8:K19)</f>
        <v>172035</v>
      </c>
      <c r="L20" s="41">
        <f>SUM(L9:L18)</f>
        <v>2333</v>
      </c>
      <c r="M20" s="41">
        <f>SUM(M9:M18)</f>
        <v>0</v>
      </c>
      <c r="P20" s="16"/>
      <c r="Q20" s="16"/>
    </row>
    <row r="21" spans="1:17">
      <c r="A21" s="13" t="s">
        <v>39</v>
      </c>
      <c r="B21" s="13"/>
      <c r="C21" s="13"/>
      <c r="D21" s="20"/>
      <c r="E21" s="21">
        <f>SUM(E20-F20)</f>
        <v>57.350000000000009</v>
      </c>
      <c r="F21" s="21"/>
      <c r="G21" s="21"/>
      <c r="H21" s="21">
        <f>SUM(E33*G33)</f>
        <v>65721</v>
      </c>
      <c r="I21" s="21">
        <f>+I20-L20</f>
        <v>14186</v>
      </c>
      <c r="J21" s="21">
        <f>J20-M20</f>
        <v>58652</v>
      </c>
      <c r="K21" s="21">
        <f>SUM(H21:J21)</f>
        <v>138559</v>
      </c>
      <c r="L21" s="42"/>
      <c r="M21" s="42"/>
    </row>
    <row r="22" spans="1:17">
      <c r="A22" s="7" t="s">
        <v>90</v>
      </c>
      <c r="I22" s="16"/>
      <c r="K22" s="39"/>
    </row>
    <row r="23" spans="1:17">
      <c r="A23" s="7" t="s">
        <v>89</v>
      </c>
      <c r="I23" s="16"/>
      <c r="K23" s="39"/>
    </row>
    <row r="24" spans="1:17">
      <c r="C24" s="7" t="s">
        <v>40</v>
      </c>
      <c r="K24" s="16"/>
    </row>
    <row r="25" spans="1:17">
      <c r="I25" s="16"/>
    </row>
    <row r="26" spans="1:17" ht="16.5">
      <c r="A26" s="7" t="s">
        <v>41</v>
      </c>
      <c r="J26" s="22" t="s">
        <v>6</v>
      </c>
      <c r="K26" s="4"/>
    </row>
    <row r="27" spans="1:17" ht="14.25">
      <c r="A27" s="23" t="s">
        <v>42</v>
      </c>
      <c r="B27" s="23"/>
      <c r="C27" s="23"/>
      <c r="D27" s="23" t="s">
        <v>7</v>
      </c>
      <c r="E27" s="23" t="s">
        <v>43</v>
      </c>
      <c r="F27" s="23"/>
      <c r="G27" s="23" t="s">
        <v>44</v>
      </c>
      <c r="I27" s="24"/>
      <c r="J27" s="1"/>
      <c r="K27" s="3" t="s">
        <v>63</v>
      </c>
    </row>
    <row r="28" spans="1:17" ht="15">
      <c r="A28" s="7" t="s">
        <v>45</v>
      </c>
      <c r="C28" s="44">
        <v>0.7</v>
      </c>
      <c r="D28" s="7" t="s">
        <v>72</v>
      </c>
      <c r="E28" s="18">
        <v>106</v>
      </c>
      <c r="F28" s="16"/>
      <c r="G28" s="18">
        <v>96</v>
      </c>
      <c r="J28" s="68" t="s">
        <v>69</v>
      </c>
      <c r="K28" s="69">
        <f>21*100/30</f>
        <v>70</v>
      </c>
    </row>
    <row r="29" spans="1:17" ht="15">
      <c r="A29" s="7" t="s">
        <v>76</v>
      </c>
      <c r="C29" s="44" t="s">
        <v>85</v>
      </c>
      <c r="E29" s="39" t="s">
        <v>100</v>
      </c>
      <c r="G29" s="16" t="s">
        <v>101</v>
      </c>
      <c r="J29" s="68" t="s">
        <v>80</v>
      </c>
      <c r="K29" s="68">
        <f>6*100/30</f>
        <v>20</v>
      </c>
    </row>
    <row r="30" spans="1:17" ht="15">
      <c r="G30" s="1"/>
      <c r="J30" s="68" t="s">
        <v>77</v>
      </c>
      <c r="K30" s="68">
        <f>3*100/30</f>
        <v>10</v>
      </c>
    </row>
    <row r="31" spans="1:17" ht="13.5">
      <c r="J31" s="1"/>
      <c r="K31" s="25"/>
    </row>
    <row r="32" spans="1:17" ht="13.5">
      <c r="A32" s="7" t="s">
        <v>46</v>
      </c>
      <c r="J32" s="1"/>
      <c r="K32" s="26"/>
    </row>
    <row r="33" spans="1:11" ht="13.5">
      <c r="A33" s="7" t="s">
        <v>47</v>
      </c>
      <c r="D33" s="7" t="s">
        <v>48</v>
      </c>
      <c r="E33" s="16">
        <v>57</v>
      </c>
      <c r="G33" s="16">
        <v>1153</v>
      </c>
      <c r="J33" s="1"/>
      <c r="K33" s="26"/>
    </row>
    <row r="34" spans="1:11" ht="13.5">
      <c r="A34" s="7" t="s">
        <v>49</v>
      </c>
      <c r="D34" s="7" t="s">
        <v>48</v>
      </c>
      <c r="E34" s="16">
        <v>27</v>
      </c>
      <c r="J34" s="64" t="s">
        <v>64</v>
      </c>
      <c r="K34" s="65">
        <v>0.47</v>
      </c>
    </row>
    <row r="35" spans="1:11" ht="13.5">
      <c r="A35" s="7" t="s">
        <v>12</v>
      </c>
      <c r="E35" s="18">
        <f>+E33+E34</f>
        <v>84</v>
      </c>
      <c r="H35" s="62"/>
      <c r="J35" s="66" t="s">
        <v>66</v>
      </c>
      <c r="K35" s="67">
        <v>0.25</v>
      </c>
    </row>
    <row r="36" spans="1:11" ht="13.5">
      <c r="J36" s="1"/>
      <c r="K36" s="27"/>
    </row>
    <row r="37" spans="1:11" ht="15">
      <c r="A37" s="8" t="s">
        <v>50</v>
      </c>
      <c r="B37" s="8"/>
      <c r="C37" s="8" t="s">
        <v>51</v>
      </c>
      <c r="D37" s="8"/>
      <c r="E37" s="8"/>
      <c r="F37" s="8"/>
      <c r="G37" s="8"/>
      <c r="K37" s="5"/>
    </row>
    <row r="38" spans="1:11">
      <c r="A38" s="11" t="s">
        <v>73</v>
      </c>
      <c r="B38" s="28"/>
      <c r="C38" s="36">
        <v>0.7</v>
      </c>
      <c r="D38" s="11" t="s">
        <v>13</v>
      </c>
      <c r="E38" s="30">
        <v>357</v>
      </c>
      <c r="F38" s="11"/>
      <c r="G38" s="63">
        <v>58</v>
      </c>
      <c r="J38" s="16"/>
    </row>
    <row r="39" spans="1:11">
      <c r="A39" s="11" t="s">
        <v>9</v>
      </c>
      <c r="B39" s="28"/>
      <c r="C39" s="36">
        <v>0.68</v>
      </c>
      <c r="D39" s="11" t="s">
        <v>13</v>
      </c>
      <c r="E39" s="30">
        <v>69</v>
      </c>
      <c r="F39" s="11"/>
      <c r="G39" s="63">
        <v>50</v>
      </c>
    </row>
    <row r="40" spans="1:11">
      <c r="A40" s="8" t="s">
        <v>53</v>
      </c>
      <c r="B40" s="8"/>
      <c r="C40" s="8"/>
      <c r="D40" s="8"/>
      <c r="E40" s="8"/>
      <c r="F40" s="8"/>
      <c r="G40" s="8"/>
      <c r="I40" s="7" t="s">
        <v>75</v>
      </c>
    </row>
    <row r="41" spans="1:11">
      <c r="A41" s="11" t="s">
        <v>54</v>
      </c>
      <c r="B41" s="11"/>
      <c r="C41" s="11"/>
      <c r="D41" s="11"/>
      <c r="E41" s="11"/>
      <c r="F41" s="11"/>
      <c r="G41" s="60">
        <v>8918</v>
      </c>
      <c r="I41" s="39">
        <f>+G41*2.471</f>
        <v>22036.378000000001</v>
      </c>
    </row>
    <row r="42" spans="1:11">
      <c r="A42" s="11" t="s">
        <v>55</v>
      </c>
      <c r="B42" s="11"/>
      <c r="C42" s="11"/>
      <c r="D42" s="11"/>
      <c r="E42" s="11"/>
      <c r="F42" s="11"/>
      <c r="G42" s="61">
        <v>55</v>
      </c>
      <c r="I42" s="39"/>
    </row>
    <row r="43" spans="1:11">
      <c r="A43" s="11" t="s">
        <v>56</v>
      </c>
      <c r="B43" s="11"/>
      <c r="C43" s="11"/>
      <c r="D43" s="11"/>
      <c r="E43" s="11"/>
      <c r="F43" s="11"/>
      <c r="G43" s="31">
        <f>SUM(G41*G42)</f>
        <v>490490</v>
      </c>
      <c r="I43" s="39">
        <f t="shared" ref="I43:I45" si="3">+G43*2.471</f>
        <v>1212000.79</v>
      </c>
    </row>
    <row r="44" spans="1:11">
      <c r="A44" s="11" t="s">
        <v>57</v>
      </c>
      <c r="B44" s="11"/>
      <c r="C44" s="11"/>
      <c r="D44" s="11"/>
      <c r="E44" s="11"/>
      <c r="F44" s="11"/>
      <c r="G44" s="31">
        <f>SUM(G43-K20)</f>
        <v>318455</v>
      </c>
      <c r="I44" s="39">
        <f t="shared" si="3"/>
        <v>786902.30500000005</v>
      </c>
    </row>
    <row r="45" spans="1:11">
      <c r="A45" s="11" t="s">
        <v>58</v>
      </c>
      <c r="B45" s="11"/>
      <c r="C45" s="11"/>
      <c r="D45" s="11"/>
      <c r="E45" s="11"/>
      <c r="F45" s="11"/>
      <c r="G45" s="31">
        <f>+G43-K21</f>
        <v>351931</v>
      </c>
      <c r="H45" s="39"/>
      <c r="I45" s="39">
        <f t="shared" si="3"/>
        <v>869621.50100000005</v>
      </c>
    </row>
    <row r="46" spans="1:11">
      <c r="A46" s="11"/>
      <c r="B46" s="11"/>
      <c r="C46" s="11"/>
      <c r="D46" s="11"/>
      <c r="E46" s="11"/>
      <c r="F46" s="11"/>
      <c r="G46" s="31"/>
    </row>
    <row r="47" spans="1:11">
      <c r="A47" s="11" t="s">
        <v>59</v>
      </c>
      <c r="B47" s="11"/>
      <c r="C47" s="11"/>
      <c r="D47" s="11"/>
      <c r="E47" s="11"/>
      <c r="F47" s="11"/>
      <c r="G47" s="31">
        <f>SUM(K20/G41)</f>
        <v>19.290760260148016</v>
      </c>
    </row>
    <row r="48" spans="1:11">
      <c r="A48" s="13" t="s">
        <v>60</v>
      </c>
      <c r="B48" s="13"/>
      <c r="C48" s="13"/>
      <c r="D48" s="13"/>
      <c r="E48" s="13"/>
      <c r="F48" s="13"/>
      <c r="G48" s="32">
        <f>SUM(K21/G41)</f>
        <v>15.537003812514017</v>
      </c>
    </row>
    <row r="50" spans="1:1" ht="19.5">
      <c r="A50" s="51"/>
    </row>
    <row r="51" spans="1:1" ht="19.5">
      <c r="A51" s="51"/>
    </row>
  </sheetData>
  <pageMargins left="0.25" right="0.25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6"/>
  <sheetViews>
    <sheetView workbookViewId="0">
      <selection activeCell="O37" sqref="O37"/>
    </sheetView>
  </sheetViews>
  <sheetFormatPr defaultRowHeight="14.25"/>
  <cols>
    <col min="1" max="2" width="9.140625" style="54"/>
    <col min="3" max="3" width="3.42578125" style="54" customWidth="1"/>
    <col min="4" max="4" width="4.5703125" style="54" customWidth="1"/>
    <col min="5" max="5" width="6.140625" style="54" customWidth="1"/>
    <col min="6" max="6" width="5.42578125" style="54" customWidth="1"/>
    <col min="7" max="7" width="10" style="54" customWidth="1"/>
    <col min="8" max="8" width="9.28515625" style="54" customWidth="1"/>
    <col min="9" max="9" width="8.28515625" style="54" customWidth="1"/>
    <col min="10" max="10" width="8.7109375" style="54" customWidth="1"/>
    <col min="11" max="11" width="9.42578125" style="54" customWidth="1"/>
    <col min="12" max="12" width="7" style="54" customWidth="1"/>
    <col min="13" max="13" width="8.140625" style="54" customWidth="1"/>
    <col min="14" max="15" width="9.140625" style="54"/>
    <col min="16" max="16" width="1.140625" style="54" customWidth="1"/>
    <col min="17" max="17" width="6.7109375" style="54" customWidth="1"/>
    <col min="18" max="16384" width="9.140625" style="54"/>
  </cols>
  <sheetData>
    <row r="1" spans="1:17">
      <c r="A1" s="54" t="s">
        <v>17</v>
      </c>
      <c r="B1" s="54" t="s">
        <v>166</v>
      </c>
    </row>
    <row r="2" spans="1:17">
      <c r="B2" s="54" t="s">
        <v>167</v>
      </c>
    </row>
    <row r="3" spans="1:17">
      <c r="B3" s="54" t="s">
        <v>168</v>
      </c>
    </row>
    <row r="4" spans="1:17">
      <c r="A4" s="101" t="s">
        <v>18</v>
      </c>
      <c r="B4" s="101"/>
      <c r="C4" s="101"/>
      <c r="D4" s="102" t="s">
        <v>19</v>
      </c>
      <c r="E4" s="102" t="s">
        <v>12</v>
      </c>
      <c r="F4" s="102" t="s">
        <v>20</v>
      </c>
      <c r="G4" s="102" t="s">
        <v>21</v>
      </c>
      <c r="H4" s="102" t="s">
        <v>22</v>
      </c>
      <c r="I4" s="102" t="s">
        <v>23</v>
      </c>
      <c r="J4" s="102" t="s">
        <v>24</v>
      </c>
      <c r="K4" s="102" t="s">
        <v>25</v>
      </c>
      <c r="L4" s="133" t="s">
        <v>26</v>
      </c>
      <c r="M4" s="102"/>
    </row>
    <row r="5" spans="1:17">
      <c r="A5" s="52"/>
      <c r="B5" s="52"/>
      <c r="C5" s="52"/>
      <c r="D5" s="53" t="s">
        <v>27</v>
      </c>
      <c r="E5" s="53" t="s">
        <v>28</v>
      </c>
      <c r="F5" s="53" t="s">
        <v>28</v>
      </c>
      <c r="G5" s="53" t="s">
        <v>29</v>
      </c>
      <c r="H5" s="53" t="s">
        <v>30</v>
      </c>
      <c r="I5" s="53" t="s">
        <v>31</v>
      </c>
      <c r="J5" s="53" t="s">
        <v>30</v>
      </c>
      <c r="K5" s="53" t="s">
        <v>30</v>
      </c>
      <c r="L5" s="134" t="s">
        <v>23</v>
      </c>
      <c r="M5" s="53" t="s">
        <v>24</v>
      </c>
    </row>
    <row r="6" spans="1:17">
      <c r="A6" s="52"/>
      <c r="B6" s="52"/>
      <c r="C6" s="52"/>
      <c r="D6" s="53" t="s">
        <v>32</v>
      </c>
      <c r="E6" s="53"/>
      <c r="F6" s="53"/>
      <c r="G6" s="53"/>
      <c r="H6" s="53" t="s">
        <v>33</v>
      </c>
      <c r="I6" s="53" t="s">
        <v>30</v>
      </c>
      <c r="J6" s="53" t="s">
        <v>33</v>
      </c>
      <c r="K6" s="53" t="s">
        <v>33</v>
      </c>
      <c r="L6" s="53"/>
      <c r="M6" s="53"/>
    </row>
    <row r="7" spans="1:17">
      <c r="A7" s="103"/>
      <c r="B7" s="103"/>
      <c r="C7" s="103"/>
      <c r="D7" s="104"/>
      <c r="E7" s="104"/>
      <c r="F7" s="104"/>
      <c r="G7" s="104"/>
      <c r="H7" s="104"/>
      <c r="I7" s="104" t="s">
        <v>33</v>
      </c>
      <c r="J7" s="104"/>
      <c r="K7" s="104"/>
      <c r="L7" s="104"/>
      <c r="M7" s="104"/>
    </row>
    <row r="8" spans="1:17">
      <c r="A8" s="54" t="s">
        <v>169</v>
      </c>
      <c r="D8" s="135">
        <v>98</v>
      </c>
      <c r="E8" s="55">
        <v>8</v>
      </c>
      <c r="F8" s="55">
        <f>7.5+0.3</f>
        <v>7.8</v>
      </c>
      <c r="G8" s="136">
        <v>1087</v>
      </c>
      <c r="H8" s="55">
        <f t="shared" ref="H8:H18" si="0">SUM(E8*G8)</f>
        <v>8696</v>
      </c>
      <c r="J8" s="57">
        <v>2500</v>
      </c>
      <c r="K8" s="55">
        <f t="shared" ref="K8:K18" si="1">SUM(H8:J8)</f>
        <v>11196</v>
      </c>
    </row>
    <row r="9" spans="1:17">
      <c r="A9" s="54" t="s">
        <v>15</v>
      </c>
      <c r="D9" s="135">
        <v>84</v>
      </c>
      <c r="E9" s="55">
        <v>10.9</v>
      </c>
      <c r="F9" s="55">
        <f>1.6+0.6</f>
        <v>2.2000000000000002</v>
      </c>
      <c r="G9" s="136">
        <v>1057</v>
      </c>
      <c r="H9" s="55">
        <v>11521</v>
      </c>
      <c r="J9" s="55"/>
      <c r="K9" s="55">
        <f t="shared" si="1"/>
        <v>11521</v>
      </c>
    </row>
    <row r="10" spans="1:17">
      <c r="A10" s="54" t="s">
        <v>170</v>
      </c>
      <c r="D10" s="135">
        <v>80</v>
      </c>
      <c r="E10" s="57">
        <v>0.5</v>
      </c>
      <c r="F10" s="55">
        <v>0.5</v>
      </c>
      <c r="G10" s="136">
        <v>1000</v>
      </c>
      <c r="H10" s="55">
        <f t="shared" si="0"/>
        <v>500</v>
      </c>
      <c r="I10" s="57">
        <v>8047</v>
      </c>
      <c r="J10" s="55"/>
      <c r="K10" s="55">
        <f t="shared" si="1"/>
        <v>8547</v>
      </c>
      <c r="L10" s="54">
        <v>271</v>
      </c>
    </row>
    <row r="11" spans="1:17">
      <c r="A11" s="54" t="s">
        <v>171</v>
      </c>
      <c r="D11" s="135">
        <v>100</v>
      </c>
      <c r="E11" s="55">
        <v>11.17</v>
      </c>
      <c r="F11" s="55">
        <f>2.3+0.12</f>
        <v>2.42</v>
      </c>
      <c r="G11" s="136">
        <v>1008</v>
      </c>
      <c r="H11" s="55">
        <v>11259</v>
      </c>
      <c r="I11" s="55"/>
      <c r="J11" s="55" t="s">
        <v>172</v>
      </c>
      <c r="K11" s="55">
        <v>16250</v>
      </c>
    </row>
    <row r="12" spans="1:17">
      <c r="A12" s="54" t="s">
        <v>173</v>
      </c>
      <c r="D12" s="135">
        <v>100</v>
      </c>
      <c r="E12" s="55">
        <v>8</v>
      </c>
      <c r="F12" s="55">
        <f>2.1+0.7</f>
        <v>2.8</v>
      </c>
      <c r="G12" s="136">
        <v>1040</v>
      </c>
      <c r="H12" s="55">
        <v>8320</v>
      </c>
      <c r="I12" s="55"/>
      <c r="J12" s="55"/>
      <c r="K12" s="55">
        <f t="shared" si="1"/>
        <v>8320</v>
      </c>
    </row>
    <row r="13" spans="1:17">
      <c r="A13" s="54" t="s">
        <v>174</v>
      </c>
      <c r="D13" s="135">
        <v>100</v>
      </c>
      <c r="E13" s="55">
        <v>11.6</v>
      </c>
      <c r="F13" s="55">
        <f>1.7+1.9</f>
        <v>3.5999999999999996</v>
      </c>
      <c r="G13" s="136">
        <v>896</v>
      </c>
      <c r="H13" s="55">
        <v>10394</v>
      </c>
      <c r="I13" s="55"/>
      <c r="J13" s="55">
        <f>SUM(E27*G27)</f>
        <v>19320</v>
      </c>
      <c r="K13" s="55">
        <f t="shared" si="1"/>
        <v>29714</v>
      </c>
    </row>
    <row r="14" spans="1:17">
      <c r="A14" s="54" t="s">
        <v>1</v>
      </c>
      <c r="D14" s="135">
        <v>100</v>
      </c>
      <c r="E14" s="55">
        <v>7.1</v>
      </c>
      <c r="F14" s="55">
        <f>4.7+0.3</f>
        <v>5</v>
      </c>
      <c r="G14" s="136">
        <v>1069</v>
      </c>
      <c r="H14" s="55">
        <v>7590</v>
      </c>
      <c r="I14" s="55"/>
      <c r="J14" s="55">
        <f>E36*G36+E37*G37+E38*G38</f>
        <v>40926</v>
      </c>
      <c r="K14" s="55">
        <f t="shared" si="1"/>
        <v>48516</v>
      </c>
      <c r="M14" s="54" t="s">
        <v>175</v>
      </c>
    </row>
    <row r="15" spans="1:17">
      <c r="A15" s="54" t="s">
        <v>176</v>
      </c>
      <c r="D15" s="135">
        <v>100</v>
      </c>
      <c r="E15" s="57">
        <v>20</v>
      </c>
      <c r="F15" s="55">
        <v>9.0500000000000007</v>
      </c>
      <c r="G15" s="136">
        <v>960</v>
      </c>
      <c r="H15" s="55">
        <f t="shared" si="0"/>
        <v>19200</v>
      </c>
      <c r="I15" s="55"/>
      <c r="J15" s="55"/>
      <c r="K15" s="55">
        <f t="shared" si="1"/>
        <v>19200</v>
      </c>
      <c r="Q15" s="110"/>
    </row>
    <row r="16" spans="1:17">
      <c r="A16" s="54" t="s">
        <v>36</v>
      </c>
      <c r="D16" s="135">
        <v>100</v>
      </c>
      <c r="E16" s="55">
        <v>14.6</v>
      </c>
      <c r="F16" s="55">
        <v>12.2</v>
      </c>
      <c r="G16" s="136">
        <v>1000</v>
      </c>
      <c r="H16" s="55">
        <f t="shared" si="0"/>
        <v>14600</v>
      </c>
      <c r="I16" s="55"/>
      <c r="J16" s="55">
        <v>19151</v>
      </c>
      <c r="K16" s="55">
        <f t="shared" si="1"/>
        <v>33751</v>
      </c>
    </row>
    <row r="17" spans="1:13">
      <c r="A17" s="54" t="s">
        <v>177</v>
      </c>
      <c r="D17" s="135">
        <v>60</v>
      </c>
      <c r="E17" s="57">
        <v>25.43</v>
      </c>
      <c r="F17" s="55">
        <v>22.57</v>
      </c>
      <c r="G17" s="136">
        <v>1000</v>
      </c>
      <c r="H17" s="55">
        <f t="shared" si="0"/>
        <v>25430</v>
      </c>
      <c r="I17" s="55">
        <v>8170</v>
      </c>
      <c r="J17" s="55"/>
      <c r="K17" s="55">
        <f t="shared" si="1"/>
        <v>33600</v>
      </c>
    </row>
    <row r="18" spans="1:13">
      <c r="A18" s="54" t="s">
        <v>178</v>
      </c>
      <c r="D18" s="135">
        <v>100</v>
      </c>
      <c r="E18" s="55">
        <v>31.6</v>
      </c>
      <c r="F18" s="55">
        <f>9.9+6.9</f>
        <v>16.8</v>
      </c>
      <c r="G18" s="136">
        <v>895</v>
      </c>
      <c r="H18" s="55">
        <f t="shared" si="0"/>
        <v>28282</v>
      </c>
      <c r="I18" s="55"/>
      <c r="J18" s="55"/>
      <c r="K18" s="55">
        <f t="shared" si="1"/>
        <v>28282</v>
      </c>
    </row>
    <row r="19" spans="1:13">
      <c r="A19" s="101" t="s">
        <v>38</v>
      </c>
      <c r="B19" s="101"/>
      <c r="C19" s="101"/>
      <c r="D19" s="137"/>
      <c r="E19" s="138">
        <f>SUM(E8:E18)</f>
        <v>148.9</v>
      </c>
      <c r="F19" s="138">
        <f>SUM(F8:F18)</f>
        <v>84.940000000000012</v>
      </c>
      <c r="G19" s="138"/>
      <c r="H19" s="138">
        <f>SUM(H8:H18)</f>
        <v>145792</v>
      </c>
      <c r="I19" s="138">
        <f>SUM(I8:I18)</f>
        <v>16217</v>
      </c>
      <c r="J19" s="138">
        <v>86888</v>
      </c>
      <c r="K19" s="138">
        <f>SUM(H19:J19)</f>
        <v>248897</v>
      </c>
      <c r="L19" s="101">
        <f>SUM(L8:L18)</f>
        <v>271</v>
      </c>
      <c r="M19" s="101">
        <f>SUM(M8:M18)</f>
        <v>0</v>
      </c>
    </row>
    <row r="20" spans="1:13">
      <c r="A20" s="103" t="s">
        <v>39</v>
      </c>
      <c r="B20" s="103"/>
      <c r="C20" s="103"/>
      <c r="D20" s="139"/>
      <c r="E20" s="140">
        <f>SUM(E19-F19)</f>
        <v>63.959999999999994</v>
      </c>
      <c r="F20" s="140"/>
      <c r="G20" s="140"/>
      <c r="H20" s="140">
        <f>SUM(E31*G31)</f>
        <v>62592</v>
      </c>
      <c r="I20" s="140">
        <f>I19-L19</f>
        <v>15946</v>
      </c>
      <c r="J20" s="140">
        <f>J19-M19</f>
        <v>86888</v>
      </c>
      <c r="K20" s="140">
        <f>SUM(H20:J20)</f>
        <v>165426</v>
      </c>
      <c r="L20" s="103"/>
      <c r="M20" s="103"/>
    </row>
    <row r="21" spans="1:13">
      <c r="A21" s="54" t="s">
        <v>179</v>
      </c>
    </row>
    <row r="22" spans="1:13">
      <c r="C22" s="54" t="s">
        <v>40</v>
      </c>
    </row>
    <row r="24" spans="1:13">
      <c r="A24" s="54" t="s">
        <v>41</v>
      </c>
    </row>
    <row r="25" spans="1:13">
      <c r="A25" s="120" t="s">
        <v>42</v>
      </c>
      <c r="B25" s="120"/>
      <c r="C25" s="120"/>
      <c r="D25" s="120" t="s">
        <v>7</v>
      </c>
      <c r="E25" s="120" t="s">
        <v>43</v>
      </c>
      <c r="F25" s="120"/>
      <c r="G25" s="120" t="s">
        <v>180</v>
      </c>
      <c r="K25" s="141"/>
    </row>
    <row r="26" spans="1:13">
      <c r="A26" s="54" t="s">
        <v>45</v>
      </c>
      <c r="K26" s="141"/>
    </row>
    <row r="27" spans="1:13">
      <c r="A27" s="54" t="s">
        <v>14</v>
      </c>
      <c r="D27" s="54" t="s">
        <v>13</v>
      </c>
      <c r="E27" s="142">
        <v>0.69</v>
      </c>
      <c r="G27" s="110">
        <v>28000</v>
      </c>
      <c r="J27" s="126" t="s">
        <v>181</v>
      </c>
      <c r="K27" s="143">
        <v>0.67</v>
      </c>
    </row>
    <row r="28" spans="1:13">
      <c r="J28" s="126" t="s">
        <v>182</v>
      </c>
      <c r="K28" s="143">
        <v>0.27</v>
      </c>
    </row>
    <row r="29" spans="1:13">
      <c r="J29" s="126" t="s">
        <v>183</v>
      </c>
      <c r="K29" s="143">
        <v>0.06</v>
      </c>
    </row>
    <row r="30" spans="1:13">
      <c r="A30" s="54" t="s">
        <v>46</v>
      </c>
    </row>
    <row r="31" spans="1:13">
      <c r="A31" s="54" t="s">
        <v>47</v>
      </c>
      <c r="D31" s="54" t="s">
        <v>48</v>
      </c>
      <c r="E31" s="55">
        <v>64</v>
      </c>
      <c r="G31" s="55">
        <v>978</v>
      </c>
    </row>
    <row r="32" spans="1:13">
      <c r="A32" s="54" t="s">
        <v>49</v>
      </c>
      <c r="D32" s="54" t="s">
        <v>48</v>
      </c>
      <c r="E32" s="55">
        <v>85</v>
      </c>
    </row>
    <row r="33" spans="1:11">
      <c r="A33" s="54" t="s">
        <v>12</v>
      </c>
      <c r="E33" s="57">
        <f>SUM(E31:E32)</f>
        <v>149</v>
      </c>
      <c r="H33" s="110"/>
      <c r="J33" s="126" t="s">
        <v>120</v>
      </c>
      <c r="K33" s="126">
        <v>0.55000000000000004</v>
      </c>
    </row>
    <row r="34" spans="1:11">
      <c r="J34" s="126" t="s">
        <v>121</v>
      </c>
      <c r="K34" s="126">
        <v>0.25</v>
      </c>
    </row>
    <row r="35" spans="1:11">
      <c r="A35" s="101" t="s">
        <v>50</v>
      </c>
      <c r="B35" s="101"/>
      <c r="C35" s="101" t="s">
        <v>51</v>
      </c>
      <c r="D35" s="101"/>
      <c r="E35" s="101"/>
      <c r="F35" s="101"/>
      <c r="G35" s="101"/>
    </row>
    <row r="36" spans="1:11">
      <c r="A36" s="52" t="s">
        <v>184</v>
      </c>
      <c r="B36" s="134"/>
      <c r="C36" s="144">
        <v>68</v>
      </c>
      <c r="D36" s="53" t="s">
        <v>52</v>
      </c>
      <c r="E36" s="145">
        <v>41</v>
      </c>
      <c r="F36" s="52"/>
      <c r="G36" s="146">
        <v>174</v>
      </c>
    </row>
    <row r="37" spans="1:11">
      <c r="A37" s="52" t="s">
        <v>185</v>
      </c>
      <c r="B37" s="134"/>
      <c r="C37" s="144">
        <v>60</v>
      </c>
      <c r="D37" s="53" t="s">
        <v>13</v>
      </c>
      <c r="E37" s="125">
        <v>346</v>
      </c>
      <c r="F37" s="52"/>
      <c r="G37" s="146">
        <v>64</v>
      </c>
    </row>
    <row r="38" spans="1:11">
      <c r="A38" s="52" t="s">
        <v>3</v>
      </c>
      <c r="B38" s="134"/>
      <c r="C38" s="144">
        <v>50</v>
      </c>
      <c r="D38" s="53" t="s">
        <v>13</v>
      </c>
      <c r="E38" s="125">
        <v>182</v>
      </c>
      <c r="F38" s="52"/>
      <c r="G38" s="146">
        <v>64</v>
      </c>
    </row>
    <row r="39" spans="1:11">
      <c r="A39" s="101" t="s">
        <v>53</v>
      </c>
      <c r="B39" s="101"/>
      <c r="C39" s="101"/>
      <c r="D39" s="101"/>
      <c r="E39" s="101"/>
      <c r="F39" s="101"/>
      <c r="G39" s="101"/>
      <c r="J39" s="54" t="s">
        <v>186</v>
      </c>
    </row>
    <row r="40" spans="1:11">
      <c r="A40" s="52" t="s">
        <v>54</v>
      </c>
      <c r="B40" s="52"/>
      <c r="C40" s="52"/>
      <c r="D40" s="52"/>
      <c r="E40" s="52"/>
      <c r="F40" s="52"/>
      <c r="G40" s="129">
        <v>3553</v>
      </c>
      <c r="J40" s="130">
        <f>+G40*2.471</f>
        <v>8779.4629999999997</v>
      </c>
    </row>
    <row r="41" spans="1:11">
      <c r="A41" s="52" t="s">
        <v>55</v>
      </c>
      <c r="B41" s="52"/>
      <c r="C41" s="52"/>
      <c r="D41" s="52"/>
      <c r="E41" s="52"/>
      <c r="F41" s="52"/>
      <c r="G41" s="147">
        <v>186</v>
      </c>
      <c r="J41" s="130"/>
    </row>
    <row r="42" spans="1:11">
      <c r="A42" s="52" t="s">
        <v>56</v>
      </c>
      <c r="B42" s="52"/>
      <c r="C42" s="52"/>
      <c r="D42" s="52"/>
      <c r="E42" s="52"/>
      <c r="F42" s="52"/>
      <c r="G42" s="131">
        <f>SUM(G40*G41)</f>
        <v>660858</v>
      </c>
      <c r="J42" s="130">
        <f t="shared" ref="J42:J44" si="2">+G42*2.471</f>
        <v>1632980.118</v>
      </c>
    </row>
    <row r="43" spans="1:11">
      <c r="A43" s="52" t="s">
        <v>57</v>
      </c>
      <c r="B43" s="52"/>
      <c r="C43" s="52"/>
      <c r="D43" s="52"/>
      <c r="E43" s="52"/>
      <c r="F43" s="52"/>
      <c r="G43" s="131">
        <f>SUM(G42-K19)</f>
        <v>411961</v>
      </c>
      <c r="J43" s="130">
        <f t="shared" si="2"/>
        <v>1017955.6310000001</v>
      </c>
    </row>
    <row r="44" spans="1:11">
      <c r="A44" s="52" t="s">
        <v>58</v>
      </c>
      <c r="B44" s="52"/>
      <c r="C44" s="52"/>
      <c r="D44" s="52"/>
      <c r="E44" s="52"/>
      <c r="F44" s="52"/>
      <c r="G44" s="131">
        <f>SUM(G42-K20)</f>
        <v>495432</v>
      </c>
      <c r="J44" s="130">
        <f t="shared" si="2"/>
        <v>1224212.4720000001</v>
      </c>
    </row>
    <row r="45" spans="1:11">
      <c r="A45" s="52" t="s">
        <v>59</v>
      </c>
      <c r="B45" s="52"/>
      <c r="C45" s="52"/>
      <c r="D45" s="52"/>
      <c r="E45" s="52"/>
      <c r="F45" s="52"/>
      <c r="G45" s="131">
        <f>SUM(K19/G40)</f>
        <v>70.05263157894737</v>
      </c>
    </row>
    <row r="46" spans="1:11">
      <c r="A46" s="103" t="s">
        <v>60</v>
      </c>
      <c r="B46" s="103"/>
      <c r="C46" s="103"/>
      <c r="D46" s="103"/>
      <c r="E46" s="103"/>
      <c r="F46" s="103"/>
      <c r="G46" s="148">
        <f>SUM(K20/G40)</f>
        <v>46.559527160146352</v>
      </c>
    </row>
    <row r="47" spans="1:11">
      <c r="A47" s="54" t="s">
        <v>164</v>
      </c>
    </row>
    <row r="48" spans="1:11">
      <c r="A48" s="54" t="s">
        <v>187</v>
      </c>
    </row>
    <row r="49" spans="1:7">
      <c r="A49" s="54" t="s">
        <v>188</v>
      </c>
    </row>
    <row r="56" spans="1:7">
      <c r="G56" s="5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8"/>
  <sheetViews>
    <sheetView workbookViewId="0">
      <selection activeCell="K48" sqref="K48"/>
    </sheetView>
  </sheetViews>
  <sheetFormatPr defaultColWidth="9.140625" defaultRowHeight="14.25"/>
  <cols>
    <col min="1" max="1" width="12.28515625" style="110" customWidth="1"/>
    <col min="2" max="2" width="6" style="110" customWidth="1"/>
    <col min="3" max="3" width="5.140625" style="110" customWidth="1"/>
    <col min="4" max="4" width="4.42578125" style="110" customWidth="1"/>
    <col min="5" max="5" width="6.28515625" style="110" customWidth="1"/>
    <col min="6" max="6" width="6.140625" style="110" customWidth="1"/>
    <col min="7" max="7" width="9.7109375" style="110" customWidth="1"/>
    <col min="8" max="8" width="9.5703125" style="110" customWidth="1"/>
    <col min="9" max="9" width="8.85546875" style="110" customWidth="1"/>
    <col min="10" max="10" width="9.140625" style="110" customWidth="1"/>
    <col min="11" max="11" width="9.28515625" style="110" customWidth="1"/>
    <col min="12" max="12" width="7.28515625" style="110" customWidth="1"/>
    <col min="13" max="13" width="6.85546875" style="110" customWidth="1"/>
    <col min="14" max="14" width="9.42578125" style="110" bestFit="1" customWidth="1"/>
    <col min="15" max="16384" width="9.140625" style="110"/>
  </cols>
  <sheetData>
    <row r="1" spans="1:16">
      <c r="A1" s="110" t="s">
        <v>17</v>
      </c>
      <c r="B1" s="110" t="s">
        <v>189</v>
      </c>
    </row>
    <row r="2" spans="1:16">
      <c r="B2" s="149" t="s">
        <v>190</v>
      </c>
      <c r="C2" s="149" t="s">
        <v>191</v>
      </c>
      <c r="D2" s="149"/>
      <c r="E2" s="149"/>
      <c r="F2" s="149" t="s">
        <v>192</v>
      </c>
      <c r="G2" s="149"/>
      <c r="H2" s="149" t="s">
        <v>193</v>
      </c>
    </row>
    <row r="4" spans="1:16">
      <c r="A4" s="116" t="s">
        <v>18</v>
      </c>
      <c r="B4" s="116"/>
      <c r="C4" s="116"/>
      <c r="D4" s="150" t="s">
        <v>19</v>
      </c>
      <c r="E4" s="150" t="s">
        <v>12</v>
      </c>
      <c r="F4" s="150" t="s">
        <v>20</v>
      </c>
      <c r="G4" s="150" t="s">
        <v>21</v>
      </c>
      <c r="H4" s="150" t="s">
        <v>22</v>
      </c>
      <c r="I4" s="150" t="s">
        <v>23</v>
      </c>
      <c r="J4" s="150" t="s">
        <v>24</v>
      </c>
      <c r="K4" s="150" t="s">
        <v>25</v>
      </c>
      <c r="L4" s="151" t="s">
        <v>26</v>
      </c>
      <c r="M4" s="150"/>
    </row>
    <row r="5" spans="1:16">
      <c r="A5" s="125"/>
      <c r="B5" s="125"/>
      <c r="C5" s="125"/>
      <c r="D5" s="152" t="s">
        <v>27</v>
      </c>
      <c r="E5" s="152" t="s">
        <v>28</v>
      </c>
      <c r="F5" s="152" t="s">
        <v>28</v>
      </c>
      <c r="G5" s="152" t="s">
        <v>29</v>
      </c>
      <c r="H5" s="152" t="s">
        <v>30</v>
      </c>
      <c r="I5" s="152" t="s">
        <v>31</v>
      </c>
      <c r="J5" s="152" t="s">
        <v>30</v>
      </c>
      <c r="K5" s="152" t="s">
        <v>30</v>
      </c>
      <c r="L5" s="153" t="s">
        <v>23</v>
      </c>
      <c r="M5" s="152" t="s">
        <v>24</v>
      </c>
    </row>
    <row r="6" spans="1:16">
      <c r="A6" s="125"/>
      <c r="B6" s="125"/>
      <c r="C6" s="125"/>
      <c r="D6" s="152" t="s">
        <v>32</v>
      </c>
      <c r="E6" s="152"/>
      <c r="F6" s="152"/>
      <c r="G6" s="152"/>
      <c r="H6" s="152" t="s">
        <v>33</v>
      </c>
      <c r="I6" s="152" t="s">
        <v>30</v>
      </c>
      <c r="J6" s="152" t="s">
        <v>33</v>
      </c>
      <c r="K6" s="152" t="s">
        <v>33</v>
      </c>
      <c r="L6" s="152"/>
      <c r="M6" s="152"/>
    </row>
    <row r="7" spans="1:16">
      <c r="A7" s="119"/>
      <c r="B7" s="119"/>
      <c r="C7" s="119"/>
      <c r="D7" s="154"/>
      <c r="E7" s="154"/>
      <c r="F7" s="154"/>
      <c r="G7" s="154"/>
      <c r="H7" s="154"/>
      <c r="I7" s="154" t="s">
        <v>33</v>
      </c>
      <c r="J7" s="154"/>
      <c r="K7" s="154"/>
      <c r="L7" s="154"/>
      <c r="M7" s="154"/>
    </row>
    <row r="8" spans="1:16">
      <c r="A8" s="110" t="s">
        <v>15</v>
      </c>
      <c r="D8" s="155">
        <v>90</v>
      </c>
      <c r="E8" s="57">
        <v>8.7200000000000006</v>
      </c>
      <c r="F8" s="57">
        <v>2.04</v>
      </c>
      <c r="G8" s="156">
        <v>1199</v>
      </c>
      <c r="H8" s="157">
        <v>10455</v>
      </c>
      <c r="I8" s="157"/>
      <c r="J8" s="157"/>
      <c r="K8" s="157">
        <f t="shared" ref="K8:K19" si="0">SUM(H8:J8)</f>
        <v>10455</v>
      </c>
      <c r="L8" s="157"/>
      <c r="M8" s="157"/>
      <c r="N8" s="158"/>
      <c r="P8" s="57"/>
    </row>
    <row r="9" spans="1:16">
      <c r="A9" s="110" t="s">
        <v>170</v>
      </c>
      <c r="D9" s="155">
        <v>90</v>
      </c>
      <c r="E9" s="57">
        <v>0.84</v>
      </c>
      <c r="F9" s="57">
        <v>0.39</v>
      </c>
      <c r="G9" s="156">
        <v>1300</v>
      </c>
      <c r="H9" s="157">
        <f t="shared" ref="H9:H18" si="1">SUM(E9*G9)</f>
        <v>1092</v>
      </c>
      <c r="I9" s="157">
        <v>8027</v>
      </c>
      <c r="J9" s="157"/>
      <c r="K9" s="157">
        <f t="shared" si="0"/>
        <v>9119</v>
      </c>
      <c r="L9" s="157">
        <v>623</v>
      </c>
      <c r="M9" s="157"/>
      <c r="N9" s="158"/>
      <c r="P9" s="57"/>
    </row>
    <row r="10" spans="1:16">
      <c r="A10" s="110" t="s">
        <v>194</v>
      </c>
      <c r="D10" s="159" t="s">
        <v>195</v>
      </c>
      <c r="E10" s="106" t="s">
        <v>196</v>
      </c>
      <c r="F10" s="106" t="s">
        <v>197</v>
      </c>
      <c r="G10" s="160">
        <v>1100</v>
      </c>
      <c r="H10" s="157" t="s">
        <v>198</v>
      </c>
      <c r="I10" s="157"/>
      <c r="J10" s="157"/>
      <c r="K10" s="157">
        <f>SUM(H10:J10)</f>
        <v>0</v>
      </c>
      <c r="L10" s="157"/>
      <c r="M10" s="157"/>
      <c r="N10" s="158"/>
      <c r="P10" s="106"/>
    </row>
    <row r="11" spans="1:16">
      <c r="A11" s="110" t="s">
        <v>199</v>
      </c>
      <c r="D11" s="155">
        <v>100</v>
      </c>
      <c r="E11" s="57">
        <v>17.32</v>
      </c>
      <c r="F11" s="57">
        <v>1.18</v>
      </c>
      <c r="G11" s="156">
        <v>1163</v>
      </c>
      <c r="H11" s="157">
        <v>20143</v>
      </c>
      <c r="I11" s="157"/>
      <c r="J11" s="157" t="s">
        <v>200</v>
      </c>
      <c r="K11" s="157">
        <v>24147</v>
      </c>
      <c r="L11" s="157"/>
      <c r="M11" s="157"/>
      <c r="N11" s="158"/>
      <c r="P11" s="57"/>
    </row>
    <row r="12" spans="1:16">
      <c r="A12" s="110" t="s">
        <v>201</v>
      </c>
      <c r="D12" s="155">
        <v>100</v>
      </c>
      <c r="E12" s="57">
        <v>9.76</v>
      </c>
      <c r="F12" s="57">
        <v>2.31</v>
      </c>
      <c r="G12" s="156">
        <v>1147</v>
      </c>
      <c r="H12" s="157">
        <v>11195</v>
      </c>
      <c r="I12" s="157"/>
      <c r="J12" s="157">
        <v>10115</v>
      </c>
      <c r="K12" s="157">
        <f>SUM(H12:J12)</f>
        <v>21310</v>
      </c>
      <c r="L12" s="157"/>
      <c r="M12" s="157"/>
      <c r="N12" s="158"/>
      <c r="P12" s="57"/>
    </row>
    <row r="13" spans="1:16">
      <c r="A13" s="110" t="s">
        <v>1</v>
      </c>
      <c r="D13" s="155">
        <v>100</v>
      </c>
      <c r="E13" s="57">
        <v>13.24</v>
      </c>
      <c r="F13" s="57">
        <v>2.09</v>
      </c>
      <c r="G13" s="156">
        <v>1103</v>
      </c>
      <c r="H13" s="157">
        <v>14604</v>
      </c>
      <c r="I13" s="157"/>
      <c r="J13" s="157">
        <f>+E37*G37+E38*G38+E39*G39</f>
        <v>43840</v>
      </c>
      <c r="K13" s="157">
        <f t="shared" si="0"/>
        <v>58444</v>
      </c>
      <c r="L13" s="157"/>
      <c r="M13" s="157"/>
      <c r="N13" s="158"/>
      <c r="P13" s="57"/>
    </row>
    <row r="14" spans="1:16">
      <c r="A14" s="110" t="s">
        <v>202</v>
      </c>
      <c r="D14" s="155">
        <v>100</v>
      </c>
      <c r="E14" s="57">
        <v>20.27</v>
      </c>
      <c r="F14" s="57">
        <v>0.74</v>
      </c>
      <c r="G14" s="156">
        <v>705</v>
      </c>
      <c r="H14" s="157">
        <v>14290</v>
      </c>
      <c r="I14" s="157"/>
      <c r="J14" s="157"/>
      <c r="K14" s="157">
        <f t="shared" si="0"/>
        <v>14290</v>
      </c>
      <c r="L14" s="157"/>
      <c r="M14" s="157"/>
      <c r="N14" s="158"/>
      <c r="P14" s="57"/>
    </row>
    <row r="15" spans="1:16">
      <c r="A15" s="110" t="s">
        <v>203</v>
      </c>
      <c r="D15" s="161" t="s">
        <v>204</v>
      </c>
      <c r="E15" s="57" t="s">
        <v>205</v>
      </c>
      <c r="F15" s="57" t="s">
        <v>205</v>
      </c>
      <c r="G15" s="156">
        <v>1300</v>
      </c>
      <c r="H15" s="157" t="s">
        <v>206</v>
      </c>
      <c r="I15" s="157"/>
      <c r="J15" s="162" t="s">
        <v>207</v>
      </c>
      <c r="K15" s="162">
        <v>0</v>
      </c>
      <c r="L15" s="157"/>
      <c r="M15" s="157"/>
      <c r="N15" s="158"/>
      <c r="P15" s="57"/>
    </row>
    <row r="16" spans="1:16">
      <c r="A16" s="110" t="s">
        <v>36</v>
      </c>
      <c r="D16" s="155">
        <v>100</v>
      </c>
      <c r="E16" s="57">
        <v>9.16</v>
      </c>
      <c r="F16" s="57">
        <v>2.4900000000000002</v>
      </c>
      <c r="G16" s="156">
        <v>1055</v>
      </c>
      <c r="H16" s="157">
        <v>9664</v>
      </c>
      <c r="I16" s="157"/>
      <c r="J16" s="157">
        <v>13005</v>
      </c>
      <c r="K16" s="157">
        <f t="shared" si="0"/>
        <v>22669</v>
      </c>
      <c r="L16" s="157"/>
      <c r="M16" s="157"/>
      <c r="N16" s="158"/>
      <c r="P16" s="57"/>
    </row>
    <row r="17" spans="1:16">
      <c r="A17" s="110" t="s">
        <v>37</v>
      </c>
      <c r="D17" s="155">
        <v>100</v>
      </c>
      <c r="E17" s="57">
        <v>30</v>
      </c>
      <c r="F17" s="57">
        <v>27.95</v>
      </c>
      <c r="G17" s="156">
        <v>1340</v>
      </c>
      <c r="H17" s="157">
        <f t="shared" si="1"/>
        <v>40200</v>
      </c>
      <c r="I17" s="157">
        <v>10913</v>
      </c>
      <c r="J17" s="157"/>
      <c r="K17" s="157">
        <f t="shared" si="0"/>
        <v>51113</v>
      </c>
      <c r="L17" s="157"/>
      <c r="M17" s="157"/>
      <c r="N17" s="158"/>
      <c r="P17" s="57"/>
    </row>
    <row r="18" spans="1:16">
      <c r="A18" s="110" t="s">
        <v>208</v>
      </c>
      <c r="D18" s="155">
        <v>78</v>
      </c>
      <c r="E18" s="57"/>
      <c r="F18" s="57"/>
      <c r="G18" s="156"/>
      <c r="H18" s="157">
        <f t="shared" si="1"/>
        <v>0</v>
      </c>
      <c r="I18" s="157"/>
      <c r="J18" s="157"/>
      <c r="K18" s="157">
        <f t="shared" si="0"/>
        <v>0</v>
      </c>
      <c r="L18" s="157"/>
      <c r="M18" s="157"/>
      <c r="N18" s="158"/>
      <c r="P18" s="57"/>
    </row>
    <row r="19" spans="1:16">
      <c r="A19" s="110" t="s">
        <v>209</v>
      </c>
      <c r="D19" s="155" t="s">
        <v>210</v>
      </c>
      <c r="E19" s="57" t="s">
        <v>211</v>
      </c>
      <c r="F19" s="57" t="s">
        <v>212</v>
      </c>
      <c r="G19" s="156">
        <v>904</v>
      </c>
      <c r="H19" s="157" t="s">
        <v>213</v>
      </c>
      <c r="I19" s="157"/>
      <c r="J19" s="157"/>
      <c r="K19" s="157">
        <f t="shared" si="0"/>
        <v>0</v>
      </c>
      <c r="L19" s="157"/>
      <c r="M19" s="157"/>
      <c r="N19" s="158"/>
    </row>
    <row r="20" spans="1:16">
      <c r="A20" s="116" t="s">
        <v>38</v>
      </c>
      <c r="B20" s="116"/>
      <c r="C20" s="116"/>
      <c r="D20" s="114"/>
      <c r="E20" s="115">
        <f>SUM(E8:E19)</f>
        <v>109.31</v>
      </c>
      <c r="F20" s="115">
        <f>SUM(F8:F19)</f>
        <v>39.19</v>
      </c>
      <c r="G20" s="163"/>
      <c r="H20" s="163">
        <f>SUM(H8:H19)</f>
        <v>121643</v>
      </c>
      <c r="I20" s="163">
        <f>SUM(I8:I18)</f>
        <v>18940</v>
      </c>
      <c r="J20" s="163">
        <v>70964</v>
      </c>
      <c r="K20" s="163">
        <f>SUM(H20:J20)</f>
        <v>211547</v>
      </c>
      <c r="L20" s="163">
        <f>SUM(L8:L18)</f>
        <v>623</v>
      </c>
      <c r="M20" s="163">
        <f>SUM(M8:M18)</f>
        <v>0</v>
      </c>
    </row>
    <row r="21" spans="1:16">
      <c r="A21" s="119" t="s">
        <v>39</v>
      </c>
      <c r="B21" s="119"/>
      <c r="C21" s="119"/>
      <c r="D21" s="117"/>
      <c r="E21" s="118">
        <f>SUM(E20-F20)</f>
        <v>70.12</v>
      </c>
      <c r="F21" s="118"/>
      <c r="G21" s="164"/>
      <c r="H21" s="164">
        <f>+E32*G32</f>
        <v>78120</v>
      </c>
      <c r="I21" s="164">
        <f>I20-L20</f>
        <v>18317</v>
      </c>
      <c r="J21" s="164">
        <f>J20-M20</f>
        <v>70964</v>
      </c>
      <c r="K21" s="164">
        <f>+H21+I21+J21</f>
        <v>167401</v>
      </c>
      <c r="L21" s="119"/>
      <c r="M21" s="164"/>
    </row>
    <row r="22" spans="1:16">
      <c r="A22" s="110" t="s">
        <v>214</v>
      </c>
    </row>
    <row r="23" spans="1:16">
      <c r="A23" s="110" t="s">
        <v>215</v>
      </c>
    </row>
    <row r="24" spans="1:16">
      <c r="C24" s="110" t="s">
        <v>40</v>
      </c>
    </row>
    <row r="25" spans="1:16">
      <c r="A25" s="110" t="s">
        <v>41</v>
      </c>
      <c r="K25" s="165"/>
    </row>
    <row r="26" spans="1:16">
      <c r="A26" s="166" t="s">
        <v>42</v>
      </c>
      <c r="B26" s="166"/>
      <c r="C26" s="166"/>
      <c r="D26" s="166" t="s">
        <v>7</v>
      </c>
      <c r="E26" s="166" t="s">
        <v>43</v>
      </c>
      <c r="F26" s="166"/>
      <c r="G26" s="166" t="s">
        <v>44</v>
      </c>
    </row>
    <row r="27" spans="1:16">
      <c r="A27" s="110" t="s">
        <v>45</v>
      </c>
    </row>
    <row r="28" spans="1:16">
      <c r="A28" s="110" t="s">
        <v>14</v>
      </c>
      <c r="D28" s="110" t="s">
        <v>13</v>
      </c>
      <c r="E28" s="57">
        <v>1.5</v>
      </c>
      <c r="G28" s="57">
        <v>6743</v>
      </c>
      <c r="I28" s="167" t="s">
        <v>216</v>
      </c>
      <c r="J28" s="167"/>
    </row>
    <row r="29" spans="1:16">
      <c r="I29" s="168" t="s">
        <v>217</v>
      </c>
      <c r="J29" s="169">
        <v>50</v>
      </c>
    </row>
    <row r="30" spans="1:16">
      <c r="I30" s="124" t="s">
        <v>218</v>
      </c>
      <c r="J30" s="169">
        <v>42</v>
      </c>
    </row>
    <row r="31" spans="1:16">
      <c r="A31" s="110" t="s">
        <v>46</v>
      </c>
      <c r="I31" s="168" t="s">
        <v>77</v>
      </c>
      <c r="J31" s="169">
        <v>8</v>
      </c>
    </row>
    <row r="32" spans="1:16">
      <c r="A32" s="110" t="s">
        <v>47</v>
      </c>
      <c r="D32" s="110" t="s">
        <v>48</v>
      </c>
      <c r="E32" s="57">
        <v>70</v>
      </c>
      <c r="G32" s="57">
        <v>1116</v>
      </c>
      <c r="I32" s="167"/>
      <c r="J32" s="170"/>
    </row>
    <row r="33" spans="1:10">
      <c r="A33" s="110" t="s">
        <v>49</v>
      </c>
      <c r="D33" s="110" t="s">
        <v>48</v>
      </c>
      <c r="E33" s="57">
        <v>39</v>
      </c>
      <c r="I33" s="124" t="s">
        <v>120</v>
      </c>
      <c r="J33" s="171">
        <v>0.86</v>
      </c>
    </row>
    <row r="34" spans="1:10">
      <c r="A34" s="110" t="s">
        <v>12</v>
      </c>
      <c r="E34" s="57">
        <f>SUM(E32:E33)</f>
        <v>109</v>
      </c>
      <c r="I34" s="124" t="s">
        <v>121</v>
      </c>
      <c r="J34" s="172" t="s">
        <v>219</v>
      </c>
    </row>
    <row r="36" spans="1:10">
      <c r="A36" s="116" t="s">
        <v>50</v>
      </c>
      <c r="B36" s="116"/>
      <c r="C36" s="116" t="s">
        <v>51</v>
      </c>
      <c r="D36" s="116"/>
      <c r="E36" s="116"/>
      <c r="F36" s="116"/>
      <c r="G36" s="116"/>
    </row>
    <row r="37" spans="1:10">
      <c r="A37" s="153" t="s">
        <v>220</v>
      </c>
      <c r="B37" s="173"/>
      <c r="C37" s="110">
        <v>50</v>
      </c>
      <c r="D37" s="152" t="s">
        <v>13</v>
      </c>
      <c r="E37" s="146">
        <v>295</v>
      </c>
      <c r="F37" s="125"/>
      <c r="G37" s="146">
        <v>60</v>
      </c>
    </row>
    <row r="38" spans="1:10">
      <c r="A38" s="153" t="s">
        <v>221</v>
      </c>
      <c r="B38" s="173"/>
      <c r="C38" s="110">
        <v>86</v>
      </c>
      <c r="D38" s="152" t="s">
        <v>13</v>
      </c>
      <c r="E38" s="146">
        <v>250</v>
      </c>
      <c r="F38" s="125"/>
      <c r="G38" s="146">
        <v>58</v>
      </c>
    </row>
    <row r="39" spans="1:10">
      <c r="A39" s="153" t="s">
        <v>222</v>
      </c>
      <c r="B39" s="173"/>
      <c r="C39" s="110">
        <v>48</v>
      </c>
      <c r="D39" s="152" t="s">
        <v>52</v>
      </c>
      <c r="E39" s="146">
        <v>60</v>
      </c>
      <c r="F39" s="125"/>
      <c r="G39" s="146">
        <v>194</v>
      </c>
    </row>
    <row r="40" spans="1:10">
      <c r="A40" s="116" t="s">
        <v>53</v>
      </c>
      <c r="B40" s="116"/>
      <c r="C40" s="116"/>
      <c r="D40" s="116"/>
      <c r="E40" s="116"/>
      <c r="F40" s="116"/>
      <c r="G40" s="116" t="s">
        <v>223</v>
      </c>
      <c r="I40" s="110" t="s">
        <v>224</v>
      </c>
    </row>
    <row r="41" spans="1:10">
      <c r="A41" s="125" t="s">
        <v>54</v>
      </c>
      <c r="B41" s="125"/>
      <c r="C41" s="125"/>
      <c r="D41" s="125"/>
      <c r="E41" s="125"/>
      <c r="F41" s="125"/>
      <c r="G41" s="129">
        <v>5724</v>
      </c>
      <c r="I41" s="110">
        <f>G41*2.471</f>
        <v>14144.004000000001</v>
      </c>
    </row>
    <row r="42" spans="1:10">
      <c r="A42" s="125" t="s">
        <v>55</v>
      </c>
      <c r="B42" s="125"/>
      <c r="C42" s="125"/>
      <c r="D42" s="125"/>
      <c r="E42" s="125"/>
      <c r="F42" s="125"/>
      <c r="G42" s="147">
        <v>89</v>
      </c>
    </row>
    <row r="43" spans="1:10">
      <c r="A43" s="125" t="s">
        <v>56</v>
      </c>
      <c r="B43" s="125"/>
      <c r="C43" s="125"/>
      <c r="D43" s="125"/>
      <c r="E43" s="125"/>
      <c r="F43" s="125"/>
      <c r="G43" s="147">
        <f>SUM(G41*G42)</f>
        <v>509436</v>
      </c>
      <c r="I43" s="158">
        <f>G43*2.471</f>
        <v>1258816.3560000001</v>
      </c>
    </row>
    <row r="44" spans="1:10">
      <c r="A44" s="125" t="s">
        <v>57</v>
      </c>
      <c r="B44" s="125"/>
      <c r="C44" s="125"/>
      <c r="D44" s="125"/>
      <c r="E44" s="125"/>
      <c r="F44" s="125"/>
      <c r="G44" s="147">
        <f>SUM(G43-K20)</f>
        <v>297889</v>
      </c>
      <c r="I44" s="158">
        <f>G44*2.471</f>
        <v>736083.71900000004</v>
      </c>
    </row>
    <row r="45" spans="1:10">
      <c r="A45" s="125" t="s">
        <v>58</v>
      </c>
      <c r="B45" s="125"/>
      <c r="C45" s="125"/>
      <c r="D45" s="125"/>
      <c r="E45" s="125"/>
      <c r="F45" s="125"/>
      <c r="G45" s="147">
        <f>SUM(G43-K21)</f>
        <v>342035</v>
      </c>
      <c r="I45" s="158">
        <f>G45*2.471</f>
        <v>845168.48499999999</v>
      </c>
    </row>
    <row r="46" spans="1:10">
      <c r="A46" s="125" t="s">
        <v>59</v>
      </c>
      <c r="B46" s="125"/>
      <c r="C46" s="125"/>
      <c r="D46" s="125"/>
      <c r="E46" s="125"/>
      <c r="F46" s="125"/>
      <c r="G46" s="147">
        <f>SUM(K20/G41)</f>
        <v>36.957896575821103</v>
      </c>
    </row>
    <row r="47" spans="1:10">
      <c r="A47" s="119" t="s">
        <v>60</v>
      </c>
      <c r="B47" s="119"/>
      <c r="C47" s="119"/>
      <c r="D47" s="119"/>
      <c r="E47" s="119"/>
      <c r="F47" s="119"/>
      <c r="G47" s="164">
        <f>SUM(K21/G41)</f>
        <v>29.245457721872818</v>
      </c>
    </row>
    <row r="49" spans="1:7">
      <c r="A49" s="110" t="s">
        <v>164</v>
      </c>
      <c r="D49" s="132" t="s">
        <v>225</v>
      </c>
    </row>
    <row r="58" spans="1:7">
      <c r="G58" s="110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0"/>
  <sheetViews>
    <sheetView workbookViewId="0">
      <selection sqref="A1:XFD1048576"/>
    </sheetView>
  </sheetViews>
  <sheetFormatPr defaultRowHeight="14.25"/>
  <cols>
    <col min="1" max="1" width="9.140625" style="54"/>
    <col min="2" max="2" width="6.28515625" style="54" customWidth="1"/>
    <col min="3" max="3" width="7.42578125" style="54" customWidth="1"/>
    <col min="4" max="4" width="6.5703125" style="54" customWidth="1"/>
    <col min="5" max="5" width="6.85546875" style="54" customWidth="1"/>
    <col min="6" max="6" width="6.7109375" style="54" customWidth="1"/>
    <col min="7" max="7" width="10.140625" style="54" customWidth="1"/>
    <col min="8" max="8" width="9.5703125" style="54" customWidth="1"/>
    <col min="9" max="9" width="7.85546875" style="54" customWidth="1"/>
    <col min="10" max="10" width="9" style="54" customWidth="1"/>
    <col min="11" max="11" width="9.140625" style="54" customWidth="1"/>
    <col min="12" max="12" width="6.5703125" style="54" customWidth="1"/>
    <col min="13" max="13" width="5.85546875" style="54" customWidth="1"/>
    <col min="14" max="15" width="9.140625" style="54"/>
    <col min="16" max="16" width="2.85546875" style="54" customWidth="1"/>
    <col min="17" max="17" width="5.5703125" style="54" customWidth="1"/>
    <col min="18" max="18" width="4.7109375" style="54" customWidth="1"/>
    <col min="19" max="19" width="9.140625" style="110"/>
    <col min="20" max="16384" width="9.140625" style="54"/>
  </cols>
  <sheetData>
    <row r="1" spans="1:19">
      <c r="A1" s="54" t="s">
        <v>17</v>
      </c>
      <c r="B1" s="54" t="s">
        <v>226</v>
      </c>
    </row>
    <row r="2" spans="1:19">
      <c r="B2" s="54" t="s">
        <v>227</v>
      </c>
    </row>
    <row r="3" spans="1:19">
      <c r="B3" s="54" t="s">
        <v>228</v>
      </c>
    </row>
    <row r="4" spans="1:19">
      <c r="A4" s="101" t="s">
        <v>18</v>
      </c>
      <c r="B4" s="101"/>
      <c r="C4" s="101"/>
      <c r="D4" s="102" t="s">
        <v>19</v>
      </c>
      <c r="E4" s="102" t="s">
        <v>12</v>
      </c>
      <c r="F4" s="102" t="s">
        <v>20</v>
      </c>
      <c r="G4" s="102" t="s">
        <v>21</v>
      </c>
      <c r="H4" s="102" t="s">
        <v>22</v>
      </c>
      <c r="I4" s="102" t="s">
        <v>23</v>
      </c>
      <c r="J4" s="102" t="s">
        <v>24</v>
      </c>
      <c r="K4" s="102" t="s">
        <v>25</v>
      </c>
      <c r="L4" s="133" t="s">
        <v>26</v>
      </c>
      <c r="M4" s="102"/>
    </row>
    <row r="5" spans="1:19">
      <c r="A5" s="52"/>
      <c r="B5" s="52"/>
      <c r="C5" s="52"/>
      <c r="D5" s="53" t="s">
        <v>27</v>
      </c>
      <c r="E5" s="53" t="s">
        <v>28</v>
      </c>
      <c r="F5" s="53" t="s">
        <v>28</v>
      </c>
      <c r="G5" s="53" t="s">
        <v>29</v>
      </c>
      <c r="H5" s="53" t="s">
        <v>30</v>
      </c>
      <c r="I5" s="53" t="s">
        <v>31</v>
      </c>
      <c r="J5" s="53" t="s">
        <v>30</v>
      </c>
      <c r="K5" s="53" t="s">
        <v>30</v>
      </c>
      <c r="L5" s="134" t="s">
        <v>23</v>
      </c>
      <c r="M5" s="53" t="s">
        <v>24</v>
      </c>
    </row>
    <row r="6" spans="1:19">
      <c r="A6" s="52"/>
      <c r="B6" s="52"/>
      <c r="C6" s="52"/>
      <c r="D6" s="53" t="s">
        <v>32</v>
      </c>
      <c r="E6" s="53"/>
      <c r="F6" s="53"/>
      <c r="G6" s="53"/>
      <c r="H6" s="53" t="s">
        <v>33</v>
      </c>
      <c r="I6" s="53" t="s">
        <v>30</v>
      </c>
      <c r="J6" s="53" t="s">
        <v>33</v>
      </c>
      <c r="K6" s="53" t="s">
        <v>33</v>
      </c>
      <c r="L6" s="53"/>
      <c r="M6" s="53"/>
    </row>
    <row r="7" spans="1:19">
      <c r="A7" s="103"/>
      <c r="B7" s="103"/>
      <c r="C7" s="103"/>
      <c r="D7" s="104"/>
      <c r="E7" s="104"/>
      <c r="F7" s="104"/>
      <c r="G7" s="104"/>
      <c r="H7" s="104"/>
      <c r="I7" s="104" t="s">
        <v>33</v>
      </c>
      <c r="J7" s="104"/>
      <c r="K7" s="104"/>
      <c r="L7" s="104"/>
      <c r="M7" s="104"/>
    </row>
    <row r="8" spans="1:19">
      <c r="A8" s="54" t="s">
        <v>74</v>
      </c>
      <c r="D8" s="135">
        <v>100</v>
      </c>
      <c r="E8" s="55">
        <v>4.4000000000000004</v>
      </c>
      <c r="F8" s="55">
        <v>4.4000000000000004</v>
      </c>
      <c r="G8" s="136">
        <v>1200</v>
      </c>
      <c r="H8" s="55">
        <f t="shared" ref="H8:H17" si="0">SUM(E8*G8)</f>
        <v>5280</v>
      </c>
      <c r="J8" s="57">
        <v>1351</v>
      </c>
      <c r="K8" s="55">
        <f t="shared" ref="K8:K16" si="1">SUM(H8:J8)</f>
        <v>6631</v>
      </c>
      <c r="N8" s="125"/>
      <c r="O8" s="125"/>
      <c r="P8" s="125"/>
      <c r="Q8" s="174"/>
      <c r="R8" s="152"/>
      <c r="S8" s="57"/>
    </row>
    <row r="9" spans="1:19">
      <c r="A9" s="54" t="s">
        <v>15</v>
      </c>
      <c r="D9" s="135">
        <v>74</v>
      </c>
      <c r="E9" s="57">
        <v>8.61</v>
      </c>
      <c r="F9" s="55">
        <v>6.32</v>
      </c>
      <c r="G9" s="136">
        <v>1200</v>
      </c>
      <c r="H9" s="55">
        <f t="shared" si="0"/>
        <v>10332</v>
      </c>
      <c r="J9" s="55"/>
      <c r="K9" s="55">
        <f t="shared" si="1"/>
        <v>10332</v>
      </c>
      <c r="N9" s="125"/>
      <c r="O9" s="125"/>
      <c r="P9" s="125"/>
      <c r="Q9" s="175"/>
      <c r="R9" s="176"/>
      <c r="S9" s="57"/>
    </row>
    <row r="10" spans="1:19">
      <c r="A10" s="54" t="s">
        <v>229</v>
      </c>
      <c r="D10" s="135">
        <v>68</v>
      </c>
      <c r="E10" s="55">
        <v>0.36</v>
      </c>
      <c r="F10" s="55">
        <v>0.36</v>
      </c>
      <c r="G10" s="136">
        <v>1200</v>
      </c>
      <c r="H10" s="55">
        <f t="shared" si="0"/>
        <v>432</v>
      </c>
      <c r="I10" s="57">
        <v>7659</v>
      </c>
      <c r="J10" s="55"/>
      <c r="K10" s="55">
        <f t="shared" si="1"/>
        <v>8091</v>
      </c>
      <c r="L10" s="110">
        <v>672</v>
      </c>
      <c r="N10" s="125"/>
      <c r="O10" s="125"/>
      <c r="P10" s="125"/>
      <c r="Q10" s="175"/>
      <c r="R10" s="176"/>
      <c r="S10" s="57"/>
    </row>
    <row r="11" spans="1:19">
      <c r="A11" s="54" t="s">
        <v>230</v>
      </c>
      <c r="D11" s="135" t="s">
        <v>231</v>
      </c>
      <c r="E11" s="55" t="s">
        <v>232</v>
      </c>
      <c r="F11" s="55" t="s">
        <v>233</v>
      </c>
      <c r="G11" s="136">
        <v>1200</v>
      </c>
      <c r="H11" s="55" t="s">
        <v>234</v>
      </c>
      <c r="I11" s="57"/>
      <c r="J11" s="55"/>
      <c r="K11" s="55">
        <f t="shared" ref="K11" si="2">SUM(H11:J11)</f>
        <v>0</v>
      </c>
      <c r="L11" s="110"/>
      <c r="N11" s="125"/>
      <c r="O11" s="125"/>
      <c r="P11" s="125"/>
      <c r="Q11" s="175"/>
      <c r="R11" s="176"/>
      <c r="S11" s="57"/>
    </row>
    <row r="12" spans="1:19">
      <c r="A12" s="54" t="s">
        <v>235</v>
      </c>
      <c r="D12" s="135">
        <v>58</v>
      </c>
      <c r="E12" s="55">
        <v>10.96</v>
      </c>
      <c r="F12" s="55">
        <v>7.28</v>
      </c>
      <c r="G12" s="136">
        <v>1200</v>
      </c>
      <c r="H12" s="55">
        <f t="shared" si="0"/>
        <v>13152.000000000002</v>
      </c>
      <c r="J12" s="55"/>
      <c r="K12" s="55">
        <f t="shared" si="1"/>
        <v>13152.000000000002</v>
      </c>
      <c r="M12" s="52">
        <f>SUM(M8:M10)</f>
        <v>0</v>
      </c>
      <c r="N12" s="125"/>
      <c r="O12" s="125"/>
      <c r="P12" s="125"/>
      <c r="Q12" s="177"/>
      <c r="R12" s="177"/>
      <c r="S12" s="57"/>
    </row>
    <row r="13" spans="1:19">
      <c r="A13" s="54" t="s">
        <v>174</v>
      </c>
      <c r="D13" s="135">
        <v>100</v>
      </c>
      <c r="E13" s="55">
        <v>11.01</v>
      </c>
      <c r="F13" s="55">
        <v>9.81</v>
      </c>
      <c r="G13" s="136">
        <v>1200</v>
      </c>
      <c r="H13" s="55">
        <f t="shared" si="0"/>
        <v>13212</v>
      </c>
      <c r="J13" s="55">
        <v>2185</v>
      </c>
      <c r="K13" s="55">
        <f t="shared" si="1"/>
        <v>15397</v>
      </c>
      <c r="M13" s="54">
        <v>237</v>
      </c>
      <c r="N13" s="125"/>
      <c r="O13" s="125"/>
      <c r="P13" s="125"/>
      <c r="Q13" s="175"/>
      <c r="R13" s="176"/>
      <c r="S13" s="57"/>
    </row>
    <row r="14" spans="1:19">
      <c r="A14" s="54" t="s">
        <v>1</v>
      </c>
      <c r="D14" s="135">
        <v>100</v>
      </c>
      <c r="E14" s="57">
        <v>6.26</v>
      </c>
      <c r="F14" s="55">
        <v>5.55</v>
      </c>
      <c r="G14" s="136">
        <v>1200</v>
      </c>
      <c r="H14" s="55">
        <f t="shared" si="0"/>
        <v>7512</v>
      </c>
      <c r="J14" s="55">
        <f>E31*G31+E32*G32</f>
        <v>18186</v>
      </c>
      <c r="K14" s="55">
        <f t="shared" si="1"/>
        <v>25698</v>
      </c>
      <c r="N14" s="125"/>
      <c r="O14" s="125"/>
      <c r="P14" s="125"/>
      <c r="Q14" s="175"/>
      <c r="R14" s="176"/>
      <c r="S14" s="57"/>
    </row>
    <row r="15" spans="1:19">
      <c r="A15" s="54" t="s">
        <v>236</v>
      </c>
      <c r="D15" s="135">
        <v>100</v>
      </c>
      <c r="E15" s="57">
        <v>14</v>
      </c>
      <c r="F15" s="55">
        <v>12.29</v>
      </c>
      <c r="G15" s="136">
        <v>1200</v>
      </c>
      <c r="H15" s="55">
        <f t="shared" si="0"/>
        <v>16800</v>
      </c>
      <c r="J15" s="55"/>
      <c r="K15" s="55">
        <f t="shared" si="1"/>
        <v>16800</v>
      </c>
      <c r="N15" s="125"/>
      <c r="O15" s="125"/>
      <c r="P15" s="125"/>
      <c r="Q15" s="175"/>
      <c r="R15" s="176"/>
      <c r="S15" s="57"/>
    </row>
    <row r="16" spans="1:19">
      <c r="A16" s="54" t="s">
        <v>36</v>
      </c>
      <c r="D16" s="135">
        <v>100</v>
      </c>
      <c r="E16" s="55">
        <v>3.41</v>
      </c>
      <c r="F16" s="55">
        <v>3.36</v>
      </c>
      <c r="G16" s="136">
        <v>1300</v>
      </c>
      <c r="H16" s="55">
        <f t="shared" si="0"/>
        <v>4433</v>
      </c>
      <c r="J16" s="57">
        <v>13994</v>
      </c>
      <c r="K16" s="55">
        <f t="shared" si="1"/>
        <v>18427</v>
      </c>
      <c r="N16" s="125"/>
      <c r="O16" s="125"/>
      <c r="P16" s="125"/>
      <c r="Q16" s="175"/>
      <c r="R16" s="176"/>
      <c r="S16" s="57"/>
    </row>
    <row r="17" spans="1:19">
      <c r="A17" s="54" t="s">
        <v>237</v>
      </c>
      <c r="D17" s="135">
        <v>100</v>
      </c>
      <c r="E17" s="57">
        <v>22.77</v>
      </c>
      <c r="F17" s="55">
        <v>17.149999999999999</v>
      </c>
      <c r="G17" s="136">
        <v>1200</v>
      </c>
      <c r="H17" s="55">
        <f t="shared" si="0"/>
        <v>27324</v>
      </c>
      <c r="J17" s="55"/>
      <c r="K17" s="55">
        <f t="shared" ref="K17" si="3">SUM(H17:J17)</f>
        <v>27324</v>
      </c>
      <c r="N17" s="125"/>
      <c r="O17" s="125"/>
      <c r="P17" s="125"/>
      <c r="Q17" s="175"/>
      <c r="R17" s="176"/>
      <c r="S17" s="57"/>
    </row>
    <row r="18" spans="1:19">
      <c r="A18" s="101" t="s">
        <v>38</v>
      </c>
      <c r="B18" s="101"/>
      <c r="C18" s="101"/>
      <c r="D18" s="137"/>
      <c r="E18" s="138">
        <f>SUM(E8:E17)</f>
        <v>81.779999999999987</v>
      </c>
      <c r="F18" s="138">
        <f>SUM(F8:F17)</f>
        <v>66.52</v>
      </c>
      <c r="G18" s="138"/>
      <c r="H18" s="138">
        <f>SUM(H8:H17)</f>
        <v>98477</v>
      </c>
      <c r="I18" s="138">
        <f>SUM(I8:I17)</f>
        <v>7659</v>
      </c>
      <c r="J18" s="138">
        <f>SUM(J8:J17)</f>
        <v>35716</v>
      </c>
      <c r="K18" s="138">
        <f>SUM(H18:J18)</f>
        <v>141852</v>
      </c>
      <c r="L18" s="101">
        <f>SUM(L8:L17)</f>
        <v>672</v>
      </c>
      <c r="M18" s="101">
        <v>237</v>
      </c>
    </row>
    <row r="19" spans="1:19">
      <c r="A19" s="103" t="s">
        <v>39</v>
      </c>
      <c r="B19" s="103"/>
      <c r="C19" s="103"/>
      <c r="D19" s="139"/>
      <c r="E19" s="140">
        <f>SUM(E18-F18)</f>
        <v>15.259999999999991</v>
      </c>
      <c r="F19" s="140"/>
      <c r="G19" s="140"/>
      <c r="H19" s="140">
        <f>SUM(E27*G27)</f>
        <v>18015</v>
      </c>
      <c r="I19" s="140">
        <f>I18-L18</f>
        <v>6987</v>
      </c>
      <c r="J19" s="140">
        <f>J18-M18</f>
        <v>35479</v>
      </c>
      <c r="K19" s="140">
        <f>SUM(H19:J19)</f>
        <v>60481</v>
      </c>
      <c r="L19" s="103"/>
      <c r="M19" s="103"/>
    </row>
    <row r="21" spans="1:19">
      <c r="C21" s="54" t="s">
        <v>40</v>
      </c>
    </row>
    <row r="22" spans="1:19">
      <c r="A22" s="54" t="s">
        <v>41</v>
      </c>
      <c r="I22" s="126" t="s">
        <v>120</v>
      </c>
      <c r="J22" s="126">
        <v>0.69</v>
      </c>
    </row>
    <row r="23" spans="1:19">
      <c r="A23" s="120" t="s">
        <v>42</v>
      </c>
      <c r="B23" s="120"/>
      <c r="C23" s="120"/>
      <c r="D23" s="120" t="s">
        <v>7</v>
      </c>
      <c r="E23" s="120" t="s">
        <v>43</v>
      </c>
      <c r="F23" s="120"/>
      <c r="G23" s="120" t="s">
        <v>44</v>
      </c>
      <c r="I23" s="126" t="s">
        <v>121</v>
      </c>
      <c r="J23" s="126">
        <v>0.5</v>
      </c>
    </row>
    <row r="24" spans="1:19">
      <c r="A24" s="54" t="s">
        <v>45</v>
      </c>
      <c r="I24" s="54" t="s">
        <v>6</v>
      </c>
    </row>
    <row r="25" spans="1:19">
      <c r="A25" s="54" t="s">
        <v>238</v>
      </c>
      <c r="D25" s="54" t="s">
        <v>13</v>
      </c>
      <c r="E25" s="142">
        <v>0.6</v>
      </c>
      <c r="G25" s="57">
        <v>3641</v>
      </c>
      <c r="I25" s="126" t="s">
        <v>239</v>
      </c>
      <c r="J25" s="143">
        <v>0.48</v>
      </c>
      <c r="L25" s="110"/>
      <c r="M25" s="110"/>
      <c r="N25" s="110"/>
      <c r="O25" s="110"/>
    </row>
    <row r="26" spans="1:19">
      <c r="A26" s="54" t="s">
        <v>46</v>
      </c>
      <c r="I26" s="126" t="s">
        <v>240</v>
      </c>
      <c r="J26" s="143">
        <v>0.22</v>
      </c>
      <c r="K26" s="141"/>
      <c r="L26" s="110"/>
      <c r="M26" s="110"/>
      <c r="N26" s="110"/>
      <c r="O26" s="110"/>
    </row>
    <row r="27" spans="1:19">
      <c r="A27" s="54" t="s">
        <v>47</v>
      </c>
      <c r="D27" s="54" t="s">
        <v>48</v>
      </c>
      <c r="E27" s="55">
        <v>15</v>
      </c>
      <c r="G27" s="57">
        <v>1201</v>
      </c>
      <c r="I27" s="126" t="s">
        <v>241</v>
      </c>
      <c r="J27" s="143">
        <v>0.14000000000000001</v>
      </c>
      <c r="K27" s="141"/>
      <c r="L27" s="110"/>
      <c r="M27" s="110"/>
      <c r="N27" s="110"/>
      <c r="O27" s="110"/>
    </row>
    <row r="28" spans="1:19">
      <c r="A28" s="54" t="s">
        <v>49</v>
      </c>
      <c r="D28" s="54" t="s">
        <v>48</v>
      </c>
      <c r="E28" s="55">
        <v>67</v>
      </c>
      <c r="I28" s="126" t="s">
        <v>183</v>
      </c>
      <c r="J28" s="143">
        <v>0.16</v>
      </c>
      <c r="L28" s="110"/>
      <c r="M28" s="110"/>
      <c r="N28" s="110"/>
      <c r="O28" s="110"/>
    </row>
    <row r="29" spans="1:19">
      <c r="A29" s="54" t="s">
        <v>12</v>
      </c>
      <c r="E29" s="55">
        <f>SUM(E27:E28)</f>
        <v>82</v>
      </c>
    </row>
    <row r="30" spans="1:19">
      <c r="A30" s="101" t="s">
        <v>50</v>
      </c>
      <c r="B30" s="101"/>
      <c r="C30" s="101" t="s">
        <v>51</v>
      </c>
      <c r="D30" s="101"/>
      <c r="E30" s="101"/>
      <c r="F30" s="101"/>
      <c r="G30" s="101"/>
    </row>
    <row r="31" spans="1:19">
      <c r="A31" s="52"/>
      <c r="B31" s="134" t="s">
        <v>9</v>
      </c>
      <c r="C31" s="144">
        <v>48</v>
      </c>
      <c r="D31" s="52" t="s">
        <v>13</v>
      </c>
      <c r="E31" s="178">
        <v>139</v>
      </c>
      <c r="F31" s="52"/>
      <c r="G31" s="178">
        <v>50</v>
      </c>
    </row>
    <row r="32" spans="1:19">
      <c r="A32" s="52"/>
      <c r="B32" s="134" t="s">
        <v>242</v>
      </c>
      <c r="C32" s="144">
        <v>100</v>
      </c>
      <c r="D32" s="52" t="s">
        <v>2</v>
      </c>
      <c r="E32" s="178">
        <v>212</v>
      </c>
      <c r="F32" s="52"/>
      <c r="G32" s="178">
        <v>53</v>
      </c>
    </row>
    <row r="33" spans="1:10">
      <c r="A33" s="101" t="s">
        <v>53</v>
      </c>
      <c r="B33" s="101"/>
      <c r="C33" s="101"/>
      <c r="D33" s="101"/>
      <c r="E33" s="101"/>
      <c r="F33" s="101"/>
      <c r="G33" s="179" t="s">
        <v>223</v>
      </c>
      <c r="H33" s="180" t="s">
        <v>224</v>
      </c>
    </row>
    <row r="34" spans="1:10">
      <c r="A34" s="52" t="s">
        <v>54</v>
      </c>
      <c r="B34" s="52"/>
      <c r="C34" s="52"/>
      <c r="D34" s="52"/>
      <c r="E34" s="52"/>
      <c r="F34" s="52"/>
      <c r="G34" s="129">
        <v>1873</v>
      </c>
      <c r="H34" s="130">
        <f>G34*2.471</f>
        <v>4628.183</v>
      </c>
      <c r="J34" s="110"/>
    </row>
    <row r="35" spans="1:10">
      <c r="A35" s="52" t="s">
        <v>55</v>
      </c>
      <c r="B35" s="52"/>
      <c r="C35" s="52"/>
      <c r="D35" s="52"/>
      <c r="E35" s="52"/>
      <c r="F35" s="52"/>
      <c r="G35" s="147">
        <v>101</v>
      </c>
      <c r="H35" s="130"/>
      <c r="J35" s="110"/>
    </row>
    <row r="36" spans="1:10">
      <c r="A36" s="52" t="s">
        <v>56</v>
      </c>
      <c r="B36" s="52"/>
      <c r="C36" s="52"/>
      <c r="D36" s="52"/>
      <c r="E36" s="52"/>
      <c r="F36" s="52"/>
      <c r="G36" s="131">
        <f>SUM(G34*G35)</f>
        <v>189173</v>
      </c>
      <c r="H36" s="130">
        <f>G36*2.471</f>
        <v>467446.48300000001</v>
      </c>
    </row>
    <row r="37" spans="1:10">
      <c r="A37" s="52" t="s">
        <v>57</v>
      </c>
      <c r="B37" s="52"/>
      <c r="C37" s="52"/>
      <c r="D37" s="52"/>
      <c r="E37" s="52"/>
      <c r="F37" s="52"/>
      <c r="G37" s="131">
        <f>SUM(G36-K18)</f>
        <v>47321</v>
      </c>
      <c r="H37" s="130">
        <f>G37*2.471</f>
        <v>116930.19100000001</v>
      </c>
    </row>
    <row r="38" spans="1:10">
      <c r="A38" s="52" t="s">
        <v>58</v>
      </c>
      <c r="B38" s="52"/>
      <c r="C38" s="52"/>
      <c r="D38" s="52"/>
      <c r="E38" s="52"/>
      <c r="F38" s="52"/>
      <c r="G38" s="131">
        <f>SUM(G36-K19)</f>
        <v>128692</v>
      </c>
      <c r="H38" s="130">
        <f>G38*2.471</f>
        <v>317997.93200000003</v>
      </c>
    </row>
    <row r="39" spans="1:10">
      <c r="A39" s="52" t="s">
        <v>59</v>
      </c>
      <c r="B39" s="52"/>
      <c r="C39" s="52"/>
      <c r="D39" s="52"/>
      <c r="E39" s="52"/>
      <c r="F39" s="52"/>
      <c r="G39" s="131">
        <f>SUM(K18/G34)</f>
        <v>75.73518419647624</v>
      </c>
    </row>
    <row r="40" spans="1:10">
      <c r="A40" s="103" t="s">
        <v>60</v>
      </c>
      <c r="B40" s="103"/>
      <c r="C40" s="103"/>
      <c r="D40" s="103"/>
      <c r="E40" s="103"/>
      <c r="F40" s="103"/>
      <c r="G40" s="148">
        <f>SUM(K19/G34)</f>
        <v>32.290977042178326</v>
      </c>
    </row>
    <row r="42" spans="1:10">
      <c r="A42" s="54" t="s">
        <v>164</v>
      </c>
      <c r="C42" s="132" t="s">
        <v>243</v>
      </c>
      <c r="D42" s="132"/>
      <c r="E42" s="132"/>
    </row>
    <row r="50" spans="3:5">
      <c r="C50" s="132"/>
      <c r="D50" s="132"/>
      <c r="E50" s="1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6"/>
  <sheetViews>
    <sheetView workbookViewId="0">
      <selection sqref="A1:XFD1048576"/>
    </sheetView>
  </sheetViews>
  <sheetFormatPr defaultColWidth="11" defaultRowHeight="14.25"/>
  <cols>
    <col min="1" max="1" width="11" style="54"/>
    <col min="2" max="2" width="8.7109375" style="54" customWidth="1"/>
    <col min="3" max="3" width="3.85546875" style="54" customWidth="1"/>
    <col min="4" max="4" width="4.28515625" style="54" customWidth="1"/>
    <col min="5" max="5" width="5.5703125" style="54" customWidth="1"/>
    <col min="6" max="6" width="5.42578125" style="54" customWidth="1"/>
    <col min="7" max="7" width="8.42578125" style="54" customWidth="1"/>
    <col min="8" max="8" width="8.5703125" style="54" customWidth="1"/>
    <col min="9" max="9" width="7.7109375" style="54" customWidth="1"/>
    <col min="10" max="10" width="8.140625" style="54" customWidth="1"/>
    <col min="11" max="11" width="8.85546875" style="54" customWidth="1"/>
    <col min="12" max="12" width="8.140625" style="54" customWidth="1"/>
    <col min="13" max="13" width="6.7109375" style="54" customWidth="1"/>
    <col min="14" max="15" width="11" style="54"/>
    <col min="16" max="16" width="6.7109375" style="54" customWidth="1"/>
    <col min="17" max="17" width="7.42578125" style="54" customWidth="1"/>
    <col min="18" max="252" width="11" style="54"/>
    <col min="253" max="253" width="8.7109375" style="54" customWidth="1"/>
    <col min="254" max="254" width="9.28515625" style="54" customWidth="1"/>
    <col min="255" max="255" width="7.5703125" style="54" customWidth="1"/>
    <col min="256" max="256" width="7.42578125" style="54" customWidth="1"/>
    <col min="257" max="257" width="7.28515625" style="54" customWidth="1"/>
    <col min="258" max="258" width="9" style="54" customWidth="1"/>
    <col min="259" max="259" width="10.5703125" style="54" customWidth="1"/>
    <col min="260" max="260" width="14.42578125" style="54" customWidth="1"/>
    <col min="261" max="508" width="11" style="54"/>
    <col min="509" max="509" width="8.7109375" style="54" customWidth="1"/>
    <col min="510" max="510" width="9.28515625" style="54" customWidth="1"/>
    <col min="511" max="511" width="7.5703125" style="54" customWidth="1"/>
    <col min="512" max="512" width="7.42578125" style="54" customWidth="1"/>
    <col min="513" max="513" width="7.28515625" style="54" customWidth="1"/>
    <col min="514" max="514" width="9" style="54" customWidth="1"/>
    <col min="515" max="515" width="10.5703125" style="54" customWidth="1"/>
    <col min="516" max="516" width="14.42578125" style="54" customWidth="1"/>
    <col min="517" max="764" width="11" style="54"/>
    <col min="765" max="765" width="8.7109375" style="54" customWidth="1"/>
    <col min="766" max="766" width="9.28515625" style="54" customWidth="1"/>
    <col min="767" max="767" width="7.5703125" style="54" customWidth="1"/>
    <col min="768" max="768" width="7.42578125" style="54" customWidth="1"/>
    <col min="769" max="769" width="7.28515625" style="54" customWidth="1"/>
    <col min="770" max="770" width="9" style="54" customWidth="1"/>
    <col min="771" max="771" width="10.5703125" style="54" customWidth="1"/>
    <col min="772" max="772" width="14.42578125" style="54" customWidth="1"/>
    <col min="773" max="1020" width="11" style="54"/>
    <col min="1021" max="1021" width="8.7109375" style="54" customWidth="1"/>
    <col min="1022" max="1022" width="9.28515625" style="54" customWidth="1"/>
    <col min="1023" max="1023" width="7.5703125" style="54" customWidth="1"/>
    <col min="1024" max="1024" width="7.42578125" style="54" customWidth="1"/>
    <col min="1025" max="1025" width="7.28515625" style="54" customWidth="1"/>
    <col min="1026" max="1026" width="9" style="54" customWidth="1"/>
    <col min="1027" max="1027" width="10.5703125" style="54" customWidth="1"/>
    <col min="1028" max="1028" width="14.42578125" style="54" customWidth="1"/>
    <col min="1029" max="1276" width="11" style="54"/>
    <col min="1277" max="1277" width="8.7109375" style="54" customWidth="1"/>
    <col min="1278" max="1278" width="9.28515625" style="54" customWidth="1"/>
    <col min="1279" max="1279" width="7.5703125" style="54" customWidth="1"/>
    <col min="1280" max="1280" width="7.42578125" style="54" customWidth="1"/>
    <col min="1281" max="1281" width="7.28515625" style="54" customWidth="1"/>
    <col min="1282" max="1282" width="9" style="54" customWidth="1"/>
    <col min="1283" max="1283" width="10.5703125" style="54" customWidth="1"/>
    <col min="1284" max="1284" width="14.42578125" style="54" customWidth="1"/>
    <col min="1285" max="1532" width="11" style="54"/>
    <col min="1533" max="1533" width="8.7109375" style="54" customWidth="1"/>
    <col min="1534" max="1534" width="9.28515625" style="54" customWidth="1"/>
    <col min="1535" max="1535" width="7.5703125" style="54" customWidth="1"/>
    <col min="1536" max="1536" width="7.42578125" style="54" customWidth="1"/>
    <col min="1537" max="1537" width="7.28515625" style="54" customWidth="1"/>
    <col min="1538" max="1538" width="9" style="54" customWidth="1"/>
    <col min="1539" max="1539" width="10.5703125" style="54" customWidth="1"/>
    <col min="1540" max="1540" width="14.42578125" style="54" customWidth="1"/>
    <col min="1541" max="1788" width="11" style="54"/>
    <col min="1789" max="1789" width="8.7109375" style="54" customWidth="1"/>
    <col min="1790" max="1790" width="9.28515625" style="54" customWidth="1"/>
    <col min="1791" max="1791" width="7.5703125" style="54" customWidth="1"/>
    <col min="1792" max="1792" width="7.42578125" style="54" customWidth="1"/>
    <col min="1793" max="1793" width="7.28515625" style="54" customWidth="1"/>
    <col min="1794" max="1794" width="9" style="54" customWidth="1"/>
    <col min="1795" max="1795" width="10.5703125" style="54" customWidth="1"/>
    <col min="1796" max="1796" width="14.42578125" style="54" customWidth="1"/>
    <col min="1797" max="2044" width="11" style="54"/>
    <col min="2045" max="2045" width="8.7109375" style="54" customWidth="1"/>
    <col min="2046" max="2046" width="9.28515625" style="54" customWidth="1"/>
    <col min="2047" max="2047" width="7.5703125" style="54" customWidth="1"/>
    <col min="2048" max="2048" width="7.42578125" style="54" customWidth="1"/>
    <col min="2049" max="2049" width="7.28515625" style="54" customWidth="1"/>
    <col min="2050" max="2050" width="9" style="54" customWidth="1"/>
    <col min="2051" max="2051" width="10.5703125" style="54" customWidth="1"/>
    <col min="2052" max="2052" width="14.42578125" style="54" customWidth="1"/>
    <col min="2053" max="2300" width="11" style="54"/>
    <col min="2301" max="2301" width="8.7109375" style="54" customWidth="1"/>
    <col min="2302" max="2302" width="9.28515625" style="54" customWidth="1"/>
    <col min="2303" max="2303" width="7.5703125" style="54" customWidth="1"/>
    <col min="2304" max="2304" width="7.42578125" style="54" customWidth="1"/>
    <col min="2305" max="2305" width="7.28515625" style="54" customWidth="1"/>
    <col min="2306" max="2306" width="9" style="54" customWidth="1"/>
    <col min="2307" max="2307" width="10.5703125" style="54" customWidth="1"/>
    <col min="2308" max="2308" width="14.42578125" style="54" customWidth="1"/>
    <col min="2309" max="2556" width="11" style="54"/>
    <col min="2557" max="2557" width="8.7109375" style="54" customWidth="1"/>
    <col min="2558" max="2558" width="9.28515625" style="54" customWidth="1"/>
    <col min="2559" max="2559" width="7.5703125" style="54" customWidth="1"/>
    <col min="2560" max="2560" width="7.42578125" style="54" customWidth="1"/>
    <col min="2561" max="2561" width="7.28515625" style="54" customWidth="1"/>
    <col min="2562" max="2562" width="9" style="54" customWidth="1"/>
    <col min="2563" max="2563" width="10.5703125" style="54" customWidth="1"/>
    <col min="2564" max="2564" width="14.42578125" style="54" customWidth="1"/>
    <col min="2565" max="2812" width="11" style="54"/>
    <col min="2813" max="2813" width="8.7109375" style="54" customWidth="1"/>
    <col min="2814" max="2814" width="9.28515625" style="54" customWidth="1"/>
    <col min="2815" max="2815" width="7.5703125" style="54" customWidth="1"/>
    <col min="2816" max="2816" width="7.42578125" style="54" customWidth="1"/>
    <col min="2817" max="2817" width="7.28515625" style="54" customWidth="1"/>
    <col min="2818" max="2818" width="9" style="54" customWidth="1"/>
    <col min="2819" max="2819" width="10.5703125" style="54" customWidth="1"/>
    <col min="2820" max="2820" width="14.42578125" style="54" customWidth="1"/>
    <col min="2821" max="3068" width="11" style="54"/>
    <col min="3069" max="3069" width="8.7109375" style="54" customWidth="1"/>
    <col min="3070" max="3070" width="9.28515625" style="54" customWidth="1"/>
    <col min="3071" max="3071" width="7.5703125" style="54" customWidth="1"/>
    <col min="3072" max="3072" width="7.42578125" style="54" customWidth="1"/>
    <col min="3073" max="3073" width="7.28515625" style="54" customWidth="1"/>
    <col min="3074" max="3074" width="9" style="54" customWidth="1"/>
    <col min="3075" max="3075" width="10.5703125" style="54" customWidth="1"/>
    <col min="3076" max="3076" width="14.42578125" style="54" customWidth="1"/>
    <col min="3077" max="3324" width="11" style="54"/>
    <col min="3325" max="3325" width="8.7109375" style="54" customWidth="1"/>
    <col min="3326" max="3326" width="9.28515625" style="54" customWidth="1"/>
    <col min="3327" max="3327" width="7.5703125" style="54" customWidth="1"/>
    <col min="3328" max="3328" width="7.42578125" style="54" customWidth="1"/>
    <col min="3329" max="3329" width="7.28515625" style="54" customWidth="1"/>
    <col min="3330" max="3330" width="9" style="54" customWidth="1"/>
    <col min="3331" max="3331" width="10.5703125" style="54" customWidth="1"/>
    <col min="3332" max="3332" width="14.42578125" style="54" customWidth="1"/>
    <col min="3333" max="3580" width="11" style="54"/>
    <col min="3581" max="3581" width="8.7109375" style="54" customWidth="1"/>
    <col min="3582" max="3582" width="9.28515625" style="54" customWidth="1"/>
    <col min="3583" max="3583" width="7.5703125" style="54" customWidth="1"/>
    <col min="3584" max="3584" width="7.42578125" style="54" customWidth="1"/>
    <col min="3585" max="3585" width="7.28515625" style="54" customWidth="1"/>
    <col min="3586" max="3586" width="9" style="54" customWidth="1"/>
    <col min="3587" max="3587" width="10.5703125" style="54" customWidth="1"/>
    <col min="3588" max="3588" width="14.42578125" style="54" customWidth="1"/>
    <col min="3589" max="3836" width="11" style="54"/>
    <col min="3837" max="3837" width="8.7109375" style="54" customWidth="1"/>
    <col min="3838" max="3838" width="9.28515625" style="54" customWidth="1"/>
    <col min="3839" max="3839" width="7.5703125" style="54" customWidth="1"/>
    <col min="3840" max="3840" width="7.42578125" style="54" customWidth="1"/>
    <col min="3841" max="3841" width="7.28515625" style="54" customWidth="1"/>
    <col min="3842" max="3842" width="9" style="54" customWidth="1"/>
    <col min="3843" max="3843" width="10.5703125" style="54" customWidth="1"/>
    <col min="3844" max="3844" width="14.42578125" style="54" customWidth="1"/>
    <col min="3845" max="4092" width="11" style="54"/>
    <col min="4093" max="4093" width="8.7109375" style="54" customWidth="1"/>
    <col min="4094" max="4094" width="9.28515625" style="54" customWidth="1"/>
    <col min="4095" max="4095" width="7.5703125" style="54" customWidth="1"/>
    <col min="4096" max="4096" width="7.42578125" style="54" customWidth="1"/>
    <col min="4097" max="4097" width="7.28515625" style="54" customWidth="1"/>
    <col min="4098" max="4098" width="9" style="54" customWidth="1"/>
    <col min="4099" max="4099" width="10.5703125" style="54" customWidth="1"/>
    <col min="4100" max="4100" width="14.42578125" style="54" customWidth="1"/>
    <col min="4101" max="4348" width="11" style="54"/>
    <col min="4349" max="4349" width="8.7109375" style="54" customWidth="1"/>
    <col min="4350" max="4350" width="9.28515625" style="54" customWidth="1"/>
    <col min="4351" max="4351" width="7.5703125" style="54" customWidth="1"/>
    <col min="4352" max="4352" width="7.42578125" style="54" customWidth="1"/>
    <col min="4353" max="4353" width="7.28515625" style="54" customWidth="1"/>
    <col min="4354" max="4354" width="9" style="54" customWidth="1"/>
    <col min="4355" max="4355" width="10.5703125" style="54" customWidth="1"/>
    <col min="4356" max="4356" width="14.42578125" style="54" customWidth="1"/>
    <col min="4357" max="4604" width="11" style="54"/>
    <col min="4605" max="4605" width="8.7109375" style="54" customWidth="1"/>
    <col min="4606" max="4606" width="9.28515625" style="54" customWidth="1"/>
    <col min="4607" max="4607" width="7.5703125" style="54" customWidth="1"/>
    <col min="4608" max="4608" width="7.42578125" style="54" customWidth="1"/>
    <col min="4609" max="4609" width="7.28515625" style="54" customWidth="1"/>
    <col min="4610" max="4610" width="9" style="54" customWidth="1"/>
    <col min="4611" max="4611" width="10.5703125" style="54" customWidth="1"/>
    <col min="4612" max="4612" width="14.42578125" style="54" customWidth="1"/>
    <col min="4613" max="4860" width="11" style="54"/>
    <col min="4861" max="4861" width="8.7109375" style="54" customWidth="1"/>
    <col min="4862" max="4862" width="9.28515625" style="54" customWidth="1"/>
    <col min="4863" max="4863" width="7.5703125" style="54" customWidth="1"/>
    <col min="4864" max="4864" width="7.42578125" style="54" customWidth="1"/>
    <col min="4865" max="4865" width="7.28515625" style="54" customWidth="1"/>
    <col min="4866" max="4866" width="9" style="54" customWidth="1"/>
    <col min="4867" max="4867" width="10.5703125" style="54" customWidth="1"/>
    <col min="4868" max="4868" width="14.42578125" style="54" customWidth="1"/>
    <col min="4869" max="5116" width="11" style="54"/>
    <col min="5117" max="5117" width="8.7109375" style="54" customWidth="1"/>
    <col min="5118" max="5118" width="9.28515625" style="54" customWidth="1"/>
    <col min="5119" max="5119" width="7.5703125" style="54" customWidth="1"/>
    <col min="5120" max="5120" width="7.42578125" style="54" customWidth="1"/>
    <col min="5121" max="5121" width="7.28515625" style="54" customWidth="1"/>
    <col min="5122" max="5122" width="9" style="54" customWidth="1"/>
    <col min="5123" max="5123" width="10.5703125" style="54" customWidth="1"/>
    <col min="5124" max="5124" width="14.42578125" style="54" customWidth="1"/>
    <col min="5125" max="5372" width="11" style="54"/>
    <col min="5373" max="5373" width="8.7109375" style="54" customWidth="1"/>
    <col min="5374" max="5374" width="9.28515625" style="54" customWidth="1"/>
    <col min="5375" max="5375" width="7.5703125" style="54" customWidth="1"/>
    <col min="5376" max="5376" width="7.42578125" style="54" customWidth="1"/>
    <col min="5377" max="5377" width="7.28515625" style="54" customWidth="1"/>
    <col min="5378" max="5378" width="9" style="54" customWidth="1"/>
    <col min="5379" max="5379" width="10.5703125" style="54" customWidth="1"/>
    <col min="5380" max="5380" width="14.42578125" style="54" customWidth="1"/>
    <col min="5381" max="5628" width="11" style="54"/>
    <col min="5629" max="5629" width="8.7109375" style="54" customWidth="1"/>
    <col min="5630" max="5630" width="9.28515625" style="54" customWidth="1"/>
    <col min="5631" max="5631" width="7.5703125" style="54" customWidth="1"/>
    <col min="5632" max="5632" width="7.42578125" style="54" customWidth="1"/>
    <col min="5633" max="5633" width="7.28515625" style="54" customWidth="1"/>
    <col min="5634" max="5634" width="9" style="54" customWidth="1"/>
    <col min="5635" max="5635" width="10.5703125" style="54" customWidth="1"/>
    <col min="5636" max="5636" width="14.42578125" style="54" customWidth="1"/>
    <col min="5637" max="5884" width="11" style="54"/>
    <col min="5885" max="5885" width="8.7109375" style="54" customWidth="1"/>
    <col min="5886" max="5886" width="9.28515625" style="54" customWidth="1"/>
    <col min="5887" max="5887" width="7.5703125" style="54" customWidth="1"/>
    <col min="5888" max="5888" width="7.42578125" style="54" customWidth="1"/>
    <col min="5889" max="5889" width="7.28515625" style="54" customWidth="1"/>
    <col min="5890" max="5890" width="9" style="54" customWidth="1"/>
    <col min="5891" max="5891" width="10.5703125" style="54" customWidth="1"/>
    <col min="5892" max="5892" width="14.42578125" style="54" customWidth="1"/>
    <col min="5893" max="6140" width="11" style="54"/>
    <col min="6141" max="6141" width="8.7109375" style="54" customWidth="1"/>
    <col min="6142" max="6142" width="9.28515625" style="54" customWidth="1"/>
    <col min="6143" max="6143" width="7.5703125" style="54" customWidth="1"/>
    <col min="6144" max="6144" width="7.42578125" style="54" customWidth="1"/>
    <col min="6145" max="6145" width="7.28515625" style="54" customWidth="1"/>
    <col min="6146" max="6146" width="9" style="54" customWidth="1"/>
    <col min="6147" max="6147" width="10.5703125" style="54" customWidth="1"/>
    <col min="6148" max="6148" width="14.42578125" style="54" customWidth="1"/>
    <col min="6149" max="6396" width="11" style="54"/>
    <col min="6397" max="6397" width="8.7109375" style="54" customWidth="1"/>
    <col min="6398" max="6398" width="9.28515625" style="54" customWidth="1"/>
    <col min="6399" max="6399" width="7.5703125" style="54" customWidth="1"/>
    <col min="6400" max="6400" width="7.42578125" style="54" customWidth="1"/>
    <col min="6401" max="6401" width="7.28515625" style="54" customWidth="1"/>
    <col min="6402" max="6402" width="9" style="54" customWidth="1"/>
    <col min="6403" max="6403" width="10.5703125" style="54" customWidth="1"/>
    <col min="6404" max="6404" width="14.42578125" style="54" customWidth="1"/>
    <col min="6405" max="6652" width="11" style="54"/>
    <col min="6653" max="6653" width="8.7109375" style="54" customWidth="1"/>
    <col min="6654" max="6654" width="9.28515625" style="54" customWidth="1"/>
    <col min="6655" max="6655" width="7.5703125" style="54" customWidth="1"/>
    <col min="6656" max="6656" width="7.42578125" style="54" customWidth="1"/>
    <col min="6657" max="6657" width="7.28515625" style="54" customWidth="1"/>
    <col min="6658" max="6658" width="9" style="54" customWidth="1"/>
    <col min="6659" max="6659" width="10.5703125" style="54" customWidth="1"/>
    <col min="6660" max="6660" width="14.42578125" style="54" customWidth="1"/>
    <col min="6661" max="6908" width="11" style="54"/>
    <col min="6909" max="6909" width="8.7109375" style="54" customWidth="1"/>
    <col min="6910" max="6910" width="9.28515625" style="54" customWidth="1"/>
    <col min="6911" max="6911" width="7.5703125" style="54" customWidth="1"/>
    <col min="6912" max="6912" width="7.42578125" style="54" customWidth="1"/>
    <col min="6913" max="6913" width="7.28515625" style="54" customWidth="1"/>
    <col min="6914" max="6914" width="9" style="54" customWidth="1"/>
    <col min="6915" max="6915" width="10.5703125" style="54" customWidth="1"/>
    <col min="6916" max="6916" width="14.42578125" style="54" customWidth="1"/>
    <col min="6917" max="7164" width="11" style="54"/>
    <col min="7165" max="7165" width="8.7109375" style="54" customWidth="1"/>
    <col min="7166" max="7166" width="9.28515625" style="54" customWidth="1"/>
    <col min="7167" max="7167" width="7.5703125" style="54" customWidth="1"/>
    <col min="7168" max="7168" width="7.42578125" style="54" customWidth="1"/>
    <col min="7169" max="7169" width="7.28515625" style="54" customWidth="1"/>
    <col min="7170" max="7170" width="9" style="54" customWidth="1"/>
    <col min="7171" max="7171" width="10.5703125" style="54" customWidth="1"/>
    <col min="7172" max="7172" width="14.42578125" style="54" customWidth="1"/>
    <col min="7173" max="7420" width="11" style="54"/>
    <col min="7421" max="7421" width="8.7109375" style="54" customWidth="1"/>
    <col min="7422" max="7422" width="9.28515625" style="54" customWidth="1"/>
    <col min="7423" max="7423" width="7.5703125" style="54" customWidth="1"/>
    <col min="7424" max="7424" width="7.42578125" style="54" customWidth="1"/>
    <col min="7425" max="7425" width="7.28515625" style="54" customWidth="1"/>
    <col min="7426" max="7426" width="9" style="54" customWidth="1"/>
    <col min="7427" max="7427" width="10.5703125" style="54" customWidth="1"/>
    <col min="7428" max="7428" width="14.42578125" style="54" customWidth="1"/>
    <col min="7429" max="7676" width="11" style="54"/>
    <col min="7677" max="7677" width="8.7109375" style="54" customWidth="1"/>
    <col min="7678" max="7678" width="9.28515625" style="54" customWidth="1"/>
    <col min="7679" max="7679" width="7.5703125" style="54" customWidth="1"/>
    <col min="7680" max="7680" width="7.42578125" style="54" customWidth="1"/>
    <col min="7681" max="7681" width="7.28515625" style="54" customWidth="1"/>
    <col min="7682" max="7682" width="9" style="54" customWidth="1"/>
    <col min="7683" max="7683" width="10.5703125" style="54" customWidth="1"/>
    <col min="7684" max="7684" width="14.42578125" style="54" customWidth="1"/>
    <col min="7685" max="7932" width="11" style="54"/>
    <col min="7933" max="7933" width="8.7109375" style="54" customWidth="1"/>
    <col min="7934" max="7934" width="9.28515625" style="54" customWidth="1"/>
    <col min="7935" max="7935" width="7.5703125" style="54" customWidth="1"/>
    <col min="7936" max="7936" width="7.42578125" style="54" customWidth="1"/>
    <col min="7937" max="7937" width="7.28515625" style="54" customWidth="1"/>
    <col min="7938" max="7938" width="9" style="54" customWidth="1"/>
    <col min="7939" max="7939" width="10.5703125" style="54" customWidth="1"/>
    <col min="7940" max="7940" width="14.42578125" style="54" customWidth="1"/>
    <col min="7941" max="8188" width="11" style="54"/>
    <col min="8189" max="8189" width="8.7109375" style="54" customWidth="1"/>
    <col min="8190" max="8190" width="9.28515625" style="54" customWidth="1"/>
    <col min="8191" max="8191" width="7.5703125" style="54" customWidth="1"/>
    <col min="8192" max="8192" width="7.42578125" style="54" customWidth="1"/>
    <col min="8193" max="8193" width="7.28515625" style="54" customWidth="1"/>
    <col min="8194" max="8194" width="9" style="54" customWidth="1"/>
    <col min="8195" max="8195" width="10.5703125" style="54" customWidth="1"/>
    <col min="8196" max="8196" width="14.42578125" style="54" customWidth="1"/>
    <col min="8197" max="8444" width="11" style="54"/>
    <col min="8445" max="8445" width="8.7109375" style="54" customWidth="1"/>
    <col min="8446" max="8446" width="9.28515625" style="54" customWidth="1"/>
    <col min="8447" max="8447" width="7.5703125" style="54" customWidth="1"/>
    <col min="8448" max="8448" width="7.42578125" style="54" customWidth="1"/>
    <col min="8449" max="8449" width="7.28515625" style="54" customWidth="1"/>
    <col min="8450" max="8450" width="9" style="54" customWidth="1"/>
    <col min="8451" max="8451" width="10.5703125" style="54" customWidth="1"/>
    <col min="8452" max="8452" width="14.42578125" style="54" customWidth="1"/>
    <col min="8453" max="8700" width="11" style="54"/>
    <col min="8701" max="8701" width="8.7109375" style="54" customWidth="1"/>
    <col min="8702" max="8702" width="9.28515625" style="54" customWidth="1"/>
    <col min="8703" max="8703" width="7.5703125" style="54" customWidth="1"/>
    <col min="8704" max="8704" width="7.42578125" style="54" customWidth="1"/>
    <col min="8705" max="8705" width="7.28515625" style="54" customWidth="1"/>
    <col min="8706" max="8706" width="9" style="54" customWidth="1"/>
    <col min="8707" max="8707" width="10.5703125" style="54" customWidth="1"/>
    <col min="8708" max="8708" width="14.42578125" style="54" customWidth="1"/>
    <col min="8709" max="8956" width="11" style="54"/>
    <col min="8957" max="8957" width="8.7109375" style="54" customWidth="1"/>
    <col min="8958" max="8958" width="9.28515625" style="54" customWidth="1"/>
    <col min="8959" max="8959" width="7.5703125" style="54" customWidth="1"/>
    <col min="8960" max="8960" width="7.42578125" style="54" customWidth="1"/>
    <col min="8961" max="8961" width="7.28515625" style="54" customWidth="1"/>
    <col min="8962" max="8962" width="9" style="54" customWidth="1"/>
    <col min="8963" max="8963" width="10.5703125" style="54" customWidth="1"/>
    <col min="8964" max="8964" width="14.42578125" style="54" customWidth="1"/>
    <col min="8965" max="9212" width="11" style="54"/>
    <col min="9213" max="9213" width="8.7109375" style="54" customWidth="1"/>
    <col min="9214" max="9214" width="9.28515625" style="54" customWidth="1"/>
    <col min="9215" max="9215" width="7.5703125" style="54" customWidth="1"/>
    <col min="9216" max="9216" width="7.42578125" style="54" customWidth="1"/>
    <col min="9217" max="9217" width="7.28515625" style="54" customWidth="1"/>
    <col min="9218" max="9218" width="9" style="54" customWidth="1"/>
    <col min="9219" max="9219" width="10.5703125" style="54" customWidth="1"/>
    <col min="9220" max="9220" width="14.42578125" style="54" customWidth="1"/>
    <col min="9221" max="9468" width="11" style="54"/>
    <col min="9469" max="9469" width="8.7109375" style="54" customWidth="1"/>
    <col min="9470" max="9470" width="9.28515625" style="54" customWidth="1"/>
    <col min="9471" max="9471" width="7.5703125" style="54" customWidth="1"/>
    <col min="9472" max="9472" width="7.42578125" style="54" customWidth="1"/>
    <col min="9473" max="9473" width="7.28515625" style="54" customWidth="1"/>
    <col min="9474" max="9474" width="9" style="54" customWidth="1"/>
    <col min="9475" max="9475" width="10.5703125" style="54" customWidth="1"/>
    <col min="9476" max="9476" width="14.42578125" style="54" customWidth="1"/>
    <col min="9477" max="9724" width="11" style="54"/>
    <col min="9725" max="9725" width="8.7109375" style="54" customWidth="1"/>
    <col min="9726" max="9726" width="9.28515625" style="54" customWidth="1"/>
    <col min="9727" max="9727" width="7.5703125" style="54" customWidth="1"/>
    <col min="9728" max="9728" width="7.42578125" style="54" customWidth="1"/>
    <col min="9729" max="9729" width="7.28515625" style="54" customWidth="1"/>
    <col min="9730" max="9730" width="9" style="54" customWidth="1"/>
    <col min="9731" max="9731" width="10.5703125" style="54" customWidth="1"/>
    <col min="9732" max="9732" width="14.42578125" style="54" customWidth="1"/>
    <col min="9733" max="9980" width="11" style="54"/>
    <col min="9981" max="9981" width="8.7109375" style="54" customWidth="1"/>
    <col min="9982" max="9982" width="9.28515625" style="54" customWidth="1"/>
    <col min="9983" max="9983" width="7.5703125" style="54" customWidth="1"/>
    <col min="9984" max="9984" width="7.42578125" style="54" customWidth="1"/>
    <col min="9985" max="9985" width="7.28515625" style="54" customWidth="1"/>
    <col min="9986" max="9986" width="9" style="54" customWidth="1"/>
    <col min="9987" max="9987" width="10.5703125" style="54" customWidth="1"/>
    <col min="9988" max="9988" width="14.42578125" style="54" customWidth="1"/>
    <col min="9989" max="10236" width="11" style="54"/>
    <col min="10237" max="10237" width="8.7109375" style="54" customWidth="1"/>
    <col min="10238" max="10238" width="9.28515625" style="54" customWidth="1"/>
    <col min="10239" max="10239" width="7.5703125" style="54" customWidth="1"/>
    <col min="10240" max="10240" width="7.42578125" style="54" customWidth="1"/>
    <col min="10241" max="10241" width="7.28515625" style="54" customWidth="1"/>
    <col min="10242" max="10242" width="9" style="54" customWidth="1"/>
    <col min="10243" max="10243" width="10.5703125" style="54" customWidth="1"/>
    <col min="10244" max="10244" width="14.42578125" style="54" customWidth="1"/>
    <col min="10245" max="10492" width="11" style="54"/>
    <col min="10493" max="10493" width="8.7109375" style="54" customWidth="1"/>
    <col min="10494" max="10494" width="9.28515625" style="54" customWidth="1"/>
    <col min="10495" max="10495" width="7.5703125" style="54" customWidth="1"/>
    <col min="10496" max="10496" width="7.42578125" style="54" customWidth="1"/>
    <col min="10497" max="10497" width="7.28515625" style="54" customWidth="1"/>
    <col min="10498" max="10498" width="9" style="54" customWidth="1"/>
    <col min="10499" max="10499" width="10.5703125" style="54" customWidth="1"/>
    <col min="10500" max="10500" width="14.42578125" style="54" customWidth="1"/>
    <col min="10501" max="10748" width="11" style="54"/>
    <col min="10749" max="10749" width="8.7109375" style="54" customWidth="1"/>
    <col min="10750" max="10750" width="9.28515625" style="54" customWidth="1"/>
    <col min="10751" max="10751" width="7.5703125" style="54" customWidth="1"/>
    <col min="10752" max="10752" width="7.42578125" style="54" customWidth="1"/>
    <col min="10753" max="10753" width="7.28515625" style="54" customWidth="1"/>
    <col min="10754" max="10754" width="9" style="54" customWidth="1"/>
    <col min="10755" max="10755" width="10.5703125" style="54" customWidth="1"/>
    <col min="10756" max="10756" width="14.42578125" style="54" customWidth="1"/>
    <col min="10757" max="11004" width="11" style="54"/>
    <col min="11005" max="11005" width="8.7109375" style="54" customWidth="1"/>
    <col min="11006" max="11006" width="9.28515625" style="54" customWidth="1"/>
    <col min="11007" max="11007" width="7.5703125" style="54" customWidth="1"/>
    <col min="11008" max="11008" width="7.42578125" style="54" customWidth="1"/>
    <col min="11009" max="11009" width="7.28515625" style="54" customWidth="1"/>
    <col min="11010" max="11010" width="9" style="54" customWidth="1"/>
    <col min="11011" max="11011" width="10.5703125" style="54" customWidth="1"/>
    <col min="11012" max="11012" width="14.42578125" style="54" customWidth="1"/>
    <col min="11013" max="11260" width="11" style="54"/>
    <col min="11261" max="11261" width="8.7109375" style="54" customWidth="1"/>
    <col min="11262" max="11262" width="9.28515625" style="54" customWidth="1"/>
    <col min="11263" max="11263" width="7.5703125" style="54" customWidth="1"/>
    <col min="11264" max="11264" width="7.42578125" style="54" customWidth="1"/>
    <col min="11265" max="11265" width="7.28515625" style="54" customWidth="1"/>
    <col min="11266" max="11266" width="9" style="54" customWidth="1"/>
    <col min="11267" max="11267" width="10.5703125" style="54" customWidth="1"/>
    <col min="11268" max="11268" width="14.42578125" style="54" customWidth="1"/>
    <col min="11269" max="11516" width="11" style="54"/>
    <col min="11517" max="11517" width="8.7109375" style="54" customWidth="1"/>
    <col min="11518" max="11518" width="9.28515625" style="54" customWidth="1"/>
    <col min="11519" max="11519" width="7.5703125" style="54" customWidth="1"/>
    <col min="11520" max="11520" width="7.42578125" style="54" customWidth="1"/>
    <col min="11521" max="11521" width="7.28515625" style="54" customWidth="1"/>
    <col min="11522" max="11522" width="9" style="54" customWidth="1"/>
    <col min="11523" max="11523" width="10.5703125" style="54" customWidth="1"/>
    <col min="11524" max="11524" width="14.42578125" style="54" customWidth="1"/>
    <col min="11525" max="11772" width="11" style="54"/>
    <col min="11773" max="11773" width="8.7109375" style="54" customWidth="1"/>
    <col min="11774" max="11774" width="9.28515625" style="54" customWidth="1"/>
    <col min="11775" max="11775" width="7.5703125" style="54" customWidth="1"/>
    <col min="11776" max="11776" width="7.42578125" style="54" customWidth="1"/>
    <col min="11777" max="11777" width="7.28515625" style="54" customWidth="1"/>
    <col min="11778" max="11778" width="9" style="54" customWidth="1"/>
    <col min="11779" max="11779" width="10.5703125" style="54" customWidth="1"/>
    <col min="11780" max="11780" width="14.42578125" style="54" customWidth="1"/>
    <col min="11781" max="12028" width="11" style="54"/>
    <col min="12029" max="12029" width="8.7109375" style="54" customWidth="1"/>
    <col min="12030" max="12030" width="9.28515625" style="54" customWidth="1"/>
    <col min="12031" max="12031" width="7.5703125" style="54" customWidth="1"/>
    <col min="12032" max="12032" width="7.42578125" style="54" customWidth="1"/>
    <col min="12033" max="12033" width="7.28515625" style="54" customWidth="1"/>
    <col min="12034" max="12034" width="9" style="54" customWidth="1"/>
    <col min="12035" max="12035" width="10.5703125" style="54" customWidth="1"/>
    <col min="12036" max="12036" width="14.42578125" style="54" customWidth="1"/>
    <col min="12037" max="12284" width="11" style="54"/>
    <col min="12285" max="12285" width="8.7109375" style="54" customWidth="1"/>
    <col min="12286" max="12286" width="9.28515625" style="54" customWidth="1"/>
    <col min="12287" max="12287" width="7.5703125" style="54" customWidth="1"/>
    <col min="12288" max="12288" width="7.42578125" style="54" customWidth="1"/>
    <col min="12289" max="12289" width="7.28515625" style="54" customWidth="1"/>
    <col min="12290" max="12290" width="9" style="54" customWidth="1"/>
    <col min="12291" max="12291" width="10.5703125" style="54" customWidth="1"/>
    <col min="12292" max="12292" width="14.42578125" style="54" customWidth="1"/>
    <col min="12293" max="12540" width="11" style="54"/>
    <col min="12541" max="12541" width="8.7109375" style="54" customWidth="1"/>
    <col min="12542" max="12542" width="9.28515625" style="54" customWidth="1"/>
    <col min="12543" max="12543" width="7.5703125" style="54" customWidth="1"/>
    <col min="12544" max="12544" width="7.42578125" style="54" customWidth="1"/>
    <col min="12545" max="12545" width="7.28515625" style="54" customWidth="1"/>
    <col min="12546" max="12546" width="9" style="54" customWidth="1"/>
    <col min="12547" max="12547" width="10.5703125" style="54" customWidth="1"/>
    <col min="12548" max="12548" width="14.42578125" style="54" customWidth="1"/>
    <col min="12549" max="12796" width="11" style="54"/>
    <col min="12797" max="12797" width="8.7109375" style="54" customWidth="1"/>
    <col min="12798" max="12798" width="9.28515625" style="54" customWidth="1"/>
    <col min="12799" max="12799" width="7.5703125" style="54" customWidth="1"/>
    <col min="12800" max="12800" width="7.42578125" style="54" customWidth="1"/>
    <col min="12801" max="12801" width="7.28515625" style="54" customWidth="1"/>
    <col min="12802" max="12802" width="9" style="54" customWidth="1"/>
    <col min="12803" max="12803" width="10.5703125" style="54" customWidth="1"/>
    <col min="12804" max="12804" width="14.42578125" style="54" customWidth="1"/>
    <col min="12805" max="13052" width="11" style="54"/>
    <col min="13053" max="13053" width="8.7109375" style="54" customWidth="1"/>
    <col min="13054" max="13054" width="9.28515625" style="54" customWidth="1"/>
    <col min="13055" max="13055" width="7.5703125" style="54" customWidth="1"/>
    <col min="13056" max="13056" width="7.42578125" style="54" customWidth="1"/>
    <col min="13057" max="13057" width="7.28515625" style="54" customWidth="1"/>
    <col min="13058" max="13058" width="9" style="54" customWidth="1"/>
    <col min="13059" max="13059" width="10.5703125" style="54" customWidth="1"/>
    <col min="13060" max="13060" width="14.42578125" style="54" customWidth="1"/>
    <col min="13061" max="13308" width="11" style="54"/>
    <col min="13309" max="13309" width="8.7109375" style="54" customWidth="1"/>
    <col min="13310" max="13310" width="9.28515625" style="54" customWidth="1"/>
    <col min="13311" max="13311" width="7.5703125" style="54" customWidth="1"/>
    <col min="13312" max="13312" width="7.42578125" style="54" customWidth="1"/>
    <col min="13313" max="13313" width="7.28515625" style="54" customWidth="1"/>
    <col min="13314" max="13314" width="9" style="54" customWidth="1"/>
    <col min="13315" max="13315" width="10.5703125" style="54" customWidth="1"/>
    <col min="13316" max="13316" width="14.42578125" style="54" customWidth="1"/>
    <col min="13317" max="13564" width="11" style="54"/>
    <col min="13565" max="13565" width="8.7109375" style="54" customWidth="1"/>
    <col min="13566" max="13566" width="9.28515625" style="54" customWidth="1"/>
    <col min="13567" max="13567" width="7.5703125" style="54" customWidth="1"/>
    <col min="13568" max="13568" width="7.42578125" style="54" customWidth="1"/>
    <col min="13569" max="13569" width="7.28515625" style="54" customWidth="1"/>
    <col min="13570" max="13570" width="9" style="54" customWidth="1"/>
    <col min="13571" max="13571" width="10.5703125" style="54" customWidth="1"/>
    <col min="13572" max="13572" width="14.42578125" style="54" customWidth="1"/>
    <col min="13573" max="13820" width="11" style="54"/>
    <col min="13821" max="13821" width="8.7109375" style="54" customWidth="1"/>
    <col min="13822" max="13822" width="9.28515625" style="54" customWidth="1"/>
    <col min="13823" max="13823" width="7.5703125" style="54" customWidth="1"/>
    <col min="13824" max="13824" width="7.42578125" style="54" customWidth="1"/>
    <col min="13825" max="13825" width="7.28515625" style="54" customWidth="1"/>
    <col min="13826" max="13826" width="9" style="54" customWidth="1"/>
    <col min="13827" max="13827" width="10.5703125" style="54" customWidth="1"/>
    <col min="13828" max="13828" width="14.42578125" style="54" customWidth="1"/>
    <col min="13829" max="14076" width="11" style="54"/>
    <col min="14077" max="14077" width="8.7109375" style="54" customWidth="1"/>
    <col min="14078" max="14078" width="9.28515625" style="54" customWidth="1"/>
    <col min="14079" max="14079" width="7.5703125" style="54" customWidth="1"/>
    <col min="14080" max="14080" width="7.42578125" style="54" customWidth="1"/>
    <col min="14081" max="14081" width="7.28515625" style="54" customWidth="1"/>
    <col min="14082" max="14082" width="9" style="54" customWidth="1"/>
    <col min="14083" max="14083" width="10.5703125" style="54" customWidth="1"/>
    <col min="14084" max="14084" width="14.42578125" style="54" customWidth="1"/>
    <col min="14085" max="14332" width="11" style="54"/>
    <col min="14333" max="14333" width="8.7109375" style="54" customWidth="1"/>
    <col min="14334" max="14334" width="9.28515625" style="54" customWidth="1"/>
    <col min="14335" max="14335" width="7.5703125" style="54" customWidth="1"/>
    <col min="14336" max="14336" width="7.42578125" style="54" customWidth="1"/>
    <col min="14337" max="14337" width="7.28515625" style="54" customWidth="1"/>
    <col min="14338" max="14338" width="9" style="54" customWidth="1"/>
    <col min="14339" max="14339" width="10.5703125" style="54" customWidth="1"/>
    <col min="14340" max="14340" width="14.42578125" style="54" customWidth="1"/>
    <col min="14341" max="14588" width="11" style="54"/>
    <col min="14589" max="14589" width="8.7109375" style="54" customWidth="1"/>
    <col min="14590" max="14590" width="9.28515625" style="54" customWidth="1"/>
    <col min="14591" max="14591" width="7.5703125" style="54" customWidth="1"/>
    <col min="14592" max="14592" width="7.42578125" style="54" customWidth="1"/>
    <col min="14593" max="14593" width="7.28515625" style="54" customWidth="1"/>
    <col min="14594" max="14594" width="9" style="54" customWidth="1"/>
    <col min="14595" max="14595" width="10.5703125" style="54" customWidth="1"/>
    <col min="14596" max="14596" width="14.42578125" style="54" customWidth="1"/>
    <col min="14597" max="14844" width="11" style="54"/>
    <col min="14845" max="14845" width="8.7109375" style="54" customWidth="1"/>
    <col min="14846" max="14846" width="9.28515625" style="54" customWidth="1"/>
    <col min="14847" max="14847" width="7.5703125" style="54" customWidth="1"/>
    <col min="14848" max="14848" width="7.42578125" style="54" customWidth="1"/>
    <col min="14849" max="14849" width="7.28515625" style="54" customWidth="1"/>
    <col min="14850" max="14850" width="9" style="54" customWidth="1"/>
    <col min="14851" max="14851" width="10.5703125" style="54" customWidth="1"/>
    <col min="14852" max="14852" width="14.42578125" style="54" customWidth="1"/>
    <col min="14853" max="15100" width="11" style="54"/>
    <col min="15101" max="15101" width="8.7109375" style="54" customWidth="1"/>
    <col min="15102" max="15102" width="9.28515625" style="54" customWidth="1"/>
    <col min="15103" max="15103" width="7.5703125" style="54" customWidth="1"/>
    <col min="15104" max="15104" width="7.42578125" style="54" customWidth="1"/>
    <col min="15105" max="15105" width="7.28515625" style="54" customWidth="1"/>
    <col min="15106" max="15106" width="9" style="54" customWidth="1"/>
    <col min="15107" max="15107" width="10.5703125" style="54" customWidth="1"/>
    <col min="15108" max="15108" width="14.42578125" style="54" customWidth="1"/>
    <col min="15109" max="15356" width="11" style="54"/>
    <col min="15357" max="15357" width="8.7109375" style="54" customWidth="1"/>
    <col min="15358" max="15358" width="9.28515625" style="54" customWidth="1"/>
    <col min="15359" max="15359" width="7.5703125" style="54" customWidth="1"/>
    <col min="15360" max="15360" width="7.42578125" style="54" customWidth="1"/>
    <col min="15361" max="15361" width="7.28515625" style="54" customWidth="1"/>
    <col min="15362" max="15362" width="9" style="54" customWidth="1"/>
    <col min="15363" max="15363" width="10.5703125" style="54" customWidth="1"/>
    <col min="15364" max="15364" width="14.42578125" style="54" customWidth="1"/>
    <col min="15365" max="15612" width="11" style="54"/>
    <col min="15613" max="15613" width="8.7109375" style="54" customWidth="1"/>
    <col min="15614" max="15614" width="9.28515625" style="54" customWidth="1"/>
    <col min="15615" max="15615" width="7.5703125" style="54" customWidth="1"/>
    <col min="15616" max="15616" width="7.42578125" style="54" customWidth="1"/>
    <col min="15617" max="15617" width="7.28515625" style="54" customWidth="1"/>
    <col min="15618" max="15618" width="9" style="54" customWidth="1"/>
    <col min="15619" max="15619" width="10.5703125" style="54" customWidth="1"/>
    <col min="15620" max="15620" width="14.42578125" style="54" customWidth="1"/>
    <col min="15621" max="15868" width="11" style="54"/>
    <col min="15869" max="15869" width="8.7109375" style="54" customWidth="1"/>
    <col min="15870" max="15870" width="9.28515625" style="54" customWidth="1"/>
    <col min="15871" max="15871" width="7.5703125" style="54" customWidth="1"/>
    <col min="15872" max="15872" width="7.42578125" style="54" customWidth="1"/>
    <col min="15873" max="15873" width="7.28515625" style="54" customWidth="1"/>
    <col min="15874" max="15874" width="9" style="54" customWidth="1"/>
    <col min="15875" max="15875" width="10.5703125" style="54" customWidth="1"/>
    <col min="15876" max="15876" width="14.42578125" style="54" customWidth="1"/>
    <col min="15877" max="16124" width="11" style="54"/>
    <col min="16125" max="16125" width="8.7109375" style="54" customWidth="1"/>
    <col min="16126" max="16126" width="9.28515625" style="54" customWidth="1"/>
    <col min="16127" max="16127" width="7.5703125" style="54" customWidth="1"/>
    <col min="16128" max="16128" width="7.42578125" style="54" customWidth="1"/>
    <col min="16129" max="16129" width="7.28515625" style="54" customWidth="1"/>
    <col min="16130" max="16130" width="9" style="54" customWidth="1"/>
    <col min="16131" max="16131" width="10.5703125" style="54" customWidth="1"/>
    <col min="16132" max="16132" width="14.42578125" style="54" customWidth="1"/>
    <col min="16133" max="16384" width="11" style="54"/>
  </cols>
  <sheetData>
    <row r="1" spans="1:17">
      <c r="A1" s="54" t="s">
        <v>17</v>
      </c>
      <c r="B1" s="54" t="s">
        <v>244</v>
      </c>
    </row>
    <row r="2" spans="1:17">
      <c r="B2" s="54" t="s">
        <v>245</v>
      </c>
    </row>
    <row r="3" spans="1:17">
      <c r="A3" s="101" t="s">
        <v>18</v>
      </c>
      <c r="B3" s="101"/>
      <c r="C3" s="101"/>
      <c r="D3" s="102" t="s">
        <v>19</v>
      </c>
      <c r="E3" s="102" t="s">
        <v>12</v>
      </c>
      <c r="F3" s="102" t="s">
        <v>20</v>
      </c>
      <c r="G3" s="102" t="s">
        <v>21</v>
      </c>
      <c r="H3" s="102" t="s">
        <v>22</v>
      </c>
      <c r="I3" s="102" t="s">
        <v>23</v>
      </c>
      <c r="J3" s="102" t="s">
        <v>24</v>
      </c>
      <c r="K3" s="102" t="s">
        <v>25</v>
      </c>
      <c r="L3" s="133" t="s">
        <v>26</v>
      </c>
      <c r="M3" s="102"/>
    </row>
    <row r="4" spans="1:17">
      <c r="A4" s="52"/>
      <c r="B4" s="52"/>
      <c r="C4" s="52"/>
      <c r="D4" s="53" t="s">
        <v>27</v>
      </c>
      <c r="E4" s="53" t="s">
        <v>28</v>
      </c>
      <c r="F4" s="53" t="s">
        <v>28</v>
      </c>
      <c r="G4" s="53" t="s">
        <v>29</v>
      </c>
      <c r="H4" s="53" t="s">
        <v>30</v>
      </c>
      <c r="I4" s="53" t="s">
        <v>31</v>
      </c>
      <c r="J4" s="53" t="s">
        <v>30</v>
      </c>
      <c r="K4" s="53" t="s">
        <v>30</v>
      </c>
      <c r="L4" s="53" t="s">
        <v>23</v>
      </c>
      <c r="M4" s="53" t="s">
        <v>24</v>
      </c>
    </row>
    <row r="5" spans="1:17">
      <c r="A5" s="52"/>
      <c r="B5" s="52"/>
      <c r="C5" s="52"/>
      <c r="D5" s="53" t="s">
        <v>32</v>
      </c>
      <c r="E5" s="53"/>
      <c r="F5" s="53"/>
      <c r="G5" s="53"/>
      <c r="H5" s="53" t="s">
        <v>33</v>
      </c>
      <c r="I5" s="53" t="s">
        <v>30</v>
      </c>
      <c r="J5" s="53" t="s">
        <v>33</v>
      </c>
      <c r="K5" s="53" t="s">
        <v>33</v>
      </c>
      <c r="L5" s="53"/>
      <c r="M5" s="53"/>
    </row>
    <row r="6" spans="1:17">
      <c r="A6" s="103"/>
      <c r="B6" s="103"/>
      <c r="C6" s="103"/>
      <c r="D6" s="104"/>
      <c r="E6" s="104"/>
      <c r="F6" s="104"/>
      <c r="G6" s="104"/>
      <c r="H6" s="104"/>
      <c r="I6" s="104" t="s">
        <v>33</v>
      </c>
      <c r="J6" s="104"/>
      <c r="K6" s="104"/>
      <c r="L6" s="104"/>
      <c r="M6" s="104"/>
    </row>
    <row r="7" spans="1:17">
      <c r="A7" s="54" t="s">
        <v>105</v>
      </c>
      <c r="D7" s="181">
        <v>53</v>
      </c>
      <c r="E7" s="55">
        <v>2.62</v>
      </c>
      <c r="F7" s="55">
        <v>1.54</v>
      </c>
      <c r="G7" s="136">
        <v>1200</v>
      </c>
      <c r="H7" s="55">
        <f t="shared" ref="H7:H17" si="0">SUM(E7*G7)</f>
        <v>3144</v>
      </c>
      <c r="J7" s="55"/>
      <c r="K7" s="55">
        <f t="shared" ref="K7:K17" si="1">SUM(H7:J7)</f>
        <v>3144</v>
      </c>
      <c r="P7" s="182"/>
      <c r="Q7" s="182"/>
    </row>
    <row r="8" spans="1:17">
      <c r="A8" s="54" t="s">
        <v>246</v>
      </c>
      <c r="D8" s="181">
        <v>76</v>
      </c>
      <c r="E8" s="57">
        <v>0.38</v>
      </c>
      <c r="F8" s="57">
        <v>0.38</v>
      </c>
      <c r="G8" s="136">
        <v>1200</v>
      </c>
      <c r="H8" s="55">
        <f t="shared" si="0"/>
        <v>456</v>
      </c>
      <c r="I8" s="57">
        <v>4429</v>
      </c>
      <c r="J8" s="55"/>
      <c r="K8" s="55">
        <f t="shared" si="1"/>
        <v>4885</v>
      </c>
      <c r="L8" s="57">
        <v>720</v>
      </c>
      <c r="M8" s="55"/>
      <c r="P8" s="183"/>
      <c r="Q8" s="183"/>
    </row>
    <row r="9" spans="1:17">
      <c r="A9" s="54" t="s">
        <v>247</v>
      </c>
      <c r="D9" s="135" t="s">
        <v>248</v>
      </c>
      <c r="E9" s="57" t="s">
        <v>249</v>
      </c>
      <c r="F9" s="57" t="s">
        <v>249</v>
      </c>
      <c r="G9" s="55">
        <v>1000</v>
      </c>
      <c r="H9" s="136" t="s">
        <v>250</v>
      </c>
      <c r="I9" s="55" t="s">
        <v>251</v>
      </c>
      <c r="J9" s="55"/>
      <c r="K9" s="55">
        <f>SUM(H9:J9)</f>
        <v>0</v>
      </c>
      <c r="L9" s="55"/>
      <c r="M9" s="55"/>
      <c r="P9" s="182"/>
      <c r="Q9" s="182"/>
    </row>
    <row r="10" spans="1:17">
      <c r="A10" s="54" t="s">
        <v>252</v>
      </c>
      <c r="D10" s="184" t="s">
        <v>253</v>
      </c>
      <c r="E10" s="57" t="s">
        <v>254</v>
      </c>
      <c r="F10" s="55" t="s">
        <v>255</v>
      </c>
      <c r="G10" s="136">
        <v>1000</v>
      </c>
      <c r="H10" s="55" t="s">
        <v>256</v>
      </c>
      <c r="I10" s="55"/>
      <c r="J10" s="55"/>
      <c r="K10" s="55"/>
      <c r="L10" s="55"/>
      <c r="M10" s="55"/>
      <c r="P10" s="182"/>
      <c r="Q10" s="182"/>
    </row>
    <row r="11" spans="1:17">
      <c r="A11" s="54" t="s">
        <v>257</v>
      </c>
      <c r="D11" s="181">
        <v>90</v>
      </c>
      <c r="E11" s="55">
        <v>3.5</v>
      </c>
      <c r="F11" s="55">
        <v>1.9</v>
      </c>
      <c r="G11" s="136">
        <v>1015</v>
      </c>
      <c r="H11" s="55">
        <v>3553</v>
      </c>
      <c r="I11" s="55"/>
      <c r="J11" s="55">
        <f>E26*G26</f>
        <v>2730</v>
      </c>
      <c r="K11" s="55">
        <f t="shared" si="1"/>
        <v>6283</v>
      </c>
      <c r="L11" s="55"/>
      <c r="M11" s="55"/>
      <c r="P11" s="182"/>
      <c r="Q11" s="182"/>
    </row>
    <row r="12" spans="1:17">
      <c r="A12" s="54" t="s">
        <v>258</v>
      </c>
      <c r="D12" s="184" t="s">
        <v>253</v>
      </c>
      <c r="E12" s="55"/>
      <c r="F12" s="55"/>
      <c r="G12" s="136"/>
      <c r="H12" s="55">
        <f t="shared" si="0"/>
        <v>0</v>
      </c>
      <c r="I12" s="182" t="s">
        <v>259</v>
      </c>
      <c r="J12" s="55"/>
      <c r="K12" s="55"/>
      <c r="L12" s="55"/>
      <c r="M12" s="55"/>
      <c r="P12" s="106"/>
      <c r="Q12" s="182"/>
    </row>
    <row r="13" spans="1:17">
      <c r="A13" s="54" t="s">
        <v>107</v>
      </c>
      <c r="D13" s="181">
        <v>68</v>
      </c>
      <c r="E13" s="55">
        <v>1</v>
      </c>
      <c r="F13" s="55">
        <v>0.7</v>
      </c>
      <c r="G13" s="136">
        <v>1084</v>
      </c>
      <c r="H13" s="55">
        <f t="shared" si="0"/>
        <v>1084</v>
      </c>
      <c r="I13" s="55"/>
      <c r="J13" s="55">
        <v>914</v>
      </c>
      <c r="K13" s="55">
        <f t="shared" si="1"/>
        <v>1998</v>
      </c>
      <c r="L13" s="55"/>
      <c r="M13" s="55"/>
      <c r="P13" s="182"/>
      <c r="Q13" s="182"/>
    </row>
    <row r="14" spans="1:17">
      <c r="A14" s="54" t="s">
        <v>176</v>
      </c>
      <c r="D14" s="181">
        <v>90</v>
      </c>
      <c r="E14" s="55">
        <v>5.4</v>
      </c>
      <c r="F14" s="55">
        <v>3</v>
      </c>
      <c r="G14" s="136">
        <v>1000</v>
      </c>
      <c r="H14" s="55">
        <f t="shared" si="0"/>
        <v>5400</v>
      </c>
      <c r="I14" s="55"/>
      <c r="J14" s="57"/>
      <c r="K14" s="55">
        <f t="shared" si="1"/>
        <v>5400</v>
      </c>
      <c r="L14" s="55"/>
      <c r="M14" s="55"/>
      <c r="P14" s="183"/>
      <c r="Q14" s="183"/>
    </row>
    <row r="15" spans="1:17">
      <c r="A15" s="54" t="s">
        <v>109</v>
      </c>
      <c r="D15" s="181">
        <v>86</v>
      </c>
      <c r="E15" s="55">
        <v>0.5</v>
      </c>
      <c r="F15" s="55">
        <v>0.4</v>
      </c>
      <c r="G15" s="136">
        <v>1200</v>
      </c>
      <c r="H15" s="55">
        <f t="shared" si="0"/>
        <v>600</v>
      </c>
      <c r="I15" s="55"/>
      <c r="J15" s="57">
        <v>816</v>
      </c>
      <c r="K15" s="55">
        <f t="shared" si="1"/>
        <v>1416</v>
      </c>
      <c r="L15" s="55"/>
      <c r="M15" s="55"/>
    </row>
    <row r="16" spans="1:17">
      <c r="A16" s="54" t="s">
        <v>260</v>
      </c>
      <c r="D16" s="181">
        <v>100</v>
      </c>
      <c r="E16" s="57">
        <v>7.45</v>
      </c>
      <c r="F16" s="55">
        <v>4.26</v>
      </c>
      <c r="G16" s="136">
        <v>1024</v>
      </c>
      <c r="H16" s="55">
        <v>7629</v>
      </c>
      <c r="I16" s="55"/>
      <c r="J16" s="55"/>
      <c r="K16" s="55">
        <f t="shared" si="1"/>
        <v>7629</v>
      </c>
      <c r="L16" s="55"/>
      <c r="M16" s="55"/>
    </row>
    <row r="17" spans="1:13">
      <c r="A17" s="54" t="s">
        <v>261</v>
      </c>
      <c r="D17" s="135">
        <v>100</v>
      </c>
      <c r="E17" s="55">
        <v>3.5</v>
      </c>
      <c r="F17" s="55">
        <v>4.2</v>
      </c>
      <c r="G17" s="136">
        <v>1000</v>
      </c>
      <c r="H17" s="55">
        <f t="shared" si="0"/>
        <v>3500</v>
      </c>
      <c r="I17" s="55"/>
      <c r="J17" s="55"/>
      <c r="K17" s="55">
        <f t="shared" si="1"/>
        <v>3500</v>
      </c>
      <c r="L17" s="55"/>
      <c r="M17" s="55"/>
    </row>
    <row r="18" spans="1:13">
      <c r="A18" s="101" t="s">
        <v>113</v>
      </c>
      <c r="B18" s="101"/>
      <c r="C18" s="101"/>
      <c r="D18" s="137"/>
      <c r="E18" s="138">
        <f>SUM(E7:E17)</f>
        <v>24.35</v>
      </c>
      <c r="F18" s="138">
        <f>SUM(F7:F17)</f>
        <v>16.38</v>
      </c>
      <c r="G18" s="138"/>
      <c r="H18" s="138">
        <f>SUM(H7:H17)</f>
        <v>25366</v>
      </c>
      <c r="I18" s="138">
        <f>SUM(I7:I17)</f>
        <v>4429</v>
      </c>
      <c r="J18" s="138">
        <f>SUM(J7:J17)</f>
        <v>4460</v>
      </c>
      <c r="K18" s="138">
        <f>SUM(H18:J18)</f>
        <v>34255</v>
      </c>
      <c r="L18" s="138">
        <f>SUM(L7:L17)</f>
        <v>720</v>
      </c>
      <c r="M18" s="138">
        <f>SUM(M7:M17)</f>
        <v>0</v>
      </c>
    </row>
    <row r="19" spans="1:13">
      <c r="A19" s="103" t="s">
        <v>114</v>
      </c>
      <c r="B19" s="103"/>
      <c r="C19" s="103"/>
      <c r="D19" s="139"/>
      <c r="E19" s="140">
        <f>SUM(E18-F18)</f>
        <v>7.9700000000000024</v>
      </c>
      <c r="F19" s="140"/>
      <c r="G19" s="140"/>
      <c r="H19" s="140">
        <f>E30*G30</f>
        <v>8456</v>
      </c>
      <c r="I19" s="140">
        <f>I18-L18</f>
        <v>3709</v>
      </c>
      <c r="J19" s="140">
        <f>J18-M18</f>
        <v>4460</v>
      </c>
      <c r="K19" s="140">
        <f>H19+I19+J19</f>
        <v>16625</v>
      </c>
      <c r="L19" s="103"/>
      <c r="M19" s="103"/>
    </row>
    <row r="21" spans="1:13">
      <c r="C21" s="54" t="s">
        <v>40</v>
      </c>
    </row>
    <row r="23" spans="1:13">
      <c r="A23" s="54" t="s">
        <v>41</v>
      </c>
    </row>
    <row r="24" spans="1:13">
      <c r="A24" s="120" t="s">
        <v>42</v>
      </c>
      <c r="B24" s="120"/>
      <c r="C24" s="120"/>
      <c r="D24" s="120" t="s">
        <v>7</v>
      </c>
      <c r="E24" s="120" t="s">
        <v>43</v>
      </c>
      <c r="F24" s="120"/>
      <c r="G24" s="120" t="s">
        <v>44</v>
      </c>
    </row>
    <row r="25" spans="1:13">
      <c r="A25" s="54" t="s">
        <v>45</v>
      </c>
      <c r="J25" s="185" t="s">
        <v>6</v>
      </c>
      <c r="K25" s="124" t="s">
        <v>262</v>
      </c>
    </row>
    <row r="26" spans="1:13">
      <c r="A26" s="54" t="s">
        <v>263</v>
      </c>
      <c r="D26" s="54" t="s">
        <v>13</v>
      </c>
      <c r="E26" s="55">
        <v>10.5</v>
      </c>
      <c r="G26" s="55">
        <v>260</v>
      </c>
      <c r="J26" s="186" t="s">
        <v>264</v>
      </c>
      <c r="K26" s="187">
        <v>14</v>
      </c>
    </row>
    <row r="27" spans="1:13">
      <c r="J27" s="186" t="s">
        <v>265</v>
      </c>
      <c r="K27" s="187">
        <f>100-K26</f>
        <v>86</v>
      </c>
    </row>
    <row r="29" spans="1:13">
      <c r="A29" s="54" t="s">
        <v>46</v>
      </c>
      <c r="G29" s="110"/>
      <c r="J29" s="52"/>
      <c r="K29" s="188"/>
    </row>
    <row r="30" spans="1:13">
      <c r="A30" s="54" t="s">
        <v>47</v>
      </c>
      <c r="D30" s="54" t="s">
        <v>48</v>
      </c>
      <c r="E30" s="55">
        <v>8</v>
      </c>
      <c r="G30" s="57">
        <v>1057</v>
      </c>
      <c r="I30" s="188"/>
      <c r="J30" s="52"/>
      <c r="K30" s="188"/>
    </row>
    <row r="31" spans="1:13">
      <c r="A31" s="54" t="s">
        <v>49</v>
      </c>
      <c r="D31" s="54" t="s">
        <v>48</v>
      </c>
      <c r="E31" s="55">
        <v>16</v>
      </c>
      <c r="I31" s="188"/>
      <c r="J31" s="126" t="s">
        <v>120</v>
      </c>
      <c r="K31" s="189">
        <f>45.5/30</f>
        <v>1.5166666666666666</v>
      </c>
    </row>
    <row r="32" spans="1:13">
      <c r="A32" s="54" t="s">
        <v>12</v>
      </c>
      <c r="E32" s="55">
        <f>SUM(E30:E31)</f>
        <v>24</v>
      </c>
      <c r="I32" s="188"/>
      <c r="J32" s="126" t="s">
        <v>121</v>
      </c>
      <c r="K32" s="190">
        <v>0.5</v>
      </c>
    </row>
    <row r="33" spans="1:11">
      <c r="I33" s="188"/>
      <c r="J33" s="52"/>
      <c r="K33" s="188"/>
    </row>
    <row r="34" spans="1:11">
      <c r="A34" s="101" t="s">
        <v>122</v>
      </c>
      <c r="B34" s="101"/>
      <c r="C34" s="101" t="s">
        <v>51</v>
      </c>
      <c r="D34" s="101"/>
      <c r="E34" s="101"/>
      <c r="F34" s="101"/>
      <c r="G34" s="101"/>
      <c r="I34" s="188"/>
      <c r="J34" s="188"/>
    </row>
    <row r="35" spans="1:11">
      <c r="A35" s="52" t="s">
        <v>266</v>
      </c>
      <c r="B35" s="52"/>
      <c r="C35" s="144">
        <v>68</v>
      </c>
      <c r="D35" s="52"/>
      <c r="E35" s="178"/>
      <c r="F35" s="178"/>
      <c r="G35" s="178">
        <v>914</v>
      </c>
      <c r="I35" s="188"/>
      <c r="J35" s="188"/>
    </row>
    <row r="36" spans="1:11">
      <c r="A36" s="52"/>
      <c r="B36" s="52"/>
      <c r="C36" s="144"/>
      <c r="D36" s="52"/>
      <c r="E36" s="178"/>
      <c r="F36" s="178"/>
      <c r="G36" s="178"/>
      <c r="I36" s="188"/>
      <c r="J36" s="188"/>
    </row>
    <row r="37" spans="1:11">
      <c r="A37" s="101" t="s">
        <v>53</v>
      </c>
      <c r="B37" s="101"/>
      <c r="C37" s="101"/>
      <c r="D37" s="101"/>
      <c r="E37" s="101"/>
      <c r="F37" s="101"/>
      <c r="G37" s="179" t="s">
        <v>267</v>
      </c>
      <c r="I37" s="180" t="s">
        <v>268</v>
      </c>
    </row>
    <row r="38" spans="1:11">
      <c r="A38" s="52" t="s">
        <v>128</v>
      </c>
      <c r="B38" s="52"/>
      <c r="C38" s="52"/>
      <c r="D38" s="52"/>
      <c r="E38" s="52"/>
      <c r="F38" s="52"/>
      <c r="G38" s="191">
        <v>295</v>
      </c>
      <c r="I38" s="158">
        <f>G38*2.471</f>
        <v>728.94500000000005</v>
      </c>
    </row>
    <row r="39" spans="1:11">
      <c r="A39" s="52" t="s">
        <v>55</v>
      </c>
      <c r="B39" s="52"/>
      <c r="C39" s="52"/>
      <c r="D39" s="52"/>
      <c r="E39" s="52"/>
      <c r="F39" s="52"/>
      <c r="G39" s="131">
        <v>198</v>
      </c>
      <c r="I39" s="158"/>
    </row>
    <row r="40" spans="1:11">
      <c r="A40" s="52" t="s">
        <v>129</v>
      </c>
      <c r="B40" s="52"/>
      <c r="C40" s="52"/>
      <c r="D40" s="52"/>
      <c r="E40" s="52"/>
      <c r="F40" s="52"/>
      <c r="G40" s="131">
        <f>SUM(G38*G39)</f>
        <v>58410</v>
      </c>
      <c r="I40" s="158">
        <f t="shared" ref="I40:I42" si="2">G40*2.471</f>
        <v>144331.11000000002</v>
      </c>
    </row>
    <row r="41" spans="1:11">
      <c r="A41" s="52" t="s">
        <v>130</v>
      </c>
      <c r="B41" s="52"/>
      <c r="C41" s="52"/>
      <c r="D41" s="52"/>
      <c r="E41" s="52"/>
      <c r="F41" s="52"/>
      <c r="G41" s="131">
        <f>SUM(G40-K18)</f>
        <v>24155</v>
      </c>
      <c r="I41" s="158">
        <f t="shared" si="2"/>
        <v>59687.005000000005</v>
      </c>
    </row>
    <row r="42" spans="1:11">
      <c r="A42" s="52" t="s">
        <v>131</v>
      </c>
      <c r="B42" s="52"/>
      <c r="C42" s="52"/>
      <c r="D42" s="52"/>
      <c r="E42" s="52"/>
      <c r="F42" s="52"/>
      <c r="G42" s="131">
        <f>SUM(G40-K19)</f>
        <v>41785</v>
      </c>
      <c r="I42" s="158">
        <f t="shared" si="2"/>
        <v>103250.735</v>
      </c>
    </row>
    <row r="43" spans="1:11">
      <c r="A43" s="52"/>
      <c r="B43" s="52"/>
      <c r="C43" s="52"/>
      <c r="D43" s="52"/>
      <c r="E43" s="52"/>
      <c r="F43" s="52"/>
      <c r="G43" s="131"/>
    </row>
    <row r="44" spans="1:11">
      <c r="A44" s="52" t="s">
        <v>132</v>
      </c>
      <c r="B44" s="52"/>
      <c r="C44" s="52"/>
      <c r="D44" s="52"/>
      <c r="E44" s="52"/>
      <c r="F44" s="52"/>
      <c r="G44" s="131">
        <f>SUM(K18/G38)</f>
        <v>116.11864406779661</v>
      </c>
    </row>
    <row r="45" spans="1:11">
      <c r="A45" s="103" t="s">
        <v>133</v>
      </c>
      <c r="B45" s="103"/>
      <c r="C45" s="103"/>
      <c r="D45" s="103"/>
      <c r="E45" s="103"/>
      <c r="F45" s="103"/>
      <c r="G45" s="148">
        <f>SUM(K19/G38)</f>
        <v>56.355932203389834</v>
      </c>
    </row>
    <row r="47" spans="1:11" ht="15.75">
      <c r="A47" s="192" t="s">
        <v>134</v>
      </c>
      <c r="B47" s="193" t="s">
        <v>269</v>
      </c>
    </row>
    <row r="56" spans="7:7">
      <c r="G56" s="54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49"/>
  <sheetViews>
    <sheetView workbookViewId="0">
      <selection activeCell="O35" sqref="O35"/>
    </sheetView>
  </sheetViews>
  <sheetFormatPr defaultRowHeight="14.25"/>
  <cols>
    <col min="1" max="2" width="9.140625" style="54"/>
    <col min="3" max="3" width="6.140625" style="54" customWidth="1"/>
    <col min="4" max="4" width="5.5703125" style="54" customWidth="1"/>
    <col min="5" max="6" width="5.7109375" style="54" customWidth="1"/>
    <col min="7" max="7" width="8.85546875" style="54" customWidth="1"/>
    <col min="8" max="8" width="8.42578125" style="54" customWidth="1"/>
    <col min="9" max="9" width="7.85546875" style="54" customWidth="1"/>
    <col min="10" max="10" width="8.140625" style="54" customWidth="1"/>
    <col min="11" max="11" width="8.28515625" style="54" customWidth="1"/>
    <col min="12" max="12" width="7.42578125" style="54" customWidth="1"/>
    <col min="13" max="13" width="7.85546875" style="54" customWidth="1"/>
    <col min="14" max="16384" width="9.140625" style="54"/>
  </cols>
  <sheetData>
    <row r="1" spans="1:16">
      <c r="A1" s="54" t="s">
        <v>17</v>
      </c>
      <c r="B1" s="54" t="s">
        <v>270</v>
      </c>
    </row>
    <row r="2" spans="1:16">
      <c r="B2" s="54" t="s">
        <v>271</v>
      </c>
    </row>
    <row r="3" spans="1:16">
      <c r="B3" s="54" t="s">
        <v>272</v>
      </c>
    </row>
    <row r="4" spans="1:16">
      <c r="A4" s="101" t="s">
        <v>18</v>
      </c>
      <c r="B4" s="101"/>
      <c r="C4" s="101"/>
      <c r="D4" s="102" t="s">
        <v>19</v>
      </c>
      <c r="E4" s="102" t="s">
        <v>12</v>
      </c>
      <c r="F4" s="102" t="s">
        <v>20</v>
      </c>
      <c r="G4" s="102" t="s">
        <v>21</v>
      </c>
      <c r="H4" s="102" t="s">
        <v>22</v>
      </c>
      <c r="I4" s="102" t="s">
        <v>23</v>
      </c>
      <c r="J4" s="102" t="s">
        <v>24</v>
      </c>
      <c r="K4" s="102" t="s">
        <v>25</v>
      </c>
      <c r="L4" s="133" t="s">
        <v>26</v>
      </c>
      <c r="M4" s="102"/>
    </row>
    <row r="5" spans="1:16">
      <c r="A5" s="52"/>
      <c r="B5" s="52"/>
      <c r="C5" s="52"/>
      <c r="D5" s="53" t="s">
        <v>27</v>
      </c>
      <c r="E5" s="53" t="s">
        <v>28</v>
      </c>
      <c r="F5" s="53" t="s">
        <v>28</v>
      </c>
      <c r="G5" s="53" t="s">
        <v>29</v>
      </c>
      <c r="H5" s="53" t="s">
        <v>30</v>
      </c>
      <c r="I5" s="53" t="s">
        <v>31</v>
      </c>
      <c r="J5" s="53" t="s">
        <v>30</v>
      </c>
      <c r="K5" s="53" t="s">
        <v>30</v>
      </c>
      <c r="L5" s="134" t="s">
        <v>23</v>
      </c>
      <c r="M5" s="53" t="s">
        <v>24</v>
      </c>
    </row>
    <row r="6" spans="1:16">
      <c r="A6" s="52"/>
      <c r="B6" s="52"/>
      <c r="C6" s="52"/>
      <c r="D6" s="53" t="s">
        <v>32</v>
      </c>
      <c r="E6" s="53"/>
      <c r="F6" s="53"/>
      <c r="G6" s="53"/>
      <c r="H6" s="53" t="s">
        <v>33</v>
      </c>
      <c r="I6" s="53" t="s">
        <v>30</v>
      </c>
      <c r="J6" s="53" t="s">
        <v>33</v>
      </c>
      <c r="K6" s="53" t="s">
        <v>33</v>
      </c>
      <c r="L6" s="53"/>
      <c r="M6" s="53"/>
    </row>
    <row r="7" spans="1:16">
      <c r="A7" s="103"/>
      <c r="B7" s="103"/>
      <c r="C7" s="103"/>
      <c r="D7" s="104"/>
      <c r="E7" s="104"/>
      <c r="F7" s="104"/>
      <c r="G7" s="104"/>
      <c r="H7" s="104"/>
      <c r="I7" s="104" t="s">
        <v>33</v>
      </c>
      <c r="J7" s="104"/>
      <c r="K7" s="104"/>
      <c r="L7" s="104"/>
      <c r="M7" s="104"/>
    </row>
    <row r="8" spans="1:16">
      <c r="A8" s="54" t="s">
        <v>15</v>
      </c>
      <c r="D8" s="135">
        <v>73</v>
      </c>
      <c r="E8" s="55">
        <v>9.6999999999999993</v>
      </c>
      <c r="F8" s="55">
        <v>3.8</v>
      </c>
      <c r="G8" s="136">
        <v>1238</v>
      </c>
      <c r="H8" s="55">
        <v>12009</v>
      </c>
      <c r="J8" s="55"/>
      <c r="K8" s="55">
        <f t="shared" ref="K8:K13" si="0">SUM(H8:J8)</f>
        <v>12009</v>
      </c>
      <c r="N8" s="110"/>
      <c r="O8" s="110"/>
      <c r="P8" s="57"/>
    </row>
    <row r="9" spans="1:16">
      <c r="A9" s="54" t="s">
        <v>273</v>
      </c>
      <c r="D9" s="135">
        <v>60</v>
      </c>
      <c r="E9" s="55">
        <v>0.5</v>
      </c>
      <c r="F9" s="55">
        <v>0.5</v>
      </c>
      <c r="G9" s="136">
        <v>1284</v>
      </c>
      <c r="H9" s="55">
        <f t="shared" ref="H9:H12" si="1">SUM(E9*G9)</f>
        <v>642</v>
      </c>
      <c r="I9" s="57">
        <v>4944</v>
      </c>
      <c r="J9" s="55"/>
      <c r="K9" s="55">
        <f t="shared" si="0"/>
        <v>5586</v>
      </c>
      <c r="N9" s="110"/>
      <c r="O9" s="110"/>
      <c r="P9" s="57"/>
    </row>
    <row r="10" spans="1:16">
      <c r="A10" s="110" t="s">
        <v>274</v>
      </c>
      <c r="B10" s="110"/>
      <c r="C10" s="110"/>
      <c r="D10" s="155" t="s">
        <v>275</v>
      </c>
      <c r="E10" s="57" t="s">
        <v>276</v>
      </c>
      <c r="F10" s="57" t="s">
        <v>277</v>
      </c>
      <c r="G10" s="107">
        <v>1284</v>
      </c>
      <c r="H10" s="57" t="s">
        <v>278</v>
      </c>
      <c r="I10" s="57"/>
      <c r="J10" s="57"/>
      <c r="K10" s="57">
        <f t="shared" si="0"/>
        <v>0</v>
      </c>
      <c r="N10" s="110"/>
      <c r="O10" s="110"/>
      <c r="P10" s="57"/>
    </row>
    <row r="11" spans="1:16">
      <c r="A11" s="54" t="s">
        <v>145</v>
      </c>
      <c r="D11" s="135">
        <v>100</v>
      </c>
      <c r="E11" s="55">
        <v>2</v>
      </c>
      <c r="F11" s="55">
        <v>1</v>
      </c>
      <c r="G11" s="136">
        <v>1200</v>
      </c>
      <c r="H11" s="55">
        <f t="shared" si="1"/>
        <v>2400</v>
      </c>
      <c r="I11" s="55"/>
      <c r="J11" s="55">
        <v>1405</v>
      </c>
      <c r="K11" s="55">
        <f t="shared" si="0"/>
        <v>3805</v>
      </c>
      <c r="N11" s="110"/>
      <c r="O11" s="110"/>
      <c r="P11" s="57"/>
    </row>
    <row r="12" spans="1:16">
      <c r="A12" s="54" t="s">
        <v>5</v>
      </c>
      <c r="D12" s="135">
        <v>100</v>
      </c>
      <c r="E12" s="55">
        <v>7</v>
      </c>
      <c r="F12" s="55">
        <v>2</v>
      </c>
      <c r="G12" s="136">
        <v>1200</v>
      </c>
      <c r="H12" s="55">
        <f t="shared" si="1"/>
        <v>8400</v>
      </c>
      <c r="I12" s="55"/>
      <c r="J12" s="55"/>
      <c r="K12" s="55">
        <f t="shared" si="0"/>
        <v>8400</v>
      </c>
      <c r="N12" s="110"/>
      <c r="O12" s="110"/>
      <c r="P12" s="57"/>
    </row>
    <row r="13" spans="1:16">
      <c r="A13" s="54" t="s">
        <v>146</v>
      </c>
      <c r="D13" s="135">
        <v>100</v>
      </c>
      <c r="E13" s="55">
        <v>4.2</v>
      </c>
      <c r="F13" s="55">
        <v>2.5</v>
      </c>
      <c r="G13" s="136">
        <v>1262</v>
      </c>
      <c r="H13" s="55">
        <v>5300</v>
      </c>
      <c r="I13" s="55"/>
      <c r="J13" s="55"/>
      <c r="K13" s="55">
        <f t="shared" si="0"/>
        <v>5300</v>
      </c>
    </row>
    <row r="14" spans="1:16">
      <c r="A14" s="101" t="s">
        <v>38</v>
      </c>
      <c r="B14" s="101"/>
      <c r="C14" s="101"/>
      <c r="D14" s="137"/>
      <c r="E14" s="138">
        <f>SUM(E8:E13)</f>
        <v>23.4</v>
      </c>
      <c r="F14" s="138">
        <f>SUM(F8:F13)</f>
        <v>9.8000000000000007</v>
      </c>
      <c r="G14" s="138"/>
      <c r="H14" s="138">
        <f>SUM(H8:H13)</f>
        <v>28751</v>
      </c>
      <c r="I14" s="138">
        <f>SUM(I8:I13)</f>
        <v>4944</v>
      </c>
      <c r="J14" s="138">
        <f>SUM(J8:J13)</f>
        <v>1405</v>
      </c>
      <c r="K14" s="138">
        <f>SUM(H14:J14)</f>
        <v>35100</v>
      </c>
      <c r="L14" s="101">
        <f>SUM(L8:L13)</f>
        <v>0</v>
      </c>
      <c r="M14" s="101">
        <f>SUM(M8:M13)</f>
        <v>0</v>
      </c>
    </row>
    <row r="15" spans="1:16">
      <c r="A15" s="103" t="s">
        <v>39</v>
      </c>
      <c r="B15" s="103"/>
      <c r="C15" s="103"/>
      <c r="D15" s="139"/>
      <c r="E15" s="140">
        <f>SUM(E14-F14)</f>
        <v>13.599999999999998</v>
      </c>
      <c r="F15" s="140"/>
      <c r="G15" s="140"/>
      <c r="H15" s="140">
        <f>SUM(E26*G26)</f>
        <v>16772</v>
      </c>
      <c r="I15" s="140">
        <f>I14-L14</f>
        <v>4944</v>
      </c>
      <c r="J15" s="140">
        <f>J14-M14</f>
        <v>1405</v>
      </c>
      <c r="K15" s="140">
        <f>SUM(H15:J15)</f>
        <v>23121</v>
      </c>
      <c r="L15" s="103"/>
      <c r="M15" s="103"/>
    </row>
    <row r="17" spans="1:10">
      <c r="C17" s="54" t="s">
        <v>40</v>
      </c>
    </row>
    <row r="19" spans="1:10">
      <c r="A19" s="54" t="s">
        <v>41</v>
      </c>
    </row>
    <row r="20" spans="1:10">
      <c r="A20" s="120" t="s">
        <v>42</v>
      </c>
      <c r="B20" s="120"/>
      <c r="C20" s="120"/>
      <c r="D20" s="120" t="s">
        <v>7</v>
      </c>
      <c r="E20" s="120" t="s">
        <v>43</v>
      </c>
      <c r="F20" s="120"/>
      <c r="G20" s="120" t="s">
        <v>44</v>
      </c>
      <c r="I20" s="123" t="s">
        <v>120</v>
      </c>
      <c r="J20" s="194">
        <v>2.2000000000000002</v>
      </c>
    </row>
    <row r="21" spans="1:10">
      <c r="A21" s="54" t="s">
        <v>45</v>
      </c>
      <c r="I21" s="123" t="s">
        <v>121</v>
      </c>
      <c r="J21" s="194">
        <v>1</v>
      </c>
    </row>
    <row r="22" spans="1:10">
      <c r="A22" s="54" t="s">
        <v>145</v>
      </c>
      <c r="D22" s="54" t="s">
        <v>279</v>
      </c>
      <c r="E22" s="55">
        <v>4.7</v>
      </c>
      <c r="G22" s="55">
        <v>299</v>
      </c>
    </row>
    <row r="23" spans="1:10">
      <c r="I23" s="123" t="s">
        <v>280</v>
      </c>
      <c r="J23" s="123"/>
    </row>
    <row r="24" spans="1:10">
      <c r="I24" s="126" t="s">
        <v>281</v>
      </c>
      <c r="J24" s="126">
        <v>100</v>
      </c>
    </row>
    <row r="25" spans="1:10">
      <c r="A25" s="54" t="s">
        <v>46</v>
      </c>
    </row>
    <row r="26" spans="1:10">
      <c r="A26" s="54" t="s">
        <v>47</v>
      </c>
      <c r="D26" s="54" t="s">
        <v>48</v>
      </c>
      <c r="E26" s="55">
        <v>14</v>
      </c>
      <c r="F26" s="55"/>
      <c r="G26" s="55">
        <v>1198</v>
      </c>
    </row>
    <row r="27" spans="1:10">
      <c r="A27" s="54" t="s">
        <v>49</v>
      </c>
      <c r="D27" s="54" t="s">
        <v>48</v>
      </c>
      <c r="E27" s="55">
        <v>10</v>
      </c>
      <c r="F27" s="55"/>
      <c r="G27" s="55"/>
    </row>
    <row r="28" spans="1:10">
      <c r="A28" s="54" t="s">
        <v>12</v>
      </c>
      <c r="E28" s="55">
        <f>SUM(E26:E27)</f>
        <v>24</v>
      </c>
      <c r="F28" s="55"/>
      <c r="G28" s="55"/>
    </row>
    <row r="30" spans="1:10">
      <c r="A30" s="101" t="s">
        <v>53</v>
      </c>
      <c r="B30" s="101"/>
      <c r="C30" s="101"/>
      <c r="D30" s="101"/>
      <c r="E30" s="101"/>
      <c r="F30" s="101"/>
      <c r="G30" s="102"/>
      <c r="H30" s="180" t="s">
        <v>224</v>
      </c>
    </row>
    <row r="31" spans="1:10">
      <c r="A31" s="52" t="s">
        <v>54</v>
      </c>
      <c r="B31" s="52"/>
      <c r="C31" s="52"/>
      <c r="D31" s="52"/>
      <c r="E31" s="52"/>
      <c r="F31" s="52"/>
      <c r="G31" s="129" t="s">
        <v>282</v>
      </c>
      <c r="H31" s="130">
        <v>497</v>
      </c>
    </row>
    <row r="32" spans="1:10">
      <c r="A32" s="52" t="s">
        <v>55</v>
      </c>
      <c r="B32" s="52"/>
      <c r="C32" s="52"/>
      <c r="D32" s="52"/>
      <c r="E32" s="52"/>
      <c r="F32" s="52"/>
      <c r="G32" s="131">
        <v>259</v>
      </c>
      <c r="H32" s="130"/>
    </row>
    <row r="33" spans="1:10">
      <c r="A33" s="52" t="s">
        <v>56</v>
      </c>
      <c r="B33" s="52"/>
      <c r="C33" s="52"/>
      <c r="D33" s="52"/>
      <c r="E33" s="52"/>
      <c r="F33" s="52"/>
      <c r="G33" s="131">
        <v>52059</v>
      </c>
      <c r="H33" s="130">
        <f t="shared" ref="H33:H35" si="2">G33*2.471</f>
        <v>128637.789</v>
      </c>
    </row>
    <row r="34" spans="1:10">
      <c r="A34" s="52" t="s">
        <v>57</v>
      </c>
      <c r="B34" s="52"/>
      <c r="C34" s="52"/>
      <c r="D34" s="52"/>
      <c r="E34" s="52"/>
      <c r="F34" s="52"/>
      <c r="G34" s="131">
        <f>SUM(G33-K14)</f>
        <v>16959</v>
      </c>
      <c r="H34" s="130">
        <f t="shared" si="2"/>
        <v>41905.688999999998</v>
      </c>
    </row>
    <row r="35" spans="1:10">
      <c r="A35" s="52" t="s">
        <v>58</v>
      </c>
      <c r="B35" s="52"/>
      <c r="C35" s="52"/>
      <c r="D35" s="52"/>
      <c r="E35" s="52"/>
      <c r="F35" s="52"/>
      <c r="G35" s="131">
        <f>SUM(G33-K15)</f>
        <v>28938</v>
      </c>
      <c r="H35" s="130">
        <f t="shared" si="2"/>
        <v>71505.797999999995</v>
      </c>
    </row>
    <row r="36" spans="1:10">
      <c r="A36" s="52"/>
      <c r="B36" s="52"/>
      <c r="C36" s="52"/>
      <c r="D36" s="52"/>
      <c r="E36" s="52"/>
      <c r="F36" s="52"/>
      <c r="G36" s="131"/>
    </row>
    <row r="37" spans="1:10">
      <c r="A37" s="52" t="s">
        <v>59</v>
      </c>
      <c r="B37" s="52"/>
      <c r="C37" s="52"/>
      <c r="D37" s="52"/>
      <c r="E37" s="52"/>
      <c r="F37" s="52"/>
      <c r="G37" s="131">
        <f>K14/201</f>
        <v>174.62686567164178</v>
      </c>
    </row>
    <row r="38" spans="1:10">
      <c r="A38" s="103" t="s">
        <v>60</v>
      </c>
      <c r="B38" s="103"/>
      <c r="C38" s="103"/>
      <c r="D38" s="103"/>
      <c r="E38" s="103"/>
      <c r="F38" s="103"/>
      <c r="G38" s="148">
        <f>K15/201</f>
        <v>115.02985074626865</v>
      </c>
    </row>
    <row r="40" spans="1:10">
      <c r="A40" s="54" t="s">
        <v>164</v>
      </c>
      <c r="C40" s="132" t="s">
        <v>283</v>
      </c>
      <c r="D40" s="110"/>
      <c r="E40" s="110"/>
      <c r="F40" s="110"/>
      <c r="G40" s="110"/>
      <c r="H40" s="110"/>
      <c r="I40" s="110"/>
      <c r="J40" s="110"/>
    </row>
    <row r="49" spans="7:7">
      <c r="G49" s="54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50"/>
  <sheetViews>
    <sheetView workbookViewId="0">
      <selection activeCell="N35" sqref="N35"/>
    </sheetView>
  </sheetViews>
  <sheetFormatPr defaultRowHeight="14.25"/>
  <cols>
    <col min="1" max="2" width="9.140625" style="110"/>
    <col min="3" max="3" width="6" style="110" customWidth="1"/>
    <col min="4" max="4" width="7.140625" style="110" customWidth="1"/>
    <col min="5" max="5" width="6.28515625" style="110" customWidth="1"/>
    <col min="6" max="6" width="5.5703125" style="110" customWidth="1"/>
    <col min="7" max="7" width="9" style="110" customWidth="1"/>
    <col min="8" max="8" width="8.42578125" style="110" customWidth="1"/>
    <col min="9" max="9" width="7.5703125" style="110" customWidth="1"/>
    <col min="10" max="10" width="8.5703125" style="110" customWidth="1"/>
    <col min="11" max="11" width="10.28515625" style="110" customWidth="1"/>
    <col min="12" max="12" width="7.140625" style="110" customWidth="1"/>
    <col min="13" max="13" width="6" style="110" customWidth="1"/>
    <col min="14" max="15" width="9.140625" style="110"/>
    <col min="16" max="16" width="5.140625" style="110" customWidth="1"/>
    <col min="17" max="17" width="6.42578125" style="110" customWidth="1"/>
    <col min="18" max="18" width="7.42578125" style="110" customWidth="1"/>
    <col min="19" max="16384" width="9.140625" style="110"/>
  </cols>
  <sheetData>
    <row r="1" spans="1:18">
      <c r="A1" s="110" t="s">
        <v>17</v>
      </c>
      <c r="B1" s="110" t="s">
        <v>284</v>
      </c>
    </row>
    <row r="2" spans="1:18">
      <c r="B2" s="110" t="s">
        <v>285</v>
      </c>
    </row>
    <row r="3" spans="1:18">
      <c r="B3" s="110" t="s">
        <v>286</v>
      </c>
    </row>
    <row r="4" spans="1:18">
      <c r="A4" s="116" t="s">
        <v>18</v>
      </c>
      <c r="B4" s="116"/>
      <c r="C4" s="116"/>
      <c r="D4" s="150" t="s">
        <v>19</v>
      </c>
      <c r="E4" s="150" t="s">
        <v>12</v>
      </c>
      <c r="F4" s="150" t="s">
        <v>20</v>
      </c>
      <c r="G4" s="150" t="s">
        <v>21</v>
      </c>
      <c r="H4" s="150" t="s">
        <v>22</v>
      </c>
      <c r="I4" s="150" t="s">
        <v>23</v>
      </c>
      <c r="J4" s="150" t="s">
        <v>24</v>
      </c>
      <c r="K4" s="150" t="s">
        <v>25</v>
      </c>
      <c r="L4" s="151" t="s">
        <v>26</v>
      </c>
      <c r="M4" s="150"/>
    </row>
    <row r="5" spans="1:18">
      <c r="A5" s="125"/>
      <c r="B5" s="125"/>
      <c r="C5" s="125"/>
      <c r="D5" s="152" t="s">
        <v>27</v>
      </c>
      <c r="E5" s="152" t="s">
        <v>28</v>
      </c>
      <c r="F5" s="152" t="s">
        <v>28</v>
      </c>
      <c r="G5" s="152" t="s">
        <v>29</v>
      </c>
      <c r="H5" s="152" t="s">
        <v>30</v>
      </c>
      <c r="I5" s="152" t="s">
        <v>31</v>
      </c>
      <c r="J5" s="152" t="s">
        <v>30</v>
      </c>
      <c r="K5" s="152" t="s">
        <v>30</v>
      </c>
      <c r="L5" s="153" t="s">
        <v>23</v>
      </c>
      <c r="M5" s="152" t="s">
        <v>24</v>
      </c>
    </row>
    <row r="6" spans="1:18">
      <c r="A6" s="125"/>
      <c r="B6" s="125"/>
      <c r="C6" s="125"/>
      <c r="D6" s="152" t="s">
        <v>32</v>
      </c>
      <c r="E6" s="152"/>
      <c r="F6" s="152"/>
      <c r="G6" s="152"/>
      <c r="H6" s="152" t="s">
        <v>33</v>
      </c>
      <c r="I6" s="152" t="s">
        <v>30</v>
      </c>
      <c r="J6" s="152" t="s">
        <v>33</v>
      </c>
      <c r="K6" s="152" t="s">
        <v>33</v>
      </c>
      <c r="L6" s="152"/>
      <c r="M6" s="152"/>
    </row>
    <row r="7" spans="1:18">
      <c r="A7" s="119"/>
      <c r="B7" s="119"/>
      <c r="C7" s="119"/>
      <c r="D7" s="154"/>
      <c r="E7" s="154"/>
      <c r="F7" s="154"/>
      <c r="G7" s="154"/>
      <c r="H7" s="154"/>
      <c r="I7" s="154" t="s">
        <v>33</v>
      </c>
      <c r="J7" s="154"/>
      <c r="K7" s="154"/>
      <c r="L7" s="154"/>
      <c r="M7" s="154"/>
    </row>
    <row r="8" spans="1:18">
      <c r="A8" s="110" t="s">
        <v>287</v>
      </c>
      <c r="D8" s="155">
        <v>58</v>
      </c>
      <c r="E8" s="57">
        <v>0.6</v>
      </c>
      <c r="F8" s="57">
        <v>0.4</v>
      </c>
      <c r="G8" s="107">
        <v>1636</v>
      </c>
      <c r="H8" s="57">
        <v>982</v>
      </c>
      <c r="J8" s="57">
        <v>3769</v>
      </c>
      <c r="K8" s="57">
        <f t="shared" ref="K8:K14" si="0">SUM(H8:J8)</f>
        <v>4751</v>
      </c>
      <c r="Q8" s="57"/>
      <c r="R8" s="57"/>
    </row>
    <row r="9" spans="1:18">
      <c r="A9" s="110" t="s">
        <v>15</v>
      </c>
      <c r="D9" s="155">
        <v>60</v>
      </c>
      <c r="E9" s="57">
        <v>4.4000000000000004</v>
      </c>
      <c r="F9" s="57">
        <v>1.1000000000000001</v>
      </c>
      <c r="G9" s="107">
        <v>1445</v>
      </c>
      <c r="H9" s="57">
        <f t="shared" ref="H9:H12" si="1">SUM(E9*G9)</f>
        <v>6358.0000000000009</v>
      </c>
      <c r="J9" s="57"/>
      <c r="K9" s="57">
        <f t="shared" si="0"/>
        <v>6358.0000000000009</v>
      </c>
      <c r="Q9" s="57"/>
      <c r="R9" s="57"/>
    </row>
    <row r="10" spans="1:18">
      <c r="A10" s="110" t="s">
        <v>288</v>
      </c>
      <c r="D10" s="155">
        <v>100</v>
      </c>
      <c r="E10" s="57">
        <v>0.3</v>
      </c>
      <c r="F10" s="57">
        <v>0.3</v>
      </c>
      <c r="G10" s="107">
        <v>1500</v>
      </c>
      <c r="H10" s="57">
        <f t="shared" si="1"/>
        <v>450</v>
      </c>
      <c r="I10" s="57">
        <v>3681</v>
      </c>
      <c r="J10" s="57"/>
      <c r="K10" s="57">
        <f t="shared" si="0"/>
        <v>4131</v>
      </c>
      <c r="Q10" s="57"/>
      <c r="R10" s="57"/>
    </row>
    <row r="11" spans="1:18">
      <c r="A11" s="110" t="s">
        <v>289</v>
      </c>
      <c r="D11" s="155">
        <v>100</v>
      </c>
      <c r="E11" s="57">
        <v>0.8</v>
      </c>
      <c r="F11" s="57">
        <v>0.5</v>
      </c>
      <c r="G11" s="107">
        <v>1474</v>
      </c>
      <c r="H11" s="57">
        <v>1179</v>
      </c>
      <c r="I11" s="57"/>
      <c r="J11" s="57">
        <f>SUM(E23*G23)</f>
        <v>3224</v>
      </c>
      <c r="K11" s="57">
        <f t="shared" si="0"/>
        <v>4403</v>
      </c>
    </row>
    <row r="12" spans="1:18">
      <c r="A12" s="110" t="s">
        <v>36</v>
      </c>
      <c r="D12" s="155">
        <v>100</v>
      </c>
      <c r="E12" s="57">
        <v>0.8</v>
      </c>
      <c r="F12" s="57">
        <v>0.5</v>
      </c>
      <c r="G12" s="107">
        <v>1530</v>
      </c>
      <c r="H12" s="57">
        <f t="shared" si="1"/>
        <v>1224</v>
      </c>
      <c r="I12" s="57"/>
      <c r="J12" s="57">
        <v>4189</v>
      </c>
      <c r="K12" s="57">
        <f t="shared" si="0"/>
        <v>5413</v>
      </c>
    </row>
    <row r="13" spans="1:18">
      <c r="A13" s="110" t="s">
        <v>5</v>
      </c>
      <c r="D13" s="155">
        <v>100</v>
      </c>
      <c r="E13" s="57">
        <v>8.65</v>
      </c>
      <c r="F13" s="57">
        <v>0.63</v>
      </c>
      <c r="G13" s="107">
        <v>1444</v>
      </c>
      <c r="H13" s="57">
        <v>12491</v>
      </c>
      <c r="I13" s="57"/>
      <c r="J13" s="57"/>
      <c r="K13" s="57">
        <f t="shared" si="0"/>
        <v>12491</v>
      </c>
    </row>
    <row r="14" spans="1:18">
      <c r="A14" s="110" t="s">
        <v>290</v>
      </c>
      <c r="D14" s="155">
        <v>100</v>
      </c>
      <c r="E14" s="57">
        <v>1.2</v>
      </c>
      <c r="F14" s="57">
        <v>0.7</v>
      </c>
      <c r="G14" s="107">
        <v>1404</v>
      </c>
      <c r="H14" s="57">
        <v>1685</v>
      </c>
      <c r="I14" s="57">
        <v>1315</v>
      </c>
      <c r="J14" s="57"/>
      <c r="K14" s="57">
        <f t="shared" si="0"/>
        <v>3000</v>
      </c>
    </row>
    <row r="15" spans="1:18">
      <c r="A15" s="116" t="s">
        <v>38</v>
      </c>
      <c r="B15" s="116"/>
      <c r="C15" s="116"/>
      <c r="D15" s="114"/>
      <c r="E15" s="115">
        <f>SUM(E8:E14)</f>
        <v>16.75</v>
      </c>
      <c r="F15" s="115">
        <f>SUM(F8:F14)</f>
        <v>4.13</v>
      </c>
      <c r="G15" s="115"/>
      <c r="H15" s="115">
        <f>SUM(H8:H14)</f>
        <v>24369</v>
      </c>
      <c r="I15" s="115">
        <f>SUM(I8:I14)</f>
        <v>4996</v>
      </c>
      <c r="J15" s="115">
        <f>SUM(J8:J14)</f>
        <v>11182</v>
      </c>
      <c r="K15" s="115">
        <f>SUM(H15:J15)</f>
        <v>40547</v>
      </c>
      <c r="L15" s="116">
        <f>SUM(L8:L14)</f>
        <v>0</v>
      </c>
      <c r="M15" s="116">
        <f>SUM(M8:M14)</f>
        <v>0</v>
      </c>
    </row>
    <row r="16" spans="1:18">
      <c r="A16" s="119" t="s">
        <v>39</v>
      </c>
      <c r="B16" s="119"/>
      <c r="C16" s="119"/>
      <c r="D16" s="117"/>
      <c r="E16" s="118">
        <f>SUM(E15-F15)</f>
        <v>12.620000000000001</v>
      </c>
      <c r="F16" s="118"/>
      <c r="G16" s="118"/>
      <c r="H16" s="118">
        <f>SUM(E27*G27)</f>
        <v>18629</v>
      </c>
      <c r="I16" s="118">
        <f>I15-L15</f>
        <v>4996</v>
      </c>
      <c r="J16" s="118">
        <f>J15-M15</f>
        <v>11182</v>
      </c>
      <c r="K16" s="118">
        <f>SUM(H16:J16)</f>
        <v>34807</v>
      </c>
      <c r="L16" s="119"/>
      <c r="M16" s="119"/>
    </row>
    <row r="18" spans="1:10">
      <c r="C18" s="110" t="s">
        <v>40</v>
      </c>
    </row>
    <row r="20" spans="1:10">
      <c r="A20" s="110" t="s">
        <v>41</v>
      </c>
    </row>
    <row r="21" spans="1:10">
      <c r="A21" s="166" t="s">
        <v>42</v>
      </c>
      <c r="B21" s="166"/>
      <c r="C21" s="166"/>
      <c r="D21" s="166" t="s">
        <v>7</v>
      </c>
      <c r="E21" s="166" t="s">
        <v>43</v>
      </c>
      <c r="F21" s="166"/>
      <c r="G21" s="166" t="s">
        <v>44</v>
      </c>
      <c r="I21" s="195" t="s">
        <v>120</v>
      </c>
      <c r="J21" s="196">
        <v>4.4000000000000004</v>
      </c>
    </row>
    <row r="22" spans="1:10">
      <c r="A22" s="110" t="s">
        <v>45</v>
      </c>
      <c r="I22" s="197" t="s">
        <v>121</v>
      </c>
      <c r="J22" s="198">
        <v>5</v>
      </c>
    </row>
    <row r="23" spans="1:10">
      <c r="A23" s="110" t="s">
        <v>291</v>
      </c>
      <c r="D23" s="110" t="s">
        <v>13</v>
      </c>
      <c r="E23" s="57">
        <v>12.4</v>
      </c>
      <c r="G23" s="57">
        <v>260</v>
      </c>
    </row>
    <row r="24" spans="1:10">
      <c r="I24" s="199" t="s">
        <v>280</v>
      </c>
      <c r="J24" s="199"/>
    </row>
    <row r="25" spans="1:10">
      <c r="I25" s="168" t="s">
        <v>292</v>
      </c>
      <c r="J25" s="169">
        <v>78</v>
      </c>
    </row>
    <row r="26" spans="1:10">
      <c r="A26" s="110" t="s">
        <v>46</v>
      </c>
      <c r="I26" s="168" t="s">
        <v>293</v>
      </c>
      <c r="J26" s="169">
        <v>22</v>
      </c>
    </row>
    <row r="27" spans="1:10">
      <c r="A27" s="110" t="s">
        <v>47</v>
      </c>
      <c r="D27" s="110" t="s">
        <v>48</v>
      </c>
      <c r="E27" s="57">
        <v>13</v>
      </c>
      <c r="G27" s="57">
        <v>1433</v>
      </c>
    </row>
    <row r="28" spans="1:10">
      <c r="A28" s="110" t="s">
        <v>49</v>
      </c>
      <c r="D28" s="110" t="s">
        <v>48</v>
      </c>
      <c r="E28" s="57">
        <v>4</v>
      </c>
    </row>
    <row r="29" spans="1:10">
      <c r="A29" s="110" t="s">
        <v>12</v>
      </c>
      <c r="E29" s="57">
        <f>SUM(E27:E28)</f>
        <v>17</v>
      </c>
    </row>
    <row r="31" spans="1:10">
      <c r="A31" s="116" t="s">
        <v>53</v>
      </c>
      <c r="B31" s="116"/>
      <c r="C31" s="116"/>
      <c r="D31" s="116"/>
      <c r="E31" s="116"/>
      <c r="F31" s="116"/>
      <c r="G31" s="116"/>
      <c r="H31" s="149" t="s">
        <v>224</v>
      </c>
    </row>
    <row r="32" spans="1:10">
      <c r="A32" s="125" t="s">
        <v>54</v>
      </c>
      <c r="B32" s="125"/>
      <c r="C32" s="125"/>
      <c r="D32" s="125"/>
      <c r="E32" s="125"/>
      <c r="F32" s="125"/>
      <c r="G32" s="129">
        <v>265</v>
      </c>
      <c r="H32" s="158">
        <f>G32*2.471</f>
        <v>654.81500000000005</v>
      </c>
    </row>
    <row r="33" spans="1:8">
      <c r="A33" s="125" t="s">
        <v>55</v>
      </c>
      <c r="B33" s="125"/>
      <c r="C33" s="125"/>
      <c r="D33" s="125"/>
      <c r="E33" s="125"/>
      <c r="F33" s="125"/>
      <c r="G33" s="147">
        <v>179</v>
      </c>
      <c r="H33" s="158"/>
    </row>
    <row r="34" spans="1:8">
      <c r="A34" s="125" t="s">
        <v>56</v>
      </c>
      <c r="B34" s="125"/>
      <c r="C34" s="125"/>
      <c r="D34" s="125"/>
      <c r="E34" s="125"/>
      <c r="F34" s="125"/>
      <c r="G34" s="147">
        <f>SUM(G32*G33)</f>
        <v>47435</v>
      </c>
      <c r="H34" s="158">
        <f t="shared" ref="H34:H35" si="2">G34*2.471</f>
        <v>117211.88500000001</v>
      </c>
    </row>
    <row r="35" spans="1:8">
      <c r="A35" s="125" t="s">
        <v>57</v>
      </c>
      <c r="B35" s="125"/>
      <c r="C35" s="125"/>
      <c r="D35" s="125"/>
      <c r="E35" s="125"/>
      <c r="F35" s="125"/>
      <c r="G35" s="147">
        <f>SUM(G34-K15)</f>
        <v>6888</v>
      </c>
      <c r="H35" s="158">
        <f t="shared" si="2"/>
        <v>17020.248</v>
      </c>
    </row>
    <row r="36" spans="1:8">
      <c r="A36" s="125" t="s">
        <v>58</v>
      </c>
      <c r="B36" s="125"/>
      <c r="C36" s="125"/>
      <c r="D36" s="125"/>
      <c r="E36" s="125"/>
      <c r="F36" s="125"/>
      <c r="G36" s="147">
        <f>SUM(G34-K16)</f>
        <v>12628</v>
      </c>
      <c r="H36" s="158">
        <f>G36*2.471</f>
        <v>31203.788</v>
      </c>
    </row>
    <row r="37" spans="1:8">
      <c r="A37" s="125"/>
      <c r="B37" s="125"/>
      <c r="C37" s="125"/>
      <c r="D37" s="125"/>
      <c r="E37" s="125"/>
      <c r="F37" s="125"/>
      <c r="G37" s="147"/>
    </row>
    <row r="38" spans="1:8">
      <c r="A38" s="125" t="s">
        <v>59</v>
      </c>
      <c r="B38" s="125"/>
      <c r="C38" s="125"/>
      <c r="D38" s="125"/>
      <c r="E38" s="125"/>
      <c r="F38" s="125"/>
      <c r="G38" s="147">
        <f>SUM(K15/G32)</f>
        <v>153.00754716981132</v>
      </c>
    </row>
    <row r="39" spans="1:8">
      <c r="A39" s="119" t="s">
        <v>60</v>
      </c>
      <c r="B39" s="119"/>
      <c r="C39" s="119"/>
      <c r="D39" s="119"/>
      <c r="E39" s="119"/>
      <c r="F39" s="119"/>
      <c r="G39" s="164">
        <f>SUM(K16/G32)</f>
        <v>131.34716981132075</v>
      </c>
    </row>
    <row r="42" spans="1:8">
      <c r="A42" s="110" t="s">
        <v>294</v>
      </c>
    </row>
    <row r="50" spans="7:7">
      <c r="G50" s="110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9"/>
  <sheetViews>
    <sheetView workbookViewId="0">
      <selection sqref="A1:XFD1048576"/>
    </sheetView>
  </sheetViews>
  <sheetFormatPr defaultRowHeight="14.25"/>
  <cols>
    <col min="1" max="2" width="9.140625" style="110"/>
    <col min="3" max="3" width="5.42578125" style="110" customWidth="1"/>
    <col min="4" max="4" width="4.7109375" style="110" customWidth="1"/>
    <col min="5" max="5" width="6" style="110" customWidth="1"/>
    <col min="6" max="6" width="5.85546875" style="110" customWidth="1"/>
    <col min="7" max="7" width="9.140625" style="110" customWidth="1"/>
    <col min="8" max="8" width="9.28515625" style="110" customWidth="1"/>
    <col min="9" max="9" width="7.28515625" style="110" customWidth="1"/>
    <col min="10" max="10" width="8.7109375" style="110" customWidth="1"/>
    <col min="11" max="11" width="9.42578125" style="110" customWidth="1"/>
    <col min="12" max="12" width="5.85546875" style="110" customWidth="1"/>
    <col min="13" max="13" width="8.140625" style="110" customWidth="1"/>
    <col min="14" max="15" width="9.140625" style="110"/>
    <col min="16" max="17" width="6.28515625" style="110" customWidth="1"/>
    <col min="18" max="16384" width="9.140625" style="110"/>
  </cols>
  <sheetData>
    <row r="1" spans="1:17">
      <c r="A1" s="110" t="s">
        <v>17</v>
      </c>
      <c r="B1" s="110" t="s">
        <v>295</v>
      </c>
    </row>
    <row r="2" spans="1:17">
      <c r="B2" s="110" t="s">
        <v>296</v>
      </c>
    </row>
    <row r="3" spans="1:17">
      <c r="B3" s="110" t="s">
        <v>297</v>
      </c>
    </row>
    <row r="4" spans="1:17">
      <c r="A4" s="116" t="s">
        <v>18</v>
      </c>
      <c r="B4" s="116"/>
      <c r="C4" s="116"/>
      <c r="D4" s="150" t="s">
        <v>19</v>
      </c>
      <c r="E4" s="150" t="s">
        <v>12</v>
      </c>
      <c r="F4" s="150" t="s">
        <v>20</v>
      </c>
      <c r="G4" s="150" t="s">
        <v>21</v>
      </c>
      <c r="H4" s="150" t="s">
        <v>22</v>
      </c>
      <c r="I4" s="150" t="s">
        <v>23</v>
      </c>
      <c r="J4" s="150" t="s">
        <v>24</v>
      </c>
      <c r="K4" s="150" t="s">
        <v>25</v>
      </c>
      <c r="L4" s="151" t="s">
        <v>26</v>
      </c>
      <c r="M4" s="150"/>
    </row>
    <row r="5" spans="1:17">
      <c r="A5" s="125"/>
      <c r="B5" s="125"/>
      <c r="C5" s="125"/>
      <c r="D5" s="152" t="s">
        <v>27</v>
      </c>
      <c r="E5" s="152" t="s">
        <v>28</v>
      </c>
      <c r="F5" s="152" t="s">
        <v>28</v>
      </c>
      <c r="G5" s="152" t="s">
        <v>29</v>
      </c>
      <c r="H5" s="152" t="s">
        <v>30</v>
      </c>
      <c r="I5" s="152" t="s">
        <v>31</v>
      </c>
      <c r="J5" s="152" t="s">
        <v>30</v>
      </c>
      <c r="K5" s="152" t="s">
        <v>30</v>
      </c>
      <c r="L5" s="153" t="s">
        <v>23</v>
      </c>
      <c r="M5" s="152" t="s">
        <v>24</v>
      </c>
    </row>
    <row r="6" spans="1:17">
      <c r="A6" s="125"/>
      <c r="B6" s="125"/>
      <c r="C6" s="125"/>
      <c r="D6" s="152" t="s">
        <v>32</v>
      </c>
      <c r="E6" s="152"/>
      <c r="F6" s="152"/>
      <c r="G6" s="152"/>
      <c r="H6" s="152" t="s">
        <v>33</v>
      </c>
      <c r="I6" s="152" t="s">
        <v>30</v>
      </c>
      <c r="J6" s="152" t="s">
        <v>33</v>
      </c>
      <c r="K6" s="152" t="s">
        <v>33</v>
      </c>
      <c r="L6" s="152"/>
      <c r="M6" s="152"/>
    </row>
    <row r="7" spans="1:17">
      <c r="A7" s="119"/>
      <c r="B7" s="119"/>
      <c r="C7" s="119"/>
      <c r="D7" s="154"/>
      <c r="E7" s="154"/>
      <c r="F7" s="154"/>
      <c r="G7" s="154"/>
      <c r="H7" s="154"/>
      <c r="I7" s="154" t="s">
        <v>33</v>
      </c>
      <c r="J7" s="154"/>
      <c r="K7" s="154"/>
      <c r="L7" s="154"/>
      <c r="M7" s="154"/>
    </row>
    <row r="8" spans="1:17">
      <c r="A8" s="110" t="s">
        <v>15</v>
      </c>
      <c r="D8" s="155">
        <v>44</v>
      </c>
      <c r="E8" s="57">
        <v>4.4000000000000004</v>
      </c>
      <c r="F8" s="57">
        <v>2.8</v>
      </c>
      <c r="G8" s="107">
        <v>1133</v>
      </c>
      <c r="H8" s="57">
        <v>4985</v>
      </c>
      <c r="J8" s="57"/>
      <c r="K8" s="57">
        <f>H8+I8+J8</f>
        <v>4985</v>
      </c>
      <c r="N8" s="54"/>
      <c r="O8" s="54"/>
      <c r="P8" s="55"/>
      <c r="Q8" s="55"/>
    </row>
    <row r="9" spans="1:17">
      <c r="A9" s="110" t="s">
        <v>273</v>
      </c>
      <c r="D9" s="155">
        <v>78</v>
      </c>
      <c r="E9" s="57">
        <v>0.4</v>
      </c>
      <c r="F9" s="57">
        <v>0.4</v>
      </c>
      <c r="G9" s="107">
        <v>1100</v>
      </c>
      <c r="H9" s="57">
        <f>E9*G9</f>
        <v>440</v>
      </c>
      <c r="I9" s="57">
        <v>5446</v>
      </c>
      <c r="J9" s="57"/>
      <c r="K9" s="57">
        <f t="shared" ref="K9:K14" si="0">H9+I9+J9</f>
        <v>5886</v>
      </c>
      <c r="N9" s="54"/>
      <c r="O9" s="54"/>
      <c r="P9" s="55"/>
      <c r="Q9" s="55"/>
    </row>
    <row r="10" spans="1:17">
      <c r="A10" s="110" t="s">
        <v>298</v>
      </c>
      <c r="D10" s="200" t="s">
        <v>95</v>
      </c>
      <c r="E10" s="57" t="s">
        <v>299</v>
      </c>
      <c r="F10" s="57" t="s">
        <v>300</v>
      </c>
      <c r="G10" s="107">
        <v>1100</v>
      </c>
      <c r="H10" s="201" t="s">
        <v>301</v>
      </c>
      <c r="I10" s="57"/>
      <c r="J10" s="57"/>
      <c r="K10" s="57">
        <v>0</v>
      </c>
      <c r="N10" s="54"/>
      <c r="O10" s="54"/>
      <c r="P10" s="55"/>
      <c r="Q10" s="55"/>
    </row>
    <row r="11" spans="1:17">
      <c r="A11" s="110" t="s">
        <v>302</v>
      </c>
      <c r="D11" s="155">
        <v>100</v>
      </c>
      <c r="E11" s="57">
        <v>6</v>
      </c>
      <c r="F11" s="57">
        <v>2</v>
      </c>
      <c r="G11" s="107">
        <v>1178</v>
      </c>
      <c r="H11" s="57">
        <f>E11*G11</f>
        <v>7068</v>
      </c>
      <c r="I11" s="57"/>
      <c r="J11" s="57">
        <v>11374</v>
      </c>
      <c r="K11" s="57">
        <f t="shared" si="0"/>
        <v>18442</v>
      </c>
      <c r="M11" s="57">
        <v>2017</v>
      </c>
      <c r="N11" s="54"/>
      <c r="O11" s="54"/>
      <c r="P11" s="55"/>
      <c r="Q11" s="55"/>
    </row>
    <row r="12" spans="1:17">
      <c r="A12" s="110" t="s">
        <v>303</v>
      </c>
      <c r="D12" s="155">
        <v>100</v>
      </c>
      <c r="E12" s="57">
        <v>10.4</v>
      </c>
      <c r="F12" s="57">
        <v>5</v>
      </c>
      <c r="G12" s="107">
        <v>1175</v>
      </c>
      <c r="H12" s="57">
        <f t="shared" ref="H12:H13" si="1">E12*G12</f>
        <v>12220</v>
      </c>
      <c r="I12" s="57"/>
      <c r="J12" s="57"/>
      <c r="K12" s="57">
        <f t="shared" si="0"/>
        <v>12220</v>
      </c>
      <c r="N12" s="54"/>
      <c r="O12" s="54"/>
      <c r="P12" s="55"/>
      <c r="Q12" s="55"/>
    </row>
    <row r="13" spans="1:17">
      <c r="A13" s="110" t="s">
        <v>5</v>
      </c>
      <c r="D13" s="155">
        <v>100</v>
      </c>
      <c r="E13" s="57">
        <v>9.25</v>
      </c>
      <c r="F13" s="57">
        <v>6.12</v>
      </c>
      <c r="G13" s="107">
        <v>1188</v>
      </c>
      <c r="H13" s="57">
        <f t="shared" si="1"/>
        <v>10989</v>
      </c>
      <c r="I13" s="57"/>
      <c r="J13" s="57"/>
      <c r="K13" s="57">
        <f t="shared" si="0"/>
        <v>10989</v>
      </c>
      <c r="N13" s="54"/>
      <c r="O13" s="54"/>
      <c r="P13" s="55"/>
      <c r="Q13" s="55"/>
    </row>
    <row r="14" spans="1:17">
      <c r="A14" s="110" t="s">
        <v>304</v>
      </c>
      <c r="D14" s="155">
        <v>100</v>
      </c>
      <c r="E14" s="57">
        <v>4.4800000000000004</v>
      </c>
      <c r="F14" s="57">
        <v>3.14</v>
      </c>
      <c r="G14" s="107">
        <v>1114</v>
      </c>
      <c r="H14" s="57">
        <v>4991</v>
      </c>
      <c r="I14" s="57"/>
      <c r="J14" s="57"/>
      <c r="K14" s="57">
        <f t="shared" si="0"/>
        <v>4991</v>
      </c>
      <c r="N14" s="54"/>
      <c r="O14" s="54"/>
      <c r="P14" s="55"/>
      <c r="Q14" s="55"/>
    </row>
    <row r="15" spans="1:17">
      <c r="A15" s="116" t="s">
        <v>38</v>
      </c>
      <c r="B15" s="116"/>
      <c r="C15" s="116"/>
      <c r="D15" s="114"/>
      <c r="E15" s="115">
        <f>SUM(E8:E14)</f>
        <v>34.930000000000007</v>
      </c>
      <c r="F15" s="115">
        <f>SUM(F8:F14)</f>
        <v>19.46</v>
      </c>
      <c r="G15" s="115"/>
      <c r="H15" s="115">
        <v>40693</v>
      </c>
      <c r="I15" s="115">
        <f>SUM(I8:I14)</f>
        <v>5446</v>
      </c>
      <c r="J15" s="115">
        <v>11374</v>
      </c>
      <c r="K15" s="115">
        <f>SUM(K8:K14)</f>
        <v>57513</v>
      </c>
      <c r="L15" s="116"/>
      <c r="M15" s="115">
        <f>SUM(M8:M14)</f>
        <v>2017</v>
      </c>
    </row>
    <row r="16" spans="1:17">
      <c r="A16" s="119" t="s">
        <v>39</v>
      </c>
      <c r="B16" s="119"/>
      <c r="C16" s="119"/>
      <c r="D16" s="117"/>
      <c r="E16" s="118">
        <f>SUM(E15-F15)</f>
        <v>15.470000000000006</v>
      </c>
      <c r="F16" s="118"/>
      <c r="G16" s="118"/>
      <c r="H16" s="118">
        <f>G26*E26</f>
        <v>17955</v>
      </c>
      <c r="I16" s="118">
        <f>I15-L15</f>
        <v>5446</v>
      </c>
      <c r="J16" s="118">
        <f>J15-M15</f>
        <v>9357</v>
      </c>
      <c r="K16" s="57">
        <f>H16+I16+J16</f>
        <v>32758</v>
      </c>
      <c r="L16" s="119"/>
      <c r="M16" s="119"/>
    </row>
    <row r="18" spans="1:11">
      <c r="C18" s="110" t="s">
        <v>40</v>
      </c>
    </row>
    <row r="20" spans="1:11">
      <c r="A20" s="110" t="s">
        <v>41</v>
      </c>
    </row>
    <row r="21" spans="1:11">
      <c r="A21" s="166" t="s">
        <v>42</v>
      </c>
      <c r="B21" s="166"/>
      <c r="C21" s="166"/>
      <c r="D21" s="202" t="s">
        <v>7</v>
      </c>
      <c r="E21" s="202" t="s">
        <v>43</v>
      </c>
      <c r="F21" s="166"/>
      <c r="G21" s="166" t="s">
        <v>44</v>
      </c>
      <c r="J21" s="168" t="s">
        <v>120</v>
      </c>
      <c r="K21" s="203">
        <v>1.5</v>
      </c>
    </row>
    <row r="22" spans="1:11">
      <c r="A22" s="110" t="s">
        <v>45</v>
      </c>
      <c r="J22" s="168" t="s">
        <v>121</v>
      </c>
      <c r="K22" s="203">
        <v>1</v>
      </c>
    </row>
    <row r="23" spans="1:11">
      <c r="A23" s="110" t="s">
        <v>291</v>
      </c>
      <c r="D23" s="204" t="s">
        <v>13</v>
      </c>
      <c r="E23" s="205">
        <v>60.5</v>
      </c>
      <c r="G23" s="57">
        <v>188</v>
      </c>
    </row>
    <row r="24" spans="1:11">
      <c r="D24" s="204"/>
      <c r="E24" s="204"/>
      <c r="J24" s="199" t="s">
        <v>280</v>
      </c>
      <c r="K24" s="199"/>
    </row>
    <row r="25" spans="1:11">
      <c r="A25" s="110" t="s">
        <v>46</v>
      </c>
      <c r="D25" s="204"/>
      <c r="E25" s="204"/>
      <c r="J25" s="168" t="s">
        <v>305</v>
      </c>
      <c r="K25" s="206">
        <v>74</v>
      </c>
    </row>
    <row r="26" spans="1:11">
      <c r="A26" s="110" t="s">
        <v>47</v>
      </c>
      <c r="D26" s="204" t="s">
        <v>48</v>
      </c>
      <c r="E26" s="205">
        <v>15</v>
      </c>
      <c r="G26" s="57">
        <v>1197</v>
      </c>
      <c r="J26" s="168" t="s">
        <v>265</v>
      </c>
      <c r="K26" s="206">
        <f>6/30*100</f>
        <v>20</v>
      </c>
    </row>
    <row r="27" spans="1:11">
      <c r="A27" s="110" t="s">
        <v>49</v>
      </c>
      <c r="D27" s="204" t="s">
        <v>48</v>
      </c>
      <c r="E27" s="205">
        <v>19</v>
      </c>
      <c r="J27" s="207" t="s">
        <v>306</v>
      </c>
      <c r="K27" s="208">
        <v>6</v>
      </c>
    </row>
    <row r="28" spans="1:11">
      <c r="A28" s="110" t="s">
        <v>12</v>
      </c>
      <c r="D28" s="204"/>
      <c r="E28" s="205">
        <v>34</v>
      </c>
    </row>
    <row r="30" spans="1:11">
      <c r="A30" s="116" t="s">
        <v>53</v>
      </c>
      <c r="B30" s="116"/>
      <c r="C30" s="116"/>
      <c r="D30" s="116"/>
      <c r="E30" s="116"/>
      <c r="F30" s="116"/>
      <c r="G30" s="116"/>
      <c r="I30" s="209" t="s">
        <v>224</v>
      </c>
    </row>
    <row r="31" spans="1:11">
      <c r="A31" s="125" t="s">
        <v>54</v>
      </c>
      <c r="B31" s="125"/>
      <c r="C31" s="125"/>
      <c r="D31" s="125"/>
      <c r="E31" s="125"/>
      <c r="F31" s="125"/>
      <c r="G31" s="129">
        <v>326</v>
      </c>
      <c r="H31" s="110" t="s">
        <v>163</v>
      </c>
      <c r="I31" s="158">
        <f>G31*2.471</f>
        <v>805.54600000000005</v>
      </c>
    </row>
    <row r="32" spans="1:11">
      <c r="A32" s="125" t="s">
        <v>55</v>
      </c>
      <c r="B32" s="125"/>
      <c r="C32" s="125"/>
      <c r="D32" s="125"/>
      <c r="E32" s="125"/>
      <c r="F32" s="125"/>
      <c r="G32" s="147">
        <v>180</v>
      </c>
      <c r="I32" s="158"/>
    </row>
    <row r="33" spans="1:9">
      <c r="A33" s="125" t="s">
        <v>56</v>
      </c>
      <c r="B33" s="125"/>
      <c r="C33" s="125"/>
      <c r="D33" s="125"/>
      <c r="E33" s="125"/>
      <c r="F33" s="125"/>
      <c r="G33" s="147">
        <f>SUM(G31*G32)</f>
        <v>58680</v>
      </c>
      <c r="I33" s="158">
        <f>G33*2.471</f>
        <v>144998.28</v>
      </c>
    </row>
    <row r="34" spans="1:9">
      <c r="A34" s="125" t="s">
        <v>57</v>
      </c>
      <c r="B34" s="125"/>
      <c r="C34" s="125"/>
      <c r="D34" s="125"/>
      <c r="E34" s="125"/>
      <c r="F34" s="125"/>
      <c r="G34" s="147">
        <f>G33-K15</f>
        <v>1167</v>
      </c>
      <c r="I34" s="158">
        <f>G34*2.471</f>
        <v>2883.6570000000002</v>
      </c>
    </row>
    <row r="35" spans="1:9">
      <c r="A35" s="125" t="s">
        <v>58</v>
      </c>
      <c r="B35" s="125"/>
      <c r="C35" s="125"/>
      <c r="D35" s="125"/>
      <c r="E35" s="125"/>
      <c r="F35" s="125"/>
      <c r="G35" s="147">
        <f>SUM(G33-K16)</f>
        <v>25922</v>
      </c>
      <c r="I35" s="158">
        <f>G35*2.471</f>
        <v>64053.262000000002</v>
      </c>
    </row>
    <row r="36" spans="1:9">
      <c r="A36" s="125"/>
      <c r="B36" s="125"/>
      <c r="C36" s="125"/>
      <c r="D36" s="125"/>
      <c r="E36" s="125"/>
      <c r="F36" s="125"/>
      <c r="G36" s="147"/>
    </row>
    <row r="37" spans="1:9">
      <c r="A37" s="125" t="s">
        <v>59</v>
      </c>
      <c r="B37" s="125"/>
      <c r="C37" s="125"/>
      <c r="D37" s="125"/>
      <c r="E37" s="125"/>
      <c r="F37" s="125"/>
      <c r="G37" s="147">
        <f>SUM(K15/G31)</f>
        <v>176.42024539877301</v>
      </c>
    </row>
    <row r="38" spans="1:9">
      <c r="A38" s="119" t="s">
        <v>60</v>
      </c>
      <c r="B38" s="119"/>
      <c r="C38" s="119"/>
      <c r="D38" s="119"/>
      <c r="E38" s="119"/>
      <c r="F38" s="119"/>
      <c r="G38" s="164">
        <f>SUM(K16/G31)</f>
        <v>100.48466257668711</v>
      </c>
    </row>
    <row r="39" spans="1:9">
      <c r="H39" s="116"/>
    </row>
    <row r="40" spans="1:9">
      <c r="A40" s="110" t="s">
        <v>164</v>
      </c>
      <c r="C40" s="112" t="s">
        <v>283</v>
      </c>
      <c r="D40" s="112"/>
    </row>
    <row r="49" spans="7:7">
      <c r="G49" s="110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0"/>
  <sheetViews>
    <sheetView workbookViewId="0">
      <selection activeCell="J40" sqref="J40"/>
    </sheetView>
  </sheetViews>
  <sheetFormatPr defaultRowHeight="14.25"/>
  <cols>
    <col min="1" max="16384" width="9.140625" style="54"/>
  </cols>
  <sheetData>
    <row r="1" spans="1:17">
      <c r="A1" s="54" t="s">
        <v>17</v>
      </c>
      <c r="B1" s="54" t="s">
        <v>307</v>
      </c>
      <c r="N1" s="110"/>
    </row>
    <row r="2" spans="1:17">
      <c r="A2" s="54" t="s">
        <v>308</v>
      </c>
      <c r="B2" s="54" t="s">
        <v>309</v>
      </c>
      <c r="D2" s="54" t="s">
        <v>310</v>
      </c>
      <c r="E2" s="54" t="s">
        <v>311</v>
      </c>
      <c r="H2" s="54" t="s">
        <v>312</v>
      </c>
      <c r="N2" s="110"/>
    </row>
    <row r="3" spans="1:17">
      <c r="A3" s="101" t="s">
        <v>18</v>
      </c>
      <c r="B3" s="101"/>
      <c r="C3" s="101"/>
      <c r="D3" s="102" t="s">
        <v>19</v>
      </c>
      <c r="E3" s="102" t="s">
        <v>12</v>
      </c>
      <c r="F3" s="102" t="s">
        <v>20</v>
      </c>
      <c r="G3" s="102" t="s">
        <v>21</v>
      </c>
      <c r="H3" s="102" t="s">
        <v>22</v>
      </c>
      <c r="I3" s="102" t="s">
        <v>23</v>
      </c>
      <c r="J3" s="102" t="s">
        <v>24</v>
      </c>
      <c r="K3" s="102" t="s">
        <v>25</v>
      </c>
      <c r="L3" s="133" t="s">
        <v>26</v>
      </c>
      <c r="M3" s="102"/>
      <c r="N3" s="110"/>
    </row>
    <row r="4" spans="1:17">
      <c r="A4" s="52"/>
      <c r="B4" s="52"/>
      <c r="C4" s="52"/>
      <c r="D4" s="53" t="s">
        <v>27</v>
      </c>
      <c r="E4" s="53" t="s">
        <v>28</v>
      </c>
      <c r="F4" s="53" t="s">
        <v>28</v>
      </c>
      <c r="G4" s="53" t="s">
        <v>29</v>
      </c>
      <c r="H4" s="53" t="s">
        <v>30</v>
      </c>
      <c r="I4" s="53" t="s">
        <v>31</v>
      </c>
      <c r="J4" s="53" t="s">
        <v>30</v>
      </c>
      <c r="K4" s="53" t="s">
        <v>30</v>
      </c>
      <c r="L4" s="53" t="s">
        <v>23</v>
      </c>
      <c r="M4" s="53" t="s">
        <v>24</v>
      </c>
      <c r="N4" s="110"/>
    </row>
    <row r="5" spans="1:17">
      <c r="A5" s="52"/>
      <c r="B5" s="52"/>
      <c r="C5" s="52"/>
      <c r="D5" s="53" t="s">
        <v>32</v>
      </c>
      <c r="E5" s="53"/>
      <c r="F5" s="53"/>
      <c r="G5" s="53"/>
      <c r="H5" s="53" t="s">
        <v>33</v>
      </c>
      <c r="I5" s="53" t="s">
        <v>30</v>
      </c>
      <c r="J5" s="53" t="s">
        <v>33</v>
      </c>
      <c r="K5" s="53" t="s">
        <v>33</v>
      </c>
      <c r="L5" s="53"/>
      <c r="M5" s="53"/>
      <c r="N5" s="110"/>
    </row>
    <row r="6" spans="1:17">
      <c r="A6" s="103"/>
      <c r="B6" s="103"/>
      <c r="C6" s="103"/>
      <c r="D6" s="104"/>
      <c r="E6" s="104"/>
      <c r="F6" s="104"/>
      <c r="G6" s="104"/>
      <c r="H6" s="104"/>
      <c r="I6" s="104" t="s">
        <v>33</v>
      </c>
      <c r="J6" s="104"/>
      <c r="K6" s="104"/>
      <c r="L6" s="104"/>
      <c r="M6" s="104"/>
      <c r="N6" s="110"/>
    </row>
    <row r="7" spans="1:17" s="110" customFormat="1">
      <c r="A7" s="125" t="s">
        <v>313</v>
      </c>
      <c r="B7" s="125"/>
      <c r="C7" s="125"/>
      <c r="D7" s="152">
        <v>70</v>
      </c>
      <c r="E7" s="152">
        <v>5.62</v>
      </c>
      <c r="F7" s="152">
        <v>4.1100000000000003</v>
      </c>
      <c r="G7" s="176">
        <v>1200</v>
      </c>
      <c r="H7" s="176">
        <f t="shared" ref="H7:H12" si="0">SUM(E7*G7)</f>
        <v>6744</v>
      </c>
      <c r="I7" s="152"/>
      <c r="J7" s="152"/>
      <c r="K7" s="176">
        <f t="shared" ref="K7:K14" si="1">SUM(H7:J7)</f>
        <v>6744</v>
      </c>
      <c r="L7" s="152"/>
      <c r="M7" s="152"/>
      <c r="N7" s="100"/>
      <c r="O7" s="100"/>
      <c r="P7" s="100"/>
      <c r="Q7" s="100"/>
    </row>
    <row r="8" spans="1:17" s="110" customFormat="1">
      <c r="A8" s="110" t="s">
        <v>314</v>
      </c>
      <c r="D8" s="161">
        <v>54</v>
      </c>
      <c r="E8" s="57">
        <v>0.5</v>
      </c>
      <c r="F8" s="57">
        <v>0.5</v>
      </c>
      <c r="G8" s="107">
        <v>1000</v>
      </c>
      <c r="H8" s="176">
        <f t="shared" si="0"/>
        <v>500</v>
      </c>
      <c r="I8" s="57">
        <v>6037</v>
      </c>
      <c r="J8" s="57"/>
      <c r="K8" s="57">
        <f t="shared" si="1"/>
        <v>6537</v>
      </c>
      <c r="L8" s="57">
        <v>298</v>
      </c>
      <c r="M8" s="57"/>
      <c r="N8" s="100"/>
      <c r="O8" s="100"/>
      <c r="P8" s="100"/>
      <c r="Q8" s="100"/>
    </row>
    <row r="9" spans="1:17" s="110" customFormat="1">
      <c r="A9" s="100" t="s">
        <v>145</v>
      </c>
      <c r="D9" s="161">
        <v>100</v>
      </c>
      <c r="E9" s="57">
        <v>4.3099999999999996</v>
      </c>
      <c r="F9" s="57">
        <v>3.63</v>
      </c>
      <c r="G9" s="107">
        <v>1200</v>
      </c>
      <c r="H9" s="176">
        <f t="shared" si="0"/>
        <v>5171.9999999999991</v>
      </c>
      <c r="I9" s="57"/>
      <c r="J9" s="57">
        <v>760</v>
      </c>
      <c r="K9" s="57">
        <f t="shared" si="1"/>
        <v>5931.9999999999991</v>
      </c>
      <c r="L9" s="57"/>
      <c r="M9" s="57">
        <v>242</v>
      </c>
      <c r="N9" s="100"/>
      <c r="O9" s="100"/>
      <c r="P9" s="100"/>
      <c r="Q9" s="100"/>
    </row>
    <row r="10" spans="1:17" s="110" customFormat="1">
      <c r="A10" s="110" t="s">
        <v>107</v>
      </c>
      <c r="D10" s="161">
        <v>58</v>
      </c>
      <c r="E10" s="57">
        <v>0.66</v>
      </c>
      <c r="F10" s="57">
        <v>0.64</v>
      </c>
      <c r="G10" s="107">
        <v>1200</v>
      </c>
      <c r="H10" s="176">
        <f t="shared" si="0"/>
        <v>792</v>
      </c>
      <c r="I10" s="57"/>
      <c r="J10" s="57">
        <f>+E25*G25</f>
        <v>1800</v>
      </c>
      <c r="K10" s="57">
        <f t="shared" si="1"/>
        <v>2592</v>
      </c>
      <c r="L10" s="57"/>
      <c r="M10" s="57"/>
      <c r="N10" s="100"/>
      <c r="O10" s="100"/>
      <c r="P10" s="100"/>
      <c r="Q10" s="100"/>
    </row>
    <row r="11" spans="1:17" s="110" customFormat="1">
      <c r="A11" s="110" t="s">
        <v>315</v>
      </c>
      <c r="D11" s="161">
        <v>100</v>
      </c>
      <c r="E11" s="57">
        <v>11.43</v>
      </c>
      <c r="F11" s="57">
        <v>7.4</v>
      </c>
      <c r="G11" s="107">
        <v>1000</v>
      </c>
      <c r="H11" s="176">
        <f t="shared" si="0"/>
        <v>11430</v>
      </c>
      <c r="I11" s="57"/>
      <c r="J11" s="57"/>
      <c r="K11" s="57">
        <f t="shared" si="1"/>
        <v>11430</v>
      </c>
      <c r="L11" s="57"/>
      <c r="M11" s="57"/>
      <c r="N11" s="100"/>
      <c r="O11" s="100"/>
      <c r="P11" s="100"/>
      <c r="Q11" s="100"/>
    </row>
    <row r="12" spans="1:17" s="110" customFormat="1">
      <c r="A12" s="110" t="s">
        <v>316</v>
      </c>
      <c r="D12" s="155">
        <v>100</v>
      </c>
      <c r="E12" s="57">
        <v>8.02</v>
      </c>
      <c r="F12" s="57">
        <v>7.33</v>
      </c>
      <c r="G12" s="107">
        <v>1200</v>
      </c>
      <c r="H12" s="176">
        <f t="shared" si="0"/>
        <v>9624</v>
      </c>
      <c r="I12" s="57"/>
      <c r="J12" s="57"/>
      <c r="K12" s="57">
        <f t="shared" si="1"/>
        <v>9624</v>
      </c>
      <c r="L12" s="57"/>
      <c r="M12" s="57"/>
      <c r="N12" s="100"/>
      <c r="O12" s="100"/>
      <c r="P12" s="100"/>
      <c r="Q12" s="100"/>
    </row>
    <row r="13" spans="1:17">
      <c r="A13" s="101" t="s">
        <v>113</v>
      </c>
      <c r="B13" s="101"/>
      <c r="C13" s="101"/>
      <c r="D13" s="137"/>
      <c r="E13" s="138">
        <v>30.54</v>
      </c>
      <c r="F13" s="138">
        <v>23.61</v>
      </c>
      <c r="G13" s="138"/>
      <c r="H13" s="138">
        <v>34262</v>
      </c>
      <c r="I13" s="138">
        <f>SUM(I8:I12)</f>
        <v>6037</v>
      </c>
      <c r="J13" s="138">
        <f>SUM(J8:J12)</f>
        <v>2560</v>
      </c>
      <c r="K13" s="138">
        <f t="shared" si="1"/>
        <v>42859</v>
      </c>
      <c r="L13" s="138">
        <f>SUM(L8:L12)</f>
        <v>298</v>
      </c>
      <c r="M13" s="138">
        <f>SUM(M8:M12)</f>
        <v>242</v>
      </c>
      <c r="N13" s="110"/>
    </row>
    <row r="14" spans="1:17">
      <c r="A14" s="103" t="s">
        <v>114</v>
      </c>
      <c r="B14" s="103"/>
      <c r="C14" s="103"/>
      <c r="D14" s="139"/>
      <c r="E14" s="140">
        <f>SUM(E13-F13)</f>
        <v>6.93</v>
      </c>
      <c r="F14" s="140"/>
      <c r="G14" s="140"/>
      <c r="H14" s="140">
        <f>SUM(E21*G21)</f>
        <v>7735</v>
      </c>
      <c r="I14" s="140">
        <f>I13-L13</f>
        <v>5739</v>
      </c>
      <c r="J14" s="140">
        <f>J13-M13</f>
        <v>2318</v>
      </c>
      <c r="K14" s="140">
        <f t="shared" si="1"/>
        <v>15792</v>
      </c>
      <c r="L14" s="103"/>
      <c r="M14" s="103"/>
      <c r="N14" s="110"/>
    </row>
    <row r="15" spans="1:17">
      <c r="C15" s="54" t="s">
        <v>40</v>
      </c>
      <c r="N15" s="110"/>
    </row>
    <row r="16" spans="1:17">
      <c r="A16" s="54" t="s">
        <v>41</v>
      </c>
      <c r="N16" s="110"/>
    </row>
    <row r="17" spans="1:14">
      <c r="A17" s="120" t="s">
        <v>42</v>
      </c>
      <c r="B17" s="120"/>
      <c r="C17" s="120"/>
      <c r="D17" s="120" t="s">
        <v>7</v>
      </c>
      <c r="E17" s="120" t="s">
        <v>43</v>
      </c>
      <c r="F17" s="120"/>
      <c r="G17" s="120" t="s">
        <v>44</v>
      </c>
      <c r="N17" s="110"/>
    </row>
    <row r="18" spans="1:14">
      <c r="A18" s="54" t="s">
        <v>45</v>
      </c>
      <c r="J18" s="185" t="s">
        <v>6</v>
      </c>
      <c r="K18" s="124" t="s">
        <v>262</v>
      </c>
      <c r="N18" s="110"/>
    </row>
    <row r="19" spans="1:14">
      <c r="A19" s="54" t="s">
        <v>14</v>
      </c>
      <c r="D19" s="54" t="s">
        <v>13</v>
      </c>
      <c r="E19" s="57">
        <v>3.6</v>
      </c>
      <c r="F19" s="110"/>
      <c r="G19" s="57">
        <v>211</v>
      </c>
      <c r="J19" s="185" t="s">
        <v>317</v>
      </c>
      <c r="K19" s="124">
        <v>100</v>
      </c>
      <c r="N19" s="110"/>
    </row>
    <row r="20" spans="1:14">
      <c r="A20" s="54" t="s">
        <v>46</v>
      </c>
      <c r="J20" s="126"/>
      <c r="K20" s="126"/>
      <c r="N20" s="110"/>
    </row>
    <row r="21" spans="1:14">
      <c r="A21" s="54" t="s">
        <v>47</v>
      </c>
      <c r="D21" s="54" t="s">
        <v>48</v>
      </c>
      <c r="E21" s="55">
        <v>7</v>
      </c>
      <c r="G21" s="55">
        <v>1105</v>
      </c>
      <c r="I21" s="52"/>
      <c r="J21" s="52"/>
      <c r="K21" s="52"/>
      <c r="N21" s="110"/>
    </row>
    <row r="22" spans="1:14">
      <c r="A22" s="54" t="s">
        <v>49</v>
      </c>
      <c r="D22" s="54" t="s">
        <v>48</v>
      </c>
      <c r="E22" s="55">
        <v>24</v>
      </c>
      <c r="I22" s="52"/>
      <c r="J22" s="52" t="s">
        <v>120</v>
      </c>
      <c r="K22" s="52">
        <v>0.57999999999999996</v>
      </c>
      <c r="N22" s="110"/>
    </row>
    <row r="23" spans="1:14">
      <c r="A23" s="54" t="s">
        <v>12</v>
      </c>
      <c r="D23" s="54" t="s">
        <v>48</v>
      </c>
      <c r="E23" s="57">
        <f>SUM(E21:E22)</f>
        <v>31</v>
      </c>
      <c r="I23" s="52"/>
      <c r="J23" s="52" t="s">
        <v>121</v>
      </c>
      <c r="K23" s="52">
        <v>0.5</v>
      </c>
      <c r="N23" s="110"/>
    </row>
    <row r="24" spans="1:14">
      <c r="A24" s="101" t="s">
        <v>122</v>
      </c>
      <c r="B24" s="101"/>
      <c r="C24" s="101" t="s">
        <v>51</v>
      </c>
      <c r="D24" s="101"/>
      <c r="E24" s="101"/>
      <c r="F24" s="101"/>
      <c r="G24" s="101"/>
      <c r="I24" s="52"/>
      <c r="J24" s="52"/>
      <c r="N24" s="110"/>
    </row>
    <row r="25" spans="1:14">
      <c r="A25" s="52"/>
      <c r="B25" s="52" t="s">
        <v>9</v>
      </c>
      <c r="C25" s="144">
        <v>58</v>
      </c>
      <c r="D25" s="52" t="s">
        <v>13</v>
      </c>
      <c r="E25" s="146">
        <v>36</v>
      </c>
      <c r="F25" s="178"/>
      <c r="G25" s="178">
        <v>50</v>
      </c>
      <c r="I25" s="52"/>
      <c r="J25" s="52"/>
      <c r="N25" s="110"/>
    </row>
    <row r="26" spans="1:14">
      <c r="A26" s="52"/>
      <c r="B26" s="52"/>
      <c r="C26" s="144"/>
      <c r="D26" s="52"/>
      <c r="E26" s="178"/>
      <c r="F26" s="178"/>
      <c r="G26" s="178"/>
      <c r="I26" s="52"/>
      <c r="J26" s="52"/>
      <c r="N26" s="110"/>
    </row>
    <row r="27" spans="1:14">
      <c r="A27" s="120" t="s">
        <v>53</v>
      </c>
      <c r="B27" s="120"/>
      <c r="C27" s="120"/>
      <c r="D27" s="120"/>
      <c r="E27" s="120"/>
      <c r="F27" s="120"/>
      <c r="G27" s="210" t="s">
        <v>11</v>
      </c>
      <c r="H27" s="211"/>
      <c r="I27" s="211" t="s">
        <v>318</v>
      </c>
      <c r="J27" s="55"/>
      <c r="N27" s="110"/>
    </row>
    <row r="28" spans="1:14">
      <c r="A28" s="52"/>
      <c r="B28" s="52"/>
      <c r="C28" s="52"/>
      <c r="D28" s="52"/>
      <c r="E28" s="52"/>
      <c r="F28" s="52"/>
      <c r="G28" s="52"/>
      <c r="J28" s="55"/>
      <c r="N28" s="110"/>
    </row>
    <row r="29" spans="1:14">
      <c r="A29" s="52" t="s">
        <v>128</v>
      </c>
      <c r="B29" s="52"/>
      <c r="C29" s="52"/>
      <c r="D29" s="52"/>
      <c r="E29" s="52"/>
      <c r="F29" s="52"/>
      <c r="G29" s="191">
        <v>394</v>
      </c>
      <c r="H29" s="110" t="s">
        <v>163</v>
      </c>
      <c r="I29" s="130">
        <f>G29*2.471</f>
        <v>973.57400000000007</v>
      </c>
      <c r="N29" s="110"/>
    </row>
    <row r="30" spans="1:14">
      <c r="A30" s="52" t="s">
        <v>55</v>
      </c>
      <c r="B30" s="52"/>
      <c r="C30" s="52"/>
      <c r="D30" s="52"/>
      <c r="E30" s="52"/>
      <c r="F30" s="52"/>
      <c r="G30" s="131">
        <v>139</v>
      </c>
      <c r="I30" s="130"/>
      <c r="N30" s="110"/>
    </row>
    <row r="31" spans="1:14">
      <c r="A31" s="52" t="s">
        <v>129</v>
      </c>
      <c r="B31" s="52"/>
      <c r="C31" s="52"/>
      <c r="D31" s="52"/>
      <c r="E31" s="52"/>
      <c r="F31" s="52"/>
      <c r="G31" s="131">
        <f>SUM(G29*G30)</f>
        <v>54766</v>
      </c>
      <c r="I31" s="130">
        <f>G31*2.471</f>
        <v>135326.78599999999</v>
      </c>
      <c r="N31" s="110"/>
    </row>
    <row r="32" spans="1:14">
      <c r="A32" s="52" t="s">
        <v>130</v>
      </c>
      <c r="B32" s="52"/>
      <c r="C32" s="52"/>
      <c r="D32" s="52"/>
      <c r="E32" s="52"/>
      <c r="F32" s="52"/>
      <c r="G32" s="131">
        <f>SUM(G31-K13)</f>
        <v>11907</v>
      </c>
      <c r="I32" s="130">
        <f>G32*2.471</f>
        <v>29422.197</v>
      </c>
      <c r="N32" s="110"/>
    </row>
    <row r="33" spans="1:14">
      <c r="A33" s="52" t="s">
        <v>131</v>
      </c>
      <c r="B33" s="52"/>
      <c r="C33" s="52"/>
      <c r="D33" s="52"/>
      <c r="E33" s="52"/>
      <c r="F33" s="52"/>
      <c r="G33" s="131">
        <f>SUM(G31-K14)</f>
        <v>38974</v>
      </c>
      <c r="I33" s="130">
        <f>G33*2.471</f>
        <v>96304.754000000001</v>
      </c>
      <c r="N33" s="110"/>
    </row>
    <row r="34" spans="1:14">
      <c r="A34" s="52" t="s">
        <v>132</v>
      </c>
      <c r="B34" s="52"/>
      <c r="C34" s="52"/>
      <c r="D34" s="52"/>
      <c r="E34" s="52"/>
      <c r="F34" s="52"/>
      <c r="G34" s="131">
        <f>SUM(K13/G29)</f>
        <v>108.77918781725889</v>
      </c>
      <c r="N34" s="110"/>
    </row>
    <row r="35" spans="1:14">
      <c r="A35" s="103" t="s">
        <v>133</v>
      </c>
      <c r="B35" s="103"/>
      <c r="C35" s="103"/>
      <c r="D35" s="103"/>
      <c r="E35" s="103"/>
      <c r="F35" s="103"/>
      <c r="G35" s="148">
        <f>SUM(K14/G29)</f>
        <v>40.081218274111677</v>
      </c>
      <c r="N35" s="110"/>
    </row>
    <row r="36" spans="1:14">
      <c r="N36" s="110"/>
    </row>
    <row r="37" spans="1:14">
      <c r="A37" s="192" t="s">
        <v>134</v>
      </c>
      <c r="N37" s="110"/>
    </row>
    <row r="38" spans="1:14">
      <c r="A38" s="54" t="s">
        <v>319</v>
      </c>
      <c r="N38" s="110"/>
    </row>
    <row r="39" spans="1:14">
      <c r="N39" s="110"/>
    </row>
    <row r="40" spans="1:14">
      <c r="N40" s="1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N45"/>
  <sheetViews>
    <sheetView workbookViewId="0">
      <selection sqref="A1:XFD1048576"/>
    </sheetView>
  </sheetViews>
  <sheetFormatPr defaultRowHeight="15"/>
  <cols>
    <col min="1" max="1" width="9.140625" style="34"/>
    <col min="2" max="2" width="9.140625" style="34" customWidth="1"/>
    <col min="3" max="3" width="3.85546875" style="34" customWidth="1"/>
    <col min="4" max="4" width="4.28515625" style="34" customWidth="1"/>
    <col min="5" max="5" width="6.140625" style="34" customWidth="1"/>
    <col min="6" max="6" width="5.85546875" style="34" customWidth="1"/>
    <col min="7" max="7" width="9.140625" style="34" customWidth="1"/>
    <col min="8" max="8" width="8.85546875" style="34" customWidth="1"/>
    <col min="9" max="9" width="10.140625" style="34" customWidth="1"/>
    <col min="10" max="10" width="9.28515625" style="34" customWidth="1"/>
    <col min="11" max="11" width="8.42578125" style="34" customWidth="1"/>
    <col min="12" max="12" width="7.7109375" style="34" customWidth="1"/>
    <col min="13" max="13" width="8" style="34" customWidth="1"/>
    <col min="14" max="16" width="9.140625" style="34"/>
    <col min="17" max="17" width="6.140625" style="34" customWidth="1"/>
    <col min="18" max="18" width="5.5703125" style="34" customWidth="1"/>
    <col min="19" max="16384" width="9.140625" style="34"/>
  </cols>
  <sheetData>
    <row r="1" spans="1:18" ht="16.5">
      <c r="A1" s="212" t="s">
        <v>17</v>
      </c>
      <c r="B1" s="212" t="s">
        <v>320</v>
      </c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3"/>
      <c r="O1" s="62"/>
    </row>
    <row r="2" spans="1:18" ht="16.5">
      <c r="A2" s="212"/>
      <c r="B2" s="212" t="s">
        <v>62</v>
      </c>
      <c r="C2" s="212"/>
      <c r="D2" s="212" t="s">
        <v>321</v>
      </c>
      <c r="E2" s="212"/>
      <c r="F2" s="212" t="s">
        <v>322</v>
      </c>
      <c r="G2" s="212"/>
      <c r="H2" s="212"/>
      <c r="I2" s="212"/>
      <c r="J2" s="212"/>
      <c r="K2" s="212"/>
      <c r="L2" s="212"/>
      <c r="M2" s="212"/>
      <c r="N2" s="213"/>
      <c r="O2" s="62"/>
    </row>
    <row r="3" spans="1:18">
      <c r="A3" s="214" t="s">
        <v>18</v>
      </c>
      <c r="B3" s="214"/>
      <c r="C3" s="214"/>
      <c r="D3" s="214" t="s">
        <v>19</v>
      </c>
      <c r="E3" s="214" t="s">
        <v>12</v>
      </c>
      <c r="F3" s="214" t="s">
        <v>20</v>
      </c>
      <c r="G3" s="214" t="s">
        <v>21</v>
      </c>
      <c r="H3" s="214" t="s">
        <v>22</v>
      </c>
      <c r="I3" s="215" t="s">
        <v>23</v>
      </c>
      <c r="J3" s="216" t="s">
        <v>42</v>
      </c>
      <c r="K3" s="214" t="s">
        <v>25</v>
      </c>
      <c r="L3" s="214" t="s">
        <v>26</v>
      </c>
      <c r="M3" s="214"/>
      <c r="N3" s="213"/>
      <c r="O3" s="62"/>
    </row>
    <row r="4" spans="1:18">
      <c r="A4" s="217"/>
      <c r="B4" s="217"/>
      <c r="C4" s="217"/>
      <c r="D4" s="217" t="s">
        <v>27</v>
      </c>
      <c r="E4" s="217" t="s">
        <v>28</v>
      </c>
      <c r="F4" s="217" t="s">
        <v>28</v>
      </c>
      <c r="G4" s="217" t="s">
        <v>29</v>
      </c>
      <c r="H4" s="217" t="s">
        <v>30</v>
      </c>
      <c r="I4" s="218" t="s">
        <v>31</v>
      </c>
      <c r="J4" s="219" t="s">
        <v>30</v>
      </c>
      <c r="K4" s="217" t="s">
        <v>30</v>
      </c>
      <c r="L4" s="217" t="s">
        <v>23</v>
      </c>
      <c r="M4" s="217" t="s">
        <v>24</v>
      </c>
      <c r="N4" s="213"/>
      <c r="O4" s="62"/>
    </row>
    <row r="5" spans="1:18">
      <c r="A5" s="217"/>
      <c r="B5" s="217"/>
      <c r="C5" s="217"/>
      <c r="D5" s="217" t="s">
        <v>32</v>
      </c>
      <c r="E5" s="217"/>
      <c r="F5" s="217"/>
      <c r="G5" s="217"/>
      <c r="H5" s="217" t="s">
        <v>33</v>
      </c>
      <c r="I5" s="217" t="s">
        <v>30</v>
      </c>
      <c r="J5" s="217" t="s">
        <v>33</v>
      </c>
      <c r="K5" s="217" t="s">
        <v>33</v>
      </c>
      <c r="L5" s="217"/>
      <c r="M5" s="217"/>
      <c r="N5" s="213"/>
      <c r="O5" s="62"/>
    </row>
    <row r="6" spans="1:18">
      <c r="A6" s="220"/>
      <c r="B6" s="220"/>
      <c r="C6" s="220"/>
      <c r="D6" s="220"/>
      <c r="E6" s="220"/>
      <c r="F6" s="220"/>
      <c r="G6" s="220"/>
      <c r="H6" s="220"/>
      <c r="I6" s="220" t="s">
        <v>33</v>
      </c>
      <c r="J6" s="220"/>
      <c r="K6" s="220"/>
      <c r="L6" s="220"/>
      <c r="M6" s="220"/>
      <c r="N6" s="213"/>
      <c r="O6" s="221"/>
    </row>
    <row r="7" spans="1:18" ht="15.75">
      <c r="A7" s="217" t="s">
        <v>105</v>
      </c>
      <c r="B7" s="217"/>
      <c r="C7" s="217"/>
      <c r="D7" s="222">
        <v>44</v>
      </c>
      <c r="E7" s="222">
        <v>2.93</v>
      </c>
      <c r="F7" s="222">
        <v>2.5</v>
      </c>
      <c r="G7" s="223">
        <v>1200</v>
      </c>
      <c r="H7" s="224">
        <f>SUM(E7*G7)</f>
        <v>3516</v>
      </c>
      <c r="I7" s="217"/>
      <c r="J7" s="222"/>
      <c r="K7" s="224">
        <f>SUM(H7:J7)</f>
        <v>3516</v>
      </c>
      <c r="L7" s="213"/>
      <c r="M7" s="213"/>
      <c r="N7" s="134"/>
      <c r="O7" s="134"/>
      <c r="P7" s="134"/>
      <c r="Q7" s="225"/>
      <c r="R7" s="225"/>
    </row>
    <row r="8" spans="1:18" ht="15.75">
      <c r="A8" s="213" t="s">
        <v>323</v>
      </c>
      <c r="B8" s="213"/>
      <c r="C8" s="213"/>
      <c r="D8" s="226">
        <v>100</v>
      </c>
      <c r="E8" s="224">
        <v>0.43</v>
      </c>
      <c r="F8" s="224">
        <v>0.43</v>
      </c>
      <c r="G8" s="227">
        <v>1000</v>
      </c>
      <c r="H8" s="224">
        <f t="shared" ref="H8:H14" si="0">SUM(E8*G8)</f>
        <v>430</v>
      </c>
      <c r="I8" s="228">
        <v>5261</v>
      </c>
      <c r="J8" s="224"/>
      <c r="K8" s="224">
        <f>SUM(H8:J8)</f>
        <v>5691</v>
      </c>
      <c r="L8" s="213">
        <v>199</v>
      </c>
      <c r="M8" s="213"/>
      <c r="N8" s="229"/>
      <c r="O8" s="229"/>
      <c r="P8" s="229"/>
      <c r="Q8" s="230"/>
      <c r="R8" s="230"/>
    </row>
    <row r="9" spans="1:18" ht="15.75">
      <c r="A9" s="213" t="s">
        <v>302</v>
      </c>
      <c r="B9" s="213"/>
      <c r="C9" s="213"/>
      <c r="D9" s="226">
        <v>100</v>
      </c>
      <c r="E9" s="228">
        <v>5.88</v>
      </c>
      <c r="F9" s="228">
        <v>2.81</v>
      </c>
      <c r="G9" s="231">
        <v>1183</v>
      </c>
      <c r="H9" s="224">
        <v>6956</v>
      </c>
      <c r="I9" s="213"/>
      <c r="J9" s="224">
        <v>5444</v>
      </c>
      <c r="K9" s="224">
        <f t="shared" ref="K9:K15" si="1">SUM(H9:J9)</f>
        <v>12400</v>
      </c>
      <c r="L9" s="224">
        <v>103</v>
      </c>
      <c r="M9" s="213"/>
      <c r="N9" s="229"/>
      <c r="O9" s="229"/>
      <c r="P9" s="229"/>
      <c r="Q9" s="232"/>
      <c r="R9" s="232"/>
    </row>
    <row r="10" spans="1:18" ht="15.75">
      <c r="A10" s="213" t="s">
        <v>1</v>
      </c>
      <c r="B10" s="213"/>
      <c r="C10" s="213"/>
      <c r="D10" s="233">
        <v>100</v>
      </c>
      <c r="E10" s="224">
        <v>4.45</v>
      </c>
      <c r="F10" s="224">
        <v>3.31</v>
      </c>
      <c r="G10" s="227">
        <v>1211</v>
      </c>
      <c r="H10" s="224">
        <v>5389</v>
      </c>
      <c r="I10" s="213"/>
      <c r="J10" s="224">
        <f>(E29*G29)+(E30*G30)+(E31*G31)</f>
        <v>10200</v>
      </c>
      <c r="K10" s="224">
        <f>SUM(H10:J10)</f>
        <v>15589</v>
      </c>
      <c r="L10" s="213"/>
      <c r="M10" s="213"/>
      <c r="N10" s="229"/>
      <c r="O10" s="229"/>
      <c r="P10" s="229"/>
      <c r="Q10" s="230"/>
      <c r="R10" s="230"/>
    </row>
    <row r="11" spans="1:18" ht="15.75">
      <c r="A11" s="213" t="s">
        <v>324</v>
      </c>
      <c r="B11" s="213"/>
      <c r="C11" s="213"/>
      <c r="D11" s="233" t="s">
        <v>231</v>
      </c>
      <c r="E11" s="224" t="s">
        <v>325</v>
      </c>
      <c r="F11" s="224" t="s">
        <v>326</v>
      </c>
      <c r="G11" s="227">
        <v>1200</v>
      </c>
      <c r="H11" s="224" t="s">
        <v>327</v>
      </c>
      <c r="I11" s="213"/>
      <c r="J11" s="224" t="s">
        <v>328</v>
      </c>
      <c r="K11" s="224">
        <f>SUM(H11:J11)</f>
        <v>0</v>
      </c>
      <c r="L11" s="213"/>
      <c r="M11" s="213"/>
      <c r="N11" s="229"/>
      <c r="O11" s="229"/>
      <c r="P11" s="229"/>
      <c r="Q11" s="230"/>
      <c r="R11" s="230"/>
    </row>
    <row r="12" spans="1:18" ht="15.75">
      <c r="A12" s="213" t="s">
        <v>176</v>
      </c>
      <c r="B12" s="213"/>
      <c r="C12" s="213"/>
      <c r="D12" s="233" t="s">
        <v>329</v>
      </c>
      <c r="E12" s="224" t="s">
        <v>330</v>
      </c>
      <c r="F12" s="224" t="s">
        <v>331</v>
      </c>
      <c r="G12" s="227">
        <v>1225</v>
      </c>
      <c r="H12" s="224" t="s">
        <v>332</v>
      </c>
      <c r="I12" s="213"/>
      <c r="J12" s="224"/>
      <c r="K12" s="224">
        <f>SUM(H12:J12)</f>
        <v>0</v>
      </c>
      <c r="L12" s="213"/>
      <c r="M12" s="213"/>
      <c r="N12" s="229"/>
      <c r="O12" s="229"/>
      <c r="P12" s="229"/>
      <c r="Q12" s="230"/>
      <c r="R12" s="230"/>
    </row>
    <row r="13" spans="1:18" ht="15.75">
      <c r="A13" s="213" t="s">
        <v>333</v>
      </c>
      <c r="B13" s="213"/>
      <c r="C13" s="213"/>
      <c r="D13" s="233">
        <v>100</v>
      </c>
      <c r="E13" s="224">
        <v>5.38</v>
      </c>
      <c r="F13" s="224">
        <v>3.81</v>
      </c>
      <c r="G13" s="227">
        <v>1207</v>
      </c>
      <c r="H13" s="224">
        <v>6494</v>
      </c>
      <c r="I13" s="234"/>
      <c r="J13" s="224"/>
      <c r="K13" s="224">
        <f t="shared" si="1"/>
        <v>6494</v>
      </c>
      <c r="L13" s="213"/>
      <c r="M13" s="213"/>
      <c r="N13" s="229"/>
      <c r="O13" s="229"/>
      <c r="P13" s="229"/>
      <c r="Q13" s="230"/>
      <c r="R13" s="230"/>
    </row>
    <row r="14" spans="1:18" ht="15.75">
      <c r="A14" s="213" t="s">
        <v>334</v>
      </c>
      <c r="B14" s="213"/>
      <c r="C14" s="213"/>
      <c r="D14" s="233">
        <v>100</v>
      </c>
      <c r="E14" s="224">
        <v>1.43</v>
      </c>
      <c r="F14" s="224">
        <v>1.45</v>
      </c>
      <c r="G14" s="227">
        <v>1200</v>
      </c>
      <c r="H14" s="224">
        <f t="shared" si="0"/>
        <v>1716</v>
      </c>
      <c r="I14" s="224">
        <v>2276</v>
      </c>
      <c r="J14" s="224"/>
      <c r="K14" s="224">
        <f>SUM(H14:J14)</f>
        <v>3992</v>
      </c>
      <c r="L14" s="224">
        <v>367</v>
      </c>
      <c r="M14" s="213"/>
      <c r="N14" s="229"/>
      <c r="O14" s="229"/>
      <c r="P14" s="229"/>
      <c r="Q14" s="230"/>
      <c r="R14" s="230"/>
    </row>
    <row r="15" spans="1:18" ht="15.75">
      <c r="A15" s="213" t="s">
        <v>335</v>
      </c>
      <c r="B15" s="213"/>
      <c r="C15" s="213"/>
      <c r="D15" s="233" t="s">
        <v>336</v>
      </c>
      <c r="E15" s="224" t="s">
        <v>205</v>
      </c>
      <c r="F15" s="224" t="s">
        <v>337</v>
      </c>
      <c r="G15" s="227">
        <v>1000</v>
      </c>
      <c r="H15" s="224" t="s">
        <v>338</v>
      </c>
      <c r="I15" s="213" t="s">
        <v>339</v>
      </c>
      <c r="J15" s="224"/>
      <c r="K15" s="224">
        <f t="shared" si="1"/>
        <v>0</v>
      </c>
      <c r="L15" s="213"/>
      <c r="M15" s="213"/>
      <c r="N15" s="229"/>
      <c r="O15" s="229"/>
      <c r="P15" s="229"/>
      <c r="Q15" s="230"/>
      <c r="R15" s="230"/>
    </row>
    <row r="16" spans="1:18" ht="15.75">
      <c r="A16" s="214" t="s">
        <v>38</v>
      </c>
      <c r="B16" s="214"/>
      <c r="C16" s="214"/>
      <c r="D16" s="235"/>
      <c r="E16" s="236">
        <f>SUM(E7:E15)</f>
        <v>20.5</v>
      </c>
      <c r="F16" s="236">
        <f>SUM(F7:F15)</f>
        <v>14.31</v>
      </c>
      <c r="G16" s="237"/>
      <c r="H16" s="236">
        <f>SUM(H7:H15)</f>
        <v>24501</v>
      </c>
      <c r="I16" s="236">
        <f t="shared" ref="I16:M16" si="2">SUM(I7:I15)</f>
        <v>7537</v>
      </c>
      <c r="J16" s="236">
        <f t="shared" si="2"/>
        <v>15644</v>
      </c>
      <c r="K16" s="236">
        <f t="shared" si="2"/>
        <v>47682</v>
      </c>
      <c r="L16" s="236">
        <f t="shared" si="2"/>
        <v>669</v>
      </c>
      <c r="M16" s="236">
        <f t="shared" si="2"/>
        <v>0</v>
      </c>
      <c r="N16" s="54"/>
      <c r="O16" s="54"/>
      <c r="P16" s="54"/>
      <c r="Q16" s="56"/>
    </row>
    <row r="17" spans="1:40">
      <c r="A17" s="220" t="s">
        <v>39</v>
      </c>
      <c r="B17" s="220"/>
      <c r="C17" s="220"/>
      <c r="D17" s="238"/>
      <c r="E17" s="239">
        <f>SUM(E16-F16)</f>
        <v>6.1899999999999995</v>
      </c>
      <c r="F17" s="239"/>
      <c r="G17" s="239"/>
      <c r="H17" s="239">
        <f>SUM(E25*G25)</f>
        <v>7350</v>
      </c>
      <c r="I17" s="239">
        <f>I16-L16</f>
        <v>6868</v>
      </c>
      <c r="J17" s="239">
        <f>J16-M16</f>
        <v>15644</v>
      </c>
      <c r="K17" s="239">
        <f>SUM(H17:J17)</f>
        <v>29862</v>
      </c>
      <c r="L17" s="220"/>
      <c r="M17" s="220"/>
      <c r="N17" s="213"/>
      <c r="O17" s="62"/>
    </row>
    <row r="18" spans="1:40">
      <c r="A18" s="213"/>
      <c r="B18" s="213"/>
      <c r="C18" s="213" t="s">
        <v>40</v>
      </c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62"/>
    </row>
    <row r="19" spans="1:40">
      <c r="A19" s="213"/>
      <c r="B19" s="213"/>
      <c r="C19" s="213"/>
      <c r="D19" s="213"/>
      <c r="E19" s="213"/>
      <c r="F19" s="213"/>
      <c r="G19" s="213"/>
      <c r="H19" s="213"/>
      <c r="I19" s="224"/>
      <c r="J19" s="217"/>
      <c r="K19" s="217"/>
      <c r="L19" s="213"/>
      <c r="M19" s="213"/>
      <c r="N19" s="213"/>
      <c r="O19" s="62"/>
    </row>
    <row r="20" spans="1:40" ht="16.5">
      <c r="A20" s="213" t="s">
        <v>41</v>
      </c>
      <c r="B20" s="213"/>
      <c r="C20" s="213"/>
      <c r="D20" s="213"/>
      <c r="E20" s="213"/>
      <c r="F20" s="213"/>
      <c r="G20" s="213"/>
      <c r="H20" s="213"/>
      <c r="I20" s="240"/>
      <c r="J20" s="241"/>
      <c r="K20" s="242" t="s">
        <v>120</v>
      </c>
      <c r="L20" s="243">
        <v>1.76</v>
      </c>
      <c r="M20" s="213"/>
      <c r="N20" s="213"/>
      <c r="O20" s="62"/>
    </row>
    <row r="21" spans="1:40">
      <c r="A21" s="244" t="s">
        <v>42</v>
      </c>
      <c r="B21" s="244"/>
      <c r="C21" s="244"/>
      <c r="D21" s="244" t="s">
        <v>7</v>
      </c>
      <c r="E21" s="244" t="s">
        <v>43</v>
      </c>
      <c r="F21" s="244"/>
      <c r="G21" s="244" t="s">
        <v>44</v>
      </c>
      <c r="H21" s="213"/>
      <c r="I21" s="245"/>
      <c r="J21" s="245"/>
      <c r="K21" s="246" t="s">
        <v>65</v>
      </c>
      <c r="L21" s="247">
        <v>2</v>
      </c>
      <c r="M21" s="213"/>
      <c r="N21" s="213"/>
      <c r="O21" s="62"/>
    </row>
    <row r="22" spans="1:40" ht="15.75">
      <c r="A22" s="248" t="s">
        <v>45</v>
      </c>
      <c r="B22" s="213"/>
      <c r="C22" s="213"/>
      <c r="D22" s="213" t="s">
        <v>340</v>
      </c>
      <c r="E22" s="213"/>
      <c r="F22" s="213"/>
      <c r="G22" s="224"/>
      <c r="H22" s="213"/>
      <c r="I22" s="249"/>
      <c r="J22" s="250"/>
      <c r="K22" s="251"/>
      <c r="L22" s="213"/>
      <c r="M22" s="213"/>
      <c r="N22" s="213"/>
      <c r="O22" s="62"/>
    </row>
    <row r="23" spans="1:40" ht="16.5">
      <c r="A23" s="213" t="s">
        <v>291</v>
      </c>
      <c r="B23" s="213"/>
      <c r="C23" s="213"/>
      <c r="D23" s="213"/>
      <c r="E23" s="224">
        <v>5.2</v>
      </c>
      <c r="F23" s="213"/>
      <c r="G23" s="224">
        <v>1047</v>
      </c>
      <c r="H23" s="213"/>
      <c r="I23" s="213"/>
      <c r="J23" s="240"/>
      <c r="K23" s="252" t="s">
        <v>6</v>
      </c>
      <c r="L23" s="252" t="s">
        <v>63</v>
      </c>
      <c r="M23" s="253"/>
    </row>
    <row r="24" spans="1:40" ht="15.75">
      <c r="A24" s="248" t="s">
        <v>46</v>
      </c>
      <c r="B24" s="213"/>
      <c r="C24" s="213"/>
      <c r="D24" s="213"/>
      <c r="E24" s="213"/>
      <c r="F24" s="213"/>
      <c r="G24" s="213"/>
      <c r="H24" s="213"/>
      <c r="I24" s="213"/>
      <c r="J24" s="249"/>
      <c r="K24" s="254" t="s">
        <v>341</v>
      </c>
      <c r="L24" s="255">
        <v>68</v>
      </c>
      <c r="M24" s="256"/>
      <c r="AL24" s="62" t="s">
        <v>263</v>
      </c>
      <c r="AM24" s="62">
        <f>5036/615</f>
        <v>8.1886178861788625</v>
      </c>
      <c r="AN24" s="62">
        <f>5402/742</f>
        <v>7.2803234501347704</v>
      </c>
    </row>
    <row r="25" spans="1:40">
      <c r="A25" s="213" t="s">
        <v>47</v>
      </c>
      <c r="B25" s="213"/>
      <c r="C25" s="213"/>
      <c r="D25" s="213" t="s">
        <v>48</v>
      </c>
      <c r="E25" s="224">
        <v>6</v>
      </c>
      <c r="F25" s="213"/>
      <c r="G25" s="224">
        <v>1225</v>
      </c>
      <c r="H25" s="213"/>
      <c r="I25" s="213"/>
      <c r="J25" s="257"/>
      <c r="K25" s="254" t="s">
        <v>342</v>
      </c>
      <c r="L25" s="255">
        <v>16</v>
      </c>
      <c r="M25" s="256"/>
      <c r="AL25" s="62" t="s">
        <v>343</v>
      </c>
      <c r="AM25" s="62">
        <f>5846/615</f>
        <v>9.5056910569105693</v>
      </c>
      <c r="AN25" s="34">
        <f>4683.5/742</f>
        <v>6.3119946091644206</v>
      </c>
    </row>
    <row r="26" spans="1:40">
      <c r="A26" s="213" t="s">
        <v>49</v>
      </c>
      <c r="B26" s="213"/>
      <c r="C26" s="213"/>
      <c r="D26" s="213" t="s">
        <v>48</v>
      </c>
      <c r="E26" s="224">
        <v>14</v>
      </c>
      <c r="F26" s="213"/>
      <c r="G26" s="213"/>
      <c r="H26" s="213"/>
      <c r="I26" s="213"/>
      <c r="J26" s="257"/>
      <c r="K26" s="254" t="s">
        <v>183</v>
      </c>
      <c r="L26" s="255">
        <v>16</v>
      </c>
      <c r="M26" s="256"/>
      <c r="AL26" s="62" t="s">
        <v>344</v>
      </c>
      <c r="AM26" s="34">
        <f>6912/615</f>
        <v>11.239024390243902</v>
      </c>
      <c r="AN26" s="62">
        <f>6807/742</f>
        <v>9.1738544474393535</v>
      </c>
    </row>
    <row r="27" spans="1:40">
      <c r="A27" s="213" t="s">
        <v>12</v>
      </c>
      <c r="B27" s="213"/>
      <c r="C27" s="213"/>
      <c r="D27" s="213"/>
      <c r="E27" s="224">
        <f>SUM(E25:E26)</f>
        <v>20</v>
      </c>
      <c r="F27" s="213"/>
      <c r="G27" s="213"/>
      <c r="H27" s="213"/>
      <c r="I27" s="213"/>
      <c r="J27" s="245"/>
      <c r="K27" s="258"/>
      <c r="L27" s="259"/>
      <c r="M27" s="256"/>
      <c r="AL27" s="62" t="s">
        <v>345</v>
      </c>
      <c r="AM27" s="34">
        <f>1976/615</f>
        <v>3.2130081300813007</v>
      </c>
      <c r="AN27" s="62">
        <f>1593/742</f>
        <v>2.1469002695417791</v>
      </c>
    </row>
    <row r="28" spans="1:40">
      <c r="A28" s="214" t="s">
        <v>50</v>
      </c>
      <c r="B28" s="214"/>
      <c r="C28" s="214" t="s">
        <v>51</v>
      </c>
      <c r="D28" s="214"/>
      <c r="E28" s="214"/>
      <c r="F28" s="214"/>
      <c r="G28" s="214"/>
      <c r="H28" s="213"/>
      <c r="I28" s="213"/>
      <c r="J28" s="213"/>
      <c r="K28" s="258"/>
      <c r="L28" s="260"/>
      <c r="M28" s="256"/>
      <c r="AL28" s="62" t="s">
        <v>346</v>
      </c>
      <c r="AM28" s="62">
        <f>5622/615</f>
        <v>9.1414634146341456</v>
      </c>
      <c r="AN28" s="62">
        <f>5622/742</f>
        <v>7.5768194070080863</v>
      </c>
    </row>
    <row r="29" spans="1:40">
      <c r="A29" s="217" t="s">
        <v>9</v>
      </c>
      <c r="B29" s="217"/>
      <c r="C29" s="222">
        <v>100</v>
      </c>
      <c r="D29" s="74" t="s">
        <v>13</v>
      </c>
      <c r="E29" s="261">
        <v>123</v>
      </c>
      <c r="F29" s="217"/>
      <c r="G29" s="262">
        <v>50</v>
      </c>
      <c r="H29" s="213"/>
      <c r="I29" s="213"/>
      <c r="J29" s="213"/>
      <c r="K29" s="263"/>
      <c r="L29" s="260"/>
      <c r="M29" s="256"/>
      <c r="AL29" s="62"/>
      <c r="AM29" s="62">
        <f>1893/615</f>
        <v>3.0780487804878049</v>
      </c>
      <c r="AN29" s="62">
        <f>4893/742</f>
        <v>6.5943396226415096</v>
      </c>
    </row>
    <row r="30" spans="1:40">
      <c r="A30" s="217" t="s">
        <v>82</v>
      </c>
      <c r="B30" s="217"/>
      <c r="C30" s="222">
        <v>60</v>
      </c>
      <c r="D30" s="74" t="s">
        <v>13</v>
      </c>
      <c r="E30" s="261">
        <v>42</v>
      </c>
      <c r="F30" s="217"/>
      <c r="G30" s="262">
        <v>50</v>
      </c>
      <c r="H30" s="213"/>
      <c r="I30" s="213"/>
      <c r="J30" s="213"/>
      <c r="K30" s="263"/>
      <c r="L30" s="260"/>
      <c r="M30" s="256"/>
      <c r="AL30" s="62"/>
      <c r="AM30" s="62"/>
      <c r="AN30" s="62"/>
    </row>
    <row r="31" spans="1:40">
      <c r="A31" s="217" t="s">
        <v>10</v>
      </c>
      <c r="B31" s="217"/>
      <c r="C31" s="222">
        <v>64</v>
      </c>
      <c r="D31" s="74" t="s">
        <v>13</v>
      </c>
      <c r="E31" s="261">
        <v>39</v>
      </c>
      <c r="F31" s="217"/>
      <c r="G31" s="262">
        <v>50</v>
      </c>
      <c r="H31" s="213"/>
      <c r="I31" s="213"/>
      <c r="J31" s="213"/>
      <c r="K31" s="258"/>
      <c r="L31" s="260"/>
      <c r="M31" s="256"/>
    </row>
    <row r="32" spans="1:40">
      <c r="A32" s="214" t="s">
        <v>53</v>
      </c>
      <c r="B32" s="214"/>
      <c r="C32" s="214"/>
      <c r="D32" s="214"/>
      <c r="E32" s="214"/>
      <c r="F32" s="214"/>
      <c r="G32" s="214"/>
      <c r="H32" s="213"/>
      <c r="I32" s="213" t="s">
        <v>347</v>
      </c>
      <c r="J32" s="213"/>
      <c r="K32" s="258"/>
      <c r="L32" s="260"/>
      <c r="M32" s="256"/>
    </row>
    <row r="33" spans="1:15">
      <c r="A33" s="217" t="s">
        <v>54</v>
      </c>
      <c r="B33" s="217"/>
      <c r="C33" s="217"/>
      <c r="D33" s="217"/>
      <c r="E33" s="217"/>
      <c r="F33" s="217"/>
      <c r="G33" s="264">
        <v>1320</v>
      </c>
      <c r="H33" s="213"/>
      <c r="I33" s="265">
        <f>+G33*2.471</f>
        <v>3261.7200000000003</v>
      </c>
      <c r="J33" s="213"/>
      <c r="K33" s="260"/>
      <c r="L33" s="260"/>
      <c r="M33" s="256"/>
    </row>
    <row r="34" spans="1:15">
      <c r="A34" s="217" t="s">
        <v>55</v>
      </c>
      <c r="B34" s="217"/>
      <c r="C34" s="217"/>
      <c r="D34" s="217"/>
      <c r="E34" s="217"/>
      <c r="F34" s="217"/>
      <c r="G34" s="266">
        <v>42</v>
      </c>
      <c r="H34" s="213"/>
      <c r="I34" s="265"/>
      <c r="J34" s="213"/>
      <c r="K34" s="213"/>
      <c r="L34" s="213"/>
      <c r="M34" s="213"/>
      <c r="N34" s="213"/>
      <c r="O34" s="62"/>
    </row>
    <row r="35" spans="1:15">
      <c r="A35" s="217" t="s">
        <v>56</v>
      </c>
      <c r="B35" s="217"/>
      <c r="C35" s="217"/>
      <c r="D35" s="217"/>
      <c r="E35" s="217"/>
      <c r="F35" s="217"/>
      <c r="G35" s="266">
        <f>SUM(G33*G34)</f>
        <v>55440</v>
      </c>
      <c r="H35" s="213"/>
      <c r="I35" s="265">
        <f t="shared" ref="I35:I37" si="3">+G35*2.471</f>
        <v>136992.24</v>
      </c>
      <c r="J35" s="213"/>
      <c r="K35" s="213"/>
      <c r="L35" s="213"/>
      <c r="M35" s="213"/>
      <c r="N35" s="213"/>
      <c r="O35" s="62"/>
    </row>
    <row r="36" spans="1:15">
      <c r="A36" s="217" t="s">
        <v>57</v>
      </c>
      <c r="B36" s="217"/>
      <c r="C36" s="217"/>
      <c r="D36" s="217"/>
      <c r="E36" s="217"/>
      <c r="F36" s="217"/>
      <c r="G36" s="266">
        <f>SUM(G35-K16)</f>
        <v>7758</v>
      </c>
      <c r="H36" s="213"/>
      <c r="I36" s="265">
        <f t="shared" si="3"/>
        <v>19170.018</v>
      </c>
      <c r="J36" s="213"/>
      <c r="K36" s="213"/>
      <c r="L36" s="213"/>
      <c r="M36" s="213"/>
      <c r="N36" s="213"/>
      <c r="O36" s="62"/>
    </row>
    <row r="37" spans="1:15">
      <c r="A37" s="217" t="s">
        <v>58</v>
      </c>
      <c r="B37" s="217"/>
      <c r="C37" s="217"/>
      <c r="D37" s="217"/>
      <c r="E37" s="217"/>
      <c r="F37" s="217"/>
      <c r="G37" s="266">
        <f>SUM(G35-K17)</f>
        <v>25578</v>
      </c>
      <c r="H37" s="213"/>
      <c r="I37" s="265">
        <f t="shared" si="3"/>
        <v>63203.238000000005</v>
      </c>
      <c r="J37" s="213"/>
      <c r="K37" s="213"/>
      <c r="L37" s="213"/>
      <c r="M37" s="213"/>
      <c r="N37" s="213"/>
      <c r="O37" s="62"/>
    </row>
    <row r="38" spans="1:15">
      <c r="A38" s="217"/>
      <c r="B38" s="217"/>
      <c r="C38" s="217"/>
      <c r="D38" s="217"/>
      <c r="E38" s="217"/>
      <c r="F38" s="217"/>
      <c r="G38" s="266"/>
      <c r="H38" s="213"/>
      <c r="I38" s="213"/>
      <c r="J38" s="213"/>
      <c r="K38" s="213"/>
      <c r="L38" s="213"/>
      <c r="M38" s="213"/>
      <c r="N38" s="213"/>
      <c r="O38" s="62"/>
    </row>
    <row r="39" spans="1:15">
      <c r="A39" s="217" t="s">
        <v>59</v>
      </c>
      <c r="B39" s="217"/>
      <c r="C39" s="217"/>
      <c r="D39" s="217"/>
      <c r="E39" s="217"/>
      <c r="F39" s="217"/>
      <c r="G39" s="266">
        <f>SUM(K16/G33)</f>
        <v>36.122727272727275</v>
      </c>
      <c r="H39" s="213"/>
      <c r="I39" s="213"/>
      <c r="J39" s="213"/>
      <c r="K39" s="213"/>
      <c r="L39" s="213"/>
      <c r="M39" s="213"/>
      <c r="N39" s="213"/>
      <c r="O39" s="62"/>
    </row>
    <row r="40" spans="1:15">
      <c r="A40" s="220" t="s">
        <v>60</v>
      </c>
      <c r="B40" s="220"/>
      <c r="C40" s="220"/>
      <c r="D40" s="220"/>
      <c r="E40" s="220"/>
      <c r="F40" s="220"/>
      <c r="G40" s="267">
        <f>SUM(K17/G33)</f>
        <v>22.622727272727271</v>
      </c>
      <c r="H40" s="213"/>
      <c r="I40" s="213"/>
      <c r="J40" s="213"/>
      <c r="K40" s="213"/>
      <c r="L40" s="213"/>
      <c r="M40" s="213"/>
      <c r="N40" s="213"/>
      <c r="O40" s="62"/>
    </row>
    <row r="41" spans="1:15" ht="15.75">
      <c r="A41" s="213"/>
      <c r="B41" s="213"/>
      <c r="C41" s="268" t="s">
        <v>243</v>
      </c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62"/>
    </row>
    <row r="42" spans="1:15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62"/>
    </row>
    <row r="43" spans="1:15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62"/>
    </row>
    <row r="44" spans="1:15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62"/>
    </row>
    <row r="45" spans="1:1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54"/>
  <sheetViews>
    <sheetView workbookViewId="0">
      <selection sqref="A1:XFD1048576"/>
    </sheetView>
  </sheetViews>
  <sheetFormatPr defaultRowHeight="14.25"/>
  <cols>
    <col min="1" max="2" width="9.140625" style="54"/>
    <col min="3" max="3" width="5" style="54" customWidth="1"/>
    <col min="4" max="4" width="6.85546875" style="54" customWidth="1"/>
    <col min="5" max="5" width="5.5703125" style="54" customWidth="1"/>
    <col min="6" max="6" width="6" style="54" customWidth="1"/>
    <col min="7" max="7" width="8.28515625" style="54" customWidth="1"/>
    <col min="8" max="8" width="9" style="54" customWidth="1"/>
    <col min="9" max="9" width="7.42578125" style="54" customWidth="1"/>
    <col min="10" max="10" width="8.5703125" style="54" customWidth="1"/>
    <col min="11" max="11" width="10.28515625" style="54" customWidth="1"/>
    <col min="12" max="12" width="7.5703125" style="54" customWidth="1"/>
    <col min="13" max="13" width="6.42578125" style="54" customWidth="1"/>
    <col min="14" max="16" width="9.140625" style="54"/>
    <col min="17" max="17" width="5.140625" style="54" customWidth="1"/>
    <col min="18" max="18" width="4.85546875" style="54" customWidth="1"/>
    <col min="19" max="16384" width="9.140625" style="54"/>
  </cols>
  <sheetData>
    <row r="1" spans="1:18">
      <c r="A1" s="54" t="s">
        <v>17</v>
      </c>
      <c r="B1" s="54" t="s">
        <v>348</v>
      </c>
    </row>
    <row r="2" spans="1:18">
      <c r="B2" s="54" t="s">
        <v>349</v>
      </c>
    </row>
    <row r="3" spans="1:18">
      <c r="B3" s="54" t="s">
        <v>350</v>
      </c>
    </row>
    <row r="4" spans="1:18">
      <c r="A4" s="101" t="s">
        <v>18</v>
      </c>
      <c r="B4" s="101"/>
      <c r="C4" s="101"/>
      <c r="D4" s="102" t="s">
        <v>19</v>
      </c>
      <c r="E4" s="102" t="s">
        <v>12</v>
      </c>
      <c r="F4" s="102" t="s">
        <v>20</v>
      </c>
      <c r="G4" s="102" t="s">
        <v>21</v>
      </c>
      <c r="H4" s="102" t="s">
        <v>22</v>
      </c>
      <c r="I4" s="102" t="s">
        <v>23</v>
      </c>
      <c r="J4" s="102" t="s">
        <v>24</v>
      </c>
      <c r="K4" s="102" t="s">
        <v>25</v>
      </c>
      <c r="L4" s="133" t="s">
        <v>26</v>
      </c>
      <c r="M4" s="102"/>
    </row>
    <row r="5" spans="1:18">
      <c r="A5" s="52"/>
      <c r="B5" s="52"/>
      <c r="C5" s="52"/>
      <c r="D5" s="53" t="s">
        <v>27</v>
      </c>
      <c r="E5" s="53" t="s">
        <v>28</v>
      </c>
      <c r="F5" s="53" t="s">
        <v>28</v>
      </c>
      <c r="G5" s="53" t="s">
        <v>29</v>
      </c>
      <c r="H5" s="53" t="s">
        <v>30</v>
      </c>
      <c r="I5" s="53" t="s">
        <v>31</v>
      </c>
      <c r="J5" s="53" t="s">
        <v>30</v>
      </c>
      <c r="K5" s="53" t="s">
        <v>30</v>
      </c>
      <c r="L5" s="134" t="s">
        <v>23</v>
      </c>
      <c r="M5" s="53" t="s">
        <v>24</v>
      </c>
    </row>
    <row r="6" spans="1:18">
      <c r="A6" s="52"/>
      <c r="B6" s="52"/>
      <c r="C6" s="52"/>
      <c r="D6" s="53" t="s">
        <v>32</v>
      </c>
      <c r="E6" s="53"/>
      <c r="F6" s="53"/>
      <c r="G6" s="53"/>
      <c r="H6" s="53" t="s">
        <v>33</v>
      </c>
      <c r="I6" s="53" t="s">
        <v>30</v>
      </c>
      <c r="J6" s="53" t="s">
        <v>33</v>
      </c>
      <c r="K6" s="53" t="s">
        <v>33</v>
      </c>
      <c r="L6" s="53"/>
      <c r="M6" s="53"/>
    </row>
    <row r="7" spans="1:18">
      <c r="A7" s="103"/>
      <c r="B7" s="103"/>
      <c r="C7" s="103"/>
      <c r="D7" s="104"/>
      <c r="E7" s="104"/>
      <c r="F7" s="104"/>
      <c r="G7" s="104"/>
      <c r="H7" s="104"/>
      <c r="I7" s="104" t="s">
        <v>33</v>
      </c>
      <c r="J7" s="104"/>
      <c r="K7" s="104"/>
      <c r="L7" s="104"/>
      <c r="M7" s="104"/>
    </row>
    <row r="8" spans="1:18">
      <c r="A8" s="54" t="s">
        <v>15</v>
      </c>
      <c r="D8" s="135">
        <v>56</v>
      </c>
      <c r="E8" s="57">
        <v>3.71</v>
      </c>
      <c r="F8" s="55">
        <v>2.39</v>
      </c>
      <c r="G8" s="269">
        <v>1025</v>
      </c>
      <c r="H8" s="55">
        <v>3803</v>
      </c>
      <c r="J8" s="55"/>
      <c r="K8" s="55">
        <f t="shared" ref="K8:K18" si="0">SUM(H8:J8)</f>
        <v>3803</v>
      </c>
      <c r="Q8" s="55"/>
      <c r="R8" s="55"/>
    </row>
    <row r="9" spans="1:18">
      <c r="A9" s="54" t="s">
        <v>351</v>
      </c>
      <c r="D9" s="135">
        <v>94</v>
      </c>
      <c r="E9" s="55">
        <v>0.45</v>
      </c>
      <c r="F9" s="55">
        <v>0.45</v>
      </c>
      <c r="G9" s="269">
        <v>1000</v>
      </c>
      <c r="H9" s="55">
        <f>E9*G9</f>
        <v>450</v>
      </c>
      <c r="I9" s="110">
        <v>5491</v>
      </c>
      <c r="J9" s="55"/>
      <c r="K9" s="55">
        <f>SUM(H9:J9)</f>
        <v>5941</v>
      </c>
      <c r="L9" s="54">
        <v>363</v>
      </c>
      <c r="Q9" s="55"/>
      <c r="R9" s="55"/>
    </row>
    <row r="10" spans="1:18">
      <c r="A10" s="54" t="s">
        <v>352</v>
      </c>
      <c r="D10" s="270" t="s">
        <v>353</v>
      </c>
      <c r="E10" s="271" t="s">
        <v>354</v>
      </c>
      <c r="F10" s="271" t="s">
        <v>354</v>
      </c>
      <c r="G10" s="269">
        <v>1000</v>
      </c>
      <c r="H10" s="130" t="s">
        <v>355</v>
      </c>
      <c r="I10" s="271" t="s">
        <v>356</v>
      </c>
      <c r="J10" s="55"/>
      <c r="K10" s="55">
        <f>SUM(H10:J10)</f>
        <v>0</v>
      </c>
      <c r="Q10" s="55"/>
      <c r="R10" s="55"/>
    </row>
    <row r="11" spans="1:18">
      <c r="A11" s="54" t="s">
        <v>357</v>
      </c>
      <c r="D11" s="135">
        <v>86</v>
      </c>
      <c r="E11" s="57">
        <v>3.59</v>
      </c>
      <c r="F11" s="55">
        <v>1.73</v>
      </c>
      <c r="G11" s="269">
        <v>1200</v>
      </c>
      <c r="H11" s="55">
        <f>E11*G11</f>
        <v>4308</v>
      </c>
      <c r="J11" s="55">
        <v>5951</v>
      </c>
      <c r="K11" s="55">
        <f t="shared" si="0"/>
        <v>10259</v>
      </c>
      <c r="Q11" s="56"/>
      <c r="R11" s="56"/>
    </row>
    <row r="12" spans="1:18">
      <c r="A12" s="54" t="s">
        <v>358</v>
      </c>
      <c r="D12" s="270" t="s">
        <v>359</v>
      </c>
      <c r="E12" s="272" t="s">
        <v>360</v>
      </c>
      <c r="F12" s="273" t="s">
        <v>361</v>
      </c>
      <c r="G12" s="270" t="s">
        <v>362</v>
      </c>
      <c r="H12" s="273" t="s">
        <v>363</v>
      </c>
      <c r="I12" s="273"/>
      <c r="J12" s="273"/>
      <c r="K12" s="273"/>
      <c r="Q12" s="56"/>
      <c r="R12" s="56"/>
    </row>
    <row r="13" spans="1:18">
      <c r="A13" s="54" t="s">
        <v>1</v>
      </c>
      <c r="D13" s="135">
        <v>100</v>
      </c>
      <c r="E13" s="57">
        <v>2.72</v>
      </c>
      <c r="F13" s="55">
        <v>2.08</v>
      </c>
      <c r="G13" s="269">
        <v>1165</v>
      </c>
      <c r="H13" s="55">
        <v>3169</v>
      </c>
      <c r="I13" s="55"/>
      <c r="J13" s="55">
        <f>(E33*G33)+(E34*G34)+(E35*G35)</f>
        <v>8550</v>
      </c>
      <c r="K13" s="55">
        <f t="shared" si="0"/>
        <v>11719</v>
      </c>
      <c r="Q13" s="55"/>
      <c r="R13" s="55"/>
    </row>
    <row r="14" spans="1:18">
      <c r="A14" s="54" t="s">
        <v>364</v>
      </c>
      <c r="D14" s="135">
        <v>87</v>
      </c>
      <c r="E14" s="54">
        <v>5.0999999999999996</v>
      </c>
      <c r="F14" s="55">
        <v>2.5</v>
      </c>
      <c r="G14" s="269">
        <v>1200</v>
      </c>
      <c r="H14" s="55">
        <f t="shared" ref="H14:H18" si="1">E14*G14</f>
        <v>6120</v>
      </c>
      <c r="I14" s="55"/>
      <c r="J14" s="55"/>
      <c r="K14" s="55">
        <f t="shared" si="0"/>
        <v>6120</v>
      </c>
      <c r="Q14" s="55"/>
      <c r="R14" s="55"/>
    </row>
    <row r="15" spans="1:18">
      <c r="A15" s="54" t="s">
        <v>365</v>
      </c>
      <c r="D15" s="135">
        <v>100</v>
      </c>
      <c r="E15" s="55">
        <v>6.63</v>
      </c>
      <c r="F15" s="55">
        <v>2.68</v>
      </c>
      <c r="G15" s="269">
        <v>1200</v>
      </c>
      <c r="H15" s="55">
        <f t="shared" si="1"/>
        <v>7956</v>
      </c>
      <c r="I15" s="55"/>
      <c r="J15" s="55"/>
      <c r="K15" s="55">
        <f t="shared" si="0"/>
        <v>7956</v>
      </c>
      <c r="Q15" s="55"/>
      <c r="R15" s="55"/>
    </row>
    <row r="16" spans="1:18">
      <c r="A16" s="54" t="s">
        <v>366</v>
      </c>
      <c r="D16" s="135">
        <v>76</v>
      </c>
      <c r="E16" s="55">
        <v>1.17</v>
      </c>
      <c r="F16" s="55">
        <v>0.43</v>
      </c>
      <c r="G16" s="269">
        <v>1065</v>
      </c>
      <c r="H16" s="55">
        <v>1246</v>
      </c>
      <c r="I16" s="55">
        <v>3735</v>
      </c>
      <c r="J16" s="55"/>
      <c r="K16" s="55">
        <f t="shared" si="0"/>
        <v>4981</v>
      </c>
      <c r="Q16" s="55"/>
      <c r="R16" s="55"/>
    </row>
    <row r="17" spans="1:18">
      <c r="A17" s="54" t="s">
        <v>367</v>
      </c>
      <c r="D17" s="270" t="s">
        <v>368</v>
      </c>
      <c r="E17" s="273" t="s">
        <v>369</v>
      </c>
      <c r="F17" s="273" t="s">
        <v>370</v>
      </c>
      <c r="G17" s="270" t="s">
        <v>371</v>
      </c>
      <c r="H17" s="55" t="s">
        <v>372</v>
      </c>
      <c r="I17" s="182" t="s">
        <v>373</v>
      </c>
      <c r="J17" s="182"/>
      <c r="K17" s="273"/>
      <c r="Q17" s="56"/>
      <c r="R17" s="56"/>
    </row>
    <row r="18" spans="1:18">
      <c r="A18" s="54" t="s">
        <v>374</v>
      </c>
      <c r="D18" s="135">
        <v>68</v>
      </c>
      <c r="E18" s="55">
        <v>1.64</v>
      </c>
      <c r="F18" s="55">
        <v>1.34</v>
      </c>
      <c r="G18" s="269">
        <v>1000</v>
      </c>
      <c r="H18" s="55">
        <f t="shared" si="1"/>
        <v>1640</v>
      </c>
      <c r="I18" s="55"/>
      <c r="J18" s="55"/>
      <c r="K18" s="55">
        <f t="shared" si="0"/>
        <v>1640</v>
      </c>
    </row>
    <row r="19" spans="1:18">
      <c r="A19" s="101" t="s">
        <v>38</v>
      </c>
      <c r="B19" s="101"/>
      <c r="C19" s="101"/>
      <c r="D19" s="137"/>
      <c r="E19" s="138">
        <f>SUM(E8:E18)</f>
        <v>25.009999999999998</v>
      </c>
      <c r="F19" s="138">
        <f>SUM(F8:F18)</f>
        <v>13.6</v>
      </c>
      <c r="G19" s="138"/>
      <c r="H19" s="138">
        <f>SUM(H8:H18)</f>
        <v>28692</v>
      </c>
      <c r="I19" s="138">
        <f>SUM(I8:I18)</f>
        <v>9226</v>
      </c>
      <c r="J19" s="138">
        <f>SUM(J8:J18)</f>
        <v>14501</v>
      </c>
      <c r="K19" s="138">
        <f>SUM(H19:J19)</f>
        <v>52419</v>
      </c>
      <c r="L19" s="138">
        <f>SUM(L8:L18)</f>
        <v>363</v>
      </c>
      <c r="M19" s="101">
        <f>SUM(M8:M18)</f>
        <v>0</v>
      </c>
    </row>
    <row r="20" spans="1:18">
      <c r="A20" s="103" t="s">
        <v>39</v>
      </c>
      <c r="B20" s="103"/>
      <c r="C20" s="103"/>
      <c r="D20" s="139"/>
      <c r="E20" s="140">
        <f>SUM(E19-F19)</f>
        <v>11.409999999999998</v>
      </c>
      <c r="F20" s="140"/>
      <c r="G20" s="140"/>
      <c r="H20" s="140">
        <f>SUM(E28*G28)</f>
        <v>12430</v>
      </c>
      <c r="I20" s="140">
        <f>I19-L19</f>
        <v>8863</v>
      </c>
      <c r="J20" s="140">
        <f>J19-M19</f>
        <v>14501</v>
      </c>
      <c r="K20" s="140">
        <f>SUM(H20:J20)</f>
        <v>35794</v>
      </c>
      <c r="L20" s="140"/>
      <c r="M20" s="103"/>
    </row>
    <row r="22" spans="1:18">
      <c r="C22" s="54" t="s">
        <v>40</v>
      </c>
    </row>
    <row r="24" spans="1:18">
      <c r="A24" s="54" t="s">
        <v>41</v>
      </c>
      <c r="J24" s="126" t="s">
        <v>6</v>
      </c>
      <c r="K24" s="274" t="s">
        <v>375</v>
      </c>
    </row>
    <row r="25" spans="1:18">
      <c r="A25" s="120" t="s">
        <v>42</v>
      </c>
      <c r="B25" s="120"/>
      <c r="C25" s="120"/>
      <c r="D25" s="120" t="s">
        <v>7</v>
      </c>
      <c r="E25" s="120" t="s">
        <v>43</v>
      </c>
      <c r="F25" s="120"/>
      <c r="G25" s="120" t="s">
        <v>44</v>
      </c>
      <c r="J25" s="275" t="s">
        <v>376</v>
      </c>
      <c r="K25" s="276">
        <v>40</v>
      </c>
    </row>
    <row r="26" spans="1:18">
      <c r="A26" s="54" t="s">
        <v>45</v>
      </c>
      <c r="D26" s="54" t="s">
        <v>13</v>
      </c>
      <c r="E26" s="55">
        <v>5.4</v>
      </c>
      <c r="G26" s="55">
        <v>1102</v>
      </c>
      <c r="J26" s="275" t="s">
        <v>377</v>
      </c>
      <c r="K26" s="276">
        <v>40</v>
      </c>
    </row>
    <row r="27" spans="1:18">
      <c r="A27" s="54" t="s">
        <v>46</v>
      </c>
      <c r="J27" s="275" t="s">
        <v>378</v>
      </c>
      <c r="K27" s="276">
        <v>20</v>
      </c>
    </row>
    <row r="28" spans="1:18">
      <c r="A28" s="54" t="s">
        <v>47</v>
      </c>
      <c r="D28" s="54" t="s">
        <v>48</v>
      </c>
      <c r="E28" s="55">
        <v>11</v>
      </c>
      <c r="G28" s="57">
        <v>1130</v>
      </c>
    </row>
    <row r="29" spans="1:18">
      <c r="A29" s="54" t="s">
        <v>49</v>
      </c>
      <c r="D29" s="54" t="s">
        <v>48</v>
      </c>
      <c r="E29" s="55">
        <v>14</v>
      </c>
      <c r="J29" s="123" t="s">
        <v>120</v>
      </c>
      <c r="K29" s="123">
        <f>60.5/25</f>
        <v>2.42</v>
      </c>
    </row>
    <row r="30" spans="1:18">
      <c r="A30" s="54" t="s">
        <v>12</v>
      </c>
      <c r="E30" s="55">
        <f>SUM(E28:E29)</f>
        <v>25</v>
      </c>
      <c r="J30" s="123" t="s">
        <v>121</v>
      </c>
      <c r="K30" s="123">
        <v>2</v>
      </c>
    </row>
    <row r="32" spans="1:18">
      <c r="A32" s="101" t="s">
        <v>50</v>
      </c>
      <c r="B32" s="101"/>
      <c r="C32" s="101" t="s">
        <v>51</v>
      </c>
      <c r="D32" s="101"/>
      <c r="E32" s="101"/>
      <c r="F32" s="101"/>
      <c r="G32" s="101"/>
    </row>
    <row r="33" spans="1:9">
      <c r="A33" s="52" t="s">
        <v>9</v>
      </c>
      <c r="B33" s="134"/>
      <c r="C33" s="144">
        <v>100</v>
      </c>
      <c r="D33" s="52" t="s">
        <v>13</v>
      </c>
      <c r="E33" s="146">
        <v>94</v>
      </c>
      <c r="F33" s="52"/>
      <c r="G33" s="178">
        <v>50</v>
      </c>
    </row>
    <row r="34" spans="1:9">
      <c r="A34" s="52" t="s">
        <v>82</v>
      </c>
      <c r="B34" s="134"/>
      <c r="C34" s="144">
        <v>48</v>
      </c>
      <c r="D34" s="52" t="s">
        <v>13</v>
      </c>
      <c r="E34" s="178">
        <v>41</v>
      </c>
      <c r="F34" s="52"/>
      <c r="G34" s="178">
        <v>50</v>
      </c>
    </row>
    <row r="35" spans="1:9">
      <c r="A35" s="54" t="s">
        <v>10</v>
      </c>
      <c r="B35" s="134"/>
      <c r="C35" s="144">
        <v>68</v>
      </c>
      <c r="D35" s="52" t="s">
        <v>13</v>
      </c>
      <c r="E35" s="178">
        <v>36</v>
      </c>
      <c r="F35" s="52"/>
      <c r="G35" s="178">
        <v>50</v>
      </c>
    </row>
    <row r="36" spans="1:9">
      <c r="A36" s="101" t="s">
        <v>53</v>
      </c>
      <c r="B36" s="101"/>
      <c r="C36" s="101"/>
      <c r="D36" s="101"/>
      <c r="E36" s="101"/>
      <c r="F36" s="101"/>
      <c r="G36" s="101" t="s">
        <v>379</v>
      </c>
      <c r="I36" s="54" t="s">
        <v>224</v>
      </c>
    </row>
    <row r="37" spans="1:9">
      <c r="A37" s="52" t="s">
        <v>54</v>
      </c>
      <c r="B37" s="52"/>
      <c r="C37" s="52"/>
      <c r="D37" s="52"/>
      <c r="E37" s="52"/>
      <c r="F37" s="52"/>
      <c r="G37" s="277">
        <v>1504</v>
      </c>
      <c r="I37" s="130">
        <f>G37*2.471</f>
        <v>3716.384</v>
      </c>
    </row>
    <row r="38" spans="1:9">
      <c r="A38" s="52" t="s">
        <v>55</v>
      </c>
      <c r="B38" s="52"/>
      <c r="C38" s="52"/>
      <c r="D38" s="52"/>
      <c r="E38" s="52"/>
      <c r="F38" s="52"/>
      <c r="G38" s="146">
        <v>41</v>
      </c>
    </row>
    <row r="39" spans="1:9">
      <c r="A39" s="52" t="s">
        <v>56</v>
      </c>
      <c r="B39" s="52"/>
      <c r="C39" s="52"/>
      <c r="D39" s="52"/>
      <c r="E39" s="52"/>
      <c r="F39" s="52"/>
      <c r="G39" s="178">
        <f>SUM(G37*G38)</f>
        <v>61664</v>
      </c>
      <c r="I39" s="130">
        <f>G39*2.471</f>
        <v>152371.74400000001</v>
      </c>
    </row>
    <row r="40" spans="1:9">
      <c r="A40" s="52" t="s">
        <v>57</v>
      </c>
      <c r="B40" s="52"/>
      <c r="C40" s="52"/>
      <c r="D40" s="52"/>
      <c r="E40" s="52"/>
      <c r="F40" s="52"/>
      <c r="G40" s="178">
        <f>SUM(G39-K19)</f>
        <v>9245</v>
      </c>
      <c r="I40" s="130">
        <f t="shared" ref="I40:I41" si="2">G40*2.471</f>
        <v>22844.395</v>
      </c>
    </row>
    <row r="41" spans="1:9">
      <c r="A41" s="52" t="s">
        <v>58</v>
      </c>
      <c r="B41" s="52"/>
      <c r="C41" s="52"/>
      <c r="D41" s="52"/>
      <c r="E41" s="52"/>
      <c r="F41" s="52"/>
      <c r="G41" s="178">
        <f>SUM(G39-K20)</f>
        <v>25870</v>
      </c>
      <c r="I41" s="130">
        <f t="shared" si="2"/>
        <v>63924.770000000004</v>
      </c>
    </row>
    <row r="42" spans="1:9">
      <c r="A42" s="52" t="s">
        <v>59</v>
      </c>
      <c r="B42" s="52"/>
      <c r="C42" s="52"/>
      <c r="D42" s="52"/>
      <c r="E42" s="52"/>
      <c r="F42" s="52"/>
      <c r="G42" s="131">
        <f>SUM(K19/G37)</f>
        <v>34.853058510638299</v>
      </c>
    </row>
    <row r="43" spans="1:9">
      <c r="A43" s="103" t="s">
        <v>60</v>
      </c>
      <c r="B43" s="103"/>
      <c r="C43" s="103"/>
      <c r="D43" s="103"/>
      <c r="E43" s="103"/>
      <c r="F43" s="103"/>
      <c r="G43" s="148">
        <f>SUM(K20/G37)</f>
        <v>23.799202127659573</v>
      </c>
    </row>
    <row r="45" spans="1:9" ht="15.75">
      <c r="A45" s="54" t="s">
        <v>164</v>
      </c>
      <c r="D45" s="278" t="s">
        <v>380</v>
      </c>
    </row>
    <row r="54" spans="7:7">
      <c r="G54" s="54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55"/>
  <sheetViews>
    <sheetView workbookViewId="0">
      <selection sqref="A1:XFD1048576"/>
    </sheetView>
  </sheetViews>
  <sheetFormatPr defaultRowHeight="14.25"/>
  <cols>
    <col min="1" max="2" width="9.140625" style="54" customWidth="1"/>
    <col min="3" max="3" width="7.5703125" style="54" customWidth="1"/>
    <col min="4" max="4" width="4.28515625" style="54" customWidth="1"/>
    <col min="5" max="5" width="6.140625" style="54" customWidth="1"/>
    <col min="6" max="6" width="5.42578125" style="54" customWidth="1"/>
    <col min="7" max="7" width="9.28515625" style="54" customWidth="1"/>
    <col min="8" max="8" width="9.140625" style="54" customWidth="1"/>
    <col min="9" max="9" width="7.42578125" style="54" customWidth="1"/>
    <col min="10" max="10" width="8.140625" style="54" customWidth="1"/>
    <col min="11" max="11" width="8.7109375" style="54" customWidth="1"/>
    <col min="12" max="12" width="8.140625" style="54" customWidth="1"/>
    <col min="13" max="13" width="6.5703125" style="54" customWidth="1"/>
    <col min="14" max="15" width="9.140625" style="54"/>
    <col min="16" max="16" width="7.28515625" style="54" customWidth="1"/>
    <col min="17" max="18" width="6.42578125" style="54" customWidth="1"/>
    <col min="19" max="16384" width="9.140625" style="54"/>
  </cols>
  <sheetData>
    <row r="1" spans="1:18">
      <c r="A1" s="54" t="s">
        <v>17</v>
      </c>
      <c r="B1" s="54" t="s">
        <v>381</v>
      </c>
    </row>
    <row r="2" spans="1:18">
      <c r="B2" s="54" t="s">
        <v>382</v>
      </c>
    </row>
    <row r="3" spans="1:18">
      <c r="B3" s="54" t="s">
        <v>383</v>
      </c>
    </row>
    <row r="4" spans="1:18">
      <c r="A4" s="101" t="s">
        <v>18</v>
      </c>
      <c r="B4" s="101"/>
      <c r="C4" s="101"/>
      <c r="D4" s="102" t="s">
        <v>19</v>
      </c>
      <c r="E4" s="102" t="s">
        <v>12</v>
      </c>
      <c r="F4" s="102" t="s">
        <v>20</v>
      </c>
      <c r="G4" s="102" t="s">
        <v>21</v>
      </c>
      <c r="H4" s="102" t="s">
        <v>22</v>
      </c>
      <c r="I4" s="102" t="s">
        <v>23</v>
      </c>
      <c r="J4" s="102" t="s">
        <v>24</v>
      </c>
      <c r="K4" s="102" t="s">
        <v>25</v>
      </c>
      <c r="L4" s="133" t="s">
        <v>26</v>
      </c>
      <c r="M4" s="102"/>
    </row>
    <row r="5" spans="1:18">
      <c r="A5" s="52"/>
      <c r="B5" s="52"/>
      <c r="C5" s="52"/>
      <c r="D5" s="53" t="s">
        <v>27</v>
      </c>
      <c r="E5" s="53" t="s">
        <v>28</v>
      </c>
      <c r="F5" s="53" t="s">
        <v>28</v>
      </c>
      <c r="G5" s="53" t="s">
        <v>29</v>
      </c>
      <c r="H5" s="53" t="s">
        <v>30</v>
      </c>
      <c r="I5" s="53" t="s">
        <v>31</v>
      </c>
      <c r="J5" s="53" t="s">
        <v>30</v>
      </c>
      <c r="K5" s="53" t="s">
        <v>30</v>
      </c>
      <c r="L5" s="134" t="s">
        <v>23</v>
      </c>
      <c r="M5" s="53" t="s">
        <v>24</v>
      </c>
    </row>
    <row r="6" spans="1:18">
      <c r="A6" s="52"/>
      <c r="B6" s="52"/>
      <c r="C6" s="52"/>
      <c r="D6" s="53" t="s">
        <v>32</v>
      </c>
      <c r="E6" s="53"/>
      <c r="F6" s="53"/>
      <c r="G6" s="53"/>
      <c r="H6" s="53" t="s">
        <v>33</v>
      </c>
      <c r="I6" s="53" t="s">
        <v>30</v>
      </c>
      <c r="J6" s="53" t="s">
        <v>33</v>
      </c>
      <c r="K6" s="53" t="s">
        <v>33</v>
      </c>
      <c r="L6" s="53"/>
      <c r="M6" s="53"/>
    </row>
    <row r="7" spans="1:18">
      <c r="A7" s="103"/>
      <c r="B7" s="103"/>
      <c r="C7" s="103"/>
      <c r="D7" s="104"/>
      <c r="E7" s="104"/>
      <c r="F7" s="104"/>
      <c r="G7" s="104"/>
      <c r="H7" s="104"/>
      <c r="I7" s="104" t="s">
        <v>33</v>
      </c>
      <c r="J7" s="104"/>
      <c r="K7" s="104"/>
      <c r="L7" s="104"/>
      <c r="M7" s="104"/>
    </row>
    <row r="8" spans="1:18">
      <c r="A8" s="54" t="s">
        <v>384</v>
      </c>
      <c r="D8" s="135">
        <v>100</v>
      </c>
      <c r="E8" s="55">
        <v>0.5</v>
      </c>
      <c r="F8" s="55">
        <v>0.5</v>
      </c>
      <c r="G8" s="136">
        <v>1119</v>
      </c>
      <c r="H8" s="55">
        <v>560</v>
      </c>
      <c r="I8" s="55">
        <v>6448</v>
      </c>
      <c r="J8" s="55"/>
      <c r="K8" s="55">
        <f t="shared" ref="K8:K16" si="0">SUM(H8:J8)</f>
        <v>7008</v>
      </c>
      <c r="N8" s="110"/>
      <c r="O8" s="110"/>
      <c r="P8" s="110"/>
      <c r="Q8" s="57"/>
      <c r="R8" s="57"/>
    </row>
    <row r="9" spans="1:18">
      <c r="A9" s="54" t="s">
        <v>385</v>
      </c>
      <c r="D9" s="135">
        <v>90</v>
      </c>
      <c r="E9" s="55">
        <v>0.5</v>
      </c>
      <c r="F9" s="55">
        <v>0.5</v>
      </c>
      <c r="G9" s="136">
        <v>1000</v>
      </c>
      <c r="H9" s="55">
        <f t="shared" ref="H9:H16" si="1">SUM(E9*G9)</f>
        <v>500</v>
      </c>
      <c r="I9" s="55">
        <v>2285</v>
      </c>
      <c r="J9" s="55"/>
      <c r="K9" s="55">
        <f t="shared" si="0"/>
        <v>2785</v>
      </c>
      <c r="N9" s="110"/>
      <c r="O9" s="110"/>
      <c r="P9" s="110"/>
      <c r="Q9" s="57"/>
      <c r="R9" s="57"/>
    </row>
    <row r="10" spans="1:18">
      <c r="A10" s="54" t="s">
        <v>386</v>
      </c>
      <c r="D10" s="279" t="s">
        <v>195</v>
      </c>
      <c r="E10" s="55" t="s">
        <v>387</v>
      </c>
      <c r="F10" s="55" t="s">
        <v>387</v>
      </c>
      <c r="G10" s="136">
        <v>1000</v>
      </c>
      <c r="H10" s="55" t="s">
        <v>388</v>
      </c>
      <c r="I10" s="271" t="s">
        <v>389</v>
      </c>
      <c r="J10" s="55"/>
      <c r="K10" s="55">
        <f t="shared" si="0"/>
        <v>0</v>
      </c>
      <c r="N10" s="110"/>
      <c r="O10" s="110"/>
      <c r="P10" s="110"/>
      <c r="Q10" s="57"/>
      <c r="R10" s="57"/>
    </row>
    <row r="11" spans="1:18">
      <c r="A11" s="54" t="s">
        <v>390</v>
      </c>
      <c r="D11" s="135">
        <v>100</v>
      </c>
      <c r="E11" s="55">
        <v>3.1</v>
      </c>
      <c r="F11" s="55">
        <v>0.7</v>
      </c>
      <c r="G11" s="136">
        <v>1119</v>
      </c>
      <c r="H11" s="55">
        <v>3469</v>
      </c>
      <c r="J11" s="55">
        <v>5433</v>
      </c>
      <c r="K11" s="55">
        <f t="shared" si="0"/>
        <v>8902</v>
      </c>
      <c r="N11" s="110"/>
      <c r="O11" s="110"/>
      <c r="P11" s="110"/>
      <c r="Q11" s="57"/>
      <c r="R11" s="57"/>
    </row>
    <row r="12" spans="1:18">
      <c r="A12" s="54" t="s">
        <v>1</v>
      </c>
      <c r="D12" s="135">
        <v>100</v>
      </c>
      <c r="E12" s="55">
        <v>2.23</v>
      </c>
      <c r="F12" s="55">
        <v>0.6</v>
      </c>
      <c r="G12" s="136">
        <v>1071</v>
      </c>
      <c r="H12" s="55">
        <v>2388</v>
      </c>
      <c r="J12" s="57">
        <f>SUM(E34*G34+E35*G35)</f>
        <v>7700</v>
      </c>
      <c r="K12" s="55">
        <f t="shared" si="0"/>
        <v>10088</v>
      </c>
      <c r="N12" s="110"/>
      <c r="O12" s="110"/>
      <c r="P12" s="110"/>
      <c r="Q12" s="57"/>
      <c r="R12" s="57"/>
    </row>
    <row r="13" spans="1:18">
      <c r="A13" s="54" t="s">
        <v>0</v>
      </c>
      <c r="D13" s="135">
        <v>64</v>
      </c>
      <c r="E13" s="57">
        <v>6.89</v>
      </c>
      <c r="F13" s="55">
        <v>1.67</v>
      </c>
      <c r="G13" s="136">
        <v>1122</v>
      </c>
      <c r="H13" s="55">
        <v>7731</v>
      </c>
      <c r="J13" s="55"/>
      <c r="K13" s="55">
        <f t="shared" si="0"/>
        <v>7731</v>
      </c>
      <c r="N13" s="110"/>
      <c r="O13" s="110"/>
      <c r="P13" s="110"/>
      <c r="Q13" s="57"/>
      <c r="R13" s="57"/>
    </row>
    <row r="14" spans="1:18">
      <c r="A14" s="54" t="s">
        <v>5</v>
      </c>
      <c r="D14" s="135">
        <v>100</v>
      </c>
      <c r="E14" s="55">
        <v>6.3</v>
      </c>
      <c r="F14" s="55">
        <v>1.7</v>
      </c>
      <c r="G14" s="136">
        <v>1086</v>
      </c>
      <c r="H14" s="55">
        <v>6842</v>
      </c>
      <c r="J14" s="55"/>
      <c r="K14" s="55">
        <f t="shared" si="0"/>
        <v>6842</v>
      </c>
      <c r="N14" s="110"/>
      <c r="O14" s="110"/>
      <c r="P14" s="110"/>
      <c r="Q14" s="57"/>
      <c r="R14" s="57"/>
    </row>
    <row r="15" spans="1:18">
      <c r="A15" s="54" t="s">
        <v>391</v>
      </c>
      <c r="D15" s="135">
        <v>100</v>
      </c>
      <c r="E15" s="55">
        <v>1.7</v>
      </c>
      <c r="F15" s="55">
        <v>0.7</v>
      </c>
      <c r="G15" s="136">
        <v>1107</v>
      </c>
      <c r="H15" s="55">
        <v>1882</v>
      </c>
      <c r="I15" s="55">
        <v>1961</v>
      </c>
      <c r="J15" s="55"/>
      <c r="K15" s="55">
        <f t="shared" si="0"/>
        <v>3843</v>
      </c>
      <c r="N15" s="110"/>
      <c r="O15" s="110"/>
      <c r="P15" s="110"/>
      <c r="Q15" s="57"/>
      <c r="R15" s="57"/>
    </row>
    <row r="16" spans="1:18">
      <c r="A16" s="54" t="s">
        <v>16</v>
      </c>
      <c r="D16" s="135">
        <v>78</v>
      </c>
      <c r="E16" s="55">
        <v>0.5</v>
      </c>
      <c r="F16" s="55">
        <v>0.03</v>
      </c>
      <c r="G16" s="136">
        <v>1200</v>
      </c>
      <c r="H16" s="55">
        <f t="shared" si="1"/>
        <v>600</v>
      </c>
      <c r="I16" s="55">
        <v>1218</v>
      </c>
      <c r="J16" s="55"/>
      <c r="K16" s="55">
        <f t="shared" si="0"/>
        <v>1818</v>
      </c>
      <c r="N16" s="110"/>
      <c r="O16" s="110"/>
      <c r="P16" s="110"/>
      <c r="Q16" s="57"/>
      <c r="R16" s="57"/>
    </row>
    <row r="17" spans="1:18">
      <c r="D17" s="135"/>
      <c r="E17" s="55"/>
      <c r="F17" s="55"/>
      <c r="G17" s="136"/>
      <c r="H17" s="55"/>
      <c r="I17" s="55"/>
      <c r="J17" s="55"/>
      <c r="K17" s="55"/>
      <c r="N17" s="110"/>
      <c r="O17" s="110"/>
      <c r="P17" s="110"/>
      <c r="Q17" s="57"/>
      <c r="R17" s="57"/>
    </row>
    <row r="18" spans="1:18">
      <c r="A18" s="101" t="s">
        <v>38</v>
      </c>
      <c r="B18" s="101"/>
      <c r="C18" s="101"/>
      <c r="D18" s="137"/>
      <c r="E18" s="138">
        <f>SUM(E8:E17)</f>
        <v>21.72</v>
      </c>
      <c r="F18" s="138">
        <f>SUM(F8:F17)</f>
        <v>6.4</v>
      </c>
      <c r="G18" s="138"/>
      <c r="H18" s="138">
        <f>SUM(H8:H17)</f>
        <v>23972</v>
      </c>
      <c r="I18" s="138">
        <f>SUM(I8:I17)</f>
        <v>11912</v>
      </c>
      <c r="J18" s="138">
        <f>SUM(J8:J17)</f>
        <v>13133</v>
      </c>
      <c r="K18" s="138">
        <f>SUM(H18:J18)</f>
        <v>49017</v>
      </c>
      <c r="L18" s="101">
        <f>SUM(L8:L17)</f>
        <v>0</v>
      </c>
      <c r="M18" s="101">
        <f>SUM(M8:M17)</f>
        <v>0</v>
      </c>
      <c r="N18" s="110"/>
      <c r="O18" s="110"/>
      <c r="P18" s="110"/>
      <c r="Q18" s="57"/>
      <c r="R18" s="57"/>
    </row>
    <row r="19" spans="1:18">
      <c r="A19" s="103" t="s">
        <v>39</v>
      </c>
      <c r="B19" s="103"/>
      <c r="C19" s="103"/>
      <c r="D19" s="139"/>
      <c r="E19" s="140">
        <f>SUM(E18-F18)</f>
        <v>15.319999999999999</v>
      </c>
      <c r="F19" s="140"/>
      <c r="G19" s="140"/>
      <c r="H19" s="140">
        <f>SUM(E29*G29)</f>
        <v>17130</v>
      </c>
      <c r="I19" s="140">
        <f>I18-L18</f>
        <v>11912</v>
      </c>
      <c r="J19" s="140">
        <f>J18-M18</f>
        <v>13133</v>
      </c>
      <c r="K19" s="140">
        <f>SUM(H19:J19)</f>
        <v>42175</v>
      </c>
      <c r="L19" s="103"/>
      <c r="M19" s="103"/>
    </row>
    <row r="21" spans="1:18">
      <c r="C21" s="54" t="s">
        <v>40</v>
      </c>
    </row>
    <row r="23" spans="1:18">
      <c r="A23" s="54" t="s">
        <v>41</v>
      </c>
    </row>
    <row r="24" spans="1:18">
      <c r="A24" s="120" t="s">
        <v>42</v>
      </c>
      <c r="B24" s="120"/>
      <c r="C24" s="120"/>
      <c r="D24" s="120" t="s">
        <v>7</v>
      </c>
      <c r="E24" s="120" t="s">
        <v>43</v>
      </c>
      <c r="F24" s="120"/>
      <c r="G24" s="120" t="s">
        <v>44</v>
      </c>
      <c r="J24" s="124" t="s">
        <v>120</v>
      </c>
      <c r="K24" s="126">
        <v>5.0999999999999996</v>
      </c>
    </row>
    <row r="25" spans="1:18">
      <c r="A25" s="54" t="s">
        <v>45</v>
      </c>
      <c r="J25" s="124" t="s">
        <v>121</v>
      </c>
      <c r="K25" s="280">
        <v>5</v>
      </c>
    </row>
    <row r="26" spans="1:18">
      <c r="A26" s="54" t="s">
        <v>291</v>
      </c>
      <c r="D26" s="54" t="s">
        <v>13</v>
      </c>
      <c r="E26" s="55">
        <v>5.3</v>
      </c>
      <c r="G26" s="55">
        <v>1025</v>
      </c>
    </row>
    <row r="27" spans="1:18">
      <c r="J27" s="199" t="s">
        <v>280</v>
      </c>
      <c r="K27" s="199"/>
    </row>
    <row r="28" spans="1:18">
      <c r="A28" s="54" t="s">
        <v>46</v>
      </c>
      <c r="J28" s="123" t="s">
        <v>377</v>
      </c>
      <c r="K28" s="281">
        <v>84</v>
      </c>
    </row>
    <row r="29" spans="1:18">
      <c r="A29" s="54" t="s">
        <v>47</v>
      </c>
      <c r="D29" s="54" t="s">
        <v>48</v>
      </c>
      <c r="E29" s="55">
        <v>15</v>
      </c>
      <c r="G29" s="55">
        <v>1142</v>
      </c>
      <c r="J29" s="123" t="s">
        <v>392</v>
      </c>
      <c r="K29" s="281">
        <v>16</v>
      </c>
    </row>
    <row r="30" spans="1:18">
      <c r="A30" s="54" t="s">
        <v>49</v>
      </c>
      <c r="D30" s="54" t="s">
        <v>48</v>
      </c>
      <c r="E30" s="55">
        <v>6</v>
      </c>
    </row>
    <row r="31" spans="1:18">
      <c r="A31" s="54" t="s">
        <v>12</v>
      </c>
      <c r="E31" s="55">
        <f>SUM(E29:E30)</f>
        <v>21</v>
      </c>
    </row>
    <row r="33" spans="1:9">
      <c r="A33" s="101" t="s">
        <v>50</v>
      </c>
      <c r="B33" s="101"/>
      <c r="C33" s="101" t="s">
        <v>51</v>
      </c>
      <c r="D33" s="101"/>
      <c r="E33" s="101"/>
      <c r="F33" s="101"/>
      <c r="G33" s="101"/>
    </row>
    <row r="34" spans="1:9">
      <c r="A34" s="54" t="s">
        <v>393</v>
      </c>
      <c r="B34" s="134" t="s">
        <v>394</v>
      </c>
      <c r="C34" s="282">
        <v>100</v>
      </c>
      <c r="D34" s="53" t="s">
        <v>13</v>
      </c>
      <c r="E34" s="178">
        <v>114</v>
      </c>
      <c r="F34" s="52"/>
      <c r="G34" s="178">
        <v>50</v>
      </c>
    </row>
    <row r="35" spans="1:9">
      <c r="A35" s="52"/>
      <c r="B35" s="134" t="s">
        <v>395</v>
      </c>
      <c r="C35" s="282">
        <v>58</v>
      </c>
      <c r="D35" s="53" t="s">
        <v>13</v>
      </c>
      <c r="E35" s="178">
        <v>40</v>
      </c>
      <c r="F35" s="52"/>
      <c r="G35" s="178">
        <v>50</v>
      </c>
    </row>
    <row r="36" spans="1:9">
      <c r="A36" s="101" t="s">
        <v>53</v>
      </c>
      <c r="B36" s="101"/>
      <c r="C36" s="101"/>
      <c r="D36" s="101"/>
      <c r="E36" s="101"/>
      <c r="F36" s="101"/>
      <c r="G36" s="101"/>
      <c r="I36" s="180" t="s">
        <v>224</v>
      </c>
    </row>
    <row r="37" spans="1:9">
      <c r="A37" s="52" t="s">
        <v>54</v>
      </c>
      <c r="B37" s="52"/>
      <c r="C37" s="52"/>
      <c r="D37" s="52"/>
      <c r="E37" s="52"/>
      <c r="F37" s="52"/>
      <c r="G37" s="129">
        <v>1415</v>
      </c>
      <c r="H37" s="54" t="s">
        <v>163</v>
      </c>
      <c r="I37" s="130">
        <f>G37*2.471</f>
        <v>3496.4650000000001</v>
      </c>
    </row>
    <row r="38" spans="1:9">
      <c r="A38" s="52" t="s">
        <v>55</v>
      </c>
      <c r="B38" s="52"/>
      <c r="C38" s="52"/>
      <c r="D38" s="52"/>
      <c r="E38" s="52"/>
      <c r="F38" s="52"/>
      <c r="G38" s="131">
        <v>46</v>
      </c>
      <c r="I38" s="130"/>
    </row>
    <row r="39" spans="1:9">
      <c r="A39" s="52" t="s">
        <v>56</v>
      </c>
      <c r="B39" s="52"/>
      <c r="C39" s="52"/>
      <c r="D39" s="52"/>
      <c r="E39" s="52"/>
      <c r="F39" s="52"/>
      <c r="G39" s="131">
        <f>SUM(G37*G38)</f>
        <v>65090</v>
      </c>
      <c r="I39" s="130">
        <f>G39*2.471</f>
        <v>160837.39000000001</v>
      </c>
    </row>
    <row r="40" spans="1:9">
      <c r="A40" s="52" t="s">
        <v>57</v>
      </c>
      <c r="B40" s="52"/>
      <c r="C40" s="52"/>
      <c r="D40" s="52"/>
      <c r="E40" s="52"/>
      <c r="F40" s="52"/>
      <c r="G40" s="131">
        <f>SUM(G39-K18)</f>
        <v>16073</v>
      </c>
      <c r="I40" s="130">
        <f>G40*2.471</f>
        <v>39716.383000000002</v>
      </c>
    </row>
    <row r="41" spans="1:9">
      <c r="A41" s="52" t="s">
        <v>58</v>
      </c>
      <c r="B41" s="52"/>
      <c r="C41" s="52"/>
      <c r="D41" s="52"/>
      <c r="E41" s="52"/>
      <c r="F41" s="52"/>
      <c r="G41" s="131">
        <f>SUM(G39-K19)</f>
        <v>22915</v>
      </c>
      <c r="I41" s="130">
        <f>G41*2.471</f>
        <v>56622.965000000004</v>
      </c>
    </row>
    <row r="42" spans="1:9">
      <c r="A42" s="52"/>
      <c r="B42" s="52"/>
      <c r="C42" s="52"/>
      <c r="D42" s="52"/>
      <c r="E42" s="52"/>
      <c r="F42" s="52"/>
      <c r="G42" s="131"/>
    </row>
    <row r="43" spans="1:9">
      <c r="A43" s="52" t="s">
        <v>59</v>
      </c>
      <c r="B43" s="52"/>
      <c r="C43" s="52"/>
      <c r="D43" s="52"/>
      <c r="E43" s="52"/>
      <c r="F43" s="52"/>
      <c r="G43" s="131">
        <f>SUM(K18/G37)</f>
        <v>34.640989399293289</v>
      </c>
    </row>
    <row r="44" spans="1:9">
      <c r="A44" s="103" t="s">
        <v>60</v>
      </c>
      <c r="B44" s="103"/>
      <c r="C44" s="103"/>
      <c r="D44" s="103"/>
      <c r="E44" s="103"/>
      <c r="F44" s="103"/>
      <c r="G44" s="148">
        <f>SUM(K19/G37)</f>
        <v>29.805653710247348</v>
      </c>
    </row>
    <row r="46" spans="1:9">
      <c r="A46" s="54" t="s">
        <v>164</v>
      </c>
      <c r="C46" s="132" t="s">
        <v>396</v>
      </c>
      <c r="F46" s="132"/>
      <c r="G46" s="132"/>
      <c r="H46" s="132"/>
    </row>
    <row r="47" spans="1:9">
      <c r="C47" s="132"/>
      <c r="D47" s="132"/>
      <c r="E47" s="132"/>
      <c r="F47" s="132"/>
      <c r="G47" s="132"/>
    </row>
    <row r="55" spans="7:7">
      <c r="G55" s="54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56"/>
  <sheetViews>
    <sheetView workbookViewId="0">
      <selection activeCell="L46" sqref="L46"/>
    </sheetView>
  </sheetViews>
  <sheetFormatPr defaultColWidth="11" defaultRowHeight="12.75"/>
  <cols>
    <col min="1" max="1" width="4.42578125" style="7" customWidth="1"/>
    <col min="2" max="2" width="8.7109375" style="7" customWidth="1"/>
    <col min="3" max="3" width="6.42578125" style="7" customWidth="1"/>
    <col min="4" max="4" width="5" style="7" customWidth="1"/>
    <col min="5" max="5" width="8.5703125" style="7" customWidth="1"/>
    <col min="6" max="6" width="8.85546875" style="7" customWidth="1"/>
    <col min="7" max="7" width="7.42578125" style="7" customWidth="1"/>
    <col min="8" max="8" width="8.85546875" style="7" customWidth="1"/>
    <col min="9" max="9" width="7.140625" style="7" customWidth="1"/>
    <col min="10" max="10" width="8.42578125" style="7" customWidth="1"/>
    <col min="11" max="11" width="9.5703125" style="7" customWidth="1"/>
    <col min="12" max="12" width="6.7109375" style="7" customWidth="1"/>
    <col min="13" max="13" width="9.85546875" style="7" customWidth="1"/>
    <col min="14" max="14" width="11" style="7"/>
    <col min="15" max="15" width="5.7109375" style="7" customWidth="1"/>
    <col min="16" max="254" width="11" style="7"/>
    <col min="255" max="255" width="8.7109375" style="7" customWidth="1"/>
    <col min="256" max="256" width="9.28515625" style="7" customWidth="1"/>
    <col min="257" max="257" width="7.5703125" style="7" customWidth="1"/>
    <col min="258" max="258" width="7.42578125" style="7" customWidth="1"/>
    <col min="259" max="259" width="7.28515625" style="7" customWidth="1"/>
    <col min="260" max="260" width="9" style="7" customWidth="1"/>
    <col min="261" max="261" width="10.5703125" style="7" customWidth="1"/>
    <col min="262" max="262" width="14.42578125" style="7" customWidth="1"/>
    <col min="263" max="510" width="11" style="7"/>
    <col min="511" max="511" width="8.7109375" style="7" customWidth="1"/>
    <col min="512" max="512" width="9.28515625" style="7" customWidth="1"/>
    <col min="513" max="513" width="7.5703125" style="7" customWidth="1"/>
    <col min="514" max="514" width="7.42578125" style="7" customWidth="1"/>
    <col min="515" max="515" width="7.28515625" style="7" customWidth="1"/>
    <col min="516" max="516" width="9" style="7" customWidth="1"/>
    <col min="517" max="517" width="10.5703125" style="7" customWidth="1"/>
    <col min="518" max="518" width="14.42578125" style="7" customWidth="1"/>
    <col min="519" max="766" width="11" style="7"/>
    <col min="767" max="767" width="8.7109375" style="7" customWidth="1"/>
    <col min="768" max="768" width="9.28515625" style="7" customWidth="1"/>
    <col min="769" max="769" width="7.5703125" style="7" customWidth="1"/>
    <col min="770" max="770" width="7.42578125" style="7" customWidth="1"/>
    <col min="771" max="771" width="7.28515625" style="7" customWidth="1"/>
    <col min="772" max="772" width="9" style="7" customWidth="1"/>
    <col min="773" max="773" width="10.5703125" style="7" customWidth="1"/>
    <col min="774" max="774" width="14.42578125" style="7" customWidth="1"/>
    <col min="775" max="1022" width="11" style="7"/>
    <col min="1023" max="1023" width="8.7109375" style="7" customWidth="1"/>
    <col min="1024" max="1024" width="9.28515625" style="7" customWidth="1"/>
    <col min="1025" max="1025" width="7.5703125" style="7" customWidth="1"/>
    <col min="1026" max="1026" width="7.42578125" style="7" customWidth="1"/>
    <col min="1027" max="1027" width="7.28515625" style="7" customWidth="1"/>
    <col min="1028" max="1028" width="9" style="7" customWidth="1"/>
    <col min="1029" max="1029" width="10.5703125" style="7" customWidth="1"/>
    <col min="1030" max="1030" width="14.42578125" style="7" customWidth="1"/>
    <col min="1031" max="1278" width="11" style="7"/>
    <col min="1279" max="1279" width="8.7109375" style="7" customWidth="1"/>
    <col min="1280" max="1280" width="9.28515625" style="7" customWidth="1"/>
    <col min="1281" max="1281" width="7.5703125" style="7" customWidth="1"/>
    <col min="1282" max="1282" width="7.42578125" style="7" customWidth="1"/>
    <col min="1283" max="1283" width="7.28515625" style="7" customWidth="1"/>
    <col min="1284" max="1284" width="9" style="7" customWidth="1"/>
    <col min="1285" max="1285" width="10.5703125" style="7" customWidth="1"/>
    <col min="1286" max="1286" width="14.42578125" style="7" customWidth="1"/>
    <col min="1287" max="1534" width="11" style="7"/>
    <col min="1535" max="1535" width="8.7109375" style="7" customWidth="1"/>
    <col min="1536" max="1536" width="9.28515625" style="7" customWidth="1"/>
    <col min="1537" max="1537" width="7.5703125" style="7" customWidth="1"/>
    <col min="1538" max="1538" width="7.42578125" style="7" customWidth="1"/>
    <col min="1539" max="1539" width="7.28515625" style="7" customWidth="1"/>
    <col min="1540" max="1540" width="9" style="7" customWidth="1"/>
    <col min="1541" max="1541" width="10.5703125" style="7" customWidth="1"/>
    <col min="1542" max="1542" width="14.42578125" style="7" customWidth="1"/>
    <col min="1543" max="1790" width="11" style="7"/>
    <col min="1791" max="1791" width="8.7109375" style="7" customWidth="1"/>
    <col min="1792" max="1792" width="9.28515625" style="7" customWidth="1"/>
    <col min="1793" max="1793" width="7.5703125" style="7" customWidth="1"/>
    <col min="1794" max="1794" width="7.42578125" style="7" customWidth="1"/>
    <col min="1795" max="1795" width="7.28515625" style="7" customWidth="1"/>
    <col min="1796" max="1796" width="9" style="7" customWidth="1"/>
    <col min="1797" max="1797" width="10.5703125" style="7" customWidth="1"/>
    <col min="1798" max="1798" width="14.42578125" style="7" customWidth="1"/>
    <col min="1799" max="2046" width="11" style="7"/>
    <col min="2047" max="2047" width="8.7109375" style="7" customWidth="1"/>
    <col min="2048" max="2048" width="9.28515625" style="7" customWidth="1"/>
    <col min="2049" max="2049" width="7.5703125" style="7" customWidth="1"/>
    <col min="2050" max="2050" width="7.42578125" style="7" customWidth="1"/>
    <col min="2051" max="2051" width="7.28515625" style="7" customWidth="1"/>
    <col min="2052" max="2052" width="9" style="7" customWidth="1"/>
    <col min="2053" max="2053" width="10.5703125" style="7" customWidth="1"/>
    <col min="2054" max="2054" width="14.42578125" style="7" customWidth="1"/>
    <col min="2055" max="2302" width="11" style="7"/>
    <col min="2303" max="2303" width="8.7109375" style="7" customWidth="1"/>
    <col min="2304" max="2304" width="9.28515625" style="7" customWidth="1"/>
    <col min="2305" max="2305" width="7.5703125" style="7" customWidth="1"/>
    <col min="2306" max="2306" width="7.42578125" style="7" customWidth="1"/>
    <col min="2307" max="2307" width="7.28515625" style="7" customWidth="1"/>
    <col min="2308" max="2308" width="9" style="7" customWidth="1"/>
    <col min="2309" max="2309" width="10.5703125" style="7" customWidth="1"/>
    <col min="2310" max="2310" width="14.42578125" style="7" customWidth="1"/>
    <col min="2311" max="2558" width="11" style="7"/>
    <col min="2559" max="2559" width="8.7109375" style="7" customWidth="1"/>
    <col min="2560" max="2560" width="9.28515625" style="7" customWidth="1"/>
    <col min="2561" max="2561" width="7.5703125" style="7" customWidth="1"/>
    <col min="2562" max="2562" width="7.42578125" style="7" customWidth="1"/>
    <col min="2563" max="2563" width="7.28515625" style="7" customWidth="1"/>
    <col min="2564" max="2564" width="9" style="7" customWidth="1"/>
    <col min="2565" max="2565" width="10.5703125" style="7" customWidth="1"/>
    <col min="2566" max="2566" width="14.42578125" style="7" customWidth="1"/>
    <col min="2567" max="2814" width="11" style="7"/>
    <col min="2815" max="2815" width="8.7109375" style="7" customWidth="1"/>
    <col min="2816" max="2816" width="9.28515625" style="7" customWidth="1"/>
    <col min="2817" max="2817" width="7.5703125" style="7" customWidth="1"/>
    <col min="2818" max="2818" width="7.42578125" style="7" customWidth="1"/>
    <col min="2819" max="2819" width="7.28515625" style="7" customWidth="1"/>
    <col min="2820" max="2820" width="9" style="7" customWidth="1"/>
    <col min="2821" max="2821" width="10.5703125" style="7" customWidth="1"/>
    <col min="2822" max="2822" width="14.42578125" style="7" customWidth="1"/>
    <col min="2823" max="3070" width="11" style="7"/>
    <col min="3071" max="3071" width="8.7109375" style="7" customWidth="1"/>
    <col min="3072" max="3072" width="9.28515625" style="7" customWidth="1"/>
    <col min="3073" max="3073" width="7.5703125" style="7" customWidth="1"/>
    <col min="3074" max="3074" width="7.42578125" style="7" customWidth="1"/>
    <col min="3075" max="3075" width="7.28515625" style="7" customWidth="1"/>
    <col min="3076" max="3076" width="9" style="7" customWidth="1"/>
    <col min="3077" max="3077" width="10.5703125" style="7" customWidth="1"/>
    <col min="3078" max="3078" width="14.42578125" style="7" customWidth="1"/>
    <col min="3079" max="3326" width="11" style="7"/>
    <col min="3327" max="3327" width="8.7109375" style="7" customWidth="1"/>
    <col min="3328" max="3328" width="9.28515625" style="7" customWidth="1"/>
    <col min="3329" max="3329" width="7.5703125" style="7" customWidth="1"/>
    <col min="3330" max="3330" width="7.42578125" style="7" customWidth="1"/>
    <col min="3331" max="3331" width="7.28515625" style="7" customWidth="1"/>
    <col min="3332" max="3332" width="9" style="7" customWidth="1"/>
    <col min="3333" max="3333" width="10.5703125" style="7" customWidth="1"/>
    <col min="3334" max="3334" width="14.42578125" style="7" customWidth="1"/>
    <col min="3335" max="3582" width="11" style="7"/>
    <col min="3583" max="3583" width="8.7109375" style="7" customWidth="1"/>
    <col min="3584" max="3584" width="9.28515625" style="7" customWidth="1"/>
    <col min="3585" max="3585" width="7.5703125" style="7" customWidth="1"/>
    <col min="3586" max="3586" width="7.42578125" style="7" customWidth="1"/>
    <col min="3587" max="3587" width="7.28515625" style="7" customWidth="1"/>
    <col min="3588" max="3588" width="9" style="7" customWidth="1"/>
    <col min="3589" max="3589" width="10.5703125" style="7" customWidth="1"/>
    <col min="3590" max="3590" width="14.42578125" style="7" customWidth="1"/>
    <col min="3591" max="3838" width="11" style="7"/>
    <col min="3839" max="3839" width="8.7109375" style="7" customWidth="1"/>
    <col min="3840" max="3840" width="9.28515625" style="7" customWidth="1"/>
    <col min="3841" max="3841" width="7.5703125" style="7" customWidth="1"/>
    <col min="3842" max="3842" width="7.42578125" style="7" customWidth="1"/>
    <col min="3843" max="3843" width="7.28515625" style="7" customWidth="1"/>
    <col min="3844" max="3844" width="9" style="7" customWidth="1"/>
    <col min="3845" max="3845" width="10.5703125" style="7" customWidth="1"/>
    <col min="3846" max="3846" width="14.42578125" style="7" customWidth="1"/>
    <col min="3847" max="4094" width="11" style="7"/>
    <col min="4095" max="4095" width="8.7109375" style="7" customWidth="1"/>
    <col min="4096" max="4096" width="9.28515625" style="7" customWidth="1"/>
    <col min="4097" max="4097" width="7.5703125" style="7" customWidth="1"/>
    <col min="4098" max="4098" width="7.42578125" style="7" customWidth="1"/>
    <col min="4099" max="4099" width="7.28515625" style="7" customWidth="1"/>
    <col min="4100" max="4100" width="9" style="7" customWidth="1"/>
    <col min="4101" max="4101" width="10.5703125" style="7" customWidth="1"/>
    <col min="4102" max="4102" width="14.42578125" style="7" customWidth="1"/>
    <col min="4103" max="4350" width="11" style="7"/>
    <col min="4351" max="4351" width="8.7109375" style="7" customWidth="1"/>
    <col min="4352" max="4352" width="9.28515625" style="7" customWidth="1"/>
    <col min="4353" max="4353" width="7.5703125" style="7" customWidth="1"/>
    <col min="4354" max="4354" width="7.42578125" style="7" customWidth="1"/>
    <col min="4355" max="4355" width="7.28515625" style="7" customWidth="1"/>
    <col min="4356" max="4356" width="9" style="7" customWidth="1"/>
    <col min="4357" max="4357" width="10.5703125" style="7" customWidth="1"/>
    <col min="4358" max="4358" width="14.42578125" style="7" customWidth="1"/>
    <col min="4359" max="4606" width="11" style="7"/>
    <col min="4607" max="4607" width="8.7109375" style="7" customWidth="1"/>
    <col min="4608" max="4608" width="9.28515625" style="7" customWidth="1"/>
    <col min="4609" max="4609" width="7.5703125" style="7" customWidth="1"/>
    <col min="4610" max="4610" width="7.42578125" style="7" customWidth="1"/>
    <col min="4611" max="4611" width="7.28515625" style="7" customWidth="1"/>
    <col min="4612" max="4612" width="9" style="7" customWidth="1"/>
    <col min="4613" max="4613" width="10.5703125" style="7" customWidth="1"/>
    <col min="4614" max="4614" width="14.42578125" style="7" customWidth="1"/>
    <col min="4615" max="4862" width="11" style="7"/>
    <col min="4863" max="4863" width="8.7109375" style="7" customWidth="1"/>
    <col min="4864" max="4864" width="9.28515625" style="7" customWidth="1"/>
    <col min="4865" max="4865" width="7.5703125" style="7" customWidth="1"/>
    <col min="4866" max="4866" width="7.42578125" style="7" customWidth="1"/>
    <col min="4867" max="4867" width="7.28515625" style="7" customWidth="1"/>
    <col min="4868" max="4868" width="9" style="7" customWidth="1"/>
    <col min="4869" max="4869" width="10.5703125" style="7" customWidth="1"/>
    <col min="4870" max="4870" width="14.42578125" style="7" customWidth="1"/>
    <col min="4871" max="5118" width="11" style="7"/>
    <col min="5119" max="5119" width="8.7109375" style="7" customWidth="1"/>
    <col min="5120" max="5120" width="9.28515625" style="7" customWidth="1"/>
    <col min="5121" max="5121" width="7.5703125" style="7" customWidth="1"/>
    <col min="5122" max="5122" width="7.42578125" style="7" customWidth="1"/>
    <col min="5123" max="5123" width="7.28515625" style="7" customWidth="1"/>
    <col min="5124" max="5124" width="9" style="7" customWidth="1"/>
    <col min="5125" max="5125" width="10.5703125" style="7" customWidth="1"/>
    <col min="5126" max="5126" width="14.42578125" style="7" customWidth="1"/>
    <col min="5127" max="5374" width="11" style="7"/>
    <col min="5375" max="5375" width="8.7109375" style="7" customWidth="1"/>
    <col min="5376" max="5376" width="9.28515625" style="7" customWidth="1"/>
    <col min="5377" max="5377" width="7.5703125" style="7" customWidth="1"/>
    <col min="5378" max="5378" width="7.42578125" style="7" customWidth="1"/>
    <col min="5379" max="5379" width="7.28515625" style="7" customWidth="1"/>
    <col min="5380" max="5380" width="9" style="7" customWidth="1"/>
    <col min="5381" max="5381" width="10.5703125" style="7" customWidth="1"/>
    <col min="5382" max="5382" width="14.42578125" style="7" customWidth="1"/>
    <col min="5383" max="5630" width="11" style="7"/>
    <col min="5631" max="5631" width="8.7109375" style="7" customWidth="1"/>
    <col min="5632" max="5632" width="9.28515625" style="7" customWidth="1"/>
    <col min="5633" max="5633" width="7.5703125" style="7" customWidth="1"/>
    <col min="5634" max="5634" width="7.42578125" style="7" customWidth="1"/>
    <col min="5635" max="5635" width="7.28515625" style="7" customWidth="1"/>
    <col min="5636" max="5636" width="9" style="7" customWidth="1"/>
    <col min="5637" max="5637" width="10.5703125" style="7" customWidth="1"/>
    <col min="5638" max="5638" width="14.42578125" style="7" customWidth="1"/>
    <col min="5639" max="5886" width="11" style="7"/>
    <col min="5887" max="5887" width="8.7109375" style="7" customWidth="1"/>
    <col min="5888" max="5888" width="9.28515625" style="7" customWidth="1"/>
    <col min="5889" max="5889" width="7.5703125" style="7" customWidth="1"/>
    <col min="5890" max="5890" width="7.42578125" style="7" customWidth="1"/>
    <col min="5891" max="5891" width="7.28515625" style="7" customWidth="1"/>
    <col min="5892" max="5892" width="9" style="7" customWidth="1"/>
    <col min="5893" max="5893" width="10.5703125" style="7" customWidth="1"/>
    <col min="5894" max="5894" width="14.42578125" style="7" customWidth="1"/>
    <col min="5895" max="6142" width="11" style="7"/>
    <col min="6143" max="6143" width="8.7109375" style="7" customWidth="1"/>
    <col min="6144" max="6144" width="9.28515625" style="7" customWidth="1"/>
    <col min="6145" max="6145" width="7.5703125" style="7" customWidth="1"/>
    <col min="6146" max="6146" width="7.42578125" style="7" customWidth="1"/>
    <col min="6147" max="6147" width="7.28515625" style="7" customWidth="1"/>
    <col min="6148" max="6148" width="9" style="7" customWidth="1"/>
    <col min="6149" max="6149" width="10.5703125" style="7" customWidth="1"/>
    <col min="6150" max="6150" width="14.42578125" style="7" customWidth="1"/>
    <col min="6151" max="6398" width="11" style="7"/>
    <col min="6399" max="6399" width="8.7109375" style="7" customWidth="1"/>
    <col min="6400" max="6400" width="9.28515625" style="7" customWidth="1"/>
    <col min="6401" max="6401" width="7.5703125" style="7" customWidth="1"/>
    <col min="6402" max="6402" width="7.42578125" style="7" customWidth="1"/>
    <col min="6403" max="6403" width="7.28515625" style="7" customWidth="1"/>
    <col min="6404" max="6404" width="9" style="7" customWidth="1"/>
    <col min="6405" max="6405" width="10.5703125" style="7" customWidth="1"/>
    <col min="6406" max="6406" width="14.42578125" style="7" customWidth="1"/>
    <col min="6407" max="6654" width="11" style="7"/>
    <col min="6655" max="6655" width="8.7109375" style="7" customWidth="1"/>
    <col min="6656" max="6656" width="9.28515625" style="7" customWidth="1"/>
    <col min="6657" max="6657" width="7.5703125" style="7" customWidth="1"/>
    <col min="6658" max="6658" width="7.42578125" style="7" customWidth="1"/>
    <col min="6659" max="6659" width="7.28515625" style="7" customWidth="1"/>
    <col min="6660" max="6660" width="9" style="7" customWidth="1"/>
    <col min="6661" max="6661" width="10.5703125" style="7" customWidth="1"/>
    <col min="6662" max="6662" width="14.42578125" style="7" customWidth="1"/>
    <col min="6663" max="6910" width="11" style="7"/>
    <col min="6911" max="6911" width="8.7109375" style="7" customWidth="1"/>
    <col min="6912" max="6912" width="9.28515625" style="7" customWidth="1"/>
    <col min="6913" max="6913" width="7.5703125" style="7" customWidth="1"/>
    <col min="6914" max="6914" width="7.42578125" style="7" customWidth="1"/>
    <col min="6915" max="6915" width="7.28515625" style="7" customWidth="1"/>
    <col min="6916" max="6916" width="9" style="7" customWidth="1"/>
    <col min="6917" max="6917" width="10.5703125" style="7" customWidth="1"/>
    <col min="6918" max="6918" width="14.42578125" style="7" customWidth="1"/>
    <col min="6919" max="7166" width="11" style="7"/>
    <col min="7167" max="7167" width="8.7109375" style="7" customWidth="1"/>
    <col min="7168" max="7168" width="9.28515625" style="7" customWidth="1"/>
    <col min="7169" max="7169" width="7.5703125" style="7" customWidth="1"/>
    <col min="7170" max="7170" width="7.42578125" style="7" customWidth="1"/>
    <col min="7171" max="7171" width="7.28515625" style="7" customWidth="1"/>
    <col min="7172" max="7172" width="9" style="7" customWidth="1"/>
    <col min="7173" max="7173" width="10.5703125" style="7" customWidth="1"/>
    <col min="7174" max="7174" width="14.42578125" style="7" customWidth="1"/>
    <col min="7175" max="7422" width="11" style="7"/>
    <col min="7423" max="7423" width="8.7109375" style="7" customWidth="1"/>
    <col min="7424" max="7424" width="9.28515625" style="7" customWidth="1"/>
    <col min="7425" max="7425" width="7.5703125" style="7" customWidth="1"/>
    <col min="7426" max="7426" width="7.42578125" style="7" customWidth="1"/>
    <col min="7427" max="7427" width="7.28515625" style="7" customWidth="1"/>
    <col min="7428" max="7428" width="9" style="7" customWidth="1"/>
    <col min="7429" max="7429" width="10.5703125" style="7" customWidth="1"/>
    <col min="7430" max="7430" width="14.42578125" style="7" customWidth="1"/>
    <col min="7431" max="7678" width="11" style="7"/>
    <col min="7679" max="7679" width="8.7109375" style="7" customWidth="1"/>
    <col min="7680" max="7680" width="9.28515625" style="7" customWidth="1"/>
    <col min="7681" max="7681" width="7.5703125" style="7" customWidth="1"/>
    <col min="7682" max="7682" width="7.42578125" style="7" customWidth="1"/>
    <col min="7683" max="7683" width="7.28515625" style="7" customWidth="1"/>
    <col min="7684" max="7684" width="9" style="7" customWidth="1"/>
    <col min="7685" max="7685" width="10.5703125" style="7" customWidth="1"/>
    <col min="7686" max="7686" width="14.42578125" style="7" customWidth="1"/>
    <col min="7687" max="7934" width="11" style="7"/>
    <col min="7935" max="7935" width="8.7109375" style="7" customWidth="1"/>
    <col min="7936" max="7936" width="9.28515625" style="7" customWidth="1"/>
    <col min="7937" max="7937" width="7.5703125" style="7" customWidth="1"/>
    <col min="7938" max="7938" width="7.42578125" style="7" customWidth="1"/>
    <col min="7939" max="7939" width="7.28515625" style="7" customWidth="1"/>
    <col min="7940" max="7940" width="9" style="7" customWidth="1"/>
    <col min="7941" max="7941" width="10.5703125" style="7" customWidth="1"/>
    <col min="7942" max="7942" width="14.42578125" style="7" customWidth="1"/>
    <col min="7943" max="8190" width="11" style="7"/>
    <col min="8191" max="8191" width="8.7109375" style="7" customWidth="1"/>
    <col min="8192" max="8192" width="9.28515625" style="7" customWidth="1"/>
    <col min="8193" max="8193" width="7.5703125" style="7" customWidth="1"/>
    <col min="8194" max="8194" width="7.42578125" style="7" customWidth="1"/>
    <col min="8195" max="8195" width="7.28515625" style="7" customWidth="1"/>
    <col min="8196" max="8196" width="9" style="7" customWidth="1"/>
    <col min="8197" max="8197" width="10.5703125" style="7" customWidth="1"/>
    <col min="8198" max="8198" width="14.42578125" style="7" customWidth="1"/>
    <col min="8199" max="8446" width="11" style="7"/>
    <col min="8447" max="8447" width="8.7109375" style="7" customWidth="1"/>
    <col min="8448" max="8448" width="9.28515625" style="7" customWidth="1"/>
    <col min="8449" max="8449" width="7.5703125" style="7" customWidth="1"/>
    <col min="8450" max="8450" width="7.42578125" style="7" customWidth="1"/>
    <col min="8451" max="8451" width="7.28515625" style="7" customWidth="1"/>
    <col min="8452" max="8452" width="9" style="7" customWidth="1"/>
    <col min="8453" max="8453" width="10.5703125" style="7" customWidth="1"/>
    <col min="8454" max="8454" width="14.42578125" style="7" customWidth="1"/>
    <col min="8455" max="8702" width="11" style="7"/>
    <col min="8703" max="8703" width="8.7109375" style="7" customWidth="1"/>
    <col min="8704" max="8704" width="9.28515625" style="7" customWidth="1"/>
    <col min="8705" max="8705" width="7.5703125" style="7" customWidth="1"/>
    <col min="8706" max="8706" width="7.42578125" style="7" customWidth="1"/>
    <col min="8707" max="8707" width="7.28515625" style="7" customWidth="1"/>
    <col min="8708" max="8708" width="9" style="7" customWidth="1"/>
    <col min="8709" max="8709" width="10.5703125" style="7" customWidth="1"/>
    <col min="8710" max="8710" width="14.42578125" style="7" customWidth="1"/>
    <col min="8711" max="8958" width="11" style="7"/>
    <col min="8959" max="8959" width="8.7109375" style="7" customWidth="1"/>
    <col min="8960" max="8960" width="9.28515625" style="7" customWidth="1"/>
    <col min="8961" max="8961" width="7.5703125" style="7" customWidth="1"/>
    <col min="8962" max="8962" width="7.42578125" style="7" customWidth="1"/>
    <col min="8963" max="8963" width="7.28515625" style="7" customWidth="1"/>
    <col min="8964" max="8964" width="9" style="7" customWidth="1"/>
    <col min="8965" max="8965" width="10.5703125" style="7" customWidth="1"/>
    <col min="8966" max="8966" width="14.42578125" style="7" customWidth="1"/>
    <col min="8967" max="9214" width="11" style="7"/>
    <col min="9215" max="9215" width="8.7109375" style="7" customWidth="1"/>
    <col min="9216" max="9216" width="9.28515625" style="7" customWidth="1"/>
    <col min="9217" max="9217" width="7.5703125" style="7" customWidth="1"/>
    <col min="9218" max="9218" width="7.42578125" style="7" customWidth="1"/>
    <col min="9219" max="9219" width="7.28515625" style="7" customWidth="1"/>
    <col min="9220" max="9220" width="9" style="7" customWidth="1"/>
    <col min="9221" max="9221" width="10.5703125" style="7" customWidth="1"/>
    <col min="9222" max="9222" width="14.42578125" style="7" customWidth="1"/>
    <col min="9223" max="9470" width="11" style="7"/>
    <col min="9471" max="9471" width="8.7109375" style="7" customWidth="1"/>
    <col min="9472" max="9472" width="9.28515625" style="7" customWidth="1"/>
    <col min="9473" max="9473" width="7.5703125" style="7" customWidth="1"/>
    <col min="9474" max="9474" width="7.42578125" style="7" customWidth="1"/>
    <col min="9475" max="9475" width="7.28515625" style="7" customWidth="1"/>
    <col min="9476" max="9476" width="9" style="7" customWidth="1"/>
    <col min="9477" max="9477" width="10.5703125" style="7" customWidth="1"/>
    <col min="9478" max="9478" width="14.42578125" style="7" customWidth="1"/>
    <col min="9479" max="9726" width="11" style="7"/>
    <col min="9727" max="9727" width="8.7109375" style="7" customWidth="1"/>
    <col min="9728" max="9728" width="9.28515625" style="7" customWidth="1"/>
    <col min="9729" max="9729" width="7.5703125" style="7" customWidth="1"/>
    <col min="9730" max="9730" width="7.42578125" style="7" customWidth="1"/>
    <col min="9731" max="9731" width="7.28515625" style="7" customWidth="1"/>
    <col min="9732" max="9732" width="9" style="7" customWidth="1"/>
    <col min="9733" max="9733" width="10.5703125" style="7" customWidth="1"/>
    <col min="9734" max="9734" width="14.42578125" style="7" customWidth="1"/>
    <col min="9735" max="9982" width="11" style="7"/>
    <col min="9983" max="9983" width="8.7109375" style="7" customWidth="1"/>
    <col min="9984" max="9984" width="9.28515625" style="7" customWidth="1"/>
    <col min="9985" max="9985" width="7.5703125" style="7" customWidth="1"/>
    <col min="9986" max="9986" width="7.42578125" style="7" customWidth="1"/>
    <col min="9987" max="9987" width="7.28515625" style="7" customWidth="1"/>
    <col min="9988" max="9988" width="9" style="7" customWidth="1"/>
    <col min="9989" max="9989" width="10.5703125" style="7" customWidth="1"/>
    <col min="9990" max="9990" width="14.42578125" style="7" customWidth="1"/>
    <col min="9991" max="10238" width="11" style="7"/>
    <col min="10239" max="10239" width="8.7109375" style="7" customWidth="1"/>
    <col min="10240" max="10240" width="9.28515625" style="7" customWidth="1"/>
    <col min="10241" max="10241" width="7.5703125" style="7" customWidth="1"/>
    <col min="10242" max="10242" width="7.42578125" style="7" customWidth="1"/>
    <col min="10243" max="10243" width="7.28515625" style="7" customWidth="1"/>
    <col min="10244" max="10244" width="9" style="7" customWidth="1"/>
    <col min="10245" max="10245" width="10.5703125" style="7" customWidth="1"/>
    <col min="10246" max="10246" width="14.42578125" style="7" customWidth="1"/>
    <col min="10247" max="10494" width="11" style="7"/>
    <col min="10495" max="10495" width="8.7109375" style="7" customWidth="1"/>
    <col min="10496" max="10496" width="9.28515625" style="7" customWidth="1"/>
    <col min="10497" max="10497" width="7.5703125" style="7" customWidth="1"/>
    <col min="10498" max="10498" width="7.42578125" style="7" customWidth="1"/>
    <col min="10499" max="10499" width="7.28515625" style="7" customWidth="1"/>
    <col min="10500" max="10500" width="9" style="7" customWidth="1"/>
    <col min="10501" max="10501" width="10.5703125" style="7" customWidth="1"/>
    <col min="10502" max="10502" width="14.42578125" style="7" customWidth="1"/>
    <col min="10503" max="10750" width="11" style="7"/>
    <col min="10751" max="10751" width="8.7109375" style="7" customWidth="1"/>
    <col min="10752" max="10752" width="9.28515625" style="7" customWidth="1"/>
    <col min="10753" max="10753" width="7.5703125" style="7" customWidth="1"/>
    <col min="10754" max="10754" width="7.42578125" style="7" customWidth="1"/>
    <col min="10755" max="10755" width="7.28515625" style="7" customWidth="1"/>
    <col min="10756" max="10756" width="9" style="7" customWidth="1"/>
    <col min="10757" max="10757" width="10.5703125" style="7" customWidth="1"/>
    <col min="10758" max="10758" width="14.42578125" style="7" customWidth="1"/>
    <col min="10759" max="11006" width="11" style="7"/>
    <col min="11007" max="11007" width="8.7109375" style="7" customWidth="1"/>
    <col min="11008" max="11008" width="9.28515625" style="7" customWidth="1"/>
    <col min="11009" max="11009" width="7.5703125" style="7" customWidth="1"/>
    <col min="11010" max="11010" width="7.42578125" style="7" customWidth="1"/>
    <col min="11011" max="11011" width="7.28515625" style="7" customWidth="1"/>
    <col min="11012" max="11012" width="9" style="7" customWidth="1"/>
    <col min="11013" max="11013" width="10.5703125" style="7" customWidth="1"/>
    <col min="11014" max="11014" width="14.42578125" style="7" customWidth="1"/>
    <col min="11015" max="11262" width="11" style="7"/>
    <col min="11263" max="11263" width="8.7109375" style="7" customWidth="1"/>
    <col min="11264" max="11264" width="9.28515625" style="7" customWidth="1"/>
    <col min="11265" max="11265" width="7.5703125" style="7" customWidth="1"/>
    <col min="11266" max="11266" width="7.42578125" style="7" customWidth="1"/>
    <col min="11267" max="11267" width="7.28515625" style="7" customWidth="1"/>
    <col min="11268" max="11268" width="9" style="7" customWidth="1"/>
    <col min="11269" max="11269" width="10.5703125" style="7" customWidth="1"/>
    <col min="11270" max="11270" width="14.42578125" style="7" customWidth="1"/>
    <col min="11271" max="11518" width="11" style="7"/>
    <col min="11519" max="11519" width="8.7109375" style="7" customWidth="1"/>
    <col min="11520" max="11520" width="9.28515625" style="7" customWidth="1"/>
    <col min="11521" max="11521" width="7.5703125" style="7" customWidth="1"/>
    <col min="11522" max="11522" width="7.42578125" style="7" customWidth="1"/>
    <col min="11523" max="11523" width="7.28515625" style="7" customWidth="1"/>
    <col min="11524" max="11524" width="9" style="7" customWidth="1"/>
    <col min="11525" max="11525" width="10.5703125" style="7" customWidth="1"/>
    <col min="11526" max="11526" width="14.42578125" style="7" customWidth="1"/>
    <col min="11527" max="11774" width="11" style="7"/>
    <col min="11775" max="11775" width="8.7109375" style="7" customWidth="1"/>
    <col min="11776" max="11776" width="9.28515625" style="7" customWidth="1"/>
    <col min="11777" max="11777" width="7.5703125" style="7" customWidth="1"/>
    <col min="11778" max="11778" width="7.42578125" style="7" customWidth="1"/>
    <col min="11779" max="11779" width="7.28515625" style="7" customWidth="1"/>
    <col min="11780" max="11780" width="9" style="7" customWidth="1"/>
    <col min="11781" max="11781" width="10.5703125" style="7" customWidth="1"/>
    <col min="11782" max="11782" width="14.42578125" style="7" customWidth="1"/>
    <col min="11783" max="12030" width="11" style="7"/>
    <col min="12031" max="12031" width="8.7109375" style="7" customWidth="1"/>
    <col min="12032" max="12032" width="9.28515625" style="7" customWidth="1"/>
    <col min="12033" max="12033" width="7.5703125" style="7" customWidth="1"/>
    <col min="12034" max="12034" width="7.42578125" style="7" customWidth="1"/>
    <col min="12035" max="12035" width="7.28515625" style="7" customWidth="1"/>
    <col min="12036" max="12036" width="9" style="7" customWidth="1"/>
    <col min="12037" max="12037" width="10.5703125" style="7" customWidth="1"/>
    <col min="12038" max="12038" width="14.42578125" style="7" customWidth="1"/>
    <col min="12039" max="12286" width="11" style="7"/>
    <col min="12287" max="12287" width="8.7109375" style="7" customWidth="1"/>
    <col min="12288" max="12288" width="9.28515625" style="7" customWidth="1"/>
    <col min="12289" max="12289" width="7.5703125" style="7" customWidth="1"/>
    <col min="12290" max="12290" width="7.42578125" style="7" customWidth="1"/>
    <col min="12291" max="12291" width="7.28515625" style="7" customWidth="1"/>
    <col min="12292" max="12292" width="9" style="7" customWidth="1"/>
    <col min="12293" max="12293" width="10.5703125" style="7" customWidth="1"/>
    <col min="12294" max="12294" width="14.42578125" style="7" customWidth="1"/>
    <col min="12295" max="12542" width="11" style="7"/>
    <col min="12543" max="12543" width="8.7109375" style="7" customWidth="1"/>
    <col min="12544" max="12544" width="9.28515625" style="7" customWidth="1"/>
    <col min="12545" max="12545" width="7.5703125" style="7" customWidth="1"/>
    <col min="12546" max="12546" width="7.42578125" style="7" customWidth="1"/>
    <col min="12547" max="12547" width="7.28515625" style="7" customWidth="1"/>
    <col min="12548" max="12548" width="9" style="7" customWidth="1"/>
    <col min="12549" max="12549" width="10.5703125" style="7" customWidth="1"/>
    <col min="12550" max="12550" width="14.42578125" style="7" customWidth="1"/>
    <col min="12551" max="12798" width="11" style="7"/>
    <col min="12799" max="12799" width="8.7109375" style="7" customWidth="1"/>
    <col min="12800" max="12800" width="9.28515625" style="7" customWidth="1"/>
    <col min="12801" max="12801" width="7.5703125" style="7" customWidth="1"/>
    <col min="12802" max="12802" width="7.42578125" style="7" customWidth="1"/>
    <col min="12803" max="12803" width="7.28515625" style="7" customWidth="1"/>
    <col min="12804" max="12804" width="9" style="7" customWidth="1"/>
    <col min="12805" max="12805" width="10.5703125" style="7" customWidth="1"/>
    <col min="12806" max="12806" width="14.42578125" style="7" customWidth="1"/>
    <col min="12807" max="13054" width="11" style="7"/>
    <col min="13055" max="13055" width="8.7109375" style="7" customWidth="1"/>
    <col min="13056" max="13056" width="9.28515625" style="7" customWidth="1"/>
    <col min="13057" max="13057" width="7.5703125" style="7" customWidth="1"/>
    <col min="13058" max="13058" width="7.42578125" style="7" customWidth="1"/>
    <col min="13059" max="13059" width="7.28515625" style="7" customWidth="1"/>
    <col min="13060" max="13060" width="9" style="7" customWidth="1"/>
    <col min="13061" max="13061" width="10.5703125" style="7" customWidth="1"/>
    <col min="13062" max="13062" width="14.42578125" style="7" customWidth="1"/>
    <col min="13063" max="13310" width="11" style="7"/>
    <col min="13311" max="13311" width="8.7109375" style="7" customWidth="1"/>
    <col min="13312" max="13312" width="9.28515625" style="7" customWidth="1"/>
    <col min="13313" max="13313" width="7.5703125" style="7" customWidth="1"/>
    <col min="13314" max="13314" width="7.42578125" style="7" customWidth="1"/>
    <col min="13315" max="13315" width="7.28515625" style="7" customWidth="1"/>
    <col min="13316" max="13316" width="9" style="7" customWidth="1"/>
    <col min="13317" max="13317" width="10.5703125" style="7" customWidth="1"/>
    <col min="13318" max="13318" width="14.42578125" style="7" customWidth="1"/>
    <col min="13319" max="13566" width="11" style="7"/>
    <col min="13567" max="13567" width="8.7109375" style="7" customWidth="1"/>
    <col min="13568" max="13568" width="9.28515625" style="7" customWidth="1"/>
    <col min="13569" max="13569" width="7.5703125" style="7" customWidth="1"/>
    <col min="13570" max="13570" width="7.42578125" style="7" customWidth="1"/>
    <col min="13571" max="13571" width="7.28515625" style="7" customWidth="1"/>
    <col min="13572" max="13572" width="9" style="7" customWidth="1"/>
    <col min="13573" max="13573" width="10.5703125" style="7" customWidth="1"/>
    <col min="13574" max="13574" width="14.42578125" style="7" customWidth="1"/>
    <col min="13575" max="13822" width="11" style="7"/>
    <col min="13823" max="13823" width="8.7109375" style="7" customWidth="1"/>
    <col min="13824" max="13824" width="9.28515625" style="7" customWidth="1"/>
    <col min="13825" max="13825" width="7.5703125" style="7" customWidth="1"/>
    <col min="13826" max="13826" width="7.42578125" style="7" customWidth="1"/>
    <col min="13827" max="13827" width="7.28515625" style="7" customWidth="1"/>
    <col min="13828" max="13828" width="9" style="7" customWidth="1"/>
    <col min="13829" max="13829" width="10.5703125" style="7" customWidth="1"/>
    <col min="13830" max="13830" width="14.42578125" style="7" customWidth="1"/>
    <col min="13831" max="14078" width="11" style="7"/>
    <col min="14079" max="14079" width="8.7109375" style="7" customWidth="1"/>
    <col min="14080" max="14080" width="9.28515625" style="7" customWidth="1"/>
    <col min="14081" max="14081" width="7.5703125" style="7" customWidth="1"/>
    <col min="14082" max="14082" width="7.42578125" style="7" customWidth="1"/>
    <col min="14083" max="14083" width="7.28515625" style="7" customWidth="1"/>
    <col min="14084" max="14084" width="9" style="7" customWidth="1"/>
    <col min="14085" max="14085" width="10.5703125" style="7" customWidth="1"/>
    <col min="14086" max="14086" width="14.42578125" style="7" customWidth="1"/>
    <col min="14087" max="14334" width="11" style="7"/>
    <col min="14335" max="14335" width="8.7109375" style="7" customWidth="1"/>
    <col min="14336" max="14336" width="9.28515625" style="7" customWidth="1"/>
    <col min="14337" max="14337" width="7.5703125" style="7" customWidth="1"/>
    <col min="14338" max="14338" width="7.42578125" style="7" customWidth="1"/>
    <col min="14339" max="14339" width="7.28515625" style="7" customWidth="1"/>
    <col min="14340" max="14340" width="9" style="7" customWidth="1"/>
    <col min="14341" max="14341" width="10.5703125" style="7" customWidth="1"/>
    <col min="14342" max="14342" width="14.42578125" style="7" customWidth="1"/>
    <col min="14343" max="14590" width="11" style="7"/>
    <col min="14591" max="14591" width="8.7109375" style="7" customWidth="1"/>
    <col min="14592" max="14592" width="9.28515625" style="7" customWidth="1"/>
    <col min="14593" max="14593" width="7.5703125" style="7" customWidth="1"/>
    <col min="14594" max="14594" width="7.42578125" style="7" customWidth="1"/>
    <col min="14595" max="14595" width="7.28515625" style="7" customWidth="1"/>
    <col min="14596" max="14596" width="9" style="7" customWidth="1"/>
    <col min="14597" max="14597" width="10.5703125" style="7" customWidth="1"/>
    <col min="14598" max="14598" width="14.42578125" style="7" customWidth="1"/>
    <col min="14599" max="14846" width="11" style="7"/>
    <col min="14847" max="14847" width="8.7109375" style="7" customWidth="1"/>
    <col min="14848" max="14848" width="9.28515625" style="7" customWidth="1"/>
    <col min="14849" max="14849" width="7.5703125" style="7" customWidth="1"/>
    <col min="14850" max="14850" width="7.42578125" style="7" customWidth="1"/>
    <col min="14851" max="14851" width="7.28515625" style="7" customWidth="1"/>
    <col min="14852" max="14852" width="9" style="7" customWidth="1"/>
    <col min="14853" max="14853" width="10.5703125" style="7" customWidth="1"/>
    <col min="14854" max="14854" width="14.42578125" style="7" customWidth="1"/>
    <col min="14855" max="15102" width="11" style="7"/>
    <col min="15103" max="15103" width="8.7109375" style="7" customWidth="1"/>
    <col min="15104" max="15104" width="9.28515625" style="7" customWidth="1"/>
    <col min="15105" max="15105" width="7.5703125" style="7" customWidth="1"/>
    <col min="15106" max="15106" width="7.42578125" style="7" customWidth="1"/>
    <col min="15107" max="15107" width="7.28515625" style="7" customWidth="1"/>
    <col min="15108" max="15108" width="9" style="7" customWidth="1"/>
    <col min="15109" max="15109" width="10.5703125" style="7" customWidth="1"/>
    <col min="15110" max="15110" width="14.42578125" style="7" customWidth="1"/>
    <col min="15111" max="15358" width="11" style="7"/>
    <col min="15359" max="15359" width="8.7109375" style="7" customWidth="1"/>
    <col min="15360" max="15360" width="9.28515625" style="7" customWidth="1"/>
    <col min="15361" max="15361" width="7.5703125" style="7" customWidth="1"/>
    <col min="15362" max="15362" width="7.42578125" style="7" customWidth="1"/>
    <col min="15363" max="15363" width="7.28515625" style="7" customWidth="1"/>
    <col min="15364" max="15364" width="9" style="7" customWidth="1"/>
    <col min="15365" max="15365" width="10.5703125" style="7" customWidth="1"/>
    <col min="15366" max="15366" width="14.42578125" style="7" customWidth="1"/>
    <col min="15367" max="15614" width="11" style="7"/>
    <col min="15615" max="15615" width="8.7109375" style="7" customWidth="1"/>
    <col min="15616" max="15616" width="9.28515625" style="7" customWidth="1"/>
    <col min="15617" max="15617" width="7.5703125" style="7" customWidth="1"/>
    <col min="15618" max="15618" width="7.42578125" style="7" customWidth="1"/>
    <col min="15619" max="15619" width="7.28515625" style="7" customWidth="1"/>
    <col min="15620" max="15620" width="9" style="7" customWidth="1"/>
    <col min="15621" max="15621" width="10.5703125" style="7" customWidth="1"/>
    <col min="15622" max="15622" width="14.42578125" style="7" customWidth="1"/>
    <col min="15623" max="15870" width="11" style="7"/>
    <col min="15871" max="15871" width="8.7109375" style="7" customWidth="1"/>
    <col min="15872" max="15872" width="9.28515625" style="7" customWidth="1"/>
    <col min="15873" max="15873" width="7.5703125" style="7" customWidth="1"/>
    <col min="15874" max="15874" width="7.42578125" style="7" customWidth="1"/>
    <col min="15875" max="15875" width="7.28515625" style="7" customWidth="1"/>
    <col min="15876" max="15876" width="9" style="7" customWidth="1"/>
    <col min="15877" max="15877" width="10.5703125" style="7" customWidth="1"/>
    <col min="15878" max="15878" width="14.42578125" style="7" customWidth="1"/>
    <col min="15879" max="16126" width="11" style="7"/>
    <col min="16127" max="16127" width="8.7109375" style="7" customWidth="1"/>
    <col min="16128" max="16128" width="9.28515625" style="7" customWidth="1"/>
    <col min="16129" max="16129" width="7.5703125" style="7" customWidth="1"/>
    <col min="16130" max="16130" width="7.42578125" style="7" customWidth="1"/>
    <col min="16131" max="16131" width="7.28515625" style="7" customWidth="1"/>
    <col min="16132" max="16132" width="9" style="7" customWidth="1"/>
    <col min="16133" max="16133" width="10.5703125" style="7" customWidth="1"/>
    <col min="16134" max="16134" width="14.42578125" style="7" customWidth="1"/>
    <col min="16135" max="16384" width="11" style="7"/>
  </cols>
  <sheetData>
    <row r="1" spans="1:15">
      <c r="A1" s="7" t="s">
        <v>17</v>
      </c>
      <c r="B1" s="7" t="s">
        <v>397</v>
      </c>
    </row>
    <row r="2" spans="1:15">
      <c r="B2" s="7" t="s">
        <v>398</v>
      </c>
      <c r="C2" s="7" t="s">
        <v>399</v>
      </c>
      <c r="E2" s="7" t="s">
        <v>400</v>
      </c>
      <c r="F2" s="7" t="s">
        <v>401</v>
      </c>
    </row>
    <row r="3" spans="1:15">
      <c r="B3" s="7" t="s">
        <v>402</v>
      </c>
    </row>
    <row r="4" spans="1:15">
      <c r="A4" s="8" t="s">
        <v>18</v>
      </c>
      <c r="B4" s="8"/>
      <c r="C4" s="8"/>
      <c r="D4" s="9" t="s">
        <v>19</v>
      </c>
      <c r="E4" s="9" t="s">
        <v>12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9" t="s">
        <v>25</v>
      </c>
      <c r="L4" s="8" t="s">
        <v>79</v>
      </c>
      <c r="M4" s="8" t="s">
        <v>403</v>
      </c>
      <c r="N4" s="11"/>
    </row>
    <row r="5" spans="1:15">
      <c r="A5" s="11"/>
      <c r="B5" s="11"/>
      <c r="C5" s="11"/>
      <c r="D5" s="12" t="s">
        <v>27</v>
      </c>
      <c r="E5" s="12" t="s">
        <v>28</v>
      </c>
      <c r="F5" s="12" t="s">
        <v>28</v>
      </c>
      <c r="G5" s="12" t="s">
        <v>29</v>
      </c>
      <c r="H5" s="12" t="s">
        <v>30</v>
      </c>
      <c r="I5" s="12" t="s">
        <v>31</v>
      </c>
      <c r="J5" s="12" t="s">
        <v>30</v>
      </c>
      <c r="K5" s="12" t="s">
        <v>30</v>
      </c>
      <c r="L5" s="12" t="s">
        <v>23</v>
      </c>
      <c r="M5" s="12" t="s">
        <v>30</v>
      </c>
      <c r="N5" s="12"/>
    </row>
    <row r="6" spans="1:15">
      <c r="A6" s="11"/>
      <c r="B6" s="11"/>
      <c r="C6" s="11"/>
      <c r="D6" s="12" t="s">
        <v>32</v>
      </c>
      <c r="E6" s="12"/>
      <c r="F6" s="12"/>
      <c r="G6" s="12"/>
      <c r="H6" s="12" t="s">
        <v>33</v>
      </c>
      <c r="I6" s="12" t="s">
        <v>30</v>
      </c>
      <c r="J6" s="12" t="s">
        <v>33</v>
      </c>
      <c r="K6" s="12" t="s">
        <v>33</v>
      </c>
      <c r="L6" s="12" t="s">
        <v>31</v>
      </c>
      <c r="M6" s="12" t="s">
        <v>33</v>
      </c>
      <c r="N6" s="12"/>
    </row>
    <row r="7" spans="1:15">
      <c r="A7" s="11"/>
      <c r="B7" s="11"/>
      <c r="C7" s="11"/>
      <c r="D7" s="12"/>
      <c r="E7" s="12"/>
      <c r="F7" s="12"/>
      <c r="G7" s="12"/>
      <c r="H7" s="12"/>
      <c r="I7" s="12" t="s">
        <v>33</v>
      </c>
      <c r="J7" s="12"/>
      <c r="K7" s="14"/>
      <c r="L7" s="14"/>
      <c r="M7" s="13"/>
    </row>
    <row r="8" spans="1:15" ht="14.25">
      <c r="A8" s="8"/>
      <c r="B8" s="8"/>
      <c r="C8" s="8"/>
      <c r="D8" s="283"/>
      <c r="E8" s="48"/>
      <c r="F8" s="48"/>
      <c r="G8" s="284"/>
      <c r="H8" s="48"/>
      <c r="I8" s="8"/>
      <c r="J8" s="48"/>
      <c r="K8" s="30"/>
      <c r="L8" s="11"/>
      <c r="M8" s="54"/>
      <c r="N8" s="54"/>
      <c r="O8" s="285"/>
    </row>
    <row r="9" spans="1:15" ht="14.25">
      <c r="A9" s="11" t="s">
        <v>105</v>
      </c>
      <c r="B9" s="11"/>
      <c r="C9" s="11"/>
      <c r="D9" s="286">
        <v>80</v>
      </c>
      <c r="E9" s="287">
        <v>8.7200000000000006</v>
      </c>
      <c r="F9" s="30">
        <v>7.01</v>
      </c>
      <c r="G9" s="288">
        <v>1200</v>
      </c>
      <c r="H9" s="30">
        <f>SUM(E9*G9)</f>
        <v>10464</v>
      </c>
      <c r="I9" s="11"/>
      <c r="J9" s="30"/>
      <c r="K9" s="289">
        <f>SUM(H9:J9)</f>
        <v>10464</v>
      </c>
      <c r="L9" s="11"/>
      <c r="M9" s="54"/>
      <c r="N9" s="130"/>
      <c r="O9" s="57"/>
    </row>
    <row r="10" spans="1:15" ht="14.25">
      <c r="A10" s="11" t="s">
        <v>404</v>
      </c>
      <c r="B10" s="11"/>
      <c r="C10" s="11"/>
      <c r="D10" s="49" t="s">
        <v>329</v>
      </c>
      <c r="E10" s="63"/>
      <c r="F10" s="30"/>
      <c r="G10" s="288"/>
      <c r="H10" s="30">
        <f t="shared" ref="H10:H20" si="0">SUM(E10*G10)</f>
        <v>0</v>
      </c>
      <c r="I10" s="287" t="s">
        <v>405</v>
      </c>
      <c r="J10" s="30"/>
      <c r="K10" s="289">
        <f t="shared" ref="K10:K20" si="1">SUM(H10:J10)</f>
        <v>0</v>
      </c>
      <c r="L10" s="30"/>
      <c r="M10" s="54"/>
      <c r="N10" s="130"/>
      <c r="O10" s="285"/>
    </row>
    <row r="11" spans="1:15" ht="14.25">
      <c r="A11" s="11" t="s">
        <v>406</v>
      </c>
      <c r="B11" s="11"/>
      <c r="C11" s="11"/>
      <c r="D11" s="49">
        <v>50</v>
      </c>
      <c r="E11" s="287">
        <v>11.83</v>
      </c>
      <c r="F11" s="30">
        <v>6.43</v>
      </c>
      <c r="G11" s="288">
        <v>1200</v>
      </c>
      <c r="H11" s="30">
        <f t="shared" si="0"/>
        <v>14196</v>
      </c>
      <c r="I11" s="287"/>
      <c r="J11" s="30"/>
      <c r="K11" s="289">
        <f t="shared" si="1"/>
        <v>14196</v>
      </c>
      <c r="L11" s="11"/>
      <c r="M11" s="54"/>
      <c r="N11" s="130"/>
      <c r="O11" s="55"/>
    </row>
    <row r="12" spans="1:15" ht="14.25">
      <c r="A12" s="11" t="s">
        <v>407</v>
      </c>
      <c r="B12" s="11"/>
      <c r="C12" s="11"/>
      <c r="D12" s="49" t="s">
        <v>408</v>
      </c>
      <c r="E12" s="287"/>
      <c r="F12" s="30"/>
      <c r="G12" s="288"/>
      <c r="H12" s="30">
        <f t="shared" si="0"/>
        <v>0</v>
      </c>
      <c r="I12" s="287" t="s">
        <v>409</v>
      </c>
      <c r="J12" s="30"/>
      <c r="K12" s="289">
        <f t="shared" si="1"/>
        <v>0</v>
      </c>
      <c r="L12" s="11"/>
      <c r="M12" s="54"/>
      <c r="N12" s="130"/>
      <c r="O12" s="55"/>
    </row>
    <row r="13" spans="1:15" ht="14.25">
      <c r="A13" s="11" t="s">
        <v>410</v>
      </c>
      <c r="B13" s="11"/>
      <c r="C13" s="11"/>
      <c r="D13" s="49" t="s">
        <v>408</v>
      </c>
      <c r="E13" s="287"/>
      <c r="F13" s="30"/>
      <c r="G13" s="288"/>
      <c r="H13" s="30">
        <f t="shared" si="0"/>
        <v>0</v>
      </c>
      <c r="I13" s="287" t="s">
        <v>411</v>
      </c>
      <c r="J13" s="30"/>
      <c r="K13" s="289"/>
      <c r="L13" s="11"/>
      <c r="M13" s="54"/>
      <c r="N13" s="130"/>
      <c r="O13" s="57"/>
    </row>
    <row r="14" spans="1:15" ht="14.25">
      <c r="A14" s="11" t="s">
        <v>91</v>
      </c>
      <c r="B14" s="11"/>
      <c r="C14" s="11"/>
      <c r="D14" s="286">
        <v>100</v>
      </c>
      <c r="E14" s="30">
        <v>8.9</v>
      </c>
      <c r="F14" s="30">
        <v>6.31</v>
      </c>
      <c r="G14" s="288">
        <v>1200</v>
      </c>
      <c r="H14" s="30">
        <f t="shared" si="0"/>
        <v>10680</v>
      </c>
      <c r="I14" s="30"/>
      <c r="J14" s="30"/>
      <c r="K14" s="289">
        <f t="shared" si="1"/>
        <v>10680</v>
      </c>
      <c r="L14" s="30"/>
      <c r="M14" s="54"/>
      <c r="N14" s="130"/>
      <c r="O14" s="57"/>
    </row>
    <row r="15" spans="1:15" ht="14.25">
      <c r="A15" s="11" t="s">
        <v>390</v>
      </c>
      <c r="B15" s="11"/>
      <c r="C15" s="11"/>
      <c r="D15" s="49">
        <v>100</v>
      </c>
      <c r="E15" s="30">
        <v>8.5</v>
      </c>
      <c r="F15" s="30">
        <v>4.2699999999999996</v>
      </c>
      <c r="G15" s="288">
        <v>1200</v>
      </c>
      <c r="H15" s="30">
        <f t="shared" si="0"/>
        <v>10200</v>
      </c>
      <c r="I15" s="30"/>
      <c r="J15" s="287">
        <f>E28*G28</f>
        <v>14868</v>
      </c>
      <c r="K15" s="289">
        <f t="shared" si="1"/>
        <v>25068</v>
      </c>
      <c r="L15" s="30"/>
      <c r="M15" s="54"/>
      <c r="N15" s="130"/>
      <c r="O15" s="55"/>
    </row>
    <row r="16" spans="1:15" ht="14.25">
      <c r="A16" s="11" t="s">
        <v>107</v>
      </c>
      <c r="B16" s="11"/>
      <c r="C16" s="11"/>
      <c r="D16" s="286">
        <v>100</v>
      </c>
      <c r="E16" s="63">
        <v>7.45</v>
      </c>
      <c r="F16" s="30">
        <v>5.7</v>
      </c>
      <c r="G16" s="288">
        <v>1200</v>
      </c>
      <c r="H16" s="63">
        <f t="shared" si="0"/>
        <v>8940</v>
      </c>
      <c r="I16" s="30"/>
      <c r="J16" s="63">
        <f>E35*G35+E37*G37</f>
        <v>13560</v>
      </c>
      <c r="K16" s="289">
        <f t="shared" si="1"/>
        <v>22500</v>
      </c>
      <c r="L16" s="30"/>
      <c r="M16" s="54"/>
      <c r="N16" s="130"/>
      <c r="O16" s="57"/>
    </row>
    <row r="17" spans="1:15" ht="14.25">
      <c r="A17" s="11" t="s">
        <v>176</v>
      </c>
      <c r="B17" s="11"/>
      <c r="C17" s="11"/>
      <c r="D17" s="286">
        <v>100</v>
      </c>
      <c r="E17" s="63">
        <v>15.56</v>
      </c>
      <c r="F17" s="30">
        <v>10.51</v>
      </c>
      <c r="G17" s="288">
        <v>1200</v>
      </c>
      <c r="H17" s="30">
        <f t="shared" si="0"/>
        <v>18672</v>
      </c>
      <c r="I17" s="30"/>
      <c r="J17" s="30"/>
      <c r="K17" s="289">
        <f t="shared" si="1"/>
        <v>18672</v>
      </c>
      <c r="L17" s="30"/>
      <c r="M17" s="54"/>
      <c r="N17" s="130"/>
      <c r="O17" s="57"/>
    </row>
    <row r="18" spans="1:15" ht="14.25">
      <c r="A18" s="11" t="s">
        <v>109</v>
      </c>
      <c r="B18" s="11"/>
      <c r="C18" s="11"/>
      <c r="D18" s="286">
        <v>100</v>
      </c>
      <c r="E18" s="30">
        <v>11.8</v>
      </c>
      <c r="F18" s="30">
        <v>9.7200000000000006</v>
      </c>
      <c r="G18" s="290">
        <v>1200</v>
      </c>
      <c r="H18" s="30">
        <f t="shared" si="0"/>
        <v>14160</v>
      </c>
      <c r="I18" s="30"/>
      <c r="J18" s="63">
        <v>19399</v>
      </c>
      <c r="K18" s="289">
        <f t="shared" si="1"/>
        <v>33559</v>
      </c>
      <c r="L18" s="30"/>
      <c r="M18" s="30"/>
      <c r="N18" s="130"/>
    </row>
    <row r="19" spans="1:15" ht="14.25">
      <c r="A19" s="11" t="s">
        <v>412</v>
      </c>
      <c r="B19" s="11"/>
      <c r="C19" s="11"/>
      <c r="D19" s="49">
        <v>100</v>
      </c>
      <c r="E19" s="63">
        <v>13.42</v>
      </c>
      <c r="F19" s="30">
        <v>7.54</v>
      </c>
      <c r="G19" s="288">
        <v>1200</v>
      </c>
      <c r="H19" s="30">
        <f t="shared" si="0"/>
        <v>16104</v>
      </c>
      <c r="I19" s="30"/>
      <c r="J19" s="63">
        <v>18466</v>
      </c>
      <c r="K19" s="289">
        <f t="shared" si="1"/>
        <v>34570</v>
      </c>
      <c r="M19" s="30">
        <v>4483</v>
      </c>
      <c r="N19" s="130"/>
    </row>
    <row r="20" spans="1:15" ht="14.25">
      <c r="A20" s="13" t="s">
        <v>111</v>
      </c>
      <c r="B20" s="13"/>
      <c r="C20" s="13"/>
      <c r="D20" s="291">
        <v>100</v>
      </c>
      <c r="E20" s="292">
        <v>21.11</v>
      </c>
      <c r="F20" s="21">
        <v>13.04</v>
      </c>
      <c r="G20" s="293">
        <v>1200</v>
      </c>
      <c r="H20" s="21">
        <f t="shared" si="0"/>
        <v>25332</v>
      </c>
      <c r="I20" s="21"/>
      <c r="J20" s="21"/>
      <c r="K20" s="294">
        <f t="shared" si="1"/>
        <v>25332</v>
      </c>
      <c r="L20" s="30"/>
      <c r="M20" s="30"/>
      <c r="N20" s="130"/>
    </row>
    <row r="21" spans="1:15">
      <c r="A21" s="11" t="s">
        <v>113</v>
      </c>
      <c r="B21" s="11"/>
      <c r="C21" s="11"/>
      <c r="D21" s="49"/>
      <c r="E21" s="30">
        <f>SUM(E8:E20)</f>
        <v>107.29</v>
      </c>
      <c r="F21" s="30">
        <f>SUM(F8:F20)</f>
        <v>70.53</v>
      </c>
      <c r="G21" s="30"/>
      <c r="H21" s="30">
        <f>SUM(H8:H20)</f>
        <v>128748</v>
      </c>
      <c r="I21" s="30">
        <f>SUM(I8:I20)</f>
        <v>0</v>
      </c>
      <c r="J21" s="30">
        <f>SUM(J8:J20)</f>
        <v>66293</v>
      </c>
      <c r="K21" s="30">
        <f t="shared" ref="K21:K22" si="2">SUM(H21:J21)</f>
        <v>195041</v>
      </c>
      <c r="L21" s="48">
        <f>SUM(L8:L20)</f>
        <v>0</v>
      </c>
      <c r="M21" s="48">
        <f>SUM(M8:M20)</f>
        <v>4483</v>
      </c>
    </row>
    <row r="22" spans="1:15">
      <c r="A22" s="13" t="s">
        <v>114</v>
      </c>
      <c r="B22" s="13"/>
      <c r="C22" s="13"/>
      <c r="D22" s="20"/>
      <c r="E22" s="21">
        <f>SUM(E21-F21)</f>
        <v>36.760000000000005</v>
      </c>
      <c r="F22" s="21"/>
      <c r="G22" s="21"/>
      <c r="H22" s="21">
        <f>SUM(E31*G31)</f>
        <v>44104</v>
      </c>
      <c r="I22" s="21">
        <f>I21-L21</f>
        <v>0</v>
      </c>
      <c r="J22" s="21">
        <f>J21-M21</f>
        <v>61810</v>
      </c>
      <c r="K22" s="21">
        <f t="shared" si="2"/>
        <v>105914</v>
      </c>
      <c r="L22" s="13"/>
      <c r="M22" s="13"/>
    </row>
    <row r="23" spans="1:15">
      <c r="L23" s="11"/>
      <c r="M23" s="11"/>
    </row>
    <row r="24" spans="1:15">
      <c r="C24" s="7" t="s">
        <v>40</v>
      </c>
    </row>
    <row r="25" spans="1:15">
      <c r="A25" s="7" t="s">
        <v>41</v>
      </c>
    </row>
    <row r="26" spans="1:15">
      <c r="A26" s="23" t="s">
        <v>42</v>
      </c>
      <c r="B26" s="23"/>
      <c r="C26" s="23"/>
      <c r="D26" s="23" t="s">
        <v>7</v>
      </c>
      <c r="E26" s="23" t="s">
        <v>43</v>
      </c>
      <c r="F26" s="23"/>
      <c r="G26" s="23" t="s">
        <v>44</v>
      </c>
    </row>
    <row r="27" spans="1:15">
      <c r="A27" s="7" t="s">
        <v>45</v>
      </c>
      <c r="J27" s="295" t="s">
        <v>6</v>
      </c>
      <c r="K27" s="296" t="s">
        <v>262</v>
      </c>
    </row>
    <row r="28" spans="1:15">
      <c r="A28" s="7" t="s">
        <v>14</v>
      </c>
      <c r="D28" s="297" t="s">
        <v>13</v>
      </c>
      <c r="E28" s="16">
        <v>9</v>
      </c>
      <c r="G28" s="16">
        <v>1652</v>
      </c>
      <c r="J28" s="298" t="s">
        <v>413</v>
      </c>
      <c r="K28" s="299">
        <v>90</v>
      </c>
    </row>
    <row r="29" spans="1:15">
      <c r="D29" s="297"/>
      <c r="J29" s="295" t="s">
        <v>183</v>
      </c>
      <c r="K29" s="299">
        <v>10</v>
      </c>
    </row>
    <row r="30" spans="1:15">
      <c r="A30" s="7" t="s">
        <v>46</v>
      </c>
      <c r="D30" s="297"/>
      <c r="I30" s="11"/>
    </row>
    <row r="31" spans="1:15">
      <c r="A31" s="7" t="s">
        <v>47</v>
      </c>
      <c r="D31" s="297" t="s">
        <v>48</v>
      </c>
      <c r="E31" s="16">
        <v>37</v>
      </c>
      <c r="G31" s="16">
        <v>1192</v>
      </c>
    </row>
    <row r="32" spans="1:15" ht="13.5">
      <c r="A32" s="7" t="s">
        <v>49</v>
      </c>
      <c r="D32" s="297" t="s">
        <v>48</v>
      </c>
      <c r="E32" s="16">
        <v>71</v>
      </c>
      <c r="G32" s="16"/>
      <c r="I32" s="300"/>
      <c r="J32" s="301"/>
      <c r="K32" s="300"/>
    </row>
    <row r="33" spans="1:11" ht="13.5">
      <c r="A33" s="7" t="s">
        <v>12</v>
      </c>
      <c r="D33" s="297" t="s">
        <v>48</v>
      </c>
      <c r="E33" s="16">
        <f>SUM(E31:E32)</f>
        <v>108</v>
      </c>
      <c r="I33" s="300"/>
      <c r="J33" s="11"/>
      <c r="K33" s="300"/>
    </row>
    <row r="34" spans="1:11" ht="13.5">
      <c r="A34" s="8" t="s">
        <v>122</v>
      </c>
      <c r="B34" s="8"/>
      <c r="C34" s="8" t="s">
        <v>51</v>
      </c>
      <c r="D34" s="8"/>
      <c r="E34" s="8"/>
      <c r="F34" s="8"/>
      <c r="G34" s="8"/>
      <c r="I34" s="300"/>
      <c r="J34" s="300"/>
    </row>
    <row r="35" spans="1:11" ht="13.5">
      <c r="A35" s="11" t="s">
        <v>414</v>
      </c>
      <c r="B35" s="11" t="s">
        <v>9</v>
      </c>
      <c r="C35" s="302">
        <v>70</v>
      </c>
      <c r="D35" s="303" t="s">
        <v>13</v>
      </c>
      <c r="E35" s="30">
        <v>78</v>
      </c>
      <c r="F35" s="30"/>
      <c r="G35" s="30">
        <v>50</v>
      </c>
      <c r="I35" s="300"/>
      <c r="J35" s="300"/>
    </row>
    <row r="36" spans="1:11" ht="13.5">
      <c r="A36" s="11"/>
      <c r="B36" s="11" t="s">
        <v>82</v>
      </c>
      <c r="C36" s="304" t="s">
        <v>415</v>
      </c>
      <c r="D36" s="303" t="s">
        <v>13</v>
      </c>
      <c r="E36" s="50" t="s">
        <v>416</v>
      </c>
      <c r="F36" s="30"/>
      <c r="G36" s="50" t="s">
        <v>417</v>
      </c>
      <c r="I36" s="300"/>
      <c r="J36" s="300"/>
    </row>
    <row r="37" spans="1:11" ht="13.5">
      <c r="A37" s="11"/>
      <c r="B37" s="11" t="s">
        <v>418</v>
      </c>
      <c r="C37" s="302">
        <v>96</v>
      </c>
      <c r="D37" s="303" t="s">
        <v>13</v>
      </c>
      <c r="E37" s="30">
        <v>140</v>
      </c>
      <c r="F37" s="30"/>
      <c r="G37" s="30">
        <v>69</v>
      </c>
      <c r="I37" s="300"/>
      <c r="J37" s="92" t="s">
        <v>120</v>
      </c>
      <c r="K37" s="305">
        <v>0.6</v>
      </c>
    </row>
    <row r="38" spans="1:11" ht="13.5">
      <c r="A38" s="11"/>
      <c r="B38" s="11"/>
      <c r="C38" s="29"/>
      <c r="D38" s="11"/>
      <c r="E38" s="30"/>
      <c r="F38" s="30"/>
      <c r="G38" s="30"/>
      <c r="I38" s="300"/>
      <c r="J38" s="92" t="s">
        <v>121</v>
      </c>
      <c r="K38" s="305">
        <v>0.5</v>
      </c>
    </row>
    <row r="39" spans="1:11">
      <c r="A39" s="8" t="s">
        <v>53</v>
      </c>
      <c r="B39" s="8"/>
      <c r="C39" s="8"/>
      <c r="D39" s="8"/>
      <c r="E39" s="8"/>
      <c r="F39" s="9" t="s">
        <v>419</v>
      </c>
      <c r="G39" s="8"/>
      <c r="H39" s="9" t="s">
        <v>420</v>
      </c>
    </row>
    <row r="40" spans="1:11">
      <c r="A40" s="11" t="s">
        <v>421</v>
      </c>
      <c r="B40" s="11"/>
      <c r="C40" s="11"/>
      <c r="D40" s="11"/>
      <c r="F40" s="30">
        <v>1589</v>
      </c>
      <c r="G40" s="11"/>
      <c r="H40" s="49">
        <f>F40*2.471</f>
        <v>3926.4190000000003</v>
      </c>
    </row>
    <row r="41" spans="1:11">
      <c r="A41" s="11" t="s">
        <v>55</v>
      </c>
      <c r="B41" s="11"/>
      <c r="C41" s="11"/>
      <c r="D41" s="11"/>
      <c r="F41" s="30">
        <v>89</v>
      </c>
      <c r="G41" s="11"/>
      <c r="H41" s="49"/>
    </row>
    <row r="42" spans="1:11">
      <c r="A42" s="11" t="s">
        <v>422</v>
      </c>
      <c r="B42" s="11"/>
      <c r="C42" s="11"/>
      <c r="D42" s="11"/>
      <c r="F42" s="30">
        <f>F40*F41</f>
        <v>141421</v>
      </c>
      <c r="G42" s="11"/>
      <c r="H42" s="49">
        <f t="shared" ref="H42:H44" si="3">F42*2.471</f>
        <v>349451.29100000003</v>
      </c>
    </row>
    <row r="43" spans="1:11">
      <c r="A43" s="11" t="s">
        <v>423</v>
      </c>
      <c r="B43" s="11"/>
      <c r="C43" s="11"/>
      <c r="D43" s="11"/>
      <c r="F43" s="30">
        <f>F42-K21</f>
        <v>-53620</v>
      </c>
      <c r="G43" s="11"/>
      <c r="H43" s="49">
        <f t="shared" si="3"/>
        <v>-132495.02000000002</v>
      </c>
    </row>
    <row r="44" spans="1:11">
      <c r="A44" s="11" t="s">
        <v>424</v>
      </c>
      <c r="B44" s="11"/>
      <c r="C44" s="11"/>
      <c r="D44" s="11"/>
      <c r="F44" s="30">
        <f>F42-K22</f>
        <v>35507</v>
      </c>
      <c r="G44" s="11"/>
      <c r="H44" s="49">
        <f t="shared" si="3"/>
        <v>87737.797000000006</v>
      </c>
    </row>
    <row r="45" spans="1:11">
      <c r="A45" s="11"/>
      <c r="B45" s="11"/>
      <c r="C45" s="11"/>
      <c r="D45" s="11"/>
      <c r="F45" s="11"/>
      <c r="G45" s="11"/>
      <c r="H45" s="31"/>
    </row>
    <row r="46" spans="1:11">
      <c r="A46" s="11" t="s">
        <v>132</v>
      </c>
      <c r="B46" s="11"/>
      <c r="C46" s="11"/>
      <c r="D46" s="11"/>
      <c r="F46" s="30">
        <f>K21/F40</f>
        <v>122.74449339207048</v>
      </c>
      <c r="G46" s="11"/>
      <c r="H46" s="31"/>
    </row>
    <row r="47" spans="1:11">
      <c r="A47" s="13" t="s">
        <v>133</v>
      </c>
      <c r="B47" s="13"/>
      <c r="C47" s="13"/>
      <c r="D47" s="13"/>
      <c r="E47" s="13"/>
      <c r="F47" s="21">
        <f>K22/F40</f>
        <v>66.654499685336688</v>
      </c>
      <c r="G47" s="13"/>
      <c r="H47" s="32"/>
    </row>
    <row r="48" spans="1:11">
      <c r="A48" s="7" t="s">
        <v>425</v>
      </c>
    </row>
    <row r="49" spans="2:7">
      <c r="B49" s="7" t="s">
        <v>426</v>
      </c>
    </row>
    <row r="56" spans="2:7">
      <c r="G56" s="7" t="s">
        <v>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7"/>
  <sheetViews>
    <sheetView workbookViewId="0">
      <selection sqref="A1:XFD1048576"/>
    </sheetView>
  </sheetViews>
  <sheetFormatPr defaultRowHeight="14.25"/>
  <cols>
    <col min="1" max="1" width="9.140625" style="54"/>
    <col min="2" max="2" width="6.7109375" style="54" customWidth="1"/>
    <col min="3" max="3" width="7.85546875" style="54" customWidth="1"/>
    <col min="4" max="4" width="5" style="54" customWidth="1"/>
    <col min="5" max="5" width="6.28515625" style="54" customWidth="1"/>
    <col min="6" max="6" width="5.5703125" style="54" customWidth="1"/>
    <col min="7" max="7" width="9.85546875" style="54" customWidth="1"/>
    <col min="8" max="8" width="9" style="54" customWidth="1"/>
    <col min="9" max="9" width="7.42578125" style="54" customWidth="1"/>
    <col min="10" max="10" width="8.7109375" style="54" customWidth="1"/>
    <col min="11" max="11" width="10" style="54" customWidth="1"/>
    <col min="12" max="12" width="8.140625" style="54" customWidth="1"/>
    <col min="13" max="13" width="8" style="54" customWidth="1"/>
    <col min="14" max="15" width="9.140625" style="54"/>
    <col min="16" max="16" width="7" style="54" customWidth="1"/>
    <col min="17" max="17" width="6.7109375" style="54" customWidth="1"/>
    <col min="18" max="16384" width="9.140625" style="54"/>
  </cols>
  <sheetData>
    <row r="1" spans="1:13">
      <c r="A1" s="54" t="s">
        <v>17</v>
      </c>
      <c r="B1" s="54" t="s">
        <v>427</v>
      </c>
    </row>
    <row r="2" spans="1:13">
      <c r="B2" s="54" t="s">
        <v>428</v>
      </c>
      <c r="E2" s="110"/>
    </row>
    <row r="3" spans="1:13">
      <c r="B3" s="54" t="s">
        <v>168</v>
      </c>
      <c r="F3" s="110"/>
    </row>
    <row r="4" spans="1:13">
      <c r="A4" s="101" t="s">
        <v>18</v>
      </c>
      <c r="B4" s="101"/>
      <c r="C4" s="101"/>
      <c r="D4" s="102" t="s">
        <v>19</v>
      </c>
      <c r="E4" s="102" t="s">
        <v>12</v>
      </c>
      <c r="F4" s="102" t="s">
        <v>20</v>
      </c>
      <c r="G4" s="102" t="s">
        <v>21</v>
      </c>
      <c r="H4" s="102" t="s">
        <v>22</v>
      </c>
      <c r="I4" s="102" t="s">
        <v>23</v>
      </c>
      <c r="J4" s="102" t="s">
        <v>24</v>
      </c>
      <c r="K4" s="102" t="s">
        <v>25</v>
      </c>
      <c r="L4" s="133" t="s">
        <v>26</v>
      </c>
      <c r="M4" s="102"/>
    </row>
    <row r="5" spans="1:13">
      <c r="A5" s="52"/>
      <c r="B5" s="52"/>
      <c r="C5" s="52"/>
      <c r="D5" s="53" t="s">
        <v>27</v>
      </c>
      <c r="E5" s="53" t="s">
        <v>28</v>
      </c>
      <c r="F5" s="53" t="s">
        <v>28</v>
      </c>
      <c r="G5" s="53" t="s">
        <v>29</v>
      </c>
      <c r="H5" s="53" t="s">
        <v>30</v>
      </c>
      <c r="I5" s="53" t="s">
        <v>31</v>
      </c>
      <c r="J5" s="53" t="s">
        <v>30</v>
      </c>
      <c r="K5" s="53" t="s">
        <v>30</v>
      </c>
      <c r="L5" s="134" t="s">
        <v>23</v>
      </c>
      <c r="M5" s="53" t="s">
        <v>24</v>
      </c>
    </row>
    <row r="6" spans="1:13">
      <c r="A6" s="52"/>
      <c r="B6" s="52"/>
      <c r="C6" s="52"/>
      <c r="D6" s="53" t="s">
        <v>32</v>
      </c>
      <c r="E6" s="53"/>
      <c r="F6" s="53"/>
      <c r="G6" s="53"/>
      <c r="H6" s="53" t="s">
        <v>33</v>
      </c>
      <c r="I6" s="53" t="s">
        <v>30</v>
      </c>
      <c r="J6" s="53" t="s">
        <v>33</v>
      </c>
      <c r="K6" s="53" t="s">
        <v>33</v>
      </c>
      <c r="L6" s="53"/>
      <c r="M6" s="53"/>
    </row>
    <row r="7" spans="1:13">
      <c r="A7" s="103"/>
      <c r="B7" s="103"/>
      <c r="C7" s="103"/>
      <c r="D7" s="104"/>
      <c r="E7" s="104"/>
      <c r="F7" s="104"/>
      <c r="G7" s="104"/>
      <c r="H7" s="104"/>
      <c r="I7" s="104" t="s">
        <v>33</v>
      </c>
      <c r="J7" s="104"/>
      <c r="K7" s="104"/>
      <c r="L7" s="104"/>
      <c r="M7" s="104"/>
    </row>
    <row r="8" spans="1:13">
      <c r="A8" s="54" t="s">
        <v>15</v>
      </c>
      <c r="D8" s="135">
        <v>90</v>
      </c>
      <c r="E8" s="55">
        <v>9.5</v>
      </c>
      <c r="F8" s="55">
        <f>2.1+0.9</f>
        <v>3</v>
      </c>
      <c r="G8" s="136">
        <v>1122</v>
      </c>
      <c r="H8" s="55">
        <f t="shared" ref="H8:H17" si="0">SUM(E8*G8)</f>
        <v>10659</v>
      </c>
      <c r="J8" s="55"/>
      <c r="K8" s="55">
        <f t="shared" ref="K8:K18" si="1">SUM(H8:J8)</f>
        <v>10659</v>
      </c>
    </row>
    <row r="9" spans="1:13">
      <c r="A9" s="54" t="s">
        <v>170</v>
      </c>
      <c r="D9" s="135">
        <v>76</v>
      </c>
      <c r="E9" s="57">
        <v>1.7</v>
      </c>
      <c r="F9" s="55">
        <v>1.63</v>
      </c>
      <c r="G9" s="136">
        <v>1000</v>
      </c>
      <c r="H9" s="55">
        <f t="shared" si="0"/>
        <v>1700</v>
      </c>
      <c r="I9" s="57">
        <v>9318</v>
      </c>
      <c r="J9" s="55"/>
      <c r="K9" s="55">
        <f t="shared" si="1"/>
        <v>11018</v>
      </c>
      <c r="L9" s="54">
        <v>859</v>
      </c>
    </row>
    <row r="10" spans="1:13">
      <c r="A10" s="54" t="s">
        <v>429</v>
      </c>
      <c r="D10" s="135" t="s">
        <v>430</v>
      </c>
      <c r="E10" s="55" t="s">
        <v>431</v>
      </c>
      <c r="F10" s="55" t="s">
        <v>432</v>
      </c>
      <c r="G10" s="136">
        <v>1170</v>
      </c>
      <c r="H10" s="55" t="s">
        <v>433</v>
      </c>
      <c r="I10" s="110"/>
      <c r="J10" s="55"/>
      <c r="K10" s="55">
        <v>0</v>
      </c>
    </row>
    <row r="11" spans="1:13">
      <c r="A11" s="54" t="s">
        <v>171</v>
      </c>
      <c r="D11" s="135">
        <v>100</v>
      </c>
      <c r="E11" s="55">
        <v>9.3000000000000007</v>
      </c>
      <c r="F11" s="55">
        <f>2.4+0.7</f>
        <v>3.0999999999999996</v>
      </c>
      <c r="G11" s="136">
        <v>1148</v>
      </c>
      <c r="H11" s="55">
        <v>10676</v>
      </c>
      <c r="J11" s="55"/>
      <c r="K11" s="55">
        <f t="shared" si="1"/>
        <v>10676</v>
      </c>
    </row>
    <row r="12" spans="1:13">
      <c r="A12" s="54" t="s">
        <v>302</v>
      </c>
      <c r="D12" s="135">
        <v>100</v>
      </c>
      <c r="E12" s="55">
        <v>14.46</v>
      </c>
      <c r="F12" s="55">
        <v>7.4</v>
      </c>
      <c r="G12" s="136">
        <v>1148</v>
      </c>
      <c r="H12" s="55">
        <v>16600</v>
      </c>
      <c r="J12" s="57">
        <v>17055</v>
      </c>
      <c r="K12" s="55">
        <f>SUM(H12:J12)</f>
        <v>33655</v>
      </c>
    </row>
    <row r="13" spans="1:13">
      <c r="A13" s="54" t="s">
        <v>1</v>
      </c>
      <c r="D13" s="135">
        <v>100</v>
      </c>
      <c r="E13" s="55">
        <v>6</v>
      </c>
      <c r="F13" s="55">
        <f>3.8+0.9</f>
        <v>4.7</v>
      </c>
      <c r="G13" s="136">
        <v>1100</v>
      </c>
      <c r="H13" s="55">
        <f t="shared" si="0"/>
        <v>6600</v>
      </c>
      <c r="J13" s="55">
        <f>E37*G37+E38*G38</f>
        <v>27712</v>
      </c>
      <c r="K13" s="55">
        <f t="shared" si="1"/>
        <v>34312</v>
      </c>
    </row>
    <row r="14" spans="1:13">
      <c r="A14" s="54" t="s">
        <v>176</v>
      </c>
      <c r="D14" s="135">
        <v>100</v>
      </c>
      <c r="E14" s="55">
        <v>10.9</v>
      </c>
      <c r="F14" s="55">
        <v>4.9000000000000004</v>
      </c>
      <c r="G14" s="136">
        <v>990</v>
      </c>
      <c r="H14" s="55">
        <f t="shared" si="0"/>
        <v>10791</v>
      </c>
      <c r="J14" s="55"/>
      <c r="K14" s="55">
        <f t="shared" si="1"/>
        <v>10791</v>
      </c>
    </row>
    <row r="15" spans="1:13">
      <c r="A15" s="54" t="s">
        <v>36</v>
      </c>
      <c r="D15" s="135">
        <v>100</v>
      </c>
      <c r="E15" s="55">
        <v>7.1</v>
      </c>
      <c r="F15" s="55">
        <v>6.1</v>
      </c>
      <c r="G15" s="136">
        <v>1100</v>
      </c>
      <c r="H15" s="55">
        <f t="shared" si="0"/>
        <v>7810</v>
      </c>
      <c r="J15" s="55">
        <v>9529</v>
      </c>
      <c r="K15" s="55">
        <f t="shared" si="1"/>
        <v>17339</v>
      </c>
    </row>
    <row r="16" spans="1:13">
      <c r="A16" s="54" t="s">
        <v>434</v>
      </c>
      <c r="D16" s="135">
        <v>100</v>
      </c>
      <c r="E16" s="55">
        <v>10.84</v>
      </c>
      <c r="F16" s="55">
        <f>3.5+2</f>
        <v>5.5</v>
      </c>
      <c r="G16" s="136">
        <v>956</v>
      </c>
      <c r="H16" s="55">
        <v>10363</v>
      </c>
      <c r="J16" s="57">
        <v>26283</v>
      </c>
      <c r="K16" s="55">
        <f t="shared" si="1"/>
        <v>36646</v>
      </c>
      <c r="M16" s="54">
        <v>6166</v>
      </c>
    </row>
    <row r="17" spans="1:13">
      <c r="A17" s="54" t="s">
        <v>435</v>
      </c>
      <c r="D17" s="135">
        <v>54</v>
      </c>
      <c r="E17" s="55">
        <v>12.2</v>
      </c>
      <c r="F17" s="55">
        <v>10.9</v>
      </c>
      <c r="G17" s="136">
        <v>990</v>
      </c>
      <c r="H17" s="55">
        <f t="shared" si="0"/>
        <v>12078</v>
      </c>
      <c r="J17" s="55"/>
      <c r="K17" s="55">
        <f t="shared" si="1"/>
        <v>12078</v>
      </c>
    </row>
    <row r="18" spans="1:13">
      <c r="A18" s="54" t="s">
        <v>111</v>
      </c>
      <c r="D18" s="135">
        <v>100</v>
      </c>
      <c r="E18" s="55">
        <v>28.8</v>
      </c>
      <c r="F18" s="55">
        <f>7.2+5.6</f>
        <v>12.8</v>
      </c>
      <c r="G18" s="136">
        <v>879</v>
      </c>
      <c r="H18" s="55">
        <v>25315</v>
      </c>
      <c r="J18" s="55"/>
      <c r="K18" s="55">
        <f t="shared" si="1"/>
        <v>25315</v>
      </c>
    </row>
    <row r="19" spans="1:13">
      <c r="A19" s="101" t="s">
        <v>38</v>
      </c>
      <c r="B19" s="101"/>
      <c r="C19" s="101"/>
      <c r="D19" s="137"/>
      <c r="E19" s="138">
        <f>SUM(E8:E18)</f>
        <v>110.8</v>
      </c>
      <c r="F19" s="138">
        <f>SUM(F8:F18)</f>
        <v>60.03</v>
      </c>
      <c r="G19" s="138"/>
      <c r="H19" s="138">
        <f>SUM(H8:H18)</f>
        <v>112592</v>
      </c>
      <c r="I19" s="138">
        <f>SUM(I8:I18)</f>
        <v>9318</v>
      </c>
      <c r="J19" s="138">
        <f>SUM(J8:J18)</f>
        <v>80579</v>
      </c>
      <c r="K19" s="138">
        <f>SUM(H19:J19)</f>
        <v>202489</v>
      </c>
      <c r="L19" s="101">
        <f>SUM(L8:L18)</f>
        <v>859</v>
      </c>
      <c r="M19" s="101">
        <f>SUM(M8:M18)</f>
        <v>6166</v>
      </c>
    </row>
    <row r="20" spans="1:13">
      <c r="A20" s="103" t="s">
        <v>39</v>
      </c>
      <c r="B20" s="103"/>
      <c r="C20" s="103"/>
      <c r="D20" s="139"/>
      <c r="E20" s="140">
        <f>SUM(E19-F19)</f>
        <v>50.769999999999996</v>
      </c>
      <c r="F20" s="140"/>
      <c r="G20" s="140"/>
      <c r="H20" s="140">
        <f>SUM(E31*G31)</f>
        <v>51714</v>
      </c>
      <c r="I20" s="140">
        <f>I19-L19</f>
        <v>8459</v>
      </c>
      <c r="J20" s="140">
        <f>J19-M19</f>
        <v>74413</v>
      </c>
      <c r="K20" s="140">
        <f>SUM(H20:J20)</f>
        <v>134586</v>
      </c>
      <c r="L20" s="103"/>
      <c r="M20" s="103"/>
    </row>
    <row r="22" spans="1:13">
      <c r="C22" s="54" t="s">
        <v>40</v>
      </c>
    </row>
    <row r="24" spans="1:13">
      <c r="A24" s="54" t="s">
        <v>41</v>
      </c>
    </row>
    <row r="25" spans="1:13">
      <c r="A25" s="120" t="s">
        <v>42</v>
      </c>
      <c r="B25" s="120"/>
      <c r="C25" s="120"/>
      <c r="D25" s="120" t="s">
        <v>7</v>
      </c>
      <c r="E25" s="120" t="s">
        <v>43</v>
      </c>
      <c r="F25" s="120"/>
      <c r="G25" s="120" t="s">
        <v>44</v>
      </c>
      <c r="K25" s="141"/>
    </row>
    <row r="26" spans="1:13">
      <c r="A26" s="54" t="s">
        <v>45</v>
      </c>
      <c r="K26" s="141"/>
    </row>
    <row r="27" spans="1:13">
      <c r="A27" s="54" t="s">
        <v>14</v>
      </c>
      <c r="D27" s="54" t="s">
        <v>13</v>
      </c>
      <c r="E27" s="57">
        <v>13.9</v>
      </c>
      <c r="F27" s="110"/>
      <c r="G27" s="57">
        <v>1227</v>
      </c>
      <c r="K27" s="141"/>
    </row>
    <row r="28" spans="1:13">
      <c r="K28" s="141"/>
    </row>
    <row r="30" spans="1:13">
      <c r="A30" s="54" t="s">
        <v>46</v>
      </c>
      <c r="J30" s="126" t="s">
        <v>120</v>
      </c>
      <c r="K30" s="126">
        <v>0.45</v>
      </c>
    </row>
    <row r="31" spans="1:13">
      <c r="A31" s="54" t="s">
        <v>47</v>
      </c>
      <c r="D31" s="54" t="s">
        <v>48</v>
      </c>
      <c r="E31" s="55">
        <v>51</v>
      </c>
      <c r="G31" s="55">
        <v>1014</v>
      </c>
      <c r="J31" s="126" t="s">
        <v>121</v>
      </c>
      <c r="K31" s="126">
        <v>0.25</v>
      </c>
    </row>
    <row r="32" spans="1:13">
      <c r="A32" s="54" t="s">
        <v>49</v>
      </c>
      <c r="D32" s="54" t="s">
        <v>48</v>
      </c>
      <c r="E32" s="55">
        <v>60</v>
      </c>
      <c r="K32" s="54" t="s">
        <v>216</v>
      </c>
    </row>
    <row r="33" spans="1:11">
      <c r="A33" s="54" t="s">
        <v>12</v>
      </c>
      <c r="E33" s="55">
        <f>SUM(E31:E32)</f>
        <v>111</v>
      </c>
      <c r="J33" s="126" t="s">
        <v>436</v>
      </c>
      <c r="K33" s="274">
        <v>88</v>
      </c>
    </row>
    <row r="34" spans="1:11">
      <c r="J34" s="126" t="s">
        <v>183</v>
      </c>
      <c r="K34" s="126">
        <v>12</v>
      </c>
    </row>
    <row r="35" spans="1:11">
      <c r="A35" s="101" t="s">
        <v>50</v>
      </c>
      <c r="B35" s="101"/>
      <c r="C35" s="101" t="s">
        <v>51</v>
      </c>
      <c r="D35" s="101"/>
      <c r="E35" s="101"/>
      <c r="F35" s="101"/>
      <c r="G35" s="101"/>
    </row>
    <row r="36" spans="1:11">
      <c r="A36" s="52" t="s">
        <v>184</v>
      </c>
      <c r="B36" s="134"/>
      <c r="C36" s="53" t="s">
        <v>437</v>
      </c>
      <c r="D36" s="53" t="s">
        <v>52</v>
      </c>
      <c r="E36" s="52" t="s">
        <v>430</v>
      </c>
      <c r="F36" s="52"/>
      <c r="G36" s="52" t="s">
        <v>438</v>
      </c>
    </row>
    <row r="37" spans="1:11">
      <c r="A37" s="52" t="s">
        <v>3</v>
      </c>
      <c r="B37" s="134"/>
      <c r="C37" s="144">
        <v>40</v>
      </c>
      <c r="D37" s="53" t="s">
        <v>13</v>
      </c>
      <c r="E37" s="125">
        <v>165</v>
      </c>
      <c r="F37" s="52"/>
      <c r="G37" s="178">
        <v>64</v>
      </c>
    </row>
    <row r="38" spans="1:11">
      <c r="A38" s="52" t="s">
        <v>185</v>
      </c>
      <c r="B38" s="134"/>
      <c r="C38" s="144">
        <v>58</v>
      </c>
      <c r="D38" s="53" t="s">
        <v>13</v>
      </c>
      <c r="E38" s="125">
        <v>268</v>
      </c>
      <c r="F38" s="52"/>
      <c r="G38" s="178">
        <v>64</v>
      </c>
    </row>
    <row r="39" spans="1:11">
      <c r="A39" s="101" t="s">
        <v>53</v>
      </c>
      <c r="B39" s="101"/>
      <c r="C39" s="101"/>
      <c r="D39" s="101"/>
      <c r="E39" s="101"/>
      <c r="F39" s="101"/>
      <c r="G39" s="101"/>
      <c r="J39" s="54" t="s">
        <v>186</v>
      </c>
    </row>
    <row r="40" spans="1:11">
      <c r="A40" s="52" t="s">
        <v>54</v>
      </c>
      <c r="B40" s="52"/>
      <c r="C40" s="52"/>
      <c r="D40" s="52"/>
      <c r="E40" s="52"/>
      <c r="F40" s="52"/>
      <c r="G40" s="129">
        <v>3944</v>
      </c>
      <c r="H40" s="54" t="s">
        <v>163</v>
      </c>
      <c r="J40" s="130">
        <f>+G40*2.471</f>
        <v>9745.6239999999998</v>
      </c>
    </row>
    <row r="41" spans="1:11">
      <c r="A41" s="52" t="s">
        <v>55</v>
      </c>
      <c r="B41" s="52"/>
      <c r="C41" s="52"/>
      <c r="D41" s="52"/>
      <c r="E41" s="52"/>
      <c r="F41" s="52"/>
      <c r="G41" s="147">
        <v>82</v>
      </c>
      <c r="J41" s="130"/>
    </row>
    <row r="42" spans="1:11">
      <c r="A42" s="52" t="s">
        <v>56</v>
      </c>
      <c r="B42" s="52"/>
      <c r="C42" s="52"/>
      <c r="D42" s="52"/>
      <c r="E42" s="52"/>
      <c r="F42" s="52"/>
      <c r="G42" s="131">
        <f>SUM(G40*G41)</f>
        <v>323408</v>
      </c>
      <c r="J42" s="130">
        <f t="shared" ref="J42:J44" si="2">+G42*2.471</f>
        <v>799141.16800000006</v>
      </c>
    </row>
    <row r="43" spans="1:11">
      <c r="A43" s="52" t="s">
        <v>57</v>
      </c>
      <c r="B43" s="52"/>
      <c r="C43" s="52"/>
      <c r="D43" s="52"/>
      <c r="E43" s="52"/>
      <c r="F43" s="52"/>
      <c r="G43" s="131">
        <f>SUM(G42-K19)</f>
        <v>120919</v>
      </c>
      <c r="J43" s="130">
        <f t="shared" si="2"/>
        <v>298790.84899999999</v>
      </c>
    </row>
    <row r="44" spans="1:11">
      <c r="A44" s="52" t="s">
        <v>58</v>
      </c>
      <c r="B44" s="52"/>
      <c r="C44" s="52"/>
      <c r="D44" s="52"/>
      <c r="E44" s="52"/>
      <c r="F44" s="52"/>
      <c r="G44" s="131">
        <f>SUM(G42-K20)</f>
        <v>188822</v>
      </c>
      <c r="J44" s="130">
        <f t="shared" si="2"/>
        <v>466579.16200000001</v>
      </c>
    </row>
    <row r="45" spans="1:11">
      <c r="A45" s="52" t="s">
        <v>59</v>
      </c>
      <c r="B45" s="52"/>
      <c r="C45" s="52"/>
      <c r="D45" s="52"/>
      <c r="E45" s="52"/>
      <c r="F45" s="52"/>
      <c r="G45" s="131">
        <f>SUM(K19/G40)</f>
        <v>51.341024340770794</v>
      </c>
    </row>
    <row r="46" spans="1:11">
      <c r="A46" s="103" t="s">
        <v>60</v>
      </c>
      <c r="B46" s="103"/>
      <c r="C46" s="103"/>
      <c r="D46" s="103"/>
      <c r="E46" s="103"/>
      <c r="F46" s="103"/>
      <c r="G46" s="148">
        <f>SUM(K20/G40)</f>
        <v>34.124239350912781</v>
      </c>
    </row>
    <row r="48" spans="1:11">
      <c r="A48" s="54" t="s">
        <v>164</v>
      </c>
    </row>
    <row r="49" spans="2:7">
      <c r="B49" s="54" t="s">
        <v>439</v>
      </c>
    </row>
    <row r="57" spans="2:7">
      <c r="G57" s="54" t="s">
        <v>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7"/>
  <sheetViews>
    <sheetView workbookViewId="0">
      <selection sqref="A1:XFD1048576"/>
    </sheetView>
  </sheetViews>
  <sheetFormatPr defaultRowHeight="14.25"/>
  <cols>
    <col min="1" max="1" width="9.140625" style="54"/>
    <col min="2" max="2" width="8.28515625" style="54" customWidth="1"/>
    <col min="3" max="3" width="4" style="54" customWidth="1"/>
    <col min="4" max="4" width="5.28515625" style="54" customWidth="1"/>
    <col min="5" max="5" width="7" style="54" customWidth="1"/>
    <col min="6" max="6" width="6.5703125" style="54" customWidth="1"/>
    <col min="7" max="7" width="9.7109375" style="54" customWidth="1"/>
    <col min="8" max="8" width="9" style="54" customWidth="1"/>
    <col min="9" max="9" width="7.85546875" style="54" customWidth="1"/>
    <col min="10" max="10" width="9.42578125" style="54" customWidth="1"/>
    <col min="11" max="11" width="9.140625" style="54" customWidth="1"/>
    <col min="12" max="12" width="7.42578125" style="54" customWidth="1"/>
    <col min="13" max="13" width="6" style="54" customWidth="1"/>
    <col min="14" max="15" width="9.140625" style="54"/>
    <col min="16" max="16" width="6.85546875" style="54" customWidth="1"/>
    <col min="17" max="17" width="6" style="54" customWidth="1"/>
    <col min="18" max="16384" width="9.140625" style="54"/>
  </cols>
  <sheetData>
    <row r="1" spans="1:13">
      <c r="A1" s="54" t="s">
        <v>17</v>
      </c>
      <c r="B1" s="54" t="s">
        <v>440</v>
      </c>
    </row>
    <row r="2" spans="1:13">
      <c r="B2" s="54" t="s">
        <v>441</v>
      </c>
    </row>
    <row r="3" spans="1:13">
      <c r="B3" s="54" t="s">
        <v>168</v>
      </c>
    </row>
    <row r="4" spans="1:13">
      <c r="A4" s="101" t="s">
        <v>18</v>
      </c>
      <c r="B4" s="101"/>
      <c r="C4" s="101"/>
      <c r="D4" s="102" t="s">
        <v>19</v>
      </c>
      <c r="E4" s="102" t="s">
        <v>12</v>
      </c>
      <c r="F4" s="102" t="s">
        <v>20</v>
      </c>
      <c r="G4" s="102" t="s">
        <v>21</v>
      </c>
      <c r="H4" s="102" t="s">
        <v>22</v>
      </c>
      <c r="I4" s="102" t="s">
        <v>23</v>
      </c>
      <c r="J4" s="102" t="s">
        <v>24</v>
      </c>
      <c r="K4" s="102" t="s">
        <v>25</v>
      </c>
      <c r="L4" s="133" t="s">
        <v>26</v>
      </c>
      <c r="M4" s="102"/>
    </row>
    <row r="5" spans="1:13">
      <c r="A5" s="52"/>
      <c r="B5" s="52"/>
      <c r="C5" s="52"/>
      <c r="D5" s="53" t="s">
        <v>27</v>
      </c>
      <c r="E5" s="53" t="s">
        <v>28</v>
      </c>
      <c r="F5" s="53" t="s">
        <v>28</v>
      </c>
      <c r="G5" s="53" t="s">
        <v>29</v>
      </c>
      <c r="H5" s="53" t="s">
        <v>30</v>
      </c>
      <c r="I5" s="53" t="s">
        <v>31</v>
      </c>
      <c r="J5" s="53" t="s">
        <v>30</v>
      </c>
      <c r="K5" s="53" t="s">
        <v>30</v>
      </c>
      <c r="L5" s="134" t="s">
        <v>23</v>
      </c>
      <c r="M5" s="53" t="s">
        <v>24</v>
      </c>
    </row>
    <row r="6" spans="1:13">
      <c r="A6" s="52"/>
      <c r="B6" s="52"/>
      <c r="C6" s="52"/>
      <c r="D6" s="53" t="s">
        <v>32</v>
      </c>
      <c r="E6" s="53"/>
      <c r="F6" s="53"/>
      <c r="G6" s="53"/>
      <c r="H6" s="53" t="s">
        <v>33</v>
      </c>
      <c r="I6" s="53" t="s">
        <v>30</v>
      </c>
      <c r="J6" s="53" t="s">
        <v>33</v>
      </c>
      <c r="K6" s="53" t="s">
        <v>33</v>
      </c>
      <c r="L6" s="53"/>
      <c r="M6" s="53"/>
    </row>
    <row r="7" spans="1:13">
      <c r="A7" s="103"/>
      <c r="B7" s="103"/>
      <c r="C7" s="103"/>
      <c r="D7" s="104"/>
      <c r="E7" s="104"/>
      <c r="F7" s="104"/>
      <c r="G7" s="104"/>
      <c r="H7" s="104"/>
      <c r="I7" s="104" t="s">
        <v>33</v>
      </c>
      <c r="J7" s="104"/>
      <c r="K7" s="104"/>
      <c r="L7" s="104"/>
      <c r="M7" s="104"/>
    </row>
    <row r="8" spans="1:13">
      <c r="A8" s="54" t="s">
        <v>15</v>
      </c>
      <c r="D8" s="135">
        <v>90</v>
      </c>
      <c r="E8" s="55">
        <v>9.1</v>
      </c>
      <c r="F8" s="55">
        <f>2.6+0.5</f>
        <v>3.1</v>
      </c>
      <c r="G8" s="136">
        <v>1115</v>
      </c>
      <c r="H8" s="55">
        <v>10147</v>
      </c>
      <c r="J8" s="55"/>
      <c r="K8" s="55">
        <f t="shared" ref="K8:K17" si="0">SUM(H8:J8)</f>
        <v>10147</v>
      </c>
    </row>
    <row r="9" spans="1:13">
      <c r="A9" s="54" t="s">
        <v>170</v>
      </c>
      <c r="D9" s="135">
        <v>88</v>
      </c>
      <c r="E9" s="55">
        <v>0.5</v>
      </c>
      <c r="F9" s="55">
        <v>0.5</v>
      </c>
      <c r="G9" s="136">
        <v>1000</v>
      </c>
      <c r="H9" s="55">
        <f>G9*E9</f>
        <v>500</v>
      </c>
      <c r="I9" s="55">
        <v>11225</v>
      </c>
      <c r="J9" s="55"/>
      <c r="K9" s="55">
        <f t="shared" si="0"/>
        <v>11725</v>
      </c>
      <c r="L9" s="55">
        <v>2226</v>
      </c>
    </row>
    <row r="10" spans="1:13">
      <c r="A10" s="54" t="s">
        <v>442</v>
      </c>
      <c r="D10" s="135" t="s">
        <v>443</v>
      </c>
      <c r="E10" s="55" t="s">
        <v>444</v>
      </c>
      <c r="F10" s="55" t="s">
        <v>445</v>
      </c>
      <c r="G10" s="136">
        <v>1150</v>
      </c>
      <c r="H10" s="55" t="s">
        <v>446</v>
      </c>
      <c r="I10" s="55"/>
      <c r="J10" s="55"/>
      <c r="K10" s="55">
        <v>0</v>
      </c>
      <c r="L10" s="55"/>
    </row>
    <row r="11" spans="1:13">
      <c r="A11" s="54" t="s">
        <v>171</v>
      </c>
      <c r="D11" s="135">
        <v>100</v>
      </c>
      <c r="E11" s="55">
        <v>12.9</v>
      </c>
      <c r="F11" s="55">
        <f>3.5+0.67</f>
        <v>4.17</v>
      </c>
      <c r="G11" s="136">
        <v>1138</v>
      </c>
      <c r="H11" s="55">
        <v>14680</v>
      </c>
      <c r="I11" s="55"/>
      <c r="J11" s="55"/>
      <c r="K11" s="55">
        <f t="shared" si="0"/>
        <v>14680</v>
      </c>
      <c r="L11" s="55"/>
    </row>
    <row r="12" spans="1:13">
      <c r="A12" s="54" t="s">
        <v>257</v>
      </c>
      <c r="D12" s="135">
        <v>100</v>
      </c>
      <c r="E12" s="55">
        <v>18.55</v>
      </c>
      <c r="F12" s="55">
        <v>8.6</v>
      </c>
      <c r="G12" s="136">
        <v>1089</v>
      </c>
      <c r="H12" s="55">
        <v>20201</v>
      </c>
      <c r="I12" s="55"/>
      <c r="J12" s="55">
        <f>SUM(E26*G26)</f>
        <v>159140</v>
      </c>
      <c r="K12" s="55">
        <f>SUM(H12:J12)</f>
        <v>179341</v>
      </c>
      <c r="L12" s="55"/>
    </row>
    <row r="13" spans="1:13">
      <c r="A13" s="54" t="s">
        <v>1</v>
      </c>
      <c r="D13" s="135">
        <v>100</v>
      </c>
      <c r="E13" s="55">
        <v>5.7</v>
      </c>
      <c r="F13" s="55">
        <f>3.7+1.4</f>
        <v>5.0999999999999996</v>
      </c>
      <c r="G13" s="136">
        <v>1063</v>
      </c>
      <c r="H13" s="55">
        <v>6059</v>
      </c>
      <c r="I13" s="55"/>
      <c r="J13" s="55">
        <f>SUM(E35*G35+E36*G36+E37*G37)</f>
        <v>46409</v>
      </c>
      <c r="K13" s="55">
        <f t="shared" si="0"/>
        <v>52468</v>
      </c>
      <c r="L13" s="55"/>
    </row>
    <row r="14" spans="1:13">
      <c r="A14" s="54" t="s">
        <v>176</v>
      </c>
      <c r="D14" s="135">
        <v>100</v>
      </c>
      <c r="E14" s="55">
        <v>11.4</v>
      </c>
      <c r="F14" s="55">
        <f>3.2+1.2</f>
        <v>4.4000000000000004</v>
      </c>
      <c r="G14" s="136">
        <v>980</v>
      </c>
      <c r="H14" s="55">
        <f t="shared" ref="H14:H16" si="1">G14*E14</f>
        <v>11172</v>
      </c>
      <c r="I14" s="55"/>
      <c r="K14" s="55">
        <f t="shared" si="0"/>
        <v>11172</v>
      </c>
      <c r="L14" s="55"/>
    </row>
    <row r="15" spans="1:13">
      <c r="A15" s="54" t="s">
        <v>36</v>
      </c>
      <c r="D15" s="135">
        <v>100</v>
      </c>
      <c r="E15" s="55">
        <v>10.4</v>
      </c>
      <c r="F15" s="55">
        <v>10</v>
      </c>
      <c r="G15" s="136">
        <v>1000</v>
      </c>
      <c r="H15" s="55">
        <f t="shared" si="1"/>
        <v>10400</v>
      </c>
      <c r="I15" s="55"/>
      <c r="J15" s="55">
        <v>17755</v>
      </c>
      <c r="K15" s="55">
        <f>SUM(H15:J15)</f>
        <v>28155</v>
      </c>
      <c r="L15" s="55"/>
    </row>
    <row r="16" spans="1:13">
      <c r="A16" s="54" t="s">
        <v>435</v>
      </c>
      <c r="D16" s="135">
        <v>100</v>
      </c>
      <c r="E16" s="57">
        <v>23.39</v>
      </c>
      <c r="F16" s="55">
        <v>23.39</v>
      </c>
      <c r="G16" s="136">
        <v>1000</v>
      </c>
      <c r="H16" s="55">
        <f t="shared" si="1"/>
        <v>23390</v>
      </c>
      <c r="I16" s="55">
        <v>6949</v>
      </c>
      <c r="J16" s="55"/>
      <c r="K16" s="55">
        <f t="shared" si="0"/>
        <v>30339</v>
      </c>
      <c r="L16" s="55"/>
    </row>
    <row r="17" spans="1:13">
      <c r="A17" s="54" t="s">
        <v>178</v>
      </c>
      <c r="D17" s="135">
        <v>100</v>
      </c>
      <c r="E17" s="55">
        <v>24.9</v>
      </c>
      <c r="F17" s="55">
        <f>5+3.1</f>
        <v>8.1</v>
      </c>
      <c r="G17" s="136">
        <v>1043</v>
      </c>
      <c r="H17" s="55">
        <v>25971</v>
      </c>
      <c r="I17" s="55"/>
      <c r="J17" s="55"/>
      <c r="K17" s="55">
        <f t="shared" si="0"/>
        <v>25971</v>
      </c>
      <c r="L17" s="55"/>
    </row>
    <row r="18" spans="1:13">
      <c r="A18" s="101" t="s">
        <v>38</v>
      </c>
      <c r="B18" s="101"/>
      <c r="C18" s="101"/>
      <c r="D18" s="137"/>
      <c r="E18" s="138">
        <f>SUM(E8:E17)</f>
        <v>116.84</v>
      </c>
      <c r="F18" s="138">
        <f>SUM(F8:F17)</f>
        <v>67.36</v>
      </c>
      <c r="G18" s="138"/>
      <c r="H18" s="138">
        <f>SUM(H8:H17)</f>
        <v>122520</v>
      </c>
      <c r="I18" s="138">
        <f>SUM(I8:I17)</f>
        <v>18174</v>
      </c>
      <c r="J18" s="138">
        <f>SUM(J8:J17)</f>
        <v>223304</v>
      </c>
      <c r="K18" s="138">
        <f>SUM(H18:J18)</f>
        <v>363998</v>
      </c>
      <c r="L18" s="138">
        <f>SUM(L8:L17)</f>
        <v>2226</v>
      </c>
      <c r="M18" s="101">
        <f>SUM(M8:M17)</f>
        <v>0</v>
      </c>
    </row>
    <row r="19" spans="1:13">
      <c r="A19" s="103" t="s">
        <v>39</v>
      </c>
      <c r="B19" s="103"/>
      <c r="C19" s="103"/>
      <c r="D19" s="139"/>
      <c r="E19" s="140">
        <f>SUM(E18-F18)</f>
        <v>49.480000000000004</v>
      </c>
      <c r="F19" s="140"/>
      <c r="G19" s="140"/>
      <c r="H19" s="140">
        <f>SUM(E30*G30)</f>
        <v>51744</v>
      </c>
      <c r="I19" s="140">
        <f>I18-L18</f>
        <v>15948</v>
      </c>
      <c r="J19" s="140">
        <f>J18-M18</f>
        <v>223304</v>
      </c>
      <c r="K19" s="140">
        <f>SUM(H19:J19)</f>
        <v>290996</v>
      </c>
      <c r="L19" s="103"/>
      <c r="M19" s="103"/>
    </row>
    <row r="21" spans="1:13">
      <c r="C21" s="54" t="s">
        <v>40</v>
      </c>
    </row>
    <row r="23" spans="1:13">
      <c r="A23" s="54" t="s">
        <v>41</v>
      </c>
    </row>
    <row r="24" spans="1:13">
      <c r="A24" s="120" t="s">
        <v>42</v>
      </c>
      <c r="B24" s="120"/>
      <c r="C24" s="120"/>
      <c r="D24" s="120" t="s">
        <v>7</v>
      </c>
      <c r="E24" s="120" t="s">
        <v>43</v>
      </c>
      <c r="F24" s="120"/>
      <c r="G24" s="120" t="s">
        <v>44</v>
      </c>
      <c r="K24" s="141"/>
    </row>
    <row r="25" spans="1:13">
      <c r="A25" s="54" t="s">
        <v>45</v>
      </c>
      <c r="K25" s="141"/>
    </row>
    <row r="26" spans="1:13">
      <c r="A26" s="54" t="s">
        <v>14</v>
      </c>
      <c r="D26" s="54" t="s">
        <v>13</v>
      </c>
      <c r="E26" s="55">
        <v>730</v>
      </c>
      <c r="F26" s="55"/>
      <c r="G26" s="55">
        <v>218</v>
      </c>
      <c r="J26" s="126" t="s">
        <v>447</v>
      </c>
      <c r="K26" s="143">
        <v>1</v>
      </c>
    </row>
    <row r="27" spans="1:13">
      <c r="K27" s="141"/>
    </row>
    <row r="29" spans="1:13">
      <c r="A29" s="54" t="s">
        <v>46</v>
      </c>
      <c r="J29" s="126" t="s">
        <v>120</v>
      </c>
      <c r="K29" s="126">
        <v>0.5</v>
      </c>
    </row>
    <row r="30" spans="1:13">
      <c r="A30" s="54" t="s">
        <v>47</v>
      </c>
      <c r="D30" s="54" t="s">
        <v>48</v>
      </c>
      <c r="E30" s="55">
        <v>49</v>
      </c>
      <c r="G30" s="55">
        <v>1056</v>
      </c>
      <c r="J30" s="126" t="s">
        <v>121</v>
      </c>
      <c r="K30" s="126">
        <v>0.25</v>
      </c>
    </row>
    <row r="31" spans="1:13">
      <c r="A31" s="54" t="s">
        <v>49</v>
      </c>
      <c r="D31" s="54" t="s">
        <v>48</v>
      </c>
      <c r="E31" s="55">
        <v>67</v>
      </c>
    </row>
    <row r="32" spans="1:13">
      <c r="A32" s="54" t="s">
        <v>12</v>
      </c>
      <c r="E32" s="55">
        <f>SUM(E30:E31)</f>
        <v>116</v>
      </c>
      <c r="K32" s="306"/>
    </row>
    <row r="34" spans="1:9">
      <c r="A34" s="101" t="s">
        <v>50</v>
      </c>
      <c r="B34" s="101"/>
      <c r="C34" s="101" t="s">
        <v>51</v>
      </c>
      <c r="D34" s="102"/>
      <c r="E34" s="101"/>
      <c r="F34" s="101"/>
      <c r="G34" s="101"/>
    </row>
    <row r="35" spans="1:9">
      <c r="A35" s="52" t="s">
        <v>184</v>
      </c>
      <c r="B35" s="134"/>
      <c r="C35" s="144">
        <v>58</v>
      </c>
      <c r="D35" s="53" t="s">
        <v>52</v>
      </c>
      <c r="E35" s="178">
        <v>31</v>
      </c>
      <c r="F35" s="178"/>
      <c r="G35" s="178">
        <v>199</v>
      </c>
    </row>
    <row r="36" spans="1:9">
      <c r="A36" s="52" t="s">
        <v>448</v>
      </c>
      <c r="B36" s="134"/>
      <c r="C36" s="144">
        <v>100</v>
      </c>
      <c r="D36" s="53" t="s">
        <v>13</v>
      </c>
      <c r="E36" s="178">
        <v>432</v>
      </c>
      <c r="F36" s="178"/>
      <c r="G36" s="178">
        <v>65</v>
      </c>
    </row>
    <row r="37" spans="1:9">
      <c r="A37" s="52" t="s">
        <v>3</v>
      </c>
      <c r="B37" s="134"/>
      <c r="C37" s="144">
        <v>40</v>
      </c>
      <c r="D37" s="53" t="s">
        <v>13</v>
      </c>
      <c r="E37" s="178">
        <v>190</v>
      </c>
      <c r="F37" s="178"/>
      <c r="G37" s="178">
        <v>64</v>
      </c>
    </row>
    <row r="38" spans="1:9">
      <c r="A38" s="101" t="s">
        <v>53</v>
      </c>
      <c r="B38" s="101"/>
      <c r="C38" s="101"/>
      <c r="D38" s="101"/>
      <c r="E38" s="101"/>
      <c r="F38" s="101"/>
      <c r="G38" s="101"/>
      <c r="I38" s="54" t="s">
        <v>186</v>
      </c>
    </row>
    <row r="39" spans="1:9">
      <c r="A39" s="52" t="s">
        <v>54</v>
      </c>
      <c r="B39" s="52"/>
      <c r="C39" s="52"/>
      <c r="D39" s="52"/>
      <c r="E39" s="52"/>
      <c r="F39" s="52"/>
      <c r="G39" s="191">
        <v>6996</v>
      </c>
      <c r="I39" s="130">
        <f>+G39*2.471</f>
        <v>17287.116000000002</v>
      </c>
    </row>
    <row r="40" spans="1:9">
      <c r="A40" s="52" t="s">
        <v>55</v>
      </c>
      <c r="B40" s="52"/>
      <c r="C40" s="52"/>
      <c r="D40" s="52"/>
      <c r="E40" s="52"/>
      <c r="F40" s="52"/>
      <c r="G40" s="131">
        <v>82</v>
      </c>
      <c r="I40" s="130"/>
    </row>
    <row r="41" spans="1:9">
      <c r="A41" s="52" t="s">
        <v>56</v>
      </c>
      <c r="B41" s="52"/>
      <c r="C41" s="52"/>
      <c r="D41" s="52"/>
      <c r="E41" s="52"/>
      <c r="F41" s="52"/>
      <c r="G41" s="131">
        <f>SUM(G39*G40)</f>
        <v>573672</v>
      </c>
      <c r="I41" s="130">
        <f>+G41*2.471</f>
        <v>1417543.5120000001</v>
      </c>
    </row>
    <row r="42" spans="1:9">
      <c r="A42" s="52" t="s">
        <v>57</v>
      </c>
      <c r="B42" s="52"/>
      <c r="C42" s="52"/>
      <c r="D42" s="52"/>
      <c r="E42" s="52"/>
      <c r="F42" s="52"/>
      <c r="G42" s="131">
        <f>SUM(G41-K18)</f>
        <v>209674</v>
      </c>
      <c r="I42" s="130">
        <f t="shared" ref="I42:I43" si="2">+G42*2.471</f>
        <v>518104.45400000003</v>
      </c>
    </row>
    <row r="43" spans="1:9">
      <c r="A43" s="52" t="s">
        <v>58</v>
      </c>
      <c r="B43" s="52"/>
      <c r="C43" s="52"/>
      <c r="D43" s="52"/>
      <c r="E43" s="52"/>
      <c r="F43" s="52"/>
      <c r="G43" s="131">
        <f>SUM(G41-K19)</f>
        <v>282676</v>
      </c>
      <c r="I43" s="130">
        <f t="shared" si="2"/>
        <v>698492.39600000007</v>
      </c>
    </row>
    <row r="44" spans="1:9">
      <c r="A44" s="52"/>
      <c r="B44" s="52"/>
      <c r="C44" s="52"/>
      <c r="D44" s="52"/>
      <c r="E44" s="52"/>
      <c r="F44" s="52"/>
      <c r="G44" s="131"/>
    </row>
    <row r="45" spans="1:9">
      <c r="A45" s="52" t="s">
        <v>59</v>
      </c>
      <c r="B45" s="52"/>
      <c r="C45" s="52"/>
      <c r="D45" s="52"/>
      <c r="E45" s="52"/>
      <c r="F45" s="52"/>
      <c r="G45" s="131">
        <f>SUM(K18/G39)</f>
        <v>52.029445397369926</v>
      </c>
    </row>
    <row r="46" spans="1:9">
      <c r="A46" s="103" t="s">
        <v>60</v>
      </c>
      <c r="B46" s="103"/>
      <c r="C46" s="103"/>
      <c r="D46" s="103"/>
      <c r="E46" s="103"/>
      <c r="F46" s="103"/>
      <c r="G46" s="148">
        <f>SUM(K19/G39)</f>
        <v>41.594625500285879</v>
      </c>
    </row>
    <row r="48" spans="1:9">
      <c r="A48" s="54" t="s">
        <v>164</v>
      </c>
    </row>
    <row r="57" spans="7:7">
      <c r="G57" s="54" t="s">
        <v>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59"/>
  <sheetViews>
    <sheetView workbookViewId="0">
      <selection sqref="A1:XFD1048576"/>
    </sheetView>
  </sheetViews>
  <sheetFormatPr defaultRowHeight="12.75"/>
  <cols>
    <col min="1" max="16384" width="9.140625" style="7"/>
  </cols>
  <sheetData>
    <row r="1" spans="1:17" ht="16.5">
      <c r="A1" s="6" t="s">
        <v>17</v>
      </c>
      <c r="B1" s="6" t="s">
        <v>449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7" ht="16.5">
      <c r="A2" s="6"/>
      <c r="B2" s="6" t="s">
        <v>62</v>
      </c>
      <c r="C2" s="6"/>
      <c r="D2" s="6" t="s">
        <v>67</v>
      </c>
      <c r="E2" s="6"/>
      <c r="F2" s="6"/>
      <c r="G2" s="6"/>
      <c r="H2" s="6" t="s">
        <v>450</v>
      </c>
      <c r="I2" s="6"/>
      <c r="J2" s="6"/>
      <c r="K2" s="6"/>
      <c r="L2" s="6"/>
      <c r="M2" s="6"/>
    </row>
    <row r="3" spans="1:17">
      <c r="A3" s="8" t="s">
        <v>18</v>
      </c>
      <c r="B3" s="8"/>
      <c r="C3" s="8"/>
      <c r="D3" s="9" t="s">
        <v>19</v>
      </c>
      <c r="E3" s="9" t="s">
        <v>12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9" t="s">
        <v>25</v>
      </c>
      <c r="L3" s="10" t="s">
        <v>26</v>
      </c>
      <c r="M3" s="9"/>
    </row>
    <row r="4" spans="1:17">
      <c r="A4" s="11"/>
      <c r="B4" s="11"/>
      <c r="C4" s="11"/>
      <c r="D4" s="12" t="s">
        <v>27</v>
      </c>
      <c r="E4" s="12" t="s">
        <v>28</v>
      </c>
      <c r="F4" s="12" t="s">
        <v>28</v>
      </c>
      <c r="G4" s="12" t="s">
        <v>29</v>
      </c>
      <c r="H4" s="12" t="s">
        <v>30</v>
      </c>
      <c r="I4" s="12" t="s">
        <v>31</v>
      </c>
      <c r="J4" s="12" t="s">
        <v>30</v>
      </c>
      <c r="K4" s="12" t="s">
        <v>30</v>
      </c>
      <c r="L4" s="12" t="s">
        <v>23</v>
      </c>
      <c r="M4" s="12" t="s">
        <v>24</v>
      </c>
    </row>
    <row r="5" spans="1:17">
      <c r="A5" s="11"/>
      <c r="B5" s="11"/>
      <c r="C5" s="11"/>
      <c r="D5" s="12" t="s">
        <v>32</v>
      </c>
      <c r="E5" s="12"/>
      <c r="F5" s="12"/>
      <c r="G5" s="12"/>
      <c r="H5" s="12" t="s">
        <v>33</v>
      </c>
      <c r="I5" s="12" t="s">
        <v>30</v>
      </c>
      <c r="J5" s="12" t="s">
        <v>33</v>
      </c>
      <c r="K5" s="12" t="s">
        <v>33</v>
      </c>
      <c r="L5" s="12"/>
      <c r="M5" s="12"/>
    </row>
    <row r="6" spans="1:17">
      <c r="A6" s="13"/>
      <c r="B6" s="13"/>
      <c r="C6" s="13"/>
      <c r="D6" s="14"/>
      <c r="E6" s="14"/>
      <c r="F6" s="14"/>
      <c r="G6" s="14"/>
      <c r="H6" s="14"/>
      <c r="I6" s="14" t="s">
        <v>33</v>
      </c>
      <c r="J6" s="14"/>
      <c r="K6" s="14"/>
      <c r="L6" s="14"/>
      <c r="M6" s="14"/>
    </row>
    <row r="7" spans="1:17">
      <c r="A7" s="7" t="s">
        <v>15</v>
      </c>
      <c r="D7" s="15">
        <v>84</v>
      </c>
      <c r="E7" s="16">
        <v>8.2200000000000006</v>
      </c>
      <c r="F7" s="16">
        <v>1.57</v>
      </c>
      <c r="G7" s="17">
        <v>1200</v>
      </c>
      <c r="H7" s="16">
        <f>E7*G7</f>
        <v>9864</v>
      </c>
      <c r="I7" s="16"/>
      <c r="J7" s="16"/>
      <c r="K7" s="16">
        <f>H7+I7+J7</f>
        <v>9864</v>
      </c>
      <c r="L7" s="16"/>
      <c r="M7" s="16"/>
      <c r="P7" s="16"/>
      <c r="Q7" s="16"/>
    </row>
    <row r="8" spans="1:17">
      <c r="A8" s="7" t="s">
        <v>83</v>
      </c>
      <c r="D8" s="35">
        <v>90</v>
      </c>
      <c r="E8" s="16">
        <v>0.4</v>
      </c>
      <c r="F8" s="16">
        <v>0.4</v>
      </c>
      <c r="G8" s="17">
        <v>1000</v>
      </c>
      <c r="H8" s="16">
        <f>E8*G8</f>
        <v>400</v>
      </c>
      <c r="I8" s="16">
        <v>7780</v>
      </c>
      <c r="J8" s="16"/>
      <c r="K8" s="16">
        <f t="shared" ref="K8:K16" si="0">H8+I8+J8</f>
        <v>8180</v>
      </c>
      <c r="L8" s="16">
        <v>3405</v>
      </c>
      <c r="M8" s="16"/>
      <c r="P8" s="16"/>
      <c r="Q8" s="16"/>
    </row>
    <row r="9" spans="1:17">
      <c r="A9" s="7" t="s">
        <v>429</v>
      </c>
      <c r="D9" s="33" t="s">
        <v>195</v>
      </c>
      <c r="E9" s="58" t="s">
        <v>451</v>
      </c>
      <c r="F9" s="16" t="s">
        <v>452</v>
      </c>
      <c r="G9" s="40" t="s">
        <v>453</v>
      </c>
      <c r="H9" s="39" t="s">
        <v>454</v>
      </c>
      <c r="I9" s="16"/>
      <c r="J9" s="16"/>
      <c r="K9" s="16">
        <v>0</v>
      </c>
      <c r="L9" s="16"/>
      <c r="M9" s="16"/>
      <c r="P9" s="37"/>
      <c r="Q9" s="37"/>
    </row>
    <row r="10" spans="1:17">
      <c r="A10" s="7" t="s">
        <v>455</v>
      </c>
      <c r="D10" s="15">
        <v>100</v>
      </c>
      <c r="E10" s="16">
        <v>10.51</v>
      </c>
      <c r="F10" s="16">
        <v>1.1200000000000001</v>
      </c>
      <c r="G10" s="17">
        <v>1200</v>
      </c>
      <c r="H10" s="16">
        <f>E10*G10</f>
        <v>12612</v>
      </c>
      <c r="I10" s="16"/>
      <c r="J10" s="16" t="s">
        <v>456</v>
      </c>
      <c r="K10" s="16">
        <v>16333</v>
      </c>
      <c r="L10" s="16"/>
      <c r="M10" s="16"/>
      <c r="P10" s="16"/>
      <c r="Q10" s="16"/>
    </row>
    <row r="11" spans="1:17">
      <c r="A11" s="7" t="s">
        <v>34</v>
      </c>
      <c r="D11" s="15">
        <v>100</v>
      </c>
      <c r="E11" s="18">
        <v>11.18</v>
      </c>
      <c r="F11" s="16">
        <v>1.9</v>
      </c>
      <c r="G11" s="17">
        <v>1300</v>
      </c>
      <c r="H11" s="16">
        <f t="shared" ref="H11:H16" si="1">E11*G11</f>
        <v>14534</v>
      </c>
      <c r="I11" s="16"/>
      <c r="J11" s="16">
        <f>E24*G24</f>
        <v>184184</v>
      </c>
      <c r="K11" s="16">
        <f t="shared" si="0"/>
        <v>198718</v>
      </c>
      <c r="L11" s="16"/>
      <c r="M11" s="39">
        <v>4761</v>
      </c>
      <c r="P11" s="18"/>
      <c r="Q11" s="16"/>
    </row>
    <row r="12" spans="1:17">
      <c r="A12" s="7" t="s">
        <v>35</v>
      </c>
      <c r="D12" s="15">
        <v>100</v>
      </c>
      <c r="E12" s="18">
        <v>10.84</v>
      </c>
      <c r="F12" s="16">
        <v>1.49</v>
      </c>
      <c r="G12" s="17">
        <v>1300</v>
      </c>
      <c r="H12" s="16">
        <f t="shared" si="1"/>
        <v>14092</v>
      </c>
      <c r="I12" s="16"/>
      <c r="J12" s="16"/>
      <c r="K12" s="16">
        <f t="shared" si="0"/>
        <v>14092</v>
      </c>
      <c r="L12" s="16"/>
      <c r="M12" s="39"/>
      <c r="P12" s="18"/>
      <c r="Q12" s="16"/>
    </row>
    <row r="13" spans="1:17">
      <c r="A13" s="7" t="s">
        <v>1</v>
      </c>
      <c r="D13" s="15">
        <v>100</v>
      </c>
      <c r="E13" s="7">
        <v>11.59</v>
      </c>
      <c r="F13" s="16">
        <v>1.83</v>
      </c>
      <c r="G13" s="17">
        <v>1400</v>
      </c>
      <c r="H13" s="16">
        <f t="shared" si="1"/>
        <v>16226</v>
      </c>
      <c r="I13" s="16"/>
      <c r="J13" s="18">
        <f>E35*G35+E36*G36</f>
        <v>69252</v>
      </c>
      <c r="K13" s="16">
        <f t="shared" si="0"/>
        <v>85478</v>
      </c>
      <c r="L13" s="16"/>
      <c r="M13" s="39"/>
      <c r="Q13" s="16"/>
    </row>
    <row r="14" spans="1:17">
      <c r="A14" s="7" t="s">
        <v>36</v>
      </c>
      <c r="D14" s="15">
        <v>100</v>
      </c>
      <c r="E14" s="16">
        <v>10.43</v>
      </c>
      <c r="F14" s="16">
        <v>2.2200000000000002</v>
      </c>
      <c r="G14" s="17">
        <v>1400</v>
      </c>
      <c r="H14" s="16">
        <f t="shared" si="1"/>
        <v>14602</v>
      </c>
      <c r="I14" s="16"/>
      <c r="J14" s="16">
        <v>17106</v>
      </c>
      <c r="K14" s="16">
        <f t="shared" si="0"/>
        <v>31708</v>
      </c>
      <c r="L14" s="16"/>
      <c r="M14" s="39"/>
      <c r="P14" s="16"/>
      <c r="Q14" s="16"/>
    </row>
    <row r="15" spans="1:17">
      <c r="A15" s="7" t="s">
        <v>37</v>
      </c>
      <c r="D15" s="33">
        <v>100</v>
      </c>
      <c r="E15" s="16">
        <v>21.77</v>
      </c>
      <c r="F15" s="16">
        <v>10.58</v>
      </c>
      <c r="G15" s="17">
        <v>1200</v>
      </c>
      <c r="H15" s="16">
        <f t="shared" si="1"/>
        <v>26124</v>
      </c>
      <c r="I15" s="16">
        <v>11618</v>
      </c>
      <c r="J15" s="16"/>
      <c r="K15" s="16">
        <f t="shared" si="0"/>
        <v>37742</v>
      </c>
      <c r="L15" s="16"/>
      <c r="M15" s="39"/>
      <c r="P15" s="16"/>
      <c r="Q15" s="16"/>
    </row>
    <row r="16" spans="1:17">
      <c r="A16" s="7" t="s">
        <v>457</v>
      </c>
      <c r="D16" s="15">
        <v>100</v>
      </c>
      <c r="E16" s="16">
        <v>17.84</v>
      </c>
      <c r="F16" s="16">
        <v>0.97</v>
      </c>
      <c r="G16" s="17">
        <v>1300</v>
      </c>
      <c r="H16" s="16">
        <f t="shared" si="1"/>
        <v>23192</v>
      </c>
      <c r="I16" s="16"/>
      <c r="J16" s="16"/>
      <c r="K16" s="16">
        <f t="shared" si="0"/>
        <v>23192</v>
      </c>
      <c r="L16" s="16"/>
      <c r="M16" s="39"/>
      <c r="P16" s="16"/>
      <c r="Q16" s="16"/>
    </row>
    <row r="17" spans="1:16">
      <c r="A17" s="8" t="s">
        <v>38</v>
      </c>
      <c r="B17" s="8"/>
      <c r="C17" s="8"/>
      <c r="D17" s="19"/>
      <c r="E17" s="48">
        <v>102.78</v>
      </c>
      <c r="F17" s="48">
        <v>22.08</v>
      </c>
      <c r="G17" s="48"/>
      <c r="H17" s="48">
        <f>SUM(H7:H16)</f>
        <v>131646</v>
      </c>
      <c r="I17" s="48">
        <v>19398</v>
      </c>
      <c r="J17" s="48">
        <v>274263</v>
      </c>
      <c r="K17" s="48">
        <v>425307</v>
      </c>
      <c r="L17" s="48">
        <v>3405</v>
      </c>
      <c r="M17" s="41">
        <v>4761</v>
      </c>
      <c r="P17" s="16"/>
    </row>
    <row r="18" spans="1:16">
      <c r="A18" s="13" t="s">
        <v>39</v>
      </c>
      <c r="B18" s="13"/>
      <c r="C18" s="13"/>
      <c r="D18" s="20"/>
      <c r="E18" s="21">
        <f>E17-F17</f>
        <v>80.7</v>
      </c>
      <c r="F18" s="21"/>
      <c r="G18" s="21"/>
      <c r="H18" s="21">
        <f>E29*G29</f>
        <v>103518</v>
      </c>
      <c r="I18" s="21">
        <f>I17-L17</f>
        <v>15993</v>
      </c>
      <c r="J18" s="21">
        <f>J17-M17</f>
        <v>269502</v>
      </c>
      <c r="K18" s="21">
        <f>H18+I18+J18</f>
        <v>389013</v>
      </c>
      <c r="L18" s="21"/>
      <c r="M18" s="21"/>
    </row>
    <row r="19" spans="1:16">
      <c r="A19" s="7" t="s">
        <v>458</v>
      </c>
      <c r="I19" s="16"/>
      <c r="K19" s="39"/>
    </row>
    <row r="20" spans="1:16">
      <c r="C20" s="7" t="s">
        <v>40</v>
      </c>
      <c r="K20" s="16"/>
    </row>
    <row r="21" spans="1:16">
      <c r="I21" s="16"/>
    </row>
    <row r="22" spans="1:16" ht="13.5">
      <c r="A22" s="7" t="s">
        <v>41</v>
      </c>
      <c r="K22" s="4"/>
    </row>
    <row r="23" spans="1:16" ht="16.5">
      <c r="A23" s="23" t="s">
        <v>42</v>
      </c>
      <c r="B23" s="23"/>
      <c r="C23" s="23"/>
      <c r="D23" s="23" t="s">
        <v>7</v>
      </c>
      <c r="E23" s="23" t="s">
        <v>43</v>
      </c>
      <c r="F23" s="23"/>
      <c r="G23" s="23" t="s">
        <v>44</v>
      </c>
      <c r="I23" s="24"/>
      <c r="J23" s="307" t="s">
        <v>6</v>
      </c>
      <c r="K23" s="308" t="s">
        <v>63</v>
      </c>
      <c r="O23" s="62"/>
    </row>
    <row r="24" spans="1:16" ht="13.5">
      <c r="A24" s="7" t="s">
        <v>45</v>
      </c>
      <c r="D24" s="7" t="s">
        <v>13</v>
      </c>
      <c r="E24" s="18">
        <v>728</v>
      </c>
      <c r="F24" s="16"/>
      <c r="G24" s="16">
        <v>253</v>
      </c>
      <c r="H24" s="39"/>
      <c r="J24" s="66" t="s">
        <v>459</v>
      </c>
      <c r="K24" s="66">
        <v>93</v>
      </c>
    </row>
    <row r="25" spans="1:16" ht="13.5">
      <c r="E25" s="16"/>
      <c r="F25" s="16"/>
      <c r="G25" s="16"/>
      <c r="H25" s="39"/>
      <c r="J25" s="66" t="s">
        <v>183</v>
      </c>
      <c r="K25" s="66">
        <v>7</v>
      </c>
    </row>
    <row r="26" spans="1:16" ht="13.5">
      <c r="E26" s="18"/>
      <c r="F26" s="16"/>
      <c r="G26" s="3"/>
      <c r="H26" s="39"/>
      <c r="J26" s="64" t="s">
        <v>460</v>
      </c>
      <c r="K26" s="309">
        <v>1</v>
      </c>
    </row>
    <row r="27" spans="1:16" ht="13.5">
      <c r="E27" s="16"/>
      <c r="F27" s="16"/>
      <c r="G27" s="16"/>
      <c r="H27" s="39"/>
      <c r="J27" s="1"/>
      <c r="K27" s="25"/>
    </row>
    <row r="28" spans="1:16" ht="13.5">
      <c r="A28" s="7" t="s">
        <v>46</v>
      </c>
      <c r="E28" s="16"/>
      <c r="F28" s="16"/>
      <c r="G28" s="16"/>
      <c r="H28" s="39"/>
      <c r="J28" s="1"/>
      <c r="K28" s="26"/>
    </row>
    <row r="29" spans="1:16" ht="13.5">
      <c r="A29" s="7" t="s">
        <v>47</v>
      </c>
      <c r="D29" s="7" t="s">
        <v>48</v>
      </c>
      <c r="E29" s="16">
        <v>81</v>
      </c>
      <c r="F29" s="16"/>
      <c r="G29" s="18">
        <v>1278</v>
      </c>
      <c r="H29" s="39"/>
      <c r="J29" s="1"/>
      <c r="K29" s="26"/>
    </row>
    <row r="30" spans="1:16" ht="13.5">
      <c r="A30" s="7" t="s">
        <v>49</v>
      </c>
      <c r="D30" s="7" t="s">
        <v>48</v>
      </c>
      <c r="E30" s="16">
        <v>22</v>
      </c>
      <c r="F30" s="16"/>
      <c r="G30" s="16"/>
      <c r="H30" s="39"/>
      <c r="J30" s="64" t="s">
        <v>64</v>
      </c>
      <c r="K30" s="65">
        <v>0.9</v>
      </c>
    </row>
    <row r="31" spans="1:16" ht="13.5">
      <c r="A31" s="7" t="s">
        <v>12</v>
      </c>
      <c r="E31" s="16">
        <v>103</v>
      </c>
      <c r="F31" s="16"/>
      <c r="G31" s="16"/>
      <c r="H31" s="39"/>
      <c r="J31" s="66" t="s">
        <v>66</v>
      </c>
      <c r="K31" s="67" t="s">
        <v>461</v>
      </c>
    </row>
    <row r="32" spans="1:16" ht="13.5">
      <c r="E32" s="16"/>
      <c r="F32" s="16"/>
      <c r="G32" s="16"/>
      <c r="J32" s="1"/>
      <c r="K32" s="27"/>
    </row>
    <row r="33" spans="1:11" ht="15">
      <c r="A33" s="8" t="s">
        <v>50</v>
      </c>
      <c r="B33" s="8"/>
      <c r="C33" s="8" t="s">
        <v>51</v>
      </c>
      <c r="D33" s="8"/>
      <c r="E33" s="8"/>
      <c r="F33" s="8"/>
      <c r="G33" s="8"/>
      <c r="K33" s="45"/>
    </row>
    <row r="34" spans="1:11">
      <c r="A34" s="11"/>
      <c r="B34" s="28"/>
      <c r="C34" s="36"/>
      <c r="D34" s="11"/>
      <c r="E34" s="30"/>
      <c r="F34" s="11"/>
      <c r="G34" s="30"/>
      <c r="J34" s="16"/>
    </row>
    <row r="35" spans="1:11">
      <c r="A35" s="11" t="s">
        <v>81</v>
      </c>
      <c r="B35" s="28"/>
      <c r="C35" s="36">
        <v>0.46</v>
      </c>
      <c r="D35" s="11" t="s">
        <v>462</v>
      </c>
      <c r="E35" s="30">
        <v>3</v>
      </c>
      <c r="F35" s="30"/>
      <c r="G35" s="30">
        <v>14588</v>
      </c>
      <c r="H35" s="39"/>
    </row>
    <row r="36" spans="1:11">
      <c r="A36" s="11" t="s">
        <v>463</v>
      </c>
      <c r="B36" s="28"/>
      <c r="C36" s="36">
        <v>1</v>
      </c>
      <c r="D36" s="11" t="s">
        <v>13</v>
      </c>
      <c r="E36" s="63">
        <v>432</v>
      </c>
      <c r="F36" s="30"/>
      <c r="G36" s="30">
        <v>59</v>
      </c>
      <c r="H36" s="39"/>
    </row>
    <row r="37" spans="1:11">
      <c r="A37" s="11"/>
      <c r="B37" s="28"/>
      <c r="C37" s="29"/>
      <c r="D37" s="11"/>
      <c r="E37" s="30"/>
      <c r="F37" s="30"/>
      <c r="G37" s="30"/>
      <c r="H37" s="39"/>
    </row>
    <row r="38" spans="1:11">
      <c r="A38" s="11"/>
      <c r="B38" s="28"/>
      <c r="C38" s="29"/>
      <c r="D38" s="11"/>
      <c r="E38" s="310"/>
      <c r="F38" s="11"/>
      <c r="G38" s="11"/>
    </row>
    <row r="40" spans="1:11">
      <c r="A40" s="8" t="s">
        <v>53</v>
      </c>
      <c r="B40" s="8"/>
      <c r="C40" s="8"/>
      <c r="D40" s="8"/>
      <c r="E40" s="8"/>
      <c r="F40" s="8"/>
      <c r="G40" s="8"/>
      <c r="I40" s="7" t="s">
        <v>464</v>
      </c>
    </row>
    <row r="41" spans="1:11">
      <c r="A41" s="11" t="s">
        <v>54</v>
      </c>
      <c r="B41" s="11"/>
      <c r="C41" s="11"/>
      <c r="D41" s="11"/>
      <c r="E41" s="11"/>
      <c r="F41" s="11"/>
      <c r="G41" s="288">
        <v>7265</v>
      </c>
      <c r="I41" s="39">
        <f>G41*2.471</f>
        <v>17951.815000000002</v>
      </c>
    </row>
    <row r="42" spans="1:11">
      <c r="A42" s="11" t="s">
        <v>55</v>
      </c>
      <c r="B42" s="11"/>
      <c r="C42" s="11"/>
      <c r="D42" s="11"/>
      <c r="E42" s="11"/>
      <c r="F42" s="11"/>
      <c r="G42" s="30">
        <v>109</v>
      </c>
      <c r="I42" s="39"/>
    </row>
    <row r="43" spans="1:11">
      <c r="A43" s="11" t="s">
        <v>56</v>
      </c>
      <c r="B43" s="11"/>
      <c r="C43" s="11"/>
      <c r="D43" s="11"/>
      <c r="E43" s="11"/>
      <c r="F43" s="11"/>
      <c r="G43" s="30">
        <f>G41*G42</f>
        <v>791885</v>
      </c>
      <c r="I43" s="39">
        <f>G43*2.471</f>
        <v>1956747.835</v>
      </c>
    </row>
    <row r="44" spans="1:11">
      <c r="A44" s="11" t="s">
        <v>57</v>
      </c>
      <c r="B44" s="11"/>
      <c r="C44" s="11"/>
      <c r="D44" s="11"/>
      <c r="E44" s="11"/>
      <c r="F44" s="11"/>
      <c r="G44" s="30">
        <f>G43-K17</f>
        <v>366578</v>
      </c>
      <c r="I44" s="39">
        <f>G44*2.471</f>
        <v>905814.23800000001</v>
      </c>
    </row>
    <row r="45" spans="1:11">
      <c r="A45" s="11" t="s">
        <v>58</v>
      </c>
      <c r="B45" s="11"/>
      <c r="C45" s="11"/>
      <c r="D45" s="11"/>
      <c r="E45" s="11"/>
      <c r="F45" s="11"/>
      <c r="G45" s="30">
        <f>G43-K18</f>
        <v>402872</v>
      </c>
      <c r="H45" s="39"/>
      <c r="I45" s="39">
        <f>G45*2.471</f>
        <v>995496.71200000006</v>
      </c>
    </row>
    <row r="46" spans="1:11">
      <c r="A46" s="11"/>
      <c r="B46" s="11"/>
      <c r="C46" s="11"/>
      <c r="D46" s="11"/>
      <c r="E46" s="11"/>
      <c r="F46" s="11"/>
      <c r="G46" s="31"/>
    </row>
    <row r="47" spans="1:11">
      <c r="A47" s="11" t="s">
        <v>59</v>
      </c>
      <c r="B47" s="11"/>
      <c r="C47" s="11"/>
      <c r="D47" s="11"/>
      <c r="E47" s="11"/>
      <c r="F47" s="11"/>
      <c r="G47" s="31">
        <f>K17/G41</f>
        <v>58.541913282863042</v>
      </c>
    </row>
    <row r="48" spans="1:11">
      <c r="A48" s="13" t="s">
        <v>60</v>
      </c>
      <c r="B48" s="13"/>
      <c r="C48" s="13"/>
      <c r="D48" s="13"/>
      <c r="E48" s="13"/>
      <c r="F48" s="13"/>
      <c r="G48" s="32">
        <f>K18/G41</f>
        <v>53.546180316586373</v>
      </c>
    </row>
    <row r="51" spans="1:8" ht="21">
      <c r="A51" s="311"/>
      <c r="B51" s="311"/>
      <c r="C51" s="311"/>
      <c r="D51" s="311"/>
      <c r="E51" s="311"/>
      <c r="F51" s="311"/>
      <c r="G51" s="311"/>
      <c r="H51" s="311"/>
    </row>
    <row r="52" spans="1:8" ht="21">
      <c r="A52" s="311"/>
      <c r="B52" s="311"/>
      <c r="C52" s="311"/>
      <c r="D52" s="311"/>
      <c r="E52" s="311"/>
      <c r="F52" s="311"/>
      <c r="G52" s="311"/>
      <c r="H52" s="311"/>
    </row>
    <row r="53" spans="1:8" ht="21">
      <c r="A53" s="311"/>
      <c r="B53" s="311"/>
      <c r="C53" s="311"/>
      <c r="D53" s="311"/>
      <c r="E53" s="311"/>
      <c r="F53" s="311"/>
      <c r="G53" s="311"/>
      <c r="H53" s="311"/>
    </row>
    <row r="54" spans="1:8" ht="21">
      <c r="A54" s="311"/>
      <c r="B54" s="311"/>
      <c r="C54" s="311"/>
      <c r="D54" s="311"/>
      <c r="E54" s="311"/>
      <c r="F54" s="311"/>
      <c r="G54" s="311"/>
      <c r="H54" s="311"/>
    </row>
    <row r="55" spans="1:8" ht="21">
      <c r="A55" s="311"/>
      <c r="B55" s="311"/>
      <c r="C55" s="311"/>
      <c r="D55" s="311"/>
      <c r="E55" s="311"/>
      <c r="F55" s="311"/>
      <c r="G55" s="311"/>
      <c r="H55" s="311"/>
    </row>
    <row r="56" spans="1:8" ht="21">
      <c r="A56" s="311"/>
      <c r="B56" s="311"/>
      <c r="C56" s="311"/>
      <c r="D56" s="311"/>
      <c r="E56" s="311"/>
      <c r="F56" s="311"/>
      <c r="G56" s="311"/>
      <c r="H56" s="311"/>
    </row>
    <row r="59" spans="1:8">
      <c r="G59" s="7" t="s">
        <v>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60"/>
  <sheetViews>
    <sheetView tabSelected="1" workbookViewId="0">
      <selection activeCell="Q38" sqref="Q38"/>
    </sheetView>
  </sheetViews>
  <sheetFormatPr defaultColWidth="11" defaultRowHeight="12.75"/>
  <cols>
    <col min="1" max="1" width="11" style="7"/>
    <col min="2" max="2" width="11.28515625" style="7" customWidth="1"/>
    <col min="3" max="3" width="3.42578125" style="7" customWidth="1"/>
    <col min="4" max="4" width="4.42578125" style="70" customWidth="1"/>
    <col min="5" max="5" width="6.28515625" style="70" customWidth="1"/>
    <col min="6" max="6" width="5.7109375" style="70" customWidth="1"/>
    <col min="7" max="7" width="10.28515625" style="7" customWidth="1"/>
    <col min="8" max="8" width="8.85546875" style="7" customWidth="1"/>
    <col min="9" max="9" width="7.7109375" style="7" customWidth="1"/>
    <col min="10" max="10" width="8.28515625" style="7" customWidth="1"/>
    <col min="11" max="11" width="9.7109375" style="7" customWidth="1"/>
    <col min="12" max="12" width="5.42578125" style="7" customWidth="1"/>
    <col min="13" max="13" width="6.140625" style="7" customWidth="1"/>
    <col min="14" max="14" width="8.140625" style="7" customWidth="1"/>
    <col min="15" max="15" width="7.5703125" style="7" customWidth="1"/>
    <col min="16" max="17" width="5.28515625" style="7" customWidth="1"/>
    <col min="18" max="18" width="5.42578125" style="7" customWidth="1"/>
    <col min="19" max="256" width="11" style="7"/>
    <col min="257" max="257" width="8.7109375" style="7" customWidth="1"/>
    <col min="258" max="258" width="9.28515625" style="7" customWidth="1"/>
    <col min="259" max="259" width="7.5703125" style="7" customWidth="1"/>
    <col min="260" max="260" width="7.42578125" style="7" customWidth="1"/>
    <col min="261" max="261" width="7.28515625" style="7" customWidth="1"/>
    <col min="262" max="262" width="9" style="7" customWidth="1"/>
    <col min="263" max="263" width="10.5703125" style="7" customWidth="1"/>
    <col min="264" max="264" width="14.42578125" style="7" customWidth="1"/>
    <col min="265" max="512" width="11" style="7"/>
    <col min="513" max="513" width="8.7109375" style="7" customWidth="1"/>
    <col min="514" max="514" width="9.28515625" style="7" customWidth="1"/>
    <col min="515" max="515" width="7.5703125" style="7" customWidth="1"/>
    <col min="516" max="516" width="7.42578125" style="7" customWidth="1"/>
    <col min="517" max="517" width="7.28515625" style="7" customWidth="1"/>
    <col min="518" max="518" width="9" style="7" customWidth="1"/>
    <col min="519" max="519" width="10.5703125" style="7" customWidth="1"/>
    <col min="520" max="520" width="14.42578125" style="7" customWidth="1"/>
    <col min="521" max="768" width="11" style="7"/>
    <col min="769" max="769" width="8.7109375" style="7" customWidth="1"/>
    <col min="770" max="770" width="9.28515625" style="7" customWidth="1"/>
    <col min="771" max="771" width="7.5703125" style="7" customWidth="1"/>
    <col min="772" max="772" width="7.42578125" style="7" customWidth="1"/>
    <col min="773" max="773" width="7.28515625" style="7" customWidth="1"/>
    <col min="774" max="774" width="9" style="7" customWidth="1"/>
    <col min="775" max="775" width="10.5703125" style="7" customWidth="1"/>
    <col min="776" max="776" width="14.42578125" style="7" customWidth="1"/>
    <col min="777" max="1024" width="11" style="7"/>
    <col min="1025" max="1025" width="8.7109375" style="7" customWidth="1"/>
    <col min="1026" max="1026" width="9.28515625" style="7" customWidth="1"/>
    <col min="1027" max="1027" width="7.5703125" style="7" customWidth="1"/>
    <col min="1028" max="1028" width="7.42578125" style="7" customWidth="1"/>
    <col min="1029" max="1029" width="7.28515625" style="7" customWidth="1"/>
    <col min="1030" max="1030" width="9" style="7" customWidth="1"/>
    <col min="1031" max="1031" width="10.5703125" style="7" customWidth="1"/>
    <col min="1032" max="1032" width="14.42578125" style="7" customWidth="1"/>
    <col min="1033" max="1280" width="11" style="7"/>
    <col min="1281" max="1281" width="8.7109375" style="7" customWidth="1"/>
    <col min="1282" max="1282" width="9.28515625" style="7" customWidth="1"/>
    <col min="1283" max="1283" width="7.5703125" style="7" customWidth="1"/>
    <col min="1284" max="1284" width="7.42578125" style="7" customWidth="1"/>
    <col min="1285" max="1285" width="7.28515625" style="7" customWidth="1"/>
    <col min="1286" max="1286" width="9" style="7" customWidth="1"/>
    <col min="1287" max="1287" width="10.5703125" style="7" customWidth="1"/>
    <col min="1288" max="1288" width="14.42578125" style="7" customWidth="1"/>
    <col min="1289" max="1536" width="11" style="7"/>
    <col min="1537" max="1537" width="8.7109375" style="7" customWidth="1"/>
    <col min="1538" max="1538" width="9.28515625" style="7" customWidth="1"/>
    <col min="1539" max="1539" width="7.5703125" style="7" customWidth="1"/>
    <col min="1540" max="1540" width="7.42578125" style="7" customWidth="1"/>
    <col min="1541" max="1541" width="7.28515625" style="7" customWidth="1"/>
    <col min="1542" max="1542" width="9" style="7" customWidth="1"/>
    <col min="1543" max="1543" width="10.5703125" style="7" customWidth="1"/>
    <col min="1544" max="1544" width="14.42578125" style="7" customWidth="1"/>
    <col min="1545" max="1792" width="11" style="7"/>
    <col min="1793" max="1793" width="8.7109375" style="7" customWidth="1"/>
    <col min="1794" max="1794" width="9.28515625" style="7" customWidth="1"/>
    <col min="1795" max="1795" width="7.5703125" style="7" customWidth="1"/>
    <col min="1796" max="1796" width="7.42578125" style="7" customWidth="1"/>
    <col min="1797" max="1797" width="7.28515625" style="7" customWidth="1"/>
    <col min="1798" max="1798" width="9" style="7" customWidth="1"/>
    <col min="1799" max="1799" width="10.5703125" style="7" customWidth="1"/>
    <col min="1800" max="1800" width="14.42578125" style="7" customWidth="1"/>
    <col min="1801" max="2048" width="11" style="7"/>
    <col min="2049" max="2049" width="8.7109375" style="7" customWidth="1"/>
    <col min="2050" max="2050" width="9.28515625" style="7" customWidth="1"/>
    <col min="2051" max="2051" width="7.5703125" style="7" customWidth="1"/>
    <col min="2052" max="2052" width="7.42578125" style="7" customWidth="1"/>
    <col min="2053" max="2053" width="7.28515625" style="7" customWidth="1"/>
    <col min="2054" max="2054" width="9" style="7" customWidth="1"/>
    <col min="2055" max="2055" width="10.5703125" style="7" customWidth="1"/>
    <col min="2056" max="2056" width="14.42578125" style="7" customWidth="1"/>
    <col min="2057" max="2304" width="11" style="7"/>
    <col min="2305" max="2305" width="8.7109375" style="7" customWidth="1"/>
    <col min="2306" max="2306" width="9.28515625" style="7" customWidth="1"/>
    <col min="2307" max="2307" width="7.5703125" style="7" customWidth="1"/>
    <col min="2308" max="2308" width="7.42578125" style="7" customWidth="1"/>
    <col min="2309" max="2309" width="7.28515625" style="7" customWidth="1"/>
    <col min="2310" max="2310" width="9" style="7" customWidth="1"/>
    <col min="2311" max="2311" width="10.5703125" style="7" customWidth="1"/>
    <col min="2312" max="2312" width="14.42578125" style="7" customWidth="1"/>
    <col min="2313" max="2560" width="11" style="7"/>
    <col min="2561" max="2561" width="8.7109375" style="7" customWidth="1"/>
    <col min="2562" max="2562" width="9.28515625" style="7" customWidth="1"/>
    <col min="2563" max="2563" width="7.5703125" style="7" customWidth="1"/>
    <col min="2564" max="2564" width="7.42578125" style="7" customWidth="1"/>
    <col min="2565" max="2565" width="7.28515625" style="7" customWidth="1"/>
    <col min="2566" max="2566" width="9" style="7" customWidth="1"/>
    <col min="2567" max="2567" width="10.5703125" style="7" customWidth="1"/>
    <col min="2568" max="2568" width="14.42578125" style="7" customWidth="1"/>
    <col min="2569" max="2816" width="11" style="7"/>
    <col min="2817" max="2817" width="8.7109375" style="7" customWidth="1"/>
    <col min="2818" max="2818" width="9.28515625" style="7" customWidth="1"/>
    <col min="2819" max="2819" width="7.5703125" style="7" customWidth="1"/>
    <col min="2820" max="2820" width="7.42578125" style="7" customWidth="1"/>
    <col min="2821" max="2821" width="7.28515625" style="7" customWidth="1"/>
    <col min="2822" max="2822" width="9" style="7" customWidth="1"/>
    <col min="2823" max="2823" width="10.5703125" style="7" customWidth="1"/>
    <col min="2824" max="2824" width="14.42578125" style="7" customWidth="1"/>
    <col min="2825" max="3072" width="11" style="7"/>
    <col min="3073" max="3073" width="8.7109375" style="7" customWidth="1"/>
    <col min="3074" max="3074" width="9.28515625" style="7" customWidth="1"/>
    <col min="3075" max="3075" width="7.5703125" style="7" customWidth="1"/>
    <col min="3076" max="3076" width="7.42578125" style="7" customWidth="1"/>
    <col min="3077" max="3077" width="7.28515625" style="7" customWidth="1"/>
    <col min="3078" max="3078" width="9" style="7" customWidth="1"/>
    <col min="3079" max="3079" width="10.5703125" style="7" customWidth="1"/>
    <col min="3080" max="3080" width="14.42578125" style="7" customWidth="1"/>
    <col min="3081" max="3328" width="11" style="7"/>
    <col min="3329" max="3329" width="8.7109375" style="7" customWidth="1"/>
    <col min="3330" max="3330" width="9.28515625" style="7" customWidth="1"/>
    <col min="3331" max="3331" width="7.5703125" style="7" customWidth="1"/>
    <col min="3332" max="3332" width="7.42578125" style="7" customWidth="1"/>
    <col min="3333" max="3333" width="7.28515625" style="7" customWidth="1"/>
    <col min="3334" max="3334" width="9" style="7" customWidth="1"/>
    <col min="3335" max="3335" width="10.5703125" style="7" customWidth="1"/>
    <col min="3336" max="3336" width="14.42578125" style="7" customWidth="1"/>
    <col min="3337" max="3584" width="11" style="7"/>
    <col min="3585" max="3585" width="8.7109375" style="7" customWidth="1"/>
    <col min="3586" max="3586" width="9.28515625" style="7" customWidth="1"/>
    <col min="3587" max="3587" width="7.5703125" style="7" customWidth="1"/>
    <col min="3588" max="3588" width="7.42578125" style="7" customWidth="1"/>
    <col min="3589" max="3589" width="7.28515625" style="7" customWidth="1"/>
    <col min="3590" max="3590" width="9" style="7" customWidth="1"/>
    <col min="3591" max="3591" width="10.5703125" style="7" customWidth="1"/>
    <col min="3592" max="3592" width="14.42578125" style="7" customWidth="1"/>
    <col min="3593" max="3840" width="11" style="7"/>
    <col min="3841" max="3841" width="8.7109375" style="7" customWidth="1"/>
    <col min="3842" max="3842" width="9.28515625" style="7" customWidth="1"/>
    <col min="3843" max="3843" width="7.5703125" style="7" customWidth="1"/>
    <col min="3844" max="3844" width="7.42578125" style="7" customWidth="1"/>
    <col min="3845" max="3845" width="7.28515625" style="7" customWidth="1"/>
    <col min="3846" max="3846" width="9" style="7" customWidth="1"/>
    <col min="3847" max="3847" width="10.5703125" style="7" customWidth="1"/>
    <col min="3848" max="3848" width="14.42578125" style="7" customWidth="1"/>
    <col min="3849" max="4096" width="11" style="7"/>
    <col min="4097" max="4097" width="8.7109375" style="7" customWidth="1"/>
    <col min="4098" max="4098" width="9.28515625" style="7" customWidth="1"/>
    <col min="4099" max="4099" width="7.5703125" style="7" customWidth="1"/>
    <col min="4100" max="4100" width="7.42578125" style="7" customWidth="1"/>
    <col min="4101" max="4101" width="7.28515625" style="7" customWidth="1"/>
    <col min="4102" max="4102" width="9" style="7" customWidth="1"/>
    <col min="4103" max="4103" width="10.5703125" style="7" customWidth="1"/>
    <col min="4104" max="4104" width="14.42578125" style="7" customWidth="1"/>
    <col min="4105" max="4352" width="11" style="7"/>
    <col min="4353" max="4353" width="8.7109375" style="7" customWidth="1"/>
    <col min="4354" max="4354" width="9.28515625" style="7" customWidth="1"/>
    <col min="4355" max="4355" width="7.5703125" style="7" customWidth="1"/>
    <col min="4356" max="4356" width="7.42578125" style="7" customWidth="1"/>
    <col min="4357" max="4357" width="7.28515625" style="7" customWidth="1"/>
    <col min="4358" max="4358" width="9" style="7" customWidth="1"/>
    <col min="4359" max="4359" width="10.5703125" style="7" customWidth="1"/>
    <col min="4360" max="4360" width="14.42578125" style="7" customWidth="1"/>
    <col min="4361" max="4608" width="11" style="7"/>
    <col min="4609" max="4609" width="8.7109375" style="7" customWidth="1"/>
    <col min="4610" max="4610" width="9.28515625" style="7" customWidth="1"/>
    <col min="4611" max="4611" width="7.5703125" style="7" customWidth="1"/>
    <col min="4612" max="4612" width="7.42578125" style="7" customWidth="1"/>
    <col min="4613" max="4613" width="7.28515625" style="7" customWidth="1"/>
    <col min="4614" max="4614" width="9" style="7" customWidth="1"/>
    <col min="4615" max="4615" width="10.5703125" style="7" customWidth="1"/>
    <col min="4616" max="4616" width="14.42578125" style="7" customWidth="1"/>
    <col min="4617" max="4864" width="11" style="7"/>
    <col min="4865" max="4865" width="8.7109375" style="7" customWidth="1"/>
    <col min="4866" max="4866" width="9.28515625" style="7" customWidth="1"/>
    <col min="4867" max="4867" width="7.5703125" style="7" customWidth="1"/>
    <col min="4868" max="4868" width="7.42578125" style="7" customWidth="1"/>
    <col min="4869" max="4869" width="7.28515625" style="7" customWidth="1"/>
    <col min="4870" max="4870" width="9" style="7" customWidth="1"/>
    <col min="4871" max="4871" width="10.5703125" style="7" customWidth="1"/>
    <col min="4872" max="4872" width="14.42578125" style="7" customWidth="1"/>
    <col min="4873" max="5120" width="11" style="7"/>
    <col min="5121" max="5121" width="8.7109375" style="7" customWidth="1"/>
    <col min="5122" max="5122" width="9.28515625" style="7" customWidth="1"/>
    <col min="5123" max="5123" width="7.5703125" style="7" customWidth="1"/>
    <col min="5124" max="5124" width="7.42578125" style="7" customWidth="1"/>
    <col min="5125" max="5125" width="7.28515625" style="7" customWidth="1"/>
    <col min="5126" max="5126" width="9" style="7" customWidth="1"/>
    <col min="5127" max="5127" width="10.5703125" style="7" customWidth="1"/>
    <col min="5128" max="5128" width="14.42578125" style="7" customWidth="1"/>
    <col min="5129" max="5376" width="11" style="7"/>
    <col min="5377" max="5377" width="8.7109375" style="7" customWidth="1"/>
    <col min="5378" max="5378" width="9.28515625" style="7" customWidth="1"/>
    <col min="5379" max="5379" width="7.5703125" style="7" customWidth="1"/>
    <col min="5380" max="5380" width="7.42578125" style="7" customWidth="1"/>
    <col min="5381" max="5381" width="7.28515625" style="7" customWidth="1"/>
    <col min="5382" max="5382" width="9" style="7" customWidth="1"/>
    <col min="5383" max="5383" width="10.5703125" style="7" customWidth="1"/>
    <col min="5384" max="5384" width="14.42578125" style="7" customWidth="1"/>
    <col min="5385" max="5632" width="11" style="7"/>
    <col min="5633" max="5633" width="8.7109375" style="7" customWidth="1"/>
    <col min="5634" max="5634" width="9.28515625" style="7" customWidth="1"/>
    <col min="5635" max="5635" width="7.5703125" style="7" customWidth="1"/>
    <col min="5636" max="5636" width="7.42578125" style="7" customWidth="1"/>
    <col min="5637" max="5637" width="7.28515625" style="7" customWidth="1"/>
    <col min="5638" max="5638" width="9" style="7" customWidth="1"/>
    <col min="5639" max="5639" width="10.5703125" style="7" customWidth="1"/>
    <col min="5640" max="5640" width="14.42578125" style="7" customWidth="1"/>
    <col min="5641" max="5888" width="11" style="7"/>
    <col min="5889" max="5889" width="8.7109375" style="7" customWidth="1"/>
    <col min="5890" max="5890" width="9.28515625" style="7" customWidth="1"/>
    <col min="5891" max="5891" width="7.5703125" style="7" customWidth="1"/>
    <col min="5892" max="5892" width="7.42578125" style="7" customWidth="1"/>
    <col min="5893" max="5893" width="7.28515625" style="7" customWidth="1"/>
    <col min="5894" max="5894" width="9" style="7" customWidth="1"/>
    <col min="5895" max="5895" width="10.5703125" style="7" customWidth="1"/>
    <col min="5896" max="5896" width="14.42578125" style="7" customWidth="1"/>
    <col min="5897" max="6144" width="11" style="7"/>
    <col min="6145" max="6145" width="8.7109375" style="7" customWidth="1"/>
    <col min="6146" max="6146" width="9.28515625" style="7" customWidth="1"/>
    <col min="6147" max="6147" width="7.5703125" style="7" customWidth="1"/>
    <col min="6148" max="6148" width="7.42578125" style="7" customWidth="1"/>
    <col min="6149" max="6149" width="7.28515625" style="7" customWidth="1"/>
    <col min="6150" max="6150" width="9" style="7" customWidth="1"/>
    <col min="6151" max="6151" width="10.5703125" style="7" customWidth="1"/>
    <col min="6152" max="6152" width="14.42578125" style="7" customWidth="1"/>
    <col min="6153" max="6400" width="11" style="7"/>
    <col min="6401" max="6401" width="8.7109375" style="7" customWidth="1"/>
    <col min="6402" max="6402" width="9.28515625" style="7" customWidth="1"/>
    <col min="6403" max="6403" width="7.5703125" style="7" customWidth="1"/>
    <col min="6404" max="6404" width="7.42578125" style="7" customWidth="1"/>
    <col min="6405" max="6405" width="7.28515625" style="7" customWidth="1"/>
    <col min="6406" max="6406" width="9" style="7" customWidth="1"/>
    <col min="6407" max="6407" width="10.5703125" style="7" customWidth="1"/>
    <col min="6408" max="6408" width="14.42578125" style="7" customWidth="1"/>
    <col min="6409" max="6656" width="11" style="7"/>
    <col min="6657" max="6657" width="8.7109375" style="7" customWidth="1"/>
    <col min="6658" max="6658" width="9.28515625" style="7" customWidth="1"/>
    <col min="6659" max="6659" width="7.5703125" style="7" customWidth="1"/>
    <col min="6660" max="6660" width="7.42578125" style="7" customWidth="1"/>
    <col min="6661" max="6661" width="7.28515625" style="7" customWidth="1"/>
    <col min="6662" max="6662" width="9" style="7" customWidth="1"/>
    <col min="6663" max="6663" width="10.5703125" style="7" customWidth="1"/>
    <col min="6664" max="6664" width="14.42578125" style="7" customWidth="1"/>
    <col min="6665" max="6912" width="11" style="7"/>
    <col min="6913" max="6913" width="8.7109375" style="7" customWidth="1"/>
    <col min="6914" max="6914" width="9.28515625" style="7" customWidth="1"/>
    <col min="6915" max="6915" width="7.5703125" style="7" customWidth="1"/>
    <col min="6916" max="6916" width="7.42578125" style="7" customWidth="1"/>
    <col min="6917" max="6917" width="7.28515625" style="7" customWidth="1"/>
    <col min="6918" max="6918" width="9" style="7" customWidth="1"/>
    <col min="6919" max="6919" width="10.5703125" style="7" customWidth="1"/>
    <col min="6920" max="6920" width="14.42578125" style="7" customWidth="1"/>
    <col min="6921" max="7168" width="11" style="7"/>
    <col min="7169" max="7169" width="8.7109375" style="7" customWidth="1"/>
    <col min="7170" max="7170" width="9.28515625" style="7" customWidth="1"/>
    <col min="7171" max="7171" width="7.5703125" style="7" customWidth="1"/>
    <col min="7172" max="7172" width="7.42578125" style="7" customWidth="1"/>
    <col min="7173" max="7173" width="7.28515625" style="7" customWidth="1"/>
    <col min="7174" max="7174" width="9" style="7" customWidth="1"/>
    <col min="7175" max="7175" width="10.5703125" style="7" customWidth="1"/>
    <col min="7176" max="7176" width="14.42578125" style="7" customWidth="1"/>
    <col min="7177" max="7424" width="11" style="7"/>
    <col min="7425" max="7425" width="8.7109375" style="7" customWidth="1"/>
    <col min="7426" max="7426" width="9.28515625" style="7" customWidth="1"/>
    <col min="7427" max="7427" width="7.5703125" style="7" customWidth="1"/>
    <col min="7428" max="7428" width="7.42578125" style="7" customWidth="1"/>
    <col min="7429" max="7429" width="7.28515625" style="7" customWidth="1"/>
    <col min="7430" max="7430" width="9" style="7" customWidth="1"/>
    <col min="7431" max="7431" width="10.5703125" style="7" customWidth="1"/>
    <col min="7432" max="7432" width="14.42578125" style="7" customWidth="1"/>
    <col min="7433" max="7680" width="11" style="7"/>
    <col min="7681" max="7681" width="8.7109375" style="7" customWidth="1"/>
    <col min="7682" max="7682" width="9.28515625" style="7" customWidth="1"/>
    <col min="7683" max="7683" width="7.5703125" style="7" customWidth="1"/>
    <col min="7684" max="7684" width="7.42578125" style="7" customWidth="1"/>
    <col min="7685" max="7685" width="7.28515625" style="7" customWidth="1"/>
    <col min="7686" max="7686" width="9" style="7" customWidth="1"/>
    <col min="7687" max="7687" width="10.5703125" style="7" customWidth="1"/>
    <col min="7688" max="7688" width="14.42578125" style="7" customWidth="1"/>
    <col min="7689" max="7936" width="11" style="7"/>
    <col min="7937" max="7937" width="8.7109375" style="7" customWidth="1"/>
    <col min="7938" max="7938" width="9.28515625" style="7" customWidth="1"/>
    <col min="7939" max="7939" width="7.5703125" style="7" customWidth="1"/>
    <col min="7940" max="7940" width="7.42578125" style="7" customWidth="1"/>
    <col min="7941" max="7941" width="7.28515625" style="7" customWidth="1"/>
    <col min="7942" max="7942" width="9" style="7" customWidth="1"/>
    <col min="7943" max="7943" width="10.5703125" style="7" customWidth="1"/>
    <col min="7944" max="7944" width="14.42578125" style="7" customWidth="1"/>
    <col min="7945" max="8192" width="11" style="7"/>
    <col min="8193" max="8193" width="8.7109375" style="7" customWidth="1"/>
    <col min="8194" max="8194" width="9.28515625" style="7" customWidth="1"/>
    <col min="8195" max="8195" width="7.5703125" style="7" customWidth="1"/>
    <col min="8196" max="8196" width="7.42578125" style="7" customWidth="1"/>
    <col min="8197" max="8197" width="7.28515625" style="7" customWidth="1"/>
    <col min="8198" max="8198" width="9" style="7" customWidth="1"/>
    <col min="8199" max="8199" width="10.5703125" style="7" customWidth="1"/>
    <col min="8200" max="8200" width="14.42578125" style="7" customWidth="1"/>
    <col min="8201" max="8448" width="11" style="7"/>
    <col min="8449" max="8449" width="8.7109375" style="7" customWidth="1"/>
    <col min="8450" max="8450" width="9.28515625" style="7" customWidth="1"/>
    <col min="8451" max="8451" width="7.5703125" style="7" customWidth="1"/>
    <col min="8452" max="8452" width="7.42578125" style="7" customWidth="1"/>
    <col min="8453" max="8453" width="7.28515625" style="7" customWidth="1"/>
    <col min="8454" max="8454" width="9" style="7" customWidth="1"/>
    <col min="8455" max="8455" width="10.5703125" style="7" customWidth="1"/>
    <col min="8456" max="8456" width="14.42578125" style="7" customWidth="1"/>
    <col min="8457" max="8704" width="11" style="7"/>
    <col min="8705" max="8705" width="8.7109375" style="7" customWidth="1"/>
    <col min="8706" max="8706" width="9.28515625" style="7" customWidth="1"/>
    <col min="8707" max="8707" width="7.5703125" style="7" customWidth="1"/>
    <col min="8708" max="8708" width="7.42578125" style="7" customWidth="1"/>
    <col min="8709" max="8709" width="7.28515625" style="7" customWidth="1"/>
    <col min="8710" max="8710" width="9" style="7" customWidth="1"/>
    <col min="8711" max="8711" width="10.5703125" style="7" customWidth="1"/>
    <col min="8712" max="8712" width="14.42578125" style="7" customWidth="1"/>
    <col min="8713" max="8960" width="11" style="7"/>
    <col min="8961" max="8961" width="8.7109375" style="7" customWidth="1"/>
    <col min="8962" max="8962" width="9.28515625" style="7" customWidth="1"/>
    <col min="8963" max="8963" width="7.5703125" style="7" customWidth="1"/>
    <col min="8964" max="8964" width="7.42578125" style="7" customWidth="1"/>
    <col min="8965" max="8965" width="7.28515625" style="7" customWidth="1"/>
    <col min="8966" max="8966" width="9" style="7" customWidth="1"/>
    <col min="8967" max="8967" width="10.5703125" style="7" customWidth="1"/>
    <col min="8968" max="8968" width="14.42578125" style="7" customWidth="1"/>
    <col min="8969" max="9216" width="11" style="7"/>
    <col min="9217" max="9217" width="8.7109375" style="7" customWidth="1"/>
    <col min="9218" max="9218" width="9.28515625" style="7" customWidth="1"/>
    <col min="9219" max="9219" width="7.5703125" style="7" customWidth="1"/>
    <col min="9220" max="9220" width="7.42578125" style="7" customWidth="1"/>
    <col min="9221" max="9221" width="7.28515625" style="7" customWidth="1"/>
    <col min="9222" max="9222" width="9" style="7" customWidth="1"/>
    <col min="9223" max="9223" width="10.5703125" style="7" customWidth="1"/>
    <col min="9224" max="9224" width="14.42578125" style="7" customWidth="1"/>
    <col min="9225" max="9472" width="11" style="7"/>
    <col min="9473" max="9473" width="8.7109375" style="7" customWidth="1"/>
    <col min="9474" max="9474" width="9.28515625" style="7" customWidth="1"/>
    <col min="9475" max="9475" width="7.5703125" style="7" customWidth="1"/>
    <col min="9476" max="9476" width="7.42578125" style="7" customWidth="1"/>
    <col min="9477" max="9477" width="7.28515625" style="7" customWidth="1"/>
    <col min="9478" max="9478" width="9" style="7" customWidth="1"/>
    <col min="9479" max="9479" width="10.5703125" style="7" customWidth="1"/>
    <col min="9480" max="9480" width="14.42578125" style="7" customWidth="1"/>
    <col min="9481" max="9728" width="11" style="7"/>
    <col min="9729" max="9729" width="8.7109375" style="7" customWidth="1"/>
    <col min="9730" max="9730" width="9.28515625" style="7" customWidth="1"/>
    <col min="9731" max="9731" width="7.5703125" style="7" customWidth="1"/>
    <col min="9732" max="9732" width="7.42578125" style="7" customWidth="1"/>
    <col min="9733" max="9733" width="7.28515625" style="7" customWidth="1"/>
    <col min="9734" max="9734" width="9" style="7" customWidth="1"/>
    <col min="9735" max="9735" width="10.5703125" style="7" customWidth="1"/>
    <col min="9736" max="9736" width="14.42578125" style="7" customWidth="1"/>
    <col min="9737" max="9984" width="11" style="7"/>
    <col min="9985" max="9985" width="8.7109375" style="7" customWidth="1"/>
    <col min="9986" max="9986" width="9.28515625" style="7" customWidth="1"/>
    <col min="9987" max="9987" width="7.5703125" style="7" customWidth="1"/>
    <col min="9988" max="9988" width="7.42578125" style="7" customWidth="1"/>
    <col min="9989" max="9989" width="7.28515625" style="7" customWidth="1"/>
    <col min="9990" max="9990" width="9" style="7" customWidth="1"/>
    <col min="9991" max="9991" width="10.5703125" style="7" customWidth="1"/>
    <col min="9992" max="9992" width="14.42578125" style="7" customWidth="1"/>
    <col min="9993" max="10240" width="11" style="7"/>
    <col min="10241" max="10241" width="8.7109375" style="7" customWidth="1"/>
    <col min="10242" max="10242" width="9.28515625" style="7" customWidth="1"/>
    <col min="10243" max="10243" width="7.5703125" style="7" customWidth="1"/>
    <col min="10244" max="10244" width="7.42578125" style="7" customWidth="1"/>
    <col min="10245" max="10245" width="7.28515625" style="7" customWidth="1"/>
    <col min="10246" max="10246" width="9" style="7" customWidth="1"/>
    <col min="10247" max="10247" width="10.5703125" style="7" customWidth="1"/>
    <col min="10248" max="10248" width="14.42578125" style="7" customWidth="1"/>
    <col min="10249" max="10496" width="11" style="7"/>
    <col min="10497" max="10497" width="8.7109375" style="7" customWidth="1"/>
    <col min="10498" max="10498" width="9.28515625" style="7" customWidth="1"/>
    <col min="10499" max="10499" width="7.5703125" style="7" customWidth="1"/>
    <col min="10500" max="10500" width="7.42578125" style="7" customWidth="1"/>
    <col min="10501" max="10501" width="7.28515625" style="7" customWidth="1"/>
    <col min="10502" max="10502" width="9" style="7" customWidth="1"/>
    <col min="10503" max="10503" width="10.5703125" style="7" customWidth="1"/>
    <col min="10504" max="10504" width="14.42578125" style="7" customWidth="1"/>
    <col min="10505" max="10752" width="11" style="7"/>
    <col min="10753" max="10753" width="8.7109375" style="7" customWidth="1"/>
    <col min="10754" max="10754" width="9.28515625" style="7" customWidth="1"/>
    <col min="10755" max="10755" width="7.5703125" style="7" customWidth="1"/>
    <col min="10756" max="10756" width="7.42578125" style="7" customWidth="1"/>
    <col min="10757" max="10757" width="7.28515625" style="7" customWidth="1"/>
    <col min="10758" max="10758" width="9" style="7" customWidth="1"/>
    <col min="10759" max="10759" width="10.5703125" style="7" customWidth="1"/>
    <col min="10760" max="10760" width="14.42578125" style="7" customWidth="1"/>
    <col min="10761" max="11008" width="11" style="7"/>
    <col min="11009" max="11009" width="8.7109375" style="7" customWidth="1"/>
    <col min="11010" max="11010" width="9.28515625" style="7" customWidth="1"/>
    <col min="11011" max="11011" width="7.5703125" style="7" customWidth="1"/>
    <col min="11012" max="11012" width="7.42578125" style="7" customWidth="1"/>
    <col min="11013" max="11013" width="7.28515625" style="7" customWidth="1"/>
    <col min="11014" max="11014" width="9" style="7" customWidth="1"/>
    <col min="11015" max="11015" width="10.5703125" style="7" customWidth="1"/>
    <col min="11016" max="11016" width="14.42578125" style="7" customWidth="1"/>
    <col min="11017" max="11264" width="11" style="7"/>
    <col min="11265" max="11265" width="8.7109375" style="7" customWidth="1"/>
    <col min="11266" max="11266" width="9.28515625" style="7" customWidth="1"/>
    <col min="11267" max="11267" width="7.5703125" style="7" customWidth="1"/>
    <col min="11268" max="11268" width="7.42578125" style="7" customWidth="1"/>
    <col min="11269" max="11269" width="7.28515625" style="7" customWidth="1"/>
    <col min="11270" max="11270" width="9" style="7" customWidth="1"/>
    <col min="11271" max="11271" width="10.5703125" style="7" customWidth="1"/>
    <col min="11272" max="11272" width="14.42578125" style="7" customWidth="1"/>
    <col min="11273" max="11520" width="11" style="7"/>
    <col min="11521" max="11521" width="8.7109375" style="7" customWidth="1"/>
    <col min="11522" max="11522" width="9.28515625" style="7" customWidth="1"/>
    <col min="11523" max="11523" width="7.5703125" style="7" customWidth="1"/>
    <col min="11524" max="11524" width="7.42578125" style="7" customWidth="1"/>
    <col min="11525" max="11525" width="7.28515625" style="7" customWidth="1"/>
    <col min="11526" max="11526" width="9" style="7" customWidth="1"/>
    <col min="11527" max="11527" width="10.5703125" style="7" customWidth="1"/>
    <col min="11528" max="11528" width="14.42578125" style="7" customWidth="1"/>
    <col min="11529" max="11776" width="11" style="7"/>
    <col min="11777" max="11777" width="8.7109375" style="7" customWidth="1"/>
    <col min="11778" max="11778" width="9.28515625" style="7" customWidth="1"/>
    <col min="11779" max="11779" width="7.5703125" style="7" customWidth="1"/>
    <col min="11780" max="11780" width="7.42578125" style="7" customWidth="1"/>
    <col min="11781" max="11781" width="7.28515625" style="7" customWidth="1"/>
    <col min="11782" max="11782" width="9" style="7" customWidth="1"/>
    <col min="11783" max="11783" width="10.5703125" style="7" customWidth="1"/>
    <col min="11784" max="11784" width="14.42578125" style="7" customWidth="1"/>
    <col min="11785" max="12032" width="11" style="7"/>
    <col min="12033" max="12033" width="8.7109375" style="7" customWidth="1"/>
    <col min="12034" max="12034" width="9.28515625" style="7" customWidth="1"/>
    <col min="12035" max="12035" width="7.5703125" style="7" customWidth="1"/>
    <col min="12036" max="12036" width="7.42578125" style="7" customWidth="1"/>
    <col min="12037" max="12037" width="7.28515625" style="7" customWidth="1"/>
    <col min="12038" max="12038" width="9" style="7" customWidth="1"/>
    <col min="12039" max="12039" width="10.5703125" style="7" customWidth="1"/>
    <col min="12040" max="12040" width="14.42578125" style="7" customWidth="1"/>
    <col min="12041" max="12288" width="11" style="7"/>
    <col min="12289" max="12289" width="8.7109375" style="7" customWidth="1"/>
    <col min="12290" max="12290" width="9.28515625" style="7" customWidth="1"/>
    <col min="12291" max="12291" width="7.5703125" style="7" customWidth="1"/>
    <col min="12292" max="12292" width="7.42578125" style="7" customWidth="1"/>
    <col min="12293" max="12293" width="7.28515625" style="7" customWidth="1"/>
    <col min="12294" max="12294" width="9" style="7" customWidth="1"/>
    <col min="12295" max="12295" width="10.5703125" style="7" customWidth="1"/>
    <col min="12296" max="12296" width="14.42578125" style="7" customWidth="1"/>
    <col min="12297" max="12544" width="11" style="7"/>
    <col min="12545" max="12545" width="8.7109375" style="7" customWidth="1"/>
    <col min="12546" max="12546" width="9.28515625" style="7" customWidth="1"/>
    <col min="12547" max="12547" width="7.5703125" style="7" customWidth="1"/>
    <col min="12548" max="12548" width="7.42578125" style="7" customWidth="1"/>
    <col min="12549" max="12549" width="7.28515625" style="7" customWidth="1"/>
    <col min="12550" max="12550" width="9" style="7" customWidth="1"/>
    <col min="12551" max="12551" width="10.5703125" style="7" customWidth="1"/>
    <col min="12552" max="12552" width="14.42578125" style="7" customWidth="1"/>
    <col min="12553" max="12800" width="11" style="7"/>
    <col min="12801" max="12801" width="8.7109375" style="7" customWidth="1"/>
    <col min="12802" max="12802" width="9.28515625" style="7" customWidth="1"/>
    <col min="12803" max="12803" width="7.5703125" style="7" customWidth="1"/>
    <col min="12804" max="12804" width="7.42578125" style="7" customWidth="1"/>
    <col min="12805" max="12805" width="7.28515625" style="7" customWidth="1"/>
    <col min="12806" max="12806" width="9" style="7" customWidth="1"/>
    <col min="12807" max="12807" width="10.5703125" style="7" customWidth="1"/>
    <col min="12808" max="12808" width="14.42578125" style="7" customWidth="1"/>
    <col min="12809" max="13056" width="11" style="7"/>
    <col min="13057" max="13057" width="8.7109375" style="7" customWidth="1"/>
    <col min="13058" max="13058" width="9.28515625" style="7" customWidth="1"/>
    <col min="13059" max="13059" width="7.5703125" style="7" customWidth="1"/>
    <col min="13060" max="13060" width="7.42578125" style="7" customWidth="1"/>
    <col min="13061" max="13061" width="7.28515625" style="7" customWidth="1"/>
    <col min="13062" max="13062" width="9" style="7" customWidth="1"/>
    <col min="13063" max="13063" width="10.5703125" style="7" customWidth="1"/>
    <col min="13064" max="13064" width="14.42578125" style="7" customWidth="1"/>
    <col min="13065" max="13312" width="11" style="7"/>
    <col min="13313" max="13313" width="8.7109375" style="7" customWidth="1"/>
    <col min="13314" max="13314" width="9.28515625" style="7" customWidth="1"/>
    <col min="13315" max="13315" width="7.5703125" style="7" customWidth="1"/>
    <col min="13316" max="13316" width="7.42578125" style="7" customWidth="1"/>
    <col min="13317" max="13317" width="7.28515625" style="7" customWidth="1"/>
    <col min="13318" max="13318" width="9" style="7" customWidth="1"/>
    <col min="13319" max="13319" width="10.5703125" style="7" customWidth="1"/>
    <col min="13320" max="13320" width="14.42578125" style="7" customWidth="1"/>
    <col min="13321" max="13568" width="11" style="7"/>
    <col min="13569" max="13569" width="8.7109375" style="7" customWidth="1"/>
    <col min="13570" max="13570" width="9.28515625" style="7" customWidth="1"/>
    <col min="13571" max="13571" width="7.5703125" style="7" customWidth="1"/>
    <col min="13572" max="13572" width="7.42578125" style="7" customWidth="1"/>
    <col min="13573" max="13573" width="7.28515625" style="7" customWidth="1"/>
    <col min="13574" max="13574" width="9" style="7" customWidth="1"/>
    <col min="13575" max="13575" width="10.5703125" style="7" customWidth="1"/>
    <col min="13576" max="13576" width="14.42578125" style="7" customWidth="1"/>
    <col min="13577" max="13824" width="11" style="7"/>
    <col min="13825" max="13825" width="8.7109375" style="7" customWidth="1"/>
    <col min="13826" max="13826" width="9.28515625" style="7" customWidth="1"/>
    <col min="13827" max="13827" width="7.5703125" style="7" customWidth="1"/>
    <col min="13828" max="13828" width="7.42578125" style="7" customWidth="1"/>
    <col min="13829" max="13829" width="7.28515625" style="7" customWidth="1"/>
    <col min="13830" max="13830" width="9" style="7" customWidth="1"/>
    <col min="13831" max="13831" width="10.5703125" style="7" customWidth="1"/>
    <col min="13832" max="13832" width="14.42578125" style="7" customWidth="1"/>
    <col min="13833" max="14080" width="11" style="7"/>
    <col min="14081" max="14081" width="8.7109375" style="7" customWidth="1"/>
    <col min="14082" max="14082" width="9.28515625" style="7" customWidth="1"/>
    <col min="14083" max="14083" width="7.5703125" style="7" customWidth="1"/>
    <col min="14084" max="14084" width="7.42578125" style="7" customWidth="1"/>
    <col min="14085" max="14085" width="7.28515625" style="7" customWidth="1"/>
    <col min="14086" max="14086" width="9" style="7" customWidth="1"/>
    <col min="14087" max="14087" width="10.5703125" style="7" customWidth="1"/>
    <col min="14088" max="14088" width="14.42578125" style="7" customWidth="1"/>
    <col min="14089" max="14336" width="11" style="7"/>
    <col min="14337" max="14337" width="8.7109375" style="7" customWidth="1"/>
    <col min="14338" max="14338" width="9.28515625" style="7" customWidth="1"/>
    <col min="14339" max="14339" width="7.5703125" style="7" customWidth="1"/>
    <col min="14340" max="14340" width="7.42578125" style="7" customWidth="1"/>
    <col min="14341" max="14341" width="7.28515625" style="7" customWidth="1"/>
    <col min="14342" max="14342" width="9" style="7" customWidth="1"/>
    <col min="14343" max="14343" width="10.5703125" style="7" customWidth="1"/>
    <col min="14344" max="14344" width="14.42578125" style="7" customWidth="1"/>
    <col min="14345" max="14592" width="11" style="7"/>
    <col min="14593" max="14593" width="8.7109375" style="7" customWidth="1"/>
    <col min="14594" max="14594" width="9.28515625" style="7" customWidth="1"/>
    <col min="14595" max="14595" width="7.5703125" style="7" customWidth="1"/>
    <col min="14596" max="14596" width="7.42578125" style="7" customWidth="1"/>
    <col min="14597" max="14597" width="7.28515625" style="7" customWidth="1"/>
    <col min="14598" max="14598" width="9" style="7" customWidth="1"/>
    <col min="14599" max="14599" width="10.5703125" style="7" customWidth="1"/>
    <col min="14600" max="14600" width="14.42578125" style="7" customWidth="1"/>
    <col min="14601" max="14848" width="11" style="7"/>
    <col min="14849" max="14849" width="8.7109375" style="7" customWidth="1"/>
    <col min="14850" max="14850" width="9.28515625" style="7" customWidth="1"/>
    <col min="14851" max="14851" width="7.5703125" style="7" customWidth="1"/>
    <col min="14852" max="14852" width="7.42578125" style="7" customWidth="1"/>
    <col min="14853" max="14853" width="7.28515625" style="7" customWidth="1"/>
    <col min="14854" max="14854" width="9" style="7" customWidth="1"/>
    <col min="14855" max="14855" width="10.5703125" style="7" customWidth="1"/>
    <col min="14856" max="14856" width="14.42578125" style="7" customWidth="1"/>
    <col min="14857" max="15104" width="11" style="7"/>
    <col min="15105" max="15105" width="8.7109375" style="7" customWidth="1"/>
    <col min="15106" max="15106" width="9.28515625" style="7" customWidth="1"/>
    <col min="15107" max="15107" width="7.5703125" style="7" customWidth="1"/>
    <col min="15108" max="15108" width="7.42578125" style="7" customWidth="1"/>
    <col min="15109" max="15109" width="7.28515625" style="7" customWidth="1"/>
    <col min="15110" max="15110" width="9" style="7" customWidth="1"/>
    <col min="15111" max="15111" width="10.5703125" style="7" customWidth="1"/>
    <col min="15112" max="15112" width="14.42578125" style="7" customWidth="1"/>
    <col min="15113" max="15360" width="11" style="7"/>
    <col min="15361" max="15361" width="8.7109375" style="7" customWidth="1"/>
    <col min="15362" max="15362" width="9.28515625" style="7" customWidth="1"/>
    <col min="15363" max="15363" width="7.5703125" style="7" customWidth="1"/>
    <col min="15364" max="15364" width="7.42578125" style="7" customWidth="1"/>
    <col min="15365" max="15365" width="7.28515625" style="7" customWidth="1"/>
    <col min="15366" max="15366" width="9" style="7" customWidth="1"/>
    <col min="15367" max="15367" width="10.5703125" style="7" customWidth="1"/>
    <col min="15368" max="15368" width="14.42578125" style="7" customWidth="1"/>
    <col min="15369" max="15616" width="11" style="7"/>
    <col min="15617" max="15617" width="8.7109375" style="7" customWidth="1"/>
    <col min="15618" max="15618" width="9.28515625" style="7" customWidth="1"/>
    <col min="15619" max="15619" width="7.5703125" style="7" customWidth="1"/>
    <col min="15620" max="15620" width="7.42578125" style="7" customWidth="1"/>
    <col min="15621" max="15621" width="7.28515625" style="7" customWidth="1"/>
    <col min="15622" max="15622" width="9" style="7" customWidth="1"/>
    <col min="15623" max="15623" width="10.5703125" style="7" customWidth="1"/>
    <col min="15624" max="15624" width="14.42578125" style="7" customWidth="1"/>
    <col min="15625" max="15872" width="11" style="7"/>
    <col min="15873" max="15873" width="8.7109375" style="7" customWidth="1"/>
    <col min="15874" max="15874" width="9.28515625" style="7" customWidth="1"/>
    <col min="15875" max="15875" width="7.5703125" style="7" customWidth="1"/>
    <col min="15876" max="15876" width="7.42578125" style="7" customWidth="1"/>
    <col min="15877" max="15877" width="7.28515625" style="7" customWidth="1"/>
    <col min="15878" max="15878" width="9" style="7" customWidth="1"/>
    <col min="15879" max="15879" width="10.5703125" style="7" customWidth="1"/>
    <col min="15880" max="15880" width="14.42578125" style="7" customWidth="1"/>
    <col min="15881" max="16128" width="11" style="7"/>
    <col min="16129" max="16129" width="8.7109375" style="7" customWidth="1"/>
    <col min="16130" max="16130" width="9.28515625" style="7" customWidth="1"/>
    <col min="16131" max="16131" width="7.5703125" style="7" customWidth="1"/>
    <col min="16132" max="16132" width="7.42578125" style="7" customWidth="1"/>
    <col min="16133" max="16133" width="7.28515625" style="7" customWidth="1"/>
    <col min="16134" max="16134" width="9" style="7" customWidth="1"/>
    <col min="16135" max="16135" width="10.5703125" style="7" customWidth="1"/>
    <col min="16136" max="16136" width="14.42578125" style="7" customWidth="1"/>
    <col min="16137" max="16384" width="11" style="7"/>
  </cols>
  <sheetData>
    <row r="1" spans="1:19" ht="14.25">
      <c r="A1" s="7" t="s">
        <v>17</v>
      </c>
      <c r="B1" s="24" t="s">
        <v>103</v>
      </c>
    </row>
    <row r="2" spans="1:19" ht="14.25">
      <c r="B2" s="24" t="s">
        <v>104</v>
      </c>
    </row>
    <row r="3" spans="1:19">
      <c r="A3" s="8" t="s">
        <v>18</v>
      </c>
      <c r="B3" s="8"/>
      <c r="C3" s="8"/>
      <c r="D3" s="9" t="s">
        <v>19</v>
      </c>
      <c r="E3" s="9" t="s">
        <v>12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9" t="s">
        <v>25</v>
      </c>
      <c r="L3" s="10" t="s">
        <v>26</v>
      </c>
      <c r="M3" s="9"/>
    </row>
    <row r="4" spans="1:19">
      <c r="A4" s="11"/>
      <c r="B4" s="11"/>
      <c r="C4" s="11"/>
      <c r="D4" s="12" t="s">
        <v>27</v>
      </c>
      <c r="E4" s="12" t="s">
        <v>28</v>
      </c>
      <c r="F4" s="12" t="s">
        <v>28</v>
      </c>
      <c r="G4" s="12" t="s">
        <v>29</v>
      </c>
      <c r="H4" s="12" t="s">
        <v>30</v>
      </c>
      <c r="I4" s="12" t="s">
        <v>31</v>
      </c>
      <c r="J4" s="12" t="s">
        <v>30</v>
      </c>
      <c r="K4" s="12" t="s">
        <v>30</v>
      </c>
      <c r="L4" s="12" t="s">
        <v>23</v>
      </c>
      <c r="M4" s="12" t="s">
        <v>24</v>
      </c>
    </row>
    <row r="5" spans="1:19">
      <c r="A5" s="11"/>
      <c r="B5" s="11"/>
      <c r="C5" s="11"/>
      <c r="D5" s="12" t="s">
        <v>32</v>
      </c>
      <c r="E5" s="12"/>
      <c r="F5" s="12"/>
      <c r="G5" s="12"/>
      <c r="H5" s="12" t="s">
        <v>33</v>
      </c>
      <c r="I5" s="12" t="s">
        <v>30</v>
      </c>
      <c r="J5" s="12" t="s">
        <v>33</v>
      </c>
      <c r="K5" s="12" t="s">
        <v>33</v>
      </c>
      <c r="L5" s="12"/>
      <c r="M5" s="12"/>
    </row>
    <row r="6" spans="1:19">
      <c r="A6" s="13"/>
      <c r="B6" s="13"/>
      <c r="C6" s="13"/>
      <c r="D6" s="14"/>
      <c r="E6" s="14"/>
      <c r="F6" s="14"/>
      <c r="G6" s="14"/>
      <c r="H6" s="14"/>
      <c r="I6" s="14" t="s">
        <v>33</v>
      </c>
      <c r="J6" s="14"/>
      <c r="K6" s="14"/>
      <c r="L6" s="14"/>
      <c r="M6" s="14"/>
    </row>
    <row r="7" spans="1:19">
      <c r="A7" s="7" t="s">
        <v>74</v>
      </c>
      <c r="D7" s="71">
        <v>100</v>
      </c>
      <c r="E7" s="72">
        <v>2.96</v>
      </c>
      <c r="F7" s="73">
        <v>2.81</v>
      </c>
      <c r="G7" s="17">
        <v>1341</v>
      </c>
      <c r="H7" s="16">
        <v>3969</v>
      </c>
      <c r="I7" s="16"/>
      <c r="J7" s="18">
        <v>1207</v>
      </c>
      <c r="K7" s="16">
        <f>SUM(H7:J7)</f>
        <v>5176</v>
      </c>
      <c r="L7" s="12"/>
      <c r="M7" s="12"/>
      <c r="N7" s="11"/>
      <c r="O7" s="11"/>
      <c r="P7" s="11"/>
      <c r="Q7" s="74"/>
      <c r="S7" s="16"/>
    </row>
    <row r="8" spans="1:19">
      <c r="A8" s="7" t="s">
        <v>105</v>
      </c>
      <c r="D8" s="71">
        <v>58</v>
      </c>
      <c r="E8" s="72">
        <v>4.95</v>
      </c>
      <c r="F8" s="73">
        <v>4.2699999999999996</v>
      </c>
      <c r="G8" s="17">
        <v>1093</v>
      </c>
      <c r="H8" s="16">
        <v>5410</v>
      </c>
      <c r="I8" s="16"/>
      <c r="J8" s="16"/>
      <c r="K8" s="16">
        <f t="shared" ref="K8:K17" si="0">SUM(H8:J8)</f>
        <v>5410</v>
      </c>
      <c r="Q8" s="18"/>
      <c r="R8" s="12"/>
      <c r="S8" s="16"/>
    </row>
    <row r="9" spans="1:19">
      <c r="A9" s="7" t="s">
        <v>106</v>
      </c>
      <c r="D9" s="70">
        <v>100</v>
      </c>
      <c r="E9" s="75">
        <v>1.8</v>
      </c>
      <c r="F9" s="76">
        <v>1.49</v>
      </c>
      <c r="G9" s="16">
        <v>1069</v>
      </c>
      <c r="H9" s="16">
        <v>1924</v>
      </c>
      <c r="I9" s="16">
        <v>9000</v>
      </c>
      <c r="J9" s="16"/>
      <c r="K9" s="16">
        <f>SUM(H9:J9)</f>
        <v>10924</v>
      </c>
      <c r="Q9" s="16"/>
      <c r="R9" s="16"/>
      <c r="S9" s="16"/>
    </row>
    <row r="10" spans="1:19">
      <c r="A10" s="7" t="s">
        <v>91</v>
      </c>
      <c r="D10" s="77">
        <v>70</v>
      </c>
      <c r="E10" s="75">
        <v>8.6</v>
      </c>
      <c r="F10" s="75">
        <v>4.75</v>
      </c>
      <c r="G10" s="17">
        <v>1200</v>
      </c>
      <c r="H10" s="16">
        <v>10320</v>
      </c>
      <c r="I10" s="16"/>
      <c r="J10" s="16"/>
      <c r="K10" s="16">
        <f t="shared" si="0"/>
        <v>10320</v>
      </c>
      <c r="L10" s="16"/>
      <c r="M10" s="16"/>
      <c r="Q10" s="16"/>
      <c r="R10" s="16"/>
      <c r="S10" s="16"/>
    </row>
    <row r="11" spans="1:19">
      <c r="A11" s="7" t="s">
        <v>68</v>
      </c>
      <c r="D11" s="71">
        <v>100</v>
      </c>
      <c r="E11" s="75">
        <v>8.8000000000000007</v>
      </c>
      <c r="F11" s="75">
        <v>5.65</v>
      </c>
      <c r="G11" s="17">
        <v>1016</v>
      </c>
      <c r="H11" s="16">
        <v>8941</v>
      </c>
      <c r="I11" s="16"/>
      <c r="J11" s="78">
        <v>1459</v>
      </c>
      <c r="K11" s="16">
        <f t="shared" si="0"/>
        <v>10400</v>
      </c>
      <c r="L11" s="16"/>
      <c r="M11" s="16">
        <v>621</v>
      </c>
      <c r="Q11" s="16"/>
      <c r="R11" s="16"/>
      <c r="S11" s="16"/>
    </row>
    <row r="12" spans="1:19">
      <c r="A12" s="7" t="s">
        <v>107</v>
      </c>
      <c r="D12" s="71">
        <v>100</v>
      </c>
      <c r="E12" s="75">
        <v>12.41</v>
      </c>
      <c r="F12" s="75">
        <v>7.53</v>
      </c>
      <c r="G12" s="17">
        <v>1038</v>
      </c>
      <c r="H12" s="16">
        <v>12882</v>
      </c>
      <c r="I12" s="16"/>
      <c r="J12" s="78">
        <v>22096</v>
      </c>
      <c r="K12" s="16">
        <f t="shared" si="0"/>
        <v>34978</v>
      </c>
      <c r="L12" s="16"/>
      <c r="M12" s="16"/>
      <c r="Q12" s="16"/>
      <c r="R12" s="16"/>
      <c r="S12" s="16"/>
    </row>
    <row r="13" spans="1:19">
      <c r="A13" s="7" t="s">
        <v>108</v>
      </c>
      <c r="D13" s="71">
        <v>100</v>
      </c>
      <c r="E13" s="72">
        <v>16.649999999999999</v>
      </c>
      <c r="F13" s="75">
        <v>10.56</v>
      </c>
      <c r="G13" s="17">
        <v>1200</v>
      </c>
      <c r="H13" s="16">
        <v>19980</v>
      </c>
      <c r="I13" s="16"/>
      <c r="J13" s="16"/>
      <c r="K13" s="16">
        <f t="shared" si="0"/>
        <v>19980</v>
      </c>
      <c r="L13" s="16"/>
      <c r="M13" s="16"/>
      <c r="Q13" s="18"/>
      <c r="R13" s="16"/>
      <c r="S13" s="16"/>
    </row>
    <row r="14" spans="1:19">
      <c r="A14" s="7" t="s">
        <v>109</v>
      </c>
      <c r="D14" s="71">
        <v>100</v>
      </c>
      <c r="E14" s="72">
        <v>10.57</v>
      </c>
      <c r="F14" s="75">
        <v>9.67</v>
      </c>
      <c r="G14" s="17">
        <v>1200</v>
      </c>
      <c r="H14" s="16">
        <v>12684</v>
      </c>
      <c r="I14" s="16"/>
      <c r="J14" s="18">
        <v>22876</v>
      </c>
      <c r="K14" s="16">
        <f t="shared" si="0"/>
        <v>35560</v>
      </c>
      <c r="L14" s="16"/>
      <c r="M14" s="16"/>
      <c r="Q14" s="18"/>
      <c r="R14" s="16"/>
      <c r="S14" s="16"/>
    </row>
    <row r="15" spans="1:19">
      <c r="A15" s="7" t="s">
        <v>110</v>
      </c>
      <c r="D15" s="71">
        <v>100</v>
      </c>
      <c r="E15" s="72">
        <v>11.18</v>
      </c>
      <c r="F15" s="75">
        <v>10.6</v>
      </c>
      <c r="G15" s="17">
        <v>1038</v>
      </c>
      <c r="H15" s="16">
        <v>11605</v>
      </c>
      <c r="I15" s="16"/>
      <c r="J15" s="16"/>
      <c r="K15" s="16">
        <f t="shared" si="0"/>
        <v>11605</v>
      </c>
      <c r="L15" s="16"/>
      <c r="M15" s="16"/>
      <c r="Q15" s="18"/>
      <c r="R15" s="16"/>
      <c r="S15" s="16"/>
    </row>
    <row r="16" spans="1:19">
      <c r="A16" s="7" t="s">
        <v>111</v>
      </c>
      <c r="D16" s="71">
        <v>100</v>
      </c>
      <c r="E16" s="72">
        <v>32.29</v>
      </c>
      <c r="F16" s="75">
        <v>18.02</v>
      </c>
      <c r="G16" s="17">
        <v>1000</v>
      </c>
      <c r="H16" s="16">
        <v>32290</v>
      </c>
      <c r="I16" s="16"/>
      <c r="J16" s="16"/>
      <c r="K16" s="16">
        <f t="shared" si="0"/>
        <v>32290</v>
      </c>
      <c r="L16" s="16"/>
      <c r="M16" s="16"/>
      <c r="Q16" s="18"/>
      <c r="R16" s="16"/>
      <c r="S16" s="16"/>
    </row>
    <row r="17" spans="1:19">
      <c r="A17" s="7" t="s">
        <v>112</v>
      </c>
      <c r="D17" s="71">
        <v>54</v>
      </c>
      <c r="E17" s="75">
        <v>0.68</v>
      </c>
      <c r="F17" s="75">
        <v>0.68</v>
      </c>
      <c r="G17" s="17">
        <v>1000</v>
      </c>
      <c r="H17" s="16">
        <v>680</v>
      </c>
      <c r="I17" s="16">
        <v>2908</v>
      </c>
      <c r="J17" s="16"/>
      <c r="K17" s="16">
        <f t="shared" si="0"/>
        <v>3588</v>
      </c>
      <c r="L17" s="16"/>
      <c r="M17" s="16"/>
      <c r="Q17" s="16"/>
      <c r="R17" s="16"/>
      <c r="S17" s="16"/>
    </row>
    <row r="18" spans="1:19">
      <c r="A18" s="8" t="s">
        <v>113</v>
      </c>
      <c r="B18" s="8"/>
      <c r="C18" s="8"/>
      <c r="D18" s="79"/>
      <c r="E18" s="80">
        <f>SUM(E7:E17)</f>
        <v>110.89000000000001</v>
      </c>
      <c r="F18" s="80">
        <f>SUM(F7:F17)</f>
        <v>76.030000000000015</v>
      </c>
      <c r="G18" s="48"/>
      <c r="H18" s="48">
        <f>SUM(H7:H17)</f>
        <v>120685</v>
      </c>
      <c r="I18" s="48">
        <f t="shared" ref="I18:J18" si="1">SUM(I7:I17)</f>
        <v>11908</v>
      </c>
      <c r="J18" s="48">
        <f t="shared" si="1"/>
        <v>47638</v>
      </c>
      <c r="K18" s="81">
        <f>SUM(H18:J18)</f>
        <v>180231</v>
      </c>
      <c r="L18" s="48">
        <f>SUM(L8:L17)</f>
        <v>0</v>
      </c>
      <c r="M18" s="48">
        <f>SUM(M8:M17)</f>
        <v>621</v>
      </c>
    </row>
    <row r="19" spans="1:19">
      <c r="A19" s="13" t="s">
        <v>114</v>
      </c>
      <c r="B19" s="13"/>
      <c r="C19" s="13"/>
      <c r="D19" s="82"/>
      <c r="E19" s="83">
        <f>SUM(E18-F18)</f>
        <v>34.86</v>
      </c>
      <c r="F19" s="83"/>
      <c r="G19" s="21"/>
      <c r="H19" s="21">
        <f>G30*E30</f>
        <v>82612</v>
      </c>
      <c r="I19" s="21">
        <f>I18-L18</f>
        <v>11908</v>
      </c>
      <c r="J19" s="21">
        <f>J18-M18</f>
        <v>47017</v>
      </c>
      <c r="K19" s="21">
        <f>H19+I19+J19</f>
        <v>141537</v>
      </c>
      <c r="L19" s="13"/>
      <c r="M19" s="13"/>
    </row>
    <row r="21" spans="1:19">
      <c r="C21" s="7" t="s">
        <v>40</v>
      </c>
    </row>
    <row r="23" spans="1:19">
      <c r="A23" s="7" t="s">
        <v>41</v>
      </c>
    </row>
    <row r="24" spans="1:19">
      <c r="A24" s="23" t="s">
        <v>42</v>
      </c>
      <c r="B24" s="23"/>
      <c r="C24" s="23"/>
      <c r="D24" s="84" t="s">
        <v>7</v>
      </c>
      <c r="E24" s="84" t="s">
        <v>43</v>
      </c>
      <c r="F24" s="84"/>
      <c r="G24" s="23" t="s">
        <v>44</v>
      </c>
    </row>
    <row r="25" spans="1:19" ht="15">
      <c r="A25" s="7" t="s">
        <v>45</v>
      </c>
      <c r="D25" s="70" t="s">
        <v>13</v>
      </c>
      <c r="E25" s="70">
        <v>0.21</v>
      </c>
      <c r="G25" s="16">
        <v>6946</v>
      </c>
      <c r="J25" s="85" t="s">
        <v>6</v>
      </c>
      <c r="K25" s="86" t="s">
        <v>63</v>
      </c>
    </row>
    <row r="26" spans="1:19" ht="15">
      <c r="E26" s="75"/>
      <c r="G26" s="16"/>
      <c r="J26" s="87" t="s">
        <v>115</v>
      </c>
      <c r="K26" s="88">
        <v>33</v>
      </c>
    </row>
    <row r="27" spans="1:19" ht="15">
      <c r="J27" s="87" t="s">
        <v>116</v>
      </c>
      <c r="K27" s="89">
        <v>12</v>
      </c>
    </row>
    <row r="28" spans="1:19" ht="15">
      <c r="J28" s="87" t="s">
        <v>117</v>
      </c>
      <c r="K28" s="90">
        <v>42</v>
      </c>
    </row>
    <row r="29" spans="1:19" ht="15">
      <c r="A29" s="7" t="s">
        <v>46</v>
      </c>
      <c r="J29" s="87" t="s">
        <v>118</v>
      </c>
      <c r="K29" s="91">
        <v>3</v>
      </c>
    </row>
    <row r="30" spans="1:19" ht="15">
      <c r="A30" s="7" t="s">
        <v>47</v>
      </c>
      <c r="D30" s="70" t="s">
        <v>48</v>
      </c>
      <c r="E30" s="75">
        <v>76</v>
      </c>
      <c r="G30" s="16">
        <v>1087</v>
      </c>
      <c r="I30" s="38"/>
      <c r="J30" s="87" t="s">
        <v>119</v>
      </c>
      <c r="K30" s="91">
        <v>10</v>
      </c>
    </row>
    <row r="31" spans="1:19" ht="15">
      <c r="A31" s="7" t="s">
        <v>49</v>
      </c>
      <c r="D31" s="70" t="s">
        <v>48</v>
      </c>
      <c r="E31" s="75">
        <v>35</v>
      </c>
      <c r="I31" s="38"/>
      <c r="K31" s="16"/>
    </row>
    <row r="32" spans="1:19" ht="15">
      <c r="A32" s="7" t="s">
        <v>12</v>
      </c>
      <c r="E32" s="75">
        <f>SUM(E30:E31)</f>
        <v>111</v>
      </c>
      <c r="I32" s="38"/>
      <c r="J32" s="92" t="s">
        <v>120</v>
      </c>
      <c r="K32" s="93">
        <f>19.5/30</f>
        <v>0.65</v>
      </c>
    </row>
    <row r="33" spans="1:11" ht="15">
      <c r="I33" s="38"/>
      <c r="J33" s="92" t="s">
        <v>121</v>
      </c>
      <c r="K33" s="94">
        <v>1</v>
      </c>
    </row>
    <row r="34" spans="1:11" ht="15">
      <c r="A34" s="8" t="s">
        <v>122</v>
      </c>
      <c r="B34" s="8"/>
      <c r="C34" s="8" t="s">
        <v>51</v>
      </c>
      <c r="D34" s="9"/>
      <c r="E34" s="9"/>
      <c r="F34" s="9"/>
      <c r="G34" s="8"/>
      <c r="I34" s="38"/>
      <c r="J34" s="38"/>
    </row>
    <row r="35" spans="1:11" ht="15">
      <c r="A35" s="11"/>
      <c r="C35" s="29"/>
      <c r="E35" s="47"/>
      <c r="F35" s="47"/>
      <c r="G35" s="30"/>
      <c r="I35" s="38"/>
      <c r="J35" s="38"/>
    </row>
    <row r="36" spans="1:11" ht="15">
      <c r="A36" s="11"/>
      <c r="B36" s="7" t="s">
        <v>123</v>
      </c>
      <c r="C36" s="29">
        <v>54</v>
      </c>
      <c r="D36" s="12" t="s">
        <v>13</v>
      </c>
      <c r="E36" s="95">
        <v>133</v>
      </c>
      <c r="G36" s="96">
        <v>62</v>
      </c>
      <c r="I36" s="38"/>
      <c r="J36" s="38"/>
    </row>
    <row r="37" spans="1:11" ht="15">
      <c r="A37" s="11"/>
      <c r="B37" s="11" t="s">
        <v>124</v>
      </c>
      <c r="C37" s="29">
        <v>80</v>
      </c>
      <c r="D37" s="12" t="s">
        <v>13</v>
      </c>
      <c r="E37" s="96">
        <v>146</v>
      </c>
      <c r="G37" s="47">
        <v>50</v>
      </c>
      <c r="I37" s="38"/>
      <c r="J37" s="38"/>
    </row>
    <row r="38" spans="1:11" ht="15">
      <c r="A38" s="11"/>
      <c r="B38" s="11" t="s">
        <v>125</v>
      </c>
      <c r="C38" s="29">
        <v>70</v>
      </c>
      <c r="D38" s="12" t="s">
        <v>13</v>
      </c>
      <c r="E38" s="96">
        <v>54</v>
      </c>
      <c r="G38" s="47">
        <v>50</v>
      </c>
      <c r="I38" s="38"/>
      <c r="J38" s="38"/>
    </row>
    <row r="39" spans="1:11" ht="15">
      <c r="A39" s="11"/>
      <c r="B39" s="11" t="s">
        <v>126</v>
      </c>
      <c r="C39" s="29">
        <v>70</v>
      </c>
      <c r="D39" s="12" t="s">
        <v>13</v>
      </c>
      <c r="E39" s="96">
        <v>77</v>
      </c>
      <c r="G39" s="47">
        <v>50</v>
      </c>
      <c r="I39" s="38"/>
      <c r="J39" s="38"/>
    </row>
    <row r="40" spans="1:11">
      <c r="A40" s="13"/>
      <c r="B40" s="11"/>
      <c r="C40" s="97"/>
      <c r="D40" s="14"/>
      <c r="E40" s="83"/>
      <c r="F40" s="83"/>
      <c r="G40" s="21"/>
    </row>
    <row r="41" spans="1:11">
      <c r="A41" s="8" t="s">
        <v>53</v>
      </c>
      <c r="B41" s="8"/>
      <c r="C41" s="8"/>
      <c r="D41" s="9"/>
      <c r="E41" s="9"/>
      <c r="F41" s="9"/>
      <c r="G41" s="8"/>
      <c r="I41" s="7" t="s">
        <v>127</v>
      </c>
    </row>
    <row r="42" spans="1:11">
      <c r="A42" s="11" t="s">
        <v>128</v>
      </c>
      <c r="B42" s="11"/>
      <c r="C42" s="11"/>
      <c r="D42" s="12"/>
      <c r="E42" s="12"/>
      <c r="F42" s="12"/>
      <c r="G42" s="60">
        <v>10226</v>
      </c>
      <c r="H42" s="98"/>
      <c r="I42" s="39">
        <f>G42*2.471</f>
        <v>25268.446</v>
      </c>
      <c r="K42" s="62"/>
    </row>
    <row r="43" spans="1:11">
      <c r="A43" s="11" t="s">
        <v>55</v>
      </c>
      <c r="B43" s="11"/>
      <c r="C43" s="11"/>
      <c r="D43" s="12"/>
      <c r="E43" s="12"/>
      <c r="F43" s="12"/>
      <c r="G43" s="31">
        <v>43</v>
      </c>
      <c r="I43" s="39"/>
    </row>
    <row r="44" spans="1:11">
      <c r="A44" s="11" t="s">
        <v>129</v>
      </c>
      <c r="B44" s="11"/>
      <c r="C44" s="11"/>
      <c r="D44" s="12"/>
      <c r="E44" s="12"/>
      <c r="F44" s="12"/>
      <c r="G44" s="31">
        <f>G42*G43</f>
        <v>439718</v>
      </c>
      <c r="I44" s="39">
        <f t="shared" ref="I44:I46" si="2">G44*2.471</f>
        <v>1086543.1780000001</v>
      </c>
    </row>
    <row r="45" spans="1:11">
      <c r="A45" s="11" t="s">
        <v>130</v>
      </c>
      <c r="B45" s="11"/>
      <c r="C45" s="11"/>
      <c r="D45" s="12"/>
      <c r="E45" s="12"/>
      <c r="F45" s="12"/>
      <c r="G45" s="31">
        <f>SUM(G44-K18)</f>
        <v>259487</v>
      </c>
      <c r="I45" s="39">
        <f t="shared" si="2"/>
        <v>641192.37699999998</v>
      </c>
    </row>
    <row r="46" spans="1:11">
      <c r="A46" s="11" t="s">
        <v>131</v>
      </c>
      <c r="B46" s="11"/>
      <c r="C46" s="11"/>
      <c r="D46" s="12"/>
      <c r="E46" s="12"/>
      <c r="F46" s="12"/>
      <c r="G46" s="31">
        <f>SUM(G44-K19)</f>
        <v>298181</v>
      </c>
      <c r="I46" s="39">
        <f t="shared" si="2"/>
        <v>736805.25100000005</v>
      </c>
    </row>
    <row r="47" spans="1:11">
      <c r="A47" s="11"/>
      <c r="B47" s="11"/>
      <c r="C47" s="11"/>
      <c r="D47" s="12"/>
      <c r="E47" s="12"/>
      <c r="F47" s="12"/>
      <c r="G47" s="31"/>
    </row>
    <row r="48" spans="1:11">
      <c r="A48" s="11" t="s">
        <v>132</v>
      </c>
      <c r="B48" s="11"/>
      <c r="C48" s="11"/>
      <c r="D48" s="12"/>
      <c r="E48" s="12"/>
      <c r="F48" s="12"/>
      <c r="G48" s="31">
        <f>SUM(K18/G42)</f>
        <v>17.624779972618814</v>
      </c>
    </row>
    <row r="49" spans="1:7">
      <c r="A49" s="13" t="s">
        <v>133</v>
      </c>
      <c r="B49" s="13"/>
      <c r="C49" s="13"/>
      <c r="D49" s="14"/>
      <c r="E49" s="14"/>
      <c r="F49" s="14"/>
      <c r="G49" s="32">
        <f>SUM(K19/G42)</f>
        <v>13.840895755916291</v>
      </c>
    </row>
    <row r="51" spans="1:7" ht="14.25">
      <c r="A51" s="99" t="s">
        <v>134</v>
      </c>
      <c r="B51" s="100" t="s">
        <v>135</v>
      </c>
    </row>
    <row r="52" spans="1:7">
      <c r="B52" s="7" t="s">
        <v>136</v>
      </c>
    </row>
    <row r="60" spans="1:7">
      <c r="G60" s="7" t="s">
        <v>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4"/>
  <sheetViews>
    <sheetView workbookViewId="0">
      <selection sqref="A1:XFD1048576"/>
    </sheetView>
  </sheetViews>
  <sheetFormatPr defaultColWidth="11" defaultRowHeight="12.75"/>
  <cols>
    <col min="1" max="1" width="11" style="7"/>
    <col min="2" max="2" width="8.7109375" style="7" customWidth="1"/>
    <col min="3" max="3" width="4.42578125" style="7" customWidth="1"/>
    <col min="4" max="4" width="4.7109375" style="7" customWidth="1"/>
    <col min="5" max="6" width="5.5703125" style="7" customWidth="1"/>
    <col min="7" max="7" width="9.5703125" style="7" customWidth="1"/>
    <col min="8" max="8" width="8.85546875" style="7" customWidth="1"/>
    <col min="9" max="9" width="7.7109375" style="7" customWidth="1"/>
    <col min="10" max="10" width="8.5703125" style="7" customWidth="1"/>
    <col min="11" max="11" width="8.7109375" style="7" customWidth="1"/>
    <col min="12" max="12" width="6.85546875" style="7" customWidth="1"/>
    <col min="13" max="13" width="8.85546875" style="7" customWidth="1"/>
    <col min="14" max="15" width="11" style="7"/>
    <col min="16" max="16" width="7" style="7" customWidth="1"/>
    <col min="17" max="17" width="6" style="7" customWidth="1"/>
    <col min="18" max="16384" width="11" style="7"/>
  </cols>
  <sheetData>
    <row r="1" spans="1:17" ht="14.25">
      <c r="A1" s="24" t="s">
        <v>17</v>
      </c>
      <c r="B1" s="24" t="s">
        <v>465</v>
      </c>
      <c r="C1" s="24"/>
      <c r="D1" s="24"/>
      <c r="E1" s="24"/>
      <c r="F1" s="24"/>
      <c r="G1" s="24"/>
    </row>
    <row r="2" spans="1:17" ht="14.25">
      <c r="A2" s="24"/>
      <c r="B2" s="24" t="s">
        <v>466</v>
      </c>
      <c r="C2" s="24"/>
      <c r="D2" s="24"/>
      <c r="E2" s="24"/>
      <c r="F2" s="24"/>
      <c r="G2" s="24"/>
    </row>
    <row r="3" spans="1:17">
      <c r="A3" s="8" t="s">
        <v>18</v>
      </c>
      <c r="B3" s="8"/>
      <c r="C3" s="8"/>
      <c r="D3" s="9" t="s">
        <v>19</v>
      </c>
      <c r="E3" s="9" t="s">
        <v>12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9" t="s">
        <v>25</v>
      </c>
      <c r="L3" s="10" t="s">
        <v>26</v>
      </c>
      <c r="M3" s="9"/>
    </row>
    <row r="4" spans="1:17">
      <c r="A4" s="11"/>
      <c r="B4" s="11"/>
      <c r="C4" s="11"/>
      <c r="D4" s="12" t="s">
        <v>27</v>
      </c>
      <c r="E4" s="12" t="s">
        <v>28</v>
      </c>
      <c r="F4" s="12" t="s">
        <v>28</v>
      </c>
      <c r="G4" s="12" t="s">
        <v>29</v>
      </c>
      <c r="H4" s="12" t="s">
        <v>30</v>
      </c>
      <c r="I4" s="12" t="s">
        <v>31</v>
      </c>
      <c r="J4" s="12" t="s">
        <v>30</v>
      </c>
      <c r="K4" s="12" t="s">
        <v>30</v>
      </c>
      <c r="L4" s="12" t="s">
        <v>23</v>
      </c>
      <c r="M4" s="12" t="s">
        <v>24</v>
      </c>
    </row>
    <row r="5" spans="1:17">
      <c r="A5" s="11"/>
      <c r="B5" s="11"/>
      <c r="C5" s="11"/>
      <c r="D5" s="12" t="s">
        <v>32</v>
      </c>
      <c r="E5" s="12"/>
      <c r="F5" s="12"/>
      <c r="G5" s="12"/>
      <c r="H5" s="12" t="s">
        <v>33</v>
      </c>
      <c r="I5" s="12" t="s">
        <v>30</v>
      </c>
      <c r="J5" s="12" t="s">
        <v>33</v>
      </c>
      <c r="K5" s="12" t="s">
        <v>33</v>
      </c>
      <c r="L5" s="12"/>
      <c r="M5" s="12"/>
    </row>
    <row r="6" spans="1:17">
      <c r="A6" s="13"/>
      <c r="B6" s="13"/>
      <c r="C6" s="13"/>
      <c r="D6" s="14"/>
      <c r="E6" s="14"/>
      <c r="F6" s="14"/>
      <c r="G6" s="14"/>
      <c r="H6" s="14"/>
      <c r="I6" s="14" t="s">
        <v>33</v>
      </c>
      <c r="J6" s="14"/>
      <c r="K6" s="14"/>
      <c r="L6" s="14"/>
      <c r="M6" s="14"/>
    </row>
    <row r="7" spans="1:17" ht="14.25">
      <c r="A7" s="7" t="s">
        <v>15</v>
      </c>
      <c r="D7" s="33">
        <v>54</v>
      </c>
      <c r="E7" s="16">
        <v>5.0999999999999996</v>
      </c>
      <c r="F7" s="16">
        <v>3.5</v>
      </c>
      <c r="G7" s="17">
        <v>1145</v>
      </c>
      <c r="H7" s="16">
        <v>5840</v>
      </c>
      <c r="J7" s="16"/>
      <c r="K7" s="16">
        <f t="shared" ref="K7:K15" si="0">SUM(H7:J7)</f>
        <v>5840</v>
      </c>
      <c r="N7" s="54"/>
      <c r="O7" s="54"/>
      <c r="P7" s="55"/>
      <c r="Q7" s="55"/>
    </row>
    <row r="8" spans="1:17" ht="14.25">
      <c r="A8" s="7" t="s">
        <v>467</v>
      </c>
      <c r="D8" s="33">
        <v>100</v>
      </c>
      <c r="E8" s="16">
        <v>0.5</v>
      </c>
      <c r="F8" s="16">
        <v>0.5</v>
      </c>
      <c r="G8" s="17">
        <v>1000</v>
      </c>
      <c r="H8" s="16">
        <f t="shared" ref="H8:H10" si="1">SUM(E8*G8)</f>
        <v>500</v>
      </c>
      <c r="I8" s="18">
        <v>5008</v>
      </c>
      <c r="J8" s="16"/>
      <c r="K8" s="16">
        <f t="shared" si="0"/>
        <v>5508</v>
      </c>
      <c r="L8" s="62">
        <v>681</v>
      </c>
      <c r="M8" s="16"/>
      <c r="N8" s="54"/>
      <c r="O8" s="54"/>
      <c r="P8" s="57"/>
      <c r="Q8" s="55"/>
    </row>
    <row r="9" spans="1:17" ht="14.25">
      <c r="A9" s="7" t="s">
        <v>302</v>
      </c>
      <c r="D9" s="33">
        <v>100</v>
      </c>
      <c r="E9" s="16">
        <v>5.3</v>
      </c>
      <c r="F9" s="16">
        <v>2.6</v>
      </c>
      <c r="G9" s="312">
        <v>1162.8399999999999</v>
      </c>
      <c r="H9" s="16">
        <v>6163</v>
      </c>
      <c r="I9" s="16"/>
      <c r="J9" s="18">
        <v>10089</v>
      </c>
      <c r="K9" s="16">
        <f t="shared" si="0"/>
        <v>16252</v>
      </c>
      <c r="L9" s="16"/>
      <c r="M9" s="16"/>
      <c r="N9" s="54"/>
      <c r="O9" s="54"/>
      <c r="P9" s="55"/>
      <c r="Q9" s="55"/>
    </row>
    <row r="10" spans="1:17" ht="14.25">
      <c r="A10" s="7" t="s">
        <v>1</v>
      </c>
      <c r="D10" s="33">
        <v>100</v>
      </c>
      <c r="E10" s="18">
        <v>2.6</v>
      </c>
      <c r="F10" s="16">
        <v>1.3</v>
      </c>
      <c r="G10" s="17">
        <v>1200</v>
      </c>
      <c r="H10" s="16">
        <f t="shared" si="1"/>
        <v>3120</v>
      </c>
      <c r="I10" s="16"/>
      <c r="J10" s="18">
        <f>E33*G33+E34*G34+E35*G35</f>
        <v>10250</v>
      </c>
      <c r="K10" s="16">
        <f t="shared" si="0"/>
        <v>13370</v>
      </c>
      <c r="L10" s="16"/>
      <c r="M10" s="16"/>
      <c r="N10" s="54"/>
      <c r="O10" s="54"/>
      <c r="P10" s="55"/>
      <c r="Q10" s="55"/>
    </row>
    <row r="11" spans="1:17" ht="14.25">
      <c r="A11" s="7" t="s">
        <v>468</v>
      </c>
      <c r="D11" s="33">
        <v>72</v>
      </c>
      <c r="E11" s="16">
        <v>5.5</v>
      </c>
      <c r="F11" s="16">
        <v>2.9</v>
      </c>
      <c r="G11" s="17">
        <v>1160.56</v>
      </c>
      <c r="H11" s="16">
        <v>6383</v>
      </c>
      <c r="I11" s="16"/>
      <c r="J11" s="16"/>
      <c r="K11" s="16">
        <f t="shared" si="0"/>
        <v>6383</v>
      </c>
      <c r="L11" s="16"/>
      <c r="M11" s="16"/>
      <c r="N11" s="54"/>
      <c r="O11" s="54"/>
      <c r="P11" s="55"/>
      <c r="Q11" s="55"/>
    </row>
    <row r="12" spans="1:17" ht="14.25">
      <c r="A12" s="7" t="s">
        <v>469</v>
      </c>
      <c r="D12" s="33">
        <v>64</v>
      </c>
      <c r="E12" s="16">
        <v>2.2999999999999998</v>
      </c>
      <c r="F12" s="16">
        <v>1.1000000000000001</v>
      </c>
      <c r="G12" s="17">
        <v>1168</v>
      </c>
      <c r="H12" s="16">
        <v>2686</v>
      </c>
      <c r="I12" s="16"/>
      <c r="J12" s="16">
        <v>5231</v>
      </c>
      <c r="K12" s="16">
        <f t="shared" si="0"/>
        <v>7917</v>
      </c>
      <c r="L12" s="16"/>
      <c r="M12" s="16"/>
      <c r="N12" s="54"/>
      <c r="O12" s="54"/>
      <c r="P12" s="56"/>
      <c r="Q12" s="56"/>
    </row>
    <row r="13" spans="1:17" ht="14.25">
      <c r="A13" s="7" t="s">
        <v>470</v>
      </c>
      <c r="D13" s="33">
        <v>58</v>
      </c>
      <c r="E13" s="16">
        <v>0.8</v>
      </c>
      <c r="F13" s="16">
        <v>0.5</v>
      </c>
      <c r="G13" s="17">
        <v>1169</v>
      </c>
      <c r="H13" s="16">
        <v>935</v>
      </c>
      <c r="I13" s="16"/>
      <c r="J13" s="16">
        <v>2073</v>
      </c>
      <c r="K13" s="16">
        <f t="shared" si="0"/>
        <v>3008</v>
      </c>
      <c r="L13" s="16"/>
      <c r="M13" s="16"/>
      <c r="N13" s="54"/>
      <c r="O13" s="54"/>
      <c r="P13" s="55"/>
      <c r="Q13" s="55"/>
    </row>
    <row r="14" spans="1:17" ht="14.25">
      <c r="A14" s="7" t="s">
        <v>111</v>
      </c>
      <c r="D14" s="33">
        <v>100</v>
      </c>
      <c r="E14" s="16">
        <v>7.05</v>
      </c>
      <c r="F14" s="16">
        <v>3.9</v>
      </c>
      <c r="G14" s="17">
        <v>1132</v>
      </c>
      <c r="H14" s="16">
        <v>7981</v>
      </c>
      <c r="I14" s="16"/>
      <c r="J14" s="16"/>
      <c r="K14" s="16">
        <f t="shared" si="0"/>
        <v>7981</v>
      </c>
      <c r="L14" s="16"/>
      <c r="M14" s="16"/>
      <c r="N14" s="54"/>
      <c r="O14" s="54"/>
      <c r="P14" s="55"/>
      <c r="Q14" s="55"/>
    </row>
    <row r="15" spans="1:17" ht="14.25">
      <c r="A15" s="7" t="s">
        <v>158</v>
      </c>
      <c r="D15" s="33">
        <v>50</v>
      </c>
      <c r="E15" s="16">
        <v>0.57999999999999996</v>
      </c>
      <c r="F15" s="16">
        <v>0.57999999999999996</v>
      </c>
      <c r="G15" s="17">
        <v>1132</v>
      </c>
      <c r="H15" s="16">
        <v>657</v>
      </c>
      <c r="I15" s="16">
        <v>837</v>
      </c>
      <c r="J15" s="16"/>
      <c r="K15" s="16">
        <f t="shared" si="0"/>
        <v>1494</v>
      </c>
      <c r="L15" s="16"/>
      <c r="M15" s="16"/>
      <c r="N15" s="54"/>
      <c r="O15" s="54"/>
      <c r="P15" s="55"/>
      <c r="Q15" s="55"/>
    </row>
    <row r="16" spans="1:17" ht="14.25">
      <c r="A16" s="8" t="s">
        <v>38</v>
      </c>
      <c r="B16" s="8"/>
      <c r="C16" s="8"/>
      <c r="D16" s="19"/>
      <c r="E16" s="48">
        <f>SUM(E7:E15)</f>
        <v>29.73</v>
      </c>
      <c r="F16" s="48">
        <f>SUM(F7:F15)</f>
        <v>16.879999999999995</v>
      </c>
      <c r="G16" s="48"/>
      <c r="H16" s="48">
        <f>SUM(H7:H15)</f>
        <v>34265</v>
      </c>
      <c r="I16" s="48">
        <f>SUM(I7:I15)</f>
        <v>5845</v>
      </c>
      <c r="J16" s="48">
        <f>SUM(J7:J15)</f>
        <v>27643</v>
      </c>
      <c r="K16" s="48">
        <f>SUM(H16:J16)</f>
        <v>67753</v>
      </c>
      <c r="L16" s="48">
        <f>SUM(L8:L15)</f>
        <v>681</v>
      </c>
      <c r="M16" s="48">
        <f>SUM(M7:M15)</f>
        <v>0</v>
      </c>
      <c r="N16" s="54"/>
      <c r="O16" s="54"/>
      <c r="P16" s="56"/>
      <c r="Q16" s="56"/>
    </row>
    <row r="17" spans="1:13">
      <c r="A17" s="13" t="s">
        <v>39</v>
      </c>
      <c r="B17" s="13"/>
      <c r="C17" s="13"/>
      <c r="D17" s="20"/>
      <c r="E17" s="21">
        <f>SUM(E16-F16)</f>
        <v>12.850000000000005</v>
      </c>
      <c r="F17" s="21"/>
      <c r="G17" s="21"/>
      <c r="H17" s="21">
        <f>SUM(E28*G28)</f>
        <v>14846</v>
      </c>
      <c r="I17" s="21">
        <f>I16-L16</f>
        <v>5164</v>
      </c>
      <c r="J17" s="21">
        <f>J16-M16</f>
        <v>27643</v>
      </c>
      <c r="K17" s="21">
        <f>SUM(H17:J17)</f>
        <v>47653</v>
      </c>
      <c r="L17" s="13"/>
      <c r="M17" s="13"/>
    </row>
    <row r="19" spans="1:13" ht="14.25">
      <c r="C19" s="24" t="s">
        <v>40</v>
      </c>
      <c r="D19" s="24"/>
      <c r="E19" s="24"/>
    </row>
    <row r="21" spans="1:13" ht="14.25">
      <c r="A21" s="24" t="s">
        <v>41</v>
      </c>
      <c r="B21" s="24"/>
      <c r="C21" s="24"/>
    </row>
    <row r="22" spans="1:13">
      <c r="A22" s="23" t="s">
        <v>42</v>
      </c>
      <c r="B22" s="23"/>
      <c r="C22" s="23"/>
      <c r="D22" s="23" t="s">
        <v>7</v>
      </c>
      <c r="E22" s="23" t="s">
        <v>43</v>
      </c>
      <c r="F22" s="23"/>
      <c r="G22" s="23" t="s">
        <v>44</v>
      </c>
      <c r="H22" s="23"/>
      <c r="I22" s="23" t="s">
        <v>471</v>
      </c>
      <c r="J22" s="23"/>
    </row>
    <row r="23" spans="1:13" ht="14.25">
      <c r="A23" s="24" t="s">
        <v>45</v>
      </c>
      <c r="I23" s="313" t="s">
        <v>6</v>
      </c>
      <c r="J23" s="314"/>
    </row>
    <row r="24" spans="1:13" ht="13.5">
      <c r="A24" s="7" t="s">
        <v>263</v>
      </c>
      <c r="D24" s="7" t="s">
        <v>13</v>
      </c>
      <c r="E24" s="16">
        <v>0.4</v>
      </c>
      <c r="G24" s="16">
        <v>25222</v>
      </c>
      <c r="I24" s="92" t="s">
        <v>472</v>
      </c>
      <c r="J24" s="315">
        <v>86</v>
      </c>
    </row>
    <row r="25" spans="1:13" ht="13.5">
      <c r="I25" s="92" t="s">
        <v>473</v>
      </c>
      <c r="J25" s="315">
        <v>12</v>
      </c>
    </row>
    <row r="26" spans="1:13" ht="13.5">
      <c r="I26" s="316" t="s">
        <v>77</v>
      </c>
      <c r="J26" s="317">
        <v>2</v>
      </c>
    </row>
    <row r="27" spans="1:13" ht="14.25">
      <c r="A27" s="24" t="s">
        <v>46</v>
      </c>
    </row>
    <row r="28" spans="1:13" ht="15">
      <c r="A28" s="7" t="s">
        <v>8</v>
      </c>
      <c r="D28" s="7" t="s">
        <v>48</v>
      </c>
      <c r="E28" s="16">
        <v>13</v>
      </c>
      <c r="G28" s="16">
        <v>1142</v>
      </c>
      <c r="I28" s="92" t="s">
        <v>120</v>
      </c>
      <c r="J28" s="318">
        <v>4</v>
      </c>
      <c r="K28" s="43"/>
    </row>
    <row r="29" spans="1:13" ht="15">
      <c r="A29" s="7" t="s">
        <v>474</v>
      </c>
      <c r="D29" s="7" t="s">
        <v>48</v>
      </c>
      <c r="E29" s="16">
        <v>17</v>
      </c>
      <c r="I29" s="92" t="s">
        <v>121</v>
      </c>
      <c r="J29" s="318">
        <v>1</v>
      </c>
      <c r="K29" s="38"/>
    </row>
    <row r="30" spans="1:13" ht="15">
      <c r="A30" s="7" t="s">
        <v>12</v>
      </c>
      <c r="D30" s="7" t="s">
        <v>48</v>
      </c>
      <c r="E30" s="16">
        <f>SUM(E28:E29)</f>
        <v>30</v>
      </c>
      <c r="I30" s="38"/>
      <c r="J30" s="300"/>
      <c r="K30" s="38"/>
    </row>
    <row r="31" spans="1:13" ht="15">
      <c r="I31" s="38"/>
      <c r="J31" s="300"/>
    </row>
    <row r="32" spans="1:13" ht="15.75">
      <c r="A32" s="319" t="s">
        <v>122</v>
      </c>
      <c r="B32" s="11" t="s">
        <v>51</v>
      </c>
      <c r="D32" s="11"/>
      <c r="E32" s="11"/>
      <c r="F32" s="11"/>
      <c r="G32" s="11"/>
      <c r="H32" s="11"/>
      <c r="I32" s="38"/>
      <c r="J32" s="38"/>
    </row>
    <row r="33" spans="1:14" ht="15">
      <c r="A33" s="11" t="s">
        <v>9</v>
      </c>
      <c r="B33" s="29">
        <v>78</v>
      </c>
      <c r="D33" s="11" t="s">
        <v>13</v>
      </c>
      <c r="E33" s="30">
        <v>101</v>
      </c>
      <c r="F33" s="30"/>
      <c r="G33" s="16">
        <v>50</v>
      </c>
      <c r="H33" s="11"/>
      <c r="I33" s="30"/>
      <c r="J33" s="38"/>
    </row>
    <row r="34" spans="1:14" ht="15">
      <c r="A34" s="11" t="s">
        <v>475</v>
      </c>
      <c r="B34" s="320">
        <v>56</v>
      </c>
      <c r="C34" s="62"/>
      <c r="D34" s="310" t="s">
        <v>13</v>
      </c>
      <c r="E34" s="63">
        <v>75</v>
      </c>
      <c r="F34" s="321"/>
      <c r="G34" s="18">
        <v>52</v>
      </c>
      <c r="H34" s="11"/>
      <c r="I34" s="30"/>
      <c r="J34" s="38"/>
    </row>
    <row r="35" spans="1:14" ht="15">
      <c r="A35" s="11" t="s">
        <v>82</v>
      </c>
      <c r="B35" s="29">
        <v>42</v>
      </c>
      <c r="D35" s="11" t="s">
        <v>13</v>
      </c>
      <c r="E35" s="30">
        <v>26</v>
      </c>
      <c r="F35" s="30"/>
      <c r="G35" s="16">
        <v>50</v>
      </c>
      <c r="I35" s="30"/>
      <c r="J35" s="38"/>
      <c r="K35" s="16"/>
    </row>
    <row r="36" spans="1:14" ht="15.75">
      <c r="A36" s="322" t="s">
        <v>53</v>
      </c>
      <c r="B36" s="322"/>
      <c r="C36" s="322"/>
      <c r="D36" s="322"/>
      <c r="E36" s="322"/>
      <c r="F36" s="322"/>
      <c r="G36" s="322" t="s">
        <v>379</v>
      </c>
      <c r="H36" s="322"/>
      <c r="I36" s="322" t="s">
        <v>224</v>
      </c>
      <c r="J36" s="323"/>
    </row>
    <row r="37" spans="1:14" ht="15">
      <c r="A37" s="11" t="s">
        <v>54</v>
      </c>
      <c r="B37" s="11"/>
      <c r="C37" s="11"/>
      <c r="D37" s="11"/>
      <c r="E37" s="11"/>
      <c r="F37" s="11"/>
      <c r="G37" s="60">
        <v>1284</v>
      </c>
      <c r="H37" s="11"/>
      <c r="I37" s="50">
        <f>G37*2.471</f>
        <v>3172.7640000000001</v>
      </c>
      <c r="J37" s="38"/>
    </row>
    <row r="38" spans="1:14">
      <c r="A38" s="11" t="s">
        <v>55</v>
      </c>
      <c r="B38" s="11"/>
      <c r="C38" s="11"/>
      <c r="D38" s="11"/>
      <c r="E38" s="11"/>
      <c r="F38" s="11"/>
      <c r="G38" s="61">
        <v>32</v>
      </c>
      <c r="H38" s="11"/>
      <c r="I38" s="50"/>
      <c r="J38" s="11"/>
    </row>
    <row r="39" spans="1:14">
      <c r="A39" s="11" t="s">
        <v>56</v>
      </c>
      <c r="B39" s="11"/>
      <c r="C39" s="11"/>
      <c r="D39" s="11"/>
      <c r="E39" s="11"/>
      <c r="F39" s="11"/>
      <c r="G39" s="31">
        <f>+G37*G38</f>
        <v>41088</v>
      </c>
      <c r="H39" s="11"/>
      <c r="I39" s="50">
        <f>G39*2.471</f>
        <v>101528.448</v>
      </c>
      <c r="J39" s="11"/>
    </row>
    <row r="40" spans="1:14">
      <c r="A40" s="11" t="s">
        <v>57</v>
      </c>
      <c r="B40" s="11"/>
      <c r="C40" s="11"/>
      <c r="D40" s="11"/>
      <c r="E40" s="11"/>
      <c r="F40" s="11"/>
      <c r="G40" s="31">
        <f>SUM(G39-K16)</f>
        <v>-26665</v>
      </c>
      <c r="H40" s="11"/>
      <c r="I40" s="50">
        <f>+G40*2.471</f>
        <v>-65889.214999999997</v>
      </c>
      <c r="J40" s="11"/>
      <c r="N40" s="39"/>
    </row>
    <row r="41" spans="1:14">
      <c r="A41" s="11" t="s">
        <v>58</v>
      </c>
      <c r="B41" s="11"/>
      <c r="C41" s="11"/>
      <c r="D41" s="11"/>
      <c r="E41" s="11"/>
      <c r="F41" s="11"/>
      <c r="G41" s="31">
        <f>SUM(G39-K17)</f>
        <v>-6565</v>
      </c>
      <c r="H41" s="11"/>
      <c r="I41" s="50">
        <f>+G41*2.471</f>
        <v>-16222.115</v>
      </c>
      <c r="J41" s="11"/>
    </row>
    <row r="42" spans="1:14">
      <c r="A42" s="11"/>
      <c r="B42" s="11"/>
      <c r="C42" s="11"/>
      <c r="D42" s="11"/>
      <c r="E42" s="11"/>
      <c r="F42" s="11"/>
      <c r="G42" s="31"/>
      <c r="H42" s="11"/>
      <c r="I42" s="11"/>
      <c r="J42" s="11"/>
    </row>
    <row r="43" spans="1:14">
      <c r="A43" s="11" t="s">
        <v>59</v>
      </c>
      <c r="B43" s="11"/>
      <c r="C43" s="11"/>
      <c r="D43" s="11"/>
      <c r="E43" s="11"/>
      <c r="F43" s="11"/>
      <c r="G43" s="31">
        <f>SUM(K16/G37)</f>
        <v>52.767133956386296</v>
      </c>
      <c r="H43" s="11"/>
      <c r="I43" s="11"/>
      <c r="J43" s="11"/>
    </row>
    <row r="44" spans="1:14">
      <c r="A44" s="13" t="s">
        <v>60</v>
      </c>
      <c r="B44" s="13"/>
      <c r="C44" s="13"/>
      <c r="D44" s="13"/>
      <c r="E44" s="13"/>
      <c r="F44" s="13"/>
      <c r="G44" s="32">
        <f>SUM(K17/G37)</f>
        <v>37.112928348909655</v>
      </c>
      <c r="H44" s="13"/>
      <c r="I44" s="13"/>
      <c r="J44" s="13"/>
    </row>
    <row r="45" spans="1:14">
      <c r="A45" s="7" t="s">
        <v>476</v>
      </c>
    </row>
    <row r="46" spans="1:14">
      <c r="H46" s="98"/>
    </row>
    <row r="55" spans="1:7" ht="13.5">
      <c r="A55" s="99"/>
    </row>
    <row r="64" spans="1:7">
      <c r="G64" s="7" t="s">
        <v>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K2378"/>
  <sheetViews>
    <sheetView workbookViewId="0">
      <selection activeCell="K38" sqref="K38"/>
    </sheetView>
  </sheetViews>
  <sheetFormatPr defaultRowHeight="14.25"/>
  <cols>
    <col min="1" max="16384" width="9.140625" style="325"/>
  </cols>
  <sheetData>
    <row r="1" spans="1:37">
      <c r="A1" s="324" t="s">
        <v>17</v>
      </c>
      <c r="B1" s="156" t="s">
        <v>477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09"/>
      <c r="AJ1" s="109"/>
      <c r="AK1" s="109"/>
    </row>
    <row r="2" spans="1:37">
      <c r="A2" s="156"/>
      <c r="B2" s="156" t="s">
        <v>478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09"/>
      <c r="AJ2" s="109"/>
      <c r="AK2" s="109"/>
    </row>
    <row r="3" spans="1:37">
      <c r="A3" s="326"/>
      <c r="B3" s="326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129"/>
      <c r="AH3" s="129"/>
      <c r="AI3" s="109"/>
      <c r="AJ3" s="109"/>
      <c r="AK3" s="109"/>
    </row>
    <row r="4" spans="1:37" ht="28.5">
      <c r="A4" s="327" t="s">
        <v>18</v>
      </c>
      <c r="B4" s="327"/>
      <c r="C4" s="327"/>
      <c r="D4" s="327" t="s">
        <v>19</v>
      </c>
      <c r="E4" s="327" t="s">
        <v>12</v>
      </c>
      <c r="F4" s="327" t="s">
        <v>479</v>
      </c>
      <c r="G4" s="327" t="s">
        <v>480</v>
      </c>
      <c r="H4" s="327" t="s">
        <v>22</v>
      </c>
      <c r="I4" s="327" t="s">
        <v>23</v>
      </c>
      <c r="J4" s="327" t="s">
        <v>24</v>
      </c>
      <c r="K4" s="327" t="s">
        <v>25</v>
      </c>
      <c r="L4" s="328" t="s">
        <v>481</v>
      </c>
      <c r="M4" s="328" t="s">
        <v>482</v>
      </c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09"/>
      <c r="AJ4" s="109"/>
      <c r="AK4" s="109"/>
    </row>
    <row r="5" spans="1:37">
      <c r="A5" s="129"/>
      <c r="B5" s="129"/>
      <c r="C5" s="129"/>
      <c r="D5" s="129" t="s">
        <v>27</v>
      </c>
      <c r="E5" s="129" t="s">
        <v>483</v>
      </c>
      <c r="F5" s="129" t="s">
        <v>484</v>
      </c>
      <c r="G5" s="129" t="s">
        <v>485</v>
      </c>
      <c r="H5" s="129" t="s">
        <v>30</v>
      </c>
      <c r="I5" s="129" t="s">
        <v>486</v>
      </c>
      <c r="J5" s="129" t="s">
        <v>30</v>
      </c>
      <c r="K5" s="129" t="s">
        <v>30</v>
      </c>
      <c r="L5" s="129" t="s">
        <v>4</v>
      </c>
      <c r="M5" s="129" t="s">
        <v>42</v>
      </c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09"/>
      <c r="AJ5" s="109"/>
      <c r="AK5" s="109"/>
    </row>
    <row r="6" spans="1:37">
      <c r="A6" s="329"/>
      <c r="B6" s="329"/>
      <c r="C6" s="329"/>
      <c r="D6" s="329"/>
      <c r="E6" s="329"/>
      <c r="F6" s="329"/>
      <c r="G6" s="329"/>
      <c r="H6" s="329" t="s">
        <v>33</v>
      </c>
      <c r="I6" s="329" t="s">
        <v>487</v>
      </c>
      <c r="J6" s="329" t="s">
        <v>33</v>
      </c>
      <c r="K6" s="329" t="s">
        <v>33</v>
      </c>
      <c r="L6" s="329"/>
      <c r="M6" s="329" t="s">
        <v>4</v>
      </c>
      <c r="O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09"/>
      <c r="AJ6" s="109"/>
      <c r="AK6" s="109"/>
    </row>
    <row r="7" spans="1:37">
      <c r="A7" s="156" t="s">
        <v>488</v>
      </c>
      <c r="B7" s="156"/>
      <c r="C7" s="156"/>
      <c r="D7" s="155">
        <v>68</v>
      </c>
      <c r="E7" s="156">
        <v>0.6</v>
      </c>
      <c r="F7" s="156">
        <v>0.6</v>
      </c>
      <c r="G7" s="156">
        <v>1000</v>
      </c>
      <c r="H7" s="156">
        <f>+G7*E7</f>
        <v>600</v>
      </c>
      <c r="I7" s="156">
        <v>11765</v>
      </c>
      <c r="J7" s="156"/>
      <c r="K7" s="156">
        <f t="shared" ref="K7:K19" si="0">+J7+I7+H7</f>
        <v>12365</v>
      </c>
      <c r="L7" s="155"/>
      <c r="M7" s="156"/>
      <c r="N7" s="110"/>
      <c r="O7" s="110"/>
      <c r="P7" s="110"/>
      <c r="Q7" s="204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09"/>
      <c r="AJ7" s="109"/>
      <c r="AK7" s="109"/>
    </row>
    <row r="8" spans="1:37">
      <c r="A8" s="156" t="s">
        <v>489</v>
      </c>
      <c r="B8" s="156"/>
      <c r="C8" s="156"/>
      <c r="D8" s="330" t="s">
        <v>96</v>
      </c>
      <c r="E8" s="156" t="s">
        <v>490</v>
      </c>
      <c r="F8" s="156" t="s">
        <v>490</v>
      </c>
      <c r="G8" s="156">
        <v>1000</v>
      </c>
      <c r="H8" s="156" t="s">
        <v>491</v>
      </c>
      <c r="I8" s="156" t="s">
        <v>492</v>
      </c>
      <c r="J8" s="156"/>
      <c r="K8" s="156">
        <v>0</v>
      </c>
      <c r="L8" s="331" t="s">
        <v>493</v>
      </c>
      <c r="M8" s="332"/>
      <c r="N8" s="110"/>
      <c r="O8" s="110"/>
      <c r="P8" s="110"/>
      <c r="Q8" s="333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09"/>
      <c r="AJ8" s="109"/>
      <c r="AK8" s="109"/>
    </row>
    <row r="9" spans="1:37">
      <c r="A9" s="156" t="s">
        <v>494</v>
      </c>
      <c r="B9" s="156"/>
      <c r="C9" s="156"/>
      <c r="D9" s="155">
        <v>74</v>
      </c>
      <c r="E9" s="156">
        <v>0.5</v>
      </c>
      <c r="F9" s="156">
        <v>0.5</v>
      </c>
      <c r="G9" s="156">
        <v>1000</v>
      </c>
      <c r="H9" s="156">
        <f>+G9*E9</f>
        <v>500</v>
      </c>
      <c r="I9" s="156">
        <v>5467</v>
      </c>
      <c r="J9" s="156"/>
      <c r="K9" s="156">
        <f>+J9+I9+H9</f>
        <v>5967</v>
      </c>
      <c r="L9" s="155">
        <v>658</v>
      </c>
      <c r="M9" s="156"/>
      <c r="N9" s="110"/>
      <c r="O9" s="110"/>
      <c r="P9" s="110"/>
      <c r="Q9" s="333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09"/>
      <c r="AJ9" s="109"/>
      <c r="AK9" s="109"/>
    </row>
    <row r="10" spans="1:37">
      <c r="A10" s="156" t="s">
        <v>235</v>
      </c>
      <c r="B10" s="156"/>
      <c r="C10" s="156"/>
      <c r="D10" s="155">
        <v>100</v>
      </c>
      <c r="E10" s="156">
        <v>12.65</v>
      </c>
      <c r="F10" s="156">
        <v>0</v>
      </c>
      <c r="G10" s="334">
        <v>1168</v>
      </c>
      <c r="H10" s="156">
        <v>14775</v>
      </c>
      <c r="I10" s="332"/>
      <c r="J10" s="156"/>
      <c r="K10" s="156">
        <f t="shared" si="0"/>
        <v>14775</v>
      </c>
      <c r="L10" s="155"/>
      <c r="M10" s="156"/>
      <c r="N10" s="110"/>
      <c r="O10" s="110"/>
      <c r="P10" s="110"/>
      <c r="Q10" s="204"/>
      <c r="R10" s="332"/>
      <c r="S10" s="332"/>
      <c r="T10" s="332"/>
      <c r="U10" s="332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09"/>
      <c r="AJ10" s="109"/>
      <c r="AK10" s="109"/>
    </row>
    <row r="11" spans="1:37">
      <c r="A11" s="156" t="s">
        <v>495</v>
      </c>
      <c r="B11" s="156"/>
      <c r="C11" s="156"/>
      <c r="D11" s="155">
        <v>100</v>
      </c>
      <c r="E11" s="156">
        <v>5.0999999999999996</v>
      </c>
      <c r="F11" s="156">
        <v>1.19</v>
      </c>
      <c r="G11" s="156">
        <v>800</v>
      </c>
      <c r="H11" s="156">
        <f t="shared" ref="H11:H18" si="1">+G11*E11</f>
        <v>4079.9999999999995</v>
      </c>
      <c r="I11" s="332"/>
      <c r="J11" s="156"/>
      <c r="K11" s="156">
        <f t="shared" si="0"/>
        <v>4079.9999999999995</v>
      </c>
      <c r="L11" s="155"/>
      <c r="M11" s="156"/>
      <c r="N11" s="110"/>
      <c r="O11" s="110"/>
      <c r="P11" s="110"/>
      <c r="Q11" s="204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09"/>
      <c r="AJ11" s="109"/>
      <c r="AK11" s="109"/>
    </row>
    <row r="12" spans="1:37">
      <c r="A12" s="156" t="s">
        <v>390</v>
      </c>
      <c r="B12" s="156"/>
      <c r="C12" s="156"/>
      <c r="D12" s="155">
        <v>100</v>
      </c>
      <c r="E12" s="156">
        <v>14.93</v>
      </c>
      <c r="F12" s="156">
        <v>2.2999999999999998</v>
      </c>
      <c r="G12" s="156">
        <v>750</v>
      </c>
      <c r="H12" s="156">
        <v>11198</v>
      </c>
      <c r="I12" s="156"/>
      <c r="J12" s="156">
        <f>E27*G27</f>
        <v>100231</v>
      </c>
      <c r="K12" s="156">
        <f t="shared" si="0"/>
        <v>111429</v>
      </c>
      <c r="L12" s="155"/>
      <c r="M12" s="155">
        <v>7291</v>
      </c>
      <c r="N12" s="110"/>
      <c r="O12" s="110"/>
      <c r="P12" s="110"/>
      <c r="Q12" s="204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09"/>
      <c r="AJ12" s="109"/>
      <c r="AK12" s="109"/>
    </row>
    <row r="13" spans="1:37">
      <c r="A13" s="156" t="s">
        <v>107</v>
      </c>
      <c r="B13" s="156"/>
      <c r="C13" s="156"/>
      <c r="D13" s="155">
        <v>100</v>
      </c>
      <c r="E13" s="156">
        <v>3.76</v>
      </c>
      <c r="F13" s="156">
        <v>3.6</v>
      </c>
      <c r="G13" s="156">
        <v>961</v>
      </c>
      <c r="H13" s="156">
        <v>3613</v>
      </c>
      <c r="I13" s="156"/>
      <c r="J13" s="156">
        <f>E36*G36+E37*G37+E40*G40</f>
        <v>58350</v>
      </c>
      <c r="K13" s="156">
        <f t="shared" si="0"/>
        <v>61963</v>
      </c>
      <c r="L13" s="155"/>
      <c r="M13" s="155"/>
      <c r="N13" s="110"/>
      <c r="O13" s="110"/>
      <c r="P13" s="110"/>
      <c r="Q13" s="204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09"/>
      <c r="AJ13" s="109"/>
      <c r="AK13" s="109"/>
    </row>
    <row r="14" spans="1:37">
      <c r="A14" s="156" t="s">
        <v>496</v>
      </c>
      <c r="B14" s="156"/>
      <c r="C14" s="156"/>
      <c r="D14" s="155">
        <v>100</v>
      </c>
      <c r="E14" s="156">
        <v>1.46</v>
      </c>
      <c r="F14" s="156">
        <v>0.78</v>
      </c>
      <c r="G14" s="156">
        <v>1279</v>
      </c>
      <c r="H14" s="156">
        <v>1867</v>
      </c>
      <c r="I14" s="156"/>
      <c r="J14" s="156">
        <v>3142</v>
      </c>
      <c r="K14" s="156">
        <f t="shared" si="0"/>
        <v>5009</v>
      </c>
      <c r="L14" s="155"/>
      <c r="M14" s="155"/>
      <c r="N14" s="110"/>
      <c r="O14" s="110"/>
      <c r="P14" s="110"/>
      <c r="Q14" s="204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09"/>
      <c r="AJ14" s="109"/>
      <c r="AK14" s="109"/>
    </row>
    <row r="15" spans="1:37">
      <c r="A15" s="156" t="s">
        <v>497</v>
      </c>
      <c r="B15" s="156"/>
      <c r="C15" s="156"/>
      <c r="D15" s="155">
        <v>100</v>
      </c>
      <c r="E15" s="156">
        <v>17.5</v>
      </c>
      <c r="F15" s="156">
        <v>0.28999999999999998</v>
      </c>
      <c r="G15" s="156">
        <v>850</v>
      </c>
      <c r="H15" s="156">
        <f t="shared" si="1"/>
        <v>14875</v>
      </c>
      <c r="I15" s="156"/>
      <c r="J15" s="156"/>
      <c r="K15" s="156">
        <f t="shared" si="0"/>
        <v>14875</v>
      </c>
      <c r="L15" s="155"/>
      <c r="M15" s="155"/>
      <c r="N15" s="110"/>
      <c r="O15" s="110"/>
      <c r="P15" s="110"/>
      <c r="Q15" s="204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09"/>
      <c r="AJ15" s="109"/>
      <c r="AK15" s="109"/>
    </row>
    <row r="16" spans="1:37">
      <c r="A16" s="156" t="s">
        <v>36</v>
      </c>
      <c r="B16" s="156"/>
      <c r="C16" s="156"/>
      <c r="D16" s="335">
        <v>100</v>
      </c>
      <c r="E16" s="156">
        <v>2.42</v>
      </c>
      <c r="F16" s="156">
        <v>1.35</v>
      </c>
      <c r="G16" s="156">
        <v>1195</v>
      </c>
      <c r="H16" s="156">
        <v>2892</v>
      </c>
      <c r="I16" s="156"/>
      <c r="J16" s="156">
        <v>7863</v>
      </c>
      <c r="K16" s="156">
        <f t="shared" si="0"/>
        <v>10755</v>
      </c>
      <c r="L16" s="155"/>
      <c r="M16" s="155"/>
      <c r="N16" s="110"/>
      <c r="O16" s="110"/>
      <c r="P16" s="110"/>
      <c r="Q16" s="204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09"/>
      <c r="AJ16" s="109"/>
      <c r="AK16" s="109"/>
    </row>
    <row r="17" spans="1:37">
      <c r="A17" s="156" t="s">
        <v>110</v>
      </c>
      <c r="B17" s="156"/>
      <c r="C17" s="156"/>
      <c r="D17" s="155">
        <v>100</v>
      </c>
      <c r="E17" s="156">
        <v>13.97</v>
      </c>
      <c r="F17" s="156">
        <v>12.03</v>
      </c>
      <c r="G17" s="156">
        <v>800</v>
      </c>
      <c r="H17" s="156">
        <f t="shared" si="1"/>
        <v>11176</v>
      </c>
      <c r="I17" s="156">
        <v>15678</v>
      </c>
      <c r="J17" s="156"/>
      <c r="K17" s="156">
        <f t="shared" si="0"/>
        <v>26854</v>
      </c>
      <c r="L17" s="155"/>
      <c r="M17" s="155"/>
      <c r="N17" s="110"/>
      <c r="O17" s="110"/>
      <c r="P17" s="110"/>
      <c r="Q17" s="204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09"/>
      <c r="AJ17" s="109"/>
      <c r="AK17" s="109"/>
    </row>
    <row r="18" spans="1:37">
      <c r="A18" s="156" t="s">
        <v>111</v>
      </c>
      <c r="B18" s="156"/>
      <c r="C18" s="156"/>
      <c r="D18" s="105">
        <v>100</v>
      </c>
      <c r="E18" s="156">
        <v>20.09</v>
      </c>
      <c r="F18" s="156">
        <v>1.27</v>
      </c>
      <c r="G18" s="156">
        <v>900</v>
      </c>
      <c r="H18" s="156">
        <f t="shared" si="1"/>
        <v>18081</v>
      </c>
      <c r="I18" s="336"/>
      <c r="J18" s="156"/>
      <c r="K18" s="156">
        <f t="shared" si="0"/>
        <v>18081</v>
      </c>
      <c r="L18" s="155"/>
      <c r="M18" s="155"/>
      <c r="N18" s="110"/>
      <c r="O18" s="110"/>
      <c r="P18" s="110"/>
      <c r="Q18" s="204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09"/>
      <c r="AJ18" s="109"/>
      <c r="AK18" s="109"/>
    </row>
    <row r="19" spans="1:37">
      <c r="A19" s="156" t="s">
        <v>304</v>
      </c>
      <c r="B19" s="156"/>
      <c r="C19" s="156"/>
      <c r="D19" s="155">
        <v>100</v>
      </c>
      <c r="E19" s="156">
        <v>17.55</v>
      </c>
      <c r="F19" s="156">
        <v>2.9</v>
      </c>
      <c r="G19" s="156">
        <v>850</v>
      </c>
      <c r="H19" s="156">
        <v>14916</v>
      </c>
      <c r="I19" s="336"/>
      <c r="J19" s="156"/>
      <c r="K19" s="156">
        <f t="shared" si="0"/>
        <v>14916</v>
      </c>
      <c r="L19" s="155"/>
      <c r="M19" s="155"/>
      <c r="N19" s="110"/>
      <c r="O19" s="110"/>
      <c r="P19" s="110"/>
      <c r="Q19" s="204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09"/>
      <c r="AJ19" s="109"/>
      <c r="AK19" s="109"/>
    </row>
    <row r="20" spans="1:37">
      <c r="A20" s="329" t="s">
        <v>498</v>
      </c>
      <c r="B20" s="329"/>
      <c r="C20" s="329"/>
      <c r="D20" s="337" t="s">
        <v>499</v>
      </c>
      <c r="E20" s="329" t="s">
        <v>500</v>
      </c>
      <c r="F20" s="329" t="s">
        <v>500</v>
      </c>
      <c r="G20" s="129">
        <v>900</v>
      </c>
      <c r="H20" s="156" t="s">
        <v>501</v>
      </c>
      <c r="I20" s="329" t="s">
        <v>502</v>
      </c>
      <c r="J20" s="329"/>
      <c r="K20" s="156">
        <v>0</v>
      </c>
      <c r="L20" s="155"/>
      <c r="M20" s="155"/>
      <c r="N20" s="110"/>
      <c r="O20" s="110"/>
      <c r="P20" s="110"/>
      <c r="Q20" s="204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09"/>
      <c r="AJ20" s="109"/>
      <c r="AK20" s="109"/>
    </row>
    <row r="21" spans="1:37">
      <c r="A21" s="327" t="s">
        <v>38</v>
      </c>
      <c r="B21" s="327"/>
      <c r="C21" s="327"/>
      <c r="D21" s="327"/>
      <c r="E21" s="327">
        <f t="shared" ref="E21:K21" si="2">SUM(E7:E20)</f>
        <v>110.53</v>
      </c>
      <c r="F21" s="327">
        <f t="shared" si="2"/>
        <v>26.809999999999995</v>
      </c>
      <c r="G21" s="327">
        <f t="shared" si="2"/>
        <v>13453</v>
      </c>
      <c r="H21" s="327">
        <f t="shared" si="2"/>
        <v>98573</v>
      </c>
      <c r="I21" s="327">
        <f t="shared" si="2"/>
        <v>32910</v>
      </c>
      <c r="J21" s="327">
        <f t="shared" si="2"/>
        <v>169586</v>
      </c>
      <c r="K21" s="327">
        <f t="shared" si="2"/>
        <v>301069</v>
      </c>
      <c r="L21" s="114">
        <f>SUM(L7:L20)</f>
        <v>658</v>
      </c>
      <c r="M21" s="114">
        <f>SUM(M7:M20)</f>
        <v>7291</v>
      </c>
      <c r="V21" s="326"/>
      <c r="W21" s="326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09"/>
      <c r="AJ21" s="109"/>
      <c r="AK21" s="109"/>
    </row>
    <row r="22" spans="1:37">
      <c r="A22" s="329" t="s">
        <v>39</v>
      </c>
      <c r="B22" s="329"/>
      <c r="C22" s="329"/>
      <c r="D22" s="329"/>
      <c r="E22" s="329">
        <f>SUM(E21-F21)</f>
        <v>83.72</v>
      </c>
      <c r="F22" s="329"/>
      <c r="G22" s="329"/>
      <c r="H22" s="329">
        <f>E30*G30</f>
        <v>74592</v>
      </c>
      <c r="I22" s="329">
        <f>I21-L21</f>
        <v>32252</v>
      </c>
      <c r="J22" s="329">
        <f>J21-M21</f>
        <v>162295</v>
      </c>
      <c r="K22" s="329">
        <f>+J22+I22+H22</f>
        <v>269139</v>
      </c>
      <c r="L22" s="117"/>
      <c r="M22" s="329"/>
      <c r="V22" s="129"/>
      <c r="W22" s="129"/>
      <c r="X22" s="129"/>
      <c r="Y22" s="129"/>
      <c r="Z22" s="129"/>
      <c r="AA22" s="129"/>
      <c r="AB22" s="129"/>
      <c r="AC22" s="129"/>
      <c r="AD22" s="109"/>
      <c r="AE22" s="129"/>
      <c r="AF22" s="129"/>
      <c r="AG22" s="129"/>
      <c r="AH22" s="129"/>
      <c r="AI22" s="109"/>
      <c r="AJ22" s="109"/>
      <c r="AK22" s="109"/>
    </row>
    <row r="23" spans="1:37">
      <c r="B23" s="156"/>
      <c r="C23" s="156"/>
      <c r="D23" s="156" t="s">
        <v>40</v>
      </c>
      <c r="E23" s="156"/>
      <c r="F23" s="156"/>
      <c r="G23" s="156"/>
      <c r="H23" s="156"/>
      <c r="I23" s="156"/>
      <c r="J23" s="156"/>
      <c r="K23" s="156"/>
      <c r="L23" s="156"/>
      <c r="M23" s="156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09"/>
      <c r="AJ23" s="109"/>
      <c r="AK23" s="109"/>
    </row>
    <row r="24" spans="1:37">
      <c r="A24" s="156" t="s">
        <v>41</v>
      </c>
      <c r="B24" s="156"/>
      <c r="D24" s="156"/>
      <c r="E24" s="326"/>
      <c r="F24" s="326"/>
      <c r="G24" s="326"/>
      <c r="H24" s="326"/>
      <c r="I24" s="129"/>
      <c r="J24" s="156"/>
      <c r="K24" s="156"/>
      <c r="L24" s="156"/>
      <c r="M24" s="156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09"/>
      <c r="AJ24" s="109"/>
      <c r="AK24" s="109"/>
    </row>
    <row r="25" spans="1:37">
      <c r="A25" s="338" t="s">
        <v>42</v>
      </c>
      <c r="B25" s="338"/>
      <c r="C25" s="338"/>
      <c r="D25" s="338" t="s">
        <v>7</v>
      </c>
      <c r="E25" s="338" t="s">
        <v>503</v>
      </c>
      <c r="F25" s="338"/>
      <c r="G25" s="338" t="s">
        <v>44</v>
      </c>
      <c r="H25" s="338"/>
      <c r="I25" s="338" t="s">
        <v>504</v>
      </c>
      <c r="J25" s="338"/>
      <c r="K25" s="156"/>
      <c r="L25" s="156"/>
      <c r="M25" s="156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09"/>
      <c r="AJ25" s="109"/>
      <c r="AK25" s="109"/>
    </row>
    <row r="26" spans="1:37">
      <c r="A26" s="156" t="s">
        <v>45</v>
      </c>
      <c r="B26" s="156"/>
      <c r="C26" s="156"/>
      <c r="D26" s="156"/>
      <c r="E26" s="156"/>
      <c r="F26" s="156"/>
      <c r="G26" s="156"/>
      <c r="H26" s="156"/>
      <c r="I26" s="339" t="s">
        <v>505</v>
      </c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</row>
    <row r="27" spans="1:37">
      <c r="A27" s="156" t="s">
        <v>263</v>
      </c>
      <c r="B27" s="156"/>
      <c r="C27" s="156"/>
      <c r="D27" s="156" t="s">
        <v>13</v>
      </c>
      <c r="E27" s="156">
        <v>887</v>
      </c>
      <c r="F27" s="156"/>
      <c r="G27" s="156">
        <v>113</v>
      </c>
      <c r="H27" s="156"/>
      <c r="I27" s="156"/>
      <c r="L27" s="340"/>
      <c r="M27" s="340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</row>
    <row r="28" spans="1:37">
      <c r="A28" s="129"/>
      <c r="B28" s="129"/>
      <c r="C28" s="129"/>
      <c r="D28" s="129"/>
      <c r="E28" s="129"/>
      <c r="F28" s="129"/>
      <c r="G28" s="129"/>
      <c r="H28" s="156"/>
      <c r="I28" s="129"/>
      <c r="L28" s="340"/>
      <c r="M28" s="340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</row>
    <row r="29" spans="1:37">
      <c r="A29" s="129" t="s">
        <v>46</v>
      </c>
      <c r="B29" s="129"/>
      <c r="C29" s="129"/>
      <c r="D29" s="129"/>
      <c r="E29" s="129"/>
      <c r="F29" s="129"/>
      <c r="G29" s="129"/>
      <c r="H29" s="156"/>
      <c r="I29" s="156"/>
      <c r="J29" s="199" t="s">
        <v>120</v>
      </c>
      <c r="K29" s="199">
        <v>0.71</v>
      </c>
      <c r="L29" s="341"/>
      <c r="M29" s="341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</row>
    <row r="30" spans="1:37">
      <c r="A30" s="129" t="s">
        <v>47</v>
      </c>
      <c r="B30" s="129"/>
      <c r="C30" s="129"/>
      <c r="D30" s="129" t="s">
        <v>48</v>
      </c>
      <c r="E30" s="129">
        <v>84</v>
      </c>
      <c r="F30" s="129"/>
      <c r="G30" s="129">
        <v>888</v>
      </c>
      <c r="H30" s="156"/>
      <c r="J30" s="199" t="s">
        <v>121</v>
      </c>
      <c r="K30" s="199">
        <v>0.5</v>
      </c>
      <c r="L30" s="342"/>
      <c r="M30" s="342"/>
      <c r="N30" s="146"/>
      <c r="O30" s="343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</row>
    <row r="31" spans="1:37">
      <c r="A31" s="129" t="s">
        <v>49</v>
      </c>
      <c r="B31" s="129"/>
      <c r="C31" s="129"/>
      <c r="D31" s="129" t="s">
        <v>48</v>
      </c>
      <c r="E31" s="129">
        <v>27</v>
      </c>
      <c r="F31" s="129"/>
      <c r="G31" s="129"/>
      <c r="H31" s="156"/>
      <c r="K31" s="146"/>
      <c r="L31" s="146"/>
      <c r="M31" s="146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</row>
    <row r="32" spans="1:37">
      <c r="A32" s="129" t="s">
        <v>12</v>
      </c>
      <c r="B32" s="129"/>
      <c r="C32" s="129"/>
      <c r="D32" s="129" t="s">
        <v>48</v>
      </c>
      <c r="E32" s="129">
        <f>E30+E31</f>
        <v>111</v>
      </c>
      <c r="F32" s="129"/>
      <c r="G32" s="129"/>
      <c r="H32" s="156"/>
      <c r="I32" s="343"/>
      <c r="J32" s="57"/>
      <c r="K32" s="146"/>
      <c r="L32" s="146"/>
      <c r="M32" s="146"/>
      <c r="N32" s="109"/>
      <c r="O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</row>
    <row r="33" spans="1:37">
      <c r="A33" s="129"/>
      <c r="B33" s="129"/>
      <c r="C33" s="129"/>
      <c r="D33" s="129"/>
      <c r="E33" s="129"/>
      <c r="F33" s="129"/>
      <c r="G33" s="129"/>
      <c r="H33" s="156"/>
      <c r="I33" s="343"/>
      <c r="J33" s="359"/>
      <c r="K33" s="359"/>
      <c r="L33" s="146"/>
      <c r="M33" s="146"/>
      <c r="N33" s="146"/>
      <c r="O33" s="343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</row>
    <row r="34" spans="1:37">
      <c r="A34" s="329" t="s">
        <v>122</v>
      </c>
      <c r="B34" s="329" t="s">
        <v>51</v>
      </c>
      <c r="C34" s="329"/>
      <c r="D34" s="329"/>
      <c r="E34" s="329"/>
      <c r="F34" s="329"/>
      <c r="G34" s="329"/>
      <c r="H34" s="156"/>
      <c r="J34" s="185" t="s">
        <v>506</v>
      </c>
      <c r="K34" s="185">
        <v>100</v>
      </c>
      <c r="L34" s="146"/>
      <c r="M34" s="146"/>
      <c r="N34" s="109"/>
      <c r="O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</row>
    <row r="35" spans="1:37">
      <c r="A35" s="344" t="s">
        <v>507</v>
      </c>
      <c r="B35" s="155"/>
      <c r="C35" s="155"/>
      <c r="D35" s="156"/>
      <c r="F35" s="156"/>
      <c r="G35" s="156"/>
      <c r="H35" s="156"/>
      <c r="I35" s="345"/>
      <c r="K35" s="146"/>
      <c r="L35" s="146"/>
      <c r="M35" s="146"/>
      <c r="N35" s="146"/>
      <c r="O35" s="146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</row>
    <row r="36" spans="1:37">
      <c r="A36" s="156" t="s">
        <v>9</v>
      </c>
      <c r="B36" s="155">
        <v>80</v>
      </c>
      <c r="C36" s="336"/>
      <c r="D36" s="156" t="s">
        <v>13</v>
      </c>
      <c r="E36" s="346">
        <v>23</v>
      </c>
      <c r="F36" s="156"/>
      <c r="G36" s="156">
        <v>50</v>
      </c>
      <c r="H36" s="156"/>
      <c r="I36" s="57"/>
      <c r="J36" s="156"/>
      <c r="K36" s="146"/>
      <c r="L36" s="146"/>
      <c r="M36" s="146"/>
      <c r="N36" s="109"/>
      <c r="O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</row>
    <row r="37" spans="1:37">
      <c r="A37" s="325" t="s">
        <v>82</v>
      </c>
      <c r="B37" s="155">
        <v>78</v>
      </c>
      <c r="C37" s="156"/>
      <c r="D37" s="156" t="s">
        <v>13</v>
      </c>
      <c r="E37" s="346">
        <v>31</v>
      </c>
      <c r="F37" s="156"/>
      <c r="G37" s="336">
        <v>50</v>
      </c>
      <c r="H37" s="156"/>
      <c r="I37" s="156"/>
      <c r="J37" s="156"/>
      <c r="K37" s="146"/>
      <c r="L37" s="146"/>
      <c r="M37" s="146"/>
      <c r="N37" s="146"/>
      <c r="O37" s="146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</row>
    <row r="38" spans="1:37">
      <c r="A38" s="325" t="s">
        <v>3</v>
      </c>
      <c r="B38" s="330" t="s">
        <v>84</v>
      </c>
      <c r="C38" s="156"/>
      <c r="D38" s="156"/>
      <c r="E38" s="346"/>
      <c r="F38" s="156"/>
      <c r="G38" s="336"/>
      <c r="H38" s="156"/>
      <c r="I38" s="156"/>
      <c r="J38" s="156"/>
      <c r="K38" s="146"/>
      <c r="L38" s="146"/>
      <c r="M38" s="146"/>
      <c r="N38" s="146"/>
      <c r="O38" s="146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</row>
    <row r="39" spans="1:37">
      <c r="A39" s="325" t="s">
        <v>508</v>
      </c>
      <c r="B39" s="330" t="s">
        <v>509</v>
      </c>
      <c r="C39" s="156"/>
      <c r="D39" s="156"/>
      <c r="E39" s="346"/>
      <c r="F39" s="156"/>
      <c r="G39" s="336"/>
      <c r="H39" s="156"/>
      <c r="I39" s="156"/>
      <c r="J39" s="156"/>
      <c r="K39" s="146"/>
      <c r="L39" s="146"/>
      <c r="M39" s="146"/>
      <c r="N39" s="146"/>
      <c r="O39" s="146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</row>
    <row r="40" spans="1:37">
      <c r="A40" s="156" t="s">
        <v>510</v>
      </c>
      <c r="B40" s="155">
        <v>100</v>
      </c>
      <c r="C40" s="161"/>
      <c r="D40" s="156" t="s">
        <v>462</v>
      </c>
      <c r="E40" s="336">
        <v>1.5</v>
      </c>
      <c r="F40" s="156"/>
      <c r="G40" s="336">
        <v>37100</v>
      </c>
      <c r="H40" s="156"/>
      <c r="I40" s="129"/>
      <c r="J40" s="156"/>
      <c r="K40" s="146"/>
      <c r="L40" s="146"/>
      <c r="M40" s="146"/>
      <c r="N40" s="146"/>
      <c r="O40" s="146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</row>
    <row r="41" spans="1:37">
      <c r="A41" s="156" t="s">
        <v>53</v>
      </c>
      <c r="B41" s="156"/>
      <c r="C41" s="156"/>
      <c r="D41" s="156"/>
      <c r="E41" s="344"/>
      <c r="F41" s="156"/>
      <c r="G41" s="344"/>
      <c r="I41" s="325" t="s">
        <v>127</v>
      </c>
      <c r="J41" s="156"/>
      <c r="K41" s="156"/>
      <c r="L41" s="156"/>
      <c r="M41" s="156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</row>
    <row r="42" spans="1:37">
      <c r="A42" s="326"/>
      <c r="B42" s="326"/>
      <c r="C42" s="129"/>
      <c r="D42" s="129"/>
      <c r="E42" s="129"/>
      <c r="F42" s="129"/>
      <c r="G42" s="109"/>
      <c r="J42" s="156"/>
      <c r="K42" s="156"/>
      <c r="L42" s="156"/>
      <c r="M42" s="156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</row>
    <row r="43" spans="1:37">
      <c r="A43" s="327" t="s">
        <v>511</v>
      </c>
      <c r="B43" s="327"/>
      <c r="C43" s="327"/>
      <c r="D43" s="327"/>
      <c r="E43" s="347"/>
      <c r="F43" s="347"/>
      <c r="G43" s="327">
        <v>4077</v>
      </c>
      <c r="H43" s="327"/>
      <c r="I43" s="114">
        <f>+G43*2.471</f>
        <v>10074.267</v>
      </c>
      <c r="J43" s="156"/>
      <c r="K43" s="156"/>
      <c r="L43" s="156"/>
      <c r="M43" s="156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</row>
    <row r="44" spans="1:37">
      <c r="A44" s="129" t="s">
        <v>512</v>
      </c>
      <c r="B44" s="129"/>
      <c r="C44" s="129"/>
      <c r="D44" s="129"/>
      <c r="E44" s="109"/>
      <c r="F44" s="109"/>
      <c r="G44" s="129">
        <v>90</v>
      </c>
      <c r="H44" s="156"/>
      <c r="I44" s="331"/>
      <c r="J44" s="156"/>
      <c r="K44" s="156"/>
      <c r="L44" s="156"/>
      <c r="M44" s="156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</row>
    <row r="45" spans="1:37">
      <c r="A45" s="156" t="s">
        <v>56</v>
      </c>
      <c r="B45" s="156"/>
      <c r="C45" s="156"/>
      <c r="D45" s="156"/>
      <c r="G45" s="156">
        <f>+G44*G43</f>
        <v>366930</v>
      </c>
      <c r="H45" s="156"/>
      <c r="I45" s="155">
        <f>G45*2.471</f>
        <v>906684.03</v>
      </c>
      <c r="J45" s="156"/>
      <c r="K45" s="156"/>
      <c r="L45" s="156"/>
      <c r="M45" s="156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</row>
    <row r="46" spans="1:37">
      <c r="A46" s="156" t="s">
        <v>57</v>
      </c>
      <c r="B46" s="156"/>
      <c r="C46" s="156"/>
      <c r="D46" s="156"/>
      <c r="G46" s="156">
        <f>+G45-K21</f>
        <v>65861</v>
      </c>
      <c r="H46" s="156"/>
      <c r="I46" s="155">
        <f>G46*2.471</f>
        <v>162742.53100000002</v>
      </c>
      <c r="J46" s="156"/>
      <c r="K46" s="156"/>
      <c r="L46" s="156"/>
      <c r="M46" s="156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</row>
    <row r="47" spans="1:37">
      <c r="A47" s="156" t="s">
        <v>58</v>
      </c>
      <c r="B47" s="156"/>
      <c r="C47" s="156"/>
      <c r="D47" s="156"/>
      <c r="G47" s="107">
        <f>+G45-K22</f>
        <v>97791</v>
      </c>
      <c r="H47" s="156"/>
      <c r="I47" s="155">
        <f>G47*2.471</f>
        <v>241641.56100000002</v>
      </c>
      <c r="J47" s="156"/>
      <c r="K47" s="156"/>
      <c r="L47" s="156"/>
      <c r="M47" s="156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</row>
    <row r="48" spans="1:37">
      <c r="A48" s="156" t="s">
        <v>59</v>
      </c>
      <c r="B48" s="156"/>
      <c r="C48" s="156"/>
      <c r="D48" s="156"/>
      <c r="G48" s="156">
        <f>+K21/G43</f>
        <v>73.845719892077511</v>
      </c>
      <c r="H48" s="156"/>
      <c r="I48" s="156"/>
      <c r="J48" s="156"/>
      <c r="K48" s="156"/>
      <c r="L48" s="156"/>
      <c r="M48" s="156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</row>
    <row r="49" spans="1:37">
      <c r="A49" s="156" t="s">
        <v>60</v>
      </c>
      <c r="B49" s="156"/>
      <c r="C49" s="156"/>
      <c r="D49" s="156"/>
      <c r="G49" s="156">
        <f>+K22/G43</f>
        <v>66.0139808682855</v>
      </c>
      <c r="H49" s="156"/>
      <c r="I49" s="156"/>
      <c r="J49" s="156"/>
      <c r="K49" s="156"/>
      <c r="L49" s="156"/>
      <c r="M49" s="156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</row>
    <row r="50" spans="1:37">
      <c r="A50" s="2" t="s">
        <v>513</v>
      </c>
      <c r="B50" s="348"/>
      <c r="C50" s="348"/>
      <c r="D50" s="348"/>
      <c r="E50" s="348"/>
      <c r="F50" s="348"/>
      <c r="G50" s="348"/>
      <c r="H50" s="327"/>
      <c r="I50" s="327"/>
      <c r="J50" s="156"/>
      <c r="K50" s="156"/>
      <c r="L50" s="156"/>
      <c r="M50" s="156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</row>
    <row r="51" spans="1:37">
      <c r="A51" s="156"/>
      <c r="B51" s="156"/>
      <c r="C51" s="156"/>
      <c r="D51" s="156"/>
      <c r="E51" s="156"/>
      <c r="F51" s="156"/>
      <c r="G51" s="156"/>
      <c r="H51" s="156"/>
      <c r="I51" s="129"/>
      <c r="J51" s="156"/>
      <c r="K51" s="156"/>
      <c r="L51" s="156"/>
      <c r="M51" s="156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</row>
    <row r="52" spans="1:37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</row>
    <row r="53" spans="1:37">
      <c r="A53" s="129"/>
      <c r="B53" s="129"/>
      <c r="C53" s="129"/>
      <c r="D53" s="129"/>
      <c r="E53" s="129"/>
      <c r="F53" s="129"/>
      <c r="G53" s="129"/>
      <c r="H53" s="129"/>
      <c r="I53" s="156"/>
      <c r="J53" s="129"/>
      <c r="K53" s="129"/>
      <c r="L53" s="129"/>
      <c r="M53" s="12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</row>
    <row r="54" spans="1:37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09"/>
      <c r="O54" s="109"/>
      <c r="P54" s="109"/>
      <c r="Q54" s="109"/>
      <c r="R54" s="109"/>
      <c r="S54" s="109"/>
      <c r="T54" s="109"/>
      <c r="U54" s="109"/>
      <c r="V54" s="109"/>
      <c r="W54" s="109"/>
    </row>
    <row r="55" spans="1:37">
      <c r="A55" s="156"/>
      <c r="B55" s="156"/>
      <c r="C55" s="156"/>
      <c r="D55" s="156"/>
      <c r="E55" s="156"/>
      <c r="F55" s="156"/>
      <c r="G55" s="156"/>
      <c r="H55" s="156"/>
      <c r="I55" s="326"/>
      <c r="J55" s="156"/>
      <c r="K55" s="156"/>
      <c r="L55" s="156"/>
      <c r="M55" s="156"/>
      <c r="N55" s="109"/>
      <c r="O55" s="109"/>
      <c r="P55" s="109"/>
      <c r="Q55" s="109"/>
      <c r="R55" s="109"/>
      <c r="S55" s="109"/>
      <c r="T55" s="109"/>
      <c r="U55" s="109"/>
      <c r="V55" s="109"/>
      <c r="W55" s="109"/>
    </row>
    <row r="56" spans="1:37" s="109" customFormat="1">
      <c r="A56" s="326"/>
      <c r="B56" s="326"/>
      <c r="C56" s="326"/>
      <c r="D56" s="326"/>
      <c r="E56" s="326"/>
      <c r="F56" s="326"/>
      <c r="G56" s="326"/>
      <c r="H56" s="326"/>
      <c r="I56" s="129"/>
      <c r="J56" s="326"/>
      <c r="K56" s="326"/>
      <c r="L56" s="326"/>
      <c r="M56" s="326"/>
    </row>
    <row r="57" spans="1:37" s="109" customFormat="1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</row>
    <row r="58" spans="1:37" s="109" customFormat="1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</row>
    <row r="59" spans="1:37" s="109" customFormat="1">
      <c r="A59" s="129"/>
      <c r="B59" s="129"/>
      <c r="C59" s="129"/>
      <c r="D59" s="129"/>
      <c r="E59" s="129"/>
      <c r="F59" s="129"/>
      <c r="G59" s="129"/>
      <c r="H59" s="129"/>
      <c r="I59" s="349"/>
      <c r="J59" s="129"/>
      <c r="K59" s="129"/>
      <c r="L59" s="129"/>
      <c r="M59" s="129"/>
    </row>
    <row r="60" spans="1:37" s="109" customFormat="1">
      <c r="A60" s="129"/>
      <c r="B60" s="129"/>
      <c r="C60" s="129"/>
      <c r="D60" s="349"/>
      <c r="E60" s="129"/>
      <c r="F60" s="129"/>
      <c r="G60" s="129"/>
      <c r="H60" s="349"/>
      <c r="I60" s="350"/>
      <c r="J60" s="349"/>
      <c r="K60" s="349"/>
      <c r="L60" s="349"/>
      <c r="M60" s="349"/>
    </row>
    <row r="61" spans="1:37" s="109" customFormat="1">
      <c r="A61" s="129"/>
      <c r="B61" s="129"/>
      <c r="C61" s="129"/>
      <c r="D61" s="350"/>
      <c r="E61" s="129"/>
      <c r="F61" s="129"/>
      <c r="G61" s="129"/>
      <c r="H61" s="349"/>
      <c r="I61" s="349"/>
      <c r="J61" s="349"/>
      <c r="K61" s="349"/>
      <c r="L61" s="349"/>
      <c r="M61" s="349"/>
    </row>
    <row r="62" spans="1:37" s="109" customFormat="1">
      <c r="A62" s="129"/>
      <c r="B62" s="129"/>
      <c r="C62" s="129"/>
      <c r="D62" s="349"/>
      <c r="E62" s="129"/>
      <c r="F62" s="129"/>
      <c r="G62" s="129"/>
      <c r="H62" s="349"/>
      <c r="I62" s="351"/>
      <c r="J62" s="349"/>
      <c r="K62" s="349"/>
      <c r="L62" s="349"/>
      <c r="M62" s="349"/>
    </row>
    <row r="63" spans="1:37" s="109" customFormat="1">
      <c r="A63" s="129"/>
      <c r="B63" s="129"/>
      <c r="C63" s="129"/>
      <c r="D63" s="349"/>
      <c r="E63" s="129"/>
      <c r="F63" s="129"/>
      <c r="G63" s="129"/>
      <c r="H63" s="349"/>
      <c r="I63" s="351"/>
      <c r="J63" s="349"/>
      <c r="K63" s="349"/>
      <c r="L63" s="349"/>
      <c r="M63" s="349"/>
    </row>
    <row r="64" spans="1:37" s="109" customFormat="1">
      <c r="A64" s="129"/>
      <c r="B64" s="129"/>
      <c r="C64" s="129"/>
      <c r="D64" s="349"/>
      <c r="E64" s="129"/>
      <c r="F64" s="129"/>
      <c r="G64" s="129"/>
      <c r="H64" s="349"/>
      <c r="I64" s="349"/>
      <c r="J64" s="349"/>
      <c r="K64" s="349"/>
      <c r="L64" s="349"/>
      <c r="M64" s="349"/>
    </row>
    <row r="65" spans="1:13" s="109" customFormat="1">
      <c r="A65" s="129"/>
      <c r="B65" s="129"/>
      <c r="C65" s="129"/>
      <c r="D65" s="349"/>
      <c r="E65" s="129"/>
      <c r="F65" s="129"/>
      <c r="G65" s="129"/>
      <c r="H65" s="349"/>
      <c r="I65" s="349"/>
      <c r="J65" s="349"/>
      <c r="K65" s="349"/>
      <c r="L65" s="349"/>
      <c r="M65" s="349"/>
    </row>
    <row r="66" spans="1:13" s="109" customFormat="1">
      <c r="A66" s="129"/>
      <c r="B66" s="129"/>
      <c r="C66" s="129"/>
      <c r="D66" s="349"/>
      <c r="E66" s="129"/>
      <c r="F66" s="129"/>
      <c r="G66" s="129"/>
      <c r="H66" s="349"/>
      <c r="I66" s="349"/>
      <c r="J66" s="349"/>
      <c r="K66" s="349"/>
      <c r="L66" s="349"/>
      <c r="M66" s="349"/>
    </row>
    <row r="67" spans="1:13" s="109" customFormat="1">
      <c r="A67" s="129"/>
      <c r="B67" s="129"/>
      <c r="C67" s="129"/>
      <c r="D67" s="349"/>
      <c r="E67" s="129"/>
      <c r="F67" s="129"/>
      <c r="G67" s="129"/>
      <c r="H67" s="349"/>
      <c r="I67" s="349"/>
      <c r="J67" s="349"/>
      <c r="K67" s="349"/>
      <c r="L67" s="349"/>
      <c r="M67" s="349"/>
    </row>
    <row r="68" spans="1:13" s="109" customFormat="1">
      <c r="A68" s="129"/>
      <c r="B68" s="129"/>
      <c r="C68" s="129"/>
      <c r="D68" s="349"/>
      <c r="E68" s="129"/>
      <c r="F68" s="129"/>
      <c r="G68" s="129"/>
      <c r="H68" s="349"/>
      <c r="I68" s="350"/>
      <c r="J68" s="349"/>
      <c r="K68" s="349"/>
      <c r="L68" s="349"/>
      <c r="M68" s="349"/>
    </row>
    <row r="69" spans="1:13" s="109" customFormat="1">
      <c r="A69" s="129"/>
      <c r="B69" s="125"/>
      <c r="C69" s="125"/>
      <c r="D69" s="173"/>
      <c r="E69" s="352"/>
      <c r="F69" s="352"/>
      <c r="G69" s="352"/>
      <c r="H69" s="350"/>
      <c r="I69" s="350"/>
      <c r="J69" s="349"/>
      <c r="K69" s="349"/>
      <c r="L69" s="349"/>
      <c r="M69" s="349"/>
    </row>
    <row r="70" spans="1:13" s="109" customFormat="1">
      <c r="A70" s="129"/>
      <c r="B70" s="129"/>
      <c r="C70" s="129"/>
      <c r="D70" s="350"/>
      <c r="E70" s="129"/>
      <c r="F70" s="129"/>
      <c r="G70" s="129"/>
      <c r="H70" s="349"/>
      <c r="I70" s="349"/>
      <c r="J70" s="351"/>
      <c r="K70" s="349"/>
      <c r="L70" s="349"/>
      <c r="M70" s="349"/>
    </row>
    <row r="71" spans="1:13" s="109" customFormat="1">
      <c r="A71" s="129"/>
      <c r="B71" s="129"/>
      <c r="C71" s="129"/>
      <c r="D71" s="349"/>
      <c r="E71" s="129"/>
      <c r="F71" s="129"/>
      <c r="G71" s="129"/>
      <c r="H71" s="349"/>
      <c r="I71" s="349"/>
      <c r="J71" s="349"/>
      <c r="K71" s="349"/>
      <c r="L71" s="349"/>
      <c r="M71" s="349"/>
    </row>
    <row r="72" spans="1:13" s="109" customFormat="1">
      <c r="A72" s="129"/>
      <c r="B72" s="129"/>
      <c r="C72" s="129"/>
      <c r="D72" s="129"/>
      <c r="E72" s="129"/>
      <c r="F72" s="129"/>
      <c r="G72" s="129"/>
      <c r="H72" s="349"/>
      <c r="I72" s="349"/>
      <c r="J72" s="349"/>
      <c r="K72" s="349"/>
      <c r="L72" s="349"/>
      <c r="M72" s="349"/>
    </row>
    <row r="73" spans="1:13" s="109" customFormat="1">
      <c r="A73" s="129"/>
      <c r="B73" s="129"/>
      <c r="C73" s="129"/>
      <c r="D73" s="129"/>
      <c r="E73" s="129"/>
      <c r="F73" s="129"/>
      <c r="G73" s="129"/>
      <c r="H73" s="349"/>
      <c r="I73" s="129"/>
      <c r="J73" s="349"/>
      <c r="K73" s="349"/>
      <c r="L73" s="349"/>
      <c r="M73" s="349"/>
    </row>
    <row r="74" spans="1:13" s="109" customFormat="1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</row>
    <row r="75" spans="1:13" s="109" customFormat="1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</row>
    <row r="76" spans="1:13" s="109" customFormat="1">
      <c r="A76" s="326"/>
      <c r="B76" s="326"/>
      <c r="C76" s="326"/>
      <c r="D76" s="326"/>
      <c r="E76" s="326"/>
      <c r="F76" s="326"/>
      <c r="G76" s="326"/>
      <c r="H76" s="326"/>
      <c r="I76" s="129"/>
      <c r="J76" s="129"/>
      <c r="K76" s="129"/>
      <c r="L76" s="129"/>
      <c r="M76" s="129"/>
    </row>
    <row r="77" spans="1:13" s="109" customFormat="1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</row>
    <row r="78" spans="1:13" s="109" customFormat="1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</row>
    <row r="79" spans="1:13" s="109" customFormat="1">
      <c r="A79" s="129"/>
      <c r="B79" s="129"/>
      <c r="C79" s="129"/>
      <c r="D79" s="129"/>
      <c r="E79" s="353"/>
      <c r="F79" s="353"/>
      <c r="G79" s="353"/>
      <c r="H79" s="129"/>
      <c r="I79" s="129"/>
      <c r="J79" s="129"/>
      <c r="K79" s="129"/>
      <c r="L79" s="129"/>
      <c r="M79" s="129"/>
    </row>
    <row r="80" spans="1:13" s="109" customFormat="1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</row>
    <row r="81" spans="1:13" s="109" customFormat="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</row>
    <row r="82" spans="1:13" s="109" customFormat="1">
      <c r="A82" s="129"/>
      <c r="B82" s="129"/>
      <c r="C82" s="129"/>
      <c r="D82" s="129"/>
      <c r="E82" s="349"/>
      <c r="F82" s="349"/>
      <c r="G82" s="349"/>
      <c r="H82" s="129"/>
      <c r="I82" s="129"/>
      <c r="J82" s="349"/>
      <c r="K82" s="129"/>
      <c r="L82" s="129"/>
      <c r="M82" s="129"/>
    </row>
    <row r="83" spans="1:13" s="109" customFormat="1">
      <c r="A83" s="129"/>
      <c r="B83" s="129"/>
      <c r="C83" s="129"/>
      <c r="D83" s="129"/>
      <c r="E83" s="349"/>
      <c r="F83" s="349"/>
      <c r="G83" s="349"/>
      <c r="H83" s="129"/>
      <c r="I83" s="129"/>
      <c r="J83" s="349"/>
      <c r="K83" s="129"/>
      <c r="L83" s="129"/>
      <c r="M83" s="129"/>
    </row>
    <row r="84" spans="1:13" s="109" customFormat="1">
      <c r="A84" s="129"/>
      <c r="B84" s="129"/>
      <c r="C84" s="129"/>
      <c r="D84" s="129"/>
      <c r="E84" s="349"/>
      <c r="F84" s="349"/>
      <c r="G84" s="349"/>
      <c r="H84" s="129"/>
      <c r="I84" s="129"/>
      <c r="J84" s="349"/>
      <c r="K84" s="129"/>
      <c r="L84" s="129"/>
      <c r="M84" s="129"/>
    </row>
    <row r="85" spans="1:13" s="109" customFormat="1">
      <c r="A85" s="129"/>
      <c r="B85" s="129"/>
      <c r="C85" s="129"/>
      <c r="D85" s="129"/>
      <c r="E85" s="349"/>
      <c r="F85" s="349"/>
      <c r="G85" s="349"/>
      <c r="H85" s="129"/>
      <c r="I85" s="129"/>
      <c r="J85" s="349"/>
      <c r="K85" s="129"/>
      <c r="L85" s="129"/>
      <c r="M85" s="129"/>
    </row>
    <row r="86" spans="1:13" s="109" customFormat="1">
      <c r="A86" s="129"/>
      <c r="B86" s="129"/>
      <c r="C86" s="129"/>
      <c r="D86" s="129"/>
      <c r="E86" s="349"/>
      <c r="F86" s="349"/>
      <c r="G86" s="349"/>
      <c r="H86" s="129"/>
      <c r="I86" s="129"/>
      <c r="J86" s="349"/>
      <c r="K86" s="129"/>
      <c r="L86" s="129"/>
      <c r="M86" s="129"/>
    </row>
    <row r="87" spans="1:13" s="109" customFormat="1">
      <c r="A87" s="340"/>
      <c r="B87" s="349"/>
      <c r="C87" s="349"/>
      <c r="D87" s="129"/>
      <c r="E87" s="349"/>
      <c r="F87" s="349"/>
      <c r="G87" s="349"/>
      <c r="H87" s="129"/>
      <c r="I87" s="129"/>
      <c r="J87" s="349"/>
      <c r="K87" s="129"/>
      <c r="L87" s="129"/>
      <c r="M87" s="129"/>
    </row>
    <row r="88" spans="1:13" s="109" customFormat="1">
      <c r="A88" s="129"/>
      <c r="B88" s="349"/>
      <c r="C88" s="349"/>
      <c r="D88" s="129"/>
      <c r="E88" s="349"/>
      <c r="F88" s="349"/>
      <c r="G88" s="349"/>
      <c r="H88" s="129"/>
      <c r="I88" s="129"/>
      <c r="J88" s="351"/>
      <c r="K88" s="129"/>
      <c r="L88" s="129"/>
      <c r="M88" s="129"/>
    </row>
    <row r="89" spans="1:13" s="109" customFormat="1">
      <c r="A89" s="129"/>
      <c r="B89" s="349"/>
      <c r="C89" s="350"/>
      <c r="D89" s="129"/>
      <c r="E89" s="350"/>
      <c r="F89" s="349"/>
      <c r="G89" s="350"/>
      <c r="H89" s="129"/>
      <c r="I89" s="129"/>
      <c r="J89" s="349"/>
      <c r="K89" s="129"/>
      <c r="L89" s="129"/>
      <c r="M89" s="129"/>
    </row>
    <row r="90" spans="1:13" s="109" customFormat="1">
      <c r="A90" s="129"/>
      <c r="B90" s="129"/>
      <c r="C90" s="350"/>
      <c r="D90" s="129"/>
      <c r="E90" s="350"/>
      <c r="F90" s="349"/>
      <c r="G90" s="350"/>
      <c r="H90" s="129"/>
      <c r="I90" s="129"/>
      <c r="J90" s="349"/>
      <c r="K90" s="129"/>
      <c r="L90" s="129"/>
      <c r="M90" s="129"/>
    </row>
    <row r="91" spans="1:13" s="109" customFormat="1">
      <c r="A91" s="352"/>
      <c r="B91" s="129"/>
      <c r="C91" s="350"/>
      <c r="D91" s="129"/>
      <c r="E91" s="352"/>
      <c r="F91" s="129"/>
      <c r="G91" s="352"/>
      <c r="H91" s="129"/>
      <c r="I91" s="129"/>
      <c r="J91" s="349"/>
      <c r="K91" s="129"/>
      <c r="L91" s="129"/>
      <c r="M91" s="129"/>
    </row>
    <row r="92" spans="1:13" s="109" customFormat="1">
      <c r="A92" s="340"/>
      <c r="B92" s="129"/>
      <c r="C92" s="349"/>
      <c r="D92" s="129"/>
      <c r="E92" s="129"/>
      <c r="F92" s="129"/>
      <c r="G92" s="129"/>
      <c r="H92" s="129"/>
      <c r="I92" s="129"/>
      <c r="J92" s="349"/>
      <c r="K92" s="129"/>
      <c r="L92" s="129"/>
      <c r="M92" s="129"/>
    </row>
    <row r="93" spans="1:13" s="109" customFormat="1">
      <c r="A93" s="129"/>
      <c r="B93" s="129"/>
      <c r="C93" s="349"/>
      <c r="D93" s="129"/>
      <c r="E93" s="349"/>
      <c r="F93" s="349"/>
      <c r="G93" s="349"/>
      <c r="H93" s="129"/>
      <c r="I93" s="129"/>
      <c r="J93" s="351"/>
      <c r="K93" s="129"/>
      <c r="L93" s="129"/>
      <c r="M93" s="129"/>
    </row>
    <row r="94" spans="1:13" s="109" customFormat="1">
      <c r="A94" s="129"/>
      <c r="B94" s="349"/>
      <c r="C94" s="350"/>
      <c r="D94" s="129"/>
      <c r="E94" s="350"/>
      <c r="F94" s="349"/>
      <c r="G94" s="350"/>
      <c r="H94" s="129"/>
      <c r="I94" s="129"/>
      <c r="J94" s="349"/>
      <c r="K94" s="129"/>
      <c r="L94" s="129"/>
      <c r="M94" s="129"/>
    </row>
    <row r="95" spans="1:13" s="109" customFormat="1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</row>
    <row r="96" spans="1:13" s="109" customFormat="1">
      <c r="A96" s="326"/>
      <c r="B96" s="326"/>
      <c r="C96" s="129"/>
      <c r="D96" s="129"/>
      <c r="E96" s="129"/>
      <c r="F96" s="129"/>
      <c r="G96" s="129"/>
      <c r="H96" s="129"/>
      <c r="I96" s="349"/>
      <c r="J96" s="129"/>
      <c r="K96" s="129"/>
      <c r="L96" s="129"/>
      <c r="M96" s="129"/>
    </row>
    <row r="97" spans="1:13" s="109" customFormat="1">
      <c r="A97" s="129"/>
      <c r="B97" s="129"/>
      <c r="C97" s="129"/>
      <c r="D97" s="129"/>
      <c r="E97" s="129"/>
      <c r="F97" s="129"/>
      <c r="G97" s="349"/>
      <c r="H97" s="349"/>
      <c r="I97" s="349"/>
      <c r="J97" s="129"/>
      <c r="K97" s="129"/>
      <c r="L97" s="129"/>
      <c r="M97" s="129"/>
    </row>
    <row r="98" spans="1:13" s="109" customFormat="1">
      <c r="A98" s="129"/>
      <c r="B98" s="129"/>
      <c r="C98" s="129"/>
      <c r="D98" s="129"/>
      <c r="E98" s="129"/>
      <c r="F98" s="129"/>
      <c r="G98" s="129"/>
      <c r="H98" s="129"/>
      <c r="I98" s="349"/>
      <c r="J98" s="129"/>
      <c r="K98" s="129"/>
      <c r="L98" s="129"/>
      <c r="M98" s="129"/>
    </row>
    <row r="99" spans="1:13" s="109" customFormat="1">
      <c r="A99" s="129"/>
      <c r="B99" s="129"/>
      <c r="C99" s="129"/>
      <c r="D99" s="129"/>
      <c r="E99" s="129"/>
      <c r="F99" s="129"/>
      <c r="G99" s="349"/>
      <c r="H99" s="349"/>
      <c r="I99" s="349"/>
      <c r="J99" s="129"/>
      <c r="K99" s="129"/>
      <c r="L99" s="129"/>
      <c r="M99" s="129"/>
    </row>
    <row r="100" spans="1:13" s="109" customFormat="1">
      <c r="A100" s="129"/>
      <c r="B100" s="129"/>
      <c r="C100" s="129"/>
      <c r="D100" s="129"/>
      <c r="E100" s="129"/>
      <c r="F100" s="129"/>
      <c r="G100" s="349"/>
      <c r="H100" s="349"/>
      <c r="I100" s="349"/>
      <c r="J100" s="129"/>
      <c r="K100" s="129"/>
      <c r="L100" s="129"/>
      <c r="M100" s="129"/>
    </row>
    <row r="101" spans="1:13" s="109" customFormat="1">
      <c r="A101" s="129"/>
      <c r="B101" s="129"/>
      <c r="C101" s="129"/>
      <c r="D101" s="129"/>
      <c r="E101" s="129"/>
      <c r="F101" s="129"/>
      <c r="G101" s="349"/>
      <c r="H101" s="349"/>
      <c r="I101" s="129"/>
      <c r="J101" s="129"/>
      <c r="K101" s="129"/>
      <c r="L101" s="129"/>
      <c r="M101" s="129"/>
    </row>
    <row r="102" spans="1:13" s="109" customForma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</row>
    <row r="103" spans="1:13" s="109" customForma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</row>
    <row r="104" spans="1:13" s="109" customFormat="1">
      <c r="A104" s="129"/>
      <c r="B104" s="129"/>
      <c r="C104" s="129"/>
      <c r="D104" s="129"/>
      <c r="E104" s="129"/>
      <c r="F104" s="129"/>
      <c r="G104" s="129"/>
      <c r="H104" s="129"/>
      <c r="J104" s="129"/>
      <c r="K104" s="129"/>
      <c r="L104" s="129"/>
      <c r="M104" s="129"/>
    </row>
    <row r="105" spans="1:13" s="109" customFormat="1"/>
    <row r="106" spans="1:13" s="109" customFormat="1"/>
    <row r="107" spans="1:13" s="109" customFormat="1"/>
    <row r="108" spans="1:13" s="109" customFormat="1"/>
    <row r="109" spans="1:13" s="109" customFormat="1"/>
    <row r="110" spans="1:13" s="109" customFormat="1"/>
    <row r="111" spans="1:13" s="109" customFormat="1"/>
    <row r="112" spans="1:13" s="109" customFormat="1"/>
    <row r="113" s="109" customFormat="1"/>
    <row r="114" s="109" customFormat="1"/>
    <row r="115" s="109" customFormat="1"/>
    <row r="116" s="109" customFormat="1"/>
    <row r="117" s="109" customFormat="1"/>
    <row r="118" s="109" customFormat="1"/>
    <row r="119" s="109" customFormat="1"/>
    <row r="120" s="109" customFormat="1"/>
    <row r="121" s="109" customFormat="1"/>
    <row r="122" s="109" customFormat="1"/>
    <row r="123" s="109" customFormat="1"/>
    <row r="124" s="109" customFormat="1"/>
    <row r="125" s="109" customFormat="1"/>
    <row r="126" s="109" customFormat="1"/>
    <row r="127" s="109" customFormat="1"/>
    <row r="128" s="109" customFormat="1"/>
    <row r="129" s="109" customFormat="1"/>
    <row r="130" s="109" customFormat="1"/>
    <row r="131" s="109" customFormat="1"/>
    <row r="132" s="109" customFormat="1"/>
    <row r="133" s="109" customFormat="1"/>
    <row r="134" s="109" customFormat="1"/>
    <row r="135" s="109" customFormat="1"/>
    <row r="136" s="109" customFormat="1"/>
    <row r="137" s="109" customFormat="1"/>
    <row r="138" s="109" customFormat="1"/>
    <row r="139" s="109" customFormat="1"/>
    <row r="140" s="109" customFormat="1"/>
    <row r="141" s="109" customFormat="1"/>
    <row r="142" s="109" customFormat="1"/>
    <row r="143" s="109" customFormat="1"/>
    <row r="144" s="109" customFormat="1"/>
    <row r="145" s="109" customFormat="1"/>
    <row r="146" s="109" customFormat="1"/>
    <row r="147" s="109" customFormat="1"/>
    <row r="148" s="109" customFormat="1"/>
    <row r="149" s="109" customFormat="1"/>
    <row r="150" s="109" customFormat="1"/>
    <row r="151" s="109" customFormat="1"/>
    <row r="152" s="109" customFormat="1"/>
    <row r="153" s="109" customFormat="1"/>
    <row r="154" s="109" customFormat="1"/>
    <row r="155" s="109" customFormat="1"/>
    <row r="156" s="109" customFormat="1"/>
    <row r="157" s="109" customFormat="1"/>
    <row r="158" s="109" customFormat="1"/>
    <row r="159" s="109" customFormat="1"/>
    <row r="160" s="109" customFormat="1"/>
    <row r="161" s="109" customFormat="1"/>
    <row r="162" s="109" customFormat="1"/>
    <row r="163" s="109" customFormat="1"/>
    <row r="164" s="109" customFormat="1"/>
    <row r="165" s="109" customFormat="1"/>
    <row r="166" s="109" customFormat="1"/>
    <row r="167" s="109" customFormat="1"/>
    <row r="168" s="109" customFormat="1"/>
    <row r="169" s="109" customFormat="1"/>
    <row r="170" s="109" customFormat="1"/>
    <row r="171" s="109" customFormat="1"/>
    <row r="172" s="109" customFormat="1"/>
    <row r="173" s="109" customFormat="1"/>
    <row r="174" s="109" customFormat="1"/>
    <row r="175" s="109" customFormat="1"/>
    <row r="176" s="109" customFormat="1"/>
    <row r="177" s="109" customFormat="1"/>
    <row r="178" s="109" customFormat="1"/>
    <row r="179" s="109" customFormat="1"/>
    <row r="180" s="109" customFormat="1"/>
    <row r="181" s="109" customFormat="1"/>
    <row r="182" s="109" customFormat="1"/>
    <row r="183" s="109" customFormat="1"/>
    <row r="184" s="109" customFormat="1"/>
    <row r="185" s="109" customFormat="1"/>
    <row r="186" s="109" customFormat="1"/>
    <row r="187" s="109" customFormat="1"/>
    <row r="188" s="109" customFormat="1"/>
    <row r="189" s="109" customFormat="1"/>
    <row r="190" s="109" customFormat="1"/>
    <row r="191" s="109" customFormat="1"/>
    <row r="192" s="109" customFormat="1"/>
    <row r="193" s="109" customFormat="1"/>
    <row r="194" s="109" customFormat="1"/>
    <row r="195" s="109" customFormat="1"/>
    <row r="196" s="109" customFormat="1"/>
    <row r="197" s="109" customFormat="1"/>
    <row r="198" s="109" customFormat="1"/>
    <row r="199" s="109" customFormat="1"/>
    <row r="200" s="109" customFormat="1"/>
    <row r="201" s="109" customFormat="1"/>
    <row r="202" s="109" customFormat="1"/>
    <row r="203" s="109" customFormat="1"/>
    <row r="204" s="109" customFormat="1"/>
    <row r="205" s="109" customFormat="1"/>
    <row r="206" s="109" customFormat="1"/>
    <row r="207" s="109" customFormat="1"/>
    <row r="208" s="109" customFormat="1"/>
    <row r="209" s="109" customFormat="1"/>
    <row r="210" s="109" customFormat="1"/>
    <row r="211" s="109" customFormat="1"/>
    <row r="212" s="109" customFormat="1"/>
    <row r="213" s="109" customFormat="1"/>
    <row r="214" s="109" customFormat="1"/>
    <row r="215" s="109" customFormat="1"/>
    <row r="216" s="109" customFormat="1"/>
    <row r="217" s="109" customFormat="1"/>
    <row r="218" s="109" customFormat="1"/>
    <row r="219" s="109" customFormat="1"/>
    <row r="220" s="109" customFormat="1"/>
    <row r="221" s="109" customFormat="1"/>
    <row r="222" s="109" customFormat="1"/>
    <row r="223" s="109" customFormat="1"/>
    <row r="224" s="109" customFormat="1"/>
    <row r="225" s="109" customFormat="1"/>
    <row r="226" s="109" customFormat="1"/>
    <row r="227" s="109" customFormat="1"/>
    <row r="228" s="109" customFormat="1"/>
    <row r="229" s="109" customFormat="1"/>
    <row r="230" s="109" customFormat="1"/>
    <row r="231" s="109" customFormat="1"/>
    <row r="232" s="109" customFormat="1"/>
    <row r="233" s="109" customFormat="1"/>
    <row r="234" s="109" customFormat="1"/>
    <row r="235" s="109" customFormat="1"/>
    <row r="236" s="109" customFormat="1"/>
    <row r="237" s="109" customFormat="1"/>
    <row r="238" s="109" customFormat="1"/>
    <row r="239" s="109" customFormat="1"/>
    <row r="240" s="109" customFormat="1"/>
    <row r="241" s="109" customFormat="1"/>
    <row r="242" s="109" customFormat="1"/>
    <row r="243" s="109" customFormat="1"/>
    <row r="244" s="109" customFormat="1"/>
    <row r="245" s="109" customFormat="1"/>
    <row r="246" s="109" customFormat="1"/>
    <row r="247" s="109" customFormat="1"/>
    <row r="248" s="109" customFormat="1"/>
    <row r="249" s="109" customFormat="1"/>
    <row r="250" s="109" customFormat="1"/>
    <row r="251" s="109" customFormat="1"/>
    <row r="252" s="109" customFormat="1"/>
    <row r="253" s="109" customFormat="1"/>
    <row r="254" s="109" customFormat="1"/>
    <row r="255" s="109" customFormat="1"/>
    <row r="256" s="109" customFormat="1"/>
    <row r="257" s="109" customFormat="1"/>
    <row r="258" s="109" customFormat="1"/>
    <row r="259" s="109" customFormat="1"/>
    <row r="260" s="109" customFormat="1"/>
    <row r="261" s="109" customFormat="1"/>
    <row r="262" s="109" customFormat="1"/>
    <row r="263" s="109" customFormat="1"/>
    <row r="264" s="109" customFormat="1"/>
    <row r="265" s="109" customFormat="1"/>
    <row r="266" s="109" customFormat="1"/>
    <row r="267" s="109" customFormat="1"/>
    <row r="268" s="109" customFormat="1"/>
    <row r="269" s="109" customFormat="1"/>
    <row r="270" s="109" customFormat="1"/>
    <row r="271" s="109" customFormat="1"/>
    <row r="272" s="109" customFormat="1"/>
    <row r="273" s="109" customFormat="1"/>
    <row r="274" s="109" customFormat="1"/>
    <row r="275" s="109" customFormat="1"/>
    <row r="276" s="109" customFormat="1"/>
    <row r="277" s="109" customFormat="1"/>
    <row r="278" s="109" customFormat="1"/>
    <row r="279" s="109" customFormat="1"/>
    <row r="280" s="109" customFormat="1"/>
    <row r="281" s="109" customFormat="1"/>
    <row r="282" s="109" customFormat="1"/>
    <row r="283" s="109" customFormat="1"/>
    <row r="284" s="109" customFormat="1"/>
    <row r="285" s="109" customFormat="1"/>
    <row r="286" s="109" customFormat="1"/>
    <row r="287" s="109" customFormat="1"/>
    <row r="288" s="109" customFormat="1"/>
    <row r="289" s="109" customFormat="1"/>
    <row r="290" s="109" customFormat="1"/>
    <row r="291" s="109" customFormat="1"/>
    <row r="292" s="109" customFormat="1"/>
    <row r="293" s="109" customFormat="1"/>
    <row r="294" s="109" customFormat="1"/>
    <row r="295" s="109" customFormat="1"/>
    <row r="296" s="109" customFormat="1"/>
    <row r="297" s="109" customFormat="1"/>
    <row r="298" s="109" customFormat="1"/>
    <row r="299" s="109" customFormat="1"/>
    <row r="300" s="109" customFormat="1"/>
    <row r="301" s="109" customFormat="1"/>
    <row r="302" s="109" customFormat="1"/>
    <row r="303" s="109" customFormat="1"/>
    <row r="304" s="109" customFormat="1"/>
    <row r="305" s="109" customFormat="1"/>
    <row r="306" s="109" customFormat="1"/>
    <row r="307" s="109" customFormat="1"/>
    <row r="308" s="109" customFormat="1"/>
    <row r="309" s="109" customFormat="1"/>
    <row r="310" s="109" customFormat="1"/>
    <row r="311" s="109" customFormat="1"/>
    <row r="312" s="109" customFormat="1"/>
    <row r="313" s="109" customFormat="1"/>
    <row r="314" s="109" customFormat="1"/>
    <row r="315" s="109" customFormat="1"/>
    <row r="316" s="109" customFormat="1"/>
    <row r="317" s="109" customFormat="1"/>
    <row r="318" s="109" customFormat="1"/>
    <row r="319" s="109" customFormat="1"/>
    <row r="320" s="109" customFormat="1"/>
    <row r="321" spans="1:21" s="109" customFormat="1"/>
    <row r="322" spans="1:21" s="109" customFormat="1"/>
    <row r="323" spans="1:21" s="109" customFormat="1"/>
    <row r="324" spans="1:21" s="109" customFormat="1"/>
    <row r="325" spans="1:21" s="109" customFormat="1"/>
    <row r="326" spans="1:21" s="109" customFormat="1"/>
    <row r="327" spans="1:21" s="109" customFormat="1"/>
    <row r="328" spans="1:21" s="109" customFormat="1"/>
    <row r="329" spans="1:21" s="109" customFormat="1"/>
    <row r="330" spans="1:21" s="109" customFormat="1"/>
    <row r="331" spans="1:21" s="109" customFormat="1"/>
    <row r="332" spans="1:21" s="109" customFormat="1"/>
    <row r="333" spans="1:21" s="109" customFormat="1"/>
    <row r="334" spans="1:21" s="109" customFormat="1"/>
    <row r="335" spans="1:21" s="109" customFormat="1"/>
    <row r="336" spans="1:2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</row>
    <row r="337" spans="1:2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</row>
    <row r="338" spans="1:2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</row>
    <row r="339" spans="1:2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</row>
    <row r="340" spans="1:2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</row>
    <row r="341" spans="1:2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</row>
    <row r="342" spans="1:2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</row>
    <row r="343" spans="1:2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</row>
    <row r="344" spans="1:2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</row>
    <row r="345" spans="1:2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</row>
    <row r="346" spans="1:2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</row>
    <row r="347" spans="1:2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</row>
    <row r="348" spans="1:2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</row>
    <row r="349" spans="1:2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</row>
    <row r="350" spans="1:2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</row>
    <row r="351" spans="1:2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</row>
    <row r="352" spans="1:2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</row>
    <row r="353" spans="1:2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</row>
    <row r="354" spans="1:2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</row>
    <row r="355" spans="1:2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</row>
    <row r="356" spans="1:2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</row>
    <row r="357" spans="1:2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</row>
    <row r="358" spans="1:2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</row>
    <row r="359" spans="1:2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</row>
    <row r="360" spans="1:2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</row>
    <row r="361" spans="1:2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</row>
    <row r="362" spans="1:2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</row>
    <row r="363" spans="1:2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</row>
    <row r="364" spans="1:2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</row>
    <row r="365" spans="1:2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</row>
    <row r="366" spans="1:2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</row>
    <row r="367" spans="1:2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</row>
    <row r="368" spans="1:2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</row>
    <row r="369" spans="1:2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</row>
    <row r="370" spans="1:2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</row>
    <row r="371" spans="1:2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</row>
    <row r="372" spans="1:2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</row>
    <row r="373" spans="1:2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</row>
    <row r="374" spans="1:2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</row>
    <row r="375" spans="1:2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</row>
    <row r="376" spans="1:2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</row>
    <row r="377" spans="1:2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</row>
    <row r="378" spans="1:2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</row>
    <row r="379" spans="1:2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</row>
    <row r="380" spans="1:2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</row>
    <row r="381" spans="1:2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</row>
    <row r="382" spans="1:2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</row>
    <row r="383" spans="1:2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</row>
    <row r="384" spans="1:2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</row>
    <row r="385" spans="1:2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</row>
    <row r="386" spans="1:2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</row>
    <row r="387" spans="1:2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</row>
    <row r="388" spans="1:2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</row>
    <row r="389" spans="1:2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</row>
    <row r="390" spans="1:2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</row>
    <row r="391" spans="1:2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</row>
    <row r="392" spans="1:2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</row>
    <row r="393" spans="1:2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</row>
    <row r="394" spans="1:2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</row>
    <row r="395" spans="1:2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</row>
    <row r="396" spans="1:2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</row>
    <row r="397" spans="1:2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</row>
    <row r="398" spans="1:2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</row>
    <row r="399" spans="1:2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</row>
    <row r="400" spans="1:2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</row>
    <row r="401" spans="1:2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</row>
    <row r="402" spans="1:2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</row>
    <row r="403" spans="1:2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</row>
    <row r="404" spans="1:2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</row>
    <row r="405" spans="1:2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</row>
    <row r="406" spans="1:2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</row>
    <row r="407" spans="1:2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</row>
    <row r="408" spans="1:2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</row>
    <row r="409" spans="1:2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</row>
    <row r="410" spans="1:2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</row>
    <row r="411" spans="1:2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</row>
    <row r="412" spans="1:2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</row>
    <row r="413" spans="1:2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</row>
    <row r="414" spans="1:2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</row>
    <row r="415" spans="1:2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</row>
    <row r="416" spans="1:2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</row>
    <row r="417" spans="1:2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</row>
    <row r="418" spans="1:2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</row>
    <row r="419" spans="1:2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</row>
    <row r="420" spans="1:2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</row>
    <row r="421" spans="1:2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</row>
    <row r="422" spans="1:2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</row>
    <row r="423" spans="1:2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</row>
    <row r="424" spans="1:2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</row>
    <row r="425" spans="1:2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</row>
    <row r="426" spans="1:2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</row>
    <row r="427" spans="1:2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</row>
    <row r="428" spans="1:2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</row>
    <row r="429" spans="1:2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</row>
    <row r="430" spans="1:2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</row>
    <row r="431" spans="1:2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</row>
    <row r="432" spans="1:2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</row>
    <row r="433" spans="1:2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</row>
    <row r="434" spans="1:2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</row>
    <row r="435" spans="1:2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</row>
    <row r="436" spans="1:2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</row>
    <row r="437" spans="1:2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</row>
    <row r="438" spans="1:2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</row>
    <row r="439" spans="1:2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</row>
    <row r="440" spans="1:2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</row>
    <row r="441" spans="1:2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</row>
    <row r="442" spans="1:2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</row>
    <row r="443" spans="1:2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</row>
    <row r="444" spans="1:2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</row>
    <row r="445" spans="1:2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</row>
    <row r="446" spans="1:2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</row>
    <row r="447" spans="1:2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</row>
    <row r="448" spans="1:2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</row>
    <row r="449" spans="1:2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</row>
    <row r="450" spans="1:2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</row>
    <row r="451" spans="1:2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</row>
    <row r="452" spans="1:2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</row>
    <row r="453" spans="1:2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</row>
    <row r="454" spans="1:2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</row>
    <row r="455" spans="1:2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</row>
    <row r="456" spans="1:2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</row>
    <row r="457" spans="1:2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</row>
    <row r="458" spans="1:2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</row>
    <row r="459" spans="1:2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</row>
    <row r="460" spans="1:2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</row>
    <row r="461" spans="1:2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</row>
    <row r="462" spans="1:2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</row>
    <row r="463" spans="1:2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</row>
    <row r="464" spans="1:2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</row>
    <row r="465" spans="1:2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</row>
    <row r="466" spans="1:2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</row>
    <row r="467" spans="1:2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</row>
    <row r="468" spans="1:2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</row>
    <row r="469" spans="1:2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</row>
    <row r="470" spans="1:2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</row>
    <row r="471" spans="1:2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</row>
    <row r="472" spans="1:2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</row>
    <row r="473" spans="1:2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</row>
    <row r="474" spans="1:2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</row>
    <row r="475" spans="1:2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</row>
    <row r="476" spans="1:2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</row>
    <row r="477" spans="1:2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</row>
    <row r="478" spans="1:2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</row>
    <row r="479" spans="1:2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</row>
    <row r="480" spans="1:2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</row>
    <row r="481" spans="1:2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</row>
    <row r="482" spans="1:2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</row>
    <row r="483" spans="1:2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</row>
    <row r="484" spans="1:2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</row>
    <row r="485" spans="1:2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</row>
    <row r="486" spans="1:2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</row>
    <row r="487" spans="1:2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</row>
    <row r="488" spans="1:2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</row>
    <row r="489" spans="1:2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</row>
    <row r="490" spans="1:2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</row>
    <row r="491" spans="1:2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</row>
    <row r="492" spans="1:2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</row>
    <row r="493" spans="1:2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</row>
    <row r="494" spans="1:2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</row>
    <row r="495" spans="1:2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</row>
    <row r="496" spans="1:2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</row>
    <row r="497" spans="1:2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</row>
    <row r="498" spans="1:2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</row>
    <row r="499" spans="1:2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</row>
    <row r="500" spans="1:2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</row>
    <row r="501" spans="1:2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</row>
    <row r="502" spans="1:2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</row>
    <row r="503" spans="1:2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</row>
    <row r="504" spans="1:2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</row>
    <row r="505" spans="1:2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</row>
    <row r="506" spans="1:2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</row>
    <row r="507" spans="1:2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</row>
    <row r="508" spans="1:2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</row>
    <row r="509" spans="1:2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</row>
    <row r="510" spans="1:2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</row>
    <row r="511" spans="1:2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</row>
    <row r="512" spans="1:2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</row>
    <row r="513" spans="1:2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</row>
    <row r="514" spans="1:2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</row>
    <row r="515" spans="1:2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</row>
    <row r="516" spans="1:2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</row>
    <row r="517" spans="1:2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</row>
    <row r="518" spans="1:2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</row>
    <row r="519" spans="1:2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</row>
    <row r="520" spans="1:2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</row>
    <row r="521" spans="1:2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</row>
    <row r="522" spans="1:2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</row>
    <row r="523" spans="1:2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</row>
    <row r="524" spans="1:2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</row>
    <row r="525" spans="1:2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</row>
    <row r="526" spans="1:2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</row>
    <row r="527" spans="1:2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</row>
    <row r="528" spans="1:2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</row>
    <row r="529" spans="1:2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</row>
    <row r="530" spans="1:2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</row>
    <row r="531" spans="1:2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</row>
    <row r="532" spans="1:2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</row>
    <row r="533" spans="1:2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</row>
    <row r="534" spans="1:2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</row>
    <row r="535" spans="1:2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</row>
    <row r="536" spans="1:2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</row>
    <row r="537" spans="1:2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</row>
    <row r="538" spans="1:2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</row>
    <row r="539" spans="1:2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</row>
    <row r="540" spans="1:2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</row>
    <row r="541" spans="1:2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</row>
    <row r="542" spans="1:2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</row>
    <row r="543" spans="1:2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</row>
    <row r="544" spans="1:2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</row>
    <row r="545" spans="1:2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</row>
    <row r="546" spans="1:2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</row>
    <row r="547" spans="1:2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</row>
    <row r="548" spans="1:2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</row>
    <row r="549" spans="1:2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</row>
    <row r="550" spans="1:2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</row>
    <row r="551" spans="1:2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</row>
    <row r="552" spans="1:2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</row>
    <row r="553" spans="1:2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</row>
    <row r="554" spans="1:2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</row>
    <row r="555" spans="1:2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</row>
    <row r="556" spans="1:2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</row>
    <row r="557" spans="1:2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</row>
    <row r="558" spans="1:2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</row>
    <row r="559" spans="1:2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</row>
    <row r="560" spans="1:2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</row>
    <row r="561" spans="1:2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</row>
    <row r="562" spans="1:2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</row>
    <row r="563" spans="1:2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</row>
    <row r="564" spans="1:2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</row>
    <row r="565" spans="1:2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</row>
    <row r="566" spans="1:2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</row>
    <row r="567" spans="1:2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</row>
    <row r="568" spans="1:2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</row>
    <row r="569" spans="1:2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</row>
    <row r="570" spans="1:2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</row>
    <row r="571" spans="1:2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</row>
    <row r="572" spans="1:2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</row>
    <row r="573" spans="1:2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</row>
    <row r="574" spans="1:2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</row>
    <row r="575" spans="1:2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</row>
    <row r="576" spans="1:2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</row>
    <row r="577" spans="1:2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</row>
    <row r="578" spans="1:2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</row>
    <row r="579" spans="1:2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</row>
    <row r="580" spans="1:2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</row>
    <row r="581" spans="1:2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</row>
    <row r="582" spans="1:2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</row>
    <row r="583" spans="1:2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</row>
    <row r="584" spans="1:2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</row>
    <row r="585" spans="1:2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</row>
    <row r="586" spans="1:2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</row>
    <row r="587" spans="1:2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</row>
    <row r="588" spans="1:2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</row>
    <row r="589" spans="1:2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</row>
    <row r="590" spans="1:2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</row>
    <row r="591" spans="1:2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</row>
    <row r="592" spans="1:2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</row>
    <row r="593" spans="1:2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</row>
    <row r="594" spans="1:2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</row>
    <row r="595" spans="1:2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</row>
    <row r="596" spans="1:2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</row>
    <row r="597" spans="1:2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</row>
    <row r="598" spans="1:2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</row>
    <row r="599" spans="1:2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</row>
    <row r="600" spans="1:2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</row>
    <row r="601" spans="1:2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</row>
    <row r="602" spans="1:2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</row>
    <row r="603" spans="1:2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</row>
    <row r="604" spans="1:2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</row>
    <row r="605" spans="1:2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</row>
    <row r="606" spans="1:2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</row>
    <row r="607" spans="1:2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</row>
    <row r="608" spans="1:2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</row>
    <row r="609" spans="1:2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</row>
    <row r="610" spans="1:2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</row>
    <row r="611" spans="1:2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</row>
    <row r="612" spans="1:2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</row>
    <row r="613" spans="1:2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</row>
    <row r="614" spans="1:2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</row>
    <row r="615" spans="1:2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</row>
    <row r="616" spans="1:2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</row>
    <row r="617" spans="1:2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</row>
    <row r="618" spans="1:2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</row>
    <row r="619" spans="1:2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</row>
    <row r="620" spans="1:2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</row>
    <row r="621" spans="1:2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</row>
    <row r="622" spans="1:2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</row>
    <row r="623" spans="1:2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</row>
    <row r="624" spans="1:2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</row>
    <row r="625" spans="1:2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</row>
    <row r="626" spans="1:2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</row>
    <row r="627" spans="1:2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</row>
    <row r="628" spans="1:2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</row>
    <row r="629" spans="1:2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</row>
    <row r="630" spans="1:2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</row>
    <row r="631" spans="1:2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</row>
    <row r="632" spans="1:2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</row>
    <row r="633" spans="1:2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</row>
    <row r="634" spans="1:2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</row>
    <row r="635" spans="1:2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</row>
    <row r="636" spans="1:2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</row>
    <row r="637" spans="1:2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</row>
    <row r="638" spans="1:2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</row>
    <row r="639" spans="1:2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</row>
    <row r="640" spans="1:2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</row>
    <row r="641" spans="1:2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</row>
    <row r="642" spans="1:2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</row>
    <row r="643" spans="1:2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</row>
    <row r="644" spans="1:2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</row>
    <row r="645" spans="1:2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</row>
    <row r="646" spans="1:2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</row>
    <row r="647" spans="1:2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</row>
    <row r="648" spans="1:2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</row>
    <row r="649" spans="1:2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</row>
    <row r="650" spans="1:2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</row>
    <row r="651" spans="1:2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</row>
    <row r="652" spans="1:2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</row>
    <row r="653" spans="1:2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</row>
    <row r="654" spans="1:2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</row>
    <row r="655" spans="1:2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</row>
    <row r="656" spans="1:2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</row>
    <row r="657" spans="1:2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</row>
    <row r="658" spans="1:2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</row>
    <row r="659" spans="1:2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</row>
    <row r="660" spans="1:2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</row>
    <row r="661" spans="1:2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</row>
    <row r="662" spans="1:2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</row>
    <row r="663" spans="1:2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</row>
    <row r="664" spans="1:2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</row>
    <row r="665" spans="1:2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</row>
    <row r="666" spans="1:2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</row>
    <row r="667" spans="1:2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</row>
    <row r="668" spans="1:2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</row>
    <row r="669" spans="1:2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</row>
    <row r="670" spans="1:2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</row>
    <row r="671" spans="1:2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</row>
    <row r="672" spans="1:2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</row>
    <row r="673" spans="1:2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</row>
    <row r="674" spans="1:2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</row>
    <row r="675" spans="1:2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</row>
    <row r="676" spans="1:2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</row>
    <row r="677" spans="1:2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</row>
    <row r="678" spans="1:2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</row>
    <row r="679" spans="1:2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</row>
    <row r="680" spans="1:2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</row>
    <row r="681" spans="1:2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</row>
    <row r="682" spans="1:2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</row>
    <row r="683" spans="1:2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</row>
    <row r="684" spans="1:2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</row>
    <row r="685" spans="1:2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</row>
    <row r="686" spans="1:2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</row>
    <row r="687" spans="1:2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</row>
    <row r="688" spans="1:2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</row>
    <row r="689" spans="1:2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</row>
    <row r="690" spans="1:2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</row>
    <row r="691" spans="1:2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</row>
    <row r="692" spans="1:2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</row>
    <row r="693" spans="1:2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</row>
    <row r="694" spans="1:2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</row>
    <row r="695" spans="1:2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</row>
    <row r="696" spans="1:2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</row>
    <row r="697" spans="1:2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</row>
    <row r="698" spans="1:2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</row>
    <row r="699" spans="1:2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</row>
    <row r="700" spans="1:2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</row>
    <row r="701" spans="1:2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</row>
    <row r="702" spans="1:2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</row>
    <row r="703" spans="1:2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</row>
    <row r="704" spans="1:2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</row>
    <row r="705" spans="1:2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</row>
    <row r="706" spans="1:2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</row>
    <row r="707" spans="1:2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</row>
    <row r="708" spans="1:2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</row>
    <row r="709" spans="1:2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</row>
    <row r="710" spans="1:2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</row>
    <row r="711" spans="1:2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</row>
    <row r="712" spans="1:2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</row>
    <row r="713" spans="1:2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</row>
    <row r="714" spans="1:2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</row>
    <row r="715" spans="1:2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</row>
    <row r="716" spans="1:2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</row>
    <row r="717" spans="1:2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</row>
    <row r="718" spans="1:2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</row>
    <row r="719" spans="1:2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</row>
    <row r="720" spans="1:2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</row>
    <row r="721" spans="1:2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</row>
    <row r="722" spans="1:2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</row>
    <row r="723" spans="1:2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</row>
    <row r="724" spans="1:2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</row>
    <row r="725" spans="1:2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</row>
    <row r="726" spans="1:2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</row>
    <row r="727" spans="1:2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</row>
    <row r="728" spans="1:2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</row>
    <row r="729" spans="1:2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</row>
    <row r="730" spans="1:2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</row>
    <row r="731" spans="1:2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</row>
    <row r="732" spans="1:2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</row>
    <row r="733" spans="1:2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</row>
    <row r="734" spans="1:2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</row>
    <row r="735" spans="1:2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</row>
    <row r="736" spans="1:2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</row>
    <row r="737" spans="1:2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</row>
    <row r="738" spans="1:2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</row>
    <row r="739" spans="1:2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</row>
    <row r="740" spans="1:2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</row>
    <row r="741" spans="1:2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</row>
    <row r="742" spans="1:2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</row>
    <row r="743" spans="1:2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</row>
    <row r="744" spans="1:2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</row>
    <row r="745" spans="1:2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</row>
    <row r="746" spans="1:2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</row>
    <row r="747" spans="1:2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</row>
    <row r="748" spans="1:2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</row>
    <row r="749" spans="1:2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</row>
    <row r="750" spans="1:2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</row>
    <row r="751" spans="1:2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</row>
    <row r="752" spans="1:2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</row>
    <row r="753" spans="1:2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</row>
    <row r="754" spans="1:2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</row>
    <row r="755" spans="1:2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</row>
    <row r="756" spans="1:2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</row>
    <row r="757" spans="1:2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</row>
    <row r="758" spans="1:2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</row>
    <row r="759" spans="1:2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</row>
    <row r="760" spans="1:2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</row>
    <row r="761" spans="1:2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</row>
    <row r="762" spans="1:2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</row>
    <row r="763" spans="1:2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</row>
    <row r="764" spans="1:2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</row>
    <row r="765" spans="1:2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</row>
    <row r="766" spans="1:2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</row>
    <row r="767" spans="1:2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</row>
    <row r="768" spans="1:2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</row>
    <row r="769" spans="1:2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</row>
    <row r="770" spans="1:2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</row>
    <row r="771" spans="1:2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</row>
    <row r="772" spans="1:2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</row>
    <row r="773" spans="1:2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</row>
    <row r="774" spans="1:2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</row>
    <row r="775" spans="1:2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</row>
    <row r="776" spans="1:2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</row>
    <row r="777" spans="1:2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</row>
    <row r="778" spans="1:2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</row>
    <row r="779" spans="1:2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</row>
    <row r="780" spans="1:2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</row>
    <row r="781" spans="1:2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</row>
    <row r="782" spans="1:2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</row>
    <row r="783" spans="1:2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</row>
    <row r="784" spans="1:2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</row>
    <row r="785" spans="1:2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</row>
    <row r="786" spans="1:2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</row>
    <row r="787" spans="1:2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</row>
    <row r="788" spans="1:2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</row>
    <row r="789" spans="1:2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</row>
    <row r="790" spans="1:2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</row>
    <row r="791" spans="1:2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</row>
    <row r="792" spans="1:2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</row>
    <row r="793" spans="1:2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</row>
    <row r="794" spans="1:2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</row>
    <row r="795" spans="1:2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</row>
    <row r="796" spans="1:2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</row>
    <row r="797" spans="1:2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</row>
    <row r="798" spans="1:2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</row>
    <row r="799" spans="1:2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</row>
    <row r="800" spans="1:2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</row>
    <row r="801" spans="1:2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</row>
    <row r="802" spans="1:2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</row>
    <row r="803" spans="1:2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</row>
    <row r="804" spans="1:2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</row>
    <row r="805" spans="1:2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</row>
    <row r="806" spans="1:2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</row>
    <row r="807" spans="1:2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</row>
    <row r="808" spans="1:2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</row>
    <row r="809" spans="1:2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</row>
    <row r="810" spans="1:2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</row>
    <row r="811" spans="1:2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</row>
    <row r="812" spans="1:2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</row>
    <row r="813" spans="1:2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</row>
    <row r="814" spans="1:2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</row>
    <row r="815" spans="1:2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</row>
    <row r="816" spans="1:2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</row>
    <row r="817" spans="1:2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</row>
    <row r="818" spans="1:2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</row>
    <row r="819" spans="1:2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</row>
    <row r="820" spans="1:2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</row>
    <row r="821" spans="1:2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</row>
    <row r="822" spans="1:2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</row>
    <row r="823" spans="1:2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</row>
    <row r="824" spans="1:2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</row>
    <row r="825" spans="1:2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</row>
    <row r="826" spans="1:2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</row>
    <row r="827" spans="1:2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</row>
    <row r="828" spans="1:2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</row>
    <row r="829" spans="1:2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</row>
    <row r="830" spans="1:2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</row>
    <row r="831" spans="1:2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</row>
    <row r="832" spans="1:2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</row>
    <row r="833" spans="1:2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</row>
    <row r="834" spans="1:2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</row>
    <row r="835" spans="1:2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</row>
    <row r="836" spans="1:2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</row>
    <row r="837" spans="1:2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</row>
    <row r="838" spans="1:2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</row>
    <row r="839" spans="1:2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</row>
    <row r="840" spans="1:2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</row>
    <row r="841" spans="1:2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</row>
    <row r="842" spans="1:2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</row>
    <row r="843" spans="1:2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</row>
    <row r="844" spans="1:2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</row>
    <row r="845" spans="1:2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</row>
    <row r="846" spans="1:2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</row>
    <row r="847" spans="1:2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</row>
    <row r="848" spans="1:2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</row>
    <row r="849" spans="1:2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</row>
    <row r="850" spans="1:2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</row>
    <row r="851" spans="1:2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</row>
    <row r="852" spans="1:2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</row>
    <row r="853" spans="1:2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</row>
    <row r="854" spans="1:2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</row>
    <row r="855" spans="1:2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</row>
    <row r="856" spans="1:2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</row>
    <row r="857" spans="1:2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</row>
    <row r="858" spans="1:2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</row>
    <row r="859" spans="1:2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</row>
    <row r="860" spans="1:2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</row>
    <row r="861" spans="1:2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</row>
    <row r="862" spans="1:2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</row>
    <row r="863" spans="1:2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</row>
    <row r="864" spans="1:2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</row>
    <row r="865" spans="1:2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</row>
    <row r="866" spans="1:2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</row>
    <row r="867" spans="1:2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</row>
    <row r="868" spans="1:2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</row>
    <row r="869" spans="1:2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</row>
    <row r="870" spans="1:2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</row>
    <row r="871" spans="1:2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</row>
    <row r="872" spans="1:2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</row>
    <row r="873" spans="1:2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</row>
    <row r="874" spans="1:2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</row>
    <row r="875" spans="1:2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</row>
    <row r="876" spans="1:2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</row>
    <row r="877" spans="1:2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</row>
    <row r="878" spans="1:2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</row>
    <row r="879" spans="1:2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</row>
    <row r="880" spans="1:2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</row>
    <row r="881" spans="1:2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</row>
    <row r="882" spans="1:2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</row>
    <row r="883" spans="1:2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</row>
    <row r="884" spans="1:2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</row>
    <row r="885" spans="1:2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</row>
    <row r="886" spans="1:2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</row>
    <row r="887" spans="1:2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</row>
    <row r="888" spans="1:2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</row>
    <row r="889" spans="1:2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</row>
    <row r="890" spans="1:2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</row>
    <row r="891" spans="1:2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</row>
    <row r="892" spans="1:2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</row>
    <row r="893" spans="1:2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</row>
    <row r="894" spans="1:2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</row>
    <row r="895" spans="1:2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</row>
    <row r="896" spans="1:2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</row>
    <row r="897" spans="1:2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</row>
    <row r="898" spans="1:2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</row>
    <row r="899" spans="1:2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</row>
    <row r="900" spans="1:2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</row>
    <row r="901" spans="1:2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</row>
    <row r="902" spans="1:2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</row>
    <row r="903" spans="1:2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</row>
    <row r="904" spans="1:2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</row>
    <row r="905" spans="1:2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</row>
    <row r="906" spans="1:2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</row>
    <row r="907" spans="1:2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</row>
    <row r="908" spans="1:2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</row>
    <row r="909" spans="1:2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</row>
    <row r="910" spans="1:2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</row>
    <row r="911" spans="1:2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</row>
    <row r="912" spans="1:2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</row>
    <row r="913" spans="1:2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</row>
    <row r="914" spans="1:2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</row>
    <row r="915" spans="1:2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</row>
    <row r="916" spans="1:2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</row>
    <row r="917" spans="1:2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</row>
    <row r="918" spans="1:2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</row>
    <row r="919" spans="1:2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</row>
    <row r="920" spans="1:2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</row>
    <row r="921" spans="1:2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</row>
    <row r="922" spans="1:2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</row>
    <row r="923" spans="1:2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</row>
    <row r="924" spans="1:2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</row>
    <row r="925" spans="1:2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</row>
    <row r="926" spans="1:2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</row>
    <row r="927" spans="1:2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</row>
    <row r="928" spans="1:2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</row>
    <row r="929" spans="1:2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</row>
    <row r="930" spans="1:2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</row>
    <row r="931" spans="1:2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</row>
    <row r="932" spans="1:2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</row>
    <row r="933" spans="1:2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</row>
    <row r="934" spans="1:2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</row>
    <row r="935" spans="1:2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</row>
    <row r="936" spans="1:2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</row>
    <row r="937" spans="1:2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</row>
    <row r="938" spans="1:2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</row>
    <row r="939" spans="1:2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</row>
    <row r="940" spans="1:2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</row>
    <row r="941" spans="1:2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</row>
    <row r="942" spans="1:2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</row>
    <row r="943" spans="1:2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</row>
    <row r="944" spans="1:2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</row>
    <row r="945" spans="1:2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</row>
    <row r="946" spans="1:2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</row>
    <row r="947" spans="1:2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</row>
    <row r="948" spans="1:2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</row>
    <row r="949" spans="1:2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</row>
    <row r="950" spans="1:2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</row>
    <row r="951" spans="1:2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</row>
    <row r="952" spans="1:2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</row>
    <row r="953" spans="1:2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</row>
    <row r="954" spans="1:2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</row>
    <row r="955" spans="1:2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</row>
    <row r="956" spans="1:2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</row>
    <row r="957" spans="1:2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</row>
    <row r="958" spans="1:2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</row>
    <row r="959" spans="1:2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</row>
    <row r="960" spans="1:2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</row>
    <row r="961" spans="1:2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</row>
    <row r="962" spans="1:2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</row>
    <row r="963" spans="1:2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</row>
    <row r="964" spans="1:2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</row>
    <row r="965" spans="1:2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</row>
    <row r="966" spans="1:2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</row>
    <row r="967" spans="1:2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</row>
    <row r="968" spans="1:2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</row>
    <row r="969" spans="1:2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</row>
    <row r="970" spans="1:2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</row>
    <row r="971" spans="1:2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</row>
    <row r="972" spans="1:2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</row>
    <row r="973" spans="1:2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</row>
    <row r="974" spans="1:2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</row>
    <row r="975" spans="1:2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</row>
    <row r="976" spans="1:2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</row>
    <row r="977" spans="1:2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</row>
    <row r="978" spans="1:2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</row>
    <row r="979" spans="1:2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</row>
    <row r="980" spans="1:2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</row>
    <row r="981" spans="1:2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</row>
    <row r="982" spans="1:2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</row>
    <row r="983" spans="1:2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</row>
    <row r="984" spans="1:2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</row>
    <row r="985" spans="1:2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</row>
    <row r="986" spans="1:2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</row>
    <row r="987" spans="1:2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</row>
    <row r="988" spans="1:2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</row>
    <row r="989" spans="1:2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</row>
    <row r="990" spans="1:2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</row>
    <row r="991" spans="1:2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</row>
    <row r="992" spans="1:2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</row>
    <row r="993" spans="1:2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</row>
    <row r="994" spans="1:2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</row>
    <row r="995" spans="1:2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</row>
    <row r="996" spans="1:2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</row>
    <row r="997" spans="1:2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</row>
    <row r="998" spans="1:2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</row>
    <row r="999" spans="1:2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</row>
    <row r="1000" spans="1:2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</row>
    <row r="1001" spans="1:21">
      <c r="A1001" s="109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09"/>
      <c r="U1001" s="109"/>
    </row>
    <row r="1002" spans="1:21">
      <c r="A1002" s="109"/>
      <c r="B1002" s="109"/>
      <c r="C1002" s="109"/>
      <c r="D1002" s="109"/>
      <c r="E1002" s="109"/>
      <c r="F1002" s="109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109"/>
      <c r="Q1002" s="109"/>
      <c r="R1002" s="109"/>
      <c r="S1002" s="109"/>
      <c r="T1002" s="109"/>
      <c r="U1002" s="109"/>
    </row>
    <row r="1003" spans="1:21">
      <c r="A1003" s="109"/>
      <c r="B1003" s="109"/>
      <c r="C1003" s="109"/>
      <c r="D1003" s="109"/>
      <c r="E1003" s="109"/>
      <c r="F1003" s="109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09"/>
      <c r="U1003" s="109"/>
    </row>
    <row r="1004" spans="1:21">
      <c r="A1004" s="109"/>
      <c r="B1004" s="109"/>
      <c r="C1004" s="109"/>
      <c r="D1004" s="109"/>
      <c r="E1004" s="109"/>
      <c r="F1004" s="109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109"/>
      <c r="Q1004" s="109"/>
      <c r="R1004" s="109"/>
      <c r="S1004" s="109"/>
      <c r="T1004" s="109"/>
      <c r="U1004" s="109"/>
    </row>
    <row r="1005" spans="1:21">
      <c r="A1005" s="109"/>
      <c r="B1005" s="109"/>
      <c r="C1005" s="109"/>
      <c r="D1005" s="109"/>
      <c r="E1005" s="109"/>
      <c r="F1005" s="109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09"/>
      <c r="U1005" s="109"/>
    </row>
    <row r="1006" spans="1:21">
      <c r="A1006" s="109"/>
      <c r="B1006" s="109"/>
      <c r="C1006" s="109"/>
      <c r="D1006" s="109"/>
      <c r="E1006" s="109"/>
      <c r="F1006" s="109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109"/>
      <c r="Q1006" s="109"/>
      <c r="R1006" s="109"/>
      <c r="S1006" s="109"/>
      <c r="T1006" s="109"/>
      <c r="U1006" s="109"/>
    </row>
    <row r="1007" spans="1:21">
      <c r="A1007" s="109"/>
      <c r="B1007" s="109"/>
      <c r="C1007" s="109"/>
      <c r="D1007" s="109"/>
      <c r="E1007" s="109"/>
      <c r="F1007" s="109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09"/>
      <c r="U1007" s="109"/>
    </row>
    <row r="1008" spans="1:21">
      <c r="A1008" s="109"/>
      <c r="B1008" s="109"/>
      <c r="C1008" s="109"/>
      <c r="D1008" s="109"/>
      <c r="E1008" s="109"/>
      <c r="F1008" s="109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109"/>
      <c r="Q1008" s="109"/>
      <c r="R1008" s="109"/>
      <c r="S1008" s="109"/>
      <c r="T1008" s="109"/>
      <c r="U1008" s="109"/>
    </row>
    <row r="1009" spans="1:21">
      <c r="A1009" s="109"/>
      <c r="B1009" s="109"/>
      <c r="C1009" s="109"/>
      <c r="D1009" s="109"/>
      <c r="E1009" s="109"/>
      <c r="F1009" s="109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09"/>
      <c r="U1009" s="109"/>
    </row>
    <row r="1010" spans="1:21">
      <c r="A1010" s="109"/>
      <c r="B1010" s="109"/>
      <c r="C1010" s="109"/>
      <c r="D1010" s="109"/>
      <c r="E1010" s="109"/>
      <c r="F1010" s="109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09"/>
      <c r="R1010" s="109"/>
      <c r="S1010" s="109"/>
      <c r="T1010" s="109"/>
      <c r="U1010" s="109"/>
    </row>
    <row r="1011" spans="1:21">
      <c r="A1011" s="109"/>
      <c r="B1011" s="109"/>
      <c r="C1011" s="109"/>
      <c r="D1011" s="109"/>
      <c r="E1011" s="109"/>
      <c r="F1011" s="109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09"/>
      <c r="U1011" s="109"/>
    </row>
    <row r="1012" spans="1:21">
      <c r="A1012" s="109"/>
      <c r="B1012" s="109"/>
      <c r="C1012" s="109"/>
      <c r="D1012" s="109"/>
      <c r="E1012" s="109"/>
      <c r="F1012" s="109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109"/>
      <c r="Q1012" s="109"/>
      <c r="R1012" s="109"/>
      <c r="S1012" s="109"/>
      <c r="T1012" s="109"/>
      <c r="U1012" s="109"/>
    </row>
    <row r="1013" spans="1:21">
      <c r="A1013" s="109"/>
      <c r="B1013" s="109"/>
      <c r="C1013" s="109"/>
      <c r="D1013" s="109"/>
      <c r="E1013" s="109"/>
      <c r="F1013" s="109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09"/>
      <c r="U1013" s="109"/>
    </row>
    <row r="1014" spans="1:21">
      <c r="A1014" s="109"/>
      <c r="B1014" s="109"/>
      <c r="C1014" s="109"/>
      <c r="D1014" s="109"/>
      <c r="E1014" s="109"/>
      <c r="F1014" s="109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T1014" s="109"/>
      <c r="U1014" s="109"/>
    </row>
    <row r="1015" spans="1:21">
      <c r="A1015" s="109"/>
      <c r="B1015" s="109"/>
      <c r="C1015" s="109"/>
      <c r="D1015" s="109"/>
      <c r="E1015" s="109"/>
      <c r="F1015" s="109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09"/>
      <c r="U1015" s="109"/>
    </row>
    <row r="1016" spans="1:21">
      <c r="A1016" s="109"/>
      <c r="B1016" s="109"/>
      <c r="C1016" s="109"/>
      <c r="D1016" s="109"/>
      <c r="E1016" s="109"/>
      <c r="F1016" s="109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109"/>
      <c r="Q1016" s="109"/>
      <c r="R1016" s="109"/>
      <c r="S1016" s="109"/>
      <c r="T1016" s="109"/>
      <c r="U1016" s="109"/>
    </row>
    <row r="1017" spans="1:21">
      <c r="A1017" s="109"/>
      <c r="B1017" s="109"/>
      <c r="C1017" s="109"/>
      <c r="D1017" s="109"/>
      <c r="E1017" s="109"/>
      <c r="F1017" s="109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09"/>
      <c r="U1017" s="109"/>
    </row>
    <row r="1018" spans="1:21">
      <c r="A1018" s="109"/>
      <c r="B1018" s="109"/>
      <c r="C1018" s="109"/>
      <c r="D1018" s="109"/>
      <c r="E1018" s="109"/>
      <c r="F1018" s="109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109"/>
      <c r="Q1018" s="109"/>
      <c r="R1018" s="109"/>
      <c r="S1018" s="109"/>
      <c r="T1018" s="109"/>
      <c r="U1018" s="109"/>
    </row>
    <row r="1019" spans="1:21">
      <c r="A1019" s="109"/>
      <c r="B1019" s="109"/>
      <c r="C1019" s="109"/>
      <c r="D1019" s="109"/>
      <c r="E1019" s="109"/>
      <c r="F1019" s="109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09"/>
      <c r="U1019" s="109"/>
    </row>
    <row r="1020" spans="1:21">
      <c r="A1020" s="109"/>
      <c r="B1020" s="109"/>
      <c r="C1020" s="109"/>
      <c r="D1020" s="109"/>
      <c r="E1020" s="109"/>
      <c r="F1020" s="109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109"/>
      <c r="Q1020" s="109"/>
      <c r="R1020" s="109"/>
      <c r="S1020" s="109"/>
      <c r="T1020" s="109"/>
      <c r="U1020" s="109"/>
    </row>
    <row r="1021" spans="1:21">
      <c r="A1021" s="109"/>
      <c r="B1021" s="109"/>
      <c r="C1021" s="109"/>
      <c r="D1021" s="109"/>
      <c r="E1021" s="109"/>
      <c r="F1021" s="109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09"/>
      <c r="U1021" s="109"/>
    </row>
    <row r="1022" spans="1:21">
      <c r="A1022" s="109"/>
      <c r="B1022" s="109"/>
      <c r="C1022" s="109"/>
      <c r="D1022" s="109"/>
      <c r="E1022" s="109"/>
      <c r="F1022" s="109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109"/>
      <c r="Q1022" s="109"/>
      <c r="R1022" s="109"/>
      <c r="S1022" s="109"/>
      <c r="T1022" s="109"/>
      <c r="U1022" s="109"/>
    </row>
    <row r="1023" spans="1:21">
      <c r="A1023" s="109"/>
      <c r="B1023" s="109"/>
      <c r="C1023" s="109"/>
      <c r="D1023" s="109"/>
      <c r="E1023" s="109"/>
      <c r="F1023" s="109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09"/>
      <c r="U1023" s="109"/>
    </row>
    <row r="1024" spans="1:21">
      <c r="A1024" s="109"/>
      <c r="B1024" s="109"/>
      <c r="C1024" s="109"/>
      <c r="D1024" s="109"/>
      <c r="E1024" s="109"/>
      <c r="F1024" s="109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109"/>
      <c r="Q1024" s="109"/>
      <c r="R1024" s="109"/>
      <c r="S1024" s="109"/>
      <c r="T1024" s="109"/>
      <c r="U1024" s="109"/>
    </row>
    <row r="1025" spans="1:21">
      <c r="A1025" s="109"/>
      <c r="B1025" s="109"/>
      <c r="C1025" s="109"/>
      <c r="D1025" s="109"/>
      <c r="E1025" s="109"/>
      <c r="F1025" s="109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09"/>
      <c r="U1025" s="109"/>
    </row>
    <row r="1026" spans="1:21">
      <c r="A1026" s="109"/>
      <c r="B1026" s="109"/>
      <c r="C1026" s="109"/>
      <c r="D1026" s="109"/>
      <c r="E1026" s="109"/>
      <c r="F1026" s="109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109"/>
      <c r="Q1026" s="109"/>
      <c r="R1026" s="109"/>
      <c r="S1026" s="109"/>
      <c r="T1026" s="109"/>
      <c r="U1026" s="109"/>
    </row>
    <row r="1027" spans="1:21">
      <c r="A1027" s="109"/>
      <c r="B1027" s="109"/>
      <c r="C1027" s="109"/>
      <c r="D1027" s="109"/>
      <c r="E1027" s="109"/>
      <c r="F1027" s="109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09"/>
      <c r="U1027" s="109"/>
    </row>
    <row r="1028" spans="1:21">
      <c r="A1028" s="109"/>
      <c r="B1028" s="109"/>
      <c r="C1028" s="109"/>
      <c r="D1028" s="109"/>
      <c r="E1028" s="109"/>
      <c r="F1028" s="109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109"/>
      <c r="Q1028" s="109"/>
      <c r="R1028" s="109"/>
      <c r="S1028" s="109"/>
      <c r="T1028" s="109"/>
      <c r="U1028" s="109"/>
    </row>
    <row r="1029" spans="1:21">
      <c r="A1029" s="109"/>
      <c r="B1029" s="109"/>
      <c r="C1029" s="109"/>
      <c r="D1029" s="109"/>
      <c r="E1029" s="109"/>
      <c r="F1029" s="109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09"/>
      <c r="U1029" s="109"/>
    </row>
    <row r="1030" spans="1:21">
      <c r="A1030" s="109"/>
      <c r="B1030" s="109"/>
      <c r="C1030" s="109"/>
      <c r="D1030" s="109"/>
      <c r="E1030" s="109"/>
      <c r="F1030" s="109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109"/>
      <c r="Q1030" s="109"/>
      <c r="R1030" s="109"/>
      <c r="S1030" s="109"/>
      <c r="T1030" s="109"/>
      <c r="U1030" s="109"/>
    </row>
    <row r="1031" spans="1:21">
      <c r="A1031" s="109"/>
      <c r="B1031" s="109"/>
      <c r="C1031" s="109"/>
      <c r="D1031" s="109"/>
      <c r="E1031" s="109"/>
      <c r="F1031" s="109"/>
      <c r="G1031" s="109"/>
      <c r="H1031" s="109"/>
      <c r="I1031" s="109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09"/>
      <c r="U1031" s="109"/>
    </row>
    <row r="1032" spans="1:21">
      <c r="A1032" s="109"/>
      <c r="B1032" s="109"/>
      <c r="C1032" s="109"/>
      <c r="D1032" s="109"/>
      <c r="E1032" s="109"/>
      <c r="F1032" s="109"/>
      <c r="G1032" s="109"/>
      <c r="H1032" s="109"/>
      <c r="I1032" s="109"/>
      <c r="J1032" s="109"/>
      <c r="K1032" s="109"/>
      <c r="L1032" s="109"/>
      <c r="M1032" s="109"/>
      <c r="N1032" s="109"/>
      <c r="O1032" s="109"/>
      <c r="P1032" s="109"/>
      <c r="Q1032" s="109"/>
      <c r="R1032" s="109"/>
      <c r="S1032" s="109"/>
      <c r="T1032" s="109"/>
      <c r="U1032" s="109"/>
    </row>
    <row r="1033" spans="1:21">
      <c r="A1033" s="109"/>
      <c r="B1033" s="109"/>
      <c r="C1033" s="109"/>
      <c r="D1033" s="109"/>
      <c r="E1033" s="109"/>
      <c r="F1033" s="109"/>
      <c r="G1033" s="109"/>
      <c r="H1033" s="109"/>
      <c r="I1033" s="109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09"/>
      <c r="U1033" s="109"/>
    </row>
    <row r="1034" spans="1:21">
      <c r="A1034" s="109"/>
      <c r="B1034" s="109"/>
      <c r="C1034" s="109"/>
      <c r="D1034" s="109"/>
      <c r="E1034" s="109"/>
      <c r="F1034" s="109"/>
      <c r="G1034" s="109"/>
      <c r="H1034" s="109"/>
      <c r="I1034" s="109"/>
      <c r="J1034" s="109"/>
      <c r="K1034" s="109"/>
      <c r="L1034" s="109"/>
      <c r="M1034" s="109"/>
      <c r="N1034" s="109"/>
      <c r="O1034" s="109"/>
      <c r="P1034" s="109"/>
      <c r="Q1034" s="109"/>
      <c r="R1034" s="109"/>
      <c r="S1034" s="109"/>
      <c r="T1034" s="109"/>
      <c r="U1034" s="109"/>
    </row>
    <row r="1035" spans="1:21">
      <c r="A1035" s="109"/>
      <c r="B1035" s="109"/>
      <c r="C1035" s="109"/>
      <c r="D1035" s="109"/>
      <c r="E1035" s="109"/>
      <c r="F1035" s="109"/>
      <c r="G1035" s="109"/>
      <c r="H1035" s="109"/>
      <c r="I1035" s="109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09"/>
      <c r="U1035" s="109"/>
    </row>
    <row r="1036" spans="1:21">
      <c r="A1036" s="109"/>
      <c r="B1036" s="109"/>
      <c r="C1036" s="109"/>
      <c r="D1036" s="109"/>
      <c r="E1036" s="109"/>
      <c r="F1036" s="109"/>
      <c r="G1036" s="109"/>
      <c r="H1036" s="109"/>
      <c r="I1036" s="109"/>
      <c r="J1036" s="109"/>
      <c r="K1036" s="109"/>
      <c r="L1036" s="109"/>
      <c r="M1036" s="109"/>
      <c r="N1036" s="109"/>
      <c r="O1036" s="109"/>
      <c r="P1036" s="109"/>
      <c r="Q1036" s="109"/>
      <c r="R1036" s="109"/>
      <c r="S1036" s="109"/>
      <c r="T1036" s="109"/>
      <c r="U1036" s="109"/>
    </row>
    <row r="1037" spans="1:21">
      <c r="A1037" s="109"/>
      <c r="B1037" s="109"/>
      <c r="C1037" s="109"/>
      <c r="D1037" s="109"/>
      <c r="E1037" s="109"/>
      <c r="F1037" s="109"/>
      <c r="G1037" s="109"/>
      <c r="H1037" s="109"/>
      <c r="I1037" s="109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09"/>
      <c r="U1037" s="109"/>
    </row>
    <row r="1038" spans="1:21">
      <c r="A1038" s="109"/>
      <c r="B1038" s="109"/>
      <c r="C1038" s="109"/>
      <c r="D1038" s="109"/>
      <c r="E1038" s="109"/>
      <c r="F1038" s="109"/>
      <c r="G1038" s="109"/>
      <c r="H1038" s="109"/>
      <c r="I1038" s="109"/>
      <c r="J1038" s="109"/>
      <c r="K1038" s="109"/>
      <c r="L1038" s="109"/>
      <c r="M1038" s="109"/>
      <c r="N1038" s="109"/>
      <c r="O1038" s="109"/>
      <c r="P1038" s="109"/>
      <c r="Q1038" s="109"/>
      <c r="R1038" s="109"/>
      <c r="S1038" s="109"/>
      <c r="T1038" s="109"/>
      <c r="U1038" s="109"/>
    </row>
    <row r="1039" spans="1:21">
      <c r="A1039" s="109"/>
      <c r="B1039" s="109"/>
      <c r="C1039" s="109"/>
      <c r="D1039" s="109"/>
      <c r="E1039" s="109"/>
      <c r="F1039" s="109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09"/>
      <c r="U1039" s="109"/>
    </row>
    <row r="1040" spans="1:21">
      <c r="A1040" s="109"/>
      <c r="B1040" s="109"/>
      <c r="C1040" s="109"/>
      <c r="D1040" s="109"/>
      <c r="E1040" s="109"/>
      <c r="F1040" s="109"/>
      <c r="G1040" s="109"/>
      <c r="H1040" s="109"/>
      <c r="I1040" s="109"/>
      <c r="J1040" s="109"/>
      <c r="K1040" s="109"/>
      <c r="L1040" s="109"/>
      <c r="M1040" s="109"/>
      <c r="N1040" s="109"/>
      <c r="O1040" s="109"/>
      <c r="P1040" s="109"/>
      <c r="Q1040" s="109"/>
      <c r="R1040" s="109"/>
      <c r="S1040" s="109"/>
      <c r="T1040" s="109"/>
      <c r="U1040" s="109"/>
    </row>
    <row r="1041" spans="1:21">
      <c r="A1041" s="109"/>
      <c r="B1041" s="109"/>
      <c r="C1041" s="109"/>
      <c r="D1041" s="109"/>
      <c r="E1041" s="109"/>
      <c r="F1041" s="109"/>
      <c r="G1041" s="109"/>
      <c r="H1041" s="109"/>
      <c r="I1041" s="109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09"/>
      <c r="U1041" s="109"/>
    </row>
    <row r="1042" spans="1:21">
      <c r="A1042" s="109"/>
      <c r="B1042" s="109"/>
      <c r="C1042" s="109"/>
      <c r="D1042" s="109"/>
      <c r="E1042" s="109"/>
      <c r="F1042" s="109"/>
      <c r="G1042" s="109"/>
      <c r="H1042" s="109"/>
      <c r="I1042" s="109"/>
      <c r="J1042" s="109"/>
      <c r="K1042" s="109"/>
      <c r="L1042" s="109"/>
      <c r="M1042" s="109"/>
      <c r="N1042" s="109"/>
      <c r="O1042" s="109"/>
      <c r="P1042" s="109"/>
      <c r="Q1042" s="109"/>
      <c r="R1042" s="109"/>
      <c r="S1042" s="109"/>
      <c r="T1042" s="109"/>
      <c r="U1042" s="109"/>
    </row>
    <row r="1043" spans="1:21">
      <c r="A1043" s="109"/>
      <c r="B1043" s="109"/>
      <c r="C1043" s="109"/>
      <c r="D1043" s="109"/>
      <c r="E1043" s="109"/>
      <c r="F1043" s="109"/>
      <c r="G1043" s="109"/>
      <c r="H1043" s="109"/>
      <c r="I1043" s="109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09"/>
      <c r="U1043" s="109"/>
    </row>
    <row r="1044" spans="1:21">
      <c r="A1044" s="109"/>
      <c r="B1044" s="109"/>
      <c r="C1044" s="109"/>
      <c r="D1044" s="109"/>
      <c r="E1044" s="109"/>
      <c r="F1044" s="109"/>
      <c r="G1044" s="109"/>
      <c r="H1044" s="109"/>
      <c r="I1044" s="109"/>
      <c r="J1044" s="109"/>
      <c r="K1044" s="109"/>
      <c r="L1044" s="109"/>
      <c r="M1044" s="109"/>
      <c r="N1044" s="109"/>
      <c r="O1044" s="109"/>
      <c r="P1044" s="109"/>
      <c r="Q1044" s="109"/>
      <c r="R1044" s="109"/>
      <c r="S1044" s="109"/>
      <c r="T1044" s="109"/>
      <c r="U1044" s="109"/>
    </row>
    <row r="1045" spans="1:21">
      <c r="A1045" s="109"/>
      <c r="B1045" s="109"/>
      <c r="C1045" s="109"/>
      <c r="D1045" s="109"/>
      <c r="E1045" s="109"/>
      <c r="F1045" s="109"/>
      <c r="G1045" s="109"/>
      <c r="H1045" s="109"/>
      <c r="I1045" s="109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09"/>
      <c r="U1045" s="109"/>
    </row>
    <row r="1046" spans="1:21">
      <c r="A1046" s="109"/>
      <c r="B1046" s="109"/>
      <c r="C1046" s="109"/>
      <c r="D1046" s="109"/>
      <c r="E1046" s="109"/>
      <c r="F1046" s="109"/>
      <c r="G1046" s="109"/>
      <c r="H1046" s="109"/>
      <c r="I1046" s="109"/>
      <c r="J1046" s="109"/>
      <c r="K1046" s="109"/>
      <c r="L1046" s="109"/>
      <c r="M1046" s="109"/>
      <c r="N1046" s="109"/>
      <c r="O1046" s="109"/>
      <c r="P1046" s="109"/>
      <c r="Q1046" s="109"/>
      <c r="R1046" s="109"/>
      <c r="S1046" s="109"/>
      <c r="T1046" s="109"/>
      <c r="U1046" s="109"/>
    </row>
    <row r="1047" spans="1:21">
      <c r="A1047" s="109"/>
      <c r="B1047" s="109"/>
      <c r="C1047" s="109"/>
      <c r="D1047" s="109"/>
      <c r="E1047" s="109"/>
      <c r="F1047" s="109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09"/>
      <c r="U1047" s="109"/>
    </row>
    <row r="1048" spans="1:21">
      <c r="A1048" s="109"/>
      <c r="B1048" s="109"/>
      <c r="C1048" s="109"/>
      <c r="D1048" s="109"/>
      <c r="E1048" s="109"/>
      <c r="F1048" s="109"/>
      <c r="G1048" s="109"/>
      <c r="H1048" s="109"/>
      <c r="I1048" s="109"/>
      <c r="J1048" s="109"/>
      <c r="K1048" s="109"/>
      <c r="L1048" s="109"/>
      <c r="M1048" s="109"/>
      <c r="N1048" s="109"/>
      <c r="O1048" s="109"/>
      <c r="P1048" s="109"/>
      <c r="Q1048" s="109"/>
      <c r="R1048" s="109"/>
      <c r="S1048" s="109"/>
      <c r="T1048" s="109"/>
      <c r="U1048" s="109"/>
    </row>
    <row r="1049" spans="1:21">
      <c r="A1049" s="109"/>
      <c r="B1049" s="109"/>
      <c r="C1049" s="109"/>
      <c r="D1049" s="109"/>
      <c r="E1049" s="109"/>
      <c r="F1049" s="109"/>
      <c r="G1049" s="109"/>
      <c r="H1049" s="109"/>
      <c r="I1049" s="109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09"/>
      <c r="U1049" s="109"/>
    </row>
    <row r="1050" spans="1:21">
      <c r="A1050" s="109"/>
      <c r="B1050" s="109"/>
      <c r="C1050" s="109"/>
      <c r="D1050" s="109"/>
      <c r="E1050" s="109"/>
      <c r="F1050" s="109"/>
      <c r="G1050" s="109"/>
      <c r="H1050" s="109"/>
      <c r="I1050" s="109"/>
      <c r="J1050" s="109"/>
      <c r="K1050" s="109"/>
      <c r="L1050" s="109"/>
      <c r="M1050" s="109"/>
      <c r="N1050" s="109"/>
      <c r="O1050" s="109"/>
      <c r="P1050" s="109"/>
      <c r="Q1050" s="109"/>
      <c r="R1050" s="109"/>
      <c r="S1050" s="109"/>
      <c r="T1050" s="109"/>
      <c r="U1050" s="109"/>
    </row>
    <row r="1051" spans="1:21">
      <c r="A1051" s="109"/>
      <c r="B1051" s="109"/>
      <c r="C1051" s="109"/>
      <c r="D1051" s="109"/>
      <c r="E1051" s="109"/>
      <c r="F1051" s="109"/>
      <c r="G1051" s="109"/>
      <c r="H1051" s="109"/>
      <c r="I1051" s="109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09"/>
      <c r="U1051" s="109"/>
    </row>
    <row r="1052" spans="1:21">
      <c r="A1052" s="109"/>
      <c r="B1052" s="109"/>
      <c r="C1052" s="109"/>
      <c r="D1052" s="109"/>
      <c r="E1052" s="109"/>
      <c r="F1052" s="109"/>
      <c r="G1052" s="109"/>
      <c r="H1052" s="109"/>
      <c r="I1052" s="109"/>
      <c r="J1052" s="109"/>
      <c r="K1052" s="109"/>
      <c r="L1052" s="109"/>
      <c r="M1052" s="109"/>
      <c r="N1052" s="109"/>
      <c r="O1052" s="109"/>
      <c r="P1052" s="109"/>
      <c r="Q1052" s="109"/>
      <c r="R1052" s="109"/>
      <c r="S1052" s="109"/>
      <c r="T1052" s="109"/>
      <c r="U1052" s="109"/>
    </row>
    <row r="1053" spans="1:21">
      <c r="A1053" s="109"/>
      <c r="B1053" s="109"/>
      <c r="C1053" s="109"/>
      <c r="D1053" s="109"/>
      <c r="E1053" s="109"/>
      <c r="F1053" s="109"/>
      <c r="G1053" s="109"/>
      <c r="H1053" s="109"/>
      <c r="I1053" s="109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09"/>
      <c r="U1053" s="109"/>
    </row>
    <row r="1054" spans="1:21">
      <c r="A1054" s="109"/>
      <c r="B1054" s="109"/>
      <c r="C1054" s="109"/>
      <c r="D1054" s="109"/>
      <c r="E1054" s="109"/>
      <c r="F1054" s="109"/>
      <c r="G1054" s="109"/>
      <c r="H1054" s="109"/>
      <c r="I1054" s="109"/>
      <c r="J1054" s="109"/>
      <c r="K1054" s="109"/>
      <c r="L1054" s="109"/>
      <c r="M1054" s="109"/>
      <c r="N1054" s="109"/>
      <c r="O1054" s="109"/>
      <c r="P1054" s="109"/>
      <c r="Q1054" s="109"/>
      <c r="R1054" s="109"/>
      <c r="S1054" s="109"/>
      <c r="T1054" s="109"/>
      <c r="U1054" s="109"/>
    </row>
    <row r="1055" spans="1:21">
      <c r="A1055" s="109"/>
      <c r="B1055" s="109"/>
      <c r="C1055" s="109"/>
      <c r="D1055" s="109"/>
      <c r="E1055" s="109"/>
      <c r="F1055" s="109"/>
      <c r="G1055" s="109"/>
      <c r="H1055" s="109"/>
      <c r="I1055" s="109"/>
      <c r="J1055" s="109"/>
      <c r="K1055" s="109"/>
      <c r="L1055" s="109"/>
      <c r="M1055" s="109"/>
      <c r="N1055" s="109"/>
      <c r="O1055" s="109"/>
      <c r="P1055" s="109"/>
      <c r="Q1055" s="109"/>
      <c r="R1055" s="109"/>
      <c r="S1055" s="109"/>
      <c r="T1055" s="109"/>
      <c r="U1055" s="109"/>
    </row>
    <row r="1056" spans="1:21">
      <c r="A1056" s="109"/>
      <c r="B1056" s="109"/>
      <c r="C1056" s="109"/>
      <c r="D1056" s="109"/>
      <c r="E1056" s="109"/>
      <c r="F1056" s="109"/>
      <c r="G1056" s="109"/>
      <c r="H1056" s="109"/>
      <c r="I1056" s="109"/>
      <c r="J1056" s="109"/>
      <c r="K1056" s="109"/>
      <c r="L1056" s="109"/>
      <c r="M1056" s="109"/>
      <c r="N1056" s="109"/>
      <c r="O1056" s="109"/>
      <c r="P1056" s="109"/>
      <c r="Q1056" s="109"/>
      <c r="R1056" s="109"/>
      <c r="S1056" s="109"/>
      <c r="T1056" s="109"/>
      <c r="U1056" s="109"/>
    </row>
    <row r="1057" spans="1:21">
      <c r="A1057" s="109"/>
      <c r="B1057" s="109"/>
      <c r="C1057" s="109"/>
      <c r="D1057" s="109"/>
      <c r="E1057" s="109"/>
      <c r="F1057" s="109"/>
      <c r="G1057" s="109"/>
      <c r="H1057" s="109"/>
      <c r="I1057" s="109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09"/>
      <c r="U1057" s="109"/>
    </row>
    <row r="1058" spans="1:21">
      <c r="A1058" s="109"/>
      <c r="B1058" s="109"/>
      <c r="C1058" s="109"/>
      <c r="D1058" s="109"/>
      <c r="E1058" s="109"/>
      <c r="F1058" s="109"/>
      <c r="G1058" s="109"/>
      <c r="H1058" s="109"/>
      <c r="I1058" s="109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09"/>
    </row>
    <row r="1059" spans="1:21">
      <c r="A1059" s="109"/>
      <c r="B1059" s="109"/>
      <c r="C1059" s="109"/>
      <c r="D1059" s="109"/>
      <c r="E1059" s="109"/>
      <c r="F1059" s="109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09"/>
    </row>
    <row r="1060" spans="1:21">
      <c r="A1060" s="109"/>
      <c r="B1060" s="109"/>
      <c r="C1060" s="109"/>
      <c r="D1060" s="109"/>
      <c r="E1060" s="109"/>
      <c r="F1060" s="109"/>
      <c r="G1060" s="109"/>
      <c r="H1060" s="109"/>
      <c r="I1060" s="109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09"/>
    </row>
    <row r="1061" spans="1:21">
      <c r="A1061" s="109"/>
      <c r="B1061" s="109"/>
      <c r="C1061" s="109"/>
      <c r="D1061" s="109"/>
      <c r="E1061" s="109"/>
      <c r="F1061" s="109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09"/>
    </row>
    <row r="1062" spans="1:21">
      <c r="A1062" s="109"/>
      <c r="B1062" s="109"/>
      <c r="C1062" s="109"/>
      <c r="D1062" s="109"/>
      <c r="E1062" s="109"/>
      <c r="F1062" s="109"/>
      <c r="G1062" s="109"/>
      <c r="H1062" s="109"/>
      <c r="I1062" s="109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09"/>
    </row>
    <row r="1063" spans="1:21">
      <c r="A1063" s="109"/>
      <c r="B1063" s="109"/>
      <c r="C1063" s="109"/>
      <c r="D1063" s="109"/>
      <c r="E1063" s="109"/>
      <c r="F1063" s="109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09"/>
    </row>
    <row r="1064" spans="1:21">
      <c r="A1064" s="109"/>
      <c r="B1064" s="109"/>
      <c r="C1064" s="109"/>
      <c r="D1064" s="109"/>
      <c r="E1064" s="109"/>
      <c r="F1064" s="109"/>
      <c r="G1064" s="109"/>
      <c r="H1064" s="109"/>
      <c r="I1064" s="109"/>
      <c r="J1064" s="109"/>
      <c r="K1064" s="109"/>
      <c r="L1064" s="109"/>
      <c r="M1064" s="109"/>
      <c r="N1064" s="109"/>
      <c r="O1064" s="109"/>
      <c r="P1064" s="109"/>
      <c r="Q1064" s="109"/>
      <c r="R1064" s="109"/>
      <c r="S1064" s="109"/>
      <c r="T1064" s="109"/>
      <c r="U1064" s="109"/>
    </row>
    <row r="1065" spans="1:21">
      <c r="A1065" s="109"/>
      <c r="B1065" s="109"/>
      <c r="C1065" s="109"/>
      <c r="D1065" s="109"/>
      <c r="E1065" s="109"/>
      <c r="F1065" s="109"/>
      <c r="G1065" s="109"/>
      <c r="H1065" s="109"/>
      <c r="I1065" s="109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09"/>
      <c r="U1065" s="109"/>
    </row>
    <row r="1066" spans="1:21">
      <c r="A1066" s="109"/>
      <c r="B1066" s="109"/>
      <c r="C1066" s="109"/>
      <c r="D1066" s="109"/>
      <c r="E1066" s="109"/>
      <c r="F1066" s="109"/>
      <c r="G1066" s="109"/>
      <c r="H1066" s="109"/>
      <c r="I1066" s="109"/>
      <c r="J1066" s="109"/>
      <c r="K1066" s="109"/>
      <c r="L1066" s="109"/>
      <c r="M1066" s="109"/>
      <c r="N1066" s="109"/>
      <c r="O1066" s="109"/>
      <c r="P1066" s="109"/>
      <c r="Q1066" s="109"/>
      <c r="R1066" s="109"/>
      <c r="S1066" s="109"/>
      <c r="T1066" s="109"/>
      <c r="U1066" s="109"/>
    </row>
    <row r="1067" spans="1:21">
      <c r="A1067" s="109"/>
      <c r="B1067" s="109"/>
      <c r="C1067" s="109"/>
      <c r="D1067" s="109"/>
      <c r="E1067" s="109"/>
      <c r="F1067" s="109"/>
      <c r="G1067" s="109"/>
      <c r="H1067" s="109"/>
      <c r="I1067" s="109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09"/>
      <c r="U1067" s="109"/>
    </row>
    <row r="1068" spans="1:21">
      <c r="A1068" s="109"/>
      <c r="B1068" s="109"/>
      <c r="C1068" s="109"/>
      <c r="D1068" s="109"/>
      <c r="E1068" s="109"/>
      <c r="F1068" s="109"/>
      <c r="G1068" s="109"/>
      <c r="H1068" s="109"/>
      <c r="I1068" s="109"/>
      <c r="J1068" s="109"/>
      <c r="K1068" s="109"/>
      <c r="L1068" s="109"/>
      <c r="M1068" s="109"/>
      <c r="N1068" s="109"/>
      <c r="O1068" s="109"/>
      <c r="P1068" s="109"/>
      <c r="Q1068" s="109"/>
      <c r="R1068" s="109"/>
      <c r="S1068" s="109"/>
      <c r="T1068" s="109"/>
      <c r="U1068" s="109"/>
    </row>
    <row r="1069" spans="1:21">
      <c r="A1069" s="109"/>
      <c r="B1069" s="109"/>
      <c r="C1069" s="109"/>
      <c r="D1069" s="109"/>
      <c r="E1069" s="109"/>
      <c r="F1069" s="109"/>
      <c r="G1069" s="109"/>
      <c r="H1069" s="109"/>
      <c r="I1069" s="109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09"/>
      <c r="U1069" s="109"/>
    </row>
    <row r="1070" spans="1:21">
      <c r="A1070" s="109"/>
      <c r="B1070" s="109"/>
      <c r="C1070" s="109"/>
      <c r="D1070" s="109"/>
      <c r="E1070" s="109"/>
      <c r="F1070" s="109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09"/>
    </row>
    <row r="1071" spans="1:21">
      <c r="A1071" s="109"/>
      <c r="B1071" s="109"/>
      <c r="C1071" s="109"/>
      <c r="D1071" s="109"/>
      <c r="E1071" s="109"/>
      <c r="F1071" s="109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09"/>
    </row>
    <row r="1072" spans="1:21">
      <c r="A1072" s="109"/>
      <c r="B1072" s="109"/>
      <c r="C1072" s="109"/>
      <c r="D1072" s="109"/>
      <c r="E1072" s="109"/>
      <c r="F1072" s="109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09"/>
    </row>
    <row r="1073" spans="1:21">
      <c r="A1073" s="109"/>
      <c r="B1073" s="109"/>
      <c r="C1073" s="109"/>
      <c r="D1073" s="109"/>
      <c r="E1073" s="109"/>
      <c r="F1073" s="109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09"/>
    </row>
    <row r="1074" spans="1:21">
      <c r="A1074" s="109"/>
      <c r="B1074" s="109"/>
      <c r="C1074" s="109"/>
      <c r="D1074" s="109"/>
      <c r="E1074" s="109"/>
      <c r="F1074" s="109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09"/>
    </row>
    <row r="1075" spans="1:21">
      <c r="A1075" s="109"/>
      <c r="B1075" s="109"/>
      <c r="C1075" s="109"/>
      <c r="D1075" s="109"/>
      <c r="E1075" s="109"/>
      <c r="F1075" s="109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09"/>
    </row>
    <row r="1076" spans="1:21">
      <c r="A1076" s="109"/>
      <c r="B1076" s="109"/>
      <c r="C1076" s="109"/>
      <c r="D1076" s="109"/>
      <c r="E1076" s="109"/>
      <c r="F1076" s="109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09"/>
    </row>
    <row r="1077" spans="1:21">
      <c r="A1077" s="109"/>
      <c r="B1077" s="109"/>
      <c r="C1077" s="109"/>
      <c r="D1077" s="109"/>
      <c r="E1077" s="109"/>
      <c r="F1077" s="109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09"/>
    </row>
    <row r="1078" spans="1:21">
      <c r="A1078" s="109"/>
      <c r="B1078" s="109"/>
      <c r="C1078" s="109"/>
      <c r="D1078" s="109"/>
      <c r="E1078" s="109"/>
      <c r="F1078" s="109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09"/>
    </row>
    <row r="1079" spans="1:21">
      <c r="A1079" s="109"/>
      <c r="B1079" s="109"/>
      <c r="C1079" s="109"/>
      <c r="D1079" s="109"/>
      <c r="E1079" s="109"/>
      <c r="F1079" s="109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09"/>
    </row>
    <row r="1080" spans="1:21">
      <c r="A1080" s="109"/>
      <c r="B1080" s="109"/>
      <c r="C1080" s="109"/>
      <c r="D1080" s="109"/>
      <c r="E1080" s="109"/>
      <c r="F1080" s="109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09"/>
    </row>
    <row r="1081" spans="1:21">
      <c r="A1081" s="109"/>
      <c r="B1081" s="109"/>
      <c r="C1081" s="109"/>
      <c r="D1081" s="109"/>
      <c r="E1081" s="109"/>
      <c r="F1081" s="109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09"/>
    </row>
    <row r="1082" spans="1:21">
      <c r="A1082" s="109"/>
      <c r="B1082" s="109"/>
      <c r="C1082" s="109"/>
      <c r="D1082" s="109"/>
      <c r="E1082" s="109"/>
      <c r="F1082" s="109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09"/>
    </row>
    <row r="1083" spans="1:21">
      <c r="A1083" s="109"/>
      <c r="B1083" s="109"/>
      <c r="C1083" s="109"/>
      <c r="D1083" s="109"/>
      <c r="E1083" s="109"/>
      <c r="F1083" s="109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09"/>
    </row>
    <row r="1084" spans="1:21">
      <c r="A1084" s="109"/>
      <c r="B1084" s="109"/>
      <c r="C1084" s="109"/>
      <c r="D1084" s="109"/>
      <c r="E1084" s="109"/>
      <c r="F1084" s="109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09"/>
    </row>
    <row r="1085" spans="1:21">
      <c r="A1085" s="109"/>
      <c r="B1085" s="109"/>
      <c r="C1085" s="109"/>
      <c r="D1085" s="109"/>
      <c r="E1085" s="109"/>
      <c r="F1085" s="109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09"/>
    </row>
    <row r="1086" spans="1:21">
      <c r="A1086" s="109"/>
      <c r="B1086" s="109"/>
      <c r="C1086" s="109"/>
      <c r="D1086" s="109"/>
      <c r="E1086" s="109"/>
      <c r="F1086" s="109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09"/>
    </row>
    <row r="1087" spans="1:21">
      <c r="A1087" s="109"/>
      <c r="B1087" s="109"/>
      <c r="C1087" s="109"/>
      <c r="D1087" s="109"/>
      <c r="E1087" s="109"/>
      <c r="F1087" s="109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09"/>
    </row>
    <row r="1088" spans="1:21">
      <c r="A1088" s="109"/>
      <c r="B1088" s="109"/>
      <c r="C1088" s="109"/>
      <c r="D1088" s="109"/>
      <c r="E1088" s="109"/>
      <c r="F1088" s="109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09"/>
    </row>
    <row r="1089" spans="1:21">
      <c r="A1089" s="109"/>
      <c r="B1089" s="109"/>
      <c r="C1089" s="109"/>
      <c r="D1089" s="109"/>
      <c r="E1089" s="109"/>
      <c r="F1089" s="109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09"/>
    </row>
    <row r="1090" spans="1:21">
      <c r="A1090" s="109"/>
      <c r="B1090" s="109"/>
      <c r="C1090" s="109"/>
      <c r="D1090" s="109"/>
      <c r="E1090" s="109"/>
      <c r="F1090" s="109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09"/>
    </row>
    <row r="1091" spans="1:21">
      <c r="A1091" s="109"/>
      <c r="B1091" s="109"/>
      <c r="C1091" s="109"/>
      <c r="D1091" s="109"/>
      <c r="E1091" s="109"/>
      <c r="F1091" s="109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09"/>
    </row>
    <row r="1092" spans="1:21">
      <c r="A1092" s="109"/>
      <c r="B1092" s="109"/>
      <c r="C1092" s="109"/>
      <c r="D1092" s="109"/>
      <c r="E1092" s="109"/>
      <c r="F1092" s="109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09"/>
    </row>
    <row r="1093" spans="1:21">
      <c r="A1093" s="109"/>
      <c r="B1093" s="109"/>
      <c r="C1093" s="109"/>
      <c r="D1093" s="109"/>
      <c r="E1093" s="109"/>
      <c r="F1093" s="109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09"/>
    </row>
    <row r="1094" spans="1:21">
      <c r="A1094" s="109"/>
      <c r="B1094" s="109"/>
      <c r="C1094" s="109"/>
      <c r="D1094" s="109"/>
      <c r="E1094" s="109"/>
      <c r="F1094" s="109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09"/>
    </row>
    <row r="1095" spans="1:21">
      <c r="A1095" s="109"/>
      <c r="B1095" s="109"/>
      <c r="C1095" s="109"/>
      <c r="D1095" s="109"/>
      <c r="E1095" s="109"/>
      <c r="F1095" s="109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09"/>
    </row>
    <row r="1096" spans="1:21">
      <c r="A1096" s="109"/>
      <c r="B1096" s="109"/>
      <c r="C1096" s="109"/>
      <c r="D1096" s="109"/>
      <c r="E1096" s="109"/>
      <c r="F1096" s="109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09"/>
    </row>
    <row r="1097" spans="1:21">
      <c r="A1097" s="109"/>
      <c r="B1097" s="109"/>
      <c r="C1097" s="109"/>
      <c r="D1097" s="109"/>
      <c r="E1097" s="109"/>
      <c r="F1097" s="109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09"/>
    </row>
    <row r="1098" spans="1:21">
      <c r="A1098" s="109"/>
      <c r="B1098" s="109"/>
      <c r="C1098" s="109"/>
      <c r="D1098" s="109"/>
      <c r="E1098" s="109"/>
      <c r="F1098" s="109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09"/>
    </row>
    <row r="1099" spans="1:21">
      <c r="A1099" s="109"/>
      <c r="B1099" s="109"/>
      <c r="C1099" s="109"/>
      <c r="D1099" s="109"/>
      <c r="E1099" s="109"/>
      <c r="F1099" s="109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09"/>
    </row>
    <row r="1100" spans="1:21">
      <c r="A1100" s="109"/>
      <c r="B1100" s="109"/>
      <c r="C1100" s="109"/>
      <c r="D1100" s="109"/>
      <c r="E1100" s="109"/>
      <c r="F1100" s="109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09"/>
    </row>
    <row r="1101" spans="1:21">
      <c r="A1101" s="109"/>
      <c r="B1101" s="109"/>
      <c r="C1101" s="109"/>
      <c r="D1101" s="109"/>
      <c r="E1101" s="109"/>
      <c r="F1101" s="109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09"/>
    </row>
    <row r="1102" spans="1:21">
      <c r="A1102" s="109"/>
      <c r="B1102" s="109"/>
      <c r="C1102" s="109"/>
      <c r="D1102" s="109"/>
      <c r="E1102" s="109"/>
      <c r="F1102" s="109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09"/>
    </row>
    <row r="1103" spans="1:21">
      <c r="A1103" s="109"/>
      <c r="B1103" s="109"/>
      <c r="C1103" s="109"/>
      <c r="D1103" s="109"/>
      <c r="E1103" s="109"/>
      <c r="F1103" s="109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09"/>
    </row>
    <row r="1104" spans="1:21">
      <c r="A1104" s="109"/>
      <c r="B1104" s="109"/>
      <c r="C1104" s="109"/>
      <c r="D1104" s="109"/>
      <c r="E1104" s="109"/>
      <c r="F1104" s="109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09"/>
    </row>
    <row r="1105" spans="1:21">
      <c r="A1105" s="109"/>
      <c r="B1105" s="109"/>
      <c r="C1105" s="109"/>
      <c r="D1105" s="109"/>
      <c r="E1105" s="109"/>
      <c r="F1105" s="109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09"/>
    </row>
    <row r="1106" spans="1:21">
      <c r="A1106" s="109"/>
      <c r="B1106" s="109"/>
      <c r="C1106" s="109"/>
      <c r="D1106" s="109"/>
      <c r="E1106" s="109"/>
      <c r="F1106" s="109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09"/>
    </row>
    <row r="1107" spans="1:21">
      <c r="A1107" s="109"/>
      <c r="B1107" s="109"/>
      <c r="C1107" s="109"/>
      <c r="D1107" s="109"/>
      <c r="E1107" s="109"/>
      <c r="F1107" s="109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09"/>
    </row>
    <row r="1108" spans="1:21">
      <c r="A1108" s="109"/>
      <c r="B1108" s="109"/>
      <c r="C1108" s="109"/>
      <c r="D1108" s="109"/>
      <c r="E1108" s="109"/>
      <c r="F1108" s="109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09"/>
    </row>
    <row r="1109" spans="1:21">
      <c r="A1109" s="109"/>
      <c r="B1109" s="109"/>
      <c r="C1109" s="109"/>
      <c r="D1109" s="109"/>
      <c r="E1109" s="109"/>
      <c r="F1109" s="109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09"/>
    </row>
    <row r="1110" spans="1:21">
      <c r="A1110" s="109"/>
      <c r="B1110" s="109"/>
      <c r="C1110" s="109"/>
      <c r="D1110" s="109"/>
      <c r="E1110" s="109"/>
      <c r="F1110" s="109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09"/>
    </row>
    <row r="1111" spans="1:21">
      <c r="A1111" s="109"/>
      <c r="B1111" s="109"/>
      <c r="C1111" s="109"/>
      <c r="D1111" s="109"/>
      <c r="E1111" s="109"/>
      <c r="F1111" s="109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09"/>
    </row>
    <row r="1112" spans="1:21">
      <c r="A1112" s="109"/>
      <c r="B1112" s="109"/>
      <c r="C1112" s="109"/>
      <c r="D1112" s="109"/>
      <c r="E1112" s="109"/>
      <c r="F1112" s="109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09"/>
    </row>
    <row r="1113" spans="1:21">
      <c r="A1113" s="109"/>
      <c r="B1113" s="109"/>
      <c r="C1113" s="109"/>
      <c r="D1113" s="109"/>
      <c r="E1113" s="109"/>
      <c r="F1113" s="109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09"/>
    </row>
    <row r="1114" spans="1:21">
      <c r="A1114" s="109"/>
      <c r="B1114" s="109"/>
      <c r="C1114" s="109"/>
      <c r="D1114" s="109"/>
      <c r="E1114" s="109"/>
      <c r="F1114" s="109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09"/>
    </row>
    <row r="1115" spans="1:21">
      <c r="A1115" s="109"/>
      <c r="B1115" s="109"/>
      <c r="C1115" s="109"/>
      <c r="D1115" s="109"/>
      <c r="E1115" s="109"/>
      <c r="F1115" s="109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09"/>
    </row>
    <row r="1116" spans="1:21">
      <c r="A1116" s="109"/>
      <c r="B1116" s="109"/>
      <c r="C1116" s="109"/>
      <c r="D1116" s="109"/>
      <c r="E1116" s="109"/>
      <c r="F1116" s="109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09"/>
    </row>
    <row r="1117" spans="1:21">
      <c r="A1117" s="109"/>
      <c r="B1117" s="109"/>
      <c r="C1117" s="109"/>
      <c r="D1117" s="109"/>
      <c r="E1117" s="109"/>
      <c r="F1117" s="109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09"/>
    </row>
    <row r="1118" spans="1:21">
      <c r="A1118" s="109"/>
      <c r="B1118" s="109"/>
      <c r="C1118" s="109"/>
      <c r="D1118" s="109"/>
      <c r="E1118" s="109"/>
      <c r="F1118" s="109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09"/>
    </row>
    <row r="1119" spans="1:21">
      <c r="A1119" s="109"/>
      <c r="B1119" s="109"/>
      <c r="C1119" s="109"/>
      <c r="D1119" s="109"/>
      <c r="E1119" s="109"/>
      <c r="F1119" s="109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09"/>
    </row>
    <row r="1120" spans="1:21">
      <c r="A1120" s="109"/>
      <c r="B1120" s="109"/>
      <c r="C1120" s="109"/>
      <c r="D1120" s="109"/>
      <c r="E1120" s="109"/>
      <c r="F1120" s="109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09"/>
    </row>
    <row r="1121" spans="1:21">
      <c r="A1121" s="109"/>
      <c r="B1121" s="109"/>
      <c r="C1121" s="109"/>
      <c r="D1121" s="109"/>
      <c r="E1121" s="109"/>
      <c r="F1121" s="109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09"/>
    </row>
    <row r="1122" spans="1:21">
      <c r="A1122" s="109"/>
      <c r="B1122" s="109"/>
      <c r="C1122" s="109"/>
      <c r="D1122" s="109"/>
      <c r="E1122" s="109"/>
      <c r="F1122" s="109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09"/>
    </row>
    <row r="1123" spans="1:21">
      <c r="A1123" s="109"/>
      <c r="B1123" s="109"/>
      <c r="C1123" s="109"/>
      <c r="D1123" s="109"/>
      <c r="E1123" s="109"/>
      <c r="F1123" s="109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09"/>
    </row>
    <row r="1124" spans="1:21">
      <c r="A1124" s="109"/>
      <c r="B1124" s="109"/>
      <c r="C1124" s="109"/>
      <c r="D1124" s="109"/>
      <c r="E1124" s="109"/>
      <c r="F1124" s="109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09"/>
    </row>
    <row r="1125" spans="1:21">
      <c r="A1125" s="109"/>
      <c r="B1125" s="109"/>
      <c r="C1125" s="109"/>
      <c r="D1125" s="109"/>
      <c r="E1125" s="109"/>
      <c r="F1125" s="109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09"/>
    </row>
    <row r="1126" spans="1:21">
      <c r="A1126" s="109"/>
      <c r="B1126" s="109"/>
      <c r="C1126" s="109"/>
      <c r="D1126" s="109"/>
      <c r="E1126" s="109"/>
      <c r="F1126" s="109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09"/>
    </row>
    <row r="1127" spans="1:21">
      <c r="A1127" s="109"/>
      <c r="B1127" s="109"/>
      <c r="C1127" s="109"/>
      <c r="D1127" s="109"/>
      <c r="E1127" s="109"/>
      <c r="F1127" s="109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09"/>
    </row>
    <row r="1128" spans="1:21">
      <c r="A1128" s="109"/>
      <c r="B1128" s="109"/>
      <c r="C1128" s="109"/>
      <c r="D1128" s="109"/>
      <c r="E1128" s="109"/>
      <c r="F1128" s="109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09"/>
    </row>
    <row r="1129" spans="1:21">
      <c r="A1129" s="109"/>
      <c r="B1129" s="109"/>
      <c r="C1129" s="109"/>
      <c r="D1129" s="109"/>
      <c r="E1129" s="109"/>
      <c r="F1129" s="109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09"/>
    </row>
    <row r="1130" spans="1:21">
      <c r="A1130" s="109"/>
      <c r="B1130" s="109"/>
      <c r="C1130" s="109"/>
      <c r="D1130" s="109"/>
      <c r="E1130" s="109"/>
      <c r="F1130" s="109"/>
      <c r="G1130" s="109"/>
      <c r="H1130" s="109"/>
      <c r="I1130" s="109"/>
      <c r="J1130" s="109"/>
      <c r="K1130" s="109"/>
      <c r="L1130" s="109"/>
      <c r="M1130" s="109"/>
      <c r="N1130" s="109"/>
      <c r="O1130" s="109"/>
      <c r="P1130" s="109"/>
      <c r="Q1130" s="109"/>
      <c r="R1130" s="109"/>
      <c r="S1130" s="109"/>
      <c r="T1130" s="109"/>
      <c r="U1130" s="109"/>
    </row>
    <row r="1131" spans="1:21">
      <c r="A1131" s="109"/>
      <c r="B1131" s="109"/>
      <c r="C1131" s="109"/>
      <c r="D1131" s="109"/>
      <c r="E1131" s="109"/>
      <c r="F1131" s="109"/>
      <c r="G1131" s="109"/>
      <c r="H1131" s="109"/>
      <c r="I1131" s="109"/>
      <c r="J1131" s="109"/>
      <c r="K1131" s="109"/>
      <c r="L1131" s="109"/>
      <c r="M1131" s="109"/>
      <c r="N1131" s="109"/>
      <c r="O1131" s="109"/>
      <c r="P1131" s="109"/>
      <c r="Q1131" s="109"/>
      <c r="R1131" s="109"/>
      <c r="S1131" s="109"/>
      <c r="T1131" s="109"/>
      <c r="U1131" s="109"/>
    </row>
    <row r="1132" spans="1:21">
      <c r="A1132" s="109"/>
      <c r="B1132" s="109"/>
      <c r="C1132" s="109"/>
      <c r="D1132" s="109"/>
      <c r="E1132" s="109"/>
      <c r="F1132" s="109"/>
      <c r="G1132" s="109"/>
      <c r="H1132" s="109"/>
      <c r="I1132" s="109"/>
      <c r="J1132" s="109"/>
      <c r="K1132" s="109"/>
      <c r="L1132" s="109"/>
      <c r="M1132" s="109"/>
      <c r="N1132" s="109"/>
      <c r="O1132" s="109"/>
      <c r="P1132" s="109"/>
      <c r="Q1132" s="109"/>
      <c r="R1132" s="109"/>
      <c r="S1132" s="109"/>
      <c r="T1132" s="109"/>
      <c r="U1132" s="109"/>
    </row>
    <row r="1133" spans="1:21">
      <c r="A1133" s="109"/>
      <c r="B1133" s="109"/>
      <c r="C1133" s="109"/>
      <c r="D1133" s="109"/>
      <c r="E1133" s="109"/>
      <c r="F1133" s="109"/>
      <c r="G1133" s="109"/>
      <c r="H1133" s="109"/>
      <c r="I1133" s="109"/>
      <c r="J1133" s="109"/>
      <c r="K1133" s="109"/>
      <c r="L1133" s="109"/>
      <c r="M1133" s="109"/>
      <c r="N1133" s="109"/>
      <c r="O1133" s="109"/>
      <c r="P1133" s="109"/>
      <c r="Q1133" s="109"/>
      <c r="R1133" s="109"/>
      <c r="S1133" s="109"/>
      <c r="T1133" s="109"/>
      <c r="U1133" s="109"/>
    </row>
    <row r="1134" spans="1:21">
      <c r="A1134" s="109"/>
      <c r="B1134" s="109"/>
      <c r="C1134" s="109"/>
      <c r="D1134" s="109"/>
      <c r="E1134" s="109"/>
      <c r="F1134" s="109"/>
      <c r="G1134" s="109"/>
      <c r="H1134" s="109"/>
      <c r="I1134" s="109"/>
      <c r="J1134" s="109"/>
      <c r="K1134" s="109"/>
      <c r="L1134" s="109"/>
      <c r="M1134" s="109"/>
      <c r="N1134" s="109"/>
      <c r="O1134" s="109"/>
      <c r="P1134" s="109"/>
      <c r="Q1134" s="109"/>
      <c r="R1134" s="109"/>
      <c r="S1134" s="109"/>
      <c r="T1134" s="109"/>
      <c r="U1134" s="109"/>
    </row>
    <row r="1135" spans="1:21">
      <c r="A1135" s="109"/>
      <c r="B1135" s="109"/>
      <c r="C1135" s="109"/>
      <c r="D1135" s="109"/>
      <c r="E1135" s="109"/>
      <c r="F1135" s="109"/>
      <c r="G1135" s="109"/>
      <c r="H1135" s="109"/>
      <c r="I1135" s="109"/>
      <c r="J1135" s="109"/>
      <c r="K1135" s="109"/>
      <c r="L1135" s="109"/>
      <c r="M1135" s="109"/>
      <c r="N1135" s="109"/>
      <c r="O1135" s="109"/>
      <c r="P1135" s="109"/>
      <c r="Q1135" s="109"/>
      <c r="R1135" s="109"/>
      <c r="S1135" s="109"/>
      <c r="T1135" s="109"/>
      <c r="U1135" s="109"/>
    </row>
    <row r="1136" spans="1:21">
      <c r="A1136" s="109"/>
      <c r="B1136" s="109"/>
      <c r="C1136" s="109"/>
      <c r="D1136" s="109"/>
      <c r="E1136" s="109"/>
      <c r="F1136" s="109"/>
      <c r="G1136" s="109"/>
      <c r="H1136" s="109"/>
      <c r="I1136" s="109"/>
      <c r="J1136" s="109"/>
      <c r="K1136" s="109"/>
      <c r="L1136" s="109"/>
      <c r="M1136" s="109"/>
      <c r="N1136" s="109"/>
      <c r="O1136" s="109"/>
      <c r="P1136" s="109"/>
      <c r="Q1136" s="109"/>
      <c r="R1136" s="109"/>
      <c r="S1136" s="109"/>
      <c r="T1136" s="109"/>
      <c r="U1136" s="109"/>
    </row>
    <row r="1137" spans="1:21">
      <c r="A1137" s="109"/>
      <c r="B1137" s="109"/>
      <c r="C1137" s="109"/>
      <c r="D1137" s="109"/>
      <c r="E1137" s="109"/>
      <c r="F1137" s="109"/>
      <c r="G1137" s="109"/>
      <c r="H1137" s="109"/>
      <c r="I1137" s="109"/>
      <c r="J1137" s="109"/>
      <c r="K1137" s="109"/>
      <c r="L1137" s="109"/>
      <c r="M1137" s="109"/>
      <c r="N1137" s="109"/>
      <c r="O1137" s="109"/>
      <c r="P1137" s="109"/>
      <c r="Q1137" s="109"/>
      <c r="R1137" s="109"/>
      <c r="S1137" s="109"/>
      <c r="T1137" s="109"/>
      <c r="U1137" s="109"/>
    </row>
    <row r="1138" spans="1:21">
      <c r="A1138" s="109"/>
      <c r="B1138" s="109"/>
      <c r="C1138" s="109"/>
      <c r="D1138" s="109"/>
      <c r="E1138" s="109"/>
      <c r="F1138" s="109"/>
      <c r="G1138" s="109"/>
      <c r="H1138" s="109"/>
      <c r="I1138" s="109"/>
      <c r="J1138" s="109"/>
      <c r="K1138" s="109"/>
      <c r="L1138" s="109"/>
      <c r="M1138" s="109"/>
      <c r="N1138" s="109"/>
      <c r="O1138" s="109"/>
      <c r="P1138" s="109"/>
      <c r="Q1138" s="109"/>
      <c r="R1138" s="109"/>
      <c r="S1138" s="109"/>
      <c r="T1138" s="109"/>
      <c r="U1138" s="109"/>
    </row>
    <row r="1139" spans="1:21">
      <c r="A1139" s="109"/>
      <c r="B1139" s="109"/>
      <c r="C1139" s="109"/>
      <c r="D1139" s="109"/>
      <c r="E1139" s="109"/>
      <c r="F1139" s="109"/>
      <c r="G1139" s="109"/>
      <c r="H1139" s="109"/>
      <c r="I1139" s="109"/>
      <c r="J1139" s="109"/>
      <c r="K1139" s="109"/>
      <c r="L1139" s="109"/>
      <c r="M1139" s="109"/>
      <c r="N1139" s="109"/>
      <c r="O1139" s="109"/>
      <c r="P1139" s="109"/>
      <c r="Q1139" s="109"/>
      <c r="R1139" s="109"/>
      <c r="S1139" s="109"/>
      <c r="T1139" s="109"/>
      <c r="U1139" s="109"/>
    </row>
    <row r="1140" spans="1:21">
      <c r="A1140" s="109"/>
      <c r="B1140" s="109"/>
      <c r="C1140" s="109"/>
      <c r="D1140" s="109"/>
      <c r="E1140" s="109"/>
      <c r="F1140" s="109"/>
      <c r="G1140" s="109"/>
      <c r="H1140" s="109"/>
      <c r="I1140" s="109"/>
      <c r="J1140" s="109"/>
      <c r="K1140" s="109"/>
      <c r="L1140" s="109"/>
      <c r="M1140" s="109"/>
      <c r="N1140" s="109"/>
      <c r="O1140" s="109"/>
      <c r="P1140" s="109"/>
      <c r="Q1140" s="109"/>
      <c r="R1140" s="109"/>
      <c r="S1140" s="109"/>
      <c r="T1140" s="109"/>
      <c r="U1140" s="109"/>
    </row>
    <row r="1141" spans="1:21">
      <c r="A1141" s="109"/>
      <c r="B1141" s="109"/>
      <c r="C1141" s="109"/>
      <c r="D1141" s="109"/>
      <c r="E1141" s="109"/>
      <c r="F1141" s="109"/>
      <c r="G1141" s="109"/>
      <c r="H1141" s="109"/>
      <c r="I1141" s="109"/>
      <c r="J1141" s="109"/>
      <c r="K1141" s="109"/>
      <c r="L1141" s="109"/>
      <c r="M1141" s="109"/>
      <c r="N1141" s="109"/>
      <c r="O1141" s="109"/>
      <c r="P1141" s="109"/>
      <c r="Q1141" s="109"/>
      <c r="R1141" s="109"/>
      <c r="S1141" s="109"/>
      <c r="T1141" s="109"/>
      <c r="U1141" s="109"/>
    </row>
    <row r="1142" spans="1:21">
      <c r="A1142" s="109"/>
      <c r="B1142" s="109"/>
      <c r="C1142" s="109"/>
      <c r="D1142" s="109"/>
      <c r="E1142" s="109"/>
      <c r="F1142" s="109"/>
      <c r="G1142" s="109"/>
      <c r="H1142" s="109"/>
      <c r="I1142" s="109"/>
      <c r="J1142" s="109"/>
      <c r="K1142" s="109"/>
      <c r="L1142" s="109"/>
      <c r="M1142" s="109"/>
      <c r="N1142" s="109"/>
      <c r="O1142" s="109"/>
      <c r="P1142" s="109"/>
      <c r="Q1142" s="109"/>
      <c r="R1142" s="109"/>
      <c r="S1142" s="109"/>
      <c r="T1142" s="109"/>
      <c r="U1142" s="109"/>
    </row>
    <row r="1143" spans="1:21">
      <c r="A1143" s="109"/>
      <c r="B1143" s="109"/>
      <c r="C1143" s="109"/>
      <c r="D1143" s="109"/>
      <c r="E1143" s="109"/>
      <c r="F1143" s="109"/>
      <c r="G1143" s="109"/>
      <c r="H1143" s="109"/>
      <c r="I1143" s="109"/>
      <c r="J1143" s="109"/>
      <c r="K1143" s="109"/>
      <c r="L1143" s="109"/>
      <c r="M1143" s="109"/>
      <c r="N1143" s="109"/>
      <c r="O1143" s="109"/>
      <c r="P1143" s="109"/>
      <c r="Q1143" s="109"/>
      <c r="R1143" s="109"/>
      <c r="S1143" s="109"/>
      <c r="T1143" s="109"/>
      <c r="U1143" s="109"/>
    </row>
    <row r="1144" spans="1:21">
      <c r="A1144" s="109"/>
      <c r="B1144" s="109"/>
      <c r="C1144" s="109"/>
      <c r="D1144" s="109"/>
      <c r="E1144" s="109"/>
      <c r="F1144" s="109"/>
      <c r="G1144" s="109"/>
      <c r="H1144" s="109"/>
      <c r="I1144" s="109"/>
      <c r="J1144" s="109"/>
      <c r="K1144" s="109"/>
      <c r="L1144" s="109"/>
      <c r="M1144" s="109"/>
      <c r="N1144" s="109"/>
      <c r="O1144" s="109"/>
      <c r="P1144" s="109"/>
      <c r="Q1144" s="109"/>
      <c r="R1144" s="109"/>
      <c r="S1144" s="109"/>
      <c r="T1144" s="109"/>
      <c r="U1144" s="109"/>
    </row>
    <row r="1145" spans="1:21">
      <c r="A1145" s="109"/>
      <c r="B1145" s="109"/>
      <c r="C1145" s="109"/>
      <c r="D1145" s="109"/>
      <c r="E1145" s="109"/>
      <c r="F1145" s="109"/>
      <c r="G1145" s="109"/>
      <c r="H1145" s="109"/>
      <c r="I1145" s="109"/>
      <c r="J1145" s="109"/>
      <c r="K1145" s="109"/>
      <c r="L1145" s="109"/>
      <c r="M1145" s="109"/>
      <c r="N1145" s="109"/>
      <c r="O1145" s="109"/>
      <c r="P1145" s="109"/>
      <c r="Q1145" s="109"/>
      <c r="R1145" s="109"/>
      <c r="S1145" s="109"/>
      <c r="T1145" s="109"/>
      <c r="U1145" s="109"/>
    </row>
    <row r="1146" spans="1:21">
      <c r="A1146" s="109"/>
      <c r="B1146" s="109"/>
      <c r="C1146" s="109"/>
      <c r="D1146" s="109"/>
      <c r="E1146" s="109"/>
      <c r="F1146" s="109"/>
      <c r="G1146" s="109"/>
      <c r="H1146" s="109"/>
      <c r="I1146" s="109"/>
      <c r="J1146" s="109"/>
      <c r="K1146" s="109"/>
      <c r="L1146" s="109"/>
      <c r="M1146" s="109"/>
      <c r="N1146" s="109"/>
      <c r="O1146" s="109"/>
      <c r="P1146" s="109"/>
      <c r="Q1146" s="109"/>
      <c r="R1146" s="109"/>
      <c r="S1146" s="109"/>
      <c r="T1146" s="109"/>
      <c r="U1146" s="109"/>
    </row>
    <row r="1147" spans="1:21">
      <c r="A1147" s="109"/>
      <c r="B1147" s="109"/>
      <c r="C1147" s="109"/>
      <c r="D1147" s="109"/>
      <c r="E1147" s="109"/>
      <c r="F1147" s="109"/>
      <c r="G1147" s="109"/>
      <c r="H1147" s="109"/>
      <c r="I1147" s="109"/>
      <c r="J1147" s="109"/>
      <c r="K1147" s="109"/>
      <c r="L1147" s="109"/>
      <c r="M1147" s="109"/>
      <c r="N1147" s="109"/>
      <c r="O1147" s="109"/>
      <c r="P1147" s="109"/>
      <c r="Q1147" s="109"/>
      <c r="R1147" s="109"/>
      <c r="S1147" s="109"/>
      <c r="T1147" s="109"/>
      <c r="U1147" s="109"/>
    </row>
    <row r="1148" spans="1:21">
      <c r="A1148" s="109"/>
      <c r="B1148" s="109"/>
      <c r="C1148" s="109"/>
      <c r="D1148" s="109"/>
      <c r="E1148" s="109"/>
      <c r="F1148" s="109"/>
      <c r="G1148" s="109"/>
      <c r="H1148" s="109"/>
      <c r="I1148" s="109"/>
      <c r="J1148" s="109"/>
      <c r="K1148" s="109"/>
      <c r="L1148" s="109"/>
      <c r="M1148" s="109"/>
      <c r="N1148" s="109"/>
      <c r="O1148" s="109"/>
      <c r="P1148" s="109"/>
      <c r="Q1148" s="109"/>
      <c r="R1148" s="109"/>
      <c r="S1148" s="109"/>
      <c r="T1148" s="109"/>
      <c r="U1148" s="109"/>
    </row>
    <row r="1149" spans="1:21">
      <c r="A1149" s="109"/>
      <c r="B1149" s="109"/>
      <c r="C1149" s="109"/>
      <c r="D1149" s="109"/>
      <c r="E1149" s="109"/>
      <c r="F1149" s="109"/>
      <c r="G1149" s="109"/>
      <c r="H1149" s="109"/>
      <c r="I1149" s="109"/>
      <c r="J1149" s="109"/>
      <c r="K1149" s="109"/>
      <c r="L1149" s="109"/>
      <c r="M1149" s="109"/>
      <c r="N1149" s="109"/>
      <c r="O1149" s="109"/>
      <c r="P1149" s="109"/>
      <c r="Q1149" s="109"/>
      <c r="R1149" s="109"/>
      <c r="S1149" s="109"/>
      <c r="T1149" s="109"/>
      <c r="U1149" s="109"/>
    </row>
    <row r="1150" spans="1:21">
      <c r="A1150" s="109"/>
      <c r="B1150" s="109"/>
      <c r="C1150" s="109"/>
      <c r="D1150" s="109"/>
      <c r="E1150" s="109"/>
      <c r="F1150" s="109"/>
      <c r="G1150" s="109"/>
      <c r="H1150" s="109"/>
      <c r="I1150" s="109"/>
      <c r="J1150" s="109"/>
      <c r="K1150" s="109"/>
      <c r="L1150" s="109"/>
      <c r="M1150" s="109"/>
      <c r="N1150" s="109"/>
      <c r="O1150" s="109"/>
      <c r="P1150" s="109"/>
      <c r="Q1150" s="109"/>
      <c r="R1150" s="109"/>
      <c r="S1150" s="109"/>
      <c r="T1150" s="109"/>
      <c r="U1150" s="109"/>
    </row>
    <row r="1151" spans="1:21">
      <c r="A1151" s="109"/>
      <c r="B1151" s="109"/>
      <c r="C1151" s="109"/>
      <c r="D1151" s="109"/>
      <c r="E1151" s="109"/>
      <c r="F1151" s="109"/>
      <c r="G1151" s="109"/>
      <c r="H1151" s="109"/>
      <c r="I1151" s="109"/>
      <c r="J1151" s="109"/>
      <c r="K1151" s="109"/>
      <c r="L1151" s="109"/>
      <c r="M1151" s="109"/>
      <c r="N1151" s="109"/>
      <c r="O1151" s="109"/>
      <c r="P1151" s="109"/>
      <c r="Q1151" s="109"/>
      <c r="R1151" s="109"/>
      <c r="S1151" s="109"/>
      <c r="T1151" s="109"/>
      <c r="U1151" s="109"/>
    </row>
    <row r="1152" spans="1:21">
      <c r="A1152" s="109"/>
      <c r="B1152" s="109"/>
      <c r="C1152" s="109"/>
      <c r="D1152" s="109"/>
      <c r="E1152" s="109"/>
      <c r="F1152" s="109"/>
      <c r="G1152" s="109"/>
      <c r="H1152" s="109"/>
      <c r="I1152" s="109"/>
      <c r="J1152" s="109"/>
      <c r="K1152" s="109"/>
      <c r="L1152" s="109"/>
      <c r="M1152" s="109"/>
      <c r="N1152" s="109"/>
      <c r="O1152" s="109"/>
      <c r="P1152" s="109"/>
      <c r="Q1152" s="109"/>
      <c r="R1152" s="109"/>
      <c r="S1152" s="109"/>
      <c r="T1152" s="109"/>
      <c r="U1152" s="109"/>
    </row>
    <row r="1153" spans="1:21">
      <c r="A1153" s="109"/>
      <c r="B1153" s="109"/>
      <c r="C1153" s="109"/>
      <c r="D1153" s="109"/>
      <c r="E1153" s="109"/>
      <c r="F1153" s="109"/>
      <c r="G1153" s="109"/>
      <c r="H1153" s="109"/>
      <c r="I1153" s="109"/>
      <c r="J1153" s="109"/>
      <c r="K1153" s="109"/>
      <c r="L1153" s="109"/>
      <c r="M1153" s="109"/>
      <c r="N1153" s="109"/>
      <c r="O1153" s="109"/>
      <c r="P1153" s="109"/>
      <c r="Q1153" s="109"/>
      <c r="R1153" s="109"/>
      <c r="S1153" s="109"/>
      <c r="T1153" s="109"/>
      <c r="U1153" s="109"/>
    </row>
    <row r="1154" spans="1:21">
      <c r="A1154" s="109"/>
      <c r="B1154" s="109"/>
      <c r="C1154" s="109"/>
      <c r="D1154" s="109"/>
      <c r="E1154" s="109"/>
      <c r="F1154" s="109"/>
      <c r="G1154" s="109"/>
      <c r="H1154" s="109"/>
      <c r="I1154" s="109"/>
      <c r="J1154" s="109"/>
      <c r="K1154" s="109"/>
      <c r="L1154" s="109"/>
      <c r="M1154" s="109"/>
      <c r="N1154" s="109"/>
      <c r="O1154" s="109"/>
      <c r="P1154" s="109"/>
      <c r="Q1154" s="109"/>
      <c r="R1154" s="109"/>
      <c r="S1154" s="109"/>
      <c r="T1154" s="109"/>
      <c r="U1154" s="109"/>
    </row>
    <row r="1155" spans="1:21">
      <c r="A1155" s="109"/>
      <c r="B1155" s="109"/>
      <c r="C1155" s="109"/>
      <c r="D1155" s="109"/>
      <c r="E1155" s="109"/>
      <c r="F1155" s="109"/>
      <c r="G1155" s="109"/>
      <c r="H1155" s="109"/>
      <c r="I1155" s="109"/>
      <c r="J1155" s="109"/>
      <c r="K1155" s="109"/>
      <c r="L1155" s="109"/>
      <c r="M1155" s="109"/>
      <c r="N1155" s="109"/>
      <c r="O1155" s="109"/>
      <c r="P1155" s="109"/>
      <c r="Q1155" s="109"/>
      <c r="R1155" s="109"/>
      <c r="S1155" s="109"/>
      <c r="T1155" s="109"/>
      <c r="U1155" s="109"/>
    </row>
    <row r="1156" spans="1:21">
      <c r="A1156" s="109"/>
      <c r="B1156" s="109"/>
      <c r="C1156" s="109"/>
      <c r="D1156" s="109"/>
      <c r="E1156" s="109"/>
      <c r="F1156" s="109"/>
      <c r="G1156" s="109"/>
      <c r="H1156" s="109"/>
      <c r="I1156" s="109"/>
      <c r="J1156" s="109"/>
      <c r="K1156" s="109"/>
      <c r="L1156" s="109"/>
      <c r="M1156" s="109"/>
      <c r="N1156" s="109"/>
      <c r="O1156" s="109"/>
      <c r="P1156" s="109"/>
      <c r="Q1156" s="109"/>
      <c r="R1156" s="109"/>
      <c r="S1156" s="109"/>
      <c r="T1156" s="109"/>
      <c r="U1156" s="109"/>
    </row>
    <row r="1157" spans="1:21">
      <c r="A1157" s="109"/>
      <c r="B1157" s="109"/>
      <c r="C1157" s="109"/>
      <c r="D1157" s="109"/>
      <c r="E1157" s="109"/>
      <c r="F1157" s="109"/>
      <c r="G1157" s="109"/>
      <c r="H1157" s="109"/>
      <c r="I1157" s="109"/>
      <c r="J1157" s="109"/>
      <c r="K1157" s="109"/>
      <c r="L1157" s="109"/>
      <c r="M1157" s="109"/>
      <c r="N1157" s="109"/>
      <c r="O1157" s="109"/>
      <c r="P1157" s="109"/>
      <c r="Q1157" s="109"/>
      <c r="R1157" s="109"/>
      <c r="S1157" s="109"/>
      <c r="T1157" s="109"/>
      <c r="U1157" s="109"/>
    </row>
    <row r="1158" spans="1:21">
      <c r="A1158" s="109"/>
      <c r="B1158" s="109"/>
      <c r="C1158" s="109"/>
      <c r="D1158" s="109"/>
      <c r="E1158" s="109"/>
      <c r="F1158" s="109"/>
      <c r="G1158" s="109"/>
      <c r="H1158" s="109"/>
      <c r="I1158" s="109"/>
      <c r="J1158" s="109"/>
      <c r="K1158" s="109"/>
      <c r="L1158" s="109"/>
      <c r="M1158" s="109"/>
      <c r="N1158" s="109"/>
      <c r="O1158" s="109"/>
      <c r="P1158" s="109"/>
      <c r="Q1158" s="109"/>
      <c r="R1158" s="109"/>
      <c r="S1158" s="109"/>
      <c r="T1158" s="109"/>
      <c r="U1158" s="109"/>
    </row>
    <row r="1159" spans="1:21">
      <c r="A1159" s="109"/>
      <c r="B1159" s="109"/>
      <c r="C1159" s="109"/>
      <c r="D1159" s="109"/>
      <c r="E1159" s="109"/>
      <c r="F1159" s="109"/>
      <c r="G1159" s="109"/>
      <c r="H1159" s="109"/>
      <c r="I1159" s="109"/>
      <c r="J1159" s="109"/>
      <c r="K1159" s="109"/>
      <c r="L1159" s="109"/>
      <c r="M1159" s="109"/>
      <c r="N1159" s="109"/>
      <c r="O1159" s="109"/>
      <c r="P1159" s="109"/>
      <c r="Q1159" s="109"/>
      <c r="R1159" s="109"/>
      <c r="S1159" s="109"/>
      <c r="T1159" s="109"/>
      <c r="U1159" s="109"/>
    </row>
    <row r="1160" spans="1:21">
      <c r="A1160" s="109"/>
      <c r="B1160" s="109"/>
      <c r="C1160" s="109"/>
      <c r="D1160" s="109"/>
      <c r="E1160" s="109"/>
      <c r="F1160" s="109"/>
      <c r="G1160" s="109"/>
      <c r="H1160" s="109"/>
      <c r="I1160" s="109"/>
      <c r="J1160" s="109"/>
      <c r="K1160" s="109"/>
      <c r="L1160" s="109"/>
      <c r="M1160" s="109"/>
      <c r="N1160" s="109"/>
      <c r="O1160" s="109"/>
      <c r="P1160" s="109"/>
      <c r="Q1160" s="109"/>
      <c r="R1160" s="109"/>
      <c r="S1160" s="109"/>
      <c r="T1160" s="109"/>
      <c r="U1160" s="109"/>
    </row>
    <row r="1161" spans="1:21">
      <c r="A1161" s="109"/>
      <c r="B1161" s="109"/>
      <c r="C1161" s="109"/>
      <c r="D1161" s="109"/>
      <c r="E1161" s="109"/>
      <c r="F1161" s="109"/>
      <c r="G1161" s="109"/>
      <c r="H1161" s="109"/>
      <c r="I1161" s="109"/>
      <c r="J1161" s="109"/>
      <c r="K1161" s="109"/>
      <c r="L1161" s="109"/>
      <c r="M1161" s="109"/>
      <c r="N1161" s="109"/>
      <c r="O1161" s="109"/>
      <c r="P1161" s="109"/>
      <c r="Q1161" s="109"/>
      <c r="R1161" s="109"/>
      <c r="S1161" s="109"/>
      <c r="T1161" s="109"/>
      <c r="U1161" s="109"/>
    </row>
    <row r="1162" spans="1:21">
      <c r="A1162" s="109"/>
      <c r="B1162" s="109"/>
      <c r="C1162" s="109"/>
      <c r="D1162" s="109"/>
      <c r="E1162" s="109"/>
      <c r="F1162" s="109"/>
      <c r="G1162" s="109"/>
      <c r="H1162" s="109"/>
      <c r="I1162" s="109"/>
      <c r="J1162" s="109"/>
      <c r="K1162" s="109"/>
      <c r="L1162" s="109"/>
      <c r="M1162" s="109"/>
      <c r="N1162" s="109"/>
      <c r="O1162" s="109"/>
      <c r="P1162" s="109"/>
      <c r="Q1162" s="109"/>
      <c r="R1162" s="109"/>
      <c r="S1162" s="109"/>
      <c r="T1162" s="109"/>
      <c r="U1162" s="109"/>
    </row>
    <row r="1163" spans="1:21">
      <c r="A1163" s="109"/>
      <c r="B1163" s="109"/>
      <c r="C1163" s="109"/>
      <c r="D1163" s="109"/>
      <c r="E1163" s="109"/>
      <c r="F1163" s="109"/>
      <c r="G1163" s="109"/>
      <c r="H1163" s="109"/>
      <c r="I1163" s="109"/>
      <c r="J1163" s="109"/>
      <c r="K1163" s="109"/>
      <c r="L1163" s="109"/>
      <c r="M1163" s="109"/>
      <c r="N1163" s="109"/>
      <c r="O1163" s="109"/>
      <c r="P1163" s="109"/>
      <c r="Q1163" s="109"/>
      <c r="R1163" s="109"/>
      <c r="S1163" s="109"/>
      <c r="T1163" s="109"/>
      <c r="U1163" s="109"/>
    </row>
    <row r="1164" spans="1:21">
      <c r="A1164" s="109"/>
      <c r="B1164" s="109"/>
      <c r="C1164" s="109"/>
      <c r="D1164" s="109"/>
      <c r="E1164" s="109"/>
      <c r="F1164" s="109"/>
      <c r="G1164" s="109"/>
      <c r="H1164" s="109"/>
      <c r="I1164" s="109"/>
      <c r="J1164" s="109"/>
      <c r="K1164" s="109"/>
      <c r="L1164" s="109"/>
      <c r="M1164" s="109"/>
      <c r="N1164" s="109"/>
      <c r="O1164" s="109"/>
      <c r="P1164" s="109"/>
      <c r="Q1164" s="109"/>
      <c r="R1164" s="109"/>
      <c r="S1164" s="109"/>
      <c r="T1164" s="109"/>
      <c r="U1164" s="109"/>
    </row>
    <row r="1165" spans="1:21">
      <c r="A1165" s="109"/>
      <c r="B1165" s="109"/>
      <c r="C1165" s="109"/>
      <c r="D1165" s="109"/>
      <c r="E1165" s="109"/>
      <c r="F1165" s="109"/>
      <c r="G1165" s="109"/>
      <c r="H1165" s="109"/>
      <c r="I1165" s="109"/>
      <c r="J1165" s="109"/>
      <c r="K1165" s="109"/>
      <c r="L1165" s="109"/>
      <c r="M1165" s="109"/>
      <c r="N1165" s="109"/>
      <c r="O1165" s="109"/>
      <c r="P1165" s="109"/>
      <c r="Q1165" s="109"/>
      <c r="R1165" s="109"/>
      <c r="S1165" s="109"/>
      <c r="T1165" s="109"/>
      <c r="U1165" s="109"/>
    </row>
    <row r="1166" spans="1:21">
      <c r="A1166" s="109"/>
      <c r="B1166" s="109"/>
      <c r="C1166" s="109"/>
      <c r="D1166" s="109"/>
      <c r="E1166" s="109"/>
      <c r="F1166" s="109"/>
      <c r="G1166" s="109"/>
      <c r="H1166" s="109"/>
      <c r="I1166" s="109"/>
      <c r="J1166" s="109"/>
      <c r="K1166" s="109"/>
      <c r="L1166" s="109"/>
      <c r="M1166" s="109"/>
      <c r="N1166" s="109"/>
      <c r="O1166" s="109"/>
      <c r="P1166" s="109"/>
      <c r="Q1166" s="109"/>
      <c r="R1166" s="109"/>
      <c r="S1166" s="109"/>
      <c r="T1166" s="109"/>
      <c r="U1166" s="109"/>
    </row>
    <row r="1167" spans="1:21">
      <c r="A1167" s="109"/>
      <c r="B1167" s="109"/>
      <c r="C1167" s="109"/>
      <c r="D1167" s="109"/>
      <c r="E1167" s="109"/>
      <c r="F1167" s="109"/>
      <c r="G1167" s="109"/>
      <c r="H1167" s="109"/>
      <c r="I1167" s="109"/>
      <c r="J1167" s="109"/>
      <c r="K1167" s="109"/>
      <c r="L1167" s="109"/>
      <c r="M1167" s="109"/>
      <c r="N1167" s="109"/>
      <c r="O1167" s="109"/>
      <c r="P1167" s="109"/>
      <c r="Q1167" s="109"/>
      <c r="R1167" s="109"/>
      <c r="S1167" s="109"/>
      <c r="T1167" s="109"/>
      <c r="U1167" s="109"/>
    </row>
    <row r="1168" spans="1:21">
      <c r="A1168" s="109"/>
      <c r="B1168" s="109"/>
      <c r="C1168" s="109"/>
      <c r="D1168" s="109"/>
      <c r="E1168" s="109"/>
      <c r="F1168" s="109"/>
      <c r="G1168" s="109"/>
      <c r="H1168" s="109"/>
      <c r="I1168" s="109"/>
      <c r="J1168" s="109"/>
      <c r="K1168" s="109"/>
      <c r="L1168" s="109"/>
      <c r="M1168" s="109"/>
      <c r="N1168" s="109"/>
      <c r="O1168" s="109"/>
      <c r="P1168" s="109"/>
      <c r="Q1168" s="109"/>
      <c r="R1168" s="109"/>
      <c r="S1168" s="109"/>
      <c r="T1168" s="109"/>
      <c r="U1168" s="109"/>
    </row>
    <row r="1169" spans="1:21">
      <c r="A1169" s="109"/>
      <c r="B1169" s="109"/>
      <c r="C1169" s="109"/>
      <c r="D1169" s="109"/>
      <c r="E1169" s="109"/>
      <c r="F1169" s="109"/>
      <c r="G1169" s="109"/>
      <c r="H1169" s="109"/>
      <c r="I1169" s="109"/>
      <c r="J1169" s="109"/>
      <c r="K1169" s="109"/>
      <c r="L1169" s="109"/>
      <c r="M1169" s="109"/>
      <c r="N1169" s="109"/>
      <c r="O1169" s="109"/>
      <c r="P1169" s="109"/>
      <c r="Q1169" s="109"/>
      <c r="R1169" s="109"/>
      <c r="S1169" s="109"/>
      <c r="T1169" s="109"/>
      <c r="U1169" s="109"/>
    </row>
    <row r="1170" spans="1:21">
      <c r="A1170" s="109"/>
      <c r="B1170" s="109"/>
      <c r="C1170" s="109"/>
      <c r="D1170" s="109"/>
      <c r="E1170" s="109"/>
      <c r="F1170" s="109"/>
      <c r="G1170" s="109"/>
      <c r="H1170" s="109"/>
      <c r="I1170" s="109"/>
      <c r="J1170" s="109"/>
      <c r="K1170" s="109"/>
      <c r="L1170" s="109"/>
      <c r="M1170" s="109"/>
      <c r="N1170" s="109"/>
      <c r="O1170" s="109"/>
      <c r="P1170" s="109"/>
      <c r="Q1170" s="109"/>
      <c r="R1170" s="109"/>
      <c r="S1170" s="109"/>
      <c r="T1170" s="109"/>
      <c r="U1170" s="109"/>
    </row>
    <row r="1171" spans="1:21">
      <c r="A1171" s="109"/>
      <c r="B1171" s="109"/>
      <c r="C1171" s="109"/>
      <c r="D1171" s="109"/>
      <c r="E1171" s="109"/>
      <c r="F1171" s="109"/>
      <c r="G1171" s="109"/>
      <c r="H1171" s="109"/>
      <c r="I1171" s="109"/>
      <c r="J1171" s="109"/>
      <c r="K1171" s="109"/>
      <c r="L1171" s="109"/>
      <c r="M1171" s="109"/>
      <c r="N1171" s="109"/>
      <c r="O1171" s="109"/>
      <c r="P1171" s="109"/>
      <c r="Q1171" s="109"/>
      <c r="R1171" s="109"/>
      <c r="S1171" s="109"/>
      <c r="T1171" s="109"/>
      <c r="U1171" s="109"/>
    </row>
    <row r="1172" spans="1:21">
      <c r="A1172" s="109"/>
      <c r="B1172" s="109"/>
      <c r="C1172" s="109"/>
      <c r="D1172" s="109"/>
      <c r="E1172" s="109"/>
      <c r="F1172" s="109"/>
      <c r="G1172" s="109"/>
      <c r="H1172" s="109"/>
      <c r="I1172" s="109"/>
      <c r="J1172" s="109"/>
      <c r="K1172" s="109"/>
      <c r="L1172" s="109"/>
      <c r="M1172" s="109"/>
      <c r="N1172" s="109"/>
      <c r="O1172" s="109"/>
      <c r="P1172" s="109"/>
      <c r="Q1172" s="109"/>
      <c r="R1172" s="109"/>
      <c r="S1172" s="109"/>
      <c r="T1172" s="109"/>
      <c r="U1172" s="109"/>
    </row>
    <row r="1173" spans="1:21">
      <c r="A1173" s="109"/>
      <c r="B1173" s="109"/>
      <c r="C1173" s="109"/>
      <c r="D1173" s="109"/>
      <c r="E1173" s="109"/>
      <c r="F1173" s="109"/>
      <c r="G1173" s="109"/>
      <c r="H1173" s="109"/>
      <c r="I1173" s="109"/>
      <c r="J1173" s="109"/>
      <c r="K1173" s="109"/>
      <c r="L1173" s="109"/>
      <c r="M1173" s="109"/>
      <c r="N1173" s="109"/>
      <c r="O1173" s="109"/>
      <c r="P1173" s="109"/>
      <c r="Q1173" s="109"/>
      <c r="R1173" s="109"/>
      <c r="S1173" s="109"/>
      <c r="T1173" s="109"/>
      <c r="U1173" s="109"/>
    </row>
    <row r="1174" spans="1:21">
      <c r="A1174" s="109"/>
      <c r="B1174" s="109"/>
      <c r="C1174" s="109"/>
      <c r="D1174" s="109"/>
      <c r="E1174" s="109"/>
      <c r="F1174" s="109"/>
      <c r="G1174" s="109"/>
      <c r="H1174" s="109"/>
      <c r="I1174" s="109"/>
      <c r="J1174" s="109"/>
      <c r="K1174" s="109"/>
      <c r="L1174" s="109"/>
      <c r="M1174" s="109"/>
      <c r="N1174" s="109"/>
      <c r="O1174" s="109"/>
      <c r="P1174" s="109"/>
      <c r="Q1174" s="109"/>
      <c r="R1174" s="109"/>
      <c r="S1174" s="109"/>
      <c r="T1174" s="109"/>
      <c r="U1174" s="109"/>
    </row>
    <row r="1175" spans="1:21">
      <c r="A1175" s="109"/>
      <c r="B1175" s="109"/>
      <c r="C1175" s="109"/>
      <c r="D1175" s="109"/>
      <c r="E1175" s="109"/>
      <c r="F1175" s="109"/>
      <c r="G1175" s="109"/>
      <c r="H1175" s="109"/>
      <c r="I1175" s="109"/>
      <c r="J1175" s="109"/>
      <c r="K1175" s="109"/>
      <c r="L1175" s="109"/>
      <c r="M1175" s="109"/>
      <c r="N1175" s="109"/>
      <c r="O1175" s="109"/>
      <c r="P1175" s="109"/>
      <c r="Q1175" s="109"/>
      <c r="R1175" s="109"/>
      <c r="S1175" s="109"/>
      <c r="T1175" s="109"/>
      <c r="U1175" s="109"/>
    </row>
    <row r="1176" spans="1:21">
      <c r="A1176" s="109"/>
      <c r="B1176" s="109"/>
      <c r="C1176" s="109"/>
      <c r="D1176" s="109"/>
      <c r="E1176" s="109"/>
      <c r="F1176" s="109"/>
      <c r="G1176" s="109"/>
      <c r="H1176" s="109"/>
      <c r="I1176" s="109"/>
      <c r="J1176" s="109"/>
      <c r="K1176" s="109"/>
      <c r="L1176" s="109"/>
      <c r="M1176" s="109"/>
      <c r="N1176" s="109"/>
      <c r="O1176" s="109"/>
      <c r="P1176" s="109"/>
      <c r="Q1176" s="109"/>
      <c r="R1176" s="109"/>
      <c r="S1176" s="109"/>
      <c r="T1176" s="109"/>
      <c r="U1176" s="109"/>
    </row>
    <row r="1177" spans="1:21">
      <c r="A1177" s="109"/>
      <c r="B1177" s="109"/>
      <c r="C1177" s="109"/>
      <c r="D1177" s="109"/>
      <c r="E1177" s="109"/>
      <c r="F1177" s="109"/>
      <c r="G1177" s="109"/>
      <c r="H1177" s="109"/>
      <c r="I1177" s="109"/>
      <c r="J1177" s="109"/>
      <c r="K1177" s="109"/>
      <c r="L1177" s="109"/>
      <c r="M1177" s="109"/>
      <c r="N1177" s="109"/>
      <c r="O1177" s="109"/>
      <c r="P1177" s="109"/>
      <c r="Q1177" s="109"/>
      <c r="R1177" s="109"/>
      <c r="S1177" s="109"/>
      <c r="T1177" s="109"/>
      <c r="U1177" s="109"/>
    </row>
    <row r="1178" spans="1:21">
      <c r="A1178" s="109"/>
      <c r="B1178" s="109"/>
      <c r="C1178" s="109"/>
      <c r="D1178" s="109"/>
      <c r="E1178" s="109"/>
      <c r="F1178" s="109"/>
      <c r="G1178" s="109"/>
      <c r="H1178" s="109"/>
      <c r="I1178" s="109"/>
      <c r="J1178" s="109"/>
      <c r="K1178" s="109"/>
      <c r="L1178" s="109"/>
      <c r="M1178" s="109"/>
      <c r="N1178" s="109"/>
      <c r="O1178" s="109"/>
      <c r="P1178" s="109"/>
      <c r="Q1178" s="109"/>
      <c r="R1178" s="109"/>
      <c r="S1178" s="109"/>
      <c r="T1178" s="109"/>
      <c r="U1178" s="109"/>
    </row>
    <row r="1179" spans="1:21">
      <c r="A1179" s="109"/>
      <c r="B1179" s="109"/>
      <c r="C1179" s="109"/>
      <c r="D1179" s="109"/>
      <c r="E1179" s="109"/>
      <c r="F1179" s="109"/>
      <c r="G1179" s="109"/>
      <c r="H1179" s="109"/>
      <c r="I1179" s="109"/>
      <c r="J1179" s="109"/>
      <c r="K1179" s="109"/>
      <c r="L1179" s="109"/>
      <c r="M1179" s="109"/>
      <c r="N1179" s="109"/>
      <c r="O1179" s="109"/>
      <c r="P1179" s="109"/>
      <c r="Q1179" s="109"/>
      <c r="R1179" s="109"/>
      <c r="S1179" s="109"/>
      <c r="T1179" s="109"/>
      <c r="U1179" s="109"/>
    </row>
    <row r="1180" spans="1:21">
      <c r="A1180" s="109"/>
      <c r="B1180" s="109"/>
      <c r="C1180" s="109"/>
      <c r="D1180" s="109"/>
      <c r="E1180" s="109"/>
      <c r="F1180" s="109"/>
      <c r="G1180" s="109"/>
      <c r="H1180" s="109"/>
      <c r="I1180" s="109"/>
      <c r="J1180" s="109"/>
      <c r="K1180" s="109"/>
      <c r="L1180" s="109"/>
      <c r="M1180" s="109"/>
      <c r="N1180" s="109"/>
      <c r="O1180" s="109"/>
      <c r="P1180" s="109"/>
      <c r="Q1180" s="109"/>
      <c r="R1180" s="109"/>
      <c r="S1180" s="109"/>
      <c r="T1180" s="109"/>
      <c r="U1180" s="109"/>
    </row>
    <row r="1181" spans="1:21">
      <c r="A1181" s="109"/>
      <c r="B1181" s="109"/>
      <c r="C1181" s="109"/>
      <c r="D1181" s="109"/>
      <c r="E1181" s="109"/>
      <c r="F1181" s="109"/>
      <c r="G1181" s="109"/>
      <c r="H1181" s="109"/>
      <c r="I1181" s="109"/>
      <c r="J1181" s="109"/>
      <c r="K1181" s="109"/>
      <c r="L1181" s="109"/>
      <c r="M1181" s="109"/>
      <c r="N1181" s="109"/>
      <c r="O1181" s="109"/>
      <c r="P1181" s="109"/>
      <c r="Q1181" s="109"/>
      <c r="R1181" s="109"/>
      <c r="S1181" s="109"/>
      <c r="T1181" s="109"/>
      <c r="U1181" s="109"/>
    </row>
    <row r="1182" spans="1:21">
      <c r="A1182" s="109"/>
      <c r="B1182" s="109"/>
      <c r="C1182" s="109"/>
      <c r="D1182" s="109"/>
      <c r="E1182" s="109"/>
      <c r="F1182" s="109"/>
      <c r="G1182" s="109"/>
      <c r="H1182" s="109"/>
      <c r="I1182" s="109"/>
      <c r="J1182" s="109"/>
      <c r="K1182" s="109"/>
      <c r="L1182" s="109"/>
      <c r="M1182" s="109"/>
      <c r="N1182" s="109"/>
      <c r="O1182" s="109"/>
      <c r="P1182" s="109"/>
      <c r="Q1182" s="109"/>
      <c r="R1182" s="109"/>
      <c r="S1182" s="109"/>
      <c r="T1182" s="109"/>
      <c r="U1182" s="109"/>
    </row>
    <row r="1183" spans="1:21">
      <c r="A1183" s="109"/>
      <c r="B1183" s="109"/>
      <c r="C1183" s="109"/>
      <c r="D1183" s="109"/>
      <c r="E1183" s="109"/>
      <c r="F1183" s="109"/>
      <c r="G1183" s="109"/>
      <c r="H1183" s="109"/>
      <c r="I1183" s="109"/>
      <c r="J1183" s="109"/>
      <c r="K1183" s="109"/>
      <c r="L1183" s="109"/>
      <c r="M1183" s="109"/>
      <c r="N1183" s="109"/>
      <c r="O1183" s="109"/>
      <c r="P1183" s="109"/>
      <c r="Q1183" s="109"/>
      <c r="R1183" s="109"/>
      <c r="S1183" s="109"/>
      <c r="T1183" s="109"/>
      <c r="U1183" s="109"/>
    </row>
    <row r="1184" spans="1:21">
      <c r="A1184" s="109"/>
      <c r="B1184" s="109"/>
      <c r="C1184" s="109"/>
      <c r="D1184" s="109"/>
      <c r="E1184" s="109"/>
      <c r="F1184" s="109"/>
      <c r="G1184" s="109"/>
      <c r="H1184" s="109"/>
      <c r="I1184" s="109"/>
      <c r="J1184" s="109"/>
      <c r="K1184" s="109"/>
      <c r="L1184" s="109"/>
      <c r="M1184" s="109"/>
      <c r="N1184" s="109"/>
      <c r="O1184" s="109"/>
      <c r="P1184" s="109"/>
      <c r="Q1184" s="109"/>
      <c r="R1184" s="109"/>
      <c r="S1184" s="109"/>
      <c r="T1184" s="109"/>
      <c r="U1184" s="109"/>
    </row>
    <row r="1185" spans="1:21">
      <c r="A1185" s="109"/>
      <c r="B1185" s="109"/>
      <c r="C1185" s="109"/>
      <c r="D1185" s="109"/>
      <c r="E1185" s="109"/>
      <c r="F1185" s="109"/>
      <c r="G1185" s="109"/>
      <c r="H1185" s="109"/>
      <c r="I1185" s="109"/>
      <c r="J1185" s="109"/>
      <c r="K1185" s="109"/>
      <c r="L1185" s="109"/>
      <c r="M1185" s="109"/>
      <c r="N1185" s="109"/>
      <c r="O1185" s="109"/>
      <c r="P1185" s="109"/>
      <c r="Q1185" s="109"/>
      <c r="R1185" s="109"/>
      <c r="S1185" s="109"/>
      <c r="T1185" s="109"/>
      <c r="U1185" s="109"/>
    </row>
    <row r="1186" spans="1:21">
      <c r="A1186" s="109"/>
      <c r="B1186" s="109"/>
      <c r="C1186" s="109"/>
      <c r="D1186" s="109"/>
      <c r="E1186" s="109"/>
      <c r="F1186" s="109"/>
      <c r="G1186" s="109"/>
      <c r="H1186" s="109"/>
      <c r="I1186" s="109"/>
      <c r="J1186" s="109"/>
      <c r="K1186" s="109"/>
      <c r="L1186" s="109"/>
      <c r="M1186" s="109"/>
      <c r="N1186" s="109"/>
      <c r="O1186" s="109"/>
      <c r="P1186" s="109"/>
      <c r="Q1186" s="109"/>
      <c r="R1186" s="109"/>
      <c r="S1186" s="109"/>
      <c r="T1186" s="109"/>
      <c r="U1186" s="109"/>
    </row>
    <row r="1187" spans="1:21">
      <c r="A1187" s="109"/>
      <c r="B1187" s="109"/>
      <c r="C1187" s="109"/>
      <c r="D1187" s="109"/>
      <c r="E1187" s="109"/>
      <c r="F1187" s="109"/>
      <c r="G1187" s="109"/>
      <c r="H1187" s="109"/>
      <c r="I1187" s="109"/>
      <c r="J1187" s="109"/>
      <c r="K1187" s="109"/>
      <c r="L1187" s="109"/>
      <c r="M1187" s="109"/>
      <c r="N1187" s="109"/>
      <c r="O1187" s="109"/>
      <c r="P1187" s="109"/>
      <c r="Q1187" s="109"/>
      <c r="R1187" s="109"/>
      <c r="S1187" s="109"/>
      <c r="T1187" s="109"/>
      <c r="U1187" s="109"/>
    </row>
    <row r="1188" spans="1:21">
      <c r="A1188" s="109"/>
      <c r="B1188" s="109"/>
      <c r="C1188" s="109"/>
      <c r="D1188" s="109"/>
      <c r="E1188" s="109"/>
      <c r="F1188" s="109"/>
      <c r="G1188" s="109"/>
      <c r="H1188" s="109"/>
      <c r="I1188" s="109"/>
      <c r="J1188" s="109"/>
      <c r="K1188" s="109"/>
      <c r="L1188" s="109"/>
      <c r="M1188" s="109"/>
      <c r="N1188" s="109"/>
      <c r="O1188" s="109"/>
      <c r="P1188" s="109"/>
      <c r="Q1188" s="109"/>
      <c r="R1188" s="109"/>
      <c r="S1188" s="109"/>
      <c r="T1188" s="109"/>
      <c r="U1188" s="109"/>
    </row>
    <row r="1189" spans="1:21">
      <c r="A1189" s="109"/>
      <c r="B1189" s="109"/>
      <c r="C1189" s="109"/>
      <c r="D1189" s="109"/>
      <c r="E1189" s="109"/>
      <c r="F1189" s="109"/>
      <c r="G1189" s="109"/>
      <c r="H1189" s="109"/>
      <c r="I1189" s="109"/>
      <c r="J1189" s="109"/>
      <c r="K1189" s="109"/>
      <c r="L1189" s="109"/>
      <c r="M1189" s="109"/>
      <c r="N1189" s="109"/>
      <c r="O1189" s="109"/>
      <c r="P1189" s="109"/>
      <c r="Q1189" s="109"/>
      <c r="R1189" s="109"/>
      <c r="S1189" s="109"/>
      <c r="T1189" s="109"/>
      <c r="U1189" s="109"/>
    </row>
    <row r="1190" spans="1:21">
      <c r="A1190" s="109"/>
      <c r="B1190" s="109"/>
      <c r="C1190" s="109"/>
      <c r="D1190" s="109"/>
      <c r="E1190" s="109"/>
      <c r="F1190" s="109"/>
      <c r="G1190" s="109"/>
      <c r="H1190" s="109"/>
      <c r="I1190" s="109"/>
      <c r="J1190" s="109"/>
      <c r="K1190" s="109"/>
      <c r="L1190" s="109"/>
      <c r="M1190" s="109"/>
      <c r="N1190" s="109"/>
      <c r="O1190" s="109"/>
      <c r="P1190" s="109"/>
      <c r="Q1190" s="109"/>
      <c r="R1190" s="109"/>
      <c r="S1190" s="109"/>
      <c r="T1190" s="109"/>
      <c r="U1190" s="109"/>
    </row>
    <row r="1191" spans="1:21">
      <c r="A1191" s="109"/>
      <c r="B1191" s="109"/>
      <c r="C1191" s="109"/>
      <c r="D1191" s="109"/>
      <c r="E1191" s="109"/>
      <c r="F1191" s="109"/>
      <c r="G1191" s="109"/>
      <c r="H1191" s="109"/>
      <c r="I1191" s="109"/>
      <c r="J1191" s="109"/>
      <c r="K1191" s="109"/>
      <c r="L1191" s="109"/>
      <c r="M1191" s="109"/>
      <c r="N1191" s="109"/>
      <c r="O1191" s="109"/>
      <c r="P1191" s="109"/>
      <c r="Q1191" s="109"/>
      <c r="R1191" s="109"/>
      <c r="S1191" s="109"/>
      <c r="T1191" s="109"/>
      <c r="U1191" s="109"/>
    </row>
    <row r="1192" spans="1:21">
      <c r="A1192" s="109"/>
      <c r="B1192" s="109"/>
      <c r="C1192" s="109"/>
      <c r="D1192" s="109"/>
      <c r="E1192" s="109"/>
      <c r="F1192" s="109"/>
      <c r="G1192" s="109"/>
      <c r="H1192" s="109"/>
      <c r="I1192" s="109"/>
      <c r="J1192" s="109"/>
      <c r="K1192" s="109"/>
      <c r="L1192" s="109"/>
      <c r="M1192" s="109"/>
      <c r="N1192" s="109"/>
      <c r="O1192" s="109"/>
      <c r="P1192" s="109"/>
      <c r="Q1192" s="109"/>
      <c r="R1192" s="109"/>
      <c r="S1192" s="109"/>
      <c r="T1192" s="109"/>
      <c r="U1192" s="109"/>
    </row>
    <row r="1193" spans="1:21">
      <c r="A1193" s="109"/>
      <c r="B1193" s="109"/>
      <c r="C1193" s="109"/>
      <c r="D1193" s="109"/>
      <c r="E1193" s="109"/>
      <c r="F1193" s="109"/>
      <c r="G1193" s="109"/>
      <c r="H1193" s="109"/>
      <c r="I1193" s="109"/>
      <c r="J1193" s="109"/>
      <c r="K1193" s="109"/>
      <c r="L1193" s="109"/>
      <c r="M1193" s="109"/>
      <c r="N1193" s="109"/>
      <c r="O1193" s="109"/>
      <c r="P1193" s="109"/>
      <c r="Q1193" s="109"/>
      <c r="R1193" s="109"/>
      <c r="S1193" s="109"/>
      <c r="T1193" s="109"/>
      <c r="U1193" s="109"/>
    </row>
    <row r="1194" spans="1:21">
      <c r="A1194" s="109"/>
      <c r="B1194" s="109"/>
      <c r="C1194" s="109"/>
      <c r="D1194" s="109"/>
      <c r="E1194" s="109"/>
      <c r="F1194" s="109"/>
      <c r="G1194" s="109"/>
      <c r="H1194" s="109"/>
      <c r="I1194" s="109"/>
      <c r="J1194" s="109"/>
      <c r="K1194" s="109"/>
      <c r="L1194" s="109"/>
      <c r="M1194" s="109"/>
      <c r="N1194" s="109"/>
      <c r="O1194" s="109"/>
      <c r="P1194" s="109"/>
      <c r="Q1194" s="109"/>
      <c r="R1194" s="109"/>
      <c r="S1194" s="109"/>
      <c r="T1194" s="109"/>
      <c r="U1194" s="109"/>
    </row>
    <row r="1195" spans="1:21">
      <c r="A1195" s="109"/>
      <c r="B1195" s="109"/>
      <c r="C1195" s="109"/>
      <c r="D1195" s="109"/>
      <c r="E1195" s="109"/>
      <c r="F1195" s="109"/>
      <c r="G1195" s="109"/>
      <c r="H1195" s="109"/>
      <c r="I1195" s="109"/>
      <c r="J1195" s="109"/>
      <c r="K1195" s="109"/>
      <c r="L1195" s="109"/>
      <c r="M1195" s="109"/>
      <c r="N1195" s="109"/>
      <c r="O1195" s="109"/>
      <c r="P1195" s="109"/>
      <c r="Q1195" s="109"/>
      <c r="R1195" s="109"/>
      <c r="S1195" s="109"/>
      <c r="T1195" s="109"/>
      <c r="U1195" s="109"/>
    </row>
    <row r="1196" spans="1:21">
      <c r="A1196" s="109"/>
      <c r="B1196" s="109"/>
      <c r="C1196" s="109"/>
      <c r="D1196" s="109"/>
      <c r="E1196" s="109"/>
      <c r="F1196" s="109"/>
      <c r="G1196" s="109"/>
      <c r="H1196" s="109"/>
      <c r="I1196" s="109"/>
      <c r="J1196" s="109"/>
      <c r="K1196" s="109"/>
      <c r="L1196" s="109"/>
      <c r="M1196" s="109"/>
      <c r="N1196" s="109"/>
      <c r="O1196" s="109"/>
      <c r="P1196" s="109"/>
      <c r="Q1196" s="109"/>
      <c r="R1196" s="109"/>
      <c r="S1196" s="109"/>
      <c r="T1196" s="109"/>
      <c r="U1196" s="109"/>
    </row>
    <row r="1197" spans="1:21">
      <c r="A1197" s="109"/>
      <c r="B1197" s="109"/>
      <c r="C1197" s="109"/>
      <c r="D1197" s="109"/>
      <c r="E1197" s="109"/>
      <c r="F1197" s="109"/>
      <c r="G1197" s="109"/>
      <c r="H1197" s="109"/>
      <c r="I1197" s="109"/>
      <c r="J1197" s="109"/>
      <c r="K1197" s="109"/>
      <c r="L1197" s="109"/>
      <c r="M1197" s="109"/>
      <c r="N1197" s="109"/>
      <c r="O1197" s="109"/>
      <c r="P1197" s="109"/>
      <c r="Q1197" s="109"/>
      <c r="R1197" s="109"/>
      <c r="S1197" s="109"/>
      <c r="T1197" s="109"/>
      <c r="U1197" s="109"/>
    </row>
    <row r="1198" spans="1:21">
      <c r="A1198" s="109"/>
      <c r="B1198" s="109"/>
      <c r="C1198" s="109"/>
      <c r="D1198" s="109"/>
      <c r="E1198" s="109"/>
      <c r="F1198" s="109"/>
      <c r="G1198" s="109"/>
      <c r="H1198" s="109"/>
      <c r="I1198" s="109"/>
      <c r="J1198" s="109"/>
      <c r="K1198" s="109"/>
      <c r="L1198" s="109"/>
      <c r="M1198" s="109"/>
      <c r="N1198" s="109"/>
      <c r="O1198" s="109"/>
      <c r="P1198" s="109"/>
      <c r="Q1198" s="109"/>
      <c r="R1198" s="109"/>
      <c r="S1198" s="109"/>
      <c r="T1198" s="109"/>
      <c r="U1198" s="109"/>
    </row>
    <row r="1199" spans="1:21">
      <c r="A1199" s="109"/>
      <c r="B1199" s="109"/>
      <c r="C1199" s="109"/>
      <c r="D1199" s="109"/>
      <c r="E1199" s="109"/>
      <c r="F1199" s="109"/>
      <c r="G1199" s="109"/>
      <c r="H1199" s="109"/>
      <c r="I1199" s="109"/>
      <c r="J1199" s="109"/>
      <c r="K1199" s="109"/>
      <c r="L1199" s="109"/>
      <c r="M1199" s="109"/>
      <c r="N1199" s="109"/>
      <c r="O1199" s="109"/>
      <c r="P1199" s="109"/>
      <c r="Q1199" s="109"/>
      <c r="R1199" s="109"/>
      <c r="S1199" s="109"/>
      <c r="T1199" s="109"/>
      <c r="U1199" s="109"/>
    </row>
    <row r="1200" spans="1:21">
      <c r="A1200" s="109"/>
      <c r="B1200" s="109"/>
      <c r="C1200" s="109"/>
      <c r="D1200" s="109"/>
      <c r="E1200" s="109"/>
      <c r="F1200" s="109"/>
      <c r="G1200" s="109"/>
      <c r="H1200" s="109"/>
      <c r="I1200" s="109"/>
      <c r="J1200" s="109"/>
      <c r="K1200" s="109"/>
      <c r="L1200" s="109"/>
      <c r="M1200" s="109"/>
      <c r="N1200" s="109"/>
      <c r="O1200" s="109"/>
      <c r="P1200" s="109"/>
      <c r="Q1200" s="109"/>
      <c r="R1200" s="109"/>
      <c r="S1200" s="109"/>
      <c r="T1200" s="109"/>
      <c r="U1200" s="109"/>
    </row>
    <row r="1201" spans="1:21">
      <c r="A1201" s="109"/>
      <c r="B1201" s="109"/>
      <c r="C1201" s="109"/>
      <c r="D1201" s="109"/>
      <c r="E1201" s="109"/>
      <c r="F1201" s="109"/>
      <c r="G1201" s="109"/>
      <c r="H1201" s="109"/>
      <c r="I1201" s="109"/>
      <c r="J1201" s="109"/>
      <c r="K1201" s="109"/>
      <c r="L1201" s="109"/>
      <c r="M1201" s="109"/>
      <c r="N1201" s="109"/>
      <c r="O1201" s="109"/>
      <c r="P1201" s="109"/>
      <c r="Q1201" s="109"/>
      <c r="R1201" s="109"/>
      <c r="S1201" s="109"/>
      <c r="T1201" s="109"/>
      <c r="U1201" s="109"/>
    </row>
    <row r="1202" spans="1:21">
      <c r="A1202" s="109"/>
      <c r="B1202" s="109"/>
      <c r="C1202" s="109"/>
      <c r="D1202" s="109"/>
      <c r="E1202" s="109"/>
      <c r="F1202" s="109"/>
      <c r="G1202" s="109"/>
      <c r="H1202" s="109"/>
      <c r="I1202" s="109"/>
      <c r="J1202" s="109"/>
      <c r="K1202" s="109"/>
      <c r="L1202" s="109"/>
      <c r="M1202" s="109"/>
      <c r="N1202" s="109"/>
      <c r="O1202" s="109"/>
      <c r="P1202" s="109"/>
      <c r="Q1202" s="109"/>
      <c r="R1202" s="109"/>
      <c r="S1202" s="109"/>
      <c r="T1202" s="109"/>
      <c r="U1202" s="109"/>
    </row>
    <row r="1203" spans="1:21">
      <c r="A1203" s="109"/>
      <c r="B1203" s="109"/>
      <c r="C1203" s="109"/>
      <c r="D1203" s="109"/>
      <c r="E1203" s="109"/>
      <c r="F1203" s="109"/>
      <c r="G1203" s="109"/>
      <c r="H1203" s="109"/>
      <c r="I1203" s="109"/>
      <c r="J1203" s="109"/>
      <c r="K1203" s="109"/>
      <c r="L1203" s="109"/>
      <c r="M1203" s="109"/>
      <c r="N1203" s="109"/>
      <c r="O1203" s="109"/>
      <c r="P1203" s="109"/>
      <c r="Q1203" s="109"/>
      <c r="R1203" s="109"/>
      <c r="S1203" s="109"/>
      <c r="T1203" s="109"/>
      <c r="U1203" s="109"/>
    </row>
    <row r="1204" spans="1:21">
      <c r="A1204" s="109"/>
      <c r="B1204" s="109"/>
      <c r="C1204" s="109"/>
      <c r="D1204" s="109"/>
      <c r="E1204" s="109"/>
      <c r="F1204" s="109"/>
      <c r="G1204" s="109"/>
      <c r="H1204" s="109"/>
      <c r="I1204" s="109"/>
      <c r="J1204" s="109"/>
      <c r="K1204" s="109"/>
      <c r="L1204" s="109"/>
      <c r="M1204" s="109"/>
      <c r="N1204" s="109"/>
      <c r="O1204" s="109"/>
      <c r="P1204" s="109"/>
      <c r="Q1204" s="109"/>
      <c r="R1204" s="109"/>
      <c r="S1204" s="109"/>
      <c r="T1204" s="109"/>
      <c r="U1204" s="109"/>
    </row>
    <row r="1205" spans="1:21">
      <c r="A1205" s="109"/>
      <c r="B1205" s="109"/>
      <c r="C1205" s="109"/>
      <c r="D1205" s="109"/>
      <c r="E1205" s="109"/>
      <c r="F1205" s="109"/>
      <c r="G1205" s="109"/>
      <c r="H1205" s="109"/>
      <c r="I1205" s="109"/>
      <c r="J1205" s="109"/>
      <c r="K1205" s="109"/>
      <c r="L1205" s="109"/>
      <c r="M1205" s="109"/>
      <c r="N1205" s="109"/>
      <c r="O1205" s="109"/>
      <c r="P1205" s="109"/>
      <c r="Q1205" s="109"/>
      <c r="R1205" s="109"/>
      <c r="S1205" s="109"/>
      <c r="T1205" s="109"/>
      <c r="U1205" s="109"/>
    </row>
    <row r="1206" spans="1:21">
      <c r="A1206" s="109"/>
      <c r="B1206" s="109"/>
      <c r="C1206" s="109"/>
      <c r="D1206" s="109"/>
      <c r="E1206" s="109"/>
      <c r="F1206" s="109"/>
      <c r="G1206" s="109"/>
      <c r="H1206" s="109"/>
      <c r="I1206" s="109"/>
      <c r="J1206" s="109"/>
      <c r="K1206" s="109"/>
      <c r="L1206" s="109"/>
      <c r="M1206" s="109"/>
      <c r="N1206" s="109"/>
      <c r="O1206" s="109"/>
      <c r="P1206" s="109"/>
      <c r="Q1206" s="109"/>
      <c r="R1206" s="109"/>
      <c r="S1206" s="109"/>
      <c r="T1206" s="109"/>
      <c r="U1206" s="109"/>
    </row>
    <row r="1207" spans="1:21">
      <c r="A1207" s="109"/>
      <c r="B1207" s="109"/>
      <c r="C1207" s="109"/>
      <c r="D1207" s="109"/>
      <c r="E1207" s="109"/>
      <c r="F1207" s="109"/>
      <c r="G1207" s="109"/>
      <c r="H1207" s="109"/>
      <c r="I1207" s="109"/>
      <c r="J1207" s="109"/>
      <c r="K1207" s="109"/>
      <c r="L1207" s="109"/>
      <c r="M1207" s="109"/>
      <c r="N1207" s="109"/>
      <c r="O1207" s="109"/>
      <c r="P1207" s="109"/>
      <c r="Q1207" s="109"/>
      <c r="R1207" s="109"/>
      <c r="S1207" s="109"/>
      <c r="T1207" s="109"/>
      <c r="U1207" s="109"/>
    </row>
    <row r="1208" spans="1:21">
      <c r="A1208" s="109"/>
      <c r="B1208" s="109"/>
      <c r="C1208" s="109"/>
      <c r="D1208" s="109"/>
      <c r="E1208" s="109"/>
      <c r="F1208" s="109"/>
      <c r="G1208" s="109"/>
      <c r="H1208" s="109"/>
      <c r="I1208" s="109"/>
      <c r="J1208" s="109"/>
      <c r="K1208" s="109"/>
      <c r="L1208" s="109"/>
      <c r="M1208" s="109"/>
      <c r="N1208" s="109"/>
      <c r="O1208" s="109"/>
      <c r="P1208" s="109"/>
      <c r="Q1208" s="109"/>
      <c r="R1208" s="109"/>
      <c r="S1208" s="109"/>
      <c r="T1208" s="109"/>
      <c r="U1208" s="109"/>
    </row>
    <row r="1209" spans="1:21">
      <c r="A1209" s="109"/>
      <c r="B1209" s="109"/>
      <c r="C1209" s="109"/>
      <c r="D1209" s="109"/>
      <c r="E1209" s="109"/>
      <c r="F1209" s="109"/>
      <c r="G1209" s="109"/>
      <c r="H1209" s="109"/>
      <c r="I1209" s="109"/>
      <c r="J1209" s="109"/>
      <c r="K1209" s="109"/>
      <c r="L1209" s="109"/>
      <c r="M1209" s="109"/>
      <c r="N1209" s="109"/>
      <c r="O1209" s="109"/>
      <c r="P1209" s="109"/>
      <c r="Q1209" s="109"/>
      <c r="R1209" s="109"/>
      <c r="S1209" s="109"/>
      <c r="T1209" s="109"/>
      <c r="U1209" s="109"/>
    </row>
    <row r="1210" spans="1:21">
      <c r="A1210" s="109"/>
      <c r="B1210" s="109"/>
      <c r="C1210" s="109"/>
      <c r="D1210" s="109"/>
      <c r="E1210" s="109"/>
      <c r="F1210" s="109"/>
      <c r="G1210" s="109"/>
      <c r="H1210" s="109"/>
      <c r="I1210" s="109"/>
      <c r="J1210" s="109"/>
      <c r="K1210" s="109"/>
      <c r="L1210" s="109"/>
      <c r="M1210" s="109"/>
      <c r="N1210" s="109"/>
      <c r="O1210" s="109"/>
      <c r="P1210" s="109"/>
      <c r="Q1210" s="109"/>
      <c r="R1210" s="109"/>
      <c r="S1210" s="109"/>
      <c r="T1210" s="109"/>
      <c r="U1210" s="109"/>
    </row>
    <row r="1211" spans="1:21">
      <c r="A1211" s="109"/>
      <c r="B1211" s="109"/>
      <c r="C1211" s="109"/>
      <c r="D1211" s="109"/>
      <c r="E1211" s="109"/>
      <c r="F1211" s="109"/>
      <c r="G1211" s="109"/>
      <c r="H1211" s="109"/>
      <c r="I1211" s="109"/>
      <c r="J1211" s="109"/>
      <c r="K1211" s="109"/>
      <c r="L1211" s="109"/>
      <c r="M1211" s="109"/>
      <c r="N1211" s="109"/>
      <c r="O1211" s="109"/>
      <c r="P1211" s="109"/>
      <c r="Q1211" s="109"/>
      <c r="R1211" s="109"/>
      <c r="S1211" s="109"/>
      <c r="T1211" s="109"/>
      <c r="U1211" s="109"/>
    </row>
    <row r="1212" spans="1:21">
      <c r="A1212" s="109"/>
      <c r="B1212" s="109"/>
      <c r="C1212" s="109"/>
      <c r="D1212" s="109"/>
      <c r="E1212" s="109"/>
      <c r="F1212" s="109"/>
      <c r="G1212" s="109"/>
      <c r="H1212" s="109"/>
      <c r="I1212" s="109"/>
      <c r="J1212" s="109"/>
      <c r="K1212" s="109"/>
      <c r="L1212" s="109"/>
      <c r="M1212" s="109"/>
      <c r="N1212" s="109"/>
      <c r="O1212" s="109"/>
      <c r="P1212" s="109"/>
      <c r="Q1212" s="109"/>
      <c r="R1212" s="109"/>
      <c r="S1212" s="109"/>
      <c r="T1212" s="109"/>
      <c r="U1212" s="109"/>
    </row>
    <row r="1213" spans="1:21">
      <c r="A1213" s="109"/>
      <c r="B1213" s="109"/>
      <c r="C1213" s="109"/>
      <c r="D1213" s="109"/>
      <c r="E1213" s="109"/>
      <c r="F1213" s="109"/>
      <c r="G1213" s="109"/>
      <c r="H1213" s="109"/>
      <c r="I1213" s="109"/>
      <c r="J1213" s="109"/>
      <c r="K1213" s="109"/>
      <c r="L1213" s="109"/>
      <c r="M1213" s="109"/>
      <c r="N1213" s="109"/>
      <c r="O1213" s="109"/>
      <c r="P1213" s="109"/>
      <c r="Q1213" s="109"/>
      <c r="R1213" s="109"/>
      <c r="S1213" s="109"/>
      <c r="T1213" s="109"/>
      <c r="U1213" s="109"/>
    </row>
    <row r="1214" spans="1:21">
      <c r="A1214" s="109"/>
      <c r="B1214" s="109"/>
      <c r="C1214" s="109"/>
      <c r="D1214" s="109"/>
      <c r="E1214" s="109"/>
      <c r="F1214" s="109"/>
      <c r="G1214" s="109"/>
      <c r="H1214" s="109"/>
      <c r="I1214" s="109"/>
      <c r="J1214" s="109"/>
      <c r="K1214" s="109"/>
      <c r="L1214" s="109"/>
      <c r="M1214" s="109"/>
      <c r="N1214" s="109"/>
      <c r="O1214" s="109"/>
      <c r="P1214" s="109"/>
      <c r="Q1214" s="109"/>
      <c r="R1214" s="109"/>
      <c r="S1214" s="109"/>
      <c r="T1214" s="109"/>
      <c r="U1214" s="109"/>
    </row>
    <row r="1215" spans="1:21">
      <c r="A1215" s="109"/>
      <c r="B1215" s="109"/>
      <c r="C1215" s="109"/>
      <c r="D1215" s="109"/>
      <c r="E1215" s="109"/>
      <c r="F1215" s="109"/>
      <c r="G1215" s="109"/>
      <c r="H1215" s="109"/>
      <c r="I1215" s="109"/>
      <c r="J1215" s="109"/>
      <c r="K1215" s="109"/>
      <c r="L1215" s="109"/>
      <c r="M1215" s="109"/>
      <c r="N1215" s="109"/>
      <c r="O1215" s="109"/>
      <c r="P1215" s="109"/>
      <c r="Q1215" s="109"/>
      <c r="R1215" s="109"/>
      <c r="S1215" s="109"/>
      <c r="T1215" s="109"/>
      <c r="U1215" s="109"/>
    </row>
    <row r="1216" spans="1:21">
      <c r="A1216" s="109"/>
      <c r="B1216" s="109"/>
      <c r="C1216" s="109"/>
      <c r="D1216" s="109"/>
      <c r="E1216" s="109"/>
      <c r="F1216" s="109"/>
      <c r="G1216" s="109"/>
      <c r="H1216" s="109"/>
      <c r="I1216" s="109"/>
      <c r="J1216" s="109"/>
      <c r="K1216" s="109"/>
      <c r="L1216" s="109"/>
      <c r="M1216" s="109"/>
      <c r="N1216" s="109"/>
      <c r="O1216" s="109"/>
      <c r="P1216" s="109"/>
      <c r="Q1216" s="109"/>
      <c r="R1216" s="109"/>
      <c r="S1216" s="109"/>
      <c r="T1216" s="109"/>
      <c r="U1216" s="109"/>
    </row>
    <row r="1217" spans="1:21">
      <c r="A1217" s="109"/>
      <c r="B1217" s="109"/>
      <c r="C1217" s="109"/>
      <c r="D1217" s="109"/>
      <c r="E1217" s="109"/>
      <c r="F1217" s="109"/>
      <c r="G1217" s="109"/>
      <c r="H1217" s="109"/>
      <c r="I1217" s="109"/>
      <c r="J1217" s="109"/>
      <c r="K1217" s="109"/>
      <c r="L1217" s="109"/>
      <c r="M1217" s="109"/>
      <c r="N1217" s="109"/>
      <c r="O1217" s="109"/>
      <c r="P1217" s="109"/>
      <c r="Q1217" s="109"/>
      <c r="R1217" s="109"/>
      <c r="S1217" s="109"/>
      <c r="T1217" s="109"/>
      <c r="U1217" s="109"/>
    </row>
    <row r="1218" spans="1:21">
      <c r="A1218" s="109"/>
      <c r="B1218" s="109"/>
      <c r="C1218" s="109"/>
      <c r="D1218" s="109"/>
      <c r="E1218" s="109"/>
      <c r="F1218" s="109"/>
      <c r="G1218" s="109"/>
      <c r="H1218" s="109"/>
      <c r="I1218" s="109"/>
      <c r="J1218" s="109"/>
      <c r="K1218" s="109"/>
      <c r="L1218" s="109"/>
      <c r="M1218" s="109"/>
      <c r="N1218" s="109"/>
      <c r="O1218" s="109"/>
      <c r="P1218" s="109"/>
      <c r="Q1218" s="109"/>
      <c r="R1218" s="109"/>
      <c r="S1218" s="109"/>
      <c r="T1218" s="109"/>
      <c r="U1218" s="109"/>
    </row>
    <row r="1219" spans="1:21">
      <c r="A1219" s="109"/>
      <c r="B1219" s="109"/>
      <c r="C1219" s="109"/>
      <c r="D1219" s="109"/>
      <c r="E1219" s="109"/>
      <c r="F1219" s="109"/>
      <c r="G1219" s="109"/>
      <c r="H1219" s="109"/>
      <c r="I1219" s="109"/>
      <c r="J1219" s="109"/>
      <c r="K1219" s="109"/>
      <c r="L1219" s="109"/>
      <c r="M1219" s="109"/>
      <c r="N1219" s="109"/>
      <c r="O1219" s="109"/>
      <c r="P1219" s="109"/>
      <c r="Q1219" s="109"/>
      <c r="R1219" s="109"/>
      <c r="S1219" s="109"/>
      <c r="T1219" s="109"/>
      <c r="U1219" s="109"/>
    </row>
    <row r="1220" spans="1:21">
      <c r="A1220" s="109"/>
      <c r="B1220" s="109"/>
      <c r="C1220" s="109"/>
      <c r="D1220" s="109"/>
      <c r="E1220" s="109"/>
      <c r="F1220" s="109"/>
      <c r="G1220" s="109"/>
      <c r="H1220" s="109"/>
      <c r="I1220" s="109"/>
      <c r="J1220" s="109"/>
      <c r="K1220" s="109"/>
      <c r="L1220" s="109"/>
      <c r="M1220" s="109"/>
      <c r="N1220" s="109"/>
      <c r="O1220" s="109"/>
      <c r="P1220" s="109"/>
      <c r="Q1220" s="109"/>
      <c r="R1220" s="109"/>
      <c r="S1220" s="109"/>
      <c r="T1220" s="109"/>
      <c r="U1220" s="109"/>
    </row>
    <row r="1221" spans="1:21">
      <c r="A1221" s="109"/>
      <c r="B1221" s="109"/>
      <c r="C1221" s="109"/>
      <c r="D1221" s="109"/>
      <c r="E1221" s="109"/>
      <c r="F1221" s="109"/>
      <c r="G1221" s="109"/>
      <c r="H1221" s="109"/>
      <c r="I1221" s="109"/>
      <c r="J1221" s="109"/>
      <c r="K1221" s="109"/>
      <c r="L1221" s="109"/>
      <c r="M1221" s="109"/>
      <c r="N1221" s="109"/>
      <c r="O1221" s="109"/>
      <c r="P1221" s="109"/>
      <c r="Q1221" s="109"/>
      <c r="R1221" s="109"/>
      <c r="S1221" s="109"/>
      <c r="T1221" s="109"/>
      <c r="U1221" s="109"/>
    </row>
    <row r="1222" spans="1:21">
      <c r="A1222" s="109"/>
      <c r="B1222" s="109"/>
      <c r="C1222" s="109"/>
      <c r="D1222" s="109"/>
      <c r="E1222" s="109"/>
      <c r="F1222" s="109"/>
      <c r="G1222" s="109"/>
      <c r="H1222" s="109"/>
      <c r="I1222" s="109"/>
      <c r="J1222" s="109"/>
      <c r="K1222" s="109"/>
      <c r="L1222" s="109"/>
      <c r="M1222" s="109"/>
      <c r="N1222" s="109"/>
      <c r="O1222" s="109"/>
      <c r="P1222" s="109"/>
      <c r="Q1222" s="109"/>
      <c r="R1222" s="109"/>
      <c r="S1222" s="109"/>
      <c r="T1222" s="109"/>
      <c r="U1222" s="109"/>
    </row>
    <row r="1223" spans="1:21">
      <c r="A1223" s="109"/>
      <c r="B1223" s="109"/>
      <c r="C1223" s="109"/>
      <c r="D1223" s="109"/>
      <c r="E1223" s="109"/>
      <c r="F1223" s="109"/>
      <c r="G1223" s="109"/>
      <c r="H1223" s="109"/>
      <c r="I1223" s="109"/>
      <c r="J1223" s="109"/>
      <c r="K1223" s="109"/>
      <c r="L1223" s="109"/>
      <c r="M1223" s="109"/>
      <c r="N1223" s="109"/>
      <c r="O1223" s="109"/>
      <c r="P1223" s="109"/>
      <c r="Q1223" s="109"/>
      <c r="R1223" s="109"/>
      <c r="S1223" s="109"/>
      <c r="T1223" s="109"/>
      <c r="U1223" s="109"/>
    </row>
    <row r="1224" spans="1:21">
      <c r="A1224" s="109"/>
      <c r="B1224" s="109"/>
      <c r="C1224" s="109"/>
      <c r="D1224" s="109"/>
      <c r="E1224" s="109"/>
      <c r="F1224" s="109"/>
      <c r="G1224" s="109"/>
      <c r="H1224" s="109"/>
      <c r="I1224" s="109"/>
      <c r="J1224" s="109"/>
      <c r="K1224" s="109"/>
      <c r="L1224" s="109"/>
      <c r="M1224" s="109"/>
      <c r="N1224" s="109"/>
      <c r="O1224" s="109"/>
      <c r="P1224" s="109"/>
      <c r="Q1224" s="109"/>
      <c r="R1224" s="109"/>
      <c r="S1224" s="109"/>
      <c r="T1224" s="109"/>
      <c r="U1224" s="109"/>
    </row>
    <row r="1225" spans="1:21">
      <c r="A1225" s="109"/>
      <c r="B1225" s="109"/>
      <c r="C1225" s="109"/>
      <c r="D1225" s="109"/>
      <c r="E1225" s="109"/>
      <c r="F1225" s="109"/>
      <c r="G1225" s="109"/>
      <c r="H1225" s="109"/>
      <c r="I1225" s="109"/>
      <c r="J1225" s="109"/>
      <c r="K1225" s="109"/>
      <c r="L1225" s="109"/>
      <c r="M1225" s="109"/>
      <c r="N1225" s="109"/>
      <c r="O1225" s="109"/>
      <c r="P1225" s="109"/>
      <c r="Q1225" s="109"/>
      <c r="R1225" s="109"/>
      <c r="S1225" s="109"/>
      <c r="T1225" s="109"/>
      <c r="U1225" s="109"/>
    </row>
    <row r="1226" spans="1:21">
      <c r="A1226" s="109"/>
      <c r="B1226" s="109"/>
      <c r="C1226" s="109"/>
      <c r="D1226" s="109"/>
      <c r="E1226" s="109"/>
      <c r="F1226" s="109"/>
      <c r="G1226" s="109"/>
      <c r="H1226" s="109"/>
      <c r="I1226" s="109"/>
      <c r="J1226" s="109"/>
      <c r="K1226" s="109"/>
      <c r="L1226" s="109"/>
      <c r="M1226" s="109"/>
      <c r="N1226" s="109"/>
      <c r="O1226" s="109"/>
      <c r="P1226" s="109"/>
      <c r="Q1226" s="109"/>
      <c r="R1226" s="109"/>
      <c r="S1226" s="109"/>
      <c r="T1226" s="109"/>
      <c r="U1226" s="109"/>
    </row>
    <row r="1227" spans="1:21">
      <c r="A1227" s="109"/>
      <c r="B1227" s="109"/>
      <c r="C1227" s="109"/>
      <c r="D1227" s="109"/>
      <c r="E1227" s="109"/>
      <c r="F1227" s="109"/>
      <c r="G1227" s="109"/>
      <c r="H1227" s="109"/>
      <c r="I1227" s="109"/>
      <c r="J1227" s="109"/>
      <c r="K1227" s="109"/>
      <c r="L1227" s="109"/>
      <c r="M1227" s="109"/>
      <c r="N1227" s="109"/>
      <c r="O1227" s="109"/>
      <c r="P1227" s="109"/>
      <c r="Q1227" s="109"/>
      <c r="R1227" s="109"/>
      <c r="S1227" s="109"/>
      <c r="T1227" s="109"/>
      <c r="U1227" s="109"/>
    </row>
    <row r="1228" spans="1:21">
      <c r="A1228" s="109"/>
      <c r="B1228" s="109"/>
      <c r="C1228" s="109"/>
      <c r="D1228" s="109"/>
      <c r="E1228" s="109"/>
      <c r="F1228" s="109"/>
      <c r="G1228" s="109"/>
      <c r="H1228" s="109"/>
      <c r="I1228" s="109"/>
      <c r="J1228" s="109"/>
      <c r="K1228" s="109"/>
      <c r="L1228" s="109"/>
      <c r="M1228" s="109"/>
      <c r="N1228" s="109"/>
      <c r="O1228" s="109"/>
      <c r="P1228" s="109"/>
      <c r="Q1228" s="109"/>
      <c r="R1228" s="109"/>
      <c r="S1228" s="109"/>
      <c r="T1228" s="109"/>
      <c r="U1228" s="109"/>
    </row>
    <row r="1229" spans="1:21">
      <c r="A1229" s="109"/>
      <c r="B1229" s="109"/>
      <c r="C1229" s="109"/>
      <c r="D1229" s="109"/>
      <c r="E1229" s="109"/>
      <c r="F1229" s="109"/>
      <c r="G1229" s="109"/>
      <c r="H1229" s="109"/>
      <c r="I1229" s="109"/>
      <c r="J1229" s="109"/>
      <c r="K1229" s="109"/>
      <c r="L1229" s="109"/>
      <c r="M1229" s="109"/>
      <c r="N1229" s="109"/>
      <c r="O1229" s="109"/>
      <c r="P1229" s="109"/>
      <c r="Q1229" s="109"/>
      <c r="R1229" s="109"/>
      <c r="S1229" s="109"/>
      <c r="T1229" s="109"/>
      <c r="U1229" s="109"/>
    </row>
    <row r="1230" spans="1:21">
      <c r="A1230" s="109"/>
      <c r="B1230" s="109"/>
      <c r="C1230" s="109"/>
      <c r="D1230" s="109"/>
      <c r="E1230" s="109"/>
      <c r="F1230" s="109"/>
      <c r="G1230" s="109"/>
      <c r="H1230" s="109"/>
      <c r="I1230" s="109"/>
      <c r="J1230" s="109"/>
      <c r="K1230" s="109"/>
      <c r="L1230" s="109"/>
      <c r="M1230" s="109"/>
      <c r="N1230" s="109"/>
      <c r="O1230" s="109"/>
      <c r="P1230" s="109"/>
      <c r="Q1230" s="109"/>
      <c r="R1230" s="109"/>
      <c r="S1230" s="109"/>
      <c r="T1230" s="109"/>
      <c r="U1230" s="109"/>
    </row>
    <row r="1231" spans="1:21">
      <c r="A1231" s="109"/>
      <c r="B1231" s="109"/>
      <c r="C1231" s="109"/>
      <c r="D1231" s="109"/>
      <c r="E1231" s="109"/>
      <c r="F1231" s="109"/>
      <c r="G1231" s="109"/>
      <c r="H1231" s="109"/>
      <c r="I1231" s="109"/>
      <c r="J1231" s="109"/>
      <c r="K1231" s="109"/>
      <c r="L1231" s="109"/>
      <c r="M1231" s="109"/>
      <c r="N1231" s="109"/>
      <c r="O1231" s="109"/>
      <c r="P1231" s="109"/>
      <c r="Q1231" s="109"/>
      <c r="R1231" s="109"/>
      <c r="S1231" s="109"/>
      <c r="T1231" s="109"/>
      <c r="U1231" s="109"/>
    </row>
    <row r="1232" spans="1:21">
      <c r="A1232" s="109"/>
      <c r="B1232" s="109"/>
      <c r="C1232" s="109"/>
      <c r="D1232" s="109"/>
      <c r="E1232" s="109"/>
      <c r="F1232" s="109"/>
      <c r="G1232" s="109"/>
      <c r="H1232" s="109"/>
      <c r="I1232" s="109"/>
      <c r="J1232" s="109"/>
      <c r="K1232" s="109"/>
      <c r="L1232" s="109"/>
      <c r="M1232" s="109"/>
      <c r="N1232" s="109"/>
      <c r="O1232" s="109"/>
      <c r="P1232" s="109"/>
      <c r="Q1232" s="109"/>
      <c r="R1232" s="109"/>
      <c r="S1232" s="109"/>
      <c r="T1232" s="109"/>
      <c r="U1232" s="109"/>
    </row>
    <row r="1233" spans="1:21">
      <c r="A1233" s="109"/>
      <c r="B1233" s="109"/>
      <c r="C1233" s="109"/>
      <c r="D1233" s="109"/>
      <c r="E1233" s="109"/>
      <c r="F1233" s="109"/>
      <c r="G1233" s="109"/>
      <c r="H1233" s="109"/>
      <c r="I1233" s="109"/>
      <c r="J1233" s="109"/>
      <c r="K1233" s="109"/>
      <c r="L1233" s="109"/>
      <c r="M1233" s="109"/>
      <c r="N1233" s="109"/>
      <c r="O1233" s="109"/>
      <c r="P1233" s="109"/>
      <c r="Q1233" s="109"/>
      <c r="R1233" s="109"/>
      <c r="S1233" s="109"/>
      <c r="T1233" s="109"/>
      <c r="U1233" s="109"/>
    </row>
    <row r="1234" spans="1:21">
      <c r="A1234" s="109"/>
      <c r="B1234" s="109"/>
      <c r="C1234" s="109"/>
      <c r="D1234" s="109"/>
      <c r="E1234" s="109"/>
      <c r="F1234" s="109"/>
      <c r="G1234" s="109"/>
      <c r="H1234" s="109"/>
      <c r="I1234" s="109"/>
      <c r="J1234" s="109"/>
      <c r="K1234" s="109"/>
      <c r="L1234" s="109"/>
      <c r="M1234" s="109"/>
      <c r="N1234" s="109"/>
      <c r="O1234" s="109"/>
      <c r="P1234" s="109"/>
      <c r="Q1234" s="109"/>
      <c r="R1234" s="109"/>
      <c r="S1234" s="109"/>
      <c r="T1234" s="109"/>
      <c r="U1234" s="109"/>
    </row>
    <row r="1235" spans="1:21">
      <c r="A1235" s="109"/>
      <c r="B1235" s="109"/>
      <c r="C1235" s="109"/>
      <c r="D1235" s="109"/>
      <c r="E1235" s="109"/>
      <c r="F1235" s="109"/>
      <c r="G1235" s="109"/>
      <c r="H1235" s="109"/>
      <c r="I1235" s="109"/>
      <c r="J1235" s="109"/>
      <c r="K1235" s="109"/>
      <c r="L1235" s="109"/>
      <c r="M1235" s="109"/>
      <c r="N1235" s="109"/>
      <c r="O1235" s="109"/>
      <c r="P1235" s="109"/>
      <c r="Q1235" s="109"/>
      <c r="R1235" s="109"/>
      <c r="S1235" s="109"/>
      <c r="T1235" s="109"/>
      <c r="U1235" s="109"/>
    </row>
    <row r="1236" spans="1:21">
      <c r="A1236" s="109"/>
      <c r="B1236" s="109"/>
      <c r="C1236" s="109"/>
      <c r="D1236" s="109"/>
      <c r="E1236" s="109"/>
      <c r="F1236" s="109"/>
      <c r="G1236" s="109"/>
      <c r="H1236" s="109"/>
      <c r="I1236" s="109"/>
      <c r="J1236" s="109"/>
      <c r="K1236" s="109"/>
      <c r="L1236" s="109"/>
      <c r="M1236" s="109"/>
      <c r="N1236" s="109"/>
      <c r="O1236" s="109"/>
      <c r="P1236" s="109"/>
      <c r="Q1236" s="109"/>
      <c r="R1236" s="109"/>
      <c r="S1236" s="109"/>
      <c r="T1236" s="109"/>
      <c r="U1236" s="109"/>
    </row>
    <row r="1237" spans="1:21">
      <c r="A1237" s="109"/>
      <c r="B1237" s="109"/>
      <c r="C1237" s="109"/>
      <c r="D1237" s="109"/>
      <c r="E1237" s="109"/>
      <c r="F1237" s="109"/>
      <c r="G1237" s="109"/>
      <c r="H1237" s="109"/>
      <c r="I1237" s="109"/>
      <c r="J1237" s="109"/>
      <c r="K1237" s="109"/>
      <c r="L1237" s="109"/>
      <c r="M1237" s="109"/>
      <c r="N1237" s="109"/>
      <c r="O1237" s="109"/>
      <c r="P1237" s="109"/>
      <c r="Q1237" s="109"/>
      <c r="R1237" s="109"/>
      <c r="S1237" s="109"/>
      <c r="T1237" s="109"/>
      <c r="U1237" s="109"/>
    </row>
    <row r="1238" spans="1:21">
      <c r="A1238" s="109"/>
      <c r="B1238" s="109"/>
      <c r="C1238" s="109"/>
      <c r="D1238" s="109"/>
      <c r="E1238" s="109"/>
      <c r="F1238" s="109"/>
      <c r="G1238" s="109"/>
      <c r="H1238" s="109"/>
      <c r="I1238" s="109"/>
      <c r="J1238" s="109"/>
      <c r="K1238" s="109"/>
      <c r="L1238" s="109"/>
      <c r="M1238" s="109"/>
      <c r="N1238" s="109"/>
      <c r="O1238" s="109"/>
      <c r="P1238" s="109"/>
      <c r="Q1238" s="109"/>
      <c r="R1238" s="109"/>
      <c r="S1238" s="109"/>
      <c r="T1238" s="109"/>
      <c r="U1238" s="109"/>
    </row>
    <row r="1239" spans="1:21">
      <c r="A1239" s="109"/>
      <c r="B1239" s="109"/>
      <c r="C1239" s="109"/>
      <c r="D1239" s="109"/>
      <c r="E1239" s="109"/>
      <c r="F1239" s="109"/>
      <c r="G1239" s="109"/>
      <c r="H1239" s="109"/>
      <c r="I1239" s="109"/>
      <c r="J1239" s="109"/>
      <c r="K1239" s="109"/>
      <c r="L1239" s="109"/>
      <c r="M1239" s="109"/>
      <c r="N1239" s="109"/>
      <c r="O1239" s="109"/>
      <c r="P1239" s="109"/>
      <c r="Q1239" s="109"/>
      <c r="R1239" s="109"/>
      <c r="S1239" s="109"/>
      <c r="T1239" s="109"/>
      <c r="U1239" s="109"/>
    </row>
    <row r="1240" spans="1:21">
      <c r="A1240" s="109"/>
      <c r="B1240" s="109"/>
      <c r="C1240" s="109"/>
      <c r="D1240" s="109"/>
      <c r="E1240" s="109"/>
      <c r="F1240" s="109"/>
      <c r="G1240" s="109"/>
      <c r="H1240" s="109"/>
      <c r="I1240" s="109"/>
      <c r="J1240" s="109"/>
      <c r="K1240" s="109"/>
      <c r="L1240" s="109"/>
      <c r="M1240" s="109"/>
      <c r="N1240" s="109"/>
      <c r="O1240" s="109"/>
      <c r="P1240" s="109"/>
      <c r="Q1240" s="109"/>
      <c r="R1240" s="109"/>
      <c r="S1240" s="109"/>
      <c r="T1240" s="109"/>
      <c r="U1240" s="109"/>
    </row>
    <row r="1241" spans="1:21">
      <c r="A1241" s="109"/>
      <c r="B1241" s="109"/>
      <c r="C1241" s="109"/>
      <c r="D1241" s="109"/>
      <c r="E1241" s="109"/>
      <c r="F1241" s="109"/>
      <c r="G1241" s="109"/>
      <c r="H1241" s="109"/>
      <c r="I1241" s="109"/>
      <c r="J1241" s="109"/>
      <c r="K1241" s="109"/>
      <c r="L1241" s="109"/>
      <c r="M1241" s="109"/>
      <c r="N1241" s="109"/>
      <c r="O1241" s="109"/>
      <c r="P1241" s="109"/>
      <c r="Q1241" s="109"/>
      <c r="R1241" s="109"/>
      <c r="S1241" s="109"/>
      <c r="T1241" s="109"/>
      <c r="U1241" s="109"/>
    </row>
    <row r="1242" spans="1:21">
      <c r="A1242" s="109"/>
      <c r="B1242" s="109"/>
      <c r="C1242" s="109"/>
      <c r="D1242" s="109"/>
      <c r="E1242" s="109"/>
      <c r="F1242" s="109"/>
      <c r="G1242" s="109"/>
      <c r="H1242" s="109"/>
      <c r="I1242" s="109"/>
      <c r="J1242" s="109"/>
      <c r="K1242" s="109"/>
      <c r="L1242" s="109"/>
      <c r="M1242" s="109"/>
      <c r="N1242" s="109"/>
      <c r="O1242" s="109"/>
      <c r="P1242" s="109"/>
      <c r="Q1242" s="109"/>
      <c r="R1242" s="109"/>
      <c r="S1242" s="109"/>
      <c r="T1242" s="109"/>
      <c r="U1242" s="109"/>
    </row>
    <row r="1243" spans="1:21">
      <c r="A1243" s="109"/>
      <c r="B1243" s="109"/>
      <c r="C1243" s="109"/>
      <c r="D1243" s="109"/>
      <c r="E1243" s="109"/>
      <c r="F1243" s="109"/>
      <c r="G1243" s="109"/>
      <c r="H1243" s="109"/>
      <c r="I1243" s="109"/>
      <c r="J1243" s="109"/>
      <c r="K1243" s="109"/>
      <c r="L1243" s="109"/>
      <c r="M1243" s="109"/>
      <c r="N1243" s="109"/>
      <c r="O1243" s="109"/>
      <c r="P1243" s="109"/>
      <c r="Q1243" s="109"/>
      <c r="R1243" s="109"/>
      <c r="S1243" s="109"/>
      <c r="T1243" s="109"/>
      <c r="U1243" s="109"/>
    </row>
    <row r="1244" spans="1:21">
      <c r="A1244" s="109"/>
      <c r="B1244" s="109"/>
      <c r="C1244" s="109"/>
      <c r="D1244" s="109"/>
      <c r="E1244" s="109"/>
      <c r="F1244" s="109"/>
      <c r="G1244" s="109"/>
      <c r="H1244" s="109"/>
      <c r="I1244" s="109"/>
      <c r="J1244" s="109"/>
      <c r="K1244" s="109"/>
      <c r="L1244" s="109"/>
      <c r="M1244" s="109"/>
      <c r="N1244" s="109"/>
      <c r="O1244" s="109"/>
      <c r="P1244" s="109"/>
      <c r="Q1244" s="109"/>
      <c r="R1244" s="109"/>
      <c r="S1244" s="109"/>
      <c r="T1244" s="109"/>
      <c r="U1244" s="109"/>
    </row>
    <row r="1245" spans="1:21">
      <c r="A1245" s="109"/>
      <c r="B1245" s="109"/>
      <c r="C1245" s="109"/>
      <c r="D1245" s="109"/>
      <c r="E1245" s="109"/>
      <c r="F1245" s="109"/>
      <c r="G1245" s="109"/>
      <c r="H1245" s="109"/>
      <c r="I1245" s="109"/>
      <c r="J1245" s="109"/>
      <c r="K1245" s="109"/>
      <c r="L1245" s="109"/>
      <c r="M1245" s="109"/>
      <c r="N1245" s="109"/>
      <c r="O1245" s="109"/>
      <c r="P1245" s="109"/>
      <c r="Q1245" s="109"/>
      <c r="R1245" s="109"/>
      <c r="S1245" s="109"/>
      <c r="T1245" s="109"/>
      <c r="U1245" s="109"/>
    </row>
    <row r="1246" spans="1:21">
      <c r="A1246" s="109"/>
      <c r="B1246" s="109"/>
      <c r="C1246" s="109"/>
      <c r="D1246" s="109"/>
      <c r="E1246" s="109"/>
      <c r="F1246" s="109"/>
      <c r="G1246" s="109"/>
      <c r="H1246" s="109"/>
      <c r="I1246" s="109"/>
      <c r="J1246" s="109"/>
      <c r="K1246" s="109"/>
      <c r="L1246" s="109"/>
      <c r="M1246" s="109"/>
      <c r="N1246" s="109"/>
      <c r="O1246" s="109"/>
      <c r="P1246" s="109"/>
      <c r="Q1246" s="109"/>
      <c r="R1246" s="109"/>
      <c r="S1246" s="109"/>
      <c r="T1246" s="109"/>
      <c r="U1246" s="109"/>
    </row>
    <row r="1247" spans="1:21">
      <c r="A1247" s="109"/>
      <c r="B1247" s="109"/>
      <c r="C1247" s="109"/>
      <c r="D1247" s="109"/>
      <c r="E1247" s="109"/>
      <c r="F1247" s="109"/>
      <c r="G1247" s="109"/>
      <c r="H1247" s="109"/>
      <c r="I1247" s="109"/>
      <c r="J1247" s="109"/>
      <c r="K1247" s="109"/>
      <c r="L1247" s="109"/>
      <c r="M1247" s="109"/>
      <c r="N1247" s="109"/>
      <c r="O1247" s="109"/>
      <c r="P1247" s="109"/>
      <c r="Q1247" s="109"/>
      <c r="R1247" s="109"/>
      <c r="S1247" s="109"/>
      <c r="T1247" s="109"/>
      <c r="U1247" s="109"/>
    </row>
    <row r="1248" spans="1:21">
      <c r="A1248" s="109"/>
      <c r="B1248" s="109"/>
      <c r="C1248" s="109"/>
      <c r="D1248" s="109"/>
      <c r="E1248" s="109"/>
      <c r="F1248" s="109"/>
      <c r="G1248" s="109"/>
      <c r="H1248" s="109"/>
      <c r="I1248" s="109"/>
      <c r="J1248" s="109"/>
      <c r="K1248" s="109"/>
      <c r="L1248" s="109"/>
      <c r="M1248" s="109"/>
      <c r="N1248" s="109"/>
      <c r="O1248" s="109"/>
      <c r="P1248" s="109"/>
      <c r="Q1248" s="109"/>
      <c r="R1248" s="109"/>
      <c r="S1248" s="109"/>
      <c r="T1248" s="109"/>
      <c r="U1248" s="109"/>
    </row>
    <row r="1249" spans="1:21">
      <c r="A1249" s="109"/>
      <c r="B1249" s="109"/>
      <c r="C1249" s="109"/>
      <c r="D1249" s="109"/>
      <c r="E1249" s="109"/>
      <c r="F1249" s="109"/>
      <c r="G1249" s="109"/>
      <c r="H1249" s="109"/>
      <c r="I1249" s="109"/>
      <c r="J1249" s="109"/>
      <c r="K1249" s="109"/>
      <c r="L1249" s="109"/>
      <c r="M1249" s="109"/>
      <c r="N1249" s="109"/>
      <c r="O1249" s="109"/>
      <c r="P1249" s="109"/>
      <c r="Q1249" s="109"/>
      <c r="R1249" s="109"/>
      <c r="S1249" s="109"/>
      <c r="T1249" s="109"/>
      <c r="U1249" s="109"/>
    </row>
    <row r="1250" spans="1:21">
      <c r="A1250" s="109"/>
      <c r="B1250" s="109"/>
      <c r="C1250" s="109"/>
      <c r="D1250" s="109"/>
      <c r="E1250" s="109"/>
      <c r="F1250" s="109"/>
      <c r="G1250" s="109"/>
      <c r="H1250" s="109"/>
      <c r="I1250" s="109"/>
      <c r="J1250" s="109"/>
      <c r="K1250" s="109"/>
      <c r="L1250" s="109"/>
      <c r="M1250" s="109"/>
      <c r="N1250" s="109"/>
      <c r="O1250" s="109"/>
      <c r="P1250" s="109"/>
      <c r="Q1250" s="109"/>
      <c r="R1250" s="109"/>
      <c r="S1250" s="109"/>
      <c r="T1250" s="109"/>
      <c r="U1250" s="109"/>
    </row>
    <row r="1251" spans="1:21">
      <c r="A1251" s="109"/>
      <c r="B1251" s="109"/>
      <c r="C1251" s="109"/>
      <c r="D1251" s="109"/>
      <c r="E1251" s="109"/>
      <c r="F1251" s="109"/>
      <c r="G1251" s="109"/>
      <c r="H1251" s="109"/>
      <c r="I1251" s="109"/>
      <c r="J1251" s="109"/>
      <c r="K1251" s="109"/>
      <c r="L1251" s="109"/>
      <c r="M1251" s="109"/>
      <c r="N1251" s="109"/>
      <c r="O1251" s="109"/>
      <c r="P1251" s="109"/>
      <c r="Q1251" s="109"/>
      <c r="R1251" s="109"/>
      <c r="S1251" s="109"/>
      <c r="T1251" s="109"/>
      <c r="U1251" s="109"/>
    </row>
    <row r="1252" spans="1:21">
      <c r="A1252" s="109"/>
      <c r="B1252" s="109"/>
      <c r="C1252" s="109"/>
      <c r="D1252" s="109"/>
      <c r="E1252" s="109"/>
      <c r="F1252" s="109"/>
      <c r="G1252" s="109"/>
      <c r="H1252" s="109"/>
      <c r="I1252" s="109"/>
      <c r="J1252" s="109"/>
      <c r="K1252" s="109"/>
      <c r="L1252" s="109"/>
      <c r="M1252" s="109"/>
      <c r="N1252" s="109"/>
      <c r="O1252" s="109"/>
      <c r="P1252" s="109"/>
      <c r="Q1252" s="109"/>
      <c r="R1252" s="109"/>
      <c r="S1252" s="109"/>
      <c r="T1252" s="109"/>
      <c r="U1252" s="109"/>
    </row>
    <row r="1253" spans="1:21">
      <c r="A1253" s="109"/>
      <c r="B1253" s="109"/>
      <c r="C1253" s="109"/>
      <c r="D1253" s="109"/>
      <c r="E1253" s="109"/>
      <c r="F1253" s="109"/>
      <c r="G1253" s="109"/>
      <c r="H1253" s="109"/>
      <c r="I1253" s="109"/>
      <c r="J1253" s="109"/>
      <c r="K1253" s="109"/>
      <c r="L1253" s="109"/>
      <c r="M1253" s="109"/>
      <c r="N1253" s="109"/>
      <c r="O1253" s="109"/>
      <c r="P1253" s="109"/>
      <c r="Q1253" s="109"/>
      <c r="R1253" s="109"/>
      <c r="S1253" s="109"/>
      <c r="T1253" s="109"/>
      <c r="U1253" s="109"/>
    </row>
    <row r="1254" spans="1:21">
      <c r="A1254" s="109"/>
      <c r="B1254" s="109"/>
      <c r="C1254" s="109"/>
      <c r="D1254" s="109"/>
      <c r="E1254" s="109"/>
      <c r="F1254" s="109"/>
      <c r="G1254" s="109"/>
      <c r="H1254" s="109"/>
      <c r="I1254" s="109"/>
      <c r="J1254" s="109"/>
      <c r="K1254" s="109"/>
      <c r="L1254" s="109"/>
      <c r="M1254" s="109"/>
      <c r="N1254" s="109"/>
      <c r="O1254" s="109"/>
      <c r="P1254" s="109"/>
      <c r="Q1254" s="109"/>
      <c r="R1254" s="109"/>
      <c r="S1254" s="109"/>
      <c r="T1254" s="109"/>
      <c r="U1254" s="109"/>
    </row>
    <row r="1255" spans="1:21">
      <c r="A1255" s="109"/>
      <c r="B1255" s="109"/>
      <c r="C1255" s="109"/>
      <c r="D1255" s="109"/>
      <c r="E1255" s="109"/>
      <c r="F1255" s="109"/>
      <c r="G1255" s="109"/>
      <c r="H1255" s="109"/>
      <c r="I1255" s="109"/>
      <c r="J1255" s="109"/>
      <c r="K1255" s="109"/>
      <c r="L1255" s="109"/>
      <c r="M1255" s="109"/>
      <c r="N1255" s="109"/>
      <c r="O1255" s="109"/>
      <c r="P1255" s="109"/>
      <c r="Q1255" s="109"/>
      <c r="R1255" s="109"/>
      <c r="S1255" s="109"/>
      <c r="T1255" s="109"/>
      <c r="U1255" s="109"/>
    </row>
    <row r="1256" spans="1:21">
      <c r="A1256" s="109"/>
      <c r="B1256" s="109"/>
      <c r="C1256" s="109"/>
      <c r="D1256" s="109"/>
      <c r="E1256" s="109"/>
      <c r="F1256" s="109"/>
      <c r="G1256" s="109"/>
      <c r="H1256" s="109"/>
      <c r="I1256" s="109"/>
      <c r="J1256" s="109"/>
      <c r="K1256" s="109"/>
      <c r="L1256" s="109"/>
      <c r="M1256" s="109"/>
      <c r="N1256" s="109"/>
      <c r="O1256" s="109"/>
      <c r="P1256" s="109"/>
      <c r="Q1256" s="109"/>
      <c r="R1256" s="109"/>
      <c r="S1256" s="109"/>
      <c r="T1256" s="109"/>
      <c r="U1256" s="109"/>
    </row>
    <row r="1257" spans="1:21">
      <c r="A1257" s="109"/>
      <c r="B1257" s="109"/>
      <c r="C1257" s="109"/>
      <c r="D1257" s="109"/>
      <c r="E1257" s="109"/>
      <c r="F1257" s="109"/>
      <c r="G1257" s="109"/>
      <c r="H1257" s="109"/>
      <c r="I1257" s="109"/>
      <c r="J1257" s="109"/>
      <c r="K1257" s="109"/>
      <c r="L1257" s="109"/>
      <c r="M1257" s="109"/>
      <c r="N1257" s="109"/>
      <c r="O1257" s="109"/>
      <c r="P1257" s="109"/>
      <c r="Q1257" s="109"/>
      <c r="R1257" s="109"/>
      <c r="S1257" s="109"/>
      <c r="T1257" s="109"/>
      <c r="U1257" s="109"/>
    </row>
    <row r="1258" spans="1:21">
      <c r="A1258" s="109"/>
      <c r="B1258" s="109"/>
      <c r="C1258" s="109"/>
      <c r="D1258" s="109"/>
      <c r="E1258" s="109"/>
      <c r="F1258" s="109"/>
      <c r="G1258" s="109"/>
      <c r="H1258" s="109"/>
      <c r="I1258" s="109"/>
      <c r="J1258" s="109"/>
      <c r="K1258" s="109"/>
      <c r="L1258" s="109"/>
      <c r="M1258" s="109"/>
      <c r="N1258" s="109"/>
      <c r="O1258" s="109"/>
      <c r="P1258" s="109"/>
      <c r="Q1258" s="109"/>
      <c r="R1258" s="109"/>
      <c r="S1258" s="109"/>
      <c r="T1258" s="109"/>
      <c r="U1258" s="109"/>
    </row>
    <row r="1259" spans="1:21">
      <c r="A1259" s="109"/>
      <c r="B1259" s="109"/>
      <c r="C1259" s="109"/>
      <c r="D1259" s="109"/>
      <c r="E1259" s="109"/>
      <c r="F1259" s="109"/>
      <c r="G1259" s="109"/>
      <c r="H1259" s="109"/>
      <c r="I1259" s="109"/>
      <c r="J1259" s="109"/>
      <c r="K1259" s="109"/>
      <c r="L1259" s="109"/>
      <c r="M1259" s="109"/>
      <c r="N1259" s="109"/>
      <c r="O1259" s="109"/>
      <c r="P1259" s="109"/>
      <c r="Q1259" s="109"/>
      <c r="R1259" s="109"/>
      <c r="S1259" s="109"/>
      <c r="T1259" s="109"/>
      <c r="U1259" s="109"/>
    </row>
    <row r="1260" spans="1:21">
      <c r="A1260" s="109"/>
      <c r="B1260" s="109"/>
      <c r="C1260" s="109"/>
      <c r="D1260" s="109"/>
      <c r="E1260" s="109"/>
      <c r="F1260" s="109"/>
      <c r="G1260" s="109"/>
      <c r="H1260" s="109"/>
      <c r="I1260" s="109"/>
      <c r="J1260" s="109"/>
      <c r="K1260" s="109"/>
      <c r="L1260" s="109"/>
      <c r="M1260" s="109"/>
      <c r="N1260" s="109"/>
      <c r="O1260" s="109"/>
      <c r="P1260" s="109"/>
      <c r="Q1260" s="109"/>
      <c r="R1260" s="109"/>
      <c r="S1260" s="109"/>
      <c r="T1260" s="109"/>
      <c r="U1260" s="109"/>
    </row>
    <row r="1261" spans="1:21">
      <c r="A1261" s="109"/>
      <c r="B1261" s="109"/>
      <c r="C1261" s="109"/>
      <c r="D1261" s="109"/>
      <c r="E1261" s="109"/>
      <c r="F1261" s="109"/>
      <c r="G1261" s="109"/>
      <c r="H1261" s="109"/>
      <c r="I1261" s="109"/>
      <c r="J1261" s="109"/>
      <c r="K1261" s="109"/>
      <c r="L1261" s="109"/>
      <c r="M1261" s="109"/>
      <c r="N1261" s="109"/>
      <c r="O1261" s="109"/>
      <c r="P1261" s="109"/>
      <c r="Q1261" s="109"/>
      <c r="R1261" s="109"/>
      <c r="S1261" s="109"/>
      <c r="T1261" s="109"/>
      <c r="U1261" s="109"/>
    </row>
    <row r="1262" spans="1:21">
      <c r="A1262" s="109"/>
      <c r="B1262" s="109"/>
      <c r="C1262" s="109"/>
      <c r="D1262" s="109"/>
      <c r="E1262" s="109"/>
      <c r="F1262" s="109"/>
      <c r="G1262" s="109"/>
      <c r="H1262" s="109"/>
      <c r="I1262" s="109"/>
      <c r="J1262" s="109"/>
      <c r="K1262" s="109"/>
      <c r="L1262" s="109"/>
      <c r="M1262" s="109"/>
      <c r="N1262" s="109"/>
      <c r="O1262" s="109"/>
      <c r="P1262" s="109"/>
      <c r="Q1262" s="109"/>
      <c r="R1262" s="109"/>
      <c r="S1262" s="109"/>
      <c r="T1262" s="109"/>
      <c r="U1262" s="109"/>
    </row>
    <row r="1263" spans="1:21">
      <c r="A1263" s="109"/>
      <c r="B1263" s="109"/>
      <c r="C1263" s="109"/>
      <c r="D1263" s="109"/>
      <c r="E1263" s="109"/>
      <c r="F1263" s="109"/>
      <c r="G1263" s="109"/>
      <c r="H1263" s="109"/>
      <c r="I1263" s="109"/>
      <c r="J1263" s="109"/>
      <c r="K1263" s="109"/>
      <c r="L1263" s="109"/>
      <c r="M1263" s="109"/>
      <c r="N1263" s="109"/>
      <c r="O1263" s="109"/>
      <c r="P1263" s="109"/>
      <c r="Q1263" s="109"/>
      <c r="R1263" s="109"/>
      <c r="S1263" s="109"/>
      <c r="T1263" s="109"/>
      <c r="U1263" s="109"/>
    </row>
    <row r="1264" spans="1:21">
      <c r="A1264" s="109"/>
      <c r="B1264" s="109"/>
      <c r="C1264" s="109"/>
      <c r="D1264" s="109"/>
      <c r="E1264" s="109"/>
      <c r="F1264" s="109"/>
      <c r="G1264" s="109"/>
      <c r="H1264" s="109"/>
      <c r="I1264" s="109"/>
      <c r="J1264" s="109"/>
      <c r="K1264" s="109"/>
      <c r="L1264" s="109"/>
      <c r="M1264" s="109"/>
      <c r="N1264" s="109"/>
      <c r="O1264" s="109"/>
      <c r="P1264" s="109"/>
      <c r="Q1264" s="109"/>
      <c r="R1264" s="109"/>
      <c r="S1264" s="109"/>
      <c r="T1264" s="109"/>
      <c r="U1264" s="109"/>
    </row>
    <row r="1265" spans="1:21">
      <c r="A1265" s="109"/>
      <c r="B1265" s="109"/>
      <c r="C1265" s="109"/>
      <c r="D1265" s="109"/>
      <c r="E1265" s="109"/>
      <c r="F1265" s="109"/>
      <c r="G1265" s="109"/>
      <c r="H1265" s="109"/>
      <c r="I1265" s="109"/>
      <c r="J1265" s="109"/>
      <c r="K1265" s="109"/>
      <c r="L1265" s="109"/>
      <c r="M1265" s="109"/>
      <c r="N1265" s="109"/>
      <c r="O1265" s="109"/>
      <c r="P1265" s="109"/>
      <c r="Q1265" s="109"/>
      <c r="R1265" s="109"/>
      <c r="S1265" s="109"/>
      <c r="T1265" s="109"/>
      <c r="U1265" s="109"/>
    </row>
    <row r="1266" spans="1:21">
      <c r="A1266" s="109"/>
      <c r="B1266" s="109"/>
      <c r="C1266" s="109"/>
      <c r="D1266" s="109"/>
      <c r="E1266" s="109"/>
      <c r="F1266" s="109"/>
      <c r="G1266" s="109"/>
      <c r="H1266" s="109"/>
      <c r="I1266" s="109"/>
      <c r="J1266" s="109"/>
      <c r="K1266" s="109"/>
      <c r="L1266" s="109"/>
      <c r="M1266" s="109"/>
      <c r="N1266" s="109"/>
      <c r="O1266" s="109"/>
      <c r="P1266" s="109"/>
      <c r="Q1266" s="109"/>
      <c r="R1266" s="109"/>
      <c r="S1266" s="109"/>
      <c r="T1266" s="109"/>
      <c r="U1266" s="109"/>
    </row>
    <row r="1267" spans="1:21">
      <c r="A1267" s="109"/>
      <c r="B1267" s="109"/>
      <c r="C1267" s="109"/>
      <c r="D1267" s="109"/>
      <c r="E1267" s="109"/>
      <c r="F1267" s="109"/>
      <c r="G1267" s="109"/>
      <c r="H1267" s="109"/>
      <c r="I1267" s="109"/>
      <c r="J1267" s="109"/>
      <c r="K1267" s="109"/>
      <c r="L1267" s="109"/>
      <c r="M1267" s="109"/>
      <c r="N1267" s="109"/>
      <c r="O1267" s="109"/>
      <c r="P1267" s="109"/>
      <c r="Q1267" s="109"/>
      <c r="R1267" s="109"/>
      <c r="S1267" s="109"/>
      <c r="T1267" s="109"/>
      <c r="U1267" s="109"/>
    </row>
    <row r="1268" spans="1:21">
      <c r="A1268" s="109"/>
      <c r="B1268" s="109"/>
      <c r="C1268" s="109"/>
      <c r="D1268" s="109"/>
      <c r="E1268" s="109"/>
      <c r="F1268" s="109"/>
      <c r="G1268" s="109"/>
      <c r="H1268" s="109"/>
      <c r="I1268" s="109"/>
      <c r="J1268" s="109"/>
      <c r="K1268" s="109"/>
      <c r="L1268" s="109"/>
      <c r="M1268" s="109"/>
      <c r="N1268" s="109"/>
      <c r="O1268" s="109"/>
      <c r="P1268" s="109"/>
      <c r="Q1268" s="109"/>
      <c r="R1268" s="109"/>
      <c r="S1268" s="109"/>
      <c r="T1268" s="109"/>
      <c r="U1268" s="109"/>
    </row>
    <row r="1269" spans="1:21">
      <c r="A1269" s="109"/>
      <c r="B1269" s="109"/>
      <c r="C1269" s="109"/>
      <c r="D1269" s="109"/>
      <c r="E1269" s="109"/>
      <c r="F1269" s="109"/>
      <c r="G1269" s="109"/>
      <c r="H1269" s="109"/>
      <c r="I1269" s="109"/>
      <c r="J1269" s="109"/>
      <c r="K1269" s="109"/>
      <c r="L1269" s="109"/>
      <c r="M1269" s="109"/>
      <c r="N1269" s="109"/>
      <c r="O1269" s="109"/>
      <c r="P1269" s="109"/>
      <c r="Q1269" s="109"/>
      <c r="R1269" s="109"/>
      <c r="S1269" s="109"/>
      <c r="T1269" s="109"/>
      <c r="U1269" s="109"/>
    </row>
    <row r="1270" spans="1:21">
      <c r="A1270" s="109"/>
      <c r="B1270" s="109"/>
      <c r="C1270" s="109"/>
      <c r="D1270" s="109"/>
      <c r="E1270" s="109"/>
      <c r="F1270" s="109"/>
      <c r="G1270" s="109"/>
      <c r="H1270" s="109"/>
      <c r="I1270" s="109"/>
      <c r="J1270" s="109"/>
      <c r="K1270" s="109"/>
      <c r="L1270" s="109"/>
      <c r="M1270" s="109"/>
      <c r="N1270" s="109"/>
      <c r="O1270" s="109"/>
      <c r="P1270" s="109"/>
      <c r="Q1270" s="109"/>
      <c r="R1270" s="109"/>
      <c r="S1270" s="109"/>
      <c r="T1270" s="109"/>
      <c r="U1270" s="109"/>
    </row>
    <row r="1271" spans="1:21">
      <c r="A1271" s="109"/>
      <c r="B1271" s="109"/>
      <c r="C1271" s="109"/>
      <c r="D1271" s="109"/>
      <c r="E1271" s="109"/>
      <c r="F1271" s="109"/>
      <c r="G1271" s="109"/>
      <c r="H1271" s="109"/>
      <c r="I1271" s="109"/>
      <c r="J1271" s="109"/>
      <c r="K1271" s="109"/>
      <c r="L1271" s="109"/>
      <c r="M1271" s="109"/>
      <c r="N1271" s="109"/>
      <c r="O1271" s="109"/>
      <c r="P1271" s="109"/>
      <c r="Q1271" s="109"/>
      <c r="R1271" s="109"/>
      <c r="S1271" s="109"/>
      <c r="T1271" s="109"/>
      <c r="U1271" s="109"/>
    </row>
    <row r="1272" spans="1:21">
      <c r="A1272" s="109"/>
      <c r="B1272" s="109"/>
      <c r="C1272" s="109"/>
      <c r="D1272" s="109"/>
      <c r="E1272" s="109"/>
      <c r="F1272" s="109"/>
      <c r="G1272" s="109"/>
      <c r="H1272" s="109"/>
      <c r="I1272" s="109"/>
      <c r="J1272" s="109"/>
      <c r="K1272" s="109"/>
      <c r="L1272" s="109"/>
      <c r="M1272" s="109"/>
      <c r="N1272" s="109"/>
      <c r="O1272" s="109"/>
      <c r="P1272" s="109"/>
      <c r="Q1272" s="109"/>
      <c r="R1272" s="109"/>
      <c r="S1272" s="109"/>
      <c r="T1272" s="109"/>
      <c r="U1272" s="109"/>
    </row>
    <row r="1273" spans="1:21">
      <c r="A1273" s="109"/>
      <c r="B1273" s="109"/>
      <c r="C1273" s="109"/>
      <c r="D1273" s="109"/>
      <c r="E1273" s="109"/>
      <c r="F1273" s="109"/>
      <c r="G1273" s="109"/>
      <c r="H1273" s="109"/>
      <c r="I1273" s="109"/>
      <c r="J1273" s="109"/>
      <c r="K1273" s="109"/>
      <c r="L1273" s="109"/>
      <c r="M1273" s="109"/>
      <c r="N1273" s="109"/>
      <c r="O1273" s="109"/>
      <c r="P1273" s="109"/>
      <c r="Q1273" s="109"/>
      <c r="R1273" s="109"/>
      <c r="S1273" s="109"/>
      <c r="T1273" s="109"/>
      <c r="U1273" s="109"/>
    </row>
    <row r="1274" spans="1:21">
      <c r="A1274" s="109"/>
      <c r="B1274" s="109"/>
      <c r="C1274" s="109"/>
      <c r="D1274" s="109"/>
      <c r="E1274" s="109"/>
      <c r="F1274" s="109"/>
      <c r="G1274" s="109"/>
      <c r="H1274" s="109"/>
      <c r="I1274" s="109"/>
      <c r="J1274" s="109"/>
      <c r="K1274" s="109"/>
      <c r="L1274" s="109"/>
      <c r="M1274" s="109"/>
      <c r="N1274" s="109"/>
      <c r="O1274" s="109"/>
      <c r="P1274" s="109"/>
      <c r="Q1274" s="109"/>
      <c r="R1274" s="109"/>
      <c r="S1274" s="109"/>
      <c r="T1274" s="109"/>
      <c r="U1274" s="109"/>
    </row>
    <row r="1275" spans="1:21">
      <c r="A1275" s="109"/>
      <c r="B1275" s="109"/>
      <c r="C1275" s="109"/>
      <c r="D1275" s="109"/>
      <c r="E1275" s="109"/>
      <c r="F1275" s="109"/>
      <c r="G1275" s="109"/>
      <c r="H1275" s="109"/>
      <c r="I1275" s="109"/>
      <c r="J1275" s="109"/>
      <c r="K1275" s="109"/>
      <c r="L1275" s="109"/>
      <c r="M1275" s="109"/>
      <c r="N1275" s="109"/>
      <c r="O1275" s="109"/>
      <c r="P1275" s="109"/>
      <c r="Q1275" s="109"/>
      <c r="R1275" s="109"/>
      <c r="S1275" s="109"/>
      <c r="T1275" s="109"/>
      <c r="U1275" s="109"/>
    </row>
    <row r="1276" spans="1:21">
      <c r="A1276" s="109"/>
      <c r="B1276" s="109"/>
      <c r="C1276" s="109"/>
      <c r="D1276" s="109"/>
      <c r="E1276" s="109"/>
      <c r="F1276" s="109"/>
      <c r="G1276" s="109"/>
      <c r="H1276" s="109"/>
      <c r="I1276" s="109"/>
      <c r="J1276" s="109"/>
      <c r="K1276" s="109"/>
      <c r="L1276" s="109"/>
      <c r="M1276" s="109"/>
      <c r="N1276" s="109"/>
      <c r="O1276" s="109"/>
      <c r="P1276" s="109"/>
      <c r="Q1276" s="109"/>
      <c r="R1276" s="109"/>
      <c r="S1276" s="109"/>
      <c r="T1276" s="109"/>
      <c r="U1276" s="109"/>
    </row>
    <row r="1277" spans="1:21">
      <c r="A1277" s="109"/>
      <c r="B1277" s="109"/>
      <c r="C1277" s="109"/>
      <c r="D1277" s="109"/>
      <c r="E1277" s="109"/>
      <c r="F1277" s="109"/>
      <c r="G1277" s="109"/>
      <c r="H1277" s="109"/>
      <c r="I1277" s="109"/>
      <c r="J1277" s="109"/>
      <c r="K1277" s="109"/>
      <c r="L1277" s="109"/>
      <c r="M1277" s="109"/>
      <c r="N1277" s="109"/>
      <c r="O1277" s="109"/>
      <c r="P1277" s="109"/>
      <c r="Q1277" s="109"/>
      <c r="R1277" s="109"/>
      <c r="S1277" s="109"/>
      <c r="T1277" s="109"/>
      <c r="U1277" s="109"/>
    </row>
    <row r="1278" spans="1:21">
      <c r="A1278" s="109"/>
      <c r="B1278" s="109"/>
      <c r="C1278" s="109"/>
      <c r="D1278" s="109"/>
      <c r="E1278" s="109"/>
      <c r="F1278" s="109"/>
      <c r="G1278" s="109"/>
      <c r="H1278" s="109"/>
      <c r="I1278" s="109"/>
      <c r="J1278" s="109"/>
      <c r="K1278" s="109"/>
      <c r="L1278" s="109"/>
      <c r="M1278" s="109"/>
      <c r="N1278" s="109"/>
      <c r="O1278" s="109"/>
      <c r="P1278" s="109"/>
      <c r="Q1278" s="109"/>
      <c r="R1278" s="109"/>
      <c r="S1278" s="109"/>
      <c r="T1278" s="109"/>
      <c r="U1278" s="109"/>
    </row>
    <row r="1279" spans="1:21">
      <c r="A1279" s="109"/>
      <c r="B1279" s="109"/>
      <c r="C1279" s="109"/>
      <c r="D1279" s="109"/>
      <c r="E1279" s="109"/>
      <c r="F1279" s="109"/>
      <c r="G1279" s="109"/>
      <c r="H1279" s="109"/>
      <c r="I1279" s="109"/>
      <c r="J1279" s="109"/>
      <c r="K1279" s="109"/>
      <c r="L1279" s="109"/>
      <c r="M1279" s="109"/>
      <c r="N1279" s="109"/>
      <c r="O1279" s="109"/>
      <c r="P1279" s="109"/>
      <c r="Q1279" s="109"/>
      <c r="R1279" s="109"/>
      <c r="S1279" s="109"/>
      <c r="T1279" s="109"/>
      <c r="U1279" s="109"/>
    </row>
    <row r="1280" spans="1:21">
      <c r="A1280" s="109"/>
      <c r="B1280" s="109"/>
      <c r="C1280" s="109"/>
      <c r="D1280" s="109"/>
      <c r="E1280" s="109"/>
      <c r="F1280" s="109"/>
      <c r="G1280" s="109"/>
      <c r="H1280" s="109"/>
      <c r="I1280" s="109"/>
      <c r="J1280" s="109"/>
      <c r="K1280" s="109"/>
      <c r="L1280" s="109"/>
      <c r="M1280" s="109"/>
      <c r="N1280" s="109"/>
      <c r="O1280" s="109"/>
      <c r="P1280" s="109"/>
      <c r="Q1280" s="109"/>
      <c r="R1280" s="109"/>
      <c r="S1280" s="109"/>
      <c r="T1280" s="109"/>
      <c r="U1280" s="109"/>
    </row>
    <row r="1281" spans="1:21">
      <c r="A1281" s="109"/>
      <c r="B1281" s="109"/>
      <c r="C1281" s="109"/>
      <c r="D1281" s="109"/>
      <c r="E1281" s="109"/>
      <c r="F1281" s="109"/>
      <c r="G1281" s="109"/>
      <c r="H1281" s="109"/>
      <c r="I1281" s="109"/>
      <c r="J1281" s="109"/>
      <c r="K1281" s="109"/>
      <c r="L1281" s="109"/>
      <c r="M1281" s="109"/>
      <c r="N1281" s="109"/>
      <c r="O1281" s="109"/>
      <c r="P1281" s="109"/>
      <c r="Q1281" s="109"/>
      <c r="R1281" s="109"/>
      <c r="S1281" s="109"/>
      <c r="T1281" s="109"/>
      <c r="U1281" s="109"/>
    </row>
    <row r="1282" spans="1:21">
      <c r="A1282" s="109"/>
      <c r="B1282" s="109"/>
      <c r="C1282" s="109"/>
      <c r="D1282" s="109"/>
      <c r="E1282" s="109"/>
      <c r="F1282" s="109"/>
      <c r="G1282" s="109"/>
      <c r="H1282" s="109"/>
      <c r="I1282" s="109"/>
      <c r="J1282" s="109"/>
      <c r="K1282" s="109"/>
      <c r="L1282" s="109"/>
      <c r="M1282" s="109"/>
      <c r="N1282" s="109"/>
      <c r="O1282" s="109"/>
      <c r="P1282" s="109"/>
      <c r="Q1282" s="109"/>
      <c r="R1282" s="109"/>
      <c r="S1282" s="109"/>
      <c r="T1282" s="109"/>
      <c r="U1282" s="109"/>
    </row>
    <row r="1283" spans="1:21">
      <c r="A1283" s="109"/>
      <c r="B1283" s="109"/>
      <c r="C1283" s="109"/>
      <c r="D1283" s="109"/>
      <c r="E1283" s="109"/>
      <c r="F1283" s="109"/>
      <c r="G1283" s="109"/>
      <c r="H1283" s="109"/>
      <c r="I1283" s="109"/>
      <c r="J1283" s="109"/>
      <c r="K1283" s="109"/>
      <c r="L1283" s="109"/>
      <c r="M1283" s="109"/>
      <c r="N1283" s="109"/>
      <c r="O1283" s="109"/>
      <c r="P1283" s="109"/>
      <c r="Q1283" s="109"/>
      <c r="R1283" s="109"/>
      <c r="S1283" s="109"/>
      <c r="T1283" s="109"/>
      <c r="U1283" s="109"/>
    </row>
    <row r="1284" spans="1:21">
      <c r="A1284" s="109"/>
      <c r="B1284" s="109"/>
      <c r="C1284" s="109"/>
      <c r="D1284" s="109"/>
      <c r="E1284" s="109"/>
      <c r="F1284" s="109"/>
      <c r="G1284" s="109"/>
      <c r="H1284" s="109"/>
      <c r="I1284" s="109"/>
      <c r="J1284" s="109"/>
      <c r="K1284" s="109"/>
      <c r="L1284" s="109"/>
      <c r="M1284" s="109"/>
      <c r="N1284" s="109"/>
      <c r="O1284" s="109"/>
      <c r="P1284" s="109"/>
      <c r="Q1284" s="109"/>
      <c r="R1284" s="109"/>
      <c r="S1284" s="109"/>
      <c r="T1284" s="109"/>
      <c r="U1284" s="109"/>
    </row>
    <row r="1285" spans="1:21">
      <c r="A1285" s="109"/>
      <c r="B1285" s="109"/>
      <c r="C1285" s="109"/>
      <c r="D1285" s="109"/>
      <c r="E1285" s="109"/>
      <c r="F1285" s="109"/>
      <c r="G1285" s="109"/>
      <c r="H1285" s="109"/>
      <c r="I1285" s="109"/>
      <c r="J1285" s="109"/>
      <c r="K1285" s="109"/>
      <c r="L1285" s="109"/>
      <c r="M1285" s="109"/>
      <c r="N1285" s="109"/>
      <c r="O1285" s="109"/>
      <c r="P1285" s="109"/>
      <c r="Q1285" s="109"/>
      <c r="R1285" s="109"/>
      <c r="S1285" s="109"/>
      <c r="T1285" s="109"/>
      <c r="U1285" s="109"/>
    </row>
    <row r="1286" spans="1:21">
      <c r="A1286" s="109"/>
      <c r="B1286" s="109"/>
      <c r="C1286" s="109"/>
      <c r="D1286" s="109"/>
      <c r="E1286" s="109"/>
      <c r="F1286" s="109"/>
      <c r="G1286" s="109"/>
      <c r="H1286" s="109"/>
      <c r="I1286" s="109"/>
      <c r="J1286" s="109"/>
      <c r="K1286" s="109"/>
      <c r="L1286" s="109"/>
      <c r="M1286" s="109"/>
      <c r="N1286" s="109"/>
      <c r="O1286" s="109"/>
      <c r="P1286" s="109"/>
      <c r="Q1286" s="109"/>
      <c r="R1286" s="109"/>
      <c r="S1286" s="109"/>
      <c r="T1286" s="109"/>
      <c r="U1286" s="109"/>
    </row>
    <row r="1287" spans="1:21">
      <c r="A1287" s="109"/>
      <c r="B1287" s="109"/>
      <c r="C1287" s="109"/>
      <c r="D1287" s="109"/>
      <c r="E1287" s="109"/>
      <c r="F1287" s="109"/>
      <c r="G1287" s="109"/>
      <c r="H1287" s="109"/>
      <c r="I1287" s="109"/>
      <c r="J1287" s="109"/>
      <c r="K1287" s="109"/>
      <c r="L1287" s="109"/>
      <c r="M1287" s="109"/>
      <c r="N1287" s="109"/>
      <c r="O1287" s="109"/>
      <c r="P1287" s="109"/>
      <c r="Q1287" s="109"/>
      <c r="R1287" s="109"/>
      <c r="S1287" s="109"/>
      <c r="T1287" s="109"/>
      <c r="U1287" s="109"/>
    </row>
    <row r="1288" spans="1:21">
      <c r="A1288" s="109"/>
      <c r="B1288" s="109"/>
      <c r="C1288" s="109"/>
      <c r="D1288" s="109"/>
      <c r="E1288" s="109"/>
      <c r="F1288" s="109"/>
      <c r="G1288" s="109"/>
      <c r="H1288" s="109"/>
      <c r="I1288" s="109"/>
      <c r="J1288" s="109"/>
      <c r="K1288" s="109"/>
      <c r="L1288" s="109"/>
      <c r="M1288" s="109"/>
      <c r="N1288" s="109"/>
      <c r="O1288" s="109"/>
      <c r="P1288" s="109"/>
      <c r="Q1288" s="109"/>
      <c r="R1288" s="109"/>
      <c r="S1288" s="109"/>
      <c r="T1288" s="109"/>
      <c r="U1288" s="109"/>
    </row>
    <row r="1289" spans="1:21">
      <c r="A1289" s="109"/>
      <c r="B1289" s="109"/>
      <c r="C1289" s="109"/>
      <c r="D1289" s="109"/>
      <c r="E1289" s="109"/>
      <c r="F1289" s="109"/>
      <c r="G1289" s="109"/>
      <c r="H1289" s="109"/>
      <c r="I1289" s="109"/>
      <c r="J1289" s="109"/>
      <c r="K1289" s="109"/>
      <c r="L1289" s="109"/>
      <c r="M1289" s="109"/>
      <c r="N1289" s="109"/>
      <c r="O1289" s="109"/>
      <c r="P1289" s="109"/>
      <c r="Q1289" s="109"/>
      <c r="R1289" s="109"/>
      <c r="S1289" s="109"/>
      <c r="T1289" s="109"/>
      <c r="U1289" s="109"/>
    </row>
    <row r="1290" spans="1:21">
      <c r="A1290" s="109"/>
      <c r="B1290" s="109"/>
      <c r="C1290" s="109"/>
      <c r="D1290" s="109"/>
      <c r="E1290" s="109"/>
      <c r="F1290" s="109"/>
      <c r="G1290" s="109"/>
      <c r="H1290" s="109"/>
      <c r="I1290" s="109"/>
      <c r="J1290" s="109"/>
      <c r="K1290" s="109"/>
      <c r="L1290" s="109"/>
      <c r="M1290" s="109"/>
      <c r="N1290" s="109"/>
      <c r="O1290" s="109"/>
      <c r="P1290" s="109"/>
      <c r="Q1290" s="109"/>
      <c r="R1290" s="109"/>
      <c r="S1290" s="109"/>
      <c r="T1290" s="109"/>
      <c r="U1290" s="109"/>
    </row>
    <row r="1291" spans="1:21">
      <c r="A1291" s="109"/>
      <c r="B1291" s="109"/>
      <c r="C1291" s="109"/>
      <c r="D1291" s="109"/>
      <c r="E1291" s="109"/>
      <c r="F1291" s="109"/>
      <c r="G1291" s="109"/>
      <c r="H1291" s="109"/>
      <c r="I1291" s="109"/>
      <c r="J1291" s="109"/>
      <c r="K1291" s="109"/>
      <c r="L1291" s="109"/>
      <c r="M1291" s="109"/>
      <c r="N1291" s="109"/>
      <c r="O1291" s="109"/>
      <c r="P1291" s="109"/>
      <c r="Q1291" s="109"/>
      <c r="R1291" s="109"/>
      <c r="S1291" s="109"/>
      <c r="T1291" s="109"/>
      <c r="U1291" s="109"/>
    </row>
    <row r="1292" spans="1:21">
      <c r="A1292" s="109"/>
      <c r="B1292" s="109"/>
      <c r="C1292" s="109"/>
      <c r="D1292" s="109"/>
      <c r="E1292" s="109"/>
      <c r="F1292" s="109"/>
      <c r="G1292" s="109"/>
      <c r="H1292" s="109"/>
      <c r="I1292" s="109"/>
      <c r="J1292" s="109"/>
      <c r="K1292" s="109"/>
      <c r="L1292" s="109"/>
      <c r="M1292" s="109"/>
      <c r="N1292" s="109"/>
      <c r="O1292" s="109"/>
      <c r="P1292" s="109"/>
      <c r="Q1292" s="109"/>
      <c r="R1292" s="109"/>
      <c r="S1292" s="109"/>
      <c r="T1292" s="109"/>
      <c r="U1292" s="109"/>
    </row>
    <row r="1293" spans="1:21">
      <c r="A1293" s="109"/>
      <c r="B1293" s="109"/>
      <c r="C1293" s="109"/>
      <c r="D1293" s="109"/>
      <c r="E1293" s="109"/>
      <c r="F1293" s="109"/>
      <c r="G1293" s="109"/>
      <c r="H1293" s="109"/>
      <c r="I1293" s="109"/>
      <c r="J1293" s="109"/>
      <c r="K1293" s="109"/>
      <c r="L1293" s="109"/>
      <c r="M1293" s="109"/>
      <c r="N1293" s="109"/>
      <c r="O1293" s="109"/>
      <c r="P1293" s="109"/>
      <c r="Q1293" s="109"/>
      <c r="R1293" s="109"/>
      <c r="S1293" s="109"/>
      <c r="T1293" s="109"/>
      <c r="U1293" s="109"/>
    </row>
    <row r="1294" spans="1:21">
      <c r="A1294" s="109"/>
      <c r="B1294" s="109"/>
      <c r="C1294" s="109"/>
      <c r="D1294" s="109"/>
      <c r="E1294" s="109"/>
      <c r="F1294" s="109"/>
      <c r="G1294" s="109"/>
      <c r="H1294" s="109"/>
      <c r="I1294" s="109"/>
      <c r="J1294" s="109"/>
      <c r="K1294" s="109"/>
      <c r="L1294" s="109"/>
      <c r="M1294" s="109"/>
      <c r="N1294" s="109"/>
      <c r="O1294" s="109"/>
      <c r="P1294" s="109"/>
      <c r="Q1294" s="109"/>
      <c r="R1294" s="109"/>
      <c r="S1294" s="109"/>
      <c r="T1294" s="109"/>
      <c r="U1294" s="109"/>
    </row>
    <row r="1295" spans="1:21">
      <c r="A1295" s="109"/>
      <c r="B1295" s="109"/>
      <c r="C1295" s="109"/>
      <c r="D1295" s="109"/>
      <c r="E1295" s="109"/>
      <c r="F1295" s="109"/>
      <c r="G1295" s="109"/>
      <c r="H1295" s="109"/>
      <c r="I1295" s="109"/>
      <c r="J1295" s="109"/>
      <c r="K1295" s="109"/>
      <c r="L1295" s="109"/>
      <c r="M1295" s="109"/>
      <c r="N1295" s="109"/>
      <c r="O1295" s="109"/>
      <c r="P1295" s="109"/>
      <c r="Q1295" s="109"/>
      <c r="R1295" s="109"/>
      <c r="S1295" s="109"/>
      <c r="T1295" s="109"/>
      <c r="U1295" s="109"/>
    </row>
    <row r="1296" spans="1:21">
      <c r="A1296" s="109"/>
      <c r="B1296" s="109"/>
      <c r="C1296" s="109"/>
      <c r="D1296" s="109"/>
      <c r="E1296" s="109"/>
      <c r="F1296" s="109"/>
      <c r="G1296" s="109"/>
      <c r="H1296" s="109"/>
      <c r="I1296" s="109"/>
      <c r="J1296" s="109"/>
      <c r="K1296" s="109"/>
      <c r="L1296" s="109"/>
      <c r="M1296" s="109"/>
      <c r="N1296" s="109"/>
      <c r="O1296" s="109"/>
      <c r="P1296" s="109"/>
      <c r="Q1296" s="109"/>
      <c r="R1296" s="109"/>
      <c r="S1296" s="109"/>
      <c r="T1296" s="109"/>
      <c r="U1296" s="109"/>
    </row>
    <row r="1297" spans="1:21">
      <c r="A1297" s="109"/>
      <c r="B1297" s="109"/>
      <c r="C1297" s="109"/>
      <c r="D1297" s="109"/>
      <c r="E1297" s="109"/>
      <c r="F1297" s="109"/>
      <c r="G1297" s="109"/>
      <c r="H1297" s="109"/>
      <c r="I1297" s="109"/>
      <c r="J1297" s="109"/>
      <c r="K1297" s="109"/>
      <c r="L1297" s="109"/>
      <c r="M1297" s="109"/>
      <c r="N1297" s="109"/>
      <c r="O1297" s="109"/>
      <c r="P1297" s="109"/>
      <c r="Q1297" s="109"/>
      <c r="R1297" s="109"/>
      <c r="S1297" s="109"/>
      <c r="T1297" s="109"/>
      <c r="U1297" s="109"/>
    </row>
    <row r="1298" spans="1:21">
      <c r="A1298" s="109"/>
      <c r="B1298" s="109"/>
      <c r="C1298" s="109"/>
      <c r="D1298" s="109"/>
      <c r="E1298" s="109"/>
      <c r="F1298" s="109"/>
      <c r="G1298" s="109"/>
      <c r="H1298" s="109"/>
      <c r="I1298" s="109"/>
      <c r="J1298" s="109"/>
      <c r="K1298" s="109"/>
      <c r="L1298" s="109"/>
      <c r="M1298" s="109"/>
      <c r="N1298" s="109"/>
      <c r="O1298" s="109"/>
      <c r="P1298" s="109"/>
      <c r="Q1298" s="109"/>
      <c r="R1298" s="109"/>
      <c r="S1298" s="109"/>
      <c r="T1298" s="109"/>
      <c r="U1298" s="109"/>
    </row>
    <row r="1299" spans="1:21">
      <c r="A1299" s="109"/>
      <c r="B1299" s="109"/>
      <c r="C1299" s="109"/>
      <c r="D1299" s="109"/>
      <c r="E1299" s="109"/>
      <c r="F1299" s="109"/>
      <c r="G1299" s="109"/>
      <c r="H1299" s="109"/>
      <c r="I1299" s="109"/>
      <c r="J1299" s="109"/>
      <c r="K1299" s="109"/>
      <c r="L1299" s="109"/>
      <c r="M1299" s="109"/>
      <c r="N1299" s="109"/>
      <c r="O1299" s="109"/>
      <c r="P1299" s="109"/>
      <c r="Q1299" s="109"/>
      <c r="R1299" s="109"/>
      <c r="S1299" s="109"/>
      <c r="T1299" s="109"/>
      <c r="U1299" s="109"/>
    </row>
    <row r="1300" spans="1:21">
      <c r="A1300" s="109"/>
      <c r="B1300" s="109"/>
      <c r="C1300" s="109"/>
      <c r="D1300" s="109"/>
      <c r="E1300" s="109"/>
      <c r="F1300" s="109"/>
      <c r="G1300" s="109"/>
      <c r="H1300" s="109"/>
      <c r="I1300" s="109"/>
      <c r="J1300" s="109"/>
      <c r="K1300" s="109"/>
      <c r="L1300" s="109"/>
      <c r="M1300" s="109"/>
      <c r="N1300" s="109"/>
      <c r="O1300" s="109"/>
      <c r="P1300" s="109"/>
      <c r="Q1300" s="109"/>
      <c r="R1300" s="109"/>
      <c r="S1300" s="109"/>
      <c r="T1300" s="109"/>
      <c r="U1300" s="109"/>
    </row>
    <row r="1301" spans="1:21">
      <c r="A1301" s="109"/>
      <c r="B1301" s="109"/>
      <c r="C1301" s="109"/>
      <c r="D1301" s="109"/>
      <c r="E1301" s="109"/>
      <c r="F1301" s="109"/>
      <c r="G1301" s="109"/>
      <c r="H1301" s="109"/>
      <c r="I1301" s="109"/>
      <c r="J1301" s="109"/>
      <c r="K1301" s="109"/>
      <c r="L1301" s="109"/>
      <c r="M1301" s="109"/>
      <c r="N1301" s="109"/>
      <c r="O1301" s="109"/>
      <c r="P1301" s="109"/>
      <c r="Q1301" s="109"/>
      <c r="R1301" s="109"/>
      <c r="S1301" s="109"/>
      <c r="T1301" s="109"/>
      <c r="U1301" s="109"/>
    </row>
    <row r="1302" spans="1:21">
      <c r="A1302" s="109"/>
      <c r="B1302" s="109"/>
      <c r="C1302" s="109"/>
      <c r="D1302" s="109"/>
      <c r="E1302" s="109"/>
      <c r="F1302" s="109"/>
      <c r="G1302" s="109"/>
      <c r="H1302" s="109"/>
      <c r="I1302" s="109"/>
      <c r="J1302" s="109"/>
      <c r="K1302" s="109"/>
      <c r="L1302" s="109"/>
      <c r="M1302" s="109"/>
      <c r="N1302" s="109"/>
      <c r="O1302" s="109"/>
      <c r="P1302" s="109"/>
      <c r="Q1302" s="109"/>
      <c r="R1302" s="109"/>
      <c r="S1302" s="109"/>
      <c r="T1302" s="109"/>
      <c r="U1302" s="109"/>
    </row>
    <row r="1303" spans="1:21">
      <c r="A1303" s="109"/>
      <c r="B1303" s="109"/>
      <c r="C1303" s="109"/>
      <c r="D1303" s="109"/>
      <c r="E1303" s="109"/>
      <c r="F1303" s="109"/>
      <c r="G1303" s="109"/>
      <c r="H1303" s="109"/>
      <c r="I1303" s="109"/>
      <c r="J1303" s="109"/>
      <c r="K1303" s="109"/>
      <c r="L1303" s="109"/>
      <c r="M1303" s="109"/>
      <c r="N1303" s="109"/>
      <c r="O1303" s="109"/>
      <c r="P1303" s="109"/>
      <c r="Q1303" s="109"/>
      <c r="R1303" s="109"/>
      <c r="S1303" s="109"/>
      <c r="T1303" s="109"/>
      <c r="U1303" s="109"/>
    </row>
    <row r="1304" spans="1:21">
      <c r="A1304" s="109"/>
      <c r="B1304" s="109"/>
      <c r="C1304" s="109"/>
      <c r="D1304" s="109"/>
      <c r="E1304" s="109"/>
      <c r="F1304" s="109"/>
      <c r="G1304" s="109"/>
      <c r="H1304" s="109"/>
      <c r="I1304" s="109"/>
      <c r="J1304" s="109"/>
      <c r="K1304" s="109"/>
      <c r="L1304" s="109"/>
      <c r="M1304" s="109"/>
      <c r="N1304" s="109"/>
      <c r="O1304" s="109"/>
      <c r="P1304" s="109"/>
      <c r="Q1304" s="109"/>
      <c r="R1304" s="109"/>
      <c r="S1304" s="109"/>
      <c r="T1304" s="109"/>
      <c r="U1304" s="109"/>
    </row>
    <row r="1305" spans="1:21">
      <c r="A1305" s="109"/>
      <c r="B1305" s="109"/>
      <c r="C1305" s="109"/>
      <c r="D1305" s="109"/>
      <c r="E1305" s="109"/>
      <c r="F1305" s="109"/>
      <c r="G1305" s="109"/>
      <c r="H1305" s="109"/>
      <c r="I1305" s="109"/>
      <c r="J1305" s="109"/>
      <c r="K1305" s="109"/>
      <c r="L1305" s="109"/>
      <c r="M1305" s="109"/>
      <c r="N1305" s="109"/>
      <c r="O1305" s="109"/>
      <c r="P1305" s="109"/>
      <c r="Q1305" s="109"/>
      <c r="R1305" s="109"/>
      <c r="S1305" s="109"/>
      <c r="T1305" s="109"/>
      <c r="U1305" s="109"/>
    </row>
    <row r="1306" spans="1:21">
      <c r="A1306" s="109"/>
      <c r="B1306" s="109"/>
      <c r="C1306" s="109"/>
      <c r="D1306" s="109"/>
      <c r="E1306" s="109"/>
      <c r="F1306" s="109"/>
      <c r="G1306" s="109"/>
      <c r="H1306" s="109"/>
      <c r="I1306" s="109"/>
      <c r="J1306" s="109"/>
      <c r="K1306" s="109"/>
      <c r="L1306" s="109"/>
      <c r="M1306" s="109"/>
      <c r="N1306" s="109"/>
      <c r="O1306" s="109"/>
      <c r="P1306" s="109"/>
      <c r="Q1306" s="109"/>
      <c r="R1306" s="109"/>
      <c r="S1306" s="109"/>
      <c r="T1306" s="109"/>
      <c r="U1306" s="109"/>
    </row>
    <row r="1307" spans="1:21">
      <c r="A1307" s="109"/>
      <c r="B1307" s="109"/>
      <c r="C1307" s="109"/>
      <c r="D1307" s="109"/>
      <c r="E1307" s="109"/>
      <c r="F1307" s="109"/>
      <c r="G1307" s="109"/>
      <c r="H1307" s="109"/>
      <c r="I1307" s="109"/>
      <c r="J1307" s="109"/>
      <c r="K1307" s="109"/>
      <c r="L1307" s="109"/>
      <c r="M1307" s="109"/>
      <c r="N1307" s="109"/>
      <c r="O1307" s="109"/>
      <c r="P1307" s="109"/>
      <c r="Q1307" s="109"/>
      <c r="R1307" s="109"/>
      <c r="S1307" s="109"/>
      <c r="T1307" s="109"/>
      <c r="U1307" s="109"/>
    </row>
    <row r="1308" spans="1:21">
      <c r="A1308" s="109"/>
      <c r="B1308" s="109"/>
      <c r="C1308" s="109"/>
      <c r="D1308" s="109"/>
      <c r="E1308" s="109"/>
      <c r="F1308" s="109"/>
      <c r="G1308" s="109"/>
      <c r="H1308" s="109"/>
      <c r="I1308" s="109"/>
      <c r="J1308" s="109"/>
      <c r="K1308" s="109"/>
      <c r="L1308" s="109"/>
      <c r="M1308" s="109"/>
      <c r="N1308" s="109"/>
      <c r="O1308" s="109"/>
      <c r="P1308" s="109"/>
      <c r="Q1308" s="109"/>
      <c r="R1308" s="109"/>
      <c r="S1308" s="109"/>
      <c r="T1308" s="109"/>
      <c r="U1308" s="109"/>
    </row>
    <row r="1309" spans="1:21">
      <c r="A1309" s="109"/>
      <c r="B1309" s="109"/>
      <c r="C1309" s="109"/>
      <c r="D1309" s="109"/>
      <c r="E1309" s="109"/>
      <c r="F1309" s="109"/>
      <c r="G1309" s="109"/>
      <c r="H1309" s="109"/>
      <c r="I1309" s="109"/>
      <c r="J1309" s="109"/>
      <c r="K1309" s="109"/>
      <c r="L1309" s="109"/>
      <c r="M1309" s="109"/>
      <c r="N1309" s="109"/>
      <c r="O1309" s="109"/>
      <c r="P1309" s="109"/>
      <c r="Q1309" s="109"/>
      <c r="R1309" s="109"/>
      <c r="S1309" s="109"/>
      <c r="T1309" s="109"/>
      <c r="U1309" s="109"/>
    </row>
    <row r="1310" spans="1:21">
      <c r="A1310" s="109"/>
      <c r="B1310" s="109"/>
      <c r="C1310" s="109"/>
      <c r="D1310" s="109"/>
      <c r="E1310" s="109"/>
      <c r="F1310" s="109"/>
      <c r="G1310" s="109"/>
      <c r="H1310" s="109"/>
      <c r="I1310" s="109"/>
      <c r="J1310" s="109"/>
      <c r="K1310" s="109"/>
      <c r="L1310" s="109"/>
      <c r="M1310" s="109"/>
      <c r="N1310" s="109"/>
      <c r="O1310" s="109"/>
      <c r="P1310" s="109"/>
      <c r="Q1310" s="109"/>
      <c r="R1310" s="109"/>
      <c r="S1310" s="109"/>
      <c r="T1310" s="109"/>
      <c r="U1310" s="109"/>
    </row>
    <row r="1311" spans="1:21">
      <c r="A1311" s="109"/>
      <c r="B1311" s="109"/>
      <c r="C1311" s="109"/>
      <c r="D1311" s="109"/>
      <c r="E1311" s="109"/>
      <c r="F1311" s="109"/>
      <c r="G1311" s="109"/>
      <c r="H1311" s="109"/>
      <c r="I1311" s="109"/>
      <c r="J1311" s="109"/>
      <c r="K1311" s="109"/>
      <c r="L1311" s="109"/>
      <c r="M1311" s="109"/>
      <c r="N1311" s="109"/>
      <c r="O1311" s="109"/>
      <c r="P1311" s="109"/>
      <c r="Q1311" s="109"/>
      <c r="R1311" s="109"/>
      <c r="S1311" s="109"/>
      <c r="T1311" s="109"/>
      <c r="U1311" s="109"/>
    </row>
    <row r="1312" spans="1:21">
      <c r="A1312" s="109"/>
      <c r="B1312" s="109"/>
      <c r="C1312" s="109"/>
      <c r="D1312" s="109"/>
      <c r="E1312" s="109"/>
      <c r="F1312" s="109"/>
      <c r="G1312" s="109"/>
      <c r="H1312" s="109"/>
      <c r="I1312" s="109"/>
      <c r="J1312" s="109"/>
      <c r="K1312" s="109"/>
      <c r="L1312" s="109"/>
      <c r="M1312" s="109"/>
      <c r="N1312" s="109"/>
      <c r="O1312" s="109"/>
      <c r="P1312" s="109"/>
      <c r="Q1312" s="109"/>
      <c r="R1312" s="109"/>
      <c r="S1312" s="109"/>
      <c r="T1312" s="109"/>
      <c r="U1312" s="109"/>
    </row>
    <row r="1313" spans="1:21">
      <c r="A1313" s="109"/>
      <c r="B1313" s="109"/>
      <c r="C1313" s="109"/>
      <c r="D1313" s="109"/>
      <c r="E1313" s="109"/>
      <c r="F1313" s="109"/>
      <c r="G1313" s="109"/>
      <c r="H1313" s="109"/>
      <c r="I1313" s="109"/>
      <c r="J1313" s="109"/>
      <c r="K1313" s="109"/>
      <c r="L1313" s="109"/>
      <c r="M1313" s="109"/>
      <c r="N1313" s="109"/>
      <c r="O1313" s="109"/>
      <c r="P1313" s="109"/>
      <c r="Q1313" s="109"/>
      <c r="R1313" s="109"/>
      <c r="S1313" s="109"/>
      <c r="T1313" s="109"/>
      <c r="U1313" s="109"/>
    </row>
    <row r="1314" spans="1:21">
      <c r="A1314" s="109"/>
      <c r="B1314" s="109"/>
      <c r="C1314" s="109"/>
      <c r="D1314" s="109"/>
      <c r="E1314" s="109"/>
      <c r="F1314" s="109"/>
      <c r="G1314" s="109"/>
      <c r="H1314" s="109"/>
      <c r="I1314" s="109"/>
      <c r="J1314" s="109"/>
      <c r="K1314" s="109"/>
      <c r="L1314" s="109"/>
      <c r="M1314" s="109"/>
      <c r="N1314" s="109"/>
      <c r="O1314" s="109"/>
      <c r="P1314" s="109"/>
      <c r="Q1314" s="109"/>
      <c r="R1314" s="109"/>
      <c r="S1314" s="109"/>
      <c r="T1314" s="109"/>
      <c r="U1314" s="109"/>
    </row>
    <row r="1315" spans="1:21">
      <c r="A1315" s="109"/>
      <c r="B1315" s="109"/>
      <c r="C1315" s="109"/>
      <c r="D1315" s="109"/>
      <c r="E1315" s="109"/>
      <c r="F1315" s="109"/>
      <c r="G1315" s="109"/>
      <c r="H1315" s="109"/>
      <c r="I1315" s="109"/>
      <c r="J1315" s="109"/>
      <c r="K1315" s="109"/>
      <c r="L1315" s="109"/>
      <c r="M1315" s="109"/>
      <c r="N1315" s="109"/>
      <c r="O1315" s="109"/>
      <c r="P1315" s="109"/>
      <c r="Q1315" s="109"/>
      <c r="R1315" s="109"/>
      <c r="S1315" s="109"/>
      <c r="T1315" s="109"/>
      <c r="U1315" s="109"/>
    </row>
    <row r="1316" spans="1:21">
      <c r="A1316" s="109"/>
      <c r="B1316" s="109"/>
      <c r="C1316" s="109"/>
      <c r="D1316" s="109"/>
      <c r="E1316" s="109"/>
      <c r="F1316" s="109"/>
      <c r="G1316" s="109"/>
      <c r="H1316" s="109"/>
      <c r="I1316" s="109"/>
      <c r="J1316" s="109"/>
      <c r="K1316" s="109"/>
      <c r="L1316" s="109"/>
      <c r="M1316" s="109"/>
      <c r="N1316" s="109"/>
      <c r="O1316" s="109"/>
      <c r="P1316" s="109"/>
      <c r="Q1316" s="109"/>
      <c r="R1316" s="109"/>
      <c r="S1316" s="109"/>
      <c r="T1316" s="109"/>
      <c r="U1316" s="109"/>
    </row>
    <row r="1317" spans="1:21">
      <c r="A1317" s="109"/>
      <c r="B1317" s="109"/>
      <c r="C1317" s="109"/>
      <c r="D1317" s="109"/>
      <c r="E1317" s="109"/>
      <c r="F1317" s="109"/>
      <c r="G1317" s="109"/>
      <c r="H1317" s="109"/>
      <c r="I1317" s="109"/>
      <c r="J1317" s="109"/>
      <c r="K1317" s="109"/>
      <c r="L1317" s="109"/>
      <c r="M1317" s="109"/>
      <c r="N1317" s="109"/>
      <c r="O1317" s="109"/>
      <c r="P1317" s="109"/>
      <c r="Q1317" s="109"/>
      <c r="R1317" s="109"/>
      <c r="S1317" s="109"/>
      <c r="T1317" s="109"/>
      <c r="U1317" s="109"/>
    </row>
    <row r="1318" spans="1:21">
      <c r="A1318" s="109"/>
      <c r="B1318" s="109"/>
      <c r="C1318" s="109"/>
      <c r="D1318" s="109"/>
      <c r="E1318" s="109"/>
      <c r="F1318" s="109"/>
      <c r="G1318" s="109"/>
      <c r="H1318" s="109"/>
      <c r="I1318" s="109"/>
      <c r="J1318" s="109"/>
      <c r="K1318" s="109"/>
      <c r="L1318" s="109"/>
      <c r="M1318" s="109"/>
      <c r="N1318" s="109"/>
      <c r="O1318" s="109"/>
      <c r="P1318" s="109"/>
      <c r="Q1318" s="109"/>
      <c r="R1318" s="109"/>
      <c r="S1318" s="109"/>
      <c r="T1318" s="109"/>
      <c r="U1318" s="109"/>
    </row>
    <row r="1319" spans="1:21">
      <c r="A1319" s="109"/>
      <c r="B1319" s="109"/>
      <c r="C1319" s="109"/>
      <c r="D1319" s="109"/>
      <c r="E1319" s="109"/>
      <c r="F1319" s="109"/>
      <c r="G1319" s="109"/>
      <c r="H1319" s="109"/>
      <c r="I1319" s="109"/>
      <c r="J1319" s="109"/>
      <c r="K1319" s="109"/>
      <c r="L1319" s="109"/>
      <c r="M1319" s="109"/>
      <c r="N1319" s="109"/>
      <c r="O1319" s="109"/>
      <c r="P1319" s="109"/>
      <c r="Q1319" s="109"/>
      <c r="R1319" s="109"/>
      <c r="S1319" s="109"/>
      <c r="T1319" s="109"/>
      <c r="U1319" s="109"/>
    </row>
    <row r="1320" spans="1:21">
      <c r="A1320" s="109"/>
      <c r="B1320" s="109"/>
      <c r="C1320" s="109"/>
      <c r="D1320" s="109"/>
      <c r="E1320" s="109"/>
      <c r="F1320" s="109"/>
      <c r="G1320" s="109"/>
      <c r="H1320" s="109"/>
      <c r="I1320" s="109"/>
      <c r="J1320" s="109"/>
      <c r="K1320" s="109"/>
      <c r="L1320" s="109"/>
      <c r="M1320" s="109"/>
      <c r="N1320" s="109"/>
      <c r="O1320" s="109"/>
      <c r="P1320" s="109"/>
      <c r="Q1320" s="109"/>
      <c r="R1320" s="109"/>
      <c r="S1320" s="109"/>
      <c r="T1320" s="109"/>
      <c r="U1320" s="109"/>
    </row>
    <row r="1321" spans="1:21">
      <c r="A1321" s="109"/>
      <c r="B1321" s="109"/>
      <c r="C1321" s="109"/>
      <c r="D1321" s="109"/>
      <c r="E1321" s="109"/>
      <c r="F1321" s="109"/>
      <c r="G1321" s="109"/>
      <c r="H1321" s="109"/>
      <c r="I1321" s="109"/>
      <c r="J1321" s="109"/>
      <c r="K1321" s="109"/>
      <c r="L1321" s="109"/>
      <c r="M1321" s="109"/>
      <c r="N1321" s="109"/>
      <c r="O1321" s="109"/>
      <c r="P1321" s="109"/>
      <c r="Q1321" s="109"/>
      <c r="R1321" s="109"/>
      <c r="S1321" s="109"/>
      <c r="T1321" s="109"/>
      <c r="U1321" s="109"/>
    </row>
    <row r="1322" spans="1:21">
      <c r="A1322" s="109"/>
      <c r="B1322" s="109"/>
      <c r="C1322" s="109"/>
      <c r="D1322" s="109"/>
      <c r="E1322" s="109"/>
      <c r="F1322" s="109"/>
      <c r="G1322" s="109"/>
      <c r="H1322" s="109"/>
      <c r="I1322" s="109"/>
      <c r="J1322" s="109"/>
      <c r="K1322" s="109"/>
      <c r="L1322" s="109"/>
      <c r="M1322" s="109"/>
      <c r="N1322" s="109"/>
      <c r="O1322" s="109"/>
      <c r="P1322" s="109"/>
      <c r="Q1322" s="109"/>
      <c r="R1322" s="109"/>
      <c r="S1322" s="109"/>
      <c r="T1322" s="109"/>
      <c r="U1322" s="109"/>
    </row>
    <row r="1323" spans="1:21">
      <c r="A1323" s="109"/>
      <c r="B1323" s="109"/>
      <c r="C1323" s="109"/>
      <c r="D1323" s="109"/>
      <c r="E1323" s="109"/>
      <c r="F1323" s="109"/>
      <c r="G1323" s="109"/>
      <c r="H1323" s="109"/>
      <c r="I1323" s="109"/>
      <c r="J1323" s="109"/>
      <c r="K1323" s="109"/>
      <c r="L1323" s="109"/>
      <c r="M1323" s="109"/>
      <c r="N1323" s="109"/>
      <c r="O1323" s="109"/>
      <c r="P1323" s="109"/>
      <c r="Q1323" s="109"/>
      <c r="R1323" s="109"/>
      <c r="S1323" s="109"/>
      <c r="T1323" s="109"/>
      <c r="U1323" s="109"/>
    </row>
    <row r="1324" spans="1:21">
      <c r="A1324" s="109"/>
      <c r="B1324" s="109"/>
      <c r="C1324" s="109"/>
      <c r="D1324" s="109"/>
      <c r="E1324" s="109"/>
      <c r="F1324" s="109"/>
      <c r="G1324" s="109"/>
      <c r="H1324" s="109"/>
      <c r="I1324" s="109"/>
      <c r="J1324" s="109"/>
      <c r="K1324" s="109"/>
      <c r="L1324" s="109"/>
      <c r="M1324" s="109"/>
      <c r="N1324" s="109"/>
      <c r="O1324" s="109"/>
      <c r="P1324" s="109"/>
      <c r="Q1324" s="109"/>
      <c r="R1324" s="109"/>
      <c r="S1324" s="109"/>
      <c r="T1324" s="109"/>
      <c r="U1324" s="109"/>
    </row>
    <row r="1325" spans="1:21">
      <c r="A1325" s="109"/>
      <c r="B1325" s="109"/>
      <c r="C1325" s="109"/>
      <c r="D1325" s="109"/>
      <c r="E1325" s="109"/>
      <c r="F1325" s="109"/>
      <c r="G1325" s="109"/>
      <c r="H1325" s="109"/>
      <c r="I1325" s="109"/>
      <c r="J1325" s="109"/>
      <c r="K1325" s="109"/>
      <c r="L1325" s="109"/>
      <c r="M1325" s="109"/>
      <c r="N1325" s="109"/>
      <c r="O1325" s="109"/>
      <c r="P1325" s="109"/>
      <c r="Q1325" s="109"/>
      <c r="R1325" s="109"/>
      <c r="S1325" s="109"/>
      <c r="T1325" s="109"/>
      <c r="U1325" s="109"/>
    </row>
    <row r="1326" spans="1:21">
      <c r="A1326" s="109"/>
      <c r="B1326" s="109"/>
      <c r="C1326" s="109"/>
      <c r="D1326" s="109"/>
      <c r="E1326" s="109"/>
      <c r="F1326" s="109"/>
      <c r="G1326" s="109"/>
      <c r="H1326" s="109"/>
      <c r="I1326" s="109"/>
      <c r="J1326" s="109"/>
      <c r="K1326" s="109"/>
      <c r="L1326" s="109"/>
      <c r="M1326" s="109"/>
      <c r="N1326" s="109"/>
      <c r="O1326" s="109"/>
      <c r="P1326" s="109"/>
      <c r="Q1326" s="109"/>
      <c r="R1326" s="109"/>
      <c r="S1326" s="109"/>
      <c r="T1326" s="109"/>
      <c r="U1326" s="109"/>
    </row>
    <row r="1327" spans="1:21">
      <c r="A1327" s="109"/>
      <c r="B1327" s="109"/>
      <c r="C1327" s="109"/>
      <c r="D1327" s="109"/>
      <c r="E1327" s="109"/>
      <c r="F1327" s="109"/>
      <c r="G1327" s="109"/>
      <c r="H1327" s="109"/>
      <c r="I1327" s="109"/>
      <c r="J1327" s="109"/>
      <c r="K1327" s="109"/>
      <c r="L1327" s="109"/>
      <c r="M1327" s="109"/>
      <c r="N1327" s="109"/>
      <c r="O1327" s="109"/>
      <c r="P1327" s="109"/>
      <c r="Q1327" s="109"/>
      <c r="R1327" s="109"/>
      <c r="S1327" s="109"/>
      <c r="T1327" s="109"/>
      <c r="U1327" s="109"/>
    </row>
    <row r="1328" spans="1:21">
      <c r="A1328" s="109"/>
      <c r="B1328" s="109"/>
      <c r="C1328" s="109"/>
      <c r="D1328" s="109"/>
      <c r="E1328" s="109"/>
      <c r="F1328" s="109"/>
      <c r="G1328" s="109"/>
      <c r="H1328" s="109"/>
      <c r="I1328" s="109"/>
      <c r="J1328" s="109"/>
      <c r="K1328" s="109"/>
      <c r="L1328" s="109"/>
      <c r="M1328" s="109"/>
      <c r="N1328" s="109"/>
      <c r="O1328" s="109"/>
      <c r="P1328" s="109"/>
      <c r="Q1328" s="109"/>
      <c r="R1328" s="109"/>
      <c r="S1328" s="109"/>
      <c r="T1328" s="109"/>
      <c r="U1328" s="109"/>
    </row>
    <row r="1329" spans="1:21">
      <c r="A1329" s="109"/>
      <c r="B1329" s="109"/>
      <c r="C1329" s="109"/>
      <c r="D1329" s="109"/>
      <c r="E1329" s="109"/>
      <c r="F1329" s="109"/>
      <c r="G1329" s="109"/>
      <c r="H1329" s="109"/>
      <c r="I1329" s="109"/>
      <c r="J1329" s="109"/>
      <c r="K1329" s="109"/>
      <c r="L1329" s="109"/>
      <c r="M1329" s="109"/>
      <c r="N1329" s="109"/>
      <c r="O1329" s="109"/>
      <c r="P1329" s="109"/>
      <c r="Q1329" s="109"/>
      <c r="R1329" s="109"/>
      <c r="S1329" s="109"/>
      <c r="T1329" s="109"/>
      <c r="U1329" s="109"/>
    </row>
    <row r="1330" spans="1:21">
      <c r="A1330" s="109"/>
      <c r="B1330" s="109"/>
      <c r="C1330" s="109"/>
      <c r="D1330" s="109"/>
      <c r="E1330" s="109"/>
      <c r="F1330" s="109"/>
      <c r="G1330" s="109"/>
      <c r="H1330" s="109"/>
      <c r="I1330" s="109"/>
      <c r="J1330" s="109"/>
      <c r="K1330" s="109"/>
      <c r="L1330" s="109"/>
      <c r="M1330" s="109"/>
      <c r="N1330" s="109"/>
      <c r="O1330" s="109"/>
      <c r="P1330" s="109"/>
      <c r="Q1330" s="109"/>
      <c r="R1330" s="109"/>
      <c r="S1330" s="109"/>
      <c r="T1330" s="109"/>
      <c r="U1330" s="109"/>
    </row>
    <row r="1331" spans="1:21">
      <c r="A1331" s="109"/>
      <c r="B1331" s="109"/>
      <c r="C1331" s="109"/>
      <c r="D1331" s="109"/>
      <c r="E1331" s="109"/>
      <c r="F1331" s="109"/>
      <c r="G1331" s="109"/>
      <c r="H1331" s="109"/>
      <c r="I1331" s="109"/>
      <c r="J1331" s="109"/>
      <c r="K1331" s="109"/>
      <c r="L1331" s="109"/>
      <c r="M1331" s="109"/>
      <c r="N1331" s="109"/>
      <c r="O1331" s="109"/>
      <c r="P1331" s="109"/>
      <c r="Q1331" s="109"/>
      <c r="R1331" s="109"/>
      <c r="S1331" s="109"/>
      <c r="T1331" s="109"/>
      <c r="U1331" s="109"/>
    </row>
    <row r="1332" spans="1:21">
      <c r="A1332" s="109"/>
      <c r="B1332" s="109"/>
      <c r="C1332" s="109"/>
      <c r="D1332" s="109"/>
      <c r="E1332" s="109"/>
      <c r="F1332" s="109"/>
      <c r="G1332" s="109"/>
      <c r="H1332" s="109"/>
      <c r="I1332" s="109"/>
      <c r="J1332" s="109"/>
      <c r="K1332" s="109"/>
      <c r="L1332" s="109"/>
      <c r="M1332" s="109"/>
      <c r="N1332" s="109"/>
      <c r="O1332" s="109"/>
      <c r="P1332" s="109"/>
      <c r="Q1332" s="109"/>
      <c r="R1332" s="109"/>
      <c r="S1332" s="109"/>
      <c r="T1332" s="109"/>
      <c r="U1332" s="109"/>
    </row>
    <row r="1333" spans="1:21">
      <c r="A1333" s="109"/>
      <c r="B1333" s="109"/>
      <c r="C1333" s="109"/>
      <c r="D1333" s="109"/>
      <c r="E1333" s="109"/>
      <c r="F1333" s="109"/>
      <c r="G1333" s="109"/>
      <c r="H1333" s="109"/>
      <c r="I1333" s="109"/>
      <c r="J1333" s="109"/>
      <c r="K1333" s="109"/>
      <c r="L1333" s="109"/>
      <c r="M1333" s="109"/>
      <c r="N1333" s="109"/>
      <c r="O1333" s="109"/>
      <c r="P1333" s="109"/>
      <c r="Q1333" s="109"/>
      <c r="R1333" s="109"/>
      <c r="S1333" s="109"/>
      <c r="T1333" s="109"/>
      <c r="U1333" s="109"/>
    </row>
    <row r="1334" spans="1:21">
      <c r="A1334" s="109"/>
      <c r="B1334" s="109"/>
      <c r="C1334" s="109"/>
      <c r="D1334" s="109"/>
      <c r="E1334" s="109"/>
      <c r="F1334" s="109"/>
      <c r="G1334" s="109"/>
      <c r="H1334" s="109"/>
      <c r="I1334" s="109"/>
      <c r="J1334" s="109"/>
      <c r="K1334" s="109"/>
      <c r="L1334" s="109"/>
      <c r="M1334" s="109"/>
      <c r="N1334" s="109"/>
      <c r="O1334" s="109"/>
      <c r="P1334" s="109"/>
      <c r="Q1334" s="109"/>
      <c r="R1334" s="109"/>
      <c r="S1334" s="109"/>
      <c r="T1334" s="109"/>
      <c r="U1334" s="109"/>
    </row>
    <row r="1335" spans="1:21">
      <c r="A1335" s="109"/>
      <c r="B1335" s="109"/>
      <c r="C1335" s="109"/>
      <c r="D1335" s="109"/>
      <c r="E1335" s="109"/>
      <c r="F1335" s="109"/>
      <c r="G1335" s="109"/>
      <c r="H1335" s="109"/>
      <c r="I1335" s="109"/>
      <c r="J1335" s="109"/>
      <c r="K1335" s="109"/>
      <c r="L1335" s="109"/>
      <c r="M1335" s="109"/>
      <c r="N1335" s="109"/>
      <c r="O1335" s="109"/>
      <c r="P1335" s="109"/>
      <c r="Q1335" s="109"/>
      <c r="R1335" s="109"/>
      <c r="S1335" s="109"/>
      <c r="T1335" s="109"/>
      <c r="U1335" s="109"/>
    </row>
    <row r="1336" spans="1:21">
      <c r="A1336" s="109"/>
      <c r="B1336" s="109"/>
      <c r="C1336" s="109"/>
      <c r="D1336" s="109"/>
      <c r="E1336" s="109"/>
      <c r="F1336" s="109"/>
      <c r="G1336" s="109"/>
      <c r="H1336" s="109"/>
      <c r="I1336" s="109"/>
      <c r="J1336" s="109"/>
      <c r="K1336" s="109"/>
      <c r="L1336" s="109"/>
      <c r="M1336" s="109"/>
      <c r="N1336" s="109"/>
      <c r="O1336" s="109"/>
      <c r="P1336" s="109"/>
      <c r="Q1336" s="109"/>
      <c r="R1336" s="109"/>
      <c r="S1336" s="109"/>
      <c r="T1336" s="109"/>
      <c r="U1336" s="109"/>
    </row>
    <row r="1337" spans="1:21">
      <c r="A1337" s="109"/>
      <c r="B1337" s="109"/>
      <c r="C1337" s="109"/>
      <c r="D1337" s="109"/>
      <c r="E1337" s="109"/>
      <c r="F1337" s="109"/>
      <c r="G1337" s="109"/>
      <c r="H1337" s="109"/>
      <c r="I1337" s="109"/>
      <c r="J1337" s="109"/>
      <c r="K1337" s="109"/>
      <c r="L1337" s="109"/>
      <c r="M1337" s="109"/>
      <c r="N1337" s="109"/>
      <c r="O1337" s="109"/>
      <c r="P1337" s="109"/>
      <c r="Q1337" s="109"/>
      <c r="R1337" s="109"/>
      <c r="S1337" s="109"/>
      <c r="T1337" s="109"/>
      <c r="U1337" s="109"/>
    </row>
    <row r="1338" spans="1:21">
      <c r="A1338" s="109"/>
      <c r="B1338" s="109"/>
      <c r="C1338" s="109"/>
      <c r="D1338" s="109"/>
      <c r="E1338" s="109"/>
      <c r="F1338" s="109"/>
      <c r="G1338" s="109"/>
      <c r="H1338" s="109"/>
      <c r="I1338" s="109"/>
      <c r="J1338" s="109"/>
      <c r="K1338" s="109"/>
      <c r="L1338" s="109"/>
      <c r="M1338" s="109"/>
      <c r="N1338" s="109"/>
      <c r="O1338" s="109"/>
      <c r="P1338" s="109"/>
      <c r="Q1338" s="109"/>
      <c r="R1338" s="109"/>
      <c r="S1338" s="109"/>
      <c r="T1338" s="109"/>
      <c r="U1338" s="109"/>
    </row>
    <row r="1339" spans="1:21">
      <c r="A1339" s="109"/>
      <c r="B1339" s="109"/>
      <c r="C1339" s="109"/>
      <c r="D1339" s="109"/>
      <c r="E1339" s="109"/>
      <c r="F1339" s="109"/>
      <c r="G1339" s="109"/>
      <c r="H1339" s="109"/>
      <c r="I1339" s="109"/>
      <c r="J1339" s="109"/>
      <c r="K1339" s="109"/>
      <c r="L1339" s="109"/>
      <c r="M1339" s="109"/>
      <c r="N1339" s="109"/>
      <c r="O1339" s="109"/>
      <c r="P1339" s="109"/>
      <c r="Q1339" s="109"/>
      <c r="R1339" s="109"/>
      <c r="S1339" s="109"/>
      <c r="T1339" s="109"/>
      <c r="U1339" s="109"/>
    </row>
    <row r="1340" spans="1:21">
      <c r="A1340" s="109"/>
      <c r="B1340" s="109"/>
      <c r="C1340" s="109"/>
      <c r="D1340" s="109"/>
      <c r="E1340" s="109"/>
      <c r="F1340" s="109"/>
      <c r="G1340" s="109"/>
      <c r="H1340" s="109"/>
      <c r="I1340" s="109"/>
      <c r="J1340" s="109"/>
      <c r="K1340" s="109"/>
      <c r="L1340" s="109"/>
      <c r="M1340" s="109"/>
      <c r="N1340" s="109"/>
      <c r="O1340" s="109"/>
      <c r="P1340" s="109"/>
      <c r="Q1340" s="109"/>
      <c r="R1340" s="109"/>
      <c r="S1340" s="109"/>
      <c r="T1340" s="109"/>
      <c r="U1340" s="109"/>
    </row>
    <row r="1341" spans="1:21">
      <c r="A1341" s="109"/>
      <c r="B1341" s="109"/>
      <c r="C1341" s="109"/>
      <c r="D1341" s="109"/>
      <c r="E1341" s="109"/>
      <c r="F1341" s="109"/>
      <c r="G1341" s="109"/>
      <c r="H1341" s="109"/>
      <c r="I1341" s="109"/>
      <c r="J1341" s="109"/>
      <c r="K1341" s="109"/>
      <c r="L1341" s="109"/>
      <c r="M1341" s="109"/>
      <c r="N1341" s="109"/>
      <c r="O1341" s="109"/>
      <c r="P1341" s="109"/>
      <c r="Q1341" s="109"/>
      <c r="R1341" s="109"/>
      <c r="S1341" s="109"/>
      <c r="T1341" s="109"/>
      <c r="U1341" s="109"/>
    </row>
    <row r="1342" spans="1:21">
      <c r="A1342" s="109"/>
      <c r="B1342" s="109"/>
      <c r="C1342" s="109"/>
      <c r="D1342" s="109"/>
      <c r="E1342" s="109"/>
      <c r="F1342" s="109"/>
      <c r="G1342" s="109"/>
      <c r="H1342" s="109"/>
      <c r="I1342" s="109"/>
      <c r="J1342" s="109"/>
      <c r="K1342" s="109"/>
      <c r="L1342" s="109"/>
      <c r="M1342" s="109"/>
      <c r="N1342" s="109"/>
      <c r="O1342" s="109"/>
      <c r="P1342" s="109"/>
      <c r="Q1342" s="109"/>
      <c r="R1342" s="109"/>
      <c r="S1342" s="109"/>
      <c r="T1342" s="109"/>
      <c r="U1342" s="109"/>
    </row>
    <row r="1343" spans="1:21">
      <c r="A1343" s="109"/>
      <c r="B1343" s="109"/>
      <c r="C1343" s="109"/>
      <c r="D1343" s="109"/>
      <c r="E1343" s="109"/>
      <c r="F1343" s="109"/>
      <c r="G1343" s="109"/>
      <c r="H1343" s="109"/>
      <c r="I1343" s="109"/>
      <c r="J1343" s="109"/>
      <c r="K1343" s="109"/>
      <c r="L1343" s="109"/>
      <c r="M1343" s="109"/>
      <c r="N1343" s="109"/>
      <c r="O1343" s="109"/>
      <c r="P1343" s="109"/>
      <c r="Q1343" s="109"/>
      <c r="R1343" s="109"/>
      <c r="S1343" s="109"/>
      <c r="T1343" s="109"/>
      <c r="U1343" s="109"/>
    </row>
    <row r="1344" spans="1:21">
      <c r="A1344" s="109"/>
      <c r="B1344" s="109"/>
      <c r="C1344" s="109"/>
      <c r="D1344" s="109"/>
      <c r="E1344" s="109"/>
      <c r="F1344" s="109"/>
      <c r="G1344" s="109"/>
      <c r="H1344" s="109"/>
      <c r="I1344" s="109"/>
      <c r="J1344" s="109"/>
      <c r="K1344" s="109"/>
      <c r="L1344" s="109"/>
      <c r="M1344" s="109"/>
      <c r="N1344" s="109"/>
      <c r="O1344" s="109"/>
      <c r="P1344" s="109"/>
      <c r="Q1344" s="109"/>
      <c r="R1344" s="109"/>
      <c r="S1344" s="109"/>
      <c r="T1344" s="109"/>
      <c r="U1344" s="109"/>
    </row>
    <row r="1345" spans="1:21">
      <c r="A1345" s="109"/>
      <c r="B1345" s="109"/>
      <c r="C1345" s="109"/>
      <c r="D1345" s="109"/>
      <c r="E1345" s="109"/>
      <c r="F1345" s="109"/>
      <c r="G1345" s="109"/>
      <c r="H1345" s="109"/>
      <c r="I1345" s="109"/>
      <c r="J1345" s="109"/>
      <c r="K1345" s="109"/>
      <c r="L1345" s="109"/>
      <c r="M1345" s="109"/>
      <c r="N1345" s="109"/>
      <c r="O1345" s="109"/>
      <c r="P1345" s="109"/>
      <c r="Q1345" s="109"/>
      <c r="R1345" s="109"/>
      <c r="S1345" s="109"/>
      <c r="T1345" s="109"/>
      <c r="U1345" s="109"/>
    </row>
    <row r="1346" spans="1:21">
      <c r="A1346" s="109"/>
      <c r="B1346" s="109"/>
      <c r="C1346" s="109"/>
      <c r="D1346" s="109"/>
      <c r="E1346" s="109"/>
      <c r="F1346" s="109"/>
      <c r="G1346" s="109"/>
      <c r="H1346" s="109"/>
      <c r="I1346" s="109"/>
      <c r="J1346" s="109"/>
      <c r="K1346" s="109"/>
      <c r="L1346" s="109"/>
      <c r="M1346" s="109"/>
      <c r="N1346" s="109"/>
      <c r="O1346" s="109"/>
      <c r="P1346" s="109"/>
      <c r="Q1346" s="109"/>
      <c r="R1346" s="109"/>
      <c r="S1346" s="109"/>
      <c r="T1346" s="109"/>
      <c r="U1346" s="109"/>
    </row>
    <row r="1347" spans="1:21">
      <c r="A1347" s="109"/>
      <c r="B1347" s="109"/>
      <c r="C1347" s="109"/>
      <c r="D1347" s="109"/>
      <c r="E1347" s="109"/>
      <c r="F1347" s="109"/>
      <c r="G1347" s="109"/>
      <c r="H1347" s="109"/>
      <c r="I1347" s="109"/>
      <c r="J1347" s="109"/>
      <c r="K1347" s="109"/>
      <c r="L1347" s="109"/>
      <c r="M1347" s="109"/>
      <c r="N1347" s="109"/>
      <c r="O1347" s="109"/>
      <c r="P1347" s="109"/>
      <c r="Q1347" s="109"/>
      <c r="R1347" s="109"/>
      <c r="S1347" s="109"/>
      <c r="T1347" s="109"/>
      <c r="U1347" s="109"/>
    </row>
    <row r="1348" spans="1:21">
      <c r="A1348" s="109"/>
      <c r="B1348" s="109"/>
      <c r="C1348" s="109"/>
      <c r="D1348" s="109"/>
      <c r="E1348" s="109"/>
      <c r="F1348" s="109"/>
      <c r="G1348" s="109"/>
      <c r="H1348" s="109"/>
      <c r="I1348" s="109"/>
      <c r="J1348" s="109"/>
      <c r="K1348" s="109"/>
      <c r="L1348" s="109"/>
      <c r="M1348" s="109"/>
      <c r="N1348" s="109"/>
      <c r="O1348" s="109"/>
      <c r="P1348" s="109"/>
      <c r="Q1348" s="109"/>
      <c r="R1348" s="109"/>
      <c r="S1348" s="109"/>
      <c r="T1348" s="109"/>
      <c r="U1348" s="109"/>
    </row>
    <row r="1349" spans="1:21">
      <c r="A1349" s="109"/>
      <c r="B1349" s="109"/>
      <c r="C1349" s="109"/>
      <c r="D1349" s="109"/>
      <c r="E1349" s="109"/>
      <c r="F1349" s="109"/>
      <c r="G1349" s="109"/>
      <c r="H1349" s="109"/>
      <c r="I1349" s="109"/>
      <c r="J1349" s="109"/>
      <c r="K1349" s="109"/>
      <c r="L1349" s="109"/>
      <c r="M1349" s="109"/>
      <c r="N1349" s="109"/>
      <c r="O1349" s="109"/>
      <c r="P1349" s="109"/>
      <c r="Q1349" s="109"/>
      <c r="R1349" s="109"/>
      <c r="S1349" s="109"/>
      <c r="T1349" s="109"/>
      <c r="U1349" s="109"/>
    </row>
    <row r="1350" spans="1:21">
      <c r="A1350" s="109"/>
      <c r="B1350" s="109"/>
      <c r="C1350" s="109"/>
      <c r="D1350" s="109"/>
      <c r="E1350" s="109"/>
      <c r="F1350" s="109"/>
      <c r="G1350" s="109"/>
      <c r="H1350" s="109"/>
      <c r="I1350" s="109"/>
      <c r="J1350" s="109"/>
      <c r="K1350" s="109"/>
      <c r="L1350" s="109"/>
      <c r="M1350" s="109"/>
      <c r="N1350" s="109"/>
      <c r="O1350" s="109"/>
      <c r="P1350" s="109"/>
      <c r="Q1350" s="109"/>
      <c r="R1350" s="109"/>
      <c r="S1350" s="109"/>
      <c r="T1350" s="109"/>
      <c r="U1350" s="109"/>
    </row>
    <row r="1351" spans="1:21">
      <c r="A1351" s="109"/>
      <c r="B1351" s="109"/>
      <c r="C1351" s="109"/>
      <c r="D1351" s="109"/>
      <c r="E1351" s="109"/>
      <c r="F1351" s="109"/>
      <c r="G1351" s="109"/>
      <c r="H1351" s="109"/>
      <c r="I1351" s="109"/>
      <c r="J1351" s="109"/>
      <c r="K1351" s="109"/>
      <c r="L1351" s="109"/>
      <c r="M1351" s="109"/>
      <c r="N1351" s="109"/>
      <c r="O1351" s="109"/>
      <c r="P1351" s="109"/>
      <c r="Q1351" s="109"/>
      <c r="R1351" s="109"/>
      <c r="S1351" s="109"/>
      <c r="T1351" s="109"/>
      <c r="U1351" s="109"/>
    </row>
    <row r="1352" spans="1:21">
      <c r="A1352" s="109"/>
      <c r="B1352" s="109"/>
      <c r="C1352" s="109"/>
      <c r="D1352" s="109"/>
      <c r="E1352" s="109"/>
      <c r="F1352" s="109"/>
      <c r="G1352" s="109"/>
      <c r="H1352" s="109"/>
      <c r="I1352" s="109"/>
      <c r="J1352" s="109"/>
      <c r="K1352" s="109"/>
      <c r="L1352" s="109"/>
      <c r="M1352" s="109"/>
      <c r="N1352" s="109"/>
      <c r="O1352" s="109"/>
      <c r="P1352" s="109"/>
      <c r="Q1352" s="109"/>
      <c r="R1352" s="109"/>
      <c r="S1352" s="109"/>
      <c r="T1352" s="109"/>
      <c r="U1352" s="109"/>
    </row>
    <row r="1353" spans="1:21">
      <c r="A1353" s="109"/>
      <c r="B1353" s="109"/>
      <c r="C1353" s="109"/>
      <c r="D1353" s="109"/>
      <c r="E1353" s="109"/>
      <c r="F1353" s="109"/>
      <c r="G1353" s="109"/>
      <c r="H1353" s="109"/>
      <c r="I1353" s="109"/>
      <c r="J1353" s="109"/>
      <c r="K1353" s="109"/>
      <c r="L1353" s="109"/>
      <c r="M1353" s="109"/>
      <c r="N1353" s="109"/>
      <c r="O1353" s="109"/>
      <c r="P1353" s="109"/>
      <c r="Q1353" s="109"/>
      <c r="R1353" s="109"/>
      <c r="S1353" s="109"/>
      <c r="T1353" s="109"/>
      <c r="U1353" s="109"/>
    </row>
    <row r="1354" spans="1:21">
      <c r="A1354" s="109"/>
      <c r="B1354" s="109"/>
      <c r="C1354" s="109"/>
      <c r="D1354" s="109"/>
      <c r="E1354" s="109"/>
      <c r="F1354" s="109"/>
      <c r="G1354" s="109"/>
      <c r="H1354" s="109"/>
      <c r="I1354" s="109"/>
      <c r="J1354" s="109"/>
      <c r="K1354" s="109"/>
      <c r="L1354" s="109"/>
      <c r="M1354" s="109"/>
      <c r="N1354" s="109"/>
      <c r="O1354" s="109"/>
      <c r="P1354" s="109"/>
      <c r="Q1354" s="109"/>
      <c r="R1354" s="109"/>
      <c r="S1354" s="109"/>
      <c r="T1354" s="109"/>
      <c r="U1354" s="109"/>
    </row>
    <row r="1355" spans="1:21">
      <c r="A1355" s="109"/>
      <c r="B1355" s="109"/>
      <c r="C1355" s="109"/>
      <c r="D1355" s="109"/>
      <c r="E1355" s="109"/>
      <c r="F1355" s="109"/>
      <c r="G1355" s="109"/>
      <c r="H1355" s="109"/>
      <c r="I1355" s="109"/>
      <c r="J1355" s="109"/>
      <c r="K1355" s="109"/>
      <c r="L1355" s="109"/>
      <c r="M1355" s="109"/>
      <c r="N1355" s="109"/>
      <c r="O1355" s="109"/>
      <c r="P1355" s="109"/>
      <c r="Q1355" s="109"/>
      <c r="R1355" s="109"/>
      <c r="S1355" s="109"/>
      <c r="T1355" s="109"/>
      <c r="U1355" s="109"/>
    </row>
    <row r="1356" spans="1:21">
      <c r="A1356" s="109"/>
      <c r="B1356" s="109"/>
      <c r="C1356" s="109"/>
      <c r="D1356" s="109"/>
      <c r="E1356" s="109"/>
      <c r="F1356" s="109"/>
      <c r="G1356" s="109"/>
      <c r="H1356" s="109"/>
      <c r="I1356" s="109"/>
      <c r="J1356" s="109"/>
      <c r="K1356" s="109"/>
      <c r="L1356" s="109"/>
      <c r="M1356" s="109"/>
      <c r="N1356" s="109"/>
      <c r="O1356" s="109"/>
      <c r="P1356" s="109"/>
      <c r="Q1356" s="109"/>
      <c r="R1356" s="109"/>
      <c r="S1356" s="109"/>
      <c r="T1356" s="109"/>
      <c r="U1356" s="109"/>
    </row>
    <row r="1357" spans="1:21">
      <c r="A1357" s="109"/>
      <c r="B1357" s="109"/>
      <c r="C1357" s="109"/>
      <c r="D1357" s="109"/>
      <c r="E1357" s="109"/>
      <c r="F1357" s="109"/>
      <c r="G1357" s="109"/>
      <c r="H1357" s="109"/>
      <c r="I1357" s="109"/>
      <c r="J1357" s="109"/>
      <c r="K1357" s="109"/>
      <c r="L1357" s="109"/>
      <c r="M1357" s="109"/>
      <c r="N1357" s="109"/>
      <c r="O1357" s="109"/>
      <c r="P1357" s="109"/>
      <c r="Q1357" s="109"/>
      <c r="R1357" s="109"/>
      <c r="S1357" s="109"/>
      <c r="T1357" s="109"/>
      <c r="U1357" s="109"/>
    </row>
    <row r="1358" spans="1:21">
      <c r="A1358" s="109"/>
      <c r="B1358" s="109"/>
      <c r="C1358" s="109"/>
      <c r="D1358" s="109"/>
      <c r="E1358" s="109"/>
      <c r="F1358" s="109"/>
      <c r="G1358" s="109"/>
      <c r="H1358" s="109"/>
      <c r="I1358" s="109"/>
      <c r="J1358" s="109"/>
      <c r="K1358" s="109"/>
      <c r="L1358" s="109"/>
      <c r="M1358" s="109"/>
      <c r="N1358" s="109"/>
      <c r="O1358" s="109"/>
      <c r="P1358" s="109"/>
      <c r="Q1358" s="109"/>
      <c r="R1358" s="109"/>
      <c r="S1358" s="109"/>
      <c r="T1358" s="109"/>
      <c r="U1358" s="109"/>
    </row>
    <row r="1359" spans="1:21">
      <c r="A1359" s="109"/>
      <c r="B1359" s="109"/>
      <c r="C1359" s="109"/>
      <c r="D1359" s="109"/>
      <c r="E1359" s="109"/>
      <c r="F1359" s="109"/>
      <c r="G1359" s="109"/>
      <c r="H1359" s="109"/>
      <c r="I1359" s="109"/>
      <c r="J1359" s="109"/>
      <c r="K1359" s="109"/>
      <c r="L1359" s="109"/>
      <c r="M1359" s="109"/>
      <c r="N1359" s="109"/>
      <c r="O1359" s="109"/>
      <c r="P1359" s="109"/>
      <c r="Q1359" s="109"/>
      <c r="R1359" s="109"/>
      <c r="S1359" s="109"/>
      <c r="T1359" s="109"/>
      <c r="U1359" s="109"/>
    </row>
    <row r="1360" spans="1:21">
      <c r="A1360" s="109"/>
      <c r="B1360" s="109"/>
      <c r="C1360" s="109"/>
      <c r="D1360" s="109"/>
      <c r="E1360" s="109"/>
      <c r="F1360" s="109"/>
      <c r="G1360" s="109"/>
      <c r="H1360" s="109"/>
      <c r="I1360" s="109"/>
      <c r="J1360" s="109"/>
      <c r="K1360" s="109"/>
      <c r="L1360" s="109"/>
      <c r="M1360" s="109"/>
      <c r="N1360" s="109"/>
      <c r="O1360" s="109"/>
      <c r="P1360" s="109"/>
      <c r="Q1360" s="109"/>
      <c r="R1360" s="109"/>
      <c r="S1360" s="109"/>
      <c r="T1360" s="109"/>
      <c r="U1360" s="109"/>
    </row>
    <row r="1361" spans="1:21">
      <c r="A1361" s="109"/>
      <c r="B1361" s="109"/>
      <c r="C1361" s="109"/>
      <c r="D1361" s="109"/>
      <c r="E1361" s="109"/>
      <c r="F1361" s="109"/>
      <c r="G1361" s="109"/>
      <c r="H1361" s="109"/>
      <c r="I1361" s="109"/>
      <c r="J1361" s="109"/>
      <c r="K1361" s="109"/>
      <c r="L1361" s="109"/>
      <c r="M1361" s="109"/>
      <c r="N1361" s="109"/>
      <c r="O1361" s="109"/>
      <c r="P1361" s="109"/>
      <c r="Q1361" s="109"/>
      <c r="R1361" s="109"/>
      <c r="S1361" s="109"/>
      <c r="T1361" s="109"/>
      <c r="U1361" s="109"/>
    </row>
    <row r="1362" spans="1:21">
      <c r="A1362" s="109"/>
      <c r="B1362" s="109"/>
      <c r="C1362" s="109"/>
      <c r="D1362" s="109"/>
      <c r="E1362" s="109"/>
      <c r="F1362" s="109"/>
      <c r="G1362" s="109"/>
      <c r="H1362" s="109"/>
      <c r="I1362" s="109"/>
      <c r="J1362" s="109"/>
      <c r="K1362" s="109"/>
      <c r="L1362" s="109"/>
      <c r="M1362" s="109"/>
      <c r="N1362" s="109"/>
      <c r="O1362" s="109"/>
      <c r="P1362" s="109"/>
      <c r="Q1362" s="109"/>
      <c r="R1362" s="109"/>
      <c r="S1362" s="109"/>
      <c r="T1362" s="109"/>
      <c r="U1362" s="109"/>
    </row>
    <row r="1363" spans="1:21">
      <c r="A1363" s="109"/>
      <c r="B1363" s="109"/>
      <c r="C1363" s="109"/>
      <c r="D1363" s="109"/>
      <c r="E1363" s="109"/>
      <c r="F1363" s="109"/>
      <c r="G1363" s="109"/>
      <c r="H1363" s="109"/>
      <c r="I1363" s="109"/>
      <c r="J1363" s="109"/>
      <c r="K1363" s="109"/>
      <c r="L1363" s="109"/>
      <c r="M1363" s="109"/>
      <c r="N1363" s="109"/>
      <c r="O1363" s="109"/>
      <c r="P1363" s="109"/>
      <c r="Q1363" s="109"/>
      <c r="R1363" s="109"/>
      <c r="S1363" s="109"/>
      <c r="T1363" s="109"/>
      <c r="U1363" s="109"/>
    </row>
    <row r="1364" spans="1:21">
      <c r="A1364" s="109"/>
      <c r="B1364" s="109"/>
      <c r="C1364" s="109"/>
      <c r="D1364" s="109"/>
      <c r="E1364" s="109"/>
      <c r="F1364" s="109"/>
      <c r="G1364" s="109"/>
      <c r="H1364" s="109"/>
      <c r="I1364" s="109"/>
      <c r="J1364" s="109"/>
      <c r="K1364" s="109"/>
      <c r="L1364" s="109"/>
      <c r="M1364" s="109"/>
      <c r="N1364" s="109"/>
      <c r="O1364" s="109"/>
      <c r="P1364" s="109"/>
      <c r="Q1364" s="109"/>
      <c r="R1364" s="109"/>
      <c r="S1364" s="109"/>
      <c r="T1364" s="109"/>
      <c r="U1364" s="109"/>
    </row>
    <row r="1365" spans="1:21">
      <c r="A1365" s="109"/>
      <c r="B1365" s="109"/>
      <c r="C1365" s="109"/>
      <c r="D1365" s="109"/>
      <c r="E1365" s="109"/>
      <c r="F1365" s="109"/>
      <c r="G1365" s="109"/>
      <c r="H1365" s="109"/>
      <c r="I1365" s="109"/>
      <c r="J1365" s="109"/>
      <c r="K1365" s="109"/>
      <c r="L1365" s="109"/>
      <c r="M1365" s="109"/>
      <c r="N1365" s="109"/>
      <c r="O1365" s="109"/>
      <c r="P1365" s="109"/>
      <c r="Q1365" s="109"/>
      <c r="R1365" s="109"/>
      <c r="S1365" s="109"/>
      <c r="T1365" s="109"/>
      <c r="U1365" s="109"/>
    </row>
    <row r="1366" spans="1:21">
      <c r="A1366" s="109"/>
      <c r="B1366" s="109"/>
      <c r="C1366" s="109"/>
      <c r="D1366" s="109"/>
      <c r="E1366" s="109"/>
      <c r="F1366" s="109"/>
      <c r="G1366" s="109"/>
      <c r="H1366" s="109"/>
      <c r="I1366" s="109"/>
      <c r="J1366" s="109"/>
      <c r="K1366" s="109"/>
      <c r="L1366" s="109"/>
      <c r="M1366" s="109"/>
      <c r="N1366" s="109"/>
      <c r="O1366" s="109"/>
      <c r="P1366" s="109"/>
      <c r="Q1366" s="109"/>
      <c r="R1366" s="109"/>
      <c r="S1366" s="109"/>
      <c r="T1366" s="109"/>
      <c r="U1366" s="109"/>
    </row>
    <row r="1367" spans="1:21">
      <c r="A1367" s="109"/>
      <c r="B1367" s="109"/>
      <c r="C1367" s="109"/>
      <c r="D1367" s="109"/>
      <c r="E1367" s="109"/>
      <c r="F1367" s="109"/>
      <c r="G1367" s="109"/>
      <c r="H1367" s="109"/>
      <c r="I1367" s="109"/>
      <c r="J1367" s="109"/>
      <c r="K1367" s="109"/>
      <c r="L1367" s="109"/>
      <c r="M1367" s="109"/>
      <c r="N1367" s="109"/>
      <c r="O1367" s="109"/>
      <c r="P1367" s="109"/>
      <c r="Q1367" s="109"/>
      <c r="R1367" s="109"/>
      <c r="S1367" s="109"/>
      <c r="T1367" s="109"/>
      <c r="U1367" s="109"/>
    </row>
    <row r="1368" spans="1:21">
      <c r="A1368" s="109"/>
      <c r="B1368" s="109"/>
      <c r="C1368" s="109"/>
      <c r="D1368" s="109"/>
      <c r="E1368" s="109"/>
      <c r="F1368" s="109"/>
      <c r="G1368" s="109"/>
      <c r="H1368" s="109"/>
      <c r="I1368" s="109"/>
      <c r="J1368" s="109"/>
      <c r="K1368" s="109"/>
      <c r="L1368" s="109"/>
      <c r="M1368" s="109"/>
      <c r="N1368" s="109"/>
      <c r="O1368" s="109"/>
      <c r="P1368" s="109"/>
      <c r="Q1368" s="109"/>
      <c r="R1368" s="109"/>
      <c r="S1368" s="109"/>
      <c r="T1368" s="109"/>
      <c r="U1368" s="109"/>
    </row>
    <row r="1369" spans="1:21">
      <c r="A1369" s="109"/>
      <c r="B1369" s="109"/>
      <c r="C1369" s="109"/>
      <c r="D1369" s="109"/>
      <c r="E1369" s="109"/>
      <c r="F1369" s="109"/>
      <c r="G1369" s="109"/>
      <c r="H1369" s="109"/>
      <c r="I1369" s="109"/>
      <c r="J1369" s="109"/>
      <c r="K1369" s="109"/>
      <c r="L1369" s="109"/>
      <c r="M1369" s="109"/>
      <c r="N1369" s="109"/>
      <c r="O1369" s="109"/>
      <c r="P1369" s="109"/>
      <c r="Q1369" s="109"/>
      <c r="R1369" s="109"/>
      <c r="S1369" s="109"/>
      <c r="T1369" s="109"/>
      <c r="U1369" s="109"/>
    </row>
    <row r="1370" spans="1:21">
      <c r="A1370" s="109"/>
      <c r="B1370" s="109"/>
      <c r="C1370" s="109"/>
      <c r="D1370" s="109"/>
      <c r="E1370" s="109"/>
      <c r="F1370" s="109"/>
      <c r="G1370" s="109"/>
      <c r="H1370" s="109"/>
      <c r="I1370" s="109"/>
      <c r="J1370" s="109"/>
      <c r="K1370" s="109"/>
      <c r="L1370" s="109"/>
      <c r="M1370" s="109"/>
      <c r="N1370" s="109"/>
      <c r="O1370" s="109"/>
      <c r="P1370" s="109"/>
      <c r="Q1370" s="109"/>
      <c r="R1370" s="109"/>
      <c r="S1370" s="109"/>
      <c r="T1370" s="109"/>
      <c r="U1370" s="109"/>
    </row>
    <row r="1371" spans="1:21">
      <c r="A1371" s="109"/>
      <c r="B1371" s="109"/>
      <c r="C1371" s="109"/>
      <c r="D1371" s="109"/>
      <c r="E1371" s="109"/>
      <c r="F1371" s="109"/>
      <c r="G1371" s="109"/>
      <c r="H1371" s="109"/>
      <c r="I1371" s="109"/>
      <c r="J1371" s="109"/>
      <c r="K1371" s="109"/>
      <c r="L1371" s="109"/>
      <c r="M1371" s="109"/>
      <c r="N1371" s="109"/>
      <c r="O1371" s="109"/>
      <c r="P1371" s="109"/>
      <c r="Q1371" s="109"/>
      <c r="R1371" s="109"/>
      <c r="S1371" s="109"/>
      <c r="T1371" s="109"/>
      <c r="U1371" s="109"/>
    </row>
    <row r="1372" spans="1:21">
      <c r="A1372" s="109"/>
      <c r="B1372" s="109"/>
      <c r="C1372" s="109"/>
      <c r="D1372" s="109"/>
      <c r="E1372" s="109"/>
      <c r="F1372" s="109"/>
      <c r="G1372" s="109"/>
      <c r="H1372" s="109"/>
      <c r="I1372" s="109"/>
      <c r="J1372" s="109"/>
      <c r="K1372" s="109"/>
      <c r="L1372" s="109"/>
      <c r="M1372" s="109"/>
      <c r="N1372" s="109"/>
      <c r="O1372" s="109"/>
      <c r="P1372" s="109"/>
      <c r="Q1372" s="109"/>
      <c r="R1372" s="109"/>
      <c r="S1372" s="109"/>
      <c r="T1372" s="109"/>
      <c r="U1372" s="109"/>
    </row>
    <row r="1373" spans="1:21">
      <c r="A1373" s="109"/>
      <c r="B1373" s="109"/>
      <c r="C1373" s="109"/>
      <c r="D1373" s="109"/>
      <c r="E1373" s="109"/>
      <c r="F1373" s="109"/>
      <c r="G1373" s="109"/>
      <c r="H1373" s="109"/>
      <c r="I1373" s="109"/>
      <c r="J1373" s="109"/>
      <c r="K1373" s="109"/>
      <c r="L1373" s="109"/>
      <c r="M1373" s="109"/>
      <c r="N1373" s="109"/>
      <c r="O1373" s="109"/>
      <c r="P1373" s="109"/>
      <c r="Q1373" s="109"/>
      <c r="R1373" s="109"/>
      <c r="S1373" s="109"/>
      <c r="T1373" s="109"/>
      <c r="U1373" s="109"/>
    </row>
    <row r="1374" spans="1:21">
      <c r="A1374" s="109"/>
      <c r="B1374" s="109"/>
      <c r="C1374" s="109"/>
      <c r="D1374" s="109"/>
      <c r="E1374" s="109"/>
      <c r="F1374" s="109"/>
      <c r="G1374" s="109"/>
      <c r="H1374" s="109"/>
      <c r="I1374" s="109"/>
      <c r="J1374" s="109"/>
      <c r="K1374" s="109"/>
      <c r="L1374" s="109"/>
      <c r="M1374" s="109"/>
      <c r="N1374" s="109"/>
      <c r="O1374" s="109"/>
      <c r="P1374" s="109"/>
      <c r="Q1374" s="109"/>
      <c r="R1374" s="109"/>
      <c r="S1374" s="109"/>
      <c r="T1374" s="109"/>
      <c r="U1374" s="109"/>
    </row>
    <row r="1375" spans="1:21">
      <c r="A1375" s="109"/>
      <c r="B1375" s="109"/>
      <c r="C1375" s="109"/>
      <c r="D1375" s="109"/>
      <c r="E1375" s="109"/>
      <c r="F1375" s="109"/>
      <c r="G1375" s="109"/>
      <c r="H1375" s="109"/>
      <c r="I1375" s="109"/>
      <c r="J1375" s="109"/>
      <c r="K1375" s="109"/>
      <c r="L1375" s="109"/>
      <c r="M1375" s="109"/>
      <c r="N1375" s="109"/>
      <c r="O1375" s="109"/>
      <c r="P1375" s="109"/>
      <c r="Q1375" s="109"/>
      <c r="R1375" s="109"/>
      <c r="S1375" s="109"/>
      <c r="T1375" s="109"/>
      <c r="U1375" s="109"/>
    </row>
    <row r="1376" spans="1:21">
      <c r="A1376" s="109"/>
      <c r="B1376" s="109"/>
      <c r="C1376" s="109"/>
      <c r="D1376" s="109"/>
      <c r="E1376" s="109"/>
      <c r="F1376" s="109"/>
      <c r="G1376" s="109"/>
      <c r="H1376" s="109"/>
      <c r="I1376" s="109"/>
      <c r="J1376" s="109"/>
      <c r="K1376" s="109"/>
      <c r="L1376" s="109"/>
      <c r="M1376" s="109"/>
      <c r="N1376" s="109"/>
      <c r="O1376" s="109"/>
      <c r="P1376" s="109"/>
      <c r="Q1376" s="109"/>
      <c r="R1376" s="109"/>
      <c r="S1376" s="109"/>
      <c r="T1376" s="109"/>
      <c r="U1376" s="109"/>
    </row>
    <row r="1377" spans="1:21">
      <c r="A1377" s="109"/>
      <c r="B1377" s="109"/>
      <c r="C1377" s="109"/>
      <c r="D1377" s="109"/>
      <c r="E1377" s="109"/>
      <c r="F1377" s="109"/>
      <c r="G1377" s="109"/>
      <c r="H1377" s="109"/>
      <c r="I1377" s="109"/>
      <c r="J1377" s="109"/>
      <c r="K1377" s="109"/>
      <c r="L1377" s="109"/>
      <c r="M1377" s="109"/>
      <c r="N1377" s="109"/>
      <c r="O1377" s="109"/>
      <c r="P1377" s="109"/>
      <c r="Q1377" s="109"/>
      <c r="R1377" s="109"/>
      <c r="S1377" s="109"/>
      <c r="T1377" s="109"/>
      <c r="U1377" s="109"/>
    </row>
    <row r="1378" spans="1:21">
      <c r="A1378" s="109"/>
      <c r="B1378" s="109"/>
      <c r="C1378" s="109"/>
      <c r="D1378" s="109"/>
      <c r="E1378" s="109"/>
      <c r="F1378" s="109"/>
      <c r="G1378" s="109"/>
      <c r="H1378" s="109"/>
      <c r="I1378" s="109"/>
      <c r="J1378" s="109"/>
      <c r="K1378" s="109"/>
      <c r="L1378" s="109"/>
      <c r="M1378" s="109"/>
      <c r="N1378" s="109"/>
      <c r="O1378" s="109"/>
      <c r="P1378" s="109"/>
      <c r="Q1378" s="109"/>
      <c r="R1378" s="109"/>
      <c r="S1378" s="109"/>
      <c r="T1378" s="109"/>
      <c r="U1378" s="109"/>
    </row>
    <row r="1379" spans="1:21">
      <c r="A1379" s="109"/>
      <c r="B1379" s="109"/>
      <c r="C1379" s="109"/>
      <c r="D1379" s="109"/>
      <c r="E1379" s="109"/>
      <c r="F1379" s="109"/>
      <c r="G1379" s="109"/>
      <c r="H1379" s="109"/>
      <c r="I1379" s="109"/>
      <c r="J1379" s="109"/>
      <c r="K1379" s="109"/>
      <c r="L1379" s="109"/>
      <c r="M1379" s="109"/>
      <c r="N1379" s="109"/>
      <c r="O1379" s="109"/>
      <c r="P1379" s="109"/>
      <c r="Q1379" s="109"/>
      <c r="R1379" s="109"/>
      <c r="S1379" s="109"/>
      <c r="T1379" s="109"/>
      <c r="U1379" s="109"/>
    </row>
    <row r="1380" spans="1:21">
      <c r="A1380" s="109"/>
      <c r="B1380" s="109"/>
      <c r="C1380" s="109"/>
      <c r="D1380" s="109"/>
      <c r="E1380" s="109"/>
      <c r="F1380" s="109"/>
      <c r="G1380" s="109"/>
      <c r="H1380" s="109"/>
      <c r="I1380" s="109"/>
      <c r="J1380" s="109"/>
      <c r="K1380" s="109"/>
      <c r="L1380" s="109"/>
      <c r="M1380" s="109"/>
      <c r="N1380" s="109"/>
      <c r="O1380" s="109"/>
      <c r="P1380" s="109"/>
      <c r="Q1380" s="109"/>
      <c r="R1380" s="109"/>
      <c r="S1380" s="109"/>
      <c r="T1380" s="109"/>
      <c r="U1380" s="109"/>
    </row>
    <row r="1381" spans="1:21">
      <c r="A1381" s="109"/>
      <c r="B1381" s="109"/>
      <c r="C1381" s="109"/>
      <c r="D1381" s="109"/>
      <c r="E1381" s="109"/>
      <c r="F1381" s="109"/>
      <c r="G1381" s="109"/>
      <c r="H1381" s="109"/>
      <c r="I1381" s="109"/>
      <c r="J1381" s="109"/>
      <c r="K1381" s="109"/>
      <c r="L1381" s="109"/>
      <c r="M1381" s="109"/>
      <c r="N1381" s="109"/>
      <c r="O1381" s="109"/>
      <c r="P1381" s="109"/>
      <c r="Q1381" s="109"/>
      <c r="R1381" s="109"/>
      <c r="S1381" s="109"/>
      <c r="T1381" s="109"/>
      <c r="U1381" s="109"/>
    </row>
    <row r="1382" spans="1:21">
      <c r="A1382" s="109"/>
      <c r="B1382" s="109"/>
      <c r="C1382" s="109"/>
      <c r="D1382" s="109"/>
      <c r="E1382" s="109"/>
      <c r="F1382" s="109"/>
      <c r="G1382" s="109"/>
      <c r="H1382" s="109"/>
      <c r="I1382" s="109"/>
      <c r="J1382" s="109"/>
      <c r="K1382" s="109"/>
      <c r="L1382" s="109"/>
      <c r="M1382" s="109"/>
      <c r="N1382" s="109"/>
      <c r="O1382" s="109"/>
      <c r="P1382" s="109"/>
      <c r="Q1382" s="109"/>
      <c r="R1382" s="109"/>
      <c r="S1382" s="109"/>
      <c r="T1382" s="109"/>
      <c r="U1382" s="109"/>
    </row>
    <row r="1383" spans="1:21">
      <c r="A1383" s="109"/>
      <c r="B1383" s="109"/>
      <c r="C1383" s="109"/>
      <c r="D1383" s="109"/>
      <c r="E1383" s="109"/>
      <c r="F1383" s="109"/>
      <c r="G1383" s="109"/>
      <c r="H1383" s="109"/>
      <c r="I1383" s="109"/>
      <c r="J1383" s="109"/>
      <c r="K1383" s="109"/>
      <c r="L1383" s="109"/>
      <c r="M1383" s="109"/>
      <c r="N1383" s="109"/>
      <c r="O1383" s="109"/>
      <c r="P1383" s="109"/>
      <c r="Q1383" s="109"/>
      <c r="R1383" s="109"/>
      <c r="S1383" s="109"/>
      <c r="T1383" s="109"/>
      <c r="U1383" s="109"/>
    </row>
    <row r="1384" spans="1:21">
      <c r="A1384" s="109"/>
      <c r="B1384" s="109"/>
      <c r="C1384" s="109"/>
      <c r="D1384" s="109"/>
      <c r="E1384" s="109"/>
      <c r="F1384" s="109"/>
      <c r="G1384" s="109"/>
      <c r="H1384" s="109"/>
      <c r="I1384" s="109"/>
      <c r="J1384" s="109"/>
      <c r="K1384" s="109"/>
      <c r="L1384" s="109"/>
      <c r="M1384" s="109"/>
      <c r="N1384" s="109"/>
      <c r="O1384" s="109"/>
      <c r="P1384" s="109"/>
      <c r="Q1384" s="109"/>
      <c r="R1384" s="109"/>
      <c r="S1384" s="109"/>
      <c r="T1384" s="109"/>
      <c r="U1384" s="109"/>
    </row>
    <row r="1385" spans="1:21">
      <c r="A1385" s="109"/>
      <c r="B1385" s="109"/>
      <c r="C1385" s="109"/>
      <c r="D1385" s="109"/>
      <c r="E1385" s="109"/>
      <c r="F1385" s="109"/>
      <c r="G1385" s="109"/>
      <c r="H1385" s="109"/>
      <c r="I1385" s="109"/>
      <c r="J1385" s="109"/>
      <c r="K1385" s="109"/>
      <c r="L1385" s="109"/>
      <c r="M1385" s="109"/>
      <c r="N1385" s="109"/>
      <c r="O1385" s="109"/>
      <c r="P1385" s="109"/>
      <c r="Q1385" s="109"/>
      <c r="R1385" s="109"/>
      <c r="S1385" s="109"/>
      <c r="T1385" s="109"/>
      <c r="U1385" s="109"/>
    </row>
    <row r="1386" spans="1:21">
      <c r="A1386" s="109"/>
      <c r="B1386" s="109"/>
      <c r="C1386" s="109"/>
      <c r="D1386" s="109"/>
      <c r="E1386" s="109"/>
      <c r="F1386" s="109"/>
      <c r="G1386" s="109"/>
      <c r="H1386" s="109"/>
      <c r="I1386" s="109"/>
      <c r="J1386" s="109"/>
      <c r="K1386" s="109"/>
      <c r="L1386" s="109"/>
      <c r="M1386" s="109"/>
      <c r="N1386" s="109"/>
      <c r="O1386" s="109"/>
      <c r="P1386" s="109"/>
      <c r="Q1386" s="109"/>
      <c r="R1386" s="109"/>
      <c r="S1386" s="109"/>
      <c r="T1386" s="109"/>
      <c r="U1386" s="109"/>
    </row>
    <row r="1387" spans="1:21">
      <c r="A1387" s="109"/>
      <c r="B1387" s="109"/>
      <c r="C1387" s="109"/>
      <c r="D1387" s="109"/>
      <c r="E1387" s="109"/>
      <c r="F1387" s="109"/>
      <c r="G1387" s="109"/>
      <c r="H1387" s="109"/>
      <c r="I1387" s="109"/>
      <c r="J1387" s="109"/>
      <c r="K1387" s="109"/>
      <c r="L1387" s="109"/>
      <c r="M1387" s="109"/>
      <c r="N1387" s="109"/>
      <c r="O1387" s="109"/>
      <c r="P1387" s="109"/>
      <c r="Q1387" s="109"/>
      <c r="R1387" s="109"/>
      <c r="S1387" s="109"/>
      <c r="T1387" s="109"/>
      <c r="U1387" s="109"/>
    </row>
    <row r="1388" spans="1:21">
      <c r="A1388" s="109"/>
      <c r="B1388" s="109"/>
      <c r="C1388" s="109"/>
      <c r="D1388" s="109"/>
      <c r="E1388" s="109"/>
      <c r="F1388" s="109"/>
      <c r="G1388" s="109"/>
      <c r="H1388" s="109"/>
      <c r="I1388" s="109"/>
      <c r="J1388" s="109"/>
      <c r="K1388" s="109"/>
      <c r="L1388" s="109"/>
      <c r="M1388" s="109"/>
      <c r="N1388" s="109"/>
      <c r="O1388" s="109"/>
      <c r="P1388" s="109"/>
      <c r="Q1388" s="109"/>
      <c r="R1388" s="109"/>
      <c r="S1388" s="109"/>
      <c r="T1388" s="109"/>
      <c r="U1388" s="109"/>
    </row>
    <row r="1389" spans="1:21">
      <c r="A1389" s="109"/>
      <c r="B1389" s="109"/>
      <c r="C1389" s="109"/>
      <c r="D1389" s="109"/>
      <c r="E1389" s="109"/>
      <c r="F1389" s="109"/>
      <c r="G1389" s="109"/>
      <c r="H1389" s="109"/>
      <c r="I1389" s="109"/>
      <c r="J1389" s="109"/>
      <c r="K1389" s="109"/>
      <c r="L1389" s="109"/>
      <c r="M1389" s="109"/>
      <c r="N1389" s="109"/>
      <c r="O1389" s="109"/>
      <c r="P1389" s="109"/>
      <c r="Q1389" s="109"/>
      <c r="R1389" s="109"/>
      <c r="S1389" s="109"/>
      <c r="T1389" s="109"/>
      <c r="U1389" s="109"/>
    </row>
    <row r="1390" spans="1:21">
      <c r="A1390" s="109"/>
      <c r="B1390" s="109"/>
      <c r="C1390" s="109"/>
      <c r="D1390" s="109"/>
      <c r="E1390" s="109"/>
      <c r="F1390" s="109"/>
      <c r="G1390" s="109"/>
      <c r="H1390" s="109"/>
      <c r="I1390" s="109"/>
      <c r="J1390" s="109"/>
      <c r="K1390" s="109"/>
      <c r="L1390" s="109"/>
      <c r="M1390" s="109"/>
      <c r="N1390" s="109"/>
      <c r="O1390" s="109"/>
      <c r="P1390" s="109"/>
      <c r="Q1390" s="109"/>
      <c r="R1390" s="109"/>
      <c r="S1390" s="109"/>
      <c r="T1390" s="109"/>
      <c r="U1390" s="109"/>
    </row>
    <row r="1391" spans="1:21">
      <c r="A1391" s="109"/>
      <c r="B1391" s="109"/>
      <c r="C1391" s="109"/>
      <c r="D1391" s="109"/>
      <c r="E1391" s="109"/>
      <c r="F1391" s="109"/>
      <c r="G1391" s="109"/>
      <c r="H1391" s="109"/>
      <c r="I1391" s="109"/>
      <c r="J1391" s="109"/>
      <c r="K1391" s="109"/>
      <c r="L1391" s="109"/>
      <c r="M1391" s="109"/>
      <c r="N1391" s="109"/>
      <c r="O1391" s="109"/>
      <c r="P1391" s="109"/>
      <c r="Q1391" s="109"/>
      <c r="R1391" s="109"/>
      <c r="S1391" s="109"/>
      <c r="T1391" s="109"/>
      <c r="U1391" s="109"/>
    </row>
    <row r="1392" spans="1:21">
      <c r="A1392" s="109"/>
      <c r="B1392" s="109"/>
      <c r="C1392" s="109"/>
      <c r="D1392" s="109"/>
      <c r="E1392" s="109"/>
      <c r="F1392" s="109"/>
      <c r="G1392" s="109"/>
      <c r="H1392" s="109"/>
      <c r="I1392" s="109"/>
      <c r="J1392" s="109"/>
      <c r="K1392" s="109"/>
      <c r="L1392" s="109"/>
      <c r="M1392" s="109"/>
      <c r="N1392" s="109"/>
      <c r="O1392" s="109"/>
      <c r="P1392" s="109"/>
      <c r="Q1392" s="109"/>
      <c r="R1392" s="109"/>
      <c r="S1392" s="109"/>
      <c r="T1392" s="109"/>
      <c r="U1392" s="109"/>
    </row>
    <row r="1393" spans="1:21">
      <c r="A1393" s="109"/>
      <c r="B1393" s="109"/>
      <c r="C1393" s="109"/>
      <c r="D1393" s="109"/>
      <c r="E1393" s="109"/>
      <c r="F1393" s="109"/>
      <c r="G1393" s="109"/>
      <c r="H1393" s="109"/>
      <c r="I1393" s="109"/>
      <c r="J1393" s="109"/>
      <c r="K1393" s="109"/>
      <c r="L1393" s="109"/>
      <c r="M1393" s="109"/>
      <c r="N1393" s="109"/>
      <c r="O1393" s="109"/>
      <c r="P1393" s="109"/>
      <c r="Q1393" s="109"/>
      <c r="R1393" s="109"/>
      <c r="S1393" s="109"/>
      <c r="T1393" s="109"/>
      <c r="U1393" s="109"/>
    </row>
    <row r="1394" spans="1:21">
      <c r="A1394" s="109"/>
      <c r="B1394" s="109"/>
      <c r="C1394" s="109"/>
      <c r="D1394" s="109"/>
      <c r="E1394" s="109"/>
      <c r="F1394" s="109"/>
      <c r="G1394" s="109"/>
      <c r="H1394" s="109"/>
      <c r="I1394" s="109"/>
      <c r="J1394" s="109"/>
      <c r="K1394" s="109"/>
      <c r="L1394" s="109"/>
      <c r="M1394" s="109"/>
      <c r="N1394" s="109"/>
      <c r="O1394" s="109"/>
      <c r="P1394" s="109"/>
      <c r="Q1394" s="109"/>
      <c r="R1394" s="109"/>
      <c r="S1394" s="109"/>
      <c r="T1394" s="109"/>
      <c r="U1394" s="109"/>
    </row>
    <row r="1395" spans="1:21">
      <c r="A1395" s="109"/>
      <c r="B1395" s="109"/>
      <c r="C1395" s="109"/>
      <c r="D1395" s="109"/>
      <c r="E1395" s="109"/>
      <c r="F1395" s="109"/>
      <c r="G1395" s="109"/>
      <c r="H1395" s="109"/>
      <c r="I1395" s="109"/>
      <c r="J1395" s="109"/>
      <c r="K1395" s="109"/>
      <c r="L1395" s="109"/>
      <c r="M1395" s="109"/>
      <c r="N1395" s="109"/>
      <c r="O1395" s="109"/>
      <c r="P1395" s="109"/>
      <c r="Q1395" s="109"/>
      <c r="R1395" s="109"/>
      <c r="S1395" s="109"/>
      <c r="T1395" s="109"/>
      <c r="U1395" s="109"/>
    </row>
    <row r="1396" spans="1:21">
      <c r="A1396" s="109"/>
      <c r="B1396" s="109"/>
      <c r="C1396" s="109"/>
      <c r="D1396" s="109"/>
      <c r="E1396" s="109"/>
      <c r="F1396" s="109"/>
      <c r="G1396" s="109"/>
      <c r="H1396" s="109"/>
      <c r="I1396" s="109"/>
      <c r="J1396" s="109"/>
      <c r="K1396" s="109"/>
      <c r="L1396" s="109"/>
      <c r="M1396" s="109"/>
      <c r="N1396" s="109"/>
      <c r="O1396" s="109"/>
      <c r="P1396" s="109"/>
      <c r="Q1396" s="109"/>
      <c r="R1396" s="109"/>
      <c r="S1396" s="109"/>
      <c r="T1396" s="109"/>
      <c r="U1396" s="109"/>
    </row>
    <row r="1397" spans="1:21">
      <c r="A1397" s="109"/>
      <c r="B1397" s="109"/>
      <c r="C1397" s="109"/>
      <c r="D1397" s="109"/>
      <c r="E1397" s="109"/>
      <c r="F1397" s="109"/>
      <c r="G1397" s="109"/>
      <c r="H1397" s="109"/>
      <c r="I1397" s="109"/>
      <c r="J1397" s="109"/>
      <c r="K1397" s="109"/>
      <c r="L1397" s="109"/>
      <c r="M1397" s="109"/>
      <c r="N1397" s="109"/>
      <c r="O1397" s="109"/>
      <c r="P1397" s="109"/>
      <c r="Q1397" s="109"/>
      <c r="R1397" s="109"/>
      <c r="S1397" s="109"/>
      <c r="T1397" s="109"/>
      <c r="U1397" s="109"/>
    </row>
    <row r="1398" spans="1:21">
      <c r="A1398" s="109"/>
      <c r="B1398" s="109"/>
      <c r="C1398" s="109"/>
      <c r="D1398" s="109"/>
      <c r="E1398" s="109"/>
      <c r="F1398" s="109"/>
      <c r="G1398" s="109"/>
      <c r="H1398" s="109"/>
      <c r="I1398" s="109"/>
      <c r="J1398" s="109"/>
      <c r="K1398" s="109"/>
      <c r="L1398" s="109"/>
      <c r="M1398" s="109"/>
      <c r="N1398" s="109"/>
      <c r="O1398" s="109"/>
      <c r="P1398" s="109"/>
      <c r="Q1398" s="109"/>
      <c r="R1398" s="109"/>
      <c r="S1398" s="109"/>
      <c r="T1398" s="109"/>
      <c r="U1398" s="109"/>
    </row>
    <row r="1399" spans="1:21">
      <c r="A1399" s="109"/>
      <c r="B1399" s="109"/>
      <c r="C1399" s="109"/>
      <c r="D1399" s="109"/>
      <c r="E1399" s="109"/>
      <c r="F1399" s="109"/>
      <c r="G1399" s="109"/>
      <c r="H1399" s="109"/>
      <c r="I1399" s="109"/>
      <c r="J1399" s="109"/>
      <c r="K1399" s="109"/>
      <c r="L1399" s="109"/>
      <c r="M1399" s="109"/>
      <c r="N1399" s="109"/>
      <c r="O1399" s="109"/>
      <c r="P1399" s="109"/>
      <c r="Q1399" s="109"/>
      <c r="R1399" s="109"/>
      <c r="S1399" s="109"/>
      <c r="T1399" s="109"/>
      <c r="U1399" s="109"/>
    </row>
    <row r="1400" spans="1:21">
      <c r="A1400" s="109"/>
      <c r="B1400" s="109"/>
      <c r="C1400" s="109"/>
      <c r="D1400" s="109"/>
      <c r="E1400" s="109"/>
      <c r="F1400" s="109"/>
      <c r="G1400" s="109"/>
      <c r="H1400" s="109"/>
      <c r="I1400" s="109"/>
      <c r="J1400" s="109"/>
      <c r="K1400" s="109"/>
      <c r="L1400" s="109"/>
      <c r="M1400" s="109"/>
      <c r="N1400" s="109"/>
      <c r="O1400" s="109"/>
      <c r="P1400" s="109"/>
      <c r="Q1400" s="109"/>
      <c r="R1400" s="109"/>
      <c r="S1400" s="109"/>
      <c r="T1400" s="109"/>
      <c r="U1400" s="109"/>
    </row>
    <row r="1401" spans="1:21">
      <c r="A1401" s="109"/>
      <c r="B1401" s="109"/>
      <c r="C1401" s="109"/>
      <c r="D1401" s="109"/>
      <c r="E1401" s="109"/>
      <c r="F1401" s="109"/>
      <c r="G1401" s="109"/>
      <c r="H1401" s="109"/>
      <c r="I1401" s="109"/>
      <c r="J1401" s="109"/>
      <c r="K1401" s="109"/>
      <c r="L1401" s="109"/>
      <c r="M1401" s="109"/>
      <c r="N1401" s="109"/>
      <c r="O1401" s="109"/>
      <c r="P1401" s="109"/>
      <c r="Q1401" s="109"/>
      <c r="R1401" s="109"/>
      <c r="S1401" s="109"/>
      <c r="T1401" s="109"/>
      <c r="U1401" s="109"/>
    </row>
    <row r="1402" spans="1:21">
      <c r="A1402" s="109"/>
      <c r="B1402" s="109"/>
      <c r="C1402" s="109"/>
      <c r="D1402" s="109"/>
      <c r="E1402" s="109"/>
      <c r="F1402" s="109"/>
      <c r="G1402" s="109"/>
      <c r="H1402" s="109"/>
      <c r="I1402" s="109"/>
      <c r="J1402" s="109"/>
      <c r="K1402" s="109"/>
      <c r="L1402" s="109"/>
      <c r="M1402" s="109"/>
      <c r="N1402" s="109"/>
      <c r="O1402" s="109"/>
      <c r="P1402" s="109"/>
      <c r="Q1402" s="109"/>
      <c r="R1402" s="109"/>
      <c r="S1402" s="109"/>
      <c r="T1402" s="109"/>
      <c r="U1402" s="109"/>
    </row>
    <row r="1403" spans="1:21">
      <c r="A1403" s="109"/>
      <c r="B1403" s="109"/>
      <c r="C1403" s="109"/>
      <c r="D1403" s="109"/>
      <c r="E1403" s="109"/>
      <c r="F1403" s="109"/>
      <c r="G1403" s="109"/>
      <c r="H1403" s="109"/>
      <c r="I1403" s="109"/>
      <c r="J1403" s="109"/>
      <c r="K1403" s="109"/>
      <c r="L1403" s="109"/>
      <c r="M1403" s="109"/>
      <c r="N1403" s="109"/>
      <c r="O1403" s="109"/>
      <c r="P1403" s="109"/>
      <c r="Q1403" s="109"/>
      <c r="R1403" s="109"/>
      <c r="S1403" s="109"/>
      <c r="T1403" s="109"/>
      <c r="U1403" s="109"/>
    </row>
    <row r="1404" spans="1:21">
      <c r="A1404" s="109"/>
      <c r="B1404" s="109"/>
      <c r="C1404" s="109"/>
      <c r="D1404" s="109"/>
      <c r="E1404" s="109"/>
      <c r="F1404" s="109"/>
      <c r="G1404" s="109"/>
      <c r="H1404" s="109"/>
      <c r="I1404" s="109"/>
      <c r="J1404" s="109"/>
      <c r="K1404" s="109"/>
      <c r="L1404" s="109"/>
      <c r="M1404" s="109"/>
      <c r="N1404" s="109"/>
      <c r="O1404" s="109"/>
      <c r="P1404" s="109"/>
      <c r="Q1404" s="109"/>
      <c r="R1404" s="109"/>
      <c r="S1404" s="109"/>
      <c r="T1404" s="109"/>
      <c r="U1404" s="109"/>
    </row>
    <row r="1405" spans="1:21">
      <c r="A1405" s="109"/>
      <c r="B1405" s="109"/>
      <c r="C1405" s="109"/>
      <c r="D1405" s="109"/>
      <c r="E1405" s="109"/>
      <c r="F1405" s="109"/>
      <c r="G1405" s="109"/>
      <c r="H1405" s="109"/>
      <c r="I1405" s="109"/>
      <c r="J1405" s="109"/>
      <c r="K1405" s="109"/>
      <c r="L1405" s="109"/>
      <c r="M1405" s="109"/>
      <c r="N1405" s="109"/>
      <c r="O1405" s="109"/>
      <c r="P1405" s="109"/>
      <c r="Q1405" s="109"/>
      <c r="R1405" s="109"/>
      <c r="S1405" s="109"/>
      <c r="T1405" s="109"/>
      <c r="U1405" s="109"/>
    </row>
    <row r="1406" spans="1:21">
      <c r="A1406" s="109"/>
      <c r="B1406" s="109"/>
      <c r="C1406" s="109"/>
      <c r="D1406" s="109"/>
      <c r="E1406" s="109"/>
      <c r="F1406" s="109"/>
      <c r="G1406" s="109"/>
      <c r="H1406" s="109"/>
      <c r="I1406" s="109"/>
      <c r="J1406" s="109"/>
      <c r="K1406" s="109"/>
      <c r="L1406" s="109"/>
      <c r="M1406" s="109"/>
      <c r="N1406" s="109"/>
      <c r="O1406" s="109"/>
      <c r="P1406" s="109"/>
      <c r="Q1406" s="109"/>
      <c r="R1406" s="109"/>
      <c r="S1406" s="109"/>
      <c r="T1406" s="109"/>
      <c r="U1406" s="109"/>
    </row>
    <row r="1407" spans="1:21">
      <c r="A1407" s="109"/>
      <c r="B1407" s="109"/>
      <c r="C1407" s="109"/>
      <c r="D1407" s="109"/>
      <c r="E1407" s="109"/>
      <c r="F1407" s="109"/>
      <c r="G1407" s="109"/>
      <c r="H1407" s="109"/>
      <c r="I1407" s="109"/>
      <c r="J1407" s="109"/>
      <c r="K1407" s="109"/>
      <c r="L1407" s="109"/>
      <c r="M1407" s="109"/>
      <c r="N1407" s="109"/>
      <c r="O1407" s="109"/>
      <c r="P1407" s="109"/>
      <c r="Q1407" s="109"/>
      <c r="R1407" s="109"/>
      <c r="S1407" s="109"/>
      <c r="T1407" s="109"/>
      <c r="U1407" s="109"/>
    </row>
    <row r="1408" spans="1:21">
      <c r="A1408" s="109"/>
      <c r="B1408" s="109"/>
      <c r="C1408" s="109"/>
      <c r="D1408" s="109"/>
      <c r="E1408" s="109"/>
      <c r="F1408" s="109"/>
      <c r="G1408" s="109"/>
      <c r="H1408" s="109"/>
      <c r="I1408" s="109"/>
      <c r="J1408" s="109"/>
      <c r="K1408" s="109"/>
      <c r="L1408" s="109"/>
      <c r="M1408" s="109"/>
      <c r="N1408" s="109"/>
      <c r="O1408" s="109"/>
      <c r="P1408" s="109"/>
      <c r="Q1408" s="109"/>
      <c r="R1408" s="109"/>
      <c r="S1408" s="109"/>
      <c r="T1408" s="109"/>
      <c r="U1408" s="109"/>
    </row>
    <row r="1409" spans="1:21">
      <c r="A1409" s="109"/>
      <c r="B1409" s="109"/>
      <c r="C1409" s="109"/>
      <c r="D1409" s="109"/>
      <c r="E1409" s="109"/>
      <c r="F1409" s="109"/>
      <c r="G1409" s="109"/>
      <c r="H1409" s="109"/>
      <c r="I1409" s="109"/>
      <c r="J1409" s="109"/>
      <c r="K1409" s="109"/>
      <c r="L1409" s="109"/>
      <c r="M1409" s="109"/>
      <c r="N1409" s="109"/>
      <c r="O1409" s="109"/>
      <c r="P1409" s="109"/>
      <c r="Q1409" s="109"/>
      <c r="R1409" s="109"/>
      <c r="S1409" s="109"/>
      <c r="T1409" s="109"/>
      <c r="U1409" s="109"/>
    </row>
    <row r="1410" spans="1:21">
      <c r="A1410" s="109"/>
      <c r="B1410" s="109"/>
      <c r="C1410" s="109"/>
      <c r="D1410" s="109"/>
      <c r="E1410" s="109"/>
      <c r="F1410" s="109"/>
      <c r="G1410" s="109"/>
      <c r="H1410" s="109"/>
      <c r="I1410" s="109"/>
      <c r="J1410" s="109"/>
      <c r="K1410" s="109"/>
      <c r="L1410" s="109"/>
      <c r="M1410" s="109"/>
      <c r="N1410" s="109"/>
      <c r="O1410" s="109"/>
      <c r="P1410" s="109"/>
      <c r="Q1410" s="109"/>
      <c r="R1410" s="109"/>
      <c r="S1410" s="109"/>
      <c r="T1410" s="109"/>
      <c r="U1410" s="109"/>
    </row>
    <row r="1411" spans="1:21">
      <c r="A1411" s="109"/>
      <c r="B1411" s="109"/>
      <c r="C1411" s="109"/>
      <c r="D1411" s="109"/>
      <c r="E1411" s="109"/>
      <c r="F1411" s="109"/>
      <c r="G1411" s="109"/>
      <c r="H1411" s="109"/>
      <c r="I1411" s="109"/>
      <c r="J1411" s="109"/>
      <c r="K1411" s="109"/>
      <c r="L1411" s="109"/>
      <c r="M1411" s="109"/>
      <c r="N1411" s="109"/>
      <c r="O1411" s="109"/>
      <c r="P1411" s="109"/>
      <c r="Q1411" s="109"/>
      <c r="R1411" s="109"/>
      <c r="S1411" s="109"/>
      <c r="T1411" s="109"/>
      <c r="U1411" s="109"/>
    </row>
    <row r="1412" spans="1:21">
      <c r="A1412" s="109"/>
      <c r="B1412" s="109"/>
      <c r="C1412" s="109"/>
      <c r="D1412" s="109"/>
      <c r="E1412" s="109"/>
      <c r="F1412" s="109"/>
      <c r="G1412" s="109"/>
      <c r="H1412" s="109"/>
      <c r="I1412" s="109"/>
      <c r="J1412" s="109"/>
      <c r="K1412" s="109"/>
      <c r="L1412" s="109"/>
      <c r="M1412" s="109"/>
      <c r="N1412" s="109"/>
      <c r="O1412" s="109"/>
      <c r="P1412" s="109"/>
      <c r="Q1412" s="109"/>
      <c r="R1412" s="109"/>
      <c r="S1412" s="109"/>
      <c r="T1412" s="109"/>
      <c r="U1412" s="109"/>
    </row>
    <row r="1413" spans="1:21">
      <c r="A1413" s="109"/>
      <c r="B1413" s="109"/>
      <c r="C1413" s="109"/>
      <c r="D1413" s="109"/>
      <c r="E1413" s="109"/>
      <c r="F1413" s="109"/>
      <c r="G1413" s="109"/>
      <c r="H1413" s="109"/>
      <c r="I1413" s="109"/>
      <c r="J1413" s="109"/>
      <c r="K1413" s="109"/>
      <c r="L1413" s="109"/>
      <c r="M1413" s="109"/>
      <c r="N1413" s="109"/>
      <c r="O1413" s="109"/>
      <c r="P1413" s="109"/>
      <c r="Q1413" s="109"/>
      <c r="R1413" s="109"/>
      <c r="S1413" s="109"/>
      <c r="T1413" s="109"/>
      <c r="U1413" s="109"/>
    </row>
    <row r="1414" spans="1:21">
      <c r="A1414" s="109"/>
      <c r="B1414" s="109"/>
      <c r="C1414" s="109"/>
      <c r="D1414" s="109"/>
      <c r="E1414" s="109"/>
      <c r="F1414" s="109"/>
      <c r="G1414" s="109"/>
      <c r="H1414" s="109"/>
      <c r="I1414" s="109"/>
      <c r="J1414" s="109"/>
      <c r="K1414" s="109"/>
      <c r="L1414" s="109"/>
      <c r="M1414" s="109"/>
      <c r="N1414" s="109"/>
      <c r="O1414" s="109"/>
      <c r="P1414" s="109"/>
      <c r="Q1414" s="109"/>
      <c r="R1414" s="109"/>
      <c r="S1414" s="109"/>
      <c r="T1414" s="109"/>
      <c r="U1414" s="109"/>
    </row>
    <row r="1415" spans="1:21">
      <c r="A1415" s="109"/>
      <c r="B1415" s="109"/>
      <c r="C1415" s="109"/>
      <c r="D1415" s="109"/>
      <c r="E1415" s="109"/>
      <c r="F1415" s="109"/>
      <c r="G1415" s="109"/>
      <c r="H1415" s="109"/>
      <c r="I1415" s="109"/>
      <c r="J1415" s="109"/>
      <c r="K1415" s="109"/>
      <c r="L1415" s="109"/>
      <c r="M1415" s="109"/>
      <c r="N1415" s="109"/>
      <c r="O1415" s="109"/>
      <c r="P1415" s="109"/>
      <c r="Q1415" s="109"/>
      <c r="R1415" s="109"/>
      <c r="S1415" s="109"/>
      <c r="T1415" s="109"/>
      <c r="U1415" s="109"/>
    </row>
    <row r="1416" spans="1:21">
      <c r="A1416" s="109"/>
      <c r="B1416" s="109"/>
      <c r="C1416" s="109"/>
      <c r="D1416" s="109"/>
      <c r="E1416" s="109"/>
      <c r="F1416" s="109"/>
      <c r="G1416" s="109"/>
      <c r="H1416" s="109"/>
      <c r="I1416" s="109"/>
      <c r="J1416" s="109"/>
      <c r="K1416" s="109"/>
      <c r="L1416" s="109"/>
      <c r="M1416" s="109"/>
      <c r="N1416" s="109"/>
      <c r="O1416" s="109"/>
      <c r="P1416" s="109"/>
      <c r="Q1416" s="109"/>
      <c r="R1416" s="109"/>
      <c r="S1416" s="109"/>
      <c r="T1416" s="109"/>
      <c r="U1416" s="109"/>
    </row>
    <row r="1417" spans="1:21">
      <c r="A1417" s="109"/>
      <c r="B1417" s="109"/>
      <c r="C1417" s="109"/>
      <c r="D1417" s="109"/>
      <c r="E1417" s="109"/>
      <c r="F1417" s="109"/>
      <c r="G1417" s="109"/>
      <c r="H1417" s="109"/>
      <c r="I1417" s="109"/>
      <c r="J1417" s="109"/>
      <c r="K1417" s="109"/>
      <c r="L1417" s="109"/>
      <c r="M1417" s="109"/>
      <c r="N1417" s="109"/>
      <c r="O1417" s="109"/>
      <c r="P1417" s="109"/>
      <c r="Q1417" s="109"/>
      <c r="R1417" s="109"/>
      <c r="S1417" s="109"/>
      <c r="T1417" s="109"/>
      <c r="U1417" s="109"/>
    </row>
    <row r="1418" spans="1:21">
      <c r="A1418" s="109"/>
      <c r="B1418" s="109"/>
      <c r="C1418" s="109"/>
      <c r="D1418" s="109"/>
      <c r="E1418" s="109"/>
      <c r="F1418" s="109"/>
      <c r="G1418" s="109"/>
      <c r="H1418" s="109"/>
      <c r="I1418" s="109"/>
      <c r="J1418" s="109"/>
      <c r="K1418" s="109"/>
      <c r="L1418" s="109"/>
      <c r="M1418" s="109"/>
      <c r="N1418" s="109"/>
      <c r="O1418" s="109"/>
      <c r="P1418" s="109"/>
      <c r="Q1418" s="109"/>
      <c r="R1418" s="109"/>
      <c r="S1418" s="109"/>
      <c r="T1418" s="109"/>
      <c r="U1418" s="109"/>
    </row>
    <row r="1419" spans="1:21">
      <c r="A1419" s="109"/>
      <c r="B1419" s="109"/>
      <c r="C1419" s="109"/>
      <c r="D1419" s="109"/>
      <c r="E1419" s="109"/>
      <c r="F1419" s="109"/>
      <c r="G1419" s="109"/>
      <c r="H1419" s="109"/>
      <c r="I1419" s="109"/>
      <c r="J1419" s="109"/>
      <c r="K1419" s="109"/>
      <c r="L1419" s="109"/>
      <c r="M1419" s="109"/>
      <c r="N1419" s="109"/>
      <c r="O1419" s="109"/>
      <c r="P1419" s="109"/>
      <c r="Q1419" s="109"/>
      <c r="R1419" s="109"/>
      <c r="S1419" s="109"/>
      <c r="T1419" s="109"/>
      <c r="U1419" s="109"/>
    </row>
    <row r="1420" spans="1:21">
      <c r="A1420" s="109"/>
      <c r="B1420" s="109"/>
      <c r="C1420" s="109"/>
      <c r="D1420" s="109"/>
      <c r="E1420" s="109"/>
      <c r="F1420" s="109"/>
      <c r="G1420" s="109"/>
      <c r="H1420" s="109"/>
      <c r="I1420" s="109"/>
      <c r="J1420" s="109"/>
      <c r="K1420" s="109"/>
      <c r="L1420" s="109"/>
      <c r="M1420" s="109"/>
      <c r="N1420" s="109"/>
      <c r="O1420" s="109"/>
      <c r="P1420" s="109"/>
      <c r="Q1420" s="109"/>
      <c r="R1420" s="109"/>
      <c r="S1420" s="109"/>
      <c r="T1420" s="109"/>
      <c r="U1420" s="109"/>
    </row>
    <row r="1421" spans="1:21">
      <c r="A1421" s="109"/>
      <c r="B1421" s="109"/>
      <c r="C1421" s="109"/>
      <c r="D1421" s="109"/>
      <c r="E1421" s="109"/>
      <c r="F1421" s="109"/>
      <c r="G1421" s="109"/>
      <c r="H1421" s="109"/>
      <c r="I1421" s="109"/>
      <c r="J1421" s="109"/>
      <c r="K1421" s="109"/>
      <c r="L1421" s="109"/>
      <c r="M1421" s="109"/>
      <c r="N1421" s="109"/>
      <c r="O1421" s="109"/>
      <c r="P1421" s="109"/>
      <c r="Q1421" s="109"/>
      <c r="R1421" s="109"/>
      <c r="S1421" s="109"/>
      <c r="T1421" s="109"/>
      <c r="U1421" s="109"/>
    </row>
    <row r="1422" spans="1:21">
      <c r="A1422" s="109"/>
      <c r="B1422" s="109"/>
      <c r="C1422" s="109"/>
      <c r="D1422" s="109"/>
      <c r="E1422" s="109"/>
      <c r="F1422" s="109"/>
      <c r="G1422" s="109"/>
      <c r="H1422" s="109"/>
      <c r="I1422" s="109"/>
      <c r="J1422" s="109"/>
      <c r="K1422" s="109"/>
      <c r="L1422" s="109"/>
      <c r="M1422" s="109"/>
      <c r="N1422" s="109"/>
      <c r="O1422" s="109"/>
      <c r="P1422" s="109"/>
      <c r="Q1422" s="109"/>
      <c r="R1422" s="109"/>
      <c r="S1422" s="109"/>
      <c r="T1422" s="109"/>
      <c r="U1422" s="109"/>
    </row>
    <row r="1423" spans="1:21">
      <c r="A1423" s="109"/>
      <c r="B1423" s="109"/>
      <c r="C1423" s="109"/>
      <c r="D1423" s="109"/>
      <c r="E1423" s="109"/>
      <c r="F1423" s="109"/>
      <c r="G1423" s="109"/>
      <c r="H1423" s="109"/>
      <c r="I1423" s="109"/>
      <c r="J1423" s="109"/>
      <c r="K1423" s="109"/>
      <c r="L1423" s="109"/>
      <c r="M1423" s="109"/>
      <c r="N1423" s="109"/>
      <c r="O1423" s="109"/>
      <c r="P1423" s="109"/>
      <c r="Q1423" s="109"/>
      <c r="R1423" s="109"/>
      <c r="S1423" s="109"/>
      <c r="T1423" s="109"/>
      <c r="U1423" s="109"/>
    </row>
    <row r="1424" spans="1:21">
      <c r="A1424" s="109"/>
      <c r="B1424" s="109"/>
      <c r="C1424" s="109"/>
      <c r="D1424" s="109"/>
      <c r="E1424" s="109"/>
      <c r="F1424" s="109"/>
      <c r="G1424" s="109"/>
      <c r="H1424" s="109"/>
      <c r="I1424" s="109"/>
      <c r="J1424" s="109"/>
      <c r="K1424" s="109"/>
      <c r="L1424" s="109"/>
      <c r="M1424" s="109"/>
      <c r="N1424" s="109"/>
      <c r="O1424" s="109"/>
      <c r="P1424" s="109"/>
      <c r="Q1424" s="109"/>
      <c r="R1424" s="109"/>
      <c r="S1424" s="109"/>
      <c r="T1424" s="109"/>
      <c r="U1424" s="109"/>
    </row>
    <row r="1425" spans="1:21">
      <c r="A1425" s="109"/>
      <c r="B1425" s="109"/>
      <c r="C1425" s="109"/>
      <c r="D1425" s="109"/>
      <c r="E1425" s="109"/>
      <c r="F1425" s="109"/>
      <c r="G1425" s="109"/>
      <c r="H1425" s="109"/>
      <c r="I1425" s="109"/>
      <c r="J1425" s="109"/>
      <c r="K1425" s="109"/>
      <c r="L1425" s="109"/>
      <c r="M1425" s="109"/>
      <c r="N1425" s="109"/>
      <c r="O1425" s="109"/>
      <c r="P1425" s="109"/>
      <c r="Q1425" s="109"/>
      <c r="R1425" s="109"/>
      <c r="S1425" s="109"/>
      <c r="T1425" s="109"/>
      <c r="U1425" s="109"/>
    </row>
    <row r="1426" spans="1:21">
      <c r="A1426" s="109"/>
      <c r="B1426" s="109"/>
      <c r="C1426" s="109"/>
      <c r="D1426" s="109"/>
      <c r="E1426" s="109"/>
      <c r="F1426" s="109"/>
      <c r="G1426" s="109"/>
      <c r="H1426" s="109"/>
      <c r="I1426" s="109"/>
      <c r="J1426" s="109"/>
      <c r="K1426" s="109"/>
      <c r="L1426" s="109"/>
      <c r="M1426" s="109"/>
      <c r="N1426" s="109"/>
      <c r="O1426" s="109"/>
      <c r="P1426" s="109"/>
      <c r="Q1426" s="109"/>
      <c r="R1426" s="109"/>
      <c r="S1426" s="109"/>
      <c r="T1426" s="109"/>
      <c r="U1426" s="109"/>
    </row>
    <row r="1427" spans="1:21">
      <c r="A1427" s="109"/>
      <c r="B1427" s="109"/>
      <c r="C1427" s="109"/>
      <c r="D1427" s="109"/>
      <c r="E1427" s="109"/>
      <c r="F1427" s="109"/>
      <c r="G1427" s="109"/>
      <c r="H1427" s="109"/>
      <c r="I1427" s="109"/>
      <c r="J1427" s="109"/>
      <c r="K1427" s="109"/>
      <c r="L1427" s="109"/>
      <c r="M1427" s="109"/>
      <c r="N1427" s="109"/>
      <c r="O1427" s="109"/>
      <c r="P1427" s="109"/>
      <c r="Q1427" s="109"/>
      <c r="R1427" s="109"/>
      <c r="S1427" s="109"/>
      <c r="T1427" s="109"/>
      <c r="U1427" s="109"/>
    </row>
    <row r="1428" spans="1:21">
      <c r="A1428" s="109"/>
      <c r="B1428" s="109"/>
      <c r="C1428" s="109"/>
      <c r="D1428" s="109"/>
      <c r="E1428" s="109"/>
      <c r="F1428" s="109"/>
      <c r="G1428" s="109"/>
      <c r="H1428" s="109"/>
      <c r="I1428" s="109"/>
      <c r="J1428" s="109"/>
      <c r="K1428" s="109"/>
      <c r="L1428" s="109"/>
      <c r="M1428" s="109"/>
      <c r="N1428" s="109"/>
      <c r="O1428" s="109"/>
      <c r="P1428" s="109"/>
      <c r="Q1428" s="109"/>
      <c r="R1428" s="109"/>
      <c r="S1428" s="109"/>
      <c r="T1428" s="109"/>
      <c r="U1428" s="109"/>
    </row>
    <row r="1429" spans="1:21">
      <c r="A1429" s="109"/>
      <c r="B1429" s="109"/>
      <c r="C1429" s="109"/>
      <c r="D1429" s="109"/>
      <c r="E1429" s="109"/>
      <c r="F1429" s="109"/>
      <c r="G1429" s="109"/>
      <c r="H1429" s="109"/>
      <c r="I1429" s="109"/>
      <c r="J1429" s="109"/>
      <c r="K1429" s="109"/>
      <c r="L1429" s="109"/>
      <c r="M1429" s="109"/>
      <c r="N1429" s="109"/>
      <c r="O1429" s="109"/>
      <c r="P1429" s="109"/>
      <c r="Q1429" s="109"/>
      <c r="R1429" s="109"/>
      <c r="S1429" s="109"/>
      <c r="T1429" s="109"/>
      <c r="U1429" s="109"/>
    </row>
    <row r="1430" spans="1:21">
      <c r="A1430" s="109"/>
      <c r="B1430" s="109"/>
      <c r="C1430" s="109"/>
      <c r="D1430" s="109"/>
      <c r="E1430" s="109"/>
      <c r="F1430" s="109"/>
      <c r="G1430" s="109"/>
      <c r="H1430" s="109"/>
      <c r="I1430" s="109"/>
      <c r="J1430" s="109"/>
      <c r="K1430" s="109"/>
      <c r="L1430" s="109"/>
      <c r="M1430" s="109"/>
      <c r="N1430" s="109"/>
      <c r="O1430" s="109"/>
      <c r="P1430" s="109"/>
      <c r="Q1430" s="109"/>
      <c r="R1430" s="109"/>
      <c r="S1430" s="109"/>
      <c r="T1430" s="109"/>
      <c r="U1430" s="109"/>
    </row>
    <row r="1431" spans="1:21">
      <c r="A1431" s="109"/>
      <c r="B1431" s="109"/>
      <c r="C1431" s="109"/>
      <c r="D1431" s="109"/>
      <c r="E1431" s="109"/>
      <c r="F1431" s="109"/>
      <c r="G1431" s="109"/>
      <c r="H1431" s="109"/>
      <c r="I1431" s="109"/>
      <c r="J1431" s="109"/>
      <c r="K1431" s="109"/>
      <c r="L1431" s="109"/>
      <c r="M1431" s="109"/>
      <c r="N1431" s="109"/>
      <c r="O1431" s="109"/>
      <c r="P1431" s="109"/>
      <c r="Q1431" s="109"/>
      <c r="R1431" s="109"/>
      <c r="S1431" s="109"/>
      <c r="T1431" s="109"/>
      <c r="U1431" s="109"/>
    </row>
    <row r="1432" spans="1:21">
      <c r="A1432" s="109"/>
      <c r="B1432" s="109"/>
      <c r="C1432" s="109"/>
      <c r="D1432" s="109"/>
      <c r="E1432" s="109"/>
      <c r="F1432" s="109"/>
      <c r="G1432" s="109"/>
      <c r="H1432" s="109"/>
      <c r="I1432" s="109"/>
      <c r="J1432" s="109"/>
      <c r="K1432" s="109"/>
      <c r="L1432" s="109"/>
      <c r="M1432" s="109"/>
      <c r="N1432" s="109"/>
      <c r="O1432" s="109"/>
      <c r="P1432" s="109"/>
      <c r="Q1432" s="109"/>
      <c r="R1432" s="109"/>
      <c r="S1432" s="109"/>
      <c r="T1432" s="109"/>
      <c r="U1432" s="109"/>
    </row>
    <row r="1433" spans="1:21">
      <c r="A1433" s="109"/>
      <c r="B1433" s="109"/>
      <c r="C1433" s="109"/>
      <c r="D1433" s="109"/>
      <c r="E1433" s="109"/>
      <c r="F1433" s="109"/>
      <c r="G1433" s="109"/>
      <c r="H1433" s="109"/>
      <c r="I1433" s="109"/>
      <c r="J1433" s="109"/>
      <c r="K1433" s="109"/>
      <c r="L1433" s="109"/>
      <c r="M1433" s="109"/>
      <c r="N1433" s="109"/>
      <c r="O1433" s="109"/>
      <c r="P1433" s="109"/>
      <c r="Q1433" s="109"/>
      <c r="R1433" s="109"/>
      <c r="S1433" s="109"/>
      <c r="T1433" s="109"/>
      <c r="U1433" s="109"/>
    </row>
    <row r="1434" spans="1:21">
      <c r="A1434" s="109"/>
      <c r="B1434" s="109"/>
      <c r="C1434" s="109"/>
      <c r="D1434" s="109"/>
      <c r="E1434" s="109"/>
      <c r="F1434" s="109"/>
      <c r="G1434" s="109"/>
      <c r="H1434" s="109"/>
      <c r="I1434" s="109"/>
      <c r="J1434" s="109"/>
      <c r="K1434" s="109"/>
      <c r="L1434" s="109"/>
      <c r="M1434" s="109"/>
      <c r="N1434" s="109"/>
      <c r="O1434" s="109"/>
      <c r="P1434" s="109"/>
      <c r="Q1434" s="109"/>
      <c r="R1434" s="109"/>
      <c r="S1434" s="109"/>
      <c r="T1434" s="109"/>
      <c r="U1434" s="109"/>
    </row>
    <row r="1435" spans="1:21">
      <c r="A1435" s="109"/>
      <c r="B1435" s="109"/>
      <c r="C1435" s="109"/>
      <c r="D1435" s="109"/>
      <c r="E1435" s="109"/>
      <c r="F1435" s="109"/>
      <c r="G1435" s="109"/>
      <c r="H1435" s="109"/>
      <c r="I1435" s="109"/>
      <c r="J1435" s="109"/>
      <c r="K1435" s="109"/>
      <c r="L1435" s="109"/>
      <c r="M1435" s="109"/>
      <c r="N1435" s="109"/>
      <c r="O1435" s="109"/>
      <c r="P1435" s="109"/>
      <c r="Q1435" s="109"/>
      <c r="R1435" s="109"/>
      <c r="S1435" s="109"/>
      <c r="T1435" s="109"/>
      <c r="U1435" s="109"/>
    </row>
    <row r="1436" spans="1:21">
      <c r="A1436" s="109"/>
      <c r="B1436" s="109"/>
      <c r="C1436" s="109"/>
      <c r="D1436" s="109"/>
      <c r="E1436" s="109"/>
      <c r="F1436" s="109"/>
      <c r="G1436" s="109"/>
      <c r="H1436" s="109"/>
      <c r="I1436" s="109"/>
      <c r="J1436" s="109"/>
      <c r="K1436" s="109"/>
      <c r="L1436" s="109"/>
      <c r="M1436" s="109"/>
      <c r="N1436" s="109"/>
      <c r="O1436" s="109"/>
      <c r="P1436" s="109"/>
      <c r="Q1436" s="109"/>
      <c r="R1436" s="109"/>
      <c r="S1436" s="109"/>
      <c r="T1436" s="109"/>
      <c r="U1436" s="109"/>
    </row>
    <row r="1437" spans="1:21">
      <c r="A1437" s="109"/>
      <c r="B1437" s="109"/>
      <c r="C1437" s="109"/>
      <c r="D1437" s="109"/>
      <c r="E1437" s="109"/>
      <c r="F1437" s="109"/>
      <c r="G1437" s="109"/>
      <c r="H1437" s="109"/>
      <c r="I1437" s="109"/>
      <c r="J1437" s="109"/>
      <c r="K1437" s="109"/>
      <c r="L1437" s="109"/>
      <c r="M1437" s="109"/>
      <c r="N1437" s="109"/>
      <c r="O1437" s="109"/>
      <c r="P1437" s="109"/>
      <c r="Q1437" s="109"/>
      <c r="R1437" s="109"/>
      <c r="S1437" s="109"/>
      <c r="T1437" s="109"/>
      <c r="U1437" s="109"/>
    </row>
    <row r="1438" spans="1:21">
      <c r="A1438" s="109"/>
      <c r="B1438" s="109"/>
      <c r="C1438" s="109"/>
      <c r="D1438" s="109"/>
      <c r="E1438" s="109"/>
      <c r="F1438" s="109"/>
      <c r="G1438" s="109"/>
      <c r="H1438" s="109"/>
      <c r="I1438" s="109"/>
      <c r="J1438" s="109"/>
      <c r="K1438" s="109"/>
      <c r="L1438" s="109"/>
      <c r="M1438" s="109"/>
      <c r="N1438" s="109"/>
      <c r="O1438" s="109"/>
      <c r="P1438" s="109"/>
      <c r="Q1438" s="109"/>
      <c r="R1438" s="109"/>
      <c r="S1438" s="109"/>
      <c r="T1438" s="109"/>
      <c r="U1438" s="109"/>
    </row>
    <row r="1439" spans="1:21">
      <c r="A1439" s="109"/>
      <c r="B1439" s="109"/>
      <c r="C1439" s="109"/>
      <c r="D1439" s="109"/>
      <c r="E1439" s="109"/>
      <c r="F1439" s="109"/>
      <c r="G1439" s="109"/>
      <c r="H1439" s="109"/>
      <c r="I1439" s="109"/>
      <c r="J1439" s="109"/>
      <c r="K1439" s="109"/>
      <c r="L1439" s="109"/>
      <c r="M1439" s="109"/>
      <c r="N1439" s="109"/>
      <c r="O1439" s="109"/>
      <c r="P1439" s="109"/>
      <c r="Q1439" s="109"/>
      <c r="R1439" s="109"/>
      <c r="S1439" s="109"/>
      <c r="T1439" s="109"/>
      <c r="U1439" s="109"/>
    </row>
    <row r="1440" spans="1:21">
      <c r="A1440" s="109"/>
      <c r="B1440" s="109"/>
      <c r="C1440" s="109"/>
      <c r="D1440" s="109"/>
      <c r="E1440" s="109"/>
      <c r="F1440" s="109"/>
      <c r="G1440" s="109"/>
      <c r="H1440" s="109"/>
      <c r="I1440" s="109"/>
      <c r="J1440" s="109"/>
      <c r="K1440" s="109"/>
      <c r="L1440" s="109"/>
      <c r="M1440" s="109"/>
      <c r="N1440" s="109"/>
      <c r="O1440" s="109"/>
      <c r="P1440" s="109"/>
      <c r="Q1440" s="109"/>
      <c r="R1440" s="109"/>
      <c r="S1440" s="109"/>
      <c r="T1440" s="109"/>
      <c r="U1440" s="109"/>
    </row>
    <row r="1441" spans="1:21">
      <c r="A1441" s="109"/>
      <c r="B1441" s="109"/>
      <c r="C1441" s="109"/>
      <c r="D1441" s="109"/>
      <c r="E1441" s="109"/>
      <c r="F1441" s="109"/>
      <c r="G1441" s="109"/>
      <c r="H1441" s="109"/>
      <c r="I1441" s="109"/>
      <c r="J1441" s="109"/>
      <c r="K1441" s="109"/>
      <c r="L1441" s="109"/>
      <c r="M1441" s="109"/>
      <c r="N1441" s="109"/>
      <c r="O1441" s="109"/>
      <c r="P1441" s="109"/>
      <c r="Q1441" s="109"/>
      <c r="R1441" s="109"/>
      <c r="S1441" s="109"/>
      <c r="T1441" s="109"/>
      <c r="U1441" s="109"/>
    </row>
    <row r="1442" spans="1:21">
      <c r="A1442" s="109"/>
      <c r="B1442" s="109"/>
      <c r="C1442" s="109"/>
      <c r="D1442" s="109"/>
      <c r="E1442" s="109"/>
      <c r="F1442" s="109"/>
      <c r="G1442" s="109"/>
      <c r="H1442" s="109"/>
      <c r="I1442" s="109"/>
      <c r="J1442" s="109"/>
      <c r="K1442" s="109"/>
      <c r="L1442" s="109"/>
      <c r="M1442" s="109"/>
      <c r="N1442" s="109"/>
      <c r="O1442" s="109"/>
      <c r="P1442" s="109"/>
      <c r="Q1442" s="109"/>
      <c r="R1442" s="109"/>
      <c r="S1442" s="109"/>
      <c r="T1442" s="109"/>
      <c r="U1442" s="109"/>
    </row>
    <row r="1443" spans="1:21">
      <c r="A1443" s="109"/>
      <c r="B1443" s="109"/>
      <c r="C1443" s="109"/>
      <c r="D1443" s="109"/>
      <c r="E1443" s="109"/>
      <c r="F1443" s="109"/>
      <c r="G1443" s="109"/>
      <c r="H1443" s="109"/>
      <c r="I1443" s="109"/>
      <c r="J1443" s="109"/>
      <c r="K1443" s="109"/>
      <c r="L1443" s="109"/>
      <c r="M1443" s="109"/>
      <c r="N1443" s="109"/>
      <c r="O1443" s="109"/>
      <c r="P1443" s="109"/>
      <c r="Q1443" s="109"/>
      <c r="R1443" s="109"/>
      <c r="S1443" s="109"/>
      <c r="T1443" s="109"/>
      <c r="U1443" s="109"/>
    </row>
    <row r="1444" spans="1:21">
      <c r="A1444" s="109"/>
      <c r="B1444" s="109"/>
      <c r="C1444" s="109"/>
      <c r="D1444" s="109"/>
      <c r="E1444" s="109"/>
      <c r="F1444" s="109"/>
      <c r="G1444" s="109"/>
      <c r="H1444" s="109"/>
      <c r="I1444" s="109"/>
      <c r="J1444" s="109"/>
      <c r="K1444" s="109"/>
      <c r="L1444" s="109"/>
      <c r="M1444" s="109"/>
      <c r="N1444" s="109"/>
      <c r="O1444" s="109"/>
      <c r="P1444" s="109"/>
      <c r="Q1444" s="109"/>
      <c r="R1444" s="109"/>
      <c r="S1444" s="109"/>
      <c r="T1444" s="109"/>
      <c r="U1444" s="109"/>
    </row>
    <row r="1445" spans="1:21">
      <c r="A1445" s="109"/>
      <c r="B1445" s="109"/>
      <c r="C1445" s="109"/>
      <c r="D1445" s="109"/>
      <c r="E1445" s="109"/>
      <c r="F1445" s="109"/>
      <c r="G1445" s="109"/>
      <c r="H1445" s="109"/>
      <c r="I1445" s="109"/>
      <c r="J1445" s="109"/>
      <c r="K1445" s="109"/>
      <c r="L1445" s="109"/>
      <c r="M1445" s="109"/>
      <c r="N1445" s="109"/>
      <c r="O1445" s="109"/>
      <c r="P1445" s="109"/>
      <c r="Q1445" s="109"/>
      <c r="R1445" s="109"/>
      <c r="S1445" s="109"/>
      <c r="T1445" s="109"/>
      <c r="U1445" s="109"/>
    </row>
    <row r="1446" spans="1:21">
      <c r="A1446" s="109"/>
      <c r="B1446" s="109"/>
      <c r="C1446" s="109"/>
      <c r="D1446" s="109"/>
      <c r="E1446" s="109"/>
      <c r="F1446" s="109"/>
      <c r="G1446" s="109"/>
      <c r="H1446" s="109"/>
      <c r="I1446" s="109"/>
      <c r="J1446" s="109"/>
      <c r="K1446" s="109"/>
      <c r="L1446" s="109"/>
      <c r="M1446" s="109"/>
      <c r="N1446" s="109"/>
      <c r="O1446" s="109"/>
      <c r="P1446" s="109"/>
      <c r="Q1446" s="109"/>
      <c r="R1446" s="109"/>
      <c r="S1446" s="109"/>
      <c r="T1446" s="109"/>
      <c r="U1446" s="109"/>
    </row>
    <row r="1447" spans="1:21">
      <c r="A1447" s="109"/>
      <c r="B1447" s="109"/>
      <c r="C1447" s="109"/>
      <c r="D1447" s="109"/>
      <c r="E1447" s="109"/>
      <c r="F1447" s="109"/>
      <c r="G1447" s="109"/>
      <c r="H1447" s="109"/>
      <c r="I1447" s="109"/>
      <c r="J1447" s="109"/>
      <c r="K1447" s="109"/>
      <c r="L1447" s="109"/>
      <c r="M1447" s="109"/>
      <c r="N1447" s="109"/>
      <c r="O1447" s="109"/>
      <c r="P1447" s="109"/>
      <c r="Q1447" s="109"/>
      <c r="R1447" s="109"/>
      <c r="S1447" s="109"/>
      <c r="T1447" s="109"/>
      <c r="U1447" s="109"/>
    </row>
    <row r="1448" spans="1:21">
      <c r="A1448" s="109"/>
      <c r="B1448" s="109"/>
      <c r="C1448" s="109"/>
      <c r="D1448" s="109"/>
      <c r="E1448" s="109"/>
      <c r="F1448" s="109"/>
      <c r="G1448" s="109"/>
      <c r="H1448" s="109"/>
      <c r="I1448" s="109"/>
      <c r="J1448" s="109"/>
      <c r="K1448" s="109"/>
      <c r="L1448" s="109"/>
      <c r="M1448" s="109"/>
      <c r="N1448" s="109"/>
      <c r="O1448" s="109"/>
      <c r="P1448" s="109"/>
      <c r="Q1448" s="109"/>
      <c r="R1448" s="109"/>
      <c r="S1448" s="109"/>
      <c r="T1448" s="109"/>
      <c r="U1448" s="109"/>
    </row>
    <row r="1449" spans="1:21">
      <c r="A1449" s="109"/>
      <c r="B1449" s="109"/>
      <c r="C1449" s="109"/>
      <c r="D1449" s="109"/>
      <c r="E1449" s="109"/>
      <c r="F1449" s="109"/>
      <c r="G1449" s="109"/>
      <c r="H1449" s="109"/>
      <c r="I1449" s="109"/>
      <c r="J1449" s="109"/>
      <c r="K1449" s="109"/>
      <c r="L1449" s="109"/>
      <c r="M1449" s="109"/>
      <c r="N1449" s="109"/>
      <c r="O1449" s="109"/>
      <c r="P1449" s="109"/>
      <c r="Q1449" s="109"/>
      <c r="R1449" s="109"/>
      <c r="S1449" s="109"/>
      <c r="T1449" s="109"/>
      <c r="U1449" s="109"/>
    </row>
    <row r="1450" spans="1:21">
      <c r="A1450" s="109"/>
      <c r="B1450" s="109"/>
      <c r="C1450" s="109"/>
      <c r="D1450" s="109"/>
      <c r="E1450" s="109"/>
      <c r="F1450" s="109"/>
      <c r="G1450" s="109"/>
      <c r="H1450" s="109"/>
      <c r="I1450" s="109"/>
      <c r="J1450" s="109"/>
      <c r="K1450" s="109"/>
      <c r="L1450" s="109"/>
      <c r="M1450" s="109"/>
      <c r="N1450" s="109"/>
      <c r="O1450" s="109"/>
      <c r="P1450" s="109"/>
      <c r="Q1450" s="109"/>
      <c r="R1450" s="109"/>
      <c r="S1450" s="109"/>
      <c r="T1450" s="109"/>
      <c r="U1450" s="109"/>
    </row>
    <row r="1451" spans="1:21">
      <c r="A1451" s="109"/>
      <c r="B1451" s="109"/>
      <c r="C1451" s="109"/>
      <c r="D1451" s="109"/>
      <c r="E1451" s="109"/>
      <c r="F1451" s="109"/>
      <c r="G1451" s="109"/>
      <c r="H1451" s="109"/>
      <c r="I1451" s="109"/>
      <c r="J1451" s="109"/>
      <c r="K1451" s="109"/>
      <c r="L1451" s="109"/>
      <c r="M1451" s="109"/>
      <c r="N1451" s="109"/>
      <c r="O1451" s="109"/>
      <c r="P1451" s="109"/>
      <c r="Q1451" s="109"/>
      <c r="R1451" s="109"/>
      <c r="S1451" s="109"/>
      <c r="T1451" s="109"/>
      <c r="U1451" s="109"/>
    </row>
    <row r="1452" spans="1:21">
      <c r="A1452" s="109"/>
      <c r="B1452" s="109"/>
      <c r="C1452" s="109"/>
      <c r="D1452" s="109"/>
      <c r="E1452" s="109"/>
      <c r="F1452" s="109"/>
      <c r="G1452" s="109"/>
      <c r="H1452" s="109"/>
      <c r="I1452" s="109"/>
      <c r="J1452" s="109"/>
      <c r="K1452" s="109"/>
      <c r="L1452" s="109"/>
      <c r="M1452" s="109"/>
      <c r="N1452" s="109"/>
      <c r="O1452" s="109"/>
      <c r="P1452" s="109"/>
      <c r="Q1452" s="109"/>
      <c r="R1452" s="109"/>
      <c r="S1452" s="109"/>
      <c r="T1452" s="109"/>
      <c r="U1452" s="109"/>
    </row>
    <row r="1453" spans="1:21">
      <c r="A1453" s="109"/>
      <c r="B1453" s="109"/>
      <c r="C1453" s="109"/>
      <c r="D1453" s="109"/>
      <c r="E1453" s="109"/>
      <c r="F1453" s="109"/>
      <c r="G1453" s="109"/>
      <c r="H1453" s="109"/>
      <c r="I1453" s="109"/>
      <c r="J1453" s="109"/>
      <c r="K1453" s="109"/>
      <c r="L1453" s="109"/>
      <c r="M1453" s="109"/>
      <c r="N1453" s="109"/>
      <c r="O1453" s="109"/>
      <c r="P1453" s="109"/>
      <c r="Q1453" s="109"/>
      <c r="R1453" s="109"/>
      <c r="S1453" s="109"/>
      <c r="T1453" s="109"/>
      <c r="U1453" s="109"/>
    </row>
    <row r="1454" spans="1:21">
      <c r="A1454" s="109"/>
      <c r="B1454" s="109"/>
      <c r="C1454" s="109"/>
      <c r="D1454" s="109"/>
      <c r="E1454" s="109"/>
      <c r="F1454" s="109"/>
      <c r="G1454" s="109"/>
      <c r="H1454" s="109"/>
      <c r="I1454" s="109"/>
      <c r="J1454" s="109"/>
      <c r="K1454" s="109"/>
      <c r="L1454" s="109"/>
      <c r="M1454" s="109"/>
      <c r="N1454" s="109"/>
      <c r="O1454" s="109"/>
      <c r="P1454" s="109"/>
      <c r="Q1454" s="109"/>
      <c r="R1454" s="109"/>
      <c r="S1454" s="109"/>
      <c r="T1454" s="109"/>
      <c r="U1454" s="109"/>
    </row>
    <row r="1455" spans="1:21">
      <c r="A1455" s="109"/>
      <c r="B1455" s="109"/>
      <c r="C1455" s="109"/>
      <c r="D1455" s="109"/>
      <c r="E1455" s="109"/>
      <c r="F1455" s="109"/>
      <c r="G1455" s="109"/>
      <c r="H1455" s="109"/>
      <c r="I1455" s="109"/>
      <c r="J1455" s="109"/>
      <c r="K1455" s="109"/>
      <c r="L1455" s="109"/>
      <c r="M1455" s="109"/>
      <c r="N1455" s="109"/>
      <c r="O1455" s="109"/>
      <c r="P1455" s="109"/>
      <c r="Q1455" s="109"/>
      <c r="R1455" s="109"/>
      <c r="S1455" s="109"/>
      <c r="T1455" s="109"/>
      <c r="U1455" s="109"/>
    </row>
    <row r="1456" spans="1:21">
      <c r="A1456" s="109"/>
      <c r="B1456" s="109"/>
      <c r="C1456" s="109"/>
      <c r="D1456" s="109"/>
      <c r="E1456" s="109"/>
      <c r="F1456" s="109"/>
      <c r="G1456" s="109"/>
      <c r="H1456" s="109"/>
      <c r="I1456" s="109"/>
      <c r="J1456" s="109"/>
      <c r="K1456" s="109"/>
      <c r="L1456" s="109"/>
      <c r="M1456" s="109"/>
      <c r="N1456" s="109"/>
      <c r="O1456" s="109"/>
      <c r="P1456" s="109"/>
      <c r="Q1456" s="109"/>
      <c r="R1456" s="109"/>
      <c r="S1456" s="109"/>
      <c r="T1456" s="109"/>
      <c r="U1456" s="109"/>
    </row>
    <row r="1457" spans="1:21">
      <c r="A1457" s="109"/>
      <c r="B1457" s="109"/>
      <c r="C1457" s="109"/>
      <c r="D1457" s="109"/>
      <c r="E1457" s="109"/>
      <c r="F1457" s="109"/>
      <c r="G1457" s="109"/>
      <c r="H1457" s="109"/>
      <c r="I1457" s="109"/>
      <c r="J1457" s="109"/>
      <c r="K1457" s="109"/>
      <c r="L1457" s="109"/>
      <c r="M1457" s="109"/>
      <c r="N1457" s="109"/>
      <c r="O1457" s="109"/>
      <c r="P1457" s="109"/>
      <c r="Q1457" s="109"/>
      <c r="R1457" s="109"/>
      <c r="S1457" s="109"/>
      <c r="T1457" s="109"/>
      <c r="U1457" s="109"/>
    </row>
    <row r="1458" spans="1:21">
      <c r="A1458" s="109"/>
      <c r="B1458" s="109"/>
      <c r="C1458" s="109"/>
      <c r="D1458" s="109"/>
      <c r="E1458" s="109"/>
      <c r="F1458" s="109"/>
      <c r="G1458" s="109"/>
      <c r="H1458" s="109"/>
      <c r="I1458" s="109"/>
      <c r="J1458" s="109"/>
      <c r="K1458" s="109"/>
      <c r="L1458" s="109"/>
      <c r="M1458" s="109"/>
      <c r="N1458" s="109"/>
      <c r="O1458" s="109"/>
      <c r="P1458" s="109"/>
      <c r="Q1458" s="109"/>
      <c r="R1458" s="109"/>
      <c r="S1458" s="109"/>
      <c r="T1458" s="109"/>
      <c r="U1458" s="109"/>
    </row>
    <row r="1459" spans="1:21">
      <c r="A1459" s="109"/>
      <c r="B1459" s="109"/>
      <c r="C1459" s="109"/>
      <c r="D1459" s="109"/>
      <c r="E1459" s="109"/>
      <c r="F1459" s="109"/>
      <c r="G1459" s="109"/>
      <c r="H1459" s="109"/>
      <c r="I1459" s="109"/>
      <c r="J1459" s="109"/>
      <c r="K1459" s="109"/>
      <c r="L1459" s="109"/>
      <c r="M1459" s="109"/>
      <c r="N1459" s="109"/>
      <c r="O1459" s="109"/>
      <c r="P1459" s="109"/>
      <c r="Q1459" s="109"/>
      <c r="R1459" s="109"/>
      <c r="S1459" s="109"/>
      <c r="T1459" s="109"/>
      <c r="U1459" s="109"/>
    </row>
    <row r="1460" spans="1:21">
      <c r="A1460" s="109"/>
      <c r="B1460" s="109"/>
      <c r="C1460" s="109"/>
      <c r="D1460" s="109"/>
      <c r="E1460" s="109"/>
      <c r="F1460" s="109"/>
      <c r="G1460" s="109"/>
      <c r="H1460" s="109"/>
      <c r="I1460" s="109"/>
      <c r="J1460" s="109"/>
      <c r="K1460" s="109"/>
      <c r="L1460" s="109"/>
      <c r="M1460" s="109"/>
      <c r="N1460" s="109"/>
      <c r="O1460" s="109"/>
      <c r="P1460" s="109"/>
      <c r="Q1460" s="109"/>
      <c r="R1460" s="109"/>
      <c r="S1460" s="109"/>
      <c r="T1460" s="109"/>
      <c r="U1460" s="109"/>
    </row>
    <row r="1461" spans="1:21">
      <c r="A1461" s="109"/>
      <c r="B1461" s="109"/>
      <c r="C1461" s="109"/>
      <c r="D1461" s="109"/>
      <c r="E1461" s="109"/>
      <c r="F1461" s="109"/>
      <c r="G1461" s="109"/>
      <c r="H1461" s="109"/>
      <c r="I1461" s="109"/>
      <c r="J1461" s="109"/>
      <c r="K1461" s="109"/>
      <c r="L1461" s="109"/>
      <c r="M1461" s="109"/>
      <c r="N1461" s="109"/>
      <c r="O1461" s="109"/>
      <c r="P1461" s="109"/>
      <c r="Q1461" s="109"/>
      <c r="R1461" s="109"/>
      <c r="S1461" s="109"/>
      <c r="T1461" s="109"/>
      <c r="U1461" s="109"/>
    </row>
    <row r="1462" spans="1:21">
      <c r="A1462" s="109"/>
      <c r="B1462" s="109"/>
      <c r="C1462" s="109"/>
      <c r="D1462" s="109"/>
      <c r="E1462" s="109"/>
      <c r="F1462" s="109"/>
      <c r="G1462" s="109"/>
      <c r="H1462" s="109"/>
      <c r="I1462" s="109"/>
      <c r="J1462" s="109"/>
      <c r="K1462" s="109"/>
      <c r="L1462" s="109"/>
      <c r="M1462" s="109"/>
      <c r="N1462" s="109"/>
      <c r="O1462" s="109"/>
      <c r="P1462" s="109"/>
      <c r="Q1462" s="109"/>
      <c r="R1462" s="109"/>
      <c r="S1462" s="109"/>
      <c r="T1462" s="109"/>
      <c r="U1462" s="109"/>
    </row>
    <row r="1463" spans="1:21">
      <c r="A1463" s="109"/>
      <c r="B1463" s="109"/>
      <c r="C1463" s="109"/>
      <c r="D1463" s="109"/>
      <c r="E1463" s="109"/>
      <c r="F1463" s="109"/>
      <c r="G1463" s="109"/>
      <c r="H1463" s="109"/>
      <c r="I1463" s="109"/>
      <c r="J1463" s="109"/>
      <c r="K1463" s="109"/>
      <c r="L1463" s="109"/>
      <c r="M1463" s="109"/>
      <c r="N1463" s="109"/>
      <c r="O1463" s="109"/>
      <c r="P1463" s="109"/>
      <c r="Q1463" s="109"/>
      <c r="R1463" s="109"/>
      <c r="S1463" s="109"/>
      <c r="T1463" s="109"/>
      <c r="U1463" s="109"/>
    </row>
    <row r="1464" spans="1:21">
      <c r="A1464" s="109"/>
      <c r="B1464" s="109"/>
      <c r="C1464" s="109"/>
      <c r="D1464" s="109"/>
      <c r="E1464" s="109"/>
      <c r="F1464" s="109"/>
      <c r="G1464" s="109"/>
      <c r="H1464" s="109"/>
      <c r="I1464" s="109"/>
      <c r="J1464" s="109"/>
      <c r="K1464" s="109"/>
      <c r="L1464" s="109"/>
      <c r="M1464" s="109"/>
      <c r="N1464" s="109"/>
      <c r="O1464" s="109"/>
      <c r="P1464" s="109"/>
      <c r="Q1464" s="109"/>
      <c r="R1464" s="109"/>
      <c r="S1464" s="109"/>
      <c r="T1464" s="109"/>
      <c r="U1464" s="109"/>
    </row>
    <row r="1465" spans="1:21">
      <c r="A1465" s="109"/>
      <c r="B1465" s="109"/>
      <c r="C1465" s="109"/>
      <c r="D1465" s="109"/>
      <c r="E1465" s="109"/>
      <c r="F1465" s="109"/>
      <c r="G1465" s="109"/>
      <c r="H1465" s="109"/>
      <c r="I1465" s="109"/>
      <c r="J1465" s="109"/>
      <c r="K1465" s="109"/>
      <c r="L1465" s="109"/>
      <c r="M1465" s="109"/>
      <c r="N1465" s="109"/>
      <c r="O1465" s="109"/>
      <c r="P1465" s="109"/>
      <c r="Q1465" s="109"/>
      <c r="R1465" s="109"/>
      <c r="S1465" s="109"/>
      <c r="T1465" s="109"/>
      <c r="U1465" s="109"/>
    </row>
    <row r="1466" spans="1:21">
      <c r="A1466" s="109"/>
      <c r="B1466" s="109"/>
      <c r="C1466" s="109"/>
      <c r="D1466" s="109"/>
      <c r="E1466" s="109"/>
      <c r="F1466" s="109"/>
      <c r="G1466" s="109"/>
      <c r="H1466" s="109"/>
      <c r="I1466" s="109"/>
      <c r="J1466" s="109"/>
      <c r="K1466" s="109"/>
      <c r="L1466" s="109"/>
      <c r="M1466" s="109"/>
      <c r="N1466" s="109"/>
      <c r="O1466" s="109"/>
      <c r="P1466" s="109"/>
      <c r="Q1466" s="109"/>
      <c r="R1466" s="109"/>
      <c r="S1466" s="109"/>
      <c r="T1466" s="109"/>
      <c r="U1466" s="109"/>
    </row>
    <row r="1467" spans="1:21">
      <c r="A1467" s="109"/>
      <c r="B1467" s="109"/>
      <c r="C1467" s="109"/>
      <c r="D1467" s="109"/>
      <c r="E1467" s="109"/>
      <c r="F1467" s="109"/>
      <c r="G1467" s="109"/>
      <c r="H1467" s="109"/>
      <c r="I1467" s="109"/>
      <c r="J1467" s="109"/>
      <c r="K1467" s="109"/>
      <c r="L1467" s="109"/>
      <c r="M1467" s="109"/>
      <c r="N1467" s="109"/>
      <c r="O1467" s="109"/>
      <c r="P1467" s="109"/>
      <c r="Q1467" s="109"/>
      <c r="R1467" s="109"/>
      <c r="S1467" s="109"/>
      <c r="T1467" s="109"/>
      <c r="U1467" s="109"/>
    </row>
    <row r="1468" spans="1:21">
      <c r="A1468" s="109"/>
      <c r="B1468" s="109"/>
      <c r="C1468" s="109"/>
      <c r="D1468" s="109"/>
      <c r="E1468" s="109"/>
      <c r="F1468" s="109"/>
      <c r="G1468" s="109"/>
      <c r="H1468" s="109"/>
      <c r="I1468" s="109"/>
      <c r="J1468" s="109"/>
      <c r="K1468" s="109"/>
      <c r="L1468" s="109"/>
      <c r="M1468" s="109"/>
      <c r="N1468" s="109"/>
      <c r="O1468" s="109"/>
      <c r="P1468" s="109"/>
      <c r="Q1468" s="109"/>
      <c r="R1468" s="109"/>
      <c r="S1468" s="109"/>
      <c r="T1468" s="109"/>
      <c r="U1468" s="109"/>
    </row>
    <row r="1469" spans="1:21">
      <c r="A1469" s="109"/>
      <c r="B1469" s="109"/>
      <c r="C1469" s="109"/>
      <c r="D1469" s="109"/>
      <c r="E1469" s="109"/>
      <c r="F1469" s="109"/>
      <c r="G1469" s="109"/>
      <c r="H1469" s="109"/>
      <c r="I1469" s="109"/>
      <c r="J1469" s="109"/>
      <c r="K1469" s="109"/>
      <c r="L1469" s="109"/>
      <c r="M1469" s="109"/>
      <c r="N1469" s="109"/>
      <c r="O1469" s="109"/>
      <c r="P1469" s="109"/>
      <c r="Q1469" s="109"/>
      <c r="R1469" s="109"/>
      <c r="S1469" s="109"/>
      <c r="T1469" s="109"/>
      <c r="U1469" s="109"/>
    </row>
    <row r="1470" spans="1:21">
      <c r="A1470" s="109"/>
      <c r="B1470" s="109"/>
      <c r="C1470" s="109"/>
      <c r="D1470" s="109"/>
      <c r="E1470" s="109"/>
      <c r="F1470" s="109"/>
      <c r="G1470" s="109"/>
      <c r="H1470" s="109"/>
      <c r="I1470" s="109"/>
      <c r="J1470" s="109"/>
      <c r="K1470" s="109"/>
      <c r="L1470" s="109"/>
      <c r="M1470" s="109"/>
      <c r="N1470" s="109"/>
      <c r="O1470" s="109"/>
      <c r="P1470" s="109"/>
      <c r="Q1470" s="109"/>
      <c r="R1470" s="109"/>
      <c r="S1470" s="109"/>
      <c r="T1470" s="109"/>
      <c r="U1470" s="109"/>
    </row>
    <row r="1471" spans="1:21">
      <c r="A1471" s="109"/>
      <c r="B1471" s="109"/>
      <c r="C1471" s="109"/>
      <c r="D1471" s="109"/>
      <c r="E1471" s="109"/>
      <c r="F1471" s="109"/>
      <c r="G1471" s="109"/>
      <c r="H1471" s="109"/>
      <c r="I1471" s="109"/>
      <c r="J1471" s="109"/>
      <c r="K1471" s="109"/>
      <c r="L1471" s="109"/>
      <c r="M1471" s="109"/>
      <c r="N1471" s="109"/>
      <c r="O1471" s="109"/>
      <c r="P1471" s="109"/>
      <c r="Q1471" s="109"/>
      <c r="R1471" s="109"/>
      <c r="S1471" s="109"/>
      <c r="T1471" s="109"/>
      <c r="U1471" s="109"/>
    </row>
    <row r="1472" spans="1:21">
      <c r="A1472" s="109"/>
      <c r="B1472" s="109"/>
      <c r="C1472" s="109"/>
      <c r="D1472" s="109"/>
      <c r="E1472" s="109"/>
      <c r="F1472" s="109"/>
      <c r="G1472" s="109"/>
      <c r="H1472" s="109"/>
      <c r="I1472" s="109"/>
      <c r="J1472" s="109"/>
      <c r="K1472" s="109"/>
      <c r="L1472" s="109"/>
      <c r="M1472" s="109"/>
      <c r="N1472" s="109"/>
      <c r="O1472" s="109"/>
      <c r="P1472" s="109"/>
      <c r="Q1472" s="109"/>
      <c r="R1472" s="109"/>
      <c r="S1472" s="109"/>
      <c r="T1472" s="109"/>
      <c r="U1472" s="109"/>
    </row>
    <row r="1473" spans="1:21">
      <c r="A1473" s="109"/>
      <c r="B1473" s="109"/>
      <c r="C1473" s="109"/>
      <c r="D1473" s="109"/>
      <c r="E1473" s="109"/>
      <c r="F1473" s="109"/>
      <c r="G1473" s="109"/>
      <c r="H1473" s="109"/>
      <c r="I1473" s="109"/>
      <c r="J1473" s="109"/>
      <c r="K1473" s="109"/>
      <c r="L1473" s="109"/>
      <c r="M1473" s="109"/>
      <c r="N1473" s="109"/>
      <c r="O1473" s="109"/>
      <c r="P1473" s="109"/>
      <c r="Q1473" s="109"/>
      <c r="R1473" s="109"/>
      <c r="S1473" s="109"/>
      <c r="T1473" s="109"/>
      <c r="U1473" s="109"/>
    </row>
    <row r="1474" spans="1:21">
      <c r="A1474" s="109"/>
      <c r="B1474" s="109"/>
      <c r="C1474" s="109"/>
      <c r="D1474" s="109"/>
      <c r="E1474" s="109"/>
      <c r="F1474" s="109"/>
      <c r="G1474" s="109"/>
      <c r="H1474" s="109"/>
      <c r="I1474" s="109"/>
      <c r="J1474" s="109"/>
      <c r="K1474" s="109"/>
      <c r="L1474" s="109"/>
      <c r="M1474" s="109"/>
      <c r="N1474" s="109"/>
      <c r="O1474" s="109"/>
      <c r="P1474" s="109"/>
      <c r="Q1474" s="109"/>
      <c r="R1474" s="109"/>
      <c r="S1474" s="109"/>
      <c r="T1474" s="109"/>
      <c r="U1474" s="109"/>
    </row>
    <row r="1475" spans="1:21">
      <c r="A1475" s="109"/>
      <c r="B1475" s="109"/>
      <c r="C1475" s="109"/>
      <c r="D1475" s="109"/>
      <c r="E1475" s="109"/>
      <c r="F1475" s="109"/>
      <c r="G1475" s="109"/>
      <c r="H1475" s="109"/>
      <c r="I1475" s="109"/>
      <c r="J1475" s="109"/>
      <c r="K1475" s="109"/>
      <c r="L1475" s="109"/>
      <c r="M1475" s="109"/>
      <c r="N1475" s="109"/>
      <c r="O1475" s="109"/>
      <c r="P1475" s="109"/>
      <c r="Q1475" s="109"/>
      <c r="R1475" s="109"/>
      <c r="S1475" s="109"/>
      <c r="T1475" s="109"/>
      <c r="U1475" s="109"/>
    </row>
    <row r="1476" spans="1:21">
      <c r="A1476" s="109"/>
      <c r="B1476" s="109"/>
      <c r="C1476" s="109"/>
      <c r="D1476" s="109"/>
      <c r="E1476" s="109"/>
      <c r="F1476" s="109"/>
      <c r="G1476" s="109"/>
      <c r="H1476" s="109"/>
      <c r="I1476" s="109"/>
      <c r="J1476" s="109"/>
      <c r="K1476" s="109"/>
      <c r="L1476" s="109"/>
      <c r="M1476" s="109"/>
      <c r="N1476" s="109"/>
      <c r="O1476" s="109"/>
      <c r="P1476" s="109"/>
      <c r="Q1476" s="109"/>
      <c r="R1476" s="109"/>
      <c r="S1476" s="109"/>
      <c r="T1476" s="109"/>
      <c r="U1476" s="109"/>
    </row>
    <row r="1477" spans="1:21">
      <c r="A1477" s="109"/>
      <c r="B1477" s="109"/>
      <c r="C1477" s="109"/>
      <c r="D1477" s="109"/>
      <c r="E1477" s="109"/>
      <c r="F1477" s="109"/>
      <c r="G1477" s="109"/>
      <c r="H1477" s="109"/>
      <c r="I1477" s="109"/>
      <c r="J1477" s="109"/>
      <c r="K1477" s="109"/>
      <c r="L1477" s="109"/>
      <c r="M1477" s="109"/>
      <c r="N1477" s="109"/>
      <c r="O1477" s="109"/>
      <c r="P1477" s="109"/>
      <c r="Q1477" s="109"/>
      <c r="R1477" s="109"/>
      <c r="S1477" s="109"/>
      <c r="T1477" s="109"/>
      <c r="U1477" s="109"/>
    </row>
    <row r="1478" spans="1:21">
      <c r="A1478" s="109"/>
      <c r="B1478" s="109"/>
      <c r="C1478" s="109"/>
      <c r="D1478" s="109"/>
      <c r="E1478" s="109"/>
      <c r="F1478" s="109"/>
      <c r="G1478" s="109"/>
      <c r="H1478" s="109"/>
      <c r="I1478" s="109"/>
      <c r="J1478" s="109"/>
      <c r="K1478" s="109"/>
      <c r="L1478" s="109"/>
      <c r="M1478" s="109"/>
      <c r="N1478" s="109"/>
      <c r="O1478" s="109"/>
      <c r="P1478" s="109"/>
      <c r="Q1478" s="109"/>
      <c r="R1478" s="109"/>
      <c r="S1478" s="109"/>
      <c r="T1478" s="109"/>
      <c r="U1478" s="109"/>
    </row>
    <row r="1479" spans="1:21">
      <c r="A1479" s="109"/>
      <c r="B1479" s="109"/>
      <c r="C1479" s="109"/>
      <c r="D1479" s="109"/>
      <c r="E1479" s="109"/>
      <c r="F1479" s="109"/>
      <c r="G1479" s="109"/>
      <c r="H1479" s="109"/>
      <c r="I1479" s="109"/>
      <c r="J1479" s="109"/>
      <c r="K1479" s="109"/>
      <c r="L1479" s="109"/>
      <c r="M1479" s="109"/>
      <c r="N1479" s="109"/>
      <c r="O1479" s="109"/>
      <c r="P1479" s="109"/>
      <c r="Q1479" s="109"/>
      <c r="R1479" s="109"/>
      <c r="S1479" s="109"/>
      <c r="T1479" s="109"/>
      <c r="U1479" s="109"/>
    </row>
    <row r="1480" spans="1:21">
      <c r="A1480" s="109"/>
      <c r="B1480" s="109"/>
      <c r="C1480" s="109"/>
      <c r="D1480" s="109"/>
      <c r="E1480" s="109"/>
      <c r="F1480" s="109"/>
      <c r="G1480" s="109"/>
      <c r="H1480" s="109"/>
      <c r="I1480" s="109"/>
      <c r="J1480" s="109"/>
      <c r="K1480" s="109"/>
      <c r="L1480" s="109"/>
      <c r="M1480" s="109"/>
      <c r="N1480" s="109"/>
      <c r="O1480" s="109"/>
      <c r="P1480" s="109"/>
      <c r="Q1480" s="109"/>
      <c r="R1480" s="109"/>
      <c r="S1480" s="109"/>
      <c r="T1480" s="109"/>
      <c r="U1480" s="109"/>
    </row>
    <row r="1481" spans="1:21">
      <c r="A1481" s="109"/>
      <c r="B1481" s="109"/>
      <c r="C1481" s="109"/>
      <c r="D1481" s="109"/>
      <c r="E1481" s="109"/>
      <c r="F1481" s="109"/>
      <c r="G1481" s="109"/>
      <c r="H1481" s="109"/>
      <c r="I1481" s="109"/>
      <c r="J1481" s="109"/>
      <c r="K1481" s="109"/>
      <c r="L1481" s="109"/>
      <c r="M1481" s="109"/>
      <c r="N1481" s="109"/>
      <c r="O1481" s="109"/>
      <c r="P1481" s="109"/>
      <c r="Q1481" s="109"/>
      <c r="R1481" s="109"/>
      <c r="S1481" s="109"/>
      <c r="T1481" s="109"/>
      <c r="U1481" s="109"/>
    </row>
    <row r="1482" spans="1:21">
      <c r="A1482" s="109"/>
      <c r="B1482" s="109"/>
      <c r="C1482" s="109"/>
      <c r="D1482" s="109"/>
      <c r="E1482" s="109"/>
      <c r="F1482" s="109"/>
      <c r="G1482" s="109"/>
      <c r="H1482" s="109"/>
      <c r="I1482" s="109"/>
      <c r="J1482" s="109"/>
      <c r="K1482" s="109"/>
      <c r="L1482" s="109"/>
      <c r="M1482" s="109"/>
      <c r="N1482" s="109"/>
      <c r="O1482" s="109"/>
      <c r="P1482" s="109"/>
      <c r="Q1482" s="109"/>
      <c r="R1482" s="109"/>
      <c r="S1482" s="109"/>
      <c r="T1482" s="109"/>
      <c r="U1482" s="109"/>
    </row>
    <row r="1483" spans="1:21">
      <c r="A1483" s="109"/>
      <c r="B1483" s="109"/>
      <c r="C1483" s="109"/>
      <c r="D1483" s="109"/>
      <c r="E1483" s="109"/>
      <c r="F1483" s="109"/>
      <c r="G1483" s="109"/>
      <c r="H1483" s="109"/>
      <c r="I1483" s="109"/>
      <c r="J1483" s="109"/>
      <c r="K1483" s="109"/>
      <c r="L1483" s="109"/>
      <c r="M1483" s="109"/>
      <c r="N1483" s="109"/>
      <c r="O1483" s="109"/>
      <c r="P1483" s="109"/>
      <c r="Q1483" s="109"/>
      <c r="R1483" s="109"/>
      <c r="S1483" s="109"/>
      <c r="T1483" s="109"/>
      <c r="U1483" s="109"/>
    </row>
    <row r="1484" spans="1:21">
      <c r="A1484" s="109"/>
      <c r="B1484" s="109"/>
      <c r="C1484" s="109"/>
      <c r="D1484" s="109"/>
      <c r="E1484" s="109"/>
      <c r="F1484" s="109"/>
      <c r="G1484" s="109"/>
      <c r="H1484" s="109"/>
      <c r="I1484" s="109"/>
      <c r="J1484" s="109"/>
      <c r="K1484" s="109"/>
      <c r="L1484" s="109"/>
      <c r="M1484" s="109"/>
      <c r="N1484" s="109"/>
      <c r="O1484" s="109"/>
      <c r="P1484" s="109"/>
      <c r="Q1484" s="109"/>
      <c r="R1484" s="109"/>
      <c r="S1484" s="109"/>
      <c r="T1484" s="109"/>
      <c r="U1484" s="109"/>
    </row>
    <row r="1485" spans="1:21">
      <c r="A1485" s="109"/>
      <c r="B1485" s="109"/>
      <c r="C1485" s="109"/>
      <c r="D1485" s="109"/>
      <c r="E1485" s="109"/>
      <c r="F1485" s="109"/>
      <c r="G1485" s="109"/>
      <c r="H1485" s="109"/>
      <c r="I1485" s="109"/>
      <c r="J1485" s="109"/>
      <c r="K1485" s="109"/>
      <c r="L1485" s="109"/>
      <c r="M1485" s="109"/>
      <c r="N1485" s="109"/>
      <c r="O1485" s="109"/>
      <c r="P1485" s="109"/>
      <c r="Q1485" s="109"/>
      <c r="R1485" s="109"/>
      <c r="S1485" s="109"/>
      <c r="T1485" s="109"/>
      <c r="U1485" s="109"/>
    </row>
    <row r="1486" spans="1:21">
      <c r="A1486" s="109"/>
      <c r="B1486" s="109"/>
      <c r="C1486" s="109"/>
      <c r="D1486" s="109"/>
      <c r="E1486" s="109"/>
      <c r="F1486" s="109"/>
      <c r="G1486" s="109"/>
      <c r="H1486" s="109"/>
      <c r="I1486" s="109"/>
      <c r="J1486" s="109"/>
      <c r="K1486" s="109"/>
      <c r="L1486" s="109"/>
      <c r="M1486" s="109"/>
      <c r="N1486" s="109"/>
      <c r="O1486" s="109"/>
      <c r="P1486" s="109"/>
      <c r="Q1486" s="109"/>
      <c r="R1486" s="109"/>
      <c r="S1486" s="109"/>
      <c r="T1486" s="109"/>
      <c r="U1486" s="109"/>
    </row>
    <row r="1487" spans="1:21">
      <c r="A1487" s="109"/>
      <c r="B1487" s="109"/>
      <c r="C1487" s="109"/>
      <c r="D1487" s="109"/>
      <c r="E1487" s="109"/>
      <c r="F1487" s="109"/>
      <c r="G1487" s="109"/>
      <c r="H1487" s="109"/>
      <c r="I1487" s="109"/>
      <c r="J1487" s="109"/>
      <c r="K1487" s="109"/>
      <c r="L1487" s="109"/>
      <c r="M1487" s="109"/>
      <c r="N1487" s="109"/>
      <c r="O1487" s="109"/>
      <c r="P1487" s="109"/>
      <c r="Q1487" s="109"/>
      <c r="R1487" s="109"/>
      <c r="S1487" s="109"/>
      <c r="T1487" s="109"/>
      <c r="U1487" s="109"/>
    </row>
    <row r="1488" spans="1:21">
      <c r="A1488" s="109"/>
      <c r="B1488" s="109"/>
      <c r="C1488" s="109"/>
      <c r="D1488" s="109"/>
      <c r="E1488" s="109"/>
      <c r="F1488" s="109"/>
      <c r="G1488" s="109"/>
      <c r="H1488" s="109"/>
      <c r="I1488" s="109"/>
      <c r="J1488" s="109"/>
      <c r="K1488" s="109"/>
      <c r="L1488" s="109"/>
      <c r="M1488" s="109"/>
      <c r="N1488" s="109"/>
      <c r="O1488" s="109"/>
      <c r="P1488" s="109"/>
      <c r="Q1488" s="109"/>
      <c r="R1488" s="109"/>
      <c r="S1488" s="109"/>
      <c r="T1488" s="109"/>
      <c r="U1488" s="109"/>
    </row>
    <row r="1489" spans="1:21">
      <c r="A1489" s="109"/>
      <c r="B1489" s="109"/>
      <c r="C1489" s="109"/>
      <c r="D1489" s="109"/>
      <c r="E1489" s="109"/>
      <c r="F1489" s="109"/>
      <c r="G1489" s="109"/>
      <c r="H1489" s="109"/>
      <c r="I1489" s="109"/>
      <c r="J1489" s="109"/>
      <c r="K1489" s="109"/>
      <c r="L1489" s="109"/>
      <c r="M1489" s="109"/>
      <c r="N1489" s="109"/>
      <c r="O1489" s="109"/>
      <c r="P1489" s="109"/>
      <c r="Q1489" s="109"/>
      <c r="R1489" s="109"/>
      <c r="S1489" s="109"/>
      <c r="T1489" s="109"/>
      <c r="U1489" s="109"/>
    </row>
    <row r="1490" spans="1:21">
      <c r="A1490" s="109"/>
      <c r="B1490" s="109"/>
      <c r="C1490" s="109"/>
      <c r="D1490" s="109"/>
      <c r="E1490" s="109"/>
      <c r="F1490" s="109"/>
      <c r="G1490" s="109"/>
      <c r="H1490" s="109"/>
      <c r="I1490" s="109"/>
      <c r="J1490" s="109"/>
      <c r="K1490" s="109"/>
      <c r="L1490" s="109"/>
      <c r="M1490" s="109"/>
      <c r="N1490" s="109"/>
      <c r="O1490" s="109"/>
      <c r="P1490" s="109"/>
      <c r="Q1490" s="109"/>
      <c r="R1490" s="109"/>
      <c r="S1490" s="109"/>
      <c r="T1490" s="109"/>
      <c r="U1490" s="109"/>
    </row>
    <row r="1491" spans="1:21">
      <c r="A1491" s="109"/>
      <c r="B1491" s="109"/>
      <c r="C1491" s="109"/>
      <c r="D1491" s="109"/>
      <c r="E1491" s="109"/>
      <c r="F1491" s="109"/>
      <c r="G1491" s="109"/>
      <c r="H1491" s="109"/>
      <c r="I1491" s="109"/>
      <c r="J1491" s="109"/>
      <c r="K1491" s="109"/>
      <c r="L1491" s="109"/>
      <c r="M1491" s="109"/>
      <c r="N1491" s="109"/>
      <c r="O1491" s="109"/>
      <c r="P1491" s="109"/>
      <c r="Q1491" s="109"/>
      <c r="R1491" s="109"/>
      <c r="S1491" s="109"/>
      <c r="T1491" s="109"/>
      <c r="U1491" s="109"/>
    </row>
    <row r="1492" spans="1:21">
      <c r="A1492" s="109"/>
      <c r="B1492" s="109"/>
      <c r="C1492" s="109"/>
      <c r="D1492" s="109"/>
      <c r="E1492" s="109"/>
      <c r="F1492" s="109"/>
      <c r="G1492" s="109"/>
      <c r="H1492" s="109"/>
      <c r="I1492" s="109"/>
      <c r="J1492" s="109"/>
      <c r="K1492" s="109"/>
      <c r="L1492" s="109"/>
      <c r="M1492" s="109"/>
      <c r="N1492" s="109"/>
      <c r="O1492" s="109"/>
      <c r="P1492" s="109"/>
      <c r="Q1492" s="109"/>
      <c r="R1492" s="109"/>
      <c r="S1492" s="109"/>
      <c r="T1492" s="109"/>
      <c r="U1492" s="109"/>
    </row>
    <row r="1493" spans="1:21">
      <c r="A1493" s="109"/>
      <c r="B1493" s="109"/>
      <c r="C1493" s="109"/>
      <c r="D1493" s="109"/>
      <c r="E1493" s="109"/>
      <c r="F1493" s="109"/>
      <c r="G1493" s="109"/>
      <c r="H1493" s="109"/>
      <c r="I1493" s="109"/>
      <c r="J1493" s="109"/>
      <c r="K1493" s="109"/>
      <c r="L1493" s="109"/>
      <c r="M1493" s="109"/>
      <c r="N1493" s="109"/>
      <c r="O1493" s="109"/>
      <c r="P1493" s="109"/>
      <c r="Q1493" s="109"/>
      <c r="R1493" s="109"/>
      <c r="S1493" s="109"/>
      <c r="T1493" s="109"/>
      <c r="U1493" s="109"/>
    </row>
    <row r="1494" spans="1:21">
      <c r="A1494" s="109"/>
      <c r="B1494" s="109"/>
      <c r="C1494" s="109"/>
      <c r="D1494" s="109"/>
      <c r="E1494" s="109"/>
      <c r="F1494" s="109"/>
      <c r="G1494" s="109"/>
      <c r="H1494" s="109"/>
      <c r="I1494" s="109"/>
      <c r="J1494" s="109"/>
      <c r="K1494" s="109"/>
      <c r="L1494" s="109"/>
      <c r="M1494" s="109"/>
      <c r="N1494" s="109"/>
      <c r="O1494" s="109"/>
      <c r="P1494" s="109"/>
      <c r="Q1494" s="109"/>
      <c r="R1494" s="109"/>
      <c r="S1494" s="109"/>
      <c r="T1494" s="109"/>
      <c r="U1494" s="109"/>
    </row>
    <row r="1495" spans="1:21">
      <c r="A1495" s="109"/>
      <c r="B1495" s="109"/>
      <c r="C1495" s="109"/>
      <c r="D1495" s="109"/>
      <c r="E1495" s="109"/>
      <c r="F1495" s="109"/>
      <c r="G1495" s="109"/>
      <c r="H1495" s="109"/>
      <c r="I1495" s="109"/>
      <c r="J1495" s="109"/>
      <c r="K1495" s="109"/>
      <c r="L1495" s="109"/>
      <c r="M1495" s="109"/>
      <c r="N1495" s="109"/>
      <c r="O1495" s="109"/>
      <c r="P1495" s="109"/>
      <c r="Q1495" s="109"/>
      <c r="R1495" s="109"/>
      <c r="S1495" s="109"/>
      <c r="T1495" s="109"/>
      <c r="U1495" s="109"/>
    </row>
    <row r="1496" spans="1:21">
      <c r="A1496" s="109"/>
      <c r="B1496" s="109"/>
      <c r="C1496" s="109"/>
      <c r="D1496" s="109"/>
      <c r="E1496" s="109"/>
      <c r="F1496" s="109"/>
      <c r="G1496" s="109"/>
      <c r="H1496" s="109"/>
      <c r="I1496" s="109"/>
      <c r="J1496" s="109"/>
      <c r="K1496" s="109"/>
      <c r="L1496" s="109"/>
      <c r="M1496" s="109"/>
      <c r="N1496" s="109"/>
      <c r="O1496" s="109"/>
      <c r="P1496" s="109"/>
      <c r="Q1496" s="109"/>
      <c r="R1496" s="109"/>
      <c r="S1496" s="109"/>
      <c r="T1496" s="109"/>
      <c r="U1496" s="109"/>
    </row>
    <row r="1497" spans="1:21">
      <c r="A1497" s="109"/>
      <c r="B1497" s="109"/>
      <c r="C1497" s="109"/>
      <c r="D1497" s="109"/>
      <c r="E1497" s="109"/>
      <c r="F1497" s="109"/>
      <c r="G1497" s="109"/>
      <c r="H1497" s="109"/>
      <c r="I1497" s="109"/>
      <c r="J1497" s="109"/>
      <c r="K1497" s="109"/>
      <c r="L1497" s="109"/>
      <c r="M1497" s="109"/>
      <c r="N1497" s="109"/>
      <c r="O1497" s="109"/>
      <c r="P1497" s="109"/>
      <c r="Q1497" s="109"/>
      <c r="R1497" s="109"/>
      <c r="S1497" s="109"/>
      <c r="T1497" s="109"/>
      <c r="U1497" s="109"/>
    </row>
    <row r="1498" spans="1:21">
      <c r="A1498" s="109"/>
      <c r="B1498" s="109"/>
      <c r="C1498" s="109"/>
      <c r="D1498" s="109"/>
      <c r="E1498" s="109"/>
      <c r="F1498" s="109"/>
      <c r="G1498" s="109"/>
      <c r="H1498" s="109"/>
      <c r="I1498" s="109"/>
      <c r="J1498" s="109"/>
      <c r="K1498" s="109"/>
      <c r="L1498" s="109"/>
      <c r="M1498" s="109"/>
      <c r="N1498" s="109"/>
      <c r="O1498" s="109"/>
      <c r="P1498" s="109"/>
      <c r="Q1498" s="109"/>
      <c r="R1498" s="109"/>
      <c r="S1498" s="109"/>
      <c r="T1498" s="109"/>
      <c r="U1498" s="109"/>
    </row>
    <row r="1499" spans="1:21">
      <c r="A1499" s="109"/>
      <c r="B1499" s="109"/>
      <c r="C1499" s="109"/>
      <c r="D1499" s="109"/>
      <c r="E1499" s="109"/>
      <c r="F1499" s="109"/>
      <c r="G1499" s="109"/>
      <c r="H1499" s="109"/>
      <c r="I1499" s="109"/>
      <c r="J1499" s="109"/>
      <c r="K1499" s="109"/>
      <c r="L1499" s="109"/>
      <c r="M1499" s="109"/>
      <c r="N1499" s="109"/>
      <c r="O1499" s="109"/>
      <c r="P1499" s="109"/>
      <c r="Q1499" s="109"/>
      <c r="R1499" s="109"/>
      <c r="S1499" s="109"/>
      <c r="T1499" s="109"/>
      <c r="U1499" s="109"/>
    </row>
    <row r="1500" spans="1:21">
      <c r="A1500" s="109"/>
      <c r="B1500" s="109"/>
      <c r="C1500" s="109"/>
      <c r="D1500" s="109"/>
      <c r="E1500" s="109"/>
      <c r="F1500" s="109"/>
      <c r="G1500" s="109"/>
      <c r="H1500" s="109"/>
      <c r="I1500" s="109"/>
      <c r="J1500" s="109"/>
      <c r="K1500" s="109"/>
      <c r="L1500" s="109"/>
      <c r="M1500" s="109"/>
      <c r="N1500" s="109"/>
      <c r="O1500" s="109"/>
      <c r="P1500" s="109"/>
      <c r="Q1500" s="109"/>
      <c r="R1500" s="109"/>
      <c r="S1500" s="109"/>
      <c r="T1500" s="109"/>
      <c r="U1500" s="109"/>
    </row>
    <row r="1501" spans="1:21">
      <c r="A1501" s="109"/>
      <c r="B1501" s="109"/>
      <c r="C1501" s="109"/>
      <c r="D1501" s="109"/>
      <c r="E1501" s="109"/>
      <c r="F1501" s="109"/>
      <c r="G1501" s="109"/>
      <c r="H1501" s="109"/>
      <c r="I1501" s="109"/>
      <c r="J1501" s="109"/>
      <c r="K1501" s="109"/>
      <c r="L1501" s="109"/>
      <c r="M1501" s="109"/>
      <c r="N1501" s="109"/>
      <c r="O1501" s="109"/>
      <c r="P1501" s="109"/>
      <c r="Q1501" s="109"/>
      <c r="R1501" s="109"/>
      <c r="S1501" s="109"/>
      <c r="T1501" s="109"/>
      <c r="U1501" s="109"/>
    </row>
    <row r="1502" spans="1:21">
      <c r="A1502" s="109"/>
      <c r="B1502" s="109"/>
      <c r="C1502" s="109"/>
      <c r="D1502" s="109"/>
      <c r="E1502" s="109"/>
      <c r="F1502" s="109"/>
      <c r="G1502" s="109"/>
      <c r="H1502" s="109"/>
      <c r="I1502" s="109"/>
      <c r="J1502" s="109"/>
      <c r="K1502" s="109"/>
      <c r="L1502" s="109"/>
      <c r="M1502" s="109"/>
      <c r="N1502" s="109"/>
      <c r="O1502" s="109"/>
      <c r="P1502" s="109"/>
      <c r="Q1502" s="109"/>
      <c r="R1502" s="109"/>
      <c r="S1502" s="109"/>
      <c r="T1502" s="109"/>
      <c r="U1502" s="109"/>
    </row>
    <row r="1503" spans="1:21">
      <c r="A1503" s="109"/>
      <c r="B1503" s="109"/>
      <c r="C1503" s="109"/>
      <c r="D1503" s="109"/>
      <c r="E1503" s="109"/>
      <c r="F1503" s="109"/>
      <c r="G1503" s="109"/>
      <c r="H1503" s="109"/>
      <c r="I1503" s="109"/>
      <c r="J1503" s="109"/>
      <c r="K1503" s="109"/>
      <c r="L1503" s="109"/>
      <c r="M1503" s="109"/>
      <c r="N1503" s="109"/>
      <c r="O1503" s="109"/>
      <c r="P1503" s="109"/>
      <c r="Q1503" s="109"/>
      <c r="R1503" s="109"/>
      <c r="S1503" s="109"/>
      <c r="T1503" s="109"/>
      <c r="U1503" s="109"/>
    </row>
    <row r="1504" spans="1:21">
      <c r="A1504" s="109"/>
      <c r="B1504" s="109"/>
      <c r="C1504" s="109"/>
      <c r="D1504" s="109"/>
      <c r="E1504" s="109"/>
      <c r="F1504" s="109"/>
      <c r="G1504" s="109"/>
      <c r="H1504" s="109"/>
      <c r="I1504" s="109"/>
      <c r="J1504" s="109"/>
      <c r="K1504" s="109"/>
      <c r="L1504" s="109"/>
      <c r="M1504" s="109"/>
      <c r="N1504" s="109"/>
      <c r="O1504" s="109"/>
      <c r="P1504" s="109"/>
      <c r="Q1504" s="109"/>
      <c r="R1504" s="109"/>
      <c r="S1504" s="109"/>
      <c r="T1504" s="109"/>
      <c r="U1504" s="109"/>
    </row>
    <row r="1505" spans="1:21">
      <c r="A1505" s="109"/>
      <c r="B1505" s="109"/>
      <c r="C1505" s="109"/>
      <c r="D1505" s="109"/>
      <c r="E1505" s="109"/>
      <c r="F1505" s="109"/>
      <c r="G1505" s="109"/>
      <c r="H1505" s="109"/>
      <c r="I1505" s="109"/>
      <c r="J1505" s="109"/>
      <c r="K1505" s="109"/>
      <c r="L1505" s="109"/>
      <c r="M1505" s="109"/>
      <c r="N1505" s="109"/>
      <c r="O1505" s="109"/>
      <c r="P1505" s="109"/>
      <c r="Q1505" s="109"/>
      <c r="R1505" s="109"/>
      <c r="S1505" s="109"/>
      <c r="T1505" s="109"/>
      <c r="U1505" s="109"/>
    </row>
    <row r="1506" spans="1:21">
      <c r="A1506" s="109"/>
      <c r="B1506" s="109"/>
      <c r="C1506" s="109"/>
      <c r="D1506" s="109"/>
      <c r="E1506" s="109"/>
      <c r="F1506" s="109"/>
      <c r="G1506" s="109"/>
      <c r="H1506" s="109"/>
      <c r="I1506" s="109"/>
      <c r="J1506" s="109"/>
      <c r="K1506" s="109"/>
      <c r="L1506" s="109"/>
      <c r="M1506" s="109"/>
      <c r="N1506" s="109"/>
      <c r="O1506" s="109"/>
      <c r="P1506" s="109"/>
      <c r="Q1506" s="109"/>
      <c r="R1506" s="109"/>
      <c r="S1506" s="109"/>
      <c r="T1506" s="109"/>
      <c r="U1506" s="109"/>
    </row>
    <row r="1507" spans="1:21">
      <c r="A1507" s="109"/>
      <c r="B1507" s="109"/>
      <c r="C1507" s="109"/>
      <c r="D1507" s="109"/>
      <c r="E1507" s="109"/>
      <c r="F1507" s="109"/>
      <c r="G1507" s="109"/>
      <c r="H1507" s="109"/>
      <c r="I1507" s="109"/>
      <c r="J1507" s="109"/>
      <c r="K1507" s="109"/>
      <c r="L1507" s="109"/>
      <c r="M1507" s="109"/>
      <c r="N1507" s="109"/>
      <c r="O1507" s="109"/>
      <c r="P1507" s="109"/>
      <c r="Q1507" s="109"/>
      <c r="R1507" s="109"/>
      <c r="S1507" s="109"/>
      <c r="T1507" s="109"/>
      <c r="U1507" s="109"/>
    </row>
    <row r="1508" spans="1:21">
      <c r="A1508" s="109"/>
      <c r="B1508" s="109"/>
      <c r="C1508" s="109"/>
      <c r="D1508" s="109"/>
      <c r="E1508" s="109"/>
      <c r="F1508" s="109"/>
      <c r="G1508" s="109"/>
      <c r="H1508" s="109"/>
      <c r="I1508" s="109"/>
      <c r="J1508" s="109"/>
      <c r="K1508" s="109"/>
      <c r="L1508" s="109"/>
      <c r="M1508" s="109"/>
      <c r="N1508" s="109"/>
      <c r="O1508" s="109"/>
      <c r="P1508" s="109"/>
      <c r="Q1508" s="109"/>
      <c r="R1508" s="109"/>
      <c r="S1508" s="109"/>
      <c r="T1508" s="109"/>
      <c r="U1508" s="109"/>
    </row>
    <row r="1509" spans="1:21">
      <c r="A1509" s="109"/>
      <c r="B1509" s="109"/>
      <c r="C1509" s="109"/>
      <c r="D1509" s="109"/>
      <c r="E1509" s="109"/>
      <c r="F1509" s="109"/>
      <c r="G1509" s="109"/>
      <c r="H1509" s="109"/>
      <c r="I1509" s="109"/>
      <c r="J1509" s="109"/>
      <c r="K1509" s="109"/>
      <c r="L1509" s="109"/>
      <c r="M1509" s="109"/>
      <c r="N1509" s="109"/>
      <c r="O1509" s="109"/>
      <c r="P1509" s="109"/>
      <c r="Q1509" s="109"/>
      <c r="R1509" s="109"/>
      <c r="S1509" s="109"/>
      <c r="T1509" s="109"/>
      <c r="U1509" s="109"/>
    </row>
    <row r="1510" spans="1:21">
      <c r="A1510" s="109"/>
      <c r="B1510" s="109"/>
      <c r="C1510" s="109"/>
      <c r="D1510" s="109"/>
      <c r="E1510" s="109"/>
      <c r="F1510" s="109"/>
      <c r="G1510" s="109"/>
      <c r="H1510" s="109"/>
      <c r="I1510" s="109"/>
      <c r="J1510" s="109"/>
      <c r="K1510" s="109"/>
      <c r="L1510" s="109"/>
      <c r="M1510" s="109"/>
      <c r="N1510" s="109"/>
      <c r="O1510" s="109"/>
      <c r="P1510" s="109"/>
      <c r="Q1510" s="109"/>
      <c r="R1510" s="109"/>
      <c r="S1510" s="109"/>
      <c r="T1510" s="109"/>
      <c r="U1510" s="109"/>
    </row>
    <row r="1511" spans="1:21">
      <c r="A1511" s="109"/>
      <c r="B1511" s="109"/>
      <c r="C1511" s="109"/>
      <c r="D1511" s="109"/>
      <c r="E1511" s="109"/>
      <c r="F1511" s="109"/>
      <c r="G1511" s="109"/>
      <c r="H1511" s="109"/>
      <c r="I1511" s="109"/>
      <c r="J1511" s="109"/>
      <c r="K1511" s="109"/>
      <c r="L1511" s="109"/>
      <c r="M1511" s="109"/>
      <c r="N1511" s="109"/>
      <c r="O1511" s="109"/>
      <c r="P1511" s="109"/>
      <c r="Q1511" s="109"/>
      <c r="R1511" s="109"/>
      <c r="S1511" s="109"/>
      <c r="T1511" s="109"/>
      <c r="U1511" s="109"/>
    </row>
    <row r="1512" spans="1:21">
      <c r="A1512" s="109"/>
      <c r="B1512" s="109"/>
      <c r="C1512" s="109"/>
      <c r="D1512" s="109"/>
      <c r="E1512" s="109"/>
      <c r="F1512" s="109"/>
      <c r="G1512" s="109"/>
      <c r="H1512" s="109"/>
      <c r="I1512" s="109"/>
      <c r="J1512" s="109"/>
      <c r="K1512" s="109"/>
      <c r="L1512" s="109"/>
      <c r="M1512" s="109"/>
      <c r="N1512" s="109"/>
      <c r="O1512" s="109"/>
      <c r="P1512" s="109"/>
      <c r="Q1512" s="109"/>
      <c r="R1512" s="109"/>
      <c r="S1512" s="109"/>
      <c r="T1512" s="109"/>
      <c r="U1512" s="109"/>
    </row>
    <row r="1513" spans="1:21">
      <c r="A1513" s="109"/>
      <c r="B1513" s="109"/>
      <c r="C1513" s="109"/>
      <c r="D1513" s="109"/>
      <c r="E1513" s="109"/>
      <c r="F1513" s="109"/>
      <c r="G1513" s="109"/>
      <c r="H1513" s="109"/>
      <c r="I1513" s="109"/>
      <c r="J1513" s="109"/>
      <c r="K1513" s="109"/>
      <c r="L1513" s="109"/>
      <c r="M1513" s="109"/>
      <c r="N1513" s="109"/>
      <c r="O1513" s="109"/>
      <c r="P1513" s="109"/>
      <c r="Q1513" s="109"/>
      <c r="R1513" s="109"/>
      <c r="S1513" s="109"/>
      <c r="T1513" s="109"/>
      <c r="U1513" s="109"/>
    </row>
    <row r="1514" spans="1:21">
      <c r="A1514" s="109"/>
      <c r="B1514" s="109"/>
      <c r="C1514" s="109"/>
      <c r="D1514" s="109"/>
      <c r="E1514" s="109"/>
      <c r="F1514" s="109"/>
      <c r="G1514" s="109"/>
      <c r="H1514" s="109"/>
      <c r="I1514" s="109"/>
      <c r="J1514" s="109"/>
      <c r="K1514" s="109"/>
      <c r="L1514" s="109"/>
      <c r="M1514" s="109"/>
      <c r="N1514" s="109"/>
      <c r="O1514" s="109"/>
      <c r="P1514" s="109"/>
      <c r="Q1514" s="109"/>
      <c r="R1514" s="109"/>
      <c r="S1514" s="109"/>
      <c r="T1514" s="109"/>
      <c r="U1514" s="109"/>
    </row>
    <row r="1515" spans="1:21">
      <c r="A1515" s="109"/>
      <c r="B1515" s="109"/>
      <c r="C1515" s="109"/>
      <c r="D1515" s="109"/>
      <c r="E1515" s="109"/>
      <c r="F1515" s="109"/>
      <c r="G1515" s="109"/>
      <c r="H1515" s="109"/>
      <c r="I1515" s="109"/>
      <c r="J1515" s="109"/>
      <c r="K1515" s="109"/>
      <c r="L1515" s="109"/>
      <c r="M1515" s="109"/>
      <c r="N1515" s="109"/>
      <c r="O1515" s="109"/>
      <c r="P1515" s="109"/>
      <c r="Q1515" s="109"/>
      <c r="R1515" s="109"/>
      <c r="S1515" s="109"/>
      <c r="T1515" s="109"/>
      <c r="U1515" s="109"/>
    </row>
    <row r="1516" spans="1:21">
      <c r="A1516" s="109"/>
      <c r="B1516" s="109"/>
      <c r="C1516" s="109"/>
      <c r="D1516" s="109"/>
      <c r="E1516" s="109"/>
      <c r="F1516" s="109"/>
      <c r="G1516" s="109"/>
      <c r="H1516" s="109"/>
      <c r="I1516" s="109"/>
      <c r="J1516" s="109"/>
      <c r="K1516" s="109"/>
      <c r="L1516" s="109"/>
      <c r="M1516" s="109"/>
      <c r="N1516" s="109"/>
      <c r="O1516" s="109"/>
      <c r="P1516" s="109"/>
      <c r="Q1516" s="109"/>
      <c r="R1516" s="109"/>
      <c r="S1516" s="109"/>
      <c r="T1516" s="109"/>
      <c r="U1516" s="109"/>
    </row>
    <row r="1517" spans="1:21">
      <c r="A1517" s="109"/>
      <c r="B1517" s="109"/>
      <c r="C1517" s="109"/>
      <c r="D1517" s="109"/>
      <c r="E1517" s="109"/>
      <c r="F1517" s="109"/>
      <c r="G1517" s="109"/>
      <c r="H1517" s="109"/>
      <c r="I1517" s="109"/>
      <c r="J1517" s="109"/>
      <c r="K1517" s="109"/>
      <c r="L1517" s="109"/>
      <c r="M1517" s="109"/>
      <c r="N1517" s="109"/>
      <c r="O1517" s="109"/>
      <c r="P1517" s="109"/>
      <c r="Q1517" s="109"/>
      <c r="R1517" s="109"/>
      <c r="S1517" s="109"/>
      <c r="T1517" s="109"/>
      <c r="U1517" s="109"/>
    </row>
    <row r="1518" spans="1:21">
      <c r="A1518" s="109"/>
      <c r="B1518" s="109"/>
      <c r="C1518" s="109"/>
      <c r="D1518" s="109"/>
      <c r="E1518" s="109"/>
      <c r="F1518" s="109"/>
      <c r="G1518" s="109"/>
      <c r="H1518" s="109"/>
      <c r="I1518" s="109"/>
      <c r="J1518" s="109"/>
      <c r="K1518" s="109"/>
      <c r="L1518" s="109"/>
      <c r="M1518" s="109"/>
      <c r="N1518" s="109"/>
      <c r="O1518" s="109"/>
      <c r="P1518" s="109"/>
      <c r="Q1518" s="109"/>
      <c r="R1518" s="109"/>
      <c r="S1518" s="109"/>
      <c r="T1518" s="109"/>
      <c r="U1518" s="109"/>
    </row>
    <row r="1519" spans="1:21">
      <c r="A1519" s="109"/>
      <c r="B1519" s="109"/>
      <c r="C1519" s="109"/>
      <c r="D1519" s="109"/>
      <c r="E1519" s="109"/>
      <c r="F1519" s="109"/>
      <c r="G1519" s="109"/>
      <c r="H1519" s="109"/>
      <c r="I1519" s="109"/>
      <c r="J1519" s="109"/>
      <c r="K1519" s="109"/>
      <c r="L1519" s="109"/>
      <c r="M1519" s="109"/>
      <c r="N1519" s="109"/>
      <c r="O1519" s="109"/>
      <c r="P1519" s="109"/>
      <c r="Q1519" s="109"/>
      <c r="R1519" s="109"/>
      <c r="S1519" s="109"/>
      <c r="T1519" s="109"/>
      <c r="U1519" s="109"/>
    </row>
    <row r="1520" spans="1:21">
      <c r="A1520" s="109"/>
      <c r="B1520" s="109"/>
      <c r="C1520" s="109"/>
      <c r="D1520" s="109"/>
      <c r="E1520" s="109"/>
      <c r="F1520" s="109"/>
      <c r="G1520" s="109"/>
      <c r="H1520" s="109"/>
      <c r="I1520" s="109"/>
      <c r="J1520" s="109"/>
      <c r="K1520" s="109"/>
      <c r="L1520" s="109"/>
      <c r="M1520" s="109"/>
      <c r="N1520" s="109"/>
      <c r="O1520" s="109"/>
      <c r="P1520" s="109"/>
      <c r="Q1520" s="109"/>
      <c r="R1520" s="109"/>
      <c r="S1520" s="109"/>
      <c r="T1520" s="109"/>
      <c r="U1520" s="109"/>
    </row>
    <row r="1521" spans="1:21">
      <c r="A1521" s="109"/>
      <c r="B1521" s="109"/>
      <c r="C1521" s="109"/>
      <c r="D1521" s="109"/>
      <c r="E1521" s="109"/>
      <c r="F1521" s="109"/>
      <c r="G1521" s="109"/>
      <c r="H1521" s="109"/>
      <c r="I1521" s="109"/>
      <c r="J1521" s="109"/>
      <c r="K1521" s="109"/>
      <c r="L1521" s="109"/>
      <c r="M1521" s="109"/>
      <c r="N1521" s="109"/>
      <c r="O1521" s="109"/>
      <c r="P1521" s="109"/>
      <c r="Q1521" s="109"/>
      <c r="R1521" s="109"/>
      <c r="S1521" s="109"/>
      <c r="T1521" s="109"/>
      <c r="U1521" s="109"/>
    </row>
    <row r="1522" spans="1:21">
      <c r="A1522" s="109"/>
      <c r="B1522" s="109"/>
      <c r="C1522" s="109"/>
      <c r="D1522" s="109"/>
      <c r="E1522" s="109"/>
      <c r="F1522" s="109"/>
      <c r="G1522" s="109"/>
      <c r="H1522" s="109"/>
      <c r="I1522" s="109"/>
      <c r="J1522" s="109"/>
      <c r="K1522" s="109"/>
      <c r="L1522" s="109"/>
      <c r="M1522" s="109"/>
      <c r="N1522" s="109"/>
      <c r="O1522" s="109"/>
      <c r="P1522" s="109"/>
      <c r="Q1522" s="109"/>
      <c r="R1522" s="109"/>
      <c r="S1522" s="109"/>
      <c r="T1522" s="109"/>
      <c r="U1522" s="109"/>
    </row>
    <row r="1523" spans="1:21">
      <c r="A1523" s="109"/>
      <c r="B1523" s="109"/>
      <c r="C1523" s="109"/>
      <c r="D1523" s="109"/>
      <c r="E1523" s="109"/>
      <c r="F1523" s="109"/>
      <c r="G1523" s="109"/>
      <c r="H1523" s="109"/>
      <c r="I1523" s="109"/>
      <c r="J1523" s="109"/>
      <c r="K1523" s="109"/>
      <c r="L1523" s="109"/>
      <c r="M1523" s="109"/>
      <c r="N1523" s="109"/>
      <c r="O1523" s="109"/>
      <c r="P1523" s="109"/>
      <c r="Q1523" s="109"/>
      <c r="R1523" s="109"/>
      <c r="S1523" s="109"/>
      <c r="T1523" s="109"/>
      <c r="U1523" s="109"/>
    </row>
    <row r="1524" spans="1:21">
      <c r="A1524" s="109"/>
      <c r="B1524" s="109"/>
      <c r="C1524" s="109"/>
      <c r="D1524" s="109"/>
      <c r="E1524" s="109"/>
      <c r="F1524" s="109"/>
      <c r="G1524" s="109"/>
      <c r="H1524" s="109"/>
      <c r="I1524" s="109"/>
      <c r="J1524" s="109"/>
      <c r="K1524" s="109"/>
      <c r="L1524" s="109"/>
      <c r="M1524" s="109"/>
      <c r="N1524" s="109"/>
      <c r="O1524" s="109"/>
      <c r="P1524" s="109"/>
      <c r="Q1524" s="109"/>
      <c r="R1524" s="109"/>
      <c r="S1524" s="109"/>
      <c r="T1524" s="109"/>
      <c r="U1524" s="109"/>
    </row>
    <row r="1525" spans="1:21">
      <c r="A1525" s="109"/>
      <c r="B1525" s="109"/>
      <c r="C1525" s="109"/>
      <c r="D1525" s="109"/>
      <c r="E1525" s="109"/>
      <c r="F1525" s="109"/>
      <c r="G1525" s="109"/>
      <c r="H1525" s="109"/>
      <c r="I1525" s="109"/>
      <c r="J1525" s="109"/>
      <c r="K1525" s="109"/>
      <c r="L1525" s="109"/>
      <c r="M1525" s="109"/>
      <c r="N1525" s="109"/>
      <c r="O1525" s="109"/>
      <c r="P1525" s="109"/>
      <c r="Q1525" s="109"/>
      <c r="R1525" s="109"/>
      <c r="S1525" s="109"/>
      <c r="T1525" s="109"/>
      <c r="U1525" s="109"/>
    </row>
    <row r="1526" spans="1:21">
      <c r="A1526" s="109"/>
      <c r="B1526" s="109"/>
      <c r="C1526" s="109"/>
      <c r="D1526" s="109"/>
      <c r="E1526" s="109"/>
      <c r="F1526" s="109"/>
      <c r="G1526" s="109"/>
      <c r="H1526" s="109"/>
      <c r="I1526" s="109"/>
      <c r="J1526" s="109"/>
      <c r="K1526" s="109"/>
      <c r="L1526" s="109"/>
      <c r="M1526" s="109"/>
      <c r="N1526" s="109"/>
      <c r="O1526" s="109"/>
      <c r="P1526" s="109"/>
      <c r="Q1526" s="109"/>
      <c r="R1526" s="109"/>
      <c r="S1526" s="109"/>
      <c r="T1526" s="109"/>
      <c r="U1526" s="109"/>
    </row>
    <row r="1527" spans="1:21">
      <c r="A1527" s="109"/>
      <c r="B1527" s="109"/>
      <c r="C1527" s="109"/>
      <c r="D1527" s="109"/>
      <c r="E1527" s="109"/>
      <c r="F1527" s="109"/>
      <c r="G1527" s="109"/>
      <c r="H1527" s="109"/>
      <c r="I1527" s="109"/>
      <c r="J1527" s="109"/>
      <c r="K1527" s="109"/>
      <c r="L1527" s="109"/>
      <c r="M1527" s="109"/>
      <c r="N1527" s="109"/>
      <c r="O1527" s="109"/>
      <c r="P1527" s="109"/>
      <c r="Q1527" s="109"/>
      <c r="R1527" s="109"/>
      <c r="S1527" s="109"/>
      <c r="T1527" s="109"/>
      <c r="U1527" s="109"/>
    </row>
    <row r="1528" spans="1:21">
      <c r="A1528" s="109"/>
      <c r="B1528" s="109"/>
      <c r="C1528" s="109"/>
      <c r="D1528" s="109"/>
      <c r="E1528" s="109"/>
      <c r="F1528" s="109"/>
      <c r="G1528" s="109"/>
      <c r="H1528" s="109"/>
      <c r="I1528" s="109"/>
      <c r="J1528" s="109"/>
      <c r="K1528" s="109"/>
      <c r="L1528" s="109"/>
      <c r="M1528" s="109"/>
      <c r="N1528" s="109"/>
      <c r="O1528" s="109"/>
      <c r="P1528" s="109"/>
      <c r="Q1528" s="109"/>
      <c r="R1528" s="109"/>
      <c r="S1528" s="109"/>
      <c r="T1528" s="109"/>
      <c r="U1528" s="109"/>
    </row>
    <row r="1529" spans="1:21">
      <c r="A1529" s="109"/>
      <c r="B1529" s="109"/>
      <c r="C1529" s="109"/>
      <c r="D1529" s="109"/>
      <c r="E1529" s="109"/>
      <c r="F1529" s="109"/>
      <c r="G1529" s="109"/>
      <c r="H1529" s="109"/>
      <c r="I1529" s="109"/>
      <c r="J1529" s="109"/>
      <c r="K1529" s="109"/>
      <c r="L1529" s="109"/>
      <c r="M1529" s="109"/>
      <c r="N1529" s="109"/>
      <c r="O1529" s="109"/>
      <c r="P1529" s="109"/>
      <c r="Q1529" s="109"/>
      <c r="R1529" s="109"/>
      <c r="S1529" s="109"/>
      <c r="T1529" s="109"/>
      <c r="U1529" s="109"/>
    </row>
    <row r="1530" spans="1:21">
      <c r="A1530" s="109"/>
      <c r="B1530" s="109"/>
      <c r="C1530" s="109"/>
      <c r="D1530" s="109"/>
      <c r="E1530" s="109"/>
      <c r="F1530" s="109"/>
      <c r="G1530" s="109"/>
      <c r="H1530" s="109"/>
      <c r="I1530" s="109"/>
      <c r="J1530" s="109"/>
      <c r="K1530" s="109"/>
      <c r="L1530" s="109"/>
      <c r="M1530" s="109"/>
      <c r="N1530" s="109"/>
      <c r="O1530" s="109"/>
      <c r="P1530" s="109"/>
      <c r="Q1530" s="109"/>
      <c r="R1530" s="109"/>
      <c r="S1530" s="109"/>
      <c r="T1530" s="109"/>
      <c r="U1530" s="109"/>
    </row>
    <row r="1531" spans="1:21">
      <c r="A1531" s="109"/>
      <c r="B1531" s="109"/>
      <c r="C1531" s="109"/>
      <c r="D1531" s="109"/>
      <c r="E1531" s="109"/>
      <c r="F1531" s="109"/>
      <c r="G1531" s="109"/>
      <c r="H1531" s="109"/>
      <c r="I1531" s="109"/>
      <c r="J1531" s="109"/>
      <c r="K1531" s="109"/>
      <c r="L1531" s="109"/>
      <c r="M1531" s="109"/>
      <c r="N1531" s="109"/>
      <c r="O1531" s="109"/>
      <c r="P1531" s="109"/>
      <c r="Q1531" s="109"/>
      <c r="R1531" s="109"/>
      <c r="S1531" s="109"/>
      <c r="T1531" s="109"/>
      <c r="U1531" s="109"/>
    </row>
    <row r="1532" spans="1:21">
      <c r="A1532" s="109"/>
      <c r="B1532" s="109"/>
      <c r="C1532" s="109"/>
      <c r="D1532" s="109"/>
      <c r="E1532" s="109"/>
      <c r="F1532" s="109"/>
      <c r="G1532" s="109"/>
      <c r="H1532" s="109"/>
      <c r="I1532" s="109"/>
      <c r="J1532" s="109"/>
      <c r="K1532" s="109"/>
      <c r="L1532" s="109"/>
      <c r="M1532" s="109"/>
      <c r="N1532" s="109"/>
      <c r="O1532" s="109"/>
      <c r="P1532" s="109"/>
      <c r="Q1532" s="109"/>
      <c r="R1532" s="109"/>
      <c r="S1532" s="109"/>
      <c r="T1532" s="109"/>
      <c r="U1532" s="109"/>
    </row>
    <row r="1533" spans="1:21">
      <c r="A1533" s="109"/>
      <c r="B1533" s="109"/>
      <c r="C1533" s="109"/>
      <c r="D1533" s="109"/>
      <c r="E1533" s="109"/>
      <c r="F1533" s="109"/>
      <c r="G1533" s="109"/>
      <c r="H1533" s="109"/>
      <c r="I1533" s="109"/>
      <c r="J1533" s="109"/>
      <c r="K1533" s="109"/>
      <c r="L1533" s="109"/>
      <c r="M1533" s="109"/>
      <c r="N1533" s="109"/>
      <c r="O1533" s="109"/>
      <c r="P1533" s="109"/>
      <c r="Q1533" s="109"/>
      <c r="R1533" s="109"/>
      <c r="S1533" s="109"/>
      <c r="T1533" s="109"/>
      <c r="U1533" s="109"/>
    </row>
    <row r="1534" spans="1:21">
      <c r="A1534" s="109"/>
      <c r="B1534" s="109"/>
      <c r="C1534" s="109"/>
      <c r="D1534" s="109"/>
      <c r="E1534" s="109"/>
      <c r="F1534" s="109"/>
      <c r="G1534" s="109"/>
      <c r="H1534" s="109"/>
      <c r="I1534" s="109"/>
      <c r="J1534" s="109"/>
      <c r="K1534" s="109"/>
      <c r="L1534" s="109"/>
      <c r="M1534" s="109"/>
      <c r="N1534" s="109"/>
      <c r="O1534" s="109"/>
      <c r="P1534" s="109"/>
      <c r="Q1534" s="109"/>
      <c r="R1534" s="109"/>
      <c r="S1534" s="109"/>
      <c r="T1534" s="109"/>
      <c r="U1534" s="109"/>
    </row>
    <row r="1535" spans="1:21">
      <c r="A1535" s="109"/>
      <c r="B1535" s="109"/>
      <c r="C1535" s="109"/>
      <c r="D1535" s="109"/>
      <c r="E1535" s="109"/>
      <c r="F1535" s="109"/>
      <c r="G1535" s="109"/>
      <c r="H1535" s="109"/>
      <c r="I1535" s="109"/>
      <c r="J1535" s="109"/>
      <c r="K1535" s="109"/>
      <c r="L1535" s="109"/>
      <c r="M1535" s="109"/>
      <c r="N1535" s="109"/>
      <c r="O1535" s="109"/>
      <c r="P1535" s="109"/>
      <c r="Q1535" s="109"/>
      <c r="R1535" s="109"/>
      <c r="S1535" s="109"/>
      <c r="T1535" s="109"/>
      <c r="U1535" s="109"/>
    </row>
    <row r="1536" spans="1:21">
      <c r="A1536" s="109"/>
      <c r="B1536" s="109"/>
      <c r="C1536" s="109"/>
      <c r="D1536" s="109"/>
      <c r="E1536" s="109"/>
      <c r="F1536" s="109"/>
      <c r="G1536" s="109"/>
      <c r="H1536" s="109"/>
      <c r="I1536" s="109"/>
      <c r="J1536" s="109"/>
      <c r="K1536" s="109"/>
      <c r="L1536" s="109"/>
      <c r="M1536" s="109"/>
      <c r="N1536" s="109"/>
      <c r="O1536" s="109"/>
      <c r="P1536" s="109"/>
      <c r="Q1536" s="109"/>
      <c r="R1536" s="109"/>
      <c r="S1536" s="109"/>
      <c r="T1536" s="109"/>
      <c r="U1536" s="109"/>
    </row>
    <row r="1537" spans="1:21">
      <c r="A1537" s="109"/>
      <c r="B1537" s="109"/>
      <c r="C1537" s="109"/>
      <c r="D1537" s="109"/>
      <c r="E1537" s="109"/>
      <c r="F1537" s="109"/>
      <c r="G1537" s="109"/>
      <c r="H1537" s="109"/>
      <c r="I1537" s="109"/>
      <c r="J1537" s="109"/>
      <c r="K1537" s="109"/>
      <c r="L1537" s="109"/>
      <c r="M1537" s="109"/>
      <c r="N1537" s="109"/>
      <c r="O1537" s="109"/>
      <c r="P1537" s="109"/>
      <c r="Q1537" s="109"/>
      <c r="R1537" s="109"/>
      <c r="S1537" s="109"/>
      <c r="T1537" s="109"/>
      <c r="U1537" s="109"/>
    </row>
    <row r="1538" spans="1:21">
      <c r="A1538" s="109"/>
      <c r="B1538" s="109"/>
      <c r="C1538" s="109"/>
      <c r="D1538" s="109"/>
      <c r="E1538" s="109"/>
      <c r="F1538" s="109"/>
      <c r="G1538" s="109"/>
      <c r="H1538" s="109"/>
      <c r="I1538" s="109"/>
      <c r="J1538" s="109"/>
      <c r="K1538" s="109"/>
      <c r="L1538" s="109"/>
      <c r="M1538" s="109"/>
      <c r="N1538" s="109"/>
      <c r="O1538" s="109"/>
      <c r="P1538" s="109"/>
      <c r="Q1538" s="109"/>
      <c r="R1538" s="109"/>
      <c r="S1538" s="109"/>
      <c r="T1538" s="109"/>
      <c r="U1538" s="109"/>
    </row>
    <row r="1539" spans="1:21">
      <c r="A1539" s="109"/>
      <c r="B1539" s="109"/>
      <c r="C1539" s="109"/>
      <c r="D1539" s="109"/>
      <c r="E1539" s="109"/>
      <c r="F1539" s="109"/>
      <c r="G1539" s="109"/>
      <c r="H1539" s="109"/>
      <c r="I1539" s="109"/>
      <c r="J1539" s="109"/>
      <c r="K1539" s="109"/>
      <c r="L1539" s="109"/>
      <c r="M1539" s="109"/>
      <c r="N1539" s="109"/>
      <c r="O1539" s="109"/>
      <c r="P1539" s="109"/>
      <c r="Q1539" s="109"/>
      <c r="R1539" s="109"/>
      <c r="S1539" s="109"/>
      <c r="T1539" s="109"/>
      <c r="U1539" s="109"/>
    </row>
    <row r="1540" spans="1:21">
      <c r="A1540" s="109"/>
      <c r="B1540" s="109"/>
      <c r="C1540" s="109"/>
      <c r="D1540" s="109"/>
      <c r="E1540" s="109"/>
      <c r="F1540" s="109"/>
      <c r="G1540" s="109"/>
      <c r="H1540" s="109"/>
      <c r="I1540" s="109"/>
      <c r="J1540" s="109"/>
      <c r="K1540" s="109"/>
      <c r="L1540" s="109"/>
      <c r="M1540" s="109"/>
      <c r="N1540" s="109"/>
      <c r="O1540" s="109"/>
      <c r="P1540" s="109"/>
      <c r="Q1540" s="109"/>
      <c r="R1540" s="109"/>
      <c r="S1540" s="109"/>
      <c r="T1540" s="109"/>
      <c r="U1540" s="109"/>
    </row>
    <row r="1541" spans="1:21">
      <c r="A1541" s="109"/>
      <c r="B1541" s="109"/>
      <c r="C1541" s="109"/>
      <c r="D1541" s="109"/>
      <c r="E1541" s="109"/>
      <c r="F1541" s="109"/>
      <c r="G1541" s="109"/>
      <c r="H1541" s="109"/>
      <c r="I1541" s="109"/>
      <c r="J1541" s="109"/>
      <c r="K1541" s="109"/>
      <c r="L1541" s="109"/>
      <c r="M1541" s="109"/>
      <c r="N1541" s="109"/>
      <c r="O1541" s="109"/>
      <c r="P1541" s="109"/>
      <c r="Q1541" s="109"/>
      <c r="R1541" s="109"/>
      <c r="S1541" s="109"/>
      <c r="T1541" s="109"/>
      <c r="U1541" s="109"/>
    </row>
    <row r="1542" spans="1:21">
      <c r="A1542" s="109"/>
      <c r="B1542" s="109"/>
      <c r="C1542" s="109"/>
      <c r="D1542" s="109"/>
      <c r="E1542" s="109"/>
      <c r="F1542" s="109"/>
      <c r="G1542" s="109"/>
      <c r="H1542" s="109"/>
      <c r="I1542" s="109"/>
      <c r="J1542" s="109"/>
      <c r="K1542" s="109"/>
      <c r="L1542" s="109"/>
      <c r="M1542" s="109"/>
      <c r="N1542" s="109"/>
      <c r="O1542" s="109"/>
      <c r="P1542" s="109"/>
      <c r="Q1542" s="109"/>
      <c r="R1542" s="109"/>
      <c r="S1542" s="109"/>
      <c r="T1542" s="109"/>
      <c r="U1542" s="109"/>
    </row>
    <row r="1543" spans="1:21">
      <c r="A1543" s="109"/>
      <c r="B1543" s="109"/>
      <c r="C1543" s="109"/>
      <c r="D1543" s="109"/>
      <c r="E1543" s="109"/>
      <c r="F1543" s="109"/>
      <c r="G1543" s="109"/>
      <c r="H1543" s="109"/>
      <c r="I1543" s="109"/>
      <c r="J1543" s="109"/>
      <c r="K1543" s="109"/>
      <c r="L1543" s="109"/>
      <c r="M1543" s="109"/>
      <c r="N1543" s="109"/>
      <c r="O1543" s="109"/>
      <c r="P1543" s="109"/>
      <c r="Q1543" s="109"/>
      <c r="R1543" s="109"/>
      <c r="S1543" s="109"/>
      <c r="T1543" s="109"/>
      <c r="U1543" s="109"/>
    </row>
    <row r="1544" spans="1:21">
      <c r="A1544" s="109"/>
      <c r="B1544" s="109"/>
      <c r="C1544" s="109"/>
      <c r="D1544" s="109"/>
      <c r="E1544" s="109"/>
      <c r="F1544" s="109"/>
      <c r="G1544" s="109"/>
      <c r="H1544" s="109"/>
      <c r="I1544" s="109"/>
      <c r="J1544" s="109"/>
      <c r="K1544" s="109"/>
      <c r="L1544" s="109"/>
      <c r="M1544" s="109"/>
      <c r="N1544" s="109"/>
      <c r="O1544" s="109"/>
      <c r="P1544" s="109"/>
      <c r="Q1544" s="109"/>
      <c r="R1544" s="109"/>
      <c r="S1544" s="109"/>
      <c r="T1544" s="109"/>
      <c r="U1544" s="109"/>
    </row>
    <row r="1545" spans="1:21">
      <c r="A1545" s="109"/>
      <c r="B1545" s="109"/>
      <c r="C1545" s="109"/>
      <c r="D1545" s="109"/>
      <c r="E1545" s="109"/>
      <c r="F1545" s="109"/>
      <c r="G1545" s="109"/>
      <c r="H1545" s="109"/>
      <c r="I1545" s="109"/>
      <c r="J1545" s="109"/>
      <c r="K1545" s="109"/>
      <c r="L1545" s="109"/>
      <c r="M1545" s="109"/>
      <c r="N1545" s="109"/>
      <c r="O1545" s="109"/>
      <c r="P1545" s="109"/>
      <c r="Q1545" s="109"/>
      <c r="R1545" s="109"/>
      <c r="S1545" s="109"/>
      <c r="T1545" s="109"/>
      <c r="U1545" s="109"/>
    </row>
    <row r="1546" spans="1:21">
      <c r="A1546" s="109"/>
      <c r="B1546" s="109"/>
      <c r="C1546" s="109"/>
      <c r="D1546" s="109"/>
      <c r="E1546" s="109"/>
      <c r="F1546" s="109"/>
      <c r="G1546" s="109"/>
      <c r="H1546" s="109"/>
      <c r="I1546" s="109"/>
      <c r="J1546" s="109"/>
      <c r="K1546" s="109"/>
      <c r="L1546" s="109"/>
      <c r="M1546" s="109"/>
      <c r="N1546" s="109"/>
      <c r="O1546" s="109"/>
      <c r="P1546" s="109"/>
      <c r="Q1546" s="109"/>
      <c r="R1546" s="109"/>
      <c r="S1546" s="109"/>
      <c r="T1546" s="109"/>
      <c r="U1546" s="109"/>
    </row>
    <row r="1547" spans="1:21">
      <c r="A1547" s="109"/>
      <c r="B1547" s="109"/>
      <c r="C1547" s="109"/>
      <c r="D1547" s="109"/>
      <c r="E1547" s="109"/>
      <c r="F1547" s="109"/>
      <c r="G1547" s="109"/>
      <c r="H1547" s="109"/>
      <c r="I1547" s="109"/>
      <c r="J1547" s="109"/>
      <c r="K1547" s="109"/>
      <c r="L1547" s="109"/>
      <c r="M1547" s="109"/>
      <c r="N1547" s="109"/>
      <c r="O1547" s="109"/>
      <c r="P1547" s="109"/>
      <c r="Q1547" s="109"/>
      <c r="R1547" s="109"/>
      <c r="S1547" s="109"/>
      <c r="T1547" s="109"/>
      <c r="U1547" s="109"/>
    </row>
    <row r="1548" spans="1:21">
      <c r="A1548" s="109"/>
      <c r="B1548" s="109"/>
      <c r="C1548" s="109"/>
      <c r="D1548" s="109"/>
      <c r="E1548" s="109"/>
      <c r="F1548" s="109"/>
      <c r="G1548" s="109"/>
      <c r="H1548" s="109"/>
      <c r="I1548" s="109"/>
      <c r="J1548" s="109"/>
      <c r="K1548" s="109"/>
      <c r="L1548" s="109"/>
      <c r="M1548" s="109"/>
      <c r="N1548" s="109"/>
      <c r="O1548" s="109"/>
      <c r="P1548" s="109"/>
      <c r="Q1548" s="109"/>
      <c r="R1548" s="109"/>
      <c r="S1548" s="109"/>
      <c r="T1548" s="109"/>
      <c r="U1548" s="109"/>
    </row>
    <row r="1549" spans="1:21">
      <c r="A1549" s="109"/>
      <c r="B1549" s="109"/>
      <c r="C1549" s="109"/>
      <c r="D1549" s="109"/>
      <c r="E1549" s="109"/>
      <c r="F1549" s="109"/>
      <c r="G1549" s="109"/>
      <c r="H1549" s="109"/>
      <c r="I1549" s="109"/>
      <c r="J1549" s="109"/>
      <c r="K1549" s="109"/>
      <c r="L1549" s="109"/>
      <c r="M1549" s="109"/>
      <c r="N1549" s="109"/>
      <c r="O1549" s="109"/>
      <c r="P1549" s="109"/>
      <c r="Q1549" s="109"/>
      <c r="R1549" s="109"/>
      <c r="S1549" s="109"/>
      <c r="T1549" s="109"/>
      <c r="U1549" s="109"/>
    </row>
    <row r="1550" spans="1:21">
      <c r="A1550" s="109"/>
      <c r="B1550" s="109"/>
      <c r="C1550" s="109"/>
      <c r="D1550" s="109"/>
      <c r="E1550" s="109"/>
      <c r="F1550" s="109"/>
      <c r="G1550" s="109"/>
      <c r="H1550" s="109"/>
      <c r="I1550" s="109"/>
      <c r="J1550" s="109"/>
      <c r="K1550" s="109"/>
      <c r="L1550" s="109"/>
      <c r="M1550" s="109"/>
      <c r="N1550" s="109"/>
      <c r="O1550" s="109"/>
      <c r="P1550" s="109"/>
      <c r="Q1550" s="109"/>
      <c r="R1550" s="109"/>
      <c r="S1550" s="109"/>
      <c r="T1550" s="109"/>
      <c r="U1550" s="109"/>
    </row>
    <row r="1551" spans="1:21">
      <c r="A1551" s="109"/>
      <c r="B1551" s="109"/>
      <c r="C1551" s="109"/>
      <c r="D1551" s="109"/>
      <c r="E1551" s="109"/>
      <c r="F1551" s="109"/>
      <c r="G1551" s="109"/>
      <c r="H1551" s="109"/>
      <c r="I1551" s="109"/>
      <c r="J1551" s="109"/>
      <c r="K1551" s="109"/>
      <c r="L1551" s="109"/>
      <c r="M1551" s="109"/>
      <c r="N1551" s="109"/>
      <c r="O1551" s="109"/>
      <c r="P1551" s="109"/>
      <c r="Q1551" s="109"/>
      <c r="R1551" s="109"/>
      <c r="S1551" s="109"/>
      <c r="T1551" s="109"/>
      <c r="U1551" s="109"/>
    </row>
    <row r="1552" spans="1:21">
      <c r="A1552" s="109"/>
      <c r="B1552" s="109"/>
      <c r="C1552" s="109"/>
      <c r="D1552" s="109"/>
      <c r="E1552" s="109"/>
      <c r="F1552" s="109"/>
      <c r="G1552" s="109"/>
      <c r="H1552" s="109"/>
      <c r="I1552" s="109"/>
      <c r="J1552" s="109"/>
      <c r="K1552" s="109"/>
      <c r="L1552" s="109"/>
      <c r="M1552" s="109"/>
      <c r="N1552" s="109"/>
      <c r="O1552" s="109"/>
      <c r="P1552" s="109"/>
      <c r="Q1552" s="109"/>
      <c r="R1552" s="109"/>
      <c r="S1552" s="109"/>
      <c r="T1552" s="109"/>
      <c r="U1552" s="109"/>
    </row>
    <row r="1553" spans="1:21">
      <c r="A1553" s="109"/>
      <c r="B1553" s="109"/>
      <c r="C1553" s="109"/>
      <c r="D1553" s="109"/>
      <c r="E1553" s="109"/>
      <c r="F1553" s="109"/>
      <c r="G1553" s="109"/>
      <c r="H1553" s="109"/>
      <c r="I1553" s="109"/>
      <c r="J1553" s="109"/>
      <c r="K1553" s="109"/>
      <c r="L1553" s="109"/>
      <c r="M1553" s="109"/>
      <c r="N1553" s="109"/>
      <c r="O1553" s="109"/>
      <c r="P1553" s="109"/>
      <c r="Q1553" s="109"/>
      <c r="R1553" s="109"/>
      <c r="S1553" s="109"/>
      <c r="T1553" s="109"/>
      <c r="U1553" s="109"/>
    </row>
    <row r="1554" spans="1:21">
      <c r="A1554" s="109"/>
      <c r="B1554" s="109"/>
      <c r="C1554" s="109"/>
      <c r="D1554" s="109"/>
      <c r="E1554" s="109"/>
      <c r="F1554" s="109"/>
      <c r="G1554" s="109"/>
      <c r="H1554" s="109"/>
      <c r="I1554" s="109"/>
      <c r="J1554" s="109"/>
      <c r="K1554" s="109"/>
      <c r="L1554" s="109"/>
      <c r="M1554" s="109"/>
      <c r="N1554" s="109"/>
      <c r="O1554" s="109"/>
      <c r="P1554" s="109"/>
      <c r="Q1554" s="109"/>
      <c r="R1554" s="109"/>
      <c r="S1554" s="109"/>
      <c r="T1554" s="109"/>
      <c r="U1554" s="109"/>
    </row>
    <row r="1555" spans="1:21">
      <c r="A1555" s="109"/>
      <c r="B1555" s="109"/>
      <c r="C1555" s="109"/>
      <c r="D1555" s="109"/>
      <c r="E1555" s="109"/>
      <c r="F1555" s="109"/>
      <c r="G1555" s="109"/>
      <c r="H1555" s="109"/>
      <c r="I1555" s="109"/>
      <c r="J1555" s="109"/>
      <c r="K1555" s="109"/>
      <c r="L1555" s="109"/>
      <c r="M1555" s="109"/>
      <c r="N1555" s="109"/>
      <c r="O1555" s="109"/>
      <c r="P1555" s="109"/>
      <c r="Q1555" s="109"/>
      <c r="R1555" s="109"/>
      <c r="S1555" s="109"/>
      <c r="T1555" s="109"/>
      <c r="U1555" s="109"/>
    </row>
    <row r="1556" spans="1:21">
      <c r="A1556" s="109"/>
      <c r="B1556" s="109"/>
      <c r="C1556" s="109"/>
      <c r="D1556" s="109"/>
      <c r="E1556" s="109"/>
      <c r="F1556" s="109"/>
      <c r="G1556" s="109"/>
      <c r="H1556" s="109"/>
      <c r="I1556" s="109"/>
      <c r="J1556" s="109"/>
      <c r="K1556" s="109"/>
      <c r="L1556" s="109"/>
      <c r="M1556" s="109"/>
      <c r="N1556" s="109"/>
      <c r="O1556" s="109"/>
      <c r="P1556" s="109"/>
      <c r="Q1556" s="109"/>
      <c r="R1556" s="109"/>
      <c r="S1556" s="109"/>
      <c r="T1556" s="109"/>
      <c r="U1556" s="109"/>
    </row>
    <row r="1557" spans="1:21">
      <c r="A1557" s="109"/>
      <c r="B1557" s="109"/>
      <c r="C1557" s="109"/>
      <c r="D1557" s="109"/>
      <c r="E1557" s="109"/>
      <c r="F1557" s="109"/>
      <c r="G1557" s="109"/>
      <c r="H1557" s="109"/>
      <c r="I1557" s="109"/>
      <c r="J1557" s="109"/>
      <c r="K1557" s="109"/>
      <c r="L1557" s="109"/>
      <c r="M1557" s="109"/>
      <c r="N1557" s="109"/>
      <c r="O1557" s="109"/>
      <c r="P1557" s="109"/>
      <c r="Q1557" s="109"/>
      <c r="R1557" s="109"/>
      <c r="S1557" s="109"/>
      <c r="T1557" s="109"/>
      <c r="U1557" s="109"/>
    </row>
    <row r="1558" spans="1:21">
      <c r="A1558" s="109"/>
      <c r="B1558" s="109"/>
      <c r="C1558" s="109"/>
      <c r="D1558" s="109"/>
      <c r="E1558" s="109"/>
      <c r="F1558" s="109"/>
      <c r="G1558" s="109"/>
      <c r="H1558" s="109"/>
      <c r="I1558" s="109"/>
      <c r="J1558" s="109"/>
      <c r="K1558" s="109"/>
      <c r="L1558" s="109"/>
      <c r="M1558" s="109"/>
      <c r="N1558" s="109"/>
      <c r="O1558" s="109"/>
      <c r="P1558" s="109"/>
      <c r="Q1558" s="109"/>
      <c r="R1558" s="109"/>
      <c r="S1558" s="109"/>
      <c r="T1558" s="109"/>
      <c r="U1558" s="109"/>
    </row>
    <row r="1559" spans="1:21">
      <c r="A1559" s="109"/>
      <c r="B1559" s="109"/>
      <c r="C1559" s="109"/>
      <c r="D1559" s="109"/>
      <c r="E1559" s="109"/>
      <c r="F1559" s="109"/>
      <c r="G1559" s="109"/>
      <c r="H1559" s="109"/>
      <c r="I1559" s="109"/>
      <c r="J1559" s="109"/>
      <c r="K1559" s="109"/>
      <c r="L1559" s="109"/>
      <c r="M1559" s="109"/>
      <c r="N1559" s="109"/>
      <c r="O1559" s="109"/>
      <c r="P1559" s="109"/>
      <c r="Q1559" s="109"/>
      <c r="R1559" s="109"/>
      <c r="S1559" s="109"/>
      <c r="T1559" s="109"/>
      <c r="U1559" s="109"/>
    </row>
    <row r="1560" spans="1:21">
      <c r="A1560" s="109"/>
      <c r="B1560" s="109"/>
      <c r="C1560" s="109"/>
      <c r="D1560" s="109"/>
      <c r="E1560" s="109"/>
      <c r="F1560" s="109"/>
      <c r="G1560" s="109"/>
      <c r="H1560" s="109"/>
      <c r="I1560" s="109"/>
      <c r="J1560" s="109"/>
      <c r="K1560" s="109"/>
      <c r="L1560" s="109"/>
      <c r="M1560" s="109"/>
      <c r="N1560" s="109"/>
      <c r="O1560" s="109"/>
      <c r="P1560" s="109"/>
      <c r="Q1560" s="109"/>
      <c r="R1560" s="109"/>
      <c r="S1560" s="109"/>
      <c r="T1560" s="109"/>
      <c r="U1560" s="109"/>
    </row>
    <row r="1561" spans="1:21">
      <c r="A1561" s="109"/>
      <c r="B1561" s="109"/>
      <c r="C1561" s="109"/>
      <c r="D1561" s="109"/>
      <c r="E1561" s="109"/>
      <c r="F1561" s="109"/>
      <c r="G1561" s="109"/>
      <c r="H1561" s="109"/>
      <c r="I1561" s="109"/>
      <c r="J1561" s="109"/>
      <c r="K1561" s="109"/>
      <c r="L1561" s="109"/>
      <c r="M1561" s="109"/>
      <c r="N1561" s="109"/>
      <c r="O1561" s="109"/>
      <c r="P1561" s="109"/>
      <c r="Q1561" s="109"/>
      <c r="R1561" s="109"/>
      <c r="S1561" s="109"/>
      <c r="T1561" s="109"/>
      <c r="U1561" s="109"/>
    </row>
    <row r="1562" spans="1:21">
      <c r="A1562" s="109"/>
      <c r="B1562" s="109"/>
      <c r="C1562" s="109"/>
      <c r="D1562" s="109"/>
      <c r="E1562" s="109"/>
      <c r="F1562" s="109"/>
      <c r="G1562" s="109"/>
      <c r="H1562" s="109"/>
      <c r="I1562" s="109"/>
      <c r="J1562" s="109"/>
      <c r="K1562" s="109"/>
      <c r="L1562" s="109"/>
      <c r="M1562" s="109"/>
      <c r="N1562" s="109"/>
      <c r="O1562" s="109"/>
      <c r="P1562" s="109"/>
      <c r="Q1562" s="109"/>
      <c r="R1562" s="109"/>
      <c r="S1562" s="109"/>
      <c r="T1562" s="109"/>
      <c r="U1562" s="109"/>
    </row>
    <row r="1563" spans="1:21">
      <c r="A1563" s="109"/>
      <c r="B1563" s="109"/>
      <c r="C1563" s="109"/>
      <c r="D1563" s="109"/>
      <c r="E1563" s="109"/>
      <c r="F1563" s="109"/>
      <c r="G1563" s="109"/>
      <c r="H1563" s="109"/>
      <c r="I1563" s="109"/>
      <c r="J1563" s="109"/>
      <c r="K1563" s="109"/>
      <c r="L1563" s="109"/>
      <c r="M1563" s="109"/>
      <c r="N1563" s="109"/>
      <c r="O1563" s="109"/>
      <c r="P1563" s="109"/>
      <c r="Q1563" s="109"/>
      <c r="R1563" s="109"/>
      <c r="S1563" s="109"/>
      <c r="T1563" s="109"/>
      <c r="U1563" s="109"/>
    </row>
    <row r="1564" spans="1:21">
      <c r="A1564" s="109"/>
      <c r="B1564" s="109"/>
      <c r="C1564" s="109"/>
      <c r="D1564" s="109"/>
      <c r="E1564" s="109"/>
      <c r="F1564" s="109"/>
      <c r="G1564" s="109"/>
      <c r="H1564" s="109"/>
      <c r="I1564" s="109"/>
      <c r="J1564" s="109"/>
      <c r="K1564" s="109"/>
      <c r="L1564" s="109"/>
      <c r="M1564" s="109"/>
      <c r="N1564" s="109"/>
      <c r="O1564" s="109"/>
      <c r="P1564" s="109"/>
      <c r="Q1564" s="109"/>
      <c r="R1564" s="109"/>
      <c r="S1564" s="109"/>
      <c r="T1564" s="109"/>
      <c r="U1564" s="109"/>
    </row>
    <row r="1565" spans="1:21">
      <c r="A1565" s="109"/>
      <c r="B1565" s="109"/>
      <c r="C1565" s="109"/>
      <c r="D1565" s="109"/>
      <c r="E1565" s="109"/>
      <c r="F1565" s="109"/>
      <c r="G1565" s="109"/>
      <c r="H1565" s="109"/>
      <c r="I1565" s="109"/>
      <c r="J1565" s="109"/>
      <c r="K1565" s="109"/>
      <c r="L1565" s="109"/>
      <c r="M1565" s="109"/>
      <c r="N1565" s="109"/>
      <c r="O1565" s="109"/>
      <c r="P1565" s="109"/>
      <c r="Q1565" s="109"/>
      <c r="R1565" s="109"/>
      <c r="S1565" s="109"/>
      <c r="T1565" s="109"/>
      <c r="U1565" s="109"/>
    </row>
    <row r="1566" spans="1:21">
      <c r="A1566" s="109"/>
      <c r="B1566" s="109"/>
      <c r="C1566" s="109"/>
      <c r="D1566" s="109"/>
      <c r="E1566" s="109"/>
      <c r="F1566" s="109"/>
      <c r="G1566" s="109"/>
      <c r="H1566" s="109"/>
      <c r="I1566" s="109"/>
      <c r="J1566" s="109"/>
      <c r="K1566" s="109"/>
      <c r="L1566" s="109"/>
      <c r="M1566" s="109"/>
      <c r="N1566" s="109"/>
      <c r="O1566" s="109"/>
      <c r="P1566" s="109"/>
      <c r="Q1566" s="109"/>
      <c r="R1566" s="109"/>
      <c r="S1566" s="109"/>
      <c r="T1566" s="109"/>
      <c r="U1566" s="109"/>
    </row>
    <row r="1567" spans="1:21">
      <c r="A1567" s="109"/>
      <c r="B1567" s="109"/>
      <c r="C1567" s="109"/>
      <c r="D1567" s="109"/>
      <c r="E1567" s="109"/>
      <c r="F1567" s="109"/>
      <c r="G1567" s="109"/>
      <c r="H1567" s="109"/>
      <c r="I1567" s="109"/>
      <c r="J1567" s="109"/>
      <c r="K1567" s="109"/>
      <c r="L1567" s="109"/>
      <c r="M1567" s="109"/>
      <c r="N1567" s="109"/>
      <c r="O1567" s="109"/>
      <c r="P1567" s="109"/>
      <c r="Q1567" s="109"/>
      <c r="R1567" s="109"/>
      <c r="S1567" s="109"/>
      <c r="T1567" s="109"/>
      <c r="U1567" s="109"/>
    </row>
    <row r="1568" spans="1:21">
      <c r="A1568" s="109"/>
      <c r="B1568" s="109"/>
      <c r="C1568" s="109"/>
      <c r="D1568" s="109"/>
      <c r="E1568" s="109"/>
      <c r="F1568" s="109"/>
      <c r="G1568" s="109"/>
      <c r="H1568" s="109"/>
      <c r="I1568" s="109"/>
      <c r="J1568" s="109"/>
      <c r="K1568" s="109"/>
      <c r="L1568" s="109"/>
      <c r="M1568" s="109"/>
      <c r="N1568" s="109"/>
      <c r="O1568" s="109"/>
      <c r="P1568" s="109"/>
      <c r="Q1568" s="109"/>
      <c r="R1568" s="109"/>
      <c r="S1568" s="109"/>
      <c r="T1568" s="109"/>
      <c r="U1568" s="109"/>
    </row>
    <row r="1569" spans="1:21">
      <c r="A1569" s="109"/>
      <c r="B1569" s="109"/>
      <c r="C1569" s="109"/>
      <c r="D1569" s="109"/>
      <c r="E1569" s="109"/>
      <c r="F1569" s="109"/>
      <c r="G1569" s="109"/>
      <c r="H1569" s="109"/>
      <c r="I1569" s="109"/>
      <c r="J1569" s="109"/>
      <c r="K1569" s="109"/>
      <c r="L1569" s="109"/>
      <c r="M1569" s="109"/>
      <c r="N1569" s="109"/>
      <c r="O1569" s="109"/>
      <c r="P1569" s="109"/>
      <c r="Q1569" s="109"/>
      <c r="R1569" s="109"/>
      <c r="S1569" s="109"/>
      <c r="T1569" s="109"/>
      <c r="U1569" s="109"/>
    </row>
    <row r="1570" spans="1:21">
      <c r="A1570" s="109"/>
      <c r="B1570" s="109"/>
      <c r="C1570" s="109"/>
      <c r="D1570" s="109"/>
      <c r="E1570" s="109"/>
      <c r="F1570" s="109"/>
      <c r="G1570" s="109"/>
      <c r="H1570" s="109"/>
      <c r="I1570" s="109"/>
      <c r="J1570" s="109"/>
      <c r="K1570" s="109"/>
      <c r="L1570" s="109"/>
      <c r="M1570" s="109"/>
      <c r="N1570" s="109"/>
      <c r="O1570" s="109"/>
      <c r="P1570" s="109"/>
      <c r="Q1570" s="109"/>
      <c r="R1570" s="109"/>
      <c r="S1570" s="109"/>
      <c r="T1570" s="109"/>
      <c r="U1570" s="109"/>
    </row>
    <row r="1571" spans="1:21">
      <c r="A1571" s="109"/>
      <c r="B1571" s="109"/>
      <c r="C1571" s="109"/>
      <c r="D1571" s="109"/>
      <c r="E1571" s="109"/>
      <c r="F1571" s="109"/>
      <c r="G1571" s="109"/>
      <c r="H1571" s="109"/>
      <c r="I1571" s="109"/>
      <c r="J1571" s="109"/>
      <c r="K1571" s="109"/>
      <c r="L1571" s="109"/>
      <c r="M1571" s="109"/>
      <c r="N1571" s="109"/>
      <c r="O1571" s="109"/>
      <c r="P1571" s="109"/>
      <c r="Q1571" s="109"/>
      <c r="R1571" s="109"/>
      <c r="S1571" s="109"/>
      <c r="T1571" s="109"/>
      <c r="U1571" s="109"/>
    </row>
    <row r="1572" spans="1:21">
      <c r="A1572" s="109"/>
      <c r="B1572" s="109"/>
      <c r="C1572" s="109"/>
      <c r="D1572" s="109"/>
      <c r="E1572" s="109"/>
      <c r="F1572" s="109"/>
      <c r="G1572" s="109"/>
      <c r="H1572" s="109"/>
      <c r="I1572" s="109"/>
      <c r="J1572" s="109"/>
      <c r="K1572" s="109"/>
      <c r="L1572" s="109"/>
      <c r="M1572" s="109"/>
      <c r="N1572" s="109"/>
      <c r="O1572" s="109"/>
      <c r="P1572" s="109"/>
      <c r="Q1572" s="109"/>
      <c r="R1572" s="109"/>
      <c r="S1572" s="109"/>
      <c r="T1572" s="109"/>
      <c r="U1572" s="109"/>
    </row>
    <row r="1573" spans="1:21">
      <c r="A1573" s="109"/>
      <c r="B1573" s="109"/>
      <c r="C1573" s="109"/>
      <c r="D1573" s="109"/>
      <c r="E1573" s="109"/>
      <c r="F1573" s="109"/>
      <c r="G1573" s="109"/>
      <c r="H1573" s="109"/>
      <c r="I1573" s="109"/>
      <c r="J1573" s="109"/>
      <c r="K1573" s="109"/>
      <c r="L1573" s="109"/>
      <c r="M1573" s="109"/>
      <c r="N1573" s="109"/>
      <c r="O1573" s="109"/>
      <c r="P1573" s="109"/>
      <c r="Q1573" s="109"/>
      <c r="R1573" s="109"/>
      <c r="S1573" s="109"/>
      <c r="T1573" s="109"/>
      <c r="U1573" s="109"/>
    </row>
    <row r="1574" spans="1:21">
      <c r="A1574" s="109"/>
      <c r="B1574" s="109"/>
      <c r="C1574" s="109"/>
      <c r="D1574" s="109"/>
      <c r="E1574" s="109"/>
      <c r="F1574" s="109"/>
      <c r="G1574" s="109"/>
      <c r="H1574" s="109"/>
      <c r="I1574" s="109"/>
      <c r="J1574" s="109"/>
      <c r="K1574" s="109"/>
      <c r="L1574" s="109"/>
      <c r="M1574" s="109"/>
      <c r="N1574" s="109"/>
      <c r="O1574" s="109"/>
      <c r="P1574" s="109"/>
      <c r="Q1574" s="109"/>
      <c r="R1574" s="109"/>
      <c r="S1574" s="109"/>
      <c r="T1574" s="109"/>
      <c r="U1574" s="109"/>
    </row>
    <row r="1575" spans="1:21">
      <c r="A1575" s="109"/>
      <c r="B1575" s="109"/>
      <c r="C1575" s="109"/>
      <c r="D1575" s="109"/>
      <c r="E1575" s="109"/>
      <c r="F1575" s="109"/>
      <c r="G1575" s="109"/>
      <c r="H1575" s="109"/>
      <c r="I1575" s="109"/>
      <c r="J1575" s="109"/>
      <c r="K1575" s="109"/>
      <c r="L1575" s="109"/>
      <c r="M1575" s="109"/>
      <c r="N1575" s="109"/>
      <c r="O1575" s="109"/>
      <c r="P1575" s="109"/>
      <c r="Q1575" s="109"/>
      <c r="R1575" s="109"/>
      <c r="S1575" s="109"/>
      <c r="T1575" s="109"/>
      <c r="U1575" s="109"/>
    </row>
    <row r="1576" spans="1:21">
      <c r="A1576" s="109"/>
      <c r="B1576" s="109"/>
      <c r="C1576" s="109"/>
      <c r="D1576" s="109"/>
      <c r="E1576" s="109"/>
      <c r="F1576" s="109"/>
      <c r="G1576" s="109"/>
      <c r="H1576" s="109"/>
      <c r="I1576" s="109"/>
      <c r="J1576" s="109"/>
      <c r="K1576" s="109"/>
      <c r="L1576" s="109"/>
      <c r="M1576" s="109"/>
      <c r="N1576" s="109"/>
      <c r="O1576" s="109"/>
      <c r="P1576" s="109"/>
      <c r="Q1576" s="109"/>
      <c r="R1576" s="109"/>
      <c r="S1576" s="109"/>
      <c r="T1576" s="109"/>
      <c r="U1576" s="109"/>
    </row>
    <row r="1577" spans="1:21">
      <c r="A1577" s="109"/>
      <c r="B1577" s="109"/>
      <c r="C1577" s="109"/>
      <c r="D1577" s="109"/>
      <c r="E1577" s="109"/>
      <c r="F1577" s="109"/>
      <c r="G1577" s="109"/>
      <c r="H1577" s="109"/>
      <c r="I1577" s="109"/>
      <c r="J1577" s="109"/>
      <c r="K1577" s="109"/>
      <c r="L1577" s="109"/>
      <c r="M1577" s="109"/>
      <c r="N1577" s="109"/>
      <c r="O1577" s="109"/>
      <c r="P1577" s="109"/>
      <c r="Q1577" s="109"/>
      <c r="R1577" s="109"/>
      <c r="S1577" s="109"/>
      <c r="T1577" s="109"/>
      <c r="U1577" s="109"/>
    </row>
    <row r="1578" spans="1:21">
      <c r="A1578" s="109"/>
      <c r="B1578" s="109"/>
      <c r="C1578" s="109"/>
      <c r="D1578" s="109"/>
      <c r="E1578" s="109"/>
      <c r="F1578" s="109"/>
      <c r="G1578" s="109"/>
      <c r="H1578" s="109"/>
      <c r="I1578" s="109"/>
      <c r="J1578" s="109"/>
      <c r="K1578" s="109"/>
      <c r="L1578" s="109"/>
      <c r="M1578" s="109"/>
      <c r="N1578" s="109"/>
      <c r="O1578" s="109"/>
      <c r="P1578" s="109"/>
      <c r="Q1578" s="109"/>
      <c r="R1578" s="109"/>
      <c r="S1578" s="109"/>
      <c r="T1578" s="109"/>
      <c r="U1578" s="109"/>
    </row>
    <row r="1579" spans="1:21">
      <c r="A1579" s="109"/>
      <c r="B1579" s="109"/>
      <c r="C1579" s="109"/>
      <c r="D1579" s="109"/>
      <c r="E1579" s="109"/>
      <c r="F1579" s="109"/>
      <c r="G1579" s="109"/>
      <c r="H1579" s="109"/>
      <c r="I1579" s="109"/>
      <c r="J1579" s="109"/>
      <c r="K1579" s="109"/>
      <c r="L1579" s="109"/>
      <c r="M1579" s="109"/>
      <c r="N1579" s="109"/>
      <c r="O1579" s="109"/>
      <c r="P1579" s="109"/>
      <c r="Q1579" s="109"/>
      <c r="R1579" s="109"/>
      <c r="S1579" s="109"/>
      <c r="T1579" s="109"/>
      <c r="U1579" s="109"/>
    </row>
    <row r="1580" spans="1:21">
      <c r="A1580" s="109"/>
      <c r="B1580" s="109"/>
      <c r="C1580" s="109"/>
      <c r="D1580" s="109"/>
      <c r="E1580" s="109"/>
      <c r="F1580" s="109"/>
      <c r="G1580" s="109"/>
      <c r="H1580" s="109"/>
      <c r="I1580" s="109"/>
      <c r="J1580" s="109"/>
      <c r="K1580" s="109"/>
      <c r="L1580" s="109"/>
      <c r="M1580" s="109"/>
      <c r="N1580" s="109"/>
      <c r="O1580" s="109"/>
      <c r="P1580" s="109"/>
      <c r="Q1580" s="109"/>
      <c r="R1580" s="109"/>
      <c r="S1580" s="109"/>
      <c r="T1580" s="109"/>
      <c r="U1580" s="109"/>
    </row>
    <row r="1581" spans="1:21">
      <c r="A1581" s="109"/>
      <c r="B1581" s="109"/>
      <c r="C1581" s="109"/>
      <c r="D1581" s="109"/>
      <c r="E1581" s="109"/>
      <c r="F1581" s="109"/>
      <c r="G1581" s="109"/>
      <c r="H1581" s="109"/>
      <c r="I1581" s="109"/>
      <c r="J1581" s="109"/>
      <c r="K1581" s="109"/>
      <c r="L1581" s="109"/>
      <c r="M1581" s="109"/>
      <c r="N1581" s="109"/>
      <c r="O1581" s="109"/>
      <c r="P1581" s="109"/>
      <c r="Q1581" s="109"/>
      <c r="R1581" s="109"/>
      <c r="S1581" s="109"/>
      <c r="T1581" s="109"/>
      <c r="U1581" s="109"/>
    </row>
    <row r="1582" spans="1:21">
      <c r="A1582" s="109"/>
      <c r="B1582" s="109"/>
      <c r="C1582" s="109"/>
      <c r="D1582" s="109"/>
      <c r="E1582" s="109"/>
      <c r="F1582" s="109"/>
      <c r="G1582" s="109"/>
      <c r="H1582" s="109"/>
      <c r="I1582" s="109"/>
      <c r="J1582" s="109"/>
      <c r="K1582" s="109"/>
      <c r="L1582" s="109"/>
      <c r="M1582" s="109"/>
      <c r="N1582" s="109"/>
      <c r="O1582" s="109"/>
      <c r="P1582" s="109"/>
      <c r="Q1582" s="109"/>
      <c r="R1582" s="109"/>
      <c r="S1582" s="109"/>
      <c r="T1582" s="109"/>
      <c r="U1582" s="109"/>
    </row>
    <row r="1583" spans="1:21">
      <c r="A1583" s="109"/>
      <c r="B1583" s="109"/>
      <c r="C1583" s="109"/>
      <c r="D1583" s="109"/>
      <c r="E1583" s="109"/>
      <c r="F1583" s="109"/>
      <c r="G1583" s="109"/>
      <c r="H1583" s="109"/>
      <c r="I1583" s="109"/>
      <c r="J1583" s="109"/>
      <c r="K1583" s="109"/>
      <c r="L1583" s="109"/>
      <c r="M1583" s="109"/>
      <c r="N1583" s="109"/>
      <c r="O1583" s="109"/>
      <c r="P1583" s="109"/>
      <c r="Q1583" s="109"/>
      <c r="R1583" s="109"/>
      <c r="S1583" s="109"/>
      <c r="T1583" s="109"/>
      <c r="U1583" s="109"/>
    </row>
    <row r="1584" spans="1:21">
      <c r="A1584" s="109"/>
      <c r="B1584" s="109"/>
      <c r="C1584" s="109"/>
      <c r="D1584" s="109"/>
      <c r="E1584" s="109"/>
      <c r="F1584" s="109"/>
      <c r="G1584" s="109"/>
      <c r="H1584" s="109"/>
      <c r="I1584" s="109"/>
      <c r="J1584" s="109"/>
      <c r="K1584" s="109"/>
      <c r="L1584" s="109"/>
      <c r="M1584" s="109"/>
      <c r="N1584" s="109"/>
      <c r="O1584" s="109"/>
      <c r="P1584" s="109"/>
      <c r="Q1584" s="109"/>
      <c r="R1584" s="109"/>
      <c r="S1584" s="109"/>
      <c r="T1584" s="109"/>
      <c r="U1584" s="109"/>
    </row>
    <row r="1585" spans="1:21">
      <c r="A1585" s="109"/>
      <c r="B1585" s="109"/>
      <c r="C1585" s="109"/>
      <c r="D1585" s="109"/>
      <c r="E1585" s="109"/>
      <c r="F1585" s="109"/>
      <c r="G1585" s="109"/>
      <c r="H1585" s="109"/>
      <c r="I1585" s="109"/>
      <c r="J1585" s="109"/>
      <c r="K1585" s="109"/>
      <c r="L1585" s="109"/>
      <c r="M1585" s="109"/>
      <c r="N1585" s="109"/>
      <c r="O1585" s="109"/>
      <c r="P1585" s="109"/>
      <c r="Q1585" s="109"/>
      <c r="R1585" s="109"/>
      <c r="S1585" s="109"/>
      <c r="T1585" s="109"/>
      <c r="U1585" s="109"/>
    </row>
    <row r="1586" spans="1:21">
      <c r="A1586" s="109"/>
      <c r="B1586" s="109"/>
      <c r="C1586" s="109"/>
      <c r="D1586" s="109"/>
      <c r="E1586" s="109"/>
      <c r="F1586" s="109"/>
      <c r="G1586" s="109"/>
      <c r="H1586" s="109"/>
      <c r="I1586" s="109"/>
      <c r="J1586" s="109"/>
      <c r="K1586" s="109"/>
      <c r="L1586" s="109"/>
      <c r="M1586" s="109"/>
      <c r="N1586" s="109"/>
      <c r="O1586" s="109"/>
      <c r="P1586" s="109"/>
      <c r="Q1586" s="109"/>
      <c r="R1586" s="109"/>
      <c r="S1586" s="109"/>
      <c r="T1586" s="109"/>
      <c r="U1586" s="109"/>
    </row>
    <row r="1587" spans="1:21">
      <c r="A1587" s="109"/>
      <c r="B1587" s="109"/>
      <c r="C1587" s="109"/>
      <c r="D1587" s="109"/>
      <c r="E1587" s="109"/>
      <c r="F1587" s="109"/>
      <c r="G1587" s="109"/>
      <c r="H1587" s="109"/>
      <c r="I1587" s="109"/>
      <c r="J1587" s="109"/>
      <c r="K1587" s="109"/>
      <c r="L1587" s="109"/>
      <c r="M1587" s="109"/>
      <c r="N1587" s="109"/>
      <c r="O1587" s="109"/>
      <c r="P1587" s="109"/>
      <c r="Q1587" s="109"/>
      <c r="R1587" s="109"/>
      <c r="S1587" s="109"/>
      <c r="T1587" s="109"/>
      <c r="U1587" s="109"/>
    </row>
    <row r="1588" spans="1:21">
      <c r="A1588" s="109"/>
      <c r="B1588" s="109"/>
      <c r="C1588" s="109"/>
      <c r="D1588" s="109"/>
      <c r="E1588" s="109"/>
      <c r="F1588" s="109"/>
      <c r="G1588" s="109"/>
      <c r="H1588" s="109"/>
      <c r="I1588" s="109"/>
      <c r="J1588" s="109"/>
      <c r="K1588" s="109"/>
      <c r="L1588" s="109"/>
      <c r="M1588" s="109"/>
      <c r="N1588" s="109"/>
      <c r="O1588" s="109"/>
      <c r="P1588" s="109"/>
      <c r="Q1588" s="109"/>
      <c r="R1588" s="109"/>
      <c r="S1588" s="109"/>
      <c r="T1588" s="109"/>
      <c r="U1588" s="109"/>
    </row>
    <row r="1589" spans="1:21">
      <c r="A1589" s="109"/>
      <c r="B1589" s="109"/>
      <c r="C1589" s="109"/>
      <c r="D1589" s="109"/>
      <c r="E1589" s="109"/>
      <c r="F1589" s="109"/>
      <c r="G1589" s="109"/>
      <c r="H1589" s="109"/>
      <c r="I1589" s="109"/>
      <c r="J1589" s="109"/>
      <c r="K1589" s="109"/>
      <c r="L1589" s="109"/>
      <c r="M1589" s="109"/>
      <c r="N1589" s="109"/>
      <c r="O1589" s="109"/>
      <c r="P1589" s="109"/>
      <c r="Q1589" s="109"/>
      <c r="R1589" s="109"/>
      <c r="S1589" s="109"/>
      <c r="T1589" s="109"/>
      <c r="U1589" s="109"/>
    </row>
    <row r="1590" spans="1:21">
      <c r="A1590" s="109"/>
      <c r="B1590" s="109"/>
      <c r="C1590" s="109"/>
      <c r="D1590" s="109"/>
      <c r="E1590" s="109"/>
      <c r="F1590" s="109"/>
      <c r="G1590" s="109"/>
      <c r="H1590" s="109"/>
      <c r="I1590" s="109"/>
      <c r="J1590" s="109"/>
      <c r="K1590" s="109"/>
      <c r="L1590" s="109"/>
      <c r="M1590" s="109"/>
      <c r="N1590" s="109"/>
      <c r="O1590" s="109"/>
      <c r="P1590" s="109"/>
      <c r="Q1590" s="109"/>
      <c r="R1590" s="109"/>
      <c r="S1590" s="109"/>
      <c r="T1590" s="109"/>
      <c r="U1590" s="109"/>
    </row>
    <row r="1591" spans="1:21">
      <c r="A1591" s="109"/>
      <c r="B1591" s="109"/>
      <c r="C1591" s="109"/>
      <c r="D1591" s="109"/>
      <c r="E1591" s="109"/>
      <c r="F1591" s="109"/>
      <c r="G1591" s="109"/>
      <c r="H1591" s="109"/>
      <c r="I1591" s="109"/>
      <c r="J1591" s="109"/>
      <c r="K1591" s="109"/>
      <c r="L1591" s="109"/>
      <c r="M1591" s="109"/>
      <c r="N1591" s="109"/>
      <c r="O1591" s="109"/>
      <c r="P1591" s="109"/>
      <c r="Q1591" s="109"/>
      <c r="R1591" s="109"/>
      <c r="S1591" s="109"/>
      <c r="T1591" s="109"/>
      <c r="U1591" s="109"/>
    </row>
    <row r="1592" spans="1:21">
      <c r="A1592" s="109"/>
      <c r="B1592" s="109"/>
      <c r="C1592" s="109"/>
      <c r="D1592" s="109"/>
      <c r="E1592" s="109"/>
      <c r="F1592" s="109"/>
      <c r="G1592" s="109"/>
      <c r="H1592" s="109"/>
      <c r="I1592" s="109"/>
      <c r="J1592" s="109"/>
      <c r="K1592" s="109"/>
      <c r="L1592" s="109"/>
      <c r="M1592" s="109"/>
      <c r="N1592" s="109"/>
      <c r="O1592" s="109"/>
      <c r="P1592" s="109"/>
      <c r="Q1592" s="109"/>
      <c r="R1592" s="109"/>
      <c r="S1592" s="109"/>
      <c r="T1592" s="109"/>
      <c r="U1592" s="109"/>
    </row>
    <row r="1593" spans="1:21">
      <c r="A1593" s="109"/>
      <c r="B1593" s="109"/>
      <c r="C1593" s="109"/>
      <c r="D1593" s="109"/>
      <c r="E1593" s="109"/>
      <c r="F1593" s="109"/>
      <c r="G1593" s="109"/>
      <c r="H1593" s="109"/>
      <c r="I1593" s="109"/>
      <c r="J1593" s="109"/>
      <c r="K1593" s="109"/>
      <c r="L1593" s="109"/>
      <c r="M1593" s="109"/>
      <c r="N1593" s="109"/>
      <c r="O1593" s="109"/>
      <c r="P1593" s="109"/>
      <c r="Q1593" s="109"/>
      <c r="R1593" s="109"/>
      <c r="S1593" s="109"/>
      <c r="T1593" s="109"/>
      <c r="U1593" s="109"/>
    </row>
    <row r="1594" spans="1:21">
      <c r="A1594" s="109"/>
      <c r="B1594" s="109"/>
      <c r="C1594" s="109"/>
      <c r="D1594" s="109"/>
      <c r="E1594" s="109"/>
      <c r="F1594" s="109"/>
      <c r="G1594" s="109"/>
      <c r="H1594" s="109"/>
      <c r="I1594" s="109"/>
      <c r="J1594" s="109"/>
      <c r="K1594" s="109"/>
      <c r="L1594" s="109"/>
      <c r="M1594" s="109"/>
      <c r="N1594" s="109"/>
      <c r="O1594" s="109"/>
      <c r="P1594" s="109"/>
      <c r="Q1594" s="109"/>
      <c r="R1594" s="109"/>
      <c r="S1594" s="109"/>
      <c r="T1594" s="109"/>
      <c r="U1594" s="109"/>
    </row>
    <row r="1595" spans="1:21">
      <c r="A1595" s="109"/>
      <c r="B1595" s="109"/>
      <c r="C1595" s="109"/>
      <c r="D1595" s="109"/>
      <c r="E1595" s="109"/>
      <c r="F1595" s="109"/>
      <c r="G1595" s="109"/>
      <c r="H1595" s="109"/>
      <c r="I1595" s="109"/>
      <c r="J1595" s="109"/>
      <c r="K1595" s="109"/>
      <c r="L1595" s="109"/>
      <c r="M1595" s="109"/>
      <c r="N1595" s="109"/>
      <c r="O1595" s="109"/>
      <c r="P1595" s="109"/>
      <c r="Q1595" s="109"/>
      <c r="R1595" s="109"/>
      <c r="S1595" s="109"/>
      <c r="T1595" s="109"/>
      <c r="U1595" s="109"/>
    </row>
    <row r="1596" spans="1:21">
      <c r="A1596" s="109"/>
      <c r="B1596" s="109"/>
      <c r="C1596" s="109"/>
      <c r="D1596" s="109"/>
      <c r="E1596" s="109"/>
      <c r="F1596" s="109"/>
      <c r="G1596" s="109"/>
      <c r="H1596" s="109"/>
      <c r="I1596" s="109"/>
      <c r="J1596" s="109"/>
      <c r="K1596" s="109"/>
      <c r="L1596" s="109"/>
      <c r="M1596" s="109"/>
      <c r="N1596" s="109"/>
      <c r="O1596" s="109"/>
      <c r="P1596" s="109"/>
      <c r="Q1596" s="109"/>
      <c r="R1596" s="109"/>
      <c r="S1596" s="109"/>
      <c r="T1596" s="109"/>
      <c r="U1596" s="109"/>
    </row>
    <row r="1597" spans="1:21">
      <c r="A1597" s="109"/>
      <c r="B1597" s="109"/>
      <c r="C1597" s="109"/>
      <c r="D1597" s="109"/>
      <c r="E1597" s="109"/>
      <c r="F1597" s="109"/>
      <c r="G1597" s="109"/>
      <c r="H1597" s="109"/>
      <c r="I1597" s="109"/>
      <c r="J1597" s="109"/>
      <c r="K1597" s="109"/>
      <c r="L1597" s="109"/>
      <c r="M1597" s="109"/>
      <c r="N1597" s="109"/>
      <c r="O1597" s="109"/>
      <c r="P1597" s="109"/>
      <c r="Q1597" s="109"/>
      <c r="R1597" s="109"/>
      <c r="S1597" s="109"/>
      <c r="T1597" s="109"/>
      <c r="U1597" s="109"/>
    </row>
    <row r="1598" spans="1:21">
      <c r="A1598" s="109"/>
      <c r="B1598" s="109"/>
      <c r="C1598" s="109"/>
      <c r="D1598" s="109"/>
      <c r="E1598" s="109"/>
      <c r="F1598" s="109"/>
      <c r="G1598" s="109"/>
      <c r="H1598" s="109"/>
      <c r="I1598" s="109"/>
      <c r="J1598" s="109"/>
      <c r="K1598" s="109"/>
      <c r="L1598" s="109"/>
      <c r="M1598" s="109"/>
      <c r="N1598" s="109"/>
      <c r="O1598" s="109"/>
      <c r="P1598" s="109"/>
      <c r="Q1598" s="109"/>
      <c r="R1598" s="109"/>
      <c r="S1598" s="109"/>
      <c r="T1598" s="109"/>
      <c r="U1598" s="109"/>
    </row>
    <row r="1599" spans="1:21">
      <c r="A1599" s="109"/>
      <c r="B1599" s="109"/>
      <c r="C1599" s="109"/>
      <c r="D1599" s="109"/>
      <c r="E1599" s="109"/>
      <c r="F1599" s="109"/>
      <c r="G1599" s="109"/>
      <c r="H1599" s="109"/>
      <c r="I1599" s="109"/>
      <c r="J1599" s="109"/>
      <c r="K1599" s="109"/>
      <c r="L1599" s="109"/>
      <c r="M1599" s="109"/>
      <c r="N1599" s="109"/>
      <c r="O1599" s="109"/>
      <c r="P1599" s="109"/>
      <c r="Q1599" s="109"/>
      <c r="R1599" s="109"/>
      <c r="S1599" s="109"/>
      <c r="T1599" s="109"/>
      <c r="U1599" s="109"/>
    </row>
    <row r="1600" spans="1:21">
      <c r="A1600" s="109"/>
      <c r="B1600" s="109"/>
      <c r="C1600" s="109"/>
      <c r="D1600" s="109"/>
      <c r="E1600" s="109"/>
      <c r="F1600" s="109"/>
      <c r="G1600" s="109"/>
      <c r="H1600" s="109"/>
      <c r="I1600" s="109"/>
      <c r="J1600" s="109"/>
      <c r="K1600" s="109"/>
      <c r="L1600" s="109"/>
      <c r="M1600" s="109"/>
      <c r="N1600" s="109"/>
      <c r="O1600" s="109"/>
      <c r="P1600" s="109"/>
      <c r="Q1600" s="109"/>
      <c r="R1600" s="109"/>
      <c r="S1600" s="109"/>
      <c r="T1600" s="109"/>
      <c r="U1600" s="109"/>
    </row>
    <row r="1601" spans="1:21">
      <c r="A1601" s="109"/>
      <c r="B1601" s="109"/>
      <c r="C1601" s="109"/>
      <c r="D1601" s="109"/>
      <c r="E1601" s="109"/>
      <c r="F1601" s="109"/>
      <c r="G1601" s="109"/>
      <c r="H1601" s="109"/>
      <c r="I1601" s="109"/>
      <c r="J1601" s="109"/>
      <c r="K1601" s="109"/>
      <c r="L1601" s="109"/>
      <c r="M1601" s="109"/>
      <c r="N1601" s="109"/>
      <c r="O1601" s="109"/>
      <c r="P1601" s="109"/>
      <c r="Q1601" s="109"/>
      <c r="R1601" s="109"/>
      <c r="S1601" s="109"/>
      <c r="T1601" s="109"/>
      <c r="U1601" s="109"/>
    </row>
    <row r="1602" spans="1:21">
      <c r="A1602" s="109"/>
      <c r="B1602" s="109"/>
      <c r="C1602" s="109"/>
      <c r="D1602" s="109"/>
      <c r="E1602" s="109"/>
      <c r="F1602" s="109"/>
      <c r="G1602" s="109"/>
      <c r="H1602" s="109"/>
      <c r="I1602" s="109"/>
      <c r="J1602" s="109"/>
      <c r="K1602" s="109"/>
      <c r="L1602" s="109"/>
      <c r="M1602" s="109"/>
      <c r="N1602" s="109"/>
      <c r="O1602" s="109"/>
      <c r="P1602" s="109"/>
      <c r="Q1602" s="109"/>
      <c r="R1602" s="109"/>
      <c r="S1602" s="109"/>
      <c r="T1602" s="109"/>
      <c r="U1602" s="109"/>
    </row>
    <row r="1603" spans="1:21">
      <c r="A1603" s="109"/>
      <c r="B1603" s="109"/>
      <c r="C1603" s="109"/>
      <c r="D1603" s="109"/>
      <c r="E1603" s="109"/>
      <c r="F1603" s="109"/>
      <c r="G1603" s="109"/>
      <c r="H1603" s="109"/>
      <c r="I1603" s="109"/>
      <c r="J1603" s="109"/>
      <c r="K1603" s="109"/>
      <c r="L1603" s="109"/>
      <c r="M1603" s="109"/>
      <c r="N1603" s="109"/>
      <c r="O1603" s="109"/>
      <c r="P1603" s="109"/>
      <c r="Q1603" s="109"/>
      <c r="R1603" s="109"/>
      <c r="S1603" s="109"/>
      <c r="T1603" s="109"/>
      <c r="U1603" s="109"/>
    </row>
    <row r="1604" spans="1:21">
      <c r="A1604" s="109"/>
      <c r="B1604" s="109"/>
      <c r="C1604" s="109"/>
      <c r="D1604" s="109"/>
      <c r="E1604" s="109"/>
      <c r="F1604" s="109"/>
      <c r="G1604" s="109"/>
      <c r="H1604" s="109"/>
      <c r="I1604" s="109"/>
      <c r="J1604" s="109"/>
      <c r="K1604" s="109"/>
      <c r="L1604" s="109"/>
      <c r="M1604" s="109"/>
      <c r="N1604" s="109"/>
      <c r="O1604" s="109"/>
      <c r="P1604" s="109"/>
      <c r="Q1604" s="109"/>
      <c r="R1604" s="109"/>
      <c r="S1604" s="109"/>
      <c r="T1604" s="109"/>
      <c r="U1604" s="109"/>
    </row>
    <row r="1605" spans="1:21">
      <c r="A1605" s="109"/>
      <c r="B1605" s="109"/>
      <c r="C1605" s="109"/>
      <c r="D1605" s="109"/>
      <c r="E1605" s="109"/>
      <c r="F1605" s="109"/>
      <c r="G1605" s="109"/>
      <c r="H1605" s="109"/>
      <c r="I1605" s="109"/>
      <c r="J1605" s="109"/>
      <c r="K1605" s="109"/>
      <c r="L1605" s="109"/>
      <c r="M1605" s="109"/>
      <c r="N1605" s="109"/>
      <c r="O1605" s="109"/>
      <c r="P1605" s="109"/>
      <c r="Q1605" s="109"/>
      <c r="R1605" s="109"/>
      <c r="S1605" s="109"/>
      <c r="T1605" s="109"/>
      <c r="U1605" s="109"/>
    </row>
    <row r="1606" spans="1:21">
      <c r="A1606" s="109"/>
      <c r="B1606" s="109"/>
      <c r="C1606" s="109"/>
      <c r="D1606" s="109"/>
      <c r="E1606" s="109"/>
      <c r="F1606" s="109"/>
      <c r="G1606" s="109"/>
      <c r="H1606" s="109"/>
      <c r="I1606" s="109"/>
      <c r="J1606" s="109"/>
      <c r="K1606" s="109"/>
      <c r="L1606" s="109"/>
      <c r="M1606" s="109"/>
      <c r="N1606" s="109"/>
      <c r="O1606" s="109"/>
      <c r="P1606" s="109"/>
      <c r="Q1606" s="109"/>
      <c r="R1606" s="109"/>
      <c r="S1606" s="109"/>
      <c r="T1606" s="109"/>
      <c r="U1606" s="109"/>
    </row>
    <row r="1607" spans="1:21">
      <c r="A1607" s="109"/>
      <c r="B1607" s="109"/>
      <c r="C1607" s="109"/>
      <c r="D1607" s="109"/>
      <c r="E1607" s="109"/>
      <c r="F1607" s="109"/>
      <c r="G1607" s="109"/>
      <c r="H1607" s="109"/>
      <c r="I1607" s="109"/>
      <c r="J1607" s="109"/>
      <c r="K1607" s="109"/>
      <c r="L1607" s="109"/>
      <c r="M1607" s="109"/>
      <c r="N1607" s="109"/>
      <c r="O1607" s="109"/>
      <c r="P1607" s="109"/>
      <c r="Q1607" s="109"/>
      <c r="R1607" s="109"/>
      <c r="S1607" s="109"/>
      <c r="T1607" s="109"/>
      <c r="U1607" s="109"/>
    </row>
    <row r="1608" spans="1:21">
      <c r="A1608" s="109"/>
      <c r="B1608" s="109"/>
      <c r="C1608" s="109"/>
      <c r="D1608" s="109"/>
      <c r="E1608" s="109"/>
      <c r="F1608" s="109"/>
      <c r="G1608" s="109"/>
      <c r="H1608" s="109"/>
      <c r="I1608" s="109"/>
      <c r="J1608" s="109"/>
      <c r="K1608" s="109"/>
      <c r="L1608" s="109"/>
      <c r="M1608" s="109"/>
      <c r="N1608" s="109"/>
      <c r="O1608" s="109"/>
      <c r="P1608" s="109"/>
      <c r="Q1608" s="109"/>
      <c r="R1608" s="109"/>
      <c r="S1608" s="109"/>
      <c r="T1608" s="109"/>
      <c r="U1608" s="109"/>
    </row>
    <row r="1609" spans="1:21">
      <c r="A1609" s="109"/>
      <c r="B1609" s="109"/>
      <c r="C1609" s="109"/>
      <c r="D1609" s="109"/>
      <c r="E1609" s="109"/>
      <c r="F1609" s="109"/>
      <c r="G1609" s="109"/>
      <c r="H1609" s="109"/>
      <c r="I1609" s="109"/>
      <c r="J1609" s="109"/>
      <c r="K1609" s="109"/>
      <c r="L1609" s="109"/>
      <c r="M1609" s="109"/>
      <c r="N1609" s="109"/>
      <c r="O1609" s="109"/>
      <c r="P1609" s="109"/>
      <c r="Q1609" s="109"/>
      <c r="R1609" s="109"/>
      <c r="S1609" s="109"/>
      <c r="T1609" s="109"/>
      <c r="U1609" s="109"/>
    </row>
    <row r="1610" spans="1:21">
      <c r="A1610" s="109"/>
      <c r="B1610" s="109"/>
      <c r="C1610" s="109"/>
      <c r="D1610" s="109"/>
      <c r="E1610" s="109"/>
      <c r="F1610" s="109"/>
      <c r="G1610" s="109"/>
      <c r="H1610" s="109"/>
      <c r="I1610" s="109"/>
      <c r="J1610" s="109"/>
      <c r="K1610" s="109"/>
      <c r="L1610" s="109"/>
      <c r="M1610" s="109"/>
      <c r="N1610" s="109"/>
      <c r="O1610" s="109"/>
      <c r="P1610" s="109"/>
      <c r="Q1610" s="109"/>
      <c r="R1610" s="109"/>
      <c r="S1610" s="109"/>
      <c r="T1610" s="109"/>
      <c r="U1610" s="109"/>
    </row>
    <row r="1611" spans="1:21">
      <c r="A1611" s="109"/>
      <c r="B1611" s="109"/>
      <c r="C1611" s="109"/>
      <c r="D1611" s="109"/>
      <c r="E1611" s="109"/>
      <c r="F1611" s="109"/>
      <c r="G1611" s="109"/>
      <c r="H1611" s="109"/>
      <c r="I1611" s="109"/>
      <c r="J1611" s="109"/>
      <c r="K1611" s="109"/>
      <c r="L1611" s="109"/>
      <c r="M1611" s="109"/>
      <c r="N1611" s="109"/>
      <c r="O1611" s="109"/>
      <c r="P1611" s="109"/>
      <c r="Q1611" s="109"/>
      <c r="R1611" s="109"/>
      <c r="S1611" s="109"/>
      <c r="T1611" s="109"/>
      <c r="U1611" s="109"/>
    </row>
    <row r="1612" spans="1:21">
      <c r="A1612" s="109"/>
      <c r="B1612" s="109"/>
      <c r="C1612" s="109"/>
      <c r="D1612" s="109"/>
      <c r="E1612" s="109"/>
      <c r="F1612" s="109"/>
      <c r="G1612" s="109"/>
      <c r="H1612" s="109"/>
      <c r="I1612" s="109"/>
      <c r="J1612" s="109"/>
      <c r="K1612" s="109"/>
      <c r="L1612" s="109"/>
      <c r="M1612" s="109"/>
      <c r="N1612" s="109"/>
      <c r="O1612" s="109"/>
      <c r="P1612" s="109"/>
      <c r="Q1612" s="109"/>
      <c r="R1612" s="109"/>
      <c r="S1612" s="109"/>
      <c r="T1612" s="109"/>
      <c r="U1612" s="109"/>
    </row>
    <row r="1613" spans="1:21">
      <c r="A1613" s="109"/>
      <c r="B1613" s="109"/>
      <c r="C1613" s="109"/>
      <c r="D1613" s="109"/>
      <c r="E1613" s="109"/>
      <c r="F1613" s="109"/>
      <c r="G1613" s="109"/>
      <c r="H1613" s="109"/>
      <c r="I1613" s="109"/>
      <c r="J1613" s="109"/>
      <c r="K1613" s="109"/>
      <c r="L1613" s="109"/>
      <c r="M1613" s="109"/>
      <c r="N1613" s="109"/>
      <c r="O1613" s="109"/>
      <c r="P1613" s="109"/>
      <c r="Q1613" s="109"/>
      <c r="R1613" s="109"/>
      <c r="S1613" s="109"/>
      <c r="T1613" s="109"/>
      <c r="U1613" s="109"/>
    </row>
    <row r="1614" spans="1:21">
      <c r="A1614" s="109"/>
      <c r="B1614" s="109"/>
      <c r="C1614" s="109"/>
      <c r="D1614" s="109"/>
      <c r="E1614" s="109"/>
      <c r="F1614" s="109"/>
      <c r="G1614" s="109"/>
      <c r="H1614" s="109"/>
      <c r="I1614" s="109"/>
      <c r="J1614" s="109"/>
      <c r="K1614" s="109"/>
      <c r="L1614" s="109"/>
      <c r="M1614" s="109"/>
      <c r="N1614" s="109"/>
      <c r="O1614" s="109"/>
      <c r="P1614" s="109"/>
      <c r="Q1614" s="109"/>
      <c r="R1614" s="109"/>
      <c r="S1614" s="109"/>
      <c r="T1614" s="109"/>
      <c r="U1614" s="109"/>
    </row>
    <row r="1615" spans="1:21">
      <c r="A1615" s="109"/>
      <c r="B1615" s="109"/>
      <c r="C1615" s="109"/>
      <c r="D1615" s="109"/>
      <c r="E1615" s="109"/>
      <c r="F1615" s="109"/>
      <c r="G1615" s="109"/>
      <c r="H1615" s="109"/>
      <c r="I1615" s="109"/>
      <c r="J1615" s="109"/>
      <c r="K1615" s="109"/>
      <c r="L1615" s="109"/>
      <c r="M1615" s="109"/>
      <c r="N1615" s="109"/>
      <c r="O1615" s="109"/>
      <c r="P1615" s="109"/>
      <c r="Q1615" s="109"/>
      <c r="R1615" s="109"/>
      <c r="S1615" s="109"/>
      <c r="T1615" s="109"/>
      <c r="U1615" s="109"/>
    </row>
    <row r="1616" spans="1:21">
      <c r="A1616" s="109"/>
      <c r="B1616" s="109"/>
      <c r="C1616" s="109"/>
      <c r="D1616" s="109"/>
      <c r="E1616" s="109"/>
      <c r="F1616" s="109"/>
      <c r="G1616" s="109"/>
      <c r="H1616" s="109"/>
      <c r="I1616" s="109"/>
      <c r="J1616" s="109"/>
      <c r="K1616" s="109"/>
      <c r="L1616" s="109"/>
      <c r="M1616" s="109"/>
      <c r="N1616" s="109"/>
      <c r="O1616" s="109"/>
      <c r="P1616" s="109"/>
      <c r="Q1616" s="109"/>
      <c r="R1616" s="109"/>
      <c r="S1616" s="109"/>
      <c r="T1616" s="109"/>
      <c r="U1616" s="109"/>
    </row>
    <row r="1617" spans="1:21">
      <c r="A1617" s="109"/>
      <c r="B1617" s="109"/>
      <c r="C1617" s="109"/>
      <c r="D1617" s="109"/>
      <c r="E1617" s="109"/>
      <c r="F1617" s="109"/>
      <c r="G1617" s="109"/>
      <c r="H1617" s="109"/>
      <c r="I1617" s="109"/>
      <c r="J1617" s="109"/>
      <c r="K1617" s="109"/>
      <c r="L1617" s="109"/>
      <c r="M1617" s="109"/>
      <c r="N1617" s="109"/>
      <c r="O1617" s="109"/>
      <c r="P1617" s="109"/>
      <c r="Q1617" s="109"/>
      <c r="R1617" s="109"/>
      <c r="S1617" s="109"/>
      <c r="T1617" s="109"/>
      <c r="U1617" s="109"/>
    </row>
    <row r="1618" spans="1:21">
      <c r="A1618" s="109"/>
      <c r="B1618" s="109"/>
      <c r="C1618" s="109"/>
      <c r="D1618" s="109"/>
      <c r="E1618" s="109"/>
      <c r="F1618" s="109"/>
      <c r="G1618" s="109"/>
      <c r="H1618" s="109"/>
      <c r="I1618" s="109"/>
      <c r="J1618" s="109"/>
      <c r="K1618" s="109"/>
      <c r="L1618" s="109"/>
      <c r="M1618" s="109"/>
      <c r="N1618" s="109"/>
      <c r="O1618" s="109"/>
      <c r="P1618" s="109"/>
      <c r="Q1618" s="109"/>
      <c r="R1618" s="109"/>
      <c r="S1618" s="109"/>
      <c r="T1618" s="109"/>
      <c r="U1618" s="109"/>
    </row>
    <row r="1619" spans="1:21">
      <c r="A1619" s="109"/>
      <c r="B1619" s="109"/>
      <c r="C1619" s="109"/>
      <c r="D1619" s="109"/>
      <c r="E1619" s="109"/>
      <c r="F1619" s="109"/>
      <c r="G1619" s="109"/>
      <c r="H1619" s="109"/>
      <c r="I1619" s="109"/>
      <c r="J1619" s="109"/>
      <c r="K1619" s="109"/>
      <c r="L1619" s="109"/>
      <c r="M1619" s="109"/>
      <c r="N1619" s="109"/>
      <c r="O1619" s="109"/>
      <c r="P1619" s="109"/>
      <c r="Q1619" s="109"/>
      <c r="R1619" s="109"/>
      <c r="S1619" s="109"/>
      <c r="T1619" s="109"/>
      <c r="U1619" s="109"/>
    </row>
    <row r="1620" spans="1:21">
      <c r="A1620" s="109"/>
      <c r="B1620" s="109"/>
      <c r="C1620" s="109"/>
      <c r="D1620" s="109"/>
      <c r="E1620" s="109"/>
      <c r="F1620" s="109"/>
      <c r="G1620" s="109"/>
      <c r="H1620" s="109"/>
      <c r="I1620" s="109"/>
      <c r="J1620" s="109"/>
      <c r="K1620" s="109"/>
      <c r="L1620" s="109"/>
      <c r="M1620" s="109"/>
      <c r="N1620" s="109"/>
      <c r="O1620" s="109"/>
      <c r="P1620" s="109"/>
      <c r="Q1620" s="109"/>
      <c r="R1620" s="109"/>
      <c r="S1620" s="109"/>
      <c r="T1620" s="109"/>
      <c r="U1620" s="109"/>
    </row>
    <row r="1621" spans="1:21">
      <c r="A1621" s="109"/>
      <c r="B1621" s="109"/>
      <c r="C1621" s="109"/>
      <c r="D1621" s="109"/>
      <c r="E1621" s="109"/>
      <c r="F1621" s="109"/>
      <c r="G1621" s="109"/>
      <c r="H1621" s="109"/>
      <c r="I1621" s="109"/>
      <c r="J1621" s="109"/>
      <c r="K1621" s="109"/>
      <c r="L1621" s="109"/>
      <c r="M1621" s="109"/>
      <c r="N1621" s="109"/>
      <c r="O1621" s="109"/>
      <c r="P1621" s="109"/>
      <c r="Q1621" s="109"/>
      <c r="R1621" s="109"/>
      <c r="S1621" s="109"/>
      <c r="T1621" s="109"/>
      <c r="U1621" s="109"/>
    </row>
    <row r="1622" spans="1:21">
      <c r="A1622" s="109"/>
      <c r="B1622" s="109"/>
      <c r="C1622" s="109"/>
      <c r="D1622" s="109"/>
      <c r="E1622" s="109"/>
      <c r="F1622" s="109"/>
      <c r="G1622" s="109"/>
      <c r="H1622" s="109"/>
      <c r="I1622" s="109"/>
      <c r="J1622" s="109"/>
      <c r="K1622" s="109"/>
      <c r="L1622" s="109"/>
      <c r="M1622" s="109"/>
      <c r="N1622" s="109"/>
      <c r="O1622" s="109"/>
      <c r="P1622" s="109"/>
      <c r="Q1622" s="109"/>
      <c r="R1622" s="109"/>
      <c r="S1622" s="109"/>
      <c r="T1622" s="109"/>
      <c r="U1622" s="109"/>
    </row>
    <row r="1623" spans="1:21">
      <c r="A1623" s="109"/>
      <c r="B1623" s="109"/>
      <c r="C1623" s="109"/>
      <c r="D1623" s="109"/>
      <c r="E1623" s="109"/>
      <c r="F1623" s="109"/>
      <c r="G1623" s="109"/>
      <c r="H1623" s="109"/>
      <c r="I1623" s="109"/>
      <c r="J1623" s="109"/>
      <c r="K1623" s="109"/>
      <c r="L1623" s="109"/>
      <c r="M1623" s="109"/>
      <c r="N1623" s="109"/>
      <c r="O1623" s="109"/>
      <c r="P1623" s="109"/>
      <c r="Q1623" s="109"/>
      <c r="R1623" s="109"/>
      <c r="S1623" s="109"/>
      <c r="T1623" s="109"/>
      <c r="U1623" s="109"/>
    </row>
    <row r="1624" spans="1:21">
      <c r="A1624" s="109"/>
      <c r="B1624" s="109"/>
      <c r="C1624" s="109"/>
      <c r="D1624" s="109"/>
      <c r="E1624" s="109"/>
      <c r="F1624" s="109"/>
      <c r="G1624" s="109"/>
      <c r="H1624" s="109"/>
      <c r="I1624" s="109"/>
      <c r="J1624" s="109"/>
      <c r="K1624" s="109"/>
      <c r="L1624" s="109"/>
      <c r="M1624" s="109"/>
      <c r="N1624" s="109"/>
      <c r="O1624" s="109"/>
      <c r="P1624" s="109"/>
      <c r="Q1624" s="109"/>
      <c r="R1624" s="109"/>
      <c r="S1624" s="109"/>
      <c r="T1624" s="109"/>
      <c r="U1624" s="109"/>
    </row>
    <row r="1625" spans="1:21">
      <c r="A1625" s="109"/>
      <c r="B1625" s="109"/>
      <c r="C1625" s="109"/>
      <c r="D1625" s="109"/>
      <c r="E1625" s="109"/>
      <c r="F1625" s="109"/>
      <c r="G1625" s="109"/>
      <c r="H1625" s="109"/>
      <c r="I1625" s="109"/>
      <c r="J1625" s="109"/>
      <c r="K1625" s="109"/>
      <c r="L1625" s="109"/>
      <c r="M1625" s="109"/>
      <c r="N1625" s="109"/>
      <c r="O1625" s="109"/>
      <c r="P1625" s="109"/>
      <c r="Q1625" s="109"/>
      <c r="R1625" s="109"/>
      <c r="S1625" s="109"/>
      <c r="T1625" s="109"/>
      <c r="U1625" s="109"/>
    </row>
    <row r="1626" spans="1:21">
      <c r="A1626" s="109"/>
      <c r="B1626" s="109"/>
      <c r="C1626" s="109"/>
      <c r="D1626" s="109"/>
      <c r="E1626" s="109"/>
      <c r="F1626" s="109"/>
      <c r="G1626" s="109"/>
      <c r="H1626" s="109"/>
      <c r="I1626" s="109"/>
      <c r="J1626" s="109"/>
      <c r="K1626" s="109"/>
      <c r="L1626" s="109"/>
      <c r="M1626" s="109"/>
      <c r="N1626" s="109"/>
      <c r="O1626" s="109"/>
      <c r="P1626" s="109"/>
      <c r="Q1626" s="109"/>
      <c r="R1626" s="109"/>
      <c r="S1626" s="109"/>
      <c r="T1626" s="109"/>
      <c r="U1626" s="109"/>
    </row>
    <row r="1627" spans="1:21">
      <c r="A1627" s="109"/>
      <c r="B1627" s="109"/>
      <c r="C1627" s="109"/>
      <c r="D1627" s="109"/>
      <c r="E1627" s="109"/>
      <c r="F1627" s="109"/>
      <c r="G1627" s="109"/>
      <c r="H1627" s="109"/>
      <c r="I1627" s="109"/>
      <c r="J1627" s="109"/>
      <c r="K1627" s="109"/>
      <c r="L1627" s="109"/>
      <c r="M1627" s="109"/>
      <c r="N1627" s="109"/>
      <c r="O1627" s="109"/>
      <c r="P1627" s="109"/>
      <c r="Q1627" s="109"/>
      <c r="R1627" s="109"/>
      <c r="S1627" s="109"/>
      <c r="T1627" s="109"/>
      <c r="U1627" s="109"/>
    </row>
    <row r="1628" spans="1:21">
      <c r="A1628" s="109"/>
      <c r="B1628" s="109"/>
      <c r="C1628" s="109"/>
      <c r="D1628" s="109"/>
      <c r="E1628" s="109"/>
      <c r="F1628" s="109"/>
      <c r="G1628" s="109"/>
      <c r="H1628" s="109"/>
      <c r="I1628" s="109"/>
      <c r="J1628" s="109"/>
      <c r="K1628" s="109"/>
      <c r="L1628" s="109"/>
      <c r="M1628" s="109"/>
      <c r="N1628" s="109"/>
      <c r="O1628" s="109"/>
      <c r="P1628" s="109"/>
      <c r="Q1628" s="109"/>
      <c r="R1628" s="109"/>
      <c r="S1628" s="109"/>
      <c r="T1628" s="109"/>
      <c r="U1628" s="109"/>
    </row>
    <row r="1629" spans="1:21">
      <c r="A1629" s="109"/>
      <c r="B1629" s="109"/>
      <c r="C1629" s="109"/>
      <c r="D1629" s="109"/>
      <c r="E1629" s="109"/>
      <c r="F1629" s="109"/>
      <c r="G1629" s="109"/>
      <c r="H1629" s="109"/>
      <c r="I1629" s="109"/>
      <c r="J1629" s="109"/>
      <c r="K1629" s="109"/>
      <c r="L1629" s="109"/>
      <c r="M1629" s="109"/>
      <c r="N1629" s="109"/>
      <c r="O1629" s="109"/>
      <c r="P1629" s="109"/>
      <c r="Q1629" s="109"/>
      <c r="R1629" s="109"/>
      <c r="S1629" s="109"/>
      <c r="T1629" s="109"/>
      <c r="U1629" s="109"/>
    </row>
    <row r="1630" spans="1:21">
      <c r="A1630" s="109"/>
      <c r="B1630" s="109"/>
      <c r="C1630" s="109"/>
      <c r="D1630" s="109"/>
      <c r="E1630" s="109"/>
      <c r="F1630" s="109"/>
      <c r="G1630" s="109"/>
      <c r="H1630" s="109"/>
      <c r="I1630" s="109"/>
      <c r="J1630" s="109"/>
      <c r="K1630" s="109"/>
      <c r="L1630" s="109"/>
      <c r="M1630" s="109"/>
      <c r="N1630" s="109"/>
      <c r="O1630" s="109"/>
      <c r="P1630" s="109"/>
      <c r="Q1630" s="109"/>
      <c r="R1630" s="109"/>
      <c r="S1630" s="109"/>
      <c r="T1630" s="109"/>
      <c r="U1630" s="109"/>
    </row>
    <row r="1631" spans="1:21">
      <c r="A1631" s="109"/>
      <c r="B1631" s="109"/>
      <c r="C1631" s="109"/>
      <c r="D1631" s="109"/>
      <c r="E1631" s="109"/>
      <c r="F1631" s="109"/>
      <c r="G1631" s="109"/>
      <c r="H1631" s="109"/>
      <c r="I1631" s="109"/>
      <c r="J1631" s="109"/>
      <c r="K1631" s="109"/>
      <c r="L1631" s="109"/>
      <c r="M1631" s="109"/>
      <c r="N1631" s="109"/>
      <c r="O1631" s="109"/>
      <c r="P1631" s="109"/>
      <c r="Q1631" s="109"/>
      <c r="R1631" s="109"/>
      <c r="S1631" s="109"/>
      <c r="T1631" s="109"/>
      <c r="U1631" s="109"/>
    </row>
    <row r="1632" spans="1:21">
      <c r="A1632" s="109"/>
      <c r="B1632" s="109"/>
      <c r="C1632" s="109"/>
      <c r="D1632" s="109"/>
      <c r="E1632" s="109"/>
      <c r="F1632" s="109"/>
      <c r="G1632" s="109"/>
      <c r="H1632" s="109"/>
      <c r="I1632" s="109"/>
      <c r="J1632" s="109"/>
      <c r="K1632" s="109"/>
      <c r="L1632" s="109"/>
      <c r="M1632" s="109"/>
      <c r="N1632" s="109"/>
      <c r="O1632" s="109"/>
      <c r="P1632" s="109"/>
      <c r="Q1632" s="109"/>
      <c r="R1632" s="109"/>
      <c r="S1632" s="109"/>
      <c r="T1632" s="109"/>
      <c r="U1632" s="109"/>
    </row>
    <row r="1633" spans="1:21">
      <c r="A1633" s="109"/>
      <c r="B1633" s="109"/>
      <c r="C1633" s="109"/>
      <c r="D1633" s="109"/>
      <c r="E1633" s="109"/>
      <c r="F1633" s="109"/>
      <c r="G1633" s="109"/>
      <c r="H1633" s="109"/>
      <c r="I1633" s="109"/>
      <c r="J1633" s="109"/>
      <c r="K1633" s="109"/>
      <c r="L1633" s="109"/>
      <c r="M1633" s="109"/>
      <c r="N1633" s="109"/>
      <c r="O1633" s="109"/>
      <c r="P1633" s="109"/>
      <c r="Q1633" s="109"/>
      <c r="R1633" s="109"/>
      <c r="S1633" s="109"/>
      <c r="T1633" s="109"/>
      <c r="U1633" s="109"/>
    </row>
    <row r="1634" spans="1:21">
      <c r="A1634" s="109"/>
      <c r="B1634" s="109"/>
      <c r="C1634" s="109"/>
      <c r="D1634" s="109"/>
      <c r="E1634" s="109"/>
      <c r="F1634" s="109"/>
      <c r="G1634" s="109"/>
      <c r="H1634" s="109"/>
      <c r="I1634" s="109"/>
      <c r="J1634" s="109"/>
      <c r="K1634" s="109"/>
      <c r="L1634" s="109"/>
      <c r="M1634" s="109"/>
      <c r="N1634" s="109"/>
      <c r="O1634" s="109"/>
      <c r="P1634" s="109"/>
      <c r="Q1634" s="109"/>
      <c r="R1634" s="109"/>
      <c r="S1634" s="109"/>
      <c r="T1634" s="109"/>
      <c r="U1634" s="109"/>
    </row>
    <row r="1635" spans="1:21">
      <c r="A1635" s="109"/>
      <c r="B1635" s="109"/>
      <c r="C1635" s="109"/>
      <c r="D1635" s="109"/>
      <c r="E1635" s="109"/>
      <c r="F1635" s="109"/>
      <c r="G1635" s="109"/>
      <c r="H1635" s="109"/>
      <c r="I1635" s="109"/>
      <c r="J1635" s="109"/>
      <c r="K1635" s="109"/>
      <c r="L1635" s="109"/>
      <c r="M1635" s="109"/>
      <c r="N1635" s="109"/>
      <c r="O1635" s="109"/>
      <c r="P1635" s="109"/>
      <c r="Q1635" s="109"/>
      <c r="R1635" s="109"/>
      <c r="S1635" s="109"/>
      <c r="T1635" s="109"/>
      <c r="U1635" s="109"/>
    </row>
    <row r="1636" spans="1:21">
      <c r="A1636" s="109"/>
      <c r="B1636" s="109"/>
      <c r="C1636" s="109"/>
      <c r="D1636" s="109"/>
      <c r="E1636" s="109"/>
      <c r="F1636" s="109"/>
      <c r="G1636" s="109"/>
      <c r="H1636" s="109"/>
      <c r="I1636" s="109"/>
      <c r="J1636" s="109"/>
      <c r="K1636" s="109"/>
      <c r="L1636" s="109"/>
      <c r="M1636" s="109"/>
      <c r="N1636" s="109"/>
      <c r="O1636" s="109"/>
      <c r="P1636" s="109"/>
      <c r="Q1636" s="109"/>
      <c r="R1636" s="109"/>
      <c r="S1636" s="109"/>
      <c r="T1636" s="109"/>
      <c r="U1636" s="109"/>
    </row>
    <row r="1637" spans="1:21">
      <c r="A1637" s="109"/>
      <c r="B1637" s="109"/>
      <c r="C1637" s="109"/>
      <c r="D1637" s="109"/>
      <c r="E1637" s="109"/>
      <c r="F1637" s="109"/>
      <c r="G1637" s="109"/>
      <c r="H1637" s="109"/>
      <c r="I1637" s="109"/>
      <c r="J1637" s="109"/>
      <c r="K1637" s="109"/>
      <c r="L1637" s="109"/>
      <c r="M1637" s="109"/>
      <c r="N1637" s="109"/>
      <c r="O1637" s="109"/>
      <c r="P1637" s="109"/>
      <c r="Q1637" s="109"/>
      <c r="R1637" s="109"/>
      <c r="S1637" s="109"/>
      <c r="T1637" s="109"/>
      <c r="U1637" s="109"/>
    </row>
    <row r="1638" spans="1:21">
      <c r="A1638" s="109"/>
      <c r="B1638" s="109"/>
      <c r="C1638" s="109"/>
      <c r="D1638" s="109"/>
      <c r="E1638" s="109"/>
      <c r="F1638" s="109"/>
      <c r="G1638" s="109"/>
      <c r="H1638" s="109"/>
      <c r="I1638" s="109"/>
      <c r="J1638" s="109"/>
      <c r="K1638" s="109"/>
      <c r="L1638" s="109"/>
      <c r="M1638" s="109"/>
      <c r="N1638" s="109"/>
      <c r="O1638" s="109"/>
      <c r="P1638" s="109"/>
      <c r="Q1638" s="109"/>
      <c r="R1638" s="109"/>
      <c r="S1638" s="109"/>
      <c r="T1638" s="109"/>
      <c r="U1638" s="109"/>
    </row>
    <row r="1639" spans="1:21">
      <c r="A1639" s="109"/>
      <c r="B1639" s="109"/>
      <c r="C1639" s="109"/>
      <c r="D1639" s="109"/>
      <c r="E1639" s="109"/>
      <c r="F1639" s="109"/>
      <c r="G1639" s="109"/>
      <c r="H1639" s="109"/>
      <c r="I1639" s="109"/>
      <c r="J1639" s="109"/>
      <c r="K1639" s="109"/>
      <c r="L1639" s="109"/>
      <c r="M1639" s="109"/>
      <c r="N1639" s="109"/>
      <c r="O1639" s="109"/>
      <c r="P1639" s="109"/>
      <c r="Q1639" s="109"/>
      <c r="R1639" s="109"/>
      <c r="S1639" s="109"/>
      <c r="T1639" s="109"/>
      <c r="U1639" s="109"/>
    </row>
    <row r="1640" spans="1:21">
      <c r="A1640" s="109"/>
      <c r="B1640" s="109"/>
      <c r="C1640" s="109"/>
      <c r="D1640" s="109"/>
      <c r="E1640" s="109"/>
      <c r="F1640" s="109"/>
      <c r="G1640" s="109"/>
      <c r="H1640" s="109"/>
      <c r="I1640" s="109"/>
      <c r="J1640" s="109"/>
      <c r="K1640" s="109"/>
      <c r="L1640" s="109"/>
      <c r="M1640" s="109"/>
      <c r="N1640" s="109"/>
      <c r="O1640" s="109"/>
      <c r="P1640" s="109"/>
      <c r="Q1640" s="109"/>
      <c r="R1640" s="109"/>
      <c r="S1640" s="109"/>
      <c r="T1640" s="109"/>
      <c r="U1640" s="109"/>
    </row>
    <row r="1641" spans="1:21">
      <c r="A1641" s="109"/>
      <c r="B1641" s="109"/>
      <c r="C1641" s="109"/>
      <c r="D1641" s="109"/>
      <c r="E1641" s="109"/>
      <c r="F1641" s="109"/>
      <c r="G1641" s="109"/>
      <c r="H1641" s="109"/>
      <c r="I1641" s="109"/>
      <c r="J1641" s="109"/>
      <c r="K1641" s="109"/>
      <c r="L1641" s="109"/>
      <c r="M1641" s="109"/>
      <c r="N1641" s="109"/>
      <c r="O1641" s="109"/>
      <c r="P1641" s="109"/>
      <c r="Q1641" s="109"/>
      <c r="R1641" s="109"/>
      <c r="S1641" s="109"/>
      <c r="T1641" s="109"/>
      <c r="U1641" s="109"/>
    </row>
    <row r="1642" spans="1:21">
      <c r="A1642" s="109"/>
      <c r="B1642" s="109"/>
      <c r="C1642" s="109"/>
      <c r="D1642" s="109"/>
      <c r="E1642" s="109"/>
      <c r="F1642" s="109"/>
      <c r="G1642" s="109"/>
      <c r="H1642" s="109"/>
      <c r="I1642" s="109"/>
      <c r="J1642" s="109"/>
      <c r="K1642" s="109"/>
      <c r="L1642" s="109"/>
      <c r="M1642" s="109"/>
      <c r="N1642" s="109"/>
      <c r="O1642" s="109"/>
      <c r="P1642" s="109"/>
      <c r="Q1642" s="109"/>
      <c r="R1642" s="109"/>
      <c r="S1642" s="109"/>
      <c r="T1642" s="109"/>
      <c r="U1642" s="109"/>
    </row>
    <row r="1643" spans="1:21">
      <c r="A1643" s="109"/>
      <c r="B1643" s="109"/>
      <c r="C1643" s="109"/>
      <c r="D1643" s="109"/>
      <c r="E1643" s="109"/>
      <c r="F1643" s="109"/>
      <c r="G1643" s="109"/>
      <c r="H1643" s="109"/>
      <c r="I1643" s="109"/>
      <c r="J1643" s="109"/>
      <c r="K1643" s="109"/>
      <c r="L1643" s="109"/>
      <c r="M1643" s="109"/>
      <c r="N1643" s="109"/>
      <c r="O1643" s="109"/>
      <c r="P1643" s="109"/>
      <c r="Q1643" s="109"/>
      <c r="R1643" s="109"/>
      <c r="S1643" s="109"/>
      <c r="T1643" s="109"/>
      <c r="U1643" s="109"/>
    </row>
    <row r="1644" spans="1:21">
      <c r="A1644" s="109"/>
      <c r="B1644" s="109"/>
      <c r="C1644" s="109"/>
      <c r="D1644" s="109"/>
      <c r="E1644" s="109"/>
      <c r="F1644" s="109"/>
      <c r="G1644" s="109"/>
      <c r="H1644" s="109"/>
      <c r="I1644" s="109"/>
      <c r="J1644" s="109"/>
      <c r="K1644" s="109"/>
      <c r="L1644" s="109"/>
      <c r="M1644" s="109"/>
      <c r="N1644" s="109"/>
      <c r="O1644" s="109"/>
      <c r="P1644" s="109"/>
      <c r="Q1644" s="109"/>
      <c r="R1644" s="109"/>
      <c r="S1644" s="109"/>
      <c r="T1644" s="109"/>
      <c r="U1644" s="109"/>
    </row>
    <row r="1645" spans="1:21">
      <c r="A1645" s="109"/>
      <c r="B1645" s="109"/>
      <c r="C1645" s="109"/>
      <c r="D1645" s="109"/>
      <c r="E1645" s="109"/>
      <c r="F1645" s="109"/>
      <c r="G1645" s="109"/>
      <c r="H1645" s="109"/>
      <c r="I1645" s="109"/>
      <c r="J1645" s="109"/>
      <c r="K1645" s="109"/>
      <c r="L1645" s="109"/>
      <c r="M1645" s="109"/>
      <c r="N1645" s="109"/>
      <c r="O1645" s="109"/>
      <c r="P1645" s="109"/>
      <c r="Q1645" s="109"/>
      <c r="R1645" s="109"/>
      <c r="S1645" s="109"/>
      <c r="T1645" s="109"/>
      <c r="U1645" s="109"/>
    </row>
    <row r="1646" spans="1:21">
      <c r="A1646" s="109"/>
      <c r="B1646" s="109"/>
      <c r="C1646" s="109"/>
      <c r="D1646" s="109"/>
      <c r="E1646" s="109"/>
      <c r="F1646" s="109"/>
      <c r="G1646" s="109"/>
      <c r="H1646" s="109"/>
      <c r="I1646" s="109"/>
      <c r="J1646" s="109"/>
      <c r="K1646" s="109"/>
      <c r="L1646" s="109"/>
      <c r="M1646" s="109"/>
      <c r="N1646" s="109"/>
      <c r="O1646" s="109"/>
      <c r="P1646" s="109"/>
      <c r="Q1646" s="109"/>
      <c r="R1646" s="109"/>
      <c r="S1646" s="109"/>
      <c r="T1646" s="109"/>
      <c r="U1646" s="109"/>
    </row>
    <row r="1647" spans="1:21">
      <c r="A1647" s="109"/>
      <c r="B1647" s="109"/>
      <c r="C1647" s="109"/>
      <c r="D1647" s="109"/>
      <c r="E1647" s="109"/>
      <c r="F1647" s="109"/>
      <c r="G1647" s="109"/>
      <c r="H1647" s="109"/>
      <c r="I1647" s="109"/>
      <c r="J1647" s="109"/>
      <c r="K1647" s="109"/>
      <c r="L1647" s="109"/>
      <c r="M1647" s="109"/>
      <c r="N1647" s="109"/>
      <c r="O1647" s="109"/>
      <c r="P1647" s="109"/>
      <c r="Q1647" s="109"/>
      <c r="R1647" s="109"/>
      <c r="S1647" s="109"/>
      <c r="T1647" s="109"/>
      <c r="U1647" s="109"/>
    </row>
    <row r="1648" spans="1:21">
      <c r="A1648" s="109"/>
      <c r="B1648" s="109"/>
      <c r="C1648" s="109"/>
      <c r="D1648" s="109"/>
      <c r="E1648" s="109"/>
      <c r="F1648" s="109"/>
      <c r="G1648" s="109"/>
      <c r="H1648" s="109"/>
      <c r="I1648" s="109"/>
      <c r="J1648" s="109"/>
      <c r="K1648" s="109"/>
      <c r="L1648" s="109"/>
      <c r="M1648" s="109"/>
      <c r="N1648" s="109"/>
      <c r="O1648" s="109"/>
      <c r="P1648" s="109"/>
      <c r="Q1648" s="109"/>
      <c r="R1648" s="109"/>
      <c r="S1648" s="109"/>
      <c r="T1648" s="109"/>
      <c r="U1648" s="109"/>
    </row>
    <row r="1649" spans="1:21">
      <c r="A1649" s="109"/>
      <c r="B1649" s="109"/>
      <c r="C1649" s="109"/>
      <c r="D1649" s="109"/>
      <c r="E1649" s="109"/>
      <c r="F1649" s="109"/>
      <c r="G1649" s="109"/>
      <c r="H1649" s="109"/>
      <c r="I1649" s="109"/>
      <c r="J1649" s="109"/>
      <c r="K1649" s="109"/>
      <c r="L1649" s="109"/>
      <c r="M1649" s="109"/>
      <c r="N1649" s="109"/>
      <c r="O1649" s="109"/>
      <c r="P1649" s="109"/>
      <c r="Q1649" s="109"/>
      <c r="R1649" s="109"/>
      <c r="S1649" s="109"/>
      <c r="T1649" s="109"/>
      <c r="U1649" s="109"/>
    </row>
    <row r="1650" spans="1:21">
      <c r="A1650" s="109"/>
      <c r="B1650" s="109"/>
      <c r="C1650" s="109"/>
      <c r="D1650" s="109"/>
      <c r="E1650" s="109"/>
      <c r="F1650" s="109"/>
      <c r="G1650" s="109"/>
      <c r="H1650" s="109"/>
      <c r="I1650" s="109"/>
      <c r="J1650" s="109"/>
      <c r="K1650" s="109"/>
      <c r="L1650" s="109"/>
      <c r="M1650" s="109"/>
      <c r="N1650" s="109"/>
      <c r="O1650" s="109"/>
      <c r="P1650" s="109"/>
      <c r="Q1650" s="109"/>
      <c r="R1650" s="109"/>
      <c r="S1650" s="109"/>
      <c r="T1650" s="109"/>
      <c r="U1650" s="109"/>
    </row>
    <row r="1651" spans="1:21">
      <c r="A1651" s="109"/>
      <c r="B1651" s="109"/>
      <c r="C1651" s="109"/>
      <c r="D1651" s="109"/>
      <c r="E1651" s="109"/>
      <c r="F1651" s="109"/>
      <c r="G1651" s="109"/>
      <c r="H1651" s="109"/>
      <c r="I1651" s="109"/>
      <c r="J1651" s="109"/>
      <c r="K1651" s="109"/>
      <c r="L1651" s="109"/>
      <c r="M1651" s="109"/>
      <c r="N1651" s="109"/>
      <c r="O1651" s="109"/>
      <c r="P1651" s="109"/>
      <c r="Q1651" s="109"/>
      <c r="R1651" s="109"/>
      <c r="S1651" s="109"/>
      <c r="T1651" s="109"/>
      <c r="U1651" s="109"/>
    </row>
    <row r="1652" spans="1:21">
      <c r="A1652" s="109"/>
      <c r="B1652" s="109"/>
      <c r="C1652" s="109"/>
      <c r="D1652" s="109"/>
      <c r="E1652" s="109"/>
      <c r="F1652" s="109"/>
      <c r="G1652" s="109"/>
      <c r="H1652" s="109"/>
      <c r="I1652" s="109"/>
      <c r="J1652" s="109"/>
      <c r="K1652" s="109"/>
      <c r="L1652" s="109"/>
      <c r="M1652" s="109"/>
      <c r="N1652" s="109"/>
      <c r="O1652" s="109"/>
      <c r="P1652" s="109"/>
      <c r="Q1652" s="109"/>
      <c r="R1652" s="109"/>
      <c r="S1652" s="109"/>
      <c r="T1652" s="109"/>
      <c r="U1652" s="109"/>
    </row>
    <row r="1653" spans="1:21">
      <c r="A1653" s="109"/>
      <c r="B1653" s="109"/>
      <c r="C1653" s="109"/>
      <c r="D1653" s="109"/>
      <c r="E1653" s="109"/>
      <c r="F1653" s="109"/>
      <c r="G1653" s="109"/>
      <c r="H1653" s="109"/>
      <c r="I1653" s="109"/>
      <c r="J1653" s="109"/>
      <c r="K1653" s="109"/>
      <c r="L1653" s="109"/>
      <c r="M1653" s="109"/>
      <c r="N1653" s="109"/>
      <c r="O1653" s="109"/>
      <c r="P1653" s="109"/>
      <c r="Q1653" s="109"/>
      <c r="R1653" s="109"/>
      <c r="S1653" s="109"/>
      <c r="T1653" s="109"/>
      <c r="U1653" s="109"/>
    </row>
    <row r="1654" spans="1:21">
      <c r="A1654" s="109"/>
      <c r="B1654" s="109"/>
      <c r="C1654" s="109"/>
      <c r="D1654" s="109"/>
      <c r="E1654" s="109"/>
      <c r="F1654" s="109"/>
      <c r="G1654" s="109"/>
      <c r="H1654" s="109"/>
      <c r="I1654" s="109"/>
      <c r="J1654" s="109"/>
      <c r="K1654" s="109"/>
      <c r="L1654" s="109"/>
      <c r="M1654" s="109"/>
      <c r="N1654" s="109"/>
      <c r="O1654" s="109"/>
      <c r="P1654" s="109"/>
      <c r="Q1654" s="109"/>
      <c r="R1654" s="109"/>
      <c r="S1654" s="109"/>
      <c r="T1654" s="109"/>
      <c r="U1654" s="109"/>
    </row>
    <row r="1655" spans="1:21">
      <c r="A1655" s="109"/>
      <c r="B1655" s="109"/>
      <c r="C1655" s="109"/>
      <c r="D1655" s="109"/>
      <c r="E1655" s="109"/>
      <c r="F1655" s="109"/>
      <c r="G1655" s="109"/>
      <c r="H1655" s="109"/>
      <c r="I1655" s="109"/>
      <c r="J1655" s="109"/>
      <c r="K1655" s="109"/>
      <c r="L1655" s="109"/>
      <c r="M1655" s="109"/>
      <c r="N1655" s="109"/>
      <c r="O1655" s="109"/>
      <c r="P1655" s="109"/>
      <c r="Q1655" s="109"/>
      <c r="R1655" s="109"/>
      <c r="S1655" s="109"/>
      <c r="T1655" s="109"/>
      <c r="U1655" s="109"/>
    </row>
    <row r="1656" spans="1:21">
      <c r="A1656" s="109"/>
      <c r="B1656" s="109"/>
      <c r="C1656" s="109"/>
      <c r="D1656" s="109"/>
      <c r="E1656" s="109"/>
      <c r="F1656" s="109"/>
      <c r="G1656" s="109"/>
      <c r="H1656" s="109"/>
      <c r="I1656" s="109"/>
      <c r="J1656" s="109"/>
      <c r="K1656" s="109"/>
      <c r="L1656" s="109"/>
      <c r="M1656" s="109"/>
      <c r="N1656" s="109"/>
      <c r="O1656" s="109"/>
      <c r="P1656" s="109"/>
      <c r="Q1656" s="109"/>
      <c r="R1656" s="109"/>
      <c r="S1656" s="109"/>
      <c r="T1656" s="109"/>
      <c r="U1656" s="109"/>
    </row>
    <row r="1657" spans="1:21">
      <c r="A1657" s="109"/>
      <c r="B1657" s="109"/>
      <c r="C1657" s="109"/>
      <c r="D1657" s="109"/>
      <c r="E1657" s="109"/>
      <c r="F1657" s="109"/>
      <c r="G1657" s="109"/>
      <c r="H1657" s="109"/>
      <c r="I1657" s="109"/>
      <c r="J1657" s="109"/>
      <c r="K1657" s="109"/>
      <c r="L1657" s="109"/>
      <c r="M1657" s="109"/>
      <c r="N1657" s="109"/>
      <c r="O1657" s="109"/>
      <c r="P1657" s="109"/>
      <c r="Q1657" s="109"/>
      <c r="R1657" s="109"/>
      <c r="S1657" s="109"/>
      <c r="T1657" s="109"/>
      <c r="U1657" s="109"/>
    </row>
    <row r="1658" spans="1:21">
      <c r="A1658" s="109"/>
      <c r="B1658" s="109"/>
      <c r="C1658" s="109"/>
      <c r="D1658" s="109"/>
      <c r="E1658" s="109"/>
      <c r="F1658" s="109"/>
      <c r="G1658" s="109"/>
      <c r="H1658" s="109"/>
      <c r="I1658" s="109"/>
      <c r="J1658" s="109"/>
      <c r="K1658" s="109"/>
      <c r="L1658" s="109"/>
      <c r="M1658" s="109"/>
      <c r="N1658" s="109"/>
      <c r="O1658" s="109"/>
      <c r="P1658" s="109"/>
      <c r="Q1658" s="109"/>
      <c r="R1658" s="109"/>
      <c r="S1658" s="109"/>
      <c r="T1658" s="109"/>
      <c r="U1658" s="109"/>
    </row>
    <row r="1659" spans="1:21">
      <c r="A1659" s="109"/>
      <c r="B1659" s="109"/>
      <c r="C1659" s="109"/>
      <c r="D1659" s="109"/>
      <c r="E1659" s="109"/>
      <c r="F1659" s="109"/>
      <c r="G1659" s="109"/>
      <c r="H1659" s="109"/>
      <c r="I1659" s="109"/>
      <c r="J1659" s="109"/>
      <c r="K1659" s="109"/>
      <c r="L1659" s="109"/>
      <c r="M1659" s="109"/>
      <c r="N1659" s="109"/>
      <c r="O1659" s="109"/>
      <c r="P1659" s="109"/>
      <c r="Q1659" s="109"/>
      <c r="R1659" s="109"/>
      <c r="S1659" s="109"/>
      <c r="T1659" s="109"/>
      <c r="U1659" s="109"/>
    </row>
    <row r="1660" spans="1:21">
      <c r="A1660" s="109"/>
      <c r="B1660" s="109"/>
      <c r="C1660" s="109"/>
      <c r="D1660" s="109"/>
      <c r="E1660" s="109"/>
      <c r="F1660" s="109"/>
      <c r="G1660" s="109"/>
      <c r="H1660" s="109"/>
      <c r="I1660" s="109"/>
      <c r="J1660" s="109"/>
      <c r="K1660" s="109"/>
      <c r="L1660" s="109"/>
      <c r="M1660" s="109"/>
      <c r="N1660" s="109"/>
      <c r="O1660" s="109"/>
      <c r="P1660" s="109"/>
      <c r="Q1660" s="109"/>
      <c r="R1660" s="109"/>
      <c r="S1660" s="109"/>
      <c r="T1660" s="109"/>
      <c r="U1660" s="109"/>
    </row>
    <row r="1661" spans="1:21">
      <c r="A1661" s="109"/>
      <c r="B1661" s="109"/>
      <c r="C1661" s="109"/>
      <c r="D1661" s="109"/>
      <c r="E1661" s="109"/>
      <c r="F1661" s="109"/>
      <c r="G1661" s="109"/>
      <c r="H1661" s="109"/>
      <c r="I1661" s="109"/>
      <c r="J1661" s="109"/>
      <c r="K1661" s="109"/>
      <c r="L1661" s="109"/>
      <c r="M1661" s="109"/>
      <c r="N1661" s="109"/>
      <c r="O1661" s="109"/>
      <c r="P1661" s="109"/>
      <c r="Q1661" s="109"/>
      <c r="R1661" s="109"/>
      <c r="S1661" s="109"/>
      <c r="T1661" s="109"/>
      <c r="U1661" s="109"/>
    </row>
    <row r="1662" spans="1:21">
      <c r="A1662" s="109"/>
      <c r="B1662" s="109"/>
      <c r="C1662" s="109"/>
      <c r="D1662" s="109"/>
      <c r="E1662" s="109"/>
      <c r="F1662" s="109"/>
      <c r="G1662" s="109"/>
      <c r="H1662" s="109"/>
      <c r="I1662" s="109"/>
      <c r="J1662" s="109"/>
      <c r="K1662" s="109"/>
      <c r="L1662" s="109"/>
      <c r="M1662" s="109"/>
      <c r="N1662" s="109"/>
      <c r="O1662" s="109"/>
      <c r="P1662" s="109"/>
      <c r="Q1662" s="109"/>
      <c r="R1662" s="109"/>
      <c r="S1662" s="109"/>
      <c r="T1662" s="109"/>
      <c r="U1662" s="109"/>
    </row>
    <row r="1663" spans="1:21">
      <c r="A1663" s="109"/>
      <c r="B1663" s="109"/>
      <c r="C1663" s="109"/>
      <c r="D1663" s="109"/>
      <c r="E1663" s="109"/>
      <c r="F1663" s="109"/>
      <c r="G1663" s="109"/>
      <c r="H1663" s="109"/>
      <c r="I1663" s="109"/>
      <c r="J1663" s="109"/>
      <c r="K1663" s="109"/>
      <c r="L1663" s="109"/>
      <c r="M1663" s="109"/>
      <c r="N1663" s="109"/>
      <c r="O1663" s="109"/>
      <c r="P1663" s="109"/>
      <c r="Q1663" s="109"/>
      <c r="R1663" s="109"/>
      <c r="S1663" s="109"/>
      <c r="T1663" s="109"/>
      <c r="U1663" s="109"/>
    </row>
    <row r="1664" spans="1:21">
      <c r="A1664" s="109"/>
      <c r="B1664" s="109"/>
      <c r="C1664" s="109"/>
      <c r="D1664" s="109"/>
      <c r="E1664" s="109"/>
      <c r="F1664" s="109"/>
      <c r="G1664" s="109"/>
      <c r="H1664" s="109"/>
      <c r="I1664" s="109"/>
      <c r="J1664" s="109"/>
      <c r="K1664" s="109"/>
      <c r="L1664" s="109"/>
      <c r="M1664" s="109"/>
      <c r="N1664" s="109"/>
      <c r="O1664" s="109"/>
      <c r="P1664" s="109"/>
      <c r="Q1664" s="109"/>
      <c r="R1664" s="109"/>
      <c r="S1664" s="109"/>
      <c r="T1664" s="109"/>
      <c r="U1664" s="109"/>
    </row>
    <row r="1665" spans="1:21">
      <c r="A1665" s="109"/>
      <c r="B1665" s="109"/>
      <c r="C1665" s="109"/>
      <c r="D1665" s="109"/>
      <c r="E1665" s="109"/>
      <c r="F1665" s="109"/>
      <c r="G1665" s="109"/>
      <c r="H1665" s="109"/>
      <c r="I1665" s="109"/>
      <c r="J1665" s="109"/>
      <c r="K1665" s="109"/>
      <c r="L1665" s="109"/>
      <c r="M1665" s="109"/>
      <c r="N1665" s="109"/>
      <c r="O1665" s="109"/>
      <c r="P1665" s="109"/>
      <c r="Q1665" s="109"/>
      <c r="R1665" s="109"/>
      <c r="S1665" s="109"/>
      <c r="T1665" s="109"/>
      <c r="U1665" s="109"/>
    </row>
    <row r="1666" spans="1:21">
      <c r="A1666" s="109"/>
      <c r="B1666" s="109"/>
      <c r="C1666" s="109"/>
      <c r="D1666" s="109"/>
      <c r="E1666" s="109"/>
      <c r="F1666" s="109"/>
      <c r="G1666" s="109"/>
      <c r="H1666" s="109"/>
      <c r="I1666" s="109"/>
      <c r="J1666" s="109"/>
      <c r="K1666" s="109"/>
      <c r="L1666" s="109"/>
      <c r="M1666" s="109"/>
      <c r="N1666" s="109"/>
      <c r="O1666" s="109"/>
      <c r="P1666" s="109"/>
      <c r="Q1666" s="109"/>
      <c r="R1666" s="109"/>
      <c r="S1666" s="109"/>
      <c r="T1666" s="109"/>
      <c r="U1666" s="109"/>
    </row>
    <row r="1667" spans="1:21">
      <c r="A1667" s="109"/>
      <c r="B1667" s="109"/>
      <c r="C1667" s="109"/>
      <c r="D1667" s="109"/>
      <c r="E1667" s="109"/>
      <c r="F1667" s="109"/>
      <c r="G1667" s="109"/>
      <c r="H1667" s="109"/>
      <c r="I1667" s="109"/>
      <c r="J1667" s="109"/>
      <c r="K1667" s="109"/>
      <c r="L1667" s="109"/>
      <c r="M1667" s="109"/>
      <c r="N1667" s="109"/>
      <c r="O1667" s="109"/>
      <c r="P1667" s="109"/>
      <c r="Q1667" s="109"/>
      <c r="R1667" s="109"/>
      <c r="S1667" s="109"/>
      <c r="T1667" s="109"/>
      <c r="U1667" s="109"/>
    </row>
    <row r="1668" spans="1:21">
      <c r="A1668" s="109"/>
      <c r="B1668" s="109"/>
      <c r="C1668" s="109"/>
      <c r="D1668" s="109"/>
      <c r="E1668" s="109"/>
      <c r="F1668" s="109"/>
      <c r="G1668" s="109"/>
      <c r="H1668" s="109"/>
      <c r="I1668" s="109"/>
      <c r="J1668" s="109"/>
      <c r="K1668" s="109"/>
      <c r="L1668" s="109"/>
      <c r="M1668" s="109"/>
      <c r="N1668" s="109"/>
      <c r="O1668" s="109"/>
      <c r="P1668" s="109"/>
      <c r="Q1668" s="109"/>
      <c r="R1668" s="109"/>
      <c r="S1668" s="109"/>
      <c r="T1668" s="109"/>
      <c r="U1668" s="109"/>
    </row>
    <row r="1669" spans="1:21">
      <c r="A1669" s="109"/>
      <c r="B1669" s="109"/>
      <c r="C1669" s="109"/>
      <c r="D1669" s="109"/>
      <c r="E1669" s="109"/>
      <c r="F1669" s="109"/>
      <c r="G1669" s="109"/>
      <c r="H1669" s="109"/>
      <c r="I1669" s="109"/>
      <c r="J1669" s="109"/>
      <c r="K1669" s="109"/>
      <c r="L1669" s="109"/>
      <c r="M1669" s="109"/>
      <c r="N1669" s="109"/>
      <c r="O1669" s="109"/>
      <c r="P1669" s="109"/>
      <c r="Q1669" s="109"/>
      <c r="R1669" s="109"/>
      <c r="S1669" s="109"/>
      <c r="T1669" s="109"/>
      <c r="U1669" s="109"/>
    </row>
    <row r="1670" spans="1:21">
      <c r="A1670" s="109"/>
      <c r="B1670" s="109"/>
      <c r="C1670" s="109"/>
      <c r="D1670" s="109"/>
      <c r="E1670" s="109"/>
      <c r="F1670" s="109"/>
      <c r="G1670" s="109"/>
      <c r="H1670" s="109"/>
      <c r="I1670" s="109"/>
      <c r="J1670" s="109"/>
      <c r="K1670" s="109"/>
      <c r="L1670" s="109"/>
      <c r="M1670" s="109"/>
      <c r="N1670" s="109"/>
      <c r="O1670" s="109"/>
      <c r="P1670" s="109"/>
      <c r="Q1670" s="109"/>
      <c r="R1670" s="109"/>
      <c r="S1670" s="109"/>
      <c r="T1670" s="109"/>
      <c r="U1670" s="109"/>
    </row>
    <row r="1671" spans="1:21">
      <c r="A1671" s="109"/>
      <c r="B1671" s="109"/>
      <c r="C1671" s="109"/>
      <c r="D1671" s="109"/>
      <c r="E1671" s="109"/>
      <c r="F1671" s="109"/>
      <c r="G1671" s="109"/>
      <c r="H1671" s="109"/>
      <c r="I1671" s="109"/>
      <c r="J1671" s="109"/>
      <c r="K1671" s="109"/>
      <c r="L1671" s="109"/>
      <c r="M1671" s="109"/>
      <c r="N1671" s="109"/>
      <c r="O1671" s="109"/>
      <c r="P1671" s="109"/>
      <c r="Q1671" s="109"/>
      <c r="R1671" s="109"/>
      <c r="S1671" s="109"/>
      <c r="T1671" s="109"/>
      <c r="U1671" s="109"/>
    </row>
    <row r="1672" spans="1:21">
      <c r="A1672" s="109"/>
      <c r="B1672" s="109"/>
      <c r="C1672" s="109"/>
      <c r="D1672" s="109"/>
      <c r="E1672" s="109"/>
      <c r="F1672" s="109"/>
      <c r="G1672" s="109"/>
      <c r="H1672" s="109"/>
      <c r="I1672" s="109"/>
      <c r="J1672" s="109"/>
      <c r="K1672" s="109"/>
      <c r="L1672" s="109"/>
      <c r="M1672" s="109"/>
      <c r="N1672" s="109"/>
      <c r="O1672" s="109"/>
      <c r="P1672" s="109"/>
      <c r="Q1672" s="109"/>
      <c r="R1672" s="109"/>
      <c r="S1672" s="109"/>
      <c r="T1672" s="109"/>
      <c r="U1672" s="109"/>
    </row>
    <row r="1673" spans="1:21">
      <c r="A1673" s="109"/>
      <c r="B1673" s="109"/>
      <c r="C1673" s="109"/>
      <c r="D1673" s="109"/>
      <c r="E1673" s="109"/>
      <c r="F1673" s="109"/>
      <c r="G1673" s="109"/>
      <c r="H1673" s="109"/>
      <c r="I1673" s="109"/>
      <c r="J1673" s="109"/>
      <c r="K1673" s="109"/>
      <c r="L1673" s="109"/>
      <c r="M1673" s="109"/>
      <c r="N1673" s="109"/>
      <c r="O1673" s="109"/>
      <c r="P1673" s="109"/>
      <c r="Q1673" s="109"/>
      <c r="R1673" s="109"/>
      <c r="S1673" s="109"/>
      <c r="T1673" s="109"/>
      <c r="U1673" s="109"/>
    </row>
    <row r="1674" spans="1:21">
      <c r="A1674" s="109"/>
      <c r="B1674" s="109"/>
      <c r="C1674" s="109"/>
      <c r="D1674" s="109"/>
      <c r="E1674" s="109"/>
      <c r="F1674" s="109"/>
      <c r="G1674" s="109"/>
      <c r="H1674" s="109"/>
      <c r="I1674" s="109"/>
      <c r="J1674" s="109"/>
      <c r="K1674" s="109"/>
      <c r="L1674" s="109"/>
      <c r="M1674" s="109"/>
      <c r="N1674" s="109"/>
      <c r="O1674" s="109"/>
      <c r="P1674" s="109"/>
      <c r="Q1674" s="109"/>
      <c r="R1674" s="109"/>
      <c r="S1674" s="109"/>
      <c r="T1674" s="109"/>
      <c r="U1674" s="109"/>
    </row>
    <row r="1675" spans="1:21">
      <c r="A1675" s="109"/>
      <c r="B1675" s="109"/>
      <c r="C1675" s="109"/>
      <c r="D1675" s="109"/>
      <c r="E1675" s="109"/>
      <c r="F1675" s="109"/>
      <c r="G1675" s="109"/>
      <c r="H1675" s="109"/>
      <c r="I1675" s="109"/>
      <c r="J1675" s="109"/>
      <c r="K1675" s="109"/>
      <c r="L1675" s="109"/>
      <c r="M1675" s="109"/>
      <c r="N1675" s="109"/>
      <c r="O1675" s="109"/>
      <c r="P1675" s="109"/>
      <c r="Q1675" s="109"/>
      <c r="R1675" s="109"/>
      <c r="S1675" s="109"/>
      <c r="T1675" s="109"/>
      <c r="U1675" s="109"/>
    </row>
    <row r="1676" spans="1:21">
      <c r="A1676" s="109"/>
      <c r="B1676" s="109"/>
      <c r="C1676" s="109"/>
      <c r="D1676" s="109"/>
      <c r="E1676" s="109"/>
      <c r="F1676" s="109"/>
      <c r="G1676" s="109"/>
      <c r="H1676" s="109"/>
      <c r="I1676" s="109"/>
      <c r="J1676" s="109"/>
      <c r="K1676" s="109"/>
      <c r="L1676" s="109"/>
      <c r="M1676" s="109"/>
      <c r="N1676" s="109"/>
      <c r="O1676" s="109"/>
      <c r="P1676" s="109"/>
      <c r="Q1676" s="109"/>
      <c r="R1676" s="109"/>
      <c r="S1676" s="109"/>
      <c r="T1676" s="109"/>
      <c r="U1676" s="109"/>
    </row>
    <row r="1677" spans="1:21">
      <c r="A1677" s="109"/>
      <c r="B1677" s="109"/>
      <c r="C1677" s="109"/>
      <c r="D1677" s="109"/>
      <c r="E1677" s="109"/>
      <c r="F1677" s="109"/>
      <c r="G1677" s="109"/>
      <c r="H1677" s="109"/>
      <c r="I1677" s="109"/>
      <c r="J1677" s="109"/>
      <c r="K1677" s="109"/>
      <c r="L1677" s="109"/>
      <c r="M1677" s="109"/>
      <c r="N1677" s="109"/>
      <c r="O1677" s="109"/>
      <c r="P1677" s="109"/>
      <c r="Q1677" s="109"/>
      <c r="R1677" s="109"/>
      <c r="S1677" s="109"/>
      <c r="T1677" s="109"/>
      <c r="U1677" s="109"/>
    </row>
    <row r="1678" spans="1:21">
      <c r="A1678" s="109"/>
      <c r="B1678" s="109"/>
      <c r="C1678" s="109"/>
      <c r="D1678" s="109"/>
      <c r="E1678" s="109"/>
      <c r="F1678" s="109"/>
      <c r="G1678" s="109"/>
      <c r="H1678" s="109"/>
      <c r="I1678" s="109"/>
      <c r="J1678" s="109"/>
      <c r="K1678" s="109"/>
      <c r="L1678" s="109"/>
      <c r="M1678" s="109"/>
      <c r="N1678" s="109"/>
      <c r="O1678" s="109"/>
      <c r="P1678" s="109"/>
      <c r="Q1678" s="109"/>
      <c r="R1678" s="109"/>
      <c r="S1678" s="109"/>
      <c r="T1678" s="109"/>
      <c r="U1678" s="109"/>
    </row>
    <row r="1679" spans="1:21">
      <c r="A1679" s="109"/>
      <c r="B1679" s="109"/>
      <c r="C1679" s="109"/>
      <c r="D1679" s="109"/>
      <c r="E1679" s="109"/>
      <c r="F1679" s="109"/>
      <c r="G1679" s="109"/>
      <c r="H1679" s="109"/>
      <c r="I1679" s="109"/>
      <c r="J1679" s="109"/>
      <c r="K1679" s="109"/>
      <c r="L1679" s="109"/>
      <c r="M1679" s="109"/>
      <c r="N1679" s="109"/>
      <c r="O1679" s="109"/>
      <c r="P1679" s="109"/>
      <c r="Q1679" s="109"/>
      <c r="R1679" s="109"/>
      <c r="S1679" s="109"/>
      <c r="T1679" s="109"/>
      <c r="U1679" s="109"/>
    </row>
    <row r="1680" spans="1:21">
      <c r="A1680" s="109"/>
      <c r="B1680" s="109"/>
      <c r="C1680" s="109"/>
      <c r="D1680" s="109"/>
      <c r="E1680" s="109"/>
      <c r="F1680" s="109"/>
      <c r="G1680" s="109"/>
      <c r="H1680" s="109"/>
      <c r="I1680" s="109"/>
      <c r="J1680" s="109"/>
      <c r="K1680" s="109"/>
      <c r="L1680" s="109"/>
      <c r="M1680" s="109"/>
      <c r="N1680" s="109"/>
      <c r="O1680" s="109"/>
      <c r="P1680" s="109"/>
      <c r="Q1680" s="109"/>
      <c r="R1680" s="109"/>
      <c r="S1680" s="109"/>
      <c r="T1680" s="109"/>
      <c r="U1680" s="109"/>
    </row>
    <row r="1681" spans="1:21">
      <c r="A1681" s="109"/>
      <c r="B1681" s="109"/>
      <c r="C1681" s="109"/>
      <c r="D1681" s="109"/>
      <c r="E1681" s="109"/>
      <c r="F1681" s="109"/>
      <c r="G1681" s="109"/>
      <c r="H1681" s="109"/>
      <c r="I1681" s="109"/>
      <c r="J1681" s="109"/>
      <c r="K1681" s="109"/>
      <c r="L1681" s="109"/>
      <c r="M1681" s="109"/>
      <c r="N1681" s="109"/>
      <c r="O1681" s="109"/>
      <c r="P1681" s="109"/>
      <c r="Q1681" s="109"/>
      <c r="R1681" s="109"/>
      <c r="S1681" s="109"/>
      <c r="T1681" s="109"/>
      <c r="U1681" s="109"/>
    </row>
    <row r="1682" spans="1:21">
      <c r="A1682" s="109"/>
      <c r="B1682" s="109"/>
      <c r="C1682" s="109"/>
      <c r="D1682" s="109"/>
      <c r="E1682" s="109"/>
      <c r="F1682" s="109"/>
      <c r="G1682" s="109"/>
      <c r="H1682" s="109"/>
      <c r="I1682" s="109"/>
      <c r="J1682" s="109"/>
      <c r="K1682" s="109"/>
      <c r="L1682" s="109"/>
      <c r="M1682" s="109"/>
      <c r="N1682" s="109"/>
      <c r="O1682" s="109"/>
      <c r="P1682" s="109"/>
      <c r="Q1682" s="109"/>
      <c r="R1682" s="109"/>
      <c r="S1682" s="109"/>
      <c r="T1682" s="109"/>
      <c r="U1682" s="109"/>
    </row>
    <row r="1683" spans="1:21">
      <c r="A1683" s="109"/>
      <c r="B1683" s="109"/>
      <c r="C1683" s="109"/>
      <c r="D1683" s="109"/>
      <c r="E1683" s="109"/>
      <c r="F1683" s="109"/>
      <c r="G1683" s="109"/>
      <c r="H1683" s="109"/>
      <c r="I1683" s="109"/>
      <c r="J1683" s="109"/>
      <c r="K1683" s="109"/>
      <c r="L1683" s="109"/>
      <c r="M1683" s="109"/>
      <c r="N1683" s="109"/>
      <c r="O1683" s="109"/>
      <c r="P1683" s="109"/>
      <c r="Q1683" s="109"/>
      <c r="R1683" s="109"/>
      <c r="S1683" s="109"/>
      <c r="T1683" s="109"/>
      <c r="U1683" s="109"/>
    </row>
    <row r="1684" spans="1:21">
      <c r="A1684" s="109"/>
      <c r="B1684" s="109"/>
      <c r="C1684" s="109"/>
      <c r="D1684" s="109"/>
      <c r="E1684" s="109"/>
      <c r="F1684" s="109"/>
      <c r="G1684" s="109"/>
      <c r="H1684" s="109"/>
      <c r="I1684" s="109"/>
      <c r="J1684" s="109"/>
      <c r="K1684" s="109"/>
      <c r="L1684" s="109"/>
      <c r="M1684" s="109"/>
      <c r="N1684" s="109"/>
      <c r="O1684" s="109"/>
      <c r="P1684" s="109"/>
      <c r="Q1684" s="109"/>
      <c r="R1684" s="109"/>
      <c r="S1684" s="109"/>
      <c r="T1684" s="109"/>
      <c r="U1684" s="109"/>
    </row>
    <row r="1685" spans="1:21">
      <c r="A1685" s="109"/>
      <c r="B1685" s="109"/>
      <c r="C1685" s="109"/>
      <c r="D1685" s="109"/>
      <c r="E1685" s="109"/>
      <c r="F1685" s="109"/>
      <c r="G1685" s="109"/>
      <c r="H1685" s="109"/>
      <c r="I1685" s="109"/>
      <c r="J1685" s="109"/>
      <c r="K1685" s="109"/>
      <c r="L1685" s="109"/>
      <c r="M1685" s="109"/>
      <c r="N1685" s="109"/>
      <c r="O1685" s="109"/>
      <c r="P1685" s="109"/>
      <c r="Q1685" s="109"/>
      <c r="R1685" s="109"/>
      <c r="S1685" s="109"/>
      <c r="T1685" s="109"/>
      <c r="U1685" s="109"/>
    </row>
    <row r="1686" spans="1:21">
      <c r="A1686" s="109"/>
      <c r="B1686" s="109"/>
      <c r="C1686" s="109"/>
      <c r="D1686" s="109"/>
      <c r="E1686" s="109"/>
      <c r="F1686" s="109"/>
      <c r="G1686" s="109"/>
      <c r="H1686" s="109"/>
      <c r="I1686" s="109"/>
      <c r="J1686" s="109"/>
      <c r="K1686" s="109"/>
      <c r="L1686" s="109"/>
      <c r="M1686" s="109"/>
      <c r="N1686" s="109"/>
      <c r="O1686" s="109"/>
      <c r="P1686" s="109"/>
      <c r="Q1686" s="109"/>
      <c r="R1686" s="109"/>
      <c r="S1686" s="109"/>
      <c r="T1686" s="109"/>
      <c r="U1686" s="109"/>
    </row>
    <row r="1687" spans="1:21">
      <c r="A1687" s="109"/>
      <c r="B1687" s="109"/>
      <c r="C1687" s="109"/>
      <c r="D1687" s="109"/>
      <c r="E1687" s="109"/>
      <c r="F1687" s="109"/>
      <c r="G1687" s="109"/>
      <c r="H1687" s="109"/>
      <c r="I1687" s="109"/>
      <c r="J1687" s="109"/>
      <c r="K1687" s="109"/>
      <c r="L1687" s="109"/>
      <c r="M1687" s="109"/>
      <c r="N1687" s="109"/>
      <c r="O1687" s="109"/>
      <c r="P1687" s="109"/>
      <c r="Q1687" s="109"/>
      <c r="R1687" s="109"/>
      <c r="S1687" s="109"/>
      <c r="T1687" s="109"/>
      <c r="U1687" s="109"/>
    </row>
    <row r="1688" spans="1:21">
      <c r="A1688" s="109"/>
      <c r="B1688" s="109"/>
      <c r="C1688" s="109"/>
      <c r="D1688" s="109"/>
      <c r="E1688" s="109"/>
      <c r="F1688" s="109"/>
      <c r="G1688" s="109"/>
      <c r="H1688" s="109"/>
      <c r="I1688" s="109"/>
      <c r="J1688" s="109"/>
      <c r="K1688" s="109"/>
      <c r="L1688" s="109"/>
      <c r="M1688" s="109"/>
      <c r="N1688" s="109"/>
      <c r="O1688" s="109"/>
      <c r="P1688" s="109"/>
      <c r="Q1688" s="109"/>
      <c r="R1688" s="109"/>
      <c r="S1688" s="109"/>
      <c r="T1688" s="109"/>
      <c r="U1688" s="109"/>
    </row>
    <row r="1689" spans="1:21">
      <c r="A1689" s="109"/>
      <c r="B1689" s="109"/>
      <c r="C1689" s="109"/>
      <c r="D1689" s="109"/>
      <c r="E1689" s="109"/>
      <c r="F1689" s="109"/>
      <c r="G1689" s="109"/>
      <c r="H1689" s="109"/>
      <c r="I1689" s="109"/>
      <c r="J1689" s="109"/>
      <c r="K1689" s="109"/>
      <c r="L1689" s="109"/>
      <c r="M1689" s="109"/>
      <c r="N1689" s="109"/>
      <c r="O1689" s="109"/>
      <c r="P1689" s="109"/>
      <c r="Q1689" s="109"/>
      <c r="R1689" s="109"/>
      <c r="S1689" s="109"/>
      <c r="T1689" s="109"/>
      <c r="U1689" s="109"/>
    </row>
    <row r="1690" spans="1:21">
      <c r="A1690" s="109"/>
      <c r="B1690" s="109"/>
      <c r="C1690" s="109"/>
      <c r="D1690" s="109"/>
      <c r="E1690" s="109"/>
      <c r="F1690" s="109"/>
      <c r="G1690" s="109"/>
      <c r="H1690" s="109"/>
      <c r="I1690" s="109"/>
      <c r="J1690" s="109"/>
      <c r="K1690" s="109"/>
      <c r="L1690" s="109"/>
      <c r="M1690" s="109"/>
      <c r="N1690" s="109"/>
      <c r="O1690" s="109"/>
      <c r="P1690" s="109"/>
      <c r="Q1690" s="109"/>
      <c r="R1690" s="109"/>
      <c r="S1690" s="109"/>
      <c r="T1690" s="109"/>
      <c r="U1690" s="109"/>
    </row>
    <row r="1691" spans="1:21">
      <c r="A1691" s="109"/>
      <c r="B1691" s="109"/>
      <c r="C1691" s="109"/>
      <c r="D1691" s="109"/>
      <c r="E1691" s="109"/>
      <c r="F1691" s="109"/>
      <c r="G1691" s="109"/>
      <c r="H1691" s="109"/>
      <c r="I1691" s="109"/>
      <c r="J1691" s="109"/>
      <c r="K1691" s="109"/>
      <c r="L1691" s="109"/>
      <c r="M1691" s="109"/>
      <c r="N1691" s="109"/>
      <c r="O1691" s="109"/>
      <c r="P1691" s="109"/>
      <c r="Q1691" s="109"/>
      <c r="R1691" s="109"/>
      <c r="S1691" s="109"/>
      <c r="T1691" s="109"/>
      <c r="U1691" s="109"/>
    </row>
    <row r="1692" spans="1:21">
      <c r="A1692" s="109"/>
      <c r="B1692" s="109"/>
      <c r="C1692" s="109"/>
      <c r="D1692" s="109"/>
      <c r="E1692" s="109"/>
      <c r="F1692" s="109"/>
      <c r="G1692" s="109"/>
      <c r="H1692" s="109"/>
      <c r="I1692" s="109"/>
      <c r="J1692" s="109"/>
      <c r="K1692" s="109"/>
      <c r="L1692" s="109"/>
      <c r="M1692" s="109"/>
      <c r="N1692" s="109"/>
      <c r="O1692" s="109"/>
      <c r="P1692" s="109"/>
      <c r="Q1692" s="109"/>
      <c r="R1692" s="109"/>
      <c r="S1692" s="109"/>
      <c r="T1692" s="109"/>
      <c r="U1692" s="109"/>
    </row>
    <row r="1693" spans="1:21">
      <c r="A1693" s="109"/>
      <c r="B1693" s="109"/>
      <c r="C1693" s="109"/>
      <c r="D1693" s="109"/>
      <c r="E1693" s="109"/>
      <c r="F1693" s="109"/>
      <c r="G1693" s="109"/>
      <c r="H1693" s="109"/>
      <c r="I1693" s="109"/>
      <c r="J1693" s="109"/>
      <c r="K1693" s="109"/>
      <c r="L1693" s="109"/>
      <c r="M1693" s="109"/>
      <c r="N1693" s="109"/>
      <c r="O1693" s="109"/>
      <c r="P1693" s="109"/>
      <c r="Q1693" s="109"/>
      <c r="R1693" s="109"/>
      <c r="S1693" s="109"/>
      <c r="T1693" s="109"/>
      <c r="U1693" s="109"/>
    </row>
    <row r="1694" spans="1:21">
      <c r="A1694" s="109"/>
      <c r="B1694" s="109"/>
      <c r="C1694" s="109"/>
      <c r="D1694" s="109"/>
      <c r="E1694" s="109"/>
      <c r="F1694" s="109"/>
      <c r="G1694" s="109"/>
      <c r="H1694" s="109"/>
      <c r="I1694" s="109"/>
      <c r="J1694" s="109"/>
      <c r="K1694" s="109"/>
      <c r="L1694" s="109"/>
      <c r="M1694" s="109"/>
      <c r="N1694" s="109"/>
      <c r="O1694" s="109"/>
      <c r="P1694" s="109"/>
      <c r="Q1694" s="109"/>
      <c r="R1694" s="109"/>
      <c r="S1694" s="109"/>
      <c r="T1694" s="109"/>
      <c r="U1694" s="109"/>
    </row>
    <row r="1695" spans="1:21">
      <c r="A1695" s="109"/>
      <c r="B1695" s="109"/>
      <c r="C1695" s="109"/>
      <c r="D1695" s="109"/>
      <c r="E1695" s="109"/>
      <c r="F1695" s="109"/>
      <c r="G1695" s="109"/>
      <c r="H1695" s="109"/>
      <c r="I1695" s="109"/>
      <c r="J1695" s="109"/>
      <c r="K1695" s="109"/>
      <c r="L1695" s="109"/>
      <c r="M1695" s="109"/>
      <c r="N1695" s="109"/>
      <c r="O1695" s="109"/>
      <c r="P1695" s="109"/>
      <c r="Q1695" s="109"/>
      <c r="R1695" s="109"/>
      <c r="S1695" s="109"/>
      <c r="T1695" s="109"/>
      <c r="U1695" s="109"/>
    </row>
    <row r="1696" spans="1:21">
      <c r="A1696" s="109"/>
      <c r="B1696" s="109"/>
      <c r="C1696" s="109"/>
      <c r="D1696" s="109"/>
      <c r="E1696" s="109"/>
      <c r="F1696" s="109"/>
      <c r="G1696" s="109"/>
      <c r="H1696" s="109"/>
      <c r="I1696" s="109"/>
      <c r="J1696" s="109"/>
      <c r="K1696" s="109"/>
      <c r="L1696" s="109"/>
      <c r="M1696" s="109"/>
      <c r="N1696" s="109"/>
      <c r="O1696" s="109"/>
      <c r="P1696" s="109"/>
      <c r="Q1696" s="109"/>
      <c r="R1696" s="109"/>
      <c r="S1696" s="109"/>
      <c r="T1696" s="109"/>
      <c r="U1696" s="109"/>
    </row>
    <row r="1697" spans="1:21">
      <c r="A1697" s="109"/>
      <c r="B1697" s="109"/>
      <c r="C1697" s="109"/>
      <c r="D1697" s="109"/>
      <c r="E1697" s="109"/>
      <c r="F1697" s="109"/>
      <c r="G1697" s="109"/>
      <c r="H1697" s="109"/>
      <c r="I1697" s="109"/>
      <c r="J1697" s="109"/>
      <c r="K1697" s="109"/>
      <c r="L1697" s="109"/>
      <c r="M1697" s="109"/>
      <c r="N1697" s="109"/>
      <c r="O1697" s="109"/>
      <c r="P1697" s="109"/>
      <c r="Q1697" s="109"/>
      <c r="R1697" s="109"/>
      <c r="S1697" s="109"/>
      <c r="T1697" s="109"/>
      <c r="U1697" s="109"/>
    </row>
    <row r="1698" spans="1:21">
      <c r="A1698" s="109"/>
      <c r="B1698" s="109"/>
      <c r="C1698" s="109"/>
      <c r="D1698" s="109"/>
      <c r="E1698" s="109"/>
      <c r="F1698" s="109"/>
      <c r="G1698" s="109"/>
      <c r="H1698" s="109"/>
      <c r="I1698" s="109"/>
      <c r="J1698" s="109"/>
      <c r="K1698" s="109"/>
      <c r="L1698" s="109"/>
      <c r="M1698" s="109"/>
      <c r="N1698" s="109"/>
      <c r="O1698" s="109"/>
      <c r="P1698" s="109"/>
      <c r="Q1698" s="109"/>
      <c r="R1698" s="109"/>
      <c r="S1698" s="109"/>
      <c r="T1698" s="109"/>
      <c r="U1698" s="109"/>
    </row>
    <row r="1699" spans="1:21">
      <c r="A1699" s="109"/>
      <c r="B1699" s="109"/>
      <c r="C1699" s="109"/>
      <c r="D1699" s="109"/>
      <c r="E1699" s="109"/>
      <c r="F1699" s="109"/>
      <c r="G1699" s="109"/>
      <c r="H1699" s="109"/>
      <c r="I1699" s="109"/>
      <c r="J1699" s="109"/>
      <c r="K1699" s="109"/>
      <c r="L1699" s="109"/>
      <c r="M1699" s="109"/>
      <c r="N1699" s="109"/>
      <c r="O1699" s="109"/>
      <c r="P1699" s="109"/>
      <c r="Q1699" s="109"/>
      <c r="R1699" s="109"/>
      <c r="S1699" s="109"/>
      <c r="T1699" s="109"/>
      <c r="U1699" s="109"/>
    </row>
    <row r="1700" spans="1:21">
      <c r="A1700" s="109"/>
      <c r="B1700" s="109"/>
      <c r="C1700" s="109"/>
      <c r="D1700" s="109"/>
      <c r="E1700" s="109"/>
      <c r="F1700" s="109"/>
      <c r="G1700" s="109"/>
      <c r="H1700" s="109"/>
      <c r="I1700" s="109"/>
      <c r="J1700" s="109"/>
      <c r="K1700" s="109"/>
      <c r="L1700" s="109"/>
      <c r="M1700" s="109"/>
      <c r="N1700" s="109"/>
      <c r="O1700" s="109"/>
      <c r="P1700" s="109"/>
      <c r="Q1700" s="109"/>
      <c r="R1700" s="109"/>
      <c r="S1700" s="109"/>
      <c r="T1700" s="109"/>
      <c r="U1700" s="109"/>
    </row>
    <row r="1701" spans="1:21">
      <c r="A1701" s="109"/>
      <c r="B1701" s="109"/>
      <c r="C1701" s="109"/>
      <c r="D1701" s="109"/>
      <c r="E1701" s="109"/>
      <c r="F1701" s="109"/>
      <c r="G1701" s="109"/>
      <c r="H1701" s="109"/>
      <c r="I1701" s="109"/>
      <c r="J1701" s="109"/>
      <c r="K1701" s="109"/>
      <c r="L1701" s="109"/>
      <c r="M1701" s="109"/>
      <c r="N1701" s="109"/>
      <c r="O1701" s="109"/>
      <c r="P1701" s="109"/>
      <c r="Q1701" s="109"/>
      <c r="R1701" s="109"/>
      <c r="S1701" s="109"/>
      <c r="T1701" s="109"/>
      <c r="U1701" s="109"/>
    </row>
    <row r="1702" spans="1:21">
      <c r="A1702" s="109"/>
      <c r="B1702" s="109"/>
      <c r="C1702" s="109"/>
      <c r="D1702" s="109"/>
      <c r="E1702" s="109"/>
      <c r="F1702" s="109"/>
      <c r="G1702" s="109"/>
      <c r="H1702" s="109"/>
      <c r="I1702" s="109"/>
      <c r="J1702" s="109"/>
      <c r="K1702" s="109"/>
      <c r="L1702" s="109"/>
      <c r="M1702" s="109"/>
      <c r="N1702" s="109"/>
      <c r="O1702" s="109"/>
      <c r="P1702" s="109"/>
      <c r="Q1702" s="109"/>
      <c r="R1702" s="109"/>
      <c r="S1702" s="109"/>
      <c r="T1702" s="109"/>
      <c r="U1702" s="109"/>
    </row>
    <row r="1703" spans="1:21">
      <c r="A1703" s="109"/>
      <c r="B1703" s="109"/>
      <c r="C1703" s="109"/>
      <c r="D1703" s="109"/>
      <c r="E1703" s="109"/>
      <c r="F1703" s="109"/>
      <c r="G1703" s="109"/>
      <c r="H1703" s="109"/>
      <c r="I1703" s="109"/>
      <c r="J1703" s="109"/>
      <c r="K1703" s="109"/>
      <c r="L1703" s="109"/>
      <c r="M1703" s="109"/>
      <c r="N1703" s="109"/>
      <c r="O1703" s="109"/>
      <c r="P1703" s="109"/>
      <c r="Q1703" s="109"/>
      <c r="R1703" s="109"/>
      <c r="S1703" s="109"/>
      <c r="T1703" s="109"/>
      <c r="U1703" s="109"/>
    </row>
    <row r="1704" spans="1:21">
      <c r="A1704" s="109"/>
      <c r="B1704" s="109"/>
      <c r="C1704" s="109"/>
      <c r="D1704" s="109"/>
      <c r="E1704" s="109"/>
      <c r="F1704" s="109"/>
      <c r="G1704" s="109"/>
      <c r="H1704" s="109"/>
      <c r="I1704" s="109"/>
      <c r="J1704" s="109"/>
      <c r="K1704" s="109"/>
      <c r="L1704" s="109"/>
      <c r="M1704" s="109"/>
      <c r="N1704" s="109"/>
      <c r="O1704" s="109"/>
      <c r="P1704" s="109"/>
      <c r="Q1704" s="109"/>
      <c r="R1704" s="109"/>
      <c r="S1704" s="109"/>
      <c r="T1704" s="109"/>
      <c r="U1704" s="109"/>
    </row>
    <row r="1705" spans="1:21">
      <c r="A1705" s="109"/>
      <c r="B1705" s="109"/>
      <c r="C1705" s="109"/>
      <c r="D1705" s="109"/>
      <c r="E1705" s="109"/>
      <c r="F1705" s="109"/>
      <c r="G1705" s="109"/>
      <c r="H1705" s="109"/>
      <c r="I1705" s="109"/>
      <c r="J1705" s="109"/>
      <c r="K1705" s="109"/>
      <c r="L1705" s="109"/>
      <c r="M1705" s="109"/>
      <c r="N1705" s="109"/>
      <c r="O1705" s="109"/>
      <c r="P1705" s="109"/>
      <c r="Q1705" s="109"/>
      <c r="R1705" s="109"/>
      <c r="S1705" s="109"/>
      <c r="T1705" s="109"/>
      <c r="U1705" s="109"/>
    </row>
    <row r="1706" spans="1:21">
      <c r="A1706" s="109"/>
      <c r="B1706" s="109"/>
      <c r="C1706" s="109"/>
      <c r="D1706" s="109"/>
      <c r="E1706" s="109"/>
      <c r="F1706" s="109"/>
      <c r="G1706" s="109"/>
      <c r="H1706" s="109"/>
      <c r="I1706" s="109"/>
      <c r="J1706" s="109"/>
      <c r="K1706" s="109"/>
      <c r="L1706" s="109"/>
      <c r="M1706" s="109"/>
      <c r="N1706" s="109"/>
      <c r="O1706" s="109"/>
      <c r="P1706" s="109"/>
      <c r="Q1706" s="109"/>
      <c r="R1706" s="109"/>
      <c r="S1706" s="109"/>
      <c r="T1706" s="109"/>
      <c r="U1706" s="109"/>
    </row>
    <row r="1707" spans="1:21">
      <c r="A1707" s="109"/>
      <c r="B1707" s="109"/>
      <c r="C1707" s="109"/>
      <c r="D1707" s="109"/>
      <c r="E1707" s="109"/>
      <c r="F1707" s="109"/>
      <c r="G1707" s="109"/>
      <c r="H1707" s="109"/>
      <c r="I1707" s="109"/>
      <c r="J1707" s="109"/>
      <c r="K1707" s="109"/>
      <c r="L1707" s="109"/>
      <c r="M1707" s="109"/>
      <c r="N1707" s="109"/>
      <c r="O1707" s="109"/>
      <c r="P1707" s="109"/>
      <c r="Q1707" s="109"/>
      <c r="R1707" s="109"/>
      <c r="S1707" s="109"/>
      <c r="T1707" s="109"/>
      <c r="U1707" s="109"/>
    </row>
    <row r="1708" spans="1:21">
      <c r="A1708" s="109"/>
      <c r="B1708" s="109"/>
      <c r="C1708" s="109"/>
      <c r="D1708" s="109"/>
      <c r="E1708" s="109"/>
      <c r="F1708" s="109"/>
      <c r="G1708" s="109"/>
      <c r="H1708" s="109"/>
      <c r="I1708" s="109"/>
      <c r="J1708" s="109"/>
      <c r="K1708" s="109"/>
      <c r="L1708" s="109"/>
      <c r="M1708" s="109"/>
      <c r="N1708" s="109"/>
      <c r="O1708" s="109"/>
      <c r="P1708" s="109"/>
      <c r="Q1708" s="109"/>
      <c r="R1708" s="109"/>
      <c r="S1708" s="109"/>
      <c r="T1708" s="109"/>
      <c r="U1708" s="109"/>
    </row>
    <row r="1709" spans="1:21">
      <c r="A1709" s="109"/>
      <c r="B1709" s="109"/>
      <c r="C1709" s="109"/>
      <c r="D1709" s="109"/>
      <c r="E1709" s="109"/>
      <c r="F1709" s="109"/>
      <c r="G1709" s="109"/>
      <c r="H1709" s="109"/>
      <c r="I1709" s="109"/>
      <c r="J1709" s="109"/>
      <c r="K1709" s="109"/>
      <c r="L1709" s="109"/>
      <c r="M1709" s="109"/>
      <c r="N1709" s="109"/>
      <c r="O1709" s="109"/>
      <c r="P1709" s="109"/>
      <c r="Q1709" s="109"/>
      <c r="R1709" s="109"/>
      <c r="S1709" s="109"/>
      <c r="T1709" s="109"/>
      <c r="U1709" s="109"/>
    </row>
    <row r="1710" spans="1:21">
      <c r="A1710" s="109"/>
      <c r="B1710" s="109"/>
      <c r="C1710" s="109"/>
      <c r="D1710" s="109"/>
      <c r="E1710" s="109"/>
      <c r="F1710" s="109"/>
      <c r="G1710" s="109"/>
      <c r="H1710" s="109"/>
      <c r="I1710" s="109"/>
      <c r="J1710" s="109"/>
      <c r="K1710" s="109"/>
      <c r="L1710" s="109"/>
      <c r="M1710" s="109"/>
      <c r="N1710" s="109"/>
      <c r="O1710" s="109"/>
      <c r="P1710" s="109"/>
      <c r="Q1710" s="109"/>
      <c r="R1710" s="109"/>
      <c r="S1710" s="109"/>
      <c r="T1710" s="109"/>
      <c r="U1710" s="109"/>
    </row>
    <row r="1711" spans="1:21">
      <c r="A1711" s="109"/>
      <c r="B1711" s="109"/>
      <c r="C1711" s="109"/>
      <c r="D1711" s="109"/>
      <c r="E1711" s="109"/>
      <c r="F1711" s="109"/>
      <c r="G1711" s="109"/>
      <c r="H1711" s="109"/>
      <c r="I1711" s="109"/>
      <c r="J1711" s="109"/>
      <c r="K1711" s="109"/>
      <c r="L1711" s="109"/>
      <c r="M1711" s="109"/>
      <c r="N1711" s="109"/>
      <c r="O1711" s="109"/>
      <c r="P1711" s="109"/>
      <c r="Q1711" s="109"/>
      <c r="R1711" s="109"/>
      <c r="S1711" s="109"/>
      <c r="T1711" s="109"/>
      <c r="U1711" s="109"/>
    </row>
    <row r="1712" spans="1:21">
      <c r="A1712" s="109"/>
      <c r="B1712" s="109"/>
      <c r="C1712" s="109"/>
      <c r="D1712" s="109"/>
      <c r="E1712" s="109"/>
      <c r="F1712" s="109"/>
      <c r="G1712" s="109"/>
      <c r="H1712" s="109"/>
      <c r="I1712" s="109"/>
      <c r="J1712" s="109"/>
      <c r="K1712" s="109"/>
      <c r="L1712" s="109"/>
      <c r="M1712" s="109"/>
      <c r="N1712" s="109"/>
      <c r="O1712" s="109"/>
      <c r="P1712" s="109"/>
      <c r="Q1712" s="109"/>
      <c r="R1712" s="109"/>
      <c r="S1712" s="109"/>
      <c r="T1712" s="109"/>
      <c r="U1712" s="109"/>
    </row>
    <row r="1713" spans="1:21">
      <c r="A1713" s="109"/>
      <c r="B1713" s="109"/>
      <c r="C1713" s="109"/>
      <c r="D1713" s="109"/>
      <c r="E1713" s="109"/>
      <c r="F1713" s="109"/>
      <c r="G1713" s="109"/>
      <c r="H1713" s="109"/>
      <c r="I1713" s="109"/>
      <c r="J1713" s="109"/>
      <c r="K1713" s="109"/>
      <c r="L1713" s="109"/>
      <c r="M1713" s="109"/>
      <c r="N1713" s="109"/>
      <c r="O1713" s="109"/>
      <c r="P1713" s="109"/>
      <c r="Q1713" s="109"/>
      <c r="R1713" s="109"/>
      <c r="S1713" s="109"/>
      <c r="T1713" s="109"/>
      <c r="U1713" s="109"/>
    </row>
    <row r="1714" spans="1:21">
      <c r="A1714" s="109"/>
      <c r="B1714" s="109"/>
      <c r="C1714" s="109"/>
      <c r="D1714" s="109"/>
      <c r="E1714" s="109"/>
      <c r="F1714" s="109"/>
      <c r="G1714" s="109"/>
      <c r="H1714" s="109"/>
      <c r="I1714" s="109"/>
      <c r="J1714" s="109"/>
      <c r="K1714" s="109"/>
      <c r="L1714" s="109"/>
      <c r="M1714" s="109"/>
      <c r="N1714" s="109"/>
      <c r="O1714" s="109"/>
      <c r="P1714" s="109"/>
      <c r="Q1714" s="109"/>
      <c r="R1714" s="109"/>
      <c r="S1714" s="109"/>
      <c r="T1714" s="109"/>
      <c r="U1714" s="109"/>
    </row>
    <row r="1715" spans="1:21">
      <c r="A1715" s="109"/>
      <c r="B1715" s="109"/>
      <c r="C1715" s="109"/>
      <c r="D1715" s="109"/>
      <c r="E1715" s="109"/>
      <c r="F1715" s="109"/>
      <c r="G1715" s="109"/>
      <c r="H1715" s="109"/>
      <c r="I1715" s="109"/>
      <c r="J1715" s="109"/>
      <c r="K1715" s="109"/>
      <c r="L1715" s="109"/>
      <c r="M1715" s="109"/>
      <c r="N1715" s="109"/>
      <c r="O1715" s="109"/>
      <c r="P1715" s="109"/>
      <c r="Q1715" s="109"/>
      <c r="R1715" s="109"/>
      <c r="S1715" s="109"/>
      <c r="T1715" s="109"/>
      <c r="U1715" s="109"/>
    </row>
    <row r="1716" spans="1:21">
      <c r="A1716" s="109"/>
      <c r="B1716" s="109"/>
      <c r="C1716" s="109"/>
      <c r="D1716" s="109"/>
      <c r="E1716" s="109"/>
      <c r="F1716" s="109"/>
      <c r="G1716" s="109"/>
      <c r="H1716" s="109"/>
      <c r="I1716" s="109"/>
      <c r="J1716" s="109"/>
      <c r="K1716" s="109"/>
      <c r="L1716" s="109"/>
      <c r="M1716" s="109"/>
      <c r="N1716" s="109"/>
      <c r="O1716" s="109"/>
      <c r="P1716" s="109"/>
      <c r="Q1716" s="109"/>
      <c r="R1716" s="109"/>
      <c r="S1716" s="109"/>
      <c r="T1716" s="109"/>
      <c r="U1716" s="109"/>
    </row>
    <row r="1717" spans="1:21">
      <c r="A1717" s="109"/>
      <c r="B1717" s="109"/>
      <c r="C1717" s="109"/>
      <c r="D1717" s="109"/>
      <c r="E1717" s="109"/>
      <c r="F1717" s="109"/>
      <c r="G1717" s="109"/>
      <c r="H1717" s="109"/>
      <c r="I1717" s="109"/>
      <c r="J1717" s="109"/>
      <c r="K1717" s="109"/>
      <c r="L1717" s="109"/>
      <c r="M1717" s="109"/>
      <c r="N1717" s="109"/>
      <c r="O1717" s="109"/>
      <c r="P1717" s="109"/>
      <c r="Q1717" s="109"/>
      <c r="R1717" s="109"/>
      <c r="S1717" s="109"/>
      <c r="T1717" s="109"/>
      <c r="U1717" s="109"/>
    </row>
    <row r="1718" spans="1:21">
      <c r="A1718" s="109"/>
      <c r="B1718" s="109"/>
      <c r="C1718" s="109"/>
      <c r="D1718" s="109"/>
      <c r="E1718" s="109"/>
      <c r="F1718" s="109"/>
      <c r="G1718" s="109"/>
      <c r="H1718" s="109"/>
      <c r="I1718" s="109"/>
      <c r="J1718" s="109"/>
      <c r="K1718" s="109"/>
      <c r="L1718" s="109"/>
      <c r="M1718" s="109"/>
      <c r="N1718" s="109"/>
      <c r="O1718" s="109"/>
      <c r="P1718" s="109"/>
      <c r="Q1718" s="109"/>
      <c r="R1718" s="109"/>
      <c r="S1718" s="109"/>
      <c r="T1718" s="109"/>
      <c r="U1718" s="109"/>
    </row>
    <row r="1719" spans="1:21">
      <c r="A1719" s="109"/>
      <c r="B1719" s="109"/>
      <c r="C1719" s="109"/>
      <c r="D1719" s="109"/>
      <c r="E1719" s="109"/>
      <c r="F1719" s="109"/>
      <c r="G1719" s="109"/>
      <c r="H1719" s="109"/>
      <c r="I1719" s="109"/>
      <c r="J1719" s="109"/>
      <c r="K1719" s="109"/>
      <c r="L1719" s="109"/>
      <c r="M1719" s="109"/>
      <c r="N1719" s="109"/>
      <c r="O1719" s="109"/>
      <c r="P1719" s="109"/>
      <c r="Q1719" s="109"/>
      <c r="R1719" s="109"/>
      <c r="S1719" s="109"/>
      <c r="T1719" s="109"/>
      <c r="U1719" s="109"/>
    </row>
    <row r="1720" spans="1:21">
      <c r="A1720" s="109"/>
      <c r="B1720" s="109"/>
      <c r="C1720" s="109"/>
      <c r="D1720" s="109"/>
      <c r="E1720" s="109"/>
      <c r="F1720" s="109"/>
      <c r="G1720" s="109"/>
      <c r="H1720" s="109"/>
      <c r="I1720" s="109"/>
      <c r="J1720" s="109"/>
      <c r="K1720" s="109"/>
      <c r="L1720" s="109"/>
      <c r="M1720" s="109"/>
      <c r="N1720" s="109"/>
      <c r="O1720" s="109"/>
      <c r="P1720" s="109"/>
      <c r="Q1720" s="109"/>
      <c r="R1720" s="109"/>
      <c r="S1720" s="109"/>
      <c r="T1720" s="109"/>
      <c r="U1720" s="109"/>
    </row>
    <row r="1721" spans="1:21">
      <c r="A1721" s="109"/>
      <c r="B1721" s="109"/>
      <c r="C1721" s="109"/>
      <c r="D1721" s="109"/>
      <c r="E1721" s="109"/>
      <c r="F1721" s="109"/>
      <c r="G1721" s="109"/>
      <c r="H1721" s="109"/>
      <c r="I1721" s="109"/>
      <c r="J1721" s="109"/>
      <c r="K1721" s="109"/>
      <c r="L1721" s="109"/>
      <c r="M1721" s="109"/>
      <c r="N1721" s="109"/>
      <c r="O1721" s="109"/>
      <c r="P1721" s="109"/>
      <c r="Q1721" s="109"/>
      <c r="R1721" s="109"/>
      <c r="S1721" s="109"/>
      <c r="T1721" s="109"/>
      <c r="U1721" s="109"/>
    </row>
    <row r="1722" spans="1:21">
      <c r="A1722" s="109"/>
      <c r="B1722" s="109"/>
      <c r="C1722" s="109"/>
      <c r="D1722" s="109"/>
      <c r="E1722" s="109"/>
      <c r="F1722" s="109"/>
      <c r="G1722" s="109"/>
      <c r="H1722" s="109"/>
      <c r="I1722" s="109"/>
      <c r="J1722" s="109"/>
      <c r="K1722" s="109"/>
      <c r="L1722" s="109"/>
      <c r="M1722" s="109"/>
      <c r="N1722" s="109"/>
      <c r="O1722" s="109"/>
      <c r="P1722" s="109"/>
      <c r="Q1722" s="109"/>
      <c r="R1722" s="109"/>
      <c r="S1722" s="109"/>
      <c r="T1722" s="109"/>
      <c r="U1722" s="109"/>
    </row>
    <row r="1723" spans="1:21">
      <c r="A1723" s="109"/>
      <c r="B1723" s="109"/>
      <c r="C1723" s="109"/>
      <c r="D1723" s="109"/>
      <c r="E1723" s="109"/>
      <c r="F1723" s="109"/>
      <c r="G1723" s="109"/>
      <c r="H1723" s="109"/>
      <c r="I1723" s="109"/>
      <c r="J1723" s="109"/>
      <c r="K1723" s="109"/>
      <c r="L1723" s="109"/>
      <c r="M1723" s="109"/>
      <c r="N1723" s="109"/>
      <c r="O1723" s="109"/>
      <c r="P1723" s="109"/>
      <c r="Q1723" s="109"/>
      <c r="R1723" s="109"/>
      <c r="S1723" s="109"/>
      <c r="T1723" s="109"/>
      <c r="U1723" s="109"/>
    </row>
    <row r="1724" spans="1:21">
      <c r="A1724" s="109"/>
      <c r="B1724" s="109"/>
      <c r="C1724" s="109"/>
      <c r="D1724" s="109"/>
      <c r="E1724" s="109"/>
      <c r="F1724" s="109"/>
      <c r="G1724" s="109"/>
      <c r="H1724" s="109"/>
      <c r="I1724" s="109"/>
      <c r="J1724" s="109"/>
      <c r="K1724" s="109"/>
      <c r="L1724" s="109"/>
      <c r="M1724" s="109"/>
      <c r="N1724" s="109"/>
      <c r="O1724" s="109"/>
      <c r="P1724" s="109"/>
      <c r="Q1724" s="109"/>
      <c r="R1724" s="109"/>
      <c r="S1724" s="109"/>
      <c r="T1724" s="109"/>
      <c r="U1724" s="109"/>
    </row>
    <row r="1725" spans="1:21">
      <c r="A1725" s="109"/>
      <c r="B1725" s="109"/>
      <c r="C1725" s="109"/>
      <c r="D1725" s="109"/>
      <c r="E1725" s="109"/>
      <c r="F1725" s="109"/>
      <c r="G1725" s="109"/>
      <c r="H1725" s="109"/>
      <c r="I1725" s="109"/>
      <c r="J1725" s="109"/>
      <c r="K1725" s="109"/>
      <c r="L1725" s="109"/>
      <c r="M1725" s="109"/>
      <c r="N1725" s="109"/>
      <c r="O1725" s="109"/>
      <c r="P1725" s="109"/>
      <c r="Q1725" s="109"/>
      <c r="R1725" s="109"/>
      <c r="S1725" s="109"/>
      <c r="T1725" s="109"/>
      <c r="U1725" s="109"/>
    </row>
    <row r="1726" spans="1:21">
      <c r="A1726" s="109"/>
      <c r="B1726" s="109"/>
      <c r="C1726" s="109"/>
      <c r="D1726" s="109"/>
      <c r="E1726" s="109"/>
      <c r="F1726" s="109"/>
      <c r="G1726" s="109"/>
      <c r="H1726" s="109"/>
      <c r="I1726" s="109"/>
      <c r="J1726" s="109"/>
      <c r="K1726" s="109"/>
      <c r="L1726" s="109"/>
      <c r="M1726" s="109"/>
      <c r="N1726" s="109"/>
      <c r="O1726" s="109"/>
      <c r="P1726" s="109"/>
      <c r="Q1726" s="109"/>
      <c r="R1726" s="109"/>
      <c r="S1726" s="109"/>
      <c r="T1726" s="109"/>
      <c r="U1726" s="109"/>
    </row>
    <row r="1727" spans="1:21">
      <c r="A1727" s="109"/>
      <c r="B1727" s="109"/>
      <c r="C1727" s="109"/>
      <c r="D1727" s="109"/>
      <c r="E1727" s="109"/>
      <c r="F1727" s="109"/>
      <c r="G1727" s="109"/>
      <c r="H1727" s="109"/>
      <c r="I1727" s="109"/>
      <c r="J1727" s="109"/>
      <c r="K1727" s="109"/>
      <c r="L1727" s="109"/>
      <c r="M1727" s="109"/>
      <c r="N1727" s="109"/>
      <c r="O1727" s="109"/>
      <c r="P1727" s="109"/>
      <c r="Q1727" s="109"/>
      <c r="R1727" s="109"/>
      <c r="S1727" s="109"/>
      <c r="T1727" s="109"/>
      <c r="U1727" s="109"/>
    </row>
    <row r="1728" spans="1:21">
      <c r="A1728" s="109"/>
      <c r="B1728" s="109"/>
      <c r="C1728" s="109"/>
      <c r="D1728" s="109"/>
      <c r="E1728" s="109"/>
      <c r="F1728" s="109"/>
      <c r="G1728" s="109"/>
      <c r="H1728" s="109"/>
      <c r="I1728" s="109"/>
      <c r="J1728" s="109"/>
      <c r="K1728" s="109"/>
      <c r="L1728" s="109"/>
      <c r="M1728" s="109"/>
      <c r="N1728" s="109"/>
      <c r="O1728" s="109"/>
      <c r="P1728" s="109"/>
      <c r="Q1728" s="109"/>
      <c r="R1728" s="109"/>
      <c r="S1728" s="109"/>
      <c r="T1728" s="109"/>
      <c r="U1728" s="109"/>
    </row>
    <row r="1729" spans="1:21">
      <c r="A1729" s="109"/>
      <c r="B1729" s="109"/>
      <c r="C1729" s="109"/>
      <c r="D1729" s="109"/>
      <c r="E1729" s="109"/>
      <c r="F1729" s="109"/>
      <c r="G1729" s="109"/>
      <c r="H1729" s="109"/>
      <c r="I1729" s="109"/>
      <c r="J1729" s="109"/>
      <c r="K1729" s="109"/>
      <c r="L1729" s="109"/>
      <c r="M1729" s="109"/>
      <c r="N1729" s="109"/>
      <c r="O1729" s="109"/>
      <c r="P1729" s="109"/>
      <c r="Q1729" s="109"/>
      <c r="R1729" s="109"/>
      <c r="S1729" s="109"/>
      <c r="T1729" s="109"/>
      <c r="U1729" s="109"/>
    </row>
    <row r="1730" spans="1:21">
      <c r="A1730" s="109"/>
      <c r="B1730" s="109"/>
      <c r="C1730" s="109"/>
      <c r="D1730" s="109"/>
      <c r="E1730" s="109"/>
      <c r="F1730" s="109"/>
      <c r="G1730" s="109"/>
      <c r="H1730" s="109"/>
      <c r="I1730" s="109"/>
      <c r="J1730" s="109"/>
      <c r="K1730" s="109"/>
      <c r="L1730" s="109"/>
      <c r="M1730" s="109"/>
      <c r="N1730" s="109"/>
      <c r="O1730" s="109"/>
      <c r="P1730" s="109"/>
      <c r="Q1730" s="109"/>
      <c r="R1730" s="109"/>
      <c r="S1730" s="109"/>
      <c r="T1730" s="109"/>
      <c r="U1730" s="109"/>
    </row>
    <row r="1731" spans="1:21">
      <c r="A1731" s="109"/>
      <c r="B1731" s="109"/>
      <c r="C1731" s="109"/>
      <c r="D1731" s="109"/>
      <c r="E1731" s="109"/>
      <c r="F1731" s="109"/>
      <c r="G1731" s="109"/>
      <c r="H1731" s="109"/>
      <c r="I1731" s="109"/>
      <c r="J1731" s="109"/>
      <c r="K1731" s="109"/>
      <c r="L1731" s="109"/>
      <c r="M1731" s="109"/>
      <c r="N1731" s="109"/>
      <c r="O1731" s="109"/>
      <c r="P1731" s="109"/>
      <c r="Q1731" s="109"/>
      <c r="R1731" s="109"/>
      <c r="S1731" s="109"/>
      <c r="T1731" s="109"/>
      <c r="U1731" s="109"/>
    </row>
    <row r="1732" spans="1:21">
      <c r="A1732" s="109"/>
      <c r="B1732" s="109"/>
      <c r="C1732" s="109"/>
      <c r="D1732" s="109"/>
      <c r="E1732" s="109"/>
      <c r="F1732" s="109"/>
      <c r="G1732" s="109"/>
      <c r="H1732" s="109"/>
      <c r="I1732" s="109"/>
      <c r="J1732" s="109"/>
      <c r="K1732" s="109"/>
      <c r="L1732" s="109"/>
      <c r="M1732" s="109"/>
      <c r="N1732" s="109"/>
      <c r="O1732" s="109"/>
      <c r="P1732" s="109"/>
      <c r="Q1732" s="109"/>
      <c r="R1732" s="109"/>
      <c r="S1732" s="109"/>
      <c r="T1732" s="109"/>
      <c r="U1732" s="109"/>
    </row>
    <row r="1733" spans="1:21">
      <c r="A1733" s="109"/>
      <c r="B1733" s="109"/>
      <c r="C1733" s="109"/>
      <c r="D1733" s="109"/>
      <c r="E1733" s="109"/>
      <c r="F1733" s="109"/>
      <c r="G1733" s="109"/>
      <c r="H1733" s="109"/>
      <c r="I1733" s="109"/>
      <c r="J1733" s="109"/>
      <c r="K1733" s="109"/>
      <c r="L1733" s="109"/>
      <c r="M1733" s="109"/>
      <c r="N1733" s="109"/>
      <c r="O1733" s="109"/>
      <c r="P1733" s="109"/>
      <c r="Q1733" s="109"/>
      <c r="R1733" s="109"/>
      <c r="S1733" s="109"/>
      <c r="T1733" s="109"/>
      <c r="U1733" s="109"/>
    </row>
    <row r="1734" spans="1:21">
      <c r="A1734" s="109"/>
      <c r="B1734" s="109"/>
      <c r="C1734" s="109"/>
      <c r="D1734" s="109"/>
      <c r="E1734" s="109"/>
      <c r="F1734" s="109"/>
      <c r="G1734" s="109"/>
      <c r="H1734" s="109"/>
      <c r="I1734" s="109"/>
      <c r="J1734" s="109"/>
      <c r="K1734" s="109"/>
      <c r="L1734" s="109"/>
      <c r="M1734" s="109"/>
      <c r="N1734" s="109"/>
      <c r="O1734" s="109"/>
      <c r="P1734" s="109"/>
      <c r="Q1734" s="109"/>
      <c r="R1734" s="109"/>
      <c r="S1734" s="109"/>
      <c r="T1734" s="109"/>
      <c r="U1734" s="109"/>
    </row>
    <row r="1735" spans="1:21">
      <c r="A1735" s="109"/>
      <c r="B1735" s="109"/>
      <c r="C1735" s="109"/>
      <c r="D1735" s="109"/>
      <c r="E1735" s="109"/>
      <c r="F1735" s="109"/>
      <c r="G1735" s="109"/>
      <c r="H1735" s="109"/>
      <c r="I1735" s="109"/>
      <c r="J1735" s="109"/>
      <c r="K1735" s="109"/>
      <c r="L1735" s="109"/>
      <c r="M1735" s="109"/>
      <c r="N1735" s="109"/>
      <c r="O1735" s="109"/>
      <c r="P1735" s="109"/>
      <c r="Q1735" s="109"/>
      <c r="R1735" s="109"/>
      <c r="S1735" s="109"/>
      <c r="T1735" s="109"/>
      <c r="U1735" s="109"/>
    </row>
    <row r="1736" spans="1:21">
      <c r="A1736" s="109"/>
      <c r="B1736" s="109"/>
      <c r="C1736" s="109"/>
      <c r="D1736" s="109"/>
      <c r="E1736" s="109"/>
      <c r="F1736" s="109"/>
      <c r="G1736" s="109"/>
      <c r="H1736" s="109"/>
      <c r="I1736" s="109"/>
      <c r="J1736" s="109"/>
      <c r="K1736" s="109"/>
      <c r="L1736" s="109"/>
      <c r="M1736" s="109"/>
      <c r="N1736" s="109"/>
      <c r="O1736" s="109"/>
      <c r="P1736" s="109"/>
      <c r="Q1736" s="109"/>
      <c r="R1736" s="109"/>
      <c r="S1736" s="109"/>
      <c r="T1736" s="109"/>
      <c r="U1736" s="109"/>
    </row>
    <row r="1737" spans="1:21">
      <c r="A1737" s="109"/>
      <c r="B1737" s="109"/>
      <c r="C1737" s="109"/>
      <c r="D1737" s="109"/>
      <c r="E1737" s="109"/>
      <c r="F1737" s="109"/>
      <c r="G1737" s="109"/>
      <c r="H1737" s="109"/>
      <c r="I1737" s="109"/>
      <c r="J1737" s="109"/>
      <c r="K1737" s="109"/>
      <c r="L1737" s="109"/>
      <c r="M1737" s="109"/>
      <c r="N1737" s="109"/>
      <c r="O1737" s="109"/>
      <c r="P1737" s="109"/>
      <c r="Q1737" s="109"/>
      <c r="R1737" s="109"/>
      <c r="S1737" s="109"/>
      <c r="T1737" s="109"/>
      <c r="U1737" s="109"/>
    </row>
    <row r="1738" spans="1:21">
      <c r="A1738" s="109"/>
      <c r="B1738" s="109"/>
      <c r="C1738" s="109"/>
      <c r="D1738" s="109"/>
      <c r="E1738" s="109"/>
      <c r="F1738" s="109"/>
      <c r="G1738" s="109"/>
      <c r="H1738" s="109"/>
      <c r="I1738" s="109"/>
      <c r="J1738" s="109"/>
      <c r="K1738" s="109"/>
      <c r="L1738" s="109"/>
      <c r="M1738" s="109"/>
      <c r="N1738" s="109"/>
      <c r="O1738" s="109"/>
      <c r="P1738" s="109"/>
      <c r="Q1738" s="109"/>
      <c r="R1738" s="109"/>
      <c r="S1738" s="109"/>
      <c r="T1738" s="109"/>
      <c r="U1738" s="109"/>
    </row>
    <row r="1739" spans="1:21">
      <c r="A1739" s="109"/>
      <c r="B1739" s="109"/>
      <c r="C1739" s="109"/>
      <c r="D1739" s="109"/>
      <c r="E1739" s="109"/>
      <c r="F1739" s="109"/>
      <c r="G1739" s="109"/>
      <c r="H1739" s="109"/>
      <c r="I1739" s="109"/>
      <c r="J1739" s="109"/>
      <c r="K1739" s="109"/>
      <c r="L1739" s="109"/>
      <c r="M1739" s="109"/>
      <c r="N1739" s="109"/>
      <c r="O1739" s="109"/>
      <c r="P1739" s="109"/>
      <c r="Q1739" s="109"/>
      <c r="R1739" s="109"/>
      <c r="S1739" s="109"/>
      <c r="T1739" s="109"/>
      <c r="U1739" s="109"/>
    </row>
    <row r="1740" spans="1:21">
      <c r="A1740" s="109"/>
      <c r="B1740" s="109"/>
      <c r="C1740" s="109"/>
      <c r="D1740" s="109"/>
      <c r="E1740" s="109"/>
      <c r="F1740" s="109"/>
      <c r="G1740" s="109"/>
      <c r="H1740" s="109"/>
      <c r="I1740" s="109"/>
      <c r="J1740" s="109"/>
      <c r="K1740" s="109"/>
      <c r="L1740" s="109"/>
      <c r="M1740" s="109"/>
      <c r="N1740" s="109"/>
      <c r="O1740" s="109"/>
      <c r="P1740" s="109"/>
      <c r="Q1740" s="109"/>
      <c r="R1740" s="109"/>
      <c r="S1740" s="109"/>
      <c r="T1740" s="109"/>
      <c r="U1740" s="109"/>
    </row>
    <row r="1741" spans="1:21">
      <c r="A1741" s="109"/>
      <c r="B1741" s="109"/>
      <c r="C1741" s="109"/>
      <c r="D1741" s="109"/>
      <c r="E1741" s="109"/>
      <c r="F1741" s="109"/>
      <c r="G1741" s="109"/>
      <c r="H1741" s="109"/>
      <c r="I1741" s="109"/>
      <c r="J1741" s="109"/>
      <c r="K1741" s="109"/>
      <c r="L1741" s="109"/>
      <c r="M1741" s="109"/>
      <c r="N1741" s="109"/>
      <c r="O1741" s="109"/>
      <c r="P1741" s="109"/>
      <c r="Q1741" s="109"/>
      <c r="R1741" s="109"/>
      <c r="S1741" s="109"/>
      <c r="T1741" s="109"/>
      <c r="U1741" s="109"/>
    </row>
    <row r="1742" spans="1:21">
      <c r="A1742" s="109"/>
      <c r="B1742" s="109"/>
      <c r="C1742" s="109"/>
      <c r="D1742" s="109"/>
      <c r="E1742" s="109"/>
      <c r="F1742" s="109"/>
      <c r="G1742" s="109"/>
      <c r="H1742" s="109"/>
      <c r="I1742" s="109"/>
      <c r="J1742" s="109"/>
      <c r="K1742" s="109"/>
      <c r="L1742" s="109"/>
      <c r="M1742" s="109"/>
      <c r="N1742" s="109"/>
      <c r="O1742" s="109"/>
      <c r="P1742" s="109"/>
      <c r="Q1742" s="109"/>
      <c r="R1742" s="109"/>
      <c r="S1742" s="109"/>
      <c r="T1742" s="109"/>
      <c r="U1742" s="109"/>
    </row>
    <row r="1743" spans="1:21">
      <c r="A1743" s="109"/>
      <c r="B1743" s="109"/>
      <c r="C1743" s="109"/>
      <c r="D1743" s="109"/>
      <c r="E1743" s="109"/>
      <c r="F1743" s="109"/>
      <c r="G1743" s="109"/>
      <c r="H1743" s="109"/>
      <c r="I1743" s="109"/>
      <c r="J1743" s="109"/>
      <c r="K1743" s="109"/>
      <c r="L1743" s="109"/>
      <c r="M1743" s="109"/>
      <c r="N1743" s="109"/>
      <c r="O1743" s="109"/>
      <c r="P1743" s="109"/>
      <c r="Q1743" s="109"/>
      <c r="R1743" s="109"/>
      <c r="S1743" s="109"/>
      <c r="T1743" s="109"/>
      <c r="U1743" s="109"/>
    </row>
    <row r="1744" spans="1:21">
      <c r="A1744" s="109"/>
      <c r="B1744" s="109"/>
      <c r="C1744" s="109"/>
      <c r="D1744" s="109"/>
      <c r="E1744" s="109"/>
      <c r="F1744" s="109"/>
      <c r="G1744" s="109"/>
      <c r="H1744" s="109"/>
      <c r="I1744" s="109"/>
      <c r="J1744" s="109"/>
      <c r="K1744" s="109"/>
      <c r="L1744" s="109"/>
      <c r="M1744" s="109"/>
      <c r="N1744" s="109"/>
      <c r="O1744" s="109"/>
      <c r="P1744" s="109"/>
      <c r="Q1744" s="109"/>
      <c r="R1744" s="109"/>
      <c r="S1744" s="109"/>
      <c r="T1744" s="109"/>
      <c r="U1744" s="109"/>
    </row>
    <row r="1745" spans="1:21">
      <c r="A1745" s="109"/>
      <c r="B1745" s="109"/>
      <c r="C1745" s="109"/>
      <c r="D1745" s="109"/>
      <c r="E1745" s="109"/>
      <c r="F1745" s="109"/>
      <c r="G1745" s="109"/>
      <c r="H1745" s="109"/>
      <c r="I1745" s="109"/>
      <c r="J1745" s="109"/>
      <c r="K1745" s="109"/>
      <c r="L1745" s="109"/>
      <c r="M1745" s="109"/>
      <c r="N1745" s="109"/>
      <c r="O1745" s="109"/>
      <c r="P1745" s="109"/>
      <c r="Q1745" s="109"/>
      <c r="R1745" s="109"/>
      <c r="S1745" s="109"/>
      <c r="T1745" s="109"/>
      <c r="U1745" s="109"/>
    </row>
    <row r="1746" spans="1:21">
      <c r="A1746" s="109"/>
      <c r="B1746" s="109"/>
      <c r="C1746" s="109"/>
      <c r="D1746" s="109"/>
      <c r="E1746" s="109"/>
      <c r="F1746" s="109"/>
      <c r="G1746" s="109"/>
      <c r="H1746" s="109"/>
      <c r="I1746" s="109"/>
      <c r="J1746" s="109"/>
      <c r="K1746" s="109"/>
      <c r="L1746" s="109"/>
      <c r="M1746" s="109"/>
      <c r="N1746" s="109"/>
      <c r="O1746" s="109"/>
      <c r="P1746" s="109"/>
      <c r="Q1746" s="109"/>
      <c r="R1746" s="109"/>
      <c r="S1746" s="109"/>
      <c r="T1746" s="109"/>
      <c r="U1746" s="109"/>
    </row>
    <row r="1747" spans="1:21">
      <c r="A1747" s="109"/>
      <c r="B1747" s="109"/>
      <c r="C1747" s="109"/>
      <c r="D1747" s="109"/>
      <c r="E1747" s="109"/>
      <c r="F1747" s="109"/>
      <c r="G1747" s="109"/>
      <c r="H1747" s="109"/>
      <c r="I1747" s="109"/>
      <c r="J1747" s="109"/>
      <c r="K1747" s="109"/>
      <c r="L1747" s="109"/>
      <c r="M1747" s="109"/>
      <c r="N1747" s="109"/>
      <c r="O1747" s="109"/>
      <c r="P1747" s="109"/>
      <c r="Q1747" s="109"/>
      <c r="R1747" s="109"/>
      <c r="S1747" s="109"/>
      <c r="T1747" s="109"/>
      <c r="U1747" s="109"/>
    </row>
    <row r="1748" spans="1:21">
      <c r="A1748" s="109"/>
      <c r="B1748" s="109"/>
      <c r="C1748" s="109"/>
      <c r="D1748" s="109"/>
      <c r="E1748" s="109"/>
      <c r="F1748" s="109"/>
      <c r="G1748" s="109"/>
      <c r="H1748" s="109"/>
      <c r="I1748" s="109"/>
      <c r="J1748" s="109"/>
      <c r="K1748" s="109"/>
      <c r="L1748" s="109"/>
      <c r="M1748" s="109"/>
      <c r="N1748" s="109"/>
      <c r="O1748" s="109"/>
      <c r="P1748" s="109"/>
      <c r="Q1748" s="109"/>
      <c r="R1748" s="109"/>
      <c r="S1748" s="109"/>
      <c r="T1748" s="109"/>
      <c r="U1748" s="109"/>
    </row>
    <row r="1749" spans="1:21">
      <c r="A1749" s="109"/>
      <c r="B1749" s="109"/>
      <c r="C1749" s="109"/>
      <c r="D1749" s="109"/>
      <c r="E1749" s="109"/>
      <c r="F1749" s="109"/>
      <c r="G1749" s="109"/>
      <c r="H1749" s="109"/>
      <c r="I1749" s="109"/>
      <c r="J1749" s="109"/>
      <c r="K1749" s="109"/>
      <c r="L1749" s="109"/>
      <c r="M1749" s="109"/>
      <c r="N1749" s="109"/>
      <c r="O1749" s="109"/>
      <c r="P1749" s="109"/>
      <c r="Q1749" s="109"/>
      <c r="R1749" s="109"/>
      <c r="S1749" s="109"/>
      <c r="T1749" s="109"/>
      <c r="U1749" s="109"/>
    </row>
    <row r="1750" spans="1:21">
      <c r="A1750" s="109"/>
      <c r="B1750" s="109"/>
      <c r="C1750" s="109"/>
      <c r="D1750" s="109"/>
      <c r="E1750" s="109"/>
      <c r="F1750" s="109"/>
      <c r="G1750" s="109"/>
      <c r="H1750" s="109"/>
      <c r="I1750" s="109"/>
      <c r="J1750" s="109"/>
      <c r="K1750" s="109"/>
      <c r="L1750" s="109"/>
      <c r="M1750" s="109"/>
      <c r="N1750" s="109"/>
      <c r="O1750" s="109"/>
      <c r="P1750" s="109"/>
      <c r="Q1750" s="109"/>
      <c r="R1750" s="109"/>
      <c r="S1750" s="109"/>
      <c r="T1750" s="109"/>
      <c r="U1750" s="109"/>
    </row>
    <row r="1751" spans="1:21">
      <c r="A1751" s="109"/>
      <c r="B1751" s="109"/>
      <c r="C1751" s="109"/>
      <c r="D1751" s="109"/>
      <c r="E1751" s="109"/>
      <c r="F1751" s="109"/>
      <c r="G1751" s="109"/>
      <c r="H1751" s="109"/>
      <c r="I1751" s="109"/>
      <c r="J1751" s="109"/>
      <c r="K1751" s="109"/>
      <c r="L1751" s="109"/>
      <c r="M1751" s="109"/>
      <c r="N1751" s="109"/>
      <c r="O1751" s="109"/>
      <c r="P1751" s="109"/>
      <c r="Q1751" s="109"/>
      <c r="R1751" s="109"/>
      <c r="S1751" s="109"/>
      <c r="T1751" s="109"/>
      <c r="U1751" s="109"/>
    </row>
    <row r="1752" spans="1:21">
      <c r="A1752" s="109"/>
      <c r="B1752" s="109"/>
      <c r="C1752" s="109"/>
      <c r="D1752" s="109"/>
      <c r="E1752" s="109"/>
      <c r="F1752" s="109"/>
      <c r="G1752" s="109"/>
      <c r="H1752" s="109"/>
      <c r="I1752" s="109"/>
      <c r="J1752" s="109"/>
      <c r="K1752" s="109"/>
      <c r="L1752" s="109"/>
      <c r="M1752" s="109"/>
      <c r="N1752" s="109"/>
      <c r="O1752" s="109"/>
      <c r="P1752" s="109"/>
      <c r="Q1752" s="109"/>
      <c r="R1752" s="109"/>
      <c r="S1752" s="109"/>
      <c r="T1752" s="109"/>
      <c r="U1752" s="109"/>
    </row>
    <row r="1753" spans="1:21">
      <c r="A1753" s="109"/>
      <c r="B1753" s="109"/>
      <c r="C1753" s="109"/>
      <c r="D1753" s="109"/>
      <c r="E1753" s="109"/>
      <c r="F1753" s="109"/>
      <c r="G1753" s="109"/>
      <c r="H1753" s="109"/>
      <c r="I1753" s="109"/>
      <c r="J1753" s="109"/>
      <c r="K1753" s="109"/>
      <c r="L1753" s="109"/>
      <c r="M1753" s="109"/>
      <c r="N1753" s="109"/>
      <c r="O1753" s="109"/>
      <c r="P1753" s="109"/>
      <c r="Q1753" s="109"/>
      <c r="R1753" s="109"/>
      <c r="S1753" s="109"/>
      <c r="T1753" s="109"/>
      <c r="U1753" s="109"/>
    </row>
    <row r="1754" spans="1:21">
      <c r="A1754" s="109"/>
      <c r="B1754" s="109"/>
      <c r="C1754" s="109"/>
      <c r="D1754" s="109"/>
      <c r="E1754" s="109"/>
      <c r="F1754" s="109"/>
      <c r="G1754" s="109"/>
      <c r="H1754" s="109"/>
      <c r="I1754" s="109"/>
      <c r="J1754" s="109"/>
      <c r="K1754" s="109"/>
      <c r="L1754" s="109"/>
      <c r="M1754" s="109"/>
      <c r="N1754" s="109"/>
      <c r="O1754" s="109"/>
      <c r="P1754" s="109"/>
      <c r="Q1754" s="109"/>
      <c r="R1754" s="109"/>
      <c r="S1754" s="109"/>
      <c r="T1754" s="109"/>
      <c r="U1754" s="109"/>
    </row>
    <row r="1755" spans="1:21">
      <c r="A1755" s="109"/>
      <c r="B1755" s="109"/>
      <c r="C1755" s="109"/>
      <c r="D1755" s="109"/>
      <c r="E1755" s="109"/>
      <c r="F1755" s="109"/>
      <c r="G1755" s="109"/>
      <c r="H1755" s="109"/>
      <c r="I1755" s="109"/>
      <c r="J1755" s="109"/>
      <c r="K1755" s="109"/>
      <c r="L1755" s="109"/>
      <c r="M1755" s="109"/>
      <c r="N1755" s="109"/>
      <c r="O1755" s="109"/>
      <c r="P1755" s="109"/>
      <c r="Q1755" s="109"/>
      <c r="R1755" s="109"/>
      <c r="S1755" s="109"/>
      <c r="T1755" s="109"/>
      <c r="U1755" s="109"/>
    </row>
    <row r="1756" spans="1:21">
      <c r="A1756" s="109"/>
      <c r="B1756" s="109"/>
      <c r="C1756" s="109"/>
      <c r="D1756" s="109"/>
      <c r="E1756" s="109"/>
      <c r="F1756" s="109"/>
      <c r="G1756" s="109"/>
      <c r="H1756" s="109"/>
      <c r="I1756" s="109"/>
      <c r="J1756" s="109"/>
      <c r="K1756" s="109"/>
      <c r="L1756" s="109"/>
      <c r="M1756" s="109"/>
      <c r="N1756" s="109"/>
      <c r="O1756" s="109"/>
      <c r="P1756" s="109"/>
      <c r="Q1756" s="109"/>
      <c r="R1756" s="109"/>
      <c r="S1756" s="109"/>
      <c r="T1756" s="109"/>
      <c r="U1756" s="109"/>
    </row>
    <row r="1757" spans="1:21">
      <c r="A1757" s="109"/>
      <c r="B1757" s="109"/>
      <c r="C1757" s="109"/>
      <c r="D1757" s="109"/>
      <c r="E1757" s="109"/>
      <c r="F1757" s="109"/>
      <c r="G1757" s="109"/>
      <c r="H1757" s="109"/>
      <c r="I1757" s="109"/>
      <c r="J1757" s="109"/>
      <c r="K1757" s="109"/>
      <c r="L1757" s="109"/>
      <c r="M1757" s="109"/>
      <c r="N1757" s="109"/>
      <c r="O1757" s="109"/>
      <c r="P1757" s="109"/>
      <c r="Q1757" s="109"/>
      <c r="R1757" s="109"/>
      <c r="S1757" s="109"/>
      <c r="T1757" s="109"/>
      <c r="U1757" s="109"/>
    </row>
    <row r="1758" spans="1:21">
      <c r="A1758" s="109"/>
      <c r="B1758" s="109"/>
      <c r="C1758" s="109"/>
      <c r="D1758" s="109"/>
      <c r="E1758" s="109"/>
      <c r="F1758" s="109"/>
      <c r="G1758" s="109"/>
      <c r="H1758" s="109"/>
      <c r="I1758" s="109"/>
      <c r="J1758" s="109"/>
      <c r="K1758" s="109"/>
      <c r="L1758" s="109"/>
      <c r="M1758" s="109"/>
      <c r="N1758" s="109"/>
      <c r="O1758" s="109"/>
      <c r="P1758" s="109"/>
      <c r="Q1758" s="109"/>
      <c r="R1758" s="109"/>
      <c r="S1758" s="109"/>
      <c r="T1758" s="109"/>
      <c r="U1758" s="109"/>
    </row>
    <row r="1759" spans="1:21">
      <c r="A1759" s="109"/>
      <c r="B1759" s="109"/>
      <c r="C1759" s="109"/>
      <c r="D1759" s="109"/>
      <c r="E1759" s="109"/>
      <c r="F1759" s="109"/>
      <c r="G1759" s="109"/>
      <c r="H1759" s="109"/>
      <c r="I1759" s="109"/>
      <c r="J1759" s="109"/>
      <c r="K1759" s="109"/>
      <c r="L1759" s="109"/>
      <c r="M1759" s="109"/>
      <c r="N1759" s="109"/>
      <c r="O1759" s="109"/>
      <c r="P1759" s="109"/>
      <c r="Q1759" s="109"/>
      <c r="R1759" s="109"/>
      <c r="S1759" s="109"/>
      <c r="T1759" s="109"/>
      <c r="U1759" s="109"/>
    </row>
    <row r="1760" spans="1:21">
      <c r="A1760" s="109"/>
      <c r="B1760" s="109"/>
      <c r="C1760" s="109"/>
      <c r="D1760" s="109"/>
      <c r="E1760" s="109"/>
      <c r="F1760" s="109"/>
      <c r="G1760" s="109"/>
      <c r="H1760" s="109"/>
      <c r="I1760" s="109"/>
      <c r="J1760" s="109"/>
      <c r="K1760" s="109"/>
      <c r="L1760" s="109"/>
      <c r="M1760" s="109"/>
      <c r="N1760" s="109"/>
      <c r="O1760" s="109"/>
      <c r="P1760" s="109"/>
      <c r="Q1760" s="109"/>
      <c r="R1760" s="109"/>
      <c r="S1760" s="109"/>
      <c r="T1760" s="109"/>
      <c r="U1760" s="109"/>
    </row>
    <row r="1761" spans="1:21">
      <c r="A1761" s="109"/>
      <c r="B1761" s="109"/>
      <c r="C1761" s="109"/>
      <c r="D1761" s="109"/>
      <c r="E1761" s="109"/>
      <c r="F1761" s="109"/>
      <c r="G1761" s="109"/>
      <c r="H1761" s="109"/>
      <c r="I1761" s="109"/>
      <c r="J1761" s="109"/>
      <c r="K1761" s="109"/>
      <c r="L1761" s="109"/>
      <c r="M1761" s="109"/>
      <c r="N1761" s="109"/>
      <c r="O1761" s="109"/>
      <c r="P1761" s="109"/>
      <c r="Q1761" s="109"/>
      <c r="R1761" s="109"/>
      <c r="S1761" s="109"/>
      <c r="T1761" s="109"/>
      <c r="U1761" s="109"/>
    </row>
    <row r="1762" spans="1:21">
      <c r="A1762" s="109"/>
      <c r="B1762" s="109"/>
      <c r="C1762" s="109"/>
      <c r="D1762" s="109"/>
      <c r="E1762" s="109"/>
      <c r="F1762" s="109"/>
      <c r="G1762" s="109"/>
      <c r="H1762" s="109"/>
      <c r="I1762" s="109"/>
      <c r="J1762" s="109"/>
      <c r="K1762" s="109"/>
      <c r="L1762" s="109"/>
      <c r="M1762" s="109"/>
      <c r="N1762" s="109"/>
      <c r="O1762" s="109"/>
      <c r="P1762" s="109"/>
      <c r="Q1762" s="109"/>
      <c r="R1762" s="109"/>
      <c r="S1762" s="109"/>
      <c r="T1762" s="109"/>
      <c r="U1762" s="109"/>
    </row>
    <row r="1763" spans="1:21">
      <c r="A1763" s="109"/>
      <c r="B1763" s="109"/>
      <c r="C1763" s="109"/>
      <c r="D1763" s="109"/>
      <c r="E1763" s="109"/>
      <c r="F1763" s="109"/>
      <c r="G1763" s="109"/>
      <c r="H1763" s="109"/>
      <c r="I1763" s="109"/>
      <c r="J1763" s="109"/>
      <c r="K1763" s="109"/>
      <c r="L1763" s="109"/>
      <c r="M1763" s="109"/>
      <c r="N1763" s="109"/>
      <c r="O1763" s="109"/>
      <c r="P1763" s="109"/>
      <c r="Q1763" s="109"/>
      <c r="R1763" s="109"/>
      <c r="S1763" s="109"/>
      <c r="T1763" s="109"/>
      <c r="U1763" s="109"/>
    </row>
    <row r="1764" spans="1:21">
      <c r="A1764" s="109"/>
      <c r="B1764" s="109"/>
      <c r="C1764" s="109"/>
      <c r="D1764" s="109"/>
      <c r="E1764" s="109"/>
      <c r="F1764" s="109"/>
      <c r="G1764" s="109"/>
      <c r="H1764" s="109"/>
      <c r="I1764" s="109"/>
      <c r="J1764" s="109"/>
      <c r="K1764" s="109"/>
      <c r="L1764" s="109"/>
      <c r="M1764" s="109"/>
      <c r="N1764" s="109"/>
      <c r="O1764" s="109"/>
      <c r="P1764" s="109"/>
      <c r="Q1764" s="109"/>
      <c r="R1764" s="109"/>
      <c r="S1764" s="109"/>
      <c r="T1764" s="109"/>
      <c r="U1764" s="109"/>
    </row>
    <row r="1765" spans="1:21">
      <c r="A1765" s="109"/>
      <c r="B1765" s="109"/>
      <c r="C1765" s="109"/>
      <c r="D1765" s="109"/>
      <c r="E1765" s="109"/>
      <c r="F1765" s="109"/>
      <c r="G1765" s="109"/>
      <c r="H1765" s="109"/>
      <c r="I1765" s="109"/>
      <c r="J1765" s="109"/>
      <c r="K1765" s="109"/>
      <c r="L1765" s="109"/>
      <c r="M1765" s="109"/>
      <c r="N1765" s="109"/>
      <c r="O1765" s="109"/>
      <c r="P1765" s="109"/>
      <c r="Q1765" s="109"/>
      <c r="R1765" s="109"/>
      <c r="S1765" s="109"/>
      <c r="T1765" s="109"/>
      <c r="U1765" s="109"/>
    </row>
    <row r="1766" spans="1:21">
      <c r="A1766" s="109"/>
      <c r="B1766" s="109"/>
      <c r="C1766" s="109"/>
      <c r="D1766" s="109"/>
      <c r="E1766" s="109"/>
      <c r="F1766" s="109"/>
      <c r="G1766" s="109"/>
      <c r="H1766" s="109"/>
      <c r="I1766" s="109"/>
      <c r="J1766" s="109"/>
      <c r="K1766" s="109"/>
      <c r="L1766" s="109"/>
      <c r="M1766" s="109"/>
      <c r="N1766" s="109"/>
      <c r="O1766" s="109"/>
      <c r="P1766" s="109"/>
      <c r="Q1766" s="109"/>
      <c r="R1766" s="109"/>
      <c r="S1766" s="109"/>
      <c r="T1766" s="109"/>
      <c r="U1766" s="109"/>
    </row>
    <row r="1767" spans="1:21">
      <c r="A1767" s="109"/>
      <c r="B1767" s="109"/>
      <c r="C1767" s="109"/>
      <c r="D1767" s="109"/>
      <c r="E1767" s="109"/>
      <c r="F1767" s="109"/>
      <c r="G1767" s="109"/>
      <c r="H1767" s="109"/>
      <c r="I1767" s="109"/>
      <c r="J1767" s="109"/>
      <c r="K1767" s="109"/>
      <c r="L1767" s="109"/>
      <c r="M1767" s="109"/>
      <c r="N1767" s="109"/>
      <c r="O1767" s="109"/>
      <c r="P1767" s="109"/>
      <c r="Q1767" s="109"/>
      <c r="R1767" s="109"/>
      <c r="S1767" s="109"/>
      <c r="T1767" s="109"/>
      <c r="U1767" s="109"/>
    </row>
    <row r="1768" spans="1:21">
      <c r="A1768" s="109"/>
      <c r="B1768" s="109"/>
      <c r="C1768" s="109"/>
      <c r="D1768" s="109"/>
      <c r="E1768" s="109"/>
      <c r="F1768" s="109"/>
      <c r="G1768" s="109"/>
      <c r="H1768" s="109"/>
      <c r="I1768" s="109"/>
      <c r="J1768" s="109"/>
      <c r="K1768" s="109"/>
      <c r="L1768" s="109"/>
      <c r="M1768" s="109"/>
      <c r="N1768" s="109"/>
      <c r="O1768" s="109"/>
      <c r="P1768" s="109"/>
      <c r="Q1768" s="109"/>
      <c r="R1768" s="109"/>
      <c r="S1768" s="109"/>
      <c r="T1768" s="109"/>
      <c r="U1768" s="109"/>
    </row>
    <row r="1769" spans="1:21">
      <c r="A1769" s="109"/>
      <c r="B1769" s="109"/>
      <c r="C1769" s="109"/>
      <c r="D1769" s="109"/>
      <c r="E1769" s="109"/>
      <c r="F1769" s="109"/>
      <c r="G1769" s="109"/>
      <c r="H1769" s="109"/>
      <c r="I1769" s="109"/>
      <c r="J1769" s="109"/>
      <c r="K1769" s="109"/>
      <c r="L1769" s="109"/>
      <c r="M1769" s="109"/>
      <c r="N1769" s="109"/>
      <c r="O1769" s="109"/>
      <c r="P1769" s="109"/>
      <c r="Q1769" s="109"/>
      <c r="R1769" s="109"/>
      <c r="S1769" s="109"/>
      <c r="T1769" s="109"/>
      <c r="U1769" s="109"/>
    </row>
    <row r="1770" spans="1:21">
      <c r="A1770" s="109"/>
      <c r="B1770" s="109"/>
      <c r="C1770" s="109"/>
      <c r="D1770" s="109"/>
      <c r="E1770" s="109"/>
      <c r="F1770" s="109"/>
      <c r="G1770" s="109"/>
      <c r="H1770" s="109"/>
      <c r="I1770" s="109"/>
      <c r="J1770" s="109"/>
      <c r="K1770" s="109"/>
      <c r="L1770" s="109"/>
      <c r="M1770" s="109"/>
      <c r="N1770" s="109"/>
      <c r="O1770" s="109"/>
      <c r="P1770" s="109"/>
      <c r="Q1770" s="109"/>
      <c r="R1770" s="109"/>
      <c r="S1770" s="109"/>
      <c r="T1770" s="109"/>
      <c r="U1770" s="109"/>
    </row>
    <row r="1771" spans="1:21">
      <c r="A1771" s="109"/>
      <c r="B1771" s="109"/>
      <c r="C1771" s="109"/>
      <c r="D1771" s="109"/>
      <c r="E1771" s="109"/>
      <c r="F1771" s="109"/>
      <c r="G1771" s="109"/>
      <c r="H1771" s="109"/>
      <c r="I1771" s="109"/>
      <c r="J1771" s="109"/>
      <c r="K1771" s="109"/>
      <c r="L1771" s="109"/>
      <c r="M1771" s="109"/>
      <c r="N1771" s="109"/>
      <c r="O1771" s="109"/>
      <c r="P1771" s="109"/>
      <c r="Q1771" s="109"/>
      <c r="R1771" s="109"/>
      <c r="S1771" s="109"/>
      <c r="T1771" s="109"/>
      <c r="U1771" s="109"/>
    </row>
    <row r="1772" spans="1:21">
      <c r="A1772" s="109"/>
      <c r="B1772" s="109"/>
      <c r="C1772" s="109"/>
      <c r="D1772" s="109"/>
      <c r="E1772" s="109"/>
      <c r="F1772" s="109"/>
      <c r="G1772" s="109"/>
      <c r="H1772" s="109"/>
      <c r="I1772" s="109"/>
      <c r="J1772" s="109"/>
      <c r="K1772" s="109"/>
      <c r="L1772" s="109"/>
      <c r="M1772" s="109"/>
      <c r="N1772" s="109"/>
      <c r="O1772" s="109"/>
      <c r="P1772" s="109"/>
      <c r="Q1772" s="109"/>
      <c r="R1772" s="109"/>
      <c r="S1772" s="109"/>
      <c r="T1772" s="109"/>
      <c r="U1772" s="109"/>
    </row>
    <row r="1773" spans="1:21">
      <c r="A1773" s="109"/>
      <c r="B1773" s="109"/>
      <c r="C1773" s="109"/>
      <c r="D1773" s="109"/>
      <c r="E1773" s="109"/>
      <c r="F1773" s="109"/>
      <c r="G1773" s="109"/>
      <c r="H1773" s="109"/>
      <c r="I1773" s="109"/>
      <c r="J1773" s="109"/>
      <c r="K1773" s="109"/>
      <c r="L1773" s="109"/>
      <c r="M1773" s="109"/>
      <c r="N1773" s="109"/>
      <c r="O1773" s="109"/>
      <c r="P1773" s="109"/>
      <c r="Q1773" s="109"/>
      <c r="R1773" s="109"/>
      <c r="S1773" s="109"/>
      <c r="T1773" s="109"/>
      <c r="U1773" s="109"/>
    </row>
    <row r="1774" spans="1:21">
      <c r="A1774" s="109"/>
      <c r="B1774" s="109"/>
      <c r="C1774" s="109"/>
      <c r="D1774" s="109"/>
      <c r="E1774" s="109"/>
      <c r="F1774" s="109"/>
      <c r="G1774" s="109"/>
      <c r="H1774" s="109"/>
      <c r="I1774" s="109"/>
      <c r="J1774" s="109"/>
      <c r="K1774" s="109"/>
      <c r="L1774" s="109"/>
      <c r="M1774" s="109"/>
      <c r="N1774" s="109"/>
      <c r="O1774" s="109"/>
      <c r="P1774" s="109"/>
      <c r="Q1774" s="109"/>
      <c r="R1774" s="109"/>
      <c r="S1774" s="109"/>
      <c r="T1774" s="109"/>
      <c r="U1774" s="109"/>
    </row>
    <row r="1775" spans="1:21">
      <c r="A1775" s="109"/>
      <c r="B1775" s="109"/>
      <c r="C1775" s="109"/>
      <c r="D1775" s="109"/>
      <c r="E1775" s="109"/>
      <c r="F1775" s="109"/>
      <c r="G1775" s="109"/>
      <c r="H1775" s="109"/>
      <c r="I1775" s="109"/>
      <c r="J1775" s="109"/>
      <c r="K1775" s="109"/>
      <c r="L1775" s="109"/>
      <c r="M1775" s="109"/>
      <c r="N1775" s="109"/>
      <c r="O1775" s="109"/>
      <c r="P1775" s="109"/>
      <c r="Q1775" s="109"/>
      <c r="R1775" s="109"/>
      <c r="S1775" s="109"/>
      <c r="T1775" s="109"/>
      <c r="U1775" s="109"/>
    </row>
    <row r="1776" spans="1:21">
      <c r="A1776" s="109"/>
      <c r="B1776" s="109"/>
      <c r="C1776" s="109"/>
      <c r="D1776" s="109"/>
      <c r="E1776" s="109"/>
      <c r="F1776" s="109"/>
      <c r="G1776" s="109"/>
      <c r="H1776" s="109"/>
      <c r="I1776" s="109"/>
      <c r="J1776" s="109"/>
      <c r="K1776" s="109"/>
      <c r="L1776" s="109"/>
      <c r="M1776" s="109"/>
      <c r="N1776" s="109"/>
      <c r="O1776" s="109"/>
      <c r="P1776" s="109"/>
      <c r="Q1776" s="109"/>
      <c r="R1776" s="109"/>
      <c r="S1776" s="109"/>
      <c r="T1776" s="109"/>
      <c r="U1776" s="109"/>
    </row>
    <row r="1777" spans="1:21">
      <c r="A1777" s="109"/>
      <c r="B1777" s="109"/>
      <c r="C1777" s="109"/>
      <c r="D1777" s="109"/>
      <c r="E1777" s="109"/>
      <c r="F1777" s="109"/>
      <c r="G1777" s="109"/>
      <c r="H1777" s="109"/>
      <c r="I1777" s="109"/>
      <c r="J1777" s="109"/>
      <c r="K1777" s="109"/>
      <c r="L1777" s="109"/>
      <c r="M1777" s="109"/>
      <c r="N1777" s="109"/>
      <c r="O1777" s="109"/>
      <c r="P1777" s="109"/>
      <c r="Q1777" s="109"/>
      <c r="R1777" s="109"/>
      <c r="S1777" s="109"/>
      <c r="T1777" s="109"/>
      <c r="U1777" s="109"/>
    </row>
    <row r="1778" spans="1:21">
      <c r="A1778" s="109"/>
      <c r="B1778" s="109"/>
      <c r="C1778" s="109"/>
      <c r="D1778" s="109"/>
      <c r="E1778" s="109"/>
      <c r="F1778" s="109"/>
      <c r="G1778" s="109"/>
      <c r="H1778" s="109"/>
      <c r="I1778" s="109"/>
      <c r="J1778" s="109"/>
      <c r="K1778" s="109"/>
      <c r="L1778" s="109"/>
      <c r="M1778" s="109"/>
      <c r="N1778" s="109"/>
      <c r="O1778" s="109"/>
      <c r="P1778" s="109"/>
      <c r="Q1778" s="109"/>
      <c r="R1778" s="109"/>
      <c r="S1778" s="109"/>
      <c r="T1778" s="109"/>
      <c r="U1778" s="109"/>
    </row>
    <row r="1779" spans="1:21">
      <c r="A1779" s="109"/>
      <c r="B1779" s="109"/>
      <c r="C1779" s="109"/>
      <c r="D1779" s="109"/>
      <c r="E1779" s="109"/>
      <c r="F1779" s="109"/>
      <c r="G1779" s="109"/>
      <c r="H1779" s="109"/>
      <c r="I1779" s="109"/>
      <c r="J1779" s="109"/>
      <c r="K1779" s="109"/>
      <c r="L1779" s="109"/>
      <c r="M1779" s="109"/>
      <c r="N1779" s="109"/>
      <c r="O1779" s="109"/>
      <c r="P1779" s="109"/>
      <c r="Q1779" s="109"/>
      <c r="R1779" s="109"/>
      <c r="S1779" s="109"/>
      <c r="T1779" s="109"/>
      <c r="U1779" s="109"/>
    </row>
    <row r="1780" spans="1:21">
      <c r="A1780" s="109"/>
      <c r="B1780" s="109"/>
      <c r="C1780" s="109"/>
      <c r="D1780" s="109"/>
      <c r="E1780" s="109"/>
      <c r="F1780" s="109"/>
      <c r="G1780" s="109"/>
      <c r="H1780" s="109"/>
      <c r="I1780" s="109"/>
      <c r="J1780" s="109"/>
      <c r="K1780" s="109"/>
      <c r="L1780" s="109"/>
      <c r="M1780" s="109"/>
      <c r="N1780" s="109"/>
      <c r="O1780" s="109"/>
      <c r="P1780" s="109"/>
      <c r="Q1780" s="109"/>
      <c r="R1780" s="109"/>
      <c r="S1780" s="109"/>
      <c r="T1780" s="109"/>
      <c r="U1780" s="109"/>
    </row>
    <row r="1781" spans="1:21">
      <c r="A1781" s="109"/>
      <c r="B1781" s="109"/>
      <c r="C1781" s="109"/>
      <c r="D1781" s="109"/>
      <c r="E1781" s="109"/>
      <c r="F1781" s="109"/>
      <c r="G1781" s="109"/>
      <c r="H1781" s="109"/>
      <c r="I1781" s="109"/>
      <c r="J1781" s="109"/>
      <c r="K1781" s="109"/>
      <c r="L1781" s="109"/>
      <c r="M1781" s="109"/>
      <c r="N1781" s="109"/>
      <c r="O1781" s="109"/>
      <c r="P1781" s="109"/>
      <c r="Q1781" s="109"/>
      <c r="R1781" s="109"/>
      <c r="S1781" s="109"/>
      <c r="T1781" s="109"/>
      <c r="U1781" s="109"/>
    </row>
    <row r="1782" spans="1:21">
      <c r="A1782" s="109"/>
      <c r="B1782" s="109"/>
      <c r="C1782" s="109"/>
      <c r="D1782" s="109"/>
      <c r="E1782" s="109"/>
      <c r="F1782" s="109"/>
      <c r="G1782" s="109"/>
      <c r="H1782" s="109"/>
      <c r="I1782" s="109"/>
      <c r="J1782" s="109"/>
      <c r="K1782" s="109"/>
      <c r="L1782" s="109"/>
      <c r="M1782" s="109"/>
      <c r="N1782" s="109"/>
      <c r="O1782" s="109"/>
      <c r="P1782" s="109"/>
      <c r="Q1782" s="109"/>
      <c r="R1782" s="109"/>
      <c r="S1782" s="109"/>
      <c r="T1782" s="109"/>
      <c r="U1782" s="109"/>
    </row>
    <row r="1783" spans="1:21">
      <c r="A1783" s="109"/>
      <c r="B1783" s="109"/>
      <c r="C1783" s="109"/>
      <c r="D1783" s="109"/>
      <c r="E1783" s="109"/>
      <c r="F1783" s="109"/>
      <c r="G1783" s="109"/>
      <c r="H1783" s="109"/>
      <c r="I1783" s="109"/>
      <c r="J1783" s="109"/>
      <c r="K1783" s="109"/>
      <c r="L1783" s="109"/>
      <c r="M1783" s="109"/>
      <c r="N1783" s="109"/>
      <c r="O1783" s="109"/>
      <c r="P1783" s="109"/>
      <c r="Q1783" s="109"/>
      <c r="R1783" s="109"/>
      <c r="S1783" s="109"/>
      <c r="T1783" s="109"/>
      <c r="U1783" s="109"/>
    </row>
    <row r="1784" spans="1:21">
      <c r="A1784" s="109"/>
      <c r="B1784" s="109"/>
      <c r="C1784" s="109"/>
      <c r="D1784" s="109"/>
      <c r="E1784" s="109"/>
      <c r="F1784" s="109"/>
      <c r="G1784" s="109"/>
      <c r="H1784" s="109"/>
      <c r="I1784" s="109"/>
      <c r="J1784" s="109"/>
      <c r="K1784" s="109"/>
      <c r="L1784" s="109"/>
      <c r="M1784" s="109"/>
      <c r="N1784" s="109"/>
      <c r="O1784" s="109"/>
      <c r="P1784" s="109"/>
      <c r="Q1784" s="109"/>
      <c r="R1784" s="109"/>
      <c r="S1784" s="109"/>
      <c r="T1784" s="109"/>
      <c r="U1784" s="109"/>
    </row>
    <row r="1785" spans="1:21">
      <c r="A1785" s="109"/>
      <c r="B1785" s="109"/>
      <c r="C1785" s="109"/>
      <c r="D1785" s="109"/>
      <c r="E1785" s="109"/>
      <c r="F1785" s="109"/>
      <c r="G1785" s="109"/>
      <c r="H1785" s="109"/>
      <c r="I1785" s="109"/>
      <c r="J1785" s="109"/>
      <c r="K1785" s="109"/>
      <c r="L1785" s="109"/>
      <c r="M1785" s="109"/>
      <c r="N1785" s="109"/>
      <c r="O1785" s="109"/>
      <c r="P1785" s="109"/>
      <c r="Q1785" s="109"/>
      <c r="R1785" s="109"/>
      <c r="S1785" s="109"/>
      <c r="T1785" s="109"/>
      <c r="U1785" s="109"/>
    </row>
    <row r="1786" spans="1:21">
      <c r="A1786" s="109"/>
      <c r="B1786" s="109"/>
      <c r="C1786" s="109"/>
      <c r="D1786" s="109"/>
      <c r="E1786" s="109"/>
      <c r="F1786" s="109"/>
      <c r="G1786" s="109"/>
      <c r="H1786" s="109"/>
      <c r="I1786" s="109"/>
      <c r="J1786" s="109"/>
      <c r="K1786" s="109"/>
      <c r="L1786" s="109"/>
      <c r="M1786" s="109"/>
      <c r="N1786" s="109"/>
      <c r="O1786" s="109"/>
      <c r="P1786" s="109"/>
      <c r="Q1786" s="109"/>
      <c r="R1786" s="109"/>
      <c r="S1786" s="109"/>
      <c r="T1786" s="109"/>
      <c r="U1786" s="109"/>
    </row>
    <row r="1787" spans="1:21">
      <c r="A1787" s="109"/>
      <c r="B1787" s="109"/>
      <c r="C1787" s="109"/>
      <c r="D1787" s="109"/>
      <c r="E1787" s="109"/>
      <c r="F1787" s="109"/>
      <c r="G1787" s="109"/>
      <c r="H1787" s="109"/>
      <c r="I1787" s="109"/>
      <c r="J1787" s="109"/>
      <c r="K1787" s="109"/>
      <c r="L1787" s="109"/>
      <c r="M1787" s="109"/>
      <c r="N1787" s="109"/>
      <c r="O1787" s="109"/>
      <c r="P1787" s="109"/>
      <c r="Q1787" s="109"/>
      <c r="R1787" s="109"/>
      <c r="S1787" s="109"/>
      <c r="T1787" s="109"/>
      <c r="U1787" s="109"/>
    </row>
    <row r="1788" spans="1:21">
      <c r="A1788" s="109"/>
      <c r="B1788" s="109"/>
      <c r="C1788" s="109"/>
      <c r="D1788" s="109"/>
      <c r="E1788" s="109"/>
      <c r="F1788" s="109"/>
      <c r="G1788" s="109"/>
      <c r="H1788" s="109"/>
      <c r="I1788" s="109"/>
      <c r="J1788" s="109"/>
      <c r="K1788" s="109"/>
      <c r="L1788" s="109"/>
      <c r="M1788" s="109"/>
      <c r="N1788" s="109"/>
      <c r="O1788" s="109"/>
      <c r="P1788" s="109"/>
      <c r="Q1788" s="109"/>
      <c r="R1788" s="109"/>
      <c r="S1788" s="109"/>
      <c r="T1788" s="109"/>
      <c r="U1788" s="109"/>
    </row>
    <row r="1789" spans="1:21">
      <c r="A1789" s="109"/>
      <c r="B1789" s="109"/>
      <c r="C1789" s="109"/>
      <c r="D1789" s="109"/>
      <c r="E1789" s="109"/>
      <c r="F1789" s="109"/>
      <c r="G1789" s="109"/>
      <c r="H1789" s="109"/>
      <c r="I1789" s="109"/>
      <c r="J1789" s="109"/>
      <c r="K1789" s="109"/>
      <c r="L1789" s="109"/>
      <c r="M1789" s="109"/>
      <c r="N1789" s="109"/>
      <c r="O1789" s="109"/>
      <c r="P1789" s="109"/>
      <c r="Q1789" s="109"/>
      <c r="R1789" s="109"/>
      <c r="S1789" s="109"/>
      <c r="T1789" s="109"/>
      <c r="U1789" s="109"/>
    </row>
    <row r="1790" spans="1:21">
      <c r="A1790" s="109"/>
      <c r="B1790" s="109"/>
      <c r="C1790" s="109"/>
      <c r="D1790" s="109"/>
      <c r="E1790" s="109"/>
      <c r="F1790" s="109"/>
      <c r="G1790" s="109"/>
      <c r="H1790" s="109"/>
      <c r="I1790" s="109"/>
      <c r="J1790" s="109"/>
      <c r="K1790" s="109"/>
      <c r="L1790" s="109"/>
      <c r="M1790" s="109"/>
      <c r="N1790" s="109"/>
      <c r="O1790" s="109"/>
      <c r="P1790" s="109"/>
      <c r="Q1790" s="109"/>
      <c r="R1790" s="109"/>
      <c r="S1790" s="109"/>
      <c r="T1790" s="109"/>
      <c r="U1790" s="109"/>
    </row>
    <row r="1791" spans="1:21">
      <c r="A1791" s="109"/>
      <c r="B1791" s="109"/>
      <c r="C1791" s="109"/>
      <c r="D1791" s="109"/>
      <c r="E1791" s="109"/>
      <c r="F1791" s="109"/>
      <c r="G1791" s="109"/>
      <c r="H1791" s="109"/>
      <c r="I1791" s="109"/>
      <c r="J1791" s="109"/>
      <c r="K1791" s="109"/>
      <c r="L1791" s="109"/>
      <c r="M1791" s="109"/>
      <c r="N1791" s="109"/>
      <c r="O1791" s="109"/>
      <c r="P1791" s="109"/>
      <c r="Q1791" s="109"/>
      <c r="R1791" s="109"/>
      <c r="S1791" s="109"/>
      <c r="T1791" s="109"/>
      <c r="U1791" s="109"/>
    </row>
    <row r="1792" spans="1:21">
      <c r="A1792" s="109"/>
      <c r="B1792" s="109"/>
      <c r="C1792" s="109"/>
      <c r="D1792" s="109"/>
      <c r="E1792" s="109"/>
      <c r="F1792" s="109"/>
      <c r="G1792" s="109"/>
      <c r="H1792" s="109"/>
      <c r="I1792" s="109"/>
      <c r="J1792" s="109"/>
      <c r="K1792" s="109"/>
      <c r="L1792" s="109"/>
      <c r="M1792" s="109"/>
      <c r="N1792" s="109"/>
      <c r="O1792" s="109"/>
      <c r="P1792" s="109"/>
      <c r="Q1792" s="109"/>
      <c r="R1792" s="109"/>
      <c r="S1792" s="109"/>
      <c r="T1792" s="109"/>
      <c r="U1792" s="109"/>
    </row>
    <row r="1793" spans="1:21">
      <c r="A1793" s="109"/>
      <c r="B1793" s="109"/>
      <c r="C1793" s="109"/>
      <c r="D1793" s="109"/>
      <c r="E1793" s="109"/>
      <c r="F1793" s="109"/>
      <c r="G1793" s="109"/>
      <c r="H1793" s="109"/>
      <c r="I1793" s="109"/>
      <c r="J1793" s="109"/>
      <c r="K1793" s="109"/>
      <c r="L1793" s="109"/>
      <c r="M1793" s="109"/>
      <c r="N1793" s="109"/>
      <c r="O1793" s="109"/>
      <c r="P1793" s="109"/>
      <c r="Q1793" s="109"/>
      <c r="R1793" s="109"/>
      <c r="S1793" s="109"/>
      <c r="T1793" s="109"/>
      <c r="U1793" s="109"/>
    </row>
    <row r="1794" spans="1:21">
      <c r="A1794" s="109"/>
      <c r="B1794" s="109"/>
      <c r="C1794" s="109"/>
      <c r="D1794" s="109"/>
      <c r="E1794" s="109"/>
      <c r="F1794" s="109"/>
      <c r="G1794" s="109"/>
      <c r="H1794" s="109"/>
      <c r="I1794" s="109"/>
      <c r="J1794" s="109"/>
      <c r="K1794" s="109"/>
      <c r="L1794" s="109"/>
      <c r="M1794" s="109"/>
      <c r="N1794" s="109"/>
      <c r="O1794" s="109"/>
      <c r="P1794" s="109"/>
      <c r="Q1794" s="109"/>
      <c r="R1794" s="109"/>
      <c r="S1794" s="109"/>
      <c r="T1794" s="109"/>
      <c r="U1794" s="109"/>
    </row>
    <row r="1795" spans="1:21">
      <c r="A1795" s="109"/>
      <c r="B1795" s="109"/>
      <c r="C1795" s="109"/>
      <c r="D1795" s="109"/>
      <c r="E1795" s="109"/>
      <c r="F1795" s="109"/>
      <c r="G1795" s="109"/>
      <c r="H1795" s="109"/>
      <c r="I1795" s="109"/>
      <c r="J1795" s="109"/>
      <c r="K1795" s="109"/>
      <c r="L1795" s="109"/>
      <c r="M1795" s="109"/>
      <c r="N1795" s="109"/>
      <c r="O1795" s="109"/>
      <c r="P1795" s="109"/>
      <c r="Q1795" s="109"/>
      <c r="R1795" s="109"/>
      <c r="S1795" s="109"/>
      <c r="T1795" s="109"/>
      <c r="U1795" s="109"/>
    </row>
    <row r="1796" spans="1:21">
      <c r="A1796" s="109"/>
      <c r="B1796" s="109"/>
      <c r="C1796" s="109"/>
      <c r="D1796" s="109"/>
      <c r="E1796" s="109"/>
      <c r="F1796" s="109"/>
      <c r="G1796" s="109"/>
      <c r="H1796" s="109"/>
      <c r="I1796" s="109"/>
      <c r="J1796" s="109"/>
      <c r="K1796" s="109"/>
      <c r="L1796" s="109"/>
      <c r="M1796" s="109"/>
      <c r="N1796" s="109"/>
      <c r="O1796" s="109"/>
      <c r="P1796" s="109"/>
      <c r="Q1796" s="109"/>
      <c r="R1796" s="109"/>
      <c r="S1796" s="109"/>
      <c r="T1796" s="109"/>
      <c r="U1796" s="109"/>
    </row>
    <row r="1797" spans="1:21">
      <c r="A1797" s="109"/>
      <c r="B1797" s="109"/>
      <c r="C1797" s="109"/>
      <c r="D1797" s="109"/>
      <c r="E1797" s="109"/>
      <c r="F1797" s="109"/>
      <c r="G1797" s="109"/>
      <c r="H1797" s="109"/>
      <c r="I1797" s="109"/>
      <c r="J1797" s="109"/>
      <c r="K1797" s="109"/>
      <c r="L1797" s="109"/>
      <c r="M1797" s="109"/>
      <c r="N1797" s="109"/>
      <c r="O1797" s="109"/>
      <c r="P1797" s="109"/>
      <c r="Q1797" s="109"/>
      <c r="R1797" s="109"/>
      <c r="S1797" s="109"/>
      <c r="T1797" s="109"/>
      <c r="U1797" s="109"/>
    </row>
    <row r="1798" spans="1:21">
      <c r="A1798" s="109"/>
      <c r="B1798" s="109"/>
      <c r="C1798" s="109"/>
      <c r="D1798" s="109"/>
      <c r="E1798" s="109"/>
      <c r="F1798" s="109"/>
      <c r="G1798" s="109"/>
      <c r="H1798" s="109"/>
      <c r="I1798" s="109"/>
      <c r="J1798" s="109"/>
      <c r="K1798" s="109"/>
      <c r="L1798" s="109"/>
      <c r="M1798" s="109"/>
      <c r="N1798" s="109"/>
      <c r="O1798" s="109"/>
      <c r="P1798" s="109"/>
      <c r="Q1798" s="109"/>
      <c r="R1798" s="109"/>
      <c r="S1798" s="109"/>
      <c r="T1798" s="109"/>
      <c r="U1798" s="109"/>
    </row>
    <row r="1799" spans="1:21">
      <c r="A1799" s="109"/>
      <c r="B1799" s="109"/>
      <c r="C1799" s="109"/>
      <c r="D1799" s="109"/>
      <c r="E1799" s="109"/>
      <c r="F1799" s="109"/>
      <c r="G1799" s="109"/>
      <c r="H1799" s="109"/>
      <c r="I1799" s="109"/>
      <c r="J1799" s="109"/>
      <c r="K1799" s="109"/>
      <c r="L1799" s="109"/>
      <c r="M1799" s="109"/>
      <c r="N1799" s="109"/>
      <c r="O1799" s="109"/>
      <c r="P1799" s="109"/>
      <c r="Q1799" s="109"/>
      <c r="R1799" s="109"/>
      <c r="S1799" s="109"/>
      <c r="T1799" s="109"/>
      <c r="U1799" s="109"/>
    </row>
    <row r="1800" spans="1:21">
      <c r="A1800" s="109"/>
      <c r="B1800" s="109"/>
      <c r="C1800" s="109"/>
      <c r="D1800" s="109"/>
      <c r="E1800" s="109"/>
      <c r="F1800" s="109"/>
      <c r="G1800" s="109"/>
      <c r="H1800" s="109"/>
      <c r="I1800" s="109"/>
      <c r="J1800" s="109"/>
      <c r="K1800" s="109"/>
      <c r="L1800" s="109"/>
      <c r="M1800" s="109"/>
      <c r="N1800" s="109"/>
      <c r="O1800" s="109"/>
      <c r="P1800" s="109"/>
      <c r="Q1800" s="109"/>
      <c r="R1800" s="109"/>
      <c r="S1800" s="109"/>
      <c r="T1800" s="109"/>
      <c r="U1800" s="109"/>
    </row>
    <row r="1801" spans="1:21">
      <c r="A1801" s="109"/>
      <c r="B1801" s="109"/>
      <c r="C1801" s="109"/>
      <c r="D1801" s="109"/>
      <c r="E1801" s="109"/>
      <c r="F1801" s="109"/>
      <c r="G1801" s="109"/>
      <c r="H1801" s="109"/>
      <c r="I1801" s="109"/>
      <c r="J1801" s="109"/>
      <c r="K1801" s="109"/>
      <c r="L1801" s="109"/>
      <c r="M1801" s="109"/>
      <c r="N1801" s="109"/>
      <c r="O1801" s="109"/>
      <c r="P1801" s="109"/>
      <c r="Q1801" s="109"/>
      <c r="R1801" s="109"/>
      <c r="S1801" s="109"/>
      <c r="T1801" s="109"/>
      <c r="U1801" s="109"/>
    </row>
    <row r="1802" spans="1:21">
      <c r="A1802" s="109"/>
      <c r="B1802" s="109"/>
      <c r="C1802" s="109"/>
      <c r="D1802" s="109"/>
      <c r="E1802" s="109"/>
      <c r="F1802" s="109"/>
      <c r="G1802" s="109"/>
      <c r="H1802" s="109"/>
      <c r="I1802" s="109"/>
      <c r="J1802" s="109"/>
      <c r="K1802" s="109"/>
      <c r="L1802" s="109"/>
      <c r="M1802" s="109"/>
      <c r="N1802" s="109"/>
      <c r="O1802" s="109"/>
      <c r="P1802" s="109"/>
      <c r="Q1802" s="109"/>
      <c r="R1802" s="109"/>
      <c r="S1802" s="109"/>
      <c r="T1802" s="109"/>
      <c r="U1802" s="109"/>
    </row>
    <row r="1803" spans="1:21">
      <c r="A1803" s="109"/>
      <c r="B1803" s="109"/>
      <c r="C1803" s="109"/>
      <c r="D1803" s="109"/>
      <c r="E1803" s="109"/>
      <c r="F1803" s="109"/>
      <c r="G1803" s="109"/>
      <c r="H1803" s="109"/>
      <c r="I1803" s="109"/>
      <c r="J1803" s="109"/>
      <c r="K1803" s="109"/>
      <c r="L1803" s="109"/>
      <c r="M1803" s="109"/>
      <c r="N1803" s="109"/>
      <c r="O1803" s="109"/>
      <c r="P1803" s="109"/>
      <c r="Q1803" s="109"/>
      <c r="R1803" s="109"/>
      <c r="S1803" s="109"/>
      <c r="T1803" s="109"/>
      <c r="U1803" s="109"/>
    </row>
    <row r="1804" spans="1:21">
      <c r="A1804" s="109"/>
      <c r="B1804" s="109"/>
      <c r="C1804" s="109"/>
      <c r="D1804" s="109"/>
      <c r="E1804" s="109"/>
      <c r="F1804" s="109"/>
      <c r="G1804" s="109"/>
      <c r="H1804" s="109"/>
      <c r="I1804" s="109"/>
      <c r="J1804" s="109"/>
      <c r="K1804" s="109"/>
      <c r="L1804" s="109"/>
      <c r="M1804" s="109"/>
      <c r="N1804" s="109"/>
      <c r="O1804" s="109"/>
      <c r="P1804" s="109"/>
      <c r="Q1804" s="109"/>
      <c r="R1804" s="109"/>
      <c r="S1804" s="109"/>
      <c r="T1804" s="109"/>
      <c r="U1804" s="109"/>
    </row>
    <row r="1805" spans="1:21">
      <c r="A1805" s="109"/>
      <c r="B1805" s="109"/>
      <c r="C1805" s="109"/>
      <c r="D1805" s="109"/>
      <c r="E1805" s="109"/>
      <c r="F1805" s="109"/>
      <c r="G1805" s="109"/>
      <c r="H1805" s="109"/>
      <c r="I1805" s="109"/>
      <c r="J1805" s="109"/>
      <c r="K1805" s="109"/>
      <c r="L1805" s="109"/>
      <c r="M1805" s="109"/>
      <c r="N1805" s="109"/>
      <c r="O1805" s="109"/>
      <c r="P1805" s="109"/>
      <c r="Q1805" s="109"/>
      <c r="R1805" s="109"/>
      <c r="S1805" s="109"/>
      <c r="T1805" s="109"/>
      <c r="U1805" s="109"/>
    </row>
    <row r="1806" spans="1:21">
      <c r="A1806" s="109"/>
      <c r="B1806" s="109"/>
      <c r="C1806" s="109"/>
      <c r="D1806" s="109"/>
      <c r="E1806" s="109"/>
      <c r="F1806" s="109"/>
      <c r="G1806" s="109"/>
      <c r="H1806" s="109"/>
      <c r="I1806" s="109"/>
      <c r="J1806" s="109"/>
      <c r="K1806" s="109"/>
      <c r="L1806" s="109"/>
      <c r="M1806" s="109"/>
      <c r="N1806" s="109"/>
      <c r="O1806" s="109"/>
      <c r="P1806" s="109"/>
      <c r="Q1806" s="109"/>
      <c r="R1806" s="109"/>
      <c r="S1806" s="109"/>
      <c r="T1806" s="109"/>
      <c r="U1806" s="109"/>
    </row>
    <row r="1807" spans="1:21">
      <c r="A1807" s="109"/>
      <c r="B1807" s="109"/>
      <c r="C1807" s="109"/>
      <c r="D1807" s="109"/>
      <c r="E1807" s="109"/>
      <c r="F1807" s="109"/>
      <c r="G1807" s="109"/>
      <c r="H1807" s="109"/>
      <c r="I1807" s="109"/>
      <c r="J1807" s="109"/>
      <c r="K1807" s="109"/>
      <c r="L1807" s="109"/>
      <c r="M1807" s="109"/>
      <c r="N1807" s="109"/>
      <c r="O1807" s="109"/>
      <c r="P1807" s="109"/>
      <c r="Q1807" s="109"/>
      <c r="R1807" s="109"/>
      <c r="S1807" s="109"/>
      <c r="T1807" s="109"/>
      <c r="U1807" s="109"/>
    </row>
    <row r="1808" spans="1:21">
      <c r="A1808" s="109"/>
      <c r="B1808" s="109"/>
      <c r="C1808" s="109"/>
      <c r="D1808" s="109"/>
      <c r="E1808" s="109"/>
      <c r="F1808" s="109"/>
      <c r="G1808" s="109"/>
      <c r="H1808" s="109"/>
      <c r="I1808" s="109"/>
      <c r="J1808" s="109"/>
      <c r="K1808" s="109"/>
      <c r="L1808" s="109"/>
      <c r="M1808" s="109"/>
      <c r="N1808" s="109"/>
      <c r="O1808" s="109"/>
      <c r="P1808" s="109"/>
      <c r="Q1808" s="109"/>
      <c r="R1808" s="109"/>
      <c r="S1808" s="109"/>
      <c r="T1808" s="109"/>
      <c r="U1808" s="109"/>
    </row>
    <row r="1809" spans="1:21">
      <c r="A1809" s="109"/>
      <c r="B1809" s="109"/>
      <c r="C1809" s="109"/>
      <c r="D1809" s="109"/>
      <c r="E1809" s="109"/>
      <c r="F1809" s="109"/>
      <c r="G1809" s="109"/>
      <c r="H1809" s="109"/>
      <c r="I1809" s="109"/>
      <c r="J1809" s="109"/>
      <c r="K1809" s="109"/>
      <c r="L1809" s="109"/>
      <c r="M1809" s="109"/>
      <c r="N1809" s="109"/>
      <c r="O1809" s="109"/>
      <c r="P1809" s="109"/>
      <c r="Q1809" s="109"/>
      <c r="R1809" s="109"/>
      <c r="S1809" s="109"/>
      <c r="T1809" s="109"/>
      <c r="U1809" s="109"/>
    </row>
    <row r="1810" spans="1:21">
      <c r="A1810" s="109"/>
      <c r="B1810" s="109"/>
      <c r="C1810" s="109"/>
      <c r="D1810" s="109"/>
      <c r="E1810" s="109"/>
      <c r="F1810" s="109"/>
      <c r="G1810" s="109"/>
      <c r="H1810" s="109"/>
      <c r="I1810" s="109"/>
      <c r="J1810" s="109"/>
      <c r="K1810" s="109"/>
      <c r="L1810" s="109"/>
      <c r="M1810" s="109"/>
      <c r="N1810" s="109"/>
      <c r="O1810" s="109"/>
      <c r="P1810" s="109"/>
      <c r="Q1810" s="109"/>
      <c r="R1810" s="109"/>
      <c r="S1810" s="109"/>
      <c r="T1810" s="109"/>
      <c r="U1810" s="109"/>
    </row>
    <row r="1811" spans="1:21">
      <c r="A1811" s="109"/>
      <c r="B1811" s="109"/>
      <c r="C1811" s="109"/>
      <c r="D1811" s="109"/>
      <c r="E1811" s="109"/>
      <c r="F1811" s="109"/>
      <c r="G1811" s="109"/>
      <c r="H1811" s="109"/>
      <c r="I1811" s="109"/>
      <c r="J1811" s="109"/>
      <c r="K1811" s="109"/>
      <c r="L1811" s="109"/>
      <c r="M1811" s="109"/>
      <c r="N1811" s="109"/>
      <c r="O1811" s="109"/>
      <c r="P1811" s="109"/>
      <c r="Q1811" s="109"/>
      <c r="R1811" s="109"/>
      <c r="S1811" s="109"/>
      <c r="T1811" s="109"/>
      <c r="U1811" s="109"/>
    </row>
    <row r="1812" spans="1:21">
      <c r="A1812" s="109"/>
      <c r="B1812" s="109"/>
      <c r="C1812" s="109"/>
      <c r="D1812" s="109"/>
      <c r="E1812" s="109"/>
      <c r="F1812" s="109"/>
      <c r="G1812" s="109"/>
      <c r="H1812" s="109"/>
      <c r="I1812" s="109"/>
      <c r="J1812" s="109"/>
      <c r="K1812" s="109"/>
      <c r="L1812" s="109"/>
      <c r="M1812" s="109"/>
      <c r="N1812" s="109"/>
      <c r="O1812" s="109"/>
      <c r="P1812" s="109"/>
      <c r="Q1812" s="109"/>
      <c r="R1812" s="109"/>
      <c r="S1812" s="109"/>
      <c r="T1812" s="109"/>
      <c r="U1812" s="109"/>
    </row>
    <row r="1813" spans="1:21">
      <c r="A1813" s="109"/>
      <c r="B1813" s="109"/>
      <c r="C1813" s="109"/>
      <c r="D1813" s="109"/>
      <c r="E1813" s="109"/>
      <c r="F1813" s="109"/>
      <c r="G1813" s="109"/>
      <c r="H1813" s="109"/>
      <c r="I1813" s="109"/>
      <c r="J1813" s="109"/>
      <c r="K1813" s="109"/>
      <c r="L1813" s="109"/>
      <c r="M1813" s="109"/>
      <c r="N1813" s="109"/>
      <c r="O1813" s="109"/>
      <c r="P1813" s="109"/>
      <c r="Q1813" s="109"/>
      <c r="R1813" s="109"/>
      <c r="S1813" s="109"/>
      <c r="T1813" s="109"/>
      <c r="U1813" s="109"/>
    </row>
    <row r="1814" spans="1:21">
      <c r="A1814" s="109"/>
      <c r="B1814" s="109"/>
      <c r="C1814" s="109"/>
      <c r="D1814" s="109"/>
      <c r="E1814" s="109"/>
      <c r="F1814" s="109"/>
      <c r="G1814" s="109"/>
      <c r="H1814" s="109"/>
      <c r="I1814" s="109"/>
      <c r="J1814" s="109"/>
      <c r="K1814" s="109"/>
      <c r="L1814" s="109"/>
      <c r="M1814" s="109"/>
      <c r="N1814" s="109"/>
      <c r="O1814" s="109"/>
      <c r="P1814" s="109"/>
      <c r="Q1814" s="109"/>
      <c r="R1814" s="109"/>
      <c r="S1814" s="109"/>
      <c r="T1814" s="109"/>
      <c r="U1814" s="109"/>
    </row>
    <row r="1815" spans="1:21">
      <c r="A1815" s="109"/>
      <c r="B1815" s="109"/>
      <c r="C1815" s="109"/>
      <c r="D1815" s="109"/>
      <c r="E1815" s="109"/>
      <c r="F1815" s="109"/>
      <c r="G1815" s="109"/>
      <c r="H1815" s="109"/>
      <c r="I1815" s="109"/>
      <c r="J1815" s="109"/>
      <c r="K1815" s="109"/>
      <c r="L1815" s="109"/>
      <c r="M1815" s="109"/>
      <c r="N1815" s="109"/>
      <c r="O1815" s="109"/>
      <c r="P1815" s="109"/>
      <c r="Q1815" s="109"/>
      <c r="R1815" s="109"/>
      <c r="S1815" s="109"/>
      <c r="T1815" s="109"/>
      <c r="U1815" s="109"/>
    </row>
    <row r="1816" spans="1:21">
      <c r="A1816" s="109"/>
      <c r="B1816" s="109"/>
      <c r="C1816" s="109"/>
      <c r="D1816" s="109"/>
      <c r="E1816" s="109"/>
      <c r="F1816" s="109"/>
      <c r="G1816" s="109"/>
      <c r="H1816" s="109"/>
      <c r="I1816" s="109"/>
      <c r="J1816" s="109"/>
      <c r="K1816" s="109"/>
      <c r="L1816" s="109"/>
      <c r="M1816" s="109"/>
      <c r="N1816" s="109"/>
      <c r="O1816" s="109"/>
      <c r="P1816" s="109"/>
      <c r="Q1816" s="109"/>
      <c r="R1816" s="109"/>
      <c r="S1816" s="109"/>
      <c r="T1816" s="109"/>
      <c r="U1816" s="109"/>
    </row>
    <row r="1817" spans="1:21">
      <c r="A1817" s="109"/>
      <c r="B1817" s="109"/>
      <c r="C1817" s="109"/>
      <c r="D1817" s="109"/>
      <c r="E1817" s="109"/>
      <c r="F1817" s="109"/>
      <c r="G1817" s="109"/>
      <c r="H1817" s="109"/>
      <c r="I1817" s="109"/>
      <c r="J1817" s="109"/>
      <c r="K1817" s="109"/>
      <c r="L1817" s="109"/>
      <c r="M1817" s="109"/>
      <c r="N1817" s="109"/>
      <c r="O1817" s="109"/>
      <c r="P1817" s="109"/>
      <c r="Q1817" s="109"/>
      <c r="R1817" s="109"/>
      <c r="S1817" s="109"/>
      <c r="T1817" s="109"/>
      <c r="U1817" s="109"/>
    </row>
    <row r="1818" spans="1:21">
      <c r="A1818" s="109"/>
      <c r="B1818" s="109"/>
      <c r="C1818" s="109"/>
      <c r="D1818" s="109"/>
      <c r="E1818" s="109"/>
      <c r="F1818" s="109"/>
      <c r="G1818" s="109"/>
      <c r="H1818" s="109"/>
      <c r="I1818" s="109"/>
      <c r="J1818" s="109"/>
      <c r="K1818" s="109"/>
      <c r="L1818" s="109"/>
      <c r="M1818" s="109"/>
      <c r="N1818" s="109"/>
      <c r="O1818" s="109"/>
      <c r="P1818" s="109"/>
      <c r="Q1818" s="109"/>
      <c r="R1818" s="109"/>
      <c r="S1818" s="109"/>
      <c r="T1818" s="109"/>
      <c r="U1818" s="109"/>
    </row>
    <row r="1819" spans="1:21">
      <c r="A1819" s="109"/>
      <c r="B1819" s="109"/>
      <c r="C1819" s="109"/>
      <c r="D1819" s="109"/>
      <c r="E1819" s="109"/>
      <c r="F1819" s="109"/>
      <c r="G1819" s="109"/>
      <c r="H1819" s="109"/>
      <c r="I1819" s="109"/>
      <c r="J1819" s="109"/>
      <c r="K1819" s="109"/>
      <c r="L1819" s="109"/>
      <c r="M1819" s="109"/>
      <c r="N1819" s="109"/>
      <c r="O1819" s="109"/>
      <c r="P1819" s="109"/>
      <c r="Q1819" s="109"/>
      <c r="R1819" s="109"/>
      <c r="S1819" s="109"/>
      <c r="T1819" s="109"/>
      <c r="U1819" s="109"/>
    </row>
    <row r="1820" spans="1:21">
      <c r="A1820" s="109"/>
      <c r="B1820" s="109"/>
      <c r="C1820" s="109"/>
      <c r="D1820" s="109"/>
      <c r="E1820" s="109"/>
      <c r="F1820" s="109"/>
      <c r="G1820" s="109"/>
      <c r="H1820" s="109"/>
      <c r="I1820" s="109"/>
      <c r="J1820" s="109"/>
      <c r="K1820" s="109"/>
      <c r="L1820" s="109"/>
      <c r="M1820" s="109"/>
      <c r="N1820" s="109"/>
      <c r="O1820" s="109"/>
      <c r="P1820" s="109"/>
      <c r="Q1820" s="109"/>
      <c r="R1820" s="109"/>
      <c r="S1820" s="109"/>
      <c r="T1820" s="109"/>
      <c r="U1820" s="109"/>
    </row>
    <row r="1821" spans="1:21">
      <c r="A1821" s="109"/>
      <c r="B1821" s="109"/>
      <c r="C1821" s="109"/>
      <c r="D1821" s="109"/>
      <c r="E1821" s="109"/>
      <c r="F1821" s="109"/>
      <c r="G1821" s="109"/>
      <c r="H1821" s="109"/>
      <c r="I1821" s="109"/>
      <c r="J1821" s="109"/>
      <c r="K1821" s="109"/>
      <c r="L1821" s="109"/>
      <c r="M1821" s="109"/>
      <c r="N1821" s="109"/>
      <c r="O1821" s="109"/>
      <c r="P1821" s="109"/>
      <c r="Q1821" s="109"/>
      <c r="R1821" s="109"/>
      <c r="S1821" s="109"/>
      <c r="T1821" s="109"/>
      <c r="U1821" s="109"/>
    </row>
    <row r="1822" spans="1:21">
      <c r="A1822" s="109"/>
      <c r="B1822" s="109"/>
      <c r="C1822" s="109"/>
      <c r="D1822" s="109"/>
      <c r="E1822" s="109"/>
      <c r="F1822" s="109"/>
      <c r="G1822" s="109"/>
      <c r="H1822" s="109"/>
      <c r="I1822" s="109"/>
      <c r="J1822" s="109"/>
      <c r="K1822" s="109"/>
      <c r="L1822" s="109"/>
      <c r="M1822" s="109"/>
      <c r="N1822" s="109"/>
      <c r="O1822" s="109"/>
      <c r="P1822" s="109"/>
      <c r="Q1822" s="109"/>
      <c r="R1822" s="109"/>
      <c r="S1822" s="109"/>
      <c r="T1822" s="109"/>
      <c r="U1822" s="109"/>
    </row>
    <row r="1823" spans="1:21">
      <c r="A1823" s="109"/>
      <c r="B1823" s="109"/>
      <c r="C1823" s="109"/>
      <c r="D1823" s="109"/>
      <c r="E1823" s="109"/>
      <c r="F1823" s="109"/>
      <c r="G1823" s="109"/>
      <c r="H1823" s="109"/>
      <c r="I1823" s="109"/>
      <c r="J1823" s="109"/>
      <c r="K1823" s="109"/>
      <c r="L1823" s="109"/>
      <c r="M1823" s="109"/>
      <c r="N1823" s="109"/>
      <c r="O1823" s="109"/>
      <c r="P1823" s="109"/>
      <c r="Q1823" s="109"/>
      <c r="R1823" s="109"/>
      <c r="S1823" s="109"/>
      <c r="T1823" s="109"/>
      <c r="U1823" s="109"/>
    </row>
    <row r="1824" spans="1:21">
      <c r="A1824" s="109"/>
      <c r="B1824" s="109"/>
      <c r="C1824" s="109"/>
      <c r="D1824" s="109"/>
      <c r="E1824" s="109"/>
      <c r="F1824" s="109"/>
      <c r="G1824" s="109"/>
      <c r="H1824" s="109"/>
      <c r="I1824" s="109"/>
      <c r="J1824" s="109"/>
      <c r="K1824" s="109"/>
      <c r="L1824" s="109"/>
      <c r="M1824" s="109"/>
      <c r="N1824" s="109"/>
      <c r="O1824" s="109"/>
      <c r="P1824" s="109"/>
      <c r="Q1824" s="109"/>
      <c r="R1824" s="109"/>
      <c r="S1824" s="109"/>
      <c r="T1824" s="109"/>
      <c r="U1824" s="109"/>
    </row>
    <row r="1825" spans="1:21">
      <c r="A1825" s="109"/>
      <c r="B1825" s="109"/>
      <c r="C1825" s="109"/>
      <c r="D1825" s="109"/>
      <c r="E1825" s="109"/>
      <c r="F1825" s="109"/>
      <c r="G1825" s="109"/>
      <c r="H1825" s="109"/>
      <c r="I1825" s="109"/>
      <c r="J1825" s="109"/>
      <c r="K1825" s="109"/>
      <c r="L1825" s="109"/>
      <c r="M1825" s="109"/>
      <c r="N1825" s="109"/>
      <c r="O1825" s="109"/>
      <c r="P1825" s="109"/>
      <c r="Q1825" s="109"/>
      <c r="R1825" s="109"/>
      <c r="S1825" s="109"/>
      <c r="T1825" s="109"/>
      <c r="U1825" s="109"/>
    </row>
    <row r="1826" spans="1:21">
      <c r="A1826" s="109"/>
      <c r="B1826" s="109"/>
      <c r="C1826" s="109"/>
      <c r="D1826" s="109"/>
      <c r="E1826" s="109"/>
      <c r="F1826" s="109"/>
      <c r="G1826" s="109"/>
      <c r="H1826" s="109"/>
      <c r="I1826" s="109"/>
      <c r="J1826" s="109"/>
      <c r="K1826" s="109"/>
      <c r="L1826" s="109"/>
      <c r="M1826" s="109"/>
      <c r="N1826" s="109"/>
      <c r="O1826" s="109"/>
      <c r="P1826" s="109"/>
      <c r="Q1826" s="109"/>
      <c r="R1826" s="109"/>
      <c r="S1826" s="109"/>
      <c r="T1826" s="109"/>
      <c r="U1826" s="109"/>
    </row>
    <row r="1827" spans="1:21">
      <c r="A1827" s="109"/>
      <c r="B1827" s="109"/>
      <c r="C1827" s="109"/>
      <c r="D1827" s="109"/>
      <c r="E1827" s="109"/>
      <c r="F1827" s="109"/>
      <c r="G1827" s="109"/>
      <c r="H1827" s="109"/>
      <c r="I1827" s="109"/>
      <c r="J1827" s="109"/>
      <c r="K1827" s="109"/>
      <c r="L1827" s="109"/>
      <c r="M1827" s="109"/>
      <c r="N1827" s="109"/>
      <c r="O1827" s="109"/>
      <c r="P1827" s="109"/>
      <c r="Q1827" s="109"/>
      <c r="R1827" s="109"/>
      <c r="S1827" s="109"/>
      <c r="T1827" s="109"/>
      <c r="U1827" s="109"/>
    </row>
    <row r="1828" spans="1:21">
      <c r="A1828" s="109"/>
      <c r="B1828" s="109"/>
      <c r="C1828" s="109"/>
      <c r="D1828" s="109"/>
      <c r="E1828" s="109"/>
      <c r="F1828" s="109"/>
      <c r="G1828" s="109"/>
      <c r="H1828" s="109"/>
      <c r="I1828" s="109"/>
      <c r="J1828" s="109"/>
      <c r="K1828" s="109"/>
      <c r="L1828" s="109"/>
      <c r="M1828" s="109"/>
      <c r="N1828" s="109"/>
      <c r="O1828" s="109"/>
      <c r="P1828" s="109"/>
      <c r="Q1828" s="109"/>
      <c r="R1828" s="109"/>
      <c r="S1828" s="109"/>
      <c r="T1828" s="109"/>
      <c r="U1828" s="109"/>
    </row>
    <row r="1829" spans="1:21">
      <c r="A1829" s="109"/>
      <c r="B1829" s="109"/>
      <c r="C1829" s="109"/>
      <c r="D1829" s="109"/>
      <c r="E1829" s="109"/>
      <c r="F1829" s="109"/>
      <c r="G1829" s="109"/>
      <c r="H1829" s="109"/>
      <c r="I1829" s="109"/>
      <c r="J1829" s="109"/>
      <c r="K1829" s="109"/>
      <c r="L1829" s="109"/>
      <c r="M1829" s="109"/>
      <c r="N1829" s="109"/>
      <c r="O1829" s="109"/>
      <c r="P1829" s="109"/>
      <c r="Q1829" s="109"/>
      <c r="R1829" s="109"/>
      <c r="S1829" s="109"/>
      <c r="T1829" s="109"/>
      <c r="U1829" s="109"/>
    </row>
    <row r="1830" spans="1:21">
      <c r="A1830" s="109"/>
      <c r="B1830" s="109"/>
      <c r="C1830" s="109"/>
      <c r="D1830" s="109"/>
      <c r="E1830" s="109"/>
      <c r="F1830" s="109"/>
      <c r="G1830" s="109"/>
      <c r="H1830" s="109"/>
      <c r="I1830" s="109"/>
      <c r="J1830" s="109"/>
      <c r="K1830" s="109"/>
      <c r="L1830" s="109"/>
      <c r="M1830" s="109"/>
      <c r="N1830" s="109"/>
      <c r="O1830" s="109"/>
      <c r="P1830" s="109"/>
      <c r="Q1830" s="109"/>
      <c r="R1830" s="109"/>
      <c r="S1830" s="109"/>
      <c r="T1830" s="109"/>
      <c r="U1830" s="109"/>
    </row>
    <row r="1831" spans="1:21">
      <c r="A1831" s="109"/>
      <c r="B1831" s="109"/>
      <c r="C1831" s="109"/>
      <c r="D1831" s="109"/>
      <c r="E1831" s="109"/>
      <c r="F1831" s="109"/>
      <c r="G1831" s="109"/>
      <c r="H1831" s="109"/>
      <c r="I1831" s="109"/>
      <c r="J1831" s="109"/>
      <c r="K1831" s="109"/>
      <c r="L1831" s="109"/>
      <c r="M1831" s="109"/>
      <c r="N1831" s="109"/>
      <c r="O1831" s="109"/>
      <c r="P1831" s="109"/>
      <c r="Q1831" s="109"/>
      <c r="R1831" s="109"/>
      <c r="S1831" s="109"/>
      <c r="T1831" s="109"/>
      <c r="U1831" s="109"/>
    </row>
    <row r="1832" spans="1:21">
      <c r="A1832" s="109"/>
      <c r="B1832" s="109"/>
      <c r="C1832" s="109"/>
      <c r="D1832" s="109"/>
      <c r="E1832" s="109"/>
      <c r="F1832" s="109"/>
      <c r="G1832" s="109"/>
      <c r="H1832" s="109"/>
      <c r="I1832" s="109"/>
      <c r="J1832" s="109"/>
      <c r="K1832" s="109"/>
      <c r="L1832" s="109"/>
      <c r="M1832" s="109"/>
      <c r="N1832" s="109"/>
      <c r="O1832" s="109"/>
      <c r="P1832" s="109"/>
      <c r="Q1832" s="109"/>
      <c r="R1832" s="109"/>
      <c r="S1832" s="109"/>
      <c r="T1832" s="109"/>
      <c r="U1832" s="109"/>
    </row>
    <row r="1833" spans="1:21">
      <c r="A1833" s="109"/>
      <c r="B1833" s="109"/>
      <c r="C1833" s="109"/>
      <c r="D1833" s="109"/>
      <c r="E1833" s="109"/>
      <c r="F1833" s="109"/>
      <c r="G1833" s="109"/>
      <c r="H1833" s="109"/>
      <c r="I1833" s="109"/>
      <c r="J1833" s="109"/>
      <c r="K1833" s="109"/>
      <c r="L1833" s="109"/>
      <c r="M1833" s="109"/>
      <c r="N1833" s="109"/>
      <c r="O1833" s="109"/>
      <c r="P1833" s="109"/>
      <c r="Q1833" s="109"/>
      <c r="R1833" s="109"/>
      <c r="S1833" s="109"/>
      <c r="T1833" s="109"/>
      <c r="U1833" s="109"/>
    </row>
    <row r="1834" spans="1:21">
      <c r="A1834" s="109"/>
      <c r="B1834" s="109"/>
      <c r="C1834" s="109"/>
      <c r="D1834" s="109"/>
      <c r="E1834" s="109"/>
      <c r="F1834" s="109"/>
      <c r="G1834" s="109"/>
      <c r="H1834" s="109"/>
      <c r="I1834" s="109"/>
      <c r="J1834" s="109"/>
      <c r="K1834" s="109"/>
      <c r="L1834" s="109"/>
      <c r="M1834" s="109"/>
      <c r="N1834" s="109"/>
      <c r="O1834" s="109"/>
      <c r="P1834" s="109"/>
      <c r="Q1834" s="109"/>
      <c r="R1834" s="109"/>
      <c r="S1834" s="109"/>
      <c r="T1834" s="109"/>
      <c r="U1834" s="109"/>
    </row>
    <row r="1835" spans="1:21">
      <c r="A1835" s="109"/>
      <c r="B1835" s="109"/>
      <c r="C1835" s="109"/>
      <c r="D1835" s="109"/>
      <c r="E1835" s="109"/>
      <c r="F1835" s="109"/>
      <c r="G1835" s="109"/>
      <c r="H1835" s="109"/>
      <c r="I1835" s="109"/>
      <c r="J1835" s="109"/>
      <c r="K1835" s="109"/>
      <c r="L1835" s="109"/>
      <c r="M1835" s="109"/>
      <c r="N1835" s="109"/>
      <c r="O1835" s="109"/>
      <c r="P1835" s="109"/>
      <c r="Q1835" s="109"/>
      <c r="R1835" s="109"/>
      <c r="S1835" s="109"/>
      <c r="T1835" s="109"/>
      <c r="U1835" s="109"/>
    </row>
    <row r="1836" spans="1:21">
      <c r="A1836" s="109"/>
      <c r="B1836" s="109"/>
      <c r="C1836" s="109"/>
      <c r="D1836" s="109"/>
      <c r="E1836" s="109"/>
      <c r="F1836" s="109"/>
      <c r="G1836" s="109"/>
      <c r="H1836" s="109"/>
      <c r="I1836" s="109"/>
      <c r="J1836" s="109"/>
      <c r="K1836" s="109"/>
      <c r="L1836" s="109"/>
      <c r="M1836" s="109"/>
      <c r="N1836" s="109"/>
      <c r="O1836" s="109"/>
      <c r="P1836" s="109"/>
      <c r="Q1836" s="109"/>
      <c r="R1836" s="109"/>
      <c r="S1836" s="109"/>
      <c r="T1836" s="109"/>
      <c r="U1836" s="109"/>
    </row>
    <row r="1837" spans="1:21">
      <c r="A1837" s="109"/>
      <c r="B1837" s="109"/>
      <c r="C1837" s="109"/>
      <c r="D1837" s="109"/>
      <c r="E1837" s="109"/>
      <c r="F1837" s="109"/>
      <c r="G1837" s="109"/>
      <c r="H1837" s="109"/>
      <c r="I1837" s="109"/>
      <c r="J1837" s="109"/>
      <c r="K1837" s="109"/>
      <c r="L1837" s="109"/>
      <c r="M1837" s="109"/>
      <c r="N1837" s="109"/>
      <c r="O1837" s="109"/>
      <c r="P1837" s="109"/>
      <c r="Q1837" s="109"/>
      <c r="R1837" s="109"/>
      <c r="S1837" s="109"/>
      <c r="T1837" s="109"/>
      <c r="U1837" s="109"/>
    </row>
    <row r="1838" spans="1:21">
      <c r="A1838" s="109"/>
      <c r="B1838" s="109"/>
      <c r="C1838" s="109"/>
      <c r="D1838" s="109"/>
      <c r="E1838" s="109"/>
      <c r="F1838" s="109"/>
      <c r="G1838" s="109"/>
      <c r="H1838" s="109"/>
      <c r="I1838" s="109"/>
      <c r="J1838" s="109"/>
      <c r="K1838" s="109"/>
      <c r="L1838" s="109"/>
      <c r="M1838" s="109"/>
      <c r="N1838" s="109"/>
      <c r="O1838" s="109"/>
      <c r="P1838" s="109"/>
      <c r="Q1838" s="109"/>
      <c r="R1838" s="109"/>
      <c r="S1838" s="109"/>
      <c r="T1838" s="109"/>
      <c r="U1838" s="109"/>
    </row>
    <row r="1839" spans="1:21">
      <c r="A1839" s="109"/>
      <c r="B1839" s="109"/>
      <c r="C1839" s="109"/>
      <c r="D1839" s="109"/>
      <c r="E1839" s="109"/>
      <c r="F1839" s="109"/>
      <c r="G1839" s="109"/>
      <c r="H1839" s="109"/>
      <c r="I1839" s="109"/>
      <c r="J1839" s="109"/>
      <c r="K1839" s="109"/>
      <c r="L1839" s="109"/>
      <c r="M1839" s="109"/>
      <c r="N1839" s="109"/>
      <c r="O1839" s="109"/>
      <c r="P1839" s="109"/>
      <c r="Q1839" s="109"/>
      <c r="R1839" s="109"/>
      <c r="S1839" s="109"/>
      <c r="T1839" s="109"/>
      <c r="U1839" s="109"/>
    </row>
    <row r="1840" spans="1:21">
      <c r="A1840" s="109"/>
      <c r="B1840" s="109"/>
      <c r="C1840" s="109"/>
      <c r="D1840" s="109"/>
      <c r="E1840" s="109"/>
      <c r="F1840" s="109"/>
      <c r="G1840" s="109"/>
      <c r="H1840" s="109"/>
      <c r="I1840" s="109"/>
      <c r="J1840" s="109"/>
      <c r="K1840" s="109"/>
      <c r="L1840" s="109"/>
      <c r="M1840" s="109"/>
      <c r="N1840" s="109"/>
      <c r="O1840" s="109"/>
      <c r="P1840" s="109"/>
      <c r="Q1840" s="109"/>
      <c r="R1840" s="109"/>
      <c r="S1840" s="109"/>
      <c r="T1840" s="109"/>
      <c r="U1840" s="109"/>
    </row>
    <row r="1841" spans="1:21">
      <c r="A1841" s="109"/>
      <c r="B1841" s="109"/>
      <c r="C1841" s="109"/>
      <c r="D1841" s="109"/>
      <c r="E1841" s="109"/>
      <c r="F1841" s="109"/>
      <c r="G1841" s="109"/>
      <c r="H1841" s="109"/>
      <c r="I1841" s="109"/>
      <c r="J1841" s="109"/>
      <c r="K1841" s="109"/>
      <c r="L1841" s="109"/>
      <c r="M1841" s="109"/>
      <c r="N1841" s="109"/>
      <c r="O1841" s="109"/>
      <c r="P1841" s="109"/>
      <c r="Q1841" s="109"/>
      <c r="R1841" s="109"/>
      <c r="S1841" s="109"/>
      <c r="T1841" s="109"/>
      <c r="U1841" s="109"/>
    </row>
    <row r="1842" spans="1:21">
      <c r="A1842" s="109"/>
      <c r="B1842" s="109"/>
      <c r="C1842" s="109"/>
      <c r="D1842" s="109"/>
      <c r="E1842" s="109"/>
      <c r="F1842" s="109"/>
      <c r="G1842" s="109"/>
      <c r="H1842" s="109"/>
      <c r="I1842" s="109"/>
      <c r="J1842" s="109"/>
      <c r="K1842" s="109"/>
      <c r="L1842" s="109"/>
      <c r="M1842" s="109"/>
      <c r="N1842" s="109"/>
      <c r="O1842" s="109"/>
      <c r="P1842" s="109"/>
      <c r="Q1842" s="109"/>
      <c r="R1842" s="109"/>
      <c r="S1842" s="109"/>
      <c r="T1842" s="109"/>
      <c r="U1842" s="109"/>
    </row>
    <row r="1843" spans="1:21">
      <c r="A1843" s="109"/>
      <c r="B1843" s="109"/>
      <c r="C1843" s="109"/>
      <c r="D1843" s="109"/>
      <c r="E1843" s="109"/>
      <c r="F1843" s="109"/>
      <c r="G1843" s="109"/>
      <c r="H1843" s="109"/>
      <c r="I1843" s="109"/>
      <c r="J1843" s="109"/>
      <c r="K1843" s="109"/>
      <c r="L1843" s="109"/>
      <c r="M1843" s="109"/>
      <c r="N1843" s="109"/>
      <c r="O1843" s="109"/>
      <c r="P1843" s="109"/>
      <c r="Q1843" s="109"/>
      <c r="R1843" s="109"/>
      <c r="S1843" s="109"/>
      <c r="T1843" s="109"/>
      <c r="U1843" s="109"/>
    </row>
    <row r="1844" spans="1:21">
      <c r="A1844" s="109"/>
      <c r="B1844" s="109"/>
      <c r="C1844" s="109"/>
      <c r="D1844" s="109"/>
      <c r="E1844" s="109"/>
      <c r="F1844" s="109"/>
      <c r="G1844" s="109"/>
      <c r="H1844" s="109"/>
      <c r="I1844" s="109"/>
      <c r="J1844" s="109"/>
      <c r="K1844" s="109"/>
      <c r="L1844" s="109"/>
      <c r="M1844" s="109"/>
      <c r="N1844" s="109"/>
      <c r="O1844" s="109"/>
      <c r="P1844" s="109"/>
      <c r="Q1844" s="109"/>
      <c r="R1844" s="109"/>
      <c r="S1844" s="109"/>
      <c r="T1844" s="109"/>
      <c r="U1844" s="109"/>
    </row>
    <row r="1845" spans="1:21">
      <c r="A1845" s="109"/>
      <c r="B1845" s="109"/>
      <c r="C1845" s="109"/>
      <c r="D1845" s="109"/>
      <c r="E1845" s="109"/>
      <c r="F1845" s="109"/>
      <c r="G1845" s="109"/>
      <c r="H1845" s="109"/>
      <c r="I1845" s="109"/>
      <c r="J1845" s="109"/>
      <c r="K1845" s="109"/>
      <c r="L1845" s="109"/>
      <c r="M1845" s="109"/>
      <c r="N1845" s="109"/>
      <c r="O1845" s="109"/>
      <c r="P1845" s="109"/>
      <c r="Q1845" s="109"/>
      <c r="R1845" s="109"/>
      <c r="S1845" s="109"/>
      <c r="T1845" s="109"/>
      <c r="U1845" s="109"/>
    </row>
    <row r="1846" spans="1:21">
      <c r="A1846" s="109"/>
      <c r="B1846" s="109"/>
      <c r="C1846" s="109"/>
      <c r="D1846" s="109"/>
      <c r="E1846" s="109"/>
      <c r="F1846" s="109"/>
      <c r="G1846" s="109"/>
      <c r="H1846" s="109"/>
      <c r="I1846" s="109"/>
      <c r="J1846" s="109"/>
      <c r="K1846" s="109"/>
      <c r="L1846" s="109"/>
      <c r="M1846" s="109"/>
      <c r="N1846" s="109"/>
      <c r="O1846" s="109"/>
      <c r="P1846" s="109"/>
      <c r="Q1846" s="109"/>
      <c r="R1846" s="109"/>
      <c r="S1846" s="109"/>
      <c r="T1846" s="109"/>
      <c r="U1846" s="109"/>
    </row>
    <row r="1847" spans="1:21">
      <c r="A1847" s="109"/>
      <c r="B1847" s="109"/>
      <c r="C1847" s="109"/>
      <c r="D1847" s="109"/>
      <c r="E1847" s="109"/>
      <c r="F1847" s="109"/>
      <c r="G1847" s="109"/>
      <c r="H1847" s="109"/>
      <c r="I1847" s="109"/>
      <c r="J1847" s="109"/>
      <c r="K1847" s="109"/>
      <c r="L1847" s="109"/>
      <c r="M1847" s="109"/>
      <c r="N1847" s="109"/>
      <c r="O1847" s="109"/>
      <c r="P1847" s="109"/>
      <c r="Q1847" s="109"/>
      <c r="R1847" s="109"/>
      <c r="S1847" s="109"/>
      <c r="T1847" s="109"/>
      <c r="U1847" s="109"/>
    </row>
    <row r="1848" spans="1:21">
      <c r="A1848" s="109"/>
      <c r="B1848" s="109"/>
      <c r="C1848" s="109"/>
      <c r="D1848" s="109"/>
      <c r="E1848" s="109"/>
      <c r="F1848" s="109"/>
      <c r="G1848" s="109"/>
      <c r="H1848" s="109"/>
      <c r="I1848" s="109"/>
      <c r="J1848" s="109"/>
      <c r="K1848" s="109"/>
      <c r="L1848" s="109"/>
      <c r="M1848" s="109"/>
      <c r="N1848" s="109"/>
      <c r="O1848" s="109"/>
      <c r="P1848" s="109"/>
      <c r="Q1848" s="109"/>
      <c r="R1848" s="109"/>
      <c r="S1848" s="109"/>
      <c r="T1848" s="109"/>
      <c r="U1848" s="109"/>
    </row>
    <row r="1849" spans="1:21">
      <c r="A1849" s="109"/>
      <c r="B1849" s="109"/>
      <c r="C1849" s="109"/>
      <c r="D1849" s="109"/>
      <c r="E1849" s="109"/>
      <c r="F1849" s="109"/>
      <c r="G1849" s="109"/>
      <c r="H1849" s="109"/>
      <c r="I1849" s="109"/>
      <c r="J1849" s="109"/>
      <c r="K1849" s="109"/>
      <c r="L1849" s="109"/>
      <c r="M1849" s="109"/>
      <c r="N1849" s="109"/>
      <c r="O1849" s="109"/>
      <c r="P1849" s="109"/>
      <c r="Q1849" s="109"/>
      <c r="R1849" s="109"/>
      <c r="S1849" s="109"/>
      <c r="T1849" s="109"/>
      <c r="U1849" s="109"/>
    </row>
    <row r="1850" spans="1:21">
      <c r="A1850" s="109"/>
      <c r="B1850" s="109"/>
      <c r="C1850" s="109"/>
      <c r="D1850" s="109"/>
      <c r="E1850" s="109"/>
      <c r="F1850" s="109"/>
      <c r="G1850" s="109"/>
      <c r="H1850" s="109"/>
      <c r="I1850" s="109"/>
      <c r="J1850" s="109"/>
      <c r="K1850" s="109"/>
      <c r="L1850" s="109"/>
      <c r="M1850" s="109"/>
      <c r="N1850" s="109"/>
      <c r="O1850" s="109"/>
      <c r="P1850" s="109"/>
      <c r="Q1850" s="109"/>
      <c r="R1850" s="109"/>
      <c r="S1850" s="109"/>
      <c r="T1850" s="109"/>
      <c r="U1850" s="109"/>
    </row>
    <row r="1851" spans="1:21">
      <c r="A1851" s="109"/>
      <c r="B1851" s="109"/>
      <c r="C1851" s="109"/>
      <c r="D1851" s="109"/>
      <c r="E1851" s="109"/>
      <c r="F1851" s="109"/>
      <c r="G1851" s="109"/>
      <c r="H1851" s="109"/>
      <c r="I1851" s="109"/>
      <c r="J1851" s="109"/>
      <c r="K1851" s="109"/>
      <c r="L1851" s="109"/>
      <c r="M1851" s="109"/>
      <c r="N1851" s="109"/>
      <c r="O1851" s="109"/>
      <c r="P1851" s="109"/>
      <c r="Q1851" s="109"/>
      <c r="R1851" s="109"/>
      <c r="S1851" s="109"/>
      <c r="T1851" s="109"/>
      <c r="U1851" s="109"/>
    </row>
    <row r="1852" spans="1:21">
      <c r="A1852" s="109"/>
      <c r="B1852" s="109"/>
      <c r="C1852" s="109"/>
      <c r="D1852" s="109"/>
      <c r="E1852" s="109"/>
      <c r="F1852" s="109"/>
      <c r="G1852" s="109"/>
      <c r="H1852" s="109"/>
      <c r="I1852" s="109"/>
      <c r="J1852" s="109"/>
      <c r="K1852" s="109"/>
      <c r="L1852" s="109"/>
      <c r="M1852" s="109"/>
      <c r="N1852" s="109"/>
      <c r="O1852" s="109"/>
      <c r="P1852" s="109"/>
      <c r="Q1852" s="109"/>
      <c r="R1852" s="109"/>
      <c r="S1852" s="109"/>
      <c r="T1852" s="109"/>
      <c r="U1852" s="109"/>
    </row>
    <row r="1853" spans="1:21">
      <c r="A1853" s="109"/>
      <c r="B1853" s="109"/>
      <c r="C1853" s="109"/>
      <c r="D1853" s="109"/>
      <c r="E1853" s="109"/>
      <c r="F1853" s="109"/>
      <c r="G1853" s="109"/>
      <c r="H1853" s="109"/>
      <c r="I1853" s="109"/>
      <c r="J1853" s="109"/>
      <c r="K1853" s="109"/>
      <c r="L1853" s="109"/>
      <c r="M1853" s="109"/>
      <c r="N1853" s="109"/>
      <c r="O1853" s="109"/>
      <c r="P1853" s="109"/>
      <c r="Q1853" s="109"/>
      <c r="R1853" s="109"/>
      <c r="S1853" s="109"/>
      <c r="T1853" s="109"/>
      <c r="U1853" s="109"/>
    </row>
    <row r="1854" spans="1:21">
      <c r="A1854" s="109"/>
      <c r="B1854" s="109"/>
      <c r="C1854" s="109"/>
      <c r="D1854" s="109"/>
      <c r="E1854" s="109"/>
      <c r="F1854" s="109"/>
      <c r="G1854" s="109"/>
      <c r="H1854" s="109"/>
      <c r="I1854" s="109"/>
      <c r="J1854" s="109"/>
      <c r="K1854" s="109"/>
      <c r="L1854" s="109"/>
      <c r="M1854" s="109"/>
      <c r="N1854" s="109"/>
      <c r="O1854" s="109"/>
      <c r="P1854" s="109"/>
      <c r="Q1854" s="109"/>
      <c r="R1854" s="109"/>
      <c r="S1854" s="109"/>
      <c r="T1854" s="109"/>
      <c r="U1854" s="109"/>
    </row>
    <row r="1855" spans="1:21">
      <c r="A1855" s="109"/>
      <c r="B1855" s="109"/>
      <c r="C1855" s="109"/>
      <c r="D1855" s="109"/>
      <c r="E1855" s="109"/>
      <c r="F1855" s="109"/>
      <c r="G1855" s="109"/>
      <c r="H1855" s="109"/>
      <c r="I1855" s="109"/>
      <c r="J1855" s="109"/>
      <c r="K1855" s="109"/>
      <c r="L1855" s="109"/>
      <c r="M1855" s="109"/>
      <c r="N1855" s="109"/>
      <c r="O1855" s="109"/>
      <c r="P1855" s="109"/>
      <c r="Q1855" s="109"/>
      <c r="R1855" s="109"/>
      <c r="S1855" s="109"/>
      <c r="T1855" s="109"/>
      <c r="U1855" s="109"/>
    </row>
    <row r="1856" spans="1:21">
      <c r="A1856" s="109"/>
      <c r="B1856" s="109"/>
      <c r="C1856" s="109"/>
      <c r="D1856" s="109"/>
      <c r="E1856" s="109"/>
      <c r="F1856" s="109"/>
      <c r="G1856" s="109"/>
      <c r="H1856" s="109"/>
      <c r="I1856" s="109"/>
      <c r="J1856" s="109"/>
      <c r="K1856" s="109"/>
      <c r="L1856" s="109"/>
      <c r="M1856" s="109"/>
      <c r="N1856" s="109"/>
      <c r="O1856" s="109"/>
      <c r="P1856" s="109"/>
      <c r="Q1856" s="109"/>
      <c r="R1856" s="109"/>
      <c r="S1856" s="109"/>
      <c r="T1856" s="109"/>
      <c r="U1856" s="109"/>
    </row>
    <row r="1857" spans="1:21">
      <c r="A1857" s="109"/>
      <c r="B1857" s="109"/>
      <c r="C1857" s="109"/>
      <c r="D1857" s="109"/>
      <c r="E1857" s="109"/>
      <c r="F1857" s="109"/>
      <c r="G1857" s="109"/>
      <c r="H1857" s="109"/>
      <c r="I1857" s="109"/>
      <c r="J1857" s="109"/>
      <c r="K1857" s="109"/>
      <c r="L1857" s="109"/>
      <c r="M1857" s="109"/>
      <c r="N1857" s="109"/>
      <c r="O1857" s="109"/>
      <c r="P1857" s="109"/>
      <c r="Q1857" s="109"/>
      <c r="R1857" s="109"/>
      <c r="S1857" s="109"/>
      <c r="T1857" s="109"/>
      <c r="U1857" s="109"/>
    </row>
    <row r="1858" spans="1:21">
      <c r="A1858" s="109"/>
      <c r="B1858" s="109"/>
      <c r="C1858" s="109"/>
      <c r="D1858" s="109"/>
      <c r="E1858" s="109"/>
      <c r="F1858" s="109"/>
      <c r="G1858" s="109"/>
      <c r="H1858" s="109"/>
      <c r="I1858" s="109"/>
      <c r="J1858" s="109"/>
      <c r="K1858" s="109"/>
      <c r="L1858" s="109"/>
      <c r="M1858" s="109"/>
      <c r="N1858" s="109"/>
      <c r="O1858" s="109"/>
      <c r="P1858" s="109"/>
      <c r="Q1858" s="109"/>
      <c r="R1858" s="109"/>
      <c r="S1858" s="109"/>
      <c r="T1858" s="109"/>
      <c r="U1858" s="109"/>
    </row>
    <row r="1859" spans="1:21">
      <c r="A1859" s="109"/>
      <c r="B1859" s="109"/>
      <c r="C1859" s="109"/>
      <c r="D1859" s="109"/>
      <c r="E1859" s="109"/>
      <c r="F1859" s="109"/>
      <c r="G1859" s="109"/>
      <c r="H1859" s="109"/>
      <c r="I1859" s="109"/>
      <c r="J1859" s="109"/>
      <c r="K1859" s="109"/>
      <c r="L1859" s="109"/>
      <c r="M1859" s="109"/>
      <c r="N1859" s="109"/>
      <c r="O1859" s="109"/>
      <c r="P1859" s="109"/>
      <c r="Q1859" s="109"/>
      <c r="R1859" s="109"/>
      <c r="S1859" s="109"/>
      <c r="T1859" s="109"/>
      <c r="U1859" s="109"/>
    </row>
    <row r="1860" spans="1:21">
      <c r="A1860" s="109"/>
      <c r="B1860" s="109"/>
      <c r="C1860" s="109"/>
      <c r="D1860" s="109"/>
      <c r="E1860" s="109"/>
      <c r="F1860" s="109"/>
      <c r="G1860" s="109"/>
      <c r="H1860" s="109"/>
      <c r="I1860" s="109"/>
      <c r="J1860" s="109"/>
      <c r="K1860" s="109"/>
      <c r="L1860" s="109"/>
      <c r="M1860" s="109"/>
      <c r="N1860" s="109"/>
      <c r="O1860" s="109"/>
      <c r="P1860" s="109"/>
      <c r="Q1860" s="109"/>
      <c r="R1860" s="109"/>
      <c r="S1860" s="109"/>
      <c r="T1860" s="109"/>
      <c r="U1860" s="109"/>
    </row>
    <row r="1861" spans="1:21">
      <c r="A1861" s="109"/>
      <c r="B1861" s="109"/>
      <c r="C1861" s="109"/>
      <c r="D1861" s="109"/>
      <c r="E1861" s="109"/>
      <c r="F1861" s="109"/>
      <c r="G1861" s="109"/>
      <c r="H1861" s="109"/>
      <c r="I1861" s="109"/>
      <c r="J1861" s="109"/>
      <c r="K1861" s="109"/>
      <c r="L1861" s="109"/>
      <c r="M1861" s="109"/>
      <c r="N1861" s="109"/>
      <c r="O1861" s="109"/>
      <c r="P1861" s="109"/>
      <c r="Q1861" s="109"/>
      <c r="R1861" s="109"/>
      <c r="S1861" s="109"/>
      <c r="T1861" s="109"/>
      <c r="U1861" s="109"/>
    </row>
    <row r="1862" spans="1:21">
      <c r="A1862" s="109"/>
      <c r="B1862" s="109"/>
      <c r="C1862" s="109"/>
      <c r="D1862" s="109"/>
      <c r="E1862" s="109"/>
      <c r="F1862" s="109"/>
      <c r="G1862" s="109"/>
      <c r="H1862" s="109"/>
      <c r="I1862" s="109"/>
      <c r="J1862" s="109"/>
      <c r="K1862" s="109"/>
      <c r="L1862" s="109"/>
      <c r="M1862" s="109"/>
      <c r="N1862" s="109"/>
      <c r="O1862" s="109"/>
      <c r="P1862" s="109"/>
      <c r="Q1862" s="109"/>
      <c r="R1862" s="109"/>
      <c r="S1862" s="109"/>
      <c r="T1862" s="109"/>
      <c r="U1862" s="109"/>
    </row>
    <row r="1863" spans="1:21">
      <c r="A1863" s="109"/>
      <c r="B1863" s="109"/>
      <c r="C1863" s="109"/>
      <c r="D1863" s="109"/>
      <c r="E1863" s="109"/>
      <c r="F1863" s="109"/>
      <c r="G1863" s="109"/>
      <c r="H1863" s="109"/>
      <c r="I1863" s="109"/>
      <c r="J1863" s="109"/>
      <c r="K1863" s="109"/>
      <c r="L1863" s="109"/>
      <c r="M1863" s="109"/>
      <c r="N1863" s="109"/>
      <c r="O1863" s="109"/>
      <c r="P1863" s="109"/>
      <c r="Q1863" s="109"/>
      <c r="R1863" s="109"/>
      <c r="S1863" s="109"/>
      <c r="T1863" s="109"/>
      <c r="U1863" s="109"/>
    </row>
    <row r="1864" spans="1:21">
      <c r="A1864" s="109"/>
      <c r="B1864" s="109"/>
      <c r="C1864" s="109"/>
      <c r="D1864" s="109"/>
      <c r="E1864" s="109"/>
      <c r="F1864" s="109"/>
      <c r="G1864" s="109"/>
      <c r="H1864" s="109"/>
      <c r="I1864" s="109"/>
      <c r="J1864" s="109"/>
      <c r="K1864" s="109"/>
      <c r="L1864" s="109"/>
      <c r="M1864" s="109"/>
      <c r="N1864" s="109"/>
      <c r="O1864" s="109"/>
      <c r="P1864" s="109"/>
      <c r="Q1864" s="109"/>
      <c r="R1864" s="109"/>
      <c r="S1864" s="109"/>
      <c r="T1864" s="109"/>
      <c r="U1864" s="109"/>
    </row>
    <row r="1865" spans="1:21">
      <c r="A1865" s="109"/>
      <c r="B1865" s="109"/>
      <c r="C1865" s="109"/>
      <c r="D1865" s="109"/>
      <c r="E1865" s="109"/>
      <c r="F1865" s="109"/>
      <c r="G1865" s="109"/>
      <c r="H1865" s="109"/>
      <c r="I1865" s="109"/>
      <c r="J1865" s="109"/>
      <c r="K1865" s="109"/>
      <c r="L1865" s="109"/>
      <c r="M1865" s="109"/>
      <c r="N1865" s="109"/>
      <c r="O1865" s="109"/>
      <c r="P1865" s="109"/>
      <c r="Q1865" s="109"/>
      <c r="R1865" s="109"/>
      <c r="S1865" s="109"/>
      <c r="T1865" s="109"/>
      <c r="U1865" s="109"/>
    </row>
    <row r="1866" spans="1:21">
      <c r="A1866" s="109"/>
      <c r="B1866" s="109"/>
      <c r="C1866" s="109"/>
      <c r="D1866" s="109"/>
      <c r="E1866" s="109"/>
      <c r="F1866" s="109"/>
      <c r="G1866" s="109"/>
      <c r="H1866" s="109"/>
      <c r="I1866" s="109"/>
      <c r="J1866" s="109"/>
      <c r="K1866" s="109"/>
      <c r="L1866" s="109"/>
      <c r="M1866" s="109"/>
      <c r="N1866" s="109"/>
      <c r="O1866" s="109"/>
      <c r="P1866" s="109"/>
      <c r="Q1866" s="109"/>
      <c r="R1866" s="109"/>
      <c r="S1866" s="109"/>
      <c r="T1866" s="109"/>
      <c r="U1866" s="109"/>
    </row>
    <row r="1867" spans="1:21">
      <c r="A1867" s="109"/>
      <c r="B1867" s="109"/>
      <c r="C1867" s="109"/>
      <c r="D1867" s="109"/>
      <c r="E1867" s="109"/>
      <c r="F1867" s="109"/>
      <c r="G1867" s="109"/>
      <c r="H1867" s="109"/>
      <c r="I1867" s="109"/>
      <c r="J1867" s="109"/>
      <c r="K1867" s="109"/>
      <c r="L1867" s="109"/>
      <c r="M1867" s="109"/>
      <c r="N1867" s="109"/>
      <c r="O1867" s="109"/>
      <c r="P1867" s="109"/>
      <c r="Q1867" s="109"/>
      <c r="R1867" s="109"/>
      <c r="S1867" s="109"/>
      <c r="T1867" s="109"/>
      <c r="U1867" s="109"/>
    </row>
    <row r="1868" spans="1:21">
      <c r="A1868" s="109"/>
      <c r="B1868" s="109"/>
      <c r="C1868" s="109"/>
      <c r="D1868" s="109"/>
      <c r="E1868" s="109"/>
      <c r="F1868" s="109"/>
      <c r="G1868" s="109"/>
      <c r="H1868" s="109"/>
      <c r="I1868" s="109"/>
      <c r="J1868" s="109"/>
      <c r="K1868" s="109"/>
      <c r="L1868" s="109"/>
      <c r="M1868" s="109"/>
      <c r="N1868" s="109"/>
      <c r="O1868" s="109"/>
      <c r="P1868" s="109"/>
      <c r="Q1868" s="109"/>
      <c r="R1868" s="109"/>
      <c r="S1868" s="109"/>
      <c r="T1868" s="109"/>
      <c r="U1868" s="109"/>
    </row>
    <row r="1869" spans="1:21">
      <c r="A1869" s="109"/>
      <c r="B1869" s="109"/>
      <c r="C1869" s="109"/>
      <c r="D1869" s="109"/>
      <c r="E1869" s="109"/>
      <c r="F1869" s="109"/>
      <c r="G1869" s="109"/>
      <c r="H1869" s="109"/>
      <c r="I1869" s="109"/>
      <c r="J1869" s="109"/>
      <c r="K1869" s="109"/>
      <c r="L1869" s="109"/>
      <c r="M1869" s="109"/>
      <c r="N1869" s="109"/>
      <c r="O1869" s="109"/>
      <c r="P1869" s="109"/>
      <c r="Q1869" s="109"/>
      <c r="R1869" s="109"/>
      <c r="S1869" s="109"/>
      <c r="T1869" s="109"/>
      <c r="U1869" s="109"/>
    </row>
    <row r="1870" spans="1:21">
      <c r="A1870" s="109"/>
      <c r="B1870" s="109"/>
      <c r="C1870" s="109"/>
      <c r="D1870" s="109"/>
      <c r="E1870" s="109"/>
      <c r="F1870" s="109"/>
      <c r="G1870" s="109"/>
      <c r="H1870" s="109"/>
      <c r="I1870" s="109"/>
      <c r="J1870" s="109"/>
      <c r="K1870" s="109"/>
      <c r="L1870" s="109"/>
      <c r="M1870" s="109"/>
      <c r="N1870" s="109"/>
      <c r="O1870" s="109"/>
      <c r="P1870" s="109"/>
      <c r="Q1870" s="109"/>
      <c r="R1870" s="109"/>
      <c r="S1870" s="109"/>
      <c r="T1870" s="109"/>
      <c r="U1870" s="109"/>
    </row>
    <row r="1871" spans="1:21">
      <c r="A1871" s="109"/>
      <c r="B1871" s="109"/>
      <c r="C1871" s="109"/>
      <c r="D1871" s="109"/>
      <c r="E1871" s="109"/>
      <c r="F1871" s="109"/>
      <c r="G1871" s="109"/>
      <c r="H1871" s="109"/>
      <c r="I1871" s="109"/>
      <c r="J1871" s="109"/>
      <c r="K1871" s="109"/>
      <c r="L1871" s="109"/>
      <c r="M1871" s="109"/>
      <c r="N1871" s="109"/>
      <c r="O1871" s="109"/>
      <c r="P1871" s="109"/>
      <c r="Q1871" s="109"/>
      <c r="R1871" s="109"/>
      <c r="S1871" s="109"/>
      <c r="T1871" s="109"/>
      <c r="U1871" s="109"/>
    </row>
    <row r="1872" spans="1:21">
      <c r="A1872" s="109"/>
      <c r="B1872" s="109"/>
      <c r="C1872" s="109"/>
      <c r="D1872" s="109"/>
      <c r="E1872" s="109"/>
      <c r="F1872" s="109"/>
      <c r="G1872" s="109"/>
      <c r="H1872" s="109"/>
      <c r="I1872" s="109"/>
      <c r="J1872" s="109"/>
      <c r="K1872" s="109"/>
      <c r="L1872" s="109"/>
      <c r="M1872" s="109"/>
      <c r="N1872" s="109"/>
      <c r="O1872" s="109"/>
      <c r="P1872" s="109"/>
      <c r="Q1872" s="109"/>
      <c r="R1872" s="109"/>
      <c r="S1872" s="109"/>
      <c r="T1872" s="109"/>
      <c r="U1872" s="109"/>
    </row>
    <row r="1873" spans="1:21">
      <c r="A1873" s="109"/>
      <c r="B1873" s="109"/>
      <c r="C1873" s="109"/>
      <c r="D1873" s="109"/>
      <c r="E1873" s="109"/>
      <c r="F1873" s="109"/>
      <c r="G1873" s="109"/>
      <c r="H1873" s="109"/>
      <c r="I1873" s="109"/>
      <c r="J1873" s="109"/>
      <c r="K1873" s="109"/>
      <c r="L1873" s="109"/>
      <c r="M1873" s="109"/>
      <c r="N1873" s="109"/>
      <c r="O1873" s="109"/>
      <c r="P1873" s="109"/>
      <c r="Q1873" s="109"/>
      <c r="R1873" s="109"/>
      <c r="S1873" s="109"/>
      <c r="T1873" s="109"/>
      <c r="U1873" s="109"/>
    </row>
    <row r="1874" spans="1:21">
      <c r="A1874" s="109"/>
      <c r="B1874" s="109"/>
      <c r="C1874" s="109"/>
      <c r="D1874" s="109"/>
      <c r="E1874" s="109"/>
      <c r="F1874" s="109"/>
      <c r="G1874" s="109"/>
      <c r="H1874" s="109"/>
      <c r="I1874" s="109"/>
      <c r="J1874" s="109"/>
      <c r="K1874" s="109"/>
      <c r="L1874" s="109"/>
      <c r="M1874" s="109"/>
      <c r="N1874" s="109"/>
      <c r="O1874" s="109"/>
      <c r="P1874" s="109"/>
      <c r="Q1874" s="109"/>
      <c r="R1874" s="109"/>
      <c r="S1874" s="109"/>
      <c r="T1874" s="109"/>
      <c r="U1874" s="109"/>
    </row>
    <row r="1875" spans="1:21">
      <c r="A1875" s="109"/>
      <c r="B1875" s="109"/>
      <c r="C1875" s="109"/>
      <c r="D1875" s="109"/>
      <c r="E1875" s="109"/>
      <c r="F1875" s="109"/>
      <c r="G1875" s="109"/>
      <c r="H1875" s="109"/>
      <c r="I1875" s="109"/>
      <c r="J1875" s="109"/>
      <c r="K1875" s="109"/>
      <c r="L1875" s="109"/>
      <c r="M1875" s="109"/>
      <c r="N1875" s="109"/>
      <c r="O1875" s="109"/>
      <c r="P1875" s="109"/>
      <c r="Q1875" s="109"/>
      <c r="R1875" s="109"/>
      <c r="S1875" s="109"/>
      <c r="T1875" s="109"/>
      <c r="U1875" s="109"/>
    </row>
    <row r="1876" spans="1:21">
      <c r="A1876" s="109"/>
      <c r="B1876" s="109"/>
      <c r="C1876" s="109"/>
      <c r="D1876" s="109"/>
      <c r="E1876" s="109"/>
      <c r="F1876" s="109"/>
      <c r="G1876" s="109"/>
      <c r="H1876" s="109"/>
      <c r="I1876" s="109"/>
      <c r="J1876" s="109"/>
      <c r="K1876" s="109"/>
      <c r="L1876" s="109"/>
      <c r="M1876" s="109"/>
      <c r="N1876" s="109"/>
      <c r="O1876" s="109"/>
      <c r="P1876" s="109"/>
      <c r="Q1876" s="109"/>
      <c r="R1876" s="109"/>
      <c r="S1876" s="109"/>
      <c r="T1876" s="109"/>
      <c r="U1876" s="109"/>
    </row>
    <row r="1877" spans="1:21">
      <c r="A1877" s="109"/>
      <c r="B1877" s="109"/>
      <c r="C1877" s="109"/>
      <c r="D1877" s="109"/>
      <c r="E1877" s="109"/>
      <c r="F1877" s="109"/>
      <c r="G1877" s="109"/>
      <c r="H1877" s="109"/>
      <c r="I1877" s="109"/>
      <c r="J1877" s="109"/>
      <c r="K1877" s="109"/>
      <c r="L1877" s="109"/>
      <c r="M1877" s="109"/>
      <c r="N1877" s="109"/>
      <c r="O1877" s="109"/>
      <c r="P1877" s="109"/>
      <c r="Q1877" s="109"/>
      <c r="R1877" s="109"/>
      <c r="S1877" s="109"/>
      <c r="T1877" s="109"/>
      <c r="U1877" s="109"/>
    </row>
    <row r="1878" spans="1:21">
      <c r="A1878" s="109"/>
      <c r="B1878" s="109"/>
      <c r="C1878" s="109"/>
      <c r="D1878" s="109"/>
      <c r="E1878" s="109"/>
      <c r="F1878" s="109"/>
      <c r="G1878" s="109"/>
      <c r="H1878" s="109"/>
      <c r="I1878" s="109"/>
      <c r="J1878" s="109"/>
      <c r="K1878" s="109"/>
      <c r="L1878" s="109"/>
      <c r="M1878" s="109"/>
      <c r="N1878" s="109"/>
      <c r="O1878" s="109"/>
      <c r="P1878" s="109"/>
      <c r="Q1878" s="109"/>
      <c r="R1878" s="109"/>
      <c r="S1878" s="109"/>
      <c r="T1878" s="109"/>
      <c r="U1878" s="109"/>
    </row>
    <row r="1879" spans="1:21">
      <c r="A1879" s="109"/>
      <c r="B1879" s="109"/>
      <c r="C1879" s="109"/>
      <c r="D1879" s="109"/>
      <c r="E1879" s="109"/>
      <c r="F1879" s="109"/>
      <c r="G1879" s="109"/>
      <c r="H1879" s="109"/>
      <c r="I1879" s="109"/>
      <c r="J1879" s="109"/>
      <c r="K1879" s="109"/>
      <c r="L1879" s="109"/>
      <c r="M1879" s="109"/>
      <c r="N1879" s="109"/>
      <c r="O1879" s="109"/>
      <c r="P1879" s="109"/>
      <c r="Q1879" s="109"/>
      <c r="R1879" s="109"/>
      <c r="S1879" s="109"/>
      <c r="T1879" s="109"/>
      <c r="U1879" s="109"/>
    </row>
    <row r="1880" spans="1:21">
      <c r="A1880" s="109"/>
      <c r="B1880" s="109"/>
      <c r="C1880" s="109"/>
      <c r="D1880" s="109"/>
      <c r="E1880" s="109"/>
      <c r="F1880" s="109"/>
      <c r="G1880" s="109"/>
      <c r="H1880" s="109"/>
      <c r="I1880" s="109"/>
      <c r="J1880" s="109"/>
      <c r="K1880" s="109"/>
      <c r="L1880" s="109"/>
      <c r="M1880" s="109"/>
      <c r="N1880" s="109"/>
      <c r="O1880" s="109"/>
      <c r="P1880" s="109"/>
      <c r="Q1880" s="109"/>
      <c r="R1880" s="109"/>
      <c r="S1880" s="109"/>
      <c r="T1880" s="109"/>
      <c r="U1880" s="109"/>
    </row>
    <row r="1881" spans="1:21">
      <c r="A1881" s="109"/>
      <c r="B1881" s="109"/>
      <c r="C1881" s="109"/>
      <c r="D1881" s="109"/>
      <c r="E1881" s="109"/>
      <c r="F1881" s="109"/>
      <c r="G1881" s="109"/>
      <c r="H1881" s="109"/>
      <c r="I1881" s="109"/>
      <c r="J1881" s="109"/>
      <c r="K1881" s="109"/>
      <c r="L1881" s="109"/>
      <c r="M1881" s="109"/>
      <c r="N1881" s="109"/>
      <c r="O1881" s="109"/>
      <c r="P1881" s="109"/>
      <c r="Q1881" s="109"/>
      <c r="R1881" s="109"/>
      <c r="S1881" s="109"/>
      <c r="T1881" s="109"/>
      <c r="U1881" s="109"/>
    </row>
    <row r="1882" spans="1:21">
      <c r="A1882" s="109"/>
      <c r="B1882" s="109"/>
      <c r="C1882" s="109"/>
      <c r="D1882" s="109"/>
      <c r="E1882" s="109"/>
      <c r="F1882" s="109"/>
      <c r="G1882" s="109"/>
      <c r="H1882" s="109"/>
      <c r="I1882" s="109"/>
      <c r="J1882" s="109"/>
      <c r="K1882" s="109"/>
      <c r="L1882" s="109"/>
      <c r="M1882" s="109"/>
      <c r="N1882" s="109"/>
      <c r="O1882" s="109"/>
      <c r="P1882" s="109"/>
      <c r="Q1882" s="109"/>
      <c r="R1882" s="109"/>
      <c r="S1882" s="109"/>
      <c r="T1882" s="109"/>
      <c r="U1882" s="109"/>
    </row>
    <row r="1883" spans="1:21">
      <c r="A1883" s="109"/>
      <c r="B1883" s="109"/>
      <c r="C1883" s="109"/>
      <c r="D1883" s="109"/>
      <c r="E1883" s="109"/>
      <c r="F1883" s="109"/>
      <c r="G1883" s="109"/>
      <c r="H1883" s="109"/>
      <c r="I1883" s="109"/>
      <c r="J1883" s="109"/>
      <c r="K1883" s="109"/>
      <c r="L1883" s="109"/>
      <c r="M1883" s="109"/>
      <c r="N1883" s="109"/>
      <c r="O1883" s="109"/>
      <c r="P1883" s="109"/>
      <c r="Q1883" s="109"/>
      <c r="R1883" s="109"/>
      <c r="S1883" s="109"/>
      <c r="T1883" s="109"/>
      <c r="U1883" s="109"/>
    </row>
    <row r="1884" spans="1:21">
      <c r="A1884" s="109"/>
      <c r="B1884" s="109"/>
      <c r="C1884" s="109"/>
      <c r="D1884" s="109"/>
      <c r="E1884" s="109"/>
      <c r="F1884" s="109"/>
      <c r="G1884" s="109"/>
      <c r="H1884" s="109"/>
      <c r="I1884" s="109"/>
      <c r="J1884" s="109"/>
      <c r="K1884" s="109"/>
      <c r="L1884" s="109"/>
      <c r="M1884" s="109"/>
      <c r="N1884" s="109"/>
      <c r="O1884" s="109"/>
      <c r="P1884" s="109"/>
      <c r="Q1884" s="109"/>
      <c r="R1884" s="109"/>
      <c r="S1884" s="109"/>
      <c r="T1884" s="109"/>
      <c r="U1884" s="109"/>
    </row>
    <row r="1885" spans="1:21">
      <c r="A1885" s="109"/>
      <c r="B1885" s="109"/>
      <c r="C1885" s="109"/>
      <c r="D1885" s="109"/>
      <c r="E1885" s="109"/>
      <c r="F1885" s="109"/>
      <c r="G1885" s="109"/>
      <c r="H1885" s="109"/>
      <c r="I1885" s="109"/>
      <c r="J1885" s="109"/>
      <c r="K1885" s="109"/>
      <c r="L1885" s="109"/>
      <c r="M1885" s="109"/>
      <c r="N1885" s="109"/>
      <c r="O1885" s="109"/>
      <c r="P1885" s="109"/>
      <c r="Q1885" s="109"/>
      <c r="R1885" s="109"/>
      <c r="S1885" s="109"/>
      <c r="T1885" s="109"/>
      <c r="U1885" s="109"/>
    </row>
    <row r="1886" spans="1:21">
      <c r="A1886" s="109"/>
      <c r="B1886" s="109"/>
      <c r="C1886" s="109"/>
      <c r="D1886" s="109"/>
      <c r="E1886" s="109"/>
      <c r="F1886" s="109"/>
      <c r="G1886" s="109"/>
      <c r="H1886" s="109"/>
      <c r="I1886" s="109"/>
      <c r="J1886" s="109"/>
      <c r="K1886" s="109"/>
      <c r="L1886" s="109"/>
      <c r="M1886" s="109"/>
      <c r="N1886" s="109"/>
      <c r="O1886" s="109"/>
      <c r="P1886" s="109"/>
      <c r="Q1886" s="109"/>
      <c r="R1886" s="109"/>
      <c r="S1886" s="109"/>
      <c r="T1886" s="109"/>
      <c r="U1886" s="109"/>
    </row>
    <row r="1887" spans="1:21">
      <c r="A1887" s="109"/>
      <c r="B1887" s="109"/>
      <c r="C1887" s="109"/>
      <c r="D1887" s="109"/>
      <c r="E1887" s="109"/>
      <c r="F1887" s="109"/>
      <c r="G1887" s="109"/>
      <c r="H1887" s="109"/>
      <c r="I1887" s="109"/>
      <c r="J1887" s="109"/>
      <c r="K1887" s="109"/>
      <c r="L1887" s="109"/>
      <c r="M1887" s="109"/>
      <c r="N1887" s="109"/>
      <c r="O1887" s="109"/>
      <c r="P1887" s="109"/>
      <c r="Q1887" s="109"/>
      <c r="R1887" s="109"/>
      <c r="S1887" s="109"/>
      <c r="T1887" s="109"/>
      <c r="U1887" s="109"/>
    </row>
    <row r="1888" spans="1:21">
      <c r="A1888" s="109"/>
      <c r="B1888" s="109"/>
      <c r="C1888" s="109"/>
      <c r="D1888" s="109"/>
      <c r="E1888" s="109"/>
      <c r="F1888" s="109"/>
      <c r="G1888" s="109"/>
      <c r="H1888" s="109"/>
      <c r="I1888" s="109"/>
      <c r="J1888" s="109"/>
      <c r="K1888" s="109"/>
      <c r="L1888" s="109"/>
      <c r="M1888" s="109"/>
      <c r="N1888" s="109"/>
      <c r="O1888" s="109"/>
      <c r="P1888" s="109"/>
      <c r="Q1888" s="109"/>
      <c r="R1888" s="109"/>
      <c r="S1888" s="109"/>
      <c r="T1888" s="109"/>
      <c r="U1888" s="109"/>
    </row>
    <row r="1889" spans="1:21">
      <c r="A1889" s="109"/>
      <c r="B1889" s="109"/>
      <c r="C1889" s="109"/>
      <c r="D1889" s="109"/>
      <c r="E1889" s="109"/>
      <c r="F1889" s="109"/>
      <c r="G1889" s="109"/>
      <c r="H1889" s="109"/>
      <c r="I1889" s="109"/>
      <c r="J1889" s="109"/>
      <c r="K1889" s="109"/>
      <c r="L1889" s="109"/>
      <c r="M1889" s="109"/>
      <c r="N1889" s="109"/>
      <c r="O1889" s="109"/>
      <c r="P1889" s="109"/>
      <c r="Q1889" s="109"/>
      <c r="R1889" s="109"/>
      <c r="S1889" s="109"/>
      <c r="T1889" s="109"/>
      <c r="U1889" s="109"/>
    </row>
    <row r="1890" spans="1:21">
      <c r="A1890" s="109"/>
      <c r="B1890" s="109"/>
      <c r="C1890" s="109"/>
      <c r="D1890" s="109"/>
      <c r="E1890" s="109"/>
      <c r="F1890" s="109"/>
      <c r="G1890" s="109"/>
      <c r="H1890" s="109"/>
      <c r="I1890" s="109"/>
      <c r="J1890" s="109"/>
      <c r="K1890" s="109"/>
      <c r="L1890" s="109"/>
      <c r="M1890" s="109"/>
      <c r="N1890" s="109"/>
      <c r="O1890" s="109"/>
      <c r="P1890" s="109"/>
      <c r="Q1890" s="109"/>
      <c r="R1890" s="109"/>
      <c r="S1890" s="109"/>
      <c r="T1890" s="109"/>
      <c r="U1890" s="109"/>
    </row>
    <row r="1891" spans="1:21">
      <c r="A1891" s="109"/>
      <c r="B1891" s="109"/>
      <c r="C1891" s="109"/>
      <c r="D1891" s="109"/>
      <c r="E1891" s="109"/>
      <c r="F1891" s="109"/>
      <c r="G1891" s="109"/>
      <c r="H1891" s="109"/>
      <c r="I1891" s="109"/>
      <c r="J1891" s="109"/>
      <c r="K1891" s="109"/>
      <c r="L1891" s="109"/>
      <c r="M1891" s="109"/>
      <c r="N1891" s="109"/>
      <c r="O1891" s="109"/>
      <c r="P1891" s="109"/>
      <c r="Q1891" s="109"/>
      <c r="R1891" s="109"/>
      <c r="S1891" s="109"/>
      <c r="T1891" s="109"/>
      <c r="U1891" s="109"/>
    </row>
    <row r="1892" spans="1:21">
      <c r="A1892" s="109"/>
      <c r="B1892" s="109"/>
      <c r="C1892" s="109"/>
      <c r="D1892" s="109"/>
      <c r="E1892" s="109"/>
      <c r="F1892" s="109"/>
      <c r="G1892" s="109"/>
      <c r="H1892" s="109"/>
      <c r="I1892" s="109"/>
      <c r="J1892" s="109"/>
      <c r="K1892" s="109"/>
      <c r="L1892" s="109"/>
      <c r="M1892" s="109"/>
      <c r="N1892" s="109"/>
      <c r="O1892" s="109"/>
      <c r="P1892" s="109"/>
      <c r="Q1892" s="109"/>
      <c r="R1892" s="109"/>
      <c r="S1892" s="109"/>
      <c r="T1892" s="109"/>
      <c r="U1892" s="109"/>
    </row>
    <row r="1893" spans="1:21">
      <c r="A1893" s="109"/>
      <c r="B1893" s="109"/>
      <c r="C1893" s="109"/>
      <c r="D1893" s="109"/>
      <c r="E1893" s="109"/>
      <c r="F1893" s="109"/>
      <c r="G1893" s="109"/>
      <c r="H1893" s="109"/>
      <c r="I1893" s="109"/>
      <c r="J1893" s="109"/>
      <c r="K1893" s="109"/>
      <c r="L1893" s="109"/>
      <c r="M1893" s="109"/>
      <c r="N1893" s="109"/>
      <c r="O1893" s="109"/>
      <c r="P1893" s="109"/>
      <c r="Q1893" s="109"/>
      <c r="R1893" s="109"/>
      <c r="S1893" s="109"/>
      <c r="T1893" s="109"/>
      <c r="U1893" s="109"/>
    </row>
    <row r="1894" spans="1:21">
      <c r="A1894" s="109"/>
      <c r="B1894" s="109"/>
      <c r="C1894" s="109"/>
      <c r="D1894" s="109"/>
      <c r="E1894" s="109"/>
      <c r="F1894" s="109"/>
      <c r="G1894" s="109"/>
      <c r="H1894" s="109"/>
      <c r="I1894" s="109"/>
      <c r="J1894" s="109"/>
      <c r="K1894" s="109"/>
      <c r="L1894" s="109"/>
      <c r="M1894" s="109"/>
      <c r="N1894" s="109"/>
      <c r="O1894" s="109"/>
      <c r="P1894" s="109"/>
      <c r="Q1894" s="109"/>
      <c r="R1894" s="109"/>
      <c r="S1894" s="109"/>
      <c r="T1894" s="109"/>
      <c r="U1894" s="109"/>
    </row>
    <row r="1895" spans="1:21">
      <c r="A1895" s="109"/>
      <c r="B1895" s="109"/>
      <c r="C1895" s="109"/>
      <c r="D1895" s="109"/>
      <c r="E1895" s="109"/>
      <c r="F1895" s="109"/>
      <c r="G1895" s="109"/>
      <c r="H1895" s="109"/>
      <c r="I1895" s="109"/>
      <c r="J1895" s="109"/>
      <c r="K1895" s="109"/>
      <c r="L1895" s="109"/>
      <c r="M1895" s="109"/>
      <c r="N1895" s="109"/>
      <c r="O1895" s="109"/>
      <c r="P1895" s="109"/>
      <c r="Q1895" s="109"/>
      <c r="R1895" s="109"/>
      <c r="S1895" s="109"/>
      <c r="T1895" s="109"/>
      <c r="U1895" s="109"/>
    </row>
    <row r="1896" spans="1:21">
      <c r="A1896" s="109"/>
      <c r="B1896" s="109"/>
      <c r="C1896" s="109"/>
      <c r="D1896" s="109"/>
      <c r="E1896" s="109"/>
      <c r="F1896" s="109"/>
      <c r="G1896" s="109"/>
      <c r="H1896" s="109"/>
      <c r="I1896" s="109"/>
      <c r="J1896" s="109"/>
      <c r="K1896" s="109"/>
      <c r="L1896" s="109"/>
      <c r="M1896" s="109"/>
      <c r="N1896" s="109"/>
      <c r="O1896" s="109"/>
      <c r="P1896" s="109"/>
      <c r="Q1896" s="109"/>
      <c r="R1896" s="109"/>
      <c r="S1896" s="109"/>
      <c r="T1896" s="109"/>
      <c r="U1896" s="109"/>
    </row>
    <row r="1897" spans="1:21">
      <c r="A1897" s="109"/>
      <c r="B1897" s="109"/>
      <c r="C1897" s="109"/>
      <c r="D1897" s="109"/>
      <c r="E1897" s="109"/>
      <c r="F1897" s="109"/>
      <c r="G1897" s="109"/>
      <c r="H1897" s="109"/>
      <c r="I1897" s="109"/>
      <c r="J1897" s="109"/>
      <c r="K1897" s="109"/>
      <c r="L1897" s="109"/>
      <c r="M1897" s="109"/>
      <c r="N1897" s="109"/>
      <c r="O1897" s="109"/>
      <c r="P1897" s="109"/>
      <c r="Q1897" s="109"/>
      <c r="R1897" s="109"/>
      <c r="S1897" s="109"/>
      <c r="T1897" s="109"/>
      <c r="U1897" s="109"/>
    </row>
    <row r="1898" spans="1:21">
      <c r="A1898" s="109"/>
      <c r="B1898" s="109"/>
      <c r="C1898" s="109"/>
      <c r="D1898" s="109"/>
      <c r="E1898" s="109"/>
      <c r="F1898" s="109"/>
      <c r="G1898" s="109"/>
      <c r="H1898" s="109"/>
      <c r="I1898" s="109"/>
      <c r="J1898" s="109"/>
      <c r="K1898" s="109"/>
      <c r="L1898" s="109"/>
      <c r="M1898" s="109"/>
      <c r="N1898" s="109"/>
      <c r="O1898" s="109"/>
      <c r="P1898" s="109"/>
      <c r="Q1898" s="109"/>
      <c r="R1898" s="109"/>
      <c r="S1898" s="109"/>
      <c r="T1898" s="109"/>
      <c r="U1898" s="109"/>
    </row>
    <row r="1899" spans="1:21">
      <c r="A1899" s="109"/>
      <c r="B1899" s="109"/>
      <c r="C1899" s="109"/>
      <c r="D1899" s="109"/>
      <c r="E1899" s="109"/>
      <c r="F1899" s="109"/>
      <c r="G1899" s="109"/>
      <c r="H1899" s="109"/>
      <c r="I1899" s="109"/>
      <c r="J1899" s="109"/>
      <c r="K1899" s="109"/>
      <c r="L1899" s="109"/>
      <c r="M1899" s="109"/>
      <c r="N1899" s="109"/>
      <c r="O1899" s="109"/>
      <c r="P1899" s="109"/>
      <c r="Q1899" s="109"/>
      <c r="R1899" s="109"/>
      <c r="S1899" s="109"/>
      <c r="T1899" s="109"/>
      <c r="U1899" s="109"/>
    </row>
    <row r="1900" spans="1:21">
      <c r="A1900" s="109"/>
      <c r="B1900" s="109"/>
      <c r="C1900" s="109"/>
      <c r="D1900" s="109"/>
      <c r="E1900" s="109"/>
      <c r="F1900" s="109"/>
      <c r="G1900" s="109"/>
      <c r="H1900" s="109"/>
      <c r="I1900" s="109"/>
      <c r="J1900" s="109"/>
      <c r="K1900" s="109"/>
      <c r="L1900" s="109"/>
      <c r="M1900" s="109"/>
      <c r="N1900" s="109"/>
      <c r="O1900" s="109"/>
      <c r="P1900" s="109"/>
      <c r="Q1900" s="109"/>
      <c r="R1900" s="109"/>
      <c r="S1900" s="109"/>
      <c r="T1900" s="109"/>
      <c r="U1900" s="109"/>
    </row>
    <row r="1901" spans="1:21">
      <c r="A1901" s="109"/>
      <c r="B1901" s="109"/>
      <c r="C1901" s="109"/>
      <c r="D1901" s="109"/>
      <c r="E1901" s="109"/>
      <c r="F1901" s="109"/>
      <c r="G1901" s="109"/>
      <c r="H1901" s="109"/>
      <c r="I1901" s="109"/>
      <c r="J1901" s="109"/>
      <c r="K1901" s="109"/>
      <c r="L1901" s="109"/>
      <c r="M1901" s="109"/>
      <c r="N1901" s="109"/>
      <c r="O1901" s="109"/>
      <c r="P1901" s="109"/>
      <c r="Q1901" s="109"/>
      <c r="R1901" s="109"/>
      <c r="S1901" s="109"/>
      <c r="T1901" s="109"/>
      <c r="U1901" s="109"/>
    </row>
    <row r="1902" spans="1:21">
      <c r="A1902" s="109"/>
      <c r="B1902" s="109"/>
      <c r="C1902" s="109"/>
      <c r="D1902" s="109"/>
      <c r="E1902" s="109"/>
      <c r="F1902" s="109"/>
      <c r="G1902" s="109"/>
      <c r="H1902" s="109"/>
      <c r="I1902" s="109"/>
      <c r="J1902" s="109"/>
      <c r="K1902" s="109"/>
      <c r="L1902" s="109"/>
      <c r="M1902" s="109"/>
      <c r="N1902" s="109"/>
      <c r="O1902" s="109"/>
      <c r="P1902" s="109"/>
      <c r="Q1902" s="109"/>
      <c r="R1902" s="109"/>
      <c r="S1902" s="109"/>
      <c r="T1902" s="109"/>
      <c r="U1902" s="109"/>
    </row>
    <row r="1903" spans="1:21">
      <c r="A1903" s="109"/>
      <c r="B1903" s="109"/>
      <c r="C1903" s="109"/>
      <c r="D1903" s="109"/>
      <c r="E1903" s="109"/>
      <c r="F1903" s="109"/>
      <c r="G1903" s="109"/>
      <c r="H1903" s="109"/>
      <c r="I1903" s="109"/>
      <c r="J1903" s="109"/>
      <c r="K1903" s="109"/>
      <c r="L1903" s="109"/>
      <c r="M1903" s="109"/>
      <c r="N1903" s="109"/>
      <c r="O1903" s="109"/>
      <c r="P1903" s="109"/>
      <c r="Q1903" s="109"/>
      <c r="R1903" s="109"/>
      <c r="S1903" s="109"/>
      <c r="T1903" s="109"/>
      <c r="U1903" s="109"/>
    </row>
    <row r="1904" spans="1:21">
      <c r="A1904" s="109"/>
      <c r="B1904" s="109"/>
      <c r="C1904" s="109"/>
      <c r="D1904" s="109"/>
      <c r="E1904" s="109"/>
      <c r="F1904" s="109"/>
      <c r="G1904" s="109"/>
      <c r="H1904" s="109"/>
      <c r="I1904" s="109"/>
      <c r="J1904" s="109"/>
      <c r="K1904" s="109"/>
      <c r="L1904" s="109"/>
      <c r="M1904" s="109"/>
      <c r="N1904" s="109"/>
      <c r="O1904" s="109"/>
      <c r="P1904" s="109"/>
      <c r="Q1904" s="109"/>
      <c r="R1904" s="109"/>
      <c r="S1904" s="109"/>
      <c r="T1904" s="109"/>
      <c r="U1904" s="109"/>
    </row>
    <row r="1905" spans="1:21">
      <c r="A1905" s="109"/>
      <c r="B1905" s="109"/>
      <c r="C1905" s="109"/>
      <c r="D1905" s="109"/>
      <c r="E1905" s="109"/>
      <c r="F1905" s="109"/>
      <c r="G1905" s="109"/>
      <c r="H1905" s="109"/>
      <c r="I1905" s="109"/>
      <c r="J1905" s="109"/>
      <c r="K1905" s="109"/>
      <c r="L1905" s="109"/>
      <c r="M1905" s="109"/>
      <c r="N1905" s="109"/>
      <c r="O1905" s="109"/>
      <c r="P1905" s="109"/>
      <c r="Q1905" s="109"/>
      <c r="R1905" s="109"/>
      <c r="S1905" s="109"/>
      <c r="T1905" s="109"/>
      <c r="U1905" s="109"/>
    </row>
    <row r="1906" spans="1:21">
      <c r="A1906" s="109"/>
      <c r="B1906" s="109"/>
      <c r="C1906" s="109"/>
      <c r="D1906" s="109"/>
      <c r="E1906" s="109"/>
      <c r="F1906" s="109"/>
      <c r="G1906" s="109"/>
      <c r="H1906" s="109"/>
      <c r="I1906" s="109"/>
      <c r="J1906" s="109"/>
      <c r="K1906" s="109"/>
      <c r="L1906" s="109"/>
      <c r="M1906" s="109"/>
      <c r="N1906" s="109"/>
      <c r="O1906" s="109"/>
      <c r="P1906" s="109"/>
      <c r="Q1906" s="109"/>
      <c r="R1906" s="109"/>
      <c r="S1906" s="109"/>
      <c r="T1906" s="109"/>
      <c r="U1906" s="109"/>
    </row>
    <row r="1907" spans="1:21">
      <c r="A1907" s="109"/>
      <c r="B1907" s="109"/>
      <c r="C1907" s="109"/>
      <c r="D1907" s="109"/>
      <c r="E1907" s="109"/>
      <c r="F1907" s="109"/>
      <c r="G1907" s="109"/>
      <c r="H1907" s="109"/>
      <c r="I1907" s="109"/>
      <c r="J1907" s="109"/>
      <c r="K1907" s="109"/>
      <c r="L1907" s="109"/>
      <c r="M1907" s="109"/>
      <c r="N1907" s="109"/>
      <c r="O1907" s="109"/>
      <c r="P1907" s="109"/>
      <c r="Q1907" s="109"/>
      <c r="R1907" s="109"/>
      <c r="S1907" s="109"/>
      <c r="T1907" s="109"/>
      <c r="U1907" s="109"/>
    </row>
    <row r="1908" spans="1:21">
      <c r="A1908" s="109"/>
      <c r="B1908" s="109"/>
      <c r="C1908" s="109"/>
      <c r="D1908" s="109"/>
      <c r="E1908" s="109"/>
      <c r="F1908" s="109"/>
      <c r="G1908" s="109"/>
      <c r="H1908" s="109"/>
      <c r="I1908" s="109"/>
      <c r="J1908" s="109"/>
      <c r="K1908" s="109"/>
      <c r="L1908" s="109"/>
      <c r="M1908" s="109"/>
      <c r="N1908" s="109"/>
      <c r="O1908" s="109"/>
      <c r="P1908" s="109"/>
      <c r="Q1908" s="109"/>
      <c r="R1908" s="109"/>
      <c r="S1908" s="109"/>
      <c r="T1908" s="109"/>
      <c r="U1908" s="109"/>
    </row>
    <row r="1909" spans="1:21">
      <c r="A1909" s="109"/>
      <c r="B1909" s="109"/>
      <c r="C1909" s="109"/>
      <c r="D1909" s="109"/>
      <c r="E1909" s="109"/>
      <c r="F1909" s="109"/>
      <c r="G1909" s="109"/>
      <c r="H1909" s="109"/>
      <c r="I1909" s="109"/>
      <c r="J1909" s="109"/>
      <c r="K1909" s="109"/>
      <c r="L1909" s="109"/>
      <c r="M1909" s="109"/>
      <c r="N1909" s="109"/>
      <c r="O1909" s="109"/>
      <c r="P1909" s="109"/>
      <c r="Q1909" s="109"/>
      <c r="R1909" s="109"/>
      <c r="S1909" s="109"/>
      <c r="T1909" s="109"/>
      <c r="U1909" s="109"/>
    </row>
    <row r="1910" spans="1:21">
      <c r="A1910" s="109"/>
      <c r="B1910" s="109"/>
      <c r="C1910" s="109"/>
      <c r="D1910" s="109"/>
      <c r="E1910" s="109"/>
      <c r="F1910" s="109"/>
      <c r="G1910" s="109"/>
      <c r="H1910" s="109"/>
      <c r="I1910" s="109"/>
      <c r="J1910" s="109"/>
      <c r="K1910" s="109"/>
      <c r="L1910" s="109"/>
      <c r="M1910" s="109"/>
      <c r="N1910" s="109"/>
      <c r="O1910" s="109"/>
      <c r="P1910" s="109"/>
      <c r="Q1910" s="109"/>
      <c r="R1910" s="109"/>
      <c r="S1910" s="109"/>
      <c r="T1910" s="109"/>
      <c r="U1910" s="109"/>
    </row>
    <row r="1911" spans="1:21">
      <c r="A1911" s="109"/>
      <c r="B1911" s="109"/>
      <c r="C1911" s="109"/>
      <c r="D1911" s="109"/>
      <c r="E1911" s="109"/>
      <c r="F1911" s="109"/>
      <c r="G1911" s="109"/>
      <c r="H1911" s="109"/>
      <c r="I1911" s="109"/>
      <c r="J1911" s="109"/>
      <c r="K1911" s="109"/>
      <c r="L1911" s="109"/>
      <c r="M1911" s="109"/>
      <c r="N1911" s="109"/>
      <c r="O1911" s="109"/>
      <c r="P1911" s="109"/>
      <c r="Q1911" s="109"/>
      <c r="R1911" s="109"/>
      <c r="S1911" s="109"/>
      <c r="T1911" s="109"/>
      <c r="U1911" s="109"/>
    </row>
    <row r="1912" spans="1:21">
      <c r="A1912" s="109"/>
      <c r="B1912" s="109"/>
      <c r="C1912" s="109"/>
      <c r="D1912" s="109"/>
      <c r="E1912" s="109"/>
      <c r="F1912" s="109"/>
      <c r="G1912" s="109"/>
      <c r="H1912" s="109"/>
      <c r="I1912" s="109"/>
      <c r="J1912" s="109"/>
      <c r="K1912" s="109"/>
      <c r="L1912" s="109"/>
      <c r="M1912" s="109"/>
      <c r="N1912" s="109"/>
      <c r="O1912" s="109"/>
      <c r="P1912" s="109"/>
      <c r="Q1912" s="109"/>
      <c r="R1912" s="109"/>
      <c r="S1912" s="109"/>
      <c r="T1912" s="109"/>
      <c r="U1912" s="109"/>
    </row>
    <row r="1913" spans="1:21">
      <c r="A1913" s="109"/>
      <c r="B1913" s="109"/>
      <c r="C1913" s="109"/>
      <c r="D1913" s="109"/>
      <c r="E1913" s="109"/>
      <c r="F1913" s="109"/>
      <c r="G1913" s="109"/>
      <c r="H1913" s="109"/>
      <c r="I1913" s="109"/>
      <c r="J1913" s="109"/>
      <c r="K1913" s="109"/>
      <c r="L1913" s="109"/>
      <c r="M1913" s="109"/>
      <c r="N1913" s="109"/>
      <c r="O1913" s="109"/>
      <c r="P1913" s="109"/>
      <c r="Q1913" s="109"/>
      <c r="R1913" s="109"/>
      <c r="S1913" s="109"/>
      <c r="T1913" s="109"/>
      <c r="U1913" s="109"/>
    </row>
    <row r="1914" spans="1:21">
      <c r="A1914" s="109"/>
      <c r="B1914" s="109"/>
      <c r="C1914" s="109"/>
      <c r="D1914" s="109"/>
      <c r="E1914" s="109"/>
      <c r="F1914" s="109"/>
      <c r="G1914" s="109"/>
      <c r="H1914" s="109"/>
      <c r="I1914" s="109"/>
      <c r="J1914" s="109"/>
      <c r="K1914" s="109"/>
      <c r="L1914" s="109"/>
      <c r="M1914" s="109"/>
      <c r="N1914" s="109"/>
      <c r="O1914" s="109"/>
      <c r="P1914" s="109"/>
      <c r="Q1914" s="109"/>
      <c r="R1914" s="109"/>
      <c r="S1914" s="109"/>
      <c r="T1914" s="109"/>
      <c r="U1914" s="109"/>
    </row>
    <row r="1915" spans="1:21">
      <c r="A1915" s="109"/>
      <c r="B1915" s="109"/>
      <c r="C1915" s="109"/>
      <c r="D1915" s="109"/>
      <c r="E1915" s="109"/>
      <c r="F1915" s="109"/>
      <c r="G1915" s="109"/>
      <c r="H1915" s="109"/>
      <c r="I1915" s="109"/>
      <c r="J1915" s="109"/>
      <c r="K1915" s="109"/>
      <c r="L1915" s="109"/>
      <c r="M1915" s="109"/>
      <c r="N1915" s="109"/>
      <c r="O1915" s="109"/>
      <c r="P1915" s="109"/>
      <c r="Q1915" s="109"/>
      <c r="R1915" s="109"/>
      <c r="S1915" s="109"/>
      <c r="T1915" s="109"/>
      <c r="U1915" s="109"/>
    </row>
    <row r="1916" spans="1:21">
      <c r="A1916" s="109"/>
      <c r="B1916" s="109"/>
      <c r="C1916" s="109"/>
      <c r="D1916" s="109"/>
      <c r="E1916" s="109"/>
      <c r="F1916" s="109"/>
      <c r="G1916" s="109"/>
      <c r="H1916" s="109"/>
      <c r="I1916" s="109"/>
      <c r="J1916" s="109"/>
      <c r="K1916" s="109"/>
      <c r="L1916" s="109"/>
      <c r="M1916" s="109"/>
      <c r="N1916" s="109"/>
      <c r="O1916" s="109"/>
      <c r="P1916" s="109"/>
      <c r="Q1916" s="109"/>
      <c r="R1916" s="109"/>
      <c r="S1916" s="109"/>
      <c r="T1916" s="109"/>
      <c r="U1916" s="109"/>
    </row>
    <row r="1917" spans="1:21">
      <c r="A1917" s="109"/>
      <c r="B1917" s="109"/>
      <c r="C1917" s="109"/>
      <c r="D1917" s="109"/>
      <c r="E1917" s="109"/>
      <c r="F1917" s="109"/>
      <c r="G1917" s="109"/>
      <c r="H1917" s="109"/>
      <c r="I1917" s="109"/>
      <c r="J1917" s="109"/>
      <c r="K1917" s="109"/>
      <c r="L1917" s="109"/>
      <c r="M1917" s="109"/>
      <c r="N1917" s="109"/>
      <c r="O1917" s="109"/>
      <c r="P1917" s="109"/>
      <c r="Q1917" s="109"/>
      <c r="R1917" s="109"/>
      <c r="S1917" s="109"/>
      <c r="T1917" s="109"/>
      <c r="U1917" s="109"/>
    </row>
    <row r="1918" spans="1:21">
      <c r="A1918" s="109"/>
      <c r="B1918" s="109"/>
      <c r="C1918" s="109"/>
      <c r="D1918" s="109"/>
      <c r="E1918" s="109"/>
      <c r="F1918" s="109"/>
      <c r="G1918" s="109"/>
      <c r="H1918" s="109"/>
      <c r="I1918" s="109"/>
      <c r="J1918" s="109"/>
      <c r="K1918" s="109"/>
      <c r="L1918" s="109"/>
      <c r="M1918" s="109"/>
      <c r="N1918" s="109"/>
      <c r="O1918" s="109"/>
      <c r="P1918" s="109"/>
      <c r="Q1918" s="109"/>
      <c r="R1918" s="109"/>
      <c r="S1918" s="109"/>
      <c r="T1918" s="109"/>
      <c r="U1918" s="109"/>
    </row>
    <row r="1919" spans="1:21">
      <c r="A1919" s="109"/>
      <c r="B1919" s="109"/>
      <c r="C1919" s="109"/>
      <c r="D1919" s="109"/>
      <c r="E1919" s="109"/>
      <c r="F1919" s="109"/>
      <c r="G1919" s="109"/>
      <c r="H1919" s="109"/>
      <c r="I1919" s="109"/>
      <c r="J1919" s="109"/>
      <c r="K1919" s="109"/>
      <c r="L1919" s="109"/>
      <c r="M1919" s="109"/>
      <c r="N1919" s="109"/>
      <c r="O1919" s="109"/>
      <c r="P1919" s="109"/>
      <c r="Q1919" s="109"/>
      <c r="R1919" s="109"/>
      <c r="S1919" s="109"/>
      <c r="T1919" s="109"/>
      <c r="U1919" s="109"/>
    </row>
    <row r="1920" spans="1:21">
      <c r="A1920" s="109"/>
      <c r="B1920" s="109"/>
      <c r="C1920" s="109"/>
      <c r="D1920" s="109"/>
      <c r="E1920" s="109"/>
      <c r="F1920" s="109"/>
      <c r="G1920" s="109"/>
      <c r="H1920" s="109"/>
      <c r="I1920" s="109"/>
      <c r="J1920" s="109"/>
      <c r="K1920" s="109"/>
      <c r="L1920" s="109"/>
      <c r="M1920" s="109"/>
      <c r="N1920" s="109"/>
      <c r="O1920" s="109"/>
      <c r="P1920" s="109"/>
      <c r="Q1920" s="109"/>
      <c r="R1920" s="109"/>
      <c r="S1920" s="109"/>
      <c r="T1920" s="109"/>
      <c r="U1920" s="109"/>
    </row>
    <row r="1921" spans="1:21">
      <c r="A1921" s="109"/>
      <c r="B1921" s="109"/>
      <c r="C1921" s="109"/>
      <c r="D1921" s="109"/>
      <c r="E1921" s="109"/>
      <c r="F1921" s="109"/>
      <c r="G1921" s="109"/>
      <c r="H1921" s="109"/>
      <c r="I1921" s="109"/>
      <c r="J1921" s="109"/>
      <c r="K1921" s="109"/>
      <c r="L1921" s="109"/>
      <c r="M1921" s="109"/>
      <c r="N1921" s="109"/>
      <c r="O1921" s="109"/>
      <c r="P1921" s="109"/>
      <c r="Q1921" s="109"/>
      <c r="R1921" s="109"/>
      <c r="S1921" s="109"/>
      <c r="T1921" s="109"/>
      <c r="U1921" s="109"/>
    </row>
    <row r="1922" spans="1:21">
      <c r="A1922" s="109"/>
      <c r="B1922" s="109"/>
      <c r="C1922" s="109"/>
      <c r="D1922" s="109"/>
      <c r="E1922" s="109"/>
      <c r="F1922" s="109"/>
      <c r="G1922" s="109"/>
      <c r="H1922" s="109"/>
      <c r="I1922" s="109"/>
      <c r="J1922" s="109"/>
      <c r="K1922" s="109"/>
      <c r="L1922" s="109"/>
      <c r="M1922" s="109"/>
      <c r="N1922" s="109"/>
      <c r="O1922" s="109"/>
      <c r="P1922" s="109"/>
      <c r="Q1922" s="109"/>
      <c r="R1922" s="109"/>
      <c r="S1922" s="109"/>
      <c r="T1922" s="109"/>
      <c r="U1922" s="109"/>
    </row>
    <row r="1923" spans="1:21">
      <c r="A1923" s="109"/>
      <c r="B1923" s="109"/>
      <c r="C1923" s="109"/>
      <c r="D1923" s="109"/>
      <c r="E1923" s="109"/>
      <c r="F1923" s="109"/>
      <c r="G1923" s="109"/>
      <c r="H1923" s="109"/>
      <c r="I1923" s="109"/>
      <c r="J1923" s="109"/>
      <c r="K1923" s="109"/>
      <c r="L1923" s="109"/>
      <c r="M1923" s="109"/>
      <c r="N1923" s="109"/>
      <c r="O1923" s="109"/>
      <c r="P1923" s="109"/>
      <c r="Q1923" s="109"/>
      <c r="R1923" s="109"/>
      <c r="S1923" s="109"/>
      <c r="T1923" s="109"/>
      <c r="U1923" s="109"/>
    </row>
    <row r="1924" spans="1:21">
      <c r="A1924" s="109"/>
      <c r="B1924" s="109"/>
      <c r="C1924" s="109"/>
      <c r="D1924" s="109"/>
      <c r="E1924" s="109"/>
      <c r="F1924" s="109"/>
      <c r="G1924" s="109"/>
      <c r="H1924" s="109"/>
      <c r="I1924" s="109"/>
      <c r="J1924" s="109"/>
      <c r="K1924" s="109"/>
      <c r="L1924" s="109"/>
      <c r="M1924" s="109"/>
      <c r="N1924" s="109"/>
      <c r="O1924" s="109"/>
      <c r="P1924" s="109"/>
      <c r="Q1924" s="109"/>
      <c r="R1924" s="109"/>
      <c r="S1924" s="109"/>
      <c r="T1924" s="109"/>
      <c r="U1924" s="109"/>
    </row>
    <row r="1925" spans="1:21">
      <c r="A1925" s="109"/>
      <c r="B1925" s="109"/>
      <c r="C1925" s="109"/>
      <c r="D1925" s="109"/>
      <c r="E1925" s="109"/>
      <c r="F1925" s="109"/>
      <c r="G1925" s="109"/>
      <c r="H1925" s="109"/>
      <c r="I1925" s="109"/>
      <c r="J1925" s="109"/>
      <c r="K1925" s="109"/>
      <c r="L1925" s="109"/>
      <c r="M1925" s="109"/>
      <c r="N1925" s="109"/>
      <c r="O1925" s="109"/>
      <c r="P1925" s="109"/>
      <c r="Q1925" s="109"/>
      <c r="R1925" s="109"/>
      <c r="S1925" s="109"/>
      <c r="T1925" s="109"/>
      <c r="U1925" s="109"/>
    </row>
    <row r="1926" spans="1:21">
      <c r="A1926" s="109"/>
      <c r="B1926" s="109"/>
      <c r="C1926" s="109"/>
      <c r="D1926" s="109"/>
      <c r="E1926" s="109"/>
      <c r="F1926" s="109"/>
      <c r="G1926" s="109"/>
      <c r="H1926" s="109"/>
      <c r="I1926" s="109"/>
      <c r="J1926" s="109"/>
      <c r="K1926" s="109"/>
      <c r="L1926" s="109"/>
      <c r="M1926" s="109"/>
      <c r="N1926" s="109"/>
      <c r="O1926" s="109"/>
      <c r="P1926" s="109"/>
      <c r="Q1926" s="109"/>
      <c r="R1926" s="109"/>
      <c r="S1926" s="109"/>
      <c r="T1926" s="109"/>
      <c r="U1926" s="109"/>
    </row>
    <row r="1927" spans="1:21">
      <c r="A1927" s="109"/>
      <c r="B1927" s="109"/>
      <c r="C1927" s="109"/>
      <c r="D1927" s="109"/>
      <c r="E1927" s="109"/>
      <c r="F1927" s="109"/>
      <c r="G1927" s="109"/>
      <c r="H1927" s="109"/>
      <c r="I1927" s="109"/>
      <c r="J1927" s="109"/>
      <c r="K1927" s="109"/>
      <c r="L1927" s="109"/>
      <c r="M1927" s="109"/>
      <c r="N1927" s="109"/>
      <c r="O1927" s="109"/>
      <c r="P1927" s="109"/>
      <c r="Q1927" s="109"/>
      <c r="R1927" s="109"/>
      <c r="S1927" s="109"/>
      <c r="T1927" s="109"/>
      <c r="U1927" s="109"/>
    </row>
    <row r="1928" spans="1:21">
      <c r="A1928" s="109"/>
      <c r="B1928" s="109"/>
      <c r="C1928" s="109"/>
      <c r="D1928" s="109"/>
      <c r="E1928" s="109"/>
      <c r="F1928" s="109"/>
      <c r="G1928" s="109"/>
      <c r="H1928" s="109"/>
      <c r="I1928" s="109"/>
      <c r="J1928" s="109"/>
      <c r="K1928" s="109"/>
      <c r="L1928" s="109"/>
      <c r="M1928" s="109"/>
      <c r="N1928" s="109"/>
      <c r="O1928" s="109"/>
      <c r="P1928" s="109"/>
      <c r="Q1928" s="109"/>
      <c r="R1928" s="109"/>
      <c r="S1928" s="109"/>
      <c r="T1928" s="109"/>
      <c r="U1928" s="109"/>
    </row>
    <row r="1929" spans="1:21">
      <c r="A1929" s="109"/>
      <c r="B1929" s="109"/>
      <c r="C1929" s="109"/>
      <c r="D1929" s="109"/>
      <c r="E1929" s="109"/>
      <c r="F1929" s="109"/>
      <c r="G1929" s="109"/>
      <c r="H1929" s="109"/>
      <c r="I1929" s="109"/>
      <c r="J1929" s="109"/>
      <c r="K1929" s="109"/>
      <c r="L1929" s="109"/>
      <c r="M1929" s="109"/>
      <c r="N1929" s="109"/>
      <c r="O1929" s="109"/>
      <c r="P1929" s="109"/>
      <c r="Q1929" s="109"/>
      <c r="R1929" s="109"/>
      <c r="S1929" s="109"/>
      <c r="T1929" s="109"/>
      <c r="U1929" s="109"/>
    </row>
    <row r="1930" spans="1:21">
      <c r="A1930" s="109"/>
      <c r="B1930" s="109"/>
      <c r="C1930" s="109"/>
      <c r="D1930" s="109"/>
      <c r="E1930" s="109"/>
      <c r="F1930" s="109"/>
      <c r="G1930" s="109"/>
      <c r="H1930" s="109"/>
      <c r="I1930" s="109"/>
      <c r="J1930" s="109"/>
      <c r="K1930" s="109"/>
      <c r="L1930" s="109"/>
      <c r="M1930" s="109"/>
      <c r="N1930" s="109"/>
      <c r="O1930" s="109"/>
      <c r="P1930" s="109"/>
      <c r="Q1930" s="109"/>
      <c r="R1930" s="109"/>
      <c r="S1930" s="109"/>
      <c r="T1930" s="109"/>
      <c r="U1930" s="109"/>
    </row>
    <row r="1931" spans="1:21">
      <c r="A1931" s="109"/>
      <c r="B1931" s="109"/>
      <c r="C1931" s="109"/>
      <c r="D1931" s="109"/>
      <c r="E1931" s="109"/>
      <c r="F1931" s="109"/>
      <c r="G1931" s="109"/>
      <c r="H1931" s="109"/>
      <c r="I1931" s="109"/>
      <c r="J1931" s="109"/>
      <c r="K1931" s="109"/>
      <c r="L1931" s="109"/>
      <c r="M1931" s="109"/>
      <c r="N1931" s="109"/>
      <c r="O1931" s="109"/>
      <c r="P1931" s="109"/>
      <c r="Q1931" s="109"/>
      <c r="R1931" s="109"/>
      <c r="S1931" s="109"/>
      <c r="T1931" s="109"/>
      <c r="U1931" s="109"/>
    </row>
    <row r="1932" spans="1:21">
      <c r="A1932" s="109"/>
      <c r="B1932" s="109"/>
      <c r="C1932" s="109"/>
      <c r="D1932" s="109"/>
      <c r="E1932" s="109"/>
      <c r="F1932" s="109"/>
      <c r="G1932" s="109"/>
      <c r="H1932" s="109"/>
      <c r="I1932" s="109"/>
      <c r="J1932" s="109"/>
      <c r="K1932" s="109"/>
      <c r="L1932" s="109"/>
      <c r="M1932" s="109"/>
      <c r="N1932" s="109"/>
      <c r="O1932" s="109"/>
      <c r="P1932" s="109"/>
      <c r="Q1932" s="109"/>
      <c r="R1932" s="109"/>
      <c r="S1932" s="109"/>
      <c r="T1932" s="109"/>
      <c r="U1932" s="109"/>
    </row>
    <row r="1933" spans="1:21">
      <c r="A1933" s="109"/>
      <c r="B1933" s="109"/>
      <c r="C1933" s="109"/>
      <c r="D1933" s="109"/>
      <c r="E1933" s="109"/>
      <c r="F1933" s="109"/>
      <c r="G1933" s="109"/>
      <c r="H1933" s="109"/>
      <c r="I1933" s="109"/>
      <c r="J1933" s="109"/>
      <c r="K1933" s="109"/>
      <c r="L1933" s="109"/>
      <c r="M1933" s="109"/>
      <c r="N1933" s="109"/>
      <c r="O1933" s="109"/>
      <c r="P1933" s="109"/>
      <c r="Q1933" s="109"/>
      <c r="R1933" s="109"/>
      <c r="S1933" s="109"/>
      <c r="T1933" s="109"/>
      <c r="U1933" s="109"/>
    </row>
    <row r="1934" spans="1:21">
      <c r="A1934" s="109"/>
      <c r="B1934" s="109"/>
      <c r="C1934" s="109"/>
      <c r="D1934" s="109"/>
      <c r="E1934" s="109"/>
      <c r="F1934" s="109"/>
      <c r="G1934" s="109"/>
      <c r="H1934" s="109"/>
      <c r="I1934" s="109"/>
      <c r="J1934" s="109"/>
      <c r="K1934" s="109"/>
      <c r="L1934" s="109"/>
      <c r="M1934" s="109"/>
      <c r="N1934" s="109"/>
      <c r="O1934" s="109"/>
      <c r="P1934" s="109"/>
      <c r="Q1934" s="109"/>
      <c r="R1934" s="109"/>
      <c r="S1934" s="109"/>
      <c r="T1934" s="109"/>
      <c r="U1934" s="109"/>
    </row>
    <row r="1935" spans="1:21">
      <c r="A1935" s="109"/>
      <c r="B1935" s="109"/>
      <c r="C1935" s="109"/>
      <c r="D1935" s="109"/>
      <c r="E1935" s="109"/>
      <c r="F1935" s="109"/>
      <c r="G1935" s="109"/>
      <c r="H1935" s="109"/>
      <c r="I1935" s="109"/>
      <c r="J1935" s="109"/>
      <c r="K1935" s="109"/>
      <c r="L1935" s="109"/>
      <c r="M1935" s="109"/>
      <c r="N1935" s="109"/>
      <c r="O1935" s="109"/>
      <c r="P1935" s="109"/>
      <c r="Q1935" s="109"/>
      <c r="R1935" s="109"/>
      <c r="S1935" s="109"/>
      <c r="T1935" s="109"/>
      <c r="U1935" s="109"/>
    </row>
    <row r="1936" spans="1:21">
      <c r="A1936" s="109"/>
      <c r="B1936" s="109"/>
      <c r="C1936" s="109"/>
      <c r="D1936" s="109"/>
      <c r="E1936" s="109"/>
      <c r="F1936" s="109"/>
      <c r="G1936" s="109"/>
      <c r="H1936" s="109"/>
      <c r="I1936" s="109"/>
      <c r="J1936" s="109"/>
      <c r="K1936" s="109"/>
      <c r="L1936" s="109"/>
      <c r="M1936" s="109"/>
      <c r="N1936" s="109"/>
      <c r="O1936" s="109"/>
      <c r="P1936" s="109"/>
      <c r="Q1936" s="109"/>
      <c r="R1936" s="109"/>
      <c r="S1936" s="109"/>
      <c r="T1936" s="109"/>
      <c r="U1936" s="109"/>
    </row>
    <row r="1937" spans="1:21">
      <c r="A1937" s="109"/>
      <c r="B1937" s="109"/>
      <c r="C1937" s="109"/>
      <c r="D1937" s="109"/>
      <c r="E1937" s="109"/>
      <c r="F1937" s="109"/>
      <c r="G1937" s="109"/>
      <c r="H1937" s="109"/>
      <c r="I1937" s="109"/>
      <c r="J1937" s="109"/>
      <c r="K1937" s="109"/>
      <c r="L1937" s="109"/>
      <c r="M1937" s="109"/>
      <c r="N1937" s="109"/>
      <c r="O1937" s="109"/>
      <c r="P1937" s="109"/>
      <c r="Q1937" s="109"/>
      <c r="R1937" s="109"/>
      <c r="S1937" s="109"/>
      <c r="T1937" s="109"/>
      <c r="U1937" s="109"/>
    </row>
    <row r="1938" spans="1:21">
      <c r="A1938" s="109"/>
      <c r="B1938" s="109"/>
      <c r="C1938" s="109"/>
      <c r="D1938" s="109"/>
      <c r="E1938" s="109"/>
      <c r="F1938" s="109"/>
      <c r="G1938" s="109"/>
      <c r="H1938" s="109"/>
      <c r="I1938" s="109"/>
      <c r="J1938" s="109"/>
      <c r="K1938" s="109"/>
      <c r="L1938" s="109"/>
      <c r="M1938" s="109"/>
      <c r="N1938" s="109"/>
      <c r="O1938" s="109"/>
      <c r="P1938" s="109"/>
      <c r="Q1938" s="109"/>
      <c r="R1938" s="109"/>
      <c r="S1938" s="109"/>
      <c r="T1938" s="109"/>
      <c r="U1938" s="109"/>
    </row>
    <row r="1939" spans="1:21">
      <c r="A1939" s="109"/>
      <c r="B1939" s="109"/>
      <c r="C1939" s="109"/>
      <c r="D1939" s="109"/>
      <c r="E1939" s="109"/>
      <c r="F1939" s="109"/>
      <c r="G1939" s="109"/>
      <c r="H1939" s="109"/>
      <c r="I1939" s="109"/>
      <c r="J1939" s="109"/>
      <c r="K1939" s="109"/>
      <c r="L1939" s="109"/>
      <c r="M1939" s="109"/>
      <c r="N1939" s="109"/>
      <c r="O1939" s="109"/>
      <c r="P1939" s="109"/>
      <c r="Q1939" s="109"/>
      <c r="R1939" s="109"/>
      <c r="S1939" s="109"/>
      <c r="T1939" s="109"/>
      <c r="U1939" s="109"/>
    </row>
    <row r="1940" spans="1:21">
      <c r="A1940" s="109"/>
      <c r="B1940" s="109"/>
      <c r="C1940" s="109"/>
      <c r="D1940" s="109"/>
      <c r="E1940" s="109"/>
      <c r="F1940" s="109"/>
      <c r="G1940" s="109"/>
      <c r="H1940" s="109"/>
      <c r="I1940" s="109"/>
      <c r="J1940" s="109"/>
      <c r="K1940" s="109"/>
      <c r="L1940" s="109"/>
      <c r="M1940" s="109"/>
      <c r="N1940" s="109"/>
      <c r="O1940" s="109"/>
      <c r="P1940" s="109"/>
      <c r="Q1940" s="109"/>
      <c r="R1940" s="109"/>
      <c r="S1940" s="109"/>
      <c r="T1940" s="109"/>
      <c r="U1940" s="109"/>
    </row>
    <row r="1941" spans="1:21">
      <c r="A1941" s="109"/>
      <c r="B1941" s="109"/>
      <c r="C1941" s="109"/>
      <c r="D1941" s="109"/>
      <c r="E1941" s="109"/>
      <c r="F1941" s="109"/>
      <c r="G1941" s="109"/>
      <c r="H1941" s="109"/>
      <c r="I1941" s="109"/>
      <c r="J1941" s="109"/>
      <c r="K1941" s="109"/>
      <c r="L1941" s="109"/>
      <c r="M1941" s="109"/>
      <c r="N1941" s="109"/>
      <c r="O1941" s="109"/>
      <c r="P1941" s="109"/>
      <c r="Q1941" s="109"/>
      <c r="R1941" s="109"/>
      <c r="S1941" s="109"/>
      <c r="T1941" s="109"/>
      <c r="U1941" s="109"/>
    </row>
    <row r="1942" spans="1:21">
      <c r="A1942" s="109"/>
      <c r="B1942" s="109"/>
      <c r="C1942" s="109"/>
      <c r="D1942" s="109"/>
      <c r="E1942" s="109"/>
      <c r="F1942" s="109"/>
      <c r="G1942" s="109"/>
      <c r="H1942" s="109"/>
      <c r="I1942" s="109"/>
      <c r="J1942" s="109"/>
      <c r="K1942" s="109"/>
      <c r="L1942" s="109"/>
      <c r="M1942" s="109"/>
      <c r="N1942" s="109"/>
      <c r="O1942" s="109"/>
      <c r="P1942" s="109"/>
      <c r="Q1942" s="109"/>
      <c r="R1942" s="109"/>
      <c r="S1942" s="109"/>
      <c r="T1942" s="109"/>
      <c r="U1942" s="109"/>
    </row>
    <row r="1943" spans="1:21">
      <c r="A1943" s="109"/>
      <c r="B1943" s="109"/>
      <c r="C1943" s="109"/>
      <c r="D1943" s="109"/>
      <c r="E1943" s="109"/>
      <c r="F1943" s="109"/>
      <c r="G1943" s="109"/>
      <c r="H1943" s="109"/>
      <c r="I1943" s="109"/>
      <c r="J1943" s="109"/>
      <c r="K1943" s="109"/>
      <c r="L1943" s="109"/>
      <c r="M1943" s="109"/>
      <c r="N1943" s="109"/>
      <c r="O1943" s="109"/>
      <c r="P1943" s="109"/>
      <c r="Q1943" s="109"/>
      <c r="R1943" s="109"/>
      <c r="S1943" s="109"/>
      <c r="T1943" s="109"/>
      <c r="U1943" s="109"/>
    </row>
    <row r="1944" spans="1:21">
      <c r="A1944" s="109"/>
      <c r="B1944" s="109"/>
      <c r="C1944" s="109"/>
      <c r="D1944" s="109"/>
      <c r="E1944" s="109"/>
      <c r="F1944" s="109"/>
      <c r="G1944" s="109"/>
      <c r="H1944" s="109"/>
      <c r="I1944" s="109"/>
      <c r="J1944" s="109"/>
      <c r="K1944" s="109"/>
      <c r="L1944" s="109"/>
      <c r="M1944" s="109"/>
      <c r="N1944" s="109"/>
      <c r="O1944" s="109"/>
      <c r="P1944" s="109"/>
      <c r="Q1944" s="109"/>
      <c r="R1944" s="109"/>
      <c r="S1944" s="109"/>
      <c r="T1944" s="109"/>
      <c r="U1944" s="109"/>
    </row>
    <row r="1945" spans="1:21">
      <c r="A1945" s="109"/>
      <c r="B1945" s="109"/>
      <c r="C1945" s="109"/>
      <c r="D1945" s="109"/>
      <c r="E1945" s="109"/>
      <c r="F1945" s="109"/>
      <c r="G1945" s="109"/>
      <c r="H1945" s="109"/>
      <c r="I1945" s="109"/>
      <c r="J1945" s="109"/>
      <c r="K1945" s="109"/>
      <c r="L1945" s="109"/>
      <c r="M1945" s="109"/>
      <c r="N1945" s="109"/>
      <c r="O1945" s="109"/>
      <c r="P1945" s="109"/>
      <c r="Q1945" s="109"/>
      <c r="R1945" s="109"/>
      <c r="S1945" s="109"/>
      <c r="T1945" s="109"/>
      <c r="U1945" s="109"/>
    </row>
    <row r="1946" spans="1:21">
      <c r="A1946" s="109"/>
      <c r="B1946" s="109"/>
      <c r="C1946" s="109"/>
      <c r="D1946" s="109"/>
      <c r="E1946" s="109"/>
      <c r="F1946" s="109"/>
      <c r="G1946" s="109"/>
      <c r="H1946" s="109"/>
      <c r="I1946" s="109"/>
      <c r="J1946" s="109"/>
      <c r="K1946" s="109"/>
      <c r="L1946" s="109"/>
      <c r="M1946" s="109"/>
      <c r="N1946" s="109"/>
      <c r="O1946" s="109"/>
      <c r="P1946" s="109"/>
      <c r="Q1946" s="109"/>
      <c r="R1946" s="109"/>
      <c r="S1946" s="109"/>
      <c r="T1946" s="109"/>
      <c r="U1946" s="109"/>
    </row>
    <row r="1947" spans="1:21">
      <c r="A1947" s="109"/>
      <c r="B1947" s="109"/>
      <c r="C1947" s="109"/>
      <c r="D1947" s="109"/>
      <c r="E1947" s="109"/>
      <c r="F1947" s="109"/>
      <c r="G1947" s="109"/>
      <c r="H1947" s="109"/>
      <c r="I1947" s="109"/>
      <c r="J1947" s="109"/>
      <c r="K1947" s="109"/>
      <c r="L1947" s="109"/>
      <c r="M1947" s="109"/>
      <c r="N1947" s="109"/>
      <c r="O1947" s="109"/>
      <c r="P1947" s="109"/>
      <c r="Q1947" s="109"/>
      <c r="R1947" s="109"/>
      <c r="S1947" s="109"/>
      <c r="T1947" s="109"/>
      <c r="U1947" s="109"/>
    </row>
    <row r="1948" spans="1:21">
      <c r="A1948" s="109"/>
      <c r="B1948" s="109"/>
      <c r="C1948" s="109"/>
      <c r="D1948" s="109"/>
      <c r="E1948" s="109"/>
      <c r="F1948" s="109"/>
      <c r="G1948" s="109"/>
      <c r="H1948" s="109"/>
      <c r="I1948" s="109"/>
      <c r="J1948" s="109"/>
      <c r="K1948" s="109"/>
      <c r="L1948" s="109"/>
      <c r="M1948" s="109"/>
      <c r="N1948" s="109"/>
      <c r="O1948" s="109"/>
      <c r="P1948" s="109"/>
      <c r="Q1948" s="109"/>
      <c r="R1948" s="109"/>
      <c r="S1948" s="109"/>
      <c r="T1948" s="109"/>
      <c r="U1948" s="109"/>
    </row>
    <row r="1949" spans="1:21">
      <c r="A1949" s="109"/>
      <c r="B1949" s="109"/>
      <c r="C1949" s="109"/>
      <c r="D1949" s="109"/>
      <c r="E1949" s="109"/>
      <c r="F1949" s="109"/>
      <c r="G1949" s="109"/>
      <c r="H1949" s="109"/>
      <c r="I1949" s="109"/>
      <c r="J1949" s="109"/>
      <c r="K1949" s="109"/>
      <c r="L1949" s="109"/>
      <c r="M1949" s="109"/>
      <c r="N1949" s="109"/>
      <c r="O1949" s="109"/>
      <c r="P1949" s="109"/>
      <c r="Q1949" s="109"/>
      <c r="R1949" s="109"/>
      <c r="S1949" s="109"/>
      <c r="T1949" s="109"/>
      <c r="U1949" s="109"/>
    </row>
    <row r="1950" spans="1:21">
      <c r="A1950" s="109"/>
      <c r="B1950" s="109"/>
      <c r="C1950" s="109"/>
      <c r="D1950" s="109"/>
      <c r="E1950" s="109"/>
      <c r="F1950" s="109"/>
      <c r="G1950" s="109"/>
      <c r="H1950" s="109"/>
      <c r="I1950" s="109"/>
      <c r="J1950" s="109"/>
      <c r="K1950" s="109"/>
      <c r="L1950" s="109"/>
      <c r="M1950" s="109"/>
      <c r="N1950" s="109"/>
      <c r="O1950" s="109"/>
      <c r="P1950" s="109"/>
      <c r="Q1950" s="109"/>
      <c r="R1950" s="109"/>
      <c r="S1950" s="109"/>
      <c r="T1950" s="109"/>
      <c r="U1950" s="109"/>
    </row>
    <row r="1951" spans="1:21">
      <c r="A1951" s="109"/>
      <c r="B1951" s="109"/>
      <c r="C1951" s="109"/>
      <c r="D1951" s="109"/>
      <c r="E1951" s="109"/>
      <c r="F1951" s="109"/>
      <c r="G1951" s="109"/>
      <c r="H1951" s="109"/>
      <c r="I1951" s="109"/>
      <c r="J1951" s="109"/>
      <c r="K1951" s="109"/>
      <c r="L1951" s="109"/>
      <c r="M1951" s="109"/>
      <c r="N1951" s="109"/>
      <c r="O1951" s="109"/>
      <c r="P1951" s="109"/>
      <c r="Q1951" s="109"/>
      <c r="R1951" s="109"/>
      <c r="S1951" s="109"/>
      <c r="T1951" s="109"/>
      <c r="U1951" s="109"/>
    </row>
    <row r="1952" spans="1:21">
      <c r="A1952" s="109"/>
      <c r="B1952" s="109"/>
      <c r="C1952" s="109"/>
      <c r="D1952" s="109"/>
      <c r="E1952" s="109"/>
      <c r="F1952" s="109"/>
      <c r="G1952" s="109"/>
      <c r="H1952" s="109"/>
      <c r="I1952" s="109"/>
      <c r="J1952" s="109"/>
      <c r="K1952" s="109"/>
      <c r="L1952" s="109"/>
      <c r="M1952" s="109"/>
      <c r="N1952" s="109"/>
      <c r="O1952" s="109"/>
      <c r="P1952" s="109"/>
      <c r="Q1952" s="109"/>
      <c r="R1952" s="109"/>
      <c r="S1952" s="109"/>
      <c r="T1952" s="109"/>
      <c r="U1952" s="109"/>
    </row>
    <row r="1953" spans="1:21">
      <c r="A1953" s="109"/>
      <c r="B1953" s="109"/>
      <c r="C1953" s="109"/>
      <c r="D1953" s="109"/>
      <c r="E1953" s="109"/>
      <c r="F1953" s="109"/>
      <c r="G1953" s="109"/>
      <c r="H1953" s="109"/>
      <c r="I1953" s="109"/>
      <c r="J1953" s="109"/>
      <c r="K1953" s="109"/>
      <c r="L1953" s="109"/>
      <c r="M1953" s="109"/>
      <c r="N1953" s="109"/>
      <c r="O1953" s="109"/>
      <c r="P1953" s="109"/>
      <c r="Q1953" s="109"/>
      <c r="R1953" s="109"/>
      <c r="S1953" s="109"/>
      <c r="T1953" s="109"/>
      <c r="U1953" s="109"/>
    </row>
    <row r="1954" spans="1:21">
      <c r="A1954" s="109"/>
      <c r="B1954" s="109"/>
      <c r="C1954" s="109"/>
      <c r="D1954" s="109"/>
      <c r="E1954" s="109"/>
      <c r="F1954" s="109"/>
      <c r="G1954" s="109"/>
      <c r="H1954" s="109"/>
      <c r="I1954" s="109"/>
      <c r="J1954" s="109"/>
      <c r="K1954" s="109"/>
      <c r="L1954" s="109"/>
      <c r="M1954" s="109"/>
      <c r="N1954" s="109"/>
      <c r="O1954" s="109"/>
      <c r="P1954" s="109"/>
      <c r="Q1954" s="109"/>
      <c r="R1954" s="109"/>
      <c r="S1954" s="109"/>
      <c r="T1954" s="109"/>
      <c r="U1954" s="109"/>
    </row>
    <row r="1955" spans="1:21">
      <c r="A1955" s="109"/>
      <c r="B1955" s="109"/>
      <c r="C1955" s="109"/>
      <c r="D1955" s="109"/>
      <c r="E1955" s="109"/>
      <c r="F1955" s="109"/>
      <c r="G1955" s="109"/>
      <c r="H1955" s="109"/>
      <c r="I1955" s="109"/>
      <c r="J1955" s="109"/>
      <c r="K1955" s="109"/>
      <c r="L1955" s="109"/>
      <c r="M1955" s="109"/>
      <c r="N1955" s="109"/>
      <c r="O1955" s="109"/>
      <c r="P1955" s="109"/>
      <c r="Q1955" s="109"/>
      <c r="R1955" s="109"/>
      <c r="S1955" s="109"/>
      <c r="T1955" s="109"/>
      <c r="U1955" s="109"/>
    </row>
    <row r="1956" spans="1:21">
      <c r="A1956" s="109"/>
      <c r="B1956" s="109"/>
      <c r="C1956" s="109"/>
      <c r="D1956" s="109"/>
      <c r="E1956" s="109"/>
      <c r="F1956" s="109"/>
      <c r="G1956" s="109"/>
      <c r="H1956" s="109"/>
      <c r="I1956" s="109"/>
      <c r="J1956" s="109"/>
      <c r="K1956" s="109"/>
      <c r="L1956" s="109"/>
      <c r="M1956" s="109"/>
      <c r="N1956" s="109"/>
      <c r="O1956" s="109"/>
      <c r="P1956" s="109"/>
      <c r="Q1956" s="109"/>
      <c r="R1956" s="109"/>
      <c r="S1956" s="109"/>
      <c r="T1956" s="109"/>
      <c r="U1956" s="109"/>
    </row>
    <row r="1957" spans="1:21">
      <c r="A1957" s="109"/>
      <c r="B1957" s="109"/>
      <c r="C1957" s="109"/>
      <c r="D1957" s="109"/>
      <c r="E1957" s="109"/>
      <c r="F1957" s="109"/>
      <c r="G1957" s="109"/>
      <c r="H1957" s="109"/>
      <c r="I1957" s="109"/>
      <c r="J1957" s="109"/>
      <c r="K1957" s="109"/>
      <c r="L1957" s="109"/>
      <c r="M1957" s="109"/>
      <c r="N1957" s="109"/>
      <c r="O1957" s="109"/>
      <c r="P1957" s="109"/>
      <c r="Q1957" s="109"/>
      <c r="R1957" s="109"/>
      <c r="S1957" s="109"/>
      <c r="T1957" s="109"/>
      <c r="U1957" s="109"/>
    </row>
    <row r="1958" spans="1:21">
      <c r="A1958" s="109"/>
      <c r="B1958" s="109"/>
      <c r="C1958" s="109"/>
      <c r="D1958" s="109"/>
      <c r="E1958" s="109"/>
      <c r="F1958" s="109"/>
      <c r="G1958" s="109"/>
      <c r="H1958" s="109"/>
      <c r="I1958" s="109"/>
      <c r="J1958" s="109"/>
      <c r="K1958" s="109"/>
      <c r="L1958" s="109"/>
      <c r="M1958" s="109"/>
      <c r="N1958" s="109"/>
      <c r="O1958" s="109"/>
      <c r="P1958" s="109"/>
      <c r="Q1958" s="109"/>
      <c r="R1958" s="109"/>
      <c r="S1958" s="109"/>
      <c r="T1958" s="109"/>
      <c r="U1958" s="109"/>
    </row>
    <row r="1959" spans="1:21">
      <c r="A1959" s="109"/>
      <c r="B1959" s="109"/>
      <c r="C1959" s="109"/>
      <c r="D1959" s="109"/>
      <c r="E1959" s="109"/>
      <c r="F1959" s="109"/>
      <c r="G1959" s="109"/>
      <c r="H1959" s="109"/>
      <c r="I1959" s="109"/>
      <c r="J1959" s="109"/>
      <c r="K1959" s="109"/>
      <c r="L1959" s="109"/>
      <c r="M1959" s="109"/>
      <c r="N1959" s="109"/>
      <c r="O1959" s="109"/>
      <c r="P1959" s="109"/>
      <c r="Q1959" s="109"/>
      <c r="R1959" s="109"/>
      <c r="S1959" s="109"/>
      <c r="T1959" s="109"/>
      <c r="U1959" s="109"/>
    </row>
    <row r="1960" spans="1:21">
      <c r="A1960" s="109"/>
      <c r="B1960" s="109"/>
      <c r="C1960" s="109"/>
      <c r="D1960" s="109"/>
      <c r="E1960" s="109"/>
      <c r="F1960" s="109"/>
      <c r="G1960" s="109"/>
      <c r="H1960" s="109"/>
      <c r="I1960" s="109"/>
      <c r="J1960" s="109"/>
      <c r="K1960" s="109"/>
      <c r="L1960" s="109"/>
      <c r="M1960" s="109"/>
      <c r="N1960" s="109"/>
      <c r="O1960" s="109"/>
      <c r="P1960" s="109"/>
      <c r="Q1960" s="109"/>
      <c r="R1960" s="109"/>
      <c r="S1960" s="109"/>
      <c r="T1960" s="109"/>
      <c r="U1960" s="109"/>
    </row>
    <row r="1961" spans="1:21">
      <c r="A1961" s="109"/>
      <c r="B1961" s="109"/>
      <c r="C1961" s="109"/>
      <c r="D1961" s="109"/>
      <c r="E1961" s="109"/>
      <c r="F1961" s="109"/>
      <c r="G1961" s="109"/>
      <c r="H1961" s="109"/>
      <c r="I1961" s="109"/>
      <c r="J1961" s="109"/>
      <c r="K1961" s="109"/>
      <c r="L1961" s="109"/>
      <c r="M1961" s="109"/>
      <c r="N1961" s="109"/>
      <c r="O1961" s="109"/>
      <c r="P1961" s="109"/>
      <c r="Q1961" s="109"/>
      <c r="R1961" s="109"/>
      <c r="S1961" s="109"/>
      <c r="T1961" s="109"/>
      <c r="U1961" s="109"/>
    </row>
    <row r="1962" spans="1:21">
      <c r="A1962" s="109"/>
      <c r="B1962" s="109"/>
      <c r="C1962" s="109"/>
      <c r="D1962" s="109"/>
      <c r="E1962" s="109"/>
      <c r="F1962" s="109"/>
      <c r="G1962" s="109"/>
      <c r="H1962" s="109"/>
      <c r="I1962" s="109"/>
      <c r="J1962" s="109"/>
      <c r="K1962" s="109"/>
      <c r="L1962" s="109"/>
      <c r="M1962" s="109"/>
      <c r="N1962" s="109"/>
      <c r="O1962" s="109"/>
      <c r="P1962" s="109"/>
      <c r="Q1962" s="109"/>
      <c r="R1962" s="109"/>
      <c r="S1962" s="109"/>
      <c r="T1962" s="109"/>
      <c r="U1962" s="109"/>
    </row>
    <row r="1963" spans="1:21">
      <c r="A1963" s="109"/>
      <c r="B1963" s="109"/>
      <c r="C1963" s="109"/>
      <c r="D1963" s="109"/>
      <c r="E1963" s="109"/>
      <c r="F1963" s="109"/>
      <c r="G1963" s="109"/>
      <c r="H1963" s="109"/>
      <c r="I1963" s="109"/>
      <c r="J1963" s="109"/>
      <c r="K1963" s="109"/>
      <c r="L1963" s="109"/>
      <c r="M1963" s="109"/>
      <c r="N1963" s="109"/>
      <c r="O1963" s="109"/>
      <c r="P1963" s="109"/>
      <c r="Q1963" s="109"/>
      <c r="R1963" s="109"/>
      <c r="S1963" s="109"/>
      <c r="T1963" s="109"/>
      <c r="U1963" s="109"/>
    </row>
    <row r="1964" spans="1:21">
      <c r="A1964" s="109"/>
      <c r="B1964" s="109"/>
      <c r="C1964" s="109"/>
      <c r="D1964" s="109"/>
      <c r="E1964" s="109"/>
      <c r="F1964" s="109"/>
      <c r="G1964" s="109"/>
      <c r="H1964" s="109"/>
      <c r="I1964" s="109"/>
      <c r="J1964" s="109"/>
      <c r="K1964" s="109"/>
      <c r="L1964" s="109"/>
      <c r="M1964" s="109"/>
      <c r="N1964" s="109"/>
      <c r="O1964" s="109"/>
      <c r="P1964" s="109"/>
      <c r="Q1964" s="109"/>
      <c r="R1964" s="109"/>
      <c r="S1964" s="109"/>
      <c r="T1964" s="109"/>
      <c r="U1964" s="109"/>
    </row>
    <row r="1965" spans="1:21">
      <c r="A1965" s="109"/>
      <c r="B1965" s="109"/>
      <c r="C1965" s="109"/>
      <c r="D1965" s="109"/>
      <c r="E1965" s="109"/>
      <c r="F1965" s="109"/>
      <c r="G1965" s="109"/>
      <c r="H1965" s="109"/>
      <c r="I1965" s="109"/>
      <c r="J1965" s="109"/>
      <c r="K1965" s="109"/>
      <c r="L1965" s="109"/>
      <c r="M1965" s="109"/>
      <c r="N1965" s="109"/>
      <c r="O1965" s="109"/>
      <c r="P1965" s="109"/>
      <c r="Q1965" s="109"/>
      <c r="R1965" s="109"/>
      <c r="S1965" s="109"/>
      <c r="T1965" s="109"/>
      <c r="U1965" s="109"/>
    </row>
    <row r="1966" spans="1:21">
      <c r="A1966" s="109"/>
      <c r="B1966" s="109"/>
      <c r="C1966" s="109"/>
      <c r="D1966" s="109"/>
      <c r="E1966" s="109"/>
      <c r="F1966" s="109"/>
      <c r="G1966" s="109"/>
      <c r="H1966" s="109"/>
      <c r="I1966" s="109"/>
      <c r="J1966" s="109"/>
      <c r="K1966" s="109"/>
      <c r="L1966" s="109"/>
      <c r="M1966" s="109"/>
      <c r="N1966" s="109"/>
      <c r="O1966" s="109"/>
      <c r="P1966" s="109"/>
      <c r="Q1966" s="109"/>
      <c r="R1966" s="109"/>
      <c r="S1966" s="109"/>
      <c r="T1966" s="109"/>
      <c r="U1966" s="109"/>
    </row>
    <row r="1967" spans="1:21">
      <c r="A1967" s="109"/>
      <c r="B1967" s="109"/>
      <c r="C1967" s="109"/>
      <c r="D1967" s="109"/>
      <c r="E1967" s="109"/>
      <c r="F1967" s="109"/>
      <c r="G1967" s="109"/>
      <c r="H1967" s="109"/>
      <c r="I1967" s="109"/>
      <c r="J1967" s="109"/>
      <c r="K1967" s="109"/>
      <c r="L1967" s="109"/>
      <c r="M1967" s="109"/>
      <c r="N1967" s="109"/>
      <c r="O1967" s="109"/>
      <c r="P1967" s="109"/>
      <c r="Q1967" s="109"/>
      <c r="R1967" s="109"/>
      <c r="S1967" s="109"/>
      <c r="T1967" s="109"/>
      <c r="U1967" s="109"/>
    </row>
    <row r="1968" spans="1:21">
      <c r="A1968" s="109"/>
      <c r="B1968" s="109"/>
      <c r="C1968" s="109"/>
      <c r="D1968" s="109"/>
      <c r="E1968" s="109"/>
      <c r="F1968" s="109"/>
      <c r="G1968" s="109"/>
      <c r="H1968" s="109"/>
      <c r="I1968" s="109"/>
      <c r="J1968" s="109"/>
      <c r="K1968" s="109"/>
      <c r="L1968" s="109"/>
      <c r="M1968" s="109"/>
      <c r="N1968" s="109"/>
      <c r="O1968" s="109"/>
      <c r="P1968" s="109"/>
      <c r="Q1968" s="109"/>
      <c r="R1968" s="109"/>
      <c r="S1968" s="109"/>
      <c r="T1968" s="109"/>
      <c r="U1968" s="109"/>
    </row>
    <row r="1969" spans="1:21">
      <c r="A1969" s="109"/>
      <c r="B1969" s="109"/>
      <c r="C1969" s="109"/>
      <c r="D1969" s="109"/>
      <c r="E1969" s="109"/>
      <c r="F1969" s="109"/>
      <c r="G1969" s="109"/>
      <c r="H1969" s="109"/>
      <c r="I1969" s="109"/>
      <c r="J1969" s="109"/>
      <c r="K1969" s="109"/>
      <c r="L1969" s="109"/>
      <c r="M1969" s="109"/>
      <c r="N1969" s="109"/>
      <c r="O1969" s="109"/>
      <c r="P1969" s="109"/>
      <c r="Q1969" s="109"/>
      <c r="R1969" s="109"/>
      <c r="S1969" s="109"/>
      <c r="T1969" s="109"/>
      <c r="U1969" s="109"/>
    </row>
    <row r="1970" spans="1:21">
      <c r="A1970" s="109"/>
      <c r="B1970" s="109"/>
      <c r="C1970" s="109"/>
      <c r="D1970" s="109"/>
      <c r="E1970" s="109"/>
      <c r="F1970" s="109"/>
      <c r="G1970" s="109"/>
      <c r="H1970" s="109"/>
      <c r="I1970" s="109"/>
      <c r="J1970" s="109"/>
      <c r="K1970" s="109"/>
      <c r="L1970" s="109"/>
      <c r="M1970" s="109"/>
      <c r="N1970" s="109"/>
      <c r="O1970" s="109"/>
      <c r="P1970" s="109"/>
      <c r="Q1970" s="109"/>
      <c r="R1970" s="109"/>
      <c r="S1970" s="109"/>
      <c r="T1970" s="109"/>
      <c r="U1970" s="109"/>
    </row>
    <row r="1971" spans="1:21">
      <c r="A1971" s="109"/>
      <c r="B1971" s="109"/>
      <c r="C1971" s="109"/>
      <c r="D1971" s="109"/>
      <c r="E1971" s="109"/>
      <c r="F1971" s="109"/>
      <c r="G1971" s="109"/>
      <c r="H1971" s="109"/>
      <c r="I1971" s="109"/>
      <c r="J1971" s="109"/>
      <c r="K1971" s="109"/>
      <c r="L1971" s="109"/>
      <c r="M1971" s="109"/>
      <c r="N1971" s="109"/>
      <c r="O1971" s="109"/>
      <c r="P1971" s="109"/>
      <c r="Q1971" s="109"/>
      <c r="R1971" s="109"/>
      <c r="S1971" s="109"/>
      <c r="T1971" s="109"/>
      <c r="U1971" s="109"/>
    </row>
    <row r="1972" spans="1:21">
      <c r="A1972" s="109"/>
      <c r="B1972" s="109"/>
      <c r="C1972" s="109"/>
      <c r="D1972" s="109"/>
      <c r="E1972" s="109"/>
      <c r="F1972" s="109"/>
      <c r="G1972" s="109"/>
      <c r="H1972" s="109"/>
      <c r="I1972" s="109"/>
      <c r="J1972" s="109"/>
      <c r="K1972" s="109"/>
      <c r="L1972" s="109"/>
      <c r="M1972" s="109"/>
      <c r="N1972" s="109"/>
      <c r="O1972" s="109"/>
      <c r="P1972" s="109"/>
      <c r="Q1972" s="109"/>
      <c r="R1972" s="109"/>
      <c r="S1972" s="109"/>
      <c r="T1972" s="109"/>
      <c r="U1972" s="109"/>
    </row>
    <row r="1973" spans="1:21">
      <c r="A1973" s="109"/>
      <c r="B1973" s="109"/>
      <c r="C1973" s="109"/>
      <c r="D1973" s="109"/>
      <c r="E1973" s="109"/>
      <c r="F1973" s="109"/>
      <c r="G1973" s="109"/>
      <c r="H1973" s="109"/>
      <c r="I1973" s="109"/>
      <c r="J1973" s="109"/>
      <c r="K1973" s="109"/>
      <c r="L1973" s="109"/>
      <c r="M1973" s="109"/>
      <c r="N1973" s="109"/>
      <c r="O1973" s="109"/>
      <c r="P1973" s="109"/>
      <c r="Q1973" s="109"/>
      <c r="R1973" s="109"/>
      <c r="S1973" s="109"/>
      <c r="T1973" s="109"/>
      <c r="U1973" s="109"/>
    </row>
    <row r="1974" spans="1:21">
      <c r="A1974" s="109"/>
      <c r="B1974" s="109"/>
      <c r="C1974" s="109"/>
      <c r="D1974" s="109"/>
      <c r="E1974" s="109"/>
      <c r="F1974" s="109"/>
      <c r="G1974" s="109"/>
      <c r="H1974" s="109"/>
      <c r="I1974" s="109"/>
      <c r="J1974" s="109"/>
      <c r="K1974" s="109"/>
      <c r="L1974" s="109"/>
      <c r="M1974" s="109"/>
      <c r="N1974" s="109"/>
      <c r="O1974" s="109"/>
      <c r="P1974" s="109"/>
      <c r="Q1974" s="109"/>
      <c r="R1974" s="109"/>
      <c r="S1974" s="109"/>
      <c r="T1974" s="109"/>
      <c r="U1974" s="109"/>
    </row>
    <row r="1975" spans="1:21">
      <c r="A1975" s="109"/>
      <c r="B1975" s="109"/>
      <c r="C1975" s="109"/>
      <c r="D1975" s="109"/>
      <c r="E1975" s="109"/>
      <c r="F1975" s="109"/>
      <c r="G1975" s="109"/>
      <c r="H1975" s="109"/>
      <c r="I1975" s="109"/>
      <c r="J1975" s="109"/>
      <c r="K1975" s="109"/>
      <c r="L1975" s="109"/>
      <c r="M1975" s="109"/>
      <c r="N1975" s="109"/>
      <c r="O1975" s="109"/>
      <c r="P1975" s="109"/>
      <c r="Q1975" s="109"/>
      <c r="R1975" s="109"/>
      <c r="S1975" s="109"/>
      <c r="T1975" s="109"/>
      <c r="U1975" s="109"/>
    </row>
    <row r="1976" spans="1:21">
      <c r="A1976" s="109"/>
      <c r="B1976" s="109"/>
      <c r="C1976" s="109"/>
      <c r="D1976" s="109"/>
      <c r="E1976" s="109"/>
      <c r="F1976" s="109"/>
      <c r="G1976" s="109"/>
      <c r="H1976" s="109"/>
      <c r="I1976" s="109"/>
      <c r="J1976" s="109"/>
      <c r="K1976" s="109"/>
      <c r="L1976" s="109"/>
      <c r="M1976" s="109"/>
      <c r="N1976" s="109"/>
      <c r="O1976" s="109"/>
      <c r="P1976" s="109"/>
      <c r="Q1976" s="109"/>
      <c r="R1976" s="109"/>
      <c r="S1976" s="109"/>
      <c r="T1976" s="109"/>
      <c r="U1976" s="109"/>
    </row>
    <row r="1977" spans="1:21">
      <c r="A1977" s="109"/>
      <c r="B1977" s="109"/>
      <c r="C1977" s="109"/>
      <c r="D1977" s="109"/>
      <c r="E1977" s="109"/>
      <c r="F1977" s="109"/>
      <c r="G1977" s="109"/>
      <c r="H1977" s="109"/>
      <c r="I1977" s="109"/>
      <c r="J1977" s="109"/>
      <c r="K1977" s="109"/>
      <c r="L1977" s="109"/>
      <c r="M1977" s="109"/>
      <c r="N1977" s="109"/>
      <c r="O1977" s="109"/>
      <c r="P1977" s="109"/>
      <c r="Q1977" s="109"/>
      <c r="R1977" s="109"/>
      <c r="S1977" s="109"/>
      <c r="T1977" s="109"/>
      <c r="U1977" s="109"/>
    </row>
    <row r="1978" spans="1:21">
      <c r="A1978" s="109"/>
      <c r="B1978" s="109"/>
      <c r="C1978" s="109"/>
      <c r="D1978" s="109"/>
      <c r="E1978" s="109"/>
      <c r="F1978" s="109"/>
      <c r="G1978" s="109"/>
      <c r="H1978" s="109"/>
      <c r="I1978" s="109"/>
      <c r="J1978" s="109"/>
      <c r="K1978" s="109"/>
      <c r="L1978" s="109"/>
      <c r="M1978" s="109"/>
      <c r="N1978" s="109"/>
      <c r="O1978" s="109"/>
      <c r="P1978" s="109"/>
      <c r="Q1978" s="109"/>
      <c r="R1978" s="109"/>
      <c r="S1978" s="109"/>
      <c r="T1978" s="109"/>
      <c r="U1978" s="109"/>
    </row>
    <row r="1979" spans="1:21">
      <c r="A1979" s="109"/>
      <c r="B1979" s="109"/>
      <c r="C1979" s="109"/>
      <c r="D1979" s="109"/>
      <c r="E1979" s="109"/>
      <c r="F1979" s="109"/>
      <c r="G1979" s="109"/>
      <c r="H1979" s="109"/>
      <c r="I1979" s="109"/>
      <c r="J1979" s="109"/>
      <c r="K1979" s="109"/>
      <c r="L1979" s="109"/>
      <c r="M1979" s="109"/>
      <c r="N1979" s="109"/>
      <c r="O1979" s="109"/>
      <c r="P1979" s="109"/>
      <c r="Q1979" s="109"/>
      <c r="R1979" s="109"/>
      <c r="S1979" s="109"/>
      <c r="T1979" s="109"/>
      <c r="U1979" s="109"/>
    </row>
    <row r="1980" spans="1:21">
      <c r="A1980" s="109"/>
      <c r="B1980" s="109"/>
      <c r="C1980" s="109"/>
      <c r="D1980" s="109"/>
      <c r="E1980" s="109"/>
      <c r="F1980" s="109"/>
      <c r="G1980" s="109"/>
      <c r="H1980" s="109"/>
      <c r="I1980" s="109"/>
      <c r="J1980" s="109"/>
      <c r="K1980" s="109"/>
      <c r="L1980" s="109"/>
      <c r="M1980" s="109"/>
      <c r="N1980" s="109"/>
      <c r="O1980" s="109"/>
      <c r="P1980" s="109"/>
      <c r="Q1980" s="109"/>
      <c r="R1980" s="109"/>
      <c r="S1980" s="109"/>
      <c r="T1980" s="109"/>
      <c r="U1980" s="109"/>
    </row>
    <row r="1981" spans="1:21">
      <c r="A1981" s="109"/>
      <c r="B1981" s="109"/>
      <c r="C1981" s="109"/>
      <c r="D1981" s="109"/>
      <c r="E1981" s="109"/>
      <c r="F1981" s="109"/>
      <c r="G1981" s="109"/>
      <c r="H1981" s="109"/>
      <c r="I1981" s="109"/>
      <c r="J1981" s="109"/>
      <c r="K1981" s="109"/>
      <c r="L1981" s="109"/>
      <c r="M1981" s="109"/>
      <c r="N1981" s="109"/>
      <c r="O1981" s="109"/>
      <c r="P1981" s="109"/>
      <c r="Q1981" s="109"/>
      <c r="R1981" s="109"/>
      <c r="S1981" s="109"/>
      <c r="T1981" s="109"/>
      <c r="U1981" s="109"/>
    </row>
    <row r="1982" spans="1:21">
      <c r="A1982" s="109"/>
      <c r="B1982" s="109"/>
      <c r="C1982" s="109"/>
      <c r="D1982" s="109"/>
      <c r="E1982" s="109"/>
      <c r="F1982" s="109"/>
      <c r="G1982" s="109"/>
      <c r="H1982" s="109"/>
      <c r="I1982" s="109"/>
      <c r="J1982" s="109"/>
      <c r="K1982" s="109"/>
      <c r="L1982" s="109"/>
      <c r="M1982" s="109"/>
      <c r="N1982" s="109"/>
      <c r="O1982" s="109"/>
      <c r="P1982" s="109"/>
      <c r="Q1982" s="109"/>
      <c r="R1982" s="109"/>
      <c r="S1982" s="109"/>
      <c r="T1982" s="109"/>
      <c r="U1982" s="109"/>
    </row>
    <row r="1983" spans="1:21">
      <c r="A1983" s="109"/>
      <c r="B1983" s="109"/>
      <c r="C1983" s="109"/>
      <c r="D1983" s="109"/>
      <c r="E1983" s="109"/>
      <c r="F1983" s="109"/>
      <c r="G1983" s="109"/>
      <c r="H1983" s="109"/>
      <c r="I1983" s="109"/>
      <c r="J1983" s="109"/>
      <c r="K1983" s="109"/>
      <c r="L1983" s="109"/>
      <c r="M1983" s="109"/>
      <c r="N1983" s="109"/>
      <c r="O1983" s="109"/>
      <c r="P1983" s="109"/>
      <c r="Q1983" s="109"/>
      <c r="R1983" s="109"/>
      <c r="S1983" s="109"/>
      <c r="T1983" s="109"/>
      <c r="U1983" s="109"/>
    </row>
    <row r="1984" spans="1:21">
      <c r="A1984" s="109"/>
      <c r="B1984" s="109"/>
      <c r="C1984" s="109"/>
      <c r="D1984" s="109"/>
      <c r="E1984" s="109"/>
      <c r="F1984" s="109"/>
      <c r="G1984" s="109"/>
      <c r="H1984" s="109"/>
      <c r="I1984" s="109"/>
      <c r="J1984" s="109"/>
      <c r="K1984" s="109"/>
      <c r="L1984" s="109"/>
      <c r="M1984" s="109"/>
      <c r="N1984" s="109"/>
      <c r="O1984" s="109"/>
      <c r="P1984" s="109"/>
      <c r="Q1984" s="109"/>
      <c r="R1984" s="109"/>
      <c r="S1984" s="109"/>
      <c r="T1984" s="109"/>
      <c r="U1984" s="109"/>
    </row>
    <row r="1985" spans="1:21">
      <c r="A1985" s="109"/>
      <c r="B1985" s="109"/>
      <c r="C1985" s="109"/>
      <c r="D1985" s="109"/>
      <c r="E1985" s="109"/>
      <c r="F1985" s="109"/>
      <c r="G1985" s="109"/>
      <c r="H1985" s="109"/>
      <c r="I1985" s="109"/>
      <c r="J1985" s="109"/>
      <c r="K1985" s="109"/>
      <c r="L1985" s="109"/>
      <c r="M1985" s="109"/>
      <c r="N1985" s="109"/>
      <c r="O1985" s="109"/>
      <c r="P1985" s="109"/>
      <c r="Q1985" s="109"/>
      <c r="R1985" s="109"/>
      <c r="S1985" s="109"/>
      <c r="T1985" s="109"/>
      <c r="U1985" s="109"/>
    </row>
    <row r="1986" spans="1:21">
      <c r="A1986" s="109"/>
      <c r="B1986" s="109"/>
      <c r="C1986" s="109"/>
      <c r="D1986" s="109"/>
      <c r="E1986" s="109"/>
      <c r="F1986" s="109"/>
      <c r="G1986" s="109"/>
      <c r="H1986" s="109"/>
      <c r="I1986" s="109"/>
      <c r="J1986" s="109"/>
      <c r="K1986" s="109"/>
      <c r="L1986" s="109"/>
      <c r="M1986" s="109"/>
      <c r="N1986" s="109"/>
      <c r="O1986" s="109"/>
      <c r="P1986" s="109"/>
      <c r="Q1986" s="109"/>
      <c r="R1986" s="109"/>
      <c r="S1986" s="109"/>
      <c r="T1986" s="109"/>
      <c r="U1986" s="109"/>
    </row>
    <row r="1987" spans="1:21">
      <c r="A1987" s="109"/>
      <c r="B1987" s="109"/>
      <c r="C1987" s="109"/>
      <c r="D1987" s="109"/>
      <c r="E1987" s="109"/>
      <c r="F1987" s="109"/>
      <c r="G1987" s="109"/>
      <c r="H1987" s="109"/>
      <c r="I1987" s="109"/>
      <c r="J1987" s="109"/>
      <c r="K1987" s="109"/>
      <c r="L1987" s="109"/>
      <c r="M1987" s="109"/>
      <c r="N1987" s="109"/>
      <c r="O1987" s="109"/>
      <c r="P1987" s="109"/>
      <c r="Q1987" s="109"/>
      <c r="R1987" s="109"/>
      <c r="S1987" s="109"/>
      <c r="T1987" s="109"/>
      <c r="U1987" s="109"/>
    </row>
    <row r="1988" spans="1:21">
      <c r="A1988" s="109"/>
      <c r="B1988" s="109"/>
      <c r="C1988" s="109"/>
      <c r="D1988" s="109"/>
      <c r="E1988" s="109"/>
      <c r="F1988" s="109"/>
      <c r="G1988" s="109"/>
      <c r="H1988" s="109"/>
      <c r="I1988" s="109"/>
      <c r="J1988" s="109"/>
      <c r="K1988" s="109"/>
      <c r="L1988" s="109"/>
      <c r="M1988" s="109"/>
      <c r="N1988" s="109"/>
      <c r="O1988" s="109"/>
      <c r="P1988" s="109"/>
      <c r="Q1988" s="109"/>
      <c r="R1988" s="109"/>
      <c r="S1988" s="109"/>
      <c r="T1988" s="109"/>
      <c r="U1988" s="109"/>
    </row>
    <row r="1989" spans="1:21">
      <c r="A1989" s="109"/>
      <c r="B1989" s="109"/>
      <c r="C1989" s="109"/>
      <c r="D1989" s="109"/>
      <c r="E1989" s="109"/>
      <c r="F1989" s="109"/>
      <c r="G1989" s="109"/>
      <c r="H1989" s="109"/>
      <c r="I1989" s="109"/>
      <c r="J1989" s="109"/>
      <c r="K1989" s="109"/>
      <c r="L1989" s="109"/>
      <c r="M1989" s="109"/>
      <c r="N1989" s="109"/>
      <c r="O1989" s="109"/>
      <c r="P1989" s="109"/>
      <c r="Q1989" s="109"/>
      <c r="R1989" s="109"/>
      <c r="S1989" s="109"/>
      <c r="T1989" s="109"/>
      <c r="U1989" s="109"/>
    </row>
    <row r="1990" spans="1:21">
      <c r="A1990" s="109"/>
      <c r="B1990" s="109"/>
      <c r="C1990" s="109"/>
      <c r="D1990" s="109"/>
      <c r="E1990" s="109"/>
      <c r="F1990" s="109"/>
      <c r="G1990" s="109"/>
      <c r="H1990" s="109"/>
      <c r="I1990" s="109"/>
      <c r="J1990" s="109"/>
      <c r="K1990" s="109"/>
      <c r="L1990" s="109"/>
      <c r="M1990" s="109"/>
      <c r="N1990" s="109"/>
      <c r="O1990" s="109"/>
      <c r="P1990" s="109"/>
      <c r="Q1990" s="109"/>
      <c r="R1990" s="109"/>
      <c r="S1990" s="109"/>
      <c r="T1990" s="109"/>
      <c r="U1990" s="109"/>
    </row>
    <row r="1991" spans="1:21">
      <c r="A1991" s="109"/>
      <c r="B1991" s="109"/>
      <c r="C1991" s="109"/>
      <c r="D1991" s="109"/>
      <c r="E1991" s="109"/>
      <c r="F1991" s="109"/>
      <c r="G1991" s="109"/>
      <c r="H1991" s="109"/>
      <c r="I1991" s="109"/>
      <c r="J1991" s="109"/>
      <c r="K1991" s="109"/>
      <c r="L1991" s="109"/>
      <c r="M1991" s="109"/>
      <c r="N1991" s="109"/>
      <c r="O1991" s="109"/>
      <c r="P1991" s="109"/>
      <c r="Q1991" s="109"/>
      <c r="R1991" s="109"/>
      <c r="S1991" s="109"/>
      <c r="T1991" s="109"/>
      <c r="U1991" s="109"/>
    </row>
    <row r="1992" spans="1:21">
      <c r="A1992" s="109"/>
      <c r="B1992" s="109"/>
      <c r="C1992" s="109"/>
      <c r="D1992" s="109"/>
      <c r="E1992" s="109"/>
      <c r="F1992" s="109"/>
      <c r="G1992" s="109"/>
      <c r="H1992" s="109"/>
      <c r="I1992" s="109"/>
      <c r="J1992" s="109"/>
      <c r="K1992" s="109"/>
      <c r="L1992" s="109"/>
      <c r="M1992" s="109"/>
      <c r="N1992" s="109"/>
      <c r="O1992" s="109"/>
      <c r="P1992" s="109"/>
      <c r="Q1992" s="109"/>
      <c r="R1992" s="109"/>
      <c r="S1992" s="109"/>
      <c r="T1992" s="109"/>
      <c r="U1992" s="109"/>
    </row>
    <row r="1993" spans="1:21">
      <c r="A1993" s="109"/>
      <c r="B1993" s="109"/>
      <c r="C1993" s="109"/>
      <c r="D1993" s="109"/>
      <c r="E1993" s="109"/>
      <c r="F1993" s="109"/>
      <c r="G1993" s="109"/>
      <c r="H1993" s="109"/>
      <c r="I1993" s="109"/>
      <c r="J1993" s="109"/>
      <c r="K1993" s="109"/>
      <c r="L1993" s="109"/>
      <c r="M1993" s="109"/>
      <c r="N1993" s="109"/>
      <c r="O1993" s="109"/>
      <c r="P1993" s="109"/>
      <c r="Q1993" s="109"/>
      <c r="R1993" s="109"/>
      <c r="S1993" s="109"/>
      <c r="T1993" s="109"/>
      <c r="U1993" s="109"/>
    </row>
    <row r="1994" spans="1:21">
      <c r="A1994" s="109"/>
      <c r="B1994" s="109"/>
      <c r="C1994" s="109"/>
      <c r="D1994" s="109"/>
      <c r="E1994" s="109"/>
      <c r="F1994" s="109"/>
      <c r="G1994" s="109"/>
      <c r="H1994" s="109"/>
      <c r="I1994" s="109"/>
      <c r="J1994" s="109"/>
      <c r="K1994" s="109"/>
      <c r="L1994" s="109"/>
      <c r="M1994" s="109"/>
      <c r="N1994" s="109"/>
      <c r="O1994" s="109"/>
      <c r="P1994" s="109"/>
      <c r="Q1994" s="109"/>
      <c r="R1994" s="109"/>
      <c r="S1994" s="109"/>
      <c r="T1994" s="109"/>
      <c r="U1994" s="109"/>
    </row>
    <row r="1995" spans="1:21">
      <c r="A1995" s="109"/>
      <c r="B1995" s="109"/>
      <c r="C1995" s="109"/>
      <c r="D1995" s="109"/>
      <c r="E1995" s="109"/>
      <c r="F1995" s="109"/>
      <c r="G1995" s="109"/>
      <c r="H1995" s="109"/>
      <c r="I1995" s="109"/>
      <c r="J1995" s="109"/>
      <c r="K1995" s="109"/>
      <c r="L1995" s="109"/>
      <c r="M1995" s="109"/>
      <c r="N1995" s="109"/>
      <c r="O1995" s="109"/>
      <c r="P1995" s="109"/>
      <c r="Q1995" s="109"/>
      <c r="R1995" s="109"/>
      <c r="S1995" s="109"/>
      <c r="T1995" s="109"/>
      <c r="U1995" s="109"/>
    </row>
    <row r="1996" spans="1:21">
      <c r="A1996" s="109"/>
      <c r="B1996" s="109"/>
      <c r="C1996" s="109"/>
      <c r="D1996" s="109"/>
      <c r="E1996" s="109"/>
      <c r="F1996" s="109"/>
      <c r="G1996" s="109"/>
      <c r="H1996" s="109"/>
      <c r="I1996" s="109"/>
      <c r="J1996" s="109"/>
      <c r="K1996" s="109"/>
      <c r="L1996" s="109"/>
      <c r="M1996" s="109"/>
      <c r="N1996" s="109"/>
      <c r="O1996" s="109"/>
      <c r="P1996" s="109"/>
      <c r="Q1996" s="109"/>
      <c r="R1996" s="109"/>
      <c r="S1996" s="109"/>
      <c r="T1996" s="109"/>
      <c r="U1996" s="109"/>
    </row>
    <row r="1997" spans="1:21">
      <c r="A1997" s="109"/>
      <c r="B1997" s="109"/>
      <c r="C1997" s="109"/>
      <c r="D1997" s="109"/>
      <c r="E1997" s="109"/>
      <c r="F1997" s="109"/>
      <c r="G1997" s="109"/>
      <c r="H1997" s="109"/>
      <c r="I1997" s="109"/>
      <c r="J1997" s="109"/>
      <c r="K1997" s="109"/>
      <c r="L1997" s="109"/>
      <c r="M1997" s="109"/>
      <c r="N1997" s="109"/>
      <c r="O1997" s="109"/>
      <c r="P1997" s="109"/>
      <c r="Q1997" s="109"/>
      <c r="R1997" s="109"/>
      <c r="S1997" s="109"/>
      <c r="T1997" s="109"/>
      <c r="U1997" s="109"/>
    </row>
    <row r="1998" spans="1:21">
      <c r="A1998" s="109"/>
      <c r="B1998" s="109"/>
      <c r="C1998" s="109"/>
      <c r="D1998" s="109"/>
      <c r="E1998" s="109"/>
      <c r="F1998" s="109"/>
      <c r="G1998" s="109"/>
      <c r="H1998" s="109"/>
      <c r="I1998" s="109"/>
      <c r="J1998" s="109"/>
      <c r="K1998" s="109"/>
      <c r="L1998" s="109"/>
      <c r="M1998" s="109"/>
      <c r="N1998" s="109"/>
      <c r="O1998" s="109"/>
      <c r="P1998" s="109"/>
      <c r="Q1998" s="109"/>
      <c r="R1998" s="109"/>
      <c r="S1998" s="109"/>
      <c r="T1998" s="109"/>
      <c r="U1998" s="109"/>
    </row>
    <row r="1999" spans="1:21">
      <c r="A1999" s="109"/>
      <c r="B1999" s="109"/>
      <c r="C1999" s="109"/>
      <c r="D1999" s="109"/>
      <c r="E1999" s="109"/>
      <c r="F1999" s="109"/>
      <c r="G1999" s="109"/>
      <c r="H1999" s="109"/>
      <c r="I1999" s="109"/>
      <c r="J1999" s="109"/>
      <c r="K1999" s="109"/>
      <c r="L1999" s="109"/>
      <c r="M1999" s="109"/>
      <c r="N1999" s="109"/>
      <c r="O1999" s="109"/>
      <c r="P1999" s="109"/>
      <c r="Q1999" s="109"/>
      <c r="R1999" s="109"/>
      <c r="S1999" s="109"/>
      <c r="T1999" s="109"/>
      <c r="U1999" s="109"/>
    </row>
    <row r="2000" spans="1:21">
      <c r="A2000" s="109"/>
      <c r="B2000" s="109"/>
      <c r="C2000" s="109"/>
      <c r="D2000" s="109"/>
      <c r="E2000" s="109"/>
      <c r="F2000" s="109"/>
      <c r="G2000" s="109"/>
      <c r="H2000" s="109"/>
      <c r="I2000" s="109"/>
      <c r="J2000" s="109"/>
      <c r="K2000" s="109"/>
      <c r="L2000" s="109"/>
      <c r="M2000" s="109"/>
      <c r="N2000" s="109"/>
      <c r="O2000" s="109"/>
      <c r="P2000" s="109"/>
      <c r="Q2000" s="109"/>
      <c r="R2000" s="109"/>
      <c r="S2000" s="109"/>
      <c r="T2000" s="109"/>
      <c r="U2000" s="109"/>
    </row>
    <row r="2001" spans="1:21">
      <c r="A2001" s="109"/>
      <c r="B2001" s="109"/>
      <c r="C2001" s="109"/>
      <c r="D2001" s="109"/>
      <c r="E2001" s="109"/>
      <c r="F2001" s="109"/>
      <c r="G2001" s="109"/>
      <c r="H2001" s="109"/>
      <c r="I2001" s="109"/>
      <c r="J2001" s="109"/>
      <c r="K2001" s="109"/>
      <c r="L2001" s="109"/>
      <c r="M2001" s="109"/>
      <c r="N2001" s="109"/>
      <c r="O2001" s="109"/>
      <c r="P2001" s="109"/>
      <c r="Q2001" s="109"/>
      <c r="R2001" s="109"/>
      <c r="S2001" s="109"/>
      <c r="T2001" s="109"/>
      <c r="U2001" s="109"/>
    </row>
    <row r="2002" spans="1:21">
      <c r="A2002" s="109"/>
      <c r="B2002" s="109"/>
      <c r="C2002" s="109"/>
      <c r="D2002" s="109"/>
      <c r="E2002" s="109"/>
      <c r="F2002" s="109"/>
      <c r="G2002" s="109"/>
      <c r="H2002" s="109"/>
      <c r="I2002" s="109"/>
      <c r="J2002" s="109"/>
      <c r="K2002" s="109"/>
      <c r="L2002" s="109"/>
      <c r="M2002" s="109"/>
      <c r="N2002" s="109"/>
      <c r="O2002" s="109"/>
      <c r="P2002" s="109"/>
      <c r="Q2002" s="109"/>
      <c r="R2002" s="109"/>
      <c r="S2002" s="109"/>
      <c r="T2002" s="109"/>
      <c r="U2002" s="109"/>
    </row>
    <row r="2003" spans="1:21">
      <c r="A2003" s="109"/>
      <c r="B2003" s="109"/>
      <c r="C2003" s="109"/>
      <c r="D2003" s="109"/>
      <c r="E2003" s="109"/>
      <c r="F2003" s="109"/>
      <c r="G2003" s="109"/>
      <c r="H2003" s="109"/>
      <c r="I2003" s="109"/>
      <c r="J2003" s="109"/>
      <c r="K2003" s="109"/>
      <c r="L2003" s="109"/>
      <c r="M2003" s="109"/>
      <c r="N2003" s="109"/>
      <c r="O2003" s="109"/>
      <c r="P2003" s="109"/>
      <c r="Q2003" s="109"/>
      <c r="R2003" s="109"/>
      <c r="S2003" s="109"/>
      <c r="T2003" s="109"/>
      <c r="U2003" s="109"/>
    </row>
    <row r="2004" spans="1:21">
      <c r="A2004" s="109"/>
      <c r="B2004" s="109"/>
      <c r="C2004" s="109"/>
      <c r="D2004" s="109"/>
      <c r="E2004" s="109"/>
      <c r="F2004" s="109"/>
      <c r="G2004" s="109"/>
      <c r="H2004" s="109"/>
      <c r="I2004" s="109"/>
      <c r="J2004" s="109"/>
      <c r="K2004" s="109"/>
      <c r="L2004" s="109"/>
      <c r="M2004" s="109"/>
      <c r="N2004" s="109"/>
      <c r="O2004" s="109"/>
      <c r="P2004" s="109"/>
      <c r="Q2004" s="109"/>
      <c r="R2004" s="109"/>
      <c r="S2004" s="109"/>
      <c r="T2004" s="109"/>
      <c r="U2004" s="109"/>
    </row>
    <row r="2005" spans="1:21">
      <c r="A2005" s="109"/>
      <c r="B2005" s="109"/>
      <c r="C2005" s="109"/>
      <c r="D2005" s="109"/>
      <c r="E2005" s="109"/>
      <c r="F2005" s="109"/>
      <c r="G2005" s="109"/>
      <c r="H2005" s="109"/>
      <c r="I2005" s="109"/>
      <c r="J2005" s="109"/>
      <c r="K2005" s="109"/>
      <c r="L2005" s="109"/>
      <c r="M2005" s="109"/>
      <c r="N2005" s="109"/>
      <c r="O2005" s="109"/>
      <c r="P2005" s="109"/>
      <c r="Q2005" s="109"/>
      <c r="R2005" s="109"/>
      <c r="S2005" s="109"/>
      <c r="T2005" s="109"/>
      <c r="U2005" s="109"/>
    </row>
    <row r="2006" spans="1:21">
      <c r="A2006" s="109"/>
      <c r="B2006" s="109"/>
      <c r="C2006" s="109"/>
      <c r="D2006" s="109"/>
      <c r="E2006" s="109"/>
      <c r="F2006" s="109"/>
      <c r="G2006" s="109"/>
      <c r="H2006" s="109"/>
      <c r="I2006" s="109"/>
      <c r="J2006" s="109"/>
      <c r="K2006" s="109"/>
      <c r="L2006" s="109"/>
      <c r="M2006" s="109"/>
      <c r="N2006" s="109"/>
      <c r="O2006" s="109"/>
      <c r="P2006" s="109"/>
      <c r="Q2006" s="109"/>
      <c r="R2006" s="109"/>
      <c r="S2006" s="109"/>
      <c r="T2006" s="109"/>
      <c r="U2006" s="109"/>
    </row>
    <row r="2007" spans="1:21">
      <c r="A2007" s="109"/>
      <c r="B2007" s="109"/>
      <c r="C2007" s="109"/>
      <c r="D2007" s="109"/>
      <c r="E2007" s="109"/>
      <c r="F2007" s="109"/>
      <c r="G2007" s="109"/>
      <c r="H2007" s="109"/>
      <c r="I2007" s="109"/>
      <c r="J2007" s="109"/>
      <c r="K2007" s="109"/>
      <c r="L2007" s="109"/>
      <c r="M2007" s="109"/>
      <c r="N2007" s="109"/>
      <c r="O2007" s="109"/>
      <c r="P2007" s="109"/>
      <c r="Q2007" s="109"/>
      <c r="R2007" s="109"/>
      <c r="S2007" s="109"/>
      <c r="T2007" s="109"/>
      <c r="U2007" s="109"/>
    </row>
    <row r="2008" spans="1:21">
      <c r="A2008" s="109"/>
      <c r="B2008" s="109"/>
      <c r="C2008" s="109"/>
      <c r="D2008" s="109"/>
      <c r="E2008" s="109"/>
      <c r="F2008" s="109"/>
      <c r="G2008" s="109"/>
      <c r="H2008" s="109"/>
      <c r="I2008" s="109"/>
      <c r="J2008" s="109"/>
      <c r="K2008" s="109"/>
      <c r="L2008" s="109"/>
      <c r="M2008" s="109"/>
      <c r="N2008" s="109"/>
      <c r="O2008" s="109"/>
      <c r="P2008" s="109"/>
      <c r="Q2008" s="109"/>
      <c r="R2008" s="109"/>
      <c r="S2008" s="109"/>
      <c r="T2008" s="109"/>
      <c r="U2008" s="109"/>
    </row>
    <row r="2009" spans="1:21">
      <c r="A2009" s="109"/>
      <c r="B2009" s="109"/>
      <c r="C2009" s="109"/>
      <c r="D2009" s="109"/>
      <c r="E2009" s="109"/>
      <c r="F2009" s="109"/>
      <c r="G2009" s="109"/>
      <c r="H2009" s="109"/>
      <c r="I2009" s="109"/>
      <c r="J2009" s="109"/>
      <c r="K2009" s="109"/>
      <c r="L2009" s="109"/>
      <c r="M2009" s="109"/>
      <c r="N2009" s="109"/>
      <c r="O2009" s="109"/>
      <c r="P2009" s="109"/>
      <c r="Q2009" s="109"/>
      <c r="R2009" s="109"/>
      <c r="S2009" s="109"/>
      <c r="T2009" s="109"/>
      <c r="U2009" s="109"/>
    </row>
    <row r="2010" spans="1:21">
      <c r="A2010" s="109"/>
      <c r="B2010" s="109"/>
      <c r="C2010" s="109"/>
      <c r="D2010" s="109"/>
      <c r="E2010" s="109"/>
      <c r="F2010" s="109"/>
      <c r="G2010" s="109"/>
      <c r="H2010" s="109"/>
      <c r="I2010" s="109"/>
      <c r="J2010" s="109"/>
      <c r="K2010" s="109"/>
      <c r="L2010" s="109"/>
      <c r="M2010" s="109"/>
      <c r="N2010" s="109"/>
      <c r="O2010" s="109"/>
      <c r="P2010" s="109"/>
      <c r="Q2010" s="109"/>
      <c r="R2010" s="109"/>
      <c r="S2010" s="109"/>
      <c r="T2010" s="109"/>
      <c r="U2010" s="109"/>
    </row>
    <row r="2011" spans="1:21">
      <c r="A2011" s="109"/>
      <c r="B2011" s="109"/>
      <c r="C2011" s="109"/>
      <c r="D2011" s="109"/>
      <c r="E2011" s="109"/>
      <c r="F2011" s="109"/>
      <c r="G2011" s="109"/>
      <c r="H2011" s="109"/>
      <c r="I2011" s="109"/>
      <c r="J2011" s="109"/>
      <c r="K2011" s="109"/>
      <c r="L2011" s="109"/>
      <c r="M2011" s="109"/>
      <c r="N2011" s="109"/>
      <c r="O2011" s="109"/>
      <c r="P2011" s="109"/>
      <c r="Q2011" s="109"/>
      <c r="R2011" s="109"/>
      <c r="S2011" s="109"/>
      <c r="T2011" s="109"/>
      <c r="U2011" s="109"/>
    </row>
    <row r="2012" spans="1:21">
      <c r="A2012" s="109"/>
      <c r="B2012" s="109"/>
      <c r="C2012" s="109"/>
      <c r="D2012" s="109"/>
      <c r="E2012" s="109"/>
      <c r="F2012" s="109"/>
      <c r="G2012" s="109"/>
      <c r="H2012" s="109"/>
      <c r="I2012" s="109"/>
      <c r="J2012" s="109"/>
      <c r="K2012" s="109"/>
      <c r="L2012" s="109"/>
      <c r="M2012" s="109"/>
      <c r="N2012" s="109"/>
      <c r="O2012" s="109"/>
      <c r="P2012" s="109"/>
      <c r="Q2012" s="109"/>
      <c r="R2012" s="109"/>
      <c r="S2012" s="109"/>
      <c r="T2012" s="109"/>
      <c r="U2012" s="109"/>
    </row>
    <row r="2013" spans="1:21">
      <c r="A2013" s="109"/>
      <c r="B2013" s="109"/>
      <c r="C2013" s="109"/>
      <c r="D2013" s="109"/>
      <c r="E2013" s="109"/>
      <c r="F2013" s="109"/>
      <c r="G2013" s="109"/>
      <c r="H2013" s="109"/>
      <c r="I2013" s="109"/>
      <c r="J2013" s="109"/>
      <c r="K2013" s="109"/>
      <c r="L2013" s="109"/>
      <c r="M2013" s="109"/>
      <c r="N2013" s="109"/>
      <c r="O2013" s="109"/>
      <c r="P2013" s="109"/>
      <c r="Q2013" s="109"/>
      <c r="R2013" s="109"/>
      <c r="S2013" s="109"/>
      <c r="T2013" s="109"/>
      <c r="U2013" s="109"/>
    </row>
    <row r="2014" spans="1:21">
      <c r="A2014" s="109"/>
      <c r="B2014" s="109"/>
      <c r="C2014" s="109"/>
      <c r="D2014" s="109"/>
      <c r="E2014" s="109"/>
      <c r="F2014" s="109"/>
      <c r="G2014" s="109"/>
      <c r="H2014" s="109"/>
      <c r="I2014" s="109"/>
      <c r="J2014" s="109"/>
      <c r="K2014" s="109"/>
      <c r="L2014" s="109"/>
      <c r="M2014" s="109"/>
      <c r="N2014" s="109"/>
      <c r="O2014" s="109"/>
      <c r="P2014" s="109"/>
      <c r="Q2014" s="109"/>
      <c r="R2014" s="109"/>
      <c r="S2014" s="109"/>
      <c r="T2014" s="109"/>
      <c r="U2014" s="109"/>
    </row>
    <row r="2015" spans="1:21">
      <c r="A2015" s="109"/>
      <c r="B2015" s="109"/>
      <c r="C2015" s="109"/>
      <c r="D2015" s="109"/>
      <c r="E2015" s="109"/>
      <c r="F2015" s="109"/>
      <c r="G2015" s="109"/>
      <c r="H2015" s="109"/>
      <c r="I2015" s="109"/>
      <c r="J2015" s="109"/>
      <c r="K2015" s="109"/>
      <c r="L2015" s="109"/>
      <c r="M2015" s="109"/>
      <c r="N2015" s="109"/>
      <c r="O2015" s="109"/>
      <c r="P2015" s="109"/>
      <c r="Q2015" s="109"/>
      <c r="R2015" s="109"/>
      <c r="S2015" s="109"/>
      <c r="T2015" s="109"/>
      <c r="U2015" s="109"/>
    </row>
    <row r="2016" spans="1:21">
      <c r="A2016" s="109"/>
      <c r="B2016" s="109"/>
      <c r="C2016" s="109"/>
      <c r="D2016" s="109"/>
      <c r="E2016" s="109"/>
      <c r="F2016" s="109"/>
      <c r="G2016" s="109"/>
      <c r="H2016" s="109"/>
      <c r="I2016" s="109"/>
      <c r="J2016" s="109"/>
      <c r="K2016" s="109"/>
      <c r="L2016" s="109"/>
      <c r="M2016" s="109"/>
      <c r="N2016" s="109"/>
      <c r="O2016" s="109"/>
      <c r="P2016" s="109"/>
      <c r="Q2016" s="109"/>
      <c r="R2016" s="109"/>
      <c r="S2016" s="109"/>
      <c r="T2016" s="109"/>
      <c r="U2016" s="109"/>
    </row>
    <row r="2017" spans="1:21">
      <c r="A2017" s="109"/>
      <c r="B2017" s="109"/>
      <c r="C2017" s="109"/>
      <c r="D2017" s="109"/>
      <c r="E2017" s="109"/>
      <c r="F2017" s="109"/>
      <c r="G2017" s="109"/>
      <c r="H2017" s="109"/>
      <c r="I2017" s="109"/>
      <c r="J2017" s="109"/>
      <c r="K2017" s="109"/>
      <c r="L2017" s="109"/>
      <c r="M2017" s="109"/>
      <c r="N2017" s="109"/>
      <c r="O2017" s="109"/>
      <c r="P2017" s="109"/>
      <c r="Q2017" s="109"/>
      <c r="R2017" s="109"/>
      <c r="S2017" s="109"/>
      <c r="T2017" s="109"/>
      <c r="U2017" s="109"/>
    </row>
    <row r="2018" spans="1:21">
      <c r="A2018" s="109"/>
      <c r="B2018" s="109"/>
      <c r="C2018" s="109"/>
      <c r="D2018" s="109"/>
      <c r="E2018" s="109"/>
      <c r="F2018" s="109"/>
      <c r="G2018" s="109"/>
      <c r="H2018" s="109"/>
      <c r="I2018" s="109"/>
      <c r="J2018" s="109"/>
      <c r="K2018" s="109"/>
      <c r="L2018" s="109"/>
      <c r="M2018" s="109"/>
      <c r="N2018" s="109"/>
      <c r="O2018" s="109"/>
      <c r="P2018" s="109"/>
      <c r="Q2018" s="109"/>
      <c r="R2018" s="109"/>
      <c r="S2018" s="109"/>
      <c r="T2018" s="109"/>
      <c r="U2018" s="109"/>
    </row>
    <row r="2019" spans="1:21">
      <c r="A2019" s="109"/>
      <c r="B2019" s="109"/>
      <c r="C2019" s="109"/>
      <c r="D2019" s="109"/>
      <c r="E2019" s="109"/>
      <c r="F2019" s="109"/>
      <c r="G2019" s="109"/>
      <c r="H2019" s="109"/>
      <c r="I2019" s="109"/>
      <c r="J2019" s="109"/>
      <c r="K2019" s="109"/>
      <c r="L2019" s="109"/>
      <c r="M2019" s="109"/>
      <c r="N2019" s="109"/>
      <c r="O2019" s="109"/>
      <c r="P2019" s="109"/>
      <c r="Q2019" s="109"/>
      <c r="R2019" s="109"/>
      <c r="S2019" s="109"/>
      <c r="T2019" s="109"/>
      <c r="U2019" s="109"/>
    </row>
    <row r="2020" spans="1:21">
      <c r="A2020" s="109"/>
      <c r="B2020" s="109"/>
      <c r="C2020" s="109"/>
      <c r="D2020" s="109"/>
      <c r="E2020" s="109"/>
      <c r="F2020" s="109"/>
      <c r="G2020" s="109"/>
      <c r="H2020" s="109"/>
      <c r="I2020" s="109"/>
      <c r="J2020" s="109"/>
      <c r="K2020" s="109"/>
      <c r="L2020" s="109"/>
      <c r="M2020" s="109"/>
      <c r="N2020" s="109"/>
      <c r="O2020" s="109"/>
      <c r="P2020" s="109"/>
      <c r="Q2020" s="109"/>
      <c r="R2020" s="109"/>
      <c r="S2020" s="109"/>
      <c r="T2020" s="109"/>
      <c r="U2020" s="109"/>
    </row>
    <row r="2021" spans="1:21">
      <c r="A2021" s="109"/>
      <c r="B2021" s="109"/>
      <c r="C2021" s="109"/>
      <c r="D2021" s="109"/>
      <c r="E2021" s="109"/>
      <c r="F2021" s="109"/>
      <c r="G2021" s="109"/>
      <c r="H2021" s="109"/>
      <c r="I2021" s="109"/>
      <c r="J2021" s="109"/>
      <c r="K2021" s="109"/>
      <c r="L2021" s="109"/>
      <c r="M2021" s="109"/>
      <c r="N2021" s="109"/>
      <c r="O2021" s="109"/>
      <c r="P2021" s="109"/>
      <c r="Q2021" s="109"/>
      <c r="R2021" s="109"/>
      <c r="S2021" s="109"/>
      <c r="T2021" s="109"/>
      <c r="U2021" s="109"/>
    </row>
    <row r="2022" spans="1:21">
      <c r="A2022" s="109"/>
      <c r="B2022" s="109"/>
      <c r="C2022" s="109"/>
      <c r="D2022" s="109"/>
      <c r="E2022" s="109"/>
      <c r="F2022" s="109"/>
      <c r="G2022" s="109"/>
      <c r="H2022" s="109"/>
      <c r="I2022" s="109"/>
      <c r="J2022" s="109"/>
      <c r="K2022" s="109"/>
      <c r="L2022" s="109"/>
      <c r="M2022" s="109"/>
      <c r="N2022" s="109"/>
      <c r="O2022" s="109"/>
      <c r="P2022" s="109"/>
      <c r="Q2022" s="109"/>
      <c r="R2022" s="109"/>
      <c r="S2022" s="109"/>
      <c r="T2022" s="109"/>
      <c r="U2022" s="109"/>
    </row>
    <row r="2023" spans="1:21">
      <c r="A2023" s="109"/>
      <c r="B2023" s="109"/>
      <c r="C2023" s="109"/>
      <c r="D2023" s="109"/>
      <c r="E2023" s="109"/>
      <c r="F2023" s="109"/>
      <c r="G2023" s="109"/>
      <c r="H2023" s="109"/>
      <c r="I2023" s="109"/>
      <c r="J2023" s="109"/>
      <c r="K2023" s="109"/>
      <c r="L2023" s="109"/>
      <c r="M2023" s="109"/>
      <c r="N2023" s="109"/>
      <c r="O2023" s="109"/>
      <c r="P2023" s="109"/>
      <c r="Q2023" s="109"/>
      <c r="R2023" s="109"/>
      <c r="S2023" s="109"/>
      <c r="T2023" s="109"/>
      <c r="U2023" s="109"/>
    </row>
    <row r="2024" spans="1:21">
      <c r="A2024" s="109"/>
      <c r="B2024" s="109"/>
      <c r="C2024" s="109"/>
      <c r="D2024" s="109"/>
      <c r="E2024" s="109"/>
      <c r="F2024" s="109"/>
      <c r="G2024" s="109"/>
      <c r="H2024" s="109"/>
      <c r="I2024" s="109"/>
      <c r="J2024" s="109"/>
      <c r="K2024" s="109"/>
      <c r="L2024" s="109"/>
      <c r="M2024" s="109"/>
      <c r="N2024" s="109"/>
      <c r="O2024" s="109"/>
      <c r="P2024" s="109"/>
      <c r="Q2024" s="109"/>
      <c r="R2024" s="109"/>
      <c r="S2024" s="109"/>
      <c r="T2024" s="109"/>
      <c r="U2024" s="109"/>
    </row>
    <row r="2025" spans="1:21">
      <c r="A2025" s="109"/>
      <c r="B2025" s="109"/>
      <c r="C2025" s="109"/>
      <c r="D2025" s="109"/>
      <c r="E2025" s="109"/>
      <c r="F2025" s="109"/>
      <c r="G2025" s="109"/>
      <c r="H2025" s="109"/>
      <c r="I2025" s="109"/>
      <c r="J2025" s="109"/>
      <c r="K2025" s="109"/>
      <c r="L2025" s="109"/>
      <c r="M2025" s="109"/>
      <c r="N2025" s="109"/>
      <c r="O2025" s="109"/>
      <c r="P2025" s="109"/>
      <c r="Q2025" s="109"/>
      <c r="R2025" s="109"/>
      <c r="S2025" s="109"/>
      <c r="T2025" s="109"/>
      <c r="U2025" s="109"/>
    </row>
    <row r="2026" spans="1:21">
      <c r="A2026" s="109"/>
      <c r="B2026" s="109"/>
      <c r="C2026" s="109"/>
      <c r="D2026" s="109"/>
      <c r="E2026" s="109"/>
      <c r="F2026" s="109"/>
      <c r="G2026" s="109"/>
      <c r="H2026" s="109"/>
      <c r="I2026" s="109"/>
      <c r="J2026" s="109"/>
      <c r="K2026" s="109"/>
      <c r="L2026" s="109"/>
      <c r="M2026" s="109"/>
      <c r="N2026" s="109"/>
      <c r="O2026" s="109"/>
      <c r="P2026" s="109"/>
      <c r="Q2026" s="109"/>
      <c r="R2026" s="109"/>
      <c r="S2026" s="109"/>
      <c r="T2026" s="109"/>
      <c r="U2026" s="109"/>
    </row>
    <row r="2027" spans="1:21">
      <c r="A2027" s="109"/>
      <c r="B2027" s="109"/>
      <c r="C2027" s="109"/>
      <c r="D2027" s="109"/>
      <c r="E2027" s="109"/>
      <c r="F2027" s="109"/>
      <c r="G2027" s="109"/>
      <c r="H2027" s="109"/>
      <c r="I2027" s="109"/>
      <c r="J2027" s="109"/>
      <c r="K2027" s="109"/>
      <c r="L2027" s="109"/>
      <c r="M2027" s="109"/>
      <c r="N2027" s="109"/>
      <c r="O2027" s="109"/>
      <c r="P2027" s="109"/>
      <c r="Q2027" s="109"/>
      <c r="R2027" s="109"/>
      <c r="S2027" s="109"/>
      <c r="T2027" s="109"/>
      <c r="U2027" s="109"/>
    </row>
    <row r="2028" spans="1:21">
      <c r="A2028" s="109"/>
      <c r="B2028" s="109"/>
      <c r="C2028" s="109"/>
      <c r="D2028" s="109"/>
      <c r="E2028" s="109"/>
      <c r="F2028" s="109"/>
      <c r="G2028" s="109"/>
      <c r="H2028" s="109"/>
      <c r="I2028" s="109"/>
      <c r="J2028" s="109"/>
      <c r="K2028" s="109"/>
      <c r="L2028" s="109"/>
      <c r="M2028" s="109"/>
      <c r="N2028" s="109"/>
      <c r="O2028" s="109"/>
      <c r="P2028" s="109"/>
      <c r="Q2028" s="109"/>
      <c r="R2028" s="109"/>
      <c r="S2028" s="109"/>
      <c r="T2028" s="109"/>
      <c r="U2028" s="109"/>
    </row>
    <row r="2029" spans="1:21">
      <c r="A2029" s="109"/>
      <c r="B2029" s="109"/>
      <c r="C2029" s="109"/>
      <c r="D2029" s="109"/>
      <c r="E2029" s="109"/>
      <c r="F2029" s="109"/>
      <c r="G2029" s="109"/>
      <c r="H2029" s="109"/>
      <c r="I2029" s="109"/>
      <c r="J2029" s="109"/>
      <c r="K2029" s="109"/>
      <c r="L2029" s="109"/>
      <c r="M2029" s="109"/>
      <c r="N2029" s="109"/>
      <c r="O2029" s="109"/>
      <c r="P2029" s="109"/>
      <c r="Q2029" s="109"/>
      <c r="R2029" s="109"/>
      <c r="S2029" s="109"/>
      <c r="T2029" s="109"/>
      <c r="U2029" s="109"/>
    </row>
    <row r="2030" spans="1:21">
      <c r="A2030" s="109"/>
      <c r="B2030" s="109"/>
      <c r="C2030" s="109"/>
      <c r="D2030" s="109"/>
      <c r="E2030" s="109"/>
      <c r="F2030" s="109"/>
      <c r="G2030" s="109"/>
      <c r="H2030" s="109"/>
      <c r="I2030" s="109"/>
      <c r="J2030" s="109"/>
      <c r="K2030" s="109"/>
      <c r="L2030" s="109"/>
      <c r="M2030" s="109"/>
      <c r="N2030" s="109"/>
      <c r="O2030" s="109"/>
      <c r="P2030" s="109"/>
      <c r="Q2030" s="109"/>
      <c r="R2030" s="109"/>
      <c r="S2030" s="109"/>
      <c r="T2030" s="109"/>
      <c r="U2030" s="109"/>
    </row>
    <row r="2031" spans="1:21">
      <c r="A2031" s="109"/>
      <c r="B2031" s="109"/>
      <c r="C2031" s="109"/>
      <c r="D2031" s="109"/>
      <c r="E2031" s="109"/>
      <c r="F2031" s="109"/>
      <c r="G2031" s="109"/>
      <c r="H2031" s="109"/>
      <c r="I2031" s="109"/>
      <c r="J2031" s="109"/>
      <c r="K2031" s="109"/>
      <c r="L2031" s="109"/>
      <c r="M2031" s="109"/>
      <c r="N2031" s="109"/>
      <c r="O2031" s="109"/>
      <c r="P2031" s="109"/>
      <c r="Q2031" s="109"/>
      <c r="R2031" s="109"/>
      <c r="S2031" s="109"/>
      <c r="T2031" s="109"/>
      <c r="U2031" s="109"/>
    </row>
    <row r="2032" spans="1:21">
      <c r="A2032" s="109"/>
      <c r="B2032" s="109"/>
      <c r="C2032" s="109"/>
      <c r="D2032" s="109"/>
      <c r="E2032" s="109"/>
      <c r="F2032" s="109"/>
      <c r="G2032" s="109"/>
      <c r="H2032" s="109"/>
      <c r="I2032" s="109"/>
      <c r="J2032" s="109"/>
      <c r="K2032" s="109"/>
      <c r="L2032" s="109"/>
      <c r="M2032" s="109"/>
      <c r="N2032" s="109"/>
      <c r="O2032" s="109"/>
      <c r="P2032" s="109"/>
      <c r="Q2032" s="109"/>
      <c r="R2032" s="109"/>
      <c r="S2032" s="109"/>
      <c r="T2032" s="109"/>
      <c r="U2032" s="109"/>
    </row>
    <row r="2033" spans="1:21">
      <c r="A2033" s="109"/>
      <c r="B2033" s="109"/>
      <c r="C2033" s="109"/>
      <c r="D2033" s="109"/>
      <c r="E2033" s="109"/>
      <c r="F2033" s="109"/>
      <c r="G2033" s="109"/>
      <c r="H2033" s="109"/>
      <c r="I2033" s="109"/>
      <c r="J2033" s="109"/>
      <c r="K2033" s="109"/>
      <c r="L2033" s="109"/>
      <c r="M2033" s="109"/>
      <c r="N2033" s="109"/>
      <c r="O2033" s="109"/>
      <c r="P2033" s="109"/>
      <c r="Q2033" s="109"/>
      <c r="R2033" s="109"/>
      <c r="S2033" s="109"/>
      <c r="T2033" s="109"/>
      <c r="U2033" s="109"/>
    </row>
    <row r="2034" spans="1:21">
      <c r="A2034" s="109"/>
      <c r="B2034" s="109"/>
      <c r="C2034" s="109"/>
      <c r="D2034" s="109"/>
      <c r="E2034" s="109"/>
      <c r="F2034" s="109"/>
      <c r="G2034" s="109"/>
      <c r="H2034" s="109"/>
      <c r="I2034" s="109"/>
      <c r="J2034" s="109"/>
      <c r="K2034" s="109"/>
      <c r="L2034" s="109"/>
      <c r="M2034" s="109"/>
      <c r="N2034" s="109"/>
      <c r="O2034" s="109"/>
      <c r="P2034" s="109"/>
      <c r="Q2034" s="109"/>
      <c r="R2034" s="109"/>
      <c r="S2034" s="109"/>
      <c r="T2034" s="109"/>
      <c r="U2034" s="109"/>
    </row>
    <row r="2035" spans="1:21">
      <c r="A2035" s="109"/>
      <c r="B2035" s="109"/>
      <c r="C2035" s="109"/>
      <c r="D2035" s="109"/>
      <c r="E2035" s="109"/>
      <c r="F2035" s="109"/>
      <c r="G2035" s="109"/>
      <c r="H2035" s="109"/>
      <c r="I2035" s="109"/>
      <c r="J2035" s="109"/>
      <c r="K2035" s="109"/>
      <c r="L2035" s="109"/>
      <c r="M2035" s="109"/>
      <c r="N2035" s="109"/>
      <c r="O2035" s="109"/>
      <c r="P2035" s="109"/>
      <c r="Q2035" s="109"/>
      <c r="R2035" s="109"/>
      <c r="S2035" s="109"/>
      <c r="T2035" s="109"/>
      <c r="U2035" s="109"/>
    </row>
    <row r="2036" spans="1:21">
      <c r="A2036" s="109"/>
      <c r="B2036" s="109"/>
      <c r="C2036" s="109"/>
      <c r="D2036" s="109"/>
      <c r="E2036" s="109"/>
      <c r="F2036" s="109"/>
      <c r="G2036" s="109"/>
      <c r="H2036" s="109"/>
      <c r="I2036" s="109"/>
      <c r="J2036" s="109"/>
      <c r="K2036" s="109"/>
      <c r="L2036" s="109"/>
      <c r="M2036" s="109"/>
      <c r="N2036" s="109"/>
      <c r="O2036" s="109"/>
      <c r="P2036" s="109"/>
      <c r="Q2036" s="109"/>
      <c r="R2036" s="109"/>
      <c r="S2036" s="109"/>
      <c r="T2036" s="109"/>
      <c r="U2036" s="109"/>
    </row>
    <row r="2037" spans="1:21">
      <c r="A2037" s="109"/>
      <c r="B2037" s="109"/>
      <c r="C2037" s="109"/>
      <c r="D2037" s="109"/>
      <c r="E2037" s="109"/>
      <c r="F2037" s="109"/>
      <c r="G2037" s="109"/>
      <c r="H2037" s="109"/>
      <c r="I2037" s="109"/>
      <c r="J2037" s="109"/>
      <c r="K2037" s="109"/>
      <c r="L2037" s="109"/>
      <c r="M2037" s="109"/>
      <c r="N2037" s="109"/>
      <c r="O2037" s="109"/>
      <c r="P2037" s="109"/>
      <c r="Q2037" s="109"/>
      <c r="R2037" s="109"/>
      <c r="S2037" s="109"/>
      <c r="T2037" s="109"/>
      <c r="U2037" s="109"/>
    </row>
    <row r="2038" spans="1:21">
      <c r="A2038" s="109"/>
      <c r="B2038" s="109"/>
      <c r="C2038" s="109"/>
      <c r="D2038" s="109"/>
      <c r="E2038" s="109"/>
      <c r="F2038" s="109"/>
      <c r="G2038" s="109"/>
      <c r="H2038" s="109"/>
      <c r="I2038" s="109"/>
      <c r="J2038" s="109"/>
      <c r="K2038" s="109"/>
      <c r="L2038" s="109"/>
      <c r="M2038" s="109"/>
      <c r="N2038" s="109"/>
      <c r="O2038" s="109"/>
      <c r="P2038" s="109"/>
      <c r="Q2038" s="109"/>
      <c r="R2038" s="109"/>
      <c r="S2038" s="109"/>
      <c r="T2038" s="109"/>
      <c r="U2038" s="109"/>
    </row>
    <row r="2039" spans="1:21">
      <c r="A2039" s="109"/>
      <c r="B2039" s="109"/>
      <c r="C2039" s="109"/>
      <c r="D2039" s="109"/>
      <c r="E2039" s="109"/>
      <c r="F2039" s="109"/>
      <c r="G2039" s="109"/>
      <c r="H2039" s="109"/>
      <c r="I2039" s="109"/>
      <c r="J2039" s="109"/>
      <c r="K2039" s="109"/>
      <c r="L2039" s="109"/>
      <c r="M2039" s="109"/>
      <c r="N2039" s="109"/>
      <c r="O2039" s="109"/>
      <c r="P2039" s="109"/>
      <c r="Q2039" s="109"/>
      <c r="R2039" s="109"/>
      <c r="S2039" s="109"/>
      <c r="T2039" s="109"/>
      <c r="U2039" s="109"/>
    </row>
    <row r="2040" spans="1:21">
      <c r="A2040" s="109"/>
      <c r="B2040" s="109"/>
      <c r="C2040" s="109"/>
      <c r="D2040" s="109"/>
      <c r="E2040" s="109"/>
      <c r="F2040" s="109"/>
      <c r="G2040" s="109"/>
      <c r="H2040" s="109"/>
      <c r="I2040" s="109"/>
      <c r="J2040" s="109"/>
      <c r="K2040" s="109"/>
      <c r="L2040" s="109"/>
      <c r="M2040" s="109"/>
      <c r="N2040" s="109"/>
      <c r="O2040" s="109"/>
      <c r="P2040" s="109"/>
      <c r="Q2040" s="109"/>
      <c r="R2040" s="109"/>
      <c r="S2040" s="109"/>
      <c r="T2040" s="109"/>
      <c r="U2040" s="109"/>
    </row>
    <row r="2041" spans="1:21">
      <c r="A2041" s="109"/>
      <c r="B2041" s="109"/>
      <c r="C2041" s="109"/>
      <c r="D2041" s="109"/>
      <c r="E2041" s="109"/>
      <c r="F2041" s="109"/>
      <c r="G2041" s="109"/>
      <c r="H2041" s="109"/>
      <c r="I2041" s="109"/>
      <c r="J2041" s="109"/>
      <c r="K2041" s="109"/>
      <c r="L2041" s="109"/>
      <c r="M2041" s="109"/>
      <c r="N2041" s="109"/>
      <c r="O2041" s="109"/>
      <c r="P2041" s="109"/>
      <c r="Q2041" s="109"/>
      <c r="R2041" s="109"/>
      <c r="S2041" s="109"/>
      <c r="T2041" s="109"/>
      <c r="U2041" s="109"/>
    </row>
    <row r="2042" spans="1:21">
      <c r="A2042" s="109"/>
      <c r="B2042" s="109"/>
      <c r="C2042" s="109"/>
      <c r="D2042" s="109"/>
      <c r="E2042" s="109"/>
      <c r="F2042" s="109"/>
      <c r="G2042" s="109"/>
      <c r="H2042" s="109"/>
      <c r="I2042" s="109"/>
      <c r="J2042" s="109"/>
      <c r="K2042" s="109"/>
      <c r="L2042" s="109"/>
      <c r="M2042" s="109"/>
      <c r="N2042" s="109"/>
      <c r="O2042" s="109"/>
      <c r="P2042" s="109"/>
      <c r="Q2042" s="109"/>
      <c r="R2042" s="109"/>
      <c r="S2042" s="109"/>
      <c r="T2042" s="109"/>
      <c r="U2042" s="109"/>
    </row>
    <row r="2043" spans="1:21">
      <c r="A2043" s="109"/>
      <c r="B2043" s="109"/>
      <c r="C2043" s="109"/>
      <c r="D2043" s="109"/>
      <c r="E2043" s="109"/>
      <c r="F2043" s="109"/>
      <c r="G2043" s="109"/>
      <c r="H2043" s="109"/>
      <c r="I2043" s="109"/>
      <c r="J2043" s="109"/>
      <c r="K2043" s="109"/>
      <c r="L2043" s="109"/>
      <c r="M2043" s="109"/>
      <c r="N2043" s="109"/>
      <c r="O2043" s="109"/>
      <c r="P2043" s="109"/>
      <c r="Q2043" s="109"/>
      <c r="R2043" s="109"/>
      <c r="S2043" s="109"/>
      <c r="T2043" s="109"/>
      <c r="U2043" s="109"/>
    </row>
    <row r="2044" spans="1:21">
      <c r="A2044" s="109"/>
      <c r="B2044" s="109"/>
      <c r="C2044" s="109"/>
      <c r="D2044" s="109"/>
      <c r="E2044" s="109"/>
      <c r="F2044" s="109"/>
      <c r="G2044" s="109"/>
      <c r="H2044" s="109"/>
      <c r="I2044" s="109"/>
      <c r="J2044" s="109"/>
      <c r="K2044" s="109"/>
      <c r="L2044" s="109"/>
      <c r="M2044" s="109"/>
      <c r="N2044" s="109"/>
      <c r="O2044" s="109"/>
      <c r="P2044" s="109"/>
      <c r="Q2044" s="109"/>
      <c r="R2044" s="109"/>
      <c r="S2044" s="109"/>
      <c r="T2044" s="109"/>
      <c r="U2044" s="109"/>
    </row>
    <row r="2045" spans="1:21">
      <c r="A2045" s="109"/>
      <c r="B2045" s="109"/>
      <c r="C2045" s="109"/>
      <c r="D2045" s="109"/>
      <c r="E2045" s="109"/>
      <c r="F2045" s="109"/>
      <c r="G2045" s="109"/>
      <c r="H2045" s="109"/>
      <c r="I2045" s="109"/>
      <c r="J2045" s="109"/>
      <c r="K2045" s="109"/>
      <c r="L2045" s="109"/>
      <c r="M2045" s="109"/>
      <c r="N2045" s="109"/>
      <c r="O2045" s="109"/>
      <c r="P2045" s="109"/>
      <c r="Q2045" s="109"/>
      <c r="R2045" s="109"/>
      <c r="S2045" s="109"/>
      <c r="T2045" s="109"/>
      <c r="U2045" s="109"/>
    </row>
    <row r="2046" spans="1:21">
      <c r="A2046" s="109"/>
      <c r="B2046" s="109"/>
      <c r="C2046" s="109"/>
      <c r="D2046" s="109"/>
      <c r="E2046" s="109"/>
      <c r="F2046" s="109"/>
      <c r="G2046" s="109"/>
      <c r="H2046" s="109"/>
      <c r="I2046" s="109"/>
      <c r="J2046" s="109"/>
      <c r="K2046" s="109"/>
      <c r="L2046" s="109"/>
      <c r="M2046" s="109"/>
      <c r="N2046" s="109"/>
      <c r="O2046" s="109"/>
      <c r="P2046" s="109"/>
      <c r="Q2046" s="109"/>
      <c r="R2046" s="109"/>
      <c r="S2046" s="109"/>
      <c r="T2046" s="109"/>
      <c r="U2046" s="109"/>
    </row>
    <row r="2047" spans="1:21">
      <c r="A2047" s="109"/>
      <c r="B2047" s="109"/>
      <c r="C2047" s="109"/>
      <c r="D2047" s="109"/>
      <c r="E2047" s="109"/>
      <c r="F2047" s="109"/>
      <c r="G2047" s="109"/>
      <c r="H2047" s="109"/>
      <c r="I2047" s="109"/>
      <c r="J2047" s="109"/>
      <c r="K2047" s="109"/>
      <c r="L2047" s="109"/>
      <c r="M2047" s="109"/>
      <c r="N2047" s="109"/>
      <c r="O2047" s="109"/>
      <c r="P2047" s="109"/>
      <c r="Q2047" s="109"/>
      <c r="R2047" s="109"/>
      <c r="S2047" s="109"/>
      <c r="T2047" s="109"/>
      <c r="U2047" s="109"/>
    </row>
    <row r="2048" spans="1:21">
      <c r="A2048" s="109"/>
      <c r="B2048" s="109"/>
      <c r="C2048" s="109"/>
      <c r="D2048" s="109"/>
      <c r="E2048" s="109"/>
      <c r="F2048" s="109"/>
      <c r="G2048" s="109"/>
      <c r="H2048" s="109"/>
      <c r="I2048" s="109"/>
      <c r="J2048" s="109"/>
      <c r="K2048" s="109"/>
      <c r="L2048" s="109"/>
      <c r="M2048" s="109"/>
      <c r="N2048" s="109"/>
      <c r="O2048" s="109"/>
      <c r="P2048" s="109"/>
      <c r="Q2048" s="109"/>
      <c r="R2048" s="109"/>
      <c r="S2048" s="109"/>
      <c r="T2048" s="109"/>
      <c r="U2048" s="109"/>
    </row>
    <row r="2049" spans="1:21">
      <c r="A2049" s="109"/>
      <c r="B2049" s="109"/>
      <c r="C2049" s="109"/>
      <c r="D2049" s="109"/>
      <c r="E2049" s="109"/>
      <c r="F2049" s="109"/>
      <c r="G2049" s="109"/>
      <c r="H2049" s="109"/>
      <c r="I2049" s="109"/>
      <c r="J2049" s="109"/>
      <c r="K2049" s="109"/>
      <c r="L2049" s="109"/>
      <c r="M2049" s="109"/>
      <c r="N2049" s="109"/>
      <c r="O2049" s="109"/>
      <c r="P2049" s="109"/>
      <c r="Q2049" s="109"/>
      <c r="R2049" s="109"/>
      <c r="S2049" s="109"/>
      <c r="T2049" s="109"/>
      <c r="U2049" s="109"/>
    </row>
    <row r="2050" spans="1:21">
      <c r="A2050" s="109"/>
      <c r="B2050" s="109"/>
      <c r="C2050" s="109"/>
      <c r="D2050" s="109"/>
      <c r="E2050" s="109"/>
      <c r="F2050" s="109"/>
      <c r="G2050" s="109"/>
      <c r="H2050" s="109"/>
      <c r="I2050" s="109"/>
      <c r="J2050" s="109"/>
      <c r="K2050" s="109"/>
      <c r="L2050" s="109"/>
      <c r="M2050" s="109"/>
      <c r="N2050" s="109"/>
      <c r="O2050" s="109"/>
      <c r="P2050" s="109"/>
      <c r="Q2050" s="109"/>
      <c r="R2050" s="109"/>
      <c r="S2050" s="109"/>
      <c r="T2050" s="109"/>
      <c r="U2050" s="109"/>
    </row>
    <row r="2051" spans="1:21">
      <c r="A2051" s="109"/>
      <c r="B2051" s="109"/>
      <c r="C2051" s="109"/>
      <c r="D2051" s="109"/>
      <c r="E2051" s="109"/>
      <c r="F2051" s="109"/>
      <c r="G2051" s="109"/>
      <c r="H2051" s="109"/>
      <c r="I2051" s="109"/>
      <c r="J2051" s="109"/>
      <c r="K2051" s="109"/>
      <c r="L2051" s="109"/>
      <c r="M2051" s="109"/>
      <c r="N2051" s="109"/>
      <c r="O2051" s="109"/>
      <c r="P2051" s="109"/>
      <c r="Q2051" s="109"/>
      <c r="R2051" s="109"/>
      <c r="S2051" s="109"/>
      <c r="T2051" s="109"/>
      <c r="U2051" s="109"/>
    </row>
    <row r="2052" spans="1:21">
      <c r="A2052" s="109"/>
      <c r="B2052" s="109"/>
      <c r="C2052" s="109"/>
      <c r="D2052" s="109"/>
      <c r="E2052" s="109"/>
      <c r="F2052" s="109"/>
      <c r="G2052" s="109"/>
      <c r="H2052" s="109"/>
      <c r="I2052" s="109"/>
      <c r="J2052" s="109"/>
      <c r="K2052" s="109"/>
      <c r="L2052" s="109"/>
      <c r="M2052" s="109"/>
      <c r="N2052" s="109"/>
      <c r="O2052" s="109"/>
      <c r="P2052" s="109"/>
      <c r="Q2052" s="109"/>
      <c r="R2052" s="109"/>
      <c r="S2052" s="109"/>
      <c r="T2052" s="109"/>
      <c r="U2052" s="109"/>
    </row>
    <row r="2053" spans="1:21">
      <c r="A2053" s="109"/>
      <c r="B2053" s="109"/>
      <c r="C2053" s="109"/>
      <c r="D2053" s="109"/>
      <c r="E2053" s="109"/>
      <c r="F2053" s="109"/>
      <c r="G2053" s="109"/>
      <c r="H2053" s="109"/>
      <c r="I2053" s="109"/>
      <c r="J2053" s="109"/>
      <c r="K2053" s="109"/>
      <c r="L2053" s="109"/>
      <c r="M2053" s="109"/>
      <c r="N2053" s="109"/>
      <c r="O2053" s="109"/>
      <c r="P2053" s="109"/>
      <c r="Q2053" s="109"/>
      <c r="R2053" s="109"/>
      <c r="S2053" s="109"/>
      <c r="T2053" s="109"/>
      <c r="U2053" s="109"/>
    </row>
    <row r="2054" spans="1:21">
      <c r="A2054" s="109"/>
      <c r="B2054" s="109"/>
      <c r="C2054" s="109"/>
      <c r="D2054" s="109"/>
      <c r="E2054" s="109"/>
      <c r="F2054" s="109"/>
      <c r="G2054" s="109"/>
      <c r="H2054" s="109"/>
      <c r="I2054" s="109"/>
      <c r="J2054" s="109"/>
      <c r="K2054" s="109"/>
      <c r="L2054" s="109"/>
      <c r="M2054" s="109"/>
      <c r="N2054" s="109"/>
      <c r="O2054" s="109"/>
      <c r="P2054" s="109"/>
      <c r="Q2054" s="109"/>
      <c r="R2054" s="109"/>
      <c r="S2054" s="109"/>
      <c r="T2054" s="109"/>
      <c r="U2054" s="109"/>
    </row>
    <row r="2055" spans="1:21">
      <c r="A2055" s="109"/>
      <c r="B2055" s="109"/>
      <c r="C2055" s="109"/>
      <c r="D2055" s="109"/>
      <c r="E2055" s="109"/>
      <c r="F2055" s="109"/>
      <c r="G2055" s="109"/>
      <c r="H2055" s="109"/>
      <c r="I2055" s="109"/>
      <c r="J2055" s="109"/>
      <c r="K2055" s="109"/>
      <c r="L2055" s="109"/>
      <c r="M2055" s="109"/>
      <c r="N2055" s="109"/>
      <c r="O2055" s="109"/>
      <c r="P2055" s="109"/>
      <c r="Q2055" s="109"/>
      <c r="R2055" s="109"/>
      <c r="S2055" s="109"/>
      <c r="T2055" s="109"/>
      <c r="U2055" s="109"/>
    </row>
    <row r="2056" spans="1:21">
      <c r="A2056" s="109"/>
      <c r="B2056" s="109"/>
      <c r="C2056" s="109"/>
      <c r="D2056" s="109"/>
      <c r="E2056" s="109"/>
      <c r="F2056" s="109"/>
      <c r="G2056" s="109"/>
      <c r="H2056" s="109"/>
      <c r="I2056" s="109"/>
      <c r="J2056" s="109"/>
      <c r="K2056" s="109"/>
      <c r="L2056" s="109"/>
      <c r="M2056" s="109"/>
      <c r="N2056" s="109"/>
      <c r="O2056" s="109"/>
      <c r="P2056" s="109"/>
      <c r="Q2056" s="109"/>
      <c r="R2056" s="109"/>
      <c r="S2056" s="109"/>
      <c r="T2056" s="109"/>
      <c r="U2056" s="109"/>
    </row>
    <row r="2057" spans="1:21">
      <c r="A2057" s="109"/>
      <c r="B2057" s="109"/>
      <c r="C2057" s="109"/>
      <c r="D2057" s="109"/>
      <c r="E2057" s="109"/>
      <c r="F2057" s="109"/>
      <c r="G2057" s="109"/>
      <c r="H2057" s="109"/>
      <c r="I2057" s="109"/>
      <c r="J2057" s="109"/>
      <c r="K2057" s="109"/>
      <c r="L2057" s="109"/>
      <c r="M2057" s="109"/>
      <c r="N2057" s="109"/>
      <c r="O2057" s="109"/>
      <c r="P2057" s="109"/>
      <c r="Q2057" s="109"/>
      <c r="R2057" s="109"/>
      <c r="S2057" s="109"/>
      <c r="T2057" s="109"/>
      <c r="U2057" s="109"/>
    </row>
    <row r="2058" spans="1:21">
      <c r="A2058" s="109"/>
      <c r="B2058" s="109"/>
      <c r="C2058" s="109"/>
      <c r="D2058" s="109"/>
      <c r="E2058" s="109"/>
      <c r="F2058" s="109"/>
      <c r="G2058" s="109"/>
      <c r="H2058" s="109"/>
      <c r="I2058" s="109"/>
      <c r="J2058" s="109"/>
      <c r="K2058" s="109"/>
      <c r="L2058" s="109"/>
      <c r="M2058" s="109"/>
      <c r="N2058" s="109"/>
      <c r="O2058" s="109"/>
      <c r="P2058" s="109"/>
      <c r="Q2058" s="109"/>
      <c r="R2058" s="109"/>
      <c r="S2058" s="109"/>
      <c r="T2058" s="109"/>
      <c r="U2058" s="109"/>
    </row>
    <row r="2059" spans="1:21">
      <c r="A2059" s="109"/>
      <c r="B2059" s="109"/>
      <c r="C2059" s="109"/>
      <c r="D2059" s="109"/>
      <c r="E2059" s="109"/>
      <c r="F2059" s="109"/>
      <c r="G2059" s="109"/>
      <c r="H2059" s="109"/>
      <c r="I2059" s="109"/>
      <c r="J2059" s="109"/>
      <c r="K2059" s="109"/>
      <c r="L2059" s="109"/>
      <c r="M2059" s="109"/>
      <c r="N2059" s="109"/>
      <c r="O2059" s="109"/>
      <c r="P2059" s="109"/>
      <c r="Q2059" s="109"/>
      <c r="R2059" s="109"/>
      <c r="S2059" s="109"/>
      <c r="T2059" s="109"/>
      <c r="U2059" s="109"/>
    </row>
    <row r="2060" spans="1:21">
      <c r="A2060" s="109"/>
      <c r="B2060" s="109"/>
      <c r="C2060" s="109"/>
      <c r="D2060" s="109"/>
      <c r="E2060" s="109"/>
      <c r="F2060" s="109"/>
      <c r="G2060" s="109"/>
      <c r="H2060" s="109"/>
      <c r="I2060" s="109"/>
      <c r="J2060" s="109"/>
      <c r="K2060" s="109"/>
      <c r="L2060" s="109"/>
      <c r="M2060" s="109"/>
      <c r="N2060" s="109"/>
      <c r="O2060" s="109"/>
      <c r="P2060" s="109"/>
      <c r="Q2060" s="109"/>
      <c r="R2060" s="109"/>
      <c r="S2060" s="109"/>
      <c r="T2060" s="109"/>
      <c r="U2060" s="109"/>
    </row>
    <row r="2061" spans="1:21">
      <c r="A2061" s="109"/>
      <c r="B2061" s="109"/>
      <c r="C2061" s="109"/>
      <c r="D2061" s="109"/>
      <c r="E2061" s="109"/>
      <c r="F2061" s="109"/>
      <c r="G2061" s="109"/>
      <c r="H2061" s="109"/>
      <c r="I2061" s="109"/>
      <c r="J2061" s="109"/>
      <c r="K2061" s="109"/>
      <c r="L2061" s="109"/>
      <c r="M2061" s="109"/>
      <c r="N2061" s="109"/>
      <c r="O2061" s="109"/>
      <c r="P2061" s="109"/>
      <c r="Q2061" s="109"/>
      <c r="R2061" s="109"/>
      <c r="S2061" s="109"/>
      <c r="T2061" s="109"/>
      <c r="U2061" s="109"/>
    </row>
    <row r="2062" spans="1:21">
      <c r="A2062" s="109"/>
      <c r="B2062" s="109"/>
      <c r="C2062" s="109"/>
      <c r="D2062" s="109"/>
      <c r="E2062" s="109"/>
      <c r="F2062" s="109"/>
      <c r="G2062" s="109"/>
      <c r="H2062" s="109"/>
      <c r="I2062" s="109"/>
      <c r="J2062" s="109"/>
      <c r="K2062" s="109"/>
      <c r="L2062" s="109"/>
      <c r="M2062" s="109"/>
      <c r="N2062" s="109"/>
      <c r="O2062" s="109"/>
      <c r="P2062" s="109"/>
      <c r="Q2062" s="109"/>
      <c r="R2062" s="109"/>
      <c r="S2062" s="109"/>
      <c r="T2062" s="109"/>
      <c r="U2062" s="109"/>
    </row>
    <row r="2063" spans="1:21">
      <c r="A2063" s="109"/>
      <c r="B2063" s="109"/>
      <c r="C2063" s="109"/>
      <c r="D2063" s="109"/>
      <c r="E2063" s="109"/>
      <c r="F2063" s="109"/>
      <c r="G2063" s="109"/>
      <c r="H2063" s="109"/>
      <c r="I2063" s="109"/>
      <c r="J2063" s="109"/>
      <c r="K2063" s="109"/>
      <c r="L2063" s="109"/>
      <c r="M2063" s="109"/>
      <c r="N2063" s="109"/>
      <c r="O2063" s="109"/>
      <c r="P2063" s="109"/>
      <c r="Q2063" s="109"/>
      <c r="R2063" s="109"/>
      <c r="S2063" s="109"/>
      <c r="T2063" s="109"/>
      <c r="U2063" s="109"/>
    </row>
    <row r="2064" spans="1:21">
      <c r="A2064" s="109"/>
      <c r="B2064" s="109"/>
      <c r="C2064" s="109"/>
      <c r="D2064" s="109"/>
      <c r="E2064" s="109"/>
      <c r="F2064" s="109"/>
      <c r="G2064" s="109"/>
      <c r="H2064" s="109"/>
      <c r="I2064" s="109"/>
      <c r="J2064" s="109"/>
      <c r="K2064" s="109"/>
      <c r="L2064" s="109"/>
      <c r="M2064" s="109"/>
      <c r="N2064" s="109"/>
      <c r="O2064" s="109"/>
      <c r="P2064" s="109"/>
      <c r="Q2064" s="109"/>
      <c r="R2064" s="109"/>
      <c r="S2064" s="109"/>
      <c r="T2064" s="109"/>
      <c r="U2064" s="109"/>
    </row>
    <row r="2065" spans="1:21">
      <c r="A2065" s="109"/>
      <c r="B2065" s="109"/>
      <c r="C2065" s="109"/>
      <c r="D2065" s="109"/>
      <c r="E2065" s="109"/>
      <c r="F2065" s="109"/>
      <c r="G2065" s="109"/>
      <c r="H2065" s="109"/>
      <c r="I2065" s="109"/>
      <c r="J2065" s="109"/>
      <c r="K2065" s="109"/>
      <c r="L2065" s="109"/>
      <c r="M2065" s="109"/>
      <c r="N2065" s="109"/>
      <c r="O2065" s="109"/>
      <c r="P2065" s="109"/>
      <c r="Q2065" s="109"/>
      <c r="R2065" s="109"/>
      <c r="S2065" s="109"/>
      <c r="T2065" s="109"/>
      <c r="U2065" s="109"/>
    </row>
    <row r="2066" spans="1:21">
      <c r="A2066" s="109"/>
      <c r="B2066" s="109"/>
      <c r="C2066" s="109"/>
      <c r="D2066" s="109"/>
      <c r="E2066" s="109"/>
      <c r="F2066" s="109"/>
      <c r="G2066" s="109"/>
      <c r="H2066" s="109"/>
      <c r="I2066" s="109"/>
      <c r="J2066" s="109"/>
      <c r="K2066" s="109"/>
      <c r="L2066" s="109"/>
      <c r="M2066" s="109"/>
      <c r="N2066" s="109"/>
      <c r="O2066" s="109"/>
      <c r="P2066" s="109"/>
      <c r="Q2066" s="109"/>
      <c r="R2066" s="109"/>
      <c r="S2066" s="109"/>
      <c r="T2066" s="109"/>
      <c r="U2066" s="109"/>
    </row>
    <row r="2067" spans="1:21">
      <c r="A2067" s="109"/>
      <c r="B2067" s="109"/>
      <c r="C2067" s="109"/>
      <c r="D2067" s="109"/>
      <c r="E2067" s="109"/>
      <c r="F2067" s="109"/>
      <c r="G2067" s="109"/>
      <c r="H2067" s="109"/>
      <c r="I2067" s="109"/>
      <c r="J2067" s="109"/>
      <c r="K2067" s="109"/>
      <c r="L2067" s="109"/>
      <c r="M2067" s="109"/>
      <c r="N2067" s="109"/>
      <c r="O2067" s="109"/>
      <c r="P2067" s="109"/>
      <c r="Q2067" s="109"/>
      <c r="R2067" s="109"/>
      <c r="S2067" s="109"/>
      <c r="T2067" s="109"/>
      <c r="U2067" s="109"/>
    </row>
    <row r="2068" spans="1:21">
      <c r="A2068" s="109"/>
      <c r="B2068" s="109"/>
      <c r="C2068" s="109"/>
      <c r="D2068" s="109"/>
      <c r="E2068" s="109"/>
      <c r="F2068" s="109"/>
      <c r="G2068" s="109"/>
      <c r="H2068" s="109"/>
      <c r="I2068" s="109"/>
      <c r="J2068" s="109"/>
      <c r="K2068" s="109"/>
      <c r="L2068" s="109"/>
      <c r="M2068" s="109"/>
      <c r="N2068" s="109"/>
      <c r="O2068" s="109"/>
      <c r="P2068" s="109"/>
      <c r="Q2068" s="109"/>
      <c r="R2068" s="109"/>
      <c r="S2068" s="109"/>
      <c r="T2068" s="109"/>
      <c r="U2068" s="109"/>
    </row>
    <row r="2069" spans="1:21">
      <c r="A2069" s="109"/>
      <c r="B2069" s="109"/>
      <c r="C2069" s="109"/>
      <c r="D2069" s="109"/>
      <c r="E2069" s="109"/>
      <c r="F2069" s="109"/>
      <c r="G2069" s="109"/>
      <c r="H2069" s="109"/>
      <c r="I2069" s="109"/>
      <c r="J2069" s="109"/>
      <c r="K2069" s="109"/>
      <c r="L2069" s="109"/>
      <c r="M2069" s="109"/>
      <c r="N2069" s="109"/>
      <c r="O2069" s="109"/>
      <c r="P2069" s="109"/>
      <c r="Q2069" s="109"/>
      <c r="R2069" s="109"/>
      <c r="S2069" s="109"/>
      <c r="T2069" s="109"/>
      <c r="U2069" s="109"/>
    </row>
    <row r="2070" spans="1:21">
      <c r="A2070" s="109"/>
      <c r="B2070" s="109"/>
      <c r="C2070" s="109"/>
      <c r="D2070" s="109"/>
      <c r="E2070" s="109"/>
      <c r="F2070" s="109"/>
      <c r="G2070" s="109"/>
      <c r="H2070" s="109"/>
      <c r="I2070" s="109"/>
      <c r="J2070" s="109"/>
      <c r="K2070" s="109"/>
      <c r="L2070" s="109"/>
      <c r="M2070" s="109"/>
      <c r="N2070" s="109"/>
      <c r="O2070" s="109"/>
      <c r="P2070" s="109"/>
      <c r="Q2070" s="109"/>
      <c r="R2070" s="109"/>
      <c r="S2070" s="109"/>
      <c r="T2070" s="109"/>
      <c r="U2070" s="109"/>
    </row>
    <row r="2071" spans="1:21">
      <c r="A2071" s="109"/>
      <c r="B2071" s="109"/>
      <c r="C2071" s="109"/>
      <c r="D2071" s="109"/>
      <c r="E2071" s="109"/>
      <c r="F2071" s="109"/>
      <c r="G2071" s="109"/>
      <c r="H2071" s="109"/>
      <c r="I2071" s="109"/>
      <c r="J2071" s="109"/>
      <c r="K2071" s="109"/>
      <c r="L2071" s="109"/>
      <c r="M2071" s="109"/>
      <c r="N2071" s="109"/>
      <c r="O2071" s="109"/>
      <c r="P2071" s="109"/>
      <c r="Q2071" s="109"/>
      <c r="R2071" s="109"/>
      <c r="S2071" s="109"/>
      <c r="T2071" s="109"/>
      <c r="U2071" s="109"/>
    </row>
    <row r="2072" spans="1:21">
      <c r="A2072" s="109"/>
      <c r="B2072" s="109"/>
      <c r="C2072" s="109"/>
      <c r="D2072" s="109"/>
      <c r="E2072" s="109"/>
      <c r="F2072" s="109"/>
      <c r="G2072" s="109"/>
      <c r="H2072" s="109"/>
      <c r="I2072" s="109"/>
      <c r="J2072" s="109"/>
      <c r="K2072" s="109"/>
      <c r="L2072" s="109"/>
      <c r="M2072" s="109"/>
      <c r="N2072" s="109"/>
      <c r="O2072" s="109"/>
      <c r="P2072" s="109"/>
      <c r="Q2072" s="109"/>
      <c r="R2072" s="109"/>
      <c r="S2072" s="109"/>
      <c r="T2072" s="109"/>
      <c r="U2072" s="109"/>
    </row>
    <row r="2073" spans="1:21">
      <c r="A2073" s="109"/>
      <c r="B2073" s="109"/>
      <c r="C2073" s="109"/>
      <c r="D2073" s="109"/>
      <c r="E2073" s="109"/>
      <c r="F2073" s="109"/>
      <c r="G2073" s="109"/>
      <c r="H2073" s="109"/>
      <c r="I2073" s="109"/>
      <c r="J2073" s="109"/>
      <c r="K2073" s="109"/>
      <c r="L2073" s="109"/>
      <c r="M2073" s="109"/>
      <c r="N2073" s="109"/>
      <c r="O2073" s="109"/>
      <c r="P2073" s="109"/>
      <c r="Q2073" s="109"/>
      <c r="R2073" s="109"/>
      <c r="S2073" s="109"/>
      <c r="T2073" s="109"/>
      <c r="U2073" s="109"/>
    </row>
    <row r="2074" spans="1:21">
      <c r="A2074" s="109"/>
      <c r="B2074" s="109"/>
      <c r="C2074" s="109"/>
      <c r="D2074" s="109"/>
      <c r="E2074" s="109"/>
      <c r="F2074" s="109"/>
      <c r="G2074" s="109"/>
      <c r="H2074" s="109"/>
      <c r="I2074" s="109"/>
      <c r="J2074" s="109"/>
      <c r="K2074" s="109"/>
      <c r="L2074" s="109"/>
      <c r="M2074" s="109"/>
      <c r="N2074" s="109"/>
      <c r="O2074" s="109"/>
      <c r="P2074" s="109"/>
      <c r="Q2074" s="109"/>
      <c r="R2074" s="109"/>
      <c r="S2074" s="109"/>
      <c r="T2074" s="109"/>
      <c r="U2074" s="109"/>
    </row>
    <row r="2075" spans="1:21">
      <c r="A2075" s="109"/>
      <c r="B2075" s="109"/>
      <c r="C2075" s="109"/>
      <c r="D2075" s="109"/>
      <c r="E2075" s="109"/>
      <c r="F2075" s="109"/>
      <c r="G2075" s="109"/>
      <c r="H2075" s="109"/>
      <c r="I2075" s="109"/>
      <c r="J2075" s="109"/>
      <c r="K2075" s="109"/>
      <c r="L2075" s="109"/>
      <c r="M2075" s="109"/>
      <c r="N2075" s="109"/>
      <c r="O2075" s="109"/>
      <c r="P2075" s="109"/>
      <c r="Q2075" s="109"/>
      <c r="R2075" s="109"/>
      <c r="S2075" s="109"/>
      <c r="T2075" s="109"/>
      <c r="U2075" s="109"/>
    </row>
    <row r="2076" spans="1:21">
      <c r="A2076" s="109"/>
      <c r="B2076" s="109"/>
      <c r="C2076" s="109"/>
      <c r="D2076" s="109"/>
      <c r="E2076" s="109"/>
      <c r="F2076" s="109"/>
      <c r="G2076" s="109"/>
      <c r="H2076" s="109"/>
      <c r="I2076" s="109"/>
      <c r="J2076" s="109"/>
      <c r="K2076" s="109"/>
      <c r="L2076" s="109"/>
      <c r="M2076" s="109"/>
      <c r="N2076" s="109"/>
      <c r="O2076" s="109"/>
      <c r="P2076" s="109"/>
      <c r="Q2076" s="109"/>
      <c r="R2076" s="109"/>
      <c r="S2076" s="109"/>
      <c r="T2076" s="109"/>
      <c r="U2076" s="109"/>
    </row>
    <row r="2077" spans="1:21">
      <c r="A2077" s="109"/>
      <c r="B2077" s="109"/>
      <c r="C2077" s="109"/>
      <c r="D2077" s="109"/>
      <c r="E2077" s="109"/>
      <c r="F2077" s="109"/>
      <c r="G2077" s="109"/>
      <c r="H2077" s="109"/>
      <c r="I2077" s="109"/>
      <c r="J2077" s="109"/>
      <c r="K2077" s="109"/>
      <c r="L2077" s="109"/>
      <c r="M2077" s="109"/>
      <c r="N2077" s="109"/>
      <c r="O2077" s="109"/>
      <c r="P2077" s="109"/>
      <c r="Q2077" s="109"/>
      <c r="R2077" s="109"/>
      <c r="S2077" s="109"/>
      <c r="T2077" s="109"/>
      <c r="U2077" s="109"/>
    </row>
    <row r="2078" spans="1:21">
      <c r="A2078" s="109"/>
      <c r="B2078" s="109"/>
      <c r="C2078" s="109"/>
      <c r="D2078" s="109"/>
      <c r="E2078" s="109"/>
      <c r="F2078" s="109"/>
      <c r="G2078" s="109"/>
      <c r="H2078" s="109"/>
      <c r="I2078" s="109"/>
      <c r="J2078" s="109"/>
      <c r="K2078" s="109"/>
      <c r="L2078" s="109"/>
      <c r="M2078" s="109"/>
      <c r="N2078" s="109"/>
      <c r="O2078" s="109"/>
      <c r="P2078" s="109"/>
      <c r="Q2078" s="109"/>
      <c r="R2078" s="109"/>
      <c r="S2078" s="109"/>
      <c r="T2078" s="109"/>
      <c r="U2078" s="109"/>
    </row>
    <row r="2079" spans="1:21">
      <c r="A2079" s="109"/>
      <c r="B2079" s="109"/>
      <c r="C2079" s="109"/>
      <c r="D2079" s="109"/>
      <c r="E2079" s="109"/>
      <c r="F2079" s="109"/>
      <c r="G2079" s="109"/>
      <c r="H2079" s="109"/>
      <c r="I2079" s="109"/>
      <c r="J2079" s="109"/>
      <c r="K2079" s="109"/>
      <c r="L2079" s="109"/>
      <c r="M2079" s="109"/>
      <c r="N2079" s="109"/>
      <c r="O2079" s="109"/>
      <c r="P2079" s="109"/>
      <c r="Q2079" s="109"/>
      <c r="R2079" s="109"/>
      <c r="S2079" s="109"/>
      <c r="T2079" s="109"/>
      <c r="U2079" s="109"/>
    </row>
    <row r="2080" spans="1:21">
      <c r="A2080" s="109"/>
      <c r="B2080" s="109"/>
      <c r="C2080" s="109"/>
      <c r="D2080" s="109"/>
      <c r="E2080" s="109"/>
      <c r="F2080" s="109"/>
      <c r="G2080" s="109"/>
      <c r="H2080" s="109"/>
      <c r="I2080" s="109"/>
      <c r="J2080" s="109"/>
      <c r="K2080" s="109"/>
      <c r="L2080" s="109"/>
      <c r="M2080" s="109"/>
      <c r="N2080" s="109"/>
      <c r="O2080" s="109"/>
      <c r="P2080" s="109"/>
      <c r="Q2080" s="109"/>
      <c r="R2080" s="109"/>
      <c r="S2080" s="109"/>
      <c r="T2080" s="109"/>
      <c r="U2080" s="109"/>
    </row>
    <row r="2081" spans="1:21">
      <c r="A2081" s="109"/>
      <c r="B2081" s="109"/>
      <c r="C2081" s="109"/>
      <c r="D2081" s="109"/>
      <c r="E2081" s="109"/>
      <c r="F2081" s="109"/>
      <c r="G2081" s="109"/>
      <c r="H2081" s="109"/>
      <c r="I2081" s="109"/>
      <c r="J2081" s="109"/>
      <c r="K2081" s="109"/>
      <c r="L2081" s="109"/>
      <c r="M2081" s="109"/>
      <c r="N2081" s="109"/>
      <c r="O2081" s="109"/>
      <c r="P2081" s="109"/>
      <c r="Q2081" s="109"/>
      <c r="R2081" s="109"/>
      <c r="S2081" s="109"/>
      <c r="T2081" s="109"/>
      <c r="U2081" s="109"/>
    </row>
    <row r="2082" spans="1:21">
      <c r="A2082" s="109"/>
      <c r="B2082" s="109"/>
      <c r="C2082" s="109"/>
      <c r="D2082" s="109"/>
      <c r="E2082" s="109"/>
      <c r="F2082" s="109"/>
      <c r="G2082" s="109"/>
      <c r="H2082" s="109"/>
      <c r="I2082" s="109"/>
      <c r="J2082" s="109"/>
      <c r="K2082" s="109"/>
      <c r="L2082" s="109"/>
      <c r="M2082" s="109"/>
      <c r="N2082" s="109"/>
      <c r="O2082" s="109"/>
      <c r="P2082" s="109"/>
      <c r="Q2082" s="109"/>
      <c r="R2082" s="109"/>
      <c r="S2082" s="109"/>
      <c r="T2082" s="109"/>
      <c r="U2082" s="109"/>
    </row>
    <row r="2083" spans="1:21">
      <c r="A2083" s="109"/>
      <c r="B2083" s="109"/>
      <c r="C2083" s="109"/>
      <c r="D2083" s="109"/>
      <c r="E2083" s="109"/>
      <c r="F2083" s="109"/>
      <c r="G2083" s="109"/>
      <c r="H2083" s="109"/>
      <c r="I2083" s="109"/>
      <c r="J2083" s="109"/>
      <c r="K2083" s="109"/>
      <c r="L2083" s="109"/>
      <c r="M2083" s="109"/>
      <c r="N2083" s="109"/>
      <c r="O2083" s="109"/>
      <c r="P2083" s="109"/>
      <c r="Q2083" s="109"/>
      <c r="R2083" s="109"/>
      <c r="S2083" s="109"/>
      <c r="T2083" s="109"/>
      <c r="U2083" s="109"/>
    </row>
    <row r="2084" spans="1:21">
      <c r="A2084" s="109"/>
      <c r="B2084" s="109"/>
      <c r="C2084" s="109"/>
      <c r="D2084" s="109"/>
      <c r="E2084" s="109"/>
      <c r="F2084" s="109"/>
      <c r="G2084" s="109"/>
      <c r="H2084" s="109"/>
      <c r="I2084" s="109"/>
      <c r="J2084" s="109"/>
      <c r="K2084" s="109"/>
      <c r="L2084" s="109"/>
      <c r="M2084" s="109"/>
      <c r="N2084" s="109"/>
      <c r="O2084" s="109"/>
      <c r="P2084" s="109"/>
      <c r="Q2084" s="109"/>
      <c r="R2084" s="109"/>
      <c r="S2084" s="109"/>
      <c r="T2084" s="109"/>
      <c r="U2084" s="109"/>
    </row>
    <row r="2085" spans="1:21">
      <c r="A2085" s="109"/>
      <c r="B2085" s="109"/>
      <c r="C2085" s="109"/>
      <c r="D2085" s="109"/>
      <c r="E2085" s="109"/>
      <c r="F2085" s="109"/>
      <c r="G2085" s="109"/>
      <c r="H2085" s="109"/>
      <c r="I2085" s="109"/>
      <c r="J2085" s="109"/>
      <c r="K2085" s="109"/>
      <c r="L2085" s="109"/>
      <c r="M2085" s="109"/>
      <c r="N2085" s="109"/>
      <c r="O2085" s="109"/>
      <c r="P2085" s="109"/>
      <c r="Q2085" s="109"/>
      <c r="R2085" s="109"/>
      <c r="S2085" s="109"/>
      <c r="T2085" s="109"/>
      <c r="U2085" s="109"/>
    </row>
    <row r="2086" spans="1:21">
      <c r="A2086" s="109"/>
      <c r="B2086" s="109"/>
      <c r="C2086" s="109"/>
      <c r="D2086" s="109"/>
      <c r="E2086" s="109"/>
      <c r="F2086" s="109"/>
      <c r="G2086" s="109"/>
      <c r="H2086" s="109"/>
      <c r="I2086" s="109"/>
      <c r="J2086" s="109"/>
      <c r="K2086" s="109"/>
      <c r="L2086" s="109"/>
      <c r="M2086" s="109"/>
      <c r="N2086" s="109"/>
      <c r="O2086" s="109"/>
      <c r="P2086" s="109"/>
      <c r="Q2086" s="109"/>
      <c r="R2086" s="109"/>
      <c r="S2086" s="109"/>
      <c r="T2086" s="109"/>
      <c r="U2086" s="109"/>
    </row>
    <row r="2087" spans="1:21">
      <c r="A2087" s="109"/>
      <c r="B2087" s="109"/>
      <c r="C2087" s="109"/>
      <c r="D2087" s="109"/>
      <c r="E2087" s="109"/>
      <c r="F2087" s="109"/>
      <c r="G2087" s="109"/>
      <c r="H2087" s="109"/>
      <c r="I2087" s="109"/>
      <c r="J2087" s="109"/>
      <c r="K2087" s="109"/>
      <c r="L2087" s="109"/>
      <c r="M2087" s="109"/>
      <c r="N2087" s="109"/>
      <c r="O2087" s="109"/>
      <c r="P2087" s="109"/>
      <c r="Q2087" s="109"/>
      <c r="R2087" s="109"/>
      <c r="S2087" s="109"/>
      <c r="T2087" s="109"/>
      <c r="U2087" s="109"/>
    </row>
    <row r="2088" spans="1:21">
      <c r="A2088" s="109"/>
      <c r="B2088" s="109"/>
      <c r="C2088" s="109"/>
      <c r="D2088" s="109"/>
      <c r="E2088" s="109"/>
      <c r="F2088" s="109"/>
      <c r="G2088" s="109"/>
      <c r="H2088" s="109"/>
      <c r="I2088" s="109"/>
      <c r="J2088" s="109"/>
      <c r="K2088" s="109"/>
      <c r="L2088" s="109"/>
      <c r="M2088" s="109"/>
      <c r="N2088" s="109"/>
      <c r="O2088" s="109"/>
      <c r="P2088" s="109"/>
      <c r="Q2088" s="109"/>
      <c r="R2088" s="109"/>
      <c r="S2088" s="109"/>
      <c r="T2088" s="109"/>
      <c r="U2088" s="109"/>
    </row>
    <row r="2089" spans="1:21">
      <c r="A2089" s="109"/>
      <c r="B2089" s="109"/>
      <c r="C2089" s="109"/>
      <c r="D2089" s="109"/>
      <c r="E2089" s="109"/>
      <c r="F2089" s="109"/>
      <c r="G2089" s="109"/>
      <c r="H2089" s="109"/>
      <c r="I2089" s="109"/>
      <c r="J2089" s="109"/>
      <c r="K2089" s="109"/>
      <c r="L2089" s="109"/>
      <c r="M2089" s="109"/>
      <c r="N2089" s="109"/>
      <c r="O2089" s="109"/>
      <c r="P2089" s="109"/>
      <c r="Q2089" s="109"/>
      <c r="R2089" s="109"/>
      <c r="S2089" s="109"/>
      <c r="T2089" s="109"/>
      <c r="U2089" s="109"/>
    </row>
    <row r="2090" spans="1:21">
      <c r="A2090" s="109"/>
      <c r="B2090" s="109"/>
      <c r="C2090" s="109"/>
      <c r="D2090" s="109"/>
      <c r="E2090" s="109"/>
      <c r="F2090" s="109"/>
      <c r="G2090" s="109"/>
      <c r="H2090" s="109"/>
      <c r="I2090" s="109"/>
      <c r="J2090" s="109"/>
      <c r="K2090" s="109"/>
      <c r="L2090" s="109"/>
      <c r="M2090" s="109"/>
      <c r="N2090" s="109"/>
      <c r="O2090" s="109"/>
      <c r="P2090" s="109"/>
      <c r="Q2090" s="109"/>
      <c r="R2090" s="109"/>
      <c r="S2090" s="109"/>
      <c r="T2090" s="109"/>
      <c r="U2090" s="109"/>
    </row>
    <row r="2091" spans="1:21">
      <c r="A2091" s="109"/>
      <c r="B2091" s="109"/>
      <c r="C2091" s="109"/>
      <c r="D2091" s="109"/>
      <c r="E2091" s="109"/>
      <c r="F2091" s="109"/>
      <c r="G2091" s="109"/>
      <c r="H2091" s="109"/>
      <c r="I2091" s="109"/>
      <c r="J2091" s="109"/>
      <c r="K2091" s="109"/>
      <c r="L2091" s="109"/>
      <c r="M2091" s="109"/>
      <c r="N2091" s="109"/>
      <c r="O2091" s="109"/>
      <c r="P2091" s="109"/>
      <c r="Q2091" s="109"/>
      <c r="R2091" s="109"/>
      <c r="S2091" s="109"/>
      <c r="T2091" s="109"/>
      <c r="U2091" s="109"/>
    </row>
    <row r="2092" spans="1:21">
      <c r="A2092" s="109"/>
      <c r="B2092" s="109"/>
      <c r="C2092" s="109"/>
      <c r="D2092" s="109"/>
      <c r="E2092" s="109"/>
      <c r="F2092" s="109"/>
      <c r="G2092" s="109"/>
      <c r="H2092" s="109"/>
      <c r="I2092" s="109"/>
      <c r="J2092" s="109"/>
      <c r="K2092" s="109"/>
      <c r="L2092" s="109"/>
      <c r="M2092" s="109"/>
      <c r="N2092" s="109"/>
      <c r="O2092" s="109"/>
      <c r="P2092" s="109"/>
      <c r="Q2092" s="109"/>
      <c r="R2092" s="109"/>
      <c r="S2092" s="109"/>
      <c r="T2092" s="109"/>
      <c r="U2092" s="109"/>
    </row>
    <row r="2093" spans="1:21">
      <c r="A2093" s="109"/>
      <c r="B2093" s="109"/>
      <c r="C2093" s="109"/>
      <c r="D2093" s="109"/>
      <c r="E2093" s="109"/>
      <c r="F2093" s="109"/>
      <c r="G2093" s="109"/>
      <c r="H2093" s="109"/>
      <c r="I2093" s="109"/>
      <c r="J2093" s="109"/>
      <c r="K2093" s="109"/>
      <c r="L2093" s="109"/>
      <c r="M2093" s="109"/>
      <c r="N2093" s="109"/>
      <c r="O2093" s="109"/>
      <c r="P2093" s="109"/>
      <c r="Q2093" s="109"/>
      <c r="R2093" s="109"/>
      <c r="S2093" s="109"/>
      <c r="T2093" s="109"/>
      <c r="U2093" s="109"/>
    </row>
    <row r="2094" spans="1:21">
      <c r="A2094" s="109"/>
      <c r="B2094" s="109"/>
      <c r="C2094" s="109"/>
      <c r="D2094" s="109"/>
      <c r="E2094" s="109"/>
      <c r="F2094" s="109"/>
      <c r="G2094" s="109"/>
      <c r="H2094" s="109"/>
      <c r="I2094" s="109"/>
      <c r="J2094" s="109"/>
      <c r="K2094" s="109"/>
      <c r="L2094" s="109"/>
      <c r="M2094" s="109"/>
      <c r="N2094" s="109"/>
      <c r="O2094" s="109"/>
      <c r="P2094" s="109"/>
      <c r="Q2094" s="109"/>
      <c r="R2094" s="109"/>
      <c r="S2094" s="109"/>
      <c r="T2094" s="109"/>
      <c r="U2094" s="109"/>
    </row>
    <row r="2095" spans="1:21">
      <c r="A2095" s="109"/>
      <c r="B2095" s="109"/>
      <c r="C2095" s="109"/>
      <c r="D2095" s="109"/>
      <c r="E2095" s="109"/>
      <c r="F2095" s="109"/>
      <c r="G2095" s="109"/>
      <c r="H2095" s="109"/>
      <c r="I2095" s="109"/>
      <c r="J2095" s="109"/>
      <c r="K2095" s="109"/>
      <c r="L2095" s="109"/>
      <c r="M2095" s="109"/>
      <c r="N2095" s="109"/>
      <c r="O2095" s="109"/>
      <c r="P2095" s="109"/>
      <c r="Q2095" s="109"/>
      <c r="R2095" s="109"/>
      <c r="S2095" s="109"/>
      <c r="T2095" s="109"/>
      <c r="U2095" s="109"/>
    </row>
    <row r="2096" spans="1:21">
      <c r="A2096" s="109"/>
      <c r="B2096" s="109"/>
      <c r="C2096" s="109"/>
      <c r="D2096" s="109"/>
      <c r="E2096" s="109"/>
      <c r="F2096" s="109"/>
      <c r="G2096" s="109"/>
      <c r="H2096" s="109"/>
      <c r="I2096" s="109"/>
      <c r="J2096" s="109"/>
      <c r="K2096" s="109"/>
      <c r="L2096" s="109"/>
      <c r="M2096" s="109"/>
      <c r="N2096" s="109"/>
      <c r="O2096" s="109"/>
      <c r="P2096" s="109"/>
      <c r="Q2096" s="109"/>
      <c r="R2096" s="109"/>
      <c r="S2096" s="109"/>
      <c r="T2096" s="109"/>
      <c r="U2096" s="109"/>
    </row>
    <row r="2097" spans="1:21">
      <c r="A2097" s="109"/>
      <c r="B2097" s="109"/>
      <c r="C2097" s="109"/>
      <c r="D2097" s="109"/>
      <c r="E2097" s="109"/>
      <c r="F2097" s="109"/>
      <c r="G2097" s="109"/>
      <c r="H2097" s="109"/>
      <c r="I2097" s="109"/>
      <c r="J2097" s="109"/>
      <c r="K2097" s="109"/>
      <c r="L2097" s="109"/>
      <c r="M2097" s="109"/>
      <c r="N2097" s="109"/>
      <c r="O2097" s="109"/>
      <c r="P2097" s="109"/>
      <c r="Q2097" s="109"/>
      <c r="R2097" s="109"/>
      <c r="S2097" s="109"/>
      <c r="T2097" s="109"/>
      <c r="U2097" s="109"/>
    </row>
    <row r="2098" spans="1:21">
      <c r="A2098" s="109"/>
      <c r="B2098" s="109"/>
      <c r="C2098" s="109"/>
      <c r="D2098" s="109"/>
      <c r="E2098" s="109"/>
      <c r="F2098" s="109"/>
      <c r="G2098" s="109"/>
      <c r="H2098" s="109"/>
      <c r="I2098" s="109"/>
      <c r="J2098" s="109"/>
      <c r="K2098" s="109"/>
      <c r="L2098" s="109"/>
      <c r="M2098" s="109"/>
      <c r="N2098" s="109"/>
      <c r="O2098" s="109"/>
      <c r="P2098" s="109"/>
      <c r="Q2098" s="109"/>
      <c r="R2098" s="109"/>
      <c r="S2098" s="109"/>
      <c r="T2098" s="109"/>
      <c r="U2098" s="109"/>
    </row>
    <row r="2099" spans="1:21">
      <c r="A2099" s="109"/>
      <c r="B2099" s="109"/>
      <c r="C2099" s="109"/>
      <c r="D2099" s="109"/>
      <c r="E2099" s="109"/>
      <c r="F2099" s="109"/>
      <c r="G2099" s="109"/>
      <c r="H2099" s="109"/>
      <c r="I2099" s="109"/>
      <c r="J2099" s="109"/>
      <c r="K2099" s="109"/>
      <c r="L2099" s="109"/>
      <c r="M2099" s="109"/>
      <c r="N2099" s="109"/>
      <c r="O2099" s="109"/>
      <c r="P2099" s="109"/>
      <c r="Q2099" s="109"/>
      <c r="R2099" s="109"/>
      <c r="S2099" s="109"/>
      <c r="T2099" s="109"/>
      <c r="U2099" s="109"/>
    </row>
    <row r="2100" spans="1:21">
      <c r="A2100" s="109"/>
      <c r="B2100" s="109"/>
      <c r="C2100" s="109"/>
      <c r="D2100" s="109"/>
      <c r="E2100" s="109"/>
      <c r="F2100" s="109"/>
      <c r="G2100" s="109"/>
      <c r="H2100" s="109"/>
      <c r="I2100" s="109"/>
      <c r="J2100" s="109"/>
      <c r="K2100" s="109"/>
      <c r="L2100" s="109"/>
      <c r="M2100" s="109"/>
      <c r="N2100" s="109"/>
      <c r="O2100" s="109"/>
      <c r="P2100" s="109"/>
      <c r="Q2100" s="109"/>
      <c r="R2100" s="109"/>
      <c r="S2100" s="109"/>
      <c r="T2100" s="109"/>
      <c r="U2100" s="109"/>
    </row>
    <row r="2101" spans="1:21">
      <c r="A2101" s="109"/>
      <c r="B2101" s="109"/>
      <c r="C2101" s="109"/>
      <c r="D2101" s="109"/>
      <c r="E2101" s="109"/>
      <c r="F2101" s="109"/>
      <c r="G2101" s="109"/>
      <c r="H2101" s="109"/>
      <c r="I2101" s="109"/>
      <c r="J2101" s="109"/>
      <c r="K2101" s="109"/>
      <c r="L2101" s="109"/>
      <c r="M2101" s="109"/>
      <c r="N2101" s="109"/>
      <c r="O2101" s="109"/>
      <c r="P2101" s="109"/>
      <c r="Q2101" s="109"/>
      <c r="R2101" s="109"/>
      <c r="S2101" s="109"/>
      <c r="T2101" s="109"/>
      <c r="U2101" s="109"/>
    </row>
    <row r="2102" spans="1:21">
      <c r="A2102" s="109"/>
      <c r="B2102" s="109"/>
      <c r="C2102" s="109"/>
      <c r="D2102" s="109"/>
      <c r="E2102" s="109"/>
      <c r="F2102" s="109"/>
      <c r="G2102" s="109"/>
      <c r="H2102" s="109"/>
      <c r="I2102" s="109"/>
      <c r="J2102" s="109"/>
      <c r="K2102" s="109"/>
      <c r="L2102" s="109"/>
      <c r="M2102" s="109"/>
      <c r="N2102" s="109"/>
      <c r="O2102" s="109"/>
      <c r="P2102" s="109"/>
      <c r="Q2102" s="109"/>
      <c r="R2102" s="109"/>
      <c r="S2102" s="109"/>
      <c r="T2102" s="109"/>
      <c r="U2102" s="109"/>
    </row>
    <row r="2103" spans="1:21">
      <c r="A2103" s="109"/>
      <c r="B2103" s="109"/>
      <c r="C2103" s="109"/>
      <c r="D2103" s="109"/>
      <c r="E2103" s="109"/>
      <c r="F2103" s="109"/>
      <c r="G2103" s="109"/>
      <c r="H2103" s="109"/>
      <c r="I2103" s="109"/>
      <c r="J2103" s="109"/>
      <c r="K2103" s="109"/>
      <c r="L2103" s="109"/>
      <c r="M2103" s="109"/>
      <c r="N2103" s="109"/>
      <c r="O2103" s="109"/>
      <c r="P2103" s="109"/>
      <c r="Q2103" s="109"/>
      <c r="R2103" s="109"/>
      <c r="S2103" s="109"/>
      <c r="T2103" s="109"/>
      <c r="U2103" s="109"/>
    </row>
    <row r="2104" spans="1:21">
      <c r="A2104" s="109"/>
      <c r="B2104" s="109"/>
      <c r="C2104" s="109"/>
      <c r="D2104" s="109"/>
      <c r="E2104" s="109"/>
      <c r="F2104" s="109"/>
      <c r="G2104" s="109"/>
      <c r="H2104" s="109"/>
      <c r="I2104" s="109"/>
      <c r="J2104" s="109"/>
      <c r="K2104" s="109"/>
      <c r="L2104" s="109"/>
      <c r="M2104" s="109"/>
      <c r="N2104" s="109"/>
      <c r="O2104" s="109"/>
      <c r="P2104" s="109"/>
      <c r="Q2104" s="109"/>
      <c r="R2104" s="109"/>
      <c r="S2104" s="109"/>
      <c r="T2104" s="109"/>
      <c r="U2104" s="109"/>
    </row>
    <row r="2105" spans="1:21">
      <c r="A2105" s="109"/>
      <c r="B2105" s="109"/>
      <c r="C2105" s="109"/>
      <c r="D2105" s="109"/>
      <c r="E2105" s="109"/>
      <c r="F2105" s="109"/>
      <c r="G2105" s="109"/>
      <c r="H2105" s="109"/>
      <c r="I2105" s="109"/>
      <c r="J2105" s="109"/>
      <c r="K2105" s="109"/>
      <c r="L2105" s="109"/>
      <c r="M2105" s="109"/>
      <c r="N2105" s="109"/>
      <c r="O2105" s="109"/>
      <c r="P2105" s="109"/>
      <c r="Q2105" s="109"/>
      <c r="R2105" s="109"/>
      <c r="S2105" s="109"/>
      <c r="T2105" s="109"/>
      <c r="U2105" s="109"/>
    </row>
    <row r="2106" spans="1:21">
      <c r="A2106" s="109"/>
      <c r="B2106" s="109"/>
      <c r="C2106" s="109"/>
      <c r="D2106" s="109"/>
      <c r="E2106" s="109"/>
      <c r="F2106" s="109"/>
      <c r="G2106" s="109"/>
      <c r="H2106" s="109"/>
      <c r="I2106" s="109"/>
      <c r="J2106" s="109"/>
      <c r="K2106" s="109"/>
      <c r="L2106" s="109"/>
      <c r="M2106" s="109"/>
      <c r="N2106" s="109"/>
      <c r="O2106" s="109"/>
      <c r="P2106" s="109"/>
      <c r="Q2106" s="109"/>
      <c r="R2106" s="109"/>
      <c r="S2106" s="109"/>
      <c r="T2106" s="109"/>
      <c r="U2106" s="109"/>
    </row>
    <row r="2107" spans="1:21">
      <c r="A2107" s="109"/>
      <c r="B2107" s="109"/>
      <c r="C2107" s="109"/>
      <c r="D2107" s="109"/>
      <c r="E2107" s="109"/>
      <c r="F2107" s="109"/>
      <c r="G2107" s="109"/>
      <c r="H2107" s="109"/>
      <c r="I2107" s="109"/>
      <c r="J2107" s="109"/>
      <c r="K2107" s="109"/>
      <c r="L2107" s="109"/>
      <c r="M2107" s="109"/>
      <c r="N2107" s="109"/>
      <c r="O2107" s="109"/>
      <c r="P2107" s="109"/>
      <c r="Q2107" s="109"/>
      <c r="R2107" s="109"/>
      <c r="S2107" s="109"/>
      <c r="T2107" s="109"/>
      <c r="U2107" s="109"/>
    </row>
    <row r="2108" spans="1:21">
      <c r="A2108" s="109"/>
      <c r="B2108" s="109"/>
      <c r="C2108" s="109"/>
      <c r="D2108" s="109"/>
      <c r="E2108" s="109"/>
      <c r="F2108" s="109"/>
      <c r="G2108" s="109"/>
      <c r="H2108" s="109"/>
      <c r="I2108" s="109"/>
      <c r="J2108" s="109"/>
      <c r="K2108" s="109"/>
      <c r="L2108" s="109"/>
      <c r="M2108" s="109"/>
      <c r="N2108" s="109"/>
      <c r="O2108" s="109"/>
      <c r="P2108" s="109"/>
      <c r="Q2108" s="109"/>
      <c r="R2108" s="109"/>
      <c r="S2108" s="109"/>
      <c r="T2108" s="109"/>
      <c r="U2108" s="109"/>
    </row>
    <row r="2109" spans="1:21">
      <c r="A2109" s="109"/>
      <c r="B2109" s="109"/>
      <c r="C2109" s="109"/>
      <c r="D2109" s="109"/>
      <c r="E2109" s="109"/>
      <c r="F2109" s="109"/>
      <c r="G2109" s="109"/>
      <c r="H2109" s="109"/>
      <c r="I2109" s="109"/>
      <c r="J2109" s="109"/>
      <c r="K2109" s="109"/>
      <c r="L2109" s="109"/>
      <c r="M2109" s="109"/>
      <c r="N2109" s="109"/>
      <c r="O2109" s="109"/>
      <c r="P2109" s="109"/>
      <c r="Q2109" s="109"/>
      <c r="R2109" s="109"/>
      <c r="S2109" s="109"/>
      <c r="T2109" s="109"/>
      <c r="U2109" s="109"/>
    </row>
    <row r="2110" spans="1:21">
      <c r="A2110" s="109"/>
      <c r="B2110" s="109"/>
      <c r="C2110" s="109"/>
      <c r="D2110" s="109"/>
      <c r="E2110" s="109"/>
      <c r="F2110" s="109"/>
      <c r="G2110" s="109"/>
      <c r="H2110" s="109"/>
      <c r="I2110" s="109"/>
      <c r="J2110" s="109"/>
      <c r="K2110" s="109"/>
      <c r="L2110" s="109"/>
      <c r="M2110" s="109"/>
      <c r="N2110" s="109"/>
      <c r="O2110" s="109"/>
      <c r="P2110" s="109"/>
      <c r="Q2110" s="109"/>
      <c r="R2110" s="109"/>
      <c r="S2110" s="109"/>
      <c r="T2110" s="109"/>
      <c r="U2110" s="109"/>
    </row>
    <row r="2111" spans="1:21">
      <c r="A2111" s="109"/>
      <c r="B2111" s="109"/>
      <c r="C2111" s="109"/>
      <c r="D2111" s="109"/>
      <c r="E2111" s="109"/>
      <c r="F2111" s="109"/>
      <c r="G2111" s="109"/>
      <c r="H2111" s="109"/>
      <c r="I2111" s="109"/>
      <c r="J2111" s="109"/>
      <c r="K2111" s="109"/>
      <c r="L2111" s="109"/>
      <c r="M2111" s="109"/>
      <c r="N2111" s="109"/>
      <c r="O2111" s="109"/>
      <c r="P2111" s="109"/>
      <c r="Q2111" s="109"/>
      <c r="R2111" s="109"/>
      <c r="S2111" s="109"/>
      <c r="T2111" s="109"/>
      <c r="U2111" s="109"/>
    </row>
    <row r="2112" spans="1:21">
      <c r="A2112" s="109"/>
      <c r="B2112" s="109"/>
      <c r="C2112" s="109"/>
      <c r="D2112" s="109"/>
      <c r="E2112" s="109"/>
      <c r="F2112" s="109"/>
      <c r="G2112" s="109"/>
      <c r="H2112" s="109"/>
      <c r="I2112" s="109"/>
      <c r="J2112" s="109"/>
      <c r="K2112" s="109"/>
      <c r="L2112" s="109"/>
      <c r="M2112" s="109"/>
      <c r="N2112" s="109"/>
      <c r="O2112" s="109"/>
      <c r="P2112" s="109"/>
      <c r="Q2112" s="109"/>
      <c r="R2112" s="109"/>
      <c r="S2112" s="109"/>
      <c r="T2112" s="109"/>
      <c r="U2112" s="109"/>
    </row>
    <row r="2113" spans="1:21">
      <c r="A2113" s="109"/>
      <c r="B2113" s="109"/>
      <c r="C2113" s="109"/>
      <c r="D2113" s="109"/>
      <c r="E2113" s="109"/>
      <c r="F2113" s="109"/>
      <c r="G2113" s="109"/>
      <c r="H2113" s="109"/>
      <c r="I2113" s="109"/>
      <c r="J2113" s="109"/>
      <c r="K2113" s="109"/>
      <c r="L2113" s="109"/>
      <c r="M2113" s="109"/>
      <c r="N2113" s="109"/>
      <c r="O2113" s="109"/>
      <c r="P2113" s="109"/>
      <c r="Q2113" s="109"/>
      <c r="R2113" s="109"/>
      <c r="S2113" s="109"/>
      <c r="T2113" s="109"/>
      <c r="U2113" s="109"/>
    </row>
    <row r="2114" spans="1:21">
      <c r="A2114" s="109"/>
      <c r="B2114" s="109"/>
      <c r="C2114" s="109"/>
      <c r="D2114" s="109"/>
      <c r="E2114" s="109"/>
      <c r="F2114" s="109"/>
      <c r="G2114" s="109"/>
      <c r="H2114" s="109"/>
      <c r="I2114" s="109"/>
      <c r="J2114" s="109"/>
      <c r="K2114" s="109"/>
      <c r="L2114" s="109"/>
      <c r="M2114" s="109"/>
      <c r="N2114" s="109"/>
      <c r="O2114" s="109"/>
      <c r="P2114" s="109"/>
      <c r="Q2114" s="109"/>
      <c r="R2114" s="109"/>
      <c r="S2114" s="109"/>
      <c r="T2114" s="109"/>
      <c r="U2114" s="109"/>
    </row>
    <row r="2115" spans="1:21">
      <c r="A2115" s="109"/>
      <c r="B2115" s="109"/>
      <c r="C2115" s="109"/>
      <c r="D2115" s="109"/>
      <c r="E2115" s="109"/>
      <c r="F2115" s="109"/>
      <c r="G2115" s="109"/>
      <c r="H2115" s="109"/>
      <c r="I2115" s="109"/>
      <c r="J2115" s="109"/>
      <c r="K2115" s="109"/>
      <c r="L2115" s="109"/>
      <c r="M2115" s="109"/>
      <c r="N2115" s="109"/>
      <c r="O2115" s="109"/>
      <c r="P2115" s="109"/>
      <c r="Q2115" s="109"/>
      <c r="R2115" s="109"/>
      <c r="S2115" s="109"/>
      <c r="T2115" s="109"/>
      <c r="U2115" s="109"/>
    </row>
    <row r="2116" spans="1:21">
      <c r="A2116" s="109"/>
      <c r="B2116" s="109"/>
      <c r="C2116" s="109"/>
      <c r="D2116" s="109"/>
      <c r="E2116" s="109"/>
      <c r="F2116" s="109"/>
      <c r="G2116" s="109"/>
      <c r="H2116" s="109"/>
      <c r="I2116" s="109"/>
      <c r="J2116" s="109"/>
      <c r="K2116" s="109"/>
      <c r="L2116" s="109"/>
      <c r="M2116" s="109"/>
      <c r="N2116" s="109"/>
      <c r="O2116" s="109"/>
      <c r="P2116" s="109"/>
      <c r="Q2116" s="109"/>
      <c r="R2116" s="109"/>
      <c r="S2116" s="109"/>
      <c r="T2116" s="109"/>
      <c r="U2116" s="109"/>
    </row>
    <row r="2117" spans="1:21">
      <c r="A2117" s="109"/>
      <c r="B2117" s="109"/>
      <c r="C2117" s="109"/>
      <c r="D2117" s="109"/>
      <c r="E2117" s="109"/>
      <c r="F2117" s="109"/>
      <c r="G2117" s="109"/>
      <c r="H2117" s="109"/>
      <c r="I2117" s="109"/>
      <c r="J2117" s="109"/>
      <c r="K2117" s="109"/>
      <c r="L2117" s="109"/>
      <c r="M2117" s="109"/>
      <c r="N2117" s="109"/>
      <c r="O2117" s="109"/>
      <c r="P2117" s="109"/>
      <c r="Q2117" s="109"/>
      <c r="R2117" s="109"/>
      <c r="S2117" s="109"/>
      <c r="T2117" s="109"/>
      <c r="U2117" s="109"/>
    </row>
    <row r="2118" spans="1:21">
      <c r="A2118" s="109"/>
      <c r="B2118" s="109"/>
      <c r="C2118" s="109"/>
      <c r="D2118" s="109"/>
      <c r="E2118" s="109"/>
      <c r="F2118" s="109"/>
      <c r="G2118" s="109"/>
      <c r="H2118" s="109"/>
      <c r="I2118" s="109"/>
      <c r="J2118" s="109"/>
      <c r="K2118" s="109"/>
      <c r="L2118" s="109"/>
      <c r="M2118" s="109"/>
      <c r="N2118" s="109"/>
      <c r="O2118" s="109"/>
      <c r="P2118" s="109"/>
      <c r="Q2118" s="109"/>
      <c r="R2118" s="109"/>
      <c r="S2118" s="109"/>
      <c r="T2118" s="109"/>
      <c r="U2118" s="109"/>
    </row>
    <row r="2119" spans="1:21">
      <c r="A2119" s="109"/>
      <c r="B2119" s="109"/>
      <c r="C2119" s="109"/>
      <c r="D2119" s="109"/>
      <c r="E2119" s="109"/>
      <c r="F2119" s="109"/>
      <c r="G2119" s="109"/>
      <c r="H2119" s="109"/>
      <c r="I2119" s="109"/>
      <c r="J2119" s="109"/>
      <c r="K2119" s="109"/>
      <c r="L2119" s="109"/>
      <c r="M2119" s="109"/>
      <c r="N2119" s="109"/>
      <c r="O2119" s="109"/>
      <c r="P2119" s="109"/>
      <c r="Q2119" s="109"/>
      <c r="R2119" s="109"/>
      <c r="S2119" s="109"/>
      <c r="T2119" s="109"/>
      <c r="U2119" s="109"/>
    </row>
    <row r="2120" spans="1:21">
      <c r="A2120" s="109"/>
      <c r="B2120" s="109"/>
      <c r="C2120" s="109"/>
      <c r="D2120" s="109"/>
      <c r="E2120" s="109"/>
      <c r="F2120" s="109"/>
      <c r="G2120" s="109"/>
      <c r="H2120" s="109"/>
      <c r="I2120" s="109"/>
      <c r="J2120" s="109"/>
      <c r="K2120" s="109"/>
      <c r="L2120" s="109"/>
      <c r="M2120" s="109"/>
      <c r="N2120" s="109"/>
      <c r="O2120" s="109"/>
      <c r="P2120" s="109"/>
      <c r="Q2120" s="109"/>
      <c r="R2120" s="109"/>
      <c r="S2120" s="109"/>
      <c r="T2120" s="109"/>
      <c r="U2120" s="109"/>
    </row>
    <row r="2121" spans="1:21">
      <c r="A2121" s="109"/>
      <c r="B2121" s="109"/>
      <c r="C2121" s="109"/>
      <c r="D2121" s="109"/>
      <c r="E2121" s="109"/>
      <c r="F2121" s="109"/>
      <c r="G2121" s="109"/>
      <c r="H2121" s="109"/>
      <c r="I2121" s="109"/>
      <c r="J2121" s="109"/>
      <c r="K2121" s="109"/>
      <c r="L2121" s="109"/>
      <c r="M2121" s="109"/>
      <c r="N2121" s="109"/>
      <c r="O2121" s="109"/>
      <c r="P2121" s="109"/>
      <c r="Q2121" s="109"/>
      <c r="R2121" s="109"/>
      <c r="S2121" s="109"/>
      <c r="T2121" s="109"/>
      <c r="U2121" s="109"/>
    </row>
    <row r="2122" spans="1:21">
      <c r="A2122" s="109"/>
      <c r="B2122" s="109"/>
      <c r="C2122" s="109"/>
      <c r="D2122" s="109"/>
      <c r="E2122" s="109"/>
      <c r="F2122" s="109"/>
      <c r="G2122" s="109"/>
      <c r="H2122" s="109"/>
      <c r="I2122" s="109"/>
      <c r="J2122" s="109"/>
      <c r="K2122" s="109"/>
      <c r="L2122" s="109"/>
      <c r="M2122" s="109"/>
      <c r="N2122" s="109"/>
      <c r="O2122" s="109"/>
      <c r="P2122" s="109"/>
      <c r="Q2122" s="109"/>
      <c r="R2122" s="109"/>
      <c r="S2122" s="109"/>
      <c r="T2122" s="109"/>
      <c r="U2122" s="109"/>
    </row>
    <row r="2123" spans="1:21">
      <c r="A2123" s="109"/>
      <c r="B2123" s="109"/>
      <c r="C2123" s="109"/>
      <c r="D2123" s="109"/>
      <c r="E2123" s="109"/>
      <c r="F2123" s="109"/>
      <c r="G2123" s="109"/>
      <c r="H2123" s="109"/>
      <c r="I2123" s="109"/>
      <c r="J2123" s="109"/>
      <c r="K2123" s="109"/>
      <c r="L2123" s="109"/>
      <c r="M2123" s="109"/>
      <c r="N2123" s="109"/>
      <c r="O2123" s="109"/>
      <c r="P2123" s="109"/>
      <c r="Q2123" s="109"/>
      <c r="R2123" s="109"/>
      <c r="S2123" s="109"/>
      <c r="T2123" s="109"/>
      <c r="U2123" s="109"/>
    </row>
    <row r="2124" spans="1:21">
      <c r="A2124" s="109"/>
      <c r="B2124" s="109"/>
      <c r="C2124" s="109"/>
      <c r="D2124" s="109"/>
      <c r="E2124" s="109"/>
      <c r="F2124" s="109"/>
      <c r="G2124" s="109"/>
      <c r="H2124" s="109"/>
      <c r="I2124" s="109"/>
      <c r="J2124" s="109"/>
      <c r="K2124" s="109"/>
      <c r="L2124" s="109"/>
      <c r="M2124" s="109"/>
      <c r="N2124" s="109"/>
      <c r="O2124" s="109"/>
      <c r="P2124" s="109"/>
      <c r="Q2124" s="109"/>
      <c r="R2124" s="109"/>
      <c r="S2124" s="109"/>
      <c r="T2124" s="109"/>
      <c r="U2124" s="109"/>
    </row>
    <row r="2125" spans="1:21">
      <c r="A2125" s="109"/>
      <c r="B2125" s="109"/>
      <c r="C2125" s="109"/>
      <c r="D2125" s="109"/>
      <c r="E2125" s="109"/>
      <c r="F2125" s="109"/>
      <c r="G2125" s="109"/>
      <c r="H2125" s="109"/>
      <c r="I2125" s="109"/>
      <c r="J2125" s="109"/>
      <c r="K2125" s="109"/>
      <c r="L2125" s="109"/>
      <c r="M2125" s="109"/>
      <c r="N2125" s="109"/>
      <c r="O2125" s="109"/>
      <c r="P2125" s="109"/>
      <c r="Q2125" s="109"/>
      <c r="R2125" s="109"/>
      <c r="S2125" s="109"/>
      <c r="T2125" s="109"/>
      <c r="U2125" s="109"/>
    </row>
    <row r="2126" spans="1:21">
      <c r="A2126" s="109"/>
      <c r="B2126" s="109"/>
      <c r="C2126" s="109"/>
      <c r="D2126" s="109"/>
      <c r="E2126" s="109"/>
      <c r="F2126" s="109"/>
      <c r="G2126" s="109"/>
      <c r="H2126" s="109"/>
      <c r="I2126" s="109"/>
      <c r="J2126" s="109"/>
      <c r="K2126" s="109"/>
      <c r="L2126" s="109"/>
      <c r="M2126" s="109"/>
      <c r="N2126" s="109"/>
      <c r="O2126" s="109"/>
      <c r="P2126" s="109"/>
      <c r="Q2126" s="109"/>
      <c r="R2126" s="109"/>
      <c r="S2126" s="109"/>
      <c r="T2126" s="109"/>
      <c r="U2126" s="109"/>
    </row>
    <row r="2127" spans="1:21">
      <c r="A2127" s="109"/>
      <c r="B2127" s="109"/>
      <c r="C2127" s="109"/>
      <c r="D2127" s="109"/>
      <c r="E2127" s="109"/>
      <c r="F2127" s="109"/>
      <c r="G2127" s="109"/>
      <c r="H2127" s="109"/>
      <c r="I2127" s="109"/>
      <c r="J2127" s="109"/>
      <c r="K2127" s="109"/>
      <c r="L2127" s="109"/>
      <c r="M2127" s="109"/>
      <c r="N2127" s="109"/>
      <c r="O2127" s="109"/>
      <c r="P2127" s="109"/>
      <c r="Q2127" s="109"/>
      <c r="R2127" s="109"/>
      <c r="S2127" s="109"/>
      <c r="T2127" s="109"/>
      <c r="U2127" s="109"/>
    </row>
    <row r="2128" spans="1:21">
      <c r="A2128" s="109"/>
      <c r="B2128" s="109"/>
      <c r="C2128" s="109"/>
      <c r="D2128" s="109"/>
      <c r="E2128" s="109"/>
      <c r="F2128" s="109"/>
      <c r="G2128" s="109"/>
      <c r="H2128" s="109"/>
      <c r="I2128" s="109"/>
      <c r="J2128" s="109"/>
      <c r="K2128" s="109"/>
      <c r="L2128" s="109"/>
      <c r="M2128" s="109"/>
      <c r="N2128" s="109"/>
      <c r="O2128" s="109"/>
      <c r="P2128" s="109"/>
      <c r="Q2128" s="109"/>
      <c r="R2128" s="109"/>
      <c r="S2128" s="109"/>
      <c r="T2128" s="109"/>
      <c r="U2128" s="109"/>
    </row>
    <row r="2129" spans="1:21">
      <c r="A2129" s="109"/>
      <c r="B2129" s="109"/>
      <c r="C2129" s="109"/>
      <c r="D2129" s="109"/>
      <c r="E2129" s="109"/>
      <c r="F2129" s="109"/>
      <c r="G2129" s="109"/>
      <c r="H2129" s="109"/>
      <c r="I2129" s="109"/>
      <c r="J2129" s="109"/>
      <c r="K2129" s="109"/>
      <c r="L2129" s="109"/>
      <c r="M2129" s="109"/>
      <c r="N2129" s="109"/>
      <c r="O2129" s="109"/>
      <c r="P2129" s="109"/>
      <c r="Q2129" s="109"/>
      <c r="R2129" s="109"/>
      <c r="S2129" s="109"/>
      <c r="T2129" s="109"/>
      <c r="U2129" s="109"/>
    </row>
    <row r="2130" spans="1:21">
      <c r="A2130" s="109"/>
      <c r="B2130" s="109"/>
      <c r="C2130" s="109"/>
      <c r="D2130" s="109"/>
      <c r="E2130" s="109"/>
      <c r="F2130" s="109"/>
      <c r="G2130" s="109"/>
      <c r="H2130" s="109"/>
      <c r="I2130" s="109"/>
      <c r="J2130" s="109"/>
      <c r="K2130" s="109"/>
      <c r="L2130" s="109"/>
      <c r="M2130" s="109"/>
      <c r="N2130" s="109"/>
      <c r="O2130" s="109"/>
      <c r="P2130" s="109"/>
      <c r="Q2130" s="109"/>
      <c r="R2130" s="109"/>
      <c r="S2130" s="109"/>
      <c r="T2130" s="109"/>
      <c r="U2130" s="109"/>
    </row>
    <row r="2131" spans="1:21">
      <c r="A2131" s="109"/>
      <c r="B2131" s="109"/>
      <c r="C2131" s="109"/>
      <c r="D2131" s="109"/>
      <c r="E2131" s="109"/>
      <c r="F2131" s="109"/>
      <c r="G2131" s="109"/>
      <c r="H2131" s="109"/>
      <c r="I2131" s="109"/>
      <c r="J2131" s="109"/>
      <c r="K2131" s="109"/>
      <c r="L2131" s="109"/>
      <c r="M2131" s="109"/>
      <c r="N2131" s="109"/>
      <c r="O2131" s="109"/>
      <c r="P2131" s="109"/>
      <c r="Q2131" s="109"/>
      <c r="R2131" s="109"/>
      <c r="S2131" s="109"/>
      <c r="T2131" s="109"/>
      <c r="U2131" s="109"/>
    </row>
    <row r="2132" spans="1:21">
      <c r="A2132" s="109"/>
      <c r="B2132" s="109"/>
      <c r="C2132" s="109"/>
      <c r="D2132" s="109"/>
      <c r="E2132" s="109"/>
      <c r="F2132" s="109"/>
      <c r="G2132" s="109"/>
      <c r="H2132" s="109"/>
      <c r="I2132" s="109"/>
      <c r="J2132" s="109"/>
      <c r="K2132" s="109"/>
      <c r="L2132" s="109"/>
      <c r="M2132" s="109"/>
      <c r="N2132" s="109"/>
      <c r="O2132" s="109"/>
      <c r="P2132" s="109"/>
      <c r="Q2132" s="109"/>
      <c r="R2132" s="109"/>
      <c r="S2132" s="109"/>
      <c r="T2132" s="109"/>
      <c r="U2132" s="109"/>
    </row>
    <row r="2133" spans="1:21">
      <c r="A2133" s="109"/>
      <c r="B2133" s="109"/>
      <c r="C2133" s="109"/>
      <c r="D2133" s="109"/>
      <c r="E2133" s="109"/>
      <c r="F2133" s="109"/>
      <c r="G2133" s="109"/>
      <c r="H2133" s="109"/>
      <c r="I2133" s="109"/>
      <c r="J2133" s="109"/>
      <c r="K2133" s="109"/>
      <c r="L2133" s="109"/>
      <c r="M2133" s="109"/>
      <c r="N2133" s="109"/>
      <c r="O2133" s="109"/>
      <c r="P2133" s="109"/>
      <c r="Q2133" s="109"/>
      <c r="R2133" s="109"/>
      <c r="S2133" s="109"/>
      <c r="T2133" s="109"/>
      <c r="U2133" s="109"/>
    </row>
    <row r="2134" spans="1:21">
      <c r="A2134" s="109"/>
      <c r="B2134" s="109"/>
      <c r="C2134" s="109"/>
      <c r="D2134" s="109"/>
      <c r="E2134" s="109"/>
      <c r="F2134" s="109"/>
      <c r="G2134" s="109"/>
      <c r="H2134" s="109"/>
      <c r="I2134" s="109"/>
      <c r="J2134" s="109"/>
      <c r="K2134" s="109"/>
      <c r="L2134" s="109"/>
      <c r="M2134" s="109"/>
      <c r="N2134" s="109"/>
      <c r="O2134" s="109"/>
      <c r="P2134" s="109"/>
      <c r="Q2134" s="109"/>
      <c r="R2134" s="109"/>
      <c r="S2134" s="109"/>
      <c r="T2134" s="109"/>
      <c r="U2134" s="109"/>
    </row>
    <row r="2135" spans="1:21">
      <c r="A2135" s="109"/>
      <c r="B2135" s="109"/>
      <c r="C2135" s="109"/>
      <c r="D2135" s="109"/>
      <c r="E2135" s="109"/>
      <c r="F2135" s="109"/>
      <c r="G2135" s="109"/>
      <c r="H2135" s="109"/>
      <c r="I2135" s="109"/>
      <c r="J2135" s="109"/>
      <c r="K2135" s="109"/>
      <c r="L2135" s="109"/>
      <c r="M2135" s="109"/>
      <c r="N2135" s="109"/>
      <c r="O2135" s="109"/>
      <c r="P2135" s="109"/>
      <c r="Q2135" s="109"/>
      <c r="R2135" s="109"/>
      <c r="S2135" s="109"/>
      <c r="T2135" s="109"/>
      <c r="U2135" s="109"/>
    </row>
    <row r="2136" spans="1:21">
      <c r="A2136" s="109"/>
      <c r="B2136" s="109"/>
      <c r="C2136" s="109"/>
      <c r="D2136" s="109"/>
      <c r="E2136" s="109"/>
      <c r="F2136" s="109"/>
      <c r="G2136" s="109"/>
      <c r="H2136" s="109"/>
      <c r="I2136" s="109"/>
      <c r="J2136" s="109"/>
      <c r="K2136" s="109"/>
      <c r="L2136" s="109"/>
      <c r="M2136" s="109"/>
      <c r="N2136" s="109"/>
      <c r="O2136" s="109"/>
      <c r="P2136" s="109"/>
      <c r="Q2136" s="109"/>
      <c r="R2136" s="109"/>
      <c r="S2136" s="109"/>
      <c r="T2136" s="109"/>
      <c r="U2136" s="109"/>
    </row>
    <row r="2137" spans="1:21">
      <c r="A2137" s="109"/>
      <c r="B2137" s="109"/>
      <c r="C2137" s="109"/>
      <c r="D2137" s="109"/>
      <c r="E2137" s="109"/>
      <c r="F2137" s="109"/>
      <c r="G2137" s="109"/>
      <c r="H2137" s="109"/>
      <c r="I2137" s="109"/>
      <c r="J2137" s="109"/>
      <c r="K2137" s="109"/>
      <c r="L2137" s="109"/>
      <c r="M2137" s="109"/>
      <c r="N2137" s="109"/>
      <c r="O2137" s="109"/>
      <c r="P2137" s="109"/>
      <c r="Q2137" s="109"/>
      <c r="R2137" s="109"/>
      <c r="S2137" s="109"/>
      <c r="T2137" s="109"/>
      <c r="U2137" s="109"/>
    </row>
    <row r="2138" spans="1:21">
      <c r="A2138" s="109"/>
      <c r="B2138" s="109"/>
      <c r="C2138" s="109"/>
      <c r="D2138" s="109"/>
      <c r="E2138" s="109"/>
      <c r="F2138" s="109"/>
      <c r="G2138" s="109"/>
      <c r="H2138" s="109"/>
      <c r="I2138" s="109"/>
      <c r="J2138" s="109"/>
      <c r="K2138" s="109"/>
      <c r="L2138" s="109"/>
      <c r="M2138" s="109"/>
      <c r="N2138" s="109"/>
      <c r="O2138" s="109"/>
      <c r="P2138" s="109"/>
      <c r="Q2138" s="109"/>
      <c r="R2138" s="109"/>
      <c r="S2138" s="109"/>
      <c r="T2138" s="109"/>
      <c r="U2138" s="109"/>
    </row>
    <row r="2139" spans="1:21">
      <c r="A2139" s="109"/>
      <c r="B2139" s="109"/>
      <c r="C2139" s="109"/>
      <c r="D2139" s="109"/>
      <c r="E2139" s="109"/>
      <c r="F2139" s="109"/>
      <c r="G2139" s="109"/>
      <c r="H2139" s="109"/>
      <c r="I2139" s="109"/>
      <c r="J2139" s="109"/>
      <c r="K2139" s="109"/>
      <c r="L2139" s="109"/>
      <c r="M2139" s="109"/>
      <c r="N2139" s="109"/>
      <c r="O2139" s="109"/>
      <c r="P2139" s="109"/>
      <c r="Q2139" s="109"/>
      <c r="R2139" s="109"/>
      <c r="S2139" s="109"/>
      <c r="T2139" s="109"/>
      <c r="U2139" s="109"/>
    </row>
    <row r="2140" spans="1:21">
      <c r="A2140" s="109"/>
      <c r="B2140" s="109"/>
      <c r="C2140" s="109"/>
      <c r="D2140" s="109"/>
      <c r="E2140" s="109"/>
      <c r="F2140" s="109"/>
      <c r="G2140" s="109"/>
      <c r="H2140" s="109"/>
      <c r="I2140" s="109"/>
      <c r="J2140" s="109"/>
      <c r="K2140" s="109"/>
      <c r="L2140" s="109"/>
      <c r="M2140" s="109"/>
      <c r="N2140" s="109"/>
      <c r="O2140" s="109"/>
      <c r="P2140" s="109"/>
      <c r="Q2140" s="109"/>
      <c r="R2140" s="109"/>
      <c r="S2140" s="109"/>
      <c r="T2140" s="109"/>
      <c r="U2140" s="109"/>
    </row>
    <row r="2141" spans="1:21">
      <c r="A2141" s="109"/>
      <c r="B2141" s="109"/>
      <c r="C2141" s="109"/>
      <c r="D2141" s="109"/>
      <c r="E2141" s="109"/>
      <c r="F2141" s="109"/>
      <c r="G2141" s="109"/>
      <c r="H2141" s="109"/>
      <c r="I2141" s="109"/>
      <c r="J2141" s="109"/>
      <c r="K2141" s="109"/>
      <c r="L2141" s="109"/>
      <c r="M2141" s="109"/>
      <c r="N2141" s="109"/>
      <c r="O2141" s="109"/>
      <c r="P2141" s="109"/>
      <c r="Q2141" s="109"/>
      <c r="R2141" s="109"/>
      <c r="S2141" s="109"/>
      <c r="T2141" s="109"/>
      <c r="U2141" s="109"/>
    </row>
    <row r="2142" spans="1:21">
      <c r="A2142" s="109"/>
      <c r="B2142" s="109"/>
      <c r="C2142" s="109"/>
      <c r="D2142" s="109"/>
      <c r="E2142" s="109"/>
      <c r="F2142" s="109"/>
      <c r="G2142" s="109"/>
      <c r="H2142" s="109"/>
      <c r="I2142" s="109"/>
      <c r="J2142" s="109"/>
      <c r="K2142" s="109"/>
      <c r="L2142" s="109"/>
      <c r="M2142" s="109"/>
      <c r="N2142" s="109"/>
      <c r="O2142" s="109"/>
      <c r="P2142" s="109"/>
      <c r="Q2142" s="109"/>
      <c r="R2142" s="109"/>
      <c r="S2142" s="109"/>
      <c r="T2142" s="109"/>
      <c r="U2142" s="109"/>
    </row>
    <row r="2143" spans="1:21">
      <c r="A2143" s="109"/>
      <c r="B2143" s="109"/>
      <c r="C2143" s="109"/>
      <c r="D2143" s="109"/>
      <c r="E2143" s="109"/>
      <c r="F2143" s="109"/>
      <c r="G2143" s="109"/>
      <c r="H2143" s="109"/>
      <c r="I2143" s="109"/>
      <c r="J2143" s="109"/>
      <c r="K2143" s="109"/>
      <c r="L2143" s="109"/>
      <c r="M2143" s="109"/>
      <c r="N2143" s="109"/>
      <c r="O2143" s="109"/>
      <c r="P2143" s="109"/>
      <c r="Q2143" s="109"/>
      <c r="R2143" s="109"/>
      <c r="S2143" s="109"/>
      <c r="T2143" s="109"/>
      <c r="U2143" s="109"/>
    </row>
    <row r="2144" spans="1:21">
      <c r="A2144" s="109"/>
      <c r="B2144" s="109"/>
      <c r="C2144" s="109"/>
      <c r="D2144" s="109"/>
      <c r="E2144" s="109"/>
      <c r="F2144" s="109"/>
      <c r="G2144" s="109"/>
      <c r="H2144" s="109"/>
      <c r="I2144" s="109"/>
      <c r="J2144" s="109"/>
      <c r="K2144" s="109"/>
      <c r="L2144" s="109"/>
      <c r="M2144" s="109"/>
      <c r="N2144" s="109"/>
      <c r="O2144" s="109"/>
      <c r="P2144" s="109"/>
      <c r="Q2144" s="109"/>
      <c r="R2144" s="109"/>
      <c r="S2144" s="109"/>
      <c r="T2144" s="109"/>
      <c r="U2144" s="109"/>
    </row>
    <row r="2145" spans="1:21">
      <c r="A2145" s="109"/>
      <c r="B2145" s="109"/>
      <c r="C2145" s="109"/>
      <c r="D2145" s="109"/>
      <c r="E2145" s="109"/>
      <c r="F2145" s="109"/>
      <c r="G2145" s="109"/>
      <c r="H2145" s="109"/>
      <c r="I2145" s="109"/>
      <c r="J2145" s="109"/>
      <c r="K2145" s="109"/>
      <c r="L2145" s="109"/>
      <c r="M2145" s="109"/>
      <c r="N2145" s="109"/>
      <c r="O2145" s="109"/>
      <c r="P2145" s="109"/>
      <c r="Q2145" s="109"/>
      <c r="R2145" s="109"/>
      <c r="S2145" s="109"/>
      <c r="T2145" s="109"/>
      <c r="U2145" s="109"/>
    </row>
    <row r="2146" spans="1:21">
      <c r="A2146" s="109"/>
      <c r="B2146" s="109"/>
      <c r="C2146" s="109"/>
      <c r="D2146" s="109"/>
      <c r="E2146" s="109"/>
      <c r="F2146" s="109"/>
      <c r="G2146" s="109"/>
      <c r="H2146" s="109"/>
      <c r="I2146" s="109"/>
      <c r="J2146" s="109"/>
      <c r="K2146" s="109"/>
      <c r="L2146" s="109"/>
      <c r="M2146" s="109"/>
      <c r="N2146" s="109"/>
      <c r="O2146" s="109"/>
      <c r="P2146" s="109"/>
      <c r="Q2146" s="109"/>
      <c r="R2146" s="109"/>
      <c r="S2146" s="109"/>
      <c r="T2146" s="109"/>
      <c r="U2146" s="109"/>
    </row>
    <row r="2147" spans="1:21">
      <c r="A2147" s="109"/>
      <c r="B2147" s="109"/>
      <c r="C2147" s="109"/>
      <c r="D2147" s="109"/>
      <c r="E2147" s="109"/>
      <c r="F2147" s="109"/>
      <c r="G2147" s="109"/>
      <c r="H2147" s="109"/>
      <c r="I2147" s="109"/>
      <c r="J2147" s="109"/>
      <c r="K2147" s="109"/>
      <c r="L2147" s="109"/>
      <c r="M2147" s="109"/>
      <c r="N2147" s="109"/>
      <c r="O2147" s="109"/>
      <c r="P2147" s="109"/>
      <c r="Q2147" s="109"/>
      <c r="R2147" s="109"/>
      <c r="S2147" s="109"/>
      <c r="T2147" s="109"/>
      <c r="U2147" s="109"/>
    </row>
    <row r="2148" spans="1:21">
      <c r="A2148" s="109"/>
      <c r="B2148" s="109"/>
      <c r="C2148" s="109"/>
      <c r="D2148" s="109"/>
      <c r="E2148" s="109"/>
      <c r="F2148" s="109"/>
      <c r="G2148" s="109"/>
      <c r="H2148" s="109"/>
      <c r="I2148" s="109"/>
      <c r="J2148" s="109"/>
      <c r="K2148" s="109"/>
      <c r="L2148" s="109"/>
      <c r="M2148" s="109"/>
      <c r="N2148" s="109"/>
      <c r="O2148" s="109"/>
      <c r="P2148" s="109"/>
      <c r="Q2148" s="109"/>
      <c r="R2148" s="109"/>
      <c r="S2148" s="109"/>
      <c r="T2148" s="109"/>
      <c r="U2148" s="109"/>
    </row>
    <row r="2149" spans="1:21">
      <c r="A2149" s="109"/>
      <c r="B2149" s="109"/>
      <c r="C2149" s="109"/>
      <c r="D2149" s="109"/>
      <c r="E2149" s="109"/>
      <c r="F2149" s="109"/>
      <c r="G2149" s="109"/>
      <c r="H2149" s="109"/>
      <c r="I2149" s="109"/>
      <c r="J2149" s="109"/>
      <c r="K2149" s="109"/>
      <c r="L2149" s="109"/>
      <c r="M2149" s="109"/>
      <c r="N2149" s="109"/>
      <c r="O2149" s="109"/>
      <c r="P2149" s="109"/>
      <c r="Q2149" s="109"/>
      <c r="R2149" s="109"/>
      <c r="S2149" s="109"/>
      <c r="T2149" s="109"/>
      <c r="U2149" s="109"/>
    </row>
    <row r="2150" spans="1:21">
      <c r="A2150" s="109"/>
      <c r="B2150" s="109"/>
      <c r="C2150" s="109"/>
      <c r="D2150" s="109"/>
      <c r="E2150" s="109"/>
      <c r="F2150" s="109"/>
      <c r="G2150" s="109"/>
      <c r="H2150" s="109"/>
      <c r="I2150" s="109"/>
      <c r="J2150" s="109"/>
      <c r="K2150" s="109"/>
      <c r="L2150" s="109"/>
      <c r="M2150" s="109"/>
      <c r="N2150" s="109"/>
      <c r="O2150" s="109"/>
      <c r="P2150" s="109"/>
      <c r="Q2150" s="109"/>
      <c r="R2150" s="109"/>
      <c r="S2150" s="109"/>
      <c r="T2150" s="109"/>
      <c r="U2150" s="109"/>
    </row>
    <row r="2151" spans="1:21">
      <c r="A2151" s="109"/>
      <c r="B2151" s="109"/>
      <c r="C2151" s="109"/>
      <c r="D2151" s="109"/>
      <c r="E2151" s="109"/>
      <c r="F2151" s="109"/>
      <c r="G2151" s="109"/>
      <c r="H2151" s="109"/>
      <c r="I2151" s="109"/>
      <c r="J2151" s="109"/>
      <c r="K2151" s="109"/>
      <c r="L2151" s="109"/>
      <c r="M2151" s="109"/>
      <c r="N2151" s="109"/>
      <c r="O2151" s="109"/>
      <c r="P2151" s="109"/>
      <c r="Q2151" s="109"/>
      <c r="R2151" s="109"/>
      <c r="S2151" s="109"/>
      <c r="T2151" s="109"/>
      <c r="U2151" s="109"/>
    </row>
    <row r="2152" spans="1:21">
      <c r="A2152" s="109"/>
      <c r="B2152" s="109"/>
      <c r="C2152" s="109"/>
      <c r="D2152" s="109"/>
      <c r="E2152" s="109"/>
      <c r="F2152" s="109"/>
      <c r="G2152" s="109"/>
      <c r="H2152" s="109"/>
      <c r="I2152" s="109"/>
      <c r="J2152" s="109"/>
      <c r="K2152" s="109"/>
      <c r="L2152" s="109"/>
      <c r="M2152" s="109"/>
      <c r="N2152" s="109"/>
      <c r="O2152" s="109"/>
      <c r="P2152" s="109"/>
      <c r="Q2152" s="109"/>
      <c r="R2152" s="109"/>
      <c r="S2152" s="109"/>
      <c r="T2152" s="109"/>
      <c r="U2152" s="109"/>
    </row>
    <row r="2153" spans="1:21">
      <c r="A2153" s="109"/>
      <c r="B2153" s="109"/>
      <c r="C2153" s="109"/>
      <c r="D2153" s="109"/>
      <c r="E2153" s="109"/>
      <c r="F2153" s="109"/>
      <c r="G2153" s="109"/>
      <c r="H2153" s="109"/>
      <c r="I2153" s="109"/>
      <c r="J2153" s="109"/>
      <c r="K2153" s="109"/>
      <c r="L2153" s="109"/>
      <c r="M2153" s="109"/>
      <c r="N2153" s="109"/>
      <c r="O2153" s="109"/>
      <c r="P2153" s="109"/>
      <c r="Q2153" s="109"/>
      <c r="R2153" s="109"/>
      <c r="S2153" s="109"/>
      <c r="T2153" s="109"/>
      <c r="U2153" s="109"/>
    </row>
    <row r="2154" spans="1:21">
      <c r="A2154" s="109"/>
      <c r="B2154" s="109"/>
      <c r="C2154" s="109"/>
      <c r="D2154" s="109"/>
      <c r="E2154" s="109"/>
      <c r="F2154" s="109"/>
      <c r="G2154" s="109"/>
      <c r="H2154" s="109"/>
      <c r="I2154" s="109"/>
      <c r="J2154" s="109"/>
      <c r="K2154" s="109"/>
      <c r="L2154" s="109"/>
      <c r="M2154" s="109"/>
      <c r="N2154" s="109"/>
      <c r="O2154" s="109"/>
      <c r="P2154" s="109"/>
      <c r="Q2154" s="109"/>
      <c r="R2154" s="109"/>
      <c r="S2154" s="109"/>
      <c r="T2154" s="109"/>
      <c r="U2154" s="109"/>
    </row>
    <row r="2155" spans="1:21">
      <c r="A2155" s="109"/>
      <c r="B2155" s="109"/>
      <c r="C2155" s="109"/>
      <c r="D2155" s="109"/>
      <c r="E2155" s="109"/>
      <c r="F2155" s="109"/>
      <c r="G2155" s="109"/>
      <c r="H2155" s="109"/>
      <c r="I2155" s="109"/>
      <c r="J2155" s="109"/>
      <c r="K2155" s="109"/>
      <c r="L2155" s="109"/>
      <c r="M2155" s="109"/>
      <c r="N2155" s="109"/>
      <c r="O2155" s="109"/>
      <c r="P2155" s="109"/>
      <c r="Q2155" s="109"/>
      <c r="R2155" s="109"/>
      <c r="S2155" s="109"/>
      <c r="T2155" s="109"/>
      <c r="U2155" s="109"/>
    </row>
    <row r="2156" spans="1:21">
      <c r="A2156" s="109"/>
      <c r="B2156" s="109"/>
      <c r="C2156" s="109"/>
      <c r="D2156" s="109"/>
      <c r="E2156" s="109"/>
      <c r="F2156" s="109"/>
      <c r="G2156" s="109"/>
      <c r="H2156" s="109"/>
      <c r="I2156" s="109"/>
      <c r="J2156" s="109"/>
      <c r="K2156" s="109"/>
      <c r="L2156" s="109"/>
      <c r="M2156" s="109"/>
      <c r="N2156" s="109"/>
      <c r="O2156" s="109"/>
      <c r="P2156" s="109"/>
      <c r="Q2156" s="109"/>
      <c r="R2156" s="109"/>
      <c r="S2156" s="109"/>
      <c r="T2156" s="109"/>
      <c r="U2156" s="109"/>
    </row>
    <row r="2157" spans="1:21">
      <c r="A2157" s="109"/>
      <c r="B2157" s="109"/>
      <c r="C2157" s="109"/>
      <c r="D2157" s="109"/>
      <c r="E2157" s="109"/>
      <c r="F2157" s="109"/>
      <c r="G2157" s="109"/>
      <c r="H2157" s="109"/>
      <c r="I2157" s="109"/>
      <c r="J2157" s="109"/>
      <c r="K2157" s="109"/>
      <c r="L2157" s="109"/>
      <c r="M2157" s="109"/>
      <c r="N2157" s="109"/>
      <c r="O2157" s="109"/>
      <c r="P2157" s="109"/>
      <c r="Q2157" s="109"/>
      <c r="R2157" s="109"/>
      <c r="S2157" s="109"/>
      <c r="T2157" s="109"/>
      <c r="U2157" s="109"/>
    </row>
    <row r="2158" spans="1:21">
      <c r="A2158" s="109"/>
      <c r="B2158" s="109"/>
      <c r="C2158" s="109"/>
      <c r="D2158" s="109"/>
      <c r="E2158" s="109"/>
      <c r="F2158" s="109"/>
      <c r="G2158" s="109"/>
      <c r="H2158" s="109"/>
      <c r="I2158" s="109"/>
      <c r="J2158" s="109"/>
      <c r="K2158" s="109"/>
      <c r="L2158" s="109"/>
      <c r="M2158" s="109"/>
      <c r="N2158" s="109"/>
      <c r="O2158" s="109"/>
      <c r="P2158" s="109"/>
      <c r="Q2158" s="109"/>
      <c r="R2158" s="109"/>
      <c r="S2158" s="109"/>
      <c r="T2158" s="109"/>
      <c r="U2158" s="109"/>
    </row>
    <row r="2159" spans="1:21">
      <c r="A2159" s="109"/>
      <c r="B2159" s="109"/>
      <c r="C2159" s="109"/>
      <c r="D2159" s="109"/>
      <c r="E2159" s="109"/>
      <c r="F2159" s="109"/>
      <c r="G2159" s="109"/>
      <c r="H2159" s="109"/>
      <c r="I2159" s="109"/>
      <c r="J2159" s="109"/>
      <c r="K2159" s="109"/>
      <c r="L2159" s="109"/>
      <c r="M2159" s="109"/>
      <c r="N2159" s="109"/>
      <c r="O2159" s="109"/>
      <c r="P2159" s="109"/>
      <c r="Q2159" s="109"/>
      <c r="R2159" s="109"/>
      <c r="S2159" s="109"/>
      <c r="T2159" s="109"/>
      <c r="U2159" s="109"/>
    </row>
    <row r="2160" spans="1:21">
      <c r="A2160" s="109"/>
      <c r="B2160" s="109"/>
      <c r="C2160" s="109"/>
      <c r="D2160" s="109"/>
      <c r="E2160" s="109"/>
      <c r="F2160" s="109"/>
      <c r="G2160" s="109"/>
      <c r="H2160" s="109"/>
      <c r="I2160" s="109"/>
      <c r="J2160" s="109"/>
      <c r="K2160" s="109"/>
      <c r="L2160" s="109"/>
      <c r="M2160" s="109"/>
      <c r="N2160" s="109"/>
      <c r="O2160" s="109"/>
      <c r="P2160" s="109"/>
      <c r="Q2160" s="109"/>
      <c r="R2160" s="109"/>
      <c r="S2160" s="109"/>
      <c r="T2160" s="109"/>
      <c r="U2160" s="109"/>
    </row>
    <row r="2161" spans="1:21">
      <c r="A2161" s="109"/>
      <c r="B2161" s="109"/>
      <c r="C2161" s="109"/>
      <c r="D2161" s="109"/>
      <c r="E2161" s="109"/>
      <c r="F2161" s="109"/>
      <c r="G2161" s="109"/>
      <c r="H2161" s="109"/>
      <c r="I2161" s="109"/>
      <c r="J2161" s="109"/>
      <c r="K2161" s="109"/>
      <c r="L2161" s="109"/>
      <c r="M2161" s="109"/>
      <c r="N2161" s="109"/>
      <c r="O2161" s="109"/>
      <c r="P2161" s="109"/>
      <c r="Q2161" s="109"/>
      <c r="R2161" s="109"/>
      <c r="S2161" s="109"/>
      <c r="T2161" s="109"/>
      <c r="U2161" s="109"/>
    </row>
    <row r="2162" spans="1:21">
      <c r="A2162" s="109"/>
      <c r="B2162" s="109"/>
      <c r="C2162" s="109"/>
      <c r="D2162" s="109"/>
      <c r="E2162" s="109"/>
      <c r="F2162" s="109"/>
      <c r="G2162" s="109"/>
      <c r="H2162" s="109"/>
      <c r="I2162" s="109"/>
      <c r="J2162" s="109"/>
      <c r="K2162" s="109"/>
      <c r="L2162" s="109"/>
      <c r="M2162" s="109"/>
      <c r="N2162" s="109"/>
      <c r="O2162" s="109"/>
      <c r="P2162" s="109"/>
      <c r="Q2162" s="109"/>
      <c r="R2162" s="109"/>
      <c r="S2162" s="109"/>
      <c r="T2162" s="109"/>
      <c r="U2162" s="109"/>
    </row>
    <row r="2163" spans="1:21">
      <c r="A2163" s="109"/>
      <c r="B2163" s="109"/>
      <c r="C2163" s="109"/>
      <c r="D2163" s="109"/>
      <c r="E2163" s="109"/>
      <c r="F2163" s="109"/>
      <c r="G2163" s="109"/>
      <c r="H2163" s="109"/>
      <c r="I2163" s="109"/>
      <c r="J2163" s="109"/>
      <c r="K2163" s="109"/>
      <c r="L2163" s="109"/>
      <c r="M2163" s="109"/>
      <c r="N2163" s="109"/>
      <c r="O2163" s="109"/>
      <c r="P2163" s="109"/>
      <c r="Q2163" s="109"/>
      <c r="R2163" s="109"/>
      <c r="S2163" s="109"/>
      <c r="T2163" s="109"/>
      <c r="U2163" s="109"/>
    </row>
    <row r="2164" spans="1:21">
      <c r="A2164" s="109"/>
      <c r="B2164" s="109"/>
      <c r="C2164" s="109"/>
      <c r="D2164" s="109"/>
      <c r="E2164" s="109"/>
      <c r="F2164" s="109"/>
      <c r="G2164" s="109"/>
      <c r="H2164" s="109"/>
      <c r="I2164" s="109"/>
      <c r="J2164" s="109"/>
      <c r="K2164" s="109"/>
      <c r="L2164" s="109"/>
      <c r="M2164" s="109"/>
      <c r="N2164" s="109"/>
      <c r="O2164" s="109"/>
      <c r="P2164" s="109"/>
      <c r="Q2164" s="109"/>
      <c r="R2164" s="109"/>
      <c r="S2164" s="109"/>
      <c r="T2164" s="109"/>
      <c r="U2164" s="109"/>
    </row>
    <row r="2165" spans="1:21">
      <c r="A2165" s="109"/>
      <c r="B2165" s="109"/>
      <c r="C2165" s="109"/>
      <c r="D2165" s="109"/>
      <c r="E2165" s="109"/>
      <c r="F2165" s="109"/>
      <c r="G2165" s="109"/>
      <c r="H2165" s="109"/>
      <c r="I2165" s="109"/>
      <c r="J2165" s="109"/>
      <c r="K2165" s="109"/>
      <c r="L2165" s="109"/>
      <c r="M2165" s="109"/>
      <c r="N2165" s="109"/>
      <c r="O2165" s="109"/>
      <c r="P2165" s="109"/>
      <c r="Q2165" s="109"/>
      <c r="R2165" s="109"/>
      <c r="S2165" s="109"/>
      <c r="T2165" s="109"/>
      <c r="U2165" s="109"/>
    </row>
    <row r="2166" spans="1:21">
      <c r="A2166" s="109"/>
      <c r="B2166" s="109"/>
      <c r="C2166" s="109"/>
      <c r="D2166" s="109"/>
      <c r="E2166" s="109"/>
      <c r="F2166" s="109"/>
      <c r="G2166" s="109"/>
      <c r="H2166" s="109"/>
      <c r="I2166" s="109"/>
      <c r="J2166" s="109"/>
      <c r="K2166" s="109"/>
      <c r="L2166" s="109"/>
      <c r="M2166" s="109"/>
      <c r="N2166" s="109"/>
      <c r="O2166" s="109"/>
      <c r="P2166" s="109"/>
      <c r="Q2166" s="109"/>
      <c r="R2166" s="109"/>
      <c r="S2166" s="109"/>
      <c r="T2166" s="109"/>
      <c r="U2166" s="109"/>
    </row>
    <row r="2167" spans="1:21">
      <c r="A2167" s="109"/>
      <c r="B2167" s="109"/>
      <c r="C2167" s="109"/>
      <c r="D2167" s="109"/>
      <c r="E2167" s="109"/>
      <c r="F2167" s="109"/>
      <c r="G2167" s="109"/>
      <c r="H2167" s="109"/>
      <c r="I2167" s="109"/>
      <c r="J2167" s="109"/>
      <c r="K2167" s="109"/>
      <c r="L2167" s="109"/>
      <c r="M2167" s="109"/>
      <c r="N2167" s="109"/>
      <c r="O2167" s="109"/>
      <c r="P2167" s="109"/>
      <c r="Q2167" s="109"/>
      <c r="R2167" s="109"/>
      <c r="S2167" s="109"/>
      <c r="T2167" s="109"/>
      <c r="U2167" s="109"/>
    </row>
    <row r="2168" spans="1:21">
      <c r="A2168" s="109"/>
      <c r="B2168" s="109"/>
      <c r="C2168" s="109"/>
      <c r="D2168" s="109"/>
      <c r="E2168" s="109"/>
      <c r="F2168" s="109"/>
      <c r="G2168" s="109"/>
      <c r="H2168" s="109"/>
      <c r="I2168" s="109"/>
      <c r="J2168" s="109"/>
      <c r="K2168" s="109"/>
      <c r="L2168" s="109"/>
      <c r="M2168" s="109"/>
      <c r="N2168" s="109"/>
      <c r="O2168" s="109"/>
      <c r="P2168" s="109"/>
      <c r="Q2168" s="109"/>
      <c r="R2168" s="109"/>
      <c r="S2168" s="109"/>
      <c r="T2168" s="109"/>
      <c r="U2168" s="109"/>
    </row>
    <row r="2169" spans="1:21">
      <c r="A2169" s="109"/>
      <c r="B2169" s="109"/>
      <c r="C2169" s="109"/>
      <c r="D2169" s="109"/>
      <c r="E2169" s="109"/>
      <c r="F2169" s="109"/>
      <c r="G2169" s="109"/>
      <c r="H2169" s="109"/>
      <c r="I2169" s="109"/>
      <c r="J2169" s="109"/>
      <c r="K2169" s="109"/>
      <c r="L2169" s="109"/>
      <c r="M2169" s="109"/>
      <c r="N2169" s="109"/>
      <c r="O2169" s="109"/>
      <c r="P2169" s="109"/>
      <c r="Q2169" s="109"/>
      <c r="R2169" s="109"/>
      <c r="S2169" s="109"/>
      <c r="T2169" s="109"/>
      <c r="U2169" s="109"/>
    </row>
    <row r="2170" spans="1:21">
      <c r="A2170" s="109"/>
      <c r="B2170" s="109"/>
      <c r="C2170" s="109"/>
      <c r="D2170" s="109"/>
      <c r="E2170" s="109"/>
      <c r="F2170" s="109"/>
      <c r="G2170" s="109"/>
      <c r="H2170" s="109"/>
      <c r="I2170" s="109"/>
      <c r="J2170" s="109"/>
      <c r="K2170" s="109"/>
      <c r="L2170" s="109"/>
      <c r="M2170" s="109"/>
      <c r="N2170" s="109"/>
      <c r="O2170" s="109"/>
      <c r="P2170" s="109"/>
      <c r="Q2170" s="109"/>
      <c r="R2170" s="109"/>
      <c r="S2170" s="109"/>
      <c r="T2170" s="109"/>
      <c r="U2170" s="109"/>
    </row>
    <row r="2171" spans="1:21">
      <c r="A2171" s="109"/>
      <c r="B2171" s="109"/>
      <c r="C2171" s="109"/>
      <c r="D2171" s="109"/>
      <c r="E2171" s="109"/>
      <c r="F2171" s="109"/>
      <c r="G2171" s="109"/>
      <c r="H2171" s="109"/>
      <c r="I2171" s="109"/>
      <c r="J2171" s="109"/>
      <c r="K2171" s="109"/>
      <c r="L2171" s="109"/>
      <c r="M2171" s="109"/>
      <c r="N2171" s="109"/>
      <c r="O2171" s="109"/>
      <c r="P2171" s="109"/>
      <c r="Q2171" s="109"/>
      <c r="R2171" s="109"/>
      <c r="S2171" s="109"/>
      <c r="T2171" s="109"/>
      <c r="U2171" s="109"/>
    </row>
    <row r="2172" spans="1:21">
      <c r="A2172" s="109"/>
      <c r="B2172" s="109"/>
      <c r="C2172" s="109"/>
      <c r="D2172" s="109"/>
      <c r="E2172" s="109"/>
      <c r="F2172" s="109"/>
      <c r="G2172" s="109"/>
      <c r="H2172" s="109"/>
      <c r="I2172" s="109"/>
      <c r="J2172" s="109"/>
      <c r="K2172" s="109"/>
      <c r="L2172" s="109"/>
      <c r="M2172" s="109"/>
      <c r="N2172" s="109"/>
      <c r="O2172" s="109"/>
      <c r="P2172" s="109"/>
      <c r="Q2172" s="109"/>
      <c r="R2172" s="109"/>
      <c r="S2172" s="109"/>
      <c r="T2172" s="109"/>
      <c r="U2172" s="109"/>
    </row>
    <row r="2173" spans="1:21">
      <c r="A2173" s="109"/>
      <c r="B2173" s="109"/>
      <c r="C2173" s="109"/>
      <c r="D2173" s="109"/>
      <c r="E2173" s="109"/>
      <c r="F2173" s="109"/>
      <c r="G2173" s="109"/>
      <c r="H2173" s="109"/>
      <c r="I2173" s="109"/>
      <c r="J2173" s="109"/>
      <c r="K2173" s="109"/>
      <c r="L2173" s="109"/>
      <c r="M2173" s="109"/>
      <c r="N2173" s="109"/>
      <c r="O2173" s="109"/>
      <c r="P2173" s="109"/>
      <c r="Q2173" s="109"/>
      <c r="R2173" s="109"/>
      <c r="S2173" s="109"/>
      <c r="T2173" s="109"/>
      <c r="U2173" s="109"/>
    </row>
    <row r="2174" spans="1:21">
      <c r="A2174" s="109"/>
      <c r="B2174" s="109"/>
      <c r="C2174" s="109"/>
      <c r="D2174" s="109"/>
      <c r="E2174" s="109"/>
      <c r="F2174" s="109"/>
      <c r="G2174" s="109"/>
      <c r="H2174" s="109"/>
      <c r="I2174" s="109"/>
      <c r="J2174" s="109"/>
      <c r="K2174" s="109"/>
      <c r="L2174" s="109"/>
      <c r="M2174" s="109"/>
      <c r="N2174" s="109"/>
      <c r="O2174" s="109"/>
      <c r="P2174" s="109"/>
      <c r="Q2174" s="109"/>
      <c r="R2174" s="109"/>
      <c r="S2174" s="109"/>
      <c r="T2174" s="109"/>
      <c r="U2174" s="109"/>
    </row>
    <row r="2175" spans="1:21">
      <c r="A2175" s="109"/>
      <c r="B2175" s="109"/>
      <c r="C2175" s="109"/>
      <c r="D2175" s="109"/>
      <c r="E2175" s="109"/>
      <c r="F2175" s="109"/>
      <c r="G2175" s="109"/>
      <c r="H2175" s="109"/>
      <c r="I2175" s="109"/>
      <c r="J2175" s="109"/>
      <c r="K2175" s="109"/>
      <c r="L2175" s="109"/>
      <c r="M2175" s="109"/>
      <c r="N2175" s="109"/>
      <c r="O2175" s="109"/>
      <c r="P2175" s="109"/>
      <c r="Q2175" s="109"/>
      <c r="R2175" s="109"/>
      <c r="S2175" s="109"/>
      <c r="T2175" s="109"/>
      <c r="U2175" s="109"/>
    </row>
    <row r="2176" spans="1:21">
      <c r="A2176" s="109"/>
      <c r="B2176" s="109"/>
      <c r="C2176" s="109"/>
      <c r="D2176" s="109"/>
      <c r="E2176" s="109"/>
      <c r="F2176" s="109"/>
      <c r="G2176" s="109"/>
      <c r="H2176" s="109"/>
      <c r="I2176" s="109"/>
      <c r="J2176" s="109"/>
      <c r="K2176" s="109"/>
      <c r="L2176" s="109"/>
      <c r="M2176" s="109"/>
      <c r="N2176" s="109"/>
      <c r="O2176" s="109"/>
      <c r="P2176" s="109"/>
      <c r="Q2176" s="109"/>
      <c r="R2176" s="109"/>
      <c r="S2176" s="109"/>
      <c r="T2176" s="109"/>
      <c r="U2176" s="109"/>
    </row>
    <row r="2177" spans="1:21">
      <c r="A2177" s="109"/>
      <c r="B2177" s="109"/>
      <c r="C2177" s="109"/>
      <c r="D2177" s="109"/>
      <c r="E2177" s="109"/>
      <c r="F2177" s="109"/>
      <c r="G2177" s="109"/>
      <c r="H2177" s="109"/>
      <c r="I2177" s="109"/>
      <c r="J2177" s="109"/>
      <c r="K2177" s="109"/>
      <c r="L2177" s="109"/>
      <c r="M2177" s="109"/>
      <c r="N2177" s="109"/>
      <c r="O2177" s="109"/>
      <c r="P2177" s="109"/>
      <c r="Q2177" s="109"/>
      <c r="R2177" s="109"/>
      <c r="S2177" s="109"/>
      <c r="T2177" s="109"/>
      <c r="U2177" s="109"/>
    </row>
    <row r="2178" spans="1:21">
      <c r="A2178" s="109"/>
      <c r="B2178" s="109"/>
      <c r="C2178" s="109"/>
      <c r="D2178" s="109"/>
      <c r="E2178" s="109"/>
      <c r="F2178" s="109"/>
      <c r="G2178" s="109"/>
      <c r="H2178" s="109"/>
      <c r="I2178" s="109"/>
      <c r="J2178" s="109"/>
      <c r="K2178" s="109"/>
      <c r="L2178" s="109"/>
      <c r="M2178" s="109"/>
      <c r="N2178" s="109"/>
      <c r="O2178" s="109"/>
      <c r="P2178" s="109"/>
      <c r="Q2178" s="109"/>
      <c r="R2178" s="109"/>
      <c r="S2178" s="109"/>
      <c r="T2178" s="109"/>
      <c r="U2178" s="109"/>
    </row>
    <row r="2179" spans="1:21">
      <c r="A2179" s="109"/>
      <c r="B2179" s="109"/>
      <c r="C2179" s="109"/>
      <c r="D2179" s="109"/>
      <c r="E2179" s="109"/>
      <c r="F2179" s="109"/>
      <c r="G2179" s="109"/>
      <c r="H2179" s="109"/>
      <c r="I2179" s="109"/>
      <c r="J2179" s="109"/>
      <c r="K2179" s="109"/>
      <c r="L2179" s="109"/>
      <c r="M2179" s="109"/>
      <c r="N2179" s="109"/>
      <c r="O2179" s="109"/>
      <c r="P2179" s="109"/>
      <c r="Q2179" s="109"/>
      <c r="R2179" s="109"/>
      <c r="S2179" s="109"/>
      <c r="T2179" s="109"/>
      <c r="U2179" s="109"/>
    </row>
    <row r="2180" spans="1:21">
      <c r="A2180" s="109"/>
      <c r="B2180" s="109"/>
      <c r="C2180" s="109"/>
      <c r="D2180" s="109"/>
      <c r="E2180" s="109"/>
      <c r="F2180" s="109"/>
      <c r="G2180" s="109"/>
      <c r="H2180" s="109"/>
      <c r="I2180" s="109"/>
      <c r="J2180" s="109"/>
      <c r="K2180" s="109"/>
      <c r="L2180" s="109"/>
      <c r="M2180" s="109"/>
      <c r="N2180" s="109"/>
      <c r="O2180" s="109"/>
      <c r="P2180" s="109"/>
      <c r="Q2180" s="109"/>
      <c r="R2180" s="109"/>
      <c r="S2180" s="109"/>
      <c r="T2180" s="109"/>
      <c r="U2180" s="109"/>
    </row>
    <row r="2181" spans="1:21">
      <c r="A2181" s="109"/>
      <c r="B2181" s="109"/>
      <c r="C2181" s="109"/>
      <c r="D2181" s="109"/>
      <c r="E2181" s="109"/>
      <c r="F2181" s="109"/>
      <c r="G2181" s="109"/>
      <c r="H2181" s="109"/>
      <c r="I2181" s="109"/>
      <c r="J2181" s="109"/>
      <c r="K2181" s="109"/>
      <c r="L2181" s="109"/>
      <c r="M2181" s="109"/>
      <c r="N2181" s="109"/>
      <c r="O2181" s="109"/>
      <c r="P2181" s="109"/>
      <c r="Q2181" s="109"/>
      <c r="R2181" s="109"/>
      <c r="S2181" s="109"/>
      <c r="T2181" s="109"/>
      <c r="U2181" s="109"/>
    </row>
    <row r="2182" spans="1:21">
      <c r="A2182" s="109"/>
      <c r="B2182" s="109"/>
      <c r="C2182" s="109"/>
      <c r="D2182" s="109"/>
      <c r="E2182" s="109"/>
      <c r="F2182" s="109"/>
      <c r="G2182" s="109"/>
      <c r="H2182" s="109"/>
      <c r="I2182" s="109"/>
      <c r="J2182" s="109"/>
      <c r="K2182" s="109"/>
      <c r="L2182" s="109"/>
      <c r="M2182" s="109"/>
      <c r="N2182" s="109"/>
      <c r="O2182" s="109"/>
      <c r="P2182" s="109"/>
      <c r="Q2182" s="109"/>
      <c r="R2182" s="109"/>
      <c r="S2182" s="109"/>
      <c r="T2182" s="109"/>
      <c r="U2182" s="109"/>
    </row>
    <row r="2183" spans="1:21">
      <c r="A2183" s="109"/>
      <c r="B2183" s="109"/>
      <c r="C2183" s="109"/>
      <c r="D2183" s="109"/>
      <c r="E2183" s="109"/>
      <c r="F2183" s="109"/>
      <c r="G2183" s="109"/>
      <c r="H2183" s="109"/>
      <c r="I2183" s="109"/>
      <c r="J2183" s="109"/>
      <c r="K2183" s="109"/>
      <c r="L2183" s="109"/>
      <c r="M2183" s="109"/>
      <c r="N2183" s="109"/>
      <c r="O2183" s="109"/>
      <c r="P2183" s="109"/>
      <c r="Q2183" s="109"/>
      <c r="R2183" s="109"/>
      <c r="S2183" s="109"/>
      <c r="T2183" s="109"/>
      <c r="U2183" s="109"/>
    </row>
    <row r="2184" spans="1:21">
      <c r="A2184" s="109"/>
      <c r="B2184" s="109"/>
      <c r="C2184" s="109"/>
      <c r="D2184" s="109"/>
      <c r="E2184" s="109"/>
      <c r="F2184" s="109"/>
      <c r="G2184" s="109"/>
      <c r="H2184" s="109"/>
      <c r="I2184" s="109"/>
      <c r="J2184" s="109"/>
      <c r="K2184" s="109"/>
      <c r="L2184" s="109"/>
      <c r="M2184" s="109"/>
      <c r="N2184" s="109"/>
      <c r="O2184" s="109"/>
      <c r="P2184" s="109"/>
      <c r="Q2184" s="109"/>
      <c r="R2184" s="109"/>
      <c r="S2184" s="109"/>
      <c r="T2184" s="109"/>
      <c r="U2184" s="109"/>
    </row>
    <row r="2185" spans="1:21">
      <c r="A2185" s="109"/>
      <c r="B2185" s="109"/>
      <c r="C2185" s="109"/>
      <c r="D2185" s="109"/>
      <c r="E2185" s="109"/>
      <c r="F2185" s="109"/>
      <c r="G2185" s="109"/>
      <c r="H2185" s="109"/>
      <c r="I2185" s="109"/>
      <c r="J2185" s="109"/>
      <c r="K2185" s="109"/>
      <c r="L2185" s="109"/>
      <c r="M2185" s="109"/>
      <c r="N2185" s="109"/>
      <c r="O2185" s="109"/>
      <c r="P2185" s="109"/>
      <c r="Q2185" s="109"/>
      <c r="R2185" s="109"/>
      <c r="S2185" s="109"/>
      <c r="T2185" s="109"/>
      <c r="U2185" s="109"/>
    </row>
    <row r="2186" spans="1:21">
      <c r="A2186" s="109"/>
      <c r="B2186" s="109"/>
      <c r="C2186" s="109"/>
      <c r="D2186" s="109"/>
      <c r="E2186" s="109"/>
      <c r="F2186" s="109"/>
      <c r="G2186" s="109"/>
      <c r="H2186" s="109"/>
      <c r="I2186" s="109"/>
      <c r="J2186" s="109"/>
      <c r="K2186" s="109"/>
      <c r="L2186" s="109"/>
      <c r="M2186" s="109"/>
      <c r="N2186" s="109"/>
      <c r="O2186" s="109"/>
      <c r="P2186" s="109"/>
      <c r="Q2186" s="109"/>
      <c r="R2186" s="109"/>
      <c r="S2186" s="109"/>
      <c r="T2186" s="109"/>
      <c r="U2186" s="109"/>
    </row>
    <row r="2187" spans="1:21">
      <c r="A2187" s="109"/>
      <c r="B2187" s="109"/>
      <c r="C2187" s="109"/>
      <c r="D2187" s="109"/>
      <c r="E2187" s="109"/>
      <c r="F2187" s="109"/>
      <c r="G2187" s="109"/>
      <c r="H2187" s="109"/>
      <c r="I2187" s="109"/>
      <c r="J2187" s="109"/>
      <c r="K2187" s="109"/>
      <c r="L2187" s="109"/>
      <c r="M2187" s="109"/>
      <c r="N2187" s="109"/>
      <c r="O2187" s="109"/>
      <c r="P2187" s="109"/>
      <c r="Q2187" s="109"/>
      <c r="R2187" s="109"/>
      <c r="S2187" s="109"/>
      <c r="T2187" s="109"/>
      <c r="U2187" s="109"/>
    </row>
    <row r="2188" spans="1:21">
      <c r="A2188" s="109"/>
      <c r="B2188" s="109"/>
      <c r="C2188" s="109"/>
      <c r="D2188" s="109"/>
      <c r="E2188" s="109"/>
      <c r="F2188" s="109"/>
      <c r="G2188" s="109"/>
      <c r="H2188" s="109"/>
      <c r="I2188" s="109"/>
      <c r="J2188" s="109"/>
      <c r="K2188" s="109"/>
      <c r="L2188" s="109"/>
      <c r="M2188" s="109"/>
      <c r="N2188" s="109"/>
      <c r="O2188" s="109"/>
      <c r="P2188" s="109"/>
      <c r="Q2188" s="109"/>
      <c r="R2188" s="109"/>
      <c r="S2188" s="109"/>
      <c r="T2188" s="109"/>
      <c r="U2188" s="109"/>
    </row>
    <row r="2189" spans="1:21">
      <c r="A2189" s="109"/>
      <c r="B2189" s="109"/>
      <c r="C2189" s="109"/>
      <c r="D2189" s="109"/>
      <c r="E2189" s="109"/>
      <c r="F2189" s="109"/>
      <c r="G2189" s="109"/>
      <c r="H2189" s="109"/>
      <c r="I2189" s="109"/>
      <c r="J2189" s="109"/>
      <c r="K2189" s="109"/>
      <c r="L2189" s="109"/>
      <c r="M2189" s="109"/>
      <c r="N2189" s="109"/>
      <c r="O2189" s="109"/>
      <c r="P2189" s="109"/>
      <c r="Q2189" s="109"/>
      <c r="R2189" s="109"/>
      <c r="S2189" s="109"/>
      <c r="T2189" s="109"/>
      <c r="U2189" s="109"/>
    </row>
    <row r="2190" spans="1:21">
      <c r="A2190" s="109"/>
      <c r="B2190" s="109"/>
      <c r="C2190" s="109"/>
      <c r="D2190" s="109"/>
      <c r="E2190" s="109"/>
      <c r="F2190" s="109"/>
      <c r="G2190" s="109"/>
      <c r="H2190" s="109"/>
      <c r="I2190" s="109"/>
      <c r="J2190" s="109"/>
      <c r="K2190" s="109"/>
      <c r="L2190" s="109"/>
      <c r="M2190" s="109"/>
      <c r="N2190" s="109"/>
      <c r="O2190" s="109"/>
      <c r="P2190" s="109"/>
      <c r="Q2190" s="109"/>
      <c r="R2190" s="109"/>
      <c r="S2190" s="109"/>
      <c r="T2190" s="109"/>
      <c r="U2190" s="109"/>
    </row>
    <row r="2191" spans="1:21">
      <c r="A2191" s="109"/>
      <c r="B2191" s="109"/>
      <c r="C2191" s="109"/>
      <c r="D2191" s="109"/>
      <c r="E2191" s="109"/>
      <c r="F2191" s="109"/>
      <c r="G2191" s="109"/>
      <c r="H2191" s="109"/>
      <c r="I2191" s="109"/>
      <c r="J2191" s="109"/>
      <c r="K2191" s="109"/>
      <c r="L2191" s="109"/>
      <c r="M2191" s="109"/>
      <c r="N2191" s="109"/>
      <c r="O2191" s="109"/>
      <c r="P2191" s="109"/>
      <c r="Q2191" s="109"/>
      <c r="R2191" s="109"/>
      <c r="S2191" s="109"/>
      <c r="T2191" s="109"/>
      <c r="U2191" s="109"/>
    </row>
    <row r="2192" spans="1:21">
      <c r="A2192" s="109"/>
      <c r="B2192" s="109"/>
      <c r="C2192" s="109"/>
      <c r="D2192" s="109"/>
      <c r="E2192" s="109"/>
      <c r="F2192" s="109"/>
      <c r="G2192" s="109"/>
      <c r="H2192" s="109"/>
      <c r="I2192" s="109"/>
      <c r="J2192" s="109"/>
      <c r="K2192" s="109"/>
      <c r="L2192" s="109"/>
      <c r="M2192" s="109"/>
      <c r="N2192" s="109"/>
      <c r="O2192" s="109"/>
      <c r="P2192" s="109"/>
      <c r="Q2192" s="109"/>
      <c r="R2192" s="109"/>
      <c r="S2192" s="109"/>
      <c r="T2192" s="109"/>
      <c r="U2192" s="109"/>
    </row>
    <row r="2193" spans="1:21">
      <c r="A2193" s="109"/>
      <c r="B2193" s="109"/>
      <c r="C2193" s="109"/>
      <c r="D2193" s="109"/>
      <c r="E2193" s="109"/>
      <c r="F2193" s="109"/>
      <c r="G2193" s="109"/>
      <c r="H2193" s="109"/>
      <c r="I2193" s="109"/>
      <c r="J2193" s="109"/>
      <c r="K2193" s="109"/>
      <c r="L2193" s="109"/>
      <c r="M2193" s="109"/>
      <c r="N2193" s="109"/>
      <c r="O2193" s="109"/>
      <c r="P2193" s="109"/>
      <c r="Q2193" s="109"/>
      <c r="R2193" s="109"/>
      <c r="S2193" s="109"/>
      <c r="T2193" s="109"/>
      <c r="U2193" s="109"/>
    </row>
    <row r="2194" spans="1:21">
      <c r="A2194" s="109"/>
      <c r="B2194" s="109"/>
      <c r="C2194" s="109"/>
      <c r="D2194" s="109"/>
      <c r="E2194" s="109"/>
      <c r="F2194" s="109"/>
      <c r="G2194" s="109"/>
      <c r="H2194" s="109"/>
      <c r="I2194" s="109"/>
      <c r="J2194" s="109"/>
      <c r="K2194" s="109"/>
      <c r="L2194" s="109"/>
      <c r="M2194" s="109"/>
      <c r="N2194" s="109"/>
      <c r="O2194" s="109"/>
      <c r="P2194" s="109"/>
      <c r="Q2194" s="109"/>
      <c r="R2194" s="109"/>
      <c r="S2194" s="109"/>
      <c r="T2194" s="109"/>
      <c r="U2194" s="109"/>
    </row>
    <row r="2195" spans="1:21">
      <c r="A2195" s="109"/>
      <c r="B2195" s="109"/>
      <c r="C2195" s="109"/>
      <c r="D2195" s="109"/>
      <c r="E2195" s="109"/>
      <c r="F2195" s="109"/>
      <c r="G2195" s="109"/>
      <c r="H2195" s="109"/>
      <c r="I2195" s="109"/>
      <c r="J2195" s="109"/>
      <c r="K2195" s="109"/>
      <c r="L2195" s="109"/>
      <c r="M2195" s="109"/>
      <c r="N2195" s="109"/>
      <c r="O2195" s="109"/>
      <c r="P2195" s="109"/>
      <c r="Q2195" s="109"/>
      <c r="R2195" s="109"/>
      <c r="S2195" s="109"/>
      <c r="T2195" s="109"/>
      <c r="U2195" s="109"/>
    </row>
    <row r="2196" spans="1:21">
      <c r="A2196" s="109"/>
      <c r="B2196" s="109"/>
      <c r="C2196" s="109"/>
      <c r="D2196" s="109"/>
      <c r="E2196" s="109"/>
      <c r="F2196" s="109"/>
      <c r="G2196" s="109"/>
      <c r="H2196" s="109"/>
      <c r="I2196" s="109"/>
      <c r="J2196" s="109"/>
      <c r="K2196" s="109"/>
      <c r="L2196" s="109"/>
      <c r="M2196" s="109"/>
      <c r="N2196" s="109"/>
      <c r="O2196" s="109"/>
      <c r="P2196" s="109"/>
      <c r="Q2196" s="109"/>
      <c r="R2196" s="109"/>
      <c r="S2196" s="109"/>
      <c r="T2196" s="109"/>
      <c r="U2196" s="109"/>
    </row>
    <row r="2197" spans="1:21">
      <c r="A2197" s="109"/>
      <c r="B2197" s="109"/>
      <c r="C2197" s="109"/>
      <c r="D2197" s="109"/>
      <c r="E2197" s="109"/>
      <c r="F2197" s="109"/>
      <c r="G2197" s="109"/>
      <c r="H2197" s="109"/>
      <c r="I2197" s="109"/>
      <c r="J2197" s="109"/>
      <c r="K2197" s="109"/>
      <c r="L2197" s="109"/>
      <c r="M2197" s="109"/>
      <c r="N2197" s="109"/>
      <c r="O2197" s="109"/>
      <c r="P2197" s="109"/>
      <c r="Q2197" s="109"/>
      <c r="R2197" s="109"/>
      <c r="S2197" s="109"/>
      <c r="T2197" s="109"/>
      <c r="U2197" s="109"/>
    </row>
    <row r="2198" spans="1:21">
      <c r="A2198" s="109"/>
      <c r="B2198" s="109"/>
      <c r="C2198" s="109"/>
      <c r="D2198" s="109"/>
      <c r="E2198" s="109"/>
      <c r="F2198" s="109"/>
      <c r="G2198" s="109"/>
      <c r="H2198" s="109"/>
      <c r="I2198" s="109"/>
      <c r="J2198" s="109"/>
      <c r="K2198" s="109"/>
      <c r="L2198" s="109"/>
      <c r="M2198" s="109"/>
      <c r="N2198" s="109"/>
      <c r="O2198" s="109"/>
      <c r="P2198" s="109"/>
      <c r="Q2198" s="109"/>
      <c r="R2198" s="109"/>
      <c r="S2198" s="109"/>
      <c r="T2198" s="109"/>
      <c r="U2198" s="109"/>
    </row>
    <row r="2199" spans="1:21">
      <c r="A2199" s="109"/>
      <c r="B2199" s="109"/>
      <c r="C2199" s="109"/>
      <c r="D2199" s="109"/>
      <c r="E2199" s="109"/>
      <c r="F2199" s="109"/>
      <c r="G2199" s="109"/>
      <c r="H2199" s="109"/>
      <c r="I2199" s="109"/>
      <c r="J2199" s="109"/>
      <c r="K2199" s="109"/>
      <c r="L2199" s="109"/>
      <c r="M2199" s="109"/>
      <c r="N2199" s="109"/>
      <c r="O2199" s="109"/>
      <c r="P2199" s="109"/>
      <c r="Q2199" s="109"/>
      <c r="R2199" s="109"/>
      <c r="S2199" s="109"/>
      <c r="T2199" s="109"/>
      <c r="U2199" s="109"/>
    </row>
    <row r="2200" spans="1:21">
      <c r="A2200" s="109"/>
      <c r="B2200" s="109"/>
      <c r="C2200" s="109"/>
      <c r="D2200" s="109"/>
      <c r="E2200" s="109"/>
      <c r="F2200" s="109"/>
      <c r="G2200" s="109"/>
      <c r="H2200" s="109"/>
      <c r="I2200" s="109"/>
      <c r="J2200" s="109"/>
      <c r="K2200" s="109"/>
      <c r="L2200" s="109"/>
      <c r="M2200" s="109"/>
      <c r="N2200" s="109"/>
      <c r="O2200" s="109"/>
      <c r="P2200" s="109"/>
      <c r="Q2200" s="109"/>
      <c r="R2200" s="109"/>
      <c r="S2200" s="109"/>
      <c r="T2200" s="109"/>
      <c r="U2200" s="109"/>
    </row>
    <row r="2201" spans="1:21">
      <c r="A2201" s="109"/>
      <c r="B2201" s="109"/>
      <c r="C2201" s="109"/>
      <c r="D2201" s="109"/>
      <c r="E2201" s="109"/>
      <c r="F2201" s="109"/>
      <c r="G2201" s="109"/>
      <c r="H2201" s="109"/>
      <c r="I2201" s="109"/>
      <c r="J2201" s="109"/>
      <c r="K2201" s="109"/>
      <c r="L2201" s="109"/>
      <c r="M2201" s="109"/>
      <c r="N2201" s="109"/>
      <c r="O2201" s="109"/>
      <c r="P2201" s="109"/>
      <c r="Q2201" s="109"/>
      <c r="R2201" s="109"/>
      <c r="S2201" s="109"/>
      <c r="T2201" s="109"/>
      <c r="U2201" s="109"/>
    </row>
    <row r="2202" spans="1:21">
      <c r="A2202" s="109"/>
      <c r="B2202" s="109"/>
      <c r="C2202" s="109"/>
      <c r="D2202" s="109"/>
      <c r="E2202" s="109"/>
      <c r="F2202" s="109"/>
      <c r="G2202" s="109"/>
      <c r="H2202" s="109"/>
      <c r="I2202" s="109"/>
      <c r="J2202" s="109"/>
      <c r="K2202" s="109"/>
      <c r="L2202" s="109"/>
      <c r="M2202" s="109"/>
      <c r="N2202" s="109"/>
      <c r="O2202" s="109"/>
      <c r="P2202" s="109"/>
      <c r="Q2202" s="109"/>
      <c r="R2202" s="109"/>
      <c r="S2202" s="109"/>
      <c r="T2202" s="109"/>
      <c r="U2202" s="109"/>
    </row>
    <row r="2203" spans="1:21">
      <c r="A2203" s="109"/>
      <c r="B2203" s="109"/>
      <c r="C2203" s="109"/>
      <c r="D2203" s="109"/>
      <c r="E2203" s="109"/>
      <c r="F2203" s="109"/>
      <c r="G2203" s="109"/>
      <c r="H2203" s="109"/>
      <c r="I2203" s="109"/>
      <c r="J2203" s="109"/>
      <c r="K2203" s="109"/>
      <c r="L2203" s="109"/>
      <c r="M2203" s="109"/>
      <c r="N2203" s="109"/>
      <c r="O2203" s="109"/>
      <c r="P2203" s="109"/>
      <c r="Q2203" s="109"/>
      <c r="R2203" s="109"/>
      <c r="S2203" s="109"/>
      <c r="T2203" s="109"/>
      <c r="U2203" s="109"/>
    </row>
    <row r="2204" spans="1:21">
      <c r="A2204" s="109"/>
      <c r="B2204" s="109"/>
      <c r="C2204" s="109"/>
      <c r="D2204" s="109"/>
      <c r="E2204" s="109"/>
      <c r="F2204" s="109"/>
      <c r="G2204" s="109"/>
      <c r="H2204" s="109"/>
      <c r="I2204" s="109"/>
      <c r="J2204" s="109"/>
      <c r="K2204" s="109"/>
      <c r="L2204" s="109"/>
      <c r="M2204" s="109"/>
      <c r="N2204" s="109"/>
      <c r="O2204" s="109"/>
      <c r="P2204" s="109"/>
      <c r="Q2204" s="109"/>
      <c r="R2204" s="109"/>
      <c r="S2204" s="109"/>
      <c r="T2204" s="109"/>
      <c r="U2204" s="109"/>
    </row>
    <row r="2205" spans="1:21">
      <c r="A2205" s="109"/>
      <c r="B2205" s="109"/>
      <c r="C2205" s="109"/>
      <c r="D2205" s="109"/>
      <c r="E2205" s="109"/>
      <c r="F2205" s="109"/>
      <c r="G2205" s="109"/>
      <c r="H2205" s="109"/>
      <c r="I2205" s="109"/>
      <c r="J2205" s="109"/>
      <c r="K2205" s="109"/>
      <c r="L2205" s="109"/>
      <c r="M2205" s="109"/>
      <c r="N2205" s="109"/>
      <c r="O2205" s="109"/>
      <c r="P2205" s="109"/>
      <c r="Q2205" s="109"/>
      <c r="R2205" s="109"/>
      <c r="S2205" s="109"/>
      <c r="T2205" s="109"/>
      <c r="U2205" s="109"/>
    </row>
    <row r="2206" spans="1:21">
      <c r="A2206" s="109"/>
      <c r="B2206" s="109"/>
      <c r="C2206" s="109"/>
      <c r="D2206" s="109"/>
      <c r="E2206" s="109"/>
      <c r="F2206" s="109"/>
      <c r="G2206" s="109"/>
      <c r="H2206" s="109"/>
      <c r="I2206" s="109"/>
      <c r="J2206" s="109"/>
      <c r="K2206" s="109"/>
      <c r="L2206" s="109"/>
      <c r="M2206" s="109"/>
      <c r="N2206" s="109"/>
      <c r="O2206" s="109"/>
      <c r="P2206" s="109"/>
      <c r="Q2206" s="109"/>
      <c r="R2206" s="109"/>
      <c r="S2206" s="109"/>
      <c r="T2206" s="109"/>
      <c r="U2206" s="109"/>
    </row>
    <row r="2207" spans="1:21">
      <c r="A2207" s="109"/>
      <c r="B2207" s="109"/>
      <c r="C2207" s="109"/>
      <c r="D2207" s="109"/>
      <c r="E2207" s="109"/>
      <c r="F2207" s="109"/>
      <c r="G2207" s="109"/>
      <c r="H2207" s="109"/>
      <c r="I2207" s="109"/>
      <c r="J2207" s="109"/>
      <c r="K2207" s="109"/>
      <c r="L2207" s="109"/>
      <c r="M2207" s="109"/>
      <c r="N2207" s="109"/>
      <c r="O2207" s="109"/>
      <c r="P2207" s="109"/>
      <c r="Q2207" s="109"/>
      <c r="R2207" s="109"/>
      <c r="S2207" s="109"/>
      <c r="T2207" s="109"/>
      <c r="U2207" s="109"/>
    </row>
    <row r="2208" spans="1:21">
      <c r="A2208" s="109"/>
      <c r="B2208" s="109"/>
      <c r="C2208" s="109"/>
      <c r="D2208" s="109"/>
      <c r="E2208" s="109"/>
      <c r="F2208" s="109"/>
      <c r="G2208" s="109"/>
      <c r="H2208" s="109"/>
      <c r="I2208" s="109"/>
      <c r="J2208" s="109"/>
      <c r="K2208" s="109"/>
      <c r="L2208" s="109"/>
      <c r="M2208" s="109"/>
      <c r="N2208" s="109"/>
      <c r="O2208" s="109"/>
      <c r="P2208" s="109"/>
      <c r="Q2208" s="109"/>
      <c r="R2208" s="109"/>
      <c r="S2208" s="109"/>
      <c r="T2208" s="109"/>
      <c r="U2208" s="109"/>
    </row>
    <row r="2209" spans="1:21">
      <c r="A2209" s="109"/>
      <c r="B2209" s="109"/>
      <c r="C2209" s="109"/>
      <c r="D2209" s="109"/>
      <c r="E2209" s="109"/>
      <c r="F2209" s="109"/>
      <c r="G2209" s="109"/>
      <c r="H2209" s="109"/>
      <c r="I2209" s="109"/>
      <c r="J2209" s="109"/>
      <c r="K2209" s="109"/>
      <c r="L2209" s="109"/>
      <c r="M2209" s="109"/>
      <c r="N2209" s="109"/>
      <c r="O2209" s="109"/>
      <c r="P2209" s="109"/>
      <c r="Q2209" s="109"/>
      <c r="R2209" s="109"/>
      <c r="S2209" s="109"/>
      <c r="T2209" s="109"/>
      <c r="U2209" s="109"/>
    </row>
    <row r="2210" spans="1:21">
      <c r="A2210" s="109"/>
      <c r="B2210" s="109"/>
      <c r="C2210" s="109"/>
      <c r="D2210" s="109"/>
      <c r="E2210" s="109"/>
      <c r="F2210" s="109"/>
      <c r="G2210" s="109"/>
      <c r="H2210" s="109"/>
      <c r="I2210" s="109"/>
      <c r="J2210" s="109"/>
      <c r="K2210" s="109"/>
      <c r="L2210" s="109"/>
      <c r="M2210" s="109"/>
      <c r="N2210" s="109"/>
      <c r="O2210" s="109"/>
      <c r="P2210" s="109"/>
      <c r="Q2210" s="109"/>
      <c r="R2210" s="109"/>
      <c r="S2210" s="109"/>
      <c r="T2210" s="109"/>
      <c r="U2210" s="109"/>
    </row>
    <row r="2211" spans="1:21">
      <c r="A2211" s="109"/>
      <c r="B2211" s="109"/>
      <c r="C2211" s="109"/>
      <c r="D2211" s="109"/>
      <c r="E2211" s="109"/>
      <c r="F2211" s="109"/>
      <c r="G2211" s="109"/>
      <c r="H2211" s="109"/>
      <c r="I2211" s="109"/>
      <c r="J2211" s="109"/>
      <c r="K2211" s="109"/>
      <c r="L2211" s="109"/>
      <c r="M2211" s="109"/>
      <c r="N2211" s="109"/>
      <c r="O2211" s="109"/>
      <c r="P2211" s="109"/>
      <c r="Q2211" s="109"/>
      <c r="R2211" s="109"/>
      <c r="S2211" s="109"/>
      <c r="T2211" s="109"/>
      <c r="U2211" s="109"/>
    </row>
    <row r="2212" spans="1:21">
      <c r="A2212" s="109"/>
      <c r="B2212" s="109"/>
      <c r="C2212" s="109"/>
      <c r="D2212" s="109"/>
      <c r="E2212" s="109"/>
      <c r="F2212" s="109"/>
      <c r="G2212" s="109"/>
      <c r="H2212" s="109"/>
      <c r="I2212" s="109"/>
      <c r="J2212" s="109"/>
      <c r="K2212" s="109"/>
      <c r="L2212" s="109"/>
      <c r="M2212" s="109"/>
      <c r="N2212" s="109"/>
      <c r="O2212" s="109"/>
      <c r="P2212" s="109"/>
      <c r="Q2212" s="109"/>
      <c r="R2212" s="109"/>
      <c r="S2212" s="109"/>
      <c r="T2212" s="109"/>
      <c r="U2212" s="109"/>
    </row>
    <row r="2213" spans="1:21">
      <c r="A2213" s="109"/>
      <c r="B2213" s="109"/>
      <c r="C2213" s="109"/>
      <c r="D2213" s="109"/>
      <c r="E2213" s="109"/>
      <c r="F2213" s="109"/>
      <c r="G2213" s="109"/>
      <c r="H2213" s="109"/>
      <c r="I2213" s="109"/>
      <c r="J2213" s="109"/>
      <c r="K2213" s="109"/>
      <c r="L2213" s="109"/>
      <c r="M2213" s="109"/>
      <c r="N2213" s="109"/>
      <c r="O2213" s="109"/>
      <c r="P2213" s="109"/>
      <c r="Q2213" s="109"/>
      <c r="R2213" s="109"/>
      <c r="S2213" s="109"/>
      <c r="T2213" s="109"/>
      <c r="U2213" s="109"/>
    </row>
    <row r="2214" spans="1:21">
      <c r="A2214" s="109"/>
      <c r="B2214" s="109"/>
      <c r="C2214" s="109"/>
      <c r="D2214" s="109"/>
      <c r="E2214" s="109"/>
      <c r="F2214" s="109"/>
      <c r="G2214" s="109"/>
      <c r="H2214" s="109"/>
      <c r="I2214" s="109"/>
      <c r="J2214" s="109"/>
      <c r="K2214" s="109"/>
      <c r="L2214" s="109"/>
      <c r="M2214" s="109"/>
      <c r="N2214" s="109"/>
      <c r="O2214" s="109"/>
      <c r="P2214" s="109"/>
      <c r="Q2214" s="109"/>
      <c r="R2214" s="109"/>
      <c r="S2214" s="109"/>
      <c r="T2214" s="109"/>
      <c r="U2214" s="109"/>
    </row>
    <row r="2215" spans="1:21">
      <c r="A2215" s="109"/>
      <c r="B2215" s="109"/>
      <c r="C2215" s="109"/>
      <c r="D2215" s="109"/>
      <c r="E2215" s="109"/>
      <c r="F2215" s="109"/>
      <c r="G2215" s="109"/>
      <c r="H2215" s="109"/>
      <c r="I2215" s="109"/>
      <c r="J2215" s="109"/>
      <c r="K2215" s="109"/>
      <c r="L2215" s="109"/>
      <c r="M2215" s="109"/>
      <c r="N2215" s="109"/>
      <c r="O2215" s="109"/>
      <c r="P2215" s="109"/>
      <c r="Q2215" s="109"/>
      <c r="R2215" s="109"/>
      <c r="S2215" s="109"/>
      <c r="T2215" s="109"/>
      <c r="U2215" s="109"/>
    </row>
    <row r="2216" spans="1:21">
      <c r="A2216" s="109"/>
      <c r="B2216" s="109"/>
      <c r="C2216" s="109"/>
      <c r="D2216" s="109"/>
      <c r="E2216" s="109"/>
      <c r="F2216" s="109"/>
      <c r="G2216" s="109"/>
      <c r="H2216" s="109"/>
      <c r="I2216" s="109"/>
      <c r="J2216" s="109"/>
      <c r="K2216" s="109"/>
      <c r="L2216" s="109"/>
      <c r="M2216" s="109"/>
      <c r="N2216" s="109"/>
      <c r="O2216" s="109"/>
      <c r="P2216" s="109"/>
      <c r="Q2216" s="109"/>
      <c r="R2216" s="109"/>
      <c r="S2216" s="109"/>
      <c r="T2216" s="109"/>
      <c r="U2216" s="109"/>
    </row>
    <row r="2217" spans="1:21">
      <c r="A2217" s="109"/>
      <c r="B2217" s="109"/>
      <c r="C2217" s="109"/>
      <c r="D2217" s="109"/>
      <c r="E2217" s="109"/>
      <c r="F2217" s="109"/>
      <c r="G2217" s="109"/>
      <c r="H2217" s="109"/>
      <c r="I2217" s="109"/>
      <c r="J2217" s="109"/>
      <c r="K2217" s="109"/>
      <c r="L2217" s="109"/>
      <c r="M2217" s="109"/>
      <c r="N2217" s="109"/>
      <c r="O2217" s="109"/>
      <c r="P2217" s="109"/>
      <c r="Q2217" s="109"/>
      <c r="R2217" s="109"/>
      <c r="S2217" s="109"/>
      <c r="T2217" s="109"/>
      <c r="U2217" s="109"/>
    </row>
    <row r="2218" spans="1:21">
      <c r="A2218" s="109"/>
      <c r="B2218" s="109"/>
      <c r="C2218" s="109"/>
      <c r="D2218" s="109"/>
      <c r="E2218" s="109"/>
      <c r="F2218" s="109"/>
      <c r="G2218" s="109"/>
      <c r="H2218" s="109"/>
      <c r="I2218" s="109"/>
      <c r="J2218" s="109"/>
      <c r="K2218" s="109"/>
      <c r="L2218" s="109"/>
      <c r="M2218" s="109"/>
      <c r="N2218" s="109"/>
      <c r="O2218" s="109"/>
      <c r="P2218" s="109"/>
      <c r="Q2218" s="109"/>
      <c r="R2218" s="109"/>
      <c r="S2218" s="109"/>
      <c r="T2218" s="109"/>
      <c r="U2218" s="109"/>
    </row>
    <row r="2219" spans="1:21">
      <c r="A2219" s="109"/>
      <c r="B2219" s="109"/>
      <c r="C2219" s="109"/>
      <c r="D2219" s="109"/>
      <c r="E2219" s="109"/>
      <c r="F2219" s="109"/>
      <c r="G2219" s="109"/>
      <c r="H2219" s="109"/>
      <c r="I2219" s="109"/>
      <c r="J2219" s="109"/>
      <c r="K2219" s="109"/>
      <c r="L2219" s="109"/>
      <c r="M2219" s="109"/>
      <c r="N2219" s="109"/>
      <c r="O2219" s="109"/>
      <c r="P2219" s="109"/>
      <c r="Q2219" s="109"/>
      <c r="R2219" s="109"/>
      <c r="S2219" s="109"/>
      <c r="T2219" s="109"/>
      <c r="U2219" s="109"/>
    </row>
    <row r="2220" spans="1:21">
      <c r="A2220" s="109"/>
      <c r="B2220" s="109"/>
      <c r="C2220" s="109"/>
      <c r="D2220" s="109"/>
      <c r="E2220" s="109"/>
      <c r="F2220" s="109"/>
      <c r="G2220" s="109"/>
      <c r="H2220" s="109"/>
      <c r="I2220" s="109"/>
      <c r="J2220" s="109"/>
      <c r="K2220" s="109"/>
      <c r="L2220" s="109"/>
      <c r="M2220" s="109"/>
      <c r="N2220" s="109"/>
      <c r="O2220" s="109"/>
      <c r="P2220" s="109"/>
      <c r="Q2220" s="109"/>
      <c r="R2220" s="109"/>
      <c r="S2220" s="109"/>
      <c r="T2220" s="109"/>
      <c r="U2220" s="109"/>
    </row>
    <row r="2221" spans="1:21">
      <c r="A2221" s="109"/>
      <c r="B2221" s="109"/>
      <c r="C2221" s="109"/>
      <c r="D2221" s="109"/>
      <c r="E2221" s="109"/>
      <c r="F2221" s="109"/>
      <c r="G2221" s="109"/>
      <c r="H2221" s="109"/>
      <c r="I2221" s="109"/>
      <c r="J2221" s="109"/>
      <c r="K2221" s="109"/>
      <c r="L2221" s="109"/>
      <c r="M2221" s="109"/>
      <c r="N2221" s="109"/>
      <c r="O2221" s="109"/>
      <c r="P2221" s="109"/>
      <c r="Q2221" s="109"/>
      <c r="R2221" s="109"/>
      <c r="S2221" s="109"/>
      <c r="T2221" s="109"/>
      <c r="U2221" s="109"/>
    </row>
    <row r="2222" spans="1:21">
      <c r="A2222" s="109"/>
      <c r="B2222" s="109"/>
      <c r="C2222" s="109"/>
      <c r="D2222" s="109"/>
      <c r="E2222" s="109"/>
      <c r="F2222" s="109"/>
      <c r="G2222" s="109"/>
      <c r="H2222" s="109"/>
      <c r="I2222" s="109"/>
      <c r="J2222" s="109"/>
      <c r="K2222" s="109"/>
      <c r="L2222" s="109"/>
      <c r="M2222" s="109"/>
      <c r="N2222" s="109"/>
      <c r="O2222" s="109"/>
      <c r="P2222" s="109"/>
      <c r="Q2222" s="109"/>
      <c r="R2222" s="109"/>
      <c r="S2222" s="109"/>
      <c r="T2222" s="109"/>
      <c r="U2222" s="109"/>
    </row>
    <row r="2223" spans="1:21">
      <c r="A2223" s="109"/>
      <c r="B2223" s="109"/>
      <c r="C2223" s="109"/>
      <c r="D2223" s="109"/>
      <c r="E2223" s="109"/>
      <c r="F2223" s="109"/>
      <c r="G2223" s="109"/>
      <c r="H2223" s="109"/>
      <c r="I2223" s="109"/>
      <c r="J2223" s="109"/>
      <c r="K2223" s="109"/>
      <c r="L2223" s="109"/>
      <c r="M2223" s="109"/>
      <c r="N2223" s="109"/>
      <c r="O2223" s="109"/>
      <c r="P2223" s="109"/>
      <c r="Q2223" s="109"/>
      <c r="R2223" s="109"/>
      <c r="S2223" s="109"/>
      <c r="T2223" s="109"/>
      <c r="U2223" s="109"/>
    </row>
    <row r="2224" spans="1:21">
      <c r="A2224" s="109"/>
      <c r="B2224" s="109"/>
      <c r="C2224" s="109"/>
      <c r="D2224" s="109"/>
      <c r="E2224" s="109"/>
      <c r="F2224" s="109"/>
      <c r="G2224" s="109"/>
      <c r="H2224" s="109"/>
      <c r="I2224" s="109"/>
      <c r="J2224" s="109"/>
      <c r="K2224" s="109"/>
      <c r="L2224" s="109"/>
      <c r="M2224" s="109"/>
      <c r="N2224" s="109"/>
      <c r="O2224" s="109"/>
      <c r="P2224" s="109"/>
      <c r="Q2224" s="109"/>
      <c r="R2224" s="109"/>
      <c r="S2224" s="109"/>
      <c r="T2224" s="109"/>
      <c r="U2224" s="109"/>
    </row>
    <row r="2225" spans="1:21">
      <c r="A2225" s="109"/>
      <c r="B2225" s="109"/>
      <c r="C2225" s="109"/>
      <c r="D2225" s="109"/>
      <c r="E2225" s="109"/>
      <c r="F2225" s="109"/>
      <c r="G2225" s="109"/>
      <c r="H2225" s="109"/>
      <c r="I2225" s="109"/>
      <c r="J2225" s="109"/>
      <c r="K2225" s="109"/>
      <c r="L2225" s="109"/>
      <c r="M2225" s="109"/>
      <c r="N2225" s="109"/>
      <c r="O2225" s="109"/>
      <c r="P2225" s="109"/>
      <c r="Q2225" s="109"/>
      <c r="R2225" s="109"/>
      <c r="S2225" s="109"/>
      <c r="T2225" s="109"/>
      <c r="U2225" s="109"/>
    </row>
    <row r="2226" spans="1:21">
      <c r="A2226" s="109"/>
      <c r="B2226" s="109"/>
      <c r="C2226" s="109"/>
      <c r="D2226" s="109"/>
      <c r="E2226" s="109"/>
      <c r="F2226" s="109"/>
      <c r="G2226" s="109"/>
      <c r="H2226" s="109"/>
      <c r="I2226" s="109"/>
      <c r="J2226" s="109"/>
      <c r="K2226" s="109"/>
      <c r="L2226" s="109"/>
      <c r="M2226" s="109"/>
      <c r="N2226" s="109"/>
      <c r="O2226" s="109"/>
      <c r="P2226" s="109"/>
      <c r="Q2226" s="109"/>
      <c r="R2226" s="109"/>
      <c r="S2226" s="109"/>
      <c r="T2226" s="109"/>
      <c r="U2226" s="109"/>
    </row>
    <row r="2227" spans="1:21">
      <c r="A2227" s="109"/>
      <c r="B2227" s="109"/>
      <c r="C2227" s="109"/>
      <c r="D2227" s="109"/>
      <c r="E2227" s="109"/>
      <c r="F2227" s="109"/>
      <c r="G2227" s="109"/>
      <c r="H2227" s="109"/>
      <c r="I2227" s="109"/>
      <c r="J2227" s="109"/>
      <c r="K2227" s="109"/>
      <c r="L2227" s="109"/>
      <c r="M2227" s="109"/>
      <c r="N2227" s="109"/>
      <c r="O2227" s="109"/>
      <c r="P2227" s="109"/>
      <c r="Q2227" s="109"/>
      <c r="R2227" s="109"/>
      <c r="S2227" s="109"/>
      <c r="T2227" s="109"/>
      <c r="U2227" s="109"/>
    </row>
    <row r="2228" spans="1:21">
      <c r="A2228" s="109"/>
      <c r="B2228" s="109"/>
      <c r="C2228" s="109"/>
      <c r="D2228" s="109"/>
      <c r="E2228" s="109"/>
      <c r="F2228" s="109"/>
      <c r="G2228" s="109"/>
      <c r="H2228" s="109"/>
      <c r="I2228" s="109"/>
      <c r="J2228" s="109"/>
      <c r="K2228" s="109"/>
      <c r="L2228" s="109"/>
      <c r="M2228" s="109"/>
      <c r="N2228" s="109"/>
      <c r="O2228" s="109"/>
      <c r="P2228" s="109"/>
      <c r="Q2228" s="109"/>
      <c r="R2228" s="109"/>
      <c r="S2228" s="109"/>
      <c r="T2228" s="109"/>
      <c r="U2228" s="109"/>
    </row>
    <row r="2229" spans="1:21">
      <c r="A2229" s="109"/>
      <c r="B2229" s="109"/>
      <c r="C2229" s="109"/>
      <c r="D2229" s="109"/>
      <c r="E2229" s="109"/>
      <c r="F2229" s="109"/>
      <c r="G2229" s="109"/>
      <c r="H2229" s="109"/>
      <c r="I2229" s="109"/>
      <c r="J2229" s="109"/>
      <c r="K2229" s="109"/>
      <c r="L2229" s="109"/>
      <c r="M2229" s="109"/>
      <c r="N2229" s="109"/>
      <c r="O2229" s="109"/>
      <c r="P2229" s="109"/>
      <c r="Q2229" s="109"/>
      <c r="R2229" s="109"/>
      <c r="S2229" s="109"/>
      <c r="T2229" s="109"/>
      <c r="U2229" s="109"/>
    </row>
    <row r="2230" spans="1:21">
      <c r="A2230" s="109"/>
      <c r="B2230" s="109"/>
      <c r="C2230" s="109"/>
      <c r="D2230" s="109"/>
      <c r="E2230" s="109"/>
      <c r="F2230" s="109"/>
      <c r="G2230" s="109"/>
      <c r="H2230" s="109"/>
      <c r="I2230" s="109"/>
      <c r="J2230" s="109"/>
      <c r="K2230" s="109"/>
      <c r="L2230" s="109"/>
      <c r="M2230" s="109"/>
      <c r="N2230" s="109"/>
      <c r="O2230" s="109"/>
      <c r="P2230" s="109"/>
      <c r="Q2230" s="109"/>
      <c r="R2230" s="109"/>
      <c r="S2230" s="109"/>
      <c r="T2230" s="109"/>
      <c r="U2230" s="109"/>
    </row>
    <row r="2231" spans="1:21">
      <c r="A2231" s="109"/>
      <c r="B2231" s="109"/>
      <c r="C2231" s="109"/>
      <c r="D2231" s="109"/>
      <c r="E2231" s="109"/>
      <c r="F2231" s="109"/>
      <c r="G2231" s="109"/>
      <c r="H2231" s="109"/>
      <c r="I2231" s="109"/>
      <c r="J2231" s="109"/>
      <c r="K2231" s="109"/>
      <c r="L2231" s="109"/>
      <c r="M2231" s="109"/>
      <c r="N2231" s="109"/>
      <c r="O2231" s="109"/>
      <c r="P2231" s="109"/>
      <c r="Q2231" s="109"/>
      <c r="R2231" s="109"/>
      <c r="S2231" s="109"/>
      <c r="T2231" s="109"/>
      <c r="U2231" s="109"/>
    </row>
    <row r="2232" spans="1:21">
      <c r="A2232" s="109"/>
      <c r="B2232" s="109"/>
      <c r="C2232" s="109"/>
      <c r="D2232" s="109"/>
      <c r="E2232" s="109"/>
      <c r="F2232" s="109"/>
      <c r="G2232" s="109"/>
      <c r="H2232" s="109"/>
      <c r="I2232" s="109"/>
      <c r="J2232" s="109"/>
      <c r="K2232" s="109"/>
      <c r="L2232" s="109"/>
      <c r="M2232" s="109"/>
      <c r="N2232" s="109"/>
      <c r="O2232" s="109"/>
      <c r="P2232" s="109"/>
      <c r="Q2232" s="109"/>
      <c r="R2232" s="109"/>
      <c r="S2232" s="109"/>
      <c r="T2232" s="109"/>
      <c r="U2232" s="109"/>
    </row>
    <row r="2233" spans="1:21">
      <c r="A2233" s="109"/>
      <c r="B2233" s="109"/>
      <c r="C2233" s="109"/>
      <c r="D2233" s="109"/>
      <c r="E2233" s="109"/>
      <c r="F2233" s="109"/>
      <c r="G2233" s="109"/>
      <c r="H2233" s="109"/>
      <c r="I2233" s="109"/>
      <c r="J2233" s="109"/>
      <c r="K2233" s="109"/>
      <c r="L2233" s="109"/>
      <c r="M2233" s="109"/>
      <c r="N2233" s="109"/>
      <c r="O2233" s="109"/>
      <c r="P2233" s="109"/>
      <c r="Q2233" s="109"/>
      <c r="R2233" s="109"/>
      <c r="S2233" s="109"/>
      <c r="T2233" s="109"/>
      <c r="U2233" s="109"/>
    </row>
    <row r="2234" spans="1:21">
      <c r="A2234" s="109"/>
      <c r="B2234" s="109"/>
      <c r="C2234" s="109"/>
      <c r="D2234" s="109"/>
      <c r="E2234" s="109"/>
      <c r="F2234" s="109"/>
      <c r="G2234" s="109"/>
      <c r="H2234" s="109"/>
      <c r="I2234" s="109"/>
      <c r="J2234" s="109"/>
      <c r="K2234" s="109"/>
      <c r="L2234" s="109"/>
      <c r="M2234" s="109"/>
      <c r="N2234" s="109"/>
      <c r="O2234" s="109"/>
      <c r="P2234" s="109"/>
      <c r="Q2234" s="109"/>
      <c r="R2234" s="109"/>
      <c r="S2234" s="109"/>
      <c r="T2234" s="109"/>
      <c r="U2234" s="109"/>
    </row>
    <row r="2235" spans="1:21">
      <c r="A2235" s="109"/>
      <c r="B2235" s="109"/>
      <c r="C2235" s="109"/>
      <c r="D2235" s="109"/>
      <c r="E2235" s="109"/>
      <c r="F2235" s="109"/>
      <c r="G2235" s="109"/>
      <c r="H2235" s="109"/>
      <c r="I2235" s="109"/>
      <c r="J2235" s="109"/>
      <c r="K2235" s="109"/>
      <c r="L2235" s="109"/>
      <c r="M2235" s="109"/>
      <c r="N2235" s="109"/>
      <c r="O2235" s="109"/>
      <c r="P2235" s="109"/>
      <c r="Q2235" s="109"/>
      <c r="R2235" s="109"/>
      <c r="S2235" s="109"/>
      <c r="T2235" s="109"/>
      <c r="U2235" s="109"/>
    </row>
    <row r="2236" spans="1:21">
      <c r="A2236" s="109"/>
      <c r="B2236" s="109"/>
      <c r="C2236" s="109"/>
      <c r="D2236" s="109"/>
      <c r="E2236" s="109"/>
      <c r="F2236" s="109"/>
      <c r="G2236" s="109"/>
      <c r="H2236" s="109"/>
      <c r="I2236" s="109"/>
      <c r="J2236" s="109"/>
      <c r="K2236" s="109"/>
      <c r="L2236" s="109"/>
      <c r="M2236" s="109"/>
      <c r="N2236" s="109"/>
      <c r="O2236" s="109"/>
      <c r="P2236" s="109"/>
      <c r="Q2236" s="109"/>
      <c r="R2236" s="109"/>
      <c r="S2236" s="109"/>
      <c r="T2236" s="109"/>
      <c r="U2236" s="109"/>
    </row>
    <row r="2237" spans="1:21">
      <c r="A2237" s="109"/>
      <c r="B2237" s="109"/>
      <c r="C2237" s="109"/>
      <c r="D2237" s="109"/>
      <c r="E2237" s="109"/>
      <c r="F2237" s="109"/>
      <c r="G2237" s="109"/>
      <c r="H2237" s="109"/>
      <c r="I2237" s="109"/>
      <c r="J2237" s="109"/>
      <c r="K2237" s="109"/>
      <c r="L2237" s="109"/>
      <c r="M2237" s="109"/>
      <c r="N2237" s="109"/>
      <c r="O2237" s="109"/>
      <c r="P2237" s="109"/>
      <c r="Q2237" s="109"/>
      <c r="R2237" s="109"/>
      <c r="S2237" s="109"/>
      <c r="T2237" s="109"/>
      <c r="U2237" s="109"/>
    </row>
    <row r="2238" spans="1:21">
      <c r="A2238" s="109"/>
      <c r="B2238" s="109"/>
      <c r="C2238" s="109"/>
      <c r="D2238" s="109"/>
      <c r="E2238" s="109"/>
      <c r="F2238" s="109"/>
      <c r="G2238" s="109"/>
      <c r="H2238" s="109"/>
      <c r="I2238" s="109"/>
      <c r="J2238" s="109"/>
      <c r="K2238" s="109"/>
      <c r="L2238" s="109"/>
      <c r="M2238" s="109"/>
      <c r="N2238" s="109"/>
      <c r="O2238" s="109"/>
      <c r="P2238" s="109"/>
      <c r="Q2238" s="109"/>
      <c r="R2238" s="109"/>
      <c r="S2238" s="109"/>
      <c r="T2238" s="109"/>
      <c r="U2238" s="109"/>
    </row>
    <row r="2239" spans="1:21">
      <c r="A2239" s="109"/>
      <c r="B2239" s="109"/>
      <c r="C2239" s="109"/>
      <c r="D2239" s="109"/>
      <c r="E2239" s="109"/>
      <c r="F2239" s="109"/>
      <c r="G2239" s="109"/>
      <c r="H2239" s="109"/>
      <c r="I2239" s="109"/>
      <c r="J2239" s="109"/>
      <c r="K2239" s="109"/>
      <c r="L2239" s="109"/>
      <c r="M2239" s="109"/>
      <c r="N2239" s="109"/>
      <c r="O2239" s="109"/>
      <c r="P2239" s="109"/>
      <c r="Q2239" s="109"/>
      <c r="R2239" s="109"/>
      <c r="S2239" s="109"/>
      <c r="T2239" s="109"/>
      <c r="U2239" s="109"/>
    </row>
    <row r="2240" spans="1:21">
      <c r="A2240" s="109"/>
      <c r="B2240" s="109"/>
      <c r="C2240" s="109"/>
      <c r="D2240" s="109"/>
      <c r="E2240" s="109"/>
      <c r="F2240" s="109"/>
      <c r="G2240" s="109"/>
      <c r="H2240" s="109"/>
      <c r="I2240" s="109"/>
      <c r="J2240" s="109"/>
      <c r="K2240" s="109"/>
      <c r="L2240" s="109"/>
      <c r="M2240" s="109"/>
      <c r="N2240" s="109"/>
      <c r="O2240" s="109"/>
      <c r="P2240" s="109"/>
      <c r="Q2240" s="109"/>
      <c r="R2240" s="109"/>
      <c r="S2240" s="109"/>
      <c r="T2240" s="109"/>
      <c r="U2240" s="109"/>
    </row>
    <row r="2241" spans="1:21">
      <c r="A2241" s="109"/>
      <c r="B2241" s="109"/>
      <c r="C2241" s="109"/>
      <c r="D2241" s="109"/>
      <c r="E2241" s="109"/>
      <c r="F2241" s="109"/>
      <c r="G2241" s="109"/>
      <c r="H2241" s="109"/>
      <c r="I2241" s="109"/>
      <c r="J2241" s="109"/>
      <c r="K2241" s="109"/>
      <c r="L2241" s="109"/>
      <c r="M2241" s="109"/>
      <c r="N2241" s="109"/>
      <c r="O2241" s="109"/>
      <c r="P2241" s="109"/>
      <c r="Q2241" s="109"/>
      <c r="R2241" s="109"/>
      <c r="S2241" s="109"/>
      <c r="T2241" s="109"/>
      <c r="U2241" s="109"/>
    </row>
    <row r="2242" spans="1:21">
      <c r="A2242" s="109"/>
      <c r="B2242" s="109"/>
      <c r="C2242" s="109"/>
      <c r="D2242" s="109"/>
      <c r="E2242" s="109"/>
      <c r="F2242" s="109"/>
      <c r="G2242" s="109"/>
      <c r="H2242" s="109"/>
      <c r="I2242" s="109"/>
      <c r="J2242" s="109"/>
      <c r="K2242" s="109"/>
      <c r="L2242" s="109"/>
      <c r="M2242" s="109"/>
      <c r="N2242" s="109"/>
      <c r="O2242" s="109"/>
      <c r="P2242" s="109"/>
      <c r="Q2242" s="109"/>
      <c r="R2242" s="109"/>
      <c r="S2242" s="109"/>
      <c r="T2242" s="109"/>
      <c r="U2242" s="109"/>
    </row>
    <row r="2243" spans="1:21">
      <c r="A2243" s="109"/>
      <c r="B2243" s="109"/>
      <c r="C2243" s="109"/>
      <c r="D2243" s="109"/>
      <c r="E2243" s="109"/>
      <c r="F2243" s="109"/>
      <c r="G2243" s="109"/>
      <c r="H2243" s="109"/>
      <c r="I2243" s="109"/>
      <c r="J2243" s="109"/>
      <c r="K2243" s="109"/>
      <c r="L2243" s="109"/>
      <c r="M2243" s="109"/>
      <c r="N2243" s="109"/>
      <c r="O2243" s="109"/>
      <c r="P2243" s="109"/>
      <c r="Q2243" s="109"/>
      <c r="R2243" s="109"/>
      <c r="S2243" s="109"/>
      <c r="T2243" s="109"/>
      <c r="U2243" s="109"/>
    </row>
    <row r="2244" spans="1:21">
      <c r="A2244" s="109"/>
      <c r="B2244" s="109"/>
      <c r="C2244" s="109"/>
      <c r="D2244" s="109"/>
      <c r="E2244" s="109"/>
      <c r="F2244" s="109"/>
      <c r="G2244" s="109"/>
      <c r="H2244" s="109"/>
      <c r="I2244" s="109"/>
      <c r="J2244" s="109"/>
      <c r="K2244" s="109"/>
      <c r="L2244" s="109"/>
      <c r="M2244" s="109"/>
      <c r="N2244" s="109"/>
      <c r="O2244" s="109"/>
      <c r="P2244" s="109"/>
      <c r="Q2244" s="109"/>
      <c r="R2244" s="109"/>
      <c r="S2244" s="109"/>
      <c r="T2244" s="109"/>
      <c r="U2244" s="109"/>
    </row>
    <row r="2245" spans="1:21">
      <c r="A2245" s="109"/>
      <c r="B2245" s="109"/>
      <c r="C2245" s="109"/>
      <c r="D2245" s="109"/>
      <c r="E2245" s="109"/>
      <c r="F2245" s="109"/>
      <c r="G2245" s="109"/>
      <c r="H2245" s="109"/>
      <c r="I2245" s="109"/>
      <c r="J2245" s="109"/>
      <c r="K2245" s="109"/>
      <c r="L2245" s="109"/>
      <c r="M2245" s="109"/>
      <c r="N2245" s="109"/>
      <c r="O2245" s="109"/>
      <c r="P2245" s="109"/>
      <c r="Q2245" s="109"/>
      <c r="R2245" s="109"/>
      <c r="S2245" s="109"/>
      <c r="T2245" s="109"/>
      <c r="U2245" s="109"/>
    </row>
    <row r="2246" spans="1:21">
      <c r="A2246" s="109"/>
      <c r="B2246" s="109"/>
      <c r="C2246" s="109"/>
      <c r="D2246" s="109"/>
      <c r="E2246" s="109"/>
      <c r="F2246" s="109"/>
      <c r="G2246" s="109"/>
      <c r="H2246" s="109"/>
      <c r="I2246" s="109"/>
      <c r="J2246" s="109"/>
      <c r="K2246" s="109"/>
      <c r="L2246" s="109"/>
      <c r="M2246" s="109"/>
      <c r="N2246" s="109"/>
      <c r="O2246" s="109"/>
      <c r="P2246" s="109"/>
      <c r="Q2246" s="109"/>
      <c r="R2246" s="109"/>
      <c r="S2246" s="109"/>
      <c r="T2246" s="109"/>
      <c r="U2246" s="109"/>
    </row>
    <row r="2247" spans="1:21">
      <c r="A2247" s="109"/>
      <c r="B2247" s="109"/>
      <c r="C2247" s="109"/>
      <c r="D2247" s="109"/>
      <c r="E2247" s="109"/>
      <c r="F2247" s="109"/>
      <c r="G2247" s="109"/>
      <c r="H2247" s="109"/>
      <c r="I2247" s="109"/>
      <c r="J2247" s="109"/>
      <c r="K2247" s="109"/>
      <c r="L2247" s="109"/>
      <c r="M2247" s="109"/>
      <c r="N2247" s="109"/>
      <c r="O2247" s="109"/>
      <c r="P2247" s="109"/>
      <c r="Q2247" s="109"/>
      <c r="R2247" s="109"/>
      <c r="S2247" s="109"/>
      <c r="T2247" s="109"/>
      <c r="U2247" s="109"/>
    </row>
    <row r="2248" spans="1:21">
      <c r="A2248" s="109"/>
      <c r="B2248" s="109"/>
      <c r="C2248" s="109"/>
      <c r="D2248" s="109"/>
      <c r="E2248" s="109"/>
      <c r="F2248" s="109"/>
      <c r="G2248" s="109"/>
      <c r="H2248" s="109"/>
      <c r="I2248" s="109"/>
      <c r="J2248" s="109"/>
      <c r="K2248" s="109"/>
      <c r="L2248" s="109"/>
      <c r="M2248" s="109"/>
      <c r="N2248" s="109"/>
      <c r="O2248" s="109"/>
      <c r="P2248" s="109"/>
      <c r="Q2248" s="109"/>
      <c r="R2248" s="109"/>
      <c r="S2248" s="109"/>
      <c r="T2248" s="109"/>
      <c r="U2248" s="109"/>
    </row>
    <row r="2249" spans="1:21">
      <c r="A2249" s="109"/>
      <c r="B2249" s="109"/>
      <c r="C2249" s="109"/>
      <c r="D2249" s="109"/>
      <c r="E2249" s="109"/>
      <c r="F2249" s="109"/>
      <c r="G2249" s="109"/>
      <c r="H2249" s="109"/>
      <c r="I2249" s="109"/>
      <c r="J2249" s="109"/>
      <c r="K2249" s="109"/>
      <c r="L2249" s="109"/>
      <c r="M2249" s="109"/>
      <c r="N2249" s="109"/>
      <c r="O2249" s="109"/>
      <c r="P2249" s="109"/>
      <c r="Q2249" s="109"/>
      <c r="R2249" s="109"/>
      <c r="S2249" s="109"/>
      <c r="T2249" s="109"/>
      <c r="U2249" s="109"/>
    </row>
    <row r="2250" spans="1:21">
      <c r="A2250" s="109"/>
      <c r="B2250" s="109"/>
      <c r="C2250" s="109"/>
      <c r="D2250" s="109"/>
      <c r="E2250" s="109"/>
      <c r="F2250" s="109"/>
      <c r="G2250" s="109"/>
      <c r="H2250" s="109"/>
      <c r="I2250" s="109"/>
      <c r="J2250" s="109"/>
      <c r="K2250" s="109"/>
      <c r="L2250" s="109"/>
      <c r="M2250" s="109"/>
      <c r="N2250" s="109"/>
      <c r="O2250" s="109"/>
      <c r="P2250" s="109"/>
      <c r="Q2250" s="109"/>
      <c r="R2250" s="109"/>
      <c r="S2250" s="109"/>
      <c r="T2250" s="109"/>
      <c r="U2250" s="109"/>
    </row>
    <row r="2251" spans="1:21">
      <c r="A2251" s="109"/>
      <c r="B2251" s="109"/>
      <c r="C2251" s="109"/>
      <c r="D2251" s="109"/>
      <c r="E2251" s="109"/>
      <c r="F2251" s="109"/>
      <c r="G2251" s="109"/>
      <c r="H2251" s="109"/>
      <c r="I2251" s="109"/>
      <c r="J2251" s="109"/>
      <c r="K2251" s="109"/>
      <c r="L2251" s="109"/>
      <c r="M2251" s="109"/>
      <c r="N2251" s="109"/>
      <c r="O2251" s="109"/>
      <c r="P2251" s="109"/>
      <c r="Q2251" s="109"/>
      <c r="R2251" s="109"/>
      <c r="S2251" s="109"/>
      <c r="T2251" s="109"/>
      <c r="U2251" s="109"/>
    </row>
    <row r="2252" spans="1:21">
      <c r="A2252" s="109"/>
      <c r="B2252" s="109"/>
      <c r="C2252" s="109"/>
      <c r="D2252" s="109"/>
      <c r="E2252" s="109"/>
      <c r="F2252" s="109"/>
      <c r="G2252" s="109"/>
      <c r="H2252" s="109"/>
      <c r="I2252" s="109"/>
      <c r="J2252" s="109"/>
      <c r="K2252" s="109"/>
      <c r="L2252" s="109"/>
      <c r="M2252" s="109"/>
      <c r="N2252" s="109"/>
      <c r="O2252" s="109"/>
      <c r="P2252" s="109"/>
      <c r="Q2252" s="109"/>
      <c r="R2252" s="109"/>
      <c r="S2252" s="109"/>
      <c r="T2252" s="109"/>
      <c r="U2252" s="109"/>
    </row>
    <row r="2253" spans="1:21">
      <c r="A2253" s="109"/>
      <c r="B2253" s="109"/>
      <c r="C2253" s="109"/>
      <c r="D2253" s="109"/>
      <c r="E2253" s="109"/>
      <c r="F2253" s="109"/>
      <c r="G2253" s="109"/>
      <c r="H2253" s="109"/>
      <c r="I2253" s="109"/>
      <c r="J2253" s="109"/>
      <c r="K2253" s="109"/>
      <c r="L2253" s="109"/>
      <c r="M2253" s="109"/>
      <c r="N2253" s="109"/>
      <c r="O2253" s="109"/>
      <c r="P2253" s="109"/>
      <c r="Q2253" s="109"/>
      <c r="R2253" s="109"/>
      <c r="S2253" s="109"/>
      <c r="T2253" s="109"/>
      <c r="U2253" s="109"/>
    </row>
    <row r="2254" spans="1:21">
      <c r="A2254" s="109"/>
      <c r="B2254" s="109"/>
      <c r="C2254" s="109"/>
      <c r="D2254" s="109"/>
      <c r="E2254" s="109"/>
      <c r="F2254" s="109"/>
      <c r="G2254" s="109"/>
      <c r="H2254" s="109"/>
      <c r="I2254" s="109"/>
      <c r="J2254" s="109"/>
      <c r="K2254" s="109"/>
      <c r="L2254" s="109"/>
      <c r="M2254" s="109"/>
      <c r="N2254" s="109"/>
      <c r="O2254" s="109"/>
      <c r="P2254" s="109"/>
      <c r="Q2254" s="109"/>
      <c r="R2254" s="109"/>
      <c r="S2254" s="109"/>
      <c r="T2254" s="109"/>
      <c r="U2254" s="109"/>
    </row>
    <row r="2255" spans="1:21">
      <c r="A2255" s="109"/>
      <c r="B2255" s="109"/>
      <c r="C2255" s="109"/>
      <c r="D2255" s="109"/>
      <c r="E2255" s="109"/>
      <c r="F2255" s="109"/>
      <c r="G2255" s="109"/>
      <c r="H2255" s="109"/>
      <c r="I2255" s="109"/>
      <c r="J2255" s="109"/>
      <c r="K2255" s="109"/>
      <c r="L2255" s="109"/>
      <c r="M2255" s="109"/>
      <c r="N2255" s="109"/>
      <c r="O2255" s="109"/>
      <c r="P2255" s="109"/>
      <c r="Q2255" s="109"/>
      <c r="R2255" s="109"/>
      <c r="S2255" s="109"/>
      <c r="T2255" s="109"/>
      <c r="U2255" s="109"/>
    </row>
    <row r="2256" spans="1:21">
      <c r="A2256" s="109"/>
      <c r="B2256" s="109"/>
      <c r="C2256" s="109"/>
      <c r="D2256" s="109"/>
      <c r="E2256" s="109"/>
      <c r="F2256" s="109"/>
      <c r="G2256" s="109"/>
      <c r="H2256" s="109"/>
      <c r="I2256" s="109"/>
      <c r="J2256" s="109"/>
      <c r="K2256" s="109"/>
      <c r="L2256" s="109"/>
      <c r="M2256" s="109"/>
      <c r="N2256" s="109"/>
      <c r="O2256" s="109"/>
      <c r="P2256" s="109"/>
      <c r="Q2256" s="109"/>
      <c r="R2256" s="109"/>
      <c r="S2256" s="109"/>
      <c r="T2256" s="109"/>
      <c r="U2256" s="109"/>
    </row>
    <row r="2257" spans="1:21">
      <c r="A2257" s="109"/>
      <c r="B2257" s="109"/>
      <c r="C2257" s="109"/>
      <c r="D2257" s="109"/>
      <c r="E2257" s="109"/>
      <c r="F2257" s="109"/>
      <c r="G2257" s="109"/>
      <c r="H2257" s="109"/>
      <c r="I2257" s="109"/>
      <c r="J2257" s="109"/>
      <c r="K2257" s="109"/>
      <c r="L2257" s="109"/>
      <c r="M2257" s="109"/>
      <c r="N2257" s="109"/>
      <c r="O2257" s="109"/>
      <c r="P2257" s="109"/>
      <c r="Q2257" s="109"/>
      <c r="R2257" s="109"/>
      <c r="S2257" s="109"/>
      <c r="T2257" s="109"/>
      <c r="U2257" s="109"/>
    </row>
    <row r="2258" spans="1:21">
      <c r="A2258" s="109"/>
      <c r="B2258" s="109"/>
      <c r="C2258" s="109"/>
      <c r="D2258" s="109"/>
      <c r="E2258" s="109"/>
      <c r="F2258" s="109"/>
      <c r="G2258" s="109"/>
      <c r="H2258" s="109"/>
      <c r="I2258" s="109"/>
      <c r="J2258" s="109"/>
      <c r="K2258" s="109"/>
      <c r="L2258" s="109"/>
      <c r="M2258" s="109"/>
      <c r="N2258" s="109"/>
      <c r="O2258" s="109"/>
      <c r="P2258" s="109"/>
      <c r="Q2258" s="109"/>
      <c r="R2258" s="109"/>
      <c r="S2258" s="109"/>
      <c r="T2258" s="109"/>
      <c r="U2258" s="109"/>
    </row>
    <row r="2259" spans="1:21">
      <c r="A2259" s="109"/>
      <c r="B2259" s="109"/>
      <c r="C2259" s="109"/>
      <c r="D2259" s="109"/>
      <c r="E2259" s="109"/>
      <c r="F2259" s="109"/>
      <c r="G2259" s="109"/>
      <c r="H2259" s="109"/>
      <c r="I2259" s="109"/>
      <c r="J2259" s="109"/>
      <c r="K2259" s="109"/>
      <c r="L2259" s="109"/>
      <c r="M2259" s="109"/>
      <c r="N2259" s="109"/>
      <c r="O2259" s="109"/>
      <c r="P2259" s="109"/>
      <c r="Q2259" s="109"/>
      <c r="R2259" s="109"/>
      <c r="S2259" s="109"/>
      <c r="T2259" s="109"/>
      <c r="U2259" s="109"/>
    </row>
    <row r="2260" spans="1:21">
      <c r="A2260" s="109"/>
      <c r="B2260" s="109"/>
      <c r="C2260" s="109"/>
      <c r="D2260" s="109"/>
      <c r="E2260" s="109"/>
      <c r="F2260" s="109"/>
      <c r="G2260" s="109"/>
      <c r="H2260" s="109"/>
      <c r="I2260" s="109"/>
      <c r="J2260" s="109"/>
      <c r="K2260" s="109"/>
      <c r="L2260" s="109"/>
      <c r="M2260" s="109"/>
      <c r="N2260" s="109"/>
      <c r="O2260" s="109"/>
      <c r="P2260" s="109"/>
      <c r="Q2260" s="109"/>
      <c r="R2260" s="109"/>
      <c r="S2260" s="109"/>
      <c r="T2260" s="109"/>
      <c r="U2260" s="109"/>
    </row>
    <row r="2261" spans="1:21">
      <c r="A2261" s="109"/>
      <c r="B2261" s="109"/>
      <c r="C2261" s="109"/>
      <c r="D2261" s="109"/>
      <c r="E2261" s="109"/>
      <c r="F2261" s="109"/>
      <c r="G2261" s="109"/>
      <c r="H2261" s="109"/>
      <c r="I2261" s="109"/>
      <c r="J2261" s="109"/>
      <c r="K2261" s="109"/>
      <c r="L2261" s="109"/>
      <c r="M2261" s="109"/>
      <c r="N2261" s="109"/>
      <c r="O2261" s="109"/>
      <c r="P2261" s="109"/>
      <c r="Q2261" s="109"/>
      <c r="R2261" s="109"/>
      <c r="S2261" s="109"/>
      <c r="T2261" s="109"/>
      <c r="U2261" s="109"/>
    </row>
    <row r="2262" spans="1:21">
      <c r="A2262" s="109"/>
      <c r="B2262" s="109"/>
      <c r="C2262" s="109"/>
      <c r="D2262" s="109"/>
      <c r="E2262" s="109"/>
      <c r="F2262" s="109"/>
      <c r="G2262" s="109"/>
      <c r="H2262" s="109"/>
      <c r="I2262" s="109"/>
      <c r="J2262" s="109"/>
      <c r="K2262" s="109"/>
      <c r="L2262" s="109"/>
      <c r="M2262" s="109"/>
      <c r="N2262" s="109"/>
      <c r="O2262" s="109"/>
      <c r="P2262" s="109"/>
      <c r="Q2262" s="109"/>
      <c r="R2262" s="109"/>
      <c r="S2262" s="109"/>
      <c r="T2262" s="109"/>
      <c r="U2262" s="109"/>
    </row>
    <row r="2263" spans="1:21">
      <c r="A2263" s="109"/>
      <c r="B2263" s="109"/>
      <c r="C2263" s="109"/>
      <c r="D2263" s="109"/>
      <c r="E2263" s="109"/>
      <c r="F2263" s="109"/>
      <c r="G2263" s="109"/>
      <c r="H2263" s="109"/>
      <c r="I2263" s="109"/>
      <c r="J2263" s="109"/>
      <c r="K2263" s="109"/>
      <c r="L2263" s="109"/>
      <c r="M2263" s="109"/>
      <c r="N2263" s="109"/>
      <c r="O2263" s="109"/>
      <c r="P2263" s="109"/>
      <c r="Q2263" s="109"/>
      <c r="R2263" s="109"/>
      <c r="S2263" s="109"/>
      <c r="T2263" s="109"/>
      <c r="U2263" s="109"/>
    </row>
    <row r="2264" spans="1:21">
      <c r="A2264" s="109"/>
      <c r="B2264" s="109"/>
      <c r="C2264" s="109"/>
      <c r="D2264" s="109"/>
      <c r="E2264" s="109"/>
      <c r="F2264" s="109"/>
      <c r="G2264" s="109"/>
      <c r="H2264" s="109"/>
      <c r="I2264" s="109"/>
      <c r="J2264" s="109"/>
      <c r="K2264" s="109"/>
      <c r="L2264" s="109"/>
      <c r="M2264" s="109"/>
      <c r="N2264" s="109"/>
      <c r="O2264" s="109"/>
      <c r="P2264" s="109"/>
      <c r="Q2264" s="109"/>
      <c r="R2264" s="109"/>
      <c r="S2264" s="109"/>
      <c r="T2264" s="109"/>
      <c r="U2264" s="109"/>
    </row>
    <row r="2265" spans="1:21">
      <c r="A2265" s="109"/>
      <c r="B2265" s="109"/>
      <c r="C2265" s="109"/>
      <c r="D2265" s="109"/>
      <c r="E2265" s="109"/>
      <c r="F2265" s="109"/>
      <c r="G2265" s="109"/>
      <c r="H2265" s="109"/>
      <c r="I2265" s="109"/>
      <c r="J2265" s="109"/>
      <c r="K2265" s="109"/>
      <c r="L2265" s="109"/>
      <c r="M2265" s="109"/>
      <c r="N2265" s="109"/>
      <c r="O2265" s="109"/>
      <c r="P2265" s="109"/>
      <c r="Q2265" s="109"/>
      <c r="R2265" s="109"/>
      <c r="S2265" s="109"/>
      <c r="T2265" s="109"/>
      <c r="U2265" s="109"/>
    </row>
    <row r="2266" spans="1:21">
      <c r="A2266" s="109"/>
      <c r="B2266" s="109"/>
      <c r="C2266" s="109"/>
      <c r="D2266" s="109"/>
      <c r="E2266" s="109"/>
      <c r="F2266" s="109"/>
      <c r="G2266" s="109"/>
      <c r="H2266" s="109"/>
      <c r="I2266" s="109"/>
      <c r="J2266" s="109"/>
      <c r="K2266" s="109"/>
      <c r="L2266" s="109"/>
      <c r="M2266" s="109"/>
      <c r="N2266" s="109"/>
      <c r="O2266" s="109"/>
      <c r="P2266" s="109"/>
      <c r="Q2266" s="109"/>
      <c r="R2266" s="109"/>
      <c r="S2266" s="109"/>
      <c r="T2266" s="109"/>
      <c r="U2266" s="109"/>
    </row>
    <row r="2267" spans="1:21">
      <c r="A2267" s="109"/>
      <c r="B2267" s="109"/>
      <c r="C2267" s="109"/>
      <c r="D2267" s="109"/>
      <c r="E2267" s="109"/>
      <c r="F2267" s="109"/>
      <c r="G2267" s="109"/>
      <c r="H2267" s="109"/>
      <c r="I2267" s="109"/>
      <c r="J2267" s="109"/>
      <c r="K2267" s="109"/>
      <c r="L2267" s="109"/>
      <c r="M2267" s="109"/>
      <c r="N2267" s="109"/>
      <c r="O2267" s="109"/>
      <c r="P2267" s="109"/>
      <c r="Q2267" s="109"/>
      <c r="R2267" s="109"/>
      <c r="S2267" s="109"/>
      <c r="T2267" s="109"/>
      <c r="U2267" s="109"/>
    </row>
    <row r="2268" spans="1:21">
      <c r="A2268" s="109"/>
      <c r="B2268" s="109"/>
      <c r="C2268" s="109"/>
      <c r="D2268" s="109"/>
      <c r="E2268" s="109"/>
      <c r="F2268" s="109"/>
      <c r="G2268" s="109"/>
      <c r="H2268" s="109"/>
      <c r="I2268" s="109"/>
      <c r="J2268" s="109"/>
      <c r="K2268" s="109"/>
      <c r="L2268" s="109"/>
      <c r="M2268" s="109"/>
      <c r="N2268" s="109"/>
      <c r="O2268" s="109"/>
      <c r="P2268" s="109"/>
      <c r="Q2268" s="109"/>
      <c r="R2268" s="109"/>
      <c r="S2268" s="109"/>
      <c r="T2268" s="109"/>
      <c r="U2268" s="109"/>
    </row>
    <row r="2269" spans="1:21">
      <c r="A2269" s="109"/>
      <c r="B2269" s="109"/>
      <c r="C2269" s="109"/>
      <c r="D2269" s="109"/>
      <c r="E2269" s="109"/>
      <c r="F2269" s="109"/>
      <c r="G2269" s="109"/>
      <c r="H2269" s="109"/>
      <c r="I2269" s="109"/>
      <c r="J2269" s="109"/>
      <c r="K2269" s="109"/>
      <c r="L2269" s="109"/>
      <c r="M2269" s="109"/>
      <c r="N2269" s="109"/>
      <c r="O2269" s="109"/>
      <c r="P2269" s="109"/>
      <c r="Q2269" s="109"/>
      <c r="R2269" s="109"/>
      <c r="S2269" s="109"/>
      <c r="T2269" s="109"/>
      <c r="U2269" s="109"/>
    </row>
    <row r="2270" spans="1:21">
      <c r="A2270" s="109"/>
      <c r="B2270" s="109"/>
      <c r="C2270" s="109"/>
      <c r="D2270" s="109"/>
      <c r="E2270" s="109"/>
      <c r="F2270" s="109"/>
      <c r="G2270" s="109"/>
      <c r="H2270" s="109"/>
      <c r="I2270" s="109"/>
      <c r="J2270" s="109"/>
      <c r="K2270" s="109"/>
      <c r="L2270" s="109"/>
      <c r="M2270" s="109"/>
      <c r="N2270" s="109"/>
      <c r="O2270" s="109"/>
      <c r="P2270" s="109"/>
      <c r="Q2270" s="109"/>
      <c r="R2270" s="109"/>
      <c r="S2270" s="109"/>
      <c r="T2270" s="109"/>
      <c r="U2270" s="109"/>
    </row>
    <row r="2271" spans="1:21">
      <c r="A2271" s="109"/>
      <c r="B2271" s="109"/>
      <c r="C2271" s="109"/>
      <c r="D2271" s="109"/>
      <c r="E2271" s="109"/>
      <c r="F2271" s="109"/>
      <c r="G2271" s="109"/>
      <c r="H2271" s="109"/>
      <c r="I2271" s="109"/>
      <c r="J2271" s="109"/>
      <c r="K2271" s="109"/>
      <c r="L2271" s="109"/>
      <c r="M2271" s="109"/>
      <c r="N2271" s="109"/>
      <c r="O2271" s="109"/>
      <c r="P2271" s="109"/>
      <c r="Q2271" s="109"/>
      <c r="R2271" s="109"/>
      <c r="S2271" s="109"/>
      <c r="T2271" s="109"/>
      <c r="U2271" s="109"/>
    </row>
    <row r="2272" spans="1:21">
      <c r="A2272" s="109"/>
      <c r="B2272" s="109"/>
      <c r="C2272" s="109"/>
      <c r="D2272" s="109"/>
      <c r="E2272" s="109"/>
      <c r="F2272" s="109"/>
      <c r="G2272" s="109"/>
      <c r="H2272" s="109"/>
      <c r="I2272" s="109"/>
      <c r="J2272" s="109"/>
      <c r="K2272" s="109"/>
      <c r="L2272" s="109"/>
      <c r="M2272" s="109"/>
      <c r="N2272" s="109"/>
      <c r="O2272" s="109"/>
      <c r="P2272" s="109"/>
      <c r="Q2272" s="109"/>
      <c r="R2272" s="109"/>
      <c r="S2272" s="109"/>
      <c r="T2272" s="109"/>
      <c r="U2272" s="109"/>
    </row>
    <row r="2273" spans="1:21">
      <c r="A2273" s="109"/>
      <c r="B2273" s="109"/>
      <c r="C2273" s="109"/>
      <c r="D2273" s="109"/>
      <c r="E2273" s="109"/>
      <c r="F2273" s="109"/>
      <c r="G2273" s="109"/>
      <c r="H2273" s="109"/>
      <c r="I2273" s="109"/>
      <c r="J2273" s="109"/>
      <c r="K2273" s="109"/>
      <c r="L2273" s="109"/>
      <c r="M2273" s="109"/>
      <c r="N2273" s="109"/>
      <c r="O2273" s="109"/>
      <c r="P2273" s="109"/>
      <c r="Q2273" s="109"/>
      <c r="R2273" s="109"/>
      <c r="S2273" s="109"/>
      <c r="T2273" s="109"/>
      <c r="U2273" s="109"/>
    </row>
    <row r="2274" spans="1:21">
      <c r="A2274" s="109"/>
      <c r="B2274" s="109"/>
      <c r="C2274" s="109"/>
      <c r="D2274" s="109"/>
      <c r="E2274" s="109"/>
      <c r="F2274" s="109"/>
      <c r="G2274" s="109"/>
      <c r="H2274" s="109"/>
      <c r="I2274" s="109"/>
      <c r="J2274" s="109"/>
      <c r="K2274" s="109"/>
      <c r="L2274" s="109"/>
      <c r="M2274" s="109"/>
      <c r="N2274" s="109"/>
      <c r="O2274" s="109"/>
      <c r="P2274" s="109"/>
      <c r="Q2274" s="109"/>
      <c r="R2274" s="109"/>
      <c r="S2274" s="109"/>
      <c r="T2274" s="109"/>
      <c r="U2274" s="109"/>
    </row>
    <row r="2275" spans="1:21">
      <c r="A2275" s="109"/>
      <c r="B2275" s="109"/>
      <c r="C2275" s="109"/>
      <c r="D2275" s="109"/>
      <c r="E2275" s="109"/>
      <c r="F2275" s="109"/>
      <c r="G2275" s="109"/>
      <c r="H2275" s="109"/>
      <c r="I2275" s="109"/>
      <c r="J2275" s="109"/>
      <c r="K2275" s="109"/>
      <c r="L2275" s="109"/>
      <c r="M2275" s="109"/>
      <c r="N2275" s="109"/>
      <c r="O2275" s="109"/>
      <c r="P2275" s="109"/>
      <c r="Q2275" s="109"/>
      <c r="R2275" s="109"/>
      <c r="S2275" s="109"/>
      <c r="T2275" s="109"/>
      <c r="U2275" s="109"/>
    </row>
    <row r="2276" spans="1:21">
      <c r="A2276" s="109"/>
      <c r="B2276" s="109"/>
      <c r="C2276" s="109"/>
      <c r="D2276" s="109"/>
      <c r="E2276" s="109"/>
      <c r="F2276" s="109"/>
      <c r="G2276" s="109"/>
      <c r="H2276" s="109"/>
      <c r="I2276" s="109"/>
      <c r="J2276" s="109"/>
      <c r="K2276" s="109"/>
      <c r="L2276" s="109"/>
      <c r="M2276" s="109"/>
      <c r="N2276" s="109"/>
      <c r="O2276" s="109"/>
      <c r="P2276" s="109"/>
      <c r="Q2276" s="109"/>
      <c r="R2276" s="109"/>
      <c r="S2276" s="109"/>
      <c r="T2276" s="109"/>
      <c r="U2276" s="109"/>
    </row>
    <row r="2277" spans="1:21">
      <c r="A2277" s="109"/>
      <c r="B2277" s="109"/>
      <c r="C2277" s="109"/>
      <c r="D2277" s="109"/>
      <c r="E2277" s="109"/>
      <c r="F2277" s="109"/>
      <c r="G2277" s="109"/>
      <c r="H2277" s="109"/>
      <c r="I2277" s="109"/>
      <c r="J2277" s="109"/>
      <c r="K2277" s="109"/>
      <c r="L2277" s="109"/>
      <c r="M2277" s="109"/>
      <c r="N2277" s="109"/>
      <c r="O2277" s="109"/>
      <c r="P2277" s="109"/>
      <c r="Q2277" s="109"/>
      <c r="R2277" s="109"/>
      <c r="S2277" s="109"/>
      <c r="T2277" s="109"/>
      <c r="U2277" s="109"/>
    </row>
    <row r="2278" spans="1:21">
      <c r="A2278" s="109"/>
      <c r="B2278" s="109"/>
      <c r="C2278" s="109"/>
      <c r="D2278" s="109"/>
      <c r="E2278" s="109"/>
      <c r="F2278" s="109"/>
      <c r="G2278" s="109"/>
      <c r="H2278" s="109"/>
      <c r="I2278" s="109"/>
      <c r="J2278" s="109"/>
      <c r="K2278" s="109"/>
      <c r="L2278" s="109"/>
      <c r="M2278" s="109"/>
      <c r="N2278" s="109"/>
      <c r="O2278" s="109"/>
      <c r="P2278" s="109"/>
      <c r="Q2278" s="109"/>
      <c r="R2278" s="109"/>
      <c r="S2278" s="109"/>
      <c r="T2278" s="109"/>
      <c r="U2278" s="109"/>
    </row>
    <row r="2279" spans="1:21">
      <c r="A2279" s="109"/>
      <c r="B2279" s="109"/>
      <c r="C2279" s="109"/>
      <c r="D2279" s="109"/>
      <c r="E2279" s="109"/>
      <c r="F2279" s="109"/>
      <c r="G2279" s="109"/>
      <c r="H2279" s="109"/>
      <c r="I2279" s="109"/>
      <c r="J2279" s="109"/>
      <c r="K2279" s="109"/>
      <c r="L2279" s="109"/>
      <c r="M2279" s="109"/>
      <c r="N2279" s="109"/>
      <c r="O2279" s="109"/>
      <c r="P2279" s="109"/>
      <c r="Q2279" s="109"/>
      <c r="R2279" s="109"/>
      <c r="S2279" s="109"/>
      <c r="T2279" s="109"/>
      <c r="U2279" s="109"/>
    </row>
    <row r="2280" spans="1:21">
      <c r="A2280" s="109"/>
      <c r="B2280" s="109"/>
      <c r="C2280" s="109"/>
      <c r="D2280" s="109"/>
      <c r="E2280" s="109"/>
      <c r="F2280" s="109"/>
      <c r="G2280" s="109"/>
      <c r="H2280" s="109"/>
      <c r="I2280" s="109"/>
      <c r="J2280" s="109"/>
      <c r="K2280" s="109"/>
      <c r="L2280" s="109"/>
      <c r="M2280" s="109"/>
      <c r="N2280" s="109"/>
      <c r="O2280" s="109"/>
      <c r="P2280" s="109"/>
      <c r="Q2280" s="109"/>
      <c r="R2280" s="109"/>
      <c r="S2280" s="109"/>
      <c r="T2280" s="109"/>
      <c r="U2280" s="109"/>
    </row>
    <row r="2281" spans="1:21">
      <c r="A2281" s="109"/>
      <c r="B2281" s="109"/>
      <c r="C2281" s="109"/>
      <c r="D2281" s="109"/>
      <c r="E2281" s="109"/>
      <c r="F2281" s="109"/>
      <c r="G2281" s="109"/>
      <c r="H2281" s="109"/>
      <c r="I2281" s="109"/>
      <c r="J2281" s="109"/>
      <c r="K2281" s="109"/>
      <c r="L2281" s="109"/>
      <c r="M2281" s="109"/>
      <c r="N2281" s="109"/>
      <c r="O2281" s="109"/>
      <c r="P2281" s="109"/>
      <c r="Q2281" s="109"/>
      <c r="R2281" s="109"/>
      <c r="S2281" s="109"/>
      <c r="T2281" s="109"/>
      <c r="U2281" s="109"/>
    </row>
    <row r="2282" spans="1:21">
      <c r="A2282" s="109"/>
      <c r="B2282" s="109"/>
      <c r="C2282" s="109"/>
      <c r="D2282" s="109"/>
      <c r="E2282" s="109"/>
      <c r="F2282" s="109"/>
      <c r="G2282" s="109"/>
      <c r="H2282" s="109"/>
      <c r="I2282" s="109"/>
      <c r="J2282" s="109"/>
      <c r="K2282" s="109"/>
      <c r="L2282" s="109"/>
      <c r="M2282" s="109"/>
      <c r="N2282" s="109"/>
      <c r="O2282" s="109"/>
      <c r="P2282" s="109"/>
      <c r="Q2282" s="109"/>
      <c r="R2282" s="109"/>
      <c r="S2282" s="109"/>
      <c r="T2282" s="109"/>
      <c r="U2282" s="109"/>
    </row>
    <row r="2283" spans="1:21">
      <c r="A2283" s="109"/>
      <c r="B2283" s="109"/>
      <c r="C2283" s="109"/>
      <c r="D2283" s="109"/>
      <c r="E2283" s="109"/>
      <c r="F2283" s="109"/>
      <c r="G2283" s="109"/>
      <c r="H2283" s="109"/>
      <c r="I2283" s="109"/>
      <c r="J2283" s="109"/>
      <c r="K2283" s="109"/>
      <c r="L2283" s="109"/>
      <c r="M2283" s="109"/>
      <c r="N2283" s="109"/>
      <c r="O2283" s="109"/>
      <c r="P2283" s="109"/>
      <c r="Q2283" s="109"/>
      <c r="R2283" s="109"/>
      <c r="S2283" s="109"/>
      <c r="T2283" s="109"/>
      <c r="U2283" s="109"/>
    </row>
    <row r="2284" spans="1:21">
      <c r="A2284" s="109"/>
      <c r="B2284" s="109"/>
      <c r="C2284" s="109"/>
      <c r="D2284" s="109"/>
      <c r="E2284" s="109"/>
      <c r="F2284" s="109"/>
      <c r="G2284" s="109"/>
      <c r="H2284" s="109"/>
      <c r="I2284" s="109"/>
      <c r="J2284" s="109"/>
      <c r="K2284" s="109"/>
      <c r="L2284" s="109"/>
      <c r="M2284" s="109"/>
      <c r="N2284" s="109"/>
      <c r="O2284" s="109"/>
      <c r="P2284" s="109"/>
      <c r="Q2284" s="109"/>
      <c r="R2284" s="109"/>
      <c r="S2284" s="109"/>
      <c r="T2284" s="109"/>
      <c r="U2284" s="109"/>
    </row>
    <row r="2285" spans="1:21">
      <c r="A2285" s="109"/>
      <c r="B2285" s="109"/>
      <c r="C2285" s="109"/>
      <c r="D2285" s="109"/>
      <c r="E2285" s="109"/>
      <c r="F2285" s="109"/>
      <c r="G2285" s="109"/>
      <c r="H2285" s="109"/>
      <c r="I2285" s="109"/>
      <c r="J2285" s="109"/>
      <c r="K2285" s="109"/>
      <c r="L2285" s="109"/>
      <c r="M2285" s="109"/>
      <c r="N2285" s="109"/>
      <c r="O2285" s="109"/>
      <c r="P2285" s="109"/>
      <c r="Q2285" s="109"/>
      <c r="R2285" s="109"/>
      <c r="S2285" s="109"/>
      <c r="T2285" s="109"/>
      <c r="U2285" s="109"/>
    </row>
    <row r="2286" spans="1:21">
      <c r="A2286" s="109"/>
      <c r="B2286" s="109"/>
      <c r="C2286" s="109"/>
      <c r="D2286" s="109"/>
      <c r="E2286" s="109"/>
      <c r="F2286" s="109"/>
      <c r="G2286" s="109"/>
      <c r="H2286" s="109"/>
      <c r="I2286" s="109"/>
      <c r="J2286" s="109"/>
      <c r="K2286" s="109"/>
      <c r="L2286" s="109"/>
      <c r="M2286" s="109"/>
      <c r="N2286" s="109"/>
      <c r="O2286" s="109"/>
      <c r="P2286" s="109"/>
      <c r="Q2286" s="109"/>
      <c r="R2286" s="109"/>
      <c r="S2286" s="109"/>
      <c r="T2286" s="109"/>
      <c r="U2286" s="109"/>
    </row>
    <row r="2287" spans="1:21">
      <c r="A2287" s="109"/>
      <c r="B2287" s="109"/>
      <c r="C2287" s="109"/>
      <c r="D2287" s="109"/>
      <c r="E2287" s="109"/>
      <c r="F2287" s="109"/>
      <c r="G2287" s="109"/>
      <c r="H2287" s="109"/>
      <c r="I2287" s="109"/>
      <c r="J2287" s="109"/>
      <c r="K2287" s="109"/>
      <c r="L2287" s="109"/>
      <c r="M2287" s="109"/>
      <c r="N2287" s="109"/>
      <c r="O2287" s="109"/>
      <c r="P2287" s="109"/>
      <c r="Q2287" s="109"/>
      <c r="R2287" s="109"/>
      <c r="S2287" s="109"/>
      <c r="T2287" s="109"/>
      <c r="U2287" s="109"/>
    </row>
    <row r="2288" spans="1:21">
      <c r="A2288" s="109"/>
      <c r="B2288" s="109"/>
      <c r="C2288" s="109"/>
      <c r="D2288" s="109"/>
      <c r="E2288" s="109"/>
      <c r="F2288" s="109"/>
      <c r="G2288" s="109"/>
      <c r="H2288" s="109"/>
      <c r="I2288" s="109"/>
      <c r="J2288" s="109"/>
      <c r="K2288" s="109"/>
      <c r="L2288" s="109"/>
      <c r="M2288" s="109"/>
      <c r="N2288" s="109"/>
      <c r="O2288" s="109"/>
      <c r="P2288" s="109"/>
      <c r="Q2288" s="109"/>
      <c r="R2288" s="109"/>
      <c r="S2288" s="109"/>
      <c r="T2288" s="109"/>
      <c r="U2288" s="109"/>
    </row>
    <row r="2289" spans="1:21">
      <c r="A2289" s="109"/>
      <c r="B2289" s="109"/>
      <c r="C2289" s="109"/>
      <c r="D2289" s="109"/>
      <c r="E2289" s="109"/>
      <c r="F2289" s="109"/>
      <c r="G2289" s="109"/>
      <c r="H2289" s="109"/>
      <c r="I2289" s="109"/>
      <c r="J2289" s="109"/>
      <c r="K2289" s="109"/>
      <c r="L2289" s="109"/>
      <c r="M2289" s="109"/>
      <c r="N2289" s="109"/>
      <c r="O2289" s="109"/>
      <c r="P2289" s="109"/>
      <c r="Q2289" s="109"/>
      <c r="R2289" s="109"/>
      <c r="S2289" s="109"/>
      <c r="T2289" s="109"/>
      <c r="U2289" s="109"/>
    </row>
    <row r="2290" spans="1:21">
      <c r="A2290" s="109"/>
      <c r="B2290" s="109"/>
      <c r="C2290" s="109"/>
      <c r="D2290" s="109"/>
      <c r="E2290" s="109"/>
      <c r="F2290" s="109"/>
      <c r="G2290" s="109"/>
      <c r="H2290" s="109"/>
      <c r="I2290" s="109"/>
      <c r="J2290" s="109"/>
      <c r="K2290" s="109"/>
      <c r="L2290" s="109"/>
      <c r="M2290" s="109"/>
      <c r="N2290" s="109"/>
      <c r="O2290" s="109"/>
      <c r="P2290" s="109"/>
      <c r="Q2290" s="109"/>
      <c r="R2290" s="109"/>
      <c r="S2290" s="109"/>
      <c r="T2290" s="109"/>
      <c r="U2290" s="109"/>
    </row>
    <row r="2291" spans="1:21">
      <c r="A2291" s="109"/>
      <c r="B2291" s="109"/>
      <c r="C2291" s="109"/>
      <c r="D2291" s="109"/>
      <c r="E2291" s="109"/>
      <c r="F2291" s="109"/>
      <c r="G2291" s="109"/>
      <c r="H2291" s="109"/>
      <c r="I2291" s="109"/>
      <c r="J2291" s="109"/>
      <c r="K2291" s="109"/>
      <c r="L2291" s="109"/>
      <c r="M2291" s="109"/>
      <c r="N2291" s="109"/>
      <c r="O2291" s="109"/>
      <c r="P2291" s="109"/>
      <c r="Q2291" s="109"/>
      <c r="R2291" s="109"/>
      <c r="S2291" s="109"/>
      <c r="T2291" s="109"/>
      <c r="U2291" s="109"/>
    </row>
    <row r="2292" spans="1:21">
      <c r="A2292" s="109"/>
      <c r="B2292" s="109"/>
      <c r="C2292" s="109"/>
      <c r="D2292" s="109"/>
      <c r="E2292" s="109"/>
      <c r="F2292" s="109"/>
      <c r="G2292" s="109"/>
      <c r="H2292" s="109"/>
      <c r="I2292" s="109"/>
      <c r="J2292" s="109"/>
      <c r="K2292" s="109"/>
      <c r="L2292" s="109"/>
      <c r="M2292" s="109"/>
      <c r="N2292" s="109"/>
      <c r="O2292" s="109"/>
      <c r="P2292" s="109"/>
      <c r="Q2292" s="109"/>
      <c r="R2292" s="109"/>
      <c r="S2292" s="109"/>
      <c r="T2292" s="109"/>
      <c r="U2292" s="109"/>
    </row>
    <row r="2293" spans="1:21">
      <c r="A2293" s="109"/>
      <c r="B2293" s="109"/>
      <c r="C2293" s="109"/>
      <c r="D2293" s="109"/>
      <c r="E2293" s="109"/>
      <c r="F2293" s="109"/>
      <c r="G2293" s="109"/>
      <c r="H2293" s="109"/>
      <c r="I2293" s="109"/>
      <c r="J2293" s="109"/>
      <c r="K2293" s="109"/>
      <c r="L2293" s="109"/>
      <c r="M2293" s="109"/>
      <c r="N2293" s="109"/>
      <c r="O2293" s="109"/>
      <c r="P2293" s="109"/>
      <c r="Q2293" s="109"/>
      <c r="R2293" s="109"/>
      <c r="S2293" s="109"/>
      <c r="T2293" s="109"/>
      <c r="U2293" s="109"/>
    </row>
    <row r="2294" spans="1:21">
      <c r="A2294" s="109"/>
      <c r="B2294" s="109"/>
      <c r="C2294" s="109"/>
      <c r="D2294" s="109"/>
      <c r="E2294" s="109"/>
      <c r="F2294" s="109"/>
      <c r="G2294" s="109"/>
      <c r="H2294" s="109"/>
      <c r="I2294" s="109"/>
      <c r="J2294" s="109"/>
      <c r="K2294" s="109"/>
      <c r="L2294" s="109"/>
      <c r="M2294" s="109"/>
      <c r="N2294" s="109"/>
      <c r="O2294" s="109"/>
      <c r="P2294" s="109"/>
      <c r="Q2294" s="109"/>
      <c r="R2294" s="109"/>
      <c r="S2294" s="109"/>
      <c r="T2294" s="109"/>
      <c r="U2294" s="109"/>
    </row>
    <row r="2295" spans="1:21">
      <c r="A2295" s="109"/>
      <c r="B2295" s="109"/>
      <c r="C2295" s="109"/>
      <c r="D2295" s="109"/>
      <c r="E2295" s="109"/>
      <c r="F2295" s="109"/>
      <c r="G2295" s="109"/>
      <c r="H2295" s="109"/>
      <c r="I2295" s="109"/>
      <c r="J2295" s="109"/>
      <c r="K2295" s="109"/>
      <c r="L2295" s="109"/>
      <c r="M2295" s="109"/>
      <c r="N2295" s="109"/>
      <c r="O2295" s="109"/>
      <c r="P2295" s="109"/>
      <c r="Q2295" s="109"/>
      <c r="R2295" s="109"/>
      <c r="S2295" s="109"/>
      <c r="T2295" s="109"/>
      <c r="U2295" s="109"/>
    </row>
    <row r="2296" spans="1:21">
      <c r="A2296" s="109"/>
      <c r="B2296" s="109"/>
      <c r="C2296" s="109"/>
      <c r="D2296" s="109"/>
      <c r="E2296" s="109"/>
      <c r="F2296" s="109"/>
      <c r="G2296" s="109"/>
      <c r="H2296" s="109"/>
      <c r="I2296" s="109"/>
      <c r="J2296" s="109"/>
      <c r="K2296" s="109"/>
      <c r="L2296" s="109"/>
      <c r="M2296" s="109"/>
      <c r="N2296" s="109"/>
      <c r="O2296" s="109"/>
      <c r="P2296" s="109"/>
      <c r="Q2296" s="109"/>
      <c r="R2296" s="109"/>
      <c r="S2296" s="109"/>
      <c r="T2296" s="109"/>
      <c r="U2296" s="109"/>
    </row>
    <row r="2297" spans="1:21">
      <c r="A2297" s="109"/>
      <c r="B2297" s="109"/>
      <c r="C2297" s="109"/>
      <c r="D2297" s="109"/>
      <c r="E2297" s="109"/>
      <c r="F2297" s="109"/>
      <c r="G2297" s="109"/>
      <c r="H2297" s="109"/>
      <c r="I2297" s="109"/>
      <c r="J2297" s="109"/>
      <c r="K2297" s="109"/>
      <c r="L2297" s="109"/>
      <c r="M2297" s="109"/>
      <c r="N2297" s="109"/>
      <c r="O2297" s="109"/>
      <c r="P2297" s="109"/>
      <c r="Q2297" s="109"/>
      <c r="R2297" s="109"/>
      <c r="S2297" s="109"/>
      <c r="T2297" s="109"/>
      <c r="U2297" s="109"/>
    </row>
    <row r="2298" spans="1:21">
      <c r="A2298" s="109"/>
      <c r="B2298" s="109"/>
      <c r="C2298" s="109"/>
      <c r="D2298" s="109"/>
      <c r="E2298" s="109"/>
      <c r="F2298" s="109"/>
      <c r="G2298" s="109"/>
      <c r="H2298" s="109"/>
      <c r="I2298" s="109"/>
      <c r="J2298" s="109"/>
      <c r="K2298" s="109"/>
      <c r="L2298" s="109"/>
      <c r="M2298" s="109"/>
      <c r="N2298" s="109"/>
      <c r="O2298" s="109"/>
      <c r="P2298" s="109"/>
      <c r="Q2298" s="109"/>
      <c r="R2298" s="109"/>
      <c r="S2298" s="109"/>
      <c r="T2298" s="109"/>
      <c r="U2298" s="109"/>
    </row>
    <row r="2299" spans="1:21">
      <c r="A2299" s="109"/>
      <c r="B2299" s="109"/>
      <c r="C2299" s="109"/>
      <c r="D2299" s="109"/>
      <c r="E2299" s="109"/>
      <c r="F2299" s="109"/>
      <c r="G2299" s="109"/>
      <c r="H2299" s="109"/>
      <c r="I2299" s="109"/>
      <c r="J2299" s="109"/>
      <c r="K2299" s="109"/>
      <c r="L2299" s="109"/>
      <c r="M2299" s="109"/>
      <c r="N2299" s="109"/>
      <c r="O2299" s="109"/>
      <c r="P2299" s="109"/>
      <c r="Q2299" s="109"/>
      <c r="R2299" s="109"/>
      <c r="S2299" s="109"/>
      <c r="T2299" s="109"/>
      <c r="U2299" s="109"/>
    </row>
    <row r="2300" spans="1:21">
      <c r="A2300" s="109"/>
      <c r="B2300" s="109"/>
      <c r="C2300" s="109"/>
      <c r="D2300" s="109"/>
      <c r="E2300" s="109"/>
      <c r="F2300" s="109"/>
      <c r="G2300" s="109"/>
      <c r="H2300" s="109"/>
      <c r="I2300" s="109"/>
      <c r="J2300" s="109"/>
      <c r="K2300" s="109"/>
      <c r="L2300" s="109"/>
      <c r="M2300" s="109"/>
      <c r="N2300" s="109"/>
      <c r="O2300" s="109"/>
      <c r="P2300" s="109"/>
      <c r="Q2300" s="109"/>
      <c r="R2300" s="109"/>
      <c r="S2300" s="109"/>
      <c r="T2300" s="109"/>
      <c r="U2300" s="109"/>
    </row>
    <row r="2301" spans="1:21">
      <c r="A2301" s="109"/>
      <c r="B2301" s="109"/>
      <c r="C2301" s="109"/>
      <c r="D2301" s="109"/>
      <c r="E2301" s="109"/>
      <c r="F2301" s="109"/>
      <c r="G2301" s="109"/>
      <c r="H2301" s="109"/>
      <c r="I2301" s="109"/>
      <c r="J2301" s="109"/>
      <c r="K2301" s="109"/>
      <c r="L2301" s="109"/>
      <c r="M2301" s="109"/>
      <c r="N2301" s="109"/>
      <c r="O2301" s="109"/>
      <c r="P2301" s="109"/>
      <c r="Q2301" s="109"/>
      <c r="R2301" s="109"/>
      <c r="S2301" s="109"/>
      <c r="T2301" s="109"/>
      <c r="U2301" s="109"/>
    </row>
    <row r="2302" spans="1:21">
      <c r="A2302" s="109"/>
      <c r="B2302" s="109"/>
      <c r="C2302" s="109"/>
      <c r="D2302" s="109"/>
      <c r="E2302" s="109"/>
      <c r="F2302" s="109"/>
      <c r="G2302" s="109"/>
      <c r="H2302" s="109"/>
      <c r="I2302" s="109"/>
      <c r="J2302" s="109"/>
      <c r="K2302" s="109"/>
      <c r="L2302" s="109"/>
      <c r="M2302" s="109"/>
      <c r="N2302" s="109"/>
      <c r="O2302" s="109"/>
      <c r="P2302" s="109"/>
      <c r="Q2302" s="109"/>
      <c r="R2302" s="109"/>
      <c r="S2302" s="109"/>
      <c r="T2302" s="109"/>
      <c r="U2302" s="109"/>
    </row>
    <row r="2303" spans="1:21">
      <c r="A2303" s="109"/>
      <c r="B2303" s="109"/>
      <c r="C2303" s="109"/>
      <c r="D2303" s="109"/>
      <c r="E2303" s="109"/>
      <c r="F2303" s="109"/>
      <c r="G2303" s="109"/>
      <c r="H2303" s="109"/>
      <c r="I2303" s="109"/>
      <c r="J2303" s="109"/>
      <c r="K2303" s="109"/>
      <c r="L2303" s="109"/>
      <c r="M2303" s="109"/>
      <c r="N2303" s="109"/>
      <c r="O2303" s="109"/>
      <c r="P2303" s="109"/>
      <c r="Q2303" s="109"/>
      <c r="R2303" s="109"/>
      <c r="S2303" s="109"/>
      <c r="T2303" s="109"/>
      <c r="U2303" s="109"/>
    </row>
    <row r="2304" spans="1:21">
      <c r="A2304" s="109"/>
      <c r="B2304" s="109"/>
      <c r="C2304" s="109"/>
      <c r="D2304" s="109"/>
      <c r="E2304" s="109"/>
      <c r="F2304" s="109"/>
      <c r="G2304" s="109"/>
      <c r="H2304" s="109"/>
      <c r="I2304" s="109"/>
      <c r="J2304" s="109"/>
      <c r="K2304" s="109"/>
      <c r="L2304" s="109"/>
      <c r="M2304" s="109"/>
      <c r="N2304" s="109"/>
      <c r="O2304" s="109"/>
      <c r="P2304" s="109"/>
      <c r="Q2304" s="109"/>
      <c r="R2304" s="109"/>
      <c r="S2304" s="109"/>
      <c r="T2304" s="109"/>
      <c r="U2304" s="109"/>
    </row>
    <row r="2305" spans="1:21">
      <c r="A2305" s="109"/>
      <c r="B2305" s="109"/>
      <c r="C2305" s="109"/>
      <c r="D2305" s="109"/>
      <c r="E2305" s="109"/>
      <c r="F2305" s="109"/>
      <c r="G2305" s="109"/>
      <c r="H2305" s="109"/>
      <c r="I2305" s="109"/>
      <c r="J2305" s="109"/>
      <c r="K2305" s="109"/>
      <c r="L2305" s="109"/>
      <c r="M2305" s="109"/>
      <c r="N2305" s="109"/>
      <c r="O2305" s="109"/>
      <c r="P2305" s="109"/>
      <c r="Q2305" s="109"/>
      <c r="R2305" s="109"/>
      <c r="S2305" s="109"/>
      <c r="T2305" s="109"/>
      <c r="U2305" s="109"/>
    </row>
    <row r="2306" spans="1:21">
      <c r="A2306" s="109"/>
      <c r="B2306" s="109"/>
      <c r="C2306" s="109"/>
      <c r="D2306" s="109"/>
      <c r="E2306" s="109"/>
      <c r="F2306" s="109"/>
      <c r="G2306" s="109"/>
      <c r="H2306" s="109"/>
      <c r="I2306" s="109"/>
      <c r="J2306" s="109"/>
      <c r="K2306" s="109"/>
      <c r="L2306" s="109"/>
      <c r="M2306" s="109"/>
      <c r="N2306" s="109"/>
      <c r="O2306" s="109"/>
      <c r="P2306" s="109"/>
      <c r="Q2306" s="109"/>
      <c r="R2306" s="109"/>
      <c r="S2306" s="109"/>
      <c r="T2306" s="109"/>
      <c r="U2306" s="109"/>
    </row>
    <row r="2307" spans="1:21">
      <c r="A2307" s="109"/>
      <c r="B2307" s="109"/>
      <c r="C2307" s="109"/>
      <c r="D2307" s="109"/>
      <c r="E2307" s="109"/>
      <c r="F2307" s="109"/>
      <c r="G2307" s="109"/>
      <c r="H2307" s="109"/>
      <c r="I2307" s="109"/>
      <c r="J2307" s="109"/>
      <c r="K2307" s="109"/>
      <c r="L2307" s="109"/>
      <c r="M2307" s="109"/>
      <c r="N2307" s="109"/>
      <c r="O2307" s="109"/>
      <c r="P2307" s="109"/>
      <c r="Q2307" s="109"/>
      <c r="R2307" s="109"/>
      <c r="S2307" s="109"/>
      <c r="T2307" s="109"/>
      <c r="U2307" s="109"/>
    </row>
    <row r="2308" spans="1:21">
      <c r="A2308" s="109"/>
      <c r="B2308" s="109"/>
      <c r="C2308" s="109"/>
      <c r="D2308" s="109"/>
      <c r="E2308" s="109"/>
      <c r="F2308" s="109"/>
      <c r="G2308" s="109"/>
      <c r="H2308" s="109"/>
      <c r="I2308" s="109"/>
      <c r="J2308" s="109"/>
      <c r="K2308" s="109"/>
      <c r="L2308" s="109"/>
      <c r="M2308" s="109"/>
      <c r="N2308" s="109"/>
      <c r="O2308" s="109"/>
      <c r="P2308" s="109"/>
      <c r="Q2308" s="109"/>
      <c r="R2308" s="109"/>
      <c r="S2308" s="109"/>
      <c r="T2308" s="109"/>
      <c r="U2308" s="109"/>
    </row>
    <row r="2309" spans="1:21">
      <c r="A2309" s="109"/>
      <c r="B2309" s="109"/>
      <c r="C2309" s="109"/>
      <c r="D2309" s="109"/>
      <c r="E2309" s="109"/>
      <c r="F2309" s="109"/>
      <c r="G2309" s="109"/>
      <c r="H2309" s="109"/>
      <c r="I2309" s="109"/>
      <c r="J2309" s="109"/>
      <c r="K2309" s="109"/>
      <c r="L2309" s="109"/>
      <c r="M2309" s="109"/>
      <c r="N2309" s="109"/>
      <c r="O2309" s="109"/>
      <c r="P2309" s="109"/>
      <c r="Q2309" s="109"/>
      <c r="R2309" s="109"/>
      <c r="S2309" s="109"/>
      <c r="T2309" s="109"/>
      <c r="U2309" s="109"/>
    </row>
    <row r="2310" spans="1:21">
      <c r="A2310" s="109"/>
      <c r="B2310" s="109"/>
      <c r="C2310" s="109"/>
      <c r="D2310" s="109"/>
      <c r="E2310" s="109"/>
      <c r="F2310" s="109"/>
      <c r="G2310" s="109"/>
      <c r="H2310" s="109"/>
      <c r="I2310" s="109"/>
      <c r="J2310" s="109"/>
      <c r="K2310" s="109"/>
      <c r="L2310" s="109"/>
      <c r="M2310" s="109"/>
      <c r="N2310" s="109"/>
      <c r="O2310" s="109"/>
      <c r="P2310" s="109"/>
      <c r="Q2310" s="109"/>
      <c r="R2310" s="109"/>
      <c r="S2310" s="109"/>
      <c r="T2310" s="109"/>
      <c r="U2310" s="109"/>
    </row>
    <row r="2311" spans="1:21">
      <c r="A2311" s="109"/>
      <c r="B2311" s="109"/>
      <c r="C2311" s="109"/>
      <c r="D2311" s="109"/>
      <c r="E2311" s="109"/>
      <c r="F2311" s="109"/>
      <c r="G2311" s="109"/>
      <c r="H2311" s="109"/>
      <c r="I2311" s="109"/>
      <c r="J2311" s="109"/>
      <c r="K2311" s="109"/>
      <c r="L2311" s="109"/>
      <c r="M2311" s="109"/>
      <c r="N2311" s="109"/>
      <c r="O2311" s="109"/>
      <c r="P2311" s="109"/>
      <c r="Q2311" s="109"/>
      <c r="R2311" s="109"/>
      <c r="S2311" s="109"/>
      <c r="T2311" s="109"/>
      <c r="U2311" s="109"/>
    </row>
    <row r="2312" spans="1:21">
      <c r="A2312" s="109"/>
      <c r="B2312" s="109"/>
      <c r="C2312" s="109"/>
      <c r="D2312" s="109"/>
      <c r="E2312" s="109"/>
      <c r="F2312" s="109"/>
      <c r="G2312" s="109"/>
      <c r="H2312" s="109"/>
      <c r="I2312" s="109"/>
      <c r="J2312" s="109"/>
      <c r="K2312" s="109"/>
      <c r="L2312" s="109"/>
      <c r="M2312" s="109"/>
      <c r="N2312" s="109"/>
      <c r="O2312" s="109"/>
      <c r="P2312" s="109"/>
      <c r="Q2312" s="109"/>
      <c r="R2312" s="109"/>
      <c r="S2312" s="109"/>
      <c r="T2312" s="109"/>
      <c r="U2312" s="109"/>
    </row>
    <row r="2313" spans="1:21">
      <c r="A2313" s="109"/>
      <c r="B2313" s="109"/>
      <c r="C2313" s="109"/>
      <c r="D2313" s="109"/>
      <c r="E2313" s="109"/>
      <c r="F2313" s="109"/>
      <c r="G2313" s="109"/>
      <c r="H2313" s="109"/>
      <c r="I2313" s="109"/>
      <c r="J2313" s="109"/>
      <c r="K2313" s="109"/>
      <c r="L2313" s="109"/>
      <c r="M2313" s="109"/>
      <c r="N2313" s="109"/>
      <c r="O2313" s="109"/>
      <c r="P2313" s="109"/>
      <c r="Q2313" s="109"/>
      <c r="R2313" s="109"/>
      <c r="S2313" s="109"/>
      <c r="T2313" s="109"/>
      <c r="U2313" s="109"/>
    </row>
    <row r="2314" spans="1:21">
      <c r="A2314" s="109"/>
      <c r="B2314" s="109"/>
      <c r="C2314" s="109"/>
      <c r="D2314" s="109"/>
      <c r="E2314" s="109"/>
      <c r="F2314" s="109"/>
      <c r="G2314" s="109"/>
      <c r="H2314" s="109"/>
      <c r="I2314" s="109"/>
      <c r="J2314" s="109"/>
      <c r="K2314" s="109"/>
      <c r="L2314" s="109"/>
      <c r="M2314" s="109"/>
      <c r="N2314" s="109"/>
      <c r="O2314" s="109"/>
      <c r="P2314" s="109"/>
      <c r="Q2314" s="109"/>
      <c r="R2314" s="109"/>
      <c r="S2314" s="109"/>
      <c r="T2314" s="109"/>
      <c r="U2314" s="109"/>
    </row>
    <row r="2315" spans="1:21">
      <c r="A2315" s="109"/>
      <c r="B2315" s="109"/>
      <c r="C2315" s="109"/>
      <c r="D2315" s="109"/>
      <c r="E2315" s="109"/>
      <c r="F2315" s="109"/>
      <c r="G2315" s="109"/>
      <c r="H2315" s="109"/>
      <c r="I2315" s="109"/>
      <c r="J2315" s="109"/>
      <c r="K2315" s="109"/>
      <c r="L2315" s="109"/>
      <c r="M2315" s="109"/>
      <c r="N2315" s="109"/>
      <c r="O2315" s="109"/>
      <c r="P2315" s="109"/>
      <c r="Q2315" s="109"/>
      <c r="R2315" s="109"/>
      <c r="S2315" s="109"/>
      <c r="T2315" s="109"/>
      <c r="U2315" s="109"/>
    </row>
    <row r="2316" spans="1:21">
      <c r="A2316" s="109"/>
      <c r="B2316" s="109"/>
      <c r="C2316" s="109"/>
      <c r="D2316" s="109"/>
      <c r="E2316" s="109"/>
      <c r="F2316" s="109"/>
      <c r="G2316" s="109"/>
      <c r="H2316" s="109"/>
      <c r="I2316" s="109"/>
      <c r="J2316" s="109"/>
      <c r="K2316" s="109"/>
      <c r="L2316" s="109"/>
      <c r="M2316" s="109"/>
      <c r="N2316" s="109"/>
      <c r="O2316" s="109"/>
      <c r="P2316" s="109"/>
      <c r="Q2316" s="109"/>
      <c r="R2316" s="109"/>
      <c r="S2316" s="109"/>
      <c r="T2316" s="109"/>
      <c r="U2316" s="109"/>
    </row>
    <row r="2317" spans="1:21">
      <c r="A2317" s="109"/>
      <c r="B2317" s="109"/>
      <c r="C2317" s="109"/>
      <c r="D2317" s="109"/>
      <c r="E2317" s="109"/>
      <c r="F2317" s="109"/>
      <c r="G2317" s="109"/>
      <c r="H2317" s="109"/>
      <c r="I2317" s="109"/>
      <c r="J2317" s="109"/>
      <c r="K2317" s="109"/>
      <c r="L2317" s="109"/>
      <c r="M2317" s="109"/>
      <c r="N2317" s="109"/>
      <c r="O2317" s="109"/>
      <c r="P2317" s="109"/>
      <c r="Q2317" s="109"/>
      <c r="R2317" s="109"/>
      <c r="S2317" s="109"/>
      <c r="T2317" s="109"/>
      <c r="U2317" s="109"/>
    </row>
    <row r="2318" spans="1:21">
      <c r="A2318" s="109"/>
      <c r="B2318" s="109"/>
      <c r="C2318" s="109"/>
      <c r="D2318" s="109"/>
      <c r="E2318" s="109"/>
      <c r="F2318" s="109"/>
      <c r="G2318" s="109"/>
      <c r="H2318" s="109"/>
      <c r="I2318" s="109"/>
      <c r="J2318" s="109"/>
      <c r="K2318" s="109"/>
      <c r="L2318" s="109"/>
      <c r="M2318" s="109"/>
      <c r="N2318" s="109"/>
      <c r="O2318" s="109"/>
      <c r="P2318" s="109"/>
      <c r="Q2318" s="109"/>
      <c r="R2318" s="109"/>
      <c r="S2318" s="109"/>
      <c r="T2318" s="109"/>
      <c r="U2318" s="109"/>
    </row>
    <row r="2319" spans="1:21">
      <c r="A2319" s="109"/>
      <c r="B2319" s="109"/>
      <c r="C2319" s="109"/>
      <c r="D2319" s="109"/>
      <c r="E2319" s="109"/>
      <c r="F2319" s="109"/>
      <c r="G2319" s="109"/>
      <c r="H2319" s="109"/>
      <c r="I2319" s="109"/>
      <c r="J2319" s="109"/>
      <c r="K2319" s="109"/>
      <c r="L2319" s="109"/>
      <c r="M2319" s="109"/>
      <c r="N2319" s="109"/>
      <c r="O2319" s="109"/>
      <c r="P2319" s="109"/>
      <c r="Q2319" s="109"/>
      <c r="R2319" s="109"/>
      <c r="S2319" s="109"/>
      <c r="T2319" s="109"/>
      <c r="U2319" s="109"/>
    </row>
    <row r="2320" spans="1:21">
      <c r="A2320" s="109"/>
      <c r="B2320" s="109"/>
      <c r="C2320" s="109"/>
      <c r="D2320" s="109"/>
      <c r="E2320" s="109"/>
      <c r="F2320" s="109"/>
      <c r="G2320" s="109"/>
      <c r="H2320" s="109"/>
      <c r="I2320" s="109"/>
      <c r="J2320" s="109"/>
      <c r="K2320" s="109"/>
      <c r="L2320" s="109"/>
      <c r="M2320" s="109"/>
      <c r="N2320" s="109"/>
      <c r="O2320" s="109"/>
      <c r="P2320" s="109"/>
      <c r="Q2320" s="109"/>
      <c r="R2320" s="109"/>
      <c r="S2320" s="109"/>
      <c r="T2320" s="109"/>
      <c r="U2320" s="109"/>
    </row>
    <row r="2321" spans="1:21">
      <c r="A2321" s="109"/>
      <c r="B2321" s="109"/>
      <c r="C2321" s="109"/>
      <c r="D2321" s="109"/>
      <c r="E2321" s="109"/>
      <c r="F2321" s="109"/>
      <c r="G2321" s="109"/>
      <c r="H2321" s="109"/>
      <c r="I2321" s="109"/>
      <c r="J2321" s="109"/>
      <c r="K2321" s="109"/>
      <c r="L2321" s="109"/>
      <c r="M2321" s="109"/>
      <c r="N2321" s="109"/>
      <c r="O2321" s="109"/>
      <c r="P2321" s="109"/>
      <c r="Q2321" s="109"/>
      <c r="R2321" s="109"/>
      <c r="S2321" s="109"/>
      <c r="T2321" s="109"/>
      <c r="U2321" s="109"/>
    </row>
    <row r="2322" spans="1:21">
      <c r="A2322" s="109"/>
      <c r="B2322" s="109"/>
      <c r="C2322" s="109"/>
      <c r="D2322" s="109"/>
      <c r="E2322" s="109"/>
      <c r="F2322" s="109"/>
      <c r="G2322" s="109"/>
      <c r="H2322" s="109"/>
      <c r="I2322" s="109"/>
      <c r="J2322" s="109"/>
      <c r="K2322" s="109"/>
      <c r="L2322" s="109"/>
      <c r="M2322" s="109"/>
      <c r="N2322" s="109"/>
      <c r="O2322" s="109"/>
      <c r="P2322" s="109"/>
      <c r="Q2322" s="109"/>
      <c r="R2322" s="109"/>
      <c r="S2322" s="109"/>
      <c r="T2322" s="109"/>
      <c r="U2322" s="109"/>
    </row>
    <row r="2323" spans="1:21">
      <c r="A2323" s="109"/>
      <c r="B2323" s="109"/>
      <c r="C2323" s="109"/>
      <c r="D2323" s="109"/>
      <c r="E2323" s="109"/>
      <c r="F2323" s="109"/>
      <c r="G2323" s="109"/>
      <c r="H2323" s="109"/>
      <c r="I2323" s="109"/>
      <c r="J2323" s="109"/>
      <c r="K2323" s="109"/>
      <c r="L2323" s="109"/>
      <c r="M2323" s="109"/>
      <c r="N2323" s="109"/>
      <c r="O2323" s="109"/>
      <c r="P2323" s="109"/>
      <c r="Q2323" s="109"/>
      <c r="R2323" s="109"/>
      <c r="S2323" s="109"/>
      <c r="T2323" s="109"/>
      <c r="U2323" s="109"/>
    </row>
    <row r="2324" spans="1:21">
      <c r="A2324" s="109"/>
      <c r="B2324" s="109"/>
      <c r="C2324" s="109"/>
      <c r="D2324" s="109"/>
      <c r="E2324" s="109"/>
      <c r="F2324" s="109"/>
      <c r="G2324" s="109"/>
      <c r="H2324" s="109"/>
      <c r="I2324" s="109"/>
      <c r="J2324" s="109"/>
      <c r="K2324" s="109"/>
      <c r="L2324" s="109"/>
      <c r="M2324" s="109"/>
      <c r="N2324" s="109"/>
      <c r="O2324" s="109"/>
      <c r="P2324" s="109"/>
      <c r="Q2324" s="109"/>
      <c r="R2324" s="109"/>
      <c r="S2324" s="109"/>
      <c r="T2324" s="109"/>
      <c r="U2324" s="109"/>
    </row>
    <row r="2325" spans="1:21">
      <c r="A2325" s="109"/>
      <c r="B2325" s="109"/>
      <c r="C2325" s="109"/>
      <c r="D2325" s="109"/>
      <c r="E2325" s="109"/>
      <c r="F2325" s="109"/>
      <c r="G2325" s="109"/>
      <c r="H2325" s="109"/>
      <c r="I2325" s="109"/>
      <c r="J2325" s="109"/>
      <c r="K2325" s="109"/>
      <c r="L2325" s="109"/>
      <c r="M2325" s="109"/>
      <c r="N2325" s="109"/>
      <c r="O2325" s="109"/>
      <c r="P2325" s="109"/>
      <c r="Q2325" s="109"/>
      <c r="R2325" s="109"/>
      <c r="S2325" s="109"/>
      <c r="T2325" s="109"/>
      <c r="U2325" s="109"/>
    </row>
    <row r="2326" spans="1:21">
      <c r="A2326" s="109"/>
      <c r="B2326" s="109"/>
      <c r="C2326" s="109"/>
      <c r="D2326" s="109"/>
      <c r="E2326" s="109"/>
      <c r="F2326" s="109"/>
      <c r="G2326" s="109"/>
      <c r="H2326" s="109"/>
      <c r="I2326" s="109"/>
      <c r="J2326" s="109"/>
      <c r="K2326" s="109"/>
      <c r="L2326" s="109"/>
      <c r="M2326" s="109"/>
      <c r="N2326" s="109"/>
      <c r="O2326" s="109"/>
      <c r="P2326" s="109"/>
      <c r="Q2326" s="109"/>
      <c r="R2326" s="109"/>
      <c r="S2326" s="109"/>
      <c r="T2326" s="109"/>
      <c r="U2326" s="109"/>
    </row>
    <row r="2327" spans="1:21">
      <c r="A2327" s="109"/>
      <c r="B2327" s="109"/>
      <c r="C2327" s="109"/>
      <c r="D2327" s="109"/>
      <c r="E2327" s="109"/>
      <c r="F2327" s="109"/>
      <c r="G2327" s="109"/>
      <c r="H2327" s="109"/>
      <c r="I2327" s="109"/>
      <c r="J2327" s="109"/>
      <c r="K2327" s="109"/>
      <c r="L2327" s="109"/>
      <c r="M2327" s="109"/>
      <c r="N2327" s="109"/>
      <c r="O2327" s="109"/>
      <c r="P2327" s="109"/>
      <c r="Q2327" s="109"/>
      <c r="R2327" s="109"/>
      <c r="S2327" s="109"/>
      <c r="T2327" s="109"/>
      <c r="U2327" s="109"/>
    </row>
    <row r="2328" spans="1:21">
      <c r="A2328" s="109"/>
      <c r="B2328" s="109"/>
      <c r="C2328" s="109"/>
      <c r="D2328" s="109"/>
      <c r="E2328" s="109"/>
      <c r="F2328" s="109"/>
      <c r="G2328" s="109"/>
      <c r="H2328" s="109"/>
      <c r="I2328" s="109"/>
      <c r="J2328" s="109"/>
      <c r="K2328" s="109"/>
      <c r="L2328" s="109"/>
      <c r="M2328" s="109"/>
      <c r="N2328" s="109"/>
      <c r="O2328" s="109"/>
      <c r="P2328" s="109"/>
      <c r="Q2328" s="109"/>
      <c r="R2328" s="109"/>
      <c r="S2328" s="109"/>
      <c r="T2328" s="109"/>
      <c r="U2328" s="109"/>
    </row>
    <row r="2329" spans="1:21">
      <c r="A2329" s="109"/>
      <c r="B2329" s="109"/>
      <c r="C2329" s="109"/>
      <c r="D2329" s="109"/>
      <c r="E2329" s="109"/>
      <c r="F2329" s="109"/>
      <c r="G2329" s="109"/>
      <c r="H2329" s="109"/>
      <c r="I2329" s="109"/>
      <c r="J2329" s="109"/>
      <c r="K2329" s="109"/>
      <c r="L2329" s="109"/>
      <c r="M2329" s="109"/>
      <c r="N2329" s="109"/>
      <c r="O2329" s="109"/>
      <c r="P2329" s="109"/>
      <c r="Q2329" s="109"/>
      <c r="R2329" s="109"/>
      <c r="S2329" s="109"/>
      <c r="T2329" s="109"/>
      <c r="U2329" s="109"/>
    </row>
    <row r="2330" spans="1:21">
      <c r="A2330" s="109"/>
      <c r="B2330" s="109"/>
      <c r="C2330" s="109"/>
      <c r="D2330" s="109"/>
      <c r="E2330" s="109"/>
      <c r="F2330" s="109"/>
      <c r="G2330" s="109"/>
      <c r="H2330" s="109"/>
      <c r="I2330" s="109"/>
      <c r="J2330" s="109"/>
      <c r="K2330" s="109"/>
      <c r="L2330" s="109"/>
      <c r="M2330" s="109"/>
      <c r="N2330" s="109"/>
      <c r="O2330" s="109"/>
      <c r="P2330" s="109"/>
      <c r="Q2330" s="109"/>
      <c r="R2330" s="109"/>
      <c r="S2330" s="109"/>
      <c r="T2330" s="109"/>
      <c r="U2330" s="109"/>
    </row>
    <row r="2331" spans="1:21">
      <c r="A2331" s="109"/>
      <c r="B2331" s="109"/>
      <c r="C2331" s="109"/>
      <c r="D2331" s="109"/>
      <c r="E2331" s="109"/>
      <c r="F2331" s="109"/>
      <c r="G2331" s="109"/>
      <c r="H2331" s="109"/>
      <c r="I2331" s="109"/>
      <c r="J2331" s="109"/>
      <c r="K2331" s="109"/>
      <c r="L2331" s="109"/>
      <c r="M2331" s="109"/>
      <c r="N2331" s="109"/>
      <c r="O2331" s="109"/>
      <c r="P2331" s="109"/>
      <c r="Q2331" s="109"/>
      <c r="R2331" s="109"/>
      <c r="S2331" s="109"/>
      <c r="T2331" s="109"/>
      <c r="U2331" s="109"/>
    </row>
    <row r="2332" spans="1:21">
      <c r="A2332" s="109"/>
      <c r="B2332" s="109"/>
      <c r="C2332" s="109"/>
      <c r="D2332" s="109"/>
      <c r="E2332" s="109"/>
      <c r="F2332" s="109"/>
      <c r="G2332" s="109"/>
      <c r="H2332" s="109"/>
      <c r="I2332" s="109"/>
      <c r="J2332" s="109"/>
      <c r="K2332" s="109"/>
      <c r="L2332" s="109"/>
      <c r="M2332" s="109"/>
      <c r="N2332" s="109"/>
      <c r="O2332" s="109"/>
      <c r="P2332" s="109"/>
      <c r="Q2332" s="109"/>
      <c r="R2332" s="109"/>
      <c r="S2332" s="109"/>
      <c r="T2332" s="109"/>
      <c r="U2332" s="109"/>
    </row>
    <row r="2333" spans="1:21">
      <c r="A2333" s="109"/>
      <c r="B2333" s="109"/>
      <c r="C2333" s="109"/>
      <c r="D2333" s="109"/>
      <c r="E2333" s="109"/>
      <c r="F2333" s="109"/>
      <c r="G2333" s="109"/>
      <c r="H2333" s="109"/>
      <c r="I2333" s="109"/>
      <c r="J2333" s="109"/>
      <c r="K2333" s="109"/>
      <c r="L2333" s="109"/>
      <c r="M2333" s="109"/>
      <c r="N2333" s="109"/>
      <c r="O2333" s="109"/>
      <c r="P2333" s="109"/>
      <c r="Q2333" s="109"/>
      <c r="R2333" s="109"/>
      <c r="S2333" s="109"/>
      <c r="T2333" s="109"/>
      <c r="U2333" s="109"/>
    </row>
    <row r="2334" spans="1:21">
      <c r="A2334" s="109"/>
      <c r="B2334" s="109"/>
      <c r="C2334" s="109"/>
      <c r="D2334" s="109"/>
      <c r="E2334" s="109"/>
      <c r="F2334" s="109"/>
      <c r="G2334" s="109"/>
      <c r="H2334" s="109"/>
      <c r="I2334" s="109"/>
      <c r="J2334" s="109"/>
      <c r="K2334" s="109"/>
      <c r="L2334" s="109"/>
      <c r="M2334" s="109"/>
      <c r="N2334" s="109"/>
      <c r="O2334" s="109"/>
      <c r="P2334" s="109"/>
      <c r="Q2334" s="109"/>
      <c r="R2334" s="109"/>
      <c r="S2334" s="109"/>
      <c r="T2334" s="109"/>
      <c r="U2334" s="109"/>
    </row>
    <row r="2335" spans="1:21">
      <c r="A2335" s="109"/>
      <c r="B2335" s="109"/>
      <c r="C2335" s="109"/>
      <c r="D2335" s="109"/>
      <c r="E2335" s="109"/>
      <c r="F2335" s="109"/>
      <c r="G2335" s="109"/>
      <c r="H2335" s="109"/>
      <c r="I2335" s="109"/>
      <c r="J2335" s="109"/>
      <c r="K2335" s="109"/>
      <c r="L2335" s="109"/>
      <c r="M2335" s="109"/>
      <c r="N2335" s="109"/>
      <c r="O2335" s="109"/>
      <c r="P2335" s="109"/>
      <c r="Q2335" s="109"/>
      <c r="R2335" s="109"/>
      <c r="S2335" s="109"/>
      <c r="T2335" s="109"/>
      <c r="U2335" s="109"/>
    </row>
    <row r="2336" spans="1:21">
      <c r="A2336" s="109"/>
      <c r="B2336" s="109"/>
      <c r="C2336" s="109"/>
      <c r="D2336" s="109"/>
      <c r="E2336" s="109"/>
      <c r="F2336" s="109"/>
      <c r="G2336" s="109"/>
      <c r="H2336" s="109"/>
      <c r="I2336" s="109"/>
      <c r="J2336" s="109"/>
      <c r="K2336" s="109"/>
      <c r="L2336" s="109"/>
      <c r="M2336" s="109"/>
      <c r="N2336" s="109"/>
      <c r="O2336" s="109"/>
      <c r="P2336" s="109"/>
      <c r="Q2336" s="109"/>
      <c r="R2336" s="109"/>
      <c r="S2336" s="109"/>
      <c r="T2336" s="109"/>
      <c r="U2336" s="109"/>
    </row>
    <row r="2337" spans="1:21">
      <c r="A2337" s="109"/>
      <c r="B2337" s="109"/>
      <c r="C2337" s="109"/>
      <c r="D2337" s="109"/>
      <c r="E2337" s="109"/>
      <c r="F2337" s="109"/>
      <c r="G2337" s="109"/>
      <c r="H2337" s="109"/>
      <c r="I2337" s="109"/>
      <c r="J2337" s="109"/>
      <c r="K2337" s="109"/>
      <c r="L2337" s="109"/>
      <c r="M2337" s="109"/>
      <c r="N2337" s="109"/>
      <c r="O2337" s="109"/>
      <c r="P2337" s="109"/>
      <c r="Q2337" s="109"/>
      <c r="R2337" s="109"/>
      <c r="S2337" s="109"/>
      <c r="T2337" s="109"/>
      <c r="U2337" s="109"/>
    </row>
    <row r="2338" spans="1:21">
      <c r="A2338" s="109"/>
      <c r="B2338" s="109"/>
      <c r="C2338" s="109"/>
      <c r="D2338" s="109"/>
      <c r="E2338" s="109"/>
      <c r="F2338" s="109"/>
      <c r="G2338" s="109"/>
      <c r="H2338" s="109"/>
      <c r="I2338" s="109"/>
      <c r="J2338" s="109"/>
      <c r="K2338" s="109"/>
      <c r="L2338" s="109"/>
      <c r="M2338" s="109"/>
      <c r="N2338" s="109"/>
      <c r="O2338" s="109"/>
      <c r="P2338" s="109"/>
      <c r="Q2338" s="109"/>
      <c r="R2338" s="109"/>
      <c r="S2338" s="109"/>
      <c r="T2338" s="109"/>
      <c r="U2338" s="109"/>
    </row>
    <row r="2339" spans="1:21">
      <c r="A2339" s="109"/>
      <c r="B2339" s="109"/>
      <c r="C2339" s="109"/>
      <c r="D2339" s="109"/>
      <c r="E2339" s="109"/>
      <c r="F2339" s="109"/>
      <c r="G2339" s="109"/>
      <c r="H2339" s="109"/>
      <c r="I2339" s="109"/>
      <c r="J2339" s="109"/>
      <c r="K2339" s="109"/>
      <c r="L2339" s="109"/>
      <c r="M2339" s="109"/>
      <c r="N2339" s="109"/>
      <c r="O2339" s="109"/>
      <c r="P2339" s="109"/>
      <c r="Q2339" s="109"/>
      <c r="R2339" s="109"/>
      <c r="S2339" s="109"/>
      <c r="T2339" s="109"/>
      <c r="U2339" s="109"/>
    </row>
    <row r="2340" spans="1:21">
      <c r="A2340" s="109"/>
      <c r="B2340" s="109"/>
      <c r="C2340" s="109"/>
      <c r="D2340" s="109"/>
      <c r="E2340" s="109"/>
      <c r="F2340" s="109"/>
      <c r="G2340" s="109"/>
      <c r="H2340" s="109"/>
      <c r="I2340" s="109"/>
      <c r="J2340" s="109"/>
      <c r="K2340" s="109"/>
      <c r="L2340" s="109"/>
      <c r="M2340" s="109"/>
      <c r="N2340" s="109"/>
      <c r="O2340" s="109"/>
      <c r="P2340" s="109"/>
      <c r="Q2340" s="109"/>
      <c r="R2340" s="109"/>
      <c r="S2340" s="109"/>
      <c r="T2340" s="109"/>
      <c r="U2340" s="109"/>
    </row>
    <row r="2341" spans="1:21">
      <c r="A2341" s="109"/>
      <c r="B2341" s="109"/>
      <c r="C2341" s="109"/>
      <c r="D2341" s="109"/>
      <c r="E2341" s="109"/>
      <c r="F2341" s="109"/>
      <c r="G2341" s="109"/>
      <c r="H2341" s="109"/>
      <c r="I2341" s="109"/>
      <c r="J2341" s="109"/>
      <c r="K2341" s="109"/>
      <c r="L2341" s="109"/>
      <c r="M2341" s="109"/>
      <c r="N2341" s="109"/>
      <c r="O2341" s="109"/>
      <c r="P2341" s="109"/>
      <c r="Q2341" s="109"/>
      <c r="R2341" s="109"/>
      <c r="S2341" s="109"/>
      <c r="T2341" s="109"/>
      <c r="U2341" s="109"/>
    </row>
    <row r="2342" spans="1:21">
      <c r="A2342" s="109"/>
      <c r="B2342" s="109"/>
      <c r="C2342" s="109"/>
      <c r="D2342" s="109"/>
      <c r="E2342" s="109"/>
      <c r="F2342" s="109"/>
      <c r="G2342" s="109"/>
      <c r="H2342" s="109"/>
      <c r="I2342" s="109"/>
      <c r="J2342" s="109"/>
      <c r="K2342" s="109"/>
      <c r="L2342" s="109"/>
      <c r="M2342" s="109"/>
      <c r="N2342" s="109"/>
      <c r="O2342" s="109"/>
      <c r="P2342" s="109"/>
      <c r="Q2342" s="109"/>
      <c r="R2342" s="109"/>
      <c r="S2342" s="109"/>
      <c r="T2342" s="109"/>
      <c r="U2342" s="109"/>
    </row>
    <row r="2343" spans="1:21">
      <c r="A2343" s="109"/>
      <c r="B2343" s="109"/>
      <c r="C2343" s="109"/>
      <c r="D2343" s="109"/>
      <c r="E2343" s="109"/>
      <c r="F2343" s="109"/>
      <c r="G2343" s="109"/>
      <c r="H2343" s="109"/>
      <c r="I2343" s="109"/>
      <c r="J2343" s="109"/>
      <c r="K2343" s="109"/>
      <c r="L2343" s="109"/>
      <c r="M2343" s="109"/>
      <c r="N2343" s="109"/>
      <c r="O2343" s="109"/>
      <c r="P2343" s="109"/>
      <c r="Q2343" s="109"/>
      <c r="R2343" s="109"/>
      <c r="S2343" s="109"/>
      <c r="T2343" s="109"/>
      <c r="U2343" s="109"/>
    </row>
    <row r="2344" spans="1:21">
      <c r="A2344" s="109"/>
      <c r="B2344" s="109"/>
      <c r="C2344" s="109"/>
      <c r="D2344" s="109"/>
      <c r="E2344" s="109"/>
      <c r="F2344" s="109"/>
      <c r="G2344" s="109"/>
      <c r="H2344" s="109"/>
      <c r="I2344" s="109"/>
      <c r="J2344" s="109"/>
      <c r="K2344" s="109"/>
      <c r="L2344" s="109"/>
      <c r="M2344" s="109"/>
      <c r="N2344" s="109"/>
      <c r="O2344" s="109"/>
      <c r="P2344" s="109"/>
      <c r="Q2344" s="109"/>
      <c r="R2344" s="109"/>
      <c r="S2344" s="109"/>
      <c r="T2344" s="109"/>
      <c r="U2344" s="109"/>
    </row>
    <row r="2345" spans="1:21">
      <c r="A2345" s="109"/>
      <c r="B2345" s="109"/>
      <c r="C2345" s="109"/>
      <c r="D2345" s="109"/>
      <c r="E2345" s="109"/>
      <c r="F2345" s="109"/>
      <c r="G2345" s="109"/>
      <c r="H2345" s="109"/>
      <c r="I2345" s="109"/>
      <c r="J2345" s="109"/>
      <c r="K2345" s="109"/>
      <c r="L2345" s="109"/>
      <c r="M2345" s="109"/>
      <c r="N2345" s="109"/>
      <c r="O2345" s="109"/>
      <c r="P2345" s="109"/>
      <c r="Q2345" s="109"/>
      <c r="R2345" s="109"/>
      <c r="S2345" s="109"/>
      <c r="T2345" s="109"/>
      <c r="U2345" s="109"/>
    </row>
    <row r="2346" spans="1:21">
      <c r="A2346" s="109"/>
      <c r="B2346" s="109"/>
      <c r="C2346" s="109"/>
      <c r="D2346" s="109"/>
      <c r="E2346" s="109"/>
      <c r="F2346" s="109"/>
      <c r="G2346" s="109"/>
      <c r="H2346" s="109"/>
      <c r="I2346" s="109"/>
      <c r="J2346" s="109"/>
      <c r="K2346" s="109"/>
      <c r="L2346" s="109"/>
      <c r="M2346" s="109"/>
      <c r="N2346" s="109"/>
      <c r="O2346" s="109"/>
      <c r="P2346" s="109"/>
      <c r="Q2346" s="109"/>
      <c r="R2346" s="109"/>
      <c r="S2346" s="109"/>
      <c r="T2346" s="109"/>
      <c r="U2346" s="109"/>
    </row>
    <row r="2347" spans="1:21">
      <c r="A2347" s="109"/>
      <c r="B2347" s="109"/>
      <c r="C2347" s="109"/>
      <c r="D2347" s="109"/>
      <c r="E2347" s="109"/>
      <c r="F2347" s="109"/>
      <c r="G2347" s="109"/>
      <c r="H2347" s="109"/>
      <c r="I2347" s="109"/>
      <c r="J2347" s="109"/>
      <c r="K2347" s="109"/>
      <c r="L2347" s="109"/>
      <c r="M2347" s="109"/>
      <c r="N2347" s="109"/>
      <c r="O2347" s="109"/>
      <c r="P2347" s="109"/>
      <c r="Q2347" s="109"/>
      <c r="R2347" s="109"/>
      <c r="S2347" s="109"/>
      <c r="T2347" s="109"/>
      <c r="U2347" s="109"/>
    </row>
    <row r="2348" spans="1:21">
      <c r="A2348" s="109"/>
      <c r="B2348" s="109"/>
      <c r="C2348" s="109"/>
      <c r="D2348" s="109"/>
      <c r="E2348" s="109"/>
      <c r="F2348" s="109"/>
      <c r="G2348" s="109"/>
      <c r="H2348" s="109"/>
      <c r="I2348" s="109"/>
      <c r="J2348" s="109"/>
      <c r="K2348" s="109"/>
      <c r="L2348" s="109"/>
      <c r="M2348" s="109"/>
      <c r="N2348" s="109"/>
      <c r="O2348" s="109"/>
      <c r="P2348" s="109"/>
      <c r="Q2348" s="109"/>
      <c r="R2348" s="109"/>
      <c r="S2348" s="109"/>
      <c r="T2348" s="109"/>
      <c r="U2348" s="109"/>
    </row>
    <row r="2349" spans="1:21">
      <c r="A2349" s="109"/>
      <c r="B2349" s="109"/>
      <c r="C2349" s="109"/>
      <c r="D2349" s="109"/>
      <c r="E2349" s="109"/>
      <c r="F2349" s="109"/>
      <c r="G2349" s="109"/>
      <c r="H2349" s="109"/>
      <c r="I2349" s="109"/>
      <c r="J2349" s="109"/>
      <c r="K2349" s="109"/>
      <c r="L2349" s="109"/>
      <c r="M2349" s="109"/>
      <c r="N2349" s="109"/>
      <c r="O2349" s="109"/>
      <c r="P2349" s="109"/>
      <c r="Q2349" s="109"/>
      <c r="R2349" s="109"/>
      <c r="S2349" s="109"/>
      <c r="T2349" s="109"/>
      <c r="U2349" s="109"/>
    </row>
    <row r="2350" spans="1:21">
      <c r="A2350" s="109"/>
      <c r="B2350" s="109"/>
      <c r="C2350" s="109"/>
      <c r="D2350" s="109"/>
      <c r="E2350" s="109"/>
      <c r="F2350" s="109"/>
      <c r="G2350" s="109"/>
      <c r="H2350" s="109"/>
      <c r="I2350" s="109"/>
      <c r="J2350" s="109"/>
      <c r="K2350" s="109"/>
      <c r="L2350" s="109"/>
      <c r="M2350" s="109"/>
      <c r="N2350" s="109"/>
      <c r="O2350" s="109"/>
      <c r="P2350" s="109"/>
      <c r="Q2350" s="109"/>
      <c r="R2350" s="109"/>
      <c r="S2350" s="109"/>
      <c r="T2350" s="109"/>
      <c r="U2350" s="109"/>
    </row>
    <row r="2351" spans="1:21">
      <c r="A2351" s="109"/>
      <c r="B2351" s="109"/>
      <c r="C2351" s="109"/>
      <c r="D2351" s="109"/>
      <c r="E2351" s="109"/>
      <c r="F2351" s="109"/>
      <c r="G2351" s="109"/>
      <c r="H2351" s="109"/>
      <c r="I2351" s="109"/>
      <c r="J2351" s="109"/>
      <c r="K2351" s="109"/>
      <c r="L2351" s="109"/>
      <c r="M2351" s="109"/>
      <c r="N2351" s="109"/>
      <c r="O2351" s="109"/>
      <c r="P2351" s="109"/>
      <c r="Q2351" s="109"/>
      <c r="R2351" s="109"/>
      <c r="S2351" s="109"/>
      <c r="T2351" s="109"/>
      <c r="U2351" s="109"/>
    </row>
    <row r="2352" spans="1:21">
      <c r="A2352" s="109"/>
      <c r="B2352" s="109"/>
      <c r="C2352" s="109"/>
      <c r="D2352" s="109"/>
      <c r="E2352" s="109"/>
      <c r="F2352" s="109"/>
      <c r="G2352" s="109"/>
      <c r="H2352" s="109"/>
      <c r="I2352" s="109"/>
      <c r="J2352" s="109"/>
      <c r="K2352" s="109"/>
      <c r="L2352" s="109"/>
      <c r="M2352" s="109"/>
      <c r="N2352" s="109"/>
      <c r="O2352" s="109"/>
      <c r="P2352" s="109"/>
      <c r="Q2352" s="109"/>
      <c r="R2352" s="109"/>
      <c r="S2352" s="109"/>
      <c r="T2352" s="109"/>
      <c r="U2352" s="109"/>
    </row>
    <row r="2353" spans="1:21">
      <c r="A2353" s="109"/>
      <c r="B2353" s="109"/>
      <c r="C2353" s="109"/>
      <c r="D2353" s="109"/>
      <c r="E2353" s="109"/>
      <c r="F2353" s="109"/>
      <c r="G2353" s="109"/>
      <c r="H2353" s="109"/>
      <c r="I2353" s="109"/>
      <c r="J2353" s="109"/>
      <c r="K2353" s="109"/>
      <c r="L2353" s="109"/>
      <c r="M2353" s="109"/>
      <c r="N2353" s="109"/>
      <c r="O2353" s="109"/>
      <c r="P2353" s="109"/>
      <c r="Q2353" s="109"/>
      <c r="R2353" s="109"/>
      <c r="S2353" s="109"/>
      <c r="T2353" s="109"/>
      <c r="U2353" s="109"/>
    </row>
    <row r="2354" spans="1:21">
      <c r="A2354" s="109"/>
      <c r="B2354" s="109"/>
      <c r="C2354" s="109"/>
      <c r="D2354" s="109"/>
      <c r="E2354" s="109"/>
      <c r="F2354" s="109"/>
      <c r="G2354" s="109"/>
      <c r="H2354" s="109"/>
      <c r="I2354" s="109"/>
      <c r="J2354" s="109"/>
      <c r="K2354" s="109"/>
      <c r="L2354" s="109"/>
      <c r="M2354" s="109"/>
      <c r="N2354" s="109"/>
      <c r="O2354" s="109"/>
      <c r="P2354" s="109"/>
      <c r="Q2354" s="109"/>
      <c r="R2354" s="109"/>
      <c r="S2354" s="109"/>
      <c r="T2354" s="109"/>
      <c r="U2354" s="109"/>
    </row>
    <row r="2355" spans="1:21">
      <c r="A2355" s="109"/>
      <c r="B2355" s="109"/>
      <c r="C2355" s="109"/>
      <c r="D2355" s="109"/>
      <c r="E2355" s="109"/>
      <c r="F2355" s="109"/>
      <c r="G2355" s="109"/>
      <c r="H2355" s="109"/>
      <c r="I2355" s="109"/>
      <c r="J2355" s="109"/>
      <c r="K2355" s="109"/>
      <c r="L2355" s="109"/>
      <c r="M2355" s="109"/>
      <c r="N2355" s="109"/>
      <c r="O2355" s="109"/>
      <c r="P2355" s="109"/>
      <c r="Q2355" s="109"/>
      <c r="R2355" s="109"/>
      <c r="S2355" s="109"/>
      <c r="T2355" s="109"/>
      <c r="U2355" s="109"/>
    </row>
    <row r="2356" spans="1:21">
      <c r="A2356" s="109"/>
      <c r="B2356" s="109"/>
      <c r="C2356" s="109"/>
      <c r="D2356" s="109"/>
      <c r="E2356" s="109"/>
      <c r="F2356" s="109"/>
      <c r="G2356" s="109"/>
      <c r="H2356" s="109"/>
      <c r="I2356" s="109"/>
      <c r="J2356" s="109"/>
      <c r="K2356" s="109"/>
      <c r="L2356" s="109"/>
      <c r="M2356" s="109"/>
      <c r="N2356" s="109"/>
      <c r="O2356" s="109"/>
      <c r="P2356" s="109"/>
      <c r="Q2356" s="109"/>
      <c r="R2356" s="109"/>
      <c r="S2356" s="109"/>
      <c r="T2356" s="109"/>
      <c r="U2356" s="109"/>
    </row>
    <row r="2357" spans="1:21">
      <c r="A2357" s="109"/>
      <c r="B2357" s="109"/>
      <c r="C2357" s="109"/>
      <c r="D2357" s="109"/>
      <c r="E2357" s="109"/>
      <c r="F2357" s="109"/>
      <c r="G2357" s="109"/>
      <c r="H2357" s="109"/>
      <c r="I2357" s="109"/>
      <c r="J2357" s="109"/>
      <c r="K2357" s="109"/>
      <c r="L2357" s="109"/>
      <c r="M2357" s="109"/>
      <c r="N2357" s="109"/>
      <c r="O2357" s="109"/>
      <c r="P2357" s="109"/>
      <c r="Q2357" s="109"/>
      <c r="R2357" s="109"/>
      <c r="S2357" s="109"/>
      <c r="T2357" s="109"/>
      <c r="U2357" s="109"/>
    </row>
    <row r="2358" spans="1:21">
      <c r="A2358" s="109"/>
      <c r="B2358" s="109"/>
      <c r="C2358" s="109"/>
      <c r="D2358" s="109"/>
      <c r="E2358" s="109"/>
      <c r="F2358" s="109"/>
      <c r="G2358" s="109"/>
      <c r="H2358" s="109"/>
      <c r="I2358" s="109"/>
      <c r="J2358" s="109"/>
      <c r="K2358" s="109"/>
      <c r="L2358" s="109"/>
      <c r="M2358" s="109"/>
      <c r="N2358" s="109"/>
      <c r="O2358" s="109"/>
      <c r="P2358" s="109"/>
      <c r="Q2358" s="109"/>
      <c r="R2358" s="109"/>
      <c r="S2358" s="109"/>
      <c r="T2358" s="109"/>
      <c r="U2358" s="109"/>
    </row>
    <row r="2359" spans="1:21">
      <c r="A2359" s="109"/>
      <c r="B2359" s="109"/>
      <c r="C2359" s="109"/>
      <c r="D2359" s="109"/>
      <c r="E2359" s="109"/>
      <c r="F2359" s="109"/>
      <c r="G2359" s="109"/>
      <c r="H2359" s="109"/>
      <c r="I2359" s="109"/>
      <c r="J2359" s="109"/>
      <c r="K2359" s="109"/>
      <c r="L2359" s="109"/>
      <c r="M2359" s="109"/>
      <c r="N2359" s="109"/>
      <c r="O2359" s="109"/>
      <c r="P2359" s="109"/>
      <c r="Q2359" s="109"/>
      <c r="R2359" s="109"/>
      <c r="S2359" s="109"/>
      <c r="T2359" s="109"/>
      <c r="U2359" s="109"/>
    </row>
    <row r="2360" spans="1:21">
      <c r="A2360" s="109"/>
      <c r="B2360" s="109"/>
      <c r="C2360" s="109"/>
      <c r="D2360" s="109"/>
      <c r="E2360" s="109"/>
      <c r="F2360" s="109"/>
      <c r="G2360" s="109"/>
      <c r="H2360" s="109"/>
      <c r="I2360" s="109"/>
      <c r="J2360" s="109"/>
      <c r="K2360" s="109"/>
      <c r="L2360" s="109"/>
      <c r="M2360" s="109"/>
      <c r="N2360" s="109"/>
      <c r="O2360" s="109"/>
      <c r="P2360" s="109"/>
      <c r="Q2360" s="109"/>
      <c r="R2360" s="109"/>
      <c r="S2360" s="109"/>
      <c r="T2360" s="109"/>
      <c r="U2360" s="109"/>
    </row>
    <row r="2361" spans="1:21">
      <c r="A2361" s="109"/>
      <c r="B2361" s="109"/>
      <c r="C2361" s="109"/>
      <c r="D2361" s="109"/>
      <c r="E2361" s="109"/>
      <c r="F2361" s="109"/>
      <c r="G2361" s="109"/>
      <c r="H2361" s="109"/>
      <c r="I2361" s="109"/>
      <c r="J2361" s="109"/>
      <c r="K2361" s="109"/>
      <c r="L2361" s="109"/>
      <c r="M2361" s="109"/>
      <c r="N2361" s="109"/>
      <c r="O2361" s="109"/>
      <c r="P2361" s="109"/>
      <c r="Q2361" s="109"/>
      <c r="R2361" s="109"/>
      <c r="S2361" s="109"/>
      <c r="T2361" s="109"/>
      <c r="U2361" s="109"/>
    </row>
    <row r="2362" spans="1:21">
      <c r="A2362" s="109"/>
      <c r="B2362" s="109"/>
      <c r="C2362" s="109"/>
      <c r="D2362" s="109"/>
      <c r="E2362" s="109"/>
      <c r="F2362" s="109"/>
      <c r="G2362" s="109"/>
      <c r="H2362" s="109"/>
      <c r="I2362" s="109"/>
      <c r="J2362" s="109"/>
      <c r="K2362" s="109"/>
      <c r="L2362" s="109"/>
      <c r="M2362" s="109"/>
      <c r="N2362" s="109"/>
      <c r="O2362" s="109"/>
      <c r="P2362" s="109"/>
      <c r="Q2362" s="109"/>
      <c r="R2362" s="109"/>
      <c r="S2362" s="109"/>
      <c r="T2362" s="109"/>
      <c r="U2362" s="109"/>
    </row>
    <row r="2363" spans="1:21">
      <c r="A2363" s="109"/>
      <c r="B2363" s="109"/>
      <c r="C2363" s="109"/>
      <c r="D2363" s="109"/>
      <c r="E2363" s="109"/>
      <c r="F2363" s="109"/>
      <c r="G2363" s="109"/>
      <c r="H2363" s="109"/>
      <c r="I2363" s="109"/>
      <c r="J2363" s="109"/>
      <c r="K2363" s="109"/>
      <c r="L2363" s="109"/>
      <c r="M2363" s="109"/>
      <c r="N2363" s="109"/>
      <c r="O2363" s="109"/>
      <c r="P2363" s="109"/>
      <c r="Q2363" s="109"/>
      <c r="R2363" s="109"/>
      <c r="S2363" s="109"/>
      <c r="T2363" s="109"/>
      <c r="U2363" s="109"/>
    </row>
    <row r="2364" spans="1:21">
      <c r="A2364" s="109"/>
      <c r="B2364" s="109"/>
      <c r="C2364" s="109"/>
      <c r="D2364" s="109"/>
      <c r="E2364" s="109"/>
      <c r="F2364" s="109"/>
      <c r="G2364" s="109"/>
      <c r="H2364" s="109"/>
      <c r="I2364" s="109"/>
      <c r="J2364" s="109"/>
      <c r="K2364" s="109"/>
      <c r="L2364" s="109"/>
      <c r="M2364" s="109"/>
      <c r="N2364" s="109"/>
      <c r="O2364" s="109"/>
      <c r="P2364" s="109"/>
      <c r="Q2364" s="109"/>
      <c r="R2364" s="109"/>
      <c r="S2364" s="109"/>
      <c r="T2364" s="109"/>
      <c r="U2364" s="109"/>
    </row>
    <row r="2365" spans="1:21">
      <c r="A2365" s="109"/>
      <c r="B2365" s="109"/>
      <c r="C2365" s="109"/>
      <c r="D2365" s="109"/>
      <c r="E2365" s="109"/>
      <c r="F2365" s="109"/>
      <c r="G2365" s="109"/>
      <c r="H2365" s="109"/>
      <c r="I2365" s="109"/>
      <c r="J2365" s="109"/>
      <c r="K2365" s="109"/>
      <c r="L2365" s="109"/>
      <c r="M2365" s="109"/>
      <c r="N2365" s="109"/>
      <c r="O2365" s="109"/>
      <c r="P2365" s="109"/>
      <c r="Q2365" s="109"/>
      <c r="R2365" s="109"/>
      <c r="S2365" s="109"/>
      <c r="T2365" s="109"/>
      <c r="U2365" s="109"/>
    </row>
    <row r="2366" spans="1:21">
      <c r="A2366" s="109"/>
      <c r="B2366" s="109"/>
      <c r="C2366" s="109"/>
      <c r="D2366" s="109"/>
      <c r="E2366" s="109"/>
      <c r="F2366" s="109"/>
      <c r="G2366" s="109"/>
      <c r="H2366" s="109"/>
      <c r="I2366" s="109"/>
      <c r="J2366" s="109"/>
      <c r="K2366" s="109"/>
      <c r="L2366" s="109"/>
      <c r="M2366" s="109"/>
      <c r="N2366" s="109"/>
      <c r="O2366" s="109"/>
      <c r="P2366" s="109"/>
      <c r="Q2366" s="109"/>
      <c r="R2366" s="109"/>
      <c r="S2366" s="109"/>
      <c r="T2366" s="109"/>
      <c r="U2366" s="109"/>
    </row>
    <row r="2367" spans="1:21">
      <c r="A2367" s="109"/>
      <c r="B2367" s="109"/>
      <c r="C2367" s="109"/>
      <c r="D2367" s="109"/>
      <c r="E2367" s="109"/>
      <c r="F2367" s="109"/>
      <c r="G2367" s="109"/>
      <c r="H2367" s="109"/>
      <c r="J2367" s="109"/>
      <c r="K2367" s="109"/>
      <c r="L2367" s="109"/>
      <c r="M2367" s="109"/>
      <c r="N2367" s="109"/>
      <c r="O2367" s="109"/>
      <c r="P2367" s="109"/>
      <c r="Q2367" s="109"/>
      <c r="R2367" s="109"/>
      <c r="S2367" s="109"/>
      <c r="T2367" s="109"/>
      <c r="U2367" s="109"/>
    </row>
    <row r="2368" spans="1:21">
      <c r="N2368" s="109"/>
      <c r="O2368" s="109"/>
      <c r="P2368" s="109"/>
      <c r="Q2368" s="109"/>
      <c r="R2368" s="109"/>
      <c r="S2368" s="109"/>
      <c r="T2368" s="109"/>
      <c r="U2368" s="109"/>
    </row>
    <row r="2369" spans="14:21">
      <c r="N2369" s="109"/>
      <c r="O2369" s="109"/>
      <c r="P2369" s="109"/>
      <c r="Q2369" s="109"/>
      <c r="R2369" s="109"/>
      <c r="S2369" s="109"/>
      <c r="T2369" s="109"/>
      <c r="U2369" s="109"/>
    </row>
    <row r="2370" spans="14:21">
      <c r="N2370" s="109"/>
      <c r="O2370" s="109"/>
      <c r="P2370" s="109"/>
      <c r="Q2370" s="109"/>
      <c r="R2370" s="109"/>
      <c r="S2370" s="109"/>
      <c r="T2370" s="109"/>
      <c r="U2370" s="109"/>
    </row>
    <row r="2371" spans="14:21">
      <c r="N2371" s="109"/>
      <c r="O2371" s="109"/>
      <c r="P2371" s="109"/>
      <c r="Q2371" s="109"/>
      <c r="R2371" s="109"/>
      <c r="S2371" s="109"/>
      <c r="T2371" s="109"/>
      <c r="U2371" s="109"/>
    </row>
    <row r="2372" spans="14:21">
      <c r="N2372" s="109"/>
      <c r="O2372" s="109"/>
      <c r="P2372" s="109"/>
      <c r="Q2372" s="109"/>
      <c r="R2372" s="109"/>
      <c r="S2372" s="109"/>
      <c r="T2372" s="109"/>
      <c r="U2372" s="109"/>
    </row>
    <row r="2373" spans="14:21">
      <c r="N2373" s="109"/>
      <c r="O2373" s="109"/>
      <c r="P2373" s="109"/>
      <c r="Q2373" s="109"/>
      <c r="R2373" s="109"/>
      <c r="S2373" s="109"/>
      <c r="T2373" s="109"/>
      <c r="U2373" s="109"/>
    </row>
    <row r="2374" spans="14:21">
      <c r="N2374" s="109"/>
      <c r="O2374" s="109"/>
      <c r="P2374" s="109"/>
      <c r="Q2374" s="109"/>
      <c r="R2374" s="109"/>
      <c r="S2374" s="109"/>
      <c r="T2374" s="109"/>
      <c r="U2374" s="109"/>
    </row>
    <row r="2375" spans="14:21">
      <c r="N2375" s="109"/>
      <c r="O2375" s="109"/>
      <c r="P2375" s="109"/>
      <c r="Q2375" s="109"/>
      <c r="R2375" s="109"/>
      <c r="S2375" s="109"/>
      <c r="T2375" s="109"/>
      <c r="U2375" s="109"/>
    </row>
    <row r="2376" spans="14:21">
      <c r="N2376" s="109"/>
      <c r="O2376" s="109"/>
      <c r="P2376" s="109"/>
      <c r="Q2376" s="109"/>
      <c r="R2376" s="109"/>
      <c r="S2376" s="109"/>
      <c r="T2376" s="109"/>
      <c r="U2376" s="109"/>
    </row>
    <row r="2377" spans="14:21">
      <c r="N2377" s="109"/>
      <c r="O2377" s="109"/>
      <c r="P2377" s="109"/>
      <c r="Q2377" s="109"/>
      <c r="R2377" s="109"/>
      <c r="S2377" s="109"/>
      <c r="T2377" s="109"/>
      <c r="U2377" s="109"/>
    </row>
    <row r="2378" spans="14:21">
      <c r="N2378" s="109"/>
      <c r="O2378" s="109"/>
      <c r="P2378" s="109"/>
      <c r="Q2378" s="109"/>
      <c r="R2378" s="109"/>
      <c r="S2378" s="109"/>
      <c r="T2378" s="109"/>
      <c r="U2378" s="109"/>
    </row>
  </sheetData>
  <mergeCells count="1">
    <mergeCell ref="J33:K3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R46"/>
  <sheetViews>
    <sheetView workbookViewId="0">
      <selection sqref="A1:XFD1048576"/>
    </sheetView>
  </sheetViews>
  <sheetFormatPr defaultRowHeight="14.25"/>
  <cols>
    <col min="1" max="2" width="9.140625" style="54"/>
    <col min="3" max="3" width="5.5703125" style="54" customWidth="1"/>
    <col min="4" max="4" width="5.28515625" style="54" customWidth="1"/>
    <col min="5" max="5" width="6.140625" style="54" customWidth="1"/>
    <col min="6" max="6" width="6.28515625" style="54" customWidth="1"/>
    <col min="7" max="7" width="9.7109375" style="54" customWidth="1"/>
    <col min="8" max="8" width="10" style="54" customWidth="1"/>
    <col min="9" max="9" width="8.7109375" style="54" customWidth="1"/>
    <col min="10" max="10" width="9" style="54" customWidth="1"/>
    <col min="11" max="11" width="9.140625" style="54" customWidth="1"/>
    <col min="12" max="12" width="6.7109375" style="54" customWidth="1"/>
    <col min="13" max="13" width="5.5703125" style="54" customWidth="1"/>
    <col min="14" max="15" width="9.140625" style="54"/>
    <col min="16" max="16" width="5.42578125" style="54" customWidth="1"/>
    <col min="17" max="17" width="7.85546875" style="54" customWidth="1"/>
    <col min="18" max="18" width="6" style="54" customWidth="1"/>
    <col min="19" max="16384" width="9.140625" style="54"/>
  </cols>
  <sheetData>
    <row r="1" spans="1:18">
      <c r="A1" s="54" t="s">
        <v>17</v>
      </c>
      <c r="B1" s="54" t="s">
        <v>514</v>
      </c>
    </row>
    <row r="2" spans="1:18">
      <c r="B2" s="54" t="s">
        <v>515</v>
      </c>
    </row>
    <row r="3" spans="1:18">
      <c r="B3" s="54" t="s">
        <v>228</v>
      </c>
    </row>
    <row r="4" spans="1:18">
      <c r="A4" s="101" t="s">
        <v>18</v>
      </c>
      <c r="B4" s="101"/>
      <c r="C4" s="101"/>
      <c r="D4" s="102" t="s">
        <v>19</v>
      </c>
      <c r="E4" s="102" t="s">
        <v>12</v>
      </c>
      <c r="F4" s="102" t="s">
        <v>20</v>
      </c>
      <c r="G4" s="102" t="s">
        <v>21</v>
      </c>
      <c r="H4" s="102" t="s">
        <v>22</v>
      </c>
      <c r="I4" s="102" t="s">
        <v>23</v>
      </c>
      <c r="J4" s="102" t="s">
        <v>24</v>
      </c>
      <c r="K4" s="102" t="s">
        <v>25</v>
      </c>
      <c r="L4" s="133" t="s">
        <v>26</v>
      </c>
      <c r="M4" s="102"/>
    </row>
    <row r="5" spans="1:18">
      <c r="A5" s="52"/>
      <c r="B5" s="52"/>
      <c r="C5" s="52"/>
      <c r="D5" s="53" t="s">
        <v>27</v>
      </c>
      <c r="E5" s="53" t="s">
        <v>28</v>
      </c>
      <c r="F5" s="53" t="s">
        <v>28</v>
      </c>
      <c r="G5" s="53" t="s">
        <v>29</v>
      </c>
      <c r="H5" s="53" t="s">
        <v>30</v>
      </c>
      <c r="I5" s="53" t="s">
        <v>31</v>
      </c>
      <c r="J5" s="53" t="s">
        <v>30</v>
      </c>
      <c r="K5" s="53" t="s">
        <v>30</v>
      </c>
      <c r="L5" s="134" t="s">
        <v>23</v>
      </c>
      <c r="M5" s="53" t="s">
        <v>24</v>
      </c>
    </row>
    <row r="6" spans="1:18">
      <c r="A6" s="52"/>
      <c r="B6" s="52"/>
      <c r="C6" s="52"/>
      <c r="D6" s="53" t="s">
        <v>32</v>
      </c>
      <c r="E6" s="53"/>
      <c r="F6" s="53"/>
      <c r="G6" s="53"/>
      <c r="H6" s="53" t="s">
        <v>33</v>
      </c>
      <c r="I6" s="53" t="s">
        <v>30</v>
      </c>
      <c r="J6" s="53" t="s">
        <v>33</v>
      </c>
      <c r="K6" s="53" t="s">
        <v>33</v>
      </c>
      <c r="L6" s="53"/>
      <c r="M6" s="53"/>
    </row>
    <row r="7" spans="1:18">
      <c r="A7" s="103"/>
      <c r="B7" s="103"/>
      <c r="C7" s="103"/>
      <c r="D7" s="104"/>
      <c r="E7" s="104"/>
      <c r="F7" s="104"/>
      <c r="G7" s="104"/>
      <c r="H7" s="104"/>
      <c r="I7" s="104" t="s">
        <v>33</v>
      </c>
      <c r="J7" s="104"/>
      <c r="K7" s="104"/>
      <c r="L7" s="104"/>
      <c r="M7" s="104"/>
    </row>
    <row r="8" spans="1:18">
      <c r="A8" s="54" t="s">
        <v>229</v>
      </c>
      <c r="D8" s="135">
        <v>100</v>
      </c>
      <c r="E8" s="55">
        <v>0.8</v>
      </c>
      <c r="F8" s="55">
        <v>0.8</v>
      </c>
      <c r="G8" s="136">
        <v>1000</v>
      </c>
      <c r="H8" s="55">
        <f t="shared" ref="H8:H18" si="0">SUM(E8*G8)</f>
        <v>800</v>
      </c>
      <c r="I8" s="57">
        <v>2819</v>
      </c>
      <c r="J8" s="55"/>
      <c r="K8" s="55">
        <f t="shared" ref="K8:K15" si="1">SUM(H8:J8)</f>
        <v>3619</v>
      </c>
      <c r="L8" s="55">
        <v>202</v>
      </c>
      <c r="N8" s="110"/>
      <c r="O8" s="110"/>
      <c r="P8" s="110"/>
      <c r="Q8" s="57"/>
      <c r="R8" s="57"/>
    </row>
    <row r="9" spans="1:18">
      <c r="A9" s="354" t="s">
        <v>516</v>
      </c>
      <c r="B9" s="135"/>
      <c r="D9" s="135">
        <v>100</v>
      </c>
      <c r="E9" s="55">
        <v>5.88</v>
      </c>
      <c r="F9" s="55">
        <v>0.68</v>
      </c>
      <c r="G9" s="136">
        <v>850</v>
      </c>
      <c r="H9" s="55">
        <f t="shared" si="0"/>
        <v>4998</v>
      </c>
      <c r="J9" s="55"/>
      <c r="K9" s="55">
        <f t="shared" si="1"/>
        <v>4998</v>
      </c>
      <c r="N9" s="110"/>
      <c r="O9" s="110"/>
      <c r="P9" s="110"/>
      <c r="Q9" s="57"/>
      <c r="R9" s="57"/>
    </row>
    <row r="10" spans="1:18">
      <c r="A10" s="54" t="s">
        <v>390</v>
      </c>
      <c r="D10" s="135">
        <v>100</v>
      </c>
      <c r="E10" s="55">
        <v>11.97</v>
      </c>
      <c r="F10" s="55">
        <v>1.1000000000000001</v>
      </c>
      <c r="G10" s="136">
        <v>950</v>
      </c>
      <c r="H10" s="55">
        <v>11372</v>
      </c>
      <c r="J10" s="57">
        <f>E27*G27</f>
        <v>68375</v>
      </c>
      <c r="K10" s="55">
        <f t="shared" si="1"/>
        <v>79747</v>
      </c>
      <c r="L10" s="54">
        <v>0</v>
      </c>
      <c r="N10" s="156"/>
      <c r="O10" s="155"/>
      <c r="P10" s="110"/>
      <c r="Q10" s="57"/>
      <c r="R10" s="57"/>
    </row>
    <row r="11" spans="1:18">
      <c r="A11" s="54" t="s">
        <v>1</v>
      </c>
      <c r="D11" s="135">
        <v>100</v>
      </c>
      <c r="E11" s="55">
        <v>2.37</v>
      </c>
      <c r="F11" s="55">
        <v>1.1200000000000001</v>
      </c>
      <c r="G11" s="136">
        <v>1048</v>
      </c>
      <c r="H11" s="55">
        <v>2484</v>
      </c>
      <c r="J11" s="55">
        <f>E33*G33+E34*G34+E35*G35+E36*G36</f>
        <v>25042</v>
      </c>
      <c r="K11" s="55">
        <f t="shared" si="1"/>
        <v>27526</v>
      </c>
      <c r="N11" s="110"/>
      <c r="O11" s="110"/>
      <c r="P11" s="110"/>
      <c r="Q11" s="57"/>
      <c r="R11" s="57"/>
    </row>
    <row r="12" spans="1:18">
      <c r="A12" s="54" t="s">
        <v>469</v>
      </c>
      <c r="D12" s="135">
        <v>84</v>
      </c>
      <c r="E12" s="55">
        <v>0.47</v>
      </c>
      <c r="F12" s="55">
        <v>0.31</v>
      </c>
      <c r="G12" s="136">
        <v>1260</v>
      </c>
      <c r="H12" s="55">
        <v>592</v>
      </c>
      <c r="J12" s="56">
        <v>1645</v>
      </c>
      <c r="K12" s="55">
        <f t="shared" si="1"/>
        <v>2237</v>
      </c>
      <c r="N12" s="110"/>
      <c r="O12" s="110"/>
      <c r="P12" s="110"/>
      <c r="Q12" s="57"/>
      <c r="R12" s="57"/>
    </row>
    <row r="13" spans="1:18">
      <c r="A13" s="54" t="s">
        <v>517</v>
      </c>
      <c r="D13" s="135">
        <v>48</v>
      </c>
      <c r="E13" s="55">
        <v>10</v>
      </c>
      <c r="F13" s="55">
        <v>0.16</v>
      </c>
      <c r="G13" s="136">
        <v>950</v>
      </c>
      <c r="H13" s="55">
        <f t="shared" si="0"/>
        <v>9500</v>
      </c>
      <c r="J13" s="55"/>
      <c r="K13" s="55">
        <f t="shared" si="1"/>
        <v>9500</v>
      </c>
      <c r="N13" s="110"/>
      <c r="O13" s="110"/>
      <c r="P13" s="110"/>
      <c r="Q13" s="57"/>
      <c r="R13" s="57"/>
    </row>
    <row r="14" spans="1:18">
      <c r="A14" s="54" t="s">
        <v>36</v>
      </c>
      <c r="D14" s="135">
        <v>78</v>
      </c>
      <c r="E14" s="55">
        <v>0.61</v>
      </c>
      <c r="F14" s="55">
        <v>0.32</v>
      </c>
      <c r="G14" s="136">
        <v>1200</v>
      </c>
      <c r="H14" s="55">
        <f t="shared" si="0"/>
        <v>732</v>
      </c>
      <c r="J14" s="55">
        <v>2590</v>
      </c>
      <c r="K14" s="55">
        <f t="shared" si="1"/>
        <v>3322</v>
      </c>
      <c r="M14" s="52">
        <f>SUM(M8:M13)</f>
        <v>0</v>
      </c>
      <c r="N14" s="110"/>
      <c r="O14" s="110"/>
      <c r="P14" s="110"/>
      <c r="Q14" s="57"/>
      <c r="R14" s="57"/>
    </row>
    <row r="15" spans="1:18">
      <c r="A15" s="54" t="s">
        <v>518</v>
      </c>
      <c r="D15" s="135">
        <v>100</v>
      </c>
      <c r="E15" s="55">
        <v>22.87</v>
      </c>
      <c r="F15" s="55">
        <v>20.55</v>
      </c>
      <c r="G15" s="136">
        <v>1028</v>
      </c>
      <c r="H15" s="55">
        <v>23510</v>
      </c>
      <c r="I15" s="55">
        <v>8947</v>
      </c>
      <c r="J15" s="57"/>
      <c r="K15" s="55">
        <f t="shared" si="1"/>
        <v>32457</v>
      </c>
      <c r="N15" s="110"/>
      <c r="O15" s="110"/>
      <c r="P15" s="110"/>
      <c r="Q15" s="57"/>
      <c r="R15" s="57"/>
    </row>
    <row r="16" spans="1:18">
      <c r="A16" s="54" t="s">
        <v>315</v>
      </c>
      <c r="D16" s="135">
        <v>100</v>
      </c>
      <c r="E16" s="55">
        <v>12.11</v>
      </c>
      <c r="F16" s="55">
        <v>0.92</v>
      </c>
      <c r="G16" s="136">
        <v>950</v>
      </c>
      <c r="H16" s="55">
        <v>11505</v>
      </c>
      <c r="J16" s="55">
        <v>2314</v>
      </c>
      <c r="K16" s="55">
        <f>SUM(H16:J16)</f>
        <v>13819</v>
      </c>
      <c r="N16" s="110"/>
      <c r="O16" s="110"/>
      <c r="P16" s="110"/>
      <c r="Q16" s="57"/>
      <c r="R16" s="57"/>
    </row>
    <row r="17" spans="1:18">
      <c r="A17" s="54" t="s">
        <v>304</v>
      </c>
      <c r="D17" s="135">
        <v>100</v>
      </c>
      <c r="E17" s="55">
        <v>15.1</v>
      </c>
      <c r="F17" s="55">
        <v>0.1</v>
      </c>
      <c r="G17" s="136">
        <v>1000</v>
      </c>
      <c r="H17" s="55">
        <f t="shared" si="0"/>
        <v>15100</v>
      </c>
      <c r="J17" s="55"/>
      <c r="K17" s="55">
        <f t="shared" ref="K17:K18" si="2">SUM(H17:J17)</f>
        <v>15100</v>
      </c>
      <c r="N17" s="110"/>
      <c r="O17" s="110"/>
      <c r="P17" s="110"/>
      <c r="Q17" s="57"/>
      <c r="R17" s="57"/>
    </row>
    <row r="18" spans="1:18">
      <c r="A18" s="54" t="s">
        <v>158</v>
      </c>
      <c r="D18" s="135">
        <v>90</v>
      </c>
      <c r="E18" s="55">
        <v>0.4</v>
      </c>
      <c r="F18" s="55">
        <v>0.4</v>
      </c>
      <c r="G18" s="136">
        <v>1000</v>
      </c>
      <c r="H18" s="55">
        <f t="shared" si="0"/>
        <v>400</v>
      </c>
      <c r="I18" s="55">
        <v>2200</v>
      </c>
      <c r="J18" s="55"/>
      <c r="K18" s="55">
        <f t="shared" si="2"/>
        <v>2600</v>
      </c>
      <c r="L18" s="55">
        <v>200</v>
      </c>
      <c r="N18" s="110"/>
      <c r="O18" s="110"/>
      <c r="P18" s="110"/>
      <c r="Q18" s="57"/>
      <c r="R18" s="57"/>
    </row>
    <row r="19" spans="1:18">
      <c r="A19" s="101" t="s">
        <v>38</v>
      </c>
      <c r="B19" s="101"/>
      <c r="C19" s="101"/>
      <c r="D19" s="137"/>
      <c r="E19" s="138">
        <f>SUM(E8:E18)</f>
        <v>82.58</v>
      </c>
      <c r="F19" s="138">
        <f>SUM(F8:F18)</f>
        <v>26.46</v>
      </c>
      <c r="G19" s="138"/>
      <c r="H19" s="138">
        <f>SUM(H8:H18)</f>
        <v>80993</v>
      </c>
      <c r="I19" s="138">
        <f>SUM(I8:I18)</f>
        <v>13966</v>
      </c>
      <c r="J19" s="138">
        <f>SUM(J8:J18)</f>
        <v>99966</v>
      </c>
      <c r="K19" s="138">
        <f>SUM(H19:J19)</f>
        <v>194925</v>
      </c>
      <c r="L19" s="138">
        <f>SUM(L8:L18)</f>
        <v>402</v>
      </c>
      <c r="N19" s="110"/>
      <c r="O19" s="110"/>
      <c r="P19" s="110"/>
      <c r="Q19" s="57"/>
      <c r="R19" s="57"/>
    </row>
    <row r="20" spans="1:18">
      <c r="A20" s="103" t="s">
        <v>39</v>
      </c>
      <c r="B20" s="103"/>
      <c r="C20" s="103"/>
      <c r="D20" s="139"/>
      <c r="E20" s="140">
        <f>SUM(E19-F19)</f>
        <v>56.12</v>
      </c>
      <c r="F20" s="140"/>
      <c r="G20" s="140"/>
      <c r="H20" s="140">
        <f>SUM(E29*G29)</f>
        <v>55328</v>
      </c>
      <c r="I20" s="140">
        <f>I19-L19</f>
        <v>13564</v>
      </c>
      <c r="J20" s="140">
        <f>J19-M19</f>
        <v>99966</v>
      </c>
      <c r="K20" s="140">
        <f>SUM(H20:J20)</f>
        <v>168858</v>
      </c>
      <c r="L20" s="103"/>
    </row>
    <row r="21" spans="1:18">
      <c r="A21" s="54" t="s">
        <v>519</v>
      </c>
    </row>
    <row r="22" spans="1:18">
      <c r="C22" s="54" t="s">
        <v>40</v>
      </c>
    </row>
    <row r="24" spans="1:18">
      <c r="A24" s="54" t="s">
        <v>41</v>
      </c>
    </row>
    <row r="25" spans="1:18">
      <c r="A25" s="120" t="s">
        <v>42</v>
      </c>
      <c r="B25" s="120"/>
      <c r="C25" s="120"/>
      <c r="D25" s="120" t="s">
        <v>7</v>
      </c>
      <c r="E25" s="120" t="s">
        <v>43</v>
      </c>
      <c r="F25" s="120"/>
      <c r="G25" s="120" t="s">
        <v>44</v>
      </c>
      <c r="I25" s="126" t="s">
        <v>120</v>
      </c>
      <c r="J25" s="126">
        <v>1.86</v>
      </c>
    </row>
    <row r="26" spans="1:18">
      <c r="A26" s="54" t="s">
        <v>45</v>
      </c>
      <c r="I26" s="126" t="s">
        <v>121</v>
      </c>
      <c r="J26" s="126">
        <v>1</v>
      </c>
    </row>
    <row r="27" spans="1:18">
      <c r="A27" s="54" t="s">
        <v>14</v>
      </c>
      <c r="D27" s="54" t="s">
        <v>13</v>
      </c>
      <c r="E27" s="54">
        <v>547</v>
      </c>
      <c r="G27" s="110">
        <v>125</v>
      </c>
      <c r="I27" s="54" t="s">
        <v>6</v>
      </c>
    </row>
    <row r="28" spans="1:18">
      <c r="A28" s="54" t="s">
        <v>46</v>
      </c>
      <c r="I28" s="126" t="s">
        <v>520</v>
      </c>
      <c r="J28" s="143">
        <v>0.94</v>
      </c>
    </row>
    <row r="29" spans="1:18">
      <c r="A29" s="54" t="s">
        <v>47</v>
      </c>
      <c r="D29" s="54" t="s">
        <v>48</v>
      </c>
      <c r="E29" s="54">
        <v>56</v>
      </c>
      <c r="G29" s="55">
        <v>988</v>
      </c>
      <c r="I29" s="126" t="s">
        <v>521</v>
      </c>
      <c r="J29" s="143">
        <v>0.06</v>
      </c>
      <c r="K29" s="141"/>
    </row>
    <row r="30" spans="1:18">
      <c r="A30" s="54" t="s">
        <v>49</v>
      </c>
      <c r="D30" s="54" t="s">
        <v>48</v>
      </c>
      <c r="E30" s="54">
        <v>26</v>
      </c>
    </row>
    <row r="31" spans="1:18">
      <c r="A31" s="54" t="s">
        <v>12</v>
      </c>
      <c r="E31" s="54">
        <f>SUM(E29:E30)</f>
        <v>82</v>
      </c>
    </row>
    <row r="32" spans="1:18">
      <c r="A32" s="101" t="s">
        <v>50</v>
      </c>
      <c r="B32" s="101"/>
      <c r="C32" s="101" t="s">
        <v>51</v>
      </c>
      <c r="D32" s="101"/>
      <c r="E32" s="101"/>
      <c r="F32" s="101"/>
      <c r="G32" s="101"/>
    </row>
    <row r="33" spans="1:8">
      <c r="A33" s="52"/>
      <c r="B33" s="134" t="s">
        <v>9</v>
      </c>
      <c r="C33" s="144">
        <v>74</v>
      </c>
      <c r="D33" s="53" t="s">
        <v>13</v>
      </c>
      <c r="E33" s="178">
        <v>52</v>
      </c>
      <c r="F33" s="52"/>
      <c r="G33" s="178">
        <v>50</v>
      </c>
    </row>
    <row r="34" spans="1:8">
      <c r="A34" s="52"/>
      <c r="B34" s="134" t="s">
        <v>522</v>
      </c>
      <c r="C34" s="144">
        <v>90</v>
      </c>
      <c r="D34" s="53" t="s">
        <v>2</v>
      </c>
      <c r="E34" s="178">
        <v>84</v>
      </c>
      <c r="F34" s="52"/>
      <c r="G34" s="178">
        <v>148</v>
      </c>
    </row>
    <row r="35" spans="1:8">
      <c r="B35" s="134" t="s">
        <v>523</v>
      </c>
      <c r="C35" s="144">
        <v>94</v>
      </c>
      <c r="D35" s="53" t="s">
        <v>13</v>
      </c>
      <c r="E35" s="178">
        <v>105</v>
      </c>
      <c r="F35" s="52"/>
      <c r="G35" s="146">
        <v>62</v>
      </c>
    </row>
    <row r="36" spans="1:8">
      <c r="A36" s="52"/>
      <c r="B36" s="134" t="s">
        <v>524</v>
      </c>
      <c r="C36" s="144">
        <v>40</v>
      </c>
      <c r="D36" s="53" t="s">
        <v>13</v>
      </c>
      <c r="E36" s="178">
        <v>70</v>
      </c>
      <c r="F36" s="52"/>
      <c r="G36" s="178">
        <v>50</v>
      </c>
    </row>
    <row r="37" spans="1:8">
      <c r="A37" s="101" t="s">
        <v>53</v>
      </c>
      <c r="B37" s="101"/>
      <c r="C37" s="101"/>
      <c r="D37" s="101"/>
      <c r="E37" s="101"/>
      <c r="F37" s="101"/>
      <c r="G37" s="179" t="s">
        <v>223</v>
      </c>
      <c r="H37" s="180" t="s">
        <v>224</v>
      </c>
    </row>
    <row r="38" spans="1:8">
      <c r="A38" s="52" t="s">
        <v>54</v>
      </c>
      <c r="B38" s="52"/>
      <c r="C38" s="52"/>
      <c r="D38" s="52"/>
      <c r="E38" s="52"/>
      <c r="F38" s="52"/>
      <c r="G38" s="191">
        <v>3779</v>
      </c>
      <c r="H38" s="130">
        <f>G38*2.471</f>
        <v>9337.9089999999997</v>
      </c>
    </row>
    <row r="39" spans="1:8">
      <c r="A39" s="52" t="s">
        <v>55</v>
      </c>
      <c r="B39" s="52"/>
      <c r="C39" s="52"/>
      <c r="D39" s="52"/>
      <c r="E39" s="52"/>
      <c r="F39" s="52"/>
      <c r="G39" s="131">
        <v>82</v>
      </c>
      <c r="H39" s="130"/>
    </row>
    <row r="40" spans="1:8">
      <c r="A40" s="52" t="s">
        <v>56</v>
      </c>
      <c r="B40" s="52"/>
      <c r="C40" s="52"/>
      <c r="D40" s="52"/>
      <c r="E40" s="52"/>
      <c r="F40" s="52"/>
      <c r="G40" s="131">
        <f>SUM(G38*G39)</f>
        <v>309878</v>
      </c>
      <c r="H40" s="130">
        <f>G40*2.471</f>
        <v>765708.53800000006</v>
      </c>
    </row>
    <row r="41" spans="1:8">
      <c r="A41" s="52" t="s">
        <v>57</v>
      </c>
      <c r="B41" s="52"/>
      <c r="C41" s="52"/>
      <c r="D41" s="52"/>
      <c r="E41" s="52"/>
      <c r="F41" s="52"/>
      <c r="G41" s="131">
        <f>SUM(G40-K19)</f>
        <v>114953</v>
      </c>
      <c r="H41" s="130">
        <f>G41*2.471</f>
        <v>284048.86300000001</v>
      </c>
    </row>
    <row r="42" spans="1:8">
      <c r="A42" s="52" t="s">
        <v>58</v>
      </c>
      <c r="B42" s="52"/>
      <c r="C42" s="52"/>
      <c r="D42" s="52"/>
      <c r="E42" s="52"/>
      <c r="F42" s="52"/>
      <c r="G42" s="131">
        <f>SUM(G40-K20)</f>
        <v>141020</v>
      </c>
      <c r="H42" s="130">
        <f>G42*2.471</f>
        <v>348460.42</v>
      </c>
    </row>
    <row r="43" spans="1:8">
      <c r="A43" s="52" t="s">
        <v>59</v>
      </c>
      <c r="B43" s="52"/>
      <c r="C43" s="52"/>
      <c r="D43" s="52"/>
      <c r="E43" s="52"/>
      <c r="F43" s="52"/>
      <c r="G43" s="131">
        <f>SUM(K19/G38)</f>
        <v>51.581106112728236</v>
      </c>
    </row>
    <row r="44" spans="1:8">
      <c r="A44" s="103" t="s">
        <v>60</v>
      </c>
      <c r="B44" s="103"/>
      <c r="C44" s="103"/>
      <c r="D44" s="103"/>
      <c r="E44" s="103"/>
      <c r="F44" s="103"/>
      <c r="G44" s="148">
        <f>SUM(K20/G38)</f>
        <v>44.683249536914531</v>
      </c>
    </row>
    <row r="46" spans="1:8">
      <c r="C46" s="132"/>
      <c r="D46" s="132"/>
      <c r="E46" s="13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58"/>
  <sheetViews>
    <sheetView workbookViewId="0">
      <selection activeCell="R30" sqref="R30"/>
    </sheetView>
  </sheetViews>
  <sheetFormatPr defaultRowHeight="14.25"/>
  <cols>
    <col min="1" max="2" width="9.140625" style="54"/>
    <col min="3" max="3" width="3.28515625" style="54" customWidth="1"/>
    <col min="4" max="4" width="4.85546875" style="54" customWidth="1"/>
    <col min="5" max="5" width="6.5703125" style="54" customWidth="1"/>
    <col min="6" max="6" width="6.140625" style="54" customWidth="1"/>
    <col min="7" max="7" width="10" style="54" customWidth="1"/>
    <col min="8" max="8" width="8.5703125" style="54" customWidth="1"/>
    <col min="9" max="9" width="7.7109375" style="54" customWidth="1"/>
    <col min="10" max="10" width="8.42578125" style="54" customWidth="1"/>
    <col min="11" max="11" width="9.28515625" style="54" customWidth="1"/>
    <col min="12" max="12" width="7.42578125" style="54" customWidth="1"/>
    <col min="13" max="13" width="7.140625" style="54" customWidth="1"/>
    <col min="14" max="15" width="9.140625" style="54"/>
    <col min="16" max="16" width="6" style="54" customWidth="1"/>
    <col min="17" max="17" width="7.140625" style="54" customWidth="1"/>
    <col min="18" max="16384" width="9.140625" style="54"/>
  </cols>
  <sheetData>
    <row r="1" spans="1:18">
      <c r="A1" s="54" t="s">
        <v>17</v>
      </c>
      <c r="B1" s="54" t="s">
        <v>525</v>
      </c>
    </row>
    <row r="2" spans="1:18">
      <c r="B2" s="54" t="s">
        <v>526</v>
      </c>
      <c r="D2" s="110"/>
    </row>
    <row r="3" spans="1:18">
      <c r="B3" s="54" t="s">
        <v>168</v>
      </c>
    </row>
    <row r="4" spans="1:18">
      <c r="A4" s="101" t="s">
        <v>18</v>
      </c>
      <c r="B4" s="101"/>
      <c r="C4" s="101"/>
      <c r="D4" s="102" t="s">
        <v>19</v>
      </c>
      <c r="E4" s="102" t="s">
        <v>12</v>
      </c>
      <c r="F4" s="102" t="s">
        <v>20</v>
      </c>
      <c r="G4" s="102" t="s">
        <v>21</v>
      </c>
      <c r="H4" s="102" t="s">
        <v>22</v>
      </c>
      <c r="I4" s="102" t="s">
        <v>23</v>
      </c>
      <c r="J4" s="102" t="s">
        <v>24</v>
      </c>
      <c r="K4" s="102" t="s">
        <v>25</v>
      </c>
      <c r="L4" s="133" t="s">
        <v>26</v>
      </c>
      <c r="M4" s="102"/>
    </row>
    <row r="5" spans="1:18">
      <c r="A5" s="52"/>
      <c r="B5" s="52"/>
      <c r="C5" s="52"/>
      <c r="D5" s="53" t="s">
        <v>27</v>
      </c>
      <c r="E5" s="53" t="s">
        <v>28</v>
      </c>
      <c r="F5" s="53" t="s">
        <v>28</v>
      </c>
      <c r="G5" s="53" t="s">
        <v>29</v>
      </c>
      <c r="H5" s="53" t="s">
        <v>30</v>
      </c>
      <c r="I5" s="53" t="s">
        <v>31</v>
      </c>
      <c r="J5" s="53" t="s">
        <v>30</v>
      </c>
      <c r="K5" s="53" t="s">
        <v>30</v>
      </c>
      <c r="L5" s="134" t="s">
        <v>23</v>
      </c>
      <c r="M5" s="53" t="s">
        <v>24</v>
      </c>
    </row>
    <row r="6" spans="1:18">
      <c r="A6" s="52"/>
      <c r="B6" s="52"/>
      <c r="C6" s="52"/>
      <c r="D6" s="53" t="s">
        <v>32</v>
      </c>
      <c r="E6" s="53"/>
      <c r="F6" s="53"/>
      <c r="G6" s="53"/>
      <c r="H6" s="53" t="s">
        <v>33</v>
      </c>
      <c r="I6" s="53" t="s">
        <v>30</v>
      </c>
      <c r="J6" s="53" t="s">
        <v>33</v>
      </c>
      <c r="K6" s="53" t="s">
        <v>33</v>
      </c>
      <c r="L6" s="53"/>
      <c r="M6" s="53"/>
    </row>
    <row r="7" spans="1:18">
      <c r="A7" s="103"/>
      <c r="B7" s="103"/>
      <c r="C7" s="103"/>
      <c r="D7" s="104"/>
      <c r="E7" s="104"/>
      <c r="F7" s="104"/>
      <c r="G7" s="104"/>
      <c r="H7" s="104"/>
      <c r="I7" s="104" t="s">
        <v>33</v>
      </c>
      <c r="J7" s="104"/>
      <c r="K7" s="104"/>
      <c r="L7" s="104"/>
      <c r="M7" s="104"/>
    </row>
    <row r="8" spans="1:18">
      <c r="A8" s="54" t="s">
        <v>169</v>
      </c>
      <c r="D8" s="135">
        <v>90</v>
      </c>
      <c r="E8" s="55">
        <v>5.0999999999999996</v>
      </c>
      <c r="F8" s="55">
        <v>5.0999999999999996</v>
      </c>
      <c r="G8" s="136">
        <v>990</v>
      </c>
      <c r="H8" s="55">
        <f t="shared" ref="H8:H20" si="0">SUM(E8*G8)</f>
        <v>5049</v>
      </c>
      <c r="J8" s="55">
        <v>1532</v>
      </c>
      <c r="K8" s="55">
        <f t="shared" ref="K8:K21" si="1">SUM(H8:J8)</f>
        <v>6581</v>
      </c>
      <c r="N8" s="110"/>
      <c r="O8" s="110"/>
      <c r="P8" s="110"/>
      <c r="Q8" s="110"/>
      <c r="R8" s="110"/>
    </row>
    <row r="9" spans="1:18">
      <c r="A9" s="54" t="s">
        <v>15</v>
      </c>
      <c r="D9" s="135">
        <v>88</v>
      </c>
      <c r="E9" s="55">
        <v>10.9</v>
      </c>
      <c r="F9" s="55">
        <f>3.1+1.13</f>
        <v>4.2300000000000004</v>
      </c>
      <c r="G9" s="136">
        <v>1099</v>
      </c>
      <c r="H9" s="55">
        <v>11979</v>
      </c>
      <c r="J9" s="55"/>
      <c r="K9" s="55">
        <f t="shared" si="1"/>
        <v>11979</v>
      </c>
      <c r="N9" s="110"/>
      <c r="O9" s="110"/>
      <c r="P9" s="110"/>
      <c r="Q9" s="110"/>
      <c r="R9" s="110"/>
    </row>
    <row r="10" spans="1:18">
      <c r="A10" s="54" t="s">
        <v>170</v>
      </c>
      <c r="D10" s="135">
        <v>58</v>
      </c>
      <c r="E10" s="57">
        <v>1.29</v>
      </c>
      <c r="F10" s="57">
        <v>1.29</v>
      </c>
      <c r="G10" s="107">
        <v>1000</v>
      </c>
      <c r="H10" s="55">
        <f t="shared" si="0"/>
        <v>1290</v>
      </c>
      <c r="I10" s="57">
        <v>9158</v>
      </c>
      <c r="J10" s="55"/>
      <c r="K10" s="55">
        <f t="shared" si="1"/>
        <v>10448</v>
      </c>
      <c r="L10" s="54">
        <v>1292</v>
      </c>
      <c r="N10" s="110"/>
      <c r="O10" s="110"/>
      <c r="P10" s="110"/>
      <c r="Q10" s="110"/>
      <c r="R10" s="110"/>
    </row>
    <row r="11" spans="1:18">
      <c r="A11" s="54" t="s">
        <v>527</v>
      </c>
      <c r="D11" s="135" t="s">
        <v>528</v>
      </c>
      <c r="E11" s="57" t="s">
        <v>529</v>
      </c>
      <c r="F11" s="57" t="s">
        <v>530</v>
      </c>
      <c r="G11" s="107">
        <v>1100</v>
      </c>
      <c r="H11" s="55" t="s">
        <v>531</v>
      </c>
      <c r="J11" s="55"/>
      <c r="K11" s="55">
        <f t="shared" si="1"/>
        <v>0</v>
      </c>
      <c r="N11" s="110"/>
      <c r="O11" s="110"/>
      <c r="P11" s="110"/>
      <c r="Q11" s="110"/>
      <c r="R11" s="110"/>
    </row>
    <row r="12" spans="1:18">
      <c r="A12" s="54" t="s">
        <v>171</v>
      </c>
      <c r="D12" s="135">
        <v>100</v>
      </c>
      <c r="E12" s="55">
        <v>9.9</v>
      </c>
      <c r="F12" s="55">
        <f>3.3+1.4</f>
        <v>4.6999999999999993</v>
      </c>
      <c r="G12" s="136">
        <v>1104</v>
      </c>
      <c r="H12" s="55">
        <v>10930</v>
      </c>
      <c r="J12" s="55" t="s">
        <v>532</v>
      </c>
      <c r="K12" s="55">
        <v>14132</v>
      </c>
      <c r="N12" s="110"/>
      <c r="O12" s="110"/>
      <c r="P12" s="110"/>
      <c r="Q12" s="110"/>
      <c r="R12" s="110"/>
    </row>
    <row r="13" spans="1:18">
      <c r="A13" s="54" t="s">
        <v>173</v>
      </c>
      <c r="D13" s="135">
        <v>100</v>
      </c>
      <c r="E13" s="55">
        <v>7.1</v>
      </c>
      <c r="F13" s="55">
        <f>2.7+1.7</f>
        <v>4.4000000000000004</v>
      </c>
      <c r="G13" s="136">
        <v>958</v>
      </c>
      <c r="H13" s="55">
        <v>6802</v>
      </c>
      <c r="J13" s="55"/>
      <c r="K13" s="55">
        <f t="shared" si="1"/>
        <v>6802</v>
      </c>
      <c r="N13" s="110"/>
      <c r="O13" s="110"/>
      <c r="P13" s="110"/>
      <c r="Q13" s="110"/>
      <c r="R13" s="110"/>
    </row>
    <row r="14" spans="1:18">
      <c r="A14" s="54" t="s">
        <v>174</v>
      </c>
      <c r="D14" s="135">
        <v>100</v>
      </c>
      <c r="E14" s="55">
        <v>8.3000000000000007</v>
      </c>
      <c r="F14" s="55">
        <f>2.5+2.4</f>
        <v>4.9000000000000004</v>
      </c>
      <c r="G14" s="136">
        <v>840</v>
      </c>
      <c r="H14" s="55">
        <f t="shared" si="0"/>
        <v>6972.0000000000009</v>
      </c>
      <c r="J14" s="55">
        <f>SUM(E29*G29)</f>
        <v>7520</v>
      </c>
      <c r="K14" s="55">
        <f t="shared" si="1"/>
        <v>14492</v>
      </c>
      <c r="N14" s="110"/>
      <c r="O14" s="110"/>
      <c r="P14" s="110"/>
      <c r="Q14" s="110"/>
      <c r="R14" s="110"/>
    </row>
    <row r="15" spans="1:18">
      <c r="A15" s="54" t="s">
        <v>1</v>
      </c>
      <c r="D15" s="135">
        <v>100</v>
      </c>
      <c r="E15" s="55">
        <v>6.69</v>
      </c>
      <c r="F15" s="55">
        <f>4.6+1.9</f>
        <v>6.5</v>
      </c>
      <c r="G15" s="136">
        <v>1100</v>
      </c>
      <c r="H15" s="55">
        <f t="shared" si="0"/>
        <v>7359</v>
      </c>
      <c r="J15" s="55">
        <f>E37*G37+E38*G38+E39*G39+E40*G40</f>
        <v>32291</v>
      </c>
      <c r="K15" s="55">
        <f t="shared" si="1"/>
        <v>39650</v>
      </c>
      <c r="N15" s="110"/>
      <c r="O15" s="110"/>
      <c r="P15" s="110"/>
      <c r="Q15" s="110"/>
      <c r="R15" s="110"/>
    </row>
    <row r="16" spans="1:18">
      <c r="A16" s="54" t="s">
        <v>176</v>
      </c>
      <c r="D16" s="135">
        <v>100</v>
      </c>
      <c r="E16" s="55">
        <v>13.3</v>
      </c>
      <c r="F16" s="55">
        <f>4.8+2.6</f>
        <v>7.4</v>
      </c>
      <c r="G16" s="136">
        <v>930</v>
      </c>
      <c r="H16" s="55">
        <f t="shared" si="0"/>
        <v>12369</v>
      </c>
      <c r="J16" s="55"/>
      <c r="K16" s="55">
        <f t="shared" si="1"/>
        <v>12369</v>
      </c>
      <c r="N16" s="110"/>
      <c r="O16" s="110"/>
      <c r="P16" s="110"/>
      <c r="Q16" s="110"/>
      <c r="R16" s="110"/>
    </row>
    <row r="17" spans="1:18">
      <c r="A17" s="54" t="s">
        <v>36</v>
      </c>
      <c r="D17" s="135">
        <v>100</v>
      </c>
      <c r="E17" s="55">
        <v>22.8</v>
      </c>
      <c r="F17" s="55">
        <v>22.8</v>
      </c>
      <c r="G17" s="136">
        <v>990</v>
      </c>
      <c r="H17" s="55">
        <f t="shared" si="0"/>
        <v>22572</v>
      </c>
      <c r="J17" s="55">
        <v>23681</v>
      </c>
      <c r="K17" s="55">
        <f t="shared" si="1"/>
        <v>46253</v>
      </c>
      <c r="N17" s="110"/>
      <c r="O17" s="110"/>
      <c r="P17" s="110"/>
      <c r="Q17" s="110"/>
      <c r="R17" s="110"/>
    </row>
    <row r="18" spans="1:18">
      <c r="A18" s="54" t="s">
        <v>434</v>
      </c>
      <c r="D18" s="135">
        <v>100</v>
      </c>
      <c r="E18" s="55">
        <v>8.6999999999999993</v>
      </c>
      <c r="F18" s="55">
        <f>3.7+2.5</f>
        <v>6.2</v>
      </c>
      <c r="G18" s="136">
        <v>990</v>
      </c>
      <c r="H18" s="55">
        <f t="shared" si="0"/>
        <v>8613</v>
      </c>
      <c r="J18" s="55">
        <v>15352</v>
      </c>
      <c r="K18" s="55">
        <f t="shared" si="1"/>
        <v>23965</v>
      </c>
      <c r="N18" s="110"/>
    </row>
    <row r="19" spans="1:18">
      <c r="A19" s="54" t="s">
        <v>533</v>
      </c>
      <c r="D19" s="135">
        <v>100</v>
      </c>
      <c r="E19" s="55">
        <v>13.7</v>
      </c>
      <c r="F19" s="55">
        <f>7+3.2</f>
        <v>10.199999999999999</v>
      </c>
      <c r="G19" s="136">
        <v>990</v>
      </c>
      <c r="H19" s="55">
        <f t="shared" si="0"/>
        <v>13563</v>
      </c>
      <c r="J19" s="55"/>
      <c r="K19" s="55">
        <f t="shared" si="1"/>
        <v>13563</v>
      </c>
      <c r="N19" s="110"/>
    </row>
    <row r="20" spans="1:18">
      <c r="A20" s="54" t="s">
        <v>435</v>
      </c>
      <c r="D20" s="135">
        <v>58</v>
      </c>
      <c r="E20" s="55">
        <v>15</v>
      </c>
      <c r="F20" s="55">
        <v>13.9</v>
      </c>
      <c r="G20" s="136">
        <v>1050</v>
      </c>
      <c r="H20" s="55">
        <f t="shared" si="0"/>
        <v>15750</v>
      </c>
      <c r="J20" s="55"/>
      <c r="K20" s="55">
        <f t="shared" si="1"/>
        <v>15750</v>
      </c>
      <c r="N20" s="110"/>
    </row>
    <row r="21" spans="1:18">
      <c r="A21" s="54" t="s">
        <v>111</v>
      </c>
      <c r="D21" s="135">
        <v>100</v>
      </c>
      <c r="E21" s="57">
        <v>45.79</v>
      </c>
      <c r="F21" s="55">
        <v>26.87</v>
      </c>
      <c r="G21" s="136">
        <v>985</v>
      </c>
      <c r="H21" s="55">
        <v>45103</v>
      </c>
      <c r="J21" s="55"/>
      <c r="K21" s="55">
        <f t="shared" si="1"/>
        <v>45103</v>
      </c>
      <c r="N21" s="110"/>
    </row>
    <row r="22" spans="1:18">
      <c r="A22" s="101" t="s">
        <v>38</v>
      </c>
      <c r="B22" s="101"/>
      <c r="C22" s="101"/>
      <c r="D22" s="137"/>
      <c r="E22" s="138">
        <f>SUM(E8:E21)</f>
        <v>168.57</v>
      </c>
      <c r="F22" s="138">
        <f>SUM(F8:F21)</f>
        <v>118.49000000000001</v>
      </c>
      <c r="G22" s="138"/>
      <c r="H22" s="138">
        <f>SUM(H8:H21)</f>
        <v>168351</v>
      </c>
      <c r="I22" s="138">
        <f>SUM(I8:I21)</f>
        <v>9158</v>
      </c>
      <c r="J22" s="138">
        <v>83578</v>
      </c>
      <c r="K22" s="138">
        <f>SUM(H22:J22)</f>
        <v>261087</v>
      </c>
      <c r="L22" s="101">
        <f>SUM(L8:L21)</f>
        <v>1292</v>
      </c>
      <c r="M22" s="101">
        <f>SUM(M8:M21)</f>
        <v>0</v>
      </c>
    </row>
    <row r="23" spans="1:18">
      <c r="A23" s="103" t="s">
        <v>39</v>
      </c>
      <c r="B23" s="103"/>
      <c r="C23" s="103"/>
      <c r="D23" s="139"/>
      <c r="E23" s="140">
        <f>SUM(E22-F22)</f>
        <v>50.079999999999984</v>
      </c>
      <c r="F23" s="140"/>
      <c r="G23" s="140"/>
      <c r="H23" s="140">
        <f>SUM(E33*G33)</f>
        <v>50100</v>
      </c>
      <c r="I23" s="140">
        <f>I22-L22</f>
        <v>7866</v>
      </c>
      <c r="J23" s="140">
        <f>J22-M22</f>
        <v>83578</v>
      </c>
      <c r="K23" s="140">
        <f>SUM(H23:J23)</f>
        <v>141544</v>
      </c>
      <c r="L23" s="103"/>
      <c r="M23" s="103"/>
    </row>
    <row r="24" spans="1:18">
      <c r="A24" s="54" t="s">
        <v>179</v>
      </c>
    </row>
    <row r="25" spans="1:18">
      <c r="C25" s="54" t="s">
        <v>40</v>
      </c>
    </row>
    <row r="26" spans="1:18">
      <c r="A26" s="54" t="s">
        <v>41</v>
      </c>
    </row>
    <row r="27" spans="1:18">
      <c r="A27" s="120" t="s">
        <v>42</v>
      </c>
      <c r="B27" s="120"/>
      <c r="C27" s="120"/>
      <c r="D27" s="120" t="s">
        <v>7</v>
      </c>
      <c r="E27" s="120" t="s">
        <v>43</v>
      </c>
      <c r="F27" s="120"/>
      <c r="G27" s="120" t="s">
        <v>44</v>
      </c>
      <c r="K27" s="141"/>
    </row>
    <row r="28" spans="1:18">
      <c r="A28" s="54" t="s">
        <v>45</v>
      </c>
      <c r="J28" s="126" t="s">
        <v>534</v>
      </c>
      <c r="K28" s="143">
        <v>0.56999999999999995</v>
      </c>
    </row>
    <row r="29" spans="1:18">
      <c r="A29" s="54" t="s">
        <v>14</v>
      </c>
      <c r="D29" s="54" t="s">
        <v>13</v>
      </c>
      <c r="E29" s="142">
        <v>0.08</v>
      </c>
      <c r="G29" s="110">
        <v>94000</v>
      </c>
      <c r="J29" s="126" t="s">
        <v>535</v>
      </c>
      <c r="K29" s="143">
        <v>0.2</v>
      </c>
    </row>
    <row r="30" spans="1:18">
      <c r="J30" s="126" t="s">
        <v>536</v>
      </c>
      <c r="K30" s="143">
        <v>0.17</v>
      </c>
    </row>
    <row r="31" spans="1:18">
      <c r="J31" s="126" t="s">
        <v>183</v>
      </c>
      <c r="K31" s="143">
        <v>0.06</v>
      </c>
    </row>
    <row r="32" spans="1:18">
      <c r="A32" s="54" t="s">
        <v>46</v>
      </c>
    </row>
    <row r="33" spans="1:11">
      <c r="A33" s="54" t="s">
        <v>47</v>
      </c>
      <c r="D33" s="54" t="s">
        <v>48</v>
      </c>
      <c r="E33" s="55">
        <v>50</v>
      </c>
      <c r="G33" s="55">
        <v>1002</v>
      </c>
      <c r="J33" s="126" t="s">
        <v>120</v>
      </c>
      <c r="K33" s="126">
        <v>0.31</v>
      </c>
    </row>
    <row r="34" spans="1:11">
      <c r="A34" s="54" t="s">
        <v>49</v>
      </c>
      <c r="D34" s="54" t="s">
        <v>48</v>
      </c>
      <c r="E34" s="55">
        <v>118</v>
      </c>
      <c r="J34" s="126" t="s">
        <v>121</v>
      </c>
      <c r="K34" s="126">
        <v>0.25</v>
      </c>
    </row>
    <row r="35" spans="1:11">
      <c r="A35" s="54" t="s">
        <v>12</v>
      </c>
      <c r="E35" s="55">
        <f>SUM(E33:E34)</f>
        <v>168</v>
      </c>
      <c r="K35" s="306"/>
    </row>
    <row r="36" spans="1:11">
      <c r="A36" s="101" t="s">
        <v>50</v>
      </c>
      <c r="B36" s="101"/>
      <c r="C36" s="101" t="s">
        <v>51</v>
      </c>
      <c r="D36" s="101"/>
      <c r="E36" s="101"/>
      <c r="F36" s="101"/>
      <c r="G36" s="101"/>
    </row>
    <row r="37" spans="1:11">
      <c r="A37" s="52" t="s">
        <v>184</v>
      </c>
      <c r="B37" s="134"/>
      <c r="C37" s="144">
        <v>74</v>
      </c>
      <c r="D37" s="53" t="s">
        <v>52</v>
      </c>
      <c r="E37" s="52">
        <v>35</v>
      </c>
      <c r="F37" s="52"/>
      <c r="G37" s="178">
        <v>197</v>
      </c>
    </row>
    <row r="38" spans="1:11">
      <c r="A38" s="52" t="s">
        <v>185</v>
      </c>
      <c r="B38" s="134"/>
      <c r="C38" s="144">
        <v>40</v>
      </c>
      <c r="D38" s="53" t="s">
        <v>13</v>
      </c>
      <c r="E38" s="125">
        <v>200</v>
      </c>
      <c r="F38" s="52"/>
      <c r="G38" s="178">
        <v>65</v>
      </c>
      <c r="I38" s="110"/>
    </row>
    <row r="39" spans="1:11">
      <c r="A39" s="52" t="s">
        <v>3</v>
      </c>
      <c r="B39" s="134"/>
      <c r="C39" s="144">
        <v>44</v>
      </c>
      <c r="D39" s="53" t="s">
        <v>13</v>
      </c>
      <c r="E39" s="125">
        <v>164</v>
      </c>
      <c r="F39" s="52"/>
      <c r="G39" s="178">
        <v>64</v>
      </c>
      <c r="I39" s="110"/>
    </row>
    <row r="40" spans="1:11">
      <c r="A40" s="52" t="s">
        <v>78</v>
      </c>
      <c r="B40" s="134"/>
      <c r="C40" s="144">
        <v>40</v>
      </c>
      <c r="D40" s="53" t="s">
        <v>13</v>
      </c>
      <c r="E40" s="125">
        <v>38</v>
      </c>
      <c r="F40" s="52"/>
      <c r="G40" s="178">
        <v>50</v>
      </c>
      <c r="I40" s="110"/>
    </row>
    <row r="41" spans="1:11">
      <c r="A41" s="101" t="s">
        <v>53</v>
      </c>
      <c r="B41" s="101"/>
      <c r="C41" s="101"/>
      <c r="D41" s="101"/>
      <c r="E41" s="101"/>
      <c r="F41" s="101"/>
      <c r="G41" s="101"/>
      <c r="J41" s="54" t="s">
        <v>186</v>
      </c>
    </row>
    <row r="42" spans="1:11">
      <c r="A42" s="52" t="s">
        <v>54</v>
      </c>
      <c r="B42" s="52"/>
      <c r="C42" s="52"/>
      <c r="D42" s="52"/>
      <c r="E42" s="52"/>
      <c r="F42" s="52"/>
      <c r="G42" s="129">
        <v>9599</v>
      </c>
      <c r="J42" s="130">
        <f>+G42*2.471</f>
        <v>23719.129000000001</v>
      </c>
    </row>
    <row r="43" spans="1:11">
      <c r="A43" s="52" t="s">
        <v>55</v>
      </c>
      <c r="B43" s="52"/>
      <c r="C43" s="52"/>
      <c r="D43" s="52"/>
      <c r="E43" s="52"/>
      <c r="F43" s="52"/>
      <c r="G43" s="147">
        <v>51</v>
      </c>
      <c r="J43" s="130"/>
    </row>
    <row r="44" spans="1:11">
      <c r="A44" s="52" t="s">
        <v>56</v>
      </c>
      <c r="B44" s="52"/>
      <c r="C44" s="52"/>
      <c r="D44" s="52"/>
      <c r="E44" s="52"/>
      <c r="F44" s="52"/>
      <c r="G44" s="131">
        <f>SUM(G42*G43)</f>
        <v>489549</v>
      </c>
      <c r="J44" s="130">
        <f t="shared" ref="J44:J46" si="2">+G44*2.471</f>
        <v>1209675.5790000001</v>
      </c>
    </row>
    <row r="45" spans="1:11">
      <c r="A45" s="52" t="s">
        <v>57</v>
      </c>
      <c r="B45" s="52"/>
      <c r="C45" s="52"/>
      <c r="D45" s="52"/>
      <c r="E45" s="52"/>
      <c r="F45" s="52"/>
      <c r="G45" s="131">
        <f>SUM(G44-K22)</f>
        <v>228462</v>
      </c>
      <c r="J45" s="130">
        <f t="shared" si="2"/>
        <v>564529.60200000007</v>
      </c>
    </row>
    <row r="46" spans="1:11">
      <c r="A46" s="52" t="s">
        <v>58</v>
      </c>
      <c r="B46" s="52"/>
      <c r="C46" s="52"/>
      <c r="D46" s="52"/>
      <c r="E46" s="52"/>
      <c r="F46" s="52"/>
      <c r="G46" s="131">
        <f>SUM(G44-K23)</f>
        <v>348005</v>
      </c>
      <c r="J46" s="130">
        <f t="shared" si="2"/>
        <v>859920.35499999998</v>
      </c>
    </row>
    <row r="47" spans="1:11">
      <c r="A47" s="52" t="s">
        <v>59</v>
      </c>
      <c r="B47" s="52"/>
      <c r="C47" s="52"/>
      <c r="D47" s="52"/>
      <c r="E47" s="52"/>
      <c r="F47" s="52"/>
      <c r="G47" s="131">
        <f>SUM(K22/G42)</f>
        <v>27.199395770392748</v>
      </c>
    </row>
    <row r="48" spans="1:11">
      <c r="A48" s="103" t="s">
        <v>60</v>
      </c>
      <c r="B48" s="103"/>
      <c r="C48" s="103"/>
      <c r="D48" s="103"/>
      <c r="E48" s="103"/>
      <c r="F48" s="103"/>
      <c r="G48" s="148">
        <f>SUM(K23/G42)</f>
        <v>14.745702677362225</v>
      </c>
    </row>
    <row r="49" spans="1:7">
      <c r="A49" s="54" t="s">
        <v>164</v>
      </c>
    </row>
    <row r="58" spans="1:7">
      <c r="G58" s="5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Black gram-A'pura</vt:lpstr>
      <vt:lpstr>Black gram-Vavuniya</vt:lpstr>
      <vt:lpstr>cabbage'- Neliya</vt:lpstr>
      <vt:lpstr>Capsicum-Badulla</vt:lpstr>
      <vt:lpstr>Carrot-NÉliya</vt:lpstr>
      <vt:lpstr>Chilli-A'pura</vt:lpstr>
      <vt:lpstr>Cowpea-Ampara</vt:lpstr>
      <vt:lpstr>Gingelly-H'tota</vt:lpstr>
      <vt:lpstr>Green gram-H'tota</vt:lpstr>
      <vt:lpstr>Ground nut-Monaragala</vt:lpstr>
      <vt:lpstr>Kurakkan-A'Pura</vt:lpstr>
      <vt:lpstr>Maize-Anuradhapura</vt:lpstr>
      <vt:lpstr>Maize-Ampara</vt:lpstr>
      <vt:lpstr>Maize-Monaragala</vt:lpstr>
      <vt:lpstr>Pole bean-matale</vt:lpstr>
      <vt:lpstr>Pole-bean Badulla</vt:lpstr>
      <vt:lpstr>Potato-Badulla</vt:lpstr>
      <vt:lpstr>Potato-NÉliya</vt:lpstr>
      <vt:lpstr>Brinjal-A'Pura</vt:lpstr>
      <vt:lpstr>Pupkin-A;pura</vt:lpstr>
      <vt:lpstr>Red Onion-Jaffna</vt:lpstr>
      <vt:lpstr>Rd Onion-Puttalam</vt:lpstr>
      <vt:lpstr>Tomato-Badulla</vt:lpstr>
    </vt:vector>
  </TitlesOfParts>
  <Company>DOA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SEPC</dc:creator>
  <cp:lastModifiedBy>ADMIN</cp:lastModifiedBy>
  <cp:lastPrinted>2018-01-16T06:16:14Z</cp:lastPrinted>
  <dcterms:created xsi:type="dcterms:W3CDTF">2011-03-18T04:17:15Z</dcterms:created>
  <dcterms:modified xsi:type="dcterms:W3CDTF">2019-01-24T06:17:16Z</dcterms:modified>
</cp:coreProperties>
</file>