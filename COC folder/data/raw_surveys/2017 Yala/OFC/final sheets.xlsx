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75" windowWidth="18195" windowHeight="11820" firstSheet="15" activeTab="19"/>
  </bookViews>
  <sheets>
    <sheet name="MAize-Badulla" sheetId="17" r:id="rId1"/>
    <sheet name="MAize-sysH" sheetId="18" r:id="rId2"/>
    <sheet name="Black gram-Sys H" sheetId="19" r:id="rId3"/>
    <sheet name="Cowpea-Ampara" sheetId="20" r:id="rId4"/>
    <sheet name="Carrot- Néliya" sheetId="5" r:id="rId5"/>
    <sheet name="cabbage-NÉliya" sheetId="1" r:id="rId6"/>
    <sheet name="pole bean-Badulla" sheetId="2" r:id="rId7"/>
    <sheet name="Tomato-Badulla" sheetId="3" r:id="rId8"/>
    <sheet name="tomato-kandy" sheetId="4" r:id="rId9"/>
    <sheet name="Big Onion-Matale" sheetId="13" r:id="rId10"/>
    <sheet name="Soya bean (Sys H)" sheetId="6" r:id="rId11"/>
    <sheet name="Gingerlly A'pura" sheetId="7" r:id="rId12"/>
    <sheet name="Manioc-Gampaha" sheetId="8" r:id="rId13"/>
    <sheet name="Potato-Badulla" sheetId="9" r:id="rId14"/>
    <sheet name="Potato-Nuwaraeliya" sheetId="10" r:id="rId15"/>
    <sheet name="Sweet potata-Matale" sheetId="11" r:id="rId16"/>
    <sheet name="chilli-A'pura" sheetId="12" r:id="rId17"/>
    <sheet name="Red onion-Puttalam" sheetId="14" r:id="rId18"/>
    <sheet name="Brinjal-H'tota" sheetId="15" r:id="rId19"/>
    <sheet name="Bitter gourd-H'tota" sheetId="16" r:id="rId20"/>
  </sheets>
  <externalReferences>
    <externalReference r:id="rId21"/>
  </externalReferences>
  <calcPr calcId="124519"/>
</workbook>
</file>

<file path=xl/calcChain.xml><?xml version="1.0" encoding="utf-8"?>
<calcChain xmlns="http://schemas.openxmlformats.org/spreadsheetml/2006/main">
  <c r="G39" i="16"/>
  <c r="E30"/>
  <c r="H18"/>
  <c r="L17"/>
  <c r="I18" s="1"/>
  <c r="I17"/>
  <c r="H17"/>
  <c r="F17"/>
  <c r="E17"/>
  <c r="E18" s="1"/>
  <c r="H14"/>
  <c r="K11"/>
  <c r="J11"/>
  <c r="J17" s="1"/>
  <c r="J18" s="1"/>
  <c r="K18" l="1"/>
  <c r="G44" s="1"/>
  <c r="K17"/>
  <c r="G41" i="12"/>
  <c r="E30"/>
  <c r="H21"/>
  <c r="M20"/>
  <c r="L20"/>
  <c r="J20"/>
  <c r="J21" s="1"/>
  <c r="I20"/>
  <c r="I21" s="1"/>
  <c r="K21" s="1"/>
  <c r="H20"/>
  <c r="K20" s="1"/>
  <c r="F20"/>
  <c r="E20"/>
  <c r="E21" s="1"/>
  <c r="K19"/>
  <c r="K18"/>
  <c r="K17"/>
  <c r="K16"/>
  <c r="K15"/>
  <c r="K14"/>
  <c r="J14"/>
  <c r="K13"/>
  <c r="J13"/>
  <c r="K12"/>
  <c r="K11"/>
  <c r="K9"/>
  <c r="K7"/>
  <c r="G43" i="16" l="1"/>
  <c r="G40"/>
  <c r="G41"/>
  <c r="G45" i="12"/>
  <c r="G43"/>
  <c r="G42"/>
  <c r="G44"/>
  <c r="G43" i="11" l="1"/>
  <c r="H20"/>
  <c r="L19"/>
  <c r="J19"/>
  <c r="J20" s="1"/>
  <c r="K20" s="1"/>
  <c r="G48" s="1"/>
  <c r="I19"/>
  <c r="I20" s="1"/>
  <c r="F19"/>
  <c r="E19"/>
  <c r="E20" s="1"/>
  <c r="K18"/>
  <c r="K17"/>
  <c r="K16"/>
  <c r="K15"/>
  <c r="K14"/>
  <c r="J12"/>
  <c r="K12" s="1"/>
  <c r="K11"/>
  <c r="K10"/>
  <c r="H9"/>
  <c r="H19" s="1"/>
  <c r="K8"/>
  <c r="K7"/>
  <c r="G41" i="10"/>
  <c r="G42" s="1"/>
  <c r="H19"/>
  <c r="M18"/>
  <c r="J19" s="1"/>
  <c r="L18"/>
  <c r="I19" s="1"/>
  <c r="I18"/>
  <c r="H18"/>
  <c r="F18"/>
  <c r="E18"/>
  <c r="E19" s="1"/>
  <c r="K17"/>
  <c r="K16"/>
  <c r="K15"/>
  <c r="H15"/>
  <c r="K14"/>
  <c r="K13"/>
  <c r="J13"/>
  <c r="K12"/>
  <c r="J12"/>
  <c r="K9"/>
  <c r="K8"/>
  <c r="K18" s="1"/>
  <c r="G45" s="1"/>
  <c r="G50" i="9"/>
  <c r="G49"/>
  <c r="G45"/>
  <c r="E34"/>
  <c r="H20"/>
  <c r="M19"/>
  <c r="L19"/>
  <c r="F19"/>
  <c r="E19"/>
  <c r="E20" s="1"/>
  <c r="H16"/>
  <c r="H19" s="1"/>
  <c r="J34" i="7"/>
  <c r="J33"/>
  <c r="J32"/>
  <c r="H14"/>
  <c r="J13"/>
  <c r="J14" s="1"/>
  <c r="I13"/>
  <c r="I14" s="1"/>
  <c r="K12"/>
  <c r="K11"/>
  <c r="K10"/>
  <c r="H10"/>
  <c r="H9"/>
  <c r="K9" s="1"/>
  <c r="K13" s="1"/>
  <c r="G40" i="6"/>
  <c r="I38"/>
  <c r="E29"/>
  <c r="H20"/>
  <c r="K20" s="1"/>
  <c r="G44" s="1"/>
  <c r="M19"/>
  <c r="L19"/>
  <c r="I19"/>
  <c r="I20" s="1"/>
  <c r="F19"/>
  <c r="E19"/>
  <c r="E20" s="1"/>
  <c r="K18"/>
  <c r="H18"/>
  <c r="K17"/>
  <c r="H17"/>
  <c r="K16"/>
  <c r="H16"/>
  <c r="K15"/>
  <c r="H15"/>
  <c r="K14"/>
  <c r="K13"/>
  <c r="H13"/>
  <c r="H12"/>
  <c r="K12" s="1"/>
  <c r="K11"/>
  <c r="J11"/>
  <c r="H11"/>
  <c r="K10"/>
  <c r="J10"/>
  <c r="J19" s="1"/>
  <c r="J20" s="1"/>
  <c r="K9"/>
  <c r="H8"/>
  <c r="K8" s="1"/>
  <c r="K7"/>
  <c r="G44" i="11" l="1"/>
  <c r="K19"/>
  <c r="G47" s="1"/>
  <c r="G45"/>
  <c r="K19" i="10"/>
  <c r="K14" i="7"/>
  <c r="H13"/>
  <c r="K19" i="6"/>
  <c r="G43" s="1"/>
  <c r="H19"/>
  <c r="G42"/>
  <c r="G46" i="10" l="1"/>
  <c r="G43"/>
  <c r="G41" i="6"/>
  <c r="G51" i="1"/>
  <c r="K22"/>
  <c r="G48"/>
  <c r="G47"/>
  <c r="G47" i="5"/>
  <c r="G46"/>
  <c r="G42"/>
  <c r="L33"/>
  <c r="E33"/>
  <c r="L32"/>
  <c r="H19"/>
  <c r="E19"/>
  <c r="M18"/>
  <c r="L18"/>
  <c r="I18"/>
  <c r="G18"/>
  <c r="F18"/>
  <c r="E18"/>
  <c r="H16"/>
  <c r="H18" s="1"/>
  <c r="H15"/>
  <c r="G39" i="4" l="1"/>
  <c r="E32"/>
  <c r="H21"/>
  <c r="F20"/>
  <c r="E20"/>
  <c r="E21" s="1"/>
  <c r="K19"/>
  <c r="H18"/>
  <c r="K18" s="1"/>
  <c r="K17"/>
  <c r="K16"/>
  <c r="H16"/>
  <c r="H20" s="1"/>
  <c r="K15"/>
  <c r="J14"/>
  <c r="K14" s="1"/>
  <c r="J13"/>
  <c r="K13" s="1"/>
  <c r="K12"/>
  <c r="K9"/>
  <c r="K8"/>
  <c r="J20" l="1"/>
  <c r="J21" s="1"/>
  <c r="K21" s="1"/>
  <c r="G43" l="1"/>
  <c r="G41"/>
  <c r="K20"/>
  <c r="G42" l="1"/>
  <c r="G40"/>
  <c r="G46" i="3" l="1"/>
  <c r="E35"/>
  <c r="H22"/>
  <c r="M21"/>
  <c r="L21"/>
  <c r="I22" s="1"/>
  <c r="I21"/>
  <c r="F21"/>
  <c r="E21"/>
  <c r="E22" s="1"/>
  <c r="K20"/>
  <c r="K19"/>
  <c r="H19"/>
  <c r="K18"/>
  <c r="H17"/>
  <c r="K17" s="1"/>
  <c r="H16"/>
  <c r="K16" s="1"/>
  <c r="K15"/>
  <c r="J14"/>
  <c r="J21" s="1"/>
  <c r="J22" s="1"/>
  <c r="H14"/>
  <c r="K14" s="1"/>
  <c r="K13"/>
  <c r="K12"/>
  <c r="H10"/>
  <c r="K10" s="1"/>
  <c r="K9"/>
  <c r="K8"/>
  <c r="H8"/>
  <c r="H21" s="1"/>
  <c r="K21" s="1"/>
  <c r="G50" s="1"/>
  <c r="K22" l="1"/>
  <c r="G51" s="1"/>
  <c r="G48"/>
  <c r="G47"/>
  <c r="G41" i="2" l="1"/>
  <c r="E32"/>
  <c r="H21"/>
  <c r="L20"/>
  <c r="J20"/>
  <c r="J21" s="1"/>
  <c r="I20"/>
  <c r="I21" s="1"/>
  <c r="K21" s="1"/>
  <c r="G45" s="1"/>
  <c r="H20"/>
  <c r="F20"/>
  <c r="E20"/>
  <c r="E21" s="1"/>
  <c r="G43" l="1"/>
  <c r="K20"/>
  <c r="G44" s="1"/>
  <c r="G42" l="1"/>
</calcChain>
</file>

<file path=xl/comments1.xml><?xml version="1.0" encoding="utf-8"?>
<comments xmlns="http://schemas.openxmlformats.org/spreadsheetml/2006/main">
  <authors>
    <author>`PC PAL</author>
  </authors>
  <commentList>
    <comment ref="L25" authorId="0">
      <text>
        <r>
          <rPr>
            <b/>
            <sz val="9"/>
            <color indexed="81"/>
            <rFont val="Tahoma"/>
            <family val="2"/>
          </rPr>
          <t>`NP Liyanage:</t>
        </r>
        <r>
          <rPr>
            <sz val="9"/>
            <color indexed="81"/>
            <rFont val="Tahoma"/>
            <family val="2"/>
          </rPr>
          <t xml:space="preserve">
1. use of PB 1 seed variety has shown increasing trend compared to previous seasons (yala 2015 and 2016)
2. Low yield and low farm gate price resulted lower income to the farmer 
3. Why Use  of urea application has increased? (21kg and 35kg respectively in 2016 and 2015) is it possible? if so what is the reason behind that?? </t>
        </r>
        <r>
          <rPr>
            <b/>
            <sz val="9"/>
            <color indexed="81"/>
            <rFont val="Tahoma"/>
            <family val="2"/>
          </rPr>
          <t xml:space="preserve">I suggest to re-check.  </t>
        </r>
        <r>
          <rPr>
            <sz val="9"/>
            <color indexed="81"/>
            <rFont val="Tahoma"/>
            <family val="2"/>
          </rPr>
          <t xml:space="preserve">
If these things are correct, this table can be accepted as final 
</t>
        </r>
      </text>
    </comment>
  </commentList>
</comments>
</file>

<file path=xl/comments2.xml><?xml version="1.0" encoding="utf-8"?>
<comments xmlns="http://schemas.openxmlformats.org/spreadsheetml/2006/main">
  <authors>
    <author>`PC PAL</author>
  </authors>
  <commentList>
    <comment ref="N18" authorId="0">
      <text>
        <r>
          <rPr>
            <b/>
            <sz val="9"/>
            <color indexed="81"/>
            <rFont val="Tahoma"/>
            <family val="2"/>
          </rPr>
          <t>`NP Liyanage:
I cannot see Seed variety in the table black, while, something like that ???</t>
        </r>
        <r>
          <rPr>
            <sz val="9"/>
            <color indexed="81"/>
            <rFont val="Tahoma"/>
            <family val="2"/>
          </rPr>
          <t xml:space="preserve">
Though the unit cost shows quite higher, it is acceptable as average yield is very low
Other figures are apparently acceptable for my understanding </t>
        </r>
      </text>
    </comment>
    <comment ref="L22" authorId="0">
      <text>
        <r>
          <rPr>
            <b/>
            <sz val="9"/>
            <color indexed="81"/>
            <rFont val="Tahoma"/>
            <family val="2"/>
          </rPr>
          <t>`NP Liyanage:
I cannot see Seed variety in the table black, while, something like that ???</t>
        </r>
        <r>
          <rPr>
            <sz val="9"/>
            <color indexed="81"/>
            <rFont val="Tahoma"/>
            <family val="2"/>
          </rPr>
          <t xml:space="preserve">
Though the unit cost shows quite higher, it is acceptable as average yield is very low
Other figures are apparently acceptable for my understanding </t>
        </r>
      </text>
    </comment>
  </commentList>
</comments>
</file>

<file path=xl/sharedStrings.xml><?xml version="1.0" encoding="utf-8"?>
<sst xmlns="http://schemas.openxmlformats.org/spreadsheetml/2006/main" count="1869" uniqueCount="558">
  <si>
    <t>Table:</t>
  </si>
  <si>
    <r>
      <t>COST OF CULTIVATION PER ACRE OF Cabbage (</t>
    </r>
    <r>
      <rPr>
        <b/>
        <sz val="10"/>
        <rFont val="Calibri"/>
        <family val="2"/>
        <scheme val="minor"/>
      </rPr>
      <t>IRRIGATED</t>
    </r>
    <r>
      <rPr>
        <sz val="10"/>
        <rFont val="Calibri"/>
        <family val="2"/>
        <scheme val="minor"/>
      </rPr>
      <t>)</t>
    </r>
  </si>
  <si>
    <t>DISTRICT: Nuwaraeliya       2017 Yala SEASON</t>
  </si>
  <si>
    <t>Tabulated &amp; analyzed by :M.F. Rishana Fazy</t>
  </si>
  <si>
    <t>Operation</t>
  </si>
  <si>
    <t xml:space="preserve">  No</t>
  </si>
  <si>
    <t>Total</t>
  </si>
  <si>
    <t>Fam</t>
  </si>
  <si>
    <t>Wage</t>
  </si>
  <si>
    <t xml:space="preserve">  Labour</t>
  </si>
  <si>
    <t xml:space="preserve">  Machinary</t>
  </si>
  <si>
    <t xml:space="preserve">  Material</t>
  </si>
  <si>
    <t xml:space="preserve">  Total </t>
  </si>
  <si>
    <t>OWN INPUTS</t>
  </si>
  <si>
    <t>Report</t>
  </si>
  <si>
    <t>Lab</t>
  </si>
  <si>
    <t>Rate</t>
  </si>
  <si>
    <t xml:space="preserve">  Cost</t>
  </si>
  <si>
    <t xml:space="preserve">  &amp; Equpim't</t>
  </si>
  <si>
    <t xml:space="preserve">  %</t>
  </si>
  <si>
    <t xml:space="preserve">  Rs/ac</t>
  </si>
  <si>
    <t>All Nursery preparation</t>
  </si>
  <si>
    <t>General Land Preparation</t>
  </si>
  <si>
    <t>1st Plough with 2WT</t>
  </si>
  <si>
    <t>Manually</t>
  </si>
  <si>
    <t>(10)</t>
  </si>
  <si>
    <t>(16.00)</t>
  </si>
  <si>
    <t>(11.2)</t>
  </si>
  <si>
    <t>(900.00)</t>
  </si>
  <si>
    <t>`(14400.00)</t>
  </si>
  <si>
    <t>Preparation beds &amp; ridges</t>
  </si>
  <si>
    <t>9111.00*</t>
  </si>
  <si>
    <t>Digging holes &amp; transplanting</t>
  </si>
  <si>
    <t>Fertilizer Application</t>
  </si>
  <si>
    <t>Weeding &amp; eathningup</t>
  </si>
  <si>
    <t>Pest &amp; Disease Control</t>
  </si>
  <si>
    <t>Water Management</t>
  </si>
  <si>
    <t>Harvesting and drawing**</t>
  </si>
  <si>
    <t>(Harvesting and drawing)</t>
  </si>
  <si>
    <t>(27)</t>
  </si>
  <si>
    <t>(12.28)</t>
  </si>
  <si>
    <t>(3.38)</t>
  </si>
  <si>
    <t>(971.00)</t>
  </si>
  <si>
    <t>(11924.00)</t>
  </si>
  <si>
    <t>(not Harvested)</t>
  </si>
  <si>
    <t>`(3)</t>
  </si>
  <si>
    <t>Total Including Imputed Cost</t>
  </si>
  <si>
    <t xml:space="preserve">Total Excluding Imputed Cost </t>
  </si>
  <si>
    <t xml:space="preserve">*Adding Lime </t>
  </si>
  <si>
    <t>**Done by buyer</t>
  </si>
  <si>
    <t>Quantity and Price of Inputs</t>
  </si>
  <si>
    <t>Input</t>
  </si>
  <si>
    <t>Unit</t>
  </si>
  <si>
    <t>Quantity</t>
  </si>
  <si>
    <t>Unit Price (Rs)</t>
  </si>
  <si>
    <t>SEED</t>
  </si>
  <si>
    <t>Seed</t>
  </si>
  <si>
    <t>grams</t>
  </si>
  <si>
    <t>Mode</t>
  </si>
  <si>
    <t>Plants</t>
  </si>
  <si>
    <t>(47)</t>
  </si>
  <si>
    <t>(16251.00)</t>
  </si>
  <si>
    <t>(2.40)</t>
  </si>
  <si>
    <t xml:space="preserve">Mean </t>
  </si>
  <si>
    <t>LABOUR</t>
  </si>
  <si>
    <t>Hired Labour</t>
  </si>
  <si>
    <t>md</t>
  </si>
  <si>
    <t>Variety %</t>
  </si>
  <si>
    <t>Family Labour</t>
  </si>
  <si>
    <t>Green cornet</t>
  </si>
  <si>
    <t>AS</t>
  </si>
  <si>
    <t>Other</t>
  </si>
  <si>
    <t>FERTILIZER</t>
  </si>
  <si>
    <t>% Reporting</t>
  </si>
  <si>
    <t xml:space="preserve">Urea                         </t>
  </si>
  <si>
    <t>kg</t>
  </si>
  <si>
    <t xml:space="preserve">Vegetable mix       </t>
  </si>
  <si>
    <t>YIELD AND RETURNS</t>
  </si>
  <si>
    <t>Per Ac</t>
  </si>
  <si>
    <t>Per ha</t>
  </si>
  <si>
    <t>Average Yield (kg/ac)</t>
  </si>
  <si>
    <t>Price of Produce (Rs/kg)</t>
  </si>
  <si>
    <t>Gross Income (Rs/ac)</t>
  </si>
  <si>
    <t>Profit Incl. Imputed Cost (Rs/ac)</t>
  </si>
  <si>
    <t>Profit Excl. Imputed Cost (Rs/ac)</t>
  </si>
  <si>
    <t>Per Unit Cost (Incl.Imputed Cost) (Rs/kg)</t>
  </si>
  <si>
    <t>Per Unit Cost (Excl. Imputed Cost (Rs/kg)</t>
  </si>
  <si>
    <t>COST OF CULTIVATION PER ACRE OF Pole Bean  (IRRIGATED)</t>
  </si>
  <si>
    <t>DISTRICT: --Badulla  2017 yala</t>
  </si>
  <si>
    <t>Tabulated &amp; analyzed by :-S.N.Kamalinie</t>
  </si>
  <si>
    <t>1  Plough with 2wt</t>
  </si>
  <si>
    <t>1st plough with manu</t>
  </si>
  <si>
    <t>`(30)</t>
  </si>
  <si>
    <t>`(7.96)</t>
  </si>
  <si>
    <t>`(4.60)</t>
  </si>
  <si>
    <t>`(1000.00)</t>
  </si>
  <si>
    <t>`(7960.00)</t>
  </si>
  <si>
    <t>Prperation beds &amp; ridges</t>
  </si>
  <si>
    <t>Digging holes</t>
  </si>
  <si>
    <t>Seeding</t>
  </si>
  <si>
    <t>Weeding &amp; earthing up</t>
  </si>
  <si>
    <t>Fixing support</t>
  </si>
  <si>
    <t xml:space="preserve">Harvesting </t>
  </si>
  <si>
    <t>RELATED INFORMATION</t>
  </si>
  <si>
    <t xml:space="preserve">Seeding </t>
  </si>
  <si>
    <t>Mean</t>
  </si>
  <si>
    <t>Capri</t>
  </si>
  <si>
    <t>FIELD FERTILIZER</t>
  </si>
  <si>
    <t>Poultry</t>
  </si>
  <si>
    <t>bag</t>
  </si>
  <si>
    <t>urea</t>
  </si>
  <si>
    <t>veg</t>
  </si>
  <si>
    <t>Per hec.</t>
  </si>
  <si>
    <t>Special remarks-</t>
  </si>
  <si>
    <t>In this season 57% farmers use machinery  for water management</t>
  </si>
  <si>
    <t>Low yield because the yellowing and drought</t>
  </si>
  <si>
    <t>COST OF CULTIVATION PER ACRE OF  TOMATO (IRRIGATED)</t>
  </si>
  <si>
    <t xml:space="preserve">DISTRICT: --Badulla  2017 Yala </t>
  </si>
  <si>
    <t>All Nursery Preperation</t>
  </si>
  <si>
    <t>`(13.20)</t>
  </si>
  <si>
    <t>`(8.40)</t>
  </si>
  <si>
    <t>`(1070.00)</t>
  </si>
  <si>
    <t>`(14124.00)</t>
  </si>
  <si>
    <t>Digging holes &amp; Transplanting</t>
  </si>
  <si>
    <t>Training</t>
  </si>
  <si>
    <t>Water Management (manu)</t>
  </si>
  <si>
    <t>Pathma</t>
  </si>
  <si>
    <t>vegitable mix</t>
  </si>
  <si>
    <t>Farmers were faced the water problem some areas but they had good yield</t>
  </si>
  <si>
    <t>COST OF CULTIVATION PER ACRE OF Tomato (IRRIGATED )</t>
  </si>
  <si>
    <t>DISTRICT: Kandy       2017 Yala  SEASON</t>
  </si>
  <si>
    <t>Tabulated &amp; analyzed by : N.P.S.A.Menike(EA)</t>
  </si>
  <si>
    <t>All nursery Preparation</t>
  </si>
  <si>
    <t>1 st  Plough with manu</t>
  </si>
  <si>
    <t>(1st  Plough with 2wt)</t>
  </si>
  <si>
    <t>`(40)</t>
  </si>
  <si>
    <t>(10545.00)</t>
  </si>
  <si>
    <t>(1st Plough with 4wt)</t>
  </si>
  <si>
    <t>preparation beds &amp; ridges</t>
  </si>
  <si>
    <t>Transplanting</t>
  </si>
  <si>
    <t>Weeding &amp; earthing up(Manual)</t>
  </si>
  <si>
    <t>Fixing support and training</t>
  </si>
  <si>
    <t>Harvesting and drawing</t>
  </si>
  <si>
    <t>Variety</t>
  </si>
  <si>
    <t>Padma</t>
  </si>
  <si>
    <t>Glori</t>
  </si>
  <si>
    <t>Abiman</t>
  </si>
  <si>
    <t>Kumari</t>
  </si>
  <si>
    <t>Vegi.Mix</t>
  </si>
  <si>
    <t>Nilketa</t>
  </si>
  <si>
    <t xml:space="preserve">High labour cost due to increase wage rate and deploy high man days for harvesting operation </t>
  </si>
  <si>
    <t>Not report 40% GLP this season</t>
  </si>
  <si>
    <t>COST OF CULTIVATION PER ACRE OF Carrot  (IRRIGATED )</t>
  </si>
  <si>
    <t>DISTRICT: NUWARA ELIYA</t>
  </si>
  <si>
    <t>CROP : CARROT</t>
  </si>
  <si>
    <t>SEASON</t>
  </si>
  <si>
    <t>2017 YALA</t>
  </si>
  <si>
    <t>Tabulated &amp; analyzed by : H.M.A.K Herath</t>
  </si>
  <si>
    <t>Own inputs</t>
  </si>
  <si>
    <t>Preparation of beds&amp; ridges</t>
  </si>
  <si>
    <t>5424.00*</t>
  </si>
  <si>
    <t xml:space="preserve"> Seeding</t>
  </si>
  <si>
    <t>Weeding &amp; thinning out</t>
  </si>
  <si>
    <t>Harvesting &amp; drawing by buyer</t>
  </si>
  <si>
    <t>* Lime</t>
  </si>
  <si>
    <t xml:space="preserve">Variety </t>
  </si>
  <si>
    <t>%</t>
  </si>
  <si>
    <t>Takis</t>
  </si>
  <si>
    <t>Magma</t>
  </si>
  <si>
    <t>Kuruda</t>
  </si>
  <si>
    <t xml:space="preserve">Mode </t>
  </si>
  <si>
    <t xml:space="preserve">Basal </t>
  </si>
  <si>
    <t>Polutary</t>
  </si>
  <si>
    <t>Bags</t>
  </si>
  <si>
    <t>Vegetable mixture    55</t>
  </si>
  <si>
    <t>Potato mixture           65</t>
  </si>
  <si>
    <t>Cost of cultivation per acre of Soya beans (irrigated)- System H</t>
  </si>
  <si>
    <t>DISTRICT: - - - - - - -    2014 yala- - - - -  SEASON</t>
  </si>
  <si>
    <t>System H-</t>
  </si>
  <si>
    <t xml:space="preserve"> Analized by</t>
  </si>
  <si>
    <t>Sunethra weerasinghe</t>
  </si>
  <si>
    <t>Season: 2017  Yala</t>
  </si>
  <si>
    <t>General Land preparation</t>
  </si>
  <si>
    <t>1, 2, &amp; 3  Plough with4wt</t>
  </si>
  <si>
    <t>Preparation beds&amp;ridges</t>
  </si>
  <si>
    <t>seeding</t>
  </si>
  <si>
    <t>Fertilizer application</t>
  </si>
  <si>
    <t>Weed control with weedicides</t>
  </si>
  <si>
    <t xml:space="preserve">weeding and eathing up </t>
  </si>
  <si>
    <t>Pest &amp; disease control</t>
  </si>
  <si>
    <t>Water management</t>
  </si>
  <si>
    <t>Harvesting drawing</t>
  </si>
  <si>
    <t xml:space="preserve"> Prossing with 4w thesher</t>
  </si>
  <si>
    <t>Transport produce to stores</t>
  </si>
  <si>
    <t>Total including imputed cost</t>
  </si>
  <si>
    <t xml:space="preserve">Total excluding imputed cost </t>
  </si>
  <si>
    <t>% of Ext.</t>
  </si>
  <si>
    <t xml:space="preserve">Comments </t>
  </si>
  <si>
    <t>PB1</t>
  </si>
  <si>
    <t>OTHER</t>
  </si>
  <si>
    <t>Urea</t>
  </si>
  <si>
    <t>TSP</t>
  </si>
  <si>
    <t>`(22.00)</t>
  </si>
  <si>
    <t>`(50.00)</t>
  </si>
  <si>
    <t>MOP</t>
  </si>
  <si>
    <t>`(24)</t>
  </si>
  <si>
    <t>`(13.00)</t>
  </si>
  <si>
    <t>per ac</t>
  </si>
  <si>
    <t>per ha</t>
  </si>
  <si>
    <t>Average yield (kg/ac)</t>
  </si>
  <si>
    <t>*</t>
  </si>
  <si>
    <t>Gross income (Rs/ac)</t>
  </si>
  <si>
    <t>Profit incl. imputed cost (Rs/ac)</t>
  </si>
  <si>
    <t>Profit excl. imputed cost (Rs/ac)</t>
  </si>
  <si>
    <t>Per unit cost (incl.imputed cost) (Rs/kg)</t>
  </si>
  <si>
    <t>Per unit cost (excl. imputed cost (Rs/kg)</t>
  </si>
  <si>
    <t xml:space="preserve">Note- </t>
  </si>
  <si>
    <t>* Law yield due to lack of water</t>
  </si>
  <si>
    <t>COST OF CULTIVATION PER ACRE OF GINGELLY (RAINFED )</t>
  </si>
  <si>
    <t>DISTRICT: - ANURADHAPURA   2017 YALA SEASON</t>
  </si>
  <si>
    <t>S.Mathangaweera</t>
  </si>
  <si>
    <t xml:space="preserve">Tabulated &amp; analyzed by :--E.P.J.W.K.Gunasinghe, </t>
  </si>
  <si>
    <t>OWN COST</t>
  </si>
  <si>
    <t>(33)</t>
  </si>
  <si>
    <t>(1.50)</t>
  </si>
  <si>
    <t>(1350.00)</t>
  </si>
  <si>
    <t>(2025.00)</t>
  </si>
  <si>
    <t>1 st plough with 4wt</t>
  </si>
  <si>
    <t>Broadcasting</t>
  </si>
  <si>
    <t>Harvesting &amp; Drawing</t>
  </si>
  <si>
    <t>Processing</t>
  </si>
  <si>
    <t>Black</t>
  </si>
  <si>
    <t>Comments</t>
  </si>
  <si>
    <t>white</t>
  </si>
  <si>
    <t>Per ha.</t>
  </si>
  <si>
    <t>Remarks-</t>
  </si>
  <si>
    <t>1.Compared to the previous seasons, total cost has decreased due to decreased labour cost.</t>
  </si>
  <si>
    <t xml:space="preserve">                    (decreased man days on harvesting , drawing &amp; processing.)</t>
  </si>
  <si>
    <t>2. Lower yield due to drought.</t>
  </si>
  <si>
    <t>COST OF CULTIVATION PER ACRE OF MANIOC  (RAINFED )</t>
  </si>
  <si>
    <t>DISTRICT:   GAMPAHA 2017 YALA SEASON              Analized by-AMCMK Abeykoon</t>
  </si>
  <si>
    <t>1 &amp; 2 Plough with 4WT</t>
  </si>
  <si>
    <t>(1 &amp; 2  Plough with 2 wt)</t>
  </si>
  <si>
    <t>`(10)</t>
  </si>
  <si>
    <t>`(8734.00)</t>
  </si>
  <si>
    <t>Digging holes and planting</t>
  </si>
  <si>
    <t>Weeding and earthening up with Manual</t>
  </si>
  <si>
    <t>(Harvesting &amp; drawing with Manual)**</t>
  </si>
  <si>
    <t>(30)</t>
  </si>
  <si>
    <t>(7.35)</t>
  </si>
  <si>
    <t>(2.25)</t>
  </si>
  <si>
    <t>(1405.00.)</t>
  </si>
  <si>
    <t>`(10327.00)</t>
  </si>
  <si>
    <t>**  Rest is done by buyers</t>
  </si>
  <si>
    <t>PLANTING MATERIAL</t>
  </si>
  <si>
    <t>Planting Material</t>
  </si>
  <si>
    <t>sticks</t>
  </si>
  <si>
    <t>_</t>
  </si>
  <si>
    <t>kalu pera</t>
  </si>
  <si>
    <t>kiri kawadi</t>
  </si>
  <si>
    <t>Coconut Fertilizer</t>
  </si>
  <si>
    <t>mean</t>
  </si>
  <si>
    <t xml:space="preserve"> MOP</t>
  </si>
  <si>
    <t>`(20)</t>
  </si>
  <si>
    <t>`(84)</t>
  </si>
  <si>
    <t>`(50)</t>
  </si>
  <si>
    <t xml:space="preserve">mode             </t>
  </si>
  <si>
    <t>`(77)</t>
  </si>
  <si>
    <t>`(52)</t>
  </si>
  <si>
    <t>`(17)</t>
  </si>
  <si>
    <t>`(72)</t>
  </si>
  <si>
    <t>Average Yield (kg)</t>
  </si>
  <si>
    <t>Gross Income (Rs)</t>
  </si>
  <si>
    <t>Profit Incl. Imputed Cost (Rs)</t>
  </si>
  <si>
    <t>Profit Excl. Imputed Cost (Rs)</t>
  </si>
  <si>
    <t>*  Low yield due to heavy rain and rats attacks</t>
  </si>
  <si>
    <t>* Average fertilizer usage is low</t>
  </si>
  <si>
    <t xml:space="preserve">    </t>
  </si>
  <si>
    <t xml:space="preserve">COST OF CULTIVATION  per ac  of Potato  ( IRR) </t>
  </si>
  <si>
    <t>DISTRICT: --Badulla     2017 yala- SEASON</t>
  </si>
  <si>
    <t>with 4 wt</t>
  </si>
  <si>
    <t>(13)</t>
  </si>
  <si>
    <t>(1463.00)</t>
  </si>
  <si>
    <t>(10667.00)</t>
  </si>
  <si>
    <t>Prperation of beds &amp; ridges</t>
  </si>
  <si>
    <t>2746.00*</t>
  </si>
  <si>
    <t>Digging holes and Seeding</t>
  </si>
  <si>
    <t xml:space="preserve">Water Management </t>
  </si>
  <si>
    <t>7112.00**</t>
  </si>
  <si>
    <t>** 56 % of the farmers used water pump for water management</t>
  </si>
  <si>
    <t>Ganola</t>
  </si>
  <si>
    <t>Poultry  manure</t>
  </si>
  <si>
    <t>potato mixture</t>
  </si>
  <si>
    <t>TDM</t>
  </si>
  <si>
    <t>(243.00)</t>
  </si>
  <si>
    <t>(63.00)</t>
  </si>
  <si>
    <t xml:space="preserve">COST OF CULTIVATION PER ACRE OF Potato(-IRR) </t>
  </si>
  <si>
    <t>DISTRICT: --Nuwara eliya-      2017 yala- SEASON</t>
  </si>
  <si>
    <t>(do manualy)</t>
  </si>
  <si>
    <t>(28171.00)</t>
  </si>
  <si>
    <t>4235.00*</t>
  </si>
  <si>
    <t>Digging hoies and seeding</t>
  </si>
  <si>
    <t>kg/g/Plants</t>
  </si>
  <si>
    <t xml:space="preserve"> Seeding </t>
  </si>
  <si>
    <t>potato mix</t>
  </si>
  <si>
    <t>COST OF CULTIVATION SWEET POTATO (Irrigated)</t>
  </si>
  <si>
    <t>2017 yala</t>
  </si>
  <si>
    <t xml:space="preserve">DISTRICT: </t>
  </si>
  <si>
    <t>Matale</t>
  </si>
  <si>
    <t>General land preparation</t>
  </si>
  <si>
    <r>
      <t>1</t>
    </r>
    <r>
      <rPr>
        <vertAlign val="superscript"/>
        <sz val="10"/>
        <rFont val="Arial"/>
        <family val="2"/>
      </rPr>
      <t>st</t>
    </r>
    <r>
      <rPr>
        <sz val="11"/>
        <color theme="1"/>
        <rFont val="Calibri"/>
        <family val="2"/>
        <scheme val="minor"/>
      </rPr>
      <t xml:space="preserve"> and 2</t>
    </r>
    <r>
      <rPr>
        <vertAlign val="superscript"/>
        <sz val="10"/>
        <rFont val="Arial"/>
        <family val="2"/>
      </rPr>
      <t>nd</t>
    </r>
    <r>
      <rPr>
        <sz val="11"/>
        <color theme="1"/>
        <rFont val="Calibri"/>
        <family val="2"/>
        <scheme val="minor"/>
      </rPr>
      <t xml:space="preserve"> Plough With 4wt</t>
    </r>
  </si>
  <si>
    <t>1st plough with2 wt</t>
  </si>
  <si>
    <t>(7000.00)</t>
  </si>
  <si>
    <t>(1917.00)</t>
  </si>
  <si>
    <t>Preparation of Beds &amp; Ridges</t>
  </si>
  <si>
    <t>Processing material&amp;planting</t>
  </si>
  <si>
    <t>weeding /eathing up</t>
  </si>
  <si>
    <t>(26)</t>
  </si>
  <si>
    <t>(11351)</t>
  </si>
  <si>
    <t>Harvesting&amp;Processing</t>
  </si>
  <si>
    <t>Cuttings</t>
  </si>
  <si>
    <t>own</t>
  </si>
  <si>
    <t>Wariyapola</t>
  </si>
  <si>
    <t>T.S.P</t>
  </si>
  <si>
    <t>Chilli mixture</t>
  </si>
  <si>
    <t>Potato</t>
  </si>
  <si>
    <t>(85.00)</t>
  </si>
  <si>
    <t>(55.00)</t>
  </si>
  <si>
    <t>(23)</t>
  </si>
  <si>
    <t>(52)</t>
  </si>
  <si>
    <t>(51.00)</t>
  </si>
  <si>
    <t>Cost of cultivation per acre of Chilli (RF)- Anuradhapura</t>
  </si>
  <si>
    <t>MMT Dharmanayaka</t>
  </si>
  <si>
    <t>(8.83)</t>
  </si>
  <si>
    <t>(8.50)</t>
  </si>
  <si>
    <t>`(1200.00)</t>
  </si>
  <si>
    <t>`(10596.00)</t>
  </si>
  <si>
    <t>1st  Plough with 4wt</t>
  </si>
  <si>
    <t>1st  Plough with manual</t>
  </si>
  <si>
    <t>(7)</t>
  </si>
  <si>
    <t>`(22)</t>
  </si>
  <si>
    <t>`(18)</t>
  </si>
  <si>
    <t>`(26400.00)</t>
  </si>
  <si>
    <t>2nd  Plough with 4wt</t>
  </si>
  <si>
    <t xml:space="preserve">Weeding and eathing up </t>
  </si>
  <si>
    <t>Harvesting drawing &amp; processing</t>
  </si>
  <si>
    <t>Transport produce to Market (Lorry)</t>
  </si>
  <si>
    <t>KA-2</t>
  </si>
  <si>
    <t>Galkiriyagama</t>
  </si>
  <si>
    <t>MI-2</t>
  </si>
  <si>
    <t>Chilly mixture</t>
  </si>
  <si>
    <t>* Law yield due to lack of water and desease</t>
  </si>
  <si>
    <t xml:space="preserve">COST OF CULTIVATION PER ACRE OF BIG ONION </t>
  </si>
  <si>
    <t>DISTRICT: MATALE 2017 Yala   Analysed by P M Bambaradeniya</t>
  </si>
  <si>
    <t>All nursery preparation</t>
  </si>
  <si>
    <t>General Land Preperation</t>
  </si>
  <si>
    <t>(2.27)</t>
  </si>
  <si>
    <t>(1.16)</t>
  </si>
  <si>
    <t>(2925.00)</t>
  </si>
  <si>
    <t>1st &amp; 2nd  Plough with 4wt</t>
  </si>
  <si>
    <t>1st &amp; 2nd  Plough with 2wt</t>
  </si>
  <si>
    <t>Preparation of beds &amp; ridges</t>
  </si>
  <si>
    <t>(Contract)</t>
  </si>
  <si>
    <t>(36)</t>
  </si>
  <si>
    <t>(20875)</t>
  </si>
  <si>
    <t xml:space="preserve">Transplanting </t>
  </si>
  <si>
    <t>(38600)</t>
  </si>
  <si>
    <t>Weed Control With Weedicides</t>
  </si>
  <si>
    <t>Harvesting  &amp; Drawing</t>
  </si>
  <si>
    <t>Processing Manual</t>
  </si>
  <si>
    <t>(Contractl)</t>
  </si>
  <si>
    <t>(21481)</t>
  </si>
  <si>
    <t>Transport Produce to market</t>
  </si>
  <si>
    <t>2wt=6</t>
  </si>
  <si>
    <t>does not consider the threewheal</t>
  </si>
  <si>
    <t>last year yield=6688</t>
  </si>
  <si>
    <t>last year md for harvesting=32</t>
  </si>
  <si>
    <t>Lanka seed</t>
  </si>
  <si>
    <t>Rampoor</t>
  </si>
  <si>
    <t>(imported)</t>
  </si>
  <si>
    <t>1. Urea</t>
  </si>
  <si>
    <t>(37)</t>
  </si>
  <si>
    <t>(67)</t>
  </si>
  <si>
    <t>(58)</t>
  </si>
  <si>
    <t>11. Onion mixture</t>
  </si>
  <si>
    <t>basal</t>
  </si>
  <si>
    <t>111. TSP</t>
  </si>
  <si>
    <t>Per ac</t>
  </si>
  <si>
    <t xml:space="preserve">(1) Lower yield due to crop dameges with heavy rain at harvesting period, in both sampling ares. </t>
  </si>
  <si>
    <t>(2)  7 % of plough is done by manually</t>
  </si>
  <si>
    <t>COST OF CULTIVATION PER ACRE OF Red Onion  (IRRIGATED )</t>
  </si>
  <si>
    <t>DISTRICT: Puttalam       2017 Yala  SEASON</t>
  </si>
  <si>
    <t>1, 2, &amp; 3  Plough with 4wt</t>
  </si>
  <si>
    <t>Seed Processing</t>
  </si>
  <si>
    <t>Didding holes &amp;  Seeding</t>
  </si>
  <si>
    <t>Weeding &amp; loossing soil (Manual)</t>
  </si>
  <si>
    <t>New technoligy adaption on water management (Sprincles)</t>
  </si>
  <si>
    <t>Processing(manu)</t>
  </si>
  <si>
    <t>2446.00 *</t>
  </si>
  <si>
    <t>Transport Produce to Stores</t>
  </si>
  <si>
    <t>* Cajan cost</t>
  </si>
  <si>
    <t>Yapanaya mal</t>
  </si>
  <si>
    <t>Thambasetti</t>
  </si>
  <si>
    <t>Vedalan</t>
  </si>
  <si>
    <t>Cowdung</t>
  </si>
  <si>
    <t>bags</t>
  </si>
  <si>
    <t>Onion.Mix</t>
  </si>
  <si>
    <t>High total cost due to increase seed cost and new technology adaption cost</t>
  </si>
  <si>
    <t xml:space="preserve">1.*hdmkfhka f.kajk ,o îc j, ñ, ^m%jdyk l=,Ssh iu. tl;= ù&amp;b;d wêl f,i jeä ù we; </t>
  </si>
  <si>
    <t xml:space="preserve">tu ksid tall ñ, jeä ù uqˆ úhou re 60170 lska muK jeä ù we;  </t>
  </si>
  <si>
    <t>seson</t>
  </si>
  <si>
    <t>seed rate(Kg)</t>
  </si>
  <si>
    <t>Unit cost(Rs)</t>
  </si>
  <si>
    <t>16/17 Maha</t>
  </si>
  <si>
    <t>17 yala</t>
  </si>
  <si>
    <t>fjki</t>
  </si>
  <si>
    <t xml:space="preserve">2. f.du fmdfydr tall ñf,a jeäùula ^re 148 isg 156 olajd&amp; is¥j we; </t>
  </si>
  <si>
    <t>3. lïlre Y%ufha ñ, by,f.dia we;</t>
  </si>
  <si>
    <t>COST OF CULTIVATION PER ACRE OF BRINJAL (IRRIGATED  )</t>
  </si>
  <si>
    <t>DISTRICT: Hambantota       2017 Yala SEASON</t>
  </si>
  <si>
    <t>finalized by chanika</t>
  </si>
  <si>
    <t>Tabulated &amp; analyzed by :V.G.S.Nilantha</t>
  </si>
  <si>
    <t>All Nursery Preparation</t>
  </si>
  <si>
    <t>1st 2nd, &amp; 3rd  Plough with 4wt</t>
  </si>
  <si>
    <t>(1st, 2nd, &amp; 3rd  Plough with Mannually)</t>
  </si>
  <si>
    <t>`(1.40)</t>
  </si>
  <si>
    <t>`(0.10)</t>
  </si>
  <si>
    <t>`(1314.00)</t>
  </si>
  <si>
    <t>`(1840.00)</t>
  </si>
  <si>
    <t xml:space="preserve">Weeding &amp; Earthing up </t>
  </si>
  <si>
    <t>Variety destribution %</t>
  </si>
  <si>
    <t>Hybrid</t>
  </si>
  <si>
    <t>Local</t>
  </si>
  <si>
    <t>In this season price of brinjal is extreamly high when compared with 2016 yala.  Therefore profit margin to the farmer is very high</t>
  </si>
  <si>
    <t>COST OF CULTIVATION PER ACRE OF BITTER GOARD  (IRRIGATED)</t>
  </si>
  <si>
    <t>DISTRICT:  Hambantota       2017  YALA SEASON</t>
  </si>
  <si>
    <t>Tabulated &amp; analyzed by :J.W.L. Surangi</t>
  </si>
  <si>
    <t>1  Plough with 4wt</t>
  </si>
  <si>
    <t>(6833.00)</t>
  </si>
  <si>
    <t>Digging holes &amp; seeding</t>
  </si>
  <si>
    <t>Weeding &amp; Earthing up</t>
  </si>
  <si>
    <t xml:space="preserve">Trelising &amp; Training </t>
  </si>
  <si>
    <t xml:space="preserve">Seed </t>
  </si>
  <si>
    <t>(Hybrid)</t>
  </si>
  <si>
    <t>`(77%)</t>
  </si>
  <si>
    <t>(Local)</t>
  </si>
  <si>
    <t>`(23%)</t>
  </si>
  <si>
    <t>`(1.1)</t>
  </si>
  <si>
    <t>`(6507.00)</t>
  </si>
  <si>
    <t>Tsp</t>
  </si>
  <si>
    <t>Vege mix</t>
  </si>
  <si>
    <t>Majority of farmers (77%) has used hybrid seeds whare as local seeds used last year. Hence cost of seeds was very high.</t>
  </si>
  <si>
    <t xml:space="preserve">                                                    Farmers said that local seed varieties give low yield so they have used hybrid. </t>
  </si>
  <si>
    <t xml:space="preserve"> average yield is very high compared to last season and market price also quite high.</t>
  </si>
  <si>
    <r>
      <t xml:space="preserve">                                                           </t>
    </r>
    <r>
      <rPr>
        <sz val="9"/>
        <rFont val="Arial"/>
        <family val="2"/>
      </rPr>
      <t xml:space="preserve">   Consequently low unit cost gives high profit margin to the farmer</t>
    </r>
  </si>
  <si>
    <t>COST OF CULTIVATION PER ACRE OF Maize (IRRIGATED  )-2017 Yala</t>
  </si>
  <si>
    <t>DISTRICT:</t>
  </si>
  <si>
    <t>BADULLA</t>
  </si>
  <si>
    <t>Analyzed by: Prabodani</t>
  </si>
  <si>
    <t>pre weediside Application</t>
  </si>
  <si>
    <t>(6)</t>
  </si>
  <si>
    <t>(1170.00)</t>
  </si>
  <si>
    <t>(1667.00)</t>
  </si>
  <si>
    <t>1,  Plough with 2wt</t>
  </si>
  <si>
    <t>1,  Plough with Buffalo</t>
  </si>
  <si>
    <t>(16)</t>
  </si>
  <si>
    <t>(730.00)</t>
  </si>
  <si>
    <t>(4286.00)</t>
  </si>
  <si>
    <t>(1559.00)</t>
  </si>
  <si>
    <t>Weeding &amp; earthingup</t>
  </si>
  <si>
    <t>Weed control with weedicide</t>
  </si>
  <si>
    <t>(390.00)</t>
  </si>
  <si>
    <t>(4000.00)</t>
  </si>
  <si>
    <t>(880.00)</t>
  </si>
  <si>
    <t>(1200.00)</t>
  </si>
  <si>
    <t xml:space="preserve">Harvesting and drawing Manually </t>
  </si>
  <si>
    <t>Threshing &amp; procressing  with engine powered thresure</t>
  </si>
  <si>
    <t>Threshing &amp; procressing  with 4w thresher</t>
  </si>
  <si>
    <t>(4600.00)</t>
  </si>
  <si>
    <t>(1947.00)</t>
  </si>
  <si>
    <t>Threshing &amp; procressing  manually</t>
  </si>
  <si>
    <t>(3)</t>
  </si>
  <si>
    <t>(4130.00)</t>
  </si>
  <si>
    <t>Drying</t>
  </si>
  <si>
    <t>mode</t>
  </si>
  <si>
    <t xml:space="preserve">Broadcasting / T.P. / Seeding </t>
  </si>
  <si>
    <t>KG</t>
  </si>
  <si>
    <t>JET</t>
  </si>
  <si>
    <t>Pasific</t>
  </si>
  <si>
    <t>Per Ha</t>
  </si>
  <si>
    <t>Re-Marks:</t>
  </si>
  <si>
    <t>6% of sample was not harvested due to drought</t>
  </si>
  <si>
    <t xml:space="preserve"> Mahaweli H</t>
  </si>
  <si>
    <t>Analized by : chandi</t>
  </si>
  <si>
    <t>(30%)</t>
  </si>
  <si>
    <t>(3984)</t>
  </si>
  <si>
    <t>1,  Plough with 4wt</t>
  </si>
  <si>
    <t xml:space="preserve"> (doing with2wt)</t>
  </si>
  <si>
    <t>(10%)</t>
  </si>
  <si>
    <t>(6000)</t>
  </si>
  <si>
    <t>Preparation beds</t>
  </si>
  <si>
    <t>digging holes@ seeding</t>
  </si>
  <si>
    <t>weeding $ earthingup</t>
  </si>
  <si>
    <t xml:space="preserve">Threshing &amp; procressing  4wt thresher </t>
  </si>
  <si>
    <t>Transport to stores</t>
  </si>
  <si>
    <t>(37%)</t>
  </si>
  <si>
    <t>(275)</t>
  </si>
  <si>
    <t>(920)</t>
  </si>
  <si>
    <t>pacific</t>
  </si>
  <si>
    <t>COST OF CULTIVATION PER ACRE OF BLACK GRAM(IRRIGATED )</t>
  </si>
  <si>
    <t>DISTRICT: System H    2017 Yala  SEASON</t>
  </si>
  <si>
    <t xml:space="preserve">1, 2, &amp; 3  Plough with </t>
  </si>
  <si>
    <t>2wt</t>
  </si>
  <si>
    <t>`(1.05)</t>
  </si>
  <si>
    <t>`(1100.00)</t>
  </si>
  <si>
    <t>`(1155.00)</t>
  </si>
  <si>
    <t>(8000.00)</t>
  </si>
  <si>
    <t>Preparation beds and ridges</t>
  </si>
  <si>
    <t>(3.63)</t>
  </si>
  <si>
    <t>(0.47)</t>
  </si>
  <si>
    <t>`(1001.00)</t>
  </si>
  <si>
    <t>`(3634.00)</t>
  </si>
  <si>
    <t>Harvesting with Manual</t>
  </si>
  <si>
    <t>Threshing and Processing with 4wt thresher</t>
  </si>
  <si>
    <t>(with engine powerd paddy thresher)</t>
  </si>
  <si>
    <t>`(7)</t>
  </si>
  <si>
    <t>`(1.20)</t>
  </si>
  <si>
    <t>`(0.67)</t>
  </si>
  <si>
    <t>`(1211.00)</t>
  </si>
  <si>
    <t>`(1453.00)</t>
  </si>
  <si>
    <t>`(2200.00)</t>
  </si>
  <si>
    <t>(manually)</t>
  </si>
  <si>
    <t>`(5.33)</t>
  </si>
  <si>
    <t>`(6455.00)</t>
  </si>
  <si>
    <t>Total cost is high, because of high wage rate cost</t>
  </si>
  <si>
    <t xml:space="preserve">Low yield due to climatic factors, not standed seed,insect and elephant attack </t>
  </si>
  <si>
    <t>Low seed rate. High unit cost</t>
  </si>
  <si>
    <t xml:space="preserve">COST OF CULTIVATION PER ACRE OF  COWPEA RAINFED </t>
  </si>
  <si>
    <t>DISTRICT: Ampara    2017 Yala</t>
  </si>
  <si>
    <t>Tabulated &amp; analyzed by :I.G.P.N.Wickramasinghe</t>
  </si>
  <si>
    <t>(2006.00)</t>
  </si>
  <si>
    <t>1st&amp; second  Plough with 4wt</t>
  </si>
  <si>
    <t>(withBuffaloa)</t>
  </si>
  <si>
    <t>Seeding with  baffaloes</t>
  </si>
  <si>
    <t>With 4wt</t>
  </si>
  <si>
    <t>(556.00)</t>
  </si>
  <si>
    <t>(1824.00)</t>
  </si>
  <si>
    <t>Liquid Fertilizer Application</t>
  </si>
  <si>
    <t>Threshing &amp; Processing with Manually</t>
  </si>
  <si>
    <t>Additional Drying &amp; winnowing</t>
  </si>
  <si>
    <t>Red</t>
  </si>
  <si>
    <t xml:space="preserve">  Seeding </t>
  </si>
  <si>
    <t>Waruni</t>
  </si>
  <si>
    <t xml:space="preserve"> </t>
  </si>
  <si>
    <t xml:space="preserve">Fertilizer </t>
  </si>
  <si>
    <t>% reporting</t>
  </si>
  <si>
    <t xml:space="preserve"> liquid</t>
  </si>
  <si>
    <t>Liquid</t>
  </si>
</sst>
</file>

<file path=xl/styles.xml><?xml version="1.0" encoding="utf-8"?>
<styleSheet xmlns="http://schemas.openxmlformats.org/spreadsheetml/2006/main">
  <numFmts count="3">
    <numFmt numFmtId="164" formatCode="0.0"/>
    <numFmt numFmtId="165" formatCode="0_)"/>
    <numFmt numFmtId="166" formatCode="0.00_)"/>
  </numFmts>
  <fonts count="45">
    <font>
      <sz val="11"/>
      <color theme="1"/>
      <name val="Calibri"/>
      <family val="2"/>
      <scheme val="minor"/>
    </font>
    <font>
      <sz val="10"/>
      <name val="Arial"/>
      <family val="2"/>
    </font>
    <font>
      <sz val="11"/>
      <name val="Calibri"/>
      <family val="2"/>
      <scheme val="minor"/>
    </font>
    <font>
      <sz val="10"/>
      <name val="Calibri"/>
      <family val="2"/>
      <scheme val="minor"/>
    </font>
    <font>
      <b/>
      <sz val="10"/>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sz val="9"/>
      <name val="Calibri"/>
      <family val="2"/>
      <scheme val="minor"/>
    </font>
    <font>
      <sz val="9"/>
      <name val="Times New Roman"/>
      <family val="1"/>
    </font>
    <font>
      <sz val="9"/>
      <color rgb="FFFF0000"/>
      <name val="Times New Roman"/>
      <family val="1"/>
    </font>
    <font>
      <b/>
      <sz val="9"/>
      <name val="Times New Roman"/>
      <family val="1"/>
    </font>
    <font>
      <sz val="11"/>
      <name val="Times New Roman"/>
      <family val="1"/>
    </font>
    <font>
      <b/>
      <sz val="11"/>
      <name val="Times New Roman"/>
      <family val="1"/>
    </font>
    <font>
      <sz val="11"/>
      <color rgb="FFFF0000"/>
      <name val="Calibri"/>
      <family val="2"/>
      <scheme val="minor"/>
    </font>
    <font>
      <sz val="11"/>
      <color theme="0"/>
      <name val="Calibri"/>
      <family val="2"/>
      <scheme val="minor"/>
    </font>
    <font>
      <sz val="9"/>
      <name val="Comic Sans MS"/>
      <family val="4"/>
    </font>
    <font>
      <sz val="12"/>
      <color rgb="FFC00000"/>
      <name val="Comic Sans MS"/>
      <family val="4"/>
    </font>
    <font>
      <b/>
      <i/>
      <sz val="9"/>
      <name val="Comic Sans MS"/>
      <family val="4"/>
    </font>
    <font>
      <b/>
      <sz val="9"/>
      <color indexed="81"/>
      <name val="Tahoma"/>
      <family val="2"/>
    </font>
    <font>
      <sz val="9"/>
      <color indexed="81"/>
      <name val="Tahoma"/>
      <family val="2"/>
    </font>
    <font>
      <b/>
      <sz val="11"/>
      <name val="Calibri"/>
      <family val="2"/>
      <scheme val="minor"/>
    </font>
    <font>
      <sz val="11"/>
      <color rgb="FFC00000"/>
      <name val="Calibri"/>
      <family val="2"/>
      <scheme val="minor"/>
    </font>
    <font>
      <b/>
      <sz val="12"/>
      <color rgb="FFC00000"/>
      <name val="Calibri"/>
      <family val="2"/>
      <scheme val="minor"/>
    </font>
    <font>
      <b/>
      <u/>
      <sz val="11"/>
      <name val="Calibri"/>
      <family val="2"/>
      <scheme val="minor"/>
    </font>
    <font>
      <b/>
      <i/>
      <sz val="11"/>
      <name val="Calibri"/>
      <family val="2"/>
      <scheme val="minor"/>
    </font>
    <font>
      <i/>
      <sz val="11"/>
      <name val="Calibri"/>
      <family val="2"/>
      <scheme val="minor"/>
    </font>
    <font>
      <sz val="10"/>
      <name val="Arial"/>
    </font>
    <font>
      <sz val="10"/>
      <name val="Times New Roman"/>
      <family val="1"/>
    </font>
    <font>
      <b/>
      <sz val="10"/>
      <name val="Times New Roman"/>
      <family val="1"/>
    </font>
    <font>
      <sz val="12"/>
      <name val="Times New Roman"/>
      <family val="1"/>
    </font>
    <font>
      <b/>
      <sz val="10"/>
      <name val="Arial"/>
      <family val="2"/>
    </font>
    <font>
      <vertAlign val="superscript"/>
      <sz val="10"/>
      <name val="Arial"/>
      <family val="2"/>
    </font>
    <font>
      <sz val="8"/>
      <name val="Times New Roman"/>
      <family val="1"/>
    </font>
    <font>
      <b/>
      <i/>
      <sz val="10"/>
      <name val="Times New Roman"/>
      <family val="1"/>
    </font>
    <font>
      <sz val="8"/>
      <name val="Comic Sans MS"/>
      <family val="4"/>
    </font>
    <font>
      <b/>
      <sz val="10"/>
      <name val="Comic Sans MS"/>
      <family val="4"/>
    </font>
    <font>
      <sz val="10"/>
      <name val="Comic Sans MS"/>
      <family val="4"/>
    </font>
    <font>
      <sz val="9"/>
      <name val="Arial"/>
      <family val="2"/>
    </font>
    <font>
      <sz val="8"/>
      <color rgb="FFFF0000"/>
      <name val="Comic Sans MS"/>
      <family val="4"/>
    </font>
    <font>
      <b/>
      <sz val="8"/>
      <name val="Comic Sans MS"/>
      <family val="4"/>
    </font>
    <font>
      <sz val="9"/>
      <color rgb="FFFF0000"/>
      <name val="Arial"/>
      <family val="2"/>
    </font>
    <font>
      <b/>
      <i/>
      <sz val="9"/>
      <name val="Arial"/>
      <family val="2"/>
    </font>
    <font>
      <sz val="10"/>
      <color rgb="FFFF0000"/>
      <name val="Times New Roman"/>
      <family val="1"/>
    </font>
    <font>
      <sz val="11"/>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xf numFmtId="0" fontId="27" fillId="0" borderId="0"/>
    <xf numFmtId="9" fontId="1" fillId="0" borderId="0" applyFont="0" applyFill="0" applyBorder="0" applyAlignment="0" applyProtection="0"/>
  </cellStyleXfs>
  <cellXfs count="497">
    <xf numFmtId="0" fontId="0" fillId="0" borderId="0" xfId="0"/>
    <xf numFmtId="0" fontId="8" fillId="0" borderId="0" xfId="0" applyFont="1"/>
    <xf numFmtId="0" fontId="0" fillId="0" borderId="0" xfId="0"/>
    <xf numFmtId="0" fontId="1" fillId="0" borderId="0" xfId="0" applyFont="1" applyBorder="1" applyAlignment="1">
      <alignment horizontal="left" vertical="top"/>
    </xf>
    <xf numFmtId="0" fontId="2" fillId="0" borderId="0" xfId="0" applyFont="1"/>
    <xf numFmtId="0" fontId="3" fillId="0" borderId="0" xfId="0" applyFont="1"/>
    <xf numFmtId="0" fontId="4" fillId="0" borderId="0" xfId="0" applyFont="1"/>
    <xf numFmtId="0" fontId="3" fillId="0" borderId="1" xfId="0" applyFont="1" applyBorder="1"/>
    <xf numFmtId="0" fontId="3" fillId="0" borderId="1" xfId="0" applyFont="1" applyBorder="1" applyAlignment="1">
      <alignment horizontal="right"/>
    </xf>
    <xf numFmtId="0" fontId="3" fillId="0" borderId="1" xfId="0" applyFont="1" applyBorder="1" applyAlignment="1">
      <alignment horizontal="left"/>
    </xf>
    <xf numFmtId="0" fontId="3" fillId="0" borderId="0" xfId="0" applyFont="1" applyBorder="1"/>
    <xf numFmtId="0" fontId="3" fillId="0" borderId="0" xfId="0" applyFont="1" applyBorder="1" applyAlignment="1">
      <alignment horizontal="right"/>
    </xf>
    <xf numFmtId="0" fontId="3" fillId="0" borderId="2" xfId="0" applyFont="1" applyBorder="1"/>
    <xf numFmtId="0" fontId="3" fillId="0" borderId="2" xfId="0" applyFont="1" applyBorder="1" applyAlignment="1">
      <alignment horizontal="right"/>
    </xf>
    <xf numFmtId="165" fontId="3" fillId="0" borderId="0" xfId="0" applyNumberFormat="1" applyFont="1" applyProtection="1"/>
    <xf numFmtId="2" fontId="3" fillId="0" borderId="0" xfId="0" applyNumberFormat="1" applyFont="1"/>
    <xf numFmtId="2" fontId="3" fillId="0" borderId="0" xfId="0" applyNumberFormat="1" applyFont="1" applyProtection="1"/>
    <xf numFmtId="1" fontId="3" fillId="0" borderId="0" xfId="0" applyNumberFormat="1" applyFont="1"/>
    <xf numFmtId="165" fontId="3" fillId="0" borderId="0" xfId="0" quotePrefix="1" applyNumberFormat="1" applyFont="1" applyAlignment="1" applyProtection="1">
      <alignment horizontal="right"/>
    </xf>
    <xf numFmtId="2" fontId="3" fillId="0" borderId="0" xfId="0" quotePrefix="1" applyNumberFormat="1" applyFont="1" applyAlignment="1">
      <alignment horizontal="right"/>
    </xf>
    <xf numFmtId="2" fontId="3" fillId="0" borderId="0" xfId="0" quotePrefix="1" applyNumberFormat="1" applyFont="1" applyAlignment="1" applyProtection="1">
      <alignment horizontal="right"/>
    </xf>
    <xf numFmtId="0" fontId="3" fillId="0" borderId="0" xfId="0" quotePrefix="1" applyFont="1" applyAlignment="1">
      <alignment horizontal="right"/>
    </xf>
    <xf numFmtId="0" fontId="3" fillId="0" borderId="0" xfId="0" applyFont="1" applyAlignment="1">
      <alignment horizontal="right"/>
    </xf>
    <xf numFmtId="2" fontId="3" fillId="2" borderId="0" xfId="0" applyNumberFormat="1" applyFont="1" applyFill="1" applyAlignment="1">
      <alignment horizontal="right"/>
    </xf>
    <xf numFmtId="165" fontId="3" fillId="0" borderId="1" xfId="0" applyNumberFormat="1" applyFont="1" applyBorder="1" applyProtection="1"/>
    <xf numFmtId="2" fontId="3" fillId="0" borderId="1" xfId="0" applyNumberFormat="1" applyFont="1" applyBorder="1"/>
    <xf numFmtId="165" fontId="3" fillId="0" borderId="2" xfId="0" applyNumberFormat="1" applyFont="1" applyBorder="1" applyProtection="1"/>
    <xf numFmtId="2" fontId="3" fillId="0" borderId="2" xfId="0" applyNumberFormat="1" applyFont="1" applyBorder="1"/>
    <xf numFmtId="0" fontId="4" fillId="0" borderId="0" xfId="0" applyFont="1" applyBorder="1"/>
    <xf numFmtId="165" fontId="3" fillId="0" borderId="0" xfId="0" applyNumberFormat="1" applyFont="1" applyBorder="1" applyProtection="1"/>
    <xf numFmtId="2" fontId="3" fillId="0" borderId="0" xfId="0" applyNumberFormat="1" applyFont="1" applyBorder="1"/>
    <xf numFmtId="0" fontId="4" fillId="0" borderId="3" xfId="0" applyFont="1" applyBorder="1"/>
    <xf numFmtId="0" fontId="4" fillId="0" borderId="0" xfId="0" applyFont="1" applyFill="1" applyBorder="1"/>
    <xf numFmtId="1" fontId="3" fillId="0" borderId="0" xfId="0" quotePrefix="1" applyNumberFormat="1" applyFont="1" applyAlignment="1">
      <alignment horizontal="right"/>
    </xf>
    <xf numFmtId="2" fontId="4" fillId="0" borderId="0" xfId="0" applyNumberFormat="1" applyFont="1" applyFill="1" applyBorder="1"/>
    <xf numFmtId="0" fontId="3" fillId="0" borderId="0" xfId="0" applyFont="1" applyFill="1" applyBorder="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1" xfId="0" applyFont="1" applyBorder="1"/>
    <xf numFmtId="0" fontId="4" fillId="3" borderId="0" xfId="0" applyFont="1" applyFill="1" applyBorder="1" applyAlignment="1">
      <alignment horizontal="left"/>
    </xf>
    <xf numFmtId="0" fontId="3" fillId="3" borderId="0" xfId="0" applyFont="1" applyFill="1" applyBorder="1" applyAlignment="1">
      <alignment horizontal="center"/>
    </xf>
    <xf numFmtId="0" fontId="5" fillId="0" borderId="0" xfId="0" applyFont="1" applyBorder="1" applyAlignment="1">
      <alignment horizontal="left" vertical="top"/>
    </xf>
    <xf numFmtId="164" fontId="5" fillId="0" borderId="0" xfId="0" applyNumberFormat="1" applyFont="1" applyBorder="1" applyAlignment="1">
      <alignment horizontal="left" vertical="top"/>
    </xf>
    <xf numFmtId="0" fontId="3" fillId="0" borderId="0" xfId="0" applyFont="1" applyBorder="1" applyAlignment="1">
      <alignment horizontal="center"/>
    </xf>
    <xf numFmtId="0" fontId="7" fillId="0" borderId="0" xfId="0" applyFont="1" applyBorder="1"/>
    <xf numFmtId="0" fontId="7" fillId="0" borderId="0" xfId="0" applyFont="1" applyBorder="1" applyAlignment="1">
      <alignment horizontal="left"/>
    </xf>
    <xf numFmtId="0" fontId="7" fillId="0" borderId="0" xfId="0" quotePrefix="1" applyFont="1" applyBorder="1"/>
    <xf numFmtId="166" fontId="3" fillId="0" borderId="0" xfId="0" applyNumberFormat="1" applyFont="1" applyBorder="1" applyAlignment="1" applyProtection="1">
      <alignment horizontal="right"/>
    </xf>
    <xf numFmtId="166" fontId="3" fillId="0" borderId="0" xfId="0" applyNumberFormat="1" applyFont="1" applyBorder="1" applyAlignment="1">
      <alignment horizontal="right"/>
    </xf>
    <xf numFmtId="166" fontId="3" fillId="0" borderId="0" xfId="0" applyNumberFormat="1" applyFont="1" applyBorder="1"/>
    <xf numFmtId="166" fontId="3" fillId="0" borderId="2" xfId="0" applyNumberFormat="1" applyFont="1" applyBorder="1"/>
    <xf numFmtId="0" fontId="3" fillId="0" borderId="0" xfId="0" applyFont="1" applyBorder="1" applyAlignment="1"/>
    <xf numFmtId="1" fontId="5" fillId="0" borderId="0" xfId="0" applyNumberFormat="1" applyFont="1" applyFill="1" applyBorder="1" applyAlignment="1">
      <alignment horizontal="right" vertical="top"/>
    </xf>
    <xf numFmtId="0" fontId="8" fillId="0" borderId="1" xfId="0" applyFont="1" applyBorder="1"/>
    <xf numFmtId="0" fontId="8" fillId="0" borderId="1" xfId="0" applyFont="1" applyBorder="1" applyAlignment="1">
      <alignment horizontal="right"/>
    </xf>
    <xf numFmtId="0" fontId="8" fillId="0" borderId="1" xfId="0" applyFont="1" applyBorder="1" applyAlignment="1">
      <alignment horizontal="left"/>
    </xf>
    <xf numFmtId="0" fontId="8" fillId="0" borderId="0" xfId="0" applyFont="1" applyBorder="1"/>
    <xf numFmtId="0" fontId="8" fillId="0" borderId="0" xfId="0" applyFont="1" applyBorder="1" applyAlignment="1">
      <alignment horizontal="right"/>
    </xf>
    <xf numFmtId="0" fontId="8" fillId="0" borderId="0" xfId="0" applyFont="1" applyBorder="1" applyAlignment="1">
      <alignment horizontal="left"/>
    </xf>
    <xf numFmtId="0" fontId="8" fillId="0" borderId="2" xfId="0" applyFont="1" applyBorder="1"/>
    <xf numFmtId="0" fontId="8" fillId="0" borderId="2" xfId="0" applyFont="1" applyBorder="1" applyAlignment="1">
      <alignment horizontal="right"/>
    </xf>
    <xf numFmtId="165" fontId="8" fillId="0" borderId="0" xfId="0" applyNumberFormat="1" applyFont="1" applyProtection="1"/>
    <xf numFmtId="2" fontId="8" fillId="0" borderId="0" xfId="0" applyNumberFormat="1" applyFont="1"/>
    <xf numFmtId="2" fontId="8" fillId="0" borderId="0" xfId="0" applyNumberFormat="1" applyFont="1" applyProtection="1"/>
    <xf numFmtId="165" fontId="8" fillId="0" borderId="1" xfId="0" applyNumberFormat="1" applyFont="1" applyBorder="1" applyProtection="1"/>
    <xf numFmtId="2" fontId="8" fillId="0" borderId="1" xfId="0" applyNumberFormat="1" applyFont="1" applyBorder="1"/>
    <xf numFmtId="165" fontId="8" fillId="0" borderId="2" xfId="0" applyNumberFormat="1" applyFont="1" applyBorder="1" applyProtection="1"/>
    <xf numFmtId="2" fontId="8" fillId="0" borderId="2" xfId="0" applyNumberFormat="1" applyFont="1" applyBorder="1"/>
    <xf numFmtId="0" fontId="8" fillId="0" borderId="3" xfId="0" applyFont="1" applyBorder="1"/>
    <xf numFmtId="9" fontId="8" fillId="0" borderId="0" xfId="0" applyNumberFormat="1" applyFont="1"/>
    <xf numFmtId="164" fontId="8" fillId="0" borderId="0" xfId="0" applyNumberFormat="1" applyFont="1"/>
    <xf numFmtId="0" fontId="8" fillId="0" borderId="0" xfId="0" applyFont="1" applyAlignment="1">
      <alignment horizontal="right"/>
    </xf>
    <xf numFmtId="0" fontId="8" fillId="0" borderId="0" xfId="0" quotePrefix="1" applyFont="1" applyBorder="1"/>
    <xf numFmtId="2" fontId="8" fillId="0" borderId="0" xfId="0" applyNumberFormat="1" applyFont="1" applyBorder="1"/>
    <xf numFmtId="166" fontId="8" fillId="0" borderId="0" xfId="0" applyNumberFormat="1" applyFont="1" applyBorder="1" applyProtection="1"/>
    <xf numFmtId="166" fontId="8" fillId="0" borderId="0" xfId="0" applyNumberFormat="1" applyFont="1" applyBorder="1"/>
    <xf numFmtId="166" fontId="8" fillId="0" borderId="2" xfId="0" applyNumberFormat="1" applyFont="1" applyBorder="1"/>
    <xf numFmtId="0" fontId="9" fillId="0" borderId="0" xfId="0" applyFont="1"/>
    <xf numFmtId="0" fontId="9" fillId="0" borderId="1" xfId="0" applyFont="1" applyBorder="1"/>
    <xf numFmtId="0" fontId="9" fillId="0" borderId="1" xfId="0" applyFont="1" applyBorder="1" applyAlignment="1">
      <alignment horizontal="right"/>
    </xf>
    <xf numFmtId="0" fontId="9" fillId="0" borderId="1" xfId="0" applyFont="1" applyBorder="1" applyAlignment="1">
      <alignment horizontal="left"/>
    </xf>
    <xf numFmtId="0" fontId="9" fillId="0" borderId="0" xfId="0" applyFont="1" applyBorder="1"/>
    <xf numFmtId="0" fontId="9" fillId="0" borderId="0" xfId="0" applyFont="1" applyBorder="1" applyAlignment="1">
      <alignment horizontal="right"/>
    </xf>
    <xf numFmtId="0" fontId="9" fillId="0" borderId="0" xfId="0" applyFont="1" applyBorder="1" applyAlignment="1">
      <alignment horizontal="left"/>
    </xf>
    <xf numFmtId="0" fontId="9" fillId="0" borderId="2" xfId="0" applyFont="1" applyBorder="1"/>
    <xf numFmtId="0" fontId="9" fillId="0" borderId="2" xfId="0" applyFont="1" applyBorder="1" applyAlignment="1">
      <alignment horizontal="right"/>
    </xf>
    <xf numFmtId="165" fontId="9" fillId="0" borderId="0" xfId="0" applyNumberFormat="1" applyFont="1" applyProtection="1"/>
    <xf numFmtId="2" fontId="9" fillId="0" borderId="0" xfId="0" applyNumberFormat="1" applyFont="1"/>
    <xf numFmtId="2" fontId="9" fillId="0" borderId="0" xfId="0" applyNumberFormat="1" applyFont="1" applyProtection="1"/>
    <xf numFmtId="0" fontId="9" fillId="0" borderId="0" xfId="0" applyFont="1" applyFill="1"/>
    <xf numFmtId="165" fontId="9" fillId="0" borderId="1" xfId="0" applyNumberFormat="1" applyFont="1" applyBorder="1" applyProtection="1"/>
    <xf numFmtId="1" fontId="9" fillId="0" borderId="1" xfId="0" applyNumberFormat="1" applyFont="1" applyBorder="1"/>
    <xf numFmtId="2" fontId="9" fillId="0" borderId="1" xfId="0" applyNumberFormat="1" applyFont="1" applyBorder="1"/>
    <xf numFmtId="165" fontId="9" fillId="0" borderId="2" xfId="0" applyNumberFormat="1" applyFont="1" applyBorder="1" applyProtection="1"/>
    <xf numFmtId="1" fontId="9" fillId="0" borderId="2" xfId="0" applyNumberFormat="1" applyFont="1" applyBorder="1"/>
    <xf numFmtId="2" fontId="9" fillId="0" borderId="2" xfId="0" applyNumberFormat="1" applyFont="1" applyBorder="1"/>
    <xf numFmtId="0" fontId="9" fillId="0" borderId="3" xfId="0" applyFont="1" applyBorder="1"/>
    <xf numFmtId="9" fontId="9" fillId="0" borderId="0" xfId="0" applyNumberFormat="1" applyFont="1"/>
    <xf numFmtId="0" fontId="9" fillId="0" borderId="0" xfId="0" applyFont="1" applyAlignment="1">
      <alignment horizontal="center"/>
    </xf>
    <xf numFmtId="0" fontId="10" fillId="0" borderId="0" xfId="0" applyFont="1" applyBorder="1"/>
    <xf numFmtId="0" fontId="10" fillId="0" borderId="0" xfId="0" applyFont="1" applyBorder="1" applyAlignment="1">
      <alignment horizontal="left"/>
    </xf>
    <xf numFmtId="0" fontId="10" fillId="0" borderId="0" xfId="0" quotePrefix="1" applyFont="1" applyBorder="1"/>
    <xf numFmtId="2" fontId="9" fillId="0" borderId="0" xfId="0" applyNumberFormat="1" applyFont="1" applyBorder="1"/>
    <xf numFmtId="0" fontId="9" fillId="0" borderId="0" xfId="0" quotePrefix="1" applyFont="1" applyBorder="1"/>
    <xf numFmtId="2" fontId="9" fillId="0" borderId="0" xfId="0" applyNumberFormat="1" applyFont="1" applyBorder="1" applyProtection="1"/>
    <xf numFmtId="166" fontId="9" fillId="0" borderId="0" xfId="0" applyNumberFormat="1" applyFont="1" applyBorder="1"/>
    <xf numFmtId="166" fontId="9" fillId="0" borderId="2" xfId="0" applyNumberFormat="1" applyFont="1" applyBorder="1"/>
    <xf numFmtId="2" fontId="9" fillId="0" borderId="0" xfId="0" applyNumberFormat="1" applyFont="1" applyFill="1"/>
    <xf numFmtId="2" fontId="9" fillId="0" borderId="0" xfId="0" quotePrefix="1" applyNumberFormat="1" applyFont="1"/>
    <xf numFmtId="166" fontId="9" fillId="0" borderId="0" xfId="0" applyNumberFormat="1" applyFont="1" applyProtection="1"/>
    <xf numFmtId="0" fontId="11" fillId="0" borderId="1" xfId="0" applyFont="1" applyBorder="1"/>
    <xf numFmtId="0" fontId="11" fillId="0" borderId="0" xfId="0" applyFont="1"/>
    <xf numFmtId="166" fontId="9" fillId="0" borderId="0" xfId="0" applyNumberFormat="1" applyFont="1" applyBorder="1" applyProtection="1"/>
    <xf numFmtId="0" fontId="9" fillId="0" borderId="0" xfId="0" applyFont="1" applyAlignment="1">
      <alignment horizontal="left" vertical="top"/>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0" xfId="0" applyFont="1" applyBorder="1"/>
    <xf numFmtId="0" fontId="2" fillId="0" borderId="0" xfId="0" applyFont="1" applyBorder="1" applyAlignment="1">
      <alignment horizontal="center"/>
    </xf>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2" fillId="0" borderId="2" xfId="0" applyFont="1" applyBorder="1"/>
    <xf numFmtId="0" fontId="2" fillId="0" borderId="2" xfId="0" applyFont="1" applyBorder="1" applyAlignment="1">
      <alignment horizontal="center"/>
    </xf>
    <xf numFmtId="0" fontId="2" fillId="0" borderId="2" xfId="0" applyFont="1" applyBorder="1" applyAlignment="1">
      <alignment horizontal="center" vertical="center"/>
    </xf>
    <xf numFmtId="165" fontId="2" fillId="0" borderId="0" xfId="0" applyNumberFormat="1" applyFont="1" applyFill="1" applyProtection="1"/>
    <xf numFmtId="0" fontId="2" fillId="0" borderId="0" xfId="0" applyFont="1" applyFill="1"/>
    <xf numFmtId="2" fontId="2" fillId="0" borderId="0" xfId="0" applyNumberFormat="1" applyFont="1" applyFill="1"/>
    <xf numFmtId="166" fontId="2" fillId="0" borderId="0" xfId="0" applyNumberFormat="1" applyFont="1" applyFill="1" applyProtection="1"/>
    <xf numFmtId="2" fontId="2" fillId="0" borderId="0" xfId="0" applyNumberFormat="1" applyFont="1"/>
    <xf numFmtId="1" fontId="2" fillId="0" borderId="0" xfId="0" applyNumberFormat="1" applyFont="1"/>
    <xf numFmtId="2" fontId="2" fillId="0" borderId="0" xfId="0" applyNumberFormat="1" applyFont="1" applyFill="1" applyProtection="1"/>
    <xf numFmtId="1" fontId="2" fillId="0" borderId="0" xfId="0" applyNumberFormat="1" applyFont="1" applyFill="1"/>
    <xf numFmtId="2" fontId="2" fillId="0" borderId="0" xfId="0" applyNumberFormat="1" applyFont="1" applyFill="1" applyAlignment="1">
      <alignment horizontal="right"/>
    </xf>
    <xf numFmtId="2" fontId="2" fillId="0" borderId="0" xfId="0" quotePrefix="1" applyNumberFormat="1" applyFont="1" applyFill="1"/>
    <xf numFmtId="2" fontId="12" fillId="0" borderId="0" xfId="0" applyNumberFormat="1" applyFont="1"/>
    <xf numFmtId="165" fontId="2" fillId="0" borderId="0" xfId="0" applyNumberFormat="1" applyFont="1" applyProtection="1"/>
    <xf numFmtId="2" fontId="2" fillId="0" borderId="0" xfId="0" applyNumberFormat="1" applyFont="1" applyProtection="1"/>
    <xf numFmtId="165" fontId="2" fillId="0" borderId="1" xfId="0" applyNumberFormat="1" applyFont="1" applyBorder="1" applyProtection="1"/>
    <xf numFmtId="2" fontId="2" fillId="0" borderId="1" xfId="0" applyNumberFormat="1" applyFont="1" applyBorder="1"/>
    <xf numFmtId="165" fontId="2" fillId="0" borderId="2" xfId="0" applyNumberFormat="1" applyFont="1" applyBorder="1" applyProtection="1"/>
    <xf numFmtId="2" fontId="2" fillId="0" borderId="2" xfId="0" applyNumberFormat="1" applyFont="1" applyBorder="1"/>
    <xf numFmtId="165" fontId="2" fillId="0" borderId="0" xfId="0" applyNumberFormat="1" applyFont="1" applyBorder="1" applyProtection="1"/>
    <xf numFmtId="2" fontId="2" fillId="0" borderId="0" xfId="0" applyNumberFormat="1" applyFont="1" applyBorder="1"/>
    <xf numFmtId="0" fontId="2" fillId="0" borderId="3" xfId="0" applyFont="1" applyBorder="1"/>
    <xf numFmtId="0" fontId="1" fillId="0" borderId="4" xfId="0" applyFont="1" applyBorder="1" applyAlignment="1">
      <alignment horizontal="center" vertical="top"/>
    </xf>
    <xf numFmtId="0" fontId="12" fillId="0" borderId="4" xfId="0" applyFont="1" applyBorder="1" applyAlignment="1">
      <alignment horizontal="left" vertical="top"/>
    </xf>
    <xf numFmtId="1" fontId="12" fillId="0" borderId="4" xfId="0" applyNumberFormat="1" applyFont="1" applyBorder="1" applyAlignment="1">
      <alignment horizontal="center" vertical="top"/>
    </xf>
    <xf numFmtId="1" fontId="12" fillId="0" borderId="4" xfId="0" applyNumberFormat="1" applyFont="1" applyBorder="1" applyAlignment="1">
      <alignment horizontal="center"/>
    </xf>
    <xf numFmtId="0" fontId="12" fillId="0" borderId="4" xfId="0" applyFont="1" applyFill="1" applyBorder="1" applyAlignment="1">
      <alignment horizontal="left" vertical="top"/>
    </xf>
    <xf numFmtId="49" fontId="12" fillId="0" borderId="4" xfId="0" applyNumberFormat="1" applyFont="1" applyFill="1" applyBorder="1" applyAlignment="1">
      <alignment horizontal="left"/>
    </xf>
    <xf numFmtId="164" fontId="1" fillId="0" borderId="0" xfId="0" applyNumberFormat="1" applyFont="1" applyBorder="1" applyAlignment="1">
      <alignment horizontal="left" vertical="top"/>
    </xf>
    <xf numFmtId="0" fontId="12" fillId="0" borderId="0" xfId="0" applyFont="1"/>
    <xf numFmtId="2" fontId="12" fillId="0" borderId="0" xfId="0" applyNumberFormat="1" applyFont="1" applyAlignment="1">
      <alignment horizontal="left"/>
    </xf>
    <xf numFmtId="0" fontId="13" fillId="0" borderId="0" xfId="0" applyFont="1" applyFill="1" applyBorder="1" applyAlignment="1">
      <alignment horizontal="center"/>
    </xf>
    <xf numFmtId="1" fontId="12" fillId="0" borderId="0" xfId="0" applyNumberFormat="1" applyFont="1" applyFill="1" applyBorder="1" applyAlignment="1">
      <alignment horizontal="center"/>
    </xf>
    <xf numFmtId="0" fontId="2" fillId="0" borderId="0" xfId="0" applyFont="1" applyFill="1" applyBorder="1"/>
    <xf numFmtId="0" fontId="12" fillId="0" borderId="0" xfId="0" applyFont="1" applyFill="1" applyBorder="1" applyAlignment="1">
      <alignment horizontal="center" vertical="top"/>
    </xf>
    <xf numFmtId="0" fontId="2" fillId="0" borderId="1" xfId="0" applyFont="1" applyBorder="1" applyAlignment="1">
      <alignment horizontal="right"/>
    </xf>
    <xf numFmtId="0" fontId="2" fillId="0" borderId="0" xfId="0" applyFont="1" applyBorder="1" applyAlignment="1">
      <alignment horizontal="left"/>
    </xf>
    <xf numFmtId="0" fontId="2" fillId="0" borderId="0" xfId="0" quotePrefix="1" applyFont="1" applyBorder="1"/>
    <xf numFmtId="2" fontId="2" fillId="0" borderId="0" xfId="0" applyNumberFormat="1" applyFont="1" applyFill="1" applyBorder="1"/>
    <xf numFmtId="0" fontId="12" fillId="0" borderId="0" xfId="0" applyFont="1" applyFill="1" applyBorder="1" applyAlignment="1">
      <alignment horizontal="center"/>
    </xf>
    <xf numFmtId="164" fontId="12" fillId="0" borderId="0" xfId="0" applyNumberFormat="1" applyFont="1" applyFill="1" applyBorder="1" applyAlignment="1">
      <alignment horizontal="center"/>
    </xf>
    <xf numFmtId="49" fontId="12" fillId="0" borderId="0" xfId="0" applyNumberFormat="1" applyFont="1" applyFill="1" applyBorder="1"/>
    <xf numFmtId="1" fontId="12" fillId="0" borderId="0" xfId="0" applyNumberFormat="1" applyFont="1" applyFill="1" applyBorder="1"/>
    <xf numFmtId="164" fontId="12" fillId="0" borderId="0" xfId="0" applyNumberFormat="1" applyFont="1" applyFill="1" applyBorder="1"/>
    <xf numFmtId="166" fontId="2" fillId="0" borderId="0" xfId="0" applyNumberFormat="1" applyFont="1" applyBorder="1" applyProtection="1"/>
    <xf numFmtId="166" fontId="2" fillId="0" borderId="0" xfId="0" applyNumberFormat="1" applyFont="1" applyBorder="1"/>
    <xf numFmtId="166" fontId="2" fillId="0" borderId="2" xfId="0" applyNumberFormat="1" applyFont="1" applyBorder="1"/>
    <xf numFmtId="0" fontId="16" fillId="0" borderId="0" xfId="0" applyFont="1"/>
    <xf numFmtId="0" fontId="16" fillId="0" borderId="1" xfId="0" applyFont="1" applyBorder="1"/>
    <xf numFmtId="0" fontId="16" fillId="0" borderId="1" xfId="0" applyFont="1" applyBorder="1" applyAlignment="1">
      <alignment horizontal="right"/>
    </xf>
    <xf numFmtId="0" fontId="16" fillId="0" borderId="1" xfId="0" applyFont="1" applyBorder="1" applyAlignment="1">
      <alignment horizontal="left"/>
    </xf>
    <xf numFmtId="0" fontId="16" fillId="0" borderId="0" xfId="0" applyFont="1" applyBorder="1"/>
    <xf numFmtId="0" fontId="16" fillId="0" borderId="0" xfId="0" applyFont="1" applyBorder="1" applyAlignment="1">
      <alignment horizontal="right"/>
    </xf>
    <xf numFmtId="0" fontId="16" fillId="0" borderId="2" xfId="0" applyFont="1" applyBorder="1"/>
    <xf numFmtId="0" fontId="16" fillId="0" borderId="2" xfId="0" applyFont="1" applyBorder="1" applyAlignment="1">
      <alignment horizontal="right"/>
    </xf>
    <xf numFmtId="0" fontId="16" fillId="0" borderId="0" xfId="0" applyFont="1" applyFill="1" applyBorder="1"/>
    <xf numFmtId="0" fontId="16" fillId="0" borderId="0" xfId="0" applyFont="1" applyFill="1" applyBorder="1" applyAlignment="1">
      <alignment horizontal="right"/>
    </xf>
    <xf numFmtId="2" fontId="16" fillId="0" borderId="0" xfId="0" applyNumberFormat="1" applyFont="1" applyFill="1" applyBorder="1" applyAlignment="1">
      <alignment horizontal="right"/>
    </xf>
    <xf numFmtId="0" fontId="16" fillId="0" borderId="0" xfId="0" applyFont="1" applyFill="1"/>
    <xf numFmtId="165" fontId="16" fillId="0" borderId="0" xfId="0" quotePrefix="1" applyNumberFormat="1" applyFont="1" applyFill="1" applyProtection="1"/>
    <xf numFmtId="2" fontId="16" fillId="0" borderId="0" xfId="0" applyNumberFormat="1" applyFont="1" applyFill="1"/>
    <xf numFmtId="2" fontId="16" fillId="0" borderId="0" xfId="0" applyNumberFormat="1" applyFont="1" applyFill="1" applyProtection="1"/>
    <xf numFmtId="166" fontId="16" fillId="0" borderId="0" xfId="0" applyNumberFormat="1" applyFont="1" applyFill="1" applyBorder="1" applyProtection="1"/>
    <xf numFmtId="165" fontId="16" fillId="0" borderId="0" xfId="0" applyNumberFormat="1" applyFont="1" applyFill="1" applyProtection="1"/>
    <xf numFmtId="0" fontId="16" fillId="0" borderId="1" xfId="0" applyFont="1" applyFill="1" applyBorder="1"/>
    <xf numFmtId="165" fontId="16" fillId="0" borderId="1" xfId="0" applyNumberFormat="1" applyFont="1" applyFill="1" applyBorder="1" applyProtection="1"/>
    <xf numFmtId="2" fontId="16" fillId="0" borderId="1" xfId="0" applyNumberFormat="1" applyFont="1" applyFill="1" applyBorder="1"/>
    <xf numFmtId="0" fontId="16" fillId="0" borderId="2" xfId="0" applyFont="1" applyFill="1" applyBorder="1"/>
    <xf numFmtId="165" fontId="16" fillId="0" borderId="2" xfId="0" applyNumberFormat="1" applyFont="1" applyFill="1" applyBorder="1" applyProtection="1"/>
    <xf numFmtId="2" fontId="16" fillId="0" borderId="2" xfId="0" applyNumberFormat="1" applyFont="1" applyFill="1" applyBorder="1"/>
    <xf numFmtId="0" fontId="16" fillId="0" borderId="3" xfId="0" applyFont="1" applyFill="1" applyBorder="1"/>
    <xf numFmtId="2" fontId="16" fillId="0" borderId="4" xfId="0" applyNumberFormat="1" applyFont="1" applyFill="1" applyBorder="1"/>
    <xf numFmtId="0" fontId="16" fillId="0" borderId="4" xfId="0" applyFont="1" applyFill="1" applyBorder="1"/>
    <xf numFmtId="0" fontId="17" fillId="0" borderId="0" xfId="0" applyFont="1" applyFill="1"/>
    <xf numFmtId="164" fontId="16" fillId="0" borderId="4" xfId="0" applyNumberFormat="1" applyFont="1" applyFill="1" applyBorder="1"/>
    <xf numFmtId="0" fontId="16" fillId="0" borderId="0" xfId="0" quotePrefix="1" applyFont="1" applyFill="1" applyBorder="1"/>
    <xf numFmtId="2" fontId="16" fillId="0" borderId="0" xfId="0" applyNumberFormat="1" applyFont="1" applyFill="1" applyBorder="1"/>
    <xf numFmtId="1" fontId="16" fillId="0" borderId="0" xfId="0" quotePrefix="1" applyNumberFormat="1" applyFont="1" applyFill="1" applyBorder="1"/>
    <xf numFmtId="2" fontId="16" fillId="0" borderId="0" xfId="0" quotePrefix="1" applyNumberFormat="1" applyFont="1" applyFill="1" applyBorder="1"/>
    <xf numFmtId="0" fontId="16" fillId="0" borderId="3" xfId="0" applyFont="1" applyFill="1" applyBorder="1" applyAlignment="1">
      <alignment horizontal="right"/>
    </xf>
    <xf numFmtId="0" fontId="16" fillId="0" borderId="0" xfId="0" applyFont="1" applyFill="1" applyAlignment="1">
      <alignment horizontal="right"/>
    </xf>
    <xf numFmtId="1" fontId="16" fillId="0" borderId="0" xfId="0" applyNumberFormat="1" applyFont="1" applyFill="1"/>
    <xf numFmtId="166" fontId="16" fillId="0" borderId="0" xfId="0" applyNumberFormat="1" applyFont="1" applyFill="1" applyBorder="1"/>
    <xf numFmtId="166" fontId="16" fillId="0" borderId="2" xfId="0" applyNumberFormat="1" applyFont="1" applyFill="1" applyBorder="1"/>
    <xf numFmtId="0" fontId="18" fillId="0" borderId="0" xfId="0" applyFont="1"/>
    <xf numFmtId="0" fontId="21" fillId="0" borderId="0" xfId="0" applyFont="1"/>
    <xf numFmtId="0" fontId="15" fillId="3" borderId="0" xfId="0" applyFont="1" applyFill="1"/>
    <xf numFmtId="0" fontId="21" fillId="0" borderId="1" xfId="0" applyFont="1" applyBorder="1" applyAlignment="1">
      <alignment horizontal="right"/>
    </xf>
    <xf numFmtId="0" fontId="21" fillId="0" borderId="1" xfId="0" applyFont="1" applyBorder="1" applyAlignment="1">
      <alignment horizontal="left"/>
    </xf>
    <xf numFmtId="0" fontId="21" fillId="0" borderId="0" xfId="0" applyFont="1" applyBorder="1" applyAlignment="1">
      <alignment horizontal="right"/>
    </xf>
    <xf numFmtId="0" fontId="2" fillId="0" borderId="0" xfId="0" applyFont="1" applyBorder="1" applyAlignment="1">
      <alignment horizontal="right"/>
    </xf>
    <xf numFmtId="0" fontId="2" fillId="0" borderId="2" xfId="0" applyFont="1" applyBorder="1" applyAlignment="1">
      <alignment horizontal="right"/>
    </xf>
    <xf numFmtId="165" fontId="2" fillId="0" borderId="0" xfId="0" quotePrefix="1" applyNumberFormat="1" applyFont="1" applyProtection="1"/>
    <xf numFmtId="0" fontId="2" fillId="0" borderId="0" xfId="0" quotePrefix="1" applyFont="1"/>
    <xf numFmtId="166" fontId="2" fillId="0" borderId="0" xfId="0" quotePrefix="1" applyNumberFormat="1" applyFont="1" applyAlignment="1" applyProtection="1">
      <alignment horizontal="right"/>
    </xf>
    <xf numFmtId="2" fontId="2" fillId="0" borderId="0" xfId="0" quotePrefix="1" applyNumberFormat="1" applyFont="1" applyAlignment="1">
      <alignment horizontal="right"/>
    </xf>
    <xf numFmtId="166" fontId="2" fillId="0" borderId="0" xfId="0" applyNumberFormat="1" applyFont="1" applyAlignment="1" applyProtection="1"/>
    <xf numFmtId="2" fontId="2" fillId="0" borderId="0" xfId="0" applyNumberFormat="1" applyFont="1" applyAlignment="1">
      <alignment horizontal="right"/>
    </xf>
    <xf numFmtId="2" fontId="2" fillId="0" borderId="0" xfId="0" applyNumberFormat="1" applyFont="1" applyAlignment="1" applyProtection="1">
      <alignment horizontal="right"/>
    </xf>
    <xf numFmtId="2" fontId="22" fillId="0" borderId="0" xfId="0" applyNumberFormat="1" applyFont="1"/>
    <xf numFmtId="0" fontId="16" fillId="0" borderId="4" xfId="0" applyFont="1" applyBorder="1"/>
    <xf numFmtId="2" fontId="16" fillId="0" borderId="4" xfId="0" applyNumberFormat="1" applyFont="1" applyBorder="1"/>
    <xf numFmtId="0" fontId="2" fillId="0" borderId="4" xfId="0" applyFont="1" applyBorder="1"/>
    <xf numFmtId="0" fontId="0" fillId="0" borderId="4" xfId="0" applyBorder="1"/>
    <xf numFmtId="0" fontId="23" fillId="0" borderId="0" xfId="0" applyFont="1"/>
    <xf numFmtId="0" fontId="21" fillId="0" borderId="1" xfId="0" applyFont="1" applyBorder="1"/>
    <xf numFmtId="0" fontId="24" fillId="0" borderId="0" xfId="0" applyFont="1"/>
    <xf numFmtId="0" fontId="25" fillId="0" borderId="0" xfId="0" applyFont="1"/>
    <xf numFmtId="0" fontId="26" fillId="0" borderId="0" xfId="0" applyFont="1"/>
    <xf numFmtId="0" fontId="28" fillId="0" borderId="0" xfId="1" applyFont="1"/>
    <xf numFmtId="0" fontId="28" fillId="0" borderId="1" xfId="1" applyFont="1" applyBorder="1"/>
    <xf numFmtId="0" fontId="28" fillId="0" borderId="1" xfId="1" applyFont="1" applyBorder="1" applyAlignment="1">
      <alignment horizontal="right"/>
    </xf>
    <xf numFmtId="0" fontId="28" fillId="0" borderId="1" xfId="1" applyFont="1" applyBorder="1" applyAlignment="1">
      <alignment horizontal="left"/>
    </xf>
    <xf numFmtId="0" fontId="28" fillId="0" borderId="0" xfId="1" applyFont="1" applyBorder="1"/>
    <xf numFmtId="0" fontId="28" fillId="0" borderId="0" xfId="1" applyFont="1" applyBorder="1" applyAlignment="1">
      <alignment horizontal="right"/>
    </xf>
    <xf numFmtId="0" fontId="28" fillId="0" borderId="2" xfId="1" applyFont="1" applyBorder="1"/>
    <xf numFmtId="0" fontId="28" fillId="0" borderId="2" xfId="1" applyFont="1" applyBorder="1" applyAlignment="1">
      <alignment horizontal="right"/>
    </xf>
    <xf numFmtId="165" fontId="28" fillId="0" borderId="0" xfId="1" quotePrefix="1" applyNumberFormat="1" applyFont="1" applyProtection="1"/>
    <xf numFmtId="2" fontId="28" fillId="0" borderId="0" xfId="1" applyNumberFormat="1" applyFont="1"/>
    <xf numFmtId="2" fontId="28" fillId="0" borderId="0" xfId="1" applyNumberFormat="1" applyFont="1" applyProtection="1"/>
    <xf numFmtId="165" fontId="28" fillId="0" borderId="0" xfId="1" quotePrefix="1" applyNumberFormat="1" applyFont="1" applyAlignment="1" applyProtection="1">
      <alignment horizontal="right"/>
    </xf>
    <xf numFmtId="2" fontId="28" fillId="0" borderId="0" xfId="1" quotePrefix="1" applyNumberFormat="1" applyFont="1" applyAlignment="1">
      <alignment horizontal="right"/>
    </xf>
    <xf numFmtId="2" fontId="28" fillId="0" borderId="0" xfId="1" quotePrefix="1" applyNumberFormat="1" applyFont="1" applyAlignment="1" applyProtection="1">
      <alignment horizontal="right"/>
    </xf>
    <xf numFmtId="165" fontId="28" fillId="0" borderId="0" xfId="1" applyNumberFormat="1" applyFont="1" applyProtection="1"/>
    <xf numFmtId="2" fontId="28" fillId="0" borderId="0" xfId="1" quotePrefix="1" applyNumberFormat="1" applyFont="1"/>
    <xf numFmtId="165" fontId="28" fillId="0" borderId="1" xfId="1" applyNumberFormat="1" applyFont="1" applyBorder="1" applyProtection="1"/>
    <xf numFmtId="2" fontId="28" fillId="0" borderId="1" xfId="1" applyNumberFormat="1" applyFont="1" applyBorder="1"/>
    <xf numFmtId="165" fontId="28" fillId="0" borderId="2" xfId="1" applyNumberFormat="1" applyFont="1" applyBorder="1" applyProtection="1"/>
    <xf numFmtId="2" fontId="28" fillId="0" borderId="2" xfId="1" applyNumberFormat="1" applyFont="1" applyBorder="1"/>
    <xf numFmtId="0" fontId="28" fillId="0" borderId="3" xfId="1" applyFont="1" applyBorder="1"/>
    <xf numFmtId="2" fontId="28" fillId="0" borderId="0" xfId="1" applyNumberFormat="1" applyFont="1" applyAlignment="1">
      <alignment horizontal="center"/>
    </xf>
    <xf numFmtId="0" fontId="29" fillId="0" borderId="4" xfId="1" applyFont="1" applyBorder="1" applyAlignment="1">
      <alignment horizontal="center"/>
    </xf>
    <xf numFmtId="0" fontId="28" fillId="0" borderId="4" xfId="1" applyFont="1" applyBorder="1"/>
    <xf numFmtId="1" fontId="28" fillId="0" borderId="4" xfId="1" applyNumberFormat="1" applyFont="1" applyFill="1" applyBorder="1"/>
    <xf numFmtId="1" fontId="28" fillId="0" borderId="4" xfId="1" applyNumberFormat="1" applyFont="1" applyBorder="1"/>
    <xf numFmtId="0" fontId="28" fillId="0" borderId="0" xfId="1" applyNumberFormat="1" applyFont="1" applyFill="1" applyBorder="1" applyAlignment="1" applyProtection="1">
      <alignment horizontal="left"/>
    </xf>
    <xf numFmtId="0" fontId="28" fillId="0" borderId="0" xfId="1" applyNumberFormat="1" applyFont="1" applyFill="1" applyBorder="1" applyProtection="1"/>
    <xf numFmtId="0" fontId="28" fillId="0" borderId="0" xfId="1" quotePrefix="1" applyFont="1" applyBorder="1" applyAlignment="1">
      <alignment horizontal="left"/>
    </xf>
    <xf numFmtId="2" fontId="28" fillId="0" borderId="0" xfId="1" applyNumberFormat="1" applyFont="1" applyBorder="1"/>
    <xf numFmtId="0" fontId="28" fillId="0" borderId="5" xfId="1" applyFont="1" applyBorder="1"/>
    <xf numFmtId="0" fontId="28" fillId="0" borderId="6" xfId="2" applyNumberFormat="1" applyFont="1" applyBorder="1"/>
    <xf numFmtId="2" fontId="28" fillId="0" borderId="0" xfId="1" quotePrefix="1" applyNumberFormat="1" applyFont="1" applyBorder="1"/>
    <xf numFmtId="0" fontId="28" fillId="0" borderId="7" xfId="1" applyFont="1" applyFill="1" applyBorder="1"/>
    <xf numFmtId="0" fontId="28" fillId="0" borderId="8" xfId="2" applyNumberFormat="1" applyFont="1" applyBorder="1" applyAlignment="1" applyProtection="1"/>
    <xf numFmtId="166" fontId="28" fillId="0" borderId="0" xfId="1" applyNumberFormat="1" applyFont="1" applyBorder="1" applyProtection="1"/>
    <xf numFmtId="0" fontId="28" fillId="0" borderId="0" xfId="1" applyFont="1" applyFill="1"/>
    <xf numFmtId="166" fontId="28" fillId="0" borderId="0" xfId="1" applyNumberFormat="1" applyFont="1" applyBorder="1"/>
    <xf numFmtId="166" fontId="28" fillId="0" borderId="2" xfId="1" applyNumberFormat="1" applyFont="1" applyBorder="1"/>
    <xf numFmtId="0" fontId="27" fillId="0" borderId="0" xfId="1"/>
    <xf numFmtId="0" fontId="30" fillId="0" borderId="0" xfId="1" applyFont="1"/>
    <xf numFmtId="0" fontId="2" fillId="0" borderId="1" xfId="0" applyFont="1" applyBorder="1" applyAlignment="1">
      <alignment horizontal="left"/>
    </xf>
    <xf numFmtId="2" fontId="2" fillId="0" borderId="0" xfId="0" quotePrefix="1" applyNumberFormat="1" applyFont="1"/>
    <xf numFmtId="2" fontId="2" fillId="0" borderId="0" xfId="0" quotePrefix="1" applyNumberFormat="1" applyFont="1" applyProtection="1"/>
    <xf numFmtId="164" fontId="2" fillId="0" borderId="0" xfId="0" applyNumberFormat="1" applyFont="1" applyAlignment="1">
      <alignment horizontal="right"/>
    </xf>
    <xf numFmtId="1" fontId="2" fillId="0" borderId="1" xfId="0" applyNumberFormat="1" applyFont="1" applyBorder="1"/>
    <xf numFmtId="1" fontId="2" fillId="0" borderId="2" xfId="0" applyNumberFormat="1" applyFont="1" applyBorder="1"/>
    <xf numFmtId="9" fontId="2" fillId="0" borderId="0" xfId="0" applyNumberFormat="1" applyFont="1"/>
    <xf numFmtId="0" fontId="2" fillId="0" borderId="5" xfId="0" applyFont="1" applyBorder="1"/>
    <xf numFmtId="9" fontId="2" fillId="0" borderId="6" xfId="0" applyNumberFormat="1" applyFont="1" applyBorder="1"/>
    <xf numFmtId="0" fontId="2" fillId="0" borderId="7" xfId="0" applyFont="1" applyBorder="1"/>
    <xf numFmtId="9" fontId="2" fillId="0" borderId="8" xfId="0" applyNumberFormat="1" applyFont="1" applyBorder="1"/>
    <xf numFmtId="0" fontId="2" fillId="0" borderId="6" xfId="0" applyFont="1" applyBorder="1"/>
    <xf numFmtId="0" fontId="2" fillId="0" borderId="8" xfId="0" applyFont="1" applyBorder="1"/>
    <xf numFmtId="0" fontId="2" fillId="0" borderId="0" xfId="0" applyFont="1" applyAlignment="1">
      <alignment horizontal="center"/>
    </xf>
    <xf numFmtId="0" fontId="14" fillId="0" borderId="0" xfId="0" applyFont="1" applyBorder="1"/>
    <xf numFmtId="0" fontId="14" fillId="0" borderId="0" xfId="0" applyFont="1" applyBorder="1" applyAlignment="1">
      <alignment horizontal="left"/>
    </xf>
    <xf numFmtId="0" fontId="2" fillId="0" borderId="0" xfId="0" quotePrefix="1" applyFont="1" applyBorder="1" applyAlignment="1">
      <alignment horizontal="right"/>
    </xf>
    <xf numFmtId="2" fontId="2" fillId="0" borderId="0" xfId="0" quotePrefix="1" applyNumberFormat="1" applyFont="1" applyBorder="1"/>
    <xf numFmtId="2" fontId="2" fillId="0" borderId="0" xfId="0" quotePrefix="1" applyNumberFormat="1" applyFont="1" applyBorder="1" applyAlignment="1">
      <alignment horizontal="right"/>
    </xf>
    <xf numFmtId="0" fontId="14" fillId="0" borderId="0" xfId="0" applyFont="1"/>
    <xf numFmtId="165" fontId="2" fillId="0" borderId="0" xfId="0" quotePrefix="1" applyNumberFormat="1" applyFont="1" applyAlignment="1" applyProtection="1">
      <alignment horizontal="right"/>
    </xf>
    <xf numFmtId="0" fontId="14" fillId="0" borderId="0" xfId="0" quotePrefix="1" applyFont="1" applyBorder="1"/>
    <xf numFmtId="0" fontId="14" fillId="0" borderId="1" xfId="0" applyFont="1" applyBorder="1"/>
    <xf numFmtId="0" fontId="14" fillId="0" borderId="2" xfId="0" applyFont="1" applyBorder="1"/>
    <xf numFmtId="0" fontId="31" fillId="0" borderId="0" xfId="0" applyFont="1"/>
    <xf numFmtId="0" fontId="0" fillId="0" borderId="0" xfId="0" applyBorder="1"/>
    <xf numFmtId="0" fontId="31" fillId="0" borderId="0" xfId="0" applyFont="1" applyBorder="1"/>
    <xf numFmtId="0" fontId="0" fillId="0" borderId="2" xfId="0" applyBorder="1"/>
    <xf numFmtId="2" fontId="0" fillId="0" borderId="0" xfId="0" applyNumberFormat="1"/>
    <xf numFmtId="0" fontId="1" fillId="0" borderId="0" xfId="0" applyFont="1"/>
    <xf numFmtId="0" fontId="0" fillId="0" borderId="0" xfId="0" quotePrefix="1" applyAlignment="1">
      <alignment horizontal="right"/>
    </xf>
    <xf numFmtId="0" fontId="0" fillId="0" borderId="0" xfId="0" quotePrefix="1"/>
    <xf numFmtId="2" fontId="0" fillId="0" borderId="0" xfId="0" quotePrefix="1" applyNumberFormat="1"/>
    <xf numFmtId="0" fontId="0" fillId="0" borderId="1" xfId="0" applyBorder="1"/>
    <xf numFmtId="2" fontId="0" fillId="0" borderId="1" xfId="0" applyNumberFormat="1" applyBorder="1"/>
    <xf numFmtId="2" fontId="0" fillId="0" borderId="2" xfId="0" applyNumberFormat="1" applyBorder="1"/>
    <xf numFmtId="2" fontId="0" fillId="0" borderId="0" xfId="0" applyNumberFormat="1" applyBorder="1"/>
    <xf numFmtId="0" fontId="0" fillId="0" borderId="5" xfId="0" applyBorder="1"/>
    <xf numFmtId="0" fontId="0" fillId="0" borderId="6" xfId="0" applyBorder="1"/>
    <xf numFmtId="0" fontId="0" fillId="0" borderId="7" xfId="0" applyBorder="1"/>
    <xf numFmtId="2" fontId="0" fillId="0" borderId="8" xfId="0" applyNumberFormat="1" applyBorder="1"/>
    <xf numFmtId="0" fontId="0" fillId="0" borderId="8" xfId="0" applyBorder="1"/>
    <xf numFmtId="1" fontId="0" fillId="0" borderId="0" xfId="0" applyNumberFormat="1"/>
    <xf numFmtId="0" fontId="33" fillId="0" borderId="0" xfId="0" applyNumberFormat="1" applyFont="1" applyFill="1" applyBorder="1" applyAlignment="1" applyProtection="1"/>
    <xf numFmtId="0" fontId="30" fillId="0" borderId="0" xfId="0" applyNumberFormat="1" applyFont="1" applyFill="1" applyBorder="1" applyAlignment="1" applyProtection="1"/>
    <xf numFmtId="0" fontId="27" fillId="0" borderId="0" xfId="0" applyNumberFormat="1" applyFont="1" applyFill="1" applyBorder="1" applyAlignment="1" applyProtection="1"/>
    <xf numFmtId="0" fontId="28" fillId="0" borderId="0" xfId="0" applyNumberFormat="1" applyFont="1" applyFill="1" applyBorder="1" applyAlignment="1" applyProtection="1"/>
    <xf numFmtId="0" fontId="33" fillId="0" borderId="1" xfId="0" applyNumberFormat="1" applyFont="1" applyFill="1" applyBorder="1" applyAlignment="1" applyProtection="1"/>
    <xf numFmtId="0" fontId="33" fillId="0" borderId="1" xfId="0" applyNumberFormat="1" applyFont="1" applyFill="1" applyBorder="1" applyAlignment="1" applyProtection="1">
      <alignment horizontal="right"/>
    </xf>
    <xf numFmtId="0" fontId="33" fillId="0" borderId="1" xfId="0" applyNumberFormat="1" applyFont="1" applyFill="1" applyBorder="1" applyAlignment="1" applyProtection="1">
      <alignment horizontal="left"/>
    </xf>
    <xf numFmtId="0" fontId="33" fillId="0" borderId="0" xfId="0" applyNumberFormat="1" applyFont="1" applyFill="1" applyBorder="1" applyAlignment="1" applyProtection="1">
      <alignment horizontal="right"/>
    </xf>
    <xf numFmtId="0" fontId="33" fillId="0" borderId="2" xfId="0" applyNumberFormat="1" applyFont="1" applyFill="1" applyBorder="1" applyAlignment="1" applyProtection="1"/>
    <xf numFmtId="0" fontId="33" fillId="0" borderId="2" xfId="0" applyNumberFormat="1" applyFont="1" applyFill="1" applyBorder="1" applyAlignment="1" applyProtection="1">
      <alignment horizontal="right"/>
    </xf>
    <xf numFmtId="2" fontId="33" fillId="0" borderId="0" xfId="0" applyNumberFormat="1" applyFont="1" applyFill="1" applyBorder="1" applyAlignment="1" applyProtection="1">
      <alignment horizontal="right"/>
    </xf>
    <xf numFmtId="49" fontId="33" fillId="0" borderId="0" xfId="0" applyNumberFormat="1" applyFont="1" applyFill="1" applyBorder="1" applyAlignment="1" applyProtection="1">
      <alignment horizontal="right"/>
    </xf>
    <xf numFmtId="165" fontId="33" fillId="0" borderId="0" xfId="0" applyNumberFormat="1" applyFont="1" applyFill="1" applyBorder="1" applyAlignment="1" applyProtection="1"/>
    <xf numFmtId="2" fontId="33" fillId="0" borderId="0" xfId="0" applyNumberFormat="1" applyFont="1" applyFill="1" applyBorder="1" applyAlignment="1" applyProtection="1"/>
    <xf numFmtId="2" fontId="28" fillId="0" borderId="0" xfId="0" applyNumberFormat="1" applyFont="1" applyFill="1" applyBorder="1" applyAlignment="1" applyProtection="1"/>
    <xf numFmtId="1" fontId="33" fillId="0" borderId="0" xfId="0" applyNumberFormat="1" applyFont="1" applyFill="1" applyBorder="1" applyAlignment="1" applyProtection="1"/>
    <xf numFmtId="166" fontId="9" fillId="0" borderId="0" xfId="0" applyNumberFormat="1" applyFont="1" applyFill="1" applyBorder="1" applyAlignment="1" applyProtection="1"/>
    <xf numFmtId="165" fontId="33" fillId="0" borderId="1" xfId="0" applyNumberFormat="1" applyFont="1" applyFill="1" applyBorder="1" applyAlignment="1" applyProtection="1"/>
    <xf numFmtId="2" fontId="33" fillId="0" borderId="1" xfId="0" applyNumberFormat="1" applyFont="1" applyFill="1" applyBorder="1" applyAlignment="1" applyProtection="1"/>
    <xf numFmtId="165" fontId="33" fillId="0" borderId="2" xfId="0" applyNumberFormat="1" applyFont="1" applyFill="1" applyBorder="1" applyAlignment="1" applyProtection="1"/>
    <xf numFmtId="2" fontId="33" fillId="0" borderId="2" xfId="0" applyNumberFormat="1" applyFont="1" applyFill="1" applyBorder="1" applyAlignment="1" applyProtection="1"/>
    <xf numFmtId="0" fontId="33" fillId="0" borderId="3" xfId="0" applyNumberFormat="1" applyFont="1" applyFill="1" applyBorder="1" applyAlignment="1" applyProtection="1"/>
    <xf numFmtId="2" fontId="9" fillId="0" borderId="4" xfId="0" applyNumberFormat="1" applyFont="1" applyFill="1" applyBorder="1" applyAlignment="1" applyProtection="1"/>
    <xf numFmtId="0" fontId="9" fillId="0" borderId="4" xfId="0" applyNumberFormat="1" applyFont="1" applyFill="1" applyBorder="1" applyAlignment="1" applyProtection="1"/>
    <xf numFmtId="0" fontId="28" fillId="0" borderId="4" xfId="0" applyNumberFormat="1" applyFont="1" applyFill="1" applyBorder="1" applyAlignment="1" applyProtection="1"/>
    <xf numFmtId="0" fontId="9" fillId="0" borderId="3" xfId="0" applyNumberFormat="1" applyFont="1" applyFill="1" applyBorder="1" applyAlignment="1" applyProtection="1">
      <alignment horizontal="right"/>
    </xf>
    <xf numFmtId="0" fontId="9" fillId="0" borderId="0" xfId="0" applyNumberFormat="1" applyFont="1" applyFill="1" applyBorder="1" applyAlignment="1" applyProtection="1">
      <alignment horizontal="right"/>
    </xf>
    <xf numFmtId="166" fontId="33" fillId="0" borderId="0" xfId="0" applyNumberFormat="1" applyFont="1" applyFill="1" applyBorder="1" applyAlignment="1" applyProtection="1"/>
    <xf numFmtId="0" fontId="9" fillId="0" borderId="0" xfId="0" applyNumberFormat="1" applyFont="1" applyFill="1" applyBorder="1" applyAlignment="1" applyProtection="1"/>
    <xf numFmtId="166" fontId="33" fillId="0" borderId="2" xfId="0" applyNumberFormat="1" applyFont="1" applyFill="1" applyBorder="1" applyAlignment="1" applyProtection="1"/>
    <xf numFmtId="0" fontId="34" fillId="0" borderId="0" xfId="0" applyNumberFormat="1" applyFont="1" applyFill="1" applyBorder="1" applyAlignment="1" applyProtection="1"/>
    <xf numFmtId="0" fontId="35" fillId="0" borderId="0" xfId="0" applyFont="1"/>
    <xf numFmtId="0" fontId="35" fillId="0" borderId="0" xfId="0" applyFont="1" applyBorder="1"/>
    <xf numFmtId="0" fontId="35" fillId="0" borderId="1" xfId="0" applyFont="1" applyBorder="1"/>
    <xf numFmtId="0" fontId="35" fillId="0" borderId="1" xfId="0" applyFont="1" applyBorder="1" applyAlignment="1">
      <alignment horizontal="right"/>
    </xf>
    <xf numFmtId="0" fontId="35" fillId="0" borderId="1" xfId="0" applyFont="1" applyBorder="1" applyAlignment="1">
      <alignment horizontal="left"/>
    </xf>
    <xf numFmtId="0" fontId="35" fillId="0" borderId="0" xfId="0" applyFont="1" applyBorder="1" applyAlignment="1">
      <alignment horizontal="right"/>
    </xf>
    <xf numFmtId="0" fontId="35" fillId="0" borderId="2" xfId="0" applyFont="1" applyBorder="1"/>
    <xf numFmtId="0" fontId="35" fillId="0" borderId="2" xfId="0" applyFont="1" applyBorder="1" applyAlignment="1">
      <alignment horizontal="right"/>
    </xf>
    <xf numFmtId="0" fontId="36" fillId="0" borderId="0" xfId="0" applyFont="1" applyBorder="1"/>
    <xf numFmtId="165" fontId="35" fillId="0" borderId="0" xfId="0" quotePrefix="1" applyNumberFormat="1" applyFont="1" applyFill="1" applyProtection="1"/>
    <xf numFmtId="2" fontId="35" fillId="0" borderId="0" xfId="0" applyNumberFormat="1" applyFont="1" applyFill="1"/>
    <xf numFmtId="4" fontId="35" fillId="0" borderId="0" xfId="0" applyNumberFormat="1" applyFont="1" applyFill="1" applyProtection="1"/>
    <xf numFmtId="4" fontId="35" fillId="0" borderId="0" xfId="0" applyNumberFormat="1" applyFont="1" applyFill="1"/>
    <xf numFmtId="4" fontId="35" fillId="0" borderId="0" xfId="0" applyNumberFormat="1" applyFont="1"/>
    <xf numFmtId="3" fontId="36" fillId="0" borderId="0" xfId="0" applyNumberFormat="1" applyFont="1" applyBorder="1" applyAlignment="1">
      <alignment horizontal="right"/>
    </xf>
    <xf numFmtId="2" fontId="35" fillId="0" borderId="0" xfId="0" quotePrefix="1" applyNumberFormat="1" applyFont="1" applyFill="1"/>
    <xf numFmtId="4" fontId="35" fillId="0" borderId="0" xfId="0" quotePrefix="1" applyNumberFormat="1" applyFont="1" applyFill="1"/>
    <xf numFmtId="4" fontId="35" fillId="0" borderId="0" xfId="0" quotePrefix="1" applyNumberFormat="1" applyFont="1"/>
    <xf numFmtId="0" fontId="35" fillId="0" borderId="0" xfId="0" applyFont="1" applyFill="1"/>
    <xf numFmtId="0" fontId="35" fillId="0" borderId="0" xfId="0" applyFont="1" applyFill="1" applyBorder="1"/>
    <xf numFmtId="165" fontId="35" fillId="0" borderId="0" xfId="0" quotePrefix="1" applyNumberFormat="1" applyFont="1" applyFill="1" applyAlignment="1" applyProtection="1">
      <alignment horizontal="right"/>
    </xf>
    <xf numFmtId="0" fontId="36" fillId="0" borderId="0" xfId="0" applyFont="1" applyFill="1" applyBorder="1"/>
    <xf numFmtId="3" fontId="35" fillId="0" borderId="0" xfId="0" applyNumberFormat="1" applyFont="1" applyFill="1" applyProtection="1"/>
    <xf numFmtId="2" fontId="35" fillId="0" borderId="0" xfId="0" applyNumberFormat="1" applyFont="1" applyBorder="1"/>
    <xf numFmtId="165" fontId="35" fillId="0" borderId="0" xfId="0" quotePrefix="1" applyNumberFormat="1" applyFont="1" applyProtection="1"/>
    <xf numFmtId="2" fontId="35" fillId="0" borderId="0" xfId="0" applyNumberFormat="1" applyFont="1"/>
    <xf numFmtId="3" fontId="35" fillId="0" borderId="0" xfId="0" applyNumberFormat="1" applyFont="1" applyProtection="1"/>
    <xf numFmtId="0" fontId="37" fillId="0" borderId="0" xfId="0" applyFont="1" applyBorder="1"/>
    <xf numFmtId="0" fontId="37" fillId="0" borderId="0" xfId="0" applyFont="1"/>
    <xf numFmtId="0" fontId="38" fillId="2" borderId="0" xfId="0" applyFont="1" applyFill="1"/>
    <xf numFmtId="9" fontId="38" fillId="2" borderId="0" xfId="0" applyNumberFormat="1" applyFont="1" applyFill="1"/>
    <xf numFmtId="0" fontId="38" fillId="0" borderId="0" xfId="0" applyFont="1" applyFill="1"/>
    <xf numFmtId="2" fontId="38" fillId="0" borderId="0" xfId="0" applyNumberFormat="1" applyFont="1" applyFill="1"/>
    <xf numFmtId="1" fontId="38" fillId="2" borderId="0" xfId="0" applyNumberFormat="1" applyFont="1" applyFill="1"/>
    <xf numFmtId="2" fontId="38" fillId="2" borderId="0" xfId="0" applyNumberFormat="1" applyFont="1" applyFill="1"/>
    <xf numFmtId="1" fontId="38" fillId="0" borderId="0" xfId="0" applyNumberFormat="1" applyFont="1" applyFill="1"/>
    <xf numFmtId="165" fontId="35" fillId="0" borderId="1" xfId="0" applyNumberFormat="1" applyFont="1" applyBorder="1" applyProtection="1"/>
    <xf numFmtId="2" fontId="35" fillId="0" borderId="1" xfId="0" applyNumberFormat="1" applyFont="1" applyBorder="1"/>
    <xf numFmtId="4" fontId="35" fillId="0" borderId="1" xfId="0" applyNumberFormat="1" applyFont="1" applyBorder="1"/>
    <xf numFmtId="0" fontId="0" fillId="2" borderId="0" xfId="0" applyFill="1"/>
    <xf numFmtId="165" fontId="35" fillId="0" borderId="2" xfId="0" applyNumberFormat="1" applyFont="1" applyBorder="1" applyProtection="1"/>
    <xf numFmtId="2" fontId="35" fillId="0" borderId="2" xfId="0" applyNumberFormat="1" applyFont="1" applyBorder="1"/>
    <xf numFmtId="4" fontId="35" fillId="0" borderId="2" xfId="0" applyNumberFormat="1" applyFont="1" applyBorder="1"/>
    <xf numFmtId="0" fontId="1" fillId="2" borderId="0" xfId="0" applyFont="1" applyFill="1"/>
    <xf numFmtId="0" fontId="35" fillId="0" borderId="3" xfId="0" applyFont="1" applyBorder="1"/>
    <xf numFmtId="2" fontId="38" fillId="0" borderId="4" xfId="0" applyNumberFormat="1" applyFont="1" applyFill="1" applyBorder="1" applyAlignment="1">
      <alignment horizontal="center"/>
    </xf>
    <xf numFmtId="0" fontId="38" fillId="0" borderId="4" xfId="0" applyFont="1" applyFill="1" applyBorder="1" applyAlignment="1">
      <alignment horizontal="center"/>
    </xf>
    <xf numFmtId="0" fontId="35" fillId="3" borderId="0" xfId="0" applyFont="1" applyFill="1"/>
    <xf numFmtId="0" fontId="35" fillId="3" borderId="0" xfId="0" applyFont="1" applyFill="1" applyBorder="1"/>
    <xf numFmtId="2" fontId="35" fillId="3" borderId="0" xfId="0" applyNumberFormat="1" applyFont="1" applyFill="1"/>
    <xf numFmtId="166" fontId="38" fillId="3" borderId="4" xfId="0" applyNumberFormat="1" applyFont="1" applyFill="1" applyBorder="1" applyProtection="1"/>
    <xf numFmtId="0" fontId="38" fillId="3" borderId="4" xfId="0" applyFont="1" applyFill="1" applyBorder="1" applyAlignment="1">
      <alignment horizontal="center" vertical="center"/>
    </xf>
    <xf numFmtId="166" fontId="38" fillId="0" borderId="4" xfId="0" applyNumberFormat="1" applyFont="1" applyFill="1" applyBorder="1" applyProtection="1"/>
    <xf numFmtId="0" fontId="38" fillId="0" borderId="4" xfId="0" applyFont="1" applyFill="1" applyBorder="1" applyAlignment="1">
      <alignment horizontal="center" vertical="center"/>
    </xf>
    <xf numFmtId="0" fontId="38" fillId="0" borderId="0" xfId="0" applyFont="1" applyFill="1" applyBorder="1" applyAlignment="1">
      <alignment vertical="center"/>
    </xf>
    <xf numFmtId="0" fontId="1" fillId="0" borderId="0" xfId="0" applyFont="1" applyBorder="1"/>
    <xf numFmtId="0" fontId="35" fillId="0" borderId="0" xfId="0" quotePrefix="1" applyFont="1" applyBorder="1" applyAlignment="1">
      <alignment horizontal="center"/>
    </xf>
    <xf numFmtId="0" fontId="35" fillId="0" borderId="0" xfId="0" quotePrefix="1" applyFont="1"/>
    <xf numFmtId="2" fontId="39" fillId="0" borderId="0" xfId="0" applyNumberFormat="1" applyFont="1" applyBorder="1"/>
    <xf numFmtId="2" fontId="35" fillId="0" borderId="0" xfId="0" quotePrefix="1" applyNumberFormat="1" applyFont="1" applyBorder="1"/>
    <xf numFmtId="0" fontId="35" fillId="0" borderId="2" xfId="0" quotePrefix="1" applyFont="1" applyBorder="1"/>
    <xf numFmtId="0" fontId="40" fillId="0" borderId="1" xfId="0" applyFont="1" applyBorder="1"/>
    <xf numFmtId="4" fontId="35" fillId="0" borderId="0" xfId="0" applyNumberFormat="1" applyFont="1" applyFill="1" applyBorder="1" applyProtection="1"/>
    <xf numFmtId="4" fontId="41" fillId="0" borderId="0" xfId="0" applyNumberFormat="1" applyFont="1" applyFill="1"/>
    <xf numFmtId="4" fontId="35" fillId="0" borderId="0" xfId="0" applyNumberFormat="1" applyFont="1" applyFill="1" applyBorder="1"/>
    <xf numFmtId="4" fontId="39" fillId="0" borderId="0" xfId="0" applyNumberFormat="1" applyFont="1"/>
    <xf numFmtId="4" fontId="35" fillId="0" borderId="0" xfId="0" applyNumberFormat="1" applyFont="1" applyBorder="1"/>
    <xf numFmtId="3" fontId="35" fillId="0" borderId="0" xfId="0" applyNumberFormat="1" applyFont="1"/>
    <xf numFmtId="166" fontId="35" fillId="0" borderId="0" xfId="0" applyNumberFormat="1" applyFont="1" applyBorder="1"/>
    <xf numFmtId="166" fontId="35" fillId="0" borderId="2" xfId="0" applyNumberFormat="1" applyFont="1" applyBorder="1"/>
    <xf numFmtId="0" fontId="40" fillId="0" borderId="0" xfId="0" applyFont="1"/>
    <xf numFmtId="0" fontId="42" fillId="0" borderId="0" xfId="0" applyFont="1"/>
    <xf numFmtId="0" fontId="9" fillId="0" borderId="0" xfId="1" applyFont="1"/>
    <xf numFmtId="0" fontId="9" fillId="0" borderId="1" xfId="1" applyFont="1" applyBorder="1"/>
    <xf numFmtId="0" fontId="9" fillId="0" borderId="1" xfId="1" applyFont="1" applyBorder="1" applyAlignment="1">
      <alignment horizontal="right"/>
    </xf>
    <xf numFmtId="0" fontId="9" fillId="0" borderId="1" xfId="1" applyFont="1" applyBorder="1" applyAlignment="1">
      <alignment horizontal="left"/>
    </xf>
    <xf numFmtId="0" fontId="9" fillId="0" borderId="0" xfId="1" applyFont="1" applyBorder="1"/>
    <xf numFmtId="0" fontId="9" fillId="0" borderId="0" xfId="1" applyFont="1" applyBorder="1" applyAlignment="1">
      <alignment horizontal="right"/>
    </xf>
    <xf numFmtId="0" fontId="9" fillId="0" borderId="0" xfId="1" applyFont="1" applyBorder="1" applyAlignment="1">
      <alignment horizontal="left"/>
    </xf>
    <xf numFmtId="0" fontId="9" fillId="0" borderId="2" xfId="1" applyFont="1" applyBorder="1"/>
    <xf numFmtId="0" fontId="9" fillId="0" borderId="2" xfId="1" applyFont="1" applyBorder="1" applyAlignment="1">
      <alignment horizontal="right"/>
    </xf>
    <xf numFmtId="165" fontId="9" fillId="0" borderId="0" xfId="1" applyNumberFormat="1" applyFont="1" applyProtection="1"/>
    <xf numFmtId="2" fontId="9" fillId="0" borderId="0" xfId="1" applyNumberFormat="1" applyFont="1"/>
    <xf numFmtId="2" fontId="9" fillId="0" borderId="0" xfId="1" applyNumberFormat="1" applyFont="1" applyProtection="1"/>
    <xf numFmtId="166" fontId="9" fillId="0" borderId="0" xfId="1" applyNumberFormat="1" applyFont="1" applyProtection="1"/>
    <xf numFmtId="2" fontId="9" fillId="0" borderId="0" xfId="1" quotePrefix="1" applyNumberFormat="1" applyFont="1"/>
    <xf numFmtId="2" fontId="9" fillId="0" borderId="0" xfId="1" applyNumberFormat="1" applyFont="1" applyFill="1"/>
    <xf numFmtId="0" fontId="33" fillId="0" borderId="0" xfId="1" applyFont="1"/>
    <xf numFmtId="2" fontId="9" fillId="0" borderId="0" xfId="1" applyNumberFormat="1" applyFont="1" applyFill="1" applyAlignment="1">
      <alignment horizontal="right"/>
    </xf>
    <xf numFmtId="165" fontId="9" fillId="0" borderId="1" xfId="1" applyNumberFormat="1" applyFont="1" applyBorder="1" applyProtection="1"/>
    <xf numFmtId="2" fontId="9" fillId="0" borderId="1" xfId="1" applyNumberFormat="1" applyFont="1" applyBorder="1"/>
    <xf numFmtId="165" fontId="9" fillId="0" borderId="2" xfId="1" applyNumberFormat="1" applyFont="1" applyBorder="1" applyProtection="1"/>
    <xf numFmtId="2" fontId="9" fillId="0" borderId="2" xfId="1" applyNumberFormat="1" applyFont="1" applyBorder="1"/>
    <xf numFmtId="0" fontId="9" fillId="0" borderId="3" xfId="1" applyFont="1" applyBorder="1"/>
    <xf numFmtId="0" fontId="12" fillId="0" borderId="0" xfId="1" applyFont="1"/>
    <xf numFmtId="9" fontId="9" fillId="0" borderId="0" xfId="1" applyNumberFormat="1" applyFont="1"/>
    <xf numFmtId="0" fontId="9" fillId="0" borderId="0" xfId="1" quotePrefix="1" applyFont="1" applyBorder="1"/>
    <xf numFmtId="2" fontId="9" fillId="0" borderId="0" xfId="1" applyNumberFormat="1" applyFont="1" applyBorder="1"/>
    <xf numFmtId="0" fontId="11" fillId="0" borderId="1" xfId="1" applyFont="1" applyBorder="1"/>
    <xf numFmtId="0" fontId="12" fillId="0" borderId="1" xfId="1" applyFont="1" applyBorder="1"/>
    <xf numFmtId="166" fontId="9" fillId="0" borderId="0" xfId="1" applyNumberFormat="1" applyFont="1" applyBorder="1" applyProtection="1"/>
    <xf numFmtId="166" fontId="9" fillId="0" borderId="0" xfId="1" applyNumberFormat="1" applyFont="1" applyBorder="1"/>
    <xf numFmtId="166" fontId="9" fillId="0" borderId="2" xfId="1" applyNumberFormat="1" applyFont="1" applyBorder="1"/>
    <xf numFmtId="0" fontId="9" fillId="0" borderId="0" xfId="1" applyFont="1" applyAlignment="1">
      <alignment horizontal="left" vertical="top"/>
    </xf>
    <xf numFmtId="0" fontId="13" fillId="0" borderId="0" xfId="1" applyFont="1"/>
    <xf numFmtId="0" fontId="28" fillId="0" borderId="0" xfId="1" applyFont="1" applyBorder="1" applyAlignment="1">
      <alignment horizontal="center"/>
    </xf>
    <xf numFmtId="166" fontId="28" fillId="0" borderId="0" xfId="1" applyNumberFormat="1" applyFont="1" applyAlignment="1" applyProtection="1"/>
    <xf numFmtId="164" fontId="28" fillId="0" borderId="0" xfId="1" applyNumberFormat="1" applyFont="1"/>
    <xf numFmtId="49" fontId="28" fillId="0" borderId="0" xfId="1" applyNumberFormat="1" applyFont="1" applyProtection="1"/>
    <xf numFmtId="2" fontId="28" fillId="0" borderId="0" xfId="1" applyNumberFormat="1" applyFont="1" applyFill="1"/>
    <xf numFmtId="0" fontId="1" fillId="0" borderId="0" xfId="1" applyFont="1"/>
    <xf numFmtId="166" fontId="28" fillId="0" borderId="4" xfId="1" applyNumberFormat="1" applyFont="1" applyFill="1" applyBorder="1" applyProtection="1"/>
    <xf numFmtId="164" fontId="28" fillId="0" borderId="4" xfId="1" applyNumberFormat="1" applyFont="1" applyBorder="1" applyAlignment="1">
      <alignment horizontal="left" vertical="top"/>
    </xf>
    <xf numFmtId="0" fontId="28" fillId="0" borderId="4" xfId="1" applyFont="1" applyBorder="1" applyAlignment="1">
      <alignment horizontal="left" vertical="top"/>
    </xf>
    <xf numFmtId="0" fontId="28" fillId="0" borderId="0" xfId="1" applyFont="1" applyAlignment="1">
      <alignment horizontal="right"/>
    </xf>
    <xf numFmtId="166" fontId="29" fillId="0" borderId="4" xfId="1" applyNumberFormat="1" applyFont="1" applyFill="1" applyBorder="1" applyProtection="1"/>
    <xf numFmtId="166" fontId="29" fillId="0" borderId="0" xfId="1" applyNumberFormat="1" applyFont="1" applyFill="1" applyProtection="1"/>
    <xf numFmtId="0" fontId="28" fillId="0" borderId="0" xfId="1" applyFont="1" applyAlignment="1">
      <alignment horizontal="left" vertical="top"/>
    </xf>
    <xf numFmtId="0" fontId="43" fillId="0" borderId="0" xfId="1" applyFont="1" applyBorder="1"/>
    <xf numFmtId="0" fontId="28" fillId="0" borderId="0" xfId="1" applyFont="1" applyBorder="1" applyAlignment="1">
      <alignment horizontal="left"/>
    </xf>
    <xf numFmtId="0" fontId="28" fillId="0" borderId="0" xfId="1" quotePrefix="1" applyFont="1" applyBorder="1" applyAlignment="1">
      <alignment horizontal="center"/>
    </xf>
    <xf numFmtId="2" fontId="28" fillId="0" borderId="0" xfId="1" applyNumberFormat="1" applyFont="1" applyBorder="1" applyAlignment="1">
      <alignment horizontal="center"/>
    </xf>
    <xf numFmtId="166" fontId="28" fillId="0" borderId="0" xfId="1" applyNumberFormat="1" applyFont="1" applyFill="1" applyBorder="1"/>
    <xf numFmtId="0" fontId="12" fillId="0" borderId="0" xfId="1" applyFont="1" applyFill="1"/>
    <xf numFmtId="0" fontId="2" fillId="2" borderId="0" xfId="0" applyFont="1" applyFill="1"/>
    <xf numFmtId="49" fontId="2" fillId="0" borderId="0" xfId="0" applyNumberFormat="1" applyFont="1" applyProtection="1"/>
    <xf numFmtId="0" fontId="2" fillId="0" borderId="0" xfId="0" applyNumberFormat="1" applyFont="1"/>
    <xf numFmtId="0" fontId="2" fillId="0" borderId="0" xfId="0" applyNumberFormat="1" applyFont="1" applyProtection="1"/>
    <xf numFmtId="49" fontId="2" fillId="0" borderId="0" xfId="0" applyNumberFormat="1" applyFont="1"/>
    <xf numFmtId="0" fontId="0" fillId="0" borderId="4" xfId="0" applyBorder="1" applyAlignment="1">
      <alignment horizontal="left" vertical="top"/>
    </xf>
    <xf numFmtId="0" fontId="1" fillId="0" borderId="4" xfId="0" applyFont="1" applyBorder="1" applyAlignment="1">
      <alignment horizontal="left" vertical="top"/>
    </xf>
    <xf numFmtId="0" fontId="0" fillId="0" borderId="9" xfId="0" applyBorder="1" applyAlignment="1">
      <alignment horizontal="left" vertical="top"/>
    </xf>
    <xf numFmtId="0" fontId="2" fillId="0" borderId="10" xfId="0" applyFont="1" applyBorder="1"/>
    <xf numFmtId="0" fontId="0" fillId="0" borderId="11" xfId="0" applyBorder="1" applyAlignment="1">
      <alignment horizontal="left" vertical="top"/>
    </xf>
    <xf numFmtId="0" fontId="2" fillId="0" borderId="12" xfId="0" applyFont="1" applyBorder="1"/>
    <xf numFmtId="0" fontId="2" fillId="0" borderId="0" xfId="0" quotePrefix="1" applyFont="1" applyBorder="1" applyAlignment="1">
      <alignment horizontal="center"/>
    </xf>
    <xf numFmtId="2" fontId="2" fillId="0" borderId="0" xfId="0" applyNumberFormat="1" applyFont="1" applyBorder="1" applyAlignment="1">
      <alignment horizontal="center"/>
    </xf>
    <xf numFmtId="0" fontId="2" fillId="0" borderId="0" xfId="0" applyFont="1" applyFill="1" applyBorder="1" applyAlignment="1">
      <alignment horizontal="left"/>
    </xf>
    <xf numFmtId="0" fontId="2" fillId="0" borderId="0" xfId="0" quotePrefix="1" applyFont="1" applyFill="1" applyBorder="1" applyAlignment="1">
      <alignment horizontal="center"/>
    </xf>
    <xf numFmtId="0" fontId="2" fillId="0" borderId="0" xfId="0" applyFont="1" applyFill="1" applyBorder="1" applyAlignment="1">
      <alignment horizontal="center"/>
    </xf>
    <xf numFmtId="0" fontId="0" fillId="0" borderId="0" xfId="0" applyBorder="1" applyAlignment="1">
      <alignment horizontal="left" vertical="top"/>
    </xf>
    <xf numFmtId="0" fontId="0" fillId="0" borderId="0" xfId="0" applyFill="1" applyAlignment="1">
      <alignment horizontal="left" vertical="top"/>
    </xf>
    <xf numFmtId="0" fontId="38" fillId="0" borderId="0" xfId="0" applyFont="1" applyFill="1" applyAlignment="1">
      <alignment horizontal="left" vertical="top"/>
    </xf>
    <xf numFmtId="0" fontId="8" fillId="0" borderId="0" xfId="0" applyFont="1" applyAlignment="1"/>
    <xf numFmtId="0" fontId="2" fillId="0" borderId="0" xfId="0" applyFont="1" applyAlignment="1"/>
    <xf numFmtId="0" fontId="44" fillId="0" borderId="0" xfId="0" applyFont="1"/>
    <xf numFmtId="0" fontId="2" fillId="0" borderId="1" xfId="0" applyFont="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0" fillId="0" borderId="13" xfId="0" applyBorder="1"/>
    <xf numFmtId="0" fontId="0" fillId="0" borderId="14" xfId="0" applyBorder="1"/>
  </cellXfs>
  <cellStyles count="3">
    <cellStyle name="Normal" xfId="0" builtinId="0"/>
    <cellStyle name="Normal 2" xfId="1"/>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C%202017%20pub/17%20Y%20-%20Recieved%20files(18-2-6)/cheked%20OFc/Carrot%20N'Eliya%202017%20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ampling frame"/>
      <sheetName val="Raw Data Sheet1"/>
      <sheetName val="Analyzing"/>
      <sheetName val="Equa"/>
      <sheetName val="Analyzing Sheet"/>
      <sheetName val="Print Sheet"/>
    </sheetNames>
    <sheetDataSet>
      <sheetData sheetId="0"/>
      <sheetData sheetId="1"/>
      <sheetData sheetId="2">
        <row r="51">
          <cell r="I51">
            <v>0</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dimension ref="A1:M56"/>
  <sheetViews>
    <sheetView topLeftCell="A13" workbookViewId="0">
      <selection activeCell="K43" sqref="K43"/>
    </sheetView>
  </sheetViews>
  <sheetFormatPr defaultRowHeight="15"/>
  <sheetData>
    <row r="1" spans="1:13">
      <c r="A1" t="s">
        <v>0</v>
      </c>
      <c r="B1" t="s">
        <v>455</v>
      </c>
    </row>
    <row r="2" spans="1:13">
      <c r="A2" s="297"/>
      <c r="B2" s="297" t="s">
        <v>456</v>
      </c>
      <c r="C2" s="297"/>
      <c r="D2" s="297" t="s">
        <v>457</v>
      </c>
      <c r="E2" s="297"/>
      <c r="F2" s="297"/>
      <c r="G2" s="297" t="s">
        <v>458</v>
      </c>
      <c r="H2" s="297"/>
      <c r="I2" s="297"/>
      <c r="J2" s="297"/>
      <c r="K2" s="297"/>
      <c r="L2" s="297"/>
      <c r="M2" s="297"/>
    </row>
    <row r="3" spans="1:13">
      <c r="A3" s="297" t="s">
        <v>4</v>
      </c>
      <c r="B3" s="297"/>
      <c r="C3" s="297"/>
      <c r="D3" s="297" t="s">
        <v>5</v>
      </c>
      <c r="E3" s="297" t="s">
        <v>6</v>
      </c>
      <c r="F3" s="297" t="s">
        <v>7</v>
      </c>
      <c r="G3" s="297" t="s">
        <v>8</v>
      </c>
      <c r="H3" s="297" t="s">
        <v>9</v>
      </c>
      <c r="I3" s="297" t="s">
        <v>10</v>
      </c>
      <c r="J3" s="297" t="s">
        <v>11</v>
      </c>
      <c r="K3" s="297" t="s">
        <v>12</v>
      </c>
      <c r="L3" s="297" t="s">
        <v>13</v>
      </c>
      <c r="M3" s="297"/>
    </row>
    <row r="4" spans="1:13">
      <c r="A4" s="297"/>
      <c r="B4" s="297"/>
      <c r="C4" s="297"/>
      <c r="D4" s="297" t="s">
        <v>14</v>
      </c>
      <c r="E4" s="297" t="s">
        <v>15</v>
      </c>
      <c r="F4" s="297" t="s">
        <v>15</v>
      </c>
      <c r="G4" s="297" t="s">
        <v>16</v>
      </c>
      <c r="H4" s="297" t="s">
        <v>17</v>
      </c>
      <c r="I4" s="297" t="s">
        <v>18</v>
      </c>
      <c r="J4" s="297" t="s">
        <v>17</v>
      </c>
      <c r="K4" s="297" t="s">
        <v>17</v>
      </c>
      <c r="L4" s="297" t="s">
        <v>10</v>
      </c>
      <c r="M4" s="297" t="s">
        <v>11</v>
      </c>
    </row>
    <row r="5" spans="1:13">
      <c r="A5" s="297"/>
      <c r="B5" s="297"/>
      <c r="C5" s="297"/>
      <c r="D5" s="297" t="s">
        <v>19</v>
      </c>
      <c r="E5" s="297"/>
      <c r="F5" s="297"/>
      <c r="G5" s="297"/>
      <c r="H5" s="297" t="s">
        <v>20</v>
      </c>
      <c r="I5" s="297" t="s">
        <v>17</v>
      </c>
      <c r="J5" s="297" t="s">
        <v>20</v>
      </c>
      <c r="K5" s="297" t="s">
        <v>20</v>
      </c>
      <c r="L5" s="297"/>
      <c r="M5" s="297"/>
    </row>
    <row r="6" spans="1:13">
      <c r="A6" s="299"/>
      <c r="B6" s="299"/>
      <c r="C6" s="299"/>
      <c r="D6" s="299"/>
      <c r="E6" s="299"/>
      <c r="F6" s="299"/>
      <c r="G6" s="299"/>
      <c r="H6" s="299"/>
      <c r="I6" s="299" t="s">
        <v>20</v>
      </c>
      <c r="J6" s="299"/>
      <c r="K6" s="299"/>
      <c r="L6" s="299"/>
      <c r="M6" s="299"/>
    </row>
    <row r="7" spans="1:13">
      <c r="A7" t="s">
        <v>459</v>
      </c>
      <c r="D7" t="s">
        <v>460</v>
      </c>
      <c r="H7" t="s">
        <v>461</v>
      </c>
      <c r="J7" t="s">
        <v>462</v>
      </c>
    </row>
    <row r="8" spans="1:13">
      <c r="A8" t="s">
        <v>22</v>
      </c>
      <c r="D8">
        <v>54</v>
      </c>
      <c r="E8">
        <v>1.8</v>
      </c>
      <c r="F8">
        <v>1.4</v>
      </c>
      <c r="G8">
        <v>1020</v>
      </c>
      <c r="H8">
        <v>1836</v>
      </c>
      <c r="K8">
        <v>1836</v>
      </c>
    </row>
    <row r="9" spans="1:13">
      <c r="A9" t="s">
        <v>463</v>
      </c>
      <c r="D9">
        <v>64</v>
      </c>
      <c r="E9">
        <v>0.85</v>
      </c>
      <c r="F9">
        <v>0.84</v>
      </c>
      <c r="G9">
        <v>1000</v>
      </c>
      <c r="H9">
        <v>850</v>
      </c>
      <c r="I9">
        <v>4984</v>
      </c>
      <c r="K9">
        <v>5834</v>
      </c>
      <c r="L9">
        <v>1382</v>
      </c>
    </row>
    <row r="10" spans="1:13">
      <c r="A10" t="s">
        <v>464</v>
      </c>
      <c r="D10" t="s">
        <v>465</v>
      </c>
      <c r="H10" t="s">
        <v>466</v>
      </c>
      <c r="I10" t="s">
        <v>467</v>
      </c>
      <c r="K10">
        <v>0</v>
      </c>
      <c r="L10" t="s">
        <v>468</v>
      </c>
    </row>
    <row r="11" spans="1:13">
      <c r="A11" t="s">
        <v>439</v>
      </c>
      <c r="D11">
        <v>100</v>
      </c>
      <c r="E11">
        <v>7.4</v>
      </c>
      <c r="F11">
        <v>2.06</v>
      </c>
      <c r="G11">
        <v>921</v>
      </c>
      <c r="H11">
        <v>6815</v>
      </c>
      <c r="J11">
        <v>6107</v>
      </c>
      <c r="K11">
        <v>12922</v>
      </c>
    </row>
    <row r="12" spans="1:13">
      <c r="A12" t="s">
        <v>469</v>
      </c>
      <c r="D12">
        <v>94</v>
      </c>
      <c r="E12">
        <v>9.4</v>
      </c>
      <c r="F12">
        <v>0.98</v>
      </c>
      <c r="G12">
        <v>990</v>
      </c>
      <c r="H12">
        <v>9306</v>
      </c>
      <c r="K12">
        <v>9306</v>
      </c>
    </row>
    <row r="13" spans="1:13">
      <c r="A13" t="s">
        <v>33</v>
      </c>
      <c r="D13">
        <v>100</v>
      </c>
      <c r="E13">
        <v>4.12</v>
      </c>
      <c r="F13">
        <v>2.4699999999999998</v>
      </c>
      <c r="G13">
        <v>1017</v>
      </c>
      <c r="H13">
        <v>4190</v>
      </c>
      <c r="J13">
        <v>10700</v>
      </c>
      <c r="K13">
        <v>14890</v>
      </c>
    </row>
    <row r="14" spans="1:13">
      <c r="A14" t="s">
        <v>470</v>
      </c>
      <c r="D14" t="s">
        <v>465</v>
      </c>
      <c r="H14" t="s">
        <v>471</v>
      </c>
      <c r="J14" t="s">
        <v>472</v>
      </c>
      <c r="K14">
        <v>0</v>
      </c>
    </row>
    <row r="15" spans="1:13">
      <c r="A15" t="s">
        <v>35</v>
      </c>
      <c r="D15" t="s">
        <v>460</v>
      </c>
      <c r="H15" t="s">
        <v>473</v>
      </c>
      <c r="J15" t="s">
        <v>474</v>
      </c>
      <c r="K15">
        <v>0</v>
      </c>
    </row>
    <row r="16" spans="1:13">
      <c r="A16" t="s">
        <v>36</v>
      </c>
      <c r="D16">
        <v>100</v>
      </c>
      <c r="E16">
        <v>8.73</v>
      </c>
      <c r="F16">
        <v>8.73</v>
      </c>
      <c r="G16">
        <v>1017</v>
      </c>
      <c r="H16">
        <v>8878</v>
      </c>
      <c r="K16">
        <v>8878</v>
      </c>
    </row>
    <row r="17" spans="1:13">
      <c r="A17" t="s">
        <v>475</v>
      </c>
      <c r="D17">
        <v>94</v>
      </c>
      <c r="E17">
        <v>10</v>
      </c>
      <c r="F17">
        <v>1.34</v>
      </c>
      <c r="G17">
        <v>956</v>
      </c>
      <c r="H17">
        <v>9560</v>
      </c>
      <c r="K17">
        <v>9560</v>
      </c>
    </row>
    <row r="18" spans="1:13">
      <c r="A18" t="s">
        <v>476</v>
      </c>
      <c r="D18">
        <v>78</v>
      </c>
      <c r="E18">
        <v>1.4</v>
      </c>
      <c r="F18">
        <v>1.1000000000000001</v>
      </c>
      <c r="G18">
        <v>943</v>
      </c>
      <c r="H18">
        <v>1320</v>
      </c>
      <c r="I18">
        <v>1683</v>
      </c>
      <c r="K18">
        <v>3003</v>
      </c>
    </row>
    <row r="19" spans="1:13">
      <c r="A19" t="s">
        <v>477</v>
      </c>
      <c r="D19" t="s">
        <v>281</v>
      </c>
      <c r="H19" t="s">
        <v>478</v>
      </c>
      <c r="I19" t="s">
        <v>479</v>
      </c>
      <c r="K19">
        <v>0</v>
      </c>
    </row>
    <row r="20" spans="1:13">
      <c r="A20" t="s">
        <v>480</v>
      </c>
      <c r="D20" t="s">
        <v>481</v>
      </c>
      <c r="H20" t="s">
        <v>482</v>
      </c>
      <c r="K20">
        <v>0</v>
      </c>
    </row>
    <row r="21" spans="1:13">
      <c r="A21" t="s">
        <v>483</v>
      </c>
      <c r="D21">
        <v>54</v>
      </c>
      <c r="E21">
        <v>3.09</v>
      </c>
      <c r="F21">
        <v>3.09</v>
      </c>
      <c r="G21">
        <v>956</v>
      </c>
      <c r="H21">
        <v>2954</v>
      </c>
      <c r="K21">
        <v>2954</v>
      </c>
    </row>
    <row r="22" spans="1:13">
      <c r="A22" t="s">
        <v>193</v>
      </c>
      <c r="D22">
        <v>54</v>
      </c>
      <c r="E22">
        <v>0.5</v>
      </c>
      <c r="F22">
        <v>0.5</v>
      </c>
      <c r="G22">
        <v>956</v>
      </c>
      <c r="H22">
        <v>478</v>
      </c>
      <c r="I22">
        <v>1141</v>
      </c>
      <c r="K22">
        <v>1619</v>
      </c>
    </row>
    <row r="23" spans="1:13">
      <c r="A23" s="305" t="s">
        <v>46</v>
      </c>
      <c r="B23" s="305"/>
      <c r="C23" s="305"/>
      <c r="D23" s="305"/>
      <c r="E23" s="305">
        <v>47.290000000000006</v>
      </c>
      <c r="F23" s="305">
        <v>22.51</v>
      </c>
      <c r="G23" s="305">
        <v>9743</v>
      </c>
      <c r="H23" s="305">
        <v>46187</v>
      </c>
      <c r="I23" s="305">
        <v>7808</v>
      </c>
      <c r="J23" s="305">
        <v>16807</v>
      </c>
      <c r="K23" s="305">
        <v>70802</v>
      </c>
      <c r="L23" s="305">
        <v>1382</v>
      </c>
      <c r="M23" s="305">
        <v>0</v>
      </c>
    </row>
    <row r="24" spans="1:13">
      <c r="A24" s="299" t="s">
        <v>47</v>
      </c>
      <c r="B24" s="299"/>
      <c r="C24" s="299"/>
      <c r="D24" s="299"/>
      <c r="E24" s="299">
        <v>24.780000000000005</v>
      </c>
      <c r="F24" s="299"/>
      <c r="G24" s="299"/>
      <c r="H24" s="299">
        <v>24575</v>
      </c>
      <c r="I24" s="299">
        <v>6426</v>
      </c>
      <c r="J24" s="299">
        <v>16807</v>
      </c>
      <c r="K24" s="299">
        <v>47808</v>
      </c>
      <c r="L24" s="299"/>
      <c r="M24" s="299"/>
    </row>
    <row r="26" spans="1:13">
      <c r="C26" t="s">
        <v>103</v>
      </c>
    </row>
    <row r="27" spans="1:13">
      <c r="J27" s="309" t="s">
        <v>105</v>
      </c>
      <c r="K27" s="310">
        <v>1</v>
      </c>
    </row>
    <row r="28" spans="1:13">
      <c r="A28" t="s">
        <v>50</v>
      </c>
      <c r="J28" s="311" t="s">
        <v>484</v>
      </c>
      <c r="K28" s="313">
        <v>1</v>
      </c>
    </row>
    <row r="29" spans="1:13">
      <c r="A29" t="s">
        <v>51</v>
      </c>
      <c r="D29" t="s">
        <v>52</v>
      </c>
      <c r="E29" t="s">
        <v>53</v>
      </c>
      <c r="G29" t="s">
        <v>54</v>
      </c>
    </row>
    <row r="30" spans="1:13">
      <c r="A30" t="s">
        <v>55</v>
      </c>
    </row>
    <row r="31" spans="1:13">
      <c r="A31" t="s">
        <v>485</v>
      </c>
      <c r="D31" t="s">
        <v>486</v>
      </c>
      <c r="E31">
        <v>5.9</v>
      </c>
      <c r="G31">
        <v>1035</v>
      </c>
      <c r="J31" t="s">
        <v>143</v>
      </c>
      <c r="K31" t="s">
        <v>166</v>
      </c>
    </row>
    <row r="32" spans="1:13">
      <c r="J32" s="309" t="s">
        <v>487</v>
      </c>
      <c r="K32" s="310">
        <v>60</v>
      </c>
    </row>
    <row r="33" spans="1:11">
      <c r="J33" s="495" t="s">
        <v>488</v>
      </c>
      <c r="K33" s="496">
        <v>30</v>
      </c>
    </row>
    <row r="34" spans="1:11">
      <c r="A34" t="s">
        <v>64</v>
      </c>
      <c r="J34" s="311" t="s">
        <v>71</v>
      </c>
      <c r="K34" s="313">
        <v>10</v>
      </c>
    </row>
    <row r="35" spans="1:11">
      <c r="A35" t="s">
        <v>65</v>
      </c>
      <c r="D35" t="s">
        <v>66</v>
      </c>
      <c r="E35">
        <v>25</v>
      </c>
      <c r="G35">
        <v>983</v>
      </c>
    </row>
    <row r="36" spans="1:11">
      <c r="A36" t="s">
        <v>68</v>
      </c>
      <c r="D36" t="s">
        <v>66</v>
      </c>
      <c r="E36">
        <v>22</v>
      </c>
    </row>
    <row r="37" spans="1:11">
      <c r="A37" t="s">
        <v>6</v>
      </c>
      <c r="E37">
        <v>47</v>
      </c>
    </row>
    <row r="39" spans="1:11">
      <c r="A39" t="s">
        <v>107</v>
      </c>
      <c r="C39" t="s">
        <v>73</v>
      </c>
    </row>
    <row r="40" spans="1:11">
      <c r="A40" t="s">
        <v>200</v>
      </c>
      <c r="C40">
        <v>98</v>
      </c>
      <c r="D40" t="s">
        <v>75</v>
      </c>
      <c r="E40">
        <v>116</v>
      </c>
      <c r="G40">
        <v>50</v>
      </c>
    </row>
    <row r="41" spans="1:11">
      <c r="A41" t="s">
        <v>201</v>
      </c>
      <c r="C41">
        <v>62</v>
      </c>
      <c r="D41" t="s">
        <v>75</v>
      </c>
      <c r="E41">
        <v>53</v>
      </c>
      <c r="G41">
        <v>50</v>
      </c>
    </row>
    <row r="42" spans="1:11">
      <c r="A42" t="s">
        <v>204</v>
      </c>
      <c r="C42">
        <v>62</v>
      </c>
      <c r="D42" t="s">
        <v>75</v>
      </c>
      <c r="E42">
        <v>45</v>
      </c>
      <c r="G42">
        <v>50</v>
      </c>
    </row>
    <row r="46" spans="1:11">
      <c r="A46" s="305" t="s">
        <v>77</v>
      </c>
      <c r="B46" s="305"/>
      <c r="C46" s="305"/>
      <c r="D46" s="305"/>
      <c r="E46" s="305"/>
      <c r="F46" s="305"/>
      <c r="G46" s="305"/>
      <c r="H46" s="305"/>
      <c r="I46" s="305" t="s">
        <v>489</v>
      </c>
    </row>
    <row r="47" spans="1:11">
      <c r="A47" t="s">
        <v>80</v>
      </c>
      <c r="G47">
        <v>1708</v>
      </c>
      <c r="I47">
        <v>4220</v>
      </c>
    </row>
    <row r="48" spans="1:11">
      <c r="A48" t="s">
        <v>81</v>
      </c>
      <c r="G48">
        <v>54</v>
      </c>
    </row>
    <row r="49" spans="1:9">
      <c r="A49" t="s">
        <v>82</v>
      </c>
      <c r="G49">
        <v>92232</v>
      </c>
      <c r="I49">
        <v>227905</v>
      </c>
    </row>
    <row r="50" spans="1:9">
      <c r="A50" t="s">
        <v>83</v>
      </c>
      <c r="G50">
        <v>21430</v>
      </c>
      <c r="I50">
        <v>52954</v>
      </c>
    </row>
    <row r="51" spans="1:9">
      <c r="A51" t="s">
        <v>84</v>
      </c>
      <c r="G51">
        <v>44424</v>
      </c>
      <c r="I51">
        <v>109772</v>
      </c>
    </row>
    <row r="53" spans="1:9">
      <c r="A53" t="s">
        <v>85</v>
      </c>
      <c r="G53">
        <v>41.453161592505857</v>
      </c>
    </row>
    <row r="54" spans="1:9">
      <c r="A54" s="299" t="s">
        <v>86</v>
      </c>
      <c r="B54" s="299"/>
      <c r="C54" s="299"/>
      <c r="D54" s="299"/>
      <c r="E54" s="299"/>
      <c r="F54" s="299"/>
      <c r="G54" s="299">
        <v>27.99063231850117</v>
      </c>
      <c r="H54" s="299"/>
      <c r="I54" s="299"/>
    </row>
    <row r="55" spans="1:9">
      <c r="A55" t="s">
        <v>490</v>
      </c>
    </row>
    <row r="56" spans="1:9">
      <c r="A56" t="s">
        <v>491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0"/>
  <sheetViews>
    <sheetView workbookViewId="0">
      <selection activeCell="H32" sqref="H32"/>
    </sheetView>
  </sheetViews>
  <sheetFormatPr defaultRowHeight="15"/>
  <sheetData>
    <row r="1" spans="1:13">
      <c r="A1" t="s">
        <v>0</v>
      </c>
      <c r="B1" t="s">
        <v>455</v>
      </c>
    </row>
    <row r="2" spans="1:13">
      <c r="B2" t="s">
        <v>456</v>
      </c>
      <c r="D2" t="s">
        <v>492</v>
      </c>
      <c r="I2" t="s">
        <v>493</v>
      </c>
    </row>
    <row r="3" spans="1:13">
      <c r="A3" s="305" t="s">
        <v>4</v>
      </c>
      <c r="B3" s="305"/>
      <c r="C3" s="305"/>
      <c r="D3" s="305" t="s">
        <v>5</v>
      </c>
      <c r="E3" s="305" t="s">
        <v>6</v>
      </c>
      <c r="F3" s="305" t="s">
        <v>7</v>
      </c>
      <c r="G3" s="305" t="s">
        <v>8</v>
      </c>
      <c r="H3" s="305" t="s">
        <v>9</v>
      </c>
      <c r="I3" s="305" t="s">
        <v>10</v>
      </c>
      <c r="J3" s="305" t="s">
        <v>11</v>
      </c>
      <c r="K3" s="305" t="s">
        <v>12</v>
      </c>
      <c r="L3" s="305" t="s">
        <v>13</v>
      </c>
      <c r="M3" s="305"/>
    </row>
    <row r="4" spans="1:13">
      <c r="D4" t="s">
        <v>14</v>
      </c>
      <c r="E4" t="s">
        <v>15</v>
      </c>
      <c r="F4" t="s">
        <v>15</v>
      </c>
      <c r="G4" t="s">
        <v>16</v>
      </c>
      <c r="H4" t="s">
        <v>17</v>
      </c>
      <c r="I4" t="s">
        <v>18</v>
      </c>
      <c r="J4" t="s">
        <v>17</v>
      </c>
      <c r="K4" t="s">
        <v>17</v>
      </c>
      <c r="L4" t="s">
        <v>10</v>
      </c>
      <c r="M4" t="s">
        <v>11</v>
      </c>
    </row>
    <row r="5" spans="1:13">
      <c r="D5" t="s">
        <v>19</v>
      </c>
      <c r="H5" t="s">
        <v>20</v>
      </c>
      <c r="I5" t="s">
        <v>17</v>
      </c>
      <c r="J5" t="s">
        <v>20</v>
      </c>
      <c r="K5" t="s">
        <v>20</v>
      </c>
    </row>
    <row r="6" spans="1:13">
      <c r="A6" s="299"/>
      <c r="B6" s="299"/>
      <c r="C6" s="299"/>
      <c r="D6" s="299"/>
      <c r="E6" s="299"/>
      <c r="F6" s="299"/>
      <c r="G6" s="299"/>
      <c r="H6" s="299"/>
      <c r="I6" s="299" t="s">
        <v>20</v>
      </c>
      <c r="J6" s="299"/>
      <c r="K6" s="299"/>
      <c r="L6" s="299"/>
      <c r="M6" s="299"/>
    </row>
    <row r="7" spans="1:13">
      <c r="A7" t="s">
        <v>22</v>
      </c>
      <c r="D7" t="s">
        <v>494</v>
      </c>
      <c r="H7" t="s">
        <v>495</v>
      </c>
      <c r="K7">
        <v>0</v>
      </c>
    </row>
    <row r="8" spans="1:13">
      <c r="A8" t="s">
        <v>496</v>
      </c>
      <c r="D8">
        <v>0.87</v>
      </c>
      <c r="E8">
        <v>0.54</v>
      </c>
      <c r="F8">
        <v>0.54</v>
      </c>
      <c r="G8">
        <v>1100</v>
      </c>
      <c r="H8">
        <v>594</v>
      </c>
      <c r="I8">
        <v>6879</v>
      </c>
      <c r="K8">
        <v>7473</v>
      </c>
      <c r="L8">
        <v>521</v>
      </c>
    </row>
    <row r="9" spans="1:13">
      <c r="A9" t="s">
        <v>497</v>
      </c>
      <c r="D9" t="s">
        <v>498</v>
      </c>
      <c r="I9" t="s">
        <v>499</v>
      </c>
      <c r="K9">
        <v>0</v>
      </c>
    </row>
    <row r="10" spans="1:13">
      <c r="A10" t="s">
        <v>500</v>
      </c>
      <c r="D10">
        <v>1</v>
      </c>
      <c r="E10">
        <v>5.4</v>
      </c>
      <c r="F10">
        <v>2.17</v>
      </c>
      <c r="G10">
        <v>1170</v>
      </c>
      <c r="H10">
        <v>6318</v>
      </c>
      <c r="K10">
        <v>6318</v>
      </c>
    </row>
    <row r="11" spans="1:13">
      <c r="A11" t="s">
        <v>501</v>
      </c>
      <c r="D11">
        <v>1</v>
      </c>
      <c r="E11">
        <v>5.78</v>
      </c>
      <c r="F11">
        <v>2.08</v>
      </c>
      <c r="G11">
        <v>1069</v>
      </c>
      <c r="H11">
        <v>6179</v>
      </c>
      <c r="J11">
        <v>6094</v>
      </c>
      <c r="K11">
        <v>12273</v>
      </c>
    </row>
    <row r="12" spans="1:13">
      <c r="A12" t="s">
        <v>502</v>
      </c>
      <c r="D12">
        <v>1</v>
      </c>
      <c r="E12">
        <v>10.1</v>
      </c>
      <c r="F12">
        <v>3.07</v>
      </c>
      <c r="G12">
        <v>1066</v>
      </c>
      <c r="H12">
        <v>10767</v>
      </c>
      <c r="K12">
        <v>10767</v>
      </c>
    </row>
    <row r="13" spans="1:13">
      <c r="A13" t="s">
        <v>33</v>
      </c>
      <c r="D13">
        <v>1</v>
      </c>
      <c r="E13">
        <v>4.9800000000000004</v>
      </c>
      <c r="F13">
        <v>2.99</v>
      </c>
      <c r="G13">
        <v>1172</v>
      </c>
      <c r="H13">
        <v>5837</v>
      </c>
      <c r="J13">
        <v>12956</v>
      </c>
      <c r="K13">
        <v>18793</v>
      </c>
    </row>
    <row r="14" spans="1:13">
      <c r="A14" t="s">
        <v>35</v>
      </c>
      <c r="D14">
        <v>0.97</v>
      </c>
      <c r="E14">
        <v>1.39</v>
      </c>
      <c r="F14">
        <v>1.05</v>
      </c>
      <c r="G14">
        <v>1138</v>
      </c>
      <c r="H14">
        <v>1582</v>
      </c>
      <c r="J14">
        <v>1282</v>
      </c>
      <c r="K14">
        <v>2864</v>
      </c>
    </row>
    <row r="15" spans="1:13">
      <c r="A15" t="s">
        <v>36</v>
      </c>
      <c r="D15">
        <v>1</v>
      </c>
      <c r="E15">
        <v>4.42</v>
      </c>
      <c r="F15">
        <v>4.42</v>
      </c>
      <c r="G15">
        <v>1100</v>
      </c>
      <c r="H15">
        <v>4862</v>
      </c>
      <c r="K15">
        <v>4862</v>
      </c>
    </row>
    <row r="16" spans="1:13">
      <c r="A16" t="s">
        <v>475</v>
      </c>
      <c r="D16">
        <v>1</v>
      </c>
      <c r="E16">
        <v>7.03</v>
      </c>
      <c r="F16">
        <v>3.29</v>
      </c>
      <c r="G16">
        <v>1100</v>
      </c>
      <c r="H16">
        <v>7733</v>
      </c>
      <c r="K16">
        <v>7733</v>
      </c>
    </row>
    <row r="17" spans="1:13">
      <c r="A17" t="s">
        <v>503</v>
      </c>
      <c r="D17">
        <v>0.6</v>
      </c>
      <c r="E17">
        <v>0.78</v>
      </c>
      <c r="F17">
        <v>0.56000000000000005</v>
      </c>
      <c r="G17">
        <v>1095</v>
      </c>
      <c r="H17">
        <v>854</v>
      </c>
      <c r="I17">
        <v>3231</v>
      </c>
      <c r="K17">
        <v>4085</v>
      </c>
    </row>
    <row r="18" spans="1:13">
      <c r="A18" t="s">
        <v>504</v>
      </c>
      <c r="D18" t="s">
        <v>505</v>
      </c>
      <c r="H18" t="s">
        <v>506</v>
      </c>
      <c r="I18" t="s">
        <v>507</v>
      </c>
      <c r="K18">
        <v>0</v>
      </c>
    </row>
    <row r="19" spans="1:13">
      <c r="A19" s="305" t="s">
        <v>46</v>
      </c>
      <c r="B19" s="305"/>
      <c r="C19" s="305"/>
      <c r="D19" s="305"/>
      <c r="E19" s="305">
        <v>40.42</v>
      </c>
      <c r="F19" s="305">
        <v>20.169999999999998</v>
      </c>
      <c r="G19" s="305">
        <v>10010</v>
      </c>
      <c r="H19" s="305">
        <v>44726</v>
      </c>
      <c r="I19" s="305">
        <v>10110</v>
      </c>
      <c r="J19" s="305">
        <v>20332</v>
      </c>
      <c r="K19" s="305">
        <v>75168</v>
      </c>
      <c r="L19" s="305">
        <v>521</v>
      </c>
      <c r="M19" s="305">
        <v>0</v>
      </c>
    </row>
    <row r="20" spans="1:13">
      <c r="A20" s="299" t="s">
        <v>47</v>
      </c>
      <c r="B20" s="299"/>
      <c r="C20" s="299"/>
      <c r="D20" s="299"/>
      <c r="E20" s="299">
        <v>20.250000000000004</v>
      </c>
      <c r="F20" s="299"/>
      <c r="G20" s="299"/>
      <c r="H20" s="299">
        <v>22363</v>
      </c>
      <c r="I20" s="299">
        <v>9589</v>
      </c>
      <c r="J20" s="299">
        <v>20332</v>
      </c>
      <c r="K20" s="299">
        <v>52284</v>
      </c>
      <c r="L20" s="299"/>
      <c r="M20" s="299"/>
    </row>
    <row r="22" spans="1:13">
      <c r="C22" t="s">
        <v>103</v>
      </c>
    </row>
    <row r="24" spans="1:13">
      <c r="A24" t="s">
        <v>50</v>
      </c>
      <c r="J24" t="s">
        <v>143</v>
      </c>
      <c r="K24" t="s">
        <v>166</v>
      </c>
    </row>
    <row r="25" spans="1:13">
      <c r="A25" t="s">
        <v>51</v>
      </c>
      <c r="D25" t="s">
        <v>52</v>
      </c>
      <c r="E25" t="s">
        <v>53</v>
      </c>
      <c r="G25" t="s">
        <v>54</v>
      </c>
      <c r="J25" t="s">
        <v>508</v>
      </c>
      <c r="K25">
        <v>100</v>
      </c>
    </row>
    <row r="26" spans="1:13">
      <c r="A26" t="s">
        <v>55</v>
      </c>
    </row>
    <row r="27" spans="1:13">
      <c r="A27" t="s">
        <v>485</v>
      </c>
      <c r="D27" t="s">
        <v>486</v>
      </c>
      <c r="E27">
        <v>5.52</v>
      </c>
      <c r="G27">
        <v>1104</v>
      </c>
    </row>
    <row r="29" spans="1:13">
      <c r="J29" t="s">
        <v>105</v>
      </c>
      <c r="K29">
        <v>1.19</v>
      </c>
    </row>
    <row r="30" spans="1:13">
      <c r="A30" t="s">
        <v>64</v>
      </c>
      <c r="J30" t="s">
        <v>484</v>
      </c>
      <c r="K30">
        <v>1</v>
      </c>
    </row>
    <row r="31" spans="1:13">
      <c r="A31" t="s">
        <v>65</v>
      </c>
      <c r="D31" t="s">
        <v>66</v>
      </c>
      <c r="E31">
        <v>20</v>
      </c>
      <c r="G31">
        <v>1118</v>
      </c>
    </row>
    <row r="32" spans="1:13">
      <c r="A32" t="s">
        <v>68</v>
      </c>
      <c r="D32" t="s">
        <v>66</v>
      </c>
      <c r="E32">
        <v>20</v>
      </c>
    </row>
    <row r="33" spans="1:9">
      <c r="A33" t="s">
        <v>6</v>
      </c>
      <c r="E33">
        <v>40</v>
      </c>
    </row>
    <row r="35" spans="1:9">
      <c r="A35" t="s">
        <v>107</v>
      </c>
      <c r="C35" t="s">
        <v>73</v>
      </c>
    </row>
    <row r="36" spans="1:9">
      <c r="A36" t="s">
        <v>200</v>
      </c>
      <c r="B36">
        <v>1</v>
      </c>
      <c r="C36">
        <v>100</v>
      </c>
      <c r="D36" t="s">
        <v>75</v>
      </c>
      <c r="E36">
        <v>146</v>
      </c>
      <c r="G36">
        <v>50</v>
      </c>
    </row>
    <row r="37" spans="1:9">
      <c r="A37" t="s">
        <v>201</v>
      </c>
      <c r="B37">
        <v>11</v>
      </c>
      <c r="C37">
        <v>60</v>
      </c>
      <c r="D37" t="s">
        <v>75</v>
      </c>
      <c r="E37">
        <v>56</v>
      </c>
      <c r="G37">
        <v>51</v>
      </c>
    </row>
    <row r="38" spans="1:9">
      <c r="A38" t="s">
        <v>204</v>
      </c>
      <c r="B38">
        <v>111</v>
      </c>
      <c r="C38">
        <v>40</v>
      </c>
      <c r="D38" t="s">
        <v>75</v>
      </c>
      <c r="E38">
        <v>56</v>
      </c>
      <c r="G38">
        <v>50</v>
      </c>
    </row>
    <row r="42" spans="1:9">
      <c r="A42" s="305" t="s">
        <v>77</v>
      </c>
      <c r="B42" s="305"/>
      <c r="C42" s="305"/>
      <c r="D42" s="305"/>
      <c r="E42" s="305"/>
      <c r="F42" s="305"/>
      <c r="G42" s="305"/>
      <c r="H42" s="305"/>
      <c r="I42" s="305" t="s">
        <v>489</v>
      </c>
    </row>
    <row r="43" spans="1:9">
      <c r="A43" s="297" t="s">
        <v>80</v>
      </c>
      <c r="B43" s="297"/>
      <c r="C43" s="297"/>
      <c r="D43" s="297"/>
      <c r="E43" s="297"/>
      <c r="F43" s="297"/>
      <c r="G43" s="297">
        <v>2164</v>
      </c>
      <c r="H43" s="297"/>
      <c r="I43" s="297">
        <v>5347</v>
      </c>
    </row>
    <row r="44" spans="1:9">
      <c r="A44" t="s">
        <v>81</v>
      </c>
      <c r="G44">
        <v>40.44</v>
      </c>
    </row>
    <row r="45" spans="1:9">
      <c r="A45" t="s">
        <v>82</v>
      </c>
      <c r="G45">
        <v>87512</v>
      </c>
      <c r="I45">
        <v>216243</v>
      </c>
    </row>
    <row r="46" spans="1:9">
      <c r="A46" t="s">
        <v>83</v>
      </c>
      <c r="G46">
        <v>12344</v>
      </c>
      <c r="I46">
        <v>30502</v>
      </c>
    </row>
    <row r="47" spans="1:9">
      <c r="A47" t="s">
        <v>84</v>
      </c>
      <c r="G47">
        <v>35228</v>
      </c>
      <c r="I47">
        <v>87048</v>
      </c>
    </row>
    <row r="49" spans="1:9">
      <c r="A49" t="s">
        <v>85</v>
      </c>
      <c r="G49">
        <v>34.735674676524951</v>
      </c>
    </row>
    <row r="50" spans="1:9">
      <c r="A50" s="299" t="s">
        <v>86</v>
      </c>
      <c r="B50" s="299"/>
      <c r="C50" s="299"/>
      <c r="D50" s="299"/>
      <c r="E50" s="299"/>
      <c r="F50" s="299"/>
      <c r="G50" s="299">
        <v>24.160813308687615</v>
      </c>
      <c r="H50" s="299"/>
      <c r="I50" s="29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7"/>
  <sheetViews>
    <sheetView topLeftCell="A25" workbookViewId="0">
      <selection activeCell="N47" sqref="N47"/>
    </sheetView>
  </sheetViews>
  <sheetFormatPr defaultRowHeight="15"/>
  <sheetData>
    <row r="1" spans="1:13">
      <c r="A1" t="s">
        <v>0</v>
      </c>
      <c r="B1" t="s">
        <v>509</v>
      </c>
    </row>
    <row r="2" spans="1:13">
      <c r="B2" t="s">
        <v>510</v>
      </c>
    </row>
    <row r="3" spans="1:13">
      <c r="B3" t="s">
        <v>131</v>
      </c>
    </row>
    <row r="4" spans="1:13">
      <c r="A4" s="305" t="s">
        <v>4</v>
      </c>
      <c r="B4" s="305"/>
      <c r="C4" s="305"/>
      <c r="D4" s="305" t="s">
        <v>5</v>
      </c>
      <c r="E4" s="305" t="s">
        <v>6</v>
      </c>
      <c r="F4" s="305" t="s">
        <v>7</v>
      </c>
      <c r="G4" s="305" t="s">
        <v>8</v>
      </c>
      <c r="H4" s="305" t="s">
        <v>9</v>
      </c>
      <c r="I4" s="305" t="s">
        <v>10</v>
      </c>
      <c r="J4" s="305" t="s">
        <v>11</v>
      </c>
      <c r="K4" s="305" t="s">
        <v>12</v>
      </c>
      <c r="L4" s="305" t="s">
        <v>13</v>
      </c>
      <c r="M4" s="305"/>
    </row>
    <row r="5" spans="1:13">
      <c r="A5" s="297"/>
      <c r="B5" s="297"/>
      <c r="C5" s="297"/>
      <c r="D5" s="297" t="s">
        <v>14</v>
      </c>
      <c r="E5" s="297" t="s">
        <v>15</v>
      </c>
      <c r="F5" s="297" t="s">
        <v>15</v>
      </c>
      <c r="G5" s="297" t="s">
        <v>16</v>
      </c>
      <c r="H5" s="297" t="s">
        <v>17</v>
      </c>
      <c r="I5" s="297" t="s">
        <v>18</v>
      </c>
      <c r="J5" s="297" t="s">
        <v>17</v>
      </c>
      <c r="K5" s="297" t="s">
        <v>17</v>
      </c>
      <c r="L5" s="297" t="s">
        <v>10</v>
      </c>
      <c r="M5" s="297" t="s">
        <v>11</v>
      </c>
    </row>
    <row r="6" spans="1:13">
      <c r="A6" s="297"/>
      <c r="B6" s="297"/>
      <c r="C6" s="297"/>
      <c r="D6" s="297" t="s">
        <v>19</v>
      </c>
      <c r="E6" s="297"/>
      <c r="F6" s="297"/>
      <c r="G6" s="297"/>
      <c r="H6" s="297" t="s">
        <v>20</v>
      </c>
      <c r="I6" s="297" t="s">
        <v>17</v>
      </c>
      <c r="J6" s="297" t="s">
        <v>20</v>
      </c>
      <c r="K6" s="297" t="s">
        <v>20</v>
      </c>
      <c r="L6" s="297"/>
      <c r="M6" s="297"/>
    </row>
    <row r="7" spans="1:13">
      <c r="A7" s="299"/>
      <c r="B7" s="299"/>
      <c r="C7" s="299"/>
      <c r="D7" s="299"/>
      <c r="E7" s="299"/>
      <c r="F7" s="299"/>
      <c r="G7" s="299"/>
      <c r="H7" s="299"/>
      <c r="I7" s="299" t="s">
        <v>20</v>
      </c>
      <c r="J7" s="299"/>
      <c r="K7" s="299"/>
      <c r="L7" s="299"/>
      <c r="M7" s="299"/>
    </row>
    <row r="8" spans="1:13">
      <c r="A8" t="s">
        <v>22</v>
      </c>
      <c r="D8">
        <v>73.33</v>
      </c>
      <c r="E8">
        <v>1.34</v>
      </c>
      <c r="F8">
        <v>1.03</v>
      </c>
      <c r="G8">
        <v>1100</v>
      </c>
      <c r="H8">
        <v>1474</v>
      </c>
      <c r="K8">
        <v>1474</v>
      </c>
    </row>
    <row r="9" spans="1:13">
      <c r="A9" t="s">
        <v>392</v>
      </c>
      <c r="D9">
        <v>90.32</v>
      </c>
      <c r="E9">
        <v>0.38</v>
      </c>
      <c r="F9">
        <v>0.38</v>
      </c>
      <c r="G9">
        <v>1100</v>
      </c>
      <c r="H9">
        <v>418</v>
      </c>
      <c r="I9">
        <v>7738</v>
      </c>
      <c r="K9">
        <v>8156</v>
      </c>
      <c r="L9">
        <v>172</v>
      </c>
    </row>
    <row r="10" spans="1:13">
      <c r="A10" t="s">
        <v>511</v>
      </c>
      <c r="C10" t="s">
        <v>512</v>
      </c>
      <c r="D10" t="s">
        <v>243</v>
      </c>
      <c r="E10" t="s">
        <v>513</v>
      </c>
      <c r="F10" t="s">
        <v>513</v>
      </c>
      <c r="G10" t="s">
        <v>514</v>
      </c>
      <c r="H10" t="s">
        <v>515</v>
      </c>
      <c r="I10" t="s">
        <v>516</v>
      </c>
    </row>
    <row r="11" spans="1:13">
      <c r="A11" t="s">
        <v>517</v>
      </c>
      <c r="D11">
        <v>90</v>
      </c>
      <c r="E11">
        <v>4.49</v>
      </c>
      <c r="F11">
        <v>1.47</v>
      </c>
      <c r="G11">
        <v>1193</v>
      </c>
      <c r="H11">
        <v>5357</v>
      </c>
      <c r="K11">
        <v>5357</v>
      </c>
    </row>
    <row r="12" spans="1:13">
      <c r="A12" t="s">
        <v>99</v>
      </c>
      <c r="D12">
        <v>86.67</v>
      </c>
      <c r="E12">
        <v>5.36</v>
      </c>
      <c r="F12">
        <v>1.35</v>
      </c>
      <c r="G12">
        <v>1001</v>
      </c>
      <c r="H12">
        <v>5365</v>
      </c>
      <c r="J12">
        <v>3207</v>
      </c>
      <c r="K12">
        <v>8572</v>
      </c>
    </row>
    <row r="13" spans="1:13">
      <c r="A13" t="s">
        <v>228</v>
      </c>
      <c r="D13">
        <v>13.33</v>
      </c>
      <c r="E13" t="s">
        <v>518</v>
      </c>
      <c r="F13" t="s">
        <v>519</v>
      </c>
      <c r="G13" t="s">
        <v>520</v>
      </c>
      <c r="H13" t="s">
        <v>521</v>
      </c>
    </row>
    <row r="14" spans="1:13">
      <c r="A14" t="s">
        <v>395</v>
      </c>
      <c r="D14">
        <v>80</v>
      </c>
      <c r="E14">
        <v>7.98</v>
      </c>
      <c r="F14">
        <v>2.29</v>
      </c>
      <c r="G14">
        <v>1006</v>
      </c>
      <c r="H14">
        <v>8028</v>
      </c>
      <c r="K14">
        <v>8028</v>
      </c>
    </row>
    <row r="15" spans="1:13">
      <c r="A15" t="s">
        <v>35</v>
      </c>
      <c r="D15">
        <v>93.33</v>
      </c>
      <c r="E15">
        <v>1.1299999999999999</v>
      </c>
      <c r="F15">
        <v>0.7</v>
      </c>
      <c r="G15">
        <v>1310</v>
      </c>
      <c r="H15">
        <v>1480</v>
      </c>
      <c r="J15">
        <v>2320</v>
      </c>
      <c r="K15">
        <v>3800</v>
      </c>
    </row>
    <row r="16" spans="1:13">
      <c r="A16" t="s">
        <v>36</v>
      </c>
      <c r="D16">
        <v>100</v>
      </c>
      <c r="E16">
        <v>2.63</v>
      </c>
      <c r="F16">
        <v>2.63</v>
      </c>
      <c r="G16">
        <v>1200</v>
      </c>
      <c r="H16">
        <v>3156</v>
      </c>
      <c r="K16">
        <v>3156</v>
      </c>
    </row>
    <row r="17" spans="1:12">
      <c r="A17" t="s">
        <v>522</v>
      </c>
      <c r="D17">
        <v>100</v>
      </c>
      <c r="E17">
        <v>9.58</v>
      </c>
      <c r="F17">
        <v>2.54</v>
      </c>
      <c r="G17">
        <v>980</v>
      </c>
      <c r="H17">
        <v>9388</v>
      </c>
      <c r="K17">
        <v>9388</v>
      </c>
    </row>
    <row r="18" spans="1:12">
      <c r="A18" t="s">
        <v>523</v>
      </c>
      <c r="D18">
        <v>90</v>
      </c>
      <c r="E18">
        <v>2.5299999999999998</v>
      </c>
      <c r="F18">
        <v>1</v>
      </c>
      <c r="G18">
        <v>1211</v>
      </c>
      <c r="H18">
        <v>3064</v>
      </c>
      <c r="I18">
        <v>3730</v>
      </c>
      <c r="K18">
        <v>6794</v>
      </c>
      <c r="L18">
        <v>95</v>
      </c>
    </row>
    <row r="19" spans="1:12">
      <c r="A19" t="s">
        <v>524</v>
      </c>
      <c r="D19" t="s">
        <v>525</v>
      </c>
      <c r="E19" t="s">
        <v>526</v>
      </c>
      <c r="F19" t="s">
        <v>527</v>
      </c>
      <c r="G19" t="s">
        <v>528</v>
      </c>
      <c r="H19" t="s">
        <v>529</v>
      </c>
      <c r="I19" t="s">
        <v>530</v>
      </c>
    </row>
    <row r="20" spans="1:12">
      <c r="A20" t="s">
        <v>531</v>
      </c>
      <c r="D20" t="s">
        <v>45</v>
      </c>
      <c r="E20" t="s">
        <v>532</v>
      </c>
      <c r="F20" t="s">
        <v>532</v>
      </c>
      <c r="G20" t="s">
        <v>528</v>
      </c>
      <c r="H20" t="s">
        <v>533</v>
      </c>
    </row>
    <row r="21" spans="1:12">
      <c r="A21" t="s">
        <v>399</v>
      </c>
      <c r="D21">
        <v>53.33</v>
      </c>
      <c r="E21">
        <v>0.31</v>
      </c>
      <c r="F21">
        <v>0.31</v>
      </c>
      <c r="G21">
        <v>1200</v>
      </c>
      <c r="H21">
        <v>372</v>
      </c>
      <c r="I21">
        <v>240</v>
      </c>
      <c r="K21">
        <v>612</v>
      </c>
      <c r="L21">
        <v>14</v>
      </c>
    </row>
    <row r="22" spans="1:12">
      <c r="A22" s="305" t="s">
        <v>46</v>
      </c>
      <c r="B22" s="305"/>
      <c r="C22" s="305"/>
      <c r="D22" s="305"/>
      <c r="E22" s="305">
        <v>35.730000000000004</v>
      </c>
      <c r="F22" s="305">
        <v>13.700000000000001</v>
      </c>
      <c r="G22" s="305"/>
      <c r="H22" s="305">
        <v>38102</v>
      </c>
      <c r="I22" s="305">
        <v>11708</v>
      </c>
      <c r="J22" s="305">
        <v>5527</v>
      </c>
      <c r="K22" s="305">
        <v>55337</v>
      </c>
      <c r="L22" s="305">
        <v>281</v>
      </c>
    </row>
    <row r="23" spans="1:12">
      <c r="A23" s="299" t="s">
        <v>47</v>
      </c>
      <c r="B23" s="299"/>
      <c r="C23" s="299"/>
      <c r="D23" s="299"/>
      <c r="E23" s="299">
        <v>22.03</v>
      </c>
      <c r="F23" s="299"/>
      <c r="G23" s="299"/>
      <c r="H23" s="299">
        <v>23276</v>
      </c>
      <c r="I23" s="299">
        <v>11427</v>
      </c>
      <c r="J23" s="299">
        <v>5527</v>
      </c>
      <c r="K23" s="299">
        <v>40230</v>
      </c>
      <c r="L23" s="299"/>
    </row>
    <row r="25" spans="1:12">
      <c r="C25" t="s">
        <v>103</v>
      </c>
    </row>
    <row r="27" spans="1:12">
      <c r="A27" t="s">
        <v>50</v>
      </c>
    </row>
    <row r="28" spans="1:12">
      <c r="A28" t="s">
        <v>51</v>
      </c>
      <c r="D28" t="s">
        <v>52</v>
      </c>
      <c r="E28" t="s">
        <v>53</v>
      </c>
      <c r="G28" t="s">
        <v>54</v>
      </c>
    </row>
    <row r="29" spans="1:12">
      <c r="A29" t="s">
        <v>55</v>
      </c>
      <c r="J29" s="309" t="s">
        <v>105</v>
      </c>
      <c r="K29" s="310">
        <v>1.58</v>
      </c>
    </row>
    <row r="30" spans="1:12">
      <c r="A30" t="s">
        <v>56</v>
      </c>
      <c r="D30" t="s">
        <v>75</v>
      </c>
      <c r="E30">
        <v>10.62</v>
      </c>
      <c r="G30">
        <v>302</v>
      </c>
      <c r="J30" s="311" t="s">
        <v>58</v>
      </c>
      <c r="K30" s="313">
        <v>1</v>
      </c>
    </row>
    <row r="31" spans="1:12">
      <c r="A31" t="s">
        <v>64</v>
      </c>
    </row>
    <row r="32" spans="1:12">
      <c r="A32" t="s">
        <v>65</v>
      </c>
      <c r="D32" t="s">
        <v>66</v>
      </c>
      <c r="E32">
        <v>22</v>
      </c>
      <c r="G32">
        <v>1058</v>
      </c>
      <c r="J32" s="309" t="s">
        <v>143</v>
      </c>
      <c r="K32" s="310"/>
    </row>
    <row r="33" spans="1:11">
      <c r="A33" t="s">
        <v>68</v>
      </c>
      <c r="D33" t="s">
        <v>66</v>
      </c>
      <c r="E33">
        <v>14</v>
      </c>
      <c r="J33" s="495" t="s">
        <v>231</v>
      </c>
      <c r="K33" s="496">
        <v>0.7</v>
      </c>
    </row>
    <row r="34" spans="1:11">
      <c r="A34" t="s">
        <v>6</v>
      </c>
      <c r="E34">
        <v>36</v>
      </c>
      <c r="J34" s="495" t="s">
        <v>198</v>
      </c>
      <c r="K34" s="496">
        <v>3.3300000000000003E-2</v>
      </c>
    </row>
    <row r="35" spans="1:11">
      <c r="A35" s="305" t="s">
        <v>77</v>
      </c>
      <c r="B35" s="305"/>
      <c r="C35" s="305"/>
      <c r="D35" s="305"/>
      <c r="E35" s="305"/>
      <c r="F35" s="305"/>
      <c r="G35" s="305" t="s">
        <v>78</v>
      </c>
      <c r="H35" s="305" t="s">
        <v>79</v>
      </c>
      <c r="I35" s="305"/>
      <c r="J35" s="311" t="s">
        <v>71</v>
      </c>
      <c r="K35" s="313">
        <v>0.26669999999999999</v>
      </c>
    </row>
    <row r="36" spans="1:11">
      <c r="A36" s="297" t="s">
        <v>80</v>
      </c>
      <c r="B36" s="297"/>
      <c r="C36" s="297"/>
      <c r="D36" s="297"/>
      <c r="E36" s="297"/>
      <c r="F36" s="297"/>
      <c r="G36" s="297">
        <v>378</v>
      </c>
      <c r="H36" s="297">
        <v>934</v>
      </c>
      <c r="I36" s="297"/>
    </row>
    <row r="37" spans="1:11">
      <c r="A37" s="297" t="s">
        <v>81</v>
      </c>
      <c r="B37" s="297"/>
      <c r="C37" s="297"/>
      <c r="D37" s="297"/>
      <c r="E37" s="297"/>
      <c r="F37" s="297"/>
      <c r="G37" s="297">
        <v>177</v>
      </c>
      <c r="H37" s="297"/>
      <c r="I37" s="297"/>
    </row>
    <row r="38" spans="1:11">
      <c r="A38" s="297" t="s">
        <v>82</v>
      </c>
      <c r="B38" s="297"/>
      <c r="C38" s="297"/>
      <c r="D38" s="297"/>
      <c r="E38" s="297"/>
      <c r="F38" s="297"/>
      <c r="G38" s="297">
        <v>66906</v>
      </c>
      <c r="H38" s="297">
        <v>165325</v>
      </c>
      <c r="I38" s="297"/>
    </row>
    <row r="39" spans="1:11">
      <c r="A39" s="297" t="s">
        <v>83</v>
      </c>
      <c r="B39" s="297"/>
      <c r="C39" s="297"/>
      <c r="D39" s="297"/>
      <c r="E39" s="297"/>
      <c r="F39" s="297"/>
      <c r="G39" s="297">
        <v>11569</v>
      </c>
      <c r="H39" s="297">
        <v>28586.999</v>
      </c>
      <c r="I39" s="297"/>
    </row>
    <row r="40" spans="1:11">
      <c r="A40" s="297" t="s">
        <v>84</v>
      </c>
      <c r="B40" s="297"/>
      <c r="C40" s="297"/>
      <c r="D40" s="297"/>
      <c r="E40" s="297"/>
      <c r="F40" s="297"/>
      <c r="G40" s="297">
        <v>26676</v>
      </c>
      <c r="H40" s="297">
        <v>65916</v>
      </c>
      <c r="I40" s="297"/>
    </row>
    <row r="41" spans="1:11">
      <c r="A41" s="297" t="s">
        <v>85</v>
      </c>
      <c r="B41" s="297"/>
      <c r="C41" s="297"/>
      <c r="D41" s="297"/>
      <c r="E41" s="297"/>
      <c r="F41" s="297"/>
      <c r="G41" s="297">
        <v>146.3941798941799</v>
      </c>
      <c r="H41" s="297"/>
      <c r="I41" s="297"/>
    </row>
    <row r="42" spans="1:11">
      <c r="A42" s="297" t="s">
        <v>86</v>
      </c>
      <c r="B42" s="297"/>
      <c r="C42" s="297"/>
      <c r="D42" s="297"/>
      <c r="E42" s="297"/>
      <c r="F42" s="297"/>
      <c r="G42" s="297">
        <v>106.42857142857143</v>
      </c>
      <c r="H42" s="297"/>
      <c r="I42" s="297"/>
    </row>
    <row r="43" spans="1:11">
      <c r="A43" s="299"/>
      <c r="B43" s="299"/>
      <c r="C43" s="299"/>
      <c r="D43" s="299"/>
      <c r="E43" s="299"/>
      <c r="F43" s="299"/>
      <c r="G43" s="299"/>
      <c r="H43" s="299"/>
      <c r="I43" s="299"/>
    </row>
    <row r="44" spans="1:11">
      <c r="A44" t="s">
        <v>113</v>
      </c>
    </row>
    <row r="45" spans="1:11">
      <c r="C45" t="s">
        <v>534</v>
      </c>
    </row>
    <row r="46" spans="1:11">
      <c r="C46" t="s">
        <v>535</v>
      </c>
    </row>
    <row r="47" spans="1:11">
      <c r="C47" t="s">
        <v>536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46"/>
  <sheetViews>
    <sheetView topLeftCell="A16" workbookViewId="0">
      <selection activeCell="O33" sqref="O33"/>
    </sheetView>
  </sheetViews>
  <sheetFormatPr defaultRowHeight="15"/>
  <sheetData>
    <row r="1" spans="1:13">
      <c r="A1" t="s">
        <v>0</v>
      </c>
      <c r="B1" t="s">
        <v>537</v>
      </c>
    </row>
    <row r="2" spans="1:13">
      <c r="B2" t="s">
        <v>538</v>
      </c>
    </row>
    <row r="3" spans="1:13">
      <c r="A3" s="305"/>
      <c r="B3" s="305" t="s">
        <v>539</v>
      </c>
      <c r="C3" s="305"/>
      <c r="D3" s="305"/>
      <c r="E3" s="305"/>
      <c r="F3" s="305"/>
      <c r="G3" s="305"/>
      <c r="H3" s="305"/>
      <c r="I3" s="305"/>
      <c r="J3" s="305"/>
      <c r="K3" s="305"/>
      <c r="L3" s="305"/>
      <c r="M3" s="305"/>
    </row>
    <row r="4" spans="1:13">
      <c r="A4" s="297" t="s">
        <v>4</v>
      </c>
      <c r="B4" s="297"/>
      <c r="C4" s="297"/>
      <c r="D4" s="297" t="s">
        <v>5</v>
      </c>
      <c r="E4" s="297" t="s">
        <v>6</v>
      </c>
      <c r="F4" s="297" t="s">
        <v>7</v>
      </c>
      <c r="G4" s="297" t="s">
        <v>8</v>
      </c>
      <c r="H4" s="297" t="s">
        <v>9</v>
      </c>
      <c r="I4" s="297" t="s">
        <v>10</v>
      </c>
      <c r="J4" s="297" t="s">
        <v>11</v>
      </c>
      <c r="K4" s="297" t="s">
        <v>12</v>
      </c>
      <c r="L4" s="297" t="s">
        <v>13</v>
      </c>
      <c r="M4" s="297"/>
    </row>
    <row r="5" spans="1:13">
      <c r="A5" s="297"/>
      <c r="B5" s="297"/>
      <c r="C5" s="297"/>
      <c r="D5" s="297" t="s">
        <v>14</v>
      </c>
      <c r="E5" s="297" t="s">
        <v>15</v>
      </c>
      <c r="F5" s="297" t="s">
        <v>15</v>
      </c>
      <c r="G5" s="297" t="s">
        <v>16</v>
      </c>
      <c r="H5" s="297" t="s">
        <v>17</v>
      </c>
      <c r="I5" s="297" t="s">
        <v>18</v>
      </c>
      <c r="J5" s="297" t="s">
        <v>17</v>
      </c>
      <c r="K5" s="297" t="s">
        <v>17</v>
      </c>
      <c r="L5" s="297" t="s">
        <v>10</v>
      </c>
      <c r="M5" s="297" t="s">
        <v>11</v>
      </c>
    </row>
    <row r="6" spans="1:13">
      <c r="A6" s="297"/>
      <c r="B6" s="297"/>
      <c r="C6" s="297"/>
      <c r="D6" s="297" t="s">
        <v>19</v>
      </c>
      <c r="E6" s="297"/>
      <c r="F6" s="297"/>
      <c r="G6" s="297"/>
      <c r="H6" s="297" t="s">
        <v>20</v>
      </c>
      <c r="I6" s="297" t="s">
        <v>17</v>
      </c>
      <c r="J6" s="297" t="s">
        <v>20</v>
      </c>
      <c r="K6" s="297" t="s">
        <v>20</v>
      </c>
      <c r="L6" s="297"/>
      <c r="M6" s="297"/>
    </row>
    <row r="7" spans="1:13">
      <c r="A7" s="299"/>
      <c r="B7" s="299"/>
      <c r="C7" s="299"/>
      <c r="D7" s="299"/>
      <c r="E7" s="299"/>
      <c r="F7" s="299"/>
      <c r="G7" s="299"/>
      <c r="H7" s="299"/>
      <c r="I7" s="299" t="s">
        <v>20</v>
      </c>
      <c r="J7" s="299"/>
      <c r="K7" s="299"/>
      <c r="L7" s="299"/>
      <c r="M7" s="299"/>
    </row>
    <row r="8" spans="1:13">
      <c r="A8" t="s">
        <v>309</v>
      </c>
      <c r="D8" t="s">
        <v>363</v>
      </c>
      <c r="H8" t="s">
        <v>540</v>
      </c>
    </row>
    <row r="9" spans="1:13">
      <c r="A9" t="s">
        <v>541</v>
      </c>
      <c r="D9">
        <v>73</v>
      </c>
      <c r="E9">
        <v>0.66</v>
      </c>
      <c r="F9">
        <v>0.66</v>
      </c>
      <c r="G9">
        <v>1112</v>
      </c>
      <c r="H9">
        <v>734</v>
      </c>
      <c r="I9">
        <v>5249</v>
      </c>
      <c r="K9">
        <v>5983</v>
      </c>
      <c r="L9">
        <v>107</v>
      </c>
    </row>
    <row r="10" spans="1:13">
      <c r="A10" t="s">
        <v>542</v>
      </c>
      <c r="D10" t="s">
        <v>39</v>
      </c>
      <c r="H10">
        <v>0</v>
      </c>
      <c r="K10">
        <v>0</v>
      </c>
    </row>
    <row r="11" spans="1:13">
      <c r="A11" t="s">
        <v>543</v>
      </c>
      <c r="D11">
        <v>67</v>
      </c>
      <c r="E11">
        <v>2.89</v>
      </c>
      <c r="F11">
        <v>2.4300000000000002</v>
      </c>
      <c r="G11">
        <v>1049</v>
      </c>
      <c r="H11">
        <v>3032</v>
      </c>
      <c r="I11">
        <v>1718</v>
      </c>
      <c r="J11">
        <v>3601</v>
      </c>
      <c r="K11">
        <v>8351</v>
      </c>
      <c r="L11">
        <v>271</v>
      </c>
      <c r="M11">
        <v>504</v>
      </c>
    </row>
    <row r="12" spans="1:13">
      <c r="B12" t="s">
        <v>544</v>
      </c>
      <c r="D12" t="s">
        <v>223</v>
      </c>
      <c r="H12" t="s">
        <v>545</v>
      </c>
      <c r="I12" t="s">
        <v>546</v>
      </c>
      <c r="K12">
        <v>0</v>
      </c>
    </row>
    <row r="13" spans="1:13">
      <c r="A13" t="s">
        <v>429</v>
      </c>
      <c r="D13">
        <v>100</v>
      </c>
      <c r="E13">
        <v>6.54</v>
      </c>
      <c r="F13">
        <v>4.67</v>
      </c>
      <c r="G13">
        <v>1047</v>
      </c>
      <c r="H13">
        <v>6847</v>
      </c>
      <c r="K13">
        <v>6847</v>
      </c>
    </row>
    <row r="14" spans="1:13">
      <c r="A14" t="s">
        <v>547</v>
      </c>
      <c r="D14">
        <v>80</v>
      </c>
      <c r="E14">
        <v>0.36499999999999999</v>
      </c>
      <c r="F14">
        <v>0.36</v>
      </c>
      <c r="G14">
        <v>1150</v>
      </c>
      <c r="H14">
        <v>420</v>
      </c>
      <c r="J14">
        <v>951</v>
      </c>
      <c r="K14">
        <v>1371</v>
      </c>
    </row>
    <row r="15" spans="1:13">
      <c r="A15" t="s">
        <v>35</v>
      </c>
      <c r="D15">
        <v>97</v>
      </c>
      <c r="E15">
        <v>0.33700000000000002</v>
      </c>
      <c r="F15">
        <v>3.6999999999999998E-2</v>
      </c>
      <c r="G15">
        <v>1171</v>
      </c>
      <c r="H15">
        <v>395</v>
      </c>
      <c r="J15">
        <v>996</v>
      </c>
      <c r="K15">
        <v>1391</v>
      </c>
    </row>
    <row r="16" spans="1:13">
      <c r="A16" t="s">
        <v>229</v>
      </c>
      <c r="D16">
        <v>100</v>
      </c>
      <c r="E16">
        <v>8.01</v>
      </c>
      <c r="F16">
        <v>4.74</v>
      </c>
      <c r="G16">
        <v>1000</v>
      </c>
      <c r="H16">
        <v>8010</v>
      </c>
      <c r="K16">
        <v>8010</v>
      </c>
    </row>
    <row r="17" spans="1:13">
      <c r="A17" t="s">
        <v>548</v>
      </c>
      <c r="D17">
        <v>100</v>
      </c>
      <c r="E17">
        <v>2.11</v>
      </c>
      <c r="F17">
        <v>2.0099999999999998</v>
      </c>
      <c r="G17">
        <v>998</v>
      </c>
      <c r="H17">
        <v>2106</v>
      </c>
      <c r="K17">
        <v>2106</v>
      </c>
    </row>
    <row r="18" spans="1:13">
      <c r="A18" t="s">
        <v>549</v>
      </c>
      <c r="D18">
        <v>73</v>
      </c>
      <c r="E18">
        <v>1.08</v>
      </c>
      <c r="F18">
        <v>0.94</v>
      </c>
      <c r="G18">
        <v>1006</v>
      </c>
      <c r="H18">
        <v>1086</v>
      </c>
      <c r="K18">
        <v>1086</v>
      </c>
    </row>
    <row r="19" spans="1:13">
      <c r="A19" s="305" t="s">
        <v>46</v>
      </c>
      <c r="B19" s="305"/>
      <c r="C19" s="305"/>
      <c r="D19" s="305"/>
      <c r="E19" s="305">
        <v>21.991999999999997</v>
      </c>
      <c r="F19" s="305">
        <v>15.847</v>
      </c>
      <c r="G19" s="305"/>
      <c r="H19" s="305">
        <v>22630</v>
      </c>
      <c r="I19" s="305">
        <v>6967</v>
      </c>
      <c r="J19" s="305">
        <v>5548</v>
      </c>
      <c r="K19" s="305">
        <v>35145</v>
      </c>
      <c r="L19" s="305">
        <v>378</v>
      </c>
      <c r="M19" s="305">
        <v>504</v>
      </c>
    </row>
    <row r="20" spans="1:13">
      <c r="A20" s="299" t="s">
        <v>47</v>
      </c>
      <c r="B20" s="299"/>
      <c r="C20" s="299"/>
      <c r="D20" s="299"/>
      <c r="E20" s="299">
        <v>6.1449999999999978</v>
      </c>
      <c r="F20" s="299"/>
      <c r="G20" s="299"/>
      <c r="H20" s="299">
        <v>6323</v>
      </c>
      <c r="I20" s="299">
        <v>6589</v>
      </c>
      <c r="J20" s="299">
        <v>5044</v>
      </c>
      <c r="K20" s="299">
        <v>17956</v>
      </c>
      <c r="L20" s="299"/>
      <c r="M20" s="299"/>
    </row>
    <row r="22" spans="1:13">
      <c r="C22" t="s">
        <v>103</v>
      </c>
    </row>
    <row r="24" spans="1:13">
      <c r="A24" t="s">
        <v>50</v>
      </c>
    </row>
    <row r="25" spans="1:13">
      <c r="A25" t="s">
        <v>51</v>
      </c>
      <c r="D25" t="s">
        <v>52</v>
      </c>
      <c r="E25" t="s">
        <v>53</v>
      </c>
      <c r="G25" t="s">
        <v>54</v>
      </c>
      <c r="J25" t="s">
        <v>143</v>
      </c>
    </row>
    <row r="26" spans="1:13">
      <c r="A26" t="s">
        <v>55</v>
      </c>
      <c r="J26" s="309" t="s">
        <v>550</v>
      </c>
      <c r="K26" s="310">
        <v>0.92</v>
      </c>
    </row>
    <row r="27" spans="1:13">
      <c r="A27" t="s">
        <v>551</v>
      </c>
      <c r="D27" t="s">
        <v>75</v>
      </c>
      <c r="E27">
        <v>13</v>
      </c>
      <c r="G27">
        <v>277</v>
      </c>
      <c r="J27" s="311" t="s">
        <v>552</v>
      </c>
      <c r="K27" s="313">
        <v>0.08</v>
      </c>
    </row>
    <row r="29" spans="1:13">
      <c r="J29" s="309" t="s">
        <v>105</v>
      </c>
      <c r="K29" s="310">
        <v>1.6</v>
      </c>
    </row>
    <row r="30" spans="1:13">
      <c r="A30" t="s">
        <v>64</v>
      </c>
      <c r="J30" s="311" t="s">
        <v>58</v>
      </c>
      <c r="K30" s="313">
        <v>1</v>
      </c>
    </row>
    <row r="31" spans="1:13">
      <c r="A31" t="s">
        <v>65</v>
      </c>
      <c r="D31" t="s">
        <v>66</v>
      </c>
      <c r="E31">
        <v>6.1449999999999978</v>
      </c>
      <c r="G31">
        <v>1029</v>
      </c>
    </row>
    <row r="32" spans="1:13">
      <c r="A32" t="s">
        <v>68</v>
      </c>
      <c r="D32" t="s">
        <v>66</v>
      </c>
      <c r="E32">
        <v>15.847</v>
      </c>
    </row>
    <row r="33" spans="1:8">
      <c r="A33" t="s">
        <v>6</v>
      </c>
      <c r="E33">
        <v>21.991999999999997</v>
      </c>
    </row>
    <row r="34" spans="1:8">
      <c r="A34" t="s">
        <v>553</v>
      </c>
    </row>
    <row r="35" spans="1:8">
      <c r="A35" t="s">
        <v>554</v>
      </c>
      <c r="B35" t="s">
        <v>555</v>
      </c>
    </row>
    <row r="36" spans="1:8">
      <c r="A36" t="s">
        <v>556</v>
      </c>
      <c r="B36">
        <v>80</v>
      </c>
      <c r="E36">
        <v>1</v>
      </c>
      <c r="G36">
        <v>951</v>
      </c>
    </row>
    <row r="37" spans="1:8">
      <c r="A37" t="s">
        <v>107</v>
      </c>
      <c r="C37" t="s">
        <v>73</v>
      </c>
    </row>
    <row r="38" spans="1:8">
      <c r="B38" t="s">
        <v>557</v>
      </c>
      <c r="G38">
        <v>950.8</v>
      </c>
    </row>
    <row r="39" spans="1:8">
      <c r="A39" s="305" t="s">
        <v>77</v>
      </c>
      <c r="B39" s="305"/>
      <c r="C39" s="305"/>
      <c r="D39" s="305"/>
      <c r="E39" s="305"/>
      <c r="F39" s="305"/>
      <c r="G39" s="305" t="s">
        <v>387</v>
      </c>
      <c r="H39" s="305" t="s">
        <v>79</v>
      </c>
    </row>
    <row r="40" spans="1:8">
      <c r="A40" t="s">
        <v>80</v>
      </c>
      <c r="G40">
        <v>287</v>
      </c>
      <c r="H40">
        <v>709</v>
      </c>
    </row>
    <row r="41" spans="1:8">
      <c r="A41" t="s">
        <v>81</v>
      </c>
      <c r="G41">
        <v>178</v>
      </c>
    </row>
    <row r="42" spans="1:8">
      <c r="A42" t="s">
        <v>82</v>
      </c>
      <c r="G42">
        <v>51086</v>
      </c>
      <c r="H42">
        <v>126234</v>
      </c>
    </row>
    <row r="43" spans="1:8">
      <c r="A43" t="s">
        <v>83</v>
      </c>
      <c r="G43">
        <v>15941</v>
      </c>
      <c r="H43">
        <v>39390</v>
      </c>
    </row>
    <row r="44" spans="1:8">
      <c r="A44" t="s">
        <v>84</v>
      </c>
      <c r="G44">
        <v>33130</v>
      </c>
      <c r="H44">
        <v>81864</v>
      </c>
    </row>
    <row r="45" spans="1:8">
      <c r="A45" t="s">
        <v>85</v>
      </c>
      <c r="G45">
        <v>122.45644599303135</v>
      </c>
    </row>
    <row r="46" spans="1:8">
      <c r="A46" s="299" t="s">
        <v>86</v>
      </c>
      <c r="B46" s="299"/>
      <c r="C46" s="299"/>
      <c r="D46" s="299"/>
      <c r="E46" s="299"/>
      <c r="F46" s="299"/>
      <c r="G46" s="299">
        <v>62.564459930313589</v>
      </c>
      <c r="H46" s="29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47"/>
  <sheetViews>
    <sheetView topLeftCell="A7" workbookViewId="0">
      <selection activeCell="G37" sqref="G37"/>
    </sheetView>
  </sheetViews>
  <sheetFormatPr defaultRowHeight="15"/>
  <cols>
    <col min="1" max="6" width="9.140625" style="2"/>
    <col min="7" max="7" width="11.140625" style="2" customWidth="1"/>
    <col min="8" max="8" width="11.42578125" style="2" customWidth="1"/>
    <col min="9" max="9" width="10.7109375" style="2" customWidth="1"/>
    <col min="10" max="10" width="9.140625" style="2"/>
    <col min="11" max="11" width="11.7109375" style="2" customWidth="1"/>
    <col min="12" max="16384" width="9.140625" style="2"/>
  </cols>
  <sheetData>
    <row r="1" spans="1:13">
      <c r="A1" s="4" t="s">
        <v>0</v>
      </c>
      <c r="B1" s="4" t="s">
        <v>152</v>
      </c>
      <c r="C1" s="4"/>
      <c r="D1" s="4"/>
      <c r="E1" s="4"/>
      <c r="F1" s="4"/>
      <c r="G1" s="4"/>
      <c r="H1" s="4"/>
      <c r="I1" s="4"/>
      <c r="J1" s="4"/>
      <c r="K1" s="4"/>
      <c r="L1" s="4"/>
      <c r="M1" s="4"/>
    </row>
    <row r="2" spans="1:13">
      <c r="A2" s="4"/>
      <c r="B2" s="4" t="s">
        <v>153</v>
      </c>
      <c r="C2" s="4"/>
      <c r="D2" s="4"/>
      <c r="E2" s="4"/>
      <c r="F2" s="4"/>
      <c r="G2" s="4"/>
      <c r="H2" s="4"/>
      <c r="I2" s="4"/>
      <c r="J2" s="4"/>
      <c r="K2" s="4"/>
      <c r="L2" s="4"/>
      <c r="M2" s="4"/>
    </row>
    <row r="3" spans="1:13">
      <c r="A3" s="4"/>
      <c r="B3" s="4" t="s">
        <v>154</v>
      </c>
      <c r="C3" s="4"/>
      <c r="D3" s="4"/>
      <c r="E3" s="4"/>
      <c r="F3" s="4"/>
      <c r="G3" s="4"/>
      <c r="H3" s="4" t="s">
        <v>155</v>
      </c>
      <c r="I3" s="4" t="s">
        <v>156</v>
      </c>
      <c r="J3" s="4"/>
      <c r="K3" s="4"/>
      <c r="L3" s="4"/>
      <c r="M3" s="4"/>
    </row>
    <row r="4" spans="1:13">
      <c r="A4" s="4"/>
      <c r="B4" s="4" t="s">
        <v>157</v>
      </c>
      <c r="C4" s="4"/>
      <c r="D4" s="4"/>
      <c r="E4" s="4"/>
      <c r="F4" s="4"/>
      <c r="G4" s="4"/>
      <c r="H4" s="4"/>
      <c r="I4" s="4"/>
      <c r="J4" s="4"/>
      <c r="K4" s="4"/>
      <c r="L4" s="4"/>
      <c r="M4" s="4"/>
    </row>
    <row r="5" spans="1:13">
      <c r="A5" s="114" t="s">
        <v>4</v>
      </c>
      <c r="B5" s="114"/>
      <c r="C5" s="114"/>
      <c r="D5" s="115" t="s">
        <v>5</v>
      </c>
      <c r="E5" s="115" t="s">
        <v>6</v>
      </c>
      <c r="F5" s="115" t="s">
        <v>7</v>
      </c>
      <c r="G5" s="115" t="s">
        <v>8</v>
      </c>
      <c r="H5" s="115" t="s">
        <v>9</v>
      </c>
      <c r="I5" s="116" t="s">
        <v>10</v>
      </c>
      <c r="J5" s="116" t="s">
        <v>11</v>
      </c>
      <c r="K5" s="116" t="s">
        <v>12</v>
      </c>
      <c r="L5" s="492" t="s">
        <v>158</v>
      </c>
      <c r="M5" s="492"/>
    </row>
    <row r="6" spans="1:13">
      <c r="A6" s="117"/>
      <c r="B6" s="117"/>
      <c r="C6" s="117"/>
      <c r="D6" s="118" t="s">
        <v>14</v>
      </c>
      <c r="E6" s="118" t="s">
        <v>15</v>
      </c>
      <c r="F6" s="118" t="s">
        <v>15</v>
      </c>
      <c r="G6" s="118" t="s">
        <v>16</v>
      </c>
      <c r="H6" s="118" t="s">
        <v>17</v>
      </c>
      <c r="I6" s="119" t="s">
        <v>18</v>
      </c>
      <c r="J6" s="119" t="s">
        <v>17</v>
      </c>
      <c r="K6" s="119" t="s">
        <v>17</v>
      </c>
      <c r="L6" s="120" t="s">
        <v>10</v>
      </c>
      <c r="M6" s="120" t="s">
        <v>11</v>
      </c>
    </row>
    <row r="7" spans="1:13">
      <c r="A7" s="117"/>
      <c r="B7" s="117"/>
      <c r="C7" s="117"/>
      <c r="D7" s="118" t="s">
        <v>19</v>
      </c>
      <c r="E7" s="118"/>
      <c r="F7" s="118"/>
      <c r="G7" s="118"/>
      <c r="H7" s="118" t="s">
        <v>20</v>
      </c>
      <c r="I7" s="119" t="s">
        <v>17</v>
      </c>
      <c r="J7" s="119" t="s">
        <v>20</v>
      </c>
      <c r="K7" s="119" t="s">
        <v>20</v>
      </c>
      <c r="L7" s="119"/>
      <c r="M7" s="119"/>
    </row>
    <row r="8" spans="1:13">
      <c r="A8" s="121"/>
      <c r="B8" s="121"/>
      <c r="C8" s="121"/>
      <c r="D8" s="122"/>
      <c r="E8" s="122"/>
      <c r="F8" s="122"/>
      <c r="G8" s="122"/>
      <c r="H8" s="122"/>
      <c r="I8" s="123" t="s">
        <v>20</v>
      </c>
      <c r="J8" s="123"/>
      <c r="K8" s="123"/>
      <c r="L8" s="123"/>
      <c r="M8" s="123"/>
    </row>
    <row r="9" spans="1:13">
      <c r="A9" s="4" t="s">
        <v>22</v>
      </c>
      <c r="B9" s="4"/>
      <c r="C9" s="4"/>
      <c r="D9" s="124">
        <v>97</v>
      </c>
      <c r="E9" s="125">
        <v>13.1</v>
      </c>
      <c r="F9" s="126">
        <v>1.7</v>
      </c>
      <c r="G9" s="127">
        <v>1321</v>
      </c>
      <c r="H9" s="128">
        <v>17305</v>
      </c>
      <c r="I9" s="4"/>
      <c r="J9" s="129"/>
      <c r="K9" s="128">
        <v>17305</v>
      </c>
      <c r="L9" s="4"/>
      <c r="M9" s="4"/>
    </row>
    <row r="10" spans="1:13">
      <c r="A10" s="4" t="s">
        <v>90</v>
      </c>
      <c r="B10" s="4"/>
      <c r="C10" s="4"/>
      <c r="D10" s="124">
        <v>100</v>
      </c>
      <c r="E10" s="126">
        <v>0.97</v>
      </c>
      <c r="F10" s="126">
        <v>0.97</v>
      </c>
      <c r="G10" s="130">
        <v>1321</v>
      </c>
      <c r="H10" s="128">
        <v>1281</v>
      </c>
      <c r="I10" s="128">
        <v>9312</v>
      </c>
      <c r="J10" s="131"/>
      <c r="K10" s="128">
        <v>10593</v>
      </c>
      <c r="L10" s="4"/>
      <c r="M10" s="4"/>
    </row>
    <row r="11" spans="1:13">
      <c r="A11" s="4" t="s">
        <v>159</v>
      </c>
      <c r="B11" s="4"/>
      <c r="C11" s="4"/>
      <c r="D11" s="124">
        <v>100</v>
      </c>
      <c r="E11" s="126">
        <v>20.91</v>
      </c>
      <c r="F11" s="126">
        <v>2.87</v>
      </c>
      <c r="G11" s="130">
        <v>1289</v>
      </c>
      <c r="H11" s="128">
        <v>26953</v>
      </c>
      <c r="I11" s="128"/>
      <c r="J11" s="132" t="s">
        <v>160</v>
      </c>
      <c r="K11" s="128">
        <v>32377</v>
      </c>
      <c r="L11" s="4"/>
      <c r="M11" s="4"/>
    </row>
    <row r="12" spans="1:13">
      <c r="A12" s="4" t="s">
        <v>161</v>
      </c>
      <c r="B12" s="4"/>
      <c r="C12" s="4"/>
      <c r="D12" s="124">
        <v>100</v>
      </c>
      <c r="E12" s="133">
        <v>17.399999999999999</v>
      </c>
      <c r="F12" s="126">
        <v>6.8000000000000007</v>
      </c>
      <c r="G12" s="130">
        <v>1149</v>
      </c>
      <c r="H12" s="128">
        <v>19993</v>
      </c>
      <c r="I12" s="128"/>
      <c r="J12" s="126">
        <v>14407</v>
      </c>
      <c r="K12" s="128">
        <v>34400</v>
      </c>
      <c r="L12" s="4"/>
      <c r="M12" s="128"/>
    </row>
    <row r="13" spans="1:13">
      <c r="A13" s="4" t="s">
        <v>33</v>
      </c>
      <c r="B13" s="4"/>
      <c r="C13" s="4"/>
      <c r="D13" s="124">
        <v>100</v>
      </c>
      <c r="E13" s="126">
        <v>15.59</v>
      </c>
      <c r="F13" s="126">
        <v>8.5299999999999994</v>
      </c>
      <c r="G13" s="130">
        <v>1088</v>
      </c>
      <c r="H13" s="128">
        <v>16962</v>
      </c>
      <c r="I13" s="128"/>
      <c r="J13" s="126">
        <v>37415</v>
      </c>
      <c r="K13" s="128">
        <v>54377</v>
      </c>
      <c r="L13" s="4"/>
      <c r="M13" s="4"/>
    </row>
    <row r="14" spans="1:13">
      <c r="A14" s="4" t="s">
        <v>162</v>
      </c>
      <c r="B14" s="4"/>
      <c r="C14" s="4"/>
      <c r="D14" s="124">
        <v>100</v>
      </c>
      <c r="E14" s="126">
        <v>18.100000000000001</v>
      </c>
      <c r="F14" s="126">
        <v>1.6</v>
      </c>
      <c r="G14" s="130">
        <v>938</v>
      </c>
      <c r="H14" s="128">
        <v>16978</v>
      </c>
      <c r="I14" s="126"/>
      <c r="J14" s="126"/>
      <c r="K14" s="128">
        <v>16978</v>
      </c>
      <c r="L14" s="4"/>
      <c r="M14" s="4"/>
    </row>
    <row r="15" spans="1:13">
      <c r="A15" s="4" t="s">
        <v>35</v>
      </c>
      <c r="B15" s="4"/>
      <c r="C15" s="4"/>
      <c r="D15" s="124">
        <v>100</v>
      </c>
      <c r="E15" s="126">
        <v>6</v>
      </c>
      <c r="F15" s="126">
        <v>6</v>
      </c>
      <c r="G15" s="130">
        <v>938</v>
      </c>
      <c r="H15" s="128">
        <f t="shared" ref="H15:H16" si="0">+E15*G15</f>
        <v>5628</v>
      </c>
      <c r="I15" s="126"/>
      <c r="J15" s="126">
        <v>13512</v>
      </c>
      <c r="K15" s="128">
        <v>19140</v>
      </c>
      <c r="L15" s="4"/>
      <c r="M15" s="4"/>
    </row>
    <row r="16" spans="1:13">
      <c r="A16" s="4" t="s">
        <v>36</v>
      </c>
      <c r="B16" s="4"/>
      <c r="C16" s="4"/>
      <c r="D16" s="124">
        <v>100</v>
      </c>
      <c r="E16" s="126">
        <v>17</v>
      </c>
      <c r="F16" s="126">
        <v>17</v>
      </c>
      <c r="G16" s="130">
        <v>938</v>
      </c>
      <c r="H16" s="128">
        <f t="shared" si="0"/>
        <v>15946</v>
      </c>
      <c r="I16" s="134">
        <v>8896</v>
      </c>
      <c r="J16" s="126"/>
      <c r="K16" s="128">
        <v>24842</v>
      </c>
      <c r="L16" s="4"/>
      <c r="M16" s="4"/>
    </row>
    <row r="17" spans="1:13">
      <c r="A17" s="4" t="s">
        <v>163</v>
      </c>
      <c r="B17" s="4"/>
      <c r="C17" s="4"/>
      <c r="D17" s="135">
        <v>100</v>
      </c>
      <c r="E17" s="128"/>
      <c r="F17" s="128"/>
      <c r="G17" s="136"/>
      <c r="H17" s="128"/>
      <c r="I17" s="128"/>
      <c r="J17" s="128"/>
      <c r="K17" s="128"/>
      <c r="L17" s="4"/>
      <c r="M17" s="4"/>
    </row>
    <row r="18" spans="1:13">
      <c r="A18" s="114" t="s">
        <v>46</v>
      </c>
      <c r="B18" s="114"/>
      <c r="C18" s="114"/>
      <c r="D18" s="137"/>
      <c r="E18" s="138">
        <f>SUM(E9:E17)</f>
        <v>109.07</v>
      </c>
      <c r="F18" s="138">
        <f>SUM(F9:F17)</f>
        <v>45.47</v>
      </c>
      <c r="G18" s="138">
        <f t="shared" ref="G18:M18" si="1">SUM(G9:G17)</f>
        <v>8982</v>
      </c>
      <c r="H18" s="138">
        <f t="shared" si="1"/>
        <v>121046</v>
      </c>
      <c r="I18" s="138">
        <f t="shared" si="1"/>
        <v>18208</v>
      </c>
      <c r="J18" s="138">
        <v>70758</v>
      </c>
      <c r="K18" s="138">
        <v>210012</v>
      </c>
      <c r="L18" s="114">
        <f t="shared" si="1"/>
        <v>0</v>
      </c>
      <c r="M18" s="114">
        <f t="shared" si="1"/>
        <v>0</v>
      </c>
    </row>
    <row r="19" spans="1:13">
      <c r="A19" s="121" t="s">
        <v>47</v>
      </c>
      <c r="B19" s="121"/>
      <c r="C19" s="121"/>
      <c r="D19" s="139"/>
      <c r="E19" s="140">
        <f>+E18-F18</f>
        <v>63.599999999999994</v>
      </c>
      <c r="F19" s="140"/>
      <c r="G19" s="140"/>
      <c r="H19" s="140">
        <f>+G31*E31</f>
        <v>71104</v>
      </c>
      <c r="I19" s="140">
        <v>18208</v>
      </c>
      <c r="J19" s="140">
        <v>70758</v>
      </c>
      <c r="K19" s="140">
        <v>160070</v>
      </c>
      <c r="L19" s="121"/>
      <c r="M19" s="121"/>
    </row>
    <row r="20" spans="1:13">
      <c r="A20" s="117" t="s">
        <v>164</v>
      </c>
      <c r="B20" s="117"/>
      <c r="C20" s="117"/>
      <c r="D20" s="141"/>
      <c r="E20" s="142"/>
      <c r="F20" s="142"/>
      <c r="G20" s="142"/>
      <c r="H20" s="142"/>
      <c r="I20" s="117"/>
      <c r="J20" s="142"/>
      <c r="K20" s="142"/>
      <c r="L20" s="117"/>
      <c r="M20" s="142"/>
    </row>
    <row r="21" spans="1:13">
      <c r="A21" s="4"/>
      <c r="B21" s="4"/>
      <c r="C21" s="4"/>
      <c r="D21" s="4"/>
      <c r="E21" s="4"/>
      <c r="F21" s="4"/>
      <c r="G21" s="4"/>
      <c r="H21" s="4"/>
      <c r="I21" s="4"/>
      <c r="J21" s="128"/>
      <c r="K21" s="4"/>
      <c r="L21" s="4"/>
      <c r="M21" s="4"/>
    </row>
    <row r="22" spans="1:13">
      <c r="A22" s="4"/>
      <c r="B22" s="4"/>
      <c r="C22" s="4" t="s">
        <v>103</v>
      </c>
      <c r="D22" s="4"/>
      <c r="E22" s="4"/>
      <c r="F22" s="4"/>
      <c r="G22" s="4"/>
      <c r="H22" s="4"/>
      <c r="I22" s="4"/>
      <c r="J22" s="4"/>
      <c r="K22" s="4"/>
      <c r="L22" s="4"/>
      <c r="M22" s="4"/>
    </row>
    <row r="23" spans="1:13">
      <c r="A23" s="4"/>
      <c r="B23" s="4"/>
      <c r="C23" s="4"/>
      <c r="D23" s="4"/>
      <c r="E23" s="4"/>
      <c r="F23" s="4"/>
      <c r="G23" s="4"/>
      <c r="H23" s="4"/>
      <c r="I23" s="4"/>
      <c r="J23" s="4"/>
      <c r="K23" s="4"/>
      <c r="L23" s="4"/>
      <c r="M23" s="4"/>
    </row>
    <row r="24" spans="1:13">
      <c r="A24" s="4" t="s">
        <v>50</v>
      </c>
      <c r="B24" s="4"/>
      <c r="C24" s="4"/>
      <c r="D24" s="4"/>
      <c r="E24" s="4"/>
      <c r="F24" s="4"/>
      <c r="G24" s="4"/>
      <c r="H24" s="4"/>
      <c r="I24" s="4"/>
      <c r="J24" s="4"/>
      <c r="K24" s="128"/>
      <c r="L24" s="4"/>
      <c r="M24" s="4"/>
    </row>
    <row r="25" spans="1:13">
      <c r="A25" s="143" t="s">
        <v>51</v>
      </c>
      <c r="B25" s="143"/>
      <c r="C25" s="143"/>
      <c r="D25" s="143" t="s">
        <v>52</v>
      </c>
      <c r="E25" s="143" t="s">
        <v>53</v>
      </c>
      <c r="F25" s="143"/>
      <c r="G25" s="143" t="s">
        <v>54</v>
      </c>
      <c r="H25" s="4"/>
      <c r="I25" s="4"/>
      <c r="J25" s="4"/>
      <c r="K25" s="4"/>
      <c r="L25" s="4"/>
      <c r="M25" s="128"/>
    </row>
    <row r="26" spans="1:13">
      <c r="A26" s="4" t="s">
        <v>55</v>
      </c>
      <c r="B26" s="4"/>
      <c r="C26" s="4"/>
      <c r="D26" s="4"/>
      <c r="E26" s="4"/>
      <c r="F26" s="4"/>
      <c r="G26" s="4"/>
      <c r="H26" s="4"/>
      <c r="I26" s="4"/>
      <c r="J26" s="4"/>
      <c r="K26" s="144" t="s">
        <v>165</v>
      </c>
      <c r="L26" s="144" t="s">
        <v>166</v>
      </c>
      <c r="M26" s="4"/>
    </row>
    <row r="27" spans="1:13">
      <c r="A27" s="4" t="s">
        <v>56</v>
      </c>
      <c r="B27" s="4"/>
      <c r="C27" s="4"/>
      <c r="D27" s="4" t="s">
        <v>75</v>
      </c>
      <c r="E27" s="4">
        <v>2.17</v>
      </c>
      <c r="F27" s="4"/>
      <c r="G27" s="128">
        <v>6639</v>
      </c>
      <c r="H27" s="4"/>
      <c r="I27" s="4"/>
      <c r="J27" s="4"/>
      <c r="K27" s="145" t="s">
        <v>167</v>
      </c>
      <c r="L27" s="146">
        <v>70</v>
      </c>
      <c r="M27" s="4"/>
    </row>
    <row r="28" spans="1:13">
      <c r="A28" s="4"/>
      <c r="B28" s="4"/>
      <c r="C28" s="4"/>
      <c r="D28" s="4"/>
      <c r="E28" s="4"/>
      <c r="F28" s="4"/>
      <c r="G28" s="4"/>
      <c r="H28" s="4"/>
      <c r="I28" s="4"/>
      <c r="J28" s="4"/>
      <c r="K28" s="145" t="s">
        <v>168</v>
      </c>
      <c r="L28" s="147">
        <v>12</v>
      </c>
      <c r="M28" s="128"/>
    </row>
    <row r="29" spans="1:13">
      <c r="A29" s="4"/>
      <c r="B29" s="4"/>
      <c r="C29" s="4"/>
      <c r="D29" s="4"/>
      <c r="E29" s="4"/>
      <c r="F29" s="4"/>
      <c r="G29" s="4"/>
      <c r="H29" s="4"/>
      <c r="I29" s="4"/>
      <c r="J29" s="4"/>
      <c r="K29" s="148" t="s">
        <v>169</v>
      </c>
      <c r="L29" s="146">
        <v>10</v>
      </c>
      <c r="M29" s="4"/>
    </row>
    <row r="30" spans="1:13">
      <c r="A30" s="4" t="s">
        <v>64</v>
      </c>
      <c r="B30" s="4"/>
      <c r="C30" s="4"/>
      <c r="D30" s="4"/>
      <c r="E30" s="4"/>
      <c r="F30" s="4"/>
      <c r="G30" s="4"/>
      <c r="H30" s="4"/>
      <c r="I30" s="4"/>
      <c r="J30" s="4"/>
      <c r="K30" s="149" t="s">
        <v>71</v>
      </c>
      <c r="L30" s="146">
        <v>8</v>
      </c>
      <c r="M30" s="4"/>
    </row>
    <row r="31" spans="1:13">
      <c r="A31" s="4" t="s">
        <v>65</v>
      </c>
      <c r="B31" s="4"/>
      <c r="C31" s="4"/>
      <c r="D31" s="4" t="s">
        <v>66</v>
      </c>
      <c r="E31" s="128">
        <v>64</v>
      </c>
      <c r="F31" s="4"/>
      <c r="G31" s="128">
        <v>1111</v>
      </c>
      <c r="H31" s="4"/>
      <c r="I31" s="4"/>
      <c r="J31" s="129"/>
      <c r="K31" s="3"/>
      <c r="L31" s="150"/>
      <c r="M31" s="4"/>
    </row>
    <row r="32" spans="1:13">
      <c r="A32" s="4" t="s">
        <v>68</v>
      </c>
      <c r="B32" s="4"/>
      <c r="C32" s="4"/>
      <c r="D32" s="4" t="s">
        <v>66</v>
      </c>
      <c r="E32" s="128">
        <v>45</v>
      </c>
      <c r="F32" s="4"/>
      <c r="G32" s="4"/>
      <c r="H32" s="4"/>
      <c r="I32" s="4"/>
      <c r="J32" s="4"/>
      <c r="K32" s="151" t="s">
        <v>63</v>
      </c>
      <c r="L32" s="152">
        <f>+[1]Analyzing!I50</f>
        <v>0</v>
      </c>
      <c r="M32" s="153"/>
    </row>
    <row r="33" spans="1:13">
      <c r="A33" s="4" t="s">
        <v>6</v>
      </c>
      <c r="B33" s="4"/>
      <c r="C33" s="4"/>
      <c r="D33" s="4"/>
      <c r="E33" s="128">
        <f>+E31+E32</f>
        <v>109</v>
      </c>
      <c r="F33" s="4"/>
      <c r="G33" s="4"/>
      <c r="H33" s="4"/>
      <c r="I33" s="4"/>
      <c r="J33" s="4"/>
      <c r="K33" s="151" t="s">
        <v>170</v>
      </c>
      <c r="L33" s="152">
        <f>+[1]Analyzing!I51</f>
        <v>0</v>
      </c>
      <c r="M33" s="154"/>
    </row>
    <row r="34" spans="1:13">
      <c r="A34" s="4"/>
      <c r="B34" s="4"/>
      <c r="C34" s="4"/>
      <c r="D34" s="4"/>
      <c r="E34" s="4"/>
      <c r="F34" s="4"/>
      <c r="G34" s="4"/>
      <c r="H34" s="4"/>
      <c r="I34" s="4"/>
      <c r="J34" s="4"/>
      <c r="K34" s="155"/>
      <c r="L34" s="156"/>
      <c r="M34" s="156"/>
    </row>
    <row r="35" spans="1:13">
      <c r="A35" s="114" t="s">
        <v>107</v>
      </c>
      <c r="B35" s="114"/>
      <c r="C35" s="157" t="s">
        <v>73</v>
      </c>
      <c r="D35" s="114"/>
      <c r="E35" s="114"/>
      <c r="F35" s="114"/>
      <c r="G35" s="114"/>
      <c r="H35" s="4"/>
      <c r="I35" s="4"/>
      <c r="J35" s="4"/>
      <c r="K35" s="155"/>
      <c r="L35" s="154"/>
      <c r="M35" s="154"/>
    </row>
    <row r="36" spans="1:13">
      <c r="A36" s="117" t="s">
        <v>171</v>
      </c>
      <c r="B36" s="158" t="s">
        <v>172</v>
      </c>
      <c r="C36" s="159">
        <v>42</v>
      </c>
      <c r="D36" s="117" t="s">
        <v>173</v>
      </c>
      <c r="E36" s="142">
        <v>37</v>
      </c>
      <c r="F36" s="117"/>
      <c r="G36" s="160">
        <v>159</v>
      </c>
      <c r="H36" s="4"/>
      <c r="I36" s="4"/>
      <c r="J36" s="4"/>
      <c r="K36" s="155"/>
      <c r="L36" s="161"/>
      <c r="M36" s="162"/>
    </row>
    <row r="37" spans="1:13">
      <c r="A37" s="117"/>
      <c r="B37" s="493" t="s">
        <v>174</v>
      </c>
      <c r="C37" s="493"/>
      <c r="D37" s="117" t="s">
        <v>75</v>
      </c>
      <c r="E37" s="160">
        <v>242</v>
      </c>
      <c r="F37" s="117"/>
      <c r="G37" s="160">
        <v>50</v>
      </c>
      <c r="H37" s="4"/>
      <c r="I37" s="4"/>
      <c r="J37" s="4"/>
      <c r="K37" s="163"/>
      <c r="L37" s="164"/>
      <c r="M37" s="165"/>
    </row>
    <row r="38" spans="1:13">
      <c r="A38" s="117"/>
      <c r="B38" s="494" t="s">
        <v>175</v>
      </c>
      <c r="C38" s="494"/>
      <c r="D38" s="117" t="s">
        <v>75</v>
      </c>
      <c r="E38" s="142">
        <v>347</v>
      </c>
      <c r="F38" s="117"/>
      <c r="G38" s="160">
        <v>56</v>
      </c>
      <c r="H38" s="4"/>
      <c r="I38" s="4"/>
      <c r="J38" s="4"/>
      <c r="K38" s="155"/>
      <c r="L38" s="155"/>
      <c r="M38" s="155"/>
    </row>
    <row r="39" spans="1:13">
      <c r="A39" s="114" t="s">
        <v>77</v>
      </c>
      <c r="B39" s="114"/>
      <c r="C39" s="114"/>
      <c r="D39" s="114"/>
      <c r="E39" s="114"/>
      <c r="F39" s="114"/>
      <c r="G39" s="114" t="s">
        <v>78</v>
      </c>
      <c r="H39" s="4"/>
      <c r="I39" s="4" t="s">
        <v>79</v>
      </c>
      <c r="J39" s="4"/>
      <c r="K39" s="4"/>
      <c r="L39" s="4"/>
      <c r="M39" s="4"/>
    </row>
    <row r="40" spans="1:13">
      <c r="A40" s="117" t="s">
        <v>80</v>
      </c>
      <c r="B40" s="117"/>
      <c r="C40" s="117"/>
      <c r="D40" s="117"/>
      <c r="E40" s="117"/>
      <c r="F40" s="117"/>
      <c r="G40" s="166">
        <v>5997</v>
      </c>
      <c r="H40" s="4"/>
      <c r="I40" s="128">
        <v>14819</v>
      </c>
      <c r="J40" s="4"/>
      <c r="K40" s="4"/>
      <c r="L40" s="4"/>
      <c r="M40" s="4"/>
    </row>
    <row r="41" spans="1:13">
      <c r="A41" s="117" t="s">
        <v>81</v>
      </c>
      <c r="B41" s="117"/>
      <c r="C41" s="117"/>
      <c r="D41" s="117"/>
      <c r="E41" s="117"/>
      <c r="F41" s="117"/>
      <c r="G41" s="167">
        <v>83</v>
      </c>
      <c r="H41" s="4"/>
      <c r="I41" s="4"/>
      <c r="J41" s="4"/>
      <c r="K41" s="4"/>
      <c r="L41" s="4"/>
      <c r="M41" s="4"/>
    </row>
    <row r="42" spans="1:13">
      <c r="A42" s="117" t="s">
        <v>82</v>
      </c>
      <c r="B42" s="117"/>
      <c r="C42" s="117"/>
      <c r="D42" s="117"/>
      <c r="E42" s="117"/>
      <c r="F42" s="117"/>
      <c r="G42" s="167">
        <f>+G40*G41</f>
        <v>497751</v>
      </c>
      <c r="H42" s="4"/>
      <c r="I42" s="128">
        <v>1229943</v>
      </c>
      <c r="J42" s="129"/>
      <c r="K42" s="129"/>
      <c r="L42" s="4"/>
      <c r="M42" s="4"/>
    </row>
    <row r="43" spans="1:13">
      <c r="A43" s="117" t="s">
        <v>83</v>
      </c>
      <c r="B43" s="117"/>
      <c r="C43" s="117"/>
      <c r="D43" s="117"/>
      <c r="E43" s="117"/>
      <c r="F43" s="117"/>
      <c r="G43" s="167">
        <v>287739</v>
      </c>
      <c r="H43" s="128"/>
      <c r="I43" s="128">
        <v>711003</v>
      </c>
      <c r="J43" s="129"/>
      <c r="K43" s="129"/>
      <c r="L43" s="4"/>
      <c r="M43" s="4"/>
    </row>
    <row r="44" spans="1:13">
      <c r="A44" s="117" t="s">
        <v>84</v>
      </c>
      <c r="B44" s="117"/>
      <c r="C44" s="117"/>
      <c r="D44" s="117"/>
      <c r="E44" s="117"/>
      <c r="F44" s="117"/>
      <c r="G44" s="167">
        <v>337681</v>
      </c>
      <c r="H44" s="128"/>
      <c r="I44" s="128">
        <v>834410</v>
      </c>
      <c r="J44" s="129"/>
      <c r="K44" s="129"/>
      <c r="L44" s="4"/>
      <c r="M44" s="4"/>
    </row>
    <row r="45" spans="1:13">
      <c r="A45" s="117"/>
      <c r="B45" s="117"/>
      <c r="C45" s="117"/>
      <c r="D45" s="117"/>
      <c r="E45" s="117"/>
      <c r="F45" s="117"/>
      <c r="G45" s="167"/>
      <c r="H45" s="4"/>
      <c r="I45" s="4"/>
      <c r="J45" s="4"/>
      <c r="K45" s="129"/>
      <c r="L45" s="128"/>
      <c r="M45" s="4"/>
    </row>
    <row r="46" spans="1:13">
      <c r="A46" s="117" t="s">
        <v>85</v>
      </c>
      <c r="B46" s="117"/>
      <c r="C46" s="117"/>
      <c r="D46" s="117"/>
      <c r="E46" s="117"/>
      <c r="F46" s="117"/>
      <c r="G46" s="167">
        <f>+K18/G40</f>
        <v>35.01950975487744</v>
      </c>
      <c r="H46" s="4"/>
      <c r="I46" s="4"/>
      <c r="J46" s="4"/>
      <c r="K46" s="4"/>
      <c r="L46" s="4"/>
      <c r="M46" s="128"/>
    </row>
    <row r="47" spans="1:13">
      <c r="A47" s="121" t="s">
        <v>86</v>
      </c>
      <c r="B47" s="121"/>
      <c r="C47" s="121"/>
      <c r="D47" s="121"/>
      <c r="E47" s="121"/>
      <c r="F47" s="121"/>
      <c r="G47" s="168">
        <f>+K19/G40</f>
        <v>26.691679172919795</v>
      </c>
      <c r="H47" s="4"/>
      <c r="I47" s="4"/>
      <c r="J47" s="4"/>
      <c r="K47" s="4"/>
      <c r="L47" s="128"/>
      <c r="M47" s="128"/>
    </row>
  </sheetData>
  <mergeCells count="3">
    <mergeCell ref="L5:M5"/>
    <mergeCell ref="B37:C37"/>
    <mergeCell ref="B38:C3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55"/>
  <sheetViews>
    <sheetView workbookViewId="0">
      <selection activeCell="P22" sqref="P22"/>
    </sheetView>
  </sheetViews>
  <sheetFormatPr defaultRowHeight="15"/>
  <cols>
    <col min="1" max="1" width="6.7109375" customWidth="1"/>
    <col min="2" max="2" width="7.42578125" customWidth="1"/>
    <col min="3" max="3" width="6.140625" customWidth="1"/>
    <col min="4" max="4" width="7.7109375" customWidth="1"/>
    <col min="5" max="5" width="8.28515625" customWidth="1"/>
    <col min="6" max="6" width="7.7109375" customWidth="1"/>
    <col min="7" max="7" width="9.140625" customWidth="1"/>
    <col min="8" max="8" width="9" customWidth="1"/>
    <col min="9" max="9" width="9.7109375" customWidth="1"/>
    <col min="10" max="10" width="8.28515625" customWidth="1"/>
    <col min="11" max="11" width="8.85546875" customWidth="1"/>
    <col min="12" max="12" width="7" customWidth="1"/>
    <col min="13" max="13" width="8.5703125" customWidth="1"/>
  </cols>
  <sheetData>
    <row r="1" spans="1:13">
      <c r="A1" s="5" t="s">
        <v>0</v>
      </c>
      <c r="B1" s="5" t="s">
        <v>1</v>
      </c>
      <c r="C1" s="5"/>
      <c r="D1" s="5"/>
      <c r="E1" s="5"/>
      <c r="F1" s="5"/>
      <c r="G1" s="5"/>
      <c r="H1" s="5"/>
      <c r="I1" s="5"/>
      <c r="J1" s="5"/>
      <c r="K1" s="5"/>
      <c r="L1" s="5"/>
      <c r="M1" s="5"/>
    </row>
    <row r="2" spans="1:13">
      <c r="A2" s="5"/>
      <c r="B2" s="6" t="s">
        <v>2</v>
      </c>
      <c r="C2" s="5"/>
      <c r="D2" s="5"/>
      <c r="E2" s="5"/>
      <c r="F2" s="5"/>
      <c r="G2" s="6"/>
      <c r="H2" s="5"/>
      <c r="I2" s="5"/>
      <c r="J2" s="5"/>
      <c r="K2" s="5"/>
      <c r="L2" s="5"/>
      <c r="M2" s="5"/>
    </row>
    <row r="3" spans="1:13">
      <c r="A3" s="5"/>
      <c r="B3" s="6" t="s">
        <v>3</v>
      </c>
      <c r="C3" s="5"/>
      <c r="D3" s="5"/>
      <c r="E3" s="5"/>
      <c r="F3" s="5"/>
      <c r="G3" s="5"/>
      <c r="H3" s="5"/>
      <c r="I3" s="5"/>
      <c r="J3" s="5"/>
      <c r="K3" s="5"/>
      <c r="L3" s="5"/>
      <c r="M3" s="5"/>
    </row>
    <row r="4" spans="1:13">
      <c r="A4" s="7" t="s">
        <v>4</v>
      </c>
      <c r="B4" s="7"/>
      <c r="C4" s="7"/>
      <c r="D4" s="8" t="s">
        <v>5</v>
      </c>
      <c r="E4" s="8" t="s">
        <v>6</v>
      </c>
      <c r="F4" s="8" t="s">
        <v>7</v>
      </c>
      <c r="G4" s="8" t="s">
        <v>8</v>
      </c>
      <c r="H4" s="8" t="s">
        <v>9</v>
      </c>
      <c r="I4" s="8" t="s">
        <v>10</v>
      </c>
      <c r="J4" s="8" t="s">
        <v>11</v>
      </c>
      <c r="K4" s="8" t="s">
        <v>12</v>
      </c>
      <c r="L4" s="9" t="s">
        <v>13</v>
      </c>
      <c r="M4" s="8"/>
    </row>
    <row r="5" spans="1:13">
      <c r="A5" s="10"/>
      <c r="B5" s="10"/>
      <c r="C5" s="10"/>
      <c r="D5" s="11" t="s">
        <v>14</v>
      </c>
      <c r="E5" s="11" t="s">
        <v>15</v>
      </c>
      <c r="F5" s="11" t="s">
        <v>15</v>
      </c>
      <c r="G5" s="11" t="s">
        <v>16</v>
      </c>
      <c r="H5" s="11" t="s">
        <v>17</v>
      </c>
      <c r="I5" s="11" t="s">
        <v>18</v>
      </c>
      <c r="J5" s="11" t="s">
        <v>17</v>
      </c>
      <c r="K5" s="11" t="s">
        <v>17</v>
      </c>
      <c r="L5" s="51" t="s">
        <v>10</v>
      </c>
      <c r="M5" s="11" t="s">
        <v>11</v>
      </c>
    </row>
    <row r="6" spans="1:13">
      <c r="A6" s="10"/>
      <c r="B6" s="10"/>
      <c r="C6" s="10"/>
      <c r="D6" s="11" t="s">
        <v>19</v>
      </c>
      <c r="E6" s="11"/>
      <c r="F6" s="11"/>
      <c r="G6" s="11"/>
      <c r="H6" s="11" t="s">
        <v>20</v>
      </c>
      <c r="I6" s="11" t="s">
        <v>17</v>
      </c>
      <c r="J6" s="11" t="s">
        <v>20</v>
      </c>
      <c r="K6" s="11" t="s">
        <v>20</v>
      </c>
      <c r="L6" s="11"/>
      <c r="M6" s="11"/>
    </row>
    <row r="7" spans="1:13">
      <c r="A7" s="12"/>
      <c r="B7" s="12"/>
      <c r="C7" s="12"/>
      <c r="D7" s="13"/>
      <c r="E7" s="13"/>
      <c r="F7" s="13"/>
      <c r="G7" s="13"/>
      <c r="H7" s="13"/>
      <c r="I7" s="13" t="s">
        <v>20</v>
      </c>
      <c r="J7" s="13"/>
      <c r="K7" s="13"/>
      <c r="L7" s="13"/>
      <c r="M7" s="13"/>
    </row>
    <row r="8" spans="1:13">
      <c r="A8" s="5" t="s">
        <v>21</v>
      </c>
      <c r="B8" s="5"/>
      <c r="C8" s="5"/>
      <c r="D8" s="14">
        <v>53.333333333333336</v>
      </c>
      <c r="E8" s="15">
        <v>3.98</v>
      </c>
      <c r="F8" s="5">
        <v>2.61</v>
      </c>
      <c r="G8" s="16">
        <v>1233</v>
      </c>
      <c r="H8" s="15">
        <v>4907</v>
      </c>
      <c r="I8" s="5"/>
      <c r="J8" s="15">
        <v>1634</v>
      </c>
      <c r="K8" s="15">
        <v>6541</v>
      </c>
      <c r="L8" s="5"/>
      <c r="M8" s="5"/>
    </row>
    <row r="9" spans="1:13">
      <c r="A9" s="5" t="s">
        <v>22</v>
      </c>
      <c r="B9" s="5"/>
      <c r="C9" s="5"/>
      <c r="D9" s="14">
        <v>80</v>
      </c>
      <c r="E9" s="15">
        <v>9.6199999999999992</v>
      </c>
      <c r="F9" s="15">
        <v>2.11</v>
      </c>
      <c r="G9" s="16">
        <v>1149</v>
      </c>
      <c r="H9" s="15">
        <v>11053</v>
      </c>
      <c r="I9" s="5"/>
      <c r="J9" s="15"/>
      <c r="K9" s="15">
        <v>11053</v>
      </c>
      <c r="L9" s="5"/>
      <c r="M9" s="5"/>
    </row>
    <row r="10" spans="1:13">
      <c r="A10" s="5" t="s">
        <v>23</v>
      </c>
      <c r="B10" s="5"/>
      <c r="C10" s="5"/>
      <c r="D10" s="14">
        <v>90</v>
      </c>
      <c r="E10" s="15">
        <v>0.34</v>
      </c>
      <c r="F10" s="15">
        <v>0.34</v>
      </c>
      <c r="G10" s="16">
        <v>1250</v>
      </c>
      <c r="H10" s="15">
        <v>425.00000000000006</v>
      </c>
      <c r="I10" s="15">
        <v>9134</v>
      </c>
      <c r="J10" s="15"/>
      <c r="K10" s="15">
        <v>9559</v>
      </c>
      <c r="L10" s="15">
        <v>302</v>
      </c>
      <c r="M10" s="5"/>
    </row>
    <row r="11" spans="1:13">
      <c r="A11" s="5" t="s">
        <v>24</v>
      </c>
      <c r="B11" s="5"/>
      <c r="C11" s="5"/>
      <c r="D11" s="18" t="s">
        <v>25</v>
      </c>
      <c r="E11" s="19" t="s">
        <v>26</v>
      </c>
      <c r="F11" s="19" t="s">
        <v>27</v>
      </c>
      <c r="G11" s="20" t="s">
        <v>28</v>
      </c>
      <c r="H11" s="15" t="s">
        <v>29</v>
      </c>
      <c r="I11" s="21"/>
      <c r="J11" s="15"/>
      <c r="K11" s="15"/>
      <c r="L11" s="5"/>
      <c r="M11" s="5"/>
    </row>
    <row r="12" spans="1:13">
      <c r="A12" s="5" t="s">
        <v>30</v>
      </c>
      <c r="B12" s="5"/>
      <c r="C12" s="5"/>
      <c r="D12" s="14">
        <v>90</v>
      </c>
      <c r="E12" s="15">
        <v>12.74</v>
      </c>
      <c r="F12" s="15">
        <v>2.88</v>
      </c>
      <c r="G12" s="16">
        <v>1166</v>
      </c>
      <c r="H12" s="15">
        <v>14855</v>
      </c>
      <c r="I12" s="22"/>
      <c r="J12" s="23" t="s">
        <v>31</v>
      </c>
      <c r="K12" s="15">
        <v>23966</v>
      </c>
      <c r="L12" s="5"/>
      <c r="M12" s="5"/>
    </row>
    <row r="13" spans="1:13">
      <c r="A13" s="5" t="s">
        <v>32</v>
      </c>
      <c r="B13" s="5"/>
      <c r="C13" s="5"/>
      <c r="D13" s="14">
        <v>100</v>
      </c>
      <c r="E13" s="15">
        <v>13.44</v>
      </c>
      <c r="F13" s="15">
        <v>4.88</v>
      </c>
      <c r="G13" s="16">
        <v>1005</v>
      </c>
      <c r="H13" s="15">
        <v>13507</v>
      </c>
      <c r="I13" s="5"/>
      <c r="J13" s="15">
        <v>7138</v>
      </c>
      <c r="K13" s="15">
        <v>20645</v>
      </c>
      <c r="L13" s="5"/>
      <c r="M13" s="5"/>
    </row>
    <row r="14" spans="1:13">
      <c r="A14" s="5" t="s">
        <v>33</v>
      </c>
      <c r="B14" s="5"/>
      <c r="C14" s="5"/>
      <c r="D14" s="14">
        <v>100</v>
      </c>
      <c r="E14" s="15">
        <v>13.52</v>
      </c>
      <c r="F14" s="15">
        <v>5.6</v>
      </c>
      <c r="G14" s="16">
        <v>1061</v>
      </c>
      <c r="H14" s="15">
        <v>14345</v>
      </c>
      <c r="I14" s="5"/>
      <c r="J14" s="15">
        <v>20492</v>
      </c>
      <c r="K14" s="15">
        <v>34837</v>
      </c>
      <c r="L14" s="5"/>
      <c r="M14" s="5"/>
    </row>
    <row r="15" spans="1:13">
      <c r="A15" s="5" t="s">
        <v>34</v>
      </c>
      <c r="B15" s="5"/>
      <c r="C15" s="5"/>
      <c r="D15" s="14">
        <v>100</v>
      </c>
      <c r="E15" s="15">
        <v>16.75</v>
      </c>
      <c r="F15" s="15">
        <v>3.25</v>
      </c>
      <c r="G15" s="16">
        <v>893</v>
      </c>
      <c r="H15" s="15">
        <v>14958</v>
      </c>
      <c r="I15" s="5"/>
      <c r="J15" s="15"/>
      <c r="K15" s="15">
        <v>14958</v>
      </c>
      <c r="L15" s="5"/>
      <c r="M15" s="5"/>
    </row>
    <row r="16" spans="1:13">
      <c r="A16" s="5" t="s">
        <v>35</v>
      </c>
      <c r="B16" s="5"/>
      <c r="C16" s="5"/>
      <c r="D16" s="14">
        <v>100</v>
      </c>
      <c r="E16" s="15">
        <v>7.18</v>
      </c>
      <c r="F16" s="15">
        <v>6.69</v>
      </c>
      <c r="G16" s="16">
        <v>1118</v>
      </c>
      <c r="H16" s="15">
        <v>8027</v>
      </c>
      <c r="I16" s="5"/>
      <c r="J16" s="15">
        <v>17273</v>
      </c>
      <c r="K16" s="15">
        <v>25300</v>
      </c>
      <c r="L16" s="5"/>
      <c r="M16" s="5"/>
    </row>
    <row r="17" spans="1:13">
      <c r="A17" s="5" t="s">
        <v>36</v>
      </c>
      <c r="B17" s="5"/>
      <c r="C17" s="5"/>
      <c r="D17" s="14">
        <v>100</v>
      </c>
      <c r="E17" s="15">
        <v>20.36</v>
      </c>
      <c r="F17" s="15">
        <v>20.36</v>
      </c>
      <c r="G17" s="16">
        <v>1118</v>
      </c>
      <c r="H17" s="15">
        <v>22762</v>
      </c>
      <c r="I17" s="15">
        <v>13151</v>
      </c>
      <c r="J17" s="15"/>
      <c r="K17" s="15">
        <v>35913</v>
      </c>
      <c r="L17" s="5"/>
      <c r="M17" s="5"/>
    </row>
    <row r="18" spans="1:13">
      <c r="A18" s="5" t="s">
        <v>37</v>
      </c>
      <c r="B18" s="5"/>
      <c r="C18" s="5"/>
      <c r="D18" s="14">
        <v>70</v>
      </c>
      <c r="E18" s="15"/>
      <c r="F18" s="15"/>
      <c r="G18" s="16"/>
      <c r="H18" s="15"/>
      <c r="I18" s="5"/>
      <c r="J18" s="15"/>
      <c r="K18" s="15"/>
      <c r="L18" s="5"/>
      <c r="M18" s="5"/>
    </row>
    <row r="19" spans="1:13">
      <c r="A19" s="5" t="s">
        <v>38</v>
      </c>
      <c r="B19" s="5"/>
      <c r="C19" s="5"/>
      <c r="D19" s="18" t="s">
        <v>39</v>
      </c>
      <c r="E19" s="19" t="s">
        <v>40</v>
      </c>
      <c r="F19" s="19" t="s">
        <v>41</v>
      </c>
      <c r="G19" s="20" t="s">
        <v>42</v>
      </c>
      <c r="H19" s="21" t="s">
        <v>43</v>
      </c>
      <c r="I19" s="2"/>
      <c r="J19" s="15"/>
      <c r="K19" s="15"/>
      <c r="L19" s="5"/>
      <c r="M19" s="5"/>
    </row>
    <row r="20" spans="1:13">
      <c r="A20" s="5" t="s">
        <v>44</v>
      </c>
      <c r="B20" s="5"/>
      <c r="C20" s="5"/>
      <c r="D20" s="18" t="s">
        <v>45</v>
      </c>
      <c r="E20" s="19"/>
      <c r="F20" s="19"/>
      <c r="G20" s="20"/>
      <c r="H20" s="15"/>
      <c r="I20" s="21"/>
      <c r="J20" s="15"/>
      <c r="K20" s="15"/>
      <c r="L20" s="5"/>
      <c r="M20" s="5"/>
    </row>
    <row r="21" spans="1:13">
      <c r="A21" s="7" t="s">
        <v>46</v>
      </c>
      <c r="B21" s="7"/>
      <c r="C21" s="7"/>
      <c r="D21" s="24"/>
      <c r="E21" s="25">
        <v>97.929999999999993</v>
      </c>
      <c r="F21" s="25">
        <v>48.72</v>
      </c>
      <c r="G21" s="25"/>
      <c r="H21" s="25">
        <v>104839</v>
      </c>
      <c r="I21" s="25">
        <v>22285</v>
      </c>
      <c r="J21" s="25">
        <v>55648</v>
      </c>
      <c r="K21" s="25">
        <v>182772</v>
      </c>
      <c r="L21" s="25">
        <v>302</v>
      </c>
      <c r="M21" s="7">
        <v>0</v>
      </c>
    </row>
    <row r="22" spans="1:13">
      <c r="A22" s="12" t="s">
        <v>47</v>
      </c>
      <c r="B22" s="12"/>
      <c r="C22" s="12"/>
      <c r="D22" s="26"/>
      <c r="E22" s="27">
        <v>49.209999999999994</v>
      </c>
      <c r="F22" s="27"/>
      <c r="G22" s="27"/>
      <c r="H22" s="27">
        <v>52420</v>
      </c>
      <c r="I22" s="27">
        <v>21983</v>
      </c>
      <c r="J22" s="27">
        <v>55648</v>
      </c>
      <c r="K22" s="27">
        <f>+H22+I22+J22</f>
        <v>130051</v>
      </c>
      <c r="L22" s="12"/>
      <c r="M22" s="12"/>
    </row>
    <row r="23" spans="1:13">
      <c r="A23" s="28" t="s">
        <v>48</v>
      </c>
      <c r="B23" s="10"/>
      <c r="C23" s="10"/>
      <c r="D23" s="29"/>
      <c r="E23" s="30"/>
      <c r="F23" s="30"/>
      <c r="G23" s="30"/>
      <c r="H23" s="30"/>
      <c r="I23" s="10"/>
      <c r="J23" s="30"/>
      <c r="K23" s="30"/>
      <c r="L23" s="10"/>
      <c r="M23" s="10"/>
    </row>
    <row r="24" spans="1:13">
      <c r="A24" s="28" t="s">
        <v>49</v>
      </c>
      <c r="B24" s="10"/>
      <c r="C24" s="10"/>
      <c r="D24" s="29"/>
      <c r="E24" s="30"/>
      <c r="F24" s="30"/>
      <c r="G24" s="30"/>
      <c r="H24" s="30"/>
      <c r="I24" s="10"/>
      <c r="J24" s="30"/>
      <c r="K24" s="30"/>
      <c r="L24" s="10"/>
      <c r="M24" s="10"/>
    </row>
    <row r="25" spans="1:13">
      <c r="A25" s="5"/>
      <c r="B25" s="5"/>
      <c r="C25" s="5"/>
      <c r="D25" s="5"/>
      <c r="E25" s="5"/>
      <c r="F25" s="5"/>
      <c r="G25" s="5"/>
      <c r="H25" s="5"/>
      <c r="I25" s="5"/>
      <c r="J25" s="5"/>
      <c r="K25" s="5"/>
      <c r="L25" s="5"/>
      <c r="M25" s="5"/>
    </row>
    <row r="26" spans="1:13">
      <c r="A26" s="5"/>
      <c r="B26" s="5"/>
      <c r="C26" s="5"/>
      <c r="D26" s="5"/>
      <c r="E26" s="5"/>
      <c r="F26" s="5"/>
      <c r="G26" s="5"/>
      <c r="H26" s="5"/>
      <c r="I26" s="5"/>
      <c r="J26" s="5"/>
      <c r="K26" s="5"/>
      <c r="L26" s="5"/>
      <c r="M26" s="5"/>
    </row>
    <row r="27" spans="1:13">
      <c r="A27" s="6" t="s">
        <v>50</v>
      </c>
      <c r="B27" s="5"/>
      <c r="C27" s="5"/>
      <c r="D27" s="5"/>
      <c r="E27" s="5"/>
      <c r="F27" s="5"/>
      <c r="G27" s="5"/>
      <c r="H27" s="5"/>
      <c r="I27" s="5"/>
      <c r="J27" s="5"/>
      <c r="K27" s="5"/>
      <c r="L27" s="5"/>
      <c r="M27" s="5"/>
    </row>
    <row r="28" spans="1:13">
      <c r="A28" s="31" t="s">
        <v>51</v>
      </c>
      <c r="B28" s="31"/>
      <c r="C28" s="31"/>
      <c r="D28" s="31" t="s">
        <v>52</v>
      </c>
      <c r="E28" s="31" t="s">
        <v>53</v>
      </c>
      <c r="F28" s="31"/>
      <c r="G28" s="31" t="s">
        <v>54</v>
      </c>
      <c r="H28" s="5"/>
      <c r="I28" s="5"/>
      <c r="J28" s="5"/>
      <c r="K28" s="5"/>
      <c r="L28" s="5"/>
      <c r="M28" s="5"/>
    </row>
    <row r="29" spans="1:13">
      <c r="A29" s="5" t="s">
        <v>55</v>
      </c>
      <c r="B29" s="5"/>
      <c r="C29" s="5"/>
      <c r="D29" s="5"/>
      <c r="E29" s="5"/>
      <c r="F29" s="5"/>
      <c r="G29" s="5"/>
      <c r="H29" s="5"/>
      <c r="I29" s="5"/>
      <c r="J29" s="5"/>
      <c r="K29" s="5"/>
      <c r="L29" s="5"/>
      <c r="M29" s="5"/>
    </row>
    <row r="30" spans="1:13">
      <c r="A30" s="5" t="s">
        <v>56</v>
      </c>
      <c r="B30" s="2"/>
      <c r="C30" s="17">
        <v>53.333333333333336</v>
      </c>
      <c r="D30" s="5" t="s">
        <v>57</v>
      </c>
      <c r="E30" s="15">
        <v>86</v>
      </c>
      <c r="F30" s="5"/>
      <c r="G30" s="15">
        <v>83</v>
      </c>
      <c r="H30" s="5"/>
      <c r="I30" s="32" t="s">
        <v>58</v>
      </c>
      <c r="J30" s="32">
        <v>0.25</v>
      </c>
      <c r="K30" s="5"/>
      <c r="L30" s="5"/>
      <c r="M30" s="5"/>
    </row>
    <row r="31" spans="1:13">
      <c r="A31" s="5" t="s">
        <v>59</v>
      </c>
      <c r="B31" s="2"/>
      <c r="C31" s="33" t="s">
        <v>60</v>
      </c>
      <c r="D31" s="5" t="s">
        <v>59</v>
      </c>
      <c r="E31" s="21" t="s">
        <v>61</v>
      </c>
      <c r="F31" s="5"/>
      <c r="G31" s="19" t="s">
        <v>62</v>
      </c>
      <c r="H31" s="5"/>
      <c r="I31" s="32" t="s">
        <v>63</v>
      </c>
      <c r="J31" s="34">
        <v>0.33843055555555551</v>
      </c>
      <c r="K31" s="2"/>
      <c r="L31" s="35"/>
      <c r="M31" s="5"/>
    </row>
    <row r="32" spans="1:13">
      <c r="A32" s="2"/>
      <c r="B32" s="2"/>
      <c r="C32" s="2"/>
      <c r="D32" s="2"/>
      <c r="E32" s="2"/>
      <c r="F32" s="2"/>
      <c r="G32" s="2"/>
      <c r="H32" s="5"/>
      <c r="I32" s="5"/>
      <c r="J32" s="2"/>
      <c r="K32" s="2"/>
      <c r="L32" s="35"/>
      <c r="M32" s="5"/>
    </row>
    <row r="33" spans="1:13">
      <c r="A33" s="5"/>
      <c r="B33" s="5"/>
      <c r="C33" s="5"/>
      <c r="D33" s="5"/>
      <c r="E33" s="5"/>
      <c r="F33" s="5"/>
      <c r="G33" s="5"/>
      <c r="H33" s="5"/>
      <c r="I33" s="5"/>
      <c r="J33" s="35"/>
      <c r="K33" s="35"/>
      <c r="L33" s="35"/>
      <c r="M33" s="5"/>
    </row>
    <row r="34" spans="1:13">
      <c r="A34" s="6" t="s">
        <v>64</v>
      </c>
      <c r="B34" s="5"/>
      <c r="C34" s="5"/>
      <c r="D34" s="5"/>
      <c r="E34" s="5"/>
      <c r="F34" s="5"/>
      <c r="G34" s="5"/>
      <c r="H34" s="5"/>
      <c r="I34" s="5"/>
      <c r="J34" s="35"/>
      <c r="K34" s="35"/>
      <c r="L34" s="35"/>
      <c r="M34" s="5"/>
    </row>
    <row r="35" spans="1:13">
      <c r="A35" s="5" t="s">
        <v>65</v>
      </c>
      <c r="B35" s="5"/>
      <c r="C35" s="5"/>
      <c r="D35" s="5" t="s">
        <v>66</v>
      </c>
      <c r="E35" s="15">
        <v>49</v>
      </c>
      <c r="F35" s="5"/>
      <c r="G35" s="15">
        <v>1070</v>
      </c>
      <c r="H35" s="5"/>
      <c r="I35" s="36" t="s">
        <v>67</v>
      </c>
      <c r="J35" s="37"/>
      <c r="K35" s="2"/>
      <c r="L35" s="35"/>
      <c r="M35" s="5"/>
    </row>
    <row r="36" spans="1:13">
      <c r="A36" s="5" t="s">
        <v>68</v>
      </c>
      <c r="B36" s="5"/>
      <c r="C36" s="5"/>
      <c r="D36" s="5" t="s">
        <v>66</v>
      </c>
      <c r="E36" s="15">
        <v>49</v>
      </c>
      <c r="F36" s="5"/>
      <c r="G36" s="5"/>
      <c r="H36" s="5"/>
      <c r="I36" s="37" t="s">
        <v>69</v>
      </c>
      <c r="J36" s="52">
        <v>41</v>
      </c>
      <c r="K36" s="2"/>
      <c r="L36" s="35"/>
      <c r="M36" s="5"/>
    </row>
    <row r="37" spans="1:13">
      <c r="A37" s="5" t="s">
        <v>6</v>
      </c>
      <c r="B37" s="5"/>
      <c r="C37" s="5"/>
      <c r="D37" s="5"/>
      <c r="E37" s="15">
        <v>98</v>
      </c>
      <c r="F37" s="5"/>
      <c r="G37" s="5"/>
      <c r="H37" s="5"/>
      <c r="I37" s="35" t="s">
        <v>70</v>
      </c>
      <c r="J37" s="52">
        <v>31</v>
      </c>
      <c r="K37" s="2"/>
      <c r="L37" s="35"/>
      <c r="M37" s="5"/>
    </row>
    <row r="38" spans="1:13">
      <c r="A38" s="5"/>
      <c r="B38" s="5"/>
      <c r="C38" s="5"/>
      <c r="D38" s="5"/>
      <c r="E38" s="5"/>
      <c r="F38" s="5"/>
      <c r="G38" s="5"/>
      <c r="H38" s="5"/>
      <c r="I38" s="37" t="s">
        <v>71</v>
      </c>
      <c r="J38" s="52">
        <v>28</v>
      </c>
      <c r="K38" s="2"/>
      <c r="L38" s="35"/>
      <c r="M38" s="5"/>
    </row>
    <row r="39" spans="1:13">
      <c r="A39" s="38" t="s">
        <v>72</v>
      </c>
      <c r="B39" s="7"/>
      <c r="C39" s="7" t="s">
        <v>73</v>
      </c>
      <c r="D39" s="7"/>
      <c r="E39" s="7"/>
      <c r="F39" s="7"/>
      <c r="G39" s="7"/>
      <c r="H39" s="5"/>
      <c r="I39" s="37"/>
      <c r="J39" s="52"/>
      <c r="K39" s="2"/>
      <c r="L39" s="35"/>
      <c r="M39" s="5"/>
    </row>
    <row r="40" spans="1:13">
      <c r="A40" s="39" t="s">
        <v>74</v>
      </c>
      <c r="B40" s="2"/>
      <c r="C40" s="5">
        <v>47</v>
      </c>
      <c r="D40" s="40" t="s">
        <v>75</v>
      </c>
      <c r="E40" s="30">
        <v>95</v>
      </c>
      <c r="F40" s="10"/>
      <c r="G40" s="30">
        <v>52</v>
      </c>
      <c r="H40" s="5"/>
      <c r="I40" s="5"/>
      <c r="J40" s="41"/>
      <c r="K40" s="42"/>
      <c r="L40" s="10"/>
      <c r="M40" s="5"/>
    </row>
    <row r="41" spans="1:13">
      <c r="A41" s="3" t="s">
        <v>76</v>
      </c>
      <c r="B41" s="2"/>
      <c r="C41" s="5">
        <v>83</v>
      </c>
      <c r="D41" s="43" t="s">
        <v>75</v>
      </c>
      <c r="E41" s="30">
        <v>288</v>
      </c>
      <c r="F41" s="10"/>
      <c r="G41" s="30">
        <v>54</v>
      </c>
      <c r="H41" s="5"/>
      <c r="I41" s="5"/>
      <c r="J41" s="41"/>
      <c r="K41" s="42"/>
      <c r="L41" s="5"/>
      <c r="M41" s="5"/>
    </row>
    <row r="42" spans="1:13">
      <c r="A42" s="44"/>
      <c r="B42" s="45"/>
      <c r="C42" s="46"/>
      <c r="D42" s="10"/>
      <c r="E42" s="10"/>
      <c r="F42" s="10"/>
      <c r="G42" s="10"/>
      <c r="H42" s="5"/>
      <c r="I42" s="5"/>
      <c r="J42" s="5"/>
      <c r="K42" s="5"/>
      <c r="L42" s="5"/>
      <c r="M42" s="5"/>
    </row>
    <row r="43" spans="1:13">
      <c r="A43" s="38" t="s">
        <v>77</v>
      </c>
      <c r="B43" s="38"/>
      <c r="C43" s="38"/>
      <c r="D43" s="38"/>
      <c r="E43" s="38"/>
      <c r="F43" s="38"/>
      <c r="G43" s="38" t="s">
        <v>78</v>
      </c>
      <c r="H43" s="6"/>
      <c r="I43" s="6" t="s">
        <v>79</v>
      </c>
      <c r="J43" s="5"/>
      <c r="K43" s="5"/>
      <c r="L43" s="5"/>
      <c r="M43" s="5"/>
    </row>
    <row r="44" spans="1:13">
      <c r="A44" s="10" t="s">
        <v>80</v>
      </c>
      <c r="B44" s="10"/>
      <c r="C44" s="10"/>
      <c r="D44" s="10"/>
      <c r="E44" s="10"/>
      <c r="F44" s="10"/>
      <c r="G44" s="47">
        <v>8508</v>
      </c>
      <c r="H44" s="5"/>
      <c r="I44" s="15">
        <v>21023</v>
      </c>
      <c r="J44" s="5"/>
      <c r="K44" s="5"/>
      <c r="L44" s="5"/>
      <c r="M44" s="5"/>
    </row>
    <row r="45" spans="1:13">
      <c r="A45" s="10" t="s">
        <v>81</v>
      </c>
      <c r="B45" s="10"/>
      <c r="C45" s="10"/>
      <c r="D45" s="10"/>
      <c r="E45" s="10"/>
      <c r="F45" s="10"/>
      <c r="G45" s="48">
        <v>48</v>
      </c>
      <c r="H45" s="5"/>
      <c r="I45" s="15"/>
      <c r="J45" s="5"/>
      <c r="K45" s="5"/>
      <c r="L45" s="5"/>
      <c r="M45" s="5"/>
    </row>
    <row r="46" spans="1:13">
      <c r="A46" s="10" t="s">
        <v>82</v>
      </c>
      <c r="B46" s="10"/>
      <c r="C46" s="10"/>
      <c r="D46" s="10"/>
      <c r="E46" s="10"/>
      <c r="F46" s="10"/>
      <c r="G46" s="48">
        <v>408384</v>
      </c>
      <c r="H46" s="5"/>
      <c r="I46" s="15">
        <v>1009117</v>
      </c>
      <c r="J46" s="5"/>
      <c r="K46" s="5"/>
      <c r="L46" s="5"/>
      <c r="M46" s="5"/>
    </row>
    <row r="47" spans="1:13">
      <c r="A47" s="10" t="s">
        <v>83</v>
      </c>
      <c r="B47" s="10"/>
      <c r="C47" s="10"/>
      <c r="D47" s="10"/>
      <c r="E47" s="10"/>
      <c r="F47" s="10"/>
      <c r="G47" s="48">
        <f>+G46-K21</f>
        <v>225612</v>
      </c>
      <c r="H47" s="5"/>
      <c r="I47" s="15">
        <v>557487</v>
      </c>
      <c r="J47" s="5"/>
      <c r="K47" s="5"/>
      <c r="L47" s="5"/>
      <c r="M47" s="5"/>
    </row>
    <row r="48" spans="1:13">
      <c r="A48" s="10" t="s">
        <v>84</v>
      </c>
      <c r="B48" s="10"/>
      <c r="C48" s="10"/>
      <c r="D48" s="10"/>
      <c r="E48" s="10"/>
      <c r="F48" s="10"/>
      <c r="G48" s="48">
        <f>+G46-K22</f>
        <v>278333</v>
      </c>
      <c r="H48" s="5"/>
      <c r="I48" s="15">
        <v>687761</v>
      </c>
      <c r="J48" s="15"/>
      <c r="K48" s="5"/>
      <c r="L48" s="5"/>
      <c r="M48" s="5"/>
    </row>
    <row r="49" spans="1:13">
      <c r="A49" s="10"/>
      <c r="B49" s="10"/>
      <c r="C49" s="10"/>
      <c r="D49" s="10"/>
      <c r="E49" s="10"/>
      <c r="F49" s="10"/>
      <c r="G49" s="48"/>
      <c r="H49" s="5"/>
      <c r="I49" s="5"/>
      <c r="J49" s="5"/>
      <c r="K49" s="5"/>
      <c r="L49" s="5"/>
      <c r="M49" s="5"/>
    </row>
    <row r="50" spans="1:13">
      <c r="A50" s="10" t="s">
        <v>85</v>
      </c>
      <c r="B50" s="10"/>
      <c r="C50" s="10"/>
      <c r="D50" s="10"/>
      <c r="E50" s="10"/>
      <c r="F50" s="10"/>
      <c r="G50" s="49">
        <v>21.482369534555712</v>
      </c>
      <c r="H50" s="5"/>
      <c r="I50" s="5"/>
      <c r="J50" s="5"/>
      <c r="K50" s="5"/>
      <c r="L50" s="5"/>
      <c r="M50" s="5"/>
    </row>
    <row r="51" spans="1:13">
      <c r="A51" s="12" t="s">
        <v>86</v>
      </c>
      <c r="B51" s="12"/>
      <c r="C51" s="12"/>
      <c r="D51" s="12"/>
      <c r="E51" s="12"/>
      <c r="F51" s="12"/>
      <c r="G51" s="50">
        <f>+K22/G44</f>
        <v>15.285731076633757</v>
      </c>
      <c r="H51" s="5"/>
      <c r="I51" s="5"/>
      <c r="J51" s="5"/>
      <c r="K51" s="5"/>
      <c r="L51" s="5"/>
      <c r="M51" s="5"/>
    </row>
    <row r="52" spans="1:13">
      <c r="A52" s="5"/>
      <c r="B52" s="5"/>
      <c r="C52" s="5"/>
      <c r="D52" s="5"/>
      <c r="E52" s="5"/>
      <c r="F52" s="5"/>
      <c r="G52" s="5"/>
      <c r="H52" s="5"/>
      <c r="I52" s="5"/>
      <c r="J52" s="5"/>
      <c r="K52" s="5"/>
      <c r="L52" s="5"/>
      <c r="M52" s="5"/>
    </row>
    <row r="53" spans="1:13">
      <c r="A53" s="5"/>
      <c r="B53" s="5"/>
      <c r="C53" s="5"/>
      <c r="D53" s="5"/>
      <c r="E53" s="5"/>
      <c r="F53" s="5"/>
      <c r="G53" s="5"/>
      <c r="H53" s="5"/>
      <c r="I53" s="5"/>
      <c r="J53" s="5"/>
      <c r="K53" s="5"/>
      <c r="L53" s="5"/>
      <c r="M53" s="5"/>
    </row>
    <row r="54" spans="1:13">
      <c r="A54" s="6"/>
      <c r="B54" s="5"/>
      <c r="C54" s="5"/>
      <c r="D54" s="5"/>
      <c r="E54" s="5"/>
      <c r="F54" s="5"/>
      <c r="G54" s="5"/>
      <c r="H54" s="5"/>
      <c r="I54" s="5"/>
      <c r="J54" s="5"/>
      <c r="K54" s="5"/>
      <c r="L54" s="5"/>
      <c r="M54" s="5"/>
    </row>
    <row r="55" spans="1:13">
      <c r="A55" s="5"/>
      <c r="B55" s="5"/>
      <c r="C55" s="5"/>
      <c r="D55" s="5"/>
      <c r="E55" s="5"/>
      <c r="F55" s="5"/>
      <c r="G55" s="5"/>
      <c r="H55" s="5"/>
      <c r="I55" s="5"/>
      <c r="J55" s="5"/>
      <c r="K55" s="5"/>
      <c r="L55" s="5"/>
      <c r="M55" s="5"/>
    </row>
  </sheetData>
  <pageMargins left="0.51" right="0.28000000000000003" top="0.55118110236220474" bottom="0.47244094488188981" header="0.31496062992125984" footer="0.31496062992125984"/>
  <pageSetup paperSize="9" scale="90" orientation="portrait" r:id="rId1"/>
</worksheet>
</file>

<file path=xl/worksheets/sheet7.xml><?xml version="1.0" encoding="utf-8"?>
<worksheet xmlns="http://schemas.openxmlformats.org/spreadsheetml/2006/main" xmlns:r="http://schemas.openxmlformats.org/officeDocument/2006/relationships">
  <dimension ref="A1:M50"/>
  <sheetViews>
    <sheetView topLeftCell="A13" workbookViewId="0">
      <selection activeCell="G49" sqref="G49"/>
    </sheetView>
  </sheetViews>
  <sheetFormatPr defaultRowHeight="15"/>
  <sheetData>
    <row r="1" spans="1:13">
      <c r="A1" s="1" t="s">
        <v>0</v>
      </c>
      <c r="B1" s="1" t="s">
        <v>87</v>
      </c>
      <c r="C1" s="1"/>
      <c r="D1" s="1"/>
      <c r="E1" s="1"/>
      <c r="F1" s="1"/>
      <c r="G1" s="1"/>
      <c r="H1" s="1"/>
      <c r="I1" s="1"/>
      <c r="J1" s="1"/>
      <c r="K1" s="1"/>
      <c r="L1" s="1"/>
      <c r="M1" s="1"/>
    </row>
    <row r="2" spans="1:13">
      <c r="A2" s="1"/>
      <c r="B2" s="1" t="s">
        <v>88</v>
      </c>
      <c r="C2" s="1"/>
      <c r="D2" s="1"/>
      <c r="E2" s="1"/>
      <c r="F2" s="1"/>
      <c r="G2" s="1"/>
      <c r="H2" s="1"/>
      <c r="I2" s="1"/>
      <c r="J2" s="1"/>
      <c r="K2" s="1"/>
      <c r="L2" s="1"/>
      <c r="M2" s="1"/>
    </row>
    <row r="3" spans="1:13">
      <c r="A3" s="1"/>
      <c r="B3" s="1" t="s">
        <v>89</v>
      </c>
      <c r="C3" s="1"/>
      <c r="D3" s="1"/>
      <c r="E3" s="1"/>
      <c r="F3" s="1"/>
      <c r="G3" s="1"/>
      <c r="H3" s="1"/>
      <c r="I3" s="1"/>
      <c r="J3" s="1"/>
      <c r="K3" s="1"/>
      <c r="L3" s="1"/>
      <c r="M3" s="1"/>
    </row>
    <row r="4" spans="1:13">
      <c r="A4" s="53" t="s">
        <v>4</v>
      </c>
      <c r="B4" s="53"/>
      <c r="C4" s="53"/>
      <c r="D4" s="54" t="s">
        <v>5</v>
      </c>
      <c r="E4" s="54" t="s">
        <v>6</v>
      </c>
      <c r="F4" s="54" t="s">
        <v>7</v>
      </c>
      <c r="G4" s="54" t="s">
        <v>8</v>
      </c>
      <c r="H4" s="54" t="s">
        <v>9</v>
      </c>
      <c r="I4" s="54" t="s">
        <v>10</v>
      </c>
      <c r="J4" s="55" t="s">
        <v>11</v>
      </c>
      <c r="K4" s="54" t="s">
        <v>12</v>
      </c>
      <c r="L4" s="55" t="s">
        <v>13</v>
      </c>
      <c r="M4" s="54"/>
    </row>
    <row r="5" spans="1:13">
      <c r="A5" s="56"/>
      <c r="B5" s="56"/>
      <c r="C5" s="56"/>
      <c r="D5" s="57" t="s">
        <v>14</v>
      </c>
      <c r="E5" s="57" t="s">
        <v>15</v>
      </c>
      <c r="F5" s="57" t="s">
        <v>15</v>
      </c>
      <c r="G5" s="57" t="s">
        <v>16</v>
      </c>
      <c r="H5" s="57" t="s">
        <v>17</v>
      </c>
      <c r="I5" s="57" t="s">
        <v>18</v>
      </c>
      <c r="J5" s="58" t="s">
        <v>17</v>
      </c>
      <c r="K5" s="57" t="s">
        <v>17</v>
      </c>
      <c r="L5" s="58" t="s">
        <v>10</v>
      </c>
      <c r="M5" s="57" t="s">
        <v>11</v>
      </c>
    </row>
    <row r="6" spans="1:13">
      <c r="A6" s="56"/>
      <c r="B6" s="56"/>
      <c r="C6" s="56"/>
      <c r="D6" s="57" t="s">
        <v>19</v>
      </c>
      <c r="E6" s="57"/>
      <c r="F6" s="57"/>
      <c r="G6" s="57"/>
      <c r="H6" s="57" t="s">
        <v>20</v>
      </c>
      <c r="I6" s="57" t="s">
        <v>17</v>
      </c>
      <c r="J6" s="57" t="s">
        <v>20</v>
      </c>
      <c r="K6" s="57" t="s">
        <v>20</v>
      </c>
      <c r="L6" s="57"/>
      <c r="M6" s="57"/>
    </row>
    <row r="7" spans="1:13">
      <c r="A7" s="59"/>
      <c r="B7" s="59"/>
      <c r="C7" s="59"/>
      <c r="D7" s="60"/>
      <c r="E7" s="60"/>
      <c r="F7" s="60"/>
      <c r="G7" s="60"/>
      <c r="H7" s="60"/>
      <c r="I7" s="60" t="s">
        <v>20</v>
      </c>
      <c r="J7" s="60"/>
      <c r="K7" s="60"/>
      <c r="L7" s="60"/>
      <c r="M7" s="60"/>
    </row>
    <row r="8" spans="1:13">
      <c r="A8" s="1" t="s">
        <v>22</v>
      </c>
      <c r="B8" s="1"/>
      <c r="C8" s="1"/>
      <c r="D8" s="61">
        <v>63</v>
      </c>
      <c r="E8" s="62">
        <v>7.9</v>
      </c>
      <c r="F8" s="62">
        <v>2.8</v>
      </c>
      <c r="G8" s="63">
        <v>1031</v>
      </c>
      <c r="H8" s="62">
        <v>8145</v>
      </c>
      <c r="I8" s="1"/>
      <c r="J8" s="62"/>
      <c r="K8" s="62">
        <v>8145</v>
      </c>
      <c r="L8" s="1"/>
      <c r="M8" s="1"/>
    </row>
    <row r="9" spans="1:13">
      <c r="A9" s="1" t="s">
        <v>90</v>
      </c>
      <c r="B9" s="1"/>
      <c r="C9" s="1"/>
      <c r="D9" s="61">
        <v>70</v>
      </c>
      <c r="E9" s="1">
        <v>0.87</v>
      </c>
      <c r="F9" s="1">
        <v>0.87</v>
      </c>
      <c r="G9" s="62">
        <v>1000</v>
      </c>
      <c r="H9" s="62">
        <v>870</v>
      </c>
      <c r="I9" s="62">
        <v>9253</v>
      </c>
      <c r="J9" s="62"/>
      <c r="K9" s="62">
        <v>9412</v>
      </c>
      <c r="L9" s="62">
        <v>562</v>
      </c>
      <c r="M9" s="1"/>
    </row>
    <row r="10" spans="1:13">
      <c r="A10" s="1" t="s">
        <v>91</v>
      </c>
      <c r="B10" s="1"/>
      <c r="C10" s="1"/>
      <c r="D10" s="61" t="s">
        <v>92</v>
      </c>
      <c r="E10" s="62" t="s">
        <v>93</v>
      </c>
      <c r="F10" s="62" t="s">
        <v>94</v>
      </c>
      <c r="G10" s="63" t="s">
        <v>95</v>
      </c>
      <c r="H10" s="62" t="s">
        <v>96</v>
      </c>
      <c r="I10" s="4"/>
      <c r="J10" s="62"/>
      <c r="K10" s="62"/>
      <c r="L10" s="1"/>
      <c r="M10" s="1"/>
    </row>
    <row r="11" spans="1:13">
      <c r="A11" s="1" t="s">
        <v>97</v>
      </c>
      <c r="B11" s="1"/>
      <c r="C11" s="1"/>
      <c r="D11" s="61">
        <v>100</v>
      </c>
      <c r="E11" s="62">
        <v>11.55</v>
      </c>
      <c r="F11" s="62">
        <v>3.85</v>
      </c>
      <c r="G11" s="63">
        <v>1169</v>
      </c>
      <c r="H11" s="62">
        <v>13502</v>
      </c>
      <c r="I11" s="1"/>
      <c r="J11" s="62"/>
      <c r="K11" s="62">
        <v>13502</v>
      </c>
      <c r="L11" s="1"/>
      <c r="M11" s="1"/>
    </row>
    <row r="12" spans="1:13">
      <c r="A12" s="1" t="s">
        <v>98</v>
      </c>
      <c r="B12" s="1"/>
      <c r="C12" s="1"/>
      <c r="D12" s="61">
        <v>100</v>
      </c>
      <c r="E12" s="62">
        <v>6.8</v>
      </c>
      <c r="F12" s="62">
        <v>3</v>
      </c>
      <c r="G12" s="63">
        <v>1087</v>
      </c>
      <c r="H12" s="62">
        <v>7391</v>
      </c>
      <c r="I12" s="1"/>
      <c r="J12" s="62"/>
      <c r="K12" s="62">
        <v>7391</v>
      </c>
      <c r="L12" s="1"/>
      <c r="M12" s="1"/>
    </row>
    <row r="13" spans="1:13">
      <c r="A13" s="1" t="s">
        <v>99</v>
      </c>
      <c r="B13" s="1"/>
      <c r="C13" s="1"/>
      <c r="D13" s="61">
        <v>100</v>
      </c>
      <c r="E13" s="62">
        <v>5.8</v>
      </c>
      <c r="F13" s="62">
        <v>3.9000000000000004</v>
      </c>
      <c r="G13" s="63">
        <v>980</v>
      </c>
      <c r="H13" s="62">
        <v>5684</v>
      </c>
      <c r="I13" s="1"/>
      <c r="J13" s="62">
        <v>18872</v>
      </c>
      <c r="K13" s="62">
        <v>24556</v>
      </c>
      <c r="L13" s="1"/>
      <c r="M13" s="1"/>
    </row>
    <row r="14" spans="1:13">
      <c r="A14" s="1" t="s">
        <v>33</v>
      </c>
      <c r="B14" s="1"/>
      <c r="C14" s="1"/>
      <c r="D14" s="61">
        <v>100</v>
      </c>
      <c r="E14" s="62">
        <v>7.5</v>
      </c>
      <c r="F14" s="62">
        <v>6.8</v>
      </c>
      <c r="G14" s="63">
        <v>1287</v>
      </c>
      <c r="H14" s="62">
        <v>9652</v>
      </c>
      <c r="I14" s="1"/>
      <c r="J14" s="62">
        <v>25148</v>
      </c>
      <c r="K14" s="62">
        <v>34800</v>
      </c>
      <c r="L14" s="1"/>
      <c r="M14" s="1"/>
    </row>
    <row r="15" spans="1:13">
      <c r="A15" s="1" t="s">
        <v>100</v>
      </c>
      <c r="B15" s="1"/>
      <c r="C15" s="1"/>
      <c r="D15" s="61">
        <v>100</v>
      </c>
      <c r="E15" s="62">
        <v>11.2</v>
      </c>
      <c r="F15" s="62">
        <v>4.5999999999999996</v>
      </c>
      <c r="G15" s="63">
        <v>1044</v>
      </c>
      <c r="H15" s="62">
        <v>11692</v>
      </c>
      <c r="I15" s="1"/>
      <c r="J15" s="62"/>
      <c r="K15" s="62">
        <v>11692</v>
      </c>
      <c r="L15" s="1"/>
      <c r="M15" s="1"/>
    </row>
    <row r="16" spans="1:13">
      <c r="A16" s="1" t="s">
        <v>35</v>
      </c>
      <c r="B16" s="1"/>
      <c r="C16" s="1"/>
      <c r="D16" s="61">
        <v>100</v>
      </c>
      <c r="E16" s="62">
        <v>10.050000000000001</v>
      </c>
      <c r="F16" s="62">
        <v>9.8000000000000007</v>
      </c>
      <c r="G16" s="63">
        <v>1200</v>
      </c>
      <c r="H16" s="62">
        <v>12060</v>
      </c>
      <c r="I16" s="1"/>
      <c r="J16" s="62">
        <v>10892</v>
      </c>
      <c r="K16" s="62">
        <v>12060</v>
      </c>
      <c r="L16" s="1"/>
      <c r="M16" s="1"/>
    </row>
    <row r="17" spans="1:13">
      <c r="A17" s="1" t="s">
        <v>101</v>
      </c>
      <c r="B17" s="1"/>
      <c r="C17" s="1"/>
      <c r="D17" s="61">
        <v>100</v>
      </c>
      <c r="E17" s="62">
        <v>11.09</v>
      </c>
      <c r="F17" s="62">
        <v>5.46</v>
      </c>
      <c r="G17" s="63">
        <v>991</v>
      </c>
      <c r="H17" s="62">
        <v>10990</v>
      </c>
      <c r="I17" s="1"/>
      <c r="J17" s="62">
        <v>26191</v>
      </c>
      <c r="K17" s="62">
        <v>37181</v>
      </c>
      <c r="L17" s="1"/>
      <c r="M17" s="62">
        <v>6327</v>
      </c>
    </row>
    <row r="18" spans="1:13">
      <c r="A18" s="1" t="s">
        <v>36</v>
      </c>
      <c r="B18" s="1"/>
      <c r="C18" s="1"/>
      <c r="D18" s="61">
        <v>100</v>
      </c>
      <c r="E18" s="62">
        <v>12</v>
      </c>
      <c r="F18" s="62">
        <v>12</v>
      </c>
      <c r="G18" s="63">
        <v>1200</v>
      </c>
      <c r="H18" s="62">
        <v>14400</v>
      </c>
      <c r="I18" s="62">
        <v>13088</v>
      </c>
      <c r="J18" s="62"/>
      <c r="K18" s="62">
        <v>27488</v>
      </c>
      <c r="L18" s="1"/>
      <c r="M18" s="1"/>
    </row>
    <row r="19" spans="1:13">
      <c r="A19" s="1" t="s">
        <v>102</v>
      </c>
      <c r="B19" s="1"/>
      <c r="C19" s="1"/>
      <c r="D19" s="61">
        <v>100</v>
      </c>
      <c r="E19" s="62">
        <v>29</v>
      </c>
      <c r="F19" s="62">
        <v>14</v>
      </c>
      <c r="G19" s="63">
        <v>940</v>
      </c>
      <c r="H19" s="62">
        <v>27260</v>
      </c>
      <c r="I19" s="1"/>
      <c r="J19" s="62"/>
      <c r="K19" s="62">
        <v>27260</v>
      </c>
      <c r="L19" s="1"/>
      <c r="M19" s="1"/>
    </row>
    <row r="20" spans="1:13">
      <c r="A20" s="53" t="s">
        <v>46</v>
      </c>
      <c r="B20" s="53"/>
      <c r="C20" s="53"/>
      <c r="D20" s="64"/>
      <c r="E20" s="65">
        <f>SUM(E8:E19)</f>
        <v>113.76</v>
      </c>
      <c r="F20" s="65">
        <f>SUM(F8:F19)</f>
        <v>67.080000000000013</v>
      </c>
      <c r="G20" s="65"/>
      <c r="H20" s="65">
        <f>SUM(H8:H19)</f>
        <v>121646</v>
      </c>
      <c r="I20" s="65">
        <f>SUM(I8:I19)</f>
        <v>22341</v>
      </c>
      <c r="J20" s="65">
        <f>SUM(J8:J19)</f>
        <v>81103</v>
      </c>
      <c r="K20" s="65">
        <f>SUM(H20:J20)</f>
        <v>225090</v>
      </c>
      <c r="L20" s="65">
        <f>SUM(L9:L19)</f>
        <v>562</v>
      </c>
      <c r="M20" s="65">
        <v>6327</v>
      </c>
    </row>
    <row r="21" spans="1:13">
      <c r="A21" s="59" t="s">
        <v>47</v>
      </c>
      <c r="B21" s="59"/>
      <c r="C21" s="59"/>
      <c r="D21" s="66"/>
      <c r="E21" s="67">
        <f>SUM(E20-F20)</f>
        <v>46.679999999999993</v>
      </c>
      <c r="F21" s="67"/>
      <c r="G21" s="67"/>
      <c r="H21" s="67">
        <f>E30*G30</f>
        <v>50149</v>
      </c>
      <c r="I21" s="67">
        <f>I20-L20</f>
        <v>21779</v>
      </c>
      <c r="J21" s="67">
        <f>J20-M20</f>
        <v>74776</v>
      </c>
      <c r="K21" s="67">
        <f>SUM(H21:J21)</f>
        <v>146704</v>
      </c>
      <c r="L21" s="59"/>
      <c r="M21" s="59"/>
    </row>
    <row r="22" spans="1:13">
      <c r="A22" s="1"/>
      <c r="B22" s="1"/>
      <c r="C22" s="1"/>
      <c r="D22" s="1"/>
      <c r="E22" s="1"/>
      <c r="F22" s="1"/>
      <c r="G22" s="1"/>
      <c r="H22" s="1"/>
      <c r="I22" s="1"/>
      <c r="J22" s="1"/>
      <c r="K22" s="1"/>
      <c r="L22" s="1"/>
      <c r="M22" s="1"/>
    </row>
    <row r="23" spans="1:13">
      <c r="A23" s="1"/>
      <c r="B23" s="1"/>
      <c r="C23" s="1" t="s">
        <v>103</v>
      </c>
      <c r="D23" s="1"/>
      <c r="E23" s="1"/>
      <c r="F23" s="1"/>
      <c r="G23" s="1"/>
      <c r="H23" s="1"/>
      <c r="I23" s="1"/>
      <c r="J23" s="1"/>
      <c r="K23" s="1"/>
      <c r="L23" s="1"/>
      <c r="M23" s="1"/>
    </row>
    <row r="24" spans="1:13">
      <c r="A24" s="1" t="s">
        <v>50</v>
      </c>
      <c r="B24" s="1"/>
      <c r="C24" s="1"/>
      <c r="D24" s="1"/>
      <c r="E24" s="1"/>
      <c r="F24" s="1"/>
      <c r="G24" s="1"/>
      <c r="H24" s="1"/>
      <c r="I24" s="1"/>
      <c r="J24" s="1"/>
      <c r="K24" s="1"/>
      <c r="L24" s="1"/>
      <c r="M24" s="1"/>
    </row>
    <row r="25" spans="1:13">
      <c r="A25" s="68" t="s">
        <v>51</v>
      </c>
      <c r="B25" s="68"/>
      <c r="C25" s="68"/>
      <c r="D25" s="68" t="s">
        <v>52</v>
      </c>
      <c r="E25" s="68" t="s">
        <v>53</v>
      </c>
      <c r="F25" s="68"/>
      <c r="G25" s="68" t="s">
        <v>54</v>
      </c>
      <c r="H25" s="1"/>
      <c r="I25" s="1"/>
      <c r="J25" s="1"/>
      <c r="K25" s="69"/>
      <c r="L25" s="1"/>
      <c r="M25" s="1"/>
    </row>
    <row r="26" spans="1:13">
      <c r="A26" s="1" t="s">
        <v>55</v>
      </c>
      <c r="B26" s="1"/>
      <c r="C26" s="1"/>
      <c r="D26" s="1"/>
      <c r="E26" s="1"/>
      <c r="F26" s="1"/>
      <c r="G26" s="1"/>
      <c r="H26" s="1"/>
      <c r="I26" s="1"/>
      <c r="J26" s="1"/>
      <c r="K26" s="69"/>
      <c r="L26" s="1"/>
      <c r="M26" s="1"/>
    </row>
    <row r="27" spans="1:13">
      <c r="A27" s="1" t="s">
        <v>104</v>
      </c>
      <c r="B27" s="1"/>
      <c r="C27" s="1"/>
      <c r="D27" s="1" t="s">
        <v>75</v>
      </c>
      <c r="E27" s="62">
        <v>13.48</v>
      </c>
      <c r="F27" s="70"/>
      <c r="G27" s="62">
        <v>1400</v>
      </c>
      <c r="H27" s="1"/>
      <c r="I27" s="1"/>
      <c r="J27" s="1"/>
      <c r="K27" s="69"/>
      <c r="L27" s="1"/>
      <c r="M27" s="1"/>
    </row>
    <row r="28" spans="1:13">
      <c r="A28" s="1"/>
      <c r="B28" s="1"/>
      <c r="C28" s="1"/>
      <c r="D28" s="1"/>
      <c r="E28" s="70"/>
      <c r="F28" s="70"/>
      <c r="G28" s="70"/>
      <c r="H28" s="1"/>
      <c r="I28" s="1"/>
      <c r="J28" s="1"/>
      <c r="K28" s="69"/>
      <c r="L28" s="1"/>
      <c r="M28" s="1"/>
    </row>
    <row r="29" spans="1:13">
      <c r="A29" s="1" t="s">
        <v>64</v>
      </c>
      <c r="B29" s="1"/>
      <c r="C29" s="1"/>
      <c r="D29" s="1"/>
      <c r="E29" s="70"/>
      <c r="F29" s="70"/>
      <c r="G29" s="70"/>
      <c r="H29" s="1"/>
      <c r="I29" s="1"/>
      <c r="J29" s="1" t="s">
        <v>105</v>
      </c>
      <c r="K29" s="1">
        <v>0.41</v>
      </c>
      <c r="L29" s="1"/>
      <c r="M29" s="1"/>
    </row>
    <row r="30" spans="1:13">
      <c r="A30" s="1" t="s">
        <v>65</v>
      </c>
      <c r="B30" s="1"/>
      <c r="C30" s="1"/>
      <c r="D30" s="1" t="s">
        <v>66</v>
      </c>
      <c r="E30" s="62">
        <v>47</v>
      </c>
      <c r="F30" s="62"/>
      <c r="G30" s="62">
        <v>1067</v>
      </c>
      <c r="H30" s="1"/>
      <c r="I30" s="1"/>
      <c r="J30" s="1" t="s">
        <v>58</v>
      </c>
      <c r="K30" s="1">
        <v>0.25</v>
      </c>
      <c r="L30" s="1"/>
      <c r="M30" s="1"/>
    </row>
    <row r="31" spans="1:13">
      <c r="A31" s="1" t="s">
        <v>68</v>
      </c>
      <c r="B31" s="1"/>
      <c r="C31" s="1"/>
      <c r="D31" s="1" t="s">
        <v>66</v>
      </c>
      <c r="E31" s="62">
        <v>67</v>
      </c>
      <c r="F31" s="62"/>
      <c r="G31" s="62"/>
      <c r="H31" s="1"/>
      <c r="I31" s="1"/>
      <c r="J31" s="4"/>
      <c r="K31" s="4"/>
      <c r="L31" s="1"/>
      <c r="M31" s="1"/>
    </row>
    <row r="32" spans="1:13">
      <c r="A32" s="1" t="s">
        <v>6</v>
      </c>
      <c r="B32" s="1"/>
      <c r="C32" s="1"/>
      <c r="D32" s="1"/>
      <c r="E32" s="62">
        <f>SUM(E30:E31)</f>
        <v>114</v>
      </c>
      <c r="F32" s="62"/>
      <c r="G32" s="62"/>
      <c r="H32" s="1"/>
      <c r="I32" s="1"/>
      <c r="J32" s="1" t="s">
        <v>67</v>
      </c>
      <c r="K32" s="4"/>
      <c r="L32" s="1"/>
      <c r="M32" s="1"/>
    </row>
    <row r="33" spans="1:13">
      <c r="A33" s="1"/>
      <c r="B33" s="1"/>
      <c r="C33" s="1"/>
      <c r="D33" s="1"/>
      <c r="E33" s="1"/>
      <c r="F33" s="1"/>
      <c r="G33" s="1"/>
      <c r="H33" s="1"/>
      <c r="I33" s="1"/>
      <c r="J33" s="1" t="s">
        <v>106</v>
      </c>
      <c r="K33" s="71">
        <v>83</v>
      </c>
      <c r="L33" s="1"/>
      <c r="M33" s="1"/>
    </row>
    <row r="34" spans="1:13">
      <c r="A34" s="53" t="s">
        <v>107</v>
      </c>
      <c r="B34" s="53"/>
      <c r="C34" s="53" t="s">
        <v>73</v>
      </c>
      <c r="D34" s="53"/>
      <c r="E34" s="53"/>
      <c r="F34" s="53"/>
      <c r="G34" s="53"/>
      <c r="H34" s="1"/>
      <c r="I34" s="1"/>
      <c r="J34" s="1" t="s">
        <v>71</v>
      </c>
      <c r="K34" s="1">
        <v>17</v>
      </c>
      <c r="L34" s="1"/>
      <c r="M34" s="1"/>
    </row>
    <row r="35" spans="1:13">
      <c r="A35" s="56" t="s">
        <v>108</v>
      </c>
      <c r="B35" s="58"/>
      <c r="C35" s="72">
        <v>70</v>
      </c>
      <c r="D35" s="56" t="s">
        <v>109</v>
      </c>
      <c r="E35" s="73">
        <v>28</v>
      </c>
      <c r="F35" s="73"/>
      <c r="G35" s="73">
        <v>173</v>
      </c>
      <c r="H35" s="62"/>
      <c r="I35" s="1"/>
      <c r="J35" s="1"/>
      <c r="K35" s="1"/>
      <c r="L35" s="1"/>
      <c r="M35" s="1"/>
    </row>
    <row r="36" spans="1:13">
      <c r="A36" s="56" t="s">
        <v>110</v>
      </c>
      <c r="B36" s="58"/>
      <c r="C36" s="72">
        <v>40</v>
      </c>
      <c r="D36" s="56" t="s">
        <v>75</v>
      </c>
      <c r="E36" s="73">
        <v>81</v>
      </c>
      <c r="F36" s="73"/>
      <c r="G36" s="73">
        <v>50</v>
      </c>
      <c r="H36" s="62"/>
      <c r="I36" s="1"/>
      <c r="J36" s="1"/>
      <c r="K36" s="1"/>
      <c r="L36" s="1"/>
      <c r="M36" s="1"/>
    </row>
    <row r="37" spans="1:13">
      <c r="A37" s="56" t="s">
        <v>111</v>
      </c>
      <c r="B37" s="58"/>
      <c r="C37" s="72">
        <v>67</v>
      </c>
      <c r="D37" s="56" t="s">
        <v>75</v>
      </c>
      <c r="E37" s="73">
        <v>258</v>
      </c>
      <c r="F37" s="73"/>
      <c r="G37" s="73">
        <v>63</v>
      </c>
      <c r="H37" s="62"/>
      <c r="I37" s="1"/>
      <c r="J37" s="1"/>
      <c r="K37" s="1"/>
      <c r="L37" s="1"/>
      <c r="M37" s="1"/>
    </row>
    <row r="38" spans="1:13">
      <c r="A38" s="53" t="s">
        <v>77</v>
      </c>
      <c r="B38" s="53"/>
      <c r="C38" s="53"/>
      <c r="D38" s="53"/>
      <c r="E38" s="53"/>
      <c r="F38" s="53"/>
      <c r="G38" s="53"/>
      <c r="H38" s="1"/>
      <c r="I38" s="1"/>
      <c r="J38" s="1" t="s">
        <v>112</v>
      </c>
      <c r="K38" s="1"/>
      <c r="L38" s="1"/>
      <c r="M38" s="1"/>
    </row>
    <row r="39" spans="1:13">
      <c r="A39" s="56" t="s">
        <v>80</v>
      </c>
      <c r="B39" s="56"/>
      <c r="C39" s="56"/>
      <c r="D39" s="56"/>
      <c r="E39" s="56"/>
      <c r="F39" s="56"/>
      <c r="G39" s="74">
        <v>4388</v>
      </c>
      <c r="H39" s="1"/>
      <c r="I39" s="1"/>
      <c r="J39" s="62">
        <v>10843</v>
      </c>
      <c r="K39" s="1"/>
      <c r="L39" s="1"/>
      <c r="M39" s="1"/>
    </row>
    <row r="40" spans="1:13">
      <c r="A40" s="56" t="s">
        <v>81</v>
      </c>
      <c r="B40" s="56"/>
      <c r="C40" s="56"/>
      <c r="D40" s="56"/>
      <c r="E40" s="56"/>
      <c r="F40" s="56"/>
      <c r="G40" s="75">
        <v>93</v>
      </c>
      <c r="H40" s="1"/>
      <c r="I40" s="1"/>
      <c r="J40" s="62"/>
      <c r="K40" s="1"/>
      <c r="L40" s="1"/>
      <c r="M40" s="1"/>
    </row>
    <row r="41" spans="1:13">
      <c r="A41" s="56" t="s">
        <v>82</v>
      </c>
      <c r="B41" s="56"/>
      <c r="C41" s="56"/>
      <c r="D41" s="56"/>
      <c r="E41" s="56"/>
      <c r="F41" s="56"/>
      <c r="G41" s="75">
        <f>G39*G40</f>
        <v>408084</v>
      </c>
      <c r="H41" s="1"/>
      <c r="I41" s="1"/>
      <c r="J41" s="62">
        <v>1008376</v>
      </c>
      <c r="K41" s="1"/>
      <c r="L41" s="1"/>
      <c r="M41" s="1"/>
    </row>
    <row r="42" spans="1:13">
      <c r="A42" s="56" t="s">
        <v>83</v>
      </c>
      <c r="B42" s="56"/>
      <c r="C42" s="56"/>
      <c r="D42" s="56"/>
      <c r="E42" s="56"/>
      <c r="F42" s="56"/>
      <c r="G42" s="75">
        <f>G41-K20</f>
        <v>182994</v>
      </c>
      <c r="H42" s="1"/>
      <c r="I42" s="1"/>
      <c r="J42" s="62">
        <v>452178</v>
      </c>
      <c r="K42" s="1"/>
      <c r="L42" s="1"/>
      <c r="M42" s="1"/>
    </row>
    <row r="43" spans="1:13">
      <c r="A43" s="56" t="s">
        <v>84</v>
      </c>
      <c r="B43" s="56"/>
      <c r="C43" s="56"/>
      <c r="D43" s="56"/>
      <c r="E43" s="56"/>
      <c r="F43" s="56"/>
      <c r="G43" s="75">
        <f>G41-K21</f>
        <v>261380</v>
      </c>
      <c r="H43" s="1"/>
      <c r="I43" s="1"/>
      <c r="J43" s="62">
        <v>645870</v>
      </c>
      <c r="K43" s="1"/>
      <c r="L43" s="1"/>
      <c r="M43" s="1"/>
    </row>
    <row r="44" spans="1:13">
      <c r="A44" s="56" t="s">
        <v>85</v>
      </c>
      <c r="B44" s="56"/>
      <c r="C44" s="56"/>
      <c r="D44" s="56"/>
      <c r="E44" s="56"/>
      <c r="F44" s="56"/>
      <c r="G44" s="75">
        <f>K20/G39</f>
        <v>51.296718322698268</v>
      </c>
      <c r="H44" s="1"/>
      <c r="I44" s="1"/>
      <c r="J44" s="1"/>
      <c r="K44" s="1"/>
      <c r="L44" s="1"/>
      <c r="M44" s="1"/>
    </row>
    <row r="45" spans="1:13">
      <c r="A45" s="59" t="s">
        <v>86</v>
      </c>
      <c r="B45" s="59"/>
      <c r="C45" s="59"/>
      <c r="D45" s="59"/>
      <c r="E45" s="59"/>
      <c r="F45" s="59"/>
      <c r="G45" s="76">
        <f>K21/G39</f>
        <v>33.432999088422974</v>
      </c>
      <c r="H45" s="1"/>
      <c r="I45" s="1"/>
      <c r="J45" s="1"/>
      <c r="K45" s="1"/>
      <c r="L45" s="1"/>
      <c r="M45" s="1"/>
    </row>
    <row r="46" spans="1:13">
      <c r="A46" s="1" t="s">
        <v>113</v>
      </c>
      <c r="B46" s="1"/>
      <c r="C46" s="1"/>
      <c r="D46" s="1"/>
      <c r="E46" s="1"/>
      <c r="F46" s="1"/>
      <c r="G46" s="1"/>
      <c r="H46" s="1"/>
      <c r="I46" s="1"/>
      <c r="J46" s="1"/>
      <c r="K46" s="1"/>
      <c r="L46" s="1"/>
      <c r="M46" s="1"/>
    </row>
    <row r="47" spans="1:13">
      <c r="A47" s="1" t="s">
        <v>114</v>
      </c>
      <c r="B47" s="4"/>
      <c r="C47" s="1"/>
      <c r="D47" s="1"/>
      <c r="E47" s="1"/>
      <c r="F47" s="1"/>
      <c r="G47" s="1"/>
      <c r="H47" s="1"/>
      <c r="I47" s="1"/>
      <c r="J47" s="1"/>
      <c r="K47" s="1"/>
      <c r="L47" s="1"/>
      <c r="M47" s="1"/>
    </row>
    <row r="48" spans="1:13">
      <c r="A48" s="1" t="s">
        <v>115</v>
      </c>
      <c r="B48" s="1"/>
      <c r="C48" s="1"/>
      <c r="D48" s="1"/>
      <c r="E48" s="1"/>
      <c r="F48" s="1"/>
      <c r="G48" s="1"/>
      <c r="H48" s="1"/>
      <c r="I48" s="1"/>
      <c r="J48" s="1"/>
      <c r="K48" s="1"/>
      <c r="L48" s="1"/>
      <c r="M48" s="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58"/>
  <sheetViews>
    <sheetView topLeftCell="A16" workbookViewId="0">
      <selection activeCell="E51" sqref="E51"/>
    </sheetView>
  </sheetViews>
  <sheetFormatPr defaultRowHeight="15"/>
  <sheetData>
    <row r="1" spans="1:13">
      <c r="A1" s="77" t="s">
        <v>0</v>
      </c>
      <c r="B1" s="77" t="s">
        <v>116</v>
      </c>
      <c r="C1" s="77"/>
      <c r="D1" s="77"/>
      <c r="E1" s="77"/>
      <c r="F1" s="77"/>
      <c r="G1" s="77"/>
      <c r="H1" s="77"/>
      <c r="I1" s="77"/>
      <c r="J1" s="77"/>
      <c r="K1" s="77"/>
      <c r="L1" s="77"/>
      <c r="M1" s="77"/>
    </row>
    <row r="2" spans="1:13">
      <c r="A2" s="77"/>
      <c r="B2" s="77" t="s">
        <v>117</v>
      </c>
      <c r="C2" s="77"/>
      <c r="D2" s="77"/>
      <c r="E2" s="77"/>
      <c r="F2" s="77"/>
      <c r="G2" s="77"/>
      <c r="H2" s="77"/>
      <c r="I2" s="77"/>
      <c r="J2" s="77"/>
      <c r="K2" s="77"/>
      <c r="L2" s="77"/>
      <c r="M2" s="77"/>
    </row>
    <row r="3" spans="1:13">
      <c r="A3" s="77"/>
      <c r="B3" s="77" t="s">
        <v>89</v>
      </c>
      <c r="C3" s="77"/>
      <c r="D3" s="77"/>
      <c r="E3" s="77"/>
      <c r="F3" s="77"/>
      <c r="G3" s="77"/>
      <c r="H3" s="77"/>
      <c r="I3" s="77"/>
      <c r="J3" s="77"/>
      <c r="K3" s="77"/>
      <c r="L3" s="77"/>
      <c r="M3" s="77"/>
    </row>
    <row r="4" spans="1:13">
      <c r="A4" s="78" t="s">
        <v>4</v>
      </c>
      <c r="B4" s="78"/>
      <c r="C4" s="78"/>
      <c r="D4" s="79" t="s">
        <v>5</v>
      </c>
      <c r="E4" s="79" t="s">
        <v>6</v>
      </c>
      <c r="F4" s="79" t="s">
        <v>7</v>
      </c>
      <c r="G4" s="79" t="s">
        <v>8</v>
      </c>
      <c r="H4" s="79" t="s">
        <v>9</v>
      </c>
      <c r="I4" s="79" t="s">
        <v>10</v>
      </c>
      <c r="J4" s="79" t="s">
        <v>11</v>
      </c>
      <c r="K4" s="79" t="s">
        <v>12</v>
      </c>
      <c r="L4" s="80" t="s">
        <v>13</v>
      </c>
      <c r="M4" s="79"/>
    </row>
    <row r="5" spans="1:13">
      <c r="A5" s="81"/>
      <c r="B5" s="81"/>
      <c r="C5" s="81"/>
      <c r="D5" s="82" t="s">
        <v>14</v>
      </c>
      <c r="E5" s="82" t="s">
        <v>15</v>
      </c>
      <c r="F5" s="82" t="s">
        <v>15</v>
      </c>
      <c r="G5" s="82" t="s">
        <v>16</v>
      </c>
      <c r="H5" s="82" t="s">
        <v>17</v>
      </c>
      <c r="I5" s="82" t="s">
        <v>18</v>
      </c>
      <c r="J5" s="82" t="s">
        <v>17</v>
      </c>
      <c r="K5" s="82" t="s">
        <v>17</v>
      </c>
      <c r="L5" s="83" t="s">
        <v>10</v>
      </c>
      <c r="M5" s="82" t="s">
        <v>11</v>
      </c>
    </row>
    <row r="6" spans="1:13">
      <c r="A6" s="81"/>
      <c r="B6" s="81"/>
      <c r="C6" s="81"/>
      <c r="D6" s="82" t="s">
        <v>19</v>
      </c>
      <c r="E6" s="82"/>
      <c r="F6" s="82"/>
      <c r="G6" s="82"/>
      <c r="H6" s="82" t="s">
        <v>20</v>
      </c>
      <c r="I6" s="82" t="s">
        <v>17</v>
      </c>
      <c r="J6" s="82" t="s">
        <v>20</v>
      </c>
      <c r="K6" s="82" t="s">
        <v>20</v>
      </c>
      <c r="L6" s="82"/>
      <c r="M6" s="82"/>
    </row>
    <row r="7" spans="1:13">
      <c r="A7" s="84"/>
      <c r="B7" s="84"/>
      <c r="C7" s="84"/>
      <c r="D7" s="85"/>
      <c r="E7" s="85"/>
      <c r="F7" s="85"/>
      <c r="G7" s="85"/>
      <c r="H7" s="85"/>
      <c r="I7" s="85" t="s">
        <v>20</v>
      </c>
      <c r="J7" s="85"/>
      <c r="K7" s="85"/>
      <c r="L7" s="85"/>
      <c r="M7" s="85"/>
    </row>
    <row r="8" spans="1:13">
      <c r="A8" s="77" t="s">
        <v>118</v>
      </c>
      <c r="B8" s="77"/>
      <c r="C8" s="77"/>
      <c r="D8" s="86">
        <v>80</v>
      </c>
      <c r="E8" s="87">
        <v>6.64</v>
      </c>
      <c r="F8" s="87">
        <v>6.54</v>
      </c>
      <c r="G8" s="88">
        <v>1200</v>
      </c>
      <c r="H8" s="87">
        <f>SUM(E8*G8)</f>
        <v>7968</v>
      </c>
      <c r="I8" s="77"/>
      <c r="J8" s="87">
        <v>1051</v>
      </c>
      <c r="K8" s="87">
        <f>H8+I8+J8</f>
        <v>9019</v>
      </c>
      <c r="L8" s="77"/>
      <c r="M8" s="77"/>
    </row>
    <row r="9" spans="1:13">
      <c r="A9" s="77" t="s">
        <v>22</v>
      </c>
      <c r="B9" s="77"/>
      <c r="C9" s="77"/>
      <c r="D9" s="86">
        <v>70</v>
      </c>
      <c r="E9" s="87">
        <v>8.6</v>
      </c>
      <c r="F9" s="87">
        <v>4.2</v>
      </c>
      <c r="G9" s="88">
        <v>1102</v>
      </c>
      <c r="H9" s="87">
        <v>9477</v>
      </c>
      <c r="I9" s="77"/>
      <c r="J9" s="87"/>
      <c r="K9" s="87">
        <f>H9+I9+J9</f>
        <v>9477</v>
      </c>
      <c r="L9" s="77"/>
      <c r="M9" s="77"/>
    </row>
    <row r="10" spans="1:13">
      <c r="A10" s="77" t="s">
        <v>90</v>
      </c>
      <c r="B10" s="77"/>
      <c r="C10" s="77"/>
      <c r="D10" s="86">
        <v>50</v>
      </c>
      <c r="E10" s="87">
        <v>0.5</v>
      </c>
      <c r="F10" s="87">
        <v>0.5</v>
      </c>
      <c r="G10" s="88">
        <v>1070</v>
      </c>
      <c r="H10" s="87">
        <f t="shared" ref="H10:H19" si="0">SUM(E10*G10)</f>
        <v>535</v>
      </c>
      <c r="I10" s="87">
        <v>9633</v>
      </c>
      <c r="J10" s="87"/>
      <c r="K10" s="87">
        <f>H10+I10+J10</f>
        <v>10168</v>
      </c>
      <c r="L10" s="87">
        <v>1661</v>
      </c>
      <c r="M10" s="77"/>
    </row>
    <row r="11" spans="1:13">
      <c r="A11" s="77" t="s">
        <v>91</v>
      </c>
      <c r="B11" s="77"/>
      <c r="C11" s="77"/>
      <c r="D11" s="86" t="s">
        <v>92</v>
      </c>
      <c r="E11" s="87" t="s">
        <v>119</v>
      </c>
      <c r="F11" s="87" t="s">
        <v>120</v>
      </c>
      <c r="G11" s="88" t="s">
        <v>121</v>
      </c>
      <c r="H11" s="87" t="s">
        <v>122</v>
      </c>
      <c r="I11" s="77"/>
      <c r="J11" s="87"/>
      <c r="K11" s="87"/>
      <c r="L11" s="77"/>
      <c r="M11" s="77"/>
    </row>
    <row r="12" spans="1:13">
      <c r="A12" s="77" t="s">
        <v>97</v>
      </c>
      <c r="B12" s="77"/>
      <c r="C12" s="77"/>
      <c r="D12" s="86">
        <v>100</v>
      </c>
      <c r="E12" s="87">
        <v>13.2</v>
      </c>
      <c r="F12" s="87">
        <v>6.8999999999999995</v>
      </c>
      <c r="G12" s="88">
        <v>1059</v>
      </c>
      <c r="H12" s="87">
        <v>13979</v>
      </c>
      <c r="I12" s="77"/>
      <c r="J12" s="87"/>
      <c r="K12" s="87">
        <f>H12+I12+J12</f>
        <v>13979</v>
      </c>
      <c r="L12" s="77"/>
      <c r="M12" s="77"/>
    </row>
    <row r="13" spans="1:13">
      <c r="A13" s="89" t="s">
        <v>123</v>
      </c>
      <c r="B13" s="77"/>
      <c r="C13" s="77"/>
      <c r="D13" s="86">
        <v>100</v>
      </c>
      <c r="E13" s="87">
        <v>15.17</v>
      </c>
      <c r="F13" s="87">
        <v>7.72</v>
      </c>
      <c r="G13" s="88">
        <v>919</v>
      </c>
      <c r="H13" s="87">
        <v>13941</v>
      </c>
      <c r="I13" s="77"/>
      <c r="J13" s="87">
        <v>10339</v>
      </c>
      <c r="K13" s="87">
        <f>H13+I13+J13</f>
        <v>24280</v>
      </c>
      <c r="L13" s="77"/>
      <c r="M13" s="77"/>
    </row>
    <row r="14" spans="1:13">
      <c r="A14" s="89" t="s">
        <v>33</v>
      </c>
      <c r="B14" s="77"/>
      <c r="C14" s="77"/>
      <c r="D14" s="86">
        <v>100</v>
      </c>
      <c r="E14" s="87">
        <v>7.79</v>
      </c>
      <c r="F14" s="87">
        <v>7.02</v>
      </c>
      <c r="G14" s="88">
        <v>1200</v>
      </c>
      <c r="H14" s="87">
        <f t="shared" si="0"/>
        <v>9348</v>
      </c>
      <c r="I14" s="77"/>
      <c r="J14" s="87">
        <f>E39*G39+E40*G40+E41*G41</f>
        <v>29648</v>
      </c>
      <c r="K14" s="87">
        <f>H14+I14+J14</f>
        <v>38996</v>
      </c>
      <c r="L14" s="77"/>
      <c r="M14" s="77"/>
    </row>
    <row r="15" spans="1:13">
      <c r="A15" s="77" t="s">
        <v>100</v>
      </c>
      <c r="B15" s="77"/>
      <c r="C15" s="77"/>
      <c r="D15" s="86">
        <v>100</v>
      </c>
      <c r="E15" s="87">
        <v>12.6</v>
      </c>
      <c r="F15" s="87">
        <v>6.1</v>
      </c>
      <c r="G15" s="88">
        <v>1042</v>
      </c>
      <c r="H15" s="87">
        <v>13129</v>
      </c>
      <c r="I15" s="77"/>
      <c r="J15" s="87"/>
      <c r="K15" s="87">
        <f t="shared" ref="K15:K20" si="1">H15+I15+J15</f>
        <v>13129</v>
      </c>
      <c r="L15" s="77"/>
      <c r="M15" s="77"/>
    </row>
    <row r="16" spans="1:13">
      <c r="A16" s="77" t="s">
        <v>35</v>
      </c>
      <c r="B16" s="77"/>
      <c r="C16" s="77"/>
      <c r="D16" s="86">
        <v>100</v>
      </c>
      <c r="E16" s="87">
        <v>17.46</v>
      </c>
      <c r="F16" s="87">
        <v>17.2</v>
      </c>
      <c r="G16" s="88">
        <v>1200</v>
      </c>
      <c r="H16" s="87">
        <f t="shared" si="0"/>
        <v>20952</v>
      </c>
      <c r="I16" s="77"/>
      <c r="J16" s="87">
        <v>25889</v>
      </c>
      <c r="K16" s="87">
        <f t="shared" si="1"/>
        <v>46841</v>
      </c>
      <c r="L16" s="77"/>
      <c r="M16" s="77"/>
    </row>
    <row r="17" spans="1:13">
      <c r="A17" s="77" t="s">
        <v>101</v>
      </c>
      <c r="B17" s="77"/>
      <c r="C17" s="77"/>
      <c r="D17" s="86">
        <v>100</v>
      </c>
      <c r="E17" s="87">
        <v>12</v>
      </c>
      <c r="F17" s="87">
        <v>5.9</v>
      </c>
      <c r="G17" s="88">
        <v>1025</v>
      </c>
      <c r="H17" s="87">
        <f t="shared" si="0"/>
        <v>12300</v>
      </c>
      <c r="I17" s="77"/>
      <c r="J17" s="87">
        <v>18204</v>
      </c>
      <c r="K17" s="87">
        <f t="shared" si="1"/>
        <v>30504</v>
      </c>
      <c r="L17" s="77"/>
      <c r="M17" s="87">
        <v>7858</v>
      </c>
    </row>
    <row r="18" spans="1:13">
      <c r="A18" s="77" t="s">
        <v>124</v>
      </c>
      <c r="B18" s="77"/>
      <c r="C18" s="77"/>
      <c r="D18" s="86">
        <v>100</v>
      </c>
      <c r="E18" s="87">
        <v>9.9</v>
      </c>
      <c r="F18" s="87">
        <v>4.4000000000000004</v>
      </c>
      <c r="G18" s="88">
        <v>873</v>
      </c>
      <c r="H18" s="87">
        <v>8643</v>
      </c>
      <c r="I18" s="77"/>
      <c r="J18" s="87"/>
      <c r="K18" s="87">
        <f t="shared" si="1"/>
        <v>8643</v>
      </c>
      <c r="L18" s="77"/>
      <c r="M18" s="77"/>
    </row>
    <row r="19" spans="1:13">
      <c r="A19" s="77" t="s">
        <v>125</v>
      </c>
      <c r="B19" s="77"/>
      <c r="C19" s="77"/>
      <c r="D19" s="86">
        <v>60</v>
      </c>
      <c r="E19" s="87">
        <v>20.7</v>
      </c>
      <c r="F19" s="87">
        <v>4.4000000000000004</v>
      </c>
      <c r="G19" s="88">
        <v>1000</v>
      </c>
      <c r="H19" s="87">
        <f t="shared" si="0"/>
        <v>20700</v>
      </c>
      <c r="I19" s="77"/>
      <c r="J19" s="87"/>
      <c r="K19" s="87">
        <f t="shared" si="1"/>
        <v>20700</v>
      </c>
      <c r="L19" s="77"/>
      <c r="M19" s="77"/>
    </row>
    <row r="20" spans="1:13">
      <c r="A20" s="77" t="s">
        <v>102</v>
      </c>
      <c r="B20" s="77"/>
      <c r="C20" s="77"/>
      <c r="D20" s="86">
        <v>100</v>
      </c>
      <c r="E20" s="87">
        <v>49.4</v>
      </c>
      <c r="F20" s="87">
        <v>30.05</v>
      </c>
      <c r="G20" s="88">
        <v>912</v>
      </c>
      <c r="H20" s="87">
        <v>45053</v>
      </c>
      <c r="I20" s="77"/>
      <c r="J20" s="87"/>
      <c r="K20" s="87">
        <f t="shared" si="1"/>
        <v>45053</v>
      </c>
      <c r="L20" s="77"/>
      <c r="M20" s="77"/>
    </row>
    <row r="21" spans="1:13">
      <c r="A21" s="78" t="s">
        <v>46</v>
      </c>
      <c r="B21" s="78"/>
      <c r="C21" s="78"/>
      <c r="D21" s="90"/>
      <c r="E21" s="91">
        <f>SUM(E8:E20)</f>
        <v>173.96</v>
      </c>
      <c r="F21" s="91">
        <f>SUM(F8:F20)</f>
        <v>100.92999999999999</v>
      </c>
      <c r="G21" s="92"/>
      <c r="H21" s="92">
        <f>SUM(H8:H20)</f>
        <v>176025</v>
      </c>
      <c r="I21" s="92">
        <f>SUM(I8:I20)</f>
        <v>9633</v>
      </c>
      <c r="J21" s="92">
        <f>SUM(J8:J20)</f>
        <v>85131</v>
      </c>
      <c r="K21" s="92">
        <f>SUM(H21:J21)</f>
        <v>270789</v>
      </c>
      <c r="L21" s="92">
        <f>SUM(L8:L20)</f>
        <v>1661</v>
      </c>
      <c r="M21" s="92">
        <f>SUM(M8:M20)</f>
        <v>7858</v>
      </c>
    </row>
    <row r="22" spans="1:13">
      <c r="A22" s="84" t="s">
        <v>47</v>
      </c>
      <c r="B22" s="84"/>
      <c r="C22" s="84"/>
      <c r="D22" s="93"/>
      <c r="E22" s="94">
        <f>SUM(E21-F21)</f>
        <v>73.030000000000015</v>
      </c>
      <c r="F22" s="94"/>
      <c r="G22" s="95"/>
      <c r="H22" s="95">
        <f>SUM(E33*G33)</f>
        <v>73876</v>
      </c>
      <c r="I22" s="95">
        <f>SUM(I21-L21)</f>
        <v>7972</v>
      </c>
      <c r="J22" s="95">
        <f>SUM(J21-M21)</f>
        <v>77273</v>
      </c>
      <c r="K22" s="95">
        <f>SUM(H22:J22)</f>
        <v>159121</v>
      </c>
      <c r="L22" s="84"/>
      <c r="M22" s="84"/>
    </row>
    <row r="23" spans="1:13">
      <c r="A23" s="77"/>
      <c r="B23" s="77"/>
      <c r="C23" s="77"/>
      <c r="D23" s="77"/>
      <c r="E23" s="77"/>
      <c r="F23" s="77"/>
      <c r="G23" s="77"/>
      <c r="H23" s="77"/>
      <c r="I23" s="77"/>
      <c r="J23" s="77"/>
      <c r="K23" s="77"/>
      <c r="L23" s="77"/>
      <c r="M23" s="77"/>
    </row>
    <row r="24" spans="1:13">
      <c r="A24" s="77"/>
      <c r="B24" s="77"/>
      <c r="C24" s="77" t="s">
        <v>103</v>
      </c>
      <c r="D24" s="77"/>
      <c r="E24" s="77"/>
      <c r="F24" s="77"/>
      <c r="G24" s="77"/>
      <c r="H24" s="77"/>
      <c r="I24" s="77"/>
      <c r="J24" s="77"/>
      <c r="K24" s="77"/>
      <c r="L24" s="77"/>
      <c r="M24" s="77"/>
    </row>
    <row r="25" spans="1:13">
      <c r="A25" s="77"/>
      <c r="B25" s="77"/>
      <c r="C25" s="77"/>
      <c r="D25" s="77"/>
      <c r="E25" s="77"/>
      <c r="F25" s="77"/>
      <c r="G25" s="77"/>
      <c r="H25" s="77"/>
      <c r="I25" s="77"/>
      <c r="J25" s="77"/>
      <c r="K25" s="77"/>
      <c r="L25" s="77"/>
      <c r="M25" s="77"/>
    </row>
    <row r="26" spans="1:13">
      <c r="A26" s="77" t="s">
        <v>50</v>
      </c>
      <c r="B26" s="77"/>
      <c r="C26" s="77"/>
      <c r="D26" s="77"/>
      <c r="E26" s="77"/>
      <c r="F26" s="77"/>
      <c r="G26" s="77"/>
      <c r="H26" s="77"/>
      <c r="I26" s="77"/>
      <c r="J26" s="77"/>
      <c r="K26" s="77"/>
      <c r="L26" s="77"/>
      <c r="M26" s="77"/>
    </row>
    <row r="27" spans="1:13">
      <c r="A27" s="96" t="s">
        <v>51</v>
      </c>
      <c r="B27" s="96"/>
      <c r="C27" s="96"/>
      <c r="D27" s="96" t="s">
        <v>52</v>
      </c>
      <c r="E27" s="96" t="s">
        <v>53</v>
      </c>
      <c r="F27" s="96"/>
      <c r="G27" s="96" t="s">
        <v>54</v>
      </c>
      <c r="H27" s="77"/>
      <c r="I27" s="77"/>
      <c r="J27" s="77"/>
      <c r="K27" s="97"/>
      <c r="L27" s="77"/>
      <c r="M27" s="77"/>
    </row>
    <row r="28" spans="1:13">
      <c r="A28" s="77" t="s">
        <v>55</v>
      </c>
      <c r="B28" s="77"/>
      <c r="C28" s="77"/>
      <c r="D28" s="77"/>
      <c r="E28" s="77"/>
      <c r="F28" s="77"/>
      <c r="G28" s="77"/>
      <c r="H28" s="77"/>
      <c r="I28" s="77"/>
      <c r="J28" s="77" t="s">
        <v>126</v>
      </c>
      <c r="K28" s="97">
        <v>0.8</v>
      </c>
      <c r="L28" s="77"/>
      <c r="M28" s="77"/>
    </row>
    <row r="29" spans="1:13">
      <c r="A29" s="77" t="s">
        <v>104</v>
      </c>
      <c r="B29" s="77"/>
      <c r="C29" s="77"/>
      <c r="D29" s="77" t="s">
        <v>75</v>
      </c>
      <c r="E29" s="77">
        <v>9.4E-2</v>
      </c>
      <c r="F29" s="77"/>
      <c r="G29" s="87">
        <v>109990</v>
      </c>
      <c r="H29" s="77"/>
      <c r="I29" s="77"/>
      <c r="J29" s="77" t="s">
        <v>71</v>
      </c>
      <c r="K29" s="97">
        <v>0.2</v>
      </c>
      <c r="L29" s="77"/>
      <c r="M29" s="77"/>
    </row>
    <row r="30" spans="1:13">
      <c r="A30" s="77"/>
      <c r="B30" s="77"/>
      <c r="C30" s="77"/>
      <c r="D30" s="77"/>
      <c r="E30" s="77"/>
      <c r="F30" s="77"/>
      <c r="G30" s="77"/>
      <c r="H30" s="77"/>
      <c r="I30" s="77"/>
      <c r="J30" s="77"/>
      <c r="K30" s="97"/>
      <c r="L30" s="77"/>
      <c r="M30" s="77"/>
    </row>
    <row r="31" spans="1:13">
      <c r="A31" s="77"/>
      <c r="B31" s="77"/>
      <c r="C31" s="77"/>
      <c r="D31" s="77"/>
      <c r="E31" s="77"/>
      <c r="F31" s="77"/>
      <c r="G31" s="77"/>
      <c r="H31" s="77"/>
      <c r="I31" s="77"/>
      <c r="J31" s="77"/>
      <c r="K31" s="77"/>
      <c r="L31" s="77"/>
      <c r="M31" s="77"/>
    </row>
    <row r="32" spans="1:13">
      <c r="A32" s="77" t="s">
        <v>64</v>
      </c>
      <c r="B32" s="77"/>
      <c r="C32" s="77"/>
      <c r="D32" s="77"/>
      <c r="E32" s="77"/>
      <c r="F32" s="77"/>
      <c r="G32" s="77"/>
      <c r="H32" s="77"/>
      <c r="I32" s="77"/>
      <c r="J32" s="77" t="s">
        <v>105</v>
      </c>
      <c r="K32" s="77">
        <v>0.38</v>
      </c>
      <c r="L32" s="77"/>
      <c r="M32" s="77"/>
    </row>
    <row r="33" spans="1:13">
      <c r="A33" s="77" t="s">
        <v>65</v>
      </c>
      <c r="B33" s="77"/>
      <c r="C33" s="77"/>
      <c r="D33" s="77" t="s">
        <v>66</v>
      </c>
      <c r="E33" s="87">
        <v>73</v>
      </c>
      <c r="F33" s="77"/>
      <c r="G33" s="87">
        <v>1012</v>
      </c>
      <c r="H33" s="77"/>
      <c r="I33" s="77"/>
      <c r="J33" s="77" t="s">
        <v>58</v>
      </c>
      <c r="K33" s="77">
        <v>0.25</v>
      </c>
      <c r="L33" s="77"/>
      <c r="M33" s="77"/>
    </row>
    <row r="34" spans="1:13">
      <c r="A34" s="77" t="s">
        <v>68</v>
      </c>
      <c r="B34" s="77"/>
      <c r="C34" s="77"/>
      <c r="D34" s="77" t="s">
        <v>66</v>
      </c>
      <c r="E34" s="87">
        <v>101</v>
      </c>
      <c r="F34" s="77"/>
      <c r="G34" s="77"/>
      <c r="H34" s="77"/>
      <c r="I34" s="77"/>
      <c r="J34" s="77"/>
      <c r="K34" s="77"/>
      <c r="L34" s="77"/>
      <c r="M34" s="77"/>
    </row>
    <row r="35" spans="1:13">
      <c r="A35" s="77" t="s">
        <v>6</v>
      </c>
      <c r="B35" s="77"/>
      <c r="C35" s="77"/>
      <c r="D35" s="77"/>
      <c r="E35" s="87">
        <f>SUM(E33:E34)</f>
        <v>174</v>
      </c>
      <c r="F35" s="77"/>
      <c r="G35" s="77"/>
      <c r="H35" s="77"/>
      <c r="I35" s="77"/>
      <c r="J35" s="77"/>
      <c r="K35" s="98"/>
      <c r="L35" s="77"/>
      <c r="M35" s="77"/>
    </row>
    <row r="36" spans="1:13">
      <c r="A36" s="77"/>
      <c r="B36" s="77"/>
      <c r="C36" s="77"/>
      <c r="D36" s="77"/>
      <c r="E36" s="77"/>
      <c r="F36" s="77"/>
      <c r="G36" s="77"/>
      <c r="H36" s="77"/>
      <c r="I36" s="77"/>
      <c r="J36" s="77"/>
      <c r="K36" s="77"/>
      <c r="L36" s="77"/>
      <c r="M36" s="77"/>
    </row>
    <row r="37" spans="1:13">
      <c r="A37" s="78" t="s">
        <v>107</v>
      </c>
      <c r="B37" s="78"/>
      <c r="C37" s="78" t="s">
        <v>73</v>
      </c>
      <c r="D37" s="78"/>
      <c r="E37" s="78"/>
      <c r="F37" s="78"/>
      <c r="G37" s="78"/>
      <c r="H37" s="77"/>
      <c r="I37" s="77"/>
      <c r="J37" s="77"/>
      <c r="K37" s="77"/>
      <c r="L37" s="77"/>
      <c r="M37" s="77"/>
    </row>
    <row r="38" spans="1:13">
      <c r="A38" s="99"/>
      <c r="B38" s="100"/>
      <c r="C38" s="101"/>
      <c r="D38" s="99"/>
      <c r="E38" s="81"/>
      <c r="F38" s="81"/>
      <c r="G38" s="102"/>
      <c r="H38" s="77"/>
      <c r="I38" s="77"/>
      <c r="J38" s="77"/>
      <c r="K38" s="77"/>
      <c r="L38" s="77"/>
      <c r="M38" s="77"/>
    </row>
    <row r="39" spans="1:13">
      <c r="A39" s="81" t="s">
        <v>108</v>
      </c>
      <c r="B39" s="83"/>
      <c r="C39" s="103">
        <v>77</v>
      </c>
      <c r="D39" s="81" t="s">
        <v>109</v>
      </c>
      <c r="E39" s="102">
        <v>50</v>
      </c>
      <c r="F39" s="102"/>
      <c r="G39" s="102">
        <v>158</v>
      </c>
      <c r="H39" s="77"/>
      <c r="I39" s="77"/>
      <c r="J39" s="77"/>
      <c r="K39" s="77"/>
      <c r="L39" s="77"/>
      <c r="M39" s="77"/>
    </row>
    <row r="40" spans="1:13">
      <c r="A40" s="81" t="s">
        <v>110</v>
      </c>
      <c r="B40" s="83"/>
      <c r="C40" s="103">
        <v>87</v>
      </c>
      <c r="D40" s="81" t="s">
        <v>75</v>
      </c>
      <c r="E40" s="102">
        <v>89</v>
      </c>
      <c r="F40" s="102"/>
      <c r="G40" s="102">
        <v>50</v>
      </c>
      <c r="H40" s="77"/>
      <c r="I40" s="77"/>
      <c r="J40" s="77"/>
      <c r="K40" s="77"/>
      <c r="L40" s="77"/>
      <c r="M40" s="77"/>
    </row>
    <row r="41" spans="1:13">
      <c r="A41" s="81" t="s">
        <v>127</v>
      </c>
      <c r="B41" s="83"/>
      <c r="C41" s="103">
        <v>67</v>
      </c>
      <c r="D41" s="81" t="s">
        <v>75</v>
      </c>
      <c r="E41" s="102">
        <v>279</v>
      </c>
      <c r="F41" s="102"/>
      <c r="G41" s="102">
        <v>62</v>
      </c>
      <c r="H41" s="77"/>
      <c r="I41" s="77"/>
      <c r="J41" s="77"/>
      <c r="K41" s="77"/>
      <c r="L41" s="77"/>
      <c r="M41" s="77"/>
    </row>
    <row r="42" spans="1:13">
      <c r="A42" s="99"/>
      <c r="B42" s="100"/>
      <c r="C42" s="101"/>
      <c r="D42" s="99"/>
      <c r="E42" s="102"/>
      <c r="F42" s="102"/>
      <c r="G42" s="102"/>
      <c r="H42" s="77"/>
      <c r="I42" s="77"/>
      <c r="J42" s="77"/>
      <c r="K42" s="77"/>
      <c r="L42" s="77"/>
      <c r="M42" s="77"/>
    </row>
    <row r="43" spans="1:13">
      <c r="A43" s="78" t="s">
        <v>77</v>
      </c>
      <c r="B43" s="78"/>
      <c r="C43" s="78"/>
      <c r="D43" s="78"/>
      <c r="E43" s="78"/>
      <c r="F43" s="78"/>
      <c r="G43" s="78"/>
      <c r="H43" s="77"/>
      <c r="I43" s="77"/>
      <c r="J43" s="77" t="s">
        <v>112</v>
      </c>
      <c r="K43" s="77"/>
      <c r="L43" s="77"/>
      <c r="M43" s="77"/>
    </row>
    <row r="44" spans="1:13">
      <c r="A44" s="81" t="s">
        <v>80</v>
      </c>
      <c r="B44" s="81"/>
      <c r="C44" s="81"/>
      <c r="D44" s="81"/>
      <c r="E44" s="81"/>
      <c r="F44" s="81"/>
      <c r="G44" s="104">
        <v>10155</v>
      </c>
      <c r="H44" s="77"/>
      <c r="I44" s="77"/>
      <c r="J44" s="87">
        <v>25093</v>
      </c>
      <c r="K44" s="77"/>
      <c r="L44" s="77"/>
      <c r="M44" s="77"/>
    </row>
    <row r="45" spans="1:13">
      <c r="A45" s="81" t="s">
        <v>81</v>
      </c>
      <c r="B45" s="81"/>
      <c r="C45" s="81"/>
      <c r="D45" s="81"/>
      <c r="E45" s="81"/>
      <c r="F45" s="81"/>
      <c r="G45" s="102">
        <v>76</v>
      </c>
      <c r="H45" s="77"/>
      <c r="I45" s="77"/>
      <c r="J45" s="87"/>
      <c r="K45" s="77"/>
      <c r="L45" s="77"/>
      <c r="M45" s="77"/>
    </row>
    <row r="46" spans="1:13">
      <c r="A46" s="81" t="s">
        <v>82</v>
      </c>
      <c r="B46" s="81"/>
      <c r="C46" s="81"/>
      <c r="D46" s="81"/>
      <c r="E46" s="81"/>
      <c r="F46" s="81"/>
      <c r="G46" s="102">
        <f>G44*G45</f>
        <v>771780</v>
      </c>
      <c r="H46" s="77"/>
      <c r="I46" s="77"/>
      <c r="J46" s="87">
        <v>1907068</v>
      </c>
      <c r="K46" s="77"/>
      <c r="L46" s="77"/>
      <c r="M46" s="77"/>
    </row>
    <row r="47" spans="1:13">
      <c r="A47" s="81" t="s">
        <v>83</v>
      </c>
      <c r="B47" s="81"/>
      <c r="C47" s="81"/>
      <c r="D47" s="81"/>
      <c r="E47" s="81"/>
      <c r="F47" s="81"/>
      <c r="G47" s="102">
        <f>G46-K21</f>
        <v>500991</v>
      </c>
      <c r="H47" s="77"/>
      <c r="I47" s="77"/>
      <c r="J47" s="87">
        <v>1237949</v>
      </c>
      <c r="K47" s="77"/>
      <c r="L47" s="77"/>
      <c r="M47" s="77"/>
    </row>
    <row r="48" spans="1:13">
      <c r="A48" s="81" t="s">
        <v>84</v>
      </c>
      <c r="B48" s="81"/>
      <c r="C48" s="81"/>
      <c r="D48" s="81"/>
      <c r="E48" s="81"/>
      <c r="F48" s="81"/>
      <c r="G48" s="102">
        <f>G46-K22</f>
        <v>612659</v>
      </c>
      <c r="H48" s="77"/>
      <c r="I48" s="77"/>
      <c r="J48" s="87">
        <v>1513880</v>
      </c>
      <c r="K48" s="77"/>
      <c r="L48" s="77"/>
      <c r="M48" s="77"/>
    </row>
    <row r="49" spans="1:13">
      <c r="A49" s="81"/>
      <c r="B49" s="81"/>
      <c r="C49" s="81"/>
      <c r="D49" s="81"/>
      <c r="E49" s="81"/>
      <c r="F49" s="81"/>
      <c r="G49" s="105"/>
      <c r="H49" s="77"/>
      <c r="I49" s="77"/>
      <c r="J49" s="77"/>
      <c r="K49" s="77"/>
      <c r="L49" s="77"/>
      <c r="M49" s="77"/>
    </row>
    <row r="50" spans="1:13">
      <c r="A50" s="81" t="s">
        <v>85</v>
      </c>
      <c r="B50" s="81"/>
      <c r="C50" s="81"/>
      <c r="D50" s="81"/>
      <c r="E50" s="81"/>
      <c r="F50" s="81"/>
      <c r="G50" s="105">
        <f>K21/G44</f>
        <v>26.665583456425406</v>
      </c>
      <c r="H50" s="77"/>
      <c r="I50" s="77"/>
      <c r="J50" s="77"/>
      <c r="K50" s="77"/>
      <c r="L50" s="77"/>
      <c r="M50" s="77"/>
    </row>
    <row r="51" spans="1:13">
      <c r="A51" s="84" t="s">
        <v>86</v>
      </c>
      <c r="B51" s="84"/>
      <c r="C51" s="84"/>
      <c r="D51" s="84"/>
      <c r="E51" s="84"/>
      <c r="F51" s="84"/>
      <c r="G51" s="106">
        <f>K22/G44</f>
        <v>15.669226981782373</v>
      </c>
      <c r="H51" s="77"/>
      <c r="I51" s="77"/>
      <c r="J51" s="77"/>
      <c r="K51" s="77"/>
      <c r="L51" s="77"/>
      <c r="M51" s="77"/>
    </row>
    <row r="52" spans="1:13">
      <c r="A52" s="77"/>
      <c r="B52" s="77"/>
      <c r="C52" s="77"/>
      <c r="D52" s="77"/>
      <c r="E52" s="77"/>
      <c r="F52" s="77"/>
      <c r="G52" s="77"/>
      <c r="H52" s="77"/>
      <c r="I52" s="77"/>
      <c r="J52" s="77"/>
      <c r="K52" s="77"/>
      <c r="L52" s="77"/>
      <c r="M52" s="77"/>
    </row>
    <row r="53" spans="1:13">
      <c r="A53" s="77" t="s">
        <v>113</v>
      </c>
      <c r="B53" s="77"/>
      <c r="C53" s="77"/>
      <c r="D53" s="77"/>
      <c r="E53" s="77"/>
      <c r="F53" s="77"/>
      <c r="G53" s="77"/>
      <c r="H53" s="77"/>
      <c r="I53" s="77"/>
      <c r="J53" s="77"/>
      <c r="K53" s="77"/>
      <c r="L53" s="77"/>
      <c r="M53" s="77"/>
    </row>
    <row r="54" spans="1:13">
      <c r="A54" s="77"/>
      <c r="B54" s="77" t="s">
        <v>128</v>
      </c>
      <c r="C54" s="77"/>
      <c r="D54" s="77"/>
      <c r="E54" s="77"/>
      <c r="F54" s="77"/>
      <c r="G54" s="77"/>
      <c r="H54" s="77"/>
      <c r="I54" s="77"/>
      <c r="J54" s="77"/>
      <c r="K54" s="77"/>
      <c r="L54" s="77"/>
      <c r="M54" s="77"/>
    </row>
    <row r="55" spans="1:13">
      <c r="A55" s="77"/>
      <c r="B55" s="77"/>
      <c r="C55" s="77"/>
      <c r="D55" s="77"/>
      <c r="E55" s="77"/>
      <c r="F55" s="77"/>
      <c r="G55" s="77"/>
      <c r="H55" s="77"/>
      <c r="I55" s="77"/>
      <c r="J55" s="77"/>
      <c r="K55" s="77"/>
      <c r="L55" s="77"/>
      <c r="M55" s="77"/>
    </row>
    <row r="56" spans="1:13">
      <c r="A56" s="77"/>
      <c r="B56" s="77"/>
      <c r="C56" s="77"/>
      <c r="D56" s="77"/>
      <c r="E56" s="77"/>
      <c r="F56" s="77"/>
      <c r="G56" s="77"/>
      <c r="H56" s="77"/>
      <c r="I56" s="77"/>
      <c r="J56" s="77"/>
      <c r="K56" s="77"/>
      <c r="L56" s="77"/>
      <c r="M56" s="77"/>
    </row>
    <row r="57" spans="1:13">
      <c r="A57" s="77"/>
      <c r="B57" s="77"/>
      <c r="C57" s="77"/>
      <c r="D57" s="77"/>
      <c r="E57" s="77"/>
      <c r="F57" s="77"/>
      <c r="G57" s="77"/>
      <c r="H57" s="77"/>
      <c r="I57" s="77"/>
      <c r="J57" s="77"/>
      <c r="K57" s="77"/>
      <c r="L57" s="77"/>
      <c r="M57" s="77"/>
    </row>
    <row r="58" spans="1:13">
      <c r="A58" s="77"/>
      <c r="B58" s="77"/>
      <c r="C58" s="77"/>
      <c r="D58" s="77"/>
      <c r="E58" s="77"/>
      <c r="F58" s="77"/>
      <c r="G58" s="77"/>
      <c r="H58" s="77"/>
      <c r="I58" s="77"/>
      <c r="J58" s="77"/>
      <c r="K58" s="77"/>
      <c r="L58" s="77"/>
      <c r="M58" s="7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52"/>
  <sheetViews>
    <sheetView workbookViewId="0">
      <selection activeCell="K34" sqref="K34"/>
    </sheetView>
  </sheetViews>
  <sheetFormatPr defaultRowHeight="15"/>
  <sheetData>
    <row r="1" spans="1:14">
      <c r="A1" s="77" t="s">
        <v>0</v>
      </c>
      <c r="B1" s="77" t="s">
        <v>129</v>
      </c>
      <c r="C1" s="77"/>
      <c r="D1" s="77"/>
      <c r="E1" s="77"/>
      <c r="F1" s="77"/>
      <c r="G1" s="77"/>
      <c r="H1" s="77"/>
      <c r="I1" s="77"/>
      <c r="J1" s="77"/>
      <c r="K1" s="77"/>
      <c r="L1" s="77"/>
      <c r="M1" s="77"/>
      <c r="N1" s="77"/>
    </row>
    <row r="2" spans="1:14">
      <c r="A2" s="77"/>
      <c r="B2" s="77" t="s">
        <v>130</v>
      </c>
      <c r="C2" s="77"/>
      <c r="D2" s="77"/>
      <c r="E2" s="77"/>
      <c r="F2" s="77"/>
      <c r="G2" s="77"/>
      <c r="H2" s="77"/>
      <c r="I2" s="77"/>
      <c r="J2" s="77"/>
      <c r="K2" s="77"/>
      <c r="L2" s="77"/>
      <c r="M2" s="77"/>
      <c r="N2" s="77"/>
    </row>
    <row r="3" spans="1:14">
      <c r="A3" s="77"/>
      <c r="B3" s="77" t="s">
        <v>131</v>
      </c>
      <c r="C3" s="77"/>
      <c r="D3" s="77"/>
      <c r="E3" s="77"/>
      <c r="F3" s="77"/>
      <c r="G3" s="77"/>
      <c r="H3" s="77"/>
      <c r="I3" s="77"/>
      <c r="J3" s="77"/>
      <c r="K3" s="77"/>
      <c r="L3" s="77"/>
      <c r="M3" s="77"/>
      <c r="N3" s="77"/>
    </row>
    <row r="4" spans="1:14">
      <c r="A4" s="78" t="s">
        <v>4</v>
      </c>
      <c r="B4" s="78"/>
      <c r="C4" s="78"/>
      <c r="D4" s="79" t="s">
        <v>5</v>
      </c>
      <c r="E4" s="79" t="s">
        <v>6</v>
      </c>
      <c r="F4" s="79" t="s">
        <v>7</v>
      </c>
      <c r="G4" s="79" t="s">
        <v>8</v>
      </c>
      <c r="H4" s="79" t="s">
        <v>9</v>
      </c>
      <c r="I4" s="79" t="s">
        <v>10</v>
      </c>
      <c r="J4" s="79" t="s">
        <v>11</v>
      </c>
      <c r="K4" s="79" t="s">
        <v>12</v>
      </c>
      <c r="L4" s="80" t="s">
        <v>13</v>
      </c>
      <c r="M4" s="79"/>
      <c r="N4" s="77"/>
    </row>
    <row r="5" spans="1:14">
      <c r="A5" s="81"/>
      <c r="B5" s="81"/>
      <c r="C5" s="81"/>
      <c r="D5" s="82" t="s">
        <v>14</v>
      </c>
      <c r="E5" s="82" t="s">
        <v>15</v>
      </c>
      <c r="F5" s="82" t="s">
        <v>15</v>
      </c>
      <c r="G5" s="82" t="s">
        <v>16</v>
      </c>
      <c r="H5" s="82" t="s">
        <v>17</v>
      </c>
      <c r="I5" s="82" t="s">
        <v>18</v>
      </c>
      <c r="J5" s="82" t="s">
        <v>17</v>
      </c>
      <c r="K5" s="82" t="s">
        <v>17</v>
      </c>
      <c r="L5" s="83" t="s">
        <v>10</v>
      </c>
      <c r="M5" s="82" t="s">
        <v>11</v>
      </c>
      <c r="N5" s="77"/>
    </row>
    <row r="6" spans="1:14">
      <c r="A6" s="81"/>
      <c r="B6" s="81"/>
      <c r="C6" s="81"/>
      <c r="D6" s="82" t="s">
        <v>19</v>
      </c>
      <c r="E6" s="82"/>
      <c r="F6" s="82"/>
      <c r="G6" s="82"/>
      <c r="H6" s="82" t="s">
        <v>20</v>
      </c>
      <c r="I6" s="82" t="s">
        <v>17</v>
      </c>
      <c r="J6" s="82" t="s">
        <v>20</v>
      </c>
      <c r="K6" s="82" t="s">
        <v>20</v>
      </c>
      <c r="L6" s="82"/>
      <c r="M6" s="82"/>
      <c r="N6" s="77"/>
    </row>
    <row r="7" spans="1:14">
      <c r="A7" s="84"/>
      <c r="B7" s="84"/>
      <c r="C7" s="84"/>
      <c r="D7" s="85"/>
      <c r="E7" s="85"/>
      <c r="F7" s="85"/>
      <c r="G7" s="85"/>
      <c r="H7" s="85"/>
      <c r="I7" s="85" t="s">
        <v>20</v>
      </c>
      <c r="J7" s="85"/>
      <c r="K7" s="85"/>
      <c r="L7" s="85"/>
      <c r="M7" s="85"/>
      <c r="N7" s="77"/>
    </row>
    <row r="8" spans="1:14">
      <c r="A8" s="77" t="s">
        <v>132</v>
      </c>
      <c r="B8" s="77"/>
      <c r="C8" s="77"/>
      <c r="D8" s="86">
        <v>100</v>
      </c>
      <c r="E8" s="87">
        <v>6.26</v>
      </c>
      <c r="F8" s="87">
        <v>5.44</v>
      </c>
      <c r="G8" s="88">
        <v>1329</v>
      </c>
      <c r="H8" s="87">
        <v>8320</v>
      </c>
      <c r="I8" s="77"/>
      <c r="J8" s="87">
        <v>1858</v>
      </c>
      <c r="K8" s="87">
        <f t="shared" ref="K8:K19" si="0">SUM(H8:J8)</f>
        <v>10178</v>
      </c>
      <c r="L8" s="77"/>
      <c r="M8" s="77"/>
      <c r="N8" s="77"/>
    </row>
    <row r="9" spans="1:14">
      <c r="A9" s="77" t="s">
        <v>133</v>
      </c>
      <c r="B9" s="77"/>
      <c r="C9" s="77"/>
      <c r="D9" s="86">
        <v>57</v>
      </c>
      <c r="E9" s="107">
        <v>9.4700000000000006</v>
      </c>
      <c r="F9" s="87">
        <v>3.84</v>
      </c>
      <c r="G9" s="88">
        <v>1308</v>
      </c>
      <c r="H9" s="87">
        <v>12387</v>
      </c>
      <c r="I9" s="77"/>
      <c r="J9" s="87"/>
      <c r="K9" s="87">
        <f t="shared" si="0"/>
        <v>12387</v>
      </c>
      <c r="L9" s="77"/>
      <c r="M9" s="77"/>
      <c r="N9" s="77"/>
    </row>
    <row r="10" spans="1:14">
      <c r="A10" s="77" t="s">
        <v>134</v>
      </c>
      <c r="B10" s="77"/>
      <c r="C10" s="77"/>
      <c r="D10" s="86" t="s">
        <v>135</v>
      </c>
      <c r="E10" s="87"/>
      <c r="F10" s="87"/>
      <c r="G10" s="88"/>
      <c r="H10" s="87"/>
      <c r="I10" s="108" t="s">
        <v>136</v>
      </c>
      <c r="J10" s="87"/>
      <c r="K10" s="87"/>
      <c r="L10" s="77"/>
      <c r="M10" s="77"/>
      <c r="N10" s="77"/>
    </row>
    <row r="11" spans="1:14">
      <c r="A11" s="77" t="s">
        <v>137</v>
      </c>
      <c r="B11" s="77"/>
      <c r="C11" s="77"/>
      <c r="D11" s="86" t="s">
        <v>45</v>
      </c>
      <c r="E11" s="87"/>
      <c r="F11" s="87"/>
      <c r="G11" s="88"/>
      <c r="H11" s="87"/>
      <c r="I11" s="108"/>
      <c r="J11" s="87"/>
      <c r="K11" s="87"/>
      <c r="L11" s="77"/>
      <c r="M11" s="77"/>
      <c r="N11" s="77"/>
    </row>
    <row r="12" spans="1:14">
      <c r="A12" s="109" t="s">
        <v>138</v>
      </c>
      <c r="B12" s="86"/>
      <c r="C12" s="77"/>
      <c r="D12" s="86">
        <v>100</v>
      </c>
      <c r="E12" s="107">
        <v>9.3699999999999992</v>
      </c>
      <c r="F12" s="87">
        <v>3.88</v>
      </c>
      <c r="G12" s="88">
        <v>1286</v>
      </c>
      <c r="H12" s="87">
        <v>12050</v>
      </c>
      <c r="I12" s="77"/>
      <c r="J12" s="87"/>
      <c r="K12" s="87">
        <f t="shared" si="0"/>
        <v>12050</v>
      </c>
      <c r="L12" s="77"/>
      <c r="M12" s="77"/>
      <c r="N12" s="77"/>
    </row>
    <row r="13" spans="1:14">
      <c r="A13" s="77" t="s">
        <v>139</v>
      </c>
      <c r="B13" s="77"/>
      <c r="C13" s="77"/>
      <c r="D13" s="86">
        <v>100</v>
      </c>
      <c r="E13" s="87">
        <v>11.17</v>
      </c>
      <c r="F13" s="87">
        <v>4.49</v>
      </c>
      <c r="G13" s="88">
        <v>941</v>
      </c>
      <c r="H13" s="87">
        <v>10511</v>
      </c>
      <c r="I13" s="77"/>
      <c r="J13" s="87">
        <f>SUM(E28*G28)</f>
        <v>12402</v>
      </c>
      <c r="K13" s="87">
        <f t="shared" si="0"/>
        <v>22913</v>
      </c>
      <c r="L13" s="77"/>
      <c r="M13" s="77"/>
      <c r="N13" s="77"/>
    </row>
    <row r="14" spans="1:14">
      <c r="A14" s="77" t="s">
        <v>33</v>
      </c>
      <c r="B14" s="77"/>
      <c r="C14" s="77"/>
      <c r="D14" s="86">
        <v>100</v>
      </c>
      <c r="E14" s="107">
        <v>8.07</v>
      </c>
      <c r="F14" s="87">
        <v>4.67</v>
      </c>
      <c r="G14" s="88">
        <v>1260</v>
      </c>
      <c r="H14" s="87">
        <v>10168</v>
      </c>
      <c r="I14" s="77"/>
      <c r="J14" s="87">
        <f>SUM(E34*G34+E35*G35)</f>
        <v>26400</v>
      </c>
      <c r="K14" s="87">
        <f>SUM(H14:J14)</f>
        <v>36568</v>
      </c>
      <c r="L14" s="77"/>
      <c r="M14" s="77"/>
      <c r="N14" s="77"/>
    </row>
    <row r="15" spans="1:14">
      <c r="A15" s="77" t="s">
        <v>140</v>
      </c>
      <c r="B15" s="77"/>
      <c r="C15" s="77"/>
      <c r="D15" s="86">
        <v>100</v>
      </c>
      <c r="E15" s="87">
        <v>12.97</v>
      </c>
      <c r="F15" s="87">
        <v>5.15</v>
      </c>
      <c r="G15" s="88">
        <v>1124</v>
      </c>
      <c r="H15" s="87">
        <v>14578</v>
      </c>
      <c r="I15" s="77"/>
      <c r="J15" s="87"/>
      <c r="K15" s="87">
        <f t="shared" si="0"/>
        <v>14578</v>
      </c>
      <c r="L15" s="77"/>
      <c r="M15" s="77"/>
      <c r="N15" s="77"/>
    </row>
    <row r="16" spans="1:14">
      <c r="A16" s="77" t="s">
        <v>35</v>
      </c>
      <c r="B16" s="77"/>
      <c r="C16" s="77"/>
      <c r="D16" s="86">
        <v>100</v>
      </c>
      <c r="E16" s="107">
        <v>9.64</v>
      </c>
      <c r="F16" s="87">
        <v>8.32</v>
      </c>
      <c r="G16" s="88">
        <v>1200</v>
      </c>
      <c r="H16" s="87">
        <f t="shared" ref="H16:H18" si="1">SUM(E16*G16)</f>
        <v>11568</v>
      </c>
      <c r="I16" s="77"/>
      <c r="J16" s="87">
        <v>13702</v>
      </c>
      <c r="K16" s="87">
        <f>SUM(H16:J16)</f>
        <v>25270</v>
      </c>
      <c r="L16" s="77"/>
      <c r="M16" s="77"/>
      <c r="N16" s="77"/>
    </row>
    <row r="17" spans="1:14">
      <c r="A17" s="77" t="s">
        <v>141</v>
      </c>
      <c r="B17" s="77"/>
      <c r="C17" s="77"/>
      <c r="D17" s="86">
        <v>100</v>
      </c>
      <c r="E17" s="107">
        <v>13.67</v>
      </c>
      <c r="F17" s="87">
        <v>7.83</v>
      </c>
      <c r="G17" s="88">
        <v>1244</v>
      </c>
      <c r="H17" s="87">
        <v>17005</v>
      </c>
      <c r="I17" s="77"/>
      <c r="J17" s="87">
        <v>19914</v>
      </c>
      <c r="K17" s="87">
        <f t="shared" si="0"/>
        <v>36919</v>
      </c>
      <c r="L17" s="77"/>
      <c r="M17" s="77"/>
      <c r="N17" s="77"/>
    </row>
    <row r="18" spans="1:14">
      <c r="A18" s="77" t="s">
        <v>36</v>
      </c>
      <c r="B18" s="77"/>
      <c r="C18" s="77"/>
      <c r="D18" s="86">
        <v>100</v>
      </c>
      <c r="E18" s="87">
        <v>11.29</v>
      </c>
      <c r="F18" s="87">
        <v>11.29</v>
      </c>
      <c r="G18" s="88">
        <v>1200</v>
      </c>
      <c r="H18" s="87">
        <f t="shared" si="1"/>
        <v>13547.999999999998</v>
      </c>
      <c r="I18" s="87"/>
      <c r="J18" s="107"/>
      <c r="K18" s="87">
        <f t="shared" si="0"/>
        <v>13547.999999999998</v>
      </c>
      <c r="L18" s="77"/>
      <c r="M18" s="77"/>
      <c r="N18" s="77"/>
    </row>
    <row r="19" spans="1:14">
      <c r="A19" s="77" t="s">
        <v>142</v>
      </c>
      <c r="B19" s="77"/>
      <c r="C19" s="77"/>
      <c r="D19" s="86">
        <v>100</v>
      </c>
      <c r="E19" s="107">
        <v>37.79</v>
      </c>
      <c r="F19" s="87">
        <v>16.36</v>
      </c>
      <c r="G19" s="88">
        <v>1106</v>
      </c>
      <c r="H19" s="87">
        <v>41796</v>
      </c>
      <c r="I19" s="77"/>
      <c r="J19" s="87"/>
      <c r="K19" s="87">
        <f t="shared" si="0"/>
        <v>41796</v>
      </c>
      <c r="L19" s="77"/>
      <c r="M19" s="77"/>
      <c r="N19" s="77"/>
    </row>
    <row r="20" spans="1:14">
      <c r="A20" s="78" t="s">
        <v>46</v>
      </c>
      <c r="B20" s="78"/>
      <c r="C20" s="78"/>
      <c r="D20" s="90"/>
      <c r="E20" s="92">
        <f>SUM(E8:E19)</f>
        <v>129.69999999999999</v>
      </c>
      <c r="F20" s="92">
        <f>SUM(F8:F19)</f>
        <v>71.27</v>
      </c>
      <c r="G20" s="92"/>
      <c r="H20" s="92">
        <f>SUM(H8:H19)</f>
        <v>151931</v>
      </c>
      <c r="I20" s="92"/>
      <c r="J20" s="92">
        <f>SUM(J8:J19)</f>
        <v>74276</v>
      </c>
      <c r="K20" s="92">
        <f>SUM(H20:J20)</f>
        <v>226207</v>
      </c>
      <c r="L20" s="78"/>
      <c r="M20" s="78"/>
      <c r="N20" s="77"/>
    </row>
    <row r="21" spans="1:14">
      <c r="A21" s="84" t="s">
        <v>47</v>
      </c>
      <c r="B21" s="84"/>
      <c r="C21" s="84"/>
      <c r="D21" s="93"/>
      <c r="E21" s="95">
        <f>SUM(E20-F20)</f>
        <v>58.429999999999993</v>
      </c>
      <c r="F21" s="95"/>
      <c r="G21" s="95"/>
      <c r="H21" s="95">
        <f>SUM(E30*G30)</f>
        <v>68324</v>
      </c>
      <c r="I21" s="84"/>
      <c r="J21" s="95">
        <f>J20-M20</f>
        <v>74276</v>
      </c>
      <c r="K21" s="95">
        <f>SUM(H21:J21)</f>
        <v>142600</v>
      </c>
      <c r="L21" s="84"/>
      <c r="M21" s="84"/>
      <c r="N21" s="77"/>
    </row>
    <row r="22" spans="1:14">
      <c r="A22" s="77"/>
      <c r="B22" s="77"/>
      <c r="C22" s="77"/>
      <c r="D22" s="77"/>
      <c r="E22" s="77"/>
      <c r="F22" s="77"/>
      <c r="G22" s="77"/>
      <c r="H22" s="77"/>
      <c r="I22" s="77"/>
      <c r="J22" s="77"/>
      <c r="K22" s="77"/>
      <c r="L22" s="77"/>
      <c r="M22" s="77"/>
      <c r="N22" s="77"/>
    </row>
    <row r="23" spans="1:14">
      <c r="A23" s="77"/>
      <c r="B23" s="77"/>
      <c r="C23" s="77" t="s">
        <v>103</v>
      </c>
      <c r="D23" s="77"/>
      <c r="E23" s="77"/>
      <c r="F23" s="77"/>
      <c r="G23" s="77"/>
      <c r="H23" s="77"/>
      <c r="I23" s="77"/>
      <c r="J23" s="77"/>
      <c r="K23" s="77"/>
      <c r="L23" s="77"/>
      <c r="M23" s="77"/>
      <c r="N23" s="77"/>
    </row>
    <row r="24" spans="1:14">
      <c r="A24" s="77"/>
      <c r="B24" s="77"/>
      <c r="C24" s="77"/>
      <c r="D24" s="77"/>
      <c r="E24" s="77"/>
      <c r="F24" s="77"/>
      <c r="G24" s="77"/>
      <c r="H24" s="77"/>
      <c r="I24" s="77"/>
      <c r="J24" s="77"/>
      <c r="K24" s="77" t="s">
        <v>105</v>
      </c>
      <c r="L24" s="77">
        <v>0.49</v>
      </c>
      <c r="M24" s="77"/>
      <c r="N24" s="77"/>
    </row>
    <row r="25" spans="1:14">
      <c r="A25" s="77" t="s">
        <v>50</v>
      </c>
      <c r="B25" s="77"/>
      <c r="C25" s="77"/>
      <c r="D25" s="77"/>
      <c r="E25" s="77"/>
      <c r="F25" s="77"/>
      <c r="G25" s="77"/>
      <c r="H25" s="77"/>
      <c r="I25" s="77"/>
      <c r="J25" s="77"/>
      <c r="K25" s="77" t="s">
        <v>58</v>
      </c>
      <c r="L25" s="77">
        <v>0.25</v>
      </c>
      <c r="M25" s="77"/>
      <c r="N25" s="77"/>
    </row>
    <row r="26" spans="1:14">
      <c r="A26" s="96" t="s">
        <v>51</v>
      </c>
      <c r="B26" s="96"/>
      <c r="C26" s="96"/>
      <c r="D26" s="96" t="s">
        <v>52</v>
      </c>
      <c r="E26" s="96" t="s">
        <v>53</v>
      </c>
      <c r="F26" s="96"/>
      <c r="G26" s="96" t="s">
        <v>54</v>
      </c>
      <c r="H26" s="77"/>
      <c r="I26" s="77"/>
      <c r="J26" s="77"/>
      <c r="K26" s="77"/>
      <c r="L26" s="77"/>
      <c r="M26" s="77"/>
      <c r="N26" s="77"/>
    </row>
    <row r="27" spans="1:14">
      <c r="A27" s="77" t="s">
        <v>55</v>
      </c>
      <c r="B27" s="77"/>
      <c r="C27" s="77"/>
      <c r="D27" s="77"/>
      <c r="E27" s="77"/>
      <c r="F27" s="77"/>
      <c r="G27" s="77"/>
      <c r="H27" s="77"/>
      <c r="I27" s="77"/>
      <c r="J27" s="77" t="s">
        <v>143</v>
      </c>
      <c r="K27" s="77"/>
      <c r="L27" s="77"/>
      <c r="M27" s="77"/>
      <c r="N27" s="77"/>
    </row>
    <row r="28" spans="1:14">
      <c r="A28" s="77" t="s">
        <v>56</v>
      </c>
      <c r="B28" s="77"/>
      <c r="C28" s="77"/>
      <c r="D28" s="77" t="s">
        <v>75</v>
      </c>
      <c r="E28" s="77">
        <v>0.106</v>
      </c>
      <c r="F28" s="77"/>
      <c r="G28" s="107">
        <v>117000</v>
      </c>
      <c r="H28" s="77"/>
      <c r="I28" s="77"/>
      <c r="J28" s="77" t="s">
        <v>144</v>
      </c>
      <c r="K28" s="97">
        <v>0.5</v>
      </c>
      <c r="L28" s="77"/>
      <c r="M28" s="77"/>
      <c r="N28" s="77"/>
    </row>
    <row r="29" spans="1:14">
      <c r="A29" s="77" t="s">
        <v>64</v>
      </c>
      <c r="B29" s="77"/>
      <c r="C29" s="77"/>
      <c r="D29" s="77"/>
      <c r="E29" s="77"/>
      <c r="F29" s="77"/>
      <c r="G29" s="77"/>
      <c r="H29" s="77"/>
      <c r="I29" s="77"/>
      <c r="J29" s="77" t="s">
        <v>145</v>
      </c>
      <c r="K29" s="97">
        <v>0.23330000000000001</v>
      </c>
      <c r="L29" s="77"/>
      <c r="M29" s="77"/>
      <c r="N29" s="77"/>
    </row>
    <row r="30" spans="1:14">
      <c r="A30" s="77" t="s">
        <v>65</v>
      </c>
      <c r="B30" s="77"/>
      <c r="C30" s="77"/>
      <c r="D30" s="77" t="s">
        <v>66</v>
      </c>
      <c r="E30" s="87">
        <v>58</v>
      </c>
      <c r="F30" s="77"/>
      <c r="G30" s="87">
        <v>1178</v>
      </c>
      <c r="H30" s="77"/>
      <c r="I30" s="77"/>
      <c r="J30" s="77" t="s">
        <v>146</v>
      </c>
      <c r="K30" s="97">
        <v>0.23330000000000001</v>
      </c>
      <c r="L30" s="77"/>
      <c r="M30" s="77"/>
      <c r="N30" s="77"/>
    </row>
    <row r="31" spans="1:14">
      <c r="A31" s="77" t="s">
        <v>68</v>
      </c>
      <c r="B31" s="77"/>
      <c r="C31" s="77"/>
      <c r="D31" s="77" t="s">
        <v>66</v>
      </c>
      <c r="E31" s="87">
        <v>71</v>
      </c>
      <c r="F31" s="77"/>
      <c r="G31" s="77"/>
      <c r="H31" s="77"/>
      <c r="I31" s="77"/>
      <c r="J31" s="77" t="s">
        <v>147</v>
      </c>
      <c r="K31" s="97">
        <v>0.04</v>
      </c>
      <c r="L31" s="77"/>
      <c r="M31" s="77"/>
      <c r="N31" s="77"/>
    </row>
    <row r="32" spans="1:14">
      <c r="A32" s="77" t="s">
        <v>6</v>
      </c>
      <c r="B32" s="77"/>
      <c r="C32" s="77"/>
      <c r="D32" s="77"/>
      <c r="E32" s="87">
        <f>SUM(E30:E31)</f>
        <v>129</v>
      </c>
      <c r="F32" s="77"/>
      <c r="G32" s="77"/>
      <c r="H32" s="77"/>
      <c r="I32" s="77"/>
      <c r="J32" s="77"/>
      <c r="K32" s="77"/>
      <c r="L32" s="77"/>
      <c r="M32" s="77"/>
      <c r="N32" s="77"/>
    </row>
    <row r="33" spans="1:14">
      <c r="A33" s="78" t="s">
        <v>107</v>
      </c>
      <c r="B33" s="78"/>
      <c r="C33" s="78" t="s">
        <v>73</v>
      </c>
      <c r="D33" s="78"/>
      <c r="E33" s="78"/>
      <c r="F33" s="78"/>
      <c r="G33" s="78"/>
      <c r="H33" s="77"/>
      <c r="I33" s="77"/>
      <c r="J33" s="77"/>
      <c r="K33" s="77"/>
      <c r="L33" s="77"/>
      <c r="M33" s="77"/>
      <c r="N33" s="77"/>
    </row>
    <row r="34" spans="1:14">
      <c r="A34" s="77"/>
      <c r="B34" s="83" t="s">
        <v>148</v>
      </c>
      <c r="C34" s="103">
        <v>93</v>
      </c>
      <c r="D34" s="81" t="s">
        <v>75</v>
      </c>
      <c r="E34" s="102">
        <v>374</v>
      </c>
      <c r="F34" s="81"/>
      <c r="G34" s="102">
        <v>55</v>
      </c>
      <c r="H34" s="77"/>
      <c r="I34" s="77"/>
      <c r="J34" s="77"/>
      <c r="K34" s="77"/>
      <c r="L34" s="77"/>
      <c r="M34" s="77"/>
      <c r="N34" s="77"/>
    </row>
    <row r="35" spans="1:14">
      <c r="A35" s="81"/>
      <c r="B35" s="83" t="s">
        <v>149</v>
      </c>
      <c r="C35" s="103">
        <v>67</v>
      </c>
      <c r="D35" s="81" t="s">
        <v>75</v>
      </c>
      <c r="E35" s="102">
        <v>55</v>
      </c>
      <c r="F35" s="81"/>
      <c r="G35" s="102">
        <v>106</v>
      </c>
      <c r="H35" s="77"/>
      <c r="I35" s="77"/>
      <c r="J35" s="77"/>
      <c r="K35" s="77"/>
      <c r="L35" s="77"/>
      <c r="M35" s="77"/>
      <c r="N35" s="77"/>
    </row>
    <row r="36" spans="1:14">
      <c r="A36" s="78" t="s">
        <v>77</v>
      </c>
      <c r="B36" s="78"/>
      <c r="C36" s="78"/>
      <c r="D36" s="78"/>
      <c r="E36" s="78"/>
      <c r="F36" s="78"/>
      <c r="G36" s="110" t="s">
        <v>78</v>
      </c>
      <c r="H36" s="111" t="s">
        <v>79</v>
      </c>
      <c r="I36" s="77"/>
      <c r="J36" s="77"/>
      <c r="K36" s="77"/>
      <c r="L36" s="77"/>
      <c r="M36" s="77"/>
      <c r="N36" s="77"/>
    </row>
    <row r="37" spans="1:14">
      <c r="A37" s="81" t="s">
        <v>80</v>
      </c>
      <c r="B37" s="81"/>
      <c r="C37" s="81"/>
      <c r="D37" s="81"/>
      <c r="E37" s="81"/>
      <c r="F37" s="81"/>
      <c r="G37" s="112">
        <v>7872</v>
      </c>
      <c r="H37" s="87">
        <v>19452</v>
      </c>
      <c r="I37" s="77"/>
      <c r="J37" s="77"/>
      <c r="K37" s="77"/>
      <c r="L37" s="77"/>
      <c r="M37" s="77"/>
      <c r="N37" s="77"/>
    </row>
    <row r="38" spans="1:14">
      <c r="A38" s="81" t="s">
        <v>81</v>
      </c>
      <c r="B38" s="81"/>
      <c r="C38" s="81"/>
      <c r="D38" s="81"/>
      <c r="E38" s="81"/>
      <c r="F38" s="81"/>
      <c r="G38" s="105">
        <v>79</v>
      </c>
      <c r="H38" s="87"/>
      <c r="I38" s="77"/>
      <c r="J38" s="77"/>
      <c r="K38" s="77"/>
      <c r="L38" s="77"/>
      <c r="M38" s="77"/>
      <c r="N38" s="77"/>
    </row>
    <row r="39" spans="1:14">
      <c r="A39" s="81" t="s">
        <v>82</v>
      </c>
      <c r="B39" s="81"/>
      <c r="C39" s="81"/>
      <c r="D39" s="81"/>
      <c r="E39" s="81"/>
      <c r="F39" s="81"/>
      <c r="G39" s="105">
        <f>SUM(G37*G38)</f>
        <v>621888</v>
      </c>
      <c r="H39" s="87">
        <v>1536685</v>
      </c>
      <c r="I39" s="77"/>
      <c r="J39" s="77"/>
      <c r="K39" s="77"/>
      <c r="L39" s="77"/>
      <c r="M39" s="77"/>
      <c r="N39" s="77"/>
    </row>
    <row r="40" spans="1:14">
      <c r="A40" s="81" t="s">
        <v>83</v>
      </c>
      <c r="B40" s="81"/>
      <c r="C40" s="81"/>
      <c r="D40" s="81"/>
      <c r="E40" s="81"/>
      <c r="F40" s="81"/>
      <c r="G40" s="105">
        <f>SUM(G39-K20)</f>
        <v>395681</v>
      </c>
      <c r="H40" s="87">
        <v>977728</v>
      </c>
      <c r="I40" s="77"/>
      <c r="J40" s="77"/>
      <c r="K40" s="77"/>
      <c r="L40" s="77"/>
      <c r="M40" s="77"/>
      <c r="N40" s="77"/>
    </row>
    <row r="41" spans="1:14">
      <c r="A41" s="81" t="s">
        <v>84</v>
      </c>
      <c r="B41" s="81"/>
      <c r="C41" s="81"/>
      <c r="D41" s="81"/>
      <c r="E41" s="81"/>
      <c r="F41" s="81"/>
      <c r="G41" s="105">
        <f>SUM(G39-K21)</f>
        <v>479288</v>
      </c>
      <c r="H41" s="87">
        <v>1184355</v>
      </c>
      <c r="I41" s="77"/>
      <c r="J41" s="77"/>
      <c r="K41" s="77"/>
      <c r="L41" s="77"/>
      <c r="M41" s="77"/>
      <c r="N41" s="77"/>
    </row>
    <row r="42" spans="1:14">
      <c r="A42" s="81" t="s">
        <v>85</v>
      </c>
      <c r="B42" s="81"/>
      <c r="C42" s="81"/>
      <c r="D42" s="81"/>
      <c r="E42" s="81"/>
      <c r="F42" s="81"/>
      <c r="G42" s="105">
        <f>SUM(K20/G37)</f>
        <v>28.735645325203251</v>
      </c>
      <c r="H42" s="77"/>
      <c r="I42" s="77"/>
      <c r="J42" s="77"/>
      <c r="K42" s="77"/>
      <c r="L42" s="77"/>
      <c r="M42" s="77"/>
      <c r="N42" s="77"/>
    </row>
    <row r="43" spans="1:14">
      <c r="A43" s="84" t="s">
        <v>86</v>
      </c>
      <c r="B43" s="84"/>
      <c r="C43" s="84"/>
      <c r="D43" s="84"/>
      <c r="E43" s="84"/>
      <c r="F43" s="84"/>
      <c r="G43" s="106">
        <f>SUM(K21/G37)</f>
        <v>18.114837398373982</v>
      </c>
      <c r="H43" s="77"/>
      <c r="I43" s="77"/>
      <c r="J43" s="77"/>
      <c r="K43" s="77"/>
      <c r="L43" s="77"/>
      <c r="M43" s="77"/>
      <c r="N43" s="77"/>
    </row>
    <row r="44" spans="1:14">
      <c r="A44" s="77"/>
      <c r="B44" s="77"/>
      <c r="C44" s="77"/>
      <c r="D44" s="77"/>
      <c r="E44" s="77"/>
      <c r="F44" s="77"/>
      <c r="G44" s="77"/>
      <c r="H44" s="77"/>
      <c r="I44" s="77"/>
      <c r="J44" s="77"/>
      <c r="K44" s="77"/>
      <c r="L44" s="77"/>
      <c r="M44" s="77"/>
      <c r="N44" s="77"/>
    </row>
    <row r="45" spans="1:14">
      <c r="A45" s="77" t="s">
        <v>113</v>
      </c>
      <c r="B45" s="77"/>
      <c r="C45" s="113" t="s">
        <v>150</v>
      </c>
      <c r="D45" s="113"/>
      <c r="E45" s="113"/>
      <c r="F45" s="77"/>
      <c r="G45" s="77"/>
      <c r="H45" s="77"/>
      <c r="I45" s="77"/>
      <c r="J45" s="77"/>
      <c r="K45" s="77"/>
      <c r="L45" s="77"/>
      <c r="M45" s="77"/>
      <c r="N45" s="77"/>
    </row>
    <row r="46" spans="1:14">
      <c r="A46" s="77"/>
      <c r="B46" s="77"/>
      <c r="C46" s="77" t="s">
        <v>151</v>
      </c>
      <c r="D46" s="77"/>
      <c r="E46" s="77"/>
      <c r="F46" s="77"/>
      <c r="G46" s="77"/>
      <c r="H46" s="77"/>
      <c r="I46" s="77"/>
      <c r="J46" s="77"/>
      <c r="K46" s="77"/>
      <c r="L46" s="77"/>
      <c r="M46" s="77"/>
      <c r="N46" s="77"/>
    </row>
    <row r="47" spans="1:14">
      <c r="A47" s="99"/>
      <c r="B47" s="81"/>
      <c r="C47" s="81"/>
      <c r="D47" s="81"/>
      <c r="E47" s="81"/>
      <c r="F47" s="81"/>
      <c r="G47" s="105"/>
      <c r="H47" s="77"/>
      <c r="I47" s="77"/>
      <c r="J47" s="77"/>
      <c r="K47" s="77"/>
      <c r="L47" s="77"/>
      <c r="M47" s="77"/>
      <c r="N47" s="77"/>
    </row>
    <row r="48" spans="1:14">
      <c r="A48" s="99"/>
      <c r="B48" s="81"/>
      <c r="C48" s="81"/>
      <c r="D48" s="81"/>
      <c r="E48" s="81"/>
      <c r="F48" s="81"/>
      <c r="G48" s="105"/>
      <c r="H48" s="77"/>
      <c r="I48" s="77"/>
      <c r="J48" s="77"/>
      <c r="K48" s="77"/>
      <c r="L48" s="77"/>
      <c r="M48" s="77"/>
      <c r="N48" s="77"/>
    </row>
    <row r="49" spans="1:14">
      <c r="A49" s="77"/>
      <c r="B49" s="77"/>
      <c r="C49" s="77"/>
      <c r="D49" s="77"/>
      <c r="E49" s="77"/>
      <c r="F49" s="77"/>
      <c r="G49" s="77"/>
      <c r="H49" s="77"/>
      <c r="I49" s="77"/>
      <c r="J49" s="77"/>
      <c r="K49" s="77"/>
      <c r="L49" s="77"/>
      <c r="M49" s="77"/>
      <c r="N49" s="77"/>
    </row>
    <row r="50" spans="1:14">
      <c r="A50" s="77"/>
      <c r="B50" s="77"/>
      <c r="C50" s="113"/>
      <c r="D50" s="113"/>
      <c r="E50" s="113"/>
      <c r="F50" s="77"/>
      <c r="G50" s="77"/>
      <c r="H50" s="77"/>
      <c r="I50" s="77"/>
      <c r="J50" s="77"/>
      <c r="K50" s="77"/>
      <c r="L50" s="77"/>
      <c r="M50" s="77"/>
      <c r="N50" s="77"/>
    </row>
    <row r="51" spans="1:14">
      <c r="A51" s="77"/>
      <c r="B51" s="77"/>
      <c r="C51" s="77"/>
      <c r="D51" s="77"/>
      <c r="E51" s="77"/>
      <c r="F51" s="77"/>
      <c r="G51" s="77"/>
      <c r="H51" s="77"/>
      <c r="I51" s="77"/>
      <c r="J51" s="77"/>
      <c r="K51" s="77"/>
      <c r="L51" s="77"/>
      <c r="M51" s="77"/>
      <c r="N51" s="77"/>
    </row>
    <row r="52" spans="1:14">
      <c r="A52" s="77"/>
      <c r="B52" s="77"/>
      <c r="C52" s="77"/>
      <c r="D52" s="77"/>
      <c r="E52" s="77"/>
      <c r="F52" s="77"/>
      <c r="G52" s="77"/>
      <c r="H52" s="77"/>
      <c r="I52" s="77"/>
      <c r="J52" s="77"/>
      <c r="K52" s="77"/>
      <c r="L52" s="77"/>
      <c r="M52" s="77"/>
      <c r="N52" s="7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G65"/>
  <sheetViews>
    <sheetView workbookViewId="0">
      <selection sqref="A1:XFD1048576"/>
    </sheetView>
  </sheetViews>
  <sheetFormatPr defaultRowHeight="12.75"/>
  <cols>
    <col min="1" max="2" width="9.140625" style="346"/>
    <col min="3" max="3" width="9.140625" style="347"/>
    <col min="4" max="16384" width="9.140625" style="346"/>
  </cols>
  <sheetData>
    <row r="1" spans="1:18">
      <c r="A1" s="346" t="s">
        <v>0</v>
      </c>
      <c r="B1" s="346" t="s">
        <v>352</v>
      </c>
      <c r="N1" s="347"/>
      <c r="O1" s="347"/>
      <c r="P1" s="347"/>
      <c r="Q1" s="347"/>
      <c r="R1" s="347"/>
    </row>
    <row r="2" spans="1:18">
      <c r="B2" s="346" t="s">
        <v>353</v>
      </c>
      <c r="N2" s="347"/>
      <c r="O2" s="347"/>
      <c r="P2" s="347"/>
      <c r="Q2" s="347"/>
      <c r="R2" s="347"/>
    </row>
    <row r="3" spans="1:18">
      <c r="A3" s="348" t="s">
        <v>4</v>
      </c>
      <c r="B3" s="348"/>
      <c r="C3" s="348"/>
      <c r="D3" s="349" t="s">
        <v>5</v>
      </c>
      <c r="E3" s="349" t="s">
        <v>6</v>
      </c>
      <c r="F3" s="349" t="s">
        <v>7</v>
      </c>
      <c r="G3" s="349" t="s">
        <v>8</v>
      </c>
      <c r="H3" s="349" t="s">
        <v>9</v>
      </c>
      <c r="I3" s="349" t="s">
        <v>10</v>
      </c>
      <c r="J3" s="349" t="s">
        <v>11</v>
      </c>
      <c r="K3" s="349" t="s">
        <v>12</v>
      </c>
      <c r="L3" s="350" t="s">
        <v>13</v>
      </c>
      <c r="M3" s="349"/>
      <c r="N3" s="347"/>
      <c r="O3" s="347"/>
      <c r="P3" s="347"/>
      <c r="Q3" s="347"/>
      <c r="R3" s="347"/>
    </row>
    <row r="4" spans="1:18">
      <c r="A4" s="347"/>
      <c r="B4" s="347"/>
      <c r="D4" s="351" t="s">
        <v>14</v>
      </c>
      <c r="E4" s="351" t="s">
        <v>15</v>
      </c>
      <c r="F4" s="351" t="s">
        <v>15</v>
      </c>
      <c r="G4" s="351" t="s">
        <v>16</v>
      </c>
      <c r="H4" s="351" t="s">
        <v>17</v>
      </c>
      <c r="I4" s="351" t="s">
        <v>18</v>
      </c>
      <c r="J4" s="351" t="s">
        <v>17</v>
      </c>
      <c r="K4" s="351" t="s">
        <v>17</v>
      </c>
      <c r="L4" s="351" t="s">
        <v>10</v>
      </c>
      <c r="M4" s="351" t="s">
        <v>11</v>
      </c>
      <c r="N4" s="347"/>
      <c r="O4" s="347"/>
      <c r="P4" s="347"/>
      <c r="Q4" s="347"/>
      <c r="R4" s="347"/>
    </row>
    <row r="5" spans="1:18">
      <c r="A5" s="347"/>
      <c r="B5" s="347"/>
      <c r="D5" s="351" t="s">
        <v>19</v>
      </c>
      <c r="E5" s="351"/>
      <c r="F5" s="351"/>
      <c r="G5" s="351"/>
      <c r="H5" s="351" t="s">
        <v>20</v>
      </c>
      <c r="I5" s="351" t="s">
        <v>17</v>
      </c>
      <c r="J5" s="351" t="s">
        <v>20</v>
      </c>
      <c r="K5" s="351" t="s">
        <v>20</v>
      </c>
      <c r="L5" s="351"/>
      <c r="M5" s="351"/>
      <c r="N5" s="347"/>
      <c r="O5" s="347"/>
      <c r="P5" s="347"/>
      <c r="Q5" s="347"/>
      <c r="R5" s="347"/>
    </row>
    <row r="6" spans="1:18" ht="16.5">
      <c r="A6" s="352"/>
      <c r="B6" s="352"/>
      <c r="C6" s="352"/>
      <c r="D6" s="353"/>
      <c r="E6" s="353"/>
      <c r="F6" s="353"/>
      <c r="G6" s="353"/>
      <c r="H6" s="353"/>
      <c r="I6" s="353" t="s">
        <v>20</v>
      </c>
      <c r="J6" s="353"/>
      <c r="K6" s="353"/>
      <c r="L6" s="353"/>
      <c r="M6" s="353"/>
      <c r="N6" s="347"/>
      <c r="O6" s="354"/>
      <c r="P6" s="354"/>
      <c r="Q6" s="347"/>
      <c r="R6" s="347"/>
    </row>
    <row r="7" spans="1:18" ht="16.5">
      <c r="A7" s="346" t="s">
        <v>354</v>
      </c>
      <c r="D7" s="355">
        <v>100</v>
      </c>
      <c r="E7" s="356">
        <v>4.41</v>
      </c>
      <c r="F7" s="356">
        <v>3.67</v>
      </c>
      <c r="G7" s="357">
        <v>1200</v>
      </c>
      <c r="H7" s="358">
        <v>5292</v>
      </c>
      <c r="I7" s="359"/>
      <c r="J7" s="359">
        <v>2079</v>
      </c>
      <c r="K7" s="359">
        <v>7371</v>
      </c>
      <c r="L7" s="359"/>
      <c r="M7" s="359"/>
      <c r="N7" s="173"/>
      <c r="O7" s="354"/>
      <c r="P7" s="360"/>
      <c r="Q7" s="174"/>
      <c r="R7" s="347"/>
    </row>
    <row r="8" spans="1:18" ht="16.5">
      <c r="A8" s="346" t="s">
        <v>355</v>
      </c>
      <c r="D8" s="355" t="s">
        <v>223</v>
      </c>
      <c r="E8" s="361" t="s">
        <v>356</v>
      </c>
      <c r="F8" s="361" t="s">
        <v>357</v>
      </c>
      <c r="G8" s="357">
        <v>1300</v>
      </c>
      <c r="H8" s="362" t="s">
        <v>358</v>
      </c>
      <c r="I8" s="359"/>
      <c r="J8" s="359"/>
      <c r="K8" s="363" t="s">
        <v>358</v>
      </c>
      <c r="L8" s="359"/>
      <c r="M8" s="359"/>
      <c r="N8" s="173"/>
      <c r="O8" s="354"/>
      <c r="P8" s="360"/>
      <c r="Q8" s="174"/>
      <c r="R8" s="347"/>
    </row>
    <row r="9" spans="1:18" ht="16.5">
      <c r="A9" s="346" t="s">
        <v>359</v>
      </c>
      <c r="D9" s="355">
        <v>80</v>
      </c>
      <c r="E9" s="356">
        <v>1.19</v>
      </c>
      <c r="F9" s="356">
        <v>1.19</v>
      </c>
      <c r="G9" s="357">
        <v>1200</v>
      </c>
      <c r="H9" s="358">
        <v>1428</v>
      </c>
      <c r="I9" s="359">
        <v>11973</v>
      </c>
      <c r="J9" s="359"/>
      <c r="K9" s="359">
        <v>13401</v>
      </c>
      <c r="L9" s="359">
        <v>2337</v>
      </c>
      <c r="M9" s="359"/>
      <c r="N9" s="173"/>
      <c r="O9" s="354"/>
      <c r="P9" s="360"/>
      <c r="Q9" s="173"/>
      <c r="R9" s="347"/>
    </row>
    <row r="10" spans="1:18" s="364" customFormat="1" ht="16.5">
      <c r="A10" s="364" t="s">
        <v>360</v>
      </c>
      <c r="C10" s="365"/>
      <c r="D10" s="366" t="s">
        <v>281</v>
      </c>
      <c r="E10" s="356"/>
      <c r="F10" s="356"/>
      <c r="G10" s="357"/>
      <c r="H10" s="358">
        <v>0</v>
      </c>
      <c r="I10" s="358"/>
      <c r="J10" s="358"/>
      <c r="K10" s="358">
        <v>0</v>
      </c>
      <c r="L10" s="358"/>
      <c r="M10" s="358"/>
      <c r="N10" s="177"/>
      <c r="O10" s="367"/>
      <c r="P10" s="360"/>
      <c r="Q10" s="177"/>
      <c r="R10" s="365"/>
    </row>
    <row r="11" spans="1:18" s="364" customFormat="1" ht="16.5">
      <c r="A11" s="364" t="s">
        <v>361</v>
      </c>
      <c r="C11" s="365"/>
      <c r="D11" s="366">
        <v>64</v>
      </c>
      <c r="E11" s="356">
        <v>21.17</v>
      </c>
      <c r="F11" s="356">
        <v>3.24</v>
      </c>
      <c r="G11" s="368">
        <v>1200</v>
      </c>
      <c r="H11" s="358">
        <v>25404.000000000004</v>
      </c>
      <c r="I11" s="358"/>
      <c r="J11" s="358"/>
      <c r="K11" s="358">
        <v>25404.000000000004</v>
      </c>
      <c r="L11" s="358"/>
      <c r="M11" s="358"/>
      <c r="N11" s="177"/>
      <c r="O11" s="367"/>
      <c r="P11" s="360"/>
      <c r="Q11" s="365"/>
      <c r="R11" s="365"/>
    </row>
    <row r="12" spans="1:18" s="364" customFormat="1" ht="16.5">
      <c r="A12" s="364" t="s">
        <v>362</v>
      </c>
      <c r="C12" s="365"/>
      <c r="D12" s="366" t="s">
        <v>363</v>
      </c>
      <c r="E12" s="356"/>
      <c r="F12" s="356"/>
      <c r="G12" s="368"/>
      <c r="H12" s="362" t="s">
        <v>364</v>
      </c>
      <c r="L12" s="358"/>
      <c r="M12" s="358"/>
      <c r="N12" s="177"/>
      <c r="O12" s="367"/>
      <c r="P12" s="360"/>
      <c r="Q12" s="365"/>
      <c r="R12" s="365"/>
    </row>
    <row r="13" spans="1:18" ht="16.5">
      <c r="A13" s="346" t="s">
        <v>365</v>
      </c>
      <c r="D13" s="355">
        <v>70</v>
      </c>
      <c r="E13" s="356">
        <v>21.17</v>
      </c>
      <c r="F13" s="356">
        <v>4.22</v>
      </c>
      <c r="G13" s="368">
        <v>1200</v>
      </c>
      <c r="H13" s="358">
        <v>25404.000000000004</v>
      </c>
      <c r="I13" s="359"/>
      <c r="J13" s="359">
        <v>36182</v>
      </c>
      <c r="K13" s="359">
        <v>61586</v>
      </c>
      <c r="L13" s="359"/>
      <c r="M13" s="359">
        <v>9672</v>
      </c>
      <c r="N13" s="173"/>
      <c r="O13" s="354"/>
      <c r="P13" s="360"/>
      <c r="Q13" s="347"/>
      <c r="R13" s="347"/>
    </row>
    <row r="14" spans="1:18" ht="16.5">
      <c r="A14" s="346" t="s">
        <v>362</v>
      </c>
      <c r="D14" s="355" t="s">
        <v>248</v>
      </c>
      <c r="E14" s="356"/>
      <c r="F14" s="356"/>
      <c r="G14" s="368"/>
      <c r="H14" s="362" t="s">
        <v>366</v>
      </c>
      <c r="I14" s="359"/>
      <c r="J14" s="359"/>
      <c r="K14" s="359"/>
      <c r="L14" s="359"/>
      <c r="M14" s="359"/>
      <c r="N14" s="173"/>
      <c r="O14" s="354"/>
      <c r="P14" s="360"/>
      <c r="Q14" s="347"/>
      <c r="R14" s="347"/>
    </row>
    <row r="15" spans="1:18" ht="16.5">
      <c r="A15" s="346" t="s">
        <v>33</v>
      </c>
      <c r="D15" s="355">
        <v>100</v>
      </c>
      <c r="E15" s="356">
        <v>3.98</v>
      </c>
      <c r="F15" s="356">
        <v>3.86</v>
      </c>
      <c r="G15" s="368">
        <v>1350</v>
      </c>
      <c r="H15" s="358">
        <v>5373</v>
      </c>
      <c r="I15" s="359"/>
      <c r="J15" s="359">
        <v>27790</v>
      </c>
      <c r="K15" s="359">
        <v>33163</v>
      </c>
      <c r="L15" s="359"/>
      <c r="M15" s="359"/>
      <c r="N15" s="177"/>
      <c r="O15" s="354"/>
      <c r="P15" s="360"/>
      <c r="Q15" s="347"/>
      <c r="R15" s="347"/>
    </row>
    <row r="16" spans="1:18" ht="16.5">
      <c r="A16" s="346" t="s">
        <v>367</v>
      </c>
      <c r="D16" s="355">
        <v>100</v>
      </c>
      <c r="E16" s="356">
        <v>1.27</v>
      </c>
      <c r="F16" s="356">
        <v>1.19</v>
      </c>
      <c r="G16" s="368">
        <v>1500</v>
      </c>
      <c r="H16" s="358">
        <v>1905</v>
      </c>
      <c r="I16" s="359"/>
      <c r="J16" s="359">
        <v>6019</v>
      </c>
      <c r="K16" s="359">
        <v>7924</v>
      </c>
      <c r="L16" s="359"/>
      <c r="M16" s="359"/>
      <c r="N16" s="173"/>
      <c r="O16" s="354"/>
      <c r="P16" s="360"/>
      <c r="Q16" s="347"/>
      <c r="R16" s="347"/>
    </row>
    <row r="17" spans="1:33" ht="16.5">
      <c r="A17" s="346" t="s">
        <v>100</v>
      </c>
      <c r="D17" s="355">
        <v>83.33</v>
      </c>
      <c r="E17" s="356">
        <v>9.2899999999999991</v>
      </c>
      <c r="F17" s="356">
        <v>2.2599999999999998</v>
      </c>
      <c r="G17" s="368">
        <v>900</v>
      </c>
      <c r="H17" s="358">
        <v>8361</v>
      </c>
      <c r="I17" s="359"/>
      <c r="J17" s="359"/>
      <c r="K17" s="359">
        <v>8361</v>
      </c>
      <c r="L17" s="359"/>
      <c r="M17" s="359"/>
      <c r="N17" s="173"/>
      <c r="O17" s="354"/>
      <c r="P17" s="360"/>
      <c r="Q17" s="347"/>
      <c r="R17" s="369"/>
    </row>
    <row r="18" spans="1:33" ht="16.5">
      <c r="A18" s="346" t="s">
        <v>35</v>
      </c>
      <c r="D18" s="370">
        <v>100</v>
      </c>
      <c r="E18" s="356">
        <v>6.19</v>
      </c>
      <c r="F18" s="371">
        <v>4.43</v>
      </c>
      <c r="G18" s="372">
        <v>1200</v>
      </c>
      <c r="H18" s="358">
        <v>7428.0000000000009</v>
      </c>
      <c r="I18" s="359"/>
      <c r="J18" s="359">
        <v>16371</v>
      </c>
      <c r="K18" s="359">
        <v>23799</v>
      </c>
      <c r="L18" s="359"/>
      <c r="M18" s="359"/>
      <c r="N18" s="177"/>
      <c r="O18" s="354"/>
      <c r="P18" s="360"/>
      <c r="Q18" s="347"/>
      <c r="R18" s="347"/>
    </row>
    <row r="19" spans="1:33" ht="16.5">
      <c r="A19" s="346" t="s">
        <v>36</v>
      </c>
      <c r="D19" s="370">
        <v>100</v>
      </c>
      <c r="E19" s="371">
        <v>25.74</v>
      </c>
      <c r="F19" s="371">
        <v>23.62</v>
      </c>
      <c r="G19" s="372">
        <v>1000</v>
      </c>
      <c r="H19" s="358">
        <v>25740</v>
      </c>
      <c r="I19" s="359">
        <v>13686</v>
      </c>
      <c r="J19" s="359"/>
      <c r="K19" s="359">
        <v>39426</v>
      </c>
      <c r="L19" s="359"/>
      <c r="M19" s="359"/>
      <c r="N19" s="173"/>
      <c r="O19" s="354"/>
      <c r="P19" s="360"/>
      <c r="Q19" s="173"/>
      <c r="R19" s="347"/>
    </row>
    <row r="20" spans="1:33" ht="16.5">
      <c r="A20" s="346" t="s">
        <v>368</v>
      </c>
      <c r="D20" s="370">
        <v>100</v>
      </c>
      <c r="E20" s="371">
        <v>16.18</v>
      </c>
      <c r="F20" s="371">
        <v>3.95</v>
      </c>
      <c r="G20" s="372">
        <v>866</v>
      </c>
      <c r="H20" s="358">
        <v>14012</v>
      </c>
      <c r="I20" s="359"/>
      <c r="J20" s="359"/>
      <c r="K20" s="359">
        <v>14012</v>
      </c>
      <c r="L20" s="359"/>
      <c r="M20" s="359"/>
      <c r="N20" s="173"/>
      <c r="O20" s="354"/>
      <c r="P20" s="360"/>
      <c r="Q20" s="173"/>
      <c r="R20" s="347"/>
    </row>
    <row r="21" spans="1:33" ht="16.5">
      <c r="A21" s="346" t="s">
        <v>369</v>
      </c>
      <c r="D21" s="370">
        <v>53</v>
      </c>
      <c r="E21" s="371">
        <v>14.98</v>
      </c>
      <c r="F21" s="371">
        <v>4.72</v>
      </c>
      <c r="G21" s="372">
        <v>811</v>
      </c>
      <c r="H21" s="358">
        <v>12149</v>
      </c>
      <c r="I21" s="359"/>
      <c r="J21" s="359"/>
      <c r="K21" s="359">
        <v>12149</v>
      </c>
      <c r="L21" s="359"/>
      <c r="M21" s="359"/>
      <c r="N21" s="173"/>
      <c r="O21" s="354"/>
      <c r="P21" s="360"/>
      <c r="Q21" s="173"/>
      <c r="R21" s="373"/>
      <c r="S21" s="374"/>
      <c r="T21" s="374"/>
    </row>
    <row r="22" spans="1:33" ht="16.5">
      <c r="A22" s="346" t="s">
        <v>370</v>
      </c>
      <c r="D22" s="370" t="s">
        <v>60</v>
      </c>
      <c r="E22" s="371"/>
      <c r="F22" s="371"/>
      <c r="G22" s="372"/>
      <c r="H22" s="362" t="s">
        <v>371</v>
      </c>
      <c r="I22" s="359"/>
      <c r="J22" s="359"/>
      <c r="K22" s="359"/>
      <c r="L22" s="359"/>
      <c r="M22" s="359"/>
      <c r="N22" s="173"/>
      <c r="O22" s="354"/>
      <c r="P22" s="360"/>
      <c r="Q22" s="173"/>
      <c r="R22" s="347"/>
      <c r="T22" s="346">
        <v>24420</v>
      </c>
    </row>
    <row r="23" spans="1:33" ht="16.5">
      <c r="A23" s="346" t="s">
        <v>372</v>
      </c>
      <c r="D23" s="370">
        <v>70</v>
      </c>
      <c r="E23" s="371"/>
      <c r="F23" s="371"/>
      <c r="G23" s="372"/>
      <c r="H23" s="358"/>
      <c r="I23" s="359">
        <v>3575</v>
      </c>
      <c r="J23" s="359"/>
      <c r="K23" s="359">
        <v>3575</v>
      </c>
      <c r="L23" s="359"/>
      <c r="M23" s="359"/>
      <c r="N23" s="173"/>
      <c r="O23" s="354"/>
      <c r="P23" s="360"/>
      <c r="Q23" s="173"/>
      <c r="R23" s="347"/>
      <c r="W23" s="375" t="s">
        <v>373</v>
      </c>
      <c r="X23" s="376">
        <v>0.2</v>
      </c>
      <c r="Y23" s="375">
        <v>8.25</v>
      </c>
      <c r="Z23" s="377">
        <v>3.5</v>
      </c>
      <c r="AA23" s="377">
        <v>1505.0509090909093</v>
      </c>
      <c r="AB23" s="378">
        <v>10642.86</v>
      </c>
      <c r="AC23" s="377">
        <v>3547.6200000000003</v>
      </c>
      <c r="AD23" s="379">
        <v>1505.05</v>
      </c>
      <c r="AE23" s="377">
        <v>82371</v>
      </c>
      <c r="AF23" s="380"/>
      <c r="AG23" s="381">
        <v>1321.5</v>
      </c>
    </row>
    <row r="24" spans="1:33" ht="15.75">
      <c r="A24" s="348" t="s">
        <v>46</v>
      </c>
      <c r="B24" s="348"/>
      <c r="C24" s="348"/>
      <c r="D24" s="382"/>
      <c r="E24" s="383">
        <v>125.57000000000001</v>
      </c>
      <c r="F24" s="383">
        <v>56.350000000000009</v>
      </c>
      <c r="G24" s="384"/>
      <c r="H24" s="384">
        <v>132496</v>
      </c>
      <c r="I24" s="384">
        <v>29234</v>
      </c>
      <c r="J24" s="384">
        <v>88441</v>
      </c>
      <c r="K24" s="384">
        <v>250171</v>
      </c>
      <c r="L24" s="383">
        <v>2337</v>
      </c>
      <c r="M24" s="383">
        <v>9672</v>
      </c>
      <c r="N24" s="173"/>
      <c r="O24" s="173"/>
      <c r="P24" s="177"/>
      <c r="Q24" s="173"/>
      <c r="R24" s="347"/>
      <c r="W24" s="385"/>
      <c r="X24" s="385"/>
      <c r="Y24" s="385"/>
      <c r="Z24" s="2"/>
      <c r="AA24" s="2"/>
      <c r="AB24" s="2"/>
      <c r="AC24" s="2"/>
      <c r="AD24" s="385"/>
      <c r="AE24" s="2"/>
      <c r="AF24" s="385"/>
      <c r="AG24" s="2"/>
    </row>
    <row r="25" spans="1:33" ht="15">
      <c r="A25" s="352" t="s">
        <v>47</v>
      </c>
      <c r="B25" s="352"/>
      <c r="C25" s="352"/>
      <c r="D25" s="386"/>
      <c r="E25" s="387">
        <v>69.22</v>
      </c>
      <c r="F25" s="387"/>
      <c r="G25" s="388"/>
      <c r="H25" s="388">
        <v>73140</v>
      </c>
      <c r="I25" s="388">
        <v>26897</v>
      </c>
      <c r="J25" s="388">
        <v>78769</v>
      </c>
      <c r="K25" s="388">
        <v>178806</v>
      </c>
      <c r="L25" s="352"/>
      <c r="M25" s="352"/>
      <c r="N25" s="347"/>
      <c r="O25" s="347"/>
      <c r="P25" s="347"/>
      <c r="Q25" s="347"/>
      <c r="R25" s="347"/>
      <c r="W25" s="389" t="s">
        <v>374</v>
      </c>
      <c r="X25" s="385"/>
      <c r="Y25" s="385"/>
      <c r="Z25" s="2"/>
      <c r="AA25" s="2"/>
      <c r="AB25" s="2"/>
      <c r="AC25" s="2"/>
      <c r="AD25" s="385"/>
      <c r="AE25" s="301" t="s">
        <v>375</v>
      </c>
      <c r="AF25" s="385"/>
      <c r="AG25" s="2">
        <v>31.882222222222222</v>
      </c>
    </row>
    <row r="26" spans="1:33" ht="15">
      <c r="N26" s="347"/>
      <c r="O26" s="347"/>
      <c r="P26" s="347"/>
      <c r="Q26" s="347"/>
      <c r="R26" s="347"/>
      <c r="W26" s="385"/>
      <c r="X26" s="385"/>
      <c r="Y26" s="385"/>
      <c r="Z26" s="2"/>
      <c r="AA26" s="2"/>
      <c r="AB26" s="2"/>
      <c r="AC26" s="2"/>
      <c r="AD26" s="385"/>
      <c r="AE26" s="301" t="s">
        <v>376</v>
      </c>
      <c r="AF26" s="385"/>
      <c r="AG26" s="2"/>
    </row>
    <row r="27" spans="1:33" ht="14.25">
      <c r="C27" s="347" t="s">
        <v>103</v>
      </c>
      <c r="N27" s="347"/>
      <c r="O27" s="347"/>
      <c r="P27" s="347"/>
      <c r="Q27" s="347"/>
      <c r="R27" s="347"/>
      <c r="W27" s="180"/>
      <c r="X27" s="180"/>
      <c r="Y27" s="169"/>
    </row>
    <row r="28" spans="1:33">
      <c r="N28" s="347"/>
      <c r="O28" s="347"/>
      <c r="P28" s="347"/>
      <c r="Q28" s="347"/>
      <c r="R28" s="347"/>
    </row>
    <row r="29" spans="1:33">
      <c r="A29" s="346" t="s">
        <v>50</v>
      </c>
      <c r="N29" s="347"/>
      <c r="O29" s="347"/>
      <c r="P29" s="347"/>
      <c r="Q29" s="347"/>
      <c r="R29" s="347"/>
    </row>
    <row r="30" spans="1:33">
      <c r="A30" s="390" t="s">
        <v>51</v>
      </c>
      <c r="B30" s="390"/>
      <c r="C30" s="390"/>
      <c r="D30" s="390" t="s">
        <v>52</v>
      </c>
      <c r="E30" s="390" t="s">
        <v>53</v>
      </c>
      <c r="F30" s="390"/>
      <c r="G30" s="390" t="s">
        <v>54</v>
      </c>
      <c r="N30" s="347"/>
      <c r="O30" s="347"/>
      <c r="P30" s="347"/>
      <c r="Q30" s="347"/>
      <c r="R30" s="347"/>
    </row>
    <row r="31" spans="1:33">
      <c r="A31" s="346" t="s">
        <v>55</v>
      </c>
      <c r="J31" s="391" t="s">
        <v>143</v>
      </c>
      <c r="K31" s="392" t="s">
        <v>166</v>
      </c>
      <c r="N31" s="347"/>
      <c r="O31" s="347"/>
      <c r="P31" s="347"/>
      <c r="Q31" s="347"/>
      <c r="R31" s="347"/>
    </row>
    <row r="32" spans="1:33" s="393" customFormat="1">
      <c r="A32" s="393" t="s">
        <v>228</v>
      </c>
      <c r="C32" s="394"/>
      <c r="D32" s="393" t="s">
        <v>75</v>
      </c>
      <c r="E32" s="395">
        <v>2.75</v>
      </c>
      <c r="G32" s="395">
        <v>13157</v>
      </c>
      <c r="J32" s="396" t="s">
        <v>377</v>
      </c>
      <c r="K32" s="397">
        <v>97</v>
      </c>
      <c r="N32" s="394"/>
      <c r="O32" s="394"/>
      <c r="P32" s="394"/>
      <c r="Q32" s="394"/>
      <c r="R32" s="394"/>
    </row>
    <row r="33" spans="1:11">
      <c r="J33" s="398" t="s">
        <v>378</v>
      </c>
      <c r="K33" s="399">
        <v>3</v>
      </c>
    </row>
    <row r="34" spans="1:11">
      <c r="J34" s="347" t="s">
        <v>379</v>
      </c>
      <c r="K34" s="400"/>
    </row>
    <row r="35" spans="1:11" ht="15">
      <c r="A35" s="346" t="s">
        <v>64</v>
      </c>
      <c r="J35" s="401"/>
      <c r="K35" s="297"/>
    </row>
    <row r="36" spans="1:11" ht="15">
      <c r="A36" s="346" t="s">
        <v>65</v>
      </c>
      <c r="D36" s="346" t="s">
        <v>66</v>
      </c>
      <c r="E36" s="371">
        <v>69</v>
      </c>
      <c r="F36" s="371"/>
      <c r="G36" s="356">
        <v>1060</v>
      </c>
      <c r="I36" s="297"/>
      <c r="J36" s="401"/>
      <c r="K36" s="297"/>
    </row>
    <row r="37" spans="1:11" ht="15">
      <c r="A37" s="346" t="s">
        <v>68</v>
      </c>
      <c r="D37" s="346" t="s">
        <v>66</v>
      </c>
      <c r="E37" s="371">
        <v>56</v>
      </c>
      <c r="F37" s="371"/>
      <c r="G37" s="371"/>
      <c r="I37" s="297"/>
      <c r="J37" s="401"/>
      <c r="K37" s="297"/>
    </row>
    <row r="38" spans="1:11" ht="15">
      <c r="A38" s="346" t="s">
        <v>6</v>
      </c>
      <c r="D38" s="346" t="s">
        <v>66</v>
      </c>
      <c r="E38" s="371">
        <v>125</v>
      </c>
      <c r="F38" s="371"/>
      <c r="G38" s="371"/>
      <c r="I38" s="297"/>
      <c r="J38" s="401"/>
      <c r="K38" s="297"/>
    </row>
    <row r="39" spans="1:11" ht="15">
      <c r="I39" s="297"/>
      <c r="J39" s="401"/>
      <c r="K39" s="297"/>
    </row>
    <row r="40" spans="1:11" ht="15">
      <c r="A40" s="348" t="s">
        <v>107</v>
      </c>
      <c r="B40" s="348"/>
      <c r="C40" s="348" t="s">
        <v>73</v>
      </c>
      <c r="D40" s="348"/>
      <c r="E40" s="348"/>
      <c r="F40" s="348"/>
      <c r="G40" s="348"/>
      <c r="I40" s="297"/>
      <c r="J40" s="297"/>
    </row>
    <row r="41" spans="1:11" ht="15">
      <c r="A41" s="347"/>
      <c r="B41" s="347"/>
      <c r="D41" s="347"/>
      <c r="E41" s="347"/>
      <c r="F41" s="347"/>
      <c r="G41" s="347"/>
      <c r="I41" s="297"/>
      <c r="J41" s="297"/>
    </row>
    <row r="42" spans="1:11" ht="15">
      <c r="A42" s="347"/>
      <c r="B42" s="347" t="s">
        <v>380</v>
      </c>
      <c r="C42" s="402" t="s">
        <v>381</v>
      </c>
      <c r="D42" s="347" t="s">
        <v>75</v>
      </c>
      <c r="E42" s="403" t="s">
        <v>382</v>
      </c>
      <c r="F42" s="404"/>
      <c r="G42" s="405" t="s">
        <v>383</v>
      </c>
      <c r="I42" s="369"/>
      <c r="J42" s="297"/>
    </row>
    <row r="43" spans="1:11" ht="15">
      <c r="A43" s="347"/>
      <c r="B43" s="347" t="s">
        <v>384</v>
      </c>
      <c r="C43" s="402">
        <v>64.75</v>
      </c>
      <c r="D43" s="347" t="s">
        <v>75</v>
      </c>
      <c r="E43" s="346">
        <v>337</v>
      </c>
      <c r="F43" s="404"/>
      <c r="G43" s="405">
        <v>65</v>
      </c>
      <c r="I43" s="405"/>
      <c r="J43" s="297"/>
    </row>
    <row r="44" spans="1:11" ht="15">
      <c r="A44" s="347" t="s">
        <v>385</v>
      </c>
      <c r="B44" s="347" t="s">
        <v>386</v>
      </c>
      <c r="C44" s="402">
        <v>57</v>
      </c>
      <c r="D44" s="347" t="s">
        <v>75</v>
      </c>
      <c r="E44" s="364">
        <v>107</v>
      </c>
      <c r="F44" s="404"/>
      <c r="G44" s="369">
        <v>55</v>
      </c>
      <c r="I44" s="369"/>
      <c r="J44" s="297"/>
    </row>
    <row r="45" spans="1:11">
      <c r="A45" s="352"/>
      <c r="B45" s="347"/>
      <c r="C45" s="406"/>
      <c r="D45" s="352"/>
      <c r="E45" s="387"/>
      <c r="F45" s="387"/>
      <c r="G45" s="387"/>
    </row>
    <row r="46" spans="1:11" ht="14.25">
      <c r="A46" s="407" t="s">
        <v>77</v>
      </c>
      <c r="B46" s="348"/>
      <c r="C46" s="348"/>
      <c r="D46" s="348"/>
      <c r="E46" s="348"/>
      <c r="F46" s="348"/>
      <c r="G46" s="348" t="s">
        <v>387</v>
      </c>
      <c r="I46" s="346" t="s">
        <v>79</v>
      </c>
    </row>
    <row r="47" spans="1:11">
      <c r="A47" s="347" t="s">
        <v>80</v>
      </c>
      <c r="B47" s="347"/>
      <c r="D47" s="347"/>
      <c r="E47" s="347"/>
      <c r="F47" s="347"/>
      <c r="G47" s="408">
        <v>5404</v>
      </c>
      <c r="H47" s="409"/>
      <c r="I47" s="359">
        <v>13353</v>
      </c>
    </row>
    <row r="48" spans="1:11">
      <c r="A48" s="347" t="s">
        <v>81</v>
      </c>
      <c r="B48" s="347"/>
      <c r="D48" s="347"/>
      <c r="E48" s="347"/>
      <c r="F48" s="347"/>
      <c r="G48" s="410">
        <v>57.64</v>
      </c>
      <c r="H48" s="411"/>
      <c r="I48" s="359"/>
    </row>
    <row r="49" spans="1:9">
      <c r="A49" s="347" t="s">
        <v>82</v>
      </c>
      <c r="B49" s="347"/>
      <c r="D49" s="347"/>
      <c r="E49" s="347"/>
      <c r="F49" s="347"/>
      <c r="G49" s="412">
        <v>311487</v>
      </c>
      <c r="H49" s="413"/>
      <c r="I49" s="359">
        <v>769684</v>
      </c>
    </row>
    <row r="50" spans="1:9">
      <c r="A50" s="347" t="s">
        <v>83</v>
      </c>
      <c r="B50" s="347"/>
      <c r="D50" s="347"/>
      <c r="E50" s="347"/>
      <c r="F50" s="347"/>
      <c r="G50" s="412">
        <v>61316</v>
      </c>
      <c r="H50" s="413"/>
      <c r="I50" s="359">
        <v>151512</v>
      </c>
    </row>
    <row r="51" spans="1:9">
      <c r="A51" s="347" t="s">
        <v>84</v>
      </c>
      <c r="B51" s="347"/>
      <c r="D51" s="347"/>
      <c r="E51" s="347"/>
      <c r="F51" s="347"/>
      <c r="G51" s="412">
        <v>132681</v>
      </c>
      <c r="H51" s="413"/>
      <c r="I51" s="359">
        <v>327855</v>
      </c>
    </row>
    <row r="52" spans="1:9">
      <c r="A52" s="347"/>
      <c r="B52" s="347"/>
      <c r="D52" s="347"/>
      <c r="E52" s="347"/>
      <c r="F52" s="347"/>
      <c r="G52" s="412"/>
      <c r="H52" s="359"/>
      <c r="I52" s="359"/>
    </row>
    <row r="53" spans="1:9">
      <c r="A53" s="347" t="s">
        <v>85</v>
      </c>
      <c r="B53" s="347"/>
      <c r="D53" s="347"/>
      <c r="E53" s="347"/>
      <c r="F53" s="347"/>
      <c r="G53" s="414">
        <v>46.293671354552181</v>
      </c>
    </row>
    <row r="54" spans="1:9">
      <c r="A54" s="352" t="s">
        <v>86</v>
      </c>
      <c r="B54" s="352"/>
      <c r="C54" s="352"/>
      <c r="D54" s="352"/>
      <c r="E54" s="352"/>
      <c r="F54" s="352"/>
      <c r="G54" s="415">
        <v>33.087712805329389</v>
      </c>
    </row>
    <row r="56" spans="1:9" ht="14.25">
      <c r="A56" s="416" t="s">
        <v>235</v>
      </c>
    </row>
    <row r="57" spans="1:9">
      <c r="A57" s="417" t="s">
        <v>388</v>
      </c>
    </row>
    <row r="58" spans="1:9" ht="13.5">
      <c r="A58" s="206" t="s">
        <v>389</v>
      </c>
    </row>
    <row r="65" spans="7:7">
      <c r="G65" s="346" t="s">
        <v>277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47"/>
  <sheetViews>
    <sheetView workbookViewId="0">
      <selection sqref="A1:XFD1048576"/>
    </sheetView>
  </sheetViews>
  <sheetFormatPr defaultRowHeight="15"/>
  <cols>
    <col min="1" max="16384" width="9.140625" style="2"/>
  </cols>
  <sheetData>
    <row r="1" spans="1:13" ht="15.75">
      <c r="A1" s="169" t="s">
        <v>0</v>
      </c>
      <c r="B1" s="169" t="s">
        <v>176</v>
      </c>
      <c r="C1" s="169"/>
      <c r="D1" s="169"/>
      <c r="E1" s="169"/>
      <c r="F1" s="169"/>
      <c r="G1" s="169"/>
      <c r="H1" s="169"/>
      <c r="I1" s="169"/>
      <c r="J1" s="169"/>
      <c r="K1" s="169"/>
      <c r="L1" s="169"/>
      <c r="M1" s="169"/>
    </row>
    <row r="2" spans="1:13" ht="15.75">
      <c r="A2" s="169"/>
      <c r="B2" s="169" t="s">
        <v>177</v>
      </c>
      <c r="C2" s="169" t="s">
        <v>178</v>
      </c>
      <c r="D2" s="169" t="s">
        <v>179</v>
      </c>
      <c r="E2" s="169" t="s">
        <v>180</v>
      </c>
      <c r="F2" s="169"/>
      <c r="G2" s="169"/>
      <c r="H2" s="169" t="s">
        <v>181</v>
      </c>
      <c r="I2" s="169"/>
      <c r="J2" s="169"/>
      <c r="K2" s="169"/>
      <c r="L2" s="169"/>
      <c r="M2" s="169"/>
    </row>
    <row r="3" spans="1:13" ht="15.75">
      <c r="A3" s="170" t="s">
        <v>4</v>
      </c>
      <c r="B3" s="170"/>
      <c r="C3" s="170"/>
      <c r="D3" s="171" t="s">
        <v>5</v>
      </c>
      <c r="E3" s="171" t="s">
        <v>6</v>
      </c>
      <c r="F3" s="171" t="s">
        <v>7</v>
      </c>
      <c r="G3" s="171" t="s">
        <v>8</v>
      </c>
      <c r="H3" s="171" t="s">
        <v>9</v>
      </c>
      <c r="I3" s="171" t="s">
        <v>10</v>
      </c>
      <c r="J3" s="171" t="s">
        <v>11</v>
      </c>
      <c r="K3" s="171" t="s">
        <v>12</v>
      </c>
      <c r="L3" s="172" t="s">
        <v>13</v>
      </c>
      <c r="M3" s="171"/>
    </row>
    <row r="4" spans="1:13" ht="15.75">
      <c r="A4" s="173"/>
      <c r="B4" s="173"/>
      <c r="C4" s="173"/>
      <c r="D4" s="174" t="s">
        <v>14</v>
      </c>
      <c r="E4" s="174" t="s">
        <v>15</v>
      </c>
      <c r="F4" s="174" t="s">
        <v>15</v>
      </c>
      <c r="G4" s="174" t="s">
        <v>16</v>
      </c>
      <c r="H4" s="174" t="s">
        <v>17</v>
      </c>
      <c r="I4" s="174" t="s">
        <v>18</v>
      </c>
      <c r="J4" s="174" t="s">
        <v>17</v>
      </c>
      <c r="K4" s="174" t="s">
        <v>17</v>
      </c>
      <c r="L4" s="174" t="s">
        <v>10</v>
      </c>
      <c r="M4" s="174" t="s">
        <v>11</v>
      </c>
    </row>
    <row r="5" spans="1:13" ht="15.75">
      <c r="A5" s="173"/>
      <c r="B5" s="173"/>
      <c r="C5" s="173"/>
      <c r="D5" s="174" t="s">
        <v>19</v>
      </c>
      <c r="E5" s="174"/>
      <c r="F5" s="174"/>
      <c r="G5" s="174"/>
      <c r="H5" s="174" t="s">
        <v>20</v>
      </c>
      <c r="I5" s="174" t="s">
        <v>17</v>
      </c>
      <c r="J5" s="174" t="s">
        <v>20</v>
      </c>
      <c r="K5" s="174" t="s">
        <v>20</v>
      </c>
      <c r="L5" s="174"/>
      <c r="M5" s="174"/>
    </row>
    <row r="6" spans="1:13" ht="15.75">
      <c r="A6" s="175"/>
      <c r="B6" s="175"/>
      <c r="C6" s="175"/>
      <c r="D6" s="176"/>
      <c r="E6" s="176"/>
      <c r="F6" s="176"/>
      <c r="G6" s="176"/>
      <c r="H6" s="176"/>
      <c r="I6" s="176" t="s">
        <v>20</v>
      </c>
      <c r="J6" s="176"/>
      <c r="K6" s="176"/>
      <c r="L6" s="176"/>
      <c r="M6" s="176"/>
    </row>
    <row r="7" spans="1:13" ht="15.75">
      <c r="A7" s="177" t="s">
        <v>182</v>
      </c>
      <c r="B7" s="177"/>
      <c r="C7" s="177"/>
      <c r="D7" s="178">
        <v>54</v>
      </c>
      <c r="E7" s="178">
        <v>1.98</v>
      </c>
      <c r="F7" s="178">
        <v>0.9</v>
      </c>
      <c r="G7" s="179">
        <v>1040</v>
      </c>
      <c r="H7" s="179">
        <v>2059</v>
      </c>
      <c r="I7" s="178"/>
      <c r="J7" s="178"/>
      <c r="K7" s="179">
        <f>SUM(H7:J7)</f>
        <v>2059</v>
      </c>
      <c r="L7" s="178"/>
      <c r="M7" s="178"/>
    </row>
    <row r="8" spans="1:13" ht="15.75">
      <c r="A8" s="180" t="s">
        <v>183</v>
      </c>
      <c r="B8" s="180"/>
      <c r="C8" s="180"/>
      <c r="D8" s="181">
        <v>100</v>
      </c>
      <c r="E8" s="182">
        <v>0.38</v>
      </c>
      <c r="F8" s="182">
        <v>0.38</v>
      </c>
      <c r="G8" s="183">
        <v>1000</v>
      </c>
      <c r="H8" s="182">
        <f>SUM(E8*G8)</f>
        <v>380</v>
      </c>
      <c r="I8" s="182">
        <v>6814</v>
      </c>
      <c r="J8" s="182"/>
      <c r="K8" s="182">
        <f>SUM(H8:J8)</f>
        <v>7194</v>
      </c>
      <c r="L8" s="182">
        <v>483</v>
      </c>
      <c r="M8" s="182"/>
    </row>
    <row r="9" spans="1:13" ht="15.75">
      <c r="A9" s="184" t="s">
        <v>184</v>
      </c>
      <c r="B9" s="184"/>
      <c r="C9" s="184"/>
      <c r="D9" s="181">
        <v>100</v>
      </c>
      <c r="E9" s="182">
        <v>5.62</v>
      </c>
      <c r="F9" s="182">
        <v>1.46</v>
      </c>
      <c r="G9" s="183">
        <v>1051</v>
      </c>
      <c r="H9" s="182">
        <v>5907</v>
      </c>
      <c r="I9" s="182"/>
      <c r="J9" s="182"/>
      <c r="K9" s="182">
        <f t="shared" ref="K9:K18" si="0">SUM(H9:J9)</f>
        <v>5907</v>
      </c>
      <c r="L9" s="182"/>
      <c r="M9" s="182"/>
    </row>
    <row r="10" spans="1:13" ht="15.75">
      <c r="A10" s="180" t="s">
        <v>185</v>
      </c>
      <c r="B10" s="180"/>
      <c r="C10" s="180"/>
      <c r="D10" s="181">
        <v>100</v>
      </c>
      <c r="E10" s="182">
        <v>7.67</v>
      </c>
      <c r="F10" s="182">
        <v>1.85</v>
      </c>
      <c r="G10" s="183">
        <v>1001</v>
      </c>
      <c r="H10" s="182">
        <v>7678</v>
      </c>
      <c r="I10" s="182"/>
      <c r="J10" s="182">
        <f>E25*G25</f>
        <v>2990</v>
      </c>
      <c r="K10" s="182">
        <f t="shared" si="0"/>
        <v>10668</v>
      </c>
      <c r="L10" s="182"/>
      <c r="M10" s="182">
        <v>965</v>
      </c>
    </row>
    <row r="11" spans="1:13" ht="15.75">
      <c r="A11" s="180" t="s">
        <v>186</v>
      </c>
      <c r="B11" s="180"/>
      <c r="C11" s="180"/>
      <c r="D11" s="181">
        <v>80</v>
      </c>
      <c r="E11" s="182">
        <v>0.72</v>
      </c>
      <c r="F11" s="182">
        <v>0.66</v>
      </c>
      <c r="G11" s="183">
        <v>1000</v>
      </c>
      <c r="H11" s="182">
        <f t="shared" ref="H11:H18" si="1">SUM(E11*G11)</f>
        <v>720</v>
      </c>
      <c r="I11" s="182"/>
      <c r="J11" s="182">
        <f>E31*G31</f>
        <v>1850</v>
      </c>
      <c r="K11" s="182">
        <f t="shared" si="0"/>
        <v>2570</v>
      </c>
      <c r="L11" s="182"/>
      <c r="M11" s="182"/>
    </row>
    <row r="12" spans="1:13" ht="15.75">
      <c r="A12" s="180" t="s">
        <v>187</v>
      </c>
      <c r="B12" s="180"/>
      <c r="C12" s="180"/>
      <c r="D12" s="181">
        <v>50</v>
      </c>
      <c r="E12" s="182">
        <v>0.51</v>
      </c>
      <c r="F12" s="182">
        <v>0.51</v>
      </c>
      <c r="G12" s="183">
        <v>1000</v>
      </c>
      <c r="H12" s="182">
        <f t="shared" si="1"/>
        <v>510</v>
      </c>
      <c r="I12" s="182"/>
      <c r="J12" s="182">
        <v>1421</v>
      </c>
      <c r="K12" s="182">
        <f t="shared" si="0"/>
        <v>1931</v>
      </c>
      <c r="L12" s="182"/>
      <c r="M12" s="182"/>
    </row>
    <row r="13" spans="1:13" ht="15.75">
      <c r="A13" s="180" t="s">
        <v>188</v>
      </c>
      <c r="B13" s="180"/>
      <c r="C13" s="180"/>
      <c r="D13" s="185">
        <v>68</v>
      </c>
      <c r="E13" s="182">
        <v>7.99</v>
      </c>
      <c r="F13" s="182">
        <v>2.19</v>
      </c>
      <c r="G13" s="183">
        <v>1000</v>
      </c>
      <c r="H13" s="182">
        <f t="shared" si="1"/>
        <v>7990</v>
      </c>
      <c r="I13" s="182"/>
      <c r="J13" s="182"/>
      <c r="K13" s="182">
        <f>SUM(H13:J13)</f>
        <v>7990</v>
      </c>
      <c r="L13" s="182"/>
      <c r="M13" s="182"/>
    </row>
    <row r="14" spans="1:13" ht="15.75">
      <c r="A14" s="180" t="s">
        <v>189</v>
      </c>
      <c r="B14" s="180"/>
      <c r="C14" s="180"/>
      <c r="D14" s="181">
        <v>90</v>
      </c>
      <c r="E14" s="182">
        <v>1.1599999999999999</v>
      </c>
      <c r="F14" s="182">
        <v>0.91</v>
      </c>
      <c r="G14" s="183">
        <v>1238</v>
      </c>
      <c r="H14" s="182">
        <v>1436</v>
      </c>
      <c r="I14" s="182"/>
      <c r="J14" s="182">
        <v>2548</v>
      </c>
      <c r="K14" s="182">
        <f t="shared" si="0"/>
        <v>3984</v>
      </c>
      <c r="L14" s="182"/>
      <c r="M14" s="182"/>
    </row>
    <row r="15" spans="1:13" ht="15.75">
      <c r="A15" s="180" t="s">
        <v>190</v>
      </c>
      <c r="B15" s="180"/>
      <c r="C15" s="180"/>
      <c r="D15" s="181">
        <v>100</v>
      </c>
      <c r="E15" s="182">
        <v>3.89</v>
      </c>
      <c r="F15" s="182">
        <v>3.89</v>
      </c>
      <c r="G15" s="183">
        <v>1000</v>
      </c>
      <c r="H15" s="182">
        <f>SUM(E15*G15)</f>
        <v>3890</v>
      </c>
      <c r="I15" s="182"/>
      <c r="J15" s="182"/>
      <c r="K15" s="182">
        <f t="shared" si="0"/>
        <v>3890</v>
      </c>
      <c r="L15" s="182"/>
      <c r="M15" s="182"/>
    </row>
    <row r="16" spans="1:13" ht="15.75">
      <c r="A16" s="180" t="s">
        <v>191</v>
      </c>
      <c r="B16" s="180"/>
      <c r="C16" s="180"/>
      <c r="D16" s="181">
        <v>100</v>
      </c>
      <c r="E16" s="182">
        <v>8.25</v>
      </c>
      <c r="F16" s="182">
        <v>2.1</v>
      </c>
      <c r="G16" s="183">
        <v>1000</v>
      </c>
      <c r="H16" s="182">
        <f t="shared" si="1"/>
        <v>8250</v>
      </c>
      <c r="I16" s="182"/>
      <c r="J16" s="182"/>
      <c r="K16" s="182">
        <f t="shared" si="0"/>
        <v>8250</v>
      </c>
      <c r="L16" s="182"/>
      <c r="M16" s="182"/>
    </row>
    <row r="17" spans="1:13" ht="15.75">
      <c r="A17" s="180" t="s">
        <v>192</v>
      </c>
      <c r="B17" s="180"/>
      <c r="C17" s="180"/>
      <c r="D17" s="185">
        <v>100</v>
      </c>
      <c r="E17" s="182">
        <v>1.92</v>
      </c>
      <c r="F17" s="182">
        <v>1.07</v>
      </c>
      <c r="G17" s="183">
        <v>1000</v>
      </c>
      <c r="H17" s="182">
        <f t="shared" si="1"/>
        <v>1920</v>
      </c>
      <c r="I17" s="182">
        <v>2654</v>
      </c>
      <c r="J17" s="182"/>
      <c r="K17" s="182">
        <f t="shared" si="0"/>
        <v>4574</v>
      </c>
      <c r="L17" s="182"/>
      <c r="M17" s="182"/>
    </row>
    <row r="18" spans="1:13" ht="15.75">
      <c r="A18" s="180" t="s">
        <v>193</v>
      </c>
      <c r="B18" s="180"/>
      <c r="C18" s="180"/>
      <c r="D18" s="181">
        <v>58</v>
      </c>
      <c r="E18" s="182">
        <v>0.24</v>
      </c>
      <c r="F18" s="182">
        <v>0.24</v>
      </c>
      <c r="G18" s="183">
        <v>1000</v>
      </c>
      <c r="H18" s="182">
        <f t="shared" si="1"/>
        <v>240</v>
      </c>
      <c r="I18" s="182">
        <v>591</v>
      </c>
      <c r="J18" s="182"/>
      <c r="K18" s="182">
        <f t="shared" si="0"/>
        <v>831</v>
      </c>
      <c r="L18" s="182">
        <v>467</v>
      </c>
      <c r="M18" s="182"/>
    </row>
    <row r="19" spans="1:13" ht="15.75">
      <c r="A19" s="186" t="s">
        <v>194</v>
      </c>
      <c r="B19" s="186"/>
      <c r="C19" s="186"/>
      <c r="D19" s="187"/>
      <c r="E19" s="188">
        <f>SUM(E7:E18)</f>
        <v>40.330000000000005</v>
      </c>
      <c r="F19" s="188">
        <f>SUM(F7:F18)</f>
        <v>16.16</v>
      </c>
      <c r="G19" s="188"/>
      <c r="H19" s="188">
        <f>SUM(H7:H18)</f>
        <v>40980</v>
      </c>
      <c r="I19" s="188">
        <f>SUM(I7:I18)</f>
        <v>10059</v>
      </c>
      <c r="J19" s="188">
        <f>SUM(J7:J18)</f>
        <v>8809</v>
      </c>
      <c r="K19" s="188">
        <f>SUM(K7:K18)</f>
        <v>59848</v>
      </c>
      <c r="L19" s="188">
        <f>SUM(L8:L18)</f>
        <v>950</v>
      </c>
      <c r="M19" s="188">
        <f>SUM(M8:M18)</f>
        <v>965</v>
      </c>
    </row>
    <row r="20" spans="1:13" ht="15.75">
      <c r="A20" s="189" t="s">
        <v>195</v>
      </c>
      <c r="B20" s="189"/>
      <c r="C20" s="189"/>
      <c r="D20" s="190"/>
      <c r="E20" s="191">
        <f>SUM(E19-F19)</f>
        <v>24.170000000000005</v>
      </c>
      <c r="F20" s="191"/>
      <c r="G20" s="191"/>
      <c r="H20" s="191">
        <f>SUM(E27*G27)</f>
        <v>24600</v>
      </c>
      <c r="I20" s="191">
        <f>I19-L19</f>
        <v>9109</v>
      </c>
      <c r="J20" s="191">
        <f>J19-M19</f>
        <v>7844</v>
      </c>
      <c r="K20" s="191">
        <f>SUM(H20:J20)</f>
        <v>41553</v>
      </c>
      <c r="L20" s="189"/>
      <c r="M20" s="189"/>
    </row>
    <row r="21" spans="1:13" ht="15.75">
      <c r="A21" s="180"/>
      <c r="B21" s="180"/>
      <c r="C21" s="180" t="s">
        <v>103</v>
      </c>
      <c r="D21" s="180"/>
      <c r="E21" s="180"/>
      <c r="F21" s="180"/>
      <c r="G21" s="180"/>
      <c r="H21" s="180"/>
      <c r="I21" s="180"/>
      <c r="J21" s="180"/>
      <c r="K21" s="180"/>
      <c r="L21" s="180"/>
      <c r="M21" s="180"/>
    </row>
    <row r="22" spans="1:13" ht="15.75">
      <c r="A22" s="180" t="s">
        <v>50</v>
      </c>
      <c r="B22" s="180"/>
      <c r="C22" s="180"/>
      <c r="D22" s="180"/>
      <c r="E22" s="180"/>
      <c r="F22" s="180"/>
      <c r="G22" s="180"/>
      <c r="H22" s="180"/>
      <c r="I22" s="180"/>
      <c r="J22" s="180"/>
      <c r="K22" s="180"/>
      <c r="L22" s="180"/>
      <c r="M22" s="180"/>
    </row>
    <row r="23" spans="1:13" ht="15.75">
      <c r="A23" s="192" t="s">
        <v>51</v>
      </c>
      <c r="B23" s="192"/>
      <c r="C23" s="192"/>
      <c r="D23" s="192" t="s">
        <v>52</v>
      </c>
      <c r="E23" s="192" t="s">
        <v>53</v>
      </c>
      <c r="F23" s="192"/>
      <c r="G23" s="192" t="s">
        <v>54</v>
      </c>
      <c r="H23" s="180"/>
      <c r="I23" s="180"/>
      <c r="J23" s="180"/>
      <c r="K23" s="180"/>
      <c r="L23" s="180"/>
      <c r="M23" s="180"/>
    </row>
    <row r="24" spans="1:13" ht="19.5">
      <c r="A24" s="180" t="s">
        <v>55</v>
      </c>
      <c r="B24" s="180"/>
      <c r="C24" s="180"/>
      <c r="D24" s="180"/>
      <c r="E24" s="180"/>
      <c r="F24" s="180"/>
      <c r="G24" s="180"/>
      <c r="H24" s="180"/>
      <c r="I24" s="180"/>
      <c r="J24" s="193" t="s">
        <v>143</v>
      </c>
      <c r="K24" s="194" t="s">
        <v>196</v>
      </c>
      <c r="L24" s="195" t="s">
        <v>197</v>
      </c>
      <c r="M24" s="180"/>
    </row>
    <row r="25" spans="1:13" ht="15.75">
      <c r="A25" s="180" t="s">
        <v>99</v>
      </c>
      <c r="B25" s="180"/>
      <c r="C25" s="180"/>
      <c r="D25" s="180" t="s">
        <v>75</v>
      </c>
      <c r="E25" s="182">
        <v>23</v>
      </c>
      <c r="F25" s="180"/>
      <c r="G25" s="182">
        <v>130</v>
      </c>
      <c r="H25" s="180"/>
      <c r="I25" s="180"/>
      <c r="J25" s="193" t="s">
        <v>198</v>
      </c>
      <c r="K25" s="194">
        <v>60</v>
      </c>
      <c r="L25" s="180"/>
      <c r="M25" s="180"/>
    </row>
    <row r="26" spans="1:13" ht="15.75">
      <c r="A26" s="180" t="s">
        <v>64</v>
      </c>
      <c r="B26" s="180"/>
      <c r="C26" s="180"/>
      <c r="D26" s="180"/>
      <c r="E26" s="180"/>
      <c r="F26" s="180"/>
      <c r="G26" s="180"/>
      <c r="H26" s="180"/>
      <c r="I26" s="180"/>
      <c r="J26" s="194" t="s">
        <v>199</v>
      </c>
      <c r="K26" s="194">
        <v>40</v>
      </c>
      <c r="L26" s="180"/>
      <c r="M26" s="180"/>
    </row>
    <row r="27" spans="1:13" ht="15.75">
      <c r="A27" s="180" t="s">
        <v>65</v>
      </c>
      <c r="B27" s="180"/>
      <c r="C27" s="180"/>
      <c r="D27" s="180" t="s">
        <v>66</v>
      </c>
      <c r="E27" s="182">
        <v>24</v>
      </c>
      <c r="F27" s="180"/>
      <c r="G27" s="182">
        <v>1025</v>
      </c>
      <c r="H27" s="180"/>
      <c r="I27" s="177"/>
      <c r="J27" s="177"/>
      <c r="K27" s="177"/>
      <c r="L27" s="180"/>
      <c r="M27" s="180"/>
    </row>
    <row r="28" spans="1:13" ht="15.75">
      <c r="A28" s="180" t="s">
        <v>68</v>
      </c>
      <c r="B28" s="180"/>
      <c r="C28" s="180"/>
      <c r="D28" s="180" t="s">
        <v>66</v>
      </c>
      <c r="E28" s="182">
        <v>16</v>
      </c>
      <c r="F28" s="180"/>
      <c r="G28" s="180"/>
      <c r="H28" s="180"/>
      <c r="I28" s="177"/>
      <c r="J28" s="194" t="s">
        <v>105</v>
      </c>
      <c r="K28" s="194">
        <v>1.2</v>
      </c>
      <c r="L28" s="180"/>
      <c r="M28" s="180"/>
    </row>
    <row r="29" spans="1:13" ht="15.75">
      <c r="A29" s="180" t="s">
        <v>6</v>
      </c>
      <c r="B29" s="180"/>
      <c r="C29" s="180"/>
      <c r="D29" s="180" t="s">
        <v>66</v>
      </c>
      <c r="E29" s="182">
        <f>SUM(E27:E28)</f>
        <v>40</v>
      </c>
      <c r="F29" s="180"/>
      <c r="G29" s="180"/>
      <c r="H29" s="180"/>
      <c r="I29" s="177"/>
      <c r="J29" s="194" t="s">
        <v>58</v>
      </c>
      <c r="K29" s="196">
        <v>1</v>
      </c>
      <c r="L29" s="180"/>
      <c r="M29" s="180"/>
    </row>
    <row r="30" spans="1:13" ht="15.75">
      <c r="A30" s="186" t="s">
        <v>72</v>
      </c>
      <c r="B30" s="186"/>
      <c r="C30" s="186" t="s">
        <v>73</v>
      </c>
      <c r="D30" s="186"/>
      <c r="E30" s="186"/>
      <c r="F30" s="186"/>
      <c r="G30" s="186"/>
      <c r="H30" s="180"/>
      <c r="I30" s="177"/>
      <c r="J30" s="177"/>
      <c r="K30" s="180"/>
      <c r="L30" s="180"/>
      <c r="M30" s="180"/>
    </row>
    <row r="31" spans="1:13" ht="15.75">
      <c r="A31" s="177"/>
      <c r="B31" s="177" t="s">
        <v>200</v>
      </c>
      <c r="C31" s="197">
        <v>64</v>
      </c>
      <c r="D31" s="177" t="s">
        <v>75</v>
      </c>
      <c r="E31" s="198">
        <v>37</v>
      </c>
      <c r="F31" s="198"/>
      <c r="G31" s="198">
        <v>50</v>
      </c>
      <c r="H31" s="180"/>
      <c r="I31" s="177"/>
      <c r="J31" s="177"/>
      <c r="K31" s="180"/>
      <c r="L31" s="180"/>
      <c r="M31" s="180"/>
    </row>
    <row r="32" spans="1:13" ht="15.75">
      <c r="A32" s="177"/>
      <c r="B32" s="177" t="s">
        <v>201</v>
      </c>
      <c r="C32" s="177" t="s">
        <v>92</v>
      </c>
      <c r="D32" s="177" t="s">
        <v>75</v>
      </c>
      <c r="E32" s="198" t="s">
        <v>202</v>
      </c>
      <c r="F32" s="198"/>
      <c r="G32" s="198" t="s">
        <v>203</v>
      </c>
      <c r="H32" s="180"/>
      <c r="I32" s="177"/>
      <c r="J32" s="198"/>
      <c r="K32" s="180"/>
      <c r="L32" s="180"/>
      <c r="M32" s="180"/>
    </row>
    <row r="33" spans="1:13" ht="15.75">
      <c r="A33" s="177"/>
      <c r="B33" s="177" t="s">
        <v>204</v>
      </c>
      <c r="C33" s="177" t="s">
        <v>205</v>
      </c>
      <c r="D33" s="177" t="s">
        <v>75</v>
      </c>
      <c r="E33" s="198" t="s">
        <v>206</v>
      </c>
      <c r="F33" s="198"/>
      <c r="G33" s="198" t="s">
        <v>203</v>
      </c>
      <c r="H33" s="180"/>
      <c r="I33" s="177"/>
      <c r="J33" s="198"/>
      <c r="K33" s="180"/>
      <c r="L33" s="180"/>
      <c r="M33" s="180"/>
    </row>
    <row r="34" spans="1:13" ht="15.75">
      <c r="A34" s="177"/>
      <c r="B34" s="177"/>
      <c r="C34" s="199"/>
      <c r="D34" s="177"/>
      <c r="E34" s="198"/>
      <c r="F34" s="198"/>
      <c r="G34" s="200"/>
      <c r="H34" s="180"/>
      <c r="I34" s="177"/>
      <c r="J34" s="198"/>
      <c r="K34" s="180"/>
      <c r="L34" s="180"/>
      <c r="M34" s="180"/>
    </row>
    <row r="35" spans="1:13" ht="15.75">
      <c r="A35" s="177"/>
      <c r="B35" s="177"/>
      <c r="C35" s="197"/>
      <c r="D35" s="177"/>
      <c r="E35" s="198"/>
      <c r="F35" s="198"/>
      <c r="G35" s="198"/>
      <c r="H35" s="180"/>
      <c r="I35" s="177"/>
      <c r="J35" s="177"/>
      <c r="K35" s="180"/>
      <c r="L35" s="180"/>
      <c r="M35" s="180"/>
    </row>
    <row r="36" spans="1:13" ht="15.75">
      <c r="A36" s="192" t="s">
        <v>77</v>
      </c>
      <c r="B36" s="192"/>
      <c r="C36" s="192"/>
      <c r="D36" s="192"/>
      <c r="E36" s="192"/>
      <c r="F36" s="192"/>
      <c r="G36" s="201" t="s">
        <v>207</v>
      </c>
      <c r="H36" s="202"/>
      <c r="I36" s="202" t="s">
        <v>208</v>
      </c>
      <c r="J36" s="182"/>
      <c r="K36" s="180"/>
      <c r="L36" s="180"/>
      <c r="M36" s="180"/>
    </row>
    <row r="37" spans="1:13" ht="15.75">
      <c r="A37" s="177"/>
      <c r="B37" s="177"/>
      <c r="C37" s="177"/>
      <c r="D37" s="177"/>
      <c r="E37" s="177"/>
      <c r="F37" s="177"/>
      <c r="G37" s="177"/>
      <c r="H37" s="180"/>
      <c r="I37" s="180"/>
      <c r="J37" s="182"/>
      <c r="K37" s="180"/>
      <c r="L37" s="180"/>
      <c r="M37" s="180"/>
    </row>
    <row r="38" spans="1:13" ht="15.75">
      <c r="A38" s="177" t="s">
        <v>209</v>
      </c>
      <c r="B38" s="177"/>
      <c r="C38" s="177"/>
      <c r="D38" s="177"/>
      <c r="E38" s="177"/>
      <c r="F38" s="177"/>
      <c r="G38" s="184">
        <v>874</v>
      </c>
      <c r="H38" s="180" t="s">
        <v>210</v>
      </c>
      <c r="I38" s="203">
        <f>G38*2.471</f>
        <v>2159.654</v>
      </c>
      <c r="J38" s="180"/>
      <c r="K38" s="180"/>
      <c r="L38" s="180"/>
      <c r="M38" s="180"/>
    </row>
    <row r="39" spans="1:13" ht="15.75">
      <c r="A39" s="177" t="s">
        <v>81</v>
      </c>
      <c r="B39" s="177"/>
      <c r="C39" s="177"/>
      <c r="D39" s="177"/>
      <c r="E39" s="177"/>
      <c r="F39" s="177"/>
      <c r="G39" s="204">
        <v>80</v>
      </c>
      <c r="H39" s="180"/>
      <c r="I39" s="203"/>
      <c r="J39" s="180"/>
      <c r="K39" s="180"/>
      <c r="L39" s="180"/>
      <c r="M39" s="180"/>
    </row>
    <row r="40" spans="1:13" ht="15.75">
      <c r="A40" s="177" t="s">
        <v>211</v>
      </c>
      <c r="B40" s="177"/>
      <c r="C40" s="177"/>
      <c r="D40" s="177"/>
      <c r="E40" s="177"/>
      <c r="F40" s="177"/>
      <c r="G40" s="204">
        <f>SUM(G38*G39)</f>
        <v>69920</v>
      </c>
      <c r="H40" s="180"/>
      <c r="I40" s="180">
        <v>172772</v>
      </c>
      <c r="J40" s="203"/>
      <c r="K40" s="180"/>
      <c r="L40" s="180"/>
      <c r="M40" s="180"/>
    </row>
    <row r="41" spans="1:13" ht="15.75">
      <c r="A41" s="177" t="s">
        <v>212</v>
      </c>
      <c r="B41" s="177"/>
      <c r="C41" s="177"/>
      <c r="D41" s="177"/>
      <c r="E41" s="177"/>
      <c r="F41" s="177"/>
      <c r="G41" s="204">
        <f>SUM(G40-K19)</f>
        <v>10072</v>
      </c>
      <c r="H41" s="180"/>
      <c r="I41" s="180">
        <v>23776</v>
      </c>
      <c r="J41" s="203"/>
      <c r="K41" s="180"/>
      <c r="L41" s="180"/>
      <c r="M41" s="180"/>
    </row>
    <row r="42" spans="1:13" ht="15.75">
      <c r="A42" s="177" t="s">
        <v>213</v>
      </c>
      <c r="B42" s="177"/>
      <c r="C42" s="177"/>
      <c r="D42" s="177"/>
      <c r="E42" s="177"/>
      <c r="F42" s="177"/>
      <c r="G42" s="204">
        <f>SUM(G40-K20)</f>
        <v>28367</v>
      </c>
      <c r="H42" s="180"/>
      <c r="I42" s="180">
        <v>68983</v>
      </c>
      <c r="J42" s="203"/>
      <c r="K42" s="180"/>
      <c r="L42" s="180"/>
      <c r="M42" s="180"/>
    </row>
    <row r="43" spans="1:13" ht="15.75">
      <c r="A43" s="177" t="s">
        <v>214</v>
      </c>
      <c r="B43" s="177"/>
      <c r="C43" s="177"/>
      <c r="D43" s="177"/>
      <c r="E43" s="177"/>
      <c r="F43" s="177"/>
      <c r="G43" s="204">
        <f>SUM(K19/G38)</f>
        <v>68.47597254004576</v>
      </c>
      <c r="H43" s="180"/>
      <c r="I43" s="180"/>
      <c r="J43" s="180"/>
      <c r="K43" s="180"/>
      <c r="L43" s="180"/>
      <c r="M43" s="180"/>
    </row>
    <row r="44" spans="1:13" ht="15.75">
      <c r="A44" s="189" t="s">
        <v>215</v>
      </c>
      <c r="B44" s="189"/>
      <c r="C44" s="189"/>
      <c r="D44" s="189"/>
      <c r="E44" s="189"/>
      <c r="F44" s="189"/>
      <c r="G44" s="205">
        <f>SUM(K20/G38)</f>
        <v>47.543478260869563</v>
      </c>
      <c r="H44" s="180"/>
      <c r="I44" s="180"/>
      <c r="J44" s="180"/>
      <c r="K44" s="180"/>
      <c r="L44" s="180"/>
      <c r="M44" s="180"/>
    </row>
    <row r="45" spans="1:13" ht="15.75">
      <c r="A45" s="180"/>
      <c r="B45" s="180"/>
      <c r="C45" s="180"/>
      <c r="D45" s="180"/>
      <c r="E45" s="180"/>
      <c r="F45" s="180"/>
      <c r="G45" s="180"/>
      <c r="H45" s="180"/>
      <c r="I45" s="180"/>
      <c r="J45" s="180"/>
      <c r="K45" s="180"/>
      <c r="L45" s="180"/>
      <c r="M45" s="180"/>
    </row>
    <row r="46" spans="1:13" ht="15.75">
      <c r="A46" s="206" t="s">
        <v>216</v>
      </c>
      <c r="B46" s="169"/>
      <c r="C46" s="169"/>
      <c r="D46" s="169"/>
      <c r="E46" s="169"/>
      <c r="F46" s="169"/>
      <c r="G46" s="169"/>
      <c r="H46" s="169"/>
      <c r="I46" s="169"/>
      <c r="J46" s="169"/>
      <c r="K46" s="169"/>
      <c r="L46" s="169"/>
      <c r="M46" s="169"/>
    </row>
    <row r="47" spans="1:13" ht="15.75">
      <c r="A47" s="169" t="s">
        <v>217</v>
      </c>
      <c r="B47" s="169"/>
      <c r="C47" s="169"/>
      <c r="D47" s="169"/>
      <c r="E47" s="169"/>
      <c r="F47" s="169"/>
      <c r="G47" s="169"/>
      <c r="H47" s="169"/>
      <c r="I47" s="169"/>
      <c r="J47" s="169"/>
      <c r="K47" s="169"/>
      <c r="L47" s="169"/>
      <c r="M47" s="169"/>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dimension ref="A1:N43"/>
  <sheetViews>
    <sheetView topLeftCell="B1" workbookViewId="0">
      <selection activeCell="L34" sqref="L34"/>
    </sheetView>
  </sheetViews>
  <sheetFormatPr defaultRowHeight="15"/>
  <cols>
    <col min="1" max="16384" width="9.140625" style="2"/>
  </cols>
  <sheetData>
    <row r="1" spans="1:13">
      <c r="A1" s="4" t="s">
        <v>0</v>
      </c>
      <c r="B1" s="207" t="s">
        <v>218</v>
      </c>
      <c r="C1" s="4"/>
      <c r="D1" s="4"/>
      <c r="E1" s="4"/>
      <c r="F1" s="4"/>
      <c r="G1" s="4"/>
      <c r="H1" s="4"/>
      <c r="I1" s="4"/>
      <c r="J1" s="4"/>
      <c r="K1" s="4"/>
      <c r="L1" s="4"/>
      <c r="M1" s="4"/>
    </row>
    <row r="2" spans="1:13">
      <c r="A2" s="4"/>
      <c r="B2" s="207" t="s">
        <v>219</v>
      </c>
      <c r="C2" s="4"/>
      <c r="D2" s="4"/>
      <c r="E2" s="4"/>
      <c r="F2" s="4"/>
      <c r="G2" s="4"/>
      <c r="H2" s="4"/>
      <c r="I2" s="4"/>
      <c r="J2" s="4"/>
      <c r="K2" s="4"/>
      <c r="L2" s="4"/>
      <c r="M2" s="4"/>
    </row>
    <row r="3" spans="1:13">
      <c r="A3" s="208" t="s">
        <v>220</v>
      </c>
      <c r="B3" s="4" t="s">
        <v>221</v>
      </c>
      <c r="C3" s="4"/>
      <c r="D3" s="4"/>
      <c r="E3" s="4"/>
      <c r="F3" s="4"/>
      <c r="G3" s="4"/>
      <c r="H3" s="4"/>
      <c r="I3" s="4"/>
      <c r="J3" s="4"/>
      <c r="K3" s="4"/>
      <c r="L3" s="4"/>
      <c r="M3" s="4"/>
    </row>
    <row r="4" spans="1:13">
      <c r="A4" s="114" t="s">
        <v>4</v>
      </c>
      <c r="B4" s="114"/>
      <c r="C4" s="114"/>
      <c r="D4" s="209" t="s">
        <v>5</v>
      </c>
      <c r="E4" s="157" t="s">
        <v>6</v>
      </c>
      <c r="F4" s="157" t="s">
        <v>7</v>
      </c>
      <c r="G4" s="157" t="s">
        <v>8</v>
      </c>
      <c r="H4" s="209" t="s">
        <v>9</v>
      </c>
      <c r="I4" s="209" t="s">
        <v>10</v>
      </c>
      <c r="J4" s="209" t="s">
        <v>51</v>
      </c>
      <c r="K4" s="209" t="s">
        <v>12</v>
      </c>
      <c r="L4" s="210" t="s">
        <v>222</v>
      </c>
      <c r="M4" s="157"/>
    </row>
    <row r="5" spans="1:13">
      <c r="A5" s="117"/>
      <c r="B5" s="117"/>
      <c r="C5" s="117"/>
      <c r="D5" s="211" t="s">
        <v>14</v>
      </c>
      <c r="E5" s="212" t="s">
        <v>15</v>
      </c>
      <c r="F5" s="212" t="s">
        <v>15</v>
      </c>
      <c r="G5" s="212" t="s">
        <v>16</v>
      </c>
      <c r="H5" s="211" t="s">
        <v>17</v>
      </c>
      <c r="I5" s="211" t="s">
        <v>17</v>
      </c>
      <c r="J5" s="211" t="s">
        <v>17</v>
      </c>
      <c r="K5" s="211" t="s">
        <v>17</v>
      </c>
      <c r="L5" s="158" t="s">
        <v>10</v>
      </c>
      <c r="M5" s="212" t="s">
        <v>11</v>
      </c>
    </row>
    <row r="6" spans="1:13">
      <c r="A6" s="117"/>
      <c r="B6" s="117"/>
      <c r="C6" s="117"/>
      <c r="D6" s="211" t="s">
        <v>19</v>
      </c>
      <c r="E6" s="212"/>
      <c r="F6" s="212"/>
      <c r="G6" s="212"/>
      <c r="H6" s="211" t="s">
        <v>20</v>
      </c>
      <c r="I6" s="211" t="s">
        <v>20</v>
      </c>
      <c r="J6" s="211" t="s">
        <v>20</v>
      </c>
      <c r="K6" s="211" t="s">
        <v>20</v>
      </c>
      <c r="L6" s="212"/>
      <c r="M6" s="212"/>
    </row>
    <row r="7" spans="1:13">
      <c r="A7" s="121"/>
      <c r="B7" s="121"/>
      <c r="C7" s="121"/>
      <c r="D7" s="213"/>
      <c r="E7" s="213"/>
      <c r="F7" s="213"/>
      <c r="G7" s="213"/>
      <c r="H7" s="213"/>
      <c r="I7" s="213"/>
      <c r="J7" s="213"/>
      <c r="K7" s="213"/>
      <c r="L7" s="213"/>
      <c r="M7" s="213"/>
    </row>
    <row r="8" spans="1:13">
      <c r="A8" s="4" t="s">
        <v>22</v>
      </c>
      <c r="B8" s="4"/>
      <c r="C8" s="4"/>
      <c r="D8" s="214" t="s">
        <v>223</v>
      </c>
      <c r="E8" s="215" t="s">
        <v>224</v>
      </c>
      <c r="F8" s="215" t="s">
        <v>224</v>
      </c>
      <c r="G8" s="216" t="s">
        <v>225</v>
      </c>
      <c r="H8" s="217" t="s">
        <v>226</v>
      </c>
      <c r="I8" s="128"/>
      <c r="J8" s="128"/>
      <c r="K8" s="128"/>
      <c r="L8" s="4"/>
      <c r="M8" s="4"/>
    </row>
    <row r="9" spans="1:13">
      <c r="A9" s="215" t="s">
        <v>227</v>
      </c>
      <c r="B9" s="4"/>
      <c r="C9" s="4"/>
      <c r="D9" s="135">
        <v>100</v>
      </c>
      <c r="E9" s="4">
        <v>0.34</v>
      </c>
      <c r="F9" s="4">
        <v>0.3</v>
      </c>
      <c r="G9" s="218">
        <v>1350</v>
      </c>
      <c r="H9" s="219">
        <f>+E9*G9</f>
        <v>459.00000000000006</v>
      </c>
      <c r="I9" s="128">
        <v>5603</v>
      </c>
      <c r="J9" s="128"/>
      <c r="K9" s="128">
        <f>+H9+I9+J9</f>
        <v>6062</v>
      </c>
      <c r="L9" s="4">
        <v>807</v>
      </c>
      <c r="M9" s="4"/>
    </row>
    <row r="10" spans="1:13">
      <c r="A10" s="4" t="s">
        <v>228</v>
      </c>
      <c r="B10" s="4"/>
      <c r="C10" s="4"/>
      <c r="D10" s="135">
        <v>100</v>
      </c>
      <c r="E10" s="128">
        <v>0.23037037037037036</v>
      </c>
      <c r="F10" s="128">
        <v>0.23</v>
      </c>
      <c r="G10" s="220">
        <v>1350</v>
      </c>
      <c r="H10" s="219">
        <f t="shared" ref="H10" si="0">+E10*G10</f>
        <v>311</v>
      </c>
      <c r="I10" s="4"/>
      <c r="J10" s="221">
        <v>1508</v>
      </c>
      <c r="K10" s="128">
        <f t="shared" ref="K10:K12" si="1">+H10+I10+J10</f>
        <v>1819</v>
      </c>
      <c r="L10" s="4"/>
      <c r="M10" s="4">
        <v>1090</v>
      </c>
    </row>
    <row r="11" spans="1:13">
      <c r="A11" s="4" t="s">
        <v>229</v>
      </c>
      <c r="B11" s="4"/>
      <c r="C11" s="4"/>
      <c r="D11" s="135">
        <v>100</v>
      </c>
      <c r="E11" s="128">
        <v>5.1903959561920807</v>
      </c>
      <c r="F11" s="128">
        <v>2.76</v>
      </c>
      <c r="G11" s="220">
        <v>1080</v>
      </c>
      <c r="H11" s="219">
        <v>5606</v>
      </c>
      <c r="I11" s="4"/>
      <c r="J11" s="221"/>
      <c r="K11" s="128">
        <f t="shared" si="1"/>
        <v>5606</v>
      </c>
      <c r="L11" s="4"/>
      <c r="M11" s="4"/>
    </row>
    <row r="12" spans="1:13">
      <c r="A12" s="4" t="s">
        <v>230</v>
      </c>
      <c r="B12" s="4"/>
      <c r="C12" s="4"/>
      <c r="D12" s="135">
        <v>100</v>
      </c>
      <c r="E12" s="128">
        <v>1.5004269854824936</v>
      </c>
      <c r="F12" s="128">
        <v>1.07</v>
      </c>
      <c r="G12" s="136">
        <v>1150</v>
      </c>
      <c r="H12" s="219">
        <v>1725</v>
      </c>
      <c r="I12" s="4"/>
      <c r="J12" s="128"/>
      <c r="K12" s="128">
        <f t="shared" si="1"/>
        <v>1725</v>
      </c>
      <c r="L12" s="4"/>
      <c r="M12" s="4"/>
    </row>
    <row r="13" spans="1:13">
      <c r="A13" s="114" t="s">
        <v>46</v>
      </c>
      <c r="B13" s="114"/>
      <c r="C13" s="114"/>
      <c r="D13" s="137"/>
      <c r="E13" s="138">
        <v>7.261193312044945</v>
      </c>
      <c r="F13" s="138">
        <v>4.3600000000000003</v>
      </c>
      <c r="G13" s="138"/>
      <c r="H13" s="138">
        <f>SUM(H9:H12)</f>
        <v>8101</v>
      </c>
      <c r="I13" s="138">
        <f t="shared" ref="I13:K13" si="2">SUM(I9:I12)</f>
        <v>5603</v>
      </c>
      <c r="J13" s="138">
        <f t="shared" si="2"/>
        <v>1508</v>
      </c>
      <c r="K13" s="138">
        <f t="shared" si="2"/>
        <v>15212</v>
      </c>
      <c r="L13" s="114">
        <v>807</v>
      </c>
      <c r="M13" s="114">
        <v>1090</v>
      </c>
    </row>
    <row r="14" spans="1:13">
      <c r="A14" s="121" t="s">
        <v>47</v>
      </c>
      <c r="B14" s="121"/>
      <c r="C14" s="121"/>
      <c r="D14" s="139"/>
      <c r="E14" s="140">
        <v>2.9011933120449447</v>
      </c>
      <c r="F14" s="140"/>
      <c r="G14" s="140"/>
      <c r="H14" s="140">
        <f>+G25*E25</f>
        <v>3471</v>
      </c>
      <c r="I14" s="140">
        <f>+I13-L13</f>
        <v>4796</v>
      </c>
      <c r="J14" s="140">
        <f>+J13-M13</f>
        <v>418</v>
      </c>
      <c r="K14" s="140">
        <f>+H14+I14+J14</f>
        <v>8685</v>
      </c>
      <c r="L14" s="121"/>
      <c r="M14" s="121"/>
    </row>
    <row r="15" spans="1:13">
      <c r="A15" s="4"/>
      <c r="B15" s="4"/>
      <c r="C15" s="4"/>
      <c r="D15" s="4"/>
      <c r="E15" s="4"/>
      <c r="F15" s="128"/>
      <c r="G15" s="4"/>
      <c r="H15" s="4"/>
      <c r="I15" s="4"/>
      <c r="J15" s="4"/>
      <c r="K15" s="4"/>
      <c r="L15" s="4"/>
      <c r="M15" s="4"/>
    </row>
    <row r="16" spans="1:13">
      <c r="A16" s="4"/>
      <c r="B16" s="4"/>
      <c r="C16" s="4" t="s">
        <v>103</v>
      </c>
      <c r="D16" s="4"/>
      <c r="E16" s="4"/>
      <c r="F16" s="4"/>
      <c r="G16" s="4"/>
      <c r="H16" s="4"/>
      <c r="I16" s="4"/>
      <c r="J16" s="4"/>
      <c r="K16" s="4"/>
      <c r="L16" s="4"/>
      <c r="M16" s="4"/>
    </row>
    <row r="17" spans="1:14" ht="15.75">
      <c r="A17" s="4"/>
      <c r="B17" s="4"/>
      <c r="C17" s="4"/>
      <c r="D17" s="4"/>
      <c r="E17" s="4"/>
      <c r="F17" s="4"/>
      <c r="G17" s="4"/>
      <c r="H17" s="4"/>
      <c r="I17" s="4"/>
      <c r="J17" s="222" t="s">
        <v>105</v>
      </c>
      <c r="K17" s="223">
        <v>3</v>
      </c>
      <c r="L17" s="4"/>
      <c r="M17" s="4"/>
    </row>
    <row r="18" spans="1:14" ht="15.75">
      <c r="A18" s="4" t="s">
        <v>50</v>
      </c>
      <c r="B18" s="4"/>
      <c r="C18" s="4"/>
      <c r="D18" s="4"/>
      <c r="E18" s="4"/>
      <c r="F18" s="4"/>
      <c r="G18" s="4"/>
      <c r="H18" s="4"/>
      <c r="I18" s="4"/>
      <c r="J18" s="222" t="s">
        <v>58</v>
      </c>
      <c r="K18" s="223">
        <v>3</v>
      </c>
      <c r="L18" s="4"/>
      <c r="M18" s="4"/>
      <c r="N18" s="4"/>
    </row>
    <row r="19" spans="1:14">
      <c r="A19" s="143" t="s">
        <v>51</v>
      </c>
      <c r="B19" s="143"/>
      <c r="C19" s="143"/>
      <c r="D19" s="143" t="s">
        <v>52</v>
      </c>
      <c r="E19" s="143" t="s">
        <v>53</v>
      </c>
      <c r="F19" s="143"/>
      <c r="G19" s="143" t="s">
        <v>54</v>
      </c>
      <c r="H19" s="4"/>
      <c r="I19" s="4"/>
      <c r="J19" s="4"/>
      <c r="K19" s="4"/>
      <c r="L19" s="4"/>
      <c r="M19" s="4"/>
    </row>
    <row r="20" spans="1:14">
      <c r="A20" s="4" t="s">
        <v>55</v>
      </c>
      <c r="B20" s="4"/>
      <c r="C20" s="4"/>
      <c r="D20" s="4"/>
      <c r="E20" s="4"/>
      <c r="F20" s="4"/>
      <c r="G20" s="4"/>
      <c r="H20" s="4"/>
      <c r="I20" s="4"/>
      <c r="J20" s="224" t="s">
        <v>165</v>
      </c>
      <c r="K20" s="224" t="s">
        <v>166</v>
      </c>
      <c r="L20" s="4"/>
      <c r="M20" s="4"/>
    </row>
    <row r="21" spans="1:14" ht="15.75">
      <c r="A21" s="4" t="s">
        <v>228</v>
      </c>
      <c r="B21" s="4"/>
      <c r="C21" s="4"/>
      <c r="D21" s="4" t="s">
        <v>75</v>
      </c>
      <c r="E21" s="128">
        <v>6.5</v>
      </c>
      <c r="F21" s="128"/>
      <c r="G21" s="128">
        <v>232</v>
      </c>
      <c r="H21" s="4"/>
      <c r="I21" s="4"/>
      <c r="J21" s="224" t="s">
        <v>231</v>
      </c>
      <c r="K21" s="225">
        <v>92</v>
      </c>
      <c r="L21" s="226" t="s">
        <v>232</v>
      </c>
      <c r="M21" s="4"/>
    </row>
    <row r="22" spans="1:14">
      <c r="A22" s="4"/>
      <c r="B22" s="4"/>
      <c r="C22" s="4"/>
      <c r="D22" s="4"/>
      <c r="E22" s="4"/>
      <c r="F22" s="4"/>
      <c r="G22" s="4"/>
      <c r="H22" s="4"/>
      <c r="I22" s="4"/>
      <c r="J22" s="224" t="s">
        <v>233</v>
      </c>
      <c r="K22" s="225">
        <v>8</v>
      </c>
      <c r="L22" s="4"/>
      <c r="M22" s="4"/>
    </row>
    <row r="23" spans="1:14">
      <c r="A23" s="4"/>
      <c r="B23" s="4"/>
      <c r="C23" s="4"/>
      <c r="D23" s="4"/>
      <c r="E23" s="4"/>
      <c r="F23" s="4"/>
      <c r="G23" s="4"/>
      <c r="H23" s="4"/>
      <c r="I23" s="4"/>
      <c r="J23" s="4"/>
      <c r="K23" s="4"/>
      <c r="L23" s="4"/>
      <c r="M23" s="4"/>
    </row>
    <row r="24" spans="1:14">
      <c r="A24" s="4" t="s">
        <v>64</v>
      </c>
      <c r="B24" s="4"/>
      <c r="C24" s="4"/>
      <c r="D24" s="4"/>
      <c r="E24" s="4"/>
      <c r="F24" s="4"/>
      <c r="G24" s="4"/>
      <c r="H24" s="4"/>
      <c r="I24" s="4"/>
      <c r="J24" s="4"/>
      <c r="K24" s="4"/>
      <c r="L24" s="4"/>
      <c r="M24" s="4"/>
    </row>
    <row r="25" spans="1:14">
      <c r="A25" s="4" t="s">
        <v>65</v>
      </c>
      <c r="B25" s="4"/>
      <c r="C25" s="4"/>
      <c r="D25" s="4" t="s">
        <v>66</v>
      </c>
      <c r="E25" s="128">
        <v>3</v>
      </c>
      <c r="F25" s="4"/>
      <c r="G25" s="128">
        <v>1157</v>
      </c>
      <c r="H25" s="4"/>
      <c r="I25" s="4"/>
      <c r="J25" s="4"/>
      <c r="K25" s="4"/>
      <c r="L25" s="4"/>
      <c r="M25" s="4"/>
    </row>
    <row r="26" spans="1:14">
      <c r="A26" s="4" t="s">
        <v>68</v>
      </c>
      <c r="B26" s="4"/>
      <c r="C26" s="4"/>
      <c r="D26" s="4" t="s">
        <v>66</v>
      </c>
      <c r="E26" s="128">
        <v>4</v>
      </c>
      <c r="F26" s="4"/>
      <c r="G26" s="4"/>
      <c r="H26" s="4"/>
      <c r="I26" s="4"/>
      <c r="J26" s="4"/>
      <c r="K26" s="4"/>
      <c r="L26" s="4"/>
      <c r="M26" s="4"/>
    </row>
    <row r="27" spans="1:14">
      <c r="A27" s="4" t="s">
        <v>6</v>
      </c>
      <c r="B27" s="4"/>
      <c r="C27" s="4"/>
      <c r="D27" s="4"/>
      <c r="E27" s="128">
        <v>7</v>
      </c>
      <c r="F27" s="4"/>
      <c r="G27" s="4"/>
      <c r="H27" s="4"/>
      <c r="I27" s="4"/>
      <c r="J27" s="4"/>
      <c r="K27" s="4"/>
      <c r="L27" s="4"/>
      <c r="M27" s="4"/>
    </row>
    <row r="28" spans="1:14">
      <c r="A28" s="4"/>
      <c r="B28" s="4"/>
      <c r="C28" s="4"/>
      <c r="D28" s="121"/>
      <c r="E28" s="121"/>
      <c r="F28" s="121"/>
      <c r="G28" s="121"/>
      <c r="H28" s="4"/>
      <c r="I28" s="4"/>
      <c r="J28" s="4"/>
      <c r="L28" s="4"/>
      <c r="M28" s="4"/>
    </row>
    <row r="29" spans="1:14">
      <c r="A29" s="227" t="s">
        <v>77</v>
      </c>
      <c r="B29" s="114"/>
      <c r="C29" s="114"/>
      <c r="D29" s="114"/>
      <c r="E29" s="114"/>
      <c r="F29" s="114"/>
      <c r="G29" s="114"/>
      <c r="H29" s="4"/>
      <c r="I29" s="228" t="s">
        <v>234</v>
      </c>
      <c r="J29" s="4"/>
      <c r="K29" s="4"/>
      <c r="L29" s="4"/>
      <c r="M29" s="4"/>
    </row>
    <row r="30" spans="1:14">
      <c r="A30" s="117" t="s">
        <v>80</v>
      </c>
      <c r="B30" s="117"/>
      <c r="C30" s="117"/>
      <c r="D30" s="117"/>
      <c r="E30" s="117"/>
      <c r="F30" s="117"/>
      <c r="G30" s="166">
        <v>123</v>
      </c>
      <c r="H30" s="4"/>
      <c r="I30" s="128">
        <v>304</v>
      </c>
      <c r="J30" s="4"/>
      <c r="K30" s="4"/>
      <c r="L30" s="4"/>
      <c r="M30" s="4"/>
    </row>
    <row r="31" spans="1:14">
      <c r="A31" s="117" t="s">
        <v>81</v>
      </c>
      <c r="B31" s="117"/>
      <c r="C31" s="117"/>
      <c r="D31" s="117"/>
      <c r="E31" s="117"/>
      <c r="F31" s="117"/>
      <c r="G31" s="167">
        <v>156</v>
      </c>
      <c r="H31" s="4"/>
      <c r="I31" s="128"/>
      <c r="J31" s="4"/>
      <c r="K31" s="4"/>
      <c r="L31" s="4"/>
      <c r="M31" s="4"/>
    </row>
    <row r="32" spans="1:14">
      <c r="A32" s="117" t="s">
        <v>82</v>
      </c>
      <c r="B32" s="117"/>
      <c r="C32" s="117"/>
      <c r="D32" s="117"/>
      <c r="E32" s="117"/>
      <c r="F32" s="117"/>
      <c r="G32" s="167">
        <v>19188</v>
      </c>
      <c r="H32" s="4"/>
      <c r="I32" s="128">
        <v>47414</v>
      </c>
      <c r="J32" s="129">
        <f>+G32*2.471</f>
        <v>47413.548000000003</v>
      </c>
      <c r="K32" s="4"/>
      <c r="L32" s="4"/>
      <c r="M32" s="4"/>
    </row>
    <row r="33" spans="1:13">
      <c r="A33" s="117" t="s">
        <v>83</v>
      </c>
      <c r="B33" s="117"/>
      <c r="C33" s="117"/>
      <c r="D33" s="117"/>
      <c r="E33" s="117"/>
      <c r="F33" s="117"/>
      <c r="G33" s="167">
        <v>3976</v>
      </c>
      <c r="H33" s="128"/>
      <c r="I33" s="128">
        <v>9825</v>
      </c>
      <c r="J33" s="129">
        <f t="shared" ref="J33:J34" si="3">+G33*2.471</f>
        <v>9824.6959999999999</v>
      </c>
      <c r="K33" s="4"/>
      <c r="L33" s="4"/>
      <c r="M33" s="4"/>
    </row>
    <row r="34" spans="1:13">
      <c r="A34" s="117" t="s">
        <v>84</v>
      </c>
      <c r="B34" s="117"/>
      <c r="C34" s="117"/>
      <c r="D34" s="117"/>
      <c r="E34" s="117"/>
      <c r="F34" s="117"/>
      <c r="G34" s="167">
        <v>10503</v>
      </c>
      <c r="H34" s="128"/>
      <c r="I34" s="128">
        <v>25953</v>
      </c>
      <c r="J34" s="129">
        <f t="shared" si="3"/>
        <v>25952.913</v>
      </c>
      <c r="K34" s="4"/>
      <c r="L34" s="4"/>
      <c r="M34" s="4"/>
    </row>
    <row r="35" spans="1:13">
      <c r="A35" s="117"/>
      <c r="B35" s="117"/>
      <c r="C35" s="117"/>
      <c r="D35" s="117"/>
      <c r="E35" s="117"/>
      <c r="F35" s="117"/>
      <c r="G35" s="167"/>
      <c r="H35" s="4"/>
      <c r="I35" s="4"/>
      <c r="J35" s="4"/>
      <c r="K35" s="4"/>
      <c r="L35" s="4"/>
      <c r="M35" s="4"/>
    </row>
    <row r="36" spans="1:13">
      <c r="A36" s="117" t="s">
        <v>85</v>
      </c>
      <c r="B36" s="117"/>
      <c r="C36" s="117"/>
      <c r="D36" s="117"/>
      <c r="E36" s="117"/>
      <c r="F36" s="117"/>
      <c r="G36" s="167">
        <v>123.67</v>
      </c>
      <c r="H36" s="128"/>
      <c r="I36" s="4"/>
      <c r="J36" s="4"/>
      <c r="K36" s="4"/>
      <c r="L36" s="4"/>
      <c r="M36" s="4"/>
    </row>
    <row r="37" spans="1:13">
      <c r="A37" s="121" t="s">
        <v>86</v>
      </c>
      <c r="B37" s="121"/>
      <c r="C37" s="121"/>
      <c r="D37" s="121"/>
      <c r="E37" s="121"/>
      <c r="F37" s="121"/>
      <c r="G37" s="168">
        <v>70.61</v>
      </c>
      <c r="H37" s="128"/>
      <c r="I37" s="4"/>
      <c r="J37" s="4"/>
      <c r="K37" s="4"/>
      <c r="L37" s="4"/>
      <c r="M37" s="4"/>
    </row>
    <row r="38" spans="1:13">
      <c r="A38" s="229" t="s">
        <v>235</v>
      </c>
      <c r="B38" s="4"/>
      <c r="C38" s="4"/>
      <c r="D38" s="4"/>
      <c r="E38" s="4"/>
      <c r="F38" s="4"/>
      <c r="G38" s="4"/>
      <c r="H38" s="4"/>
      <c r="I38" s="4"/>
      <c r="J38" s="4"/>
      <c r="K38" s="4"/>
      <c r="L38" s="4"/>
      <c r="M38" s="4"/>
    </row>
    <row r="39" spans="1:13">
      <c r="A39" s="230" t="s">
        <v>236</v>
      </c>
      <c r="B39" s="4"/>
      <c r="C39" s="4"/>
      <c r="D39" s="4"/>
      <c r="E39" s="4"/>
      <c r="F39" s="4"/>
      <c r="G39" s="4"/>
      <c r="H39" s="4"/>
      <c r="I39" s="4"/>
      <c r="J39" s="4"/>
      <c r="K39" s="4"/>
      <c r="L39" s="4"/>
      <c r="M39" s="4"/>
    </row>
    <row r="40" spans="1:13">
      <c r="A40" s="4" t="s">
        <v>237</v>
      </c>
      <c r="B40" s="4"/>
      <c r="C40" s="4"/>
      <c r="D40" s="4"/>
      <c r="E40" s="4"/>
      <c r="F40" s="4"/>
      <c r="G40" s="4"/>
      <c r="H40" s="4"/>
      <c r="I40" s="4"/>
      <c r="J40" s="4"/>
      <c r="K40" s="4"/>
      <c r="L40" s="4"/>
      <c r="M40" s="4"/>
    </row>
    <row r="41" spans="1:13">
      <c r="A41" s="4" t="s">
        <v>238</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c r="A43" s="4"/>
      <c r="B43" s="4"/>
      <c r="C43" s="4"/>
      <c r="D43" s="4"/>
      <c r="E43" s="4"/>
      <c r="F43" s="4"/>
      <c r="G43" s="4"/>
      <c r="H43" s="4"/>
      <c r="I43" s="4"/>
      <c r="J43" s="4"/>
      <c r="K43" s="4"/>
      <c r="L43" s="4"/>
      <c r="M43" s="4"/>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dimension ref="A1:M53"/>
  <sheetViews>
    <sheetView workbookViewId="0">
      <selection sqref="A1:XFD1048576"/>
    </sheetView>
  </sheetViews>
  <sheetFormatPr defaultRowHeight="15"/>
  <cols>
    <col min="1" max="16384" width="9.140625" style="2"/>
  </cols>
  <sheetData>
    <row r="1" spans="1:13">
      <c r="A1" s="231" t="s">
        <v>0</v>
      </c>
      <c r="B1" s="231" t="s">
        <v>239</v>
      </c>
      <c r="C1" s="231"/>
      <c r="D1" s="231"/>
      <c r="E1" s="231"/>
      <c r="F1" s="231"/>
      <c r="G1" s="231"/>
      <c r="H1" s="231"/>
      <c r="I1" s="231"/>
      <c r="J1" s="231"/>
      <c r="K1" s="231"/>
      <c r="L1" s="231"/>
      <c r="M1" s="231"/>
    </row>
    <row r="2" spans="1:13">
      <c r="A2" s="231"/>
      <c r="B2" s="231" t="s">
        <v>240</v>
      </c>
      <c r="C2" s="231"/>
      <c r="D2" s="231"/>
      <c r="E2" s="231"/>
      <c r="F2" s="231"/>
      <c r="G2" s="231"/>
      <c r="H2" s="231"/>
      <c r="I2" s="231"/>
      <c r="J2" s="231"/>
      <c r="K2" s="231"/>
      <c r="L2" s="231"/>
      <c r="M2" s="231"/>
    </row>
    <row r="3" spans="1:13">
      <c r="A3" s="232" t="s">
        <v>4</v>
      </c>
      <c r="B3" s="232"/>
      <c r="C3" s="232"/>
      <c r="D3" s="233" t="s">
        <v>5</v>
      </c>
      <c r="E3" s="233" t="s">
        <v>6</v>
      </c>
      <c r="F3" s="233" t="s">
        <v>7</v>
      </c>
      <c r="G3" s="233" t="s">
        <v>8</v>
      </c>
      <c r="H3" s="233" t="s">
        <v>9</v>
      </c>
      <c r="I3" s="233" t="s">
        <v>10</v>
      </c>
      <c r="J3" s="233" t="s">
        <v>11</v>
      </c>
      <c r="K3" s="233" t="s">
        <v>12</v>
      </c>
      <c r="L3" s="234" t="s">
        <v>13</v>
      </c>
      <c r="M3" s="233"/>
    </row>
    <row r="4" spans="1:13">
      <c r="A4" s="235"/>
      <c r="B4" s="235"/>
      <c r="C4" s="235"/>
      <c r="D4" s="236" t="s">
        <v>14</v>
      </c>
      <c r="E4" s="236" t="s">
        <v>15</v>
      </c>
      <c r="F4" s="236" t="s">
        <v>15</v>
      </c>
      <c r="G4" s="236" t="s">
        <v>16</v>
      </c>
      <c r="H4" s="236" t="s">
        <v>17</v>
      </c>
      <c r="I4" s="236" t="s">
        <v>18</v>
      </c>
      <c r="J4" s="236" t="s">
        <v>17</v>
      </c>
      <c r="K4" s="236" t="s">
        <v>17</v>
      </c>
      <c r="L4" s="236" t="s">
        <v>10</v>
      </c>
      <c r="M4" s="236" t="s">
        <v>11</v>
      </c>
    </row>
    <row r="5" spans="1:13">
      <c r="A5" s="235"/>
      <c r="B5" s="235"/>
      <c r="C5" s="235"/>
      <c r="D5" s="236" t="s">
        <v>19</v>
      </c>
      <c r="E5" s="236"/>
      <c r="F5" s="236"/>
      <c r="G5" s="236"/>
      <c r="H5" s="236" t="s">
        <v>20</v>
      </c>
      <c r="I5" s="236" t="s">
        <v>17</v>
      </c>
      <c r="J5" s="236" t="s">
        <v>20</v>
      </c>
      <c r="K5" s="236" t="s">
        <v>20</v>
      </c>
      <c r="L5" s="236"/>
      <c r="M5" s="236"/>
    </row>
    <row r="6" spans="1:13">
      <c r="A6" s="237"/>
      <c r="B6" s="237"/>
      <c r="C6" s="237"/>
      <c r="D6" s="238"/>
      <c r="E6" s="238"/>
      <c r="F6" s="238"/>
      <c r="G6" s="238"/>
      <c r="H6" s="238"/>
      <c r="I6" s="238" t="s">
        <v>20</v>
      </c>
      <c r="J6" s="238"/>
      <c r="K6" s="238"/>
      <c r="L6" s="238"/>
      <c r="M6" s="238"/>
    </row>
    <row r="7" spans="1:13">
      <c r="A7" s="231" t="s">
        <v>22</v>
      </c>
      <c r="B7" s="231"/>
      <c r="C7" s="231"/>
      <c r="D7" s="239">
        <v>50</v>
      </c>
      <c r="E7" s="240">
        <v>1.71</v>
      </c>
      <c r="F7" s="240">
        <v>0.52</v>
      </c>
      <c r="G7" s="241">
        <v>1268</v>
      </c>
      <c r="H7" s="240">
        <v>2168</v>
      </c>
      <c r="I7" s="231"/>
      <c r="J7" s="240"/>
      <c r="K7" s="240">
        <v>2168</v>
      </c>
      <c r="L7" s="231"/>
      <c r="M7" s="231"/>
    </row>
    <row r="8" spans="1:13">
      <c r="A8" s="231" t="s">
        <v>241</v>
      </c>
      <c r="B8" s="231"/>
      <c r="C8" s="231"/>
      <c r="D8" s="239">
        <v>80</v>
      </c>
      <c r="E8" s="240">
        <v>0.96</v>
      </c>
      <c r="F8" s="240">
        <v>0.96</v>
      </c>
      <c r="G8" s="241">
        <v>1200</v>
      </c>
      <c r="H8" s="240">
        <v>1152</v>
      </c>
      <c r="I8" s="240">
        <v>8253</v>
      </c>
      <c r="J8" s="240"/>
      <c r="K8" s="240">
        <v>9405</v>
      </c>
      <c r="L8" s="240">
        <v>232</v>
      </c>
      <c r="M8" s="240"/>
    </row>
    <row r="9" spans="1:13">
      <c r="A9" s="231" t="s">
        <v>242</v>
      </c>
      <c r="B9" s="231"/>
      <c r="C9" s="231"/>
      <c r="D9" s="242" t="s">
        <v>243</v>
      </c>
      <c r="E9" s="243"/>
      <c r="F9" s="243"/>
      <c r="G9" s="244"/>
      <c r="H9" s="240">
        <v>0</v>
      </c>
      <c r="I9" s="240" t="s">
        <v>244</v>
      </c>
      <c r="J9" s="240"/>
      <c r="K9" s="240"/>
      <c r="L9" s="240"/>
      <c r="M9" s="240"/>
    </row>
    <row r="10" spans="1:13">
      <c r="A10" s="231" t="s">
        <v>245</v>
      </c>
      <c r="B10" s="231"/>
      <c r="C10" s="231"/>
      <c r="D10" s="245">
        <v>100</v>
      </c>
      <c r="E10" s="240">
        <v>6.69</v>
      </c>
      <c r="F10" s="240">
        <v>2.7</v>
      </c>
      <c r="G10" s="241">
        <v>1207</v>
      </c>
      <c r="H10" s="240">
        <v>8075</v>
      </c>
      <c r="I10" s="240"/>
      <c r="J10" s="240"/>
      <c r="K10" s="240">
        <v>8075</v>
      </c>
      <c r="L10" s="240"/>
      <c r="M10" s="240"/>
    </row>
    <row r="11" spans="1:13">
      <c r="A11" s="231" t="s">
        <v>33</v>
      </c>
      <c r="B11" s="231"/>
      <c r="C11" s="231"/>
      <c r="D11" s="239">
        <v>100</v>
      </c>
      <c r="E11" s="240">
        <v>3.86</v>
      </c>
      <c r="F11" s="240">
        <v>1.58</v>
      </c>
      <c r="G11" s="241">
        <v>1175</v>
      </c>
      <c r="H11" s="240">
        <v>4536</v>
      </c>
      <c r="I11" s="240"/>
      <c r="J11" s="240">
        <v>20466</v>
      </c>
      <c r="K11" s="240">
        <v>25002</v>
      </c>
      <c r="L11" s="240"/>
      <c r="M11" s="240"/>
    </row>
    <row r="12" spans="1:13">
      <c r="A12" s="231" t="s">
        <v>246</v>
      </c>
      <c r="B12" s="231"/>
      <c r="C12" s="231"/>
      <c r="D12" s="239">
        <v>90</v>
      </c>
      <c r="E12" s="240">
        <v>8.27</v>
      </c>
      <c r="F12" s="240">
        <v>2.1800000000000002</v>
      </c>
      <c r="G12" s="241">
        <v>1130</v>
      </c>
      <c r="H12" s="240">
        <v>9345</v>
      </c>
      <c r="I12" s="240"/>
      <c r="J12" s="240"/>
      <c r="K12" s="240">
        <v>9345</v>
      </c>
      <c r="L12" s="240"/>
      <c r="M12" s="240"/>
    </row>
    <row r="13" spans="1:13">
      <c r="A13" s="231" t="s">
        <v>247</v>
      </c>
      <c r="B13" s="231"/>
      <c r="C13" s="231"/>
      <c r="D13" s="242" t="s">
        <v>248</v>
      </c>
      <c r="E13" s="243" t="s">
        <v>249</v>
      </c>
      <c r="F13" s="243" t="s">
        <v>250</v>
      </c>
      <c r="G13" s="244" t="s">
        <v>251</v>
      </c>
      <c r="H13" s="240" t="s">
        <v>252</v>
      </c>
      <c r="I13" s="246"/>
      <c r="J13" s="240"/>
      <c r="K13" s="240"/>
      <c r="L13" s="240"/>
      <c r="M13" s="240"/>
    </row>
    <row r="14" spans="1:13">
      <c r="A14" s="232" t="s">
        <v>46</v>
      </c>
      <c r="B14" s="232"/>
      <c r="C14" s="232"/>
      <c r="D14" s="247"/>
      <c r="E14" s="248">
        <v>21.49</v>
      </c>
      <c r="F14" s="248">
        <v>7.9399999999999995</v>
      </c>
      <c r="G14" s="248"/>
      <c r="H14" s="248">
        <v>25276</v>
      </c>
      <c r="I14" s="248">
        <v>8253</v>
      </c>
      <c r="J14" s="248">
        <v>20466</v>
      </c>
      <c r="K14" s="248">
        <v>53995</v>
      </c>
      <c r="L14" s="248">
        <v>232</v>
      </c>
      <c r="M14" s="248">
        <v>0</v>
      </c>
    </row>
    <row r="15" spans="1:13">
      <c r="A15" s="237" t="s">
        <v>47</v>
      </c>
      <c r="B15" s="237"/>
      <c r="C15" s="237"/>
      <c r="D15" s="249"/>
      <c r="E15" s="250">
        <v>13.549999999999999</v>
      </c>
      <c r="F15" s="250"/>
      <c r="G15" s="250"/>
      <c r="H15" s="250">
        <v>16086</v>
      </c>
      <c r="I15" s="250">
        <v>8021</v>
      </c>
      <c r="J15" s="250">
        <v>20466</v>
      </c>
      <c r="K15" s="250">
        <v>44573</v>
      </c>
      <c r="L15" s="237"/>
      <c r="M15" s="237"/>
    </row>
    <row r="16" spans="1:13">
      <c r="A16" s="231" t="s">
        <v>253</v>
      </c>
      <c r="B16" s="231"/>
      <c r="C16" s="231"/>
      <c r="D16" s="231"/>
      <c r="E16" s="231"/>
      <c r="F16" s="231"/>
      <c r="G16" s="231"/>
      <c r="H16" s="231"/>
      <c r="I16" s="231"/>
      <c r="J16" s="231"/>
      <c r="K16" s="231"/>
      <c r="L16" s="231"/>
      <c r="M16" s="231"/>
    </row>
    <row r="17" spans="1:13">
      <c r="A17" s="231"/>
      <c r="B17" s="231"/>
      <c r="C17" s="231" t="s">
        <v>103</v>
      </c>
      <c r="D17" s="231"/>
      <c r="E17" s="231"/>
      <c r="F17" s="231"/>
      <c r="G17" s="231"/>
      <c r="H17" s="231"/>
      <c r="I17" s="231"/>
      <c r="J17" s="231"/>
      <c r="K17" s="240"/>
      <c r="L17" s="231"/>
      <c r="M17" s="231"/>
    </row>
    <row r="18" spans="1:13">
      <c r="A18" s="231"/>
      <c r="B18" s="231"/>
      <c r="C18" s="231"/>
      <c r="D18" s="231"/>
      <c r="E18" s="231"/>
      <c r="F18" s="231"/>
      <c r="G18" s="231"/>
      <c r="H18" s="231"/>
      <c r="I18" s="231"/>
      <c r="J18" s="231"/>
      <c r="K18" s="231"/>
      <c r="L18" s="231"/>
      <c r="M18" s="231"/>
    </row>
    <row r="19" spans="1:13">
      <c r="A19" s="231" t="s">
        <v>50</v>
      </c>
      <c r="B19" s="231"/>
      <c r="C19" s="231"/>
      <c r="D19" s="231"/>
      <c r="E19" s="231"/>
      <c r="F19" s="231"/>
      <c r="G19" s="231"/>
      <c r="H19" s="231"/>
      <c r="I19" s="231"/>
      <c r="J19" s="231"/>
      <c r="K19" s="240"/>
      <c r="L19" s="231"/>
      <c r="M19" s="231"/>
    </row>
    <row r="20" spans="1:13">
      <c r="A20" s="251" t="s">
        <v>51</v>
      </c>
      <c r="B20" s="251"/>
      <c r="C20" s="251"/>
      <c r="D20" s="251" t="s">
        <v>52</v>
      </c>
      <c r="E20" s="251" t="s">
        <v>53</v>
      </c>
      <c r="F20" s="251"/>
      <c r="G20" s="251" t="s">
        <v>54</v>
      </c>
      <c r="H20" s="231"/>
      <c r="I20" s="231"/>
      <c r="J20" s="231"/>
      <c r="K20" s="231"/>
      <c r="L20" s="231"/>
      <c r="M20" s="231"/>
    </row>
    <row r="21" spans="1:13">
      <c r="A21" s="231" t="s">
        <v>254</v>
      </c>
      <c r="B21" s="231"/>
      <c r="C21" s="231"/>
      <c r="D21" s="231"/>
      <c r="E21" s="231"/>
      <c r="F21" s="231"/>
      <c r="G21" s="231"/>
      <c r="H21" s="231"/>
      <c r="I21" s="231"/>
      <c r="J21" s="231"/>
      <c r="K21" s="231"/>
      <c r="L21" s="231"/>
      <c r="M21" s="231"/>
    </row>
    <row r="22" spans="1:13">
      <c r="A22" s="231" t="s">
        <v>255</v>
      </c>
      <c r="B22" s="231"/>
      <c r="C22" s="231"/>
      <c r="D22" s="231" t="s">
        <v>256</v>
      </c>
      <c r="E22" s="240">
        <v>4046</v>
      </c>
      <c r="F22" s="231"/>
      <c r="G22" s="252" t="s">
        <v>257</v>
      </c>
      <c r="H22" s="231"/>
      <c r="I22" s="231"/>
      <c r="J22" s="231"/>
      <c r="K22" s="231"/>
      <c r="L22" s="231"/>
      <c r="M22" s="231"/>
    </row>
    <row r="23" spans="1:13">
      <c r="A23" s="231"/>
      <c r="B23" s="231"/>
      <c r="C23" s="231"/>
      <c r="D23" s="231"/>
      <c r="E23" s="231"/>
      <c r="F23" s="231"/>
      <c r="G23" s="231"/>
      <c r="H23" s="231"/>
      <c r="I23" s="231"/>
      <c r="J23" s="231"/>
      <c r="K23" s="231"/>
      <c r="L23" s="231"/>
      <c r="M23" s="231"/>
    </row>
    <row r="24" spans="1:13">
      <c r="A24" s="231"/>
      <c r="B24" s="231"/>
      <c r="C24" s="231"/>
      <c r="D24" s="231"/>
      <c r="E24" s="231"/>
      <c r="F24" s="231"/>
      <c r="G24" s="231"/>
      <c r="H24" s="231"/>
      <c r="I24" s="231"/>
      <c r="J24" s="231"/>
      <c r="K24" s="231"/>
      <c r="L24" s="231"/>
      <c r="M24" s="231"/>
    </row>
    <row r="25" spans="1:13">
      <c r="A25" s="231" t="s">
        <v>64</v>
      </c>
      <c r="B25" s="231"/>
      <c r="C25" s="231"/>
      <c r="D25" s="231"/>
      <c r="E25" s="231"/>
      <c r="F25" s="231"/>
      <c r="G25" s="231"/>
      <c r="H25" s="231"/>
      <c r="I25" s="231"/>
      <c r="J25" s="231"/>
      <c r="K25" s="231"/>
      <c r="L25" s="231"/>
      <c r="M25" s="231"/>
    </row>
    <row r="26" spans="1:13">
      <c r="A26" s="231" t="s">
        <v>65</v>
      </c>
      <c r="B26" s="231"/>
      <c r="C26" s="231"/>
      <c r="D26" s="231" t="s">
        <v>66</v>
      </c>
      <c r="E26" s="240">
        <v>14</v>
      </c>
      <c r="F26" s="231"/>
      <c r="G26" s="240">
        <v>1149</v>
      </c>
      <c r="H26" s="231"/>
      <c r="I26" s="235"/>
      <c r="J26" s="253" t="s">
        <v>143</v>
      </c>
      <c r="K26" s="253" t="s">
        <v>196</v>
      </c>
      <c r="L26" s="231"/>
      <c r="M26" s="231"/>
    </row>
    <row r="27" spans="1:13">
      <c r="A27" s="231" t="s">
        <v>68</v>
      </c>
      <c r="B27" s="231"/>
      <c r="C27" s="231"/>
      <c r="D27" s="231" t="s">
        <v>66</v>
      </c>
      <c r="E27" s="240">
        <v>8</v>
      </c>
      <c r="F27" s="231"/>
      <c r="G27" s="231"/>
      <c r="H27" s="231"/>
      <c r="I27" s="235"/>
      <c r="J27" s="254" t="s">
        <v>258</v>
      </c>
      <c r="K27" s="255">
        <v>96.666666666666671</v>
      </c>
      <c r="L27" s="231"/>
      <c r="M27" s="231"/>
    </row>
    <row r="28" spans="1:13">
      <c r="A28" s="231" t="s">
        <v>6</v>
      </c>
      <c r="B28" s="231"/>
      <c r="C28" s="231"/>
      <c r="D28" s="231"/>
      <c r="E28" s="240">
        <v>22</v>
      </c>
      <c r="F28" s="231"/>
      <c r="G28" s="231"/>
      <c r="H28" s="231"/>
      <c r="I28" s="235"/>
      <c r="J28" s="254" t="s">
        <v>259</v>
      </c>
      <c r="K28" s="256">
        <v>3.3333333333333335</v>
      </c>
      <c r="L28" s="231"/>
      <c r="M28" s="231"/>
    </row>
    <row r="29" spans="1:13">
      <c r="A29" s="231"/>
      <c r="B29" s="231"/>
      <c r="C29" s="231"/>
      <c r="D29" s="231"/>
      <c r="E29" s="231"/>
      <c r="F29" s="231"/>
      <c r="G29" s="231"/>
      <c r="H29" s="231"/>
      <c r="I29" s="235"/>
      <c r="J29" s="257"/>
      <c r="K29" s="235"/>
      <c r="L29" s="231"/>
      <c r="M29" s="231"/>
    </row>
    <row r="30" spans="1:13">
      <c r="A30" s="232" t="s">
        <v>107</v>
      </c>
      <c r="B30" s="232"/>
      <c r="C30" s="232" t="s">
        <v>73</v>
      </c>
      <c r="D30" s="232"/>
      <c r="E30" s="232"/>
      <c r="F30" s="232"/>
      <c r="G30" s="232"/>
      <c r="H30" s="231"/>
      <c r="I30" s="235"/>
      <c r="J30" s="258"/>
      <c r="K30" s="235"/>
      <c r="L30" s="231"/>
      <c r="M30" s="231"/>
    </row>
    <row r="31" spans="1:13">
      <c r="A31" s="235"/>
      <c r="B31" s="235" t="s">
        <v>260</v>
      </c>
      <c r="C31" s="259">
        <v>80</v>
      </c>
      <c r="D31" s="235" t="s">
        <v>75</v>
      </c>
      <c r="E31" s="260">
        <v>379</v>
      </c>
      <c r="F31" s="260"/>
      <c r="G31" s="260">
        <v>54</v>
      </c>
      <c r="H31" s="231"/>
      <c r="I31" s="235"/>
      <c r="J31" s="261" t="s">
        <v>261</v>
      </c>
      <c r="K31" s="262">
        <v>1.24</v>
      </c>
      <c r="L31" s="231"/>
      <c r="M31" s="231"/>
    </row>
    <row r="32" spans="1:13">
      <c r="A32" s="235"/>
      <c r="B32" s="235" t="s">
        <v>262</v>
      </c>
      <c r="C32" s="259" t="s">
        <v>263</v>
      </c>
      <c r="D32" s="235" t="s">
        <v>75</v>
      </c>
      <c r="E32" s="263" t="s">
        <v>264</v>
      </c>
      <c r="F32" s="260"/>
      <c r="G32" s="263" t="s">
        <v>265</v>
      </c>
      <c r="H32" s="231"/>
      <c r="I32" s="235"/>
      <c r="J32" s="264" t="s">
        <v>266</v>
      </c>
      <c r="K32" s="265">
        <v>1</v>
      </c>
      <c r="L32" s="231"/>
      <c r="M32" s="231"/>
    </row>
    <row r="33" spans="1:13">
      <c r="A33" s="235"/>
      <c r="B33" s="235" t="s">
        <v>200</v>
      </c>
      <c r="C33" s="259" t="s">
        <v>92</v>
      </c>
      <c r="D33" s="235" t="s">
        <v>75</v>
      </c>
      <c r="E33" s="260" t="s">
        <v>267</v>
      </c>
      <c r="F33" s="260"/>
      <c r="G33" s="260" t="s">
        <v>268</v>
      </c>
      <c r="H33" s="231"/>
      <c r="I33" s="235"/>
      <c r="J33" s="231"/>
      <c r="K33" s="231"/>
      <c r="L33" s="231"/>
      <c r="M33" s="231"/>
    </row>
    <row r="34" spans="1:13">
      <c r="A34" s="235"/>
      <c r="B34" s="235" t="s">
        <v>201</v>
      </c>
      <c r="C34" s="259" t="s">
        <v>269</v>
      </c>
      <c r="D34" s="235" t="s">
        <v>75</v>
      </c>
      <c r="E34" s="260" t="s">
        <v>270</v>
      </c>
      <c r="F34" s="260"/>
      <c r="G34" s="260" t="s">
        <v>265</v>
      </c>
      <c r="H34" s="231"/>
      <c r="I34" s="235"/>
      <c r="J34" s="235"/>
      <c r="K34" s="231"/>
      <c r="L34" s="231"/>
      <c r="M34" s="231"/>
    </row>
    <row r="35" spans="1:13">
      <c r="A35" s="232" t="s">
        <v>77</v>
      </c>
      <c r="B35" s="232"/>
      <c r="C35" s="232"/>
      <c r="D35" s="232"/>
      <c r="E35" s="232"/>
      <c r="F35" s="232"/>
      <c r="G35" s="232"/>
      <c r="H35" s="231"/>
      <c r="I35" s="231" t="s">
        <v>208</v>
      </c>
      <c r="J35" s="231"/>
      <c r="K35" s="231"/>
      <c r="L35" s="231"/>
      <c r="M35" s="231"/>
    </row>
    <row r="36" spans="1:13">
      <c r="A36" s="235" t="s">
        <v>271</v>
      </c>
      <c r="B36" s="235"/>
      <c r="C36" s="235"/>
      <c r="D36" s="235"/>
      <c r="E36" s="235"/>
      <c r="F36" s="235"/>
      <c r="G36" s="266">
        <v>5309</v>
      </c>
      <c r="H36" s="267"/>
      <c r="I36" s="240">
        <v>13119</v>
      </c>
      <c r="J36" s="231"/>
      <c r="K36" s="231"/>
      <c r="L36" s="231"/>
      <c r="M36" s="231"/>
    </row>
    <row r="37" spans="1:13">
      <c r="A37" s="235" t="s">
        <v>81</v>
      </c>
      <c r="B37" s="235"/>
      <c r="C37" s="235"/>
      <c r="D37" s="235"/>
      <c r="E37" s="235"/>
      <c r="F37" s="235"/>
      <c r="G37" s="268">
        <v>42</v>
      </c>
      <c r="H37" s="231"/>
      <c r="I37" s="240"/>
      <c r="J37" s="231"/>
      <c r="K37" s="231"/>
      <c r="L37" s="231"/>
      <c r="M37" s="231"/>
    </row>
    <row r="38" spans="1:13">
      <c r="A38" s="235" t="s">
        <v>272</v>
      </c>
      <c r="B38" s="235"/>
      <c r="C38" s="235"/>
      <c r="D38" s="235"/>
      <c r="E38" s="235"/>
      <c r="F38" s="235"/>
      <c r="G38" s="268">
        <v>222978</v>
      </c>
      <c r="H38" s="231"/>
      <c r="I38" s="240">
        <v>550979</v>
      </c>
      <c r="J38" s="231"/>
      <c r="K38" s="231"/>
      <c r="L38" s="231"/>
      <c r="M38" s="231"/>
    </row>
    <row r="39" spans="1:13">
      <c r="A39" s="235" t="s">
        <v>273</v>
      </c>
      <c r="B39" s="235"/>
      <c r="C39" s="235"/>
      <c r="D39" s="235"/>
      <c r="E39" s="235"/>
      <c r="F39" s="235"/>
      <c r="G39" s="268">
        <v>168983</v>
      </c>
      <c r="H39" s="231"/>
      <c r="I39" s="240">
        <v>417557</v>
      </c>
      <c r="J39" s="231"/>
      <c r="K39" s="231"/>
      <c r="L39" s="231"/>
      <c r="M39" s="231"/>
    </row>
    <row r="40" spans="1:13">
      <c r="A40" s="235" t="s">
        <v>274</v>
      </c>
      <c r="B40" s="235"/>
      <c r="C40" s="235"/>
      <c r="D40" s="235"/>
      <c r="E40" s="235"/>
      <c r="F40" s="235"/>
      <c r="G40" s="268">
        <v>178405</v>
      </c>
      <c r="H40" s="231"/>
      <c r="I40" s="240">
        <v>440839</v>
      </c>
      <c r="J40" s="231"/>
      <c r="K40" s="231"/>
      <c r="L40" s="231"/>
      <c r="M40" s="231"/>
    </row>
    <row r="41" spans="1:13">
      <c r="A41" s="235" t="s">
        <v>85</v>
      </c>
      <c r="B41" s="235"/>
      <c r="C41" s="235"/>
      <c r="D41" s="235"/>
      <c r="E41" s="235"/>
      <c r="F41" s="235"/>
      <c r="G41" s="268">
        <v>10.170465247692597</v>
      </c>
      <c r="H41" s="231"/>
      <c r="I41" s="231"/>
      <c r="J41" s="231"/>
      <c r="K41" s="231"/>
      <c r="L41" s="231"/>
      <c r="M41" s="231"/>
    </row>
    <row r="42" spans="1:13">
      <c r="A42" s="237" t="s">
        <v>86</v>
      </c>
      <c r="B42" s="237"/>
      <c r="C42" s="237"/>
      <c r="D42" s="237"/>
      <c r="E42" s="237"/>
      <c r="F42" s="237"/>
      <c r="G42" s="269">
        <v>8.395743077792428</v>
      </c>
      <c r="H42" s="231"/>
      <c r="I42" s="231"/>
      <c r="J42" s="231"/>
      <c r="K42" s="231"/>
      <c r="L42" s="231"/>
      <c r="M42" s="231"/>
    </row>
    <row r="43" spans="1:13">
      <c r="A43" s="231"/>
      <c r="B43" s="231"/>
      <c r="C43" s="231"/>
      <c r="D43" s="231"/>
      <c r="E43" s="231"/>
      <c r="F43" s="231"/>
      <c r="G43" s="231"/>
      <c r="H43" s="231"/>
      <c r="I43" s="231"/>
      <c r="J43" s="231"/>
      <c r="K43" s="231"/>
      <c r="L43" s="231"/>
      <c r="M43" s="231"/>
    </row>
    <row r="44" spans="1:13">
      <c r="A44" s="231" t="s">
        <v>275</v>
      </c>
      <c r="B44" s="231"/>
      <c r="C44" s="231"/>
      <c r="D44" s="231"/>
      <c r="E44" s="231"/>
      <c r="F44" s="231"/>
      <c r="G44" s="231"/>
      <c r="H44" s="231"/>
      <c r="I44" s="231"/>
      <c r="J44" s="231"/>
      <c r="K44" s="231"/>
      <c r="L44" s="231"/>
      <c r="M44" s="231"/>
    </row>
    <row r="45" spans="1:13">
      <c r="A45" s="231" t="s">
        <v>276</v>
      </c>
      <c r="B45" s="270"/>
      <c r="C45" s="270"/>
      <c r="D45" s="270"/>
      <c r="E45" s="270"/>
      <c r="F45" s="270"/>
      <c r="G45" s="270"/>
      <c r="H45" s="270"/>
      <c r="I45" s="270"/>
      <c r="J45" s="270"/>
      <c r="K45" s="270"/>
      <c r="L45" s="270"/>
      <c r="M45" s="270"/>
    </row>
    <row r="53" spans="7:7" ht="15.75">
      <c r="G53" s="271" t="s">
        <v>277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50"/>
  <sheetViews>
    <sheetView workbookViewId="0">
      <selection sqref="A1:XFD1048576"/>
    </sheetView>
  </sheetViews>
  <sheetFormatPr defaultRowHeight="15"/>
  <cols>
    <col min="1" max="1" width="5.85546875" style="2" customWidth="1"/>
    <col min="2" max="2" width="9.7109375" style="2" customWidth="1"/>
    <col min="3" max="3" width="4.42578125" style="2" customWidth="1"/>
    <col min="4" max="4" width="6.5703125" style="2" customWidth="1"/>
    <col min="5" max="6" width="7" style="2" customWidth="1"/>
    <col min="7" max="7" width="10" style="2" customWidth="1"/>
    <col min="8" max="8" width="9.7109375" style="2" customWidth="1"/>
    <col min="9" max="9" width="10.5703125" style="2" customWidth="1"/>
    <col min="10" max="10" width="9.85546875" style="2" customWidth="1"/>
    <col min="11" max="11" width="11.140625" style="2" customWidth="1"/>
    <col min="12" max="12" width="7.5703125" style="2" customWidth="1"/>
    <col min="13" max="16384" width="9.140625" style="2"/>
  </cols>
  <sheetData>
    <row r="1" spans="1:13">
      <c r="A1" s="4"/>
      <c r="B1" s="4"/>
      <c r="C1" s="4"/>
      <c r="D1" s="4"/>
      <c r="E1" s="4"/>
      <c r="F1" s="4"/>
      <c r="G1" s="4"/>
      <c r="H1" s="4"/>
      <c r="I1" s="4"/>
      <c r="J1" s="4"/>
      <c r="K1" s="4"/>
      <c r="L1" s="4"/>
      <c r="M1" s="4"/>
    </row>
    <row r="2" spans="1:13">
      <c r="A2" s="4" t="s">
        <v>0</v>
      </c>
      <c r="B2" s="207" t="s">
        <v>278</v>
      </c>
      <c r="C2" s="4"/>
      <c r="D2" s="4"/>
      <c r="E2" s="4"/>
      <c r="F2" s="4"/>
      <c r="G2" s="4"/>
      <c r="H2" s="4"/>
      <c r="I2" s="4"/>
      <c r="J2" s="4"/>
      <c r="K2" s="4"/>
      <c r="L2" s="4"/>
      <c r="M2" s="4"/>
    </row>
    <row r="3" spans="1:13">
      <c r="A3" s="4"/>
      <c r="B3" s="4" t="s">
        <v>279</v>
      </c>
      <c r="C3" s="4"/>
      <c r="D3" s="4"/>
      <c r="E3" s="4"/>
      <c r="F3" s="4"/>
      <c r="G3" s="4"/>
      <c r="H3" s="4"/>
      <c r="I3" s="4"/>
      <c r="J3" s="4"/>
      <c r="K3" s="4"/>
      <c r="L3" s="4"/>
      <c r="M3" s="4"/>
    </row>
    <row r="4" spans="1:13">
      <c r="A4" s="4"/>
      <c r="B4" s="4"/>
      <c r="C4" s="4"/>
      <c r="D4" s="4"/>
      <c r="E4" s="4"/>
      <c r="F4" s="4"/>
      <c r="G4" s="4"/>
      <c r="H4" s="4"/>
      <c r="I4" s="4"/>
      <c r="J4" s="4"/>
      <c r="K4" s="4"/>
      <c r="L4" s="4"/>
      <c r="M4" s="4"/>
    </row>
    <row r="5" spans="1:13">
      <c r="A5" s="114" t="s">
        <v>4</v>
      </c>
      <c r="B5" s="114"/>
      <c r="C5" s="114"/>
      <c r="D5" s="157" t="s">
        <v>5</v>
      </c>
      <c r="E5" s="157" t="s">
        <v>6</v>
      </c>
      <c r="F5" s="157" t="s">
        <v>7</v>
      </c>
      <c r="G5" s="157" t="s">
        <v>8</v>
      </c>
      <c r="H5" s="157" t="s">
        <v>9</v>
      </c>
      <c r="I5" s="157" t="s">
        <v>10</v>
      </c>
      <c r="J5" s="157" t="s">
        <v>11</v>
      </c>
      <c r="K5" s="157" t="s">
        <v>12</v>
      </c>
      <c r="L5" s="272" t="s">
        <v>13</v>
      </c>
      <c r="M5" s="157"/>
    </row>
    <row r="6" spans="1:13">
      <c r="A6" s="117"/>
      <c r="B6" s="117"/>
      <c r="C6" s="117"/>
      <c r="D6" s="212" t="s">
        <v>14</v>
      </c>
      <c r="E6" s="212" t="s">
        <v>15</v>
      </c>
      <c r="F6" s="212" t="s">
        <v>15</v>
      </c>
      <c r="G6" s="212" t="s">
        <v>16</v>
      </c>
      <c r="H6" s="212" t="s">
        <v>17</v>
      </c>
      <c r="I6" s="212" t="s">
        <v>18</v>
      </c>
      <c r="J6" s="212" t="s">
        <v>17</v>
      </c>
      <c r="K6" s="212" t="s">
        <v>17</v>
      </c>
      <c r="L6" s="158" t="s">
        <v>10</v>
      </c>
      <c r="M6" s="212" t="s">
        <v>11</v>
      </c>
    </row>
    <row r="7" spans="1:13">
      <c r="A7" s="117"/>
      <c r="B7" s="117"/>
      <c r="C7" s="117"/>
      <c r="D7" s="212" t="s">
        <v>19</v>
      </c>
      <c r="E7" s="212"/>
      <c r="F7" s="212"/>
      <c r="G7" s="212"/>
      <c r="H7" s="212" t="s">
        <v>20</v>
      </c>
      <c r="I7" s="212" t="s">
        <v>17</v>
      </c>
      <c r="J7" s="212" t="s">
        <v>20</v>
      </c>
      <c r="K7" s="212" t="s">
        <v>20</v>
      </c>
      <c r="L7" s="212"/>
      <c r="M7" s="212"/>
    </row>
    <row r="8" spans="1:13">
      <c r="A8" s="121"/>
      <c r="B8" s="121"/>
      <c r="C8" s="121"/>
      <c r="D8" s="213"/>
      <c r="E8" s="213"/>
      <c r="F8" s="213"/>
      <c r="G8" s="213"/>
      <c r="H8" s="213"/>
      <c r="I8" s="213" t="s">
        <v>20</v>
      </c>
      <c r="J8" s="213"/>
      <c r="K8" s="213"/>
      <c r="L8" s="213"/>
      <c r="M8" s="213"/>
    </row>
    <row r="9" spans="1:13">
      <c r="A9" s="4" t="s">
        <v>22</v>
      </c>
      <c r="B9" s="4"/>
      <c r="C9" s="4"/>
      <c r="D9" s="135">
        <v>73</v>
      </c>
      <c r="E9" s="128">
        <v>8.57</v>
      </c>
      <c r="F9" s="128">
        <v>2.34</v>
      </c>
      <c r="G9" s="136">
        <v>1148</v>
      </c>
      <c r="H9" s="128">
        <v>9838</v>
      </c>
      <c r="I9" s="4"/>
      <c r="J9" s="128"/>
      <c r="K9" s="128">
        <v>9838</v>
      </c>
      <c r="L9" s="4"/>
      <c r="M9" s="4"/>
    </row>
    <row r="10" spans="1:13">
      <c r="A10" s="4" t="s">
        <v>90</v>
      </c>
      <c r="B10" s="4"/>
      <c r="C10" s="4"/>
      <c r="D10" s="135">
        <v>87</v>
      </c>
      <c r="E10" s="128">
        <v>1.27</v>
      </c>
      <c r="F10" s="128">
        <v>1.27</v>
      </c>
      <c r="G10" s="136">
        <v>1100</v>
      </c>
      <c r="H10" s="128">
        <v>1397</v>
      </c>
      <c r="I10" s="128">
        <v>9534</v>
      </c>
      <c r="J10" s="128"/>
      <c r="K10" s="128">
        <v>10931</v>
      </c>
      <c r="L10" s="128">
        <v>1796</v>
      </c>
      <c r="M10" s="4"/>
    </row>
    <row r="11" spans="1:13">
      <c r="A11" s="4"/>
      <c r="B11" s="4" t="s">
        <v>280</v>
      </c>
      <c r="C11" s="4"/>
      <c r="D11" s="214" t="s">
        <v>281</v>
      </c>
      <c r="E11" s="273"/>
      <c r="F11" s="273"/>
      <c r="G11" s="4"/>
      <c r="H11" s="273" t="s">
        <v>282</v>
      </c>
      <c r="I11" s="274" t="s">
        <v>283</v>
      </c>
      <c r="J11" s="128"/>
      <c r="K11" s="128">
        <v>0</v>
      </c>
      <c r="L11" s="128"/>
      <c r="M11" s="4"/>
    </row>
    <row r="12" spans="1:13">
      <c r="A12" s="4" t="s">
        <v>284</v>
      </c>
      <c r="B12" s="4"/>
      <c r="C12" s="4"/>
      <c r="D12" s="135">
        <v>100</v>
      </c>
      <c r="E12" s="128">
        <v>12.2</v>
      </c>
      <c r="F12" s="128">
        <v>1.45</v>
      </c>
      <c r="G12" s="136">
        <v>1173</v>
      </c>
      <c r="H12" s="128">
        <v>14311</v>
      </c>
      <c r="I12" s="4"/>
      <c r="J12" s="275" t="s">
        <v>285</v>
      </c>
      <c r="K12" s="128">
        <v>17057</v>
      </c>
      <c r="L12" s="4"/>
      <c r="M12" s="4"/>
    </row>
    <row r="13" spans="1:13">
      <c r="A13" s="4" t="s">
        <v>286</v>
      </c>
      <c r="B13" s="4"/>
      <c r="C13" s="4"/>
      <c r="D13" s="135">
        <v>100</v>
      </c>
      <c r="E13" s="128">
        <v>14.87</v>
      </c>
      <c r="F13" s="128">
        <v>3.96</v>
      </c>
      <c r="G13" s="136">
        <v>980</v>
      </c>
      <c r="H13" s="128">
        <v>14573</v>
      </c>
      <c r="I13" s="4"/>
      <c r="J13" s="128">
        <v>149480</v>
      </c>
      <c r="K13" s="128">
        <v>164053</v>
      </c>
      <c r="L13" s="4"/>
      <c r="M13" s="128">
        <v>1542</v>
      </c>
    </row>
    <row r="14" spans="1:13">
      <c r="A14" s="4" t="s">
        <v>33</v>
      </c>
      <c r="B14" s="4"/>
      <c r="C14" s="4"/>
      <c r="D14" s="135">
        <v>100</v>
      </c>
      <c r="E14" s="128">
        <v>4.25</v>
      </c>
      <c r="F14" s="128">
        <v>3.68</v>
      </c>
      <c r="G14" s="136">
        <v>1176</v>
      </c>
      <c r="H14" s="128">
        <v>4998</v>
      </c>
      <c r="I14" s="4"/>
      <c r="J14" s="128">
        <v>36276</v>
      </c>
      <c r="K14" s="128">
        <v>41274</v>
      </c>
      <c r="L14" s="4"/>
      <c r="M14" s="4"/>
    </row>
    <row r="15" spans="1:13">
      <c r="A15" s="4" t="s">
        <v>100</v>
      </c>
      <c r="B15" s="4"/>
      <c r="C15" s="4"/>
      <c r="D15" s="135">
        <v>100</v>
      </c>
      <c r="E15" s="128">
        <v>12.6</v>
      </c>
      <c r="F15" s="128">
        <v>2.69</v>
      </c>
      <c r="G15" s="136">
        <v>1100</v>
      </c>
      <c r="H15" s="128">
        <v>13860</v>
      </c>
      <c r="I15" s="4"/>
      <c r="J15" s="128"/>
      <c r="K15" s="128">
        <v>13860</v>
      </c>
      <c r="L15" s="4"/>
      <c r="M15" s="4"/>
    </row>
    <row r="16" spans="1:13">
      <c r="A16" s="4" t="s">
        <v>35</v>
      </c>
      <c r="B16" s="4"/>
      <c r="C16" s="4"/>
      <c r="D16" s="135">
        <v>100</v>
      </c>
      <c r="E16" s="128">
        <v>12</v>
      </c>
      <c r="F16" s="128">
        <v>11</v>
      </c>
      <c r="G16" s="136">
        <v>1100</v>
      </c>
      <c r="H16" s="128">
        <f t="shared" ref="H16" si="0">+E16*G16</f>
        <v>13200</v>
      </c>
      <c r="I16" s="4"/>
      <c r="J16" s="128">
        <v>19673</v>
      </c>
      <c r="K16" s="128">
        <v>32873</v>
      </c>
      <c r="L16" s="4"/>
      <c r="M16" s="4"/>
    </row>
    <row r="17" spans="1:13">
      <c r="A17" s="4" t="s">
        <v>287</v>
      </c>
      <c r="B17" s="4"/>
      <c r="C17" s="4"/>
      <c r="D17" s="135">
        <v>100</v>
      </c>
      <c r="E17" s="128">
        <v>19.59</v>
      </c>
      <c r="F17" s="128">
        <v>17.37</v>
      </c>
      <c r="G17" s="136">
        <v>1124</v>
      </c>
      <c r="H17" s="128">
        <v>22019</v>
      </c>
      <c r="I17" s="219" t="s">
        <v>288</v>
      </c>
      <c r="J17" s="128"/>
      <c r="K17" s="128">
        <v>29131</v>
      </c>
      <c r="L17" s="4"/>
      <c r="M17" s="4"/>
    </row>
    <row r="18" spans="1:13">
      <c r="A18" s="4" t="s">
        <v>102</v>
      </c>
      <c r="B18" s="4"/>
      <c r="C18" s="4"/>
      <c r="D18" s="135">
        <v>100</v>
      </c>
      <c r="E18" s="128">
        <v>26.26</v>
      </c>
      <c r="F18" s="128">
        <v>4.9400000000000004</v>
      </c>
      <c r="G18" s="136">
        <v>1088</v>
      </c>
      <c r="H18" s="128">
        <v>28571</v>
      </c>
      <c r="I18" s="4"/>
      <c r="J18" s="128"/>
      <c r="K18" s="128">
        <v>28571</v>
      </c>
      <c r="L18" s="4"/>
      <c r="M18" s="4"/>
    </row>
    <row r="19" spans="1:13">
      <c r="A19" s="114" t="s">
        <v>46</v>
      </c>
      <c r="B19" s="114"/>
      <c r="C19" s="114"/>
      <c r="D19" s="137"/>
      <c r="E19" s="276">
        <f>SUM(E9:E18)</f>
        <v>111.61</v>
      </c>
      <c r="F19" s="138">
        <f>SUM(F9:F18)</f>
        <v>48.7</v>
      </c>
      <c r="G19" s="138"/>
      <c r="H19" s="138">
        <f t="shared" ref="H19:M19" si="1">SUM(H9:H18)</f>
        <v>122767</v>
      </c>
      <c r="I19" s="138">
        <v>16646</v>
      </c>
      <c r="J19" s="138">
        <v>208175</v>
      </c>
      <c r="K19" s="138">
        <v>347588</v>
      </c>
      <c r="L19" s="138">
        <f t="shared" si="1"/>
        <v>1796</v>
      </c>
      <c r="M19" s="138">
        <f t="shared" si="1"/>
        <v>1542</v>
      </c>
    </row>
    <row r="20" spans="1:13">
      <c r="A20" s="121" t="s">
        <v>47</v>
      </c>
      <c r="B20" s="121"/>
      <c r="C20" s="121"/>
      <c r="D20" s="139"/>
      <c r="E20" s="140">
        <f>+E19-F19</f>
        <v>62.91</v>
      </c>
      <c r="F20" s="277"/>
      <c r="G20" s="140"/>
      <c r="H20" s="140">
        <f>+G32*E32</f>
        <v>69048</v>
      </c>
      <c r="I20" s="140">
        <v>14850</v>
      </c>
      <c r="J20" s="140">
        <v>206633</v>
      </c>
      <c r="K20" s="140">
        <v>290531</v>
      </c>
      <c r="L20" s="121"/>
      <c r="M20" s="121"/>
    </row>
    <row r="21" spans="1:13">
      <c r="A21" s="4" t="s">
        <v>164</v>
      </c>
      <c r="B21" s="4"/>
      <c r="C21" s="4"/>
      <c r="D21" s="4"/>
      <c r="E21" s="4"/>
      <c r="F21" s="4"/>
      <c r="G21" s="4"/>
      <c r="H21" s="4"/>
      <c r="I21" s="4"/>
      <c r="J21" s="128"/>
      <c r="K21" s="128"/>
      <c r="L21" s="4"/>
      <c r="M21" s="4"/>
    </row>
    <row r="22" spans="1:13">
      <c r="A22" s="4" t="s">
        <v>289</v>
      </c>
      <c r="B22" s="4"/>
      <c r="C22" s="4"/>
      <c r="D22" s="4"/>
      <c r="E22" s="4"/>
      <c r="F22" s="4"/>
      <c r="G22" s="4"/>
      <c r="H22" s="4"/>
      <c r="I22" s="4"/>
      <c r="J22" s="128"/>
      <c r="K22" s="128"/>
      <c r="L22" s="4"/>
      <c r="M22" s="4"/>
    </row>
    <row r="23" spans="1:13">
      <c r="A23" s="4"/>
      <c r="B23" s="4"/>
      <c r="C23" s="4" t="s">
        <v>103</v>
      </c>
      <c r="D23" s="4"/>
      <c r="E23" s="4"/>
      <c r="F23" s="4"/>
      <c r="G23" s="4"/>
      <c r="H23" s="4"/>
      <c r="I23" s="4"/>
      <c r="J23" s="4"/>
      <c r="K23" s="128"/>
      <c r="L23" s="4"/>
      <c r="M23" s="4"/>
    </row>
    <row r="24" spans="1:13">
      <c r="A24" s="4"/>
      <c r="B24" s="4"/>
      <c r="C24" s="4"/>
      <c r="D24" s="4"/>
      <c r="E24" s="4"/>
      <c r="F24" s="4"/>
      <c r="G24" s="4"/>
      <c r="H24" s="4"/>
      <c r="I24" s="4"/>
      <c r="J24" s="4"/>
      <c r="K24" s="4"/>
      <c r="L24" s="4"/>
      <c r="M24" s="4"/>
    </row>
    <row r="25" spans="1:13">
      <c r="A25" s="4" t="s">
        <v>50</v>
      </c>
      <c r="B25" s="4"/>
      <c r="C25" s="4"/>
      <c r="D25" s="4"/>
      <c r="E25" s="4"/>
      <c r="F25" s="4"/>
      <c r="G25" s="4"/>
      <c r="H25" s="4"/>
      <c r="I25" s="4"/>
      <c r="J25" s="4"/>
      <c r="K25" s="4"/>
      <c r="L25" s="4"/>
      <c r="M25" s="4"/>
    </row>
    <row r="26" spans="1:13">
      <c r="A26" s="143" t="s">
        <v>51</v>
      </c>
      <c r="B26" s="143"/>
      <c r="C26" s="143"/>
      <c r="D26" s="143" t="s">
        <v>52</v>
      </c>
      <c r="E26" s="143" t="s">
        <v>53</v>
      </c>
      <c r="F26" s="143"/>
      <c r="G26" s="143" t="s">
        <v>54</v>
      </c>
      <c r="H26" s="4"/>
      <c r="I26" s="4"/>
      <c r="J26" s="4"/>
      <c r="K26" s="278"/>
      <c r="L26" s="4"/>
      <c r="M26" s="4"/>
    </row>
    <row r="27" spans="1:13">
      <c r="A27" s="4" t="s">
        <v>55</v>
      </c>
      <c r="B27" s="4"/>
      <c r="C27" s="4"/>
      <c r="D27" s="4"/>
      <c r="E27" s="4"/>
      <c r="F27" s="4"/>
      <c r="G27" s="4"/>
      <c r="H27" s="4"/>
      <c r="I27" s="4"/>
      <c r="J27" s="4"/>
      <c r="K27" s="278" t="s">
        <v>67</v>
      </c>
      <c r="L27" s="4"/>
      <c r="M27" s="4"/>
    </row>
    <row r="28" spans="1:13">
      <c r="A28" s="4" t="s">
        <v>104</v>
      </c>
      <c r="B28" s="4"/>
      <c r="C28" s="4"/>
      <c r="D28" s="4" t="s">
        <v>75</v>
      </c>
      <c r="E28" s="4">
        <v>740</v>
      </c>
      <c r="F28" s="4"/>
      <c r="G28" s="128">
        <v>202</v>
      </c>
      <c r="H28" s="4"/>
      <c r="I28" s="4"/>
      <c r="J28" s="279" t="s">
        <v>290</v>
      </c>
      <c r="K28" s="280">
        <v>0.93</v>
      </c>
      <c r="L28" s="4"/>
      <c r="M28" s="4"/>
    </row>
    <row r="29" spans="1:13">
      <c r="A29" s="4"/>
      <c r="B29" s="4"/>
      <c r="C29" s="4"/>
      <c r="D29" s="4"/>
      <c r="E29" s="4"/>
      <c r="F29" s="4"/>
      <c r="G29" s="4"/>
      <c r="H29" s="129"/>
      <c r="I29" s="4"/>
      <c r="J29" s="281" t="s">
        <v>71</v>
      </c>
      <c r="K29" s="282">
        <v>7.0000000000000007E-2</v>
      </c>
      <c r="L29" s="4"/>
      <c r="M29" s="4"/>
    </row>
    <row r="30" spans="1:13">
      <c r="A30" s="4"/>
      <c r="B30" s="4"/>
      <c r="C30" s="4"/>
      <c r="D30" s="4"/>
      <c r="E30" s="4"/>
      <c r="F30" s="4"/>
      <c r="G30" s="4"/>
      <c r="H30" s="4"/>
      <c r="I30" s="4"/>
      <c r="J30" s="4"/>
      <c r="K30" s="4"/>
      <c r="L30" s="4"/>
      <c r="M30" s="4"/>
    </row>
    <row r="31" spans="1:13">
      <c r="A31" s="4" t="s">
        <v>64</v>
      </c>
      <c r="B31" s="4"/>
      <c r="C31" s="4"/>
      <c r="D31" s="4"/>
      <c r="E31" s="4"/>
      <c r="F31" s="4"/>
      <c r="G31" s="4"/>
      <c r="H31" s="4"/>
      <c r="I31" s="4"/>
      <c r="J31" s="279" t="s">
        <v>105</v>
      </c>
      <c r="K31" s="283">
        <v>0.64</v>
      </c>
      <c r="L31" s="4"/>
      <c r="M31" s="4"/>
    </row>
    <row r="32" spans="1:13">
      <c r="A32" s="4" t="s">
        <v>65</v>
      </c>
      <c r="B32" s="4"/>
      <c r="C32" s="4"/>
      <c r="D32" s="4" t="s">
        <v>66</v>
      </c>
      <c r="E32" s="128">
        <v>63</v>
      </c>
      <c r="F32" s="128"/>
      <c r="G32" s="128">
        <v>1096</v>
      </c>
      <c r="H32" s="4"/>
      <c r="I32" s="4"/>
      <c r="J32" s="281" t="s">
        <v>58</v>
      </c>
      <c r="K32" s="284">
        <v>0.75</v>
      </c>
      <c r="L32" s="4"/>
      <c r="M32" s="4"/>
    </row>
    <row r="33" spans="1:13">
      <c r="A33" s="4" t="s">
        <v>68</v>
      </c>
      <c r="B33" s="4"/>
      <c r="C33" s="4"/>
      <c r="D33" s="4" t="s">
        <v>66</v>
      </c>
      <c r="E33" s="128">
        <v>49</v>
      </c>
      <c r="F33" s="128"/>
      <c r="G33" s="128"/>
      <c r="H33" s="4"/>
      <c r="I33" s="4"/>
      <c r="J33" s="4"/>
      <c r="K33" s="4"/>
      <c r="L33" s="4"/>
      <c r="M33" s="4"/>
    </row>
    <row r="34" spans="1:13">
      <c r="A34" s="4" t="s">
        <v>6</v>
      </c>
      <c r="B34" s="4"/>
      <c r="C34" s="4"/>
      <c r="D34" s="4"/>
      <c r="E34" s="128">
        <f>+E32+E33</f>
        <v>112</v>
      </c>
      <c r="F34" s="128"/>
      <c r="G34" s="128"/>
      <c r="H34" s="4"/>
      <c r="I34" s="4"/>
      <c r="J34" s="4"/>
      <c r="K34" s="285"/>
      <c r="L34" s="4"/>
      <c r="M34" s="4"/>
    </row>
    <row r="35" spans="1:13">
      <c r="A35" s="4"/>
      <c r="B35" s="4"/>
      <c r="C35" s="4"/>
      <c r="D35" s="4"/>
      <c r="E35" s="4"/>
      <c r="F35" s="4"/>
      <c r="G35" s="4"/>
      <c r="H35" s="4"/>
      <c r="I35" s="4"/>
      <c r="J35" s="4"/>
      <c r="K35" s="4"/>
      <c r="L35" s="4"/>
      <c r="M35" s="4"/>
    </row>
    <row r="36" spans="1:13">
      <c r="A36" s="114" t="s">
        <v>107</v>
      </c>
      <c r="B36" s="114"/>
      <c r="C36" s="114" t="s">
        <v>73</v>
      </c>
      <c r="D36" s="114"/>
      <c r="E36" s="114"/>
      <c r="F36" s="114"/>
      <c r="G36" s="114"/>
      <c r="H36" s="4"/>
      <c r="I36" s="4"/>
      <c r="J36" s="4"/>
      <c r="K36" s="4"/>
      <c r="L36" s="4"/>
      <c r="M36" s="4"/>
    </row>
    <row r="37" spans="1:13">
      <c r="A37" s="286"/>
      <c r="B37" s="287"/>
      <c r="C37" s="159"/>
      <c r="D37" s="117"/>
      <c r="E37" s="117"/>
      <c r="F37" s="117"/>
      <c r="G37" s="142"/>
      <c r="H37" s="4"/>
      <c r="I37" s="4"/>
      <c r="J37" s="4"/>
      <c r="K37" s="4"/>
      <c r="L37" s="4"/>
      <c r="M37" s="4"/>
    </row>
    <row r="38" spans="1:13">
      <c r="A38" s="4"/>
      <c r="B38" s="117" t="s">
        <v>291</v>
      </c>
      <c r="C38" s="159">
        <v>60</v>
      </c>
      <c r="D38" s="117" t="s">
        <v>109</v>
      </c>
      <c r="E38" s="142">
        <v>28</v>
      </c>
      <c r="F38" s="142"/>
      <c r="G38" s="142">
        <v>172</v>
      </c>
      <c r="H38" s="4"/>
      <c r="I38" s="4"/>
      <c r="J38" s="4"/>
      <c r="K38" s="4"/>
      <c r="L38" s="4"/>
      <c r="M38" s="4"/>
    </row>
    <row r="39" spans="1:13">
      <c r="A39" s="4"/>
      <c r="B39" s="117" t="s">
        <v>292</v>
      </c>
      <c r="C39" s="159">
        <v>100</v>
      </c>
      <c r="D39" s="117" t="s">
        <v>75</v>
      </c>
      <c r="E39" s="142">
        <v>484</v>
      </c>
      <c r="F39" s="142"/>
      <c r="G39" s="142">
        <v>65</v>
      </c>
      <c r="H39" s="4"/>
      <c r="I39" s="4"/>
      <c r="J39" s="4"/>
      <c r="K39" s="4"/>
      <c r="L39" s="4"/>
      <c r="M39" s="4"/>
    </row>
    <row r="40" spans="1:13">
      <c r="A40" s="4"/>
      <c r="B40" s="117" t="s">
        <v>293</v>
      </c>
      <c r="C40" s="288" t="s">
        <v>248</v>
      </c>
      <c r="D40" s="117" t="s">
        <v>75</v>
      </c>
      <c r="E40" s="289" t="s">
        <v>294</v>
      </c>
      <c r="F40" s="142"/>
      <c r="G40" s="290" t="s">
        <v>295</v>
      </c>
      <c r="H40" s="4"/>
      <c r="I40" s="4"/>
      <c r="J40" s="4"/>
      <c r="K40" s="4"/>
      <c r="L40" s="4"/>
      <c r="M40" s="4"/>
    </row>
    <row r="41" spans="1:13">
      <c r="A41" s="291"/>
      <c r="B41" s="287"/>
      <c r="C41" s="159"/>
      <c r="D41" s="117"/>
      <c r="E41" s="142"/>
      <c r="F41" s="142"/>
      <c r="G41" s="142"/>
      <c r="H41" s="4"/>
      <c r="I41" s="4"/>
      <c r="J41" s="4"/>
      <c r="K41" s="4"/>
      <c r="L41" s="4"/>
      <c r="M41" s="4"/>
    </row>
    <row r="42" spans="1:13">
      <c r="A42" s="114" t="s">
        <v>77</v>
      </c>
      <c r="B42" s="114"/>
      <c r="C42" s="114"/>
      <c r="D42" s="114"/>
      <c r="E42" s="114"/>
      <c r="F42" s="114"/>
      <c r="G42" s="114"/>
      <c r="H42" s="4"/>
      <c r="I42" s="4" t="s">
        <v>112</v>
      </c>
      <c r="J42" s="4"/>
      <c r="K42" s="4"/>
      <c r="L42" s="4"/>
      <c r="M42" s="4"/>
    </row>
    <row r="43" spans="1:13">
      <c r="A43" s="117" t="s">
        <v>271</v>
      </c>
      <c r="B43" s="117"/>
      <c r="C43" s="117"/>
      <c r="D43" s="117"/>
      <c r="E43" s="117"/>
      <c r="F43" s="117"/>
      <c r="G43" s="166">
        <v>5768</v>
      </c>
      <c r="H43" s="4"/>
      <c r="I43" s="4">
        <v>14253</v>
      </c>
      <c r="J43" s="128"/>
      <c r="K43" s="4"/>
      <c r="L43" s="4"/>
      <c r="M43" s="4"/>
    </row>
    <row r="44" spans="1:13">
      <c r="A44" s="117" t="s">
        <v>81</v>
      </c>
      <c r="B44" s="117"/>
      <c r="C44" s="117"/>
      <c r="D44" s="117"/>
      <c r="E44" s="117"/>
      <c r="F44" s="117"/>
      <c r="G44" s="167">
        <v>85</v>
      </c>
      <c r="H44" s="4"/>
      <c r="I44" s="4"/>
      <c r="J44" s="128"/>
      <c r="K44" s="4"/>
      <c r="L44" s="4"/>
      <c r="M44" s="4"/>
    </row>
    <row r="45" spans="1:13">
      <c r="A45" s="117" t="s">
        <v>272</v>
      </c>
      <c r="B45" s="117"/>
      <c r="C45" s="117"/>
      <c r="D45" s="117"/>
      <c r="E45" s="117"/>
      <c r="F45" s="117"/>
      <c r="G45" s="167">
        <f>+G43*G44</f>
        <v>490280</v>
      </c>
      <c r="H45" s="4"/>
      <c r="I45" s="128">
        <v>1211482</v>
      </c>
      <c r="J45" s="129"/>
      <c r="K45" s="4"/>
      <c r="L45" s="4"/>
      <c r="M45" s="4"/>
    </row>
    <row r="46" spans="1:13">
      <c r="A46" s="117" t="s">
        <v>273</v>
      </c>
      <c r="B46" s="117"/>
      <c r="C46" s="117"/>
      <c r="D46" s="117"/>
      <c r="E46" s="117"/>
      <c r="F46" s="117"/>
      <c r="G46" s="167">
        <v>142692</v>
      </c>
      <c r="H46" s="128"/>
      <c r="I46" s="128">
        <v>352592</v>
      </c>
      <c r="J46" s="129"/>
      <c r="K46" s="4"/>
      <c r="L46" s="4"/>
      <c r="M46" s="4"/>
    </row>
    <row r="47" spans="1:13">
      <c r="A47" s="117" t="s">
        <v>274</v>
      </c>
      <c r="B47" s="117"/>
      <c r="C47" s="117"/>
      <c r="D47" s="117"/>
      <c r="E47" s="117"/>
      <c r="F47" s="117"/>
      <c r="G47" s="167">
        <v>199749</v>
      </c>
      <c r="H47" s="128"/>
      <c r="I47" s="128">
        <v>493580</v>
      </c>
      <c r="J47" s="129"/>
      <c r="K47" s="4"/>
      <c r="L47" s="4"/>
      <c r="M47" s="4"/>
    </row>
    <row r="48" spans="1:13">
      <c r="A48" s="117"/>
      <c r="B48" s="117"/>
      <c r="C48" s="117"/>
      <c r="D48" s="117"/>
      <c r="E48" s="117"/>
      <c r="F48" s="117"/>
      <c r="G48" s="167"/>
      <c r="H48" s="4"/>
      <c r="I48" s="4"/>
      <c r="J48" s="4"/>
      <c r="K48" s="4"/>
      <c r="L48" s="4"/>
      <c r="M48" s="4"/>
    </row>
    <row r="49" spans="1:13">
      <c r="A49" s="117" t="s">
        <v>85</v>
      </c>
      <c r="B49" s="117"/>
      <c r="C49" s="117"/>
      <c r="D49" s="117"/>
      <c r="E49" s="117"/>
      <c r="F49" s="117"/>
      <c r="G49" s="167">
        <f>+K19/G43</f>
        <v>60.261442441054093</v>
      </c>
      <c r="H49" s="4"/>
      <c r="I49" s="4"/>
      <c r="J49" s="4"/>
      <c r="K49" s="4"/>
      <c r="L49" s="4"/>
      <c r="M49" s="4"/>
    </row>
    <row r="50" spans="1:13">
      <c r="A50" s="121" t="s">
        <v>86</v>
      </c>
      <c r="B50" s="121"/>
      <c r="C50" s="121"/>
      <c r="D50" s="121"/>
      <c r="E50" s="121"/>
      <c r="F50" s="121"/>
      <c r="G50" s="168">
        <f>+K20/G43</f>
        <v>50.369452149791954</v>
      </c>
      <c r="H50" s="4"/>
      <c r="I50" s="4"/>
      <c r="J50" s="4"/>
      <c r="K50" s="4"/>
      <c r="L50" s="4"/>
      <c r="M50"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M46"/>
  <sheetViews>
    <sheetView workbookViewId="0">
      <selection sqref="A1:XFD1048576"/>
    </sheetView>
  </sheetViews>
  <sheetFormatPr defaultRowHeight="15"/>
  <cols>
    <col min="1" max="1" width="9.140625" style="2"/>
    <col min="2" max="2" width="6" style="2" customWidth="1"/>
    <col min="3" max="3" width="4.28515625" style="2" customWidth="1"/>
    <col min="4" max="4" width="6" style="2" customWidth="1"/>
    <col min="5" max="5" width="7.140625" style="2" customWidth="1"/>
    <col min="6" max="6" width="5.5703125" style="2" customWidth="1"/>
    <col min="7" max="7" width="10.42578125" style="2" customWidth="1"/>
    <col min="8" max="8" width="10.5703125" style="2" customWidth="1"/>
    <col min="9" max="9" width="10.28515625" style="2" customWidth="1"/>
    <col min="10" max="10" width="10.42578125" style="2" customWidth="1"/>
    <col min="11" max="11" width="11.7109375" style="2" customWidth="1"/>
    <col min="12" max="12" width="8.28515625" style="2" customWidth="1"/>
    <col min="13" max="16384" width="9.140625" style="2"/>
  </cols>
  <sheetData>
    <row r="1" spans="1:13">
      <c r="A1" s="4" t="s">
        <v>0</v>
      </c>
      <c r="B1" s="207" t="s">
        <v>296</v>
      </c>
      <c r="C1" s="4"/>
      <c r="D1" s="4"/>
      <c r="E1" s="4"/>
      <c r="F1" s="4"/>
      <c r="G1" s="4"/>
      <c r="H1" s="4"/>
      <c r="I1" s="4"/>
      <c r="J1" s="4"/>
      <c r="K1" s="4"/>
      <c r="L1" s="4"/>
      <c r="M1" s="4"/>
    </row>
    <row r="2" spans="1:13">
      <c r="A2" s="4"/>
      <c r="B2" s="4" t="s">
        <v>297</v>
      </c>
      <c r="C2" s="4"/>
      <c r="D2" s="4"/>
      <c r="E2" s="4"/>
      <c r="F2" s="4"/>
      <c r="G2" s="4"/>
      <c r="H2" s="4"/>
      <c r="I2" s="4"/>
      <c r="J2" s="4"/>
      <c r="K2" s="4"/>
      <c r="L2" s="4"/>
      <c r="M2" s="4"/>
    </row>
    <row r="3" spans="1:13">
      <c r="A3" s="4"/>
      <c r="B3" s="4"/>
      <c r="C3" s="4"/>
      <c r="D3" s="4"/>
      <c r="E3" s="4"/>
      <c r="F3" s="4"/>
      <c r="G3" s="4"/>
      <c r="H3" s="4"/>
      <c r="I3" s="4"/>
      <c r="J3" s="4"/>
      <c r="K3" s="4"/>
      <c r="L3" s="4"/>
      <c r="M3" s="4"/>
    </row>
    <row r="4" spans="1:13">
      <c r="A4" s="114" t="s">
        <v>4</v>
      </c>
      <c r="B4" s="114"/>
      <c r="C4" s="114"/>
      <c r="D4" s="157" t="s">
        <v>5</v>
      </c>
      <c r="E4" s="157" t="s">
        <v>6</v>
      </c>
      <c r="F4" s="157" t="s">
        <v>7</v>
      </c>
      <c r="G4" s="157" t="s">
        <v>8</v>
      </c>
      <c r="H4" s="157" t="s">
        <v>9</v>
      </c>
      <c r="I4" s="157" t="s">
        <v>10</v>
      </c>
      <c r="J4" s="157" t="s">
        <v>11</v>
      </c>
      <c r="K4" s="157" t="s">
        <v>12</v>
      </c>
      <c r="L4" s="272" t="s">
        <v>13</v>
      </c>
      <c r="M4" s="157"/>
    </row>
    <row r="5" spans="1:13">
      <c r="A5" s="117"/>
      <c r="B5" s="117"/>
      <c r="C5" s="117"/>
      <c r="D5" s="212" t="s">
        <v>14</v>
      </c>
      <c r="E5" s="212" t="s">
        <v>15</v>
      </c>
      <c r="F5" s="212" t="s">
        <v>15</v>
      </c>
      <c r="G5" s="212" t="s">
        <v>16</v>
      </c>
      <c r="H5" s="212" t="s">
        <v>17</v>
      </c>
      <c r="I5" s="212" t="s">
        <v>18</v>
      </c>
      <c r="J5" s="212" t="s">
        <v>17</v>
      </c>
      <c r="K5" s="212" t="s">
        <v>17</v>
      </c>
      <c r="L5" s="158" t="s">
        <v>10</v>
      </c>
      <c r="M5" s="212" t="s">
        <v>11</v>
      </c>
    </row>
    <row r="6" spans="1:13">
      <c r="A6" s="117"/>
      <c r="B6" s="117"/>
      <c r="C6" s="117"/>
      <c r="D6" s="212" t="s">
        <v>19</v>
      </c>
      <c r="E6" s="212"/>
      <c r="F6" s="212"/>
      <c r="G6" s="212"/>
      <c r="H6" s="212" t="s">
        <v>20</v>
      </c>
      <c r="I6" s="212" t="s">
        <v>17</v>
      </c>
      <c r="J6" s="212" t="s">
        <v>20</v>
      </c>
      <c r="K6" s="212" t="s">
        <v>20</v>
      </c>
      <c r="L6" s="212"/>
      <c r="M6" s="212"/>
    </row>
    <row r="7" spans="1:13">
      <c r="A7" s="121"/>
      <c r="B7" s="121"/>
      <c r="C7" s="121"/>
      <c r="D7" s="213"/>
      <c r="E7" s="213"/>
      <c r="F7" s="213"/>
      <c r="G7" s="213"/>
      <c r="H7" s="213"/>
      <c r="I7" s="213" t="s">
        <v>20</v>
      </c>
      <c r="J7" s="213"/>
      <c r="K7" s="213"/>
      <c r="L7" s="213"/>
      <c r="M7" s="213"/>
    </row>
    <row r="8" spans="1:13">
      <c r="A8" s="4" t="s">
        <v>22</v>
      </c>
      <c r="B8" s="4"/>
      <c r="C8" s="4"/>
      <c r="D8" s="135">
        <v>67</v>
      </c>
      <c r="E8" s="128">
        <v>7.3</v>
      </c>
      <c r="F8" s="128">
        <v>0.84</v>
      </c>
      <c r="G8" s="136">
        <v>1282</v>
      </c>
      <c r="H8" s="128">
        <v>9359</v>
      </c>
      <c r="I8" s="4"/>
      <c r="J8" s="128"/>
      <c r="K8" s="128">
        <f>+H8+I8+J8</f>
        <v>9359</v>
      </c>
      <c r="L8" s="4"/>
      <c r="M8" s="4"/>
    </row>
    <row r="9" spans="1:13">
      <c r="A9" s="4" t="s">
        <v>90</v>
      </c>
      <c r="B9" s="4"/>
      <c r="C9" s="4"/>
      <c r="D9" s="135">
        <v>90</v>
      </c>
      <c r="E9" s="128">
        <v>0.55000000000000004</v>
      </c>
      <c r="F9" s="128">
        <v>0.12</v>
      </c>
      <c r="G9" s="136">
        <v>1167</v>
      </c>
      <c r="H9" s="128">
        <v>642</v>
      </c>
      <c r="I9" s="128">
        <v>9405</v>
      </c>
      <c r="J9" s="128"/>
      <c r="K9" s="128">
        <f t="shared" ref="K9:K17" si="0">+H9+I9+J9</f>
        <v>10047</v>
      </c>
      <c r="L9" s="128">
        <v>1576</v>
      </c>
      <c r="M9" s="4"/>
    </row>
    <row r="10" spans="1:13">
      <c r="A10" s="4" t="s">
        <v>298</v>
      </c>
      <c r="B10" s="4"/>
      <c r="C10" s="4"/>
      <c r="D10" s="292" t="s">
        <v>25</v>
      </c>
      <c r="E10" s="273"/>
      <c r="F10" s="273"/>
      <c r="G10" s="136"/>
      <c r="H10" s="273" t="s">
        <v>299</v>
      </c>
      <c r="I10" s="128"/>
      <c r="J10" s="128"/>
      <c r="K10" s="128">
        <v>0</v>
      </c>
      <c r="L10" s="128"/>
      <c r="M10" s="4"/>
    </row>
    <row r="11" spans="1:13">
      <c r="A11" s="4" t="s">
        <v>97</v>
      </c>
      <c r="B11" s="4"/>
      <c r="C11" s="4"/>
      <c r="D11" s="135">
        <v>100</v>
      </c>
      <c r="E11" s="128">
        <v>11.6</v>
      </c>
      <c r="F11" s="128">
        <v>2.6599999999999997</v>
      </c>
      <c r="G11" s="136">
        <v>1279</v>
      </c>
      <c r="H11" s="128">
        <v>14836</v>
      </c>
      <c r="I11" s="4"/>
      <c r="J11" s="219" t="s">
        <v>300</v>
      </c>
      <c r="K11" s="128">
        <v>19071</v>
      </c>
      <c r="L11" s="4"/>
      <c r="M11" s="4"/>
    </row>
    <row r="12" spans="1:13">
      <c r="A12" s="4" t="s">
        <v>301</v>
      </c>
      <c r="B12" s="4"/>
      <c r="C12" s="4"/>
      <c r="D12" s="135">
        <v>100</v>
      </c>
      <c r="E12" s="128">
        <v>15.771000000000001</v>
      </c>
      <c r="F12" s="128">
        <v>4.78</v>
      </c>
      <c r="G12" s="136">
        <v>1162</v>
      </c>
      <c r="H12" s="128">
        <v>18326</v>
      </c>
      <c r="I12" s="4"/>
      <c r="J12" s="128">
        <f>+E26*G26</f>
        <v>146464</v>
      </c>
      <c r="K12" s="128">
        <f t="shared" si="0"/>
        <v>164790</v>
      </c>
      <c r="L12" s="4"/>
      <c r="M12" s="4">
        <v>10055</v>
      </c>
    </row>
    <row r="13" spans="1:13">
      <c r="A13" s="4" t="s">
        <v>33</v>
      </c>
      <c r="B13" s="4"/>
      <c r="C13" s="4"/>
      <c r="D13" s="135">
        <v>100</v>
      </c>
      <c r="E13" s="128">
        <v>11.04</v>
      </c>
      <c r="F13" s="128">
        <v>4.16</v>
      </c>
      <c r="G13" s="136">
        <v>1200</v>
      </c>
      <c r="H13" s="128">
        <v>13248</v>
      </c>
      <c r="I13" s="4"/>
      <c r="J13" s="128">
        <f>+E36*G36+E37*G37</f>
        <v>43920</v>
      </c>
      <c r="K13" s="128">
        <f t="shared" si="0"/>
        <v>57168</v>
      </c>
      <c r="L13" s="4"/>
      <c r="M13" s="4"/>
    </row>
    <row r="14" spans="1:13">
      <c r="A14" s="4" t="s">
        <v>100</v>
      </c>
      <c r="B14" s="4"/>
      <c r="C14" s="4"/>
      <c r="D14" s="135">
        <v>100</v>
      </c>
      <c r="E14" s="128">
        <v>11.18</v>
      </c>
      <c r="F14" s="128">
        <v>3.1</v>
      </c>
      <c r="G14" s="136">
        <v>1209</v>
      </c>
      <c r="H14" s="128">
        <v>13517</v>
      </c>
      <c r="I14" s="4"/>
      <c r="J14" s="128"/>
      <c r="K14" s="128">
        <f t="shared" si="0"/>
        <v>13517</v>
      </c>
      <c r="L14" s="4"/>
      <c r="M14" s="4"/>
    </row>
    <row r="15" spans="1:13">
      <c r="A15" s="4" t="s">
        <v>35</v>
      </c>
      <c r="B15" s="4"/>
      <c r="C15" s="4"/>
      <c r="D15" s="135">
        <v>100</v>
      </c>
      <c r="E15" s="128">
        <v>11.8</v>
      </c>
      <c r="F15" s="128">
        <v>7.7</v>
      </c>
      <c r="G15" s="136">
        <v>1200</v>
      </c>
      <c r="H15" s="128">
        <f t="shared" ref="H15" si="1">+E15*G15</f>
        <v>14160</v>
      </c>
      <c r="I15" s="4"/>
      <c r="J15" s="128">
        <v>20175</v>
      </c>
      <c r="K15" s="128">
        <f t="shared" si="0"/>
        <v>34335</v>
      </c>
      <c r="L15" s="4"/>
      <c r="M15" s="4"/>
    </row>
    <row r="16" spans="1:13">
      <c r="A16" s="4" t="s">
        <v>36</v>
      </c>
      <c r="B16" s="4"/>
      <c r="C16" s="4"/>
      <c r="D16" s="135">
        <v>100</v>
      </c>
      <c r="E16" s="128">
        <v>23.89</v>
      </c>
      <c r="F16" s="128">
        <v>22.2</v>
      </c>
      <c r="G16" s="136">
        <v>1356</v>
      </c>
      <c r="H16" s="128">
        <v>32395</v>
      </c>
      <c r="I16" s="128">
        <v>8462</v>
      </c>
      <c r="J16" s="128"/>
      <c r="K16" s="128">
        <f t="shared" si="0"/>
        <v>40857</v>
      </c>
      <c r="L16" s="4"/>
      <c r="M16" s="4"/>
    </row>
    <row r="17" spans="1:13">
      <c r="A17" s="4" t="s">
        <v>102</v>
      </c>
      <c r="B17" s="4"/>
      <c r="C17" s="4"/>
      <c r="D17" s="135">
        <v>100</v>
      </c>
      <c r="E17" s="128">
        <v>19.600000000000001</v>
      </c>
      <c r="F17" s="128">
        <v>5.7</v>
      </c>
      <c r="G17" s="136">
        <v>1214</v>
      </c>
      <c r="H17" s="128">
        <v>23794</v>
      </c>
      <c r="I17" s="4"/>
      <c r="J17" s="128"/>
      <c r="K17" s="128">
        <f t="shared" si="0"/>
        <v>23794</v>
      </c>
      <c r="L17" s="4"/>
      <c r="M17" s="4"/>
    </row>
    <row r="18" spans="1:13">
      <c r="A18" s="114" t="s">
        <v>46</v>
      </c>
      <c r="B18" s="114"/>
      <c r="C18" s="114"/>
      <c r="D18" s="137"/>
      <c r="E18" s="138">
        <f>SUM(E8:E17)</f>
        <v>112.73099999999999</v>
      </c>
      <c r="F18" s="138">
        <f>SUM(F8:F17)</f>
        <v>51.260000000000005</v>
      </c>
      <c r="G18" s="138"/>
      <c r="H18" s="138">
        <f>SUM(H8:H17)</f>
        <v>140277</v>
      </c>
      <c r="I18" s="138">
        <f>SUM(I8:I17)</f>
        <v>17867</v>
      </c>
      <c r="J18" s="138">
        <v>214794</v>
      </c>
      <c r="K18" s="138">
        <f>SUM(K8:K17)</f>
        <v>372938</v>
      </c>
      <c r="L18" s="138">
        <f t="shared" ref="L18:M18" si="2">SUM(L8:L17)</f>
        <v>1576</v>
      </c>
      <c r="M18" s="138">
        <f t="shared" si="2"/>
        <v>10055</v>
      </c>
    </row>
    <row r="19" spans="1:13">
      <c r="A19" s="121" t="s">
        <v>47</v>
      </c>
      <c r="B19" s="121"/>
      <c r="C19" s="121"/>
      <c r="D19" s="139"/>
      <c r="E19" s="140">
        <f>+E18-F18</f>
        <v>61.470999999999989</v>
      </c>
      <c r="F19" s="140"/>
      <c r="G19" s="140"/>
      <c r="H19" s="140">
        <f>+G30*E30</f>
        <v>76942</v>
      </c>
      <c r="I19" s="140">
        <f>+I18-L18</f>
        <v>16291</v>
      </c>
      <c r="J19" s="140">
        <f>+J18-M18</f>
        <v>204739</v>
      </c>
      <c r="K19" s="140">
        <f>+H19+I19+J19</f>
        <v>297972</v>
      </c>
      <c r="L19" s="121"/>
      <c r="M19" s="121"/>
    </row>
    <row r="20" spans="1:13">
      <c r="A20" s="4" t="s">
        <v>164</v>
      </c>
      <c r="B20" s="4"/>
      <c r="C20" s="4"/>
      <c r="D20" s="4"/>
      <c r="E20" s="4"/>
      <c r="F20" s="4"/>
      <c r="G20" s="4"/>
      <c r="H20" s="4"/>
      <c r="I20" s="4"/>
      <c r="J20" s="4"/>
      <c r="K20" s="128"/>
      <c r="L20" s="4"/>
      <c r="M20" s="4"/>
    </row>
    <row r="21" spans="1:13">
      <c r="A21" s="4"/>
      <c r="B21" s="4"/>
      <c r="C21" s="4" t="s">
        <v>103</v>
      </c>
      <c r="D21" s="4"/>
      <c r="E21" s="4"/>
      <c r="F21" s="4"/>
      <c r="G21" s="4"/>
      <c r="H21" s="4"/>
      <c r="I21" s="4"/>
      <c r="J21" s="4"/>
      <c r="K21" s="128"/>
      <c r="L21" s="4"/>
      <c r="M21" s="4"/>
    </row>
    <row r="22" spans="1:13">
      <c r="A22" s="4"/>
      <c r="B22" s="4"/>
      <c r="C22" s="4"/>
      <c r="D22" s="4"/>
      <c r="E22" s="4"/>
      <c r="F22" s="4"/>
      <c r="G22" s="4"/>
      <c r="H22" s="4"/>
      <c r="I22" s="4"/>
      <c r="J22" s="4"/>
      <c r="K22" s="4"/>
      <c r="L22" s="4"/>
      <c r="M22" s="4"/>
    </row>
    <row r="23" spans="1:13">
      <c r="A23" s="4" t="s">
        <v>50</v>
      </c>
      <c r="B23" s="4"/>
      <c r="C23" s="4"/>
      <c r="D23" s="4"/>
      <c r="E23" s="4"/>
      <c r="F23" s="4"/>
      <c r="G23" s="4"/>
      <c r="H23" s="4"/>
      <c r="I23" s="4"/>
      <c r="J23" s="4"/>
      <c r="K23" s="4"/>
      <c r="L23" s="4"/>
      <c r="M23" s="4"/>
    </row>
    <row r="24" spans="1:13">
      <c r="A24" s="143" t="s">
        <v>51</v>
      </c>
      <c r="B24" s="143"/>
      <c r="C24" s="143"/>
      <c r="D24" s="143" t="s">
        <v>52</v>
      </c>
      <c r="E24" s="143" t="s">
        <v>53</v>
      </c>
      <c r="F24" s="143"/>
      <c r="G24" s="143" t="s">
        <v>54</v>
      </c>
      <c r="H24" s="4"/>
      <c r="I24" s="4"/>
      <c r="J24" s="4"/>
      <c r="K24" s="278"/>
      <c r="L24" s="4"/>
      <c r="M24" s="4"/>
    </row>
    <row r="25" spans="1:13">
      <c r="A25" s="4" t="s">
        <v>55</v>
      </c>
      <c r="B25" s="4"/>
      <c r="C25" s="4"/>
      <c r="D25" s="4" t="s">
        <v>302</v>
      </c>
      <c r="E25" s="4"/>
      <c r="F25" s="4"/>
      <c r="G25" s="4"/>
      <c r="H25" s="4"/>
      <c r="I25" s="4"/>
      <c r="J25" s="4"/>
      <c r="K25" s="278"/>
      <c r="L25" s="4"/>
      <c r="M25" s="4"/>
    </row>
    <row r="26" spans="1:13">
      <c r="A26" s="4" t="s">
        <v>303</v>
      </c>
      <c r="B26" s="4"/>
      <c r="C26" s="4"/>
      <c r="D26" s="4" t="s">
        <v>75</v>
      </c>
      <c r="E26" s="128">
        <v>736</v>
      </c>
      <c r="F26" s="4"/>
      <c r="G26" s="128">
        <v>199</v>
      </c>
      <c r="H26" s="4"/>
      <c r="I26" s="4"/>
      <c r="J26" s="4" t="s">
        <v>290</v>
      </c>
      <c r="K26" s="278">
        <v>1</v>
      </c>
      <c r="L26" s="4"/>
      <c r="M26" s="4"/>
    </row>
    <row r="27" spans="1:13">
      <c r="A27" s="4"/>
      <c r="B27" s="4"/>
      <c r="C27" s="4"/>
      <c r="D27" s="4"/>
      <c r="E27" s="4"/>
      <c r="F27" s="4"/>
      <c r="G27" s="4"/>
      <c r="H27" s="4"/>
      <c r="I27" s="4"/>
      <c r="J27" s="4"/>
      <c r="K27" s="278"/>
      <c r="L27" s="4"/>
      <c r="M27" s="4"/>
    </row>
    <row r="28" spans="1:13">
      <c r="A28" s="4"/>
      <c r="B28" s="4"/>
      <c r="C28" s="4"/>
      <c r="D28" s="4"/>
      <c r="E28" s="4"/>
      <c r="F28" s="4"/>
      <c r="G28" s="4"/>
      <c r="H28" s="4"/>
      <c r="I28" s="4"/>
      <c r="J28" s="4"/>
      <c r="K28" s="4"/>
      <c r="L28" s="4"/>
      <c r="M28" s="4"/>
    </row>
    <row r="29" spans="1:13">
      <c r="A29" s="4" t="s">
        <v>64</v>
      </c>
      <c r="B29" s="4"/>
      <c r="C29" s="4"/>
      <c r="D29" s="4"/>
      <c r="E29" s="4"/>
      <c r="F29" s="4"/>
      <c r="G29" s="4"/>
      <c r="H29" s="4"/>
      <c r="I29" s="4"/>
      <c r="J29" s="4" t="s">
        <v>105</v>
      </c>
      <c r="K29" s="4">
        <v>0.72</v>
      </c>
      <c r="L29" s="4"/>
      <c r="M29" s="4"/>
    </row>
    <row r="30" spans="1:13">
      <c r="A30" s="4" t="s">
        <v>65</v>
      </c>
      <c r="B30" s="4"/>
      <c r="C30" s="4"/>
      <c r="D30" s="4" t="s">
        <v>66</v>
      </c>
      <c r="E30" s="128">
        <v>62</v>
      </c>
      <c r="F30" s="4"/>
      <c r="G30" s="128">
        <v>1241</v>
      </c>
      <c r="H30" s="4"/>
      <c r="I30" s="4"/>
      <c r="J30" s="4" t="s">
        <v>58</v>
      </c>
      <c r="K30" s="4">
        <v>0.5</v>
      </c>
      <c r="L30" s="4"/>
      <c r="M30" s="4"/>
    </row>
    <row r="31" spans="1:13">
      <c r="A31" s="4" t="s">
        <v>68</v>
      </c>
      <c r="B31" s="4"/>
      <c r="C31" s="4"/>
      <c r="D31" s="4" t="s">
        <v>66</v>
      </c>
      <c r="E31" s="128">
        <v>51</v>
      </c>
      <c r="F31" s="4"/>
      <c r="G31" s="4"/>
      <c r="H31" s="4"/>
      <c r="I31" s="4"/>
      <c r="J31" s="4"/>
      <c r="K31" s="4"/>
      <c r="L31" s="4"/>
      <c r="M31" s="4"/>
    </row>
    <row r="32" spans="1:13">
      <c r="A32" s="4" t="s">
        <v>6</v>
      </c>
      <c r="B32" s="4"/>
      <c r="C32" s="4"/>
      <c r="D32" s="4"/>
      <c r="E32" s="128">
        <v>113</v>
      </c>
      <c r="F32" s="4"/>
      <c r="G32" s="4"/>
      <c r="H32" s="4"/>
      <c r="I32" s="4"/>
      <c r="J32" s="4"/>
      <c r="K32" s="285"/>
      <c r="L32" s="4"/>
      <c r="M32" s="4"/>
    </row>
    <row r="33" spans="1:13">
      <c r="A33" s="4"/>
      <c r="B33" s="4"/>
      <c r="C33" s="4"/>
      <c r="D33" s="4"/>
      <c r="E33" s="4"/>
      <c r="F33" s="4"/>
      <c r="G33" s="4"/>
      <c r="H33" s="4"/>
      <c r="I33" s="4"/>
      <c r="J33" s="4"/>
      <c r="K33" s="4"/>
      <c r="L33" s="4"/>
      <c r="M33" s="4"/>
    </row>
    <row r="34" spans="1:13">
      <c r="A34" s="114" t="s">
        <v>107</v>
      </c>
      <c r="B34" s="114"/>
      <c r="C34" s="114" t="s">
        <v>73</v>
      </c>
      <c r="D34" s="114"/>
      <c r="E34" s="114"/>
      <c r="F34" s="114"/>
      <c r="G34" s="114"/>
      <c r="H34" s="4"/>
      <c r="I34" s="4"/>
      <c r="J34" s="4"/>
      <c r="K34" s="4"/>
      <c r="L34" s="4"/>
      <c r="M34" s="4"/>
    </row>
    <row r="35" spans="1:13">
      <c r="A35" s="286"/>
      <c r="B35" s="287"/>
      <c r="C35" s="293"/>
      <c r="D35" s="286"/>
      <c r="E35" s="117"/>
      <c r="F35" s="117"/>
      <c r="G35" s="142"/>
      <c r="H35" s="4"/>
      <c r="I35" s="4"/>
      <c r="J35" s="4"/>
      <c r="K35" s="4"/>
      <c r="L35" s="4"/>
      <c r="M35" s="4"/>
    </row>
    <row r="36" spans="1:13">
      <c r="A36" s="286" t="s">
        <v>108</v>
      </c>
      <c r="B36" s="287"/>
      <c r="C36" s="293">
        <v>53</v>
      </c>
      <c r="D36" s="286" t="s">
        <v>109</v>
      </c>
      <c r="E36" s="142">
        <v>48</v>
      </c>
      <c r="F36" s="142"/>
      <c r="G36" s="142">
        <v>183</v>
      </c>
      <c r="H36" s="4"/>
      <c r="I36" s="4"/>
      <c r="J36" s="4"/>
      <c r="K36" s="4"/>
      <c r="L36" s="4"/>
      <c r="M36" s="4"/>
    </row>
    <row r="37" spans="1:13">
      <c r="A37" s="286" t="s">
        <v>304</v>
      </c>
      <c r="B37" s="287"/>
      <c r="C37" s="293">
        <v>83</v>
      </c>
      <c r="D37" s="286" t="s">
        <v>75</v>
      </c>
      <c r="E37" s="142">
        <v>576</v>
      </c>
      <c r="F37" s="142"/>
      <c r="G37" s="142">
        <v>61</v>
      </c>
      <c r="H37" s="4"/>
      <c r="I37" s="4"/>
      <c r="J37" s="4"/>
      <c r="K37" s="4"/>
      <c r="L37" s="4"/>
      <c r="M37" s="4"/>
    </row>
    <row r="38" spans="1:13">
      <c r="A38" s="294" t="s">
        <v>77</v>
      </c>
      <c r="B38" s="114"/>
      <c r="C38" s="114"/>
      <c r="D38" s="114"/>
      <c r="E38" s="114"/>
      <c r="F38" s="114"/>
      <c r="G38" s="114"/>
      <c r="H38" s="4"/>
      <c r="I38" s="4" t="s">
        <v>112</v>
      </c>
      <c r="J38" s="4"/>
      <c r="K38" s="4"/>
      <c r="L38" s="4"/>
      <c r="M38" s="4"/>
    </row>
    <row r="39" spans="1:13">
      <c r="A39" s="286" t="s">
        <v>80</v>
      </c>
      <c r="B39" s="117"/>
      <c r="C39" s="117"/>
      <c r="D39" s="117"/>
      <c r="E39" s="117"/>
      <c r="F39" s="117"/>
      <c r="G39" s="166">
        <v>6264</v>
      </c>
      <c r="H39" s="4"/>
      <c r="I39" s="128">
        <v>15478</v>
      </c>
      <c r="J39" s="4"/>
      <c r="K39" s="4"/>
      <c r="L39" s="4"/>
      <c r="M39" s="4"/>
    </row>
    <row r="40" spans="1:13">
      <c r="A40" s="286" t="s">
        <v>81</v>
      </c>
      <c r="B40" s="117"/>
      <c r="C40" s="117"/>
      <c r="D40" s="117"/>
      <c r="E40" s="117"/>
      <c r="F40" s="117"/>
      <c r="G40" s="167">
        <v>90</v>
      </c>
      <c r="H40" s="4"/>
      <c r="I40" s="128"/>
      <c r="J40" s="4"/>
      <c r="K40" s="4"/>
      <c r="L40" s="4"/>
      <c r="M40" s="4"/>
    </row>
    <row r="41" spans="1:13">
      <c r="A41" s="286" t="s">
        <v>82</v>
      </c>
      <c r="B41" s="117"/>
      <c r="C41" s="117"/>
      <c r="D41" s="117"/>
      <c r="E41" s="117"/>
      <c r="F41" s="117"/>
      <c r="G41" s="167">
        <f>+G39*G40</f>
        <v>563760</v>
      </c>
      <c r="H41" s="129"/>
      <c r="I41" s="128">
        <v>1393051</v>
      </c>
      <c r="J41" s="4"/>
      <c r="K41" s="4"/>
      <c r="L41" s="4"/>
      <c r="M41" s="4"/>
    </row>
    <row r="42" spans="1:13">
      <c r="A42" s="286" t="s">
        <v>83</v>
      </c>
      <c r="B42" s="117"/>
      <c r="C42" s="117"/>
      <c r="D42" s="117"/>
      <c r="E42" s="117"/>
      <c r="F42" s="117"/>
      <c r="G42" s="167">
        <f>+G41-K18</f>
        <v>190822</v>
      </c>
      <c r="H42" s="129"/>
      <c r="I42" s="128">
        <v>471521</v>
      </c>
      <c r="J42" s="4"/>
      <c r="K42" s="4"/>
      <c r="L42" s="4"/>
      <c r="M42" s="4"/>
    </row>
    <row r="43" spans="1:13">
      <c r="A43" s="286" t="s">
        <v>84</v>
      </c>
      <c r="B43" s="117"/>
      <c r="C43" s="117"/>
      <c r="D43" s="117"/>
      <c r="E43" s="117"/>
      <c r="F43" s="117"/>
      <c r="G43" s="167">
        <f>+G41-K19</f>
        <v>265788</v>
      </c>
      <c r="H43" s="129"/>
      <c r="I43" s="128">
        <v>656762</v>
      </c>
      <c r="J43" s="4"/>
      <c r="K43" s="4"/>
      <c r="L43" s="4"/>
      <c r="M43" s="4"/>
    </row>
    <row r="44" spans="1:13">
      <c r="A44" s="286"/>
      <c r="B44" s="117"/>
      <c r="C44" s="117"/>
      <c r="D44" s="117"/>
      <c r="E44" s="117"/>
      <c r="F44" s="117"/>
      <c r="G44" s="167"/>
      <c r="H44" s="4"/>
      <c r="I44" s="4"/>
      <c r="J44" s="4"/>
      <c r="K44" s="4"/>
      <c r="L44" s="4"/>
      <c r="M44" s="4"/>
    </row>
    <row r="45" spans="1:13">
      <c r="A45" s="286" t="s">
        <v>85</v>
      </c>
      <c r="B45" s="117"/>
      <c r="C45" s="117"/>
      <c r="D45" s="117"/>
      <c r="E45" s="117"/>
      <c r="F45" s="117"/>
      <c r="G45" s="167">
        <f>+K18/G39</f>
        <v>59.536717752234992</v>
      </c>
      <c r="H45" s="4"/>
      <c r="I45" s="4"/>
      <c r="J45" s="4"/>
      <c r="K45" s="4"/>
      <c r="L45" s="4"/>
      <c r="M45" s="4"/>
    </row>
    <row r="46" spans="1:13">
      <c r="A46" s="295" t="s">
        <v>86</v>
      </c>
      <c r="B46" s="121"/>
      <c r="C46" s="121"/>
      <c r="D46" s="121"/>
      <c r="E46" s="121"/>
      <c r="F46" s="121"/>
      <c r="G46" s="168">
        <f>+K19/G39</f>
        <v>47.568965517241381</v>
      </c>
      <c r="H46" s="4"/>
      <c r="I46" s="4"/>
      <c r="J46" s="4"/>
      <c r="K46" s="4"/>
      <c r="L46" s="4"/>
      <c r="M46"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M48"/>
  <sheetViews>
    <sheetView workbookViewId="0">
      <selection sqref="A1:XFD1048576"/>
    </sheetView>
  </sheetViews>
  <sheetFormatPr defaultRowHeight="15"/>
  <cols>
    <col min="1" max="1" width="9.140625" style="2"/>
    <col min="2" max="2" width="5.5703125" style="2" customWidth="1"/>
    <col min="3" max="3" width="6" style="2" customWidth="1"/>
    <col min="4" max="4" width="5.28515625" style="2" customWidth="1"/>
    <col min="5" max="5" width="8.42578125" style="2" customWidth="1"/>
    <col min="6" max="6" width="7" style="2" customWidth="1"/>
    <col min="7" max="7" width="10" style="2" customWidth="1"/>
    <col min="8" max="8" width="9.42578125" style="2" customWidth="1"/>
    <col min="9" max="9" width="9.140625" style="2"/>
    <col min="10" max="10" width="8.140625" style="2" customWidth="1"/>
    <col min="11" max="11" width="10.140625" style="2" customWidth="1"/>
    <col min="12" max="16384" width="9.140625" style="2"/>
  </cols>
  <sheetData>
    <row r="1" spans="1:13">
      <c r="A1" s="2" t="s">
        <v>0</v>
      </c>
      <c r="B1" s="296" t="s">
        <v>305</v>
      </c>
      <c r="G1" s="2" t="s">
        <v>306</v>
      </c>
    </row>
    <row r="2" spans="1:13">
      <c r="A2" s="297"/>
      <c r="B2" s="298" t="s">
        <v>307</v>
      </c>
      <c r="C2" s="297" t="s">
        <v>308</v>
      </c>
      <c r="D2" s="297"/>
      <c r="E2" s="297"/>
      <c r="F2" s="297"/>
      <c r="G2" s="297"/>
      <c r="H2" s="297"/>
      <c r="I2" s="297"/>
      <c r="J2" s="297"/>
      <c r="K2" s="297"/>
      <c r="L2" s="297"/>
      <c r="M2" s="297"/>
    </row>
    <row r="3" spans="1:13">
      <c r="A3" s="299" t="s">
        <v>4</v>
      </c>
      <c r="B3" s="299"/>
      <c r="C3" s="299"/>
      <c r="D3" s="299" t="s">
        <v>5</v>
      </c>
      <c r="E3" s="299" t="s">
        <v>6</v>
      </c>
      <c r="F3" s="299" t="s">
        <v>7</v>
      </c>
      <c r="G3" s="299" t="s">
        <v>8</v>
      </c>
      <c r="H3" s="299" t="s">
        <v>9</v>
      </c>
      <c r="I3" s="299" t="s">
        <v>10</v>
      </c>
      <c r="J3" s="299" t="s">
        <v>11</v>
      </c>
      <c r="K3" s="299" t="s">
        <v>12</v>
      </c>
      <c r="L3" s="299" t="s">
        <v>13</v>
      </c>
      <c r="M3" s="299"/>
    </row>
    <row r="4" spans="1:13">
      <c r="D4" s="2" t="s">
        <v>14</v>
      </c>
      <c r="E4" s="2" t="s">
        <v>15</v>
      </c>
      <c r="F4" s="2" t="s">
        <v>15</v>
      </c>
      <c r="G4" s="2" t="s">
        <v>16</v>
      </c>
      <c r="H4" s="2" t="s">
        <v>17</v>
      </c>
      <c r="I4" s="2" t="s">
        <v>18</v>
      </c>
      <c r="J4" s="2" t="s">
        <v>17</v>
      </c>
      <c r="K4" s="2" t="s">
        <v>17</v>
      </c>
      <c r="L4" s="2" t="s">
        <v>10</v>
      </c>
      <c r="M4" s="2" t="s">
        <v>11</v>
      </c>
    </row>
    <row r="5" spans="1:13">
      <c r="D5" s="2" t="s">
        <v>19</v>
      </c>
      <c r="H5" s="2" t="s">
        <v>20</v>
      </c>
      <c r="I5" s="2" t="s">
        <v>17</v>
      </c>
      <c r="J5" s="2" t="s">
        <v>20</v>
      </c>
      <c r="K5" s="2" t="s">
        <v>20</v>
      </c>
    </row>
    <row r="6" spans="1:13">
      <c r="A6" s="299"/>
      <c r="B6" s="299"/>
      <c r="C6" s="299"/>
      <c r="D6" s="299"/>
      <c r="E6" s="299"/>
      <c r="F6" s="299"/>
      <c r="G6" s="299"/>
      <c r="H6" s="299"/>
      <c r="I6" s="299" t="s">
        <v>20</v>
      </c>
      <c r="J6" s="299"/>
      <c r="K6" s="299"/>
      <c r="L6" s="299"/>
      <c r="M6" s="299"/>
    </row>
    <row r="7" spans="1:13">
      <c r="A7" s="2" t="s">
        <v>309</v>
      </c>
      <c r="D7" s="2">
        <v>44</v>
      </c>
      <c r="E7" s="2">
        <v>1.96</v>
      </c>
      <c r="F7" s="2">
        <v>1.19</v>
      </c>
      <c r="G7" s="2">
        <v>1031</v>
      </c>
      <c r="H7" s="300">
        <v>2021</v>
      </c>
      <c r="K7" s="300">
        <f>+H7+I7+J7</f>
        <v>2021</v>
      </c>
    </row>
    <row r="8" spans="1:13">
      <c r="A8" s="301" t="s">
        <v>310</v>
      </c>
      <c r="D8" s="2">
        <v>90</v>
      </c>
      <c r="E8" s="2">
        <v>0.44</v>
      </c>
      <c r="F8" s="2">
        <v>0.44</v>
      </c>
      <c r="G8" s="2">
        <v>1100</v>
      </c>
      <c r="H8" s="300">
        <v>484</v>
      </c>
      <c r="I8" s="300">
        <v>7245</v>
      </c>
      <c r="K8" s="300">
        <f t="shared" ref="K8:K18" si="0">+H8+I8+J8</f>
        <v>7729</v>
      </c>
      <c r="L8" s="300">
        <v>576</v>
      </c>
    </row>
    <row r="9" spans="1:13">
      <c r="A9" s="2" t="s">
        <v>311</v>
      </c>
      <c r="D9" s="302" t="s">
        <v>25</v>
      </c>
      <c r="H9" s="300">
        <f t="shared" ref="H9" si="1">+E9*G9</f>
        <v>0</v>
      </c>
      <c r="I9" s="303" t="s">
        <v>312</v>
      </c>
      <c r="K9" s="300"/>
      <c r="L9" s="303" t="s">
        <v>313</v>
      </c>
    </row>
    <row r="10" spans="1:13">
      <c r="A10" s="2" t="s">
        <v>314</v>
      </c>
      <c r="D10" s="2">
        <v>100</v>
      </c>
      <c r="E10" s="2">
        <v>14.29</v>
      </c>
      <c r="F10" s="2">
        <v>2.97</v>
      </c>
      <c r="G10" s="2">
        <v>1182</v>
      </c>
      <c r="H10" s="300">
        <v>16891</v>
      </c>
      <c r="K10" s="300">
        <f t="shared" si="0"/>
        <v>16891</v>
      </c>
    </row>
    <row r="11" spans="1:13">
      <c r="A11" s="2" t="s">
        <v>315</v>
      </c>
      <c r="D11" s="2">
        <v>100</v>
      </c>
      <c r="E11" s="2">
        <v>14.92</v>
      </c>
      <c r="F11" s="2">
        <v>2.4500000000000002</v>
      </c>
      <c r="G11" s="2">
        <v>884</v>
      </c>
      <c r="H11" s="300">
        <v>13189</v>
      </c>
      <c r="K11" s="300">
        <f t="shared" si="0"/>
        <v>13189</v>
      </c>
    </row>
    <row r="12" spans="1:13">
      <c r="A12" s="2" t="s">
        <v>33</v>
      </c>
      <c r="D12" s="2">
        <v>88</v>
      </c>
      <c r="E12" s="2">
        <v>1.42</v>
      </c>
      <c r="F12" s="2">
        <v>1.1399999999999999</v>
      </c>
      <c r="G12" s="2">
        <v>1119</v>
      </c>
      <c r="H12" s="300">
        <v>1589</v>
      </c>
      <c r="J12" s="300">
        <f>+E35*G35+E36*G36</f>
        <v>7875</v>
      </c>
      <c r="K12" s="300">
        <f t="shared" si="0"/>
        <v>9464</v>
      </c>
    </row>
    <row r="13" spans="1:13">
      <c r="A13" s="2" t="s">
        <v>316</v>
      </c>
      <c r="D13" s="302" t="s">
        <v>317</v>
      </c>
      <c r="F13" s="303"/>
      <c r="H13" s="304" t="s">
        <v>318</v>
      </c>
      <c r="J13" s="300"/>
      <c r="K13" s="300"/>
    </row>
    <row r="14" spans="1:13">
      <c r="A14" s="2" t="s">
        <v>187</v>
      </c>
      <c r="D14" s="2">
        <v>78</v>
      </c>
      <c r="E14" s="2">
        <v>1.55</v>
      </c>
      <c r="F14" s="2">
        <v>1.0900000000000001</v>
      </c>
      <c r="G14" s="2">
        <v>1080</v>
      </c>
      <c r="H14" s="300">
        <v>1674</v>
      </c>
      <c r="J14" s="300">
        <v>4842</v>
      </c>
      <c r="K14" s="300">
        <f t="shared" si="0"/>
        <v>6516</v>
      </c>
    </row>
    <row r="15" spans="1:13">
      <c r="A15" s="2" t="s">
        <v>35</v>
      </c>
      <c r="D15" s="2">
        <v>100</v>
      </c>
      <c r="E15" s="2">
        <v>3.92</v>
      </c>
      <c r="F15" s="2">
        <v>2.94</v>
      </c>
      <c r="G15" s="2">
        <v>1146</v>
      </c>
      <c r="H15" s="300">
        <v>4492</v>
      </c>
      <c r="J15" s="300">
        <v>6788</v>
      </c>
      <c r="K15" s="300">
        <f t="shared" si="0"/>
        <v>11280</v>
      </c>
    </row>
    <row r="16" spans="1:13">
      <c r="A16" s="2" t="s">
        <v>36</v>
      </c>
      <c r="D16" s="2">
        <v>100</v>
      </c>
      <c r="E16" s="2">
        <v>5.78</v>
      </c>
      <c r="F16" s="2">
        <v>5.78</v>
      </c>
      <c r="G16" s="2">
        <v>1100</v>
      </c>
      <c r="H16" s="300">
        <v>6358</v>
      </c>
      <c r="K16" s="300">
        <f t="shared" si="0"/>
        <v>6358</v>
      </c>
    </row>
    <row r="17" spans="1:13">
      <c r="A17" s="2" t="s">
        <v>319</v>
      </c>
      <c r="D17" s="2">
        <v>100</v>
      </c>
      <c r="E17" s="2">
        <v>30.63</v>
      </c>
      <c r="F17" s="2">
        <v>4.2699999999999996</v>
      </c>
      <c r="G17" s="2">
        <v>1113</v>
      </c>
      <c r="H17" s="300">
        <v>34091</v>
      </c>
      <c r="K17" s="300">
        <f t="shared" si="0"/>
        <v>34091</v>
      </c>
    </row>
    <row r="18" spans="1:13">
      <c r="A18" s="2" t="s">
        <v>193</v>
      </c>
      <c r="D18" s="2">
        <v>57</v>
      </c>
      <c r="E18" s="2">
        <v>0.42</v>
      </c>
      <c r="F18" s="2">
        <v>0.42</v>
      </c>
      <c r="G18" s="2">
        <v>1100</v>
      </c>
      <c r="H18" s="300">
        <v>462</v>
      </c>
      <c r="I18" s="300">
        <v>6101</v>
      </c>
      <c r="K18" s="300">
        <f t="shared" si="0"/>
        <v>6563</v>
      </c>
    </row>
    <row r="19" spans="1:13">
      <c r="A19" s="305" t="s">
        <v>46</v>
      </c>
      <c r="B19" s="305"/>
      <c r="C19" s="305"/>
      <c r="D19" s="305"/>
      <c r="E19" s="305">
        <f>SUM(E7:E18)</f>
        <v>75.33</v>
      </c>
      <c r="F19" s="305">
        <f>SUM(F7:F18)</f>
        <v>22.69</v>
      </c>
      <c r="G19" s="305"/>
      <c r="H19" s="306">
        <f>SUM(H7:H18)</f>
        <v>81251</v>
      </c>
      <c r="I19" s="306">
        <f>SUM(I7:I18)</f>
        <v>13346</v>
      </c>
      <c r="J19" s="306">
        <f>SUM(J7:J18)</f>
        <v>19505</v>
      </c>
      <c r="K19" s="306">
        <f>SUM(K7:K18)</f>
        <v>114102</v>
      </c>
      <c r="L19" s="306">
        <f>+L8+L17</f>
        <v>576</v>
      </c>
      <c r="M19" s="305">
        <v>0</v>
      </c>
    </row>
    <row r="20" spans="1:13">
      <c r="A20" s="299" t="s">
        <v>47</v>
      </c>
      <c r="B20" s="299"/>
      <c r="C20" s="299"/>
      <c r="D20" s="299"/>
      <c r="E20" s="299">
        <f>+E19-F19</f>
        <v>52.64</v>
      </c>
      <c r="F20" s="299"/>
      <c r="G20" s="299"/>
      <c r="H20" s="307">
        <f>+E29*G29</f>
        <v>56316</v>
      </c>
      <c r="I20" s="307">
        <f>+I19-L19</f>
        <v>12770</v>
      </c>
      <c r="J20" s="307">
        <f>+J19-M19</f>
        <v>19505</v>
      </c>
      <c r="K20" s="307">
        <f>+J20+H20+I20</f>
        <v>88591</v>
      </c>
      <c r="L20" s="299"/>
      <c r="M20" s="299"/>
    </row>
    <row r="21" spans="1:13">
      <c r="A21" s="297"/>
      <c r="B21" s="297"/>
      <c r="C21" s="297"/>
      <c r="D21" s="297"/>
      <c r="E21" s="297"/>
      <c r="F21" s="297"/>
      <c r="G21" s="297"/>
      <c r="H21" s="308"/>
      <c r="I21" s="308"/>
      <c r="J21" s="308"/>
      <c r="K21" s="308"/>
      <c r="L21" s="297"/>
      <c r="M21" s="297"/>
    </row>
    <row r="22" spans="1:13">
      <c r="C22" s="2" t="s">
        <v>103</v>
      </c>
    </row>
    <row r="24" spans="1:13">
      <c r="A24" s="299" t="s">
        <v>50</v>
      </c>
      <c r="B24" s="299"/>
      <c r="C24" s="299"/>
      <c r="D24" s="299"/>
      <c r="E24" s="299"/>
      <c r="F24" s="299"/>
      <c r="G24" s="299"/>
    </row>
    <row r="25" spans="1:13">
      <c r="A25" s="2" t="s">
        <v>51</v>
      </c>
      <c r="D25" s="2" t="s">
        <v>52</v>
      </c>
      <c r="E25" s="2" t="s">
        <v>53</v>
      </c>
      <c r="G25" s="2" t="s">
        <v>54</v>
      </c>
    </row>
    <row r="26" spans="1:13">
      <c r="K26" s="309" t="s">
        <v>105</v>
      </c>
      <c r="L26" s="310">
        <v>1.39</v>
      </c>
    </row>
    <row r="27" spans="1:13">
      <c r="A27" s="2" t="s">
        <v>320</v>
      </c>
      <c r="D27" s="2" t="s">
        <v>75</v>
      </c>
      <c r="E27" s="2">
        <v>1165</v>
      </c>
      <c r="G27" s="2" t="s">
        <v>321</v>
      </c>
      <c r="K27" s="311" t="s">
        <v>58</v>
      </c>
      <c r="L27" s="312">
        <v>1</v>
      </c>
    </row>
    <row r="28" spans="1:13">
      <c r="A28" s="2" t="s">
        <v>64</v>
      </c>
    </row>
    <row r="29" spans="1:13">
      <c r="A29" s="2" t="s">
        <v>65</v>
      </c>
      <c r="D29" s="2" t="s">
        <v>66</v>
      </c>
      <c r="E29" s="300">
        <v>52</v>
      </c>
      <c r="G29" s="300">
        <v>1083</v>
      </c>
      <c r="K29" s="309" t="s">
        <v>165</v>
      </c>
      <c r="L29" s="310" t="s">
        <v>166</v>
      </c>
    </row>
    <row r="30" spans="1:13">
      <c r="A30" s="2" t="s">
        <v>68</v>
      </c>
      <c r="D30" s="2" t="s">
        <v>66</v>
      </c>
      <c r="E30" s="300">
        <v>23</v>
      </c>
      <c r="K30" s="311" t="s">
        <v>322</v>
      </c>
      <c r="L30" s="313">
        <v>100</v>
      </c>
    </row>
    <row r="31" spans="1:13">
      <c r="A31" s="2" t="s">
        <v>6</v>
      </c>
      <c r="E31" s="300">
        <v>75</v>
      </c>
    </row>
    <row r="32" spans="1:13">
      <c r="E32" s="300"/>
    </row>
    <row r="33" spans="1:10">
      <c r="A33" s="299" t="s">
        <v>107</v>
      </c>
      <c r="B33" s="299"/>
      <c r="C33" s="299" t="s">
        <v>73</v>
      </c>
      <c r="D33" s="299"/>
      <c r="E33" s="299"/>
      <c r="F33" s="299"/>
      <c r="G33" s="299"/>
    </row>
    <row r="34" spans="1:10">
      <c r="D34" s="2" t="s">
        <v>75</v>
      </c>
    </row>
    <row r="35" spans="1:10">
      <c r="A35" s="2" t="s">
        <v>323</v>
      </c>
      <c r="C35" s="2">
        <v>40</v>
      </c>
      <c r="D35" s="2" t="s">
        <v>75</v>
      </c>
      <c r="E35" s="2">
        <v>64</v>
      </c>
      <c r="G35" s="2">
        <v>55</v>
      </c>
    </row>
    <row r="36" spans="1:10">
      <c r="A36" s="2" t="s">
        <v>324</v>
      </c>
      <c r="C36" s="2">
        <v>43</v>
      </c>
      <c r="D36" s="2" t="s">
        <v>75</v>
      </c>
      <c r="E36" s="2">
        <v>67</v>
      </c>
      <c r="G36" s="2">
        <v>65</v>
      </c>
    </row>
    <row r="37" spans="1:10">
      <c r="A37" s="2" t="s">
        <v>325</v>
      </c>
      <c r="C37" s="303" t="s">
        <v>223</v>
      </c>
      <c r="D37" s="2" t="s">
        <v>75</v>
      </c>
      <c r="E37" s="303" t="s">
        <v>326</v>
      </c>
      <c r="G37" s="303" t="s">
        <v>327</v>
      </c>
    </row>
    <row r="38" spans="1:10">
      <c r="A38" s="2" t="s">
        <v>200</v>
      </c>
      <c r="C38" s="303" t="s">
        <v>328</v>
      </c>
      <c r="D38" s="2" t="s">
        <v>75</v>
      </c>
      <c r="E38" s="303" t="s">
        <v>329</v>
      </c>
      <c r="G38" s="303" t="s">
        <v>330</v>
      </c>
    </row>
    <row r="39" spans="1:10">
      <c r="C39" s="303"/>
      <c r="E39" s="303"/>
    </row>
    <row r="40" spans="1:10">
      <c r="A40" s="299" t="s">
        <v>77</v>
      </c>
      <c r="B40" s="299"/>
      <c r="C40" s="299"/>
      <c r="D40" s="299"/>
      <c r="E40" s="299"/>
      <c r="F40" s="299"/>
      <c r="G40" s="299" t="s">
        <v>207</v>
      </c>
      <c r="H40" s="299"/>
      <c r="I40" s="299" t="s">
        <v>208</v>
      </c>
    </row>
    <row r="41" spans="1:10">
      <c r="A41" s="2" t="s">
        <v>80</v>
      </c>
      <c r="G41" s="300">
        <v>7408</v>
      </c>
      <c r="I41" s="300">
        <v>18305</v>
      </c>
    </row>
    <row r="42" spans="1:10">
      <c r="A42" s="2" t="s">
        <v>81</v>
      </c>
      <c r="G42" s="2">
        <v>35.75</v>
      </c>
      <c r="I42" s="300"/>
    </row>
    <row r="43" spans="1:10">
      <c r="A43" s="2" t="s">
        <v>82</v>
      </c>
      <c r="G43" s="2">
        <f>+G41*G42</f>
        <v>264836</v>
      </c>
      <c r="H43" s="314"/>
      <c r="I43" s="2">
        <v>654410</v>
      </c>
      <c r="J43" s="314"/>
    </row>
    <row r="44" spans="1:10">
      <c r="A44" s="2" t="s">
        <v>83</v>
      </c>
      <c r="G44" s="300">
        <f>+G43-K19</f>
        <v>150734</v>
      </c>
      <c r="H44" s="314"/>
      <c r="I44" s="2">
        <v>372464</v>
      </c>
      <c r="J44" s="314"/>
    </row>
    <row r="45" spans="1:10">
      <c r="A45" s="2" t="s">
        <v>84</v>
      </c>
      <c r="G45" s="300">
        <f>+G43-K20</f>
        <v>176245</v>
      </c>
      <c r="H45" s="314"/>
      <c r="I45" s="2">
        <v>435501</v>
      </c>
      <c r="J45" s="314"/>
    </row>
    <row r="46" spans="1:10">
      <c r="G46" s="300"/>
      <c r="H46" s="314"/>
      <c r="I46" s="300"/>
      <c r="J46" s="314"/>
    </row>
    <row r="47" spans="1:10">
      <c r="A47" s="2" t="s">
        <v>85</v>
      </c>
      <c r="G47" s="300">
        <f>+K19/G41</f>
        <v>15.402537796976242</v>
      </c>
      <c r="H47" s="300"/>
    </row>
    <row r="48" spans="1:10">
      <c r="A48" s="299" t="s">
        <v>86</v>
      </c>
      <c r="B48" s="299"/>
      <c r="C48" s="299"/>
      <c r="D48" s="299"/>
      <c r="E48" s="299"/>
      <c r="F48" s="299"/>
      <c r="G48" s="307">
        <f>+K20/G41</f>
        <v>11.9588282937365</v>
      </c>
      <c r="H48" s="307"/>
      <c r="I48" s="29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N48"/>
  <sheetViews>
    <sheetView workbookViewId="0">
      <selection sqref="A1:XFD1048576"/>
    </sheetView>
  </sheetViews>
  <sheetFormatPr defaultRowHeight="12.75"/>
  <cols>
    <col min="1" max="16384" width="9.140625" style="317"/>
  </cols>
  <sheetData>
    <row r="1" spans="1:14" ht="15.75">
      <c r="A1" s="315" t="s">
        <v>0</v>
      </c>
      <c r="B1" s="316" t="s">
        <v>331</v>
      </c>
      <c r="C1" s="316"/>
      <c r="D1" s="316"/>
      <c r="E1" s="316"/>
      <c r="F1" s="316"/>
      <c r="G1" s="315"/>
      <c r="H1" s="315"/>
      <c r="I1" s="315"/>
      <c r="J1" s="315"/>
      <c r="K1" s="315"/>
      <c r="L1" s="315"/>
      <c r="M1" s="315"/>
      <c r="N1" s="315"/>
    </row>
    <row r="2" spans="1:14" ht="15.75">
      <c r="A2" s="316"/>
      <c r="B2" s="316" t="s">
        <v>179</v>
      </c>
      <c r="C2" s="316" t="s">
        <v>332</v>
      </c>
      <c r="D2" s="316"/>
      <c r="E2" s="316"/>
      <c r="F2" s="316" t="s">
        <v>181</v>
      </c>
      <c r="G2" s="316"/>
      <c r="H2" s="318"/>
      <c r="I2" s="318"/>
      <c r="J2" s="315"/>
      <c r="K2" s="315"/>
      <c r="L2" s="315"/>
      <c r="M2" s="315"/>
      <c r="N2" s="315"/>
    </row>
    <row r="3" spans="1:14">
      <c r="A3" s="319" t="s">
        <v>4</v>
      </c>
      <c r="B3" s="319"/>
      <c r="C3" s="319"/>
      <c r="D3" s="320" t="s">
        <v>5</v>
      </c>
      <c r="E3" s="320" t="s">
        <v>6</v>
      </c>
      <c r="F3" s="320" t="s">
        <v>7</v>
      </c>
      <c r="G3" s="320" t="s">
        <v>8</v>
      </c>
      <c r="H3" s="320" t="s">
        <v>9</v>
      </c>
      <c r="I3" s="320" t="s">
        <v>10</v>
      </c>
      <c r="J3" s="320" t="s">
        <v>11</v>
      </c>
      <c r="K3" s="320" t="s">
        <v>12</v>
      </c>
      <c r="L3" s="321" t="s">
        <v>13</v>
      </c>
      <c r="M3" s="320"/>
      <c r="N3" s="315"/>
    </row>
    <row r="4" spans="1:14">
      <c r="A4" s="315"/>
      <c r="B4" s="315"/>
      <c r="C4" s="315"/>
      <c r="D4" s="322" t="s">
        <v>14</v>
      </c>
      <c r="E4" s="322" t="s">
        <v>15</v>
      </c>
      <c r="F4" s="322" t="s">
        <v>15</v>
      </c>
      <c r="G4" s="322" t="s">
        <v>16</v>
      </c>
      <c r="H4" s="322" t="s">
        <v>17</v>
      </c>
      <c r="I4" s="322" t="s">
        <v>18</v>
      </c>
      <c r="J4" s="322" t="s">
        <v>17</v>
      </c>
      <c r="K4" s="322" t="s">
        <v>17</v>
      </c>
      <c r="L4" s="322" t="s">
        <v>10</v>
      </c>
      <c r="M4" s="322" t="s">
        <v>11</v>
      </c>
      <c r="N4" s="315"/>
    </row>
    <row r="5" spans="1:14">
      <c r="A5" s="315"/>
      <c r="B5" s="315"/>
      <c r="C5" s="315"/>
      <c r="D5" s="322" t="s">
        <v>19</v>
      </c>
      <c r="E5" s="322"/>
      <c r="F5" s="322"/>
      <c r="G5" s="322"/>
      <c r="H5" s="322" t="s">
        <v>20</v>
      </c>
      <c r="I5" s="322" t="s">
        <v>17</v>
      </c>
      <c r="J5" s="322" t="s">
        <v>20</v>
      </c>
      <c r="K5" s="322" t="s">
        <v>20</v>
      </c>
      <c r="L5" s="322"/>
      <c r="M5" s="322"/>
      <c r="N5" s="315"/>
    </row>
    <row r="6" spans="1:14">
      <c r="A6" s="323"/>
      <c r="B6" s="323"/>
      <c r="C6" s="323"/>
      <c r="D6" s="324"/>
      <c r="E6" s="324"/>
      <c r="F6" s="324"/>
      <c r="G6" s="324"/>
      <c r="H6" s="324"/>
      <c r="I6" s="324" t="s">
        <v>20</v>
      </c>
      <c r="J6" s="324"/>
      <c r="K6" s="324"/>
      <c r="L6" s="324"/>
      <c r="M6" s="324"/>
      <c r="N6" s="315"/>
    </row>
    <row r="7" spans="1:14">
      <c r="A7" s="315" t="s">
        <v>21</v>
      </c>
      <c r="B7" s="315"/>
      <c r="C7" s="315"/>
      <c r="D7" s="322">
        <v>100</v>
      </c>
      <c r="E7" s="322">
        <v>5.39</v>
      </c>
      <c r="F7" s="322">
        <v>5.39</v>
      </c>
      <c r="G7" s="325">
        <v>1040</v>
      </c>
      <c r="H7" s="325">
        <v>5606</v>
      </c>
      <c r="I7" s="322"/>
      <c r="J7" s="325">
        <v>1183</v>
      </c>
      <c r="K7" s="325">
        <f>SUM(H7:J7)</f>
        <v>6789</v>
      </c>
      <c r="L7" s="322"/>
      <c r="M7" s="322"/>
      <c r="N7" s="315"/>
    </row>
    <row r="8" spans="1:14">
      <c r="A8" s="315" t="s">
        <v>182</v>
      </c>
      <c r="B8" s="315"/>
      <c r="C8" s="315"/>
      <c r="D8" s="326" t="s">
        <v>223</v>
      </c>
      <c r="E8" s="326" t="s">
        <v>333</v>
      </c>
      <c r="F8" s="326" t="s">
        <v>334</v>
      </c>
      <c r="G8" s="322" t="s">
        <v>335</v>
      </c>
      <c r="H8" s="325" t="s">
        <v>336</v>
      </c>
      <c r="I8" s="322"/>
      <c r="J8" s="322"/>
      <c r="K8" s="325"/>
      <c r="L8" s="322"/>
      <c r="M8" s="322"/>
      <c r="N8" s="315"/>
    </row>
    <row r="9" spans="1:14">
      <c r="A9" s="315" t="s">
        <v>337</v>
      </c>
      <c r="B9" s="315"/>
      <c r="C9" s="315"/>
      <c r="D9" s="327">
        <v>93</v>
      </c>
      <c r="E9" s="328">
        <v>0.98</v>
      </c>
      <c r="F9" s="328">
        <v>0.98</v>
      </c>
      <c r="G9" s="328">
        <v>1138</v>
      </c>
      <c r="H9" s="328">
        <v>1115</v>
      </c>
      <c r="I9" s="328">
        <v>5853</v>
      </c>
      <c r="J9" s="328"/>
      <c r="K9" s="328">
        <f>SUM(H9:J9)</f>
        <v>6968</v>
      </c>
      <c r="L9" s="328">
        <v>411</v>
      </c>
      <c r="M9" s="328"/>
      <c r="N9" s="315"/>
    </row>
    <row r="10" spans="1:14">
      <c r="A10" s="315" t="s">
        <v>338</v>
      </c>
      <c r="B10" s="315"/>
      <c r="C10" s="315"/>
      <c r="D10" s="326" t="s">
        <v>339</v>
      </c>
      <c r="E10" s="328" t="s">
        <v>340</v>
      </c>
      <c r="F10" s="328" t="s">
        <v>341</v>
      </c>
      <c r="G10" s="328" t="s">
        <v>335</v>
      </c>
      <c r="H10" s="328" t="s">
        <v>342</v>
      </c>
      <c r="I10" s="328"/>
      <c r="J10" s="328"/>
      <c r="K10" s="328"/>
      <c r="L10" s="328"/>
      <c r="M10" s="328"/>
      <c r="N10" s="315"/>
    </row>
    <row r="11" spans="1:14">
      <c r="A11" s="315" t="s">
        <v>343</v>
      </c>
      <c r="B11" s="315"/>
      <c r="C11" s="315"/>
      <c r="D11" s="327">
        <v>70</v>
      </c>
      <c r="E11" s="328">
        <v>0.94</v>
      </c>
      <c r="F11" s="328">
        <v>0.94</v>
      </c>
      <c r="G11" s="329">
        <v>1040</v>
      </c>
      <c r="H11" s="328">
        <v>978</v>
      </c>
      <c r="I11" s="328">
        <v>6233</v>
      </c>
      <c r="J11" s="328"/>
      <c r="K11" s="328">
        <f t="shared" ref="K11:K21" si="0">SUM(H11:J11)</f>
        <v>7211</v>
      </c>
      <c r="L11" s="328"/>
      <c r="M11" s="328"/>
      <c r="N11" s="330"/>
    </row>
    <row r="12" spans="1:14">
      <c r="A12" s="331" t="s">
        <v>184</v>
      </c>
      <c r="B12" s="331"/>
      <c r="C12" s="331"/>
      <c r="D12" s="327">
        <v>100</v>
      </c>
      <c r="E12" s="328">
        <v>16.78</v>
      </c>
      <c r="F12" s="328">
        <v>16.43</v>
      </c>
      <c r="G12" s="328">
        <v>1045</v>
      </c>
      <c r="H12" s="328">
        <v>17535</v>
      </c>
      <c r="I12" s="328"/>
      <c r="J12" s="328"/>
      <c r="K12" s="328">
        <f t="shared" si="0"/>
        <v>17535</v>
      </c>
      <c r="L12" s="328"/>
      <c r="M12" s="328"/>
      <c r="N12" s="315"/>
    </row>
    <row r="13" spans="1:14">
      <c r="A13" s="315" t="s">
        <v>139</v>
      </c>
      <c r="B13" s="315"/>
      <c r="C13" s="315"/>
      <c r="D13" s="327">
        <v>100</v>
      </c>
      <c r="E13" s="328">
        <v>12.74</v>
      </c>
      <c r="F13" s="328">
        <v>8.48</v>
      </c>
      <c r="G13" s="328">
        <v>882</v>
      </c>
      <c r="H13" s="328">
        <v>11237</v>
      </c>
      <c r="I13" s="328"/>
      <c r="J13" s="328">
        <f>E26*G26</f>
        <v>1640</v>
      </c>
      <c r="K13" s="328">
        <f t="shared" si="0"/>
        <v>12877</v>
      </c>
      <c r="L13" s="328"/>
      <c r="M13" s="328">
        <v>61</v>
      </c>
      <c r="N13" s="315"/>
    </row>
    <row r="14" spans="1:14">
      <c r="A14" s="315" t="s">
        <v>186</v>
      </c>
      <c r="B14" s="315"/>
      <c r="C14" s="315"/>
      <c r="D14" s="327">
        <v>100</v>
      </c>
      <c r="E14" s="328">
        <v>14.37</v>
      </c>
      <c r="F14" s="328">
        <v>13.8</v>
      </c>
      <c r="G14" s="328">
        <v>1046</v>
      </c>
      <c r="H14" s="328">
        <v>15031</v>
      </c>
      <c r="I14" s="328"/>
      <c r="J14" s="328">
        <f>E32*G32+E33*G33+E34*G34</f>
        <v>31853</v>
      </c>
      <c r="K14" s="328">
        <f t="shared" si="0"/>
        <v>46884</v>
      </c>
      <c r="L14" s="328"/>
      <c r="M14" s="328"/>
      <c r="N14" s="315"/>
    </row>
    <row r="15" spans="1:14">
      <c r="A15" s="315" t="s">
        <v>344</v>
      </c>
      <c r="B15" s="315"/>
      <c r="C15" s="315"/>
      <c r="D15" s="327">
        <v>100</v>
      </c>
      <c r="E15" s="328">
        <v>25.3</v>
      </c>
      <c r="F15" s="328">
        <v>18</v>
      </c>
      <c r="G15" s="328">
        <v>1020</v>
      </c>
      <c r="H15" s="328">
        <v>25806</v>
      </c>
      <c r="I15" s="328"/>
      <c r="J15" s="328"/>
      <c r="K15" s="328">
        <f t="shared" si="0"/>
        <v>25806</v>
      </c>
      <c r="L15" s="328"/>
      <c r="M15" s="328"/>
      <c r="N15" s="315"/>
    </row>
    <row r="16" spans="1:14">
      <c r="A16" s="315" t="s">
        <v>189</v>
      </c>
      <c r="B16" s="315"/>
      <c r="C16" s="315"/>
      <c r="D16" s="327">
        <v>100</v>
      </c>
      <c r="E16" s="328">
        <v>11.11</v>
      </c>
      <c r="F16" s="328">
        <v>5.75</v>
      </c>
      <c r="G16" s="328">
        <v>1087</v>
      </c>
      <c r="H16" s="328">
        <v>12077</v>
      </c>
      <c r="I16" s="328"/>
      <c r="J16" s="328">
        <v>22853</v>
      </c>
      <c r="K16" s="328">
        <f t="shared" si="0"/>
        <v>34930</v>
      </c>
      <c r="L16" s="328"/>
      <c r="M16" s="328"/>
      <c r="N16" s="315"/>
    </row>
    <row r="17" spans="1:14">
      <c r="A17" s="315" t="s">
        <v>190</v>
      </c>
      <c r="B17" s="315"/>
      <c r="C17" s="315"/>
      <c r="D17" s="327">
        <v>100</v>
      </c>
      <c r="E17" s="328">
        <v>25.8</v>
      </c>
      <c r="F17" s="328">
        <v>25.8</v>
      </c>
      <c r="G17" s="328">
        <v>1040</v>
      </c>
      <c r="H17" s="328">
        <v>26832</v>
      </c>
      <c r="I17" s="328">
        <v>15376</v>
      </c>
      <c r="J17" s="328"/>
      <c r="K17" s="328">
        <f t="shared" si="0"/>
        <v>42208</v>
      </c>
      <c r="L17" s="328"/>
      <c r="M17" s="328"/>
      <c r="N17" s="315"/>
    </row>
    <row r="18" spans="1:14">
      <c r="A18" s="315" t="s">
        <v>345</v>
      </c>
      <c r="B18" s="315"/>
      <c r="C18" s="315"/>
      <c r="D18" s="327">
        <v>100</v>
      </c>
      <c r="E18" s="328">
        <v>44.5</v>
      </c>
      <c r="F18" s="328">
        <v>31.54</v>
      </c>
      <c r="G18" s="328">
        <v>961</v>
      </c>
      <c r="H18" s="328">
        <v>42765</v>
      </c>
      <c r="I18" s="328"/>
      <c r="J18" s="328"/>
      <c r="K18" s="328">
        <f t="shared" si="0"/>
        <v>42765</v>
      </c>
      <c r="L18" s="328"/>
      <c r="M18" s="328"/>
      <c r="N18" s="315"/>
    </row>
    <row r="19" spans="1:14">
      <c r="A19" s="315" t="s">
        <v>346</v>
      </c>
      <c r="B19" s="315"/>
      <c r="C19" s="315"/>
      <c r="D19" s="327">
        <v>53</v>
      </c>
      <c r="E19" s="328">
        <v>0.77</v>
      </c>
      <c r="F19" s="328">
        <v>0.77</v>
      </c>
      <c r="G19" s="328">
        <v>961</v>
      </c>
      <c r="H19" s="328">
        <v>740</v>
      </c>
      <c r="I19" s="328">
        <v>14717</v>
      </c>
      <c r="J19" s="328"/>
      <c r="K19" s="328">
        <f t="shared" si="0"/>
        <v>15457</v>
      </c>
      <c r="L19" s="328">
        <v>1338</v>
      </c>
      <c r="M19" s="328"/>
      <c r="N19" s="315"/>
    </row>
    <row r="20" spans="1:14">
      <c r="A20" s="319" t="s">
        <v>194</v>
      </c>
      <c r="B20" s="319"/>
      <c r="C20" s="319"/>
      <c r="D20" s="332"/>
      <c r="E20" s="333">
        <f>SUM(E7:E19)</f>
        <v>158.68</v>
      </c>
      <c r="F20" s="333">
        <f>SUM(F7:F19)</f>
        <v>127.87999999999998</v>
      </c>
      <c r="G20" s="333"/>
      <c r="H20" s="333">
        <f>SUM(H7:H19)</f>
        <v>159722</v>
      </c>
      <c r="I20" s="333">
        <f>SUM(I7:I19)</f>
        <v>42179</v>
      </c>
      <c r="J20" s="333">
        <f>SUM(J7:J19)</f>
        <v>57529</v>
      </c>
      <c r="K20" s="333">
        <f t="shared" si="0"/>
        <v>259430</v>
      </c>
      <c r="L20" s="333">
        <f>SUM(L9:L19)</f>
        <v>1749</v>
      </c>
      <c r="M20" s="333">
        <f>SUM(M9:M19)</f>
        <v>61</v>
      </c>
      <c r="N20" s="315"/>
    </row>
    <row r="21" spans="1:14">
      <c r="A21" s="323" t="s">
        <v>195</v>
      </c>
      <c r="B21" s="323"/>
      <c r="C21" s="323"/>
      <c r="D21" s="334"/>
      <c r="E21" s="335">
        <f>SUM(E20-F20)</f>
        <v>30.800000000000026</v>
      </c>
      <c r="F21" s="335"/>
      <c r="G21" s="335"/>
      <c r="H21" s="335">
        <f>E28*G28</f>
        <v>31155</v>
      </c>
      <c r="I21" s="335">
        <f>I20-L20</f>
        <v>40430</v>
      </c>
      <c r="J21" s="335">
        <f>J20-M20</f>
        <v>57468</v>
      </c>
      <c r="K21" s="335">
        <f t="shared" si="0"/>
        <v>129053</v>
      </c>
      <c r="L21" s="323"/>
      <c r="M21" s="323"/>
      <c r="N21" s="315"/>
    </row>
    <row r="22" spans="1:14">
      <c r="A22" s="315"/>
      <c r="B22" s="315"/>
      <c r="C22" s="315" t="s">
        <v>103</v>
      </c>
      <c r="D22" s="315"/>
      <c r="E22" s="315"/>
      <c r="F22" s="315"/>
      <c r="G22" s="315"/>
      <c r="H22" s="315"/>
      <c r="I22" s="315"/>
      <c r="J22" s="315"/>
      <c r="K22" s="315"/>
      <c r="L22" s="315"/>
      <c r="M22" s="315"/>
      <c r="N22" s="315"/>
    </row>
    <row r="23" spans="1:14">
      <c r="A23" s="315" t="s">
        <v>50</v>
      </c>
      <c r="B23" s="315"/>
      <c r="C23" s="315"/>
      <c r="D23" s="315"/>
      <c r="E23" s="315"/>
      <c r="F23" s="315"/>
      <c r="G23" s="315"/>
      <c r="H23" s="315"/>
      <c r="I23" s="315"/>
      <c r="J23" s="315"/>
      <c r="K23" s="315"/>
      <c r="L23" s="315"/>
      <c r="M23" s="315"/>
      <c r="N23" s="315"/>
    </row>
    <row r="24" spans="1:14">
      <c r="A24" s="336" t="s">
        <v>51</v>
      </c>
      <c r="B24" s="336"/>
      <c r="C24" s="336"/>
      <c r="D24" s="336" t="s">
        <v>52</v>
      </c>
      <c r="E24" s="336" t="s">
        <v>53</v>
      </c>
      <c r="F24" s="336"/>
      <c r="G24" s="336" t="s">
        <v>54</v>
      </c>
      <c r="H24" s="315"/>
      <c r="I24" s="315"/>
      <c r="J24" s="315"/>
      <c r="K24" s="315"/>
      <c r="L24" s="315"/>
      <c r="M24" s="315"/>
      <c r="N24" s="315"/>
    </row>
    <row r="25" spans="1:14">
      <c r="A25" s="315" t="s">
        <v>55</v>
      </c>
      <c r="B25" s="315"/>
      <c r="C25" s="315"/>
      <c r="D25" s="315"/>
      <c r="E25" s="315"/>
      <c r="F25" s="315"/>
      <c r="G25" s="315"/>
      <c r="H25" s="315"/>
      <c r="I25" s="315"/>
      <c r="J25" s="337" t="s">
        <v>143</v>
      </c>
      <c r="K25" s="338" t="s">
        <v>196</v>
      </c>
      <c r="L25" s="315"/>
      <c r="M25" s="315"/>
      <c r="N25" s="315"/>
    </row>
    <row r="26" spans="1:14">
      <c r="A26" s="315" t="s">
        <v>99</v>
      </c>
      <c r="B26" s="315"/>
      <c r="C26" s="315"/>
      <c r="D26" s="315" t="s">
        <v>75</v>
      </c>
      <c r="E26" s="328">
        <v>0.41</v>
      </c>
      <c r="F26" s="315"/>
      <c r="G26" s="328">
        <v>4000</v>
      </c>
      <c r="H26" s="315"/>
      <c r="I26" s="315"/>
      <c r="J26" s="337" t="s">
        <v>347</v>
      </c>
      <c r="K26" s="338">
        <v>50</v>
      </c>
      <c r="L26" s="315"/>
      <c r="M26" s="315"/>
      <c r="N26" s="315"/>
    </row>
    <row r="27" spans="1:14">
      <c r="A27" s="315" t="s">
        <v>64</v>
      </c>
      <c r="B27" s="315"/>
      <c r="C27" s="315"/>
      <c r="D27" s="315"/>
      <c r="E27" s="315"/>
      <c r="F27" s="315"/>
      <c r="G27" s="315"/>
      <c r="H27" s="315"/>
      <c r="I27" s="315"/>
      <c r="J27" s="339" t="s">
        <v>348</v>
      </c>
      <c r="K27" s="339">
        <v>27</v>
      </c>
      <c r="L27" s="315"/>
      <c r="M27" s="315"/>
      <c r="N27" s="315"/>
    </row>
    <row r="28" spans="1:14">
      <c r="A28" s="315" t="s">
        <v>65</v>
      </c>
      <c r="B28" s="315"/>
      <c r="C28" s="315"/>
      <c r="D28" s="315" t="s">
        <v>66</v>
      </c>
      <c r="E28" s="328">
        <v>31</v>
      </c>
      <c r="F28" s="315"/>
      <c r="G28" s="328">
        <v>1005</v>
      </c>
      <c r="H28" s="315"/>
      <c r="I28" s="318"/>
      <c r="J28" s="339" t="s">
        <v>349</v>
      </c>
      <c r="K28" s="339">
        <v>13</v>
      </c>
      <c r="L28" s="315"/>
      <c r="M28" s="315"/>
      <c r="N28" s="315"/>
    </row>
    <row r="29" spans="1:14">
      <c r="A29" s="315" t="s">
        <v>68</v>
      </c>
      <c r="B29" s="315"/>
      <c r="C29" s="315"/>
      <c r="D29" s="315" t="s">
        <v>66</v>
      </c>
      <c r="E29" s="328">
        <v>128</v>
      </c>
      <c r="F29" s="315"/>
      <c r="G29" s="315"/>
      <c r="H29" s="315"/>
      <c r="I29" s="318"/>
      <c r="J29" s="339" t="s">
        <v>71</v>
      </c>
      <c r="K29" s="339">
        <v>10</v>
      </c>
      <c r="L29" s="315"/>
      <c r="M29" s="315"/>
      <c r="N29" s="315"/>
    </row>
    <row r="30" spans="1:14">
      <c r="A30" s="315" t="s">
        <v>6</v>
      </c>
      <c r="B30" s="315"/>
      <c r="C30" s="315"/>
      <c r="D30" s="315" t="s">
        <v>66</v>
      </c>
      <c r="E30" s="328">
        <f>SUM(E28:E29)</f>
        <v>159</v>
      </c>
      <c r="F30" s="315"/>
      <c r="G30" s="315"/>
      <c r="H30" s="315"/>
      <c r="I30" s="318"/>
      <c r="J30" s="318"/>
      <c r="K30" s="318"/>
      <c r="L30" s="315"/>
      <c r="M30" s="315"/>
      <c r="N30" s="315"/>
    </row>
    <row r="31" spans="1:14">
      <c r="A31" s="319" t="s">
        <v>72</v>
      </c>
      <c r="B31" s="319"/>
      <c r="C31" s="319" t="s">
        <v>73</v>
      </c>
      <c r="D31" s="319"/>
      <c r="E31" s="319"/>
      <c r="F31" s="319"/>
      <c r="G31" s="319"/>
      <c r="H31" s="315"/>
      <c r="I31" s="318"/>
      <c r="J31" s="318" t="s">
        <v>105</v>
      </c>
      <c r="K31" s="318">
        <v>0.4</v>
      </c>
      <c r="L31" s="315"/>
      <c r="M31" s="315"/>
      <c r="N31" s="315"/>
    </row>
    <row r="32" spans="1:14">
      <c r="A32" s="315"/>
      <c r="B32" s="315" t="s">
        <v>200</v>
      </c>
      <c r="C32" s="315">
        <v>57</v>
      </c>
      <c r="D32" s="315" t="s">
        <v>75</v>
      </c>
      <c r="E32" s="328">
        <v>157</v>
      </c>
      <c r="F32" s="328"/>
      <c r="G32" s="328">
        <v>50</v>
      </c>
      <c r="H32" s="315"/>
      <c r="I32" s="318"/>
      <c r="J32" s="318" t="s">
        <v>58</v>
      </c>
      <c r="K32" s="318">
        <v>0.25</v>
      </c>
      <c r="L32" s="315"/>
      <c r="M32" s="315"/>
      <c r="N32" s="315"/>
    </row>
    <row r="33" spans="1:14">
      <c r="A33" s="315"/>
      <c r="B33" s="315" t="s">
        <v>201</v>
      </c>
      <c r="C33" s="315">
        <v>60</v>
      </c>
      <c r="D33" s="315" t="s">
        <v>75</v>
      </c>
      <c r="E33" s="328">
        <v>105</v>
      </c>
      <c r="F33" s="328"/>
      <c r="G33" s="328">
        <v>50</v>
      </c>
      <c r="H33" s="315"/>
      <c r="I33" s="318"/>
      <c r="J33" s="329"/>
      <c r="K33" s="315"/>
      <c r="L33" s="315"/>
      <c r="M33" s="315"/>
      <c r="N33" s="315"/>
    </row>
    <row r="34" spans="1:14">
      <c r="A34" s="315"/>
      <c r="B34" s="315" t="s">
        <v>350</v>
      </c>
      <c r="C34" s="315">
        <v>93</v>
      </c>
      <c r="D34" s="315" t="s">
        <v>75</v>
      </c>
      <c r="E34" s="328">
        <v>329</v>
      </c>
      <c r="F34" s="328"/>
      <c r="G34" s="328">
        <v>57</v>
      </c>
      <c r="H34" s="315"/>
      <c r="I34" s="318"/>
      <c r="J34" s="329"/>
      <c r="K34" s="315"/>
      <c r="L34" s="315"/>
      <c r="M34" s="315"/>
      <c r="N34" s="315"/>
    </row>
    <row r="35" spans="1:14">
      <c r="A35" s="315"/>
      <c r="B35" s="315"/>
      <c r="C35" s="315"/>
      <c r="D35" s="315"/>
      <c r="E35" s="328"/>
      <c r="F35" s="328"/>
      <c r="G35" s="328"/>
      <c r="H35" s="315"/>
      <c r="I35" s="318"/>
      <c r="J35" s="329"/>
      <c r="K35" s="315"/>
      <c r="L35" s="315"/>
      <c r="M35" s="315"/>
      <c r="N35" s="315"/>
    </row>
    <row r="36" spans="1:14">
      <c r="A36" s="315"/>
      <c r="B36" s="315"/>
      <c r="C36" s="315"/>
      <c r="D36" s="315"/>
      <c r="E36" s="328"/>
      <c r="F36" s="328"/>
      <c r="G36" s="328"/>
      <c r="H36" s="315"/>
      <c r="I36" s="318"/>
      <c r="J36" s="318"/>
      <c r="K36" s="315"/>
      <c r="L36" s="315"/>
      <c r="M36" s="315"/>
      <c r="N36" s="315"/>
    </row>
    <row r="37" spans="1:14">
      <c r="A37" s="336" t="s">
        <v>77</v>
      </c>
      <c r="B37" s="336"/>
      <c r="C37" s="336"/>
      <c r="D37" s="336"/>
      <c r="E37" s="336"/>
      <c r="F37" s="336"/>
      <c r="G37" s="340" t="s">
        <v>207</v>
      </c>
      <c r="H37" s="322"/>
      <c r="I37" s="341" t="s">
        <v>208</v>
      </c>
      <c r="J37" s="328"/>
      <c r="K37" s="315"/>
      <c r="L37" s="315"/>
      <c r="M37" s="315"/>
      <c r="N37" s="315"/>
    </row>
    <row r="38" spans="1:14">
      <c r="A38" s="315"/>
      <c r="B38" s="315"/>
      <c r="C38" s="315"/>
      <c r="D38" s="315"/>
      <c r="E38" s="315"/>
      <c r="F38" s="315"/>
      <c r="G38" s="315"/>
      <c r="H38" s="315"/>
      <c r="I38" s="315"/>
      <c r="J38" s="328"/>
      <c r="K38" s="315"/>
      <c r="L38" s="315"/>
      <c r="M38" s="315"/>
      <c r="N38" s="315"/>
    </row>
    <row r="39" spans="1:14">
      <c r="A39" s="315" t="s">
        <v>209</v>
      </c>
      <c r="B39" s="315"/>
      <c r="C39" s="315"/>
      <c r="D39" s="315"/>
      <c r="E39" s="315"/>
      <c r="F39" s="315"/>
      <c r="G39" s="342">
        <v>4022</v>
      </c>
      <c r="H39" s="343" t="s">
        <v>210</v>
      </c>
      <c r="I39" s="328">
        <v>9938</v>
      </c>
      <c r="J39" s="315"/>
      <c r="K39" s="315"/>
      <c r="L39" s="315"/>
      <c r="M39" s="315"/>
      <c r="N39" s="315"/>
    </row>
    <row r="40" spans="1:14">
      <c r="A40" s="315" t="s">
        <v>81</v>
      </c>
      <c r="B40" s="315"/>
      <c r="C40" s="315"/>
      <c r="D40" s="315"/>
      <c r="E40" s="315"/>
      <c r="F40" s="315"/>
      <c r="G40" s="342">
        <v>231</v>
      </c>
      <c r="H40" s="315"/>
      <c r="I40" s="328"/>
      <c r="J40" s="315"/>
      <c r="K40" s="315"/>
      <c r="L40" s="315"/>
      <c r="M40" s="315"/>
      <c r="N40" s="315"/>
    </row>
    <row r="41" spans="1:14">
      <c r="A41" s="315" t="s">
        <v>211</v>
      </c>
      <c r="B41" s="315"/>
      <c r="C41" s="315"/>
      <c r="D41" s="315"/>
      <c r="E41" s="315"/>
      <c r="F41" s="315"/>
      <c r="G41" s="342">
        <f>SUM(G39*G40)</f>
        <v>929082</v>
      </c>
      <c r="H41" s="315"/>
      <c r="I41" s="328">
        <v>2295762</v>
      </c>
      <c r="J41" s="315"/>
      <c r="K41" s="315"/>
      <c r="L41" s="315"/>
      <c r="M41" s="315"/>
      <c r="N41" s="315"/>
    </row>
    <row r="42" spans="1:14">
      <c r="A42" s="315" t="s">
        <v>212</v>
      </c>
      <c r="B42" s="315"/>
      <c r="C42" s="315"/>
      <c r="D42" s="315"/>
      <c r="E42" s="315"/>
      <c r="F42" s="315"/>
      <c r="G42" s="342">
        <f>SUM(G41-K20)</f>
        <v>669652</v>
      </c>
      <c r="H42" s="315"/>
      <c r="I42" s="328">
        <v>1654710</v>
      </c>
      <c r="J42" s="315"/>
      <c r="K42" s="315"/>
      <c r="L42" s="315"/>
      <c r="M42" s="315"/>
      <c r="N42" s="315"/>
    </row>
    <row r="43" spans="1:14">
      <c r="A43" s="315" t="s">
        <v>213</v>
      </c>
      <c r="B43" s="315"/>
      <c r="C43" s="315"/>
      <c r="D43" s="315"/>
      <c r="E43" s="315"/>
      <c r="F43" s="315"/>
      <c r="G43" s="342">
        <f>SUM(G41-K21)</f>
        <v>800029</v>
      </c>
      <c r="H43" s="315"/>
      <c r="I43" s="328">
        <v>1976872</v>
      </c>
      <c r="J43" s="315"/>
      <c r="K43" s="315"/>
      <c r="L43" s="315"/>
      <c r="M43" s="315"/>
      <c r="N43" s="315"/>
    </row>
    <row r="44" spans="1:14">
      <c r="A44" s="315" t="s">
        <v>214</v>
      </c>
      <c r="B44" s="315"/>
      <c r="C44" s="315"/>
      <c r="D44" s="315"/>
      <c r="E44" s="315"/>
      <c r="F44" s="315"/>
      <c r="G44" s="342">
        <f>SUM(K20/G39)</f>
        <v>64.502734957732471</v>
      </c>
      <c r="H44" s="315"/>
      <c r="I44" s="315"/>
      <c r="J44" s="315"/>
      <c r="K44" s="315"/>
      <c r="L44" s="315"/>
      <c r="M44" s="315"/>
      <c r="N44" s="315"/>
    </row>
    <row r="45" spans="1:14">
      <c r="A45" s="323" t="s">
        <v>215</v>
      </c>
      <c r="B45" s="323"/>
      <c r="C45" s="323"/>
      <c r="D45" s="323"/>
      <c r="E45" s="323"/>
      <c r="F45" s="323"/>
      <c r="G45" s="344">
        <f>SUM(K21/G39)</f>
        <v>32.086772749875685</v>
      </c>
      <c r="H45" s="315"/>
      <c r="I45" s="315"/>
      <c r="J45" s="315"/>
      <c r="K45" s="315"/>
      <c r="L45" s="315"/>
      <c r="M45" s="315"/>
      <c r="N45" s="315"/>
    </row>
    <row r="46" spans="1:14">
      <c r="A46" s="315"/>
      <c r="B46" s="315"/>
      <c r="C46" s="315"/>
      <c r="D46" s="315"/>
      <c r="E46" s="315"/>
      <c r="F46" s="315"/>
      <c r="G46" s="315"/>
      <c r="H46" s="315"/>
      <c r="I46" s="315"/>
      <c r="J46" s="315"/>
      <c r="K46" s="315"/>
      <c r="L46" s="315"/>
      <c r="M46" s="315"/>
      <c r="N46" s="315"/>
    </row>
    <row r="47" spans="1:14" ht="13.5">
      <c r="A47" s="345" t="s">
        <v>216</v>
      </c>
      <c r="B47" s="315"/>
      <c r="C47" s="315"/>
      <c r="D47" s="315"/>
      <c r="E47" s="315"/>
      <c r="F47" s="315"/>
      <c r="G47" s="315"/>
      <c r="H47" s="315"/>
      <c r="I47" s="315"/>
      <c r="J47" s="315"/>
      <c r="K47" s="315"/>
      <c r="L47" s="315"/>
      <c r="M47" s="315"/>
      <c r="N47" s="315"/>
    </row>
    <row r="48" spans="1:14">
      <c r="A48" s="315" t="s">
        <v>351</v>
      </c>
      <c r="B48" s="315"/>
      <c r="C48" s="315"/>
      <c r="D48" s="315"/>
      <c r="E48" s="315"/>
      <c r="F48" s="315"/>
      <c r="G48" s="315"/>
      <c r="H48" s="315"/>
      <c r="I48" s="315"/>
      <c r="J48" s="315"/>
      <c r="K48" s="315"/>
      <c r="L48" s="315"/>
      <c r="M48" s="315"/>
      <c r="N48" s="31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N61"/>
  <sheetViews>
    <sheetView workbookViewId="0">
      <selection sqref="A1:XFD1048576"/>
    </sheetView>
  </sheetViews>
  <sheetFormatPr defaultRowHeight="15"/>
  <cols>
    <col min="1" max="16384" width="9.140625" style="2"/>
  </cols>
  <sheetData>
    <row r="1" spans="1:14">
      <c r="A1" s="418" t="s">
        <v>0</v>
      </c>
      <c r="B1" s="418" t="s">
        <v>390</v>
      </c>
      <c r="C1" s="418"/>
      <c r="D1" s="418"/>
      <c r="E1" s="418"/>
      <c r="F1" s="418"/>
      <c r="G1" s="418"/>
      <c r="H1" s="418"/>
      <c r="I1" s="418"/>
      <c r="J1" s="418"/>
      <c r="K1" s="418"/>
      <c r="L1" s="418"/>
      <c r="M1" s="418"/>
      <c r="N1" s="418"/>
    </row>
    <row r="2" spans="1:14">
      <c r="A2" s="418"/>
      <c r="B2" s="418" t="s">
        <v>391</v>
      </c>
      <c r="C2" s="418"/>
      <c r="D2" s="418"/>
      <c r="E2" s="418"/>
      <c r="F2" s="418"/>
      <c r="G2" s="418"/>
      <c r="H2" s="418"/>
      <c r="I2" s="418"/>
      <c r="J2" s="418"/>
      <c r="K2" s="418"/>
      <c r="L2" s="418"/>
      <c r="M2" s="418"/>
      <c r="N2" s="418"/>
    </row>
    <row r="3" spans="1:14">
      <c r="A3" s="418"/>
      <c r="B3" s="418" t="s">
        <v>131</v>
      </c>
      <c r="C3" s="418"/>
      <c r="D3" s="418"/>
      <c r="E3" s="418"/>
      <c r="F3" s="418"/>
      <c r="G3" s="418"/>
      <c r="H3" s="418"/>
      <c r="I3" s="418"/>
      <c r="J3" s="418"/>
      <c r="K3" s="418"/>
      <c r="L3" s="418"/>
      <c r="M3" s="418"/>
      <c r="N3" s="418"/>
    </row>
    <row r="4" spans="1:14">
      <c r="A4" s="419" t="s">
        <v>4</v>
      </c>
      <c r="B4" s="419"/>
      <c r="C4" s="419"/>
      <c r="D4" s="420" t="s">
        <v>5</v>
      </c>
      <c r="E4" s="420" t="s">
        <v>6</v>
      </c>
      <c r="F4" s="420" t="s">
        <v>7</v>
      </c>
      <c r="G4" s="420" t="s">
        <v>8</v>
      </c>
      <c r="H4" s="420" t="s">
        <v>9</v>
      </c>
      <c r="I4" s="420" t="s">
        <v>10</v>
      </c>
      <c r="J4" s="420" t="s">
        <v>11</v>
      </c>
      <c r="K4" s="420" t="s">
        <v>12</v>
      </c>
      <c r="L4" s="421" t="s">
        <v>13</v>
      </c>
      <c r="M4" s="420"/>
      <c r="N4" s="418"/>
    </row>
    <row r="5" spans="1:14">
      <c r="A5" s="422"/>
      <c r="B5" s="422"/>
      <c r="C5" s="422"/>
      <c r="D5" s="423" t="s">
        <v>14</v>
      </c>
      <c r="E5" s="423" t="s">
        <v>15</v>
      </c>
      <c r="F5" s="423" t="s">
        <v>15</v>
      </c>
      <c r="G5" s="423" t="s">
        <v>16</v>
      </c>
      <c r="H5" s="423" t="s">
        <v>17</v>
      </c>
      <c r="I5" s="423" t="s">
        <v>18</v>
      </c>
      <c r="J5" s="423" t="s">
        <v>17</v>
      </c>
      <c r="K5" s="423" t="s">
        <v>17</v>
      </c>
      <c r="L5" s="424" t="s">
        <v>10</v>
      </c>
      <c r="M5" s="423" t="s">
        <v>11</v>
      </c>
      <c r="N5" s="418"/>
    </row>
    <row r="6" spans="1:14">
      <c r="A6" s="422"/>
      <c r="B6" s="422"/>
      <c r="C6" s="422"/>
      <c r="D6" s="423" t="s">
        <v>19</v>
      </c>
      <c r="E6" s="423"/>
      <c r="F6" s="423"/>
      <c r="G6" s="423"/>
      <c r="H6" s="423" t="s">
        <v>20</v>
      </c>
      <c r="I6" s="423" t="s">
        <v>17</v>
      </c>
      <c r="J6" s="423" t="s">
        <v>20</v>
      </c>
      <c r="K6" s="423" t="s">
        <v>20</v>
      </c>
      <c r="L6" s="423"/>
      <c r="M6" s="423"/>
      <c r="N6" s="418"/>
    </row>
    <row r="7" spans="1:14">
      <c r="A7" s="425"/>
      <c r="B7" s="425"/>
      <c r="C7" s="425"/>
      <c r="D7" s="426"/>
      <c r="E7" s="426"/>
      <c r="F7" s="426"/>
      <c r="G7" s="426"/>
      <c r="H7" s="426"/>
      <c r="I7" s="426" t="s">
        <v>20</v>
      </c>
      <c r="J7" s="426"/>
      <c r="K7" s="426"/>
      <c r="L7" s="426"/>
      <c r="M7" s="426"/>
      <c r="N7" s="418"/>
    </row>
    <row r="8" spans="1:14">
      <c r="A8" s="418" t="s">
        <v>22</v>
      </c>
      <c r="B8" s="418"/>
      <c r="C8" s="418"/>
      <c r="D8" s="427">
        <v>80</v>
      </c>
      <c r="E8" s="428">
        <v>2.74</v>
      </c>
      <c r="F8" s="428">
        <v>0.43</v>
      </c>
      <c r="G8" s="429">
        <v>1190</v>
      </c>
      <c r="H8" s="428">
        <v>3261</v>
      </c>
      <c r="I8" s="418"/>
      <c r="J8" s="428"/>
      <c r="K8" s="428">
        <v>3261</v>
      </c>
      <c r="L8" s="418"/>
      <c r="M8" s="418"/>
      <c r="N8" s="418"/>
    </row>
    <row r="9" spans="1:14">
      <c r="A9" s="418" t="s">
        <v>392</v>
      </c>
      <c r="B9" s="418"/>
      <c r="C9" s="418"/>
      <c r="D9" s="427">
        <v>100</v>
      </c>
      <c r="E9" s="428">
        <v>0.5</v>
      </c>
      <c r="F9" s="428">
        <v>0.23</v>
      </c>
      <c r="G9" s="429">
        <v>1000</v>
      </c>
      <c r="H9" s="428">
        <v>500</v>
      </c>
      <c r="I9" s="428">
        <v>3139</v>
      </c>
      <c r="J9" s="428"/>
      <c r="K9" s="428">
        <v>3639</v>
      </c>
      <c r="L9" s="418"/>
      <c r="M9" s="418"/>
      <c r="N9" s="418"/>
    </row>
    <row r="10" spans="1:14">
      <c r="A10" s="430" t="s">
        <v>393</v>
      </c>
      <c r="B10" s="427"/>
      <c r="C10" s="418"/>
      <c r="D10" s="427">
        <v>97</v>
      </c>
      <c r="E10" s="428">
        <v>4.68</v>
      </c>
      <c r="F10" s="428">
        <v>0.69</v>
      </c>
      <c r="G10" s="429">
        <v>642</v>
      </c>
      <c r="H10" s="428">
        <v>3005</v>
      </c>
      <c r="I10" s="418"/>
      <c r="J10" s="428"/>
      <c r="K10" s="428">
        <v>3005</v>
      </c>
      <c r="L10" s="418"/>
      <c r="M10" s="418"/>
      <c r="N10" s="418"/>
    </row>
    <row r="11" spans="1:14">
      <c r="A11" s="418" t="s">
        <v>394</v>
      </c>
      <c r="B11" s="418"/>
      <c r="C11" s="418"/>
      <c r="D11" s="427">
        <v>100</v>
      </c>
      <c r="E11" s="428">
        <v>11.88</v>
      </c>
      <c r="F11" s="428">
        <v>1.64</v>
      </c>
      <c r="G11" s="429">
        <v>715</v>
      </c>
      <c r="H11" s="428">
        <v>8494</v>
      </c>
      <c r="I11" s="418"/>
      <c r="J11" s="428">
        <v>132921</v>
      </c>
      <c r="K11" s="428">
        <v>141415</v>
      </c>
      <c r="L11" s="428">
        <v>1996</v>
      </c>
      <c r="M11" s="418"/>
      <c r="N11" s="418"/>
    </row>
    <row r="12" spans="1:14">
      <c r="A12" s="418" t="s">
        <v>33</v>
      </c>
      <c r="B12" s="418"/>
      <c r="C12" s="418"/>
      <c r="D12" s="427">
        <v>100</v>
      </c>
      <c r="E12" s="428">
        <v>2.4300000000000002</v>
      </c>
      <c r="F12" s="428">
        <v>1.21</v>
      </c>
      <c r="G12" s="429">
        <v>1257</v>
      </c>
      <c r="H12" s="428">
        <v>3055</v>
      </c>
      <c r="I12" s="418"/>
      <c r="J12" s="428">
        <v>28617</v>
      </c>
      <c r="K12" s="428">
        <v>31672</v>
      </c>
      <c r="L12" s="418"/>
      <c r="M12" s="418"/>
      <c r="N12" s="418"/>
    </row>
    <row r="13" spans="1:14">
      <c r="A13" s="418" t="s">
        <v>367</v>
      </c>
      <c r="B13" s="418"/>
      <c r="C13" s="418"/>
      <c r="D13" s="427">
        <v>86.67</v>
      </c>
      <c r="E13" s="428">
        <v>0.46</v>
      </c>
      <c r="F13" s="428">
        <v>0.19</v>
      </c>
      <c r="G13" s="429">
        <v>1265</v>
      </c>
      <c r="H13" s="428">
        <v>582</v>
      </c>
      <c r="I13" s="418"/>
      <c r="J13" s="431">
        <v>1792</v>
      </c>
      <c r="K13" s="428">
        <v>2374</v>
      </c>
      <c r="L13" s="418"/>
      <c r="M13" s="418"/>
      <c r="N13" s="418"/>
    </row>
    <row r="14" spans="1:14">
      <c r="A14" s="418" t="s">
        <v>395</v>
      </c>
      <c r="B14" s="418"/>
      <c r="C14" s="418"/>
      <c r="D14" s="427">
        <v>40</v>
      </c>
      <c r="E14" s="428">
        <v>9.93</v>
      </c>
      <c r="F14" s="428">
        <v>1.56</v>
      </c>
      <c r="G14" s="429">
        <v>637</v>
      </c>
      <c r="H14" s="428">
        <v>6325</v>
      </c>
      <c r="I14" s="418"/>
      <c r="J14" s="428"/>
      <c r="K14" s="428">
        <v>6325</v>
      </c>
      <c r="L14" s="418"/>
      <c r="M14" s="418"/>
      <c r="N14" s="418"/>
    </row>
    <row r="15" spans="1:14">
      <c r="A15" s="418" t="s">
        <v>35</v>
      </c>
      <c r="B15" s="418"/>
      <c r="C15" s="418"/>
      <c r="D15" s="427">
        <v>93.33</v>
      </c>
      <c r="E15" s="428">
        <v>0.56000000000000005</v>
      </c>
      <c r="F15" s="428">
        <v>0.28000000000000003</v>
      </c>
      <c r="G15" s="429">
        <v>1217</v>
      </c>
      <c r="H15" s="428">
        <v>682</v>
      </c>
      <c r="I15" s="418"/>
      <c r="J15" s="428">
        <v>2518</v>
      </c>
      <c r="K15" s="428">
        <v>3200</v>
      </c>
      <c r="L15" s="418"/>
      <c r="M15" s="418"/>
      <c r="N15" s="418"/>
    </row>
    <row r="16" spans="1:14">
      <c r="A16" s="418" t="s">
        <v>36</v>
      </c>
      <c r="B16" s="418"/>
      <c r="C16" s="418"/>
      <c r="D16" s="427">
        <v>100</v>
      </c>
      <c r="E16" s="428">
        <v>23.22</v>
      </c>
      <c r="F16" s="428">
        <v>10.49</v>
      </c>
      <c r="G16" s="429">
        <v>1143</v>
      </c>
      <c r="H16" s="428">
        <v>26540</v>
      </c>
      <c r="I16" s="428">
        <v>9100</v>
      </c>
      <c r="J16" s="432"/>
      <c r="K16" s="428">
        <v>35640</v>
      </c>
      <c r="L16" s="418"/>
      <c r="M16" s="418"/>
      <c r="N16" s="418"/>
    </row>
    <row r="17" spans="1:14">
      <c r="A17" s="433" t="s">
        <v>396</v>
      </c>
      <c r="B17" s="418"/>
      <c r="C17" s="418"/>
      <c r="D17" s="427">
        <v>76.67</v>
      </c>
      <c r="E17" s="428">
        <v>1.44</v>
      </c>
      <c r="F17" s="428">
        <v>0.89</v>
      </c>
      <c r="G17" s="429">
        <v>1057</v>
      </c>
      <c r="H17" s="428">
        <v>1522</v>
      </c>
      <c r="I17" s="428">
        <v>20485</v>
      </c>
      <c r="J17" s="428"/>
      <c r="K17" s="428">
        <v>22007</v>
      </c>
      <c r="L17" s="418"/>
      <c r="M17" s="418"/>
      <c r="N17" s="418"/>
    </row>
    <row r="18" spans="1:14">
      <c r="A18" s="418" t="s">
        <v>142</v>
      </c>
      <c r="B18" s="418"/>
      <c r="C18" s="418"/>
      <c r="D18" s="427">
        <v>100</v>
      </c>
      <c r="E18" s="428">
        <v>11.33</v>
      </c>
      <c r="F18" s="428">
        <v>1.36</v>
      </c>
      <c r="G18" s="429">
        <v>789</v>
      </c>
      <c r="H18" s="428">
        <v>8939</v>
      </c>
      <c r="I18" s="418"/>
      <c r="J18" s="428"/>
      <c r="K18" s="428">
        <v>8939</v>
      </c>
      <c r="L18" s="418"/>
      <c r="M18" s="418"/>
      <c r="N18" s="418"/>
    </row>
    <row r="19" spans="1:14">
      <c r="A19" s="418" t="s">
        <v>397</v>
      </c>
      <c r="B19" s="418"/>
      <c r="C19" s="418"/>
      <c r="D19" s="427">
        <v>96.67</v>
      </c>
      <c r="E19" s="428">
        <v>13.59</v>
      </c>
      <c r="F19" s="428">
        <v>2.06</v>
      </c>
      <c r="G19" s="429">
        <v>1154</v>
      </c>
      <c r="H19" s="428">
        <v>15683</v>
      </c>
      <c r="I19" s="418"/>
      <c r="J19" s="434" t="s">
        <v>398</v>
      </c>
      <c r="K19" s="428">
        <v>18129</v>
      </c>
      <c r="L19" s="418"/>
      <c r="M19" s="418"/>
      <c r="N19" s="418"/>
    </row>
    <row r="20" spans="1:14">
      <c r="A20" s="418" t="s">
        <v>399</v>
      </c>
      <c r="B20" s="418"/>
      <c r="C20" s="418"/>
      <c r="D20" s="427">
        <v>86.67</v>
      </c>
      <c r="E20" s="428">
        <v>0.5</v>
      </c>
      <c r="F20" s="428">
        <v>0.5</v>
      </c>
      <c r="G20" s="429">
        <v>1000</v>
      </c>
      <c r="H20" s="428">
        <v>500</v>
      </c>
      <c r="I20" s="428">
        <v>2573</v>
      </c>
      <c r="J20" s="428"/>
      <c r="K20" s="428">
        <v>3073</v>
      </c>
      <c r="L20" s="428">
        <v>835</v>
      </c>
      <c r="M20" s="418"/>
      <c r="N20" s="418"/>
    </row>
    <row r="21" spans="1:14">
      <c r="A21" s="419" t="s">
        <v>46</v>
      </c>
      <c r="B21" s="419"/>
      <c r="C21" s="419"/>
      <c r="D21" s="435"/>
      <c r="E21" s="436">
        <v>83.26</v>
      </c>
      <c r="F21" s="436">
        <v>21.53</v>
      </c>
      <c r="G21" s="436"/>
      <c r="H21" s="436">
        <v>79088</v>
      </c>
      <c r="I21" s="436">
        <v>35297</v>
      </c>
      <c r="J21" s="436">
        <v>168294</v>
      </c>
      <c r="K21" s="436">
        <v>282679</v>
      </c>
      <c r="L21" s="436">
        <v>2831</v>
      </c>
      <c r="M21" s="419">
        <v>0</v>
      </c>
      <c r="N21" s="418"/>
    </row>
    <row r="22" spans="1:14">
      <c r="A22" s="425" t="s">
        <v>47</v>
      </c>
      <c r="B22" s="425"/>
      <c r="C22" s="425"/>
      <c r="D22" s="437"/>
      <c r="E22" s="438">
        <v>61.730000000000004</v>
      </c>
      <c r="F22" s="438"/>
      <c r="G22" s="438"/>
      <c r="H22" s="438">
        <v>59768</v>
      </c>
      <c r="I22" s="438">
        <v>32466</v>
      </c>
      <c r="J22" s="438">
        <v>168294</v>
      </c>
      <c r="K22" s="438">
        <v>260528</v>
      </c>
      <c r="L22" s="425"/>
      <c r="M22" s="425"/>
      <c r="N22" s="418"/>
    </row>
    <row r="23" spans="1:14">
      <c r="A23" s="418" t="s">
        <v>400</v>
      </c>
      <c r="B23" s="418"/>
      <c r="C23" s="418"/>
      <c r="D23" s="418"/>
      <c r="E23" s="418"/>
      <c r="F23" s="418"/>
      <c r="G23" s="418"/>
      <c r="H23" s="418"/>
      <c r="I23" s="418"/>
      <c r="J23" s="418"/>
      <c r="K23" s="418"/>
      <c r="L23" s="418"/>
      <c r="M23" s="418"/>
      <c r="N23" s="418"/>
    </row>
    <row r="24" spans="1:14">
      <c r="A24" s="418"/>
      <c r="B24" s="418"/>
      <c r="C24" s="418" t="s">
        <v>103</v>
      </c>
      <c r="D24" s="418"/>
      <c r="E24" s="418"/>
      <c r="F24" s="418"/>
      <c r="G24" s="418"/>
      <c r="H24" s="418"/>
      <c r="I24" s="418"/>
      <c r="J24" s="418"/>
      <c r="K24" s="418"/>
      <c r="L24" s="418"/>
      <c r="M24" s="418"/>
      <c r="N24" s="418"/>
    </row>
    <row r="25" spans="1:14">
      <c r="A25" s="418"/>
      <c r="B25" s="418"/>
      <c r="C25" s="418"/>
      <c r="D25" s="418"/>
      <c r="E25" s="418"/>
      <c r="F25" s="418"/>
      <c r="G25" s="418"/>
      <c r="H25" s="418"/>
      <c r="I25" s="418"/>
      <c r="J25" s="418"/>
      <c r="K25" s="418"/>
      <c r="L25" s="418"/>
      <c r="M25" s="418"/>
      <c r="N25" s="418"/>
    </row>
    <row r="26" spans="1:14">
      <c r="A26" s="418" t="s">
        <v>50</v>
      </c>
      <c r="B26" s="418"/>
      <c r="C26" s="418"/>
      <c r="D26" s="418"/>
      <c r="E26" s="418"/>
      <c r="F26" s="418"/>
      <c r="G26" s="418"/>
      <c r="H26" s="418"/>
      <c r="I26" s="418"/>
      <c r="J26" s="418"/>
      <c r="K26" s="418"/>
      <c r="L26" s="418"/>
      <c r="M26" s="418"/>
      <c r="N26" s="418"/>
    </row>
    <row r="27" spans="1:14">
      <c r="A27" s="439" t="s">
        <v>51</v>
      </c>
      <c r="B27" s="439"/>
      <c r="C27" s="439"/>
      <c r="D27" s="439" t="s">
        <v>52</v>
      </c>
      <c r="E27" s="439" t="s">
        <v>53</v>
      </c>
      <c r="F27" s="439"/>
      <c r="G27" s="439" t="s">
        <v>54</v>
      </c>
      <c r="H27" s="418"/>
      <c r="I27" s="418"/>
      <c r="J27" s="418"/>
      <c r="K27" s="418"/>
      <c r="L27" s="418"/>
      <c r="M27" s="418"/>
      <c r="N27" s="418"/>
    </row>
    <row r="28" spans="1:14">
      <c r="A28" s="418" t="s">
        <v>55</v>
      </c>
      <c r="B28" s="418"/>
      <c r="C28" s="418"/>
      <c r="D28" s="418"/>
      <c r="E28" s="418"/>
      <c r="F28" s="418"/>
      <c r="G28" s="418"/>
      <c r="H28" s="418"/>
      <c r="I28" s="418" t="s">
        <v>105</v>
      </c>
      <c r="J28" s="418">
        <v>1.67</v>
      </c>
      <c r="K28" s="418"/>
      <c r="L28" s="418"/>
      <c r="M28" s="418"/>
      <c r="N28" s="418"/>
    </row>
    <row r="29" spans="1:14">
      <c r="A29" s="418" t="s">
        <v>56</v>
      </c>
      <c r="B29" s="418"/>
      <c r="C29" s="418"/>
      <c r="D29" s="418" t="s">
        <v>75</v>
      </c>
      <c r="E29" s="428">
        <v>547</v>
      </c>
      <c r="F29" s="418"/>
      <c r="G29" s="432">
        <v>243</v>
      </c>
      <c r="H29" s="418"/>
      <c r="I29" s="418" t="s">
        <v>58</v>
      </c>
      <c r="J29" s="418">
        <v>2</v>
      </c>
      <c r="K29" s="418"/>
      <c r="L29" s="418"/>
      <c r="M29" s="418"/>
      <c r="N29" s="418"/>
    </row>
    <row r="30" spans="1:14">
      <c r="A30" s="418" t="s">
        <v>64</v>
      </c>
      <c r="B30" s="418"/>
      <c r="C30" s="418"/>
      <c r="D30" s="418"/>
      <c r="E30" s="418"/>
      <c r="F30" s="418"/>
      <c r="G30" s="418"/>
      <c r="H30" s="418"/>
      <c r="I30" s="440"/>
      <c r="J30" s="440"/>
      <c r="K30" s="440"/>
      <c r="L30" s="418"/>
      <c r="M30" s="418"/>
      <c r="N30" s="418"/>
    </row>
    <row r="31" spans="1:14">
      <c r="A31" s="418" t="s">
        <v>65</v>
      </c>
      <c r="B31" s="418"/>
      <c r="C31" s="418"/>
      <c r="D31" s="418" t="s">
        <v>66</v>
      </c>
      <c r="E31" s="428">
        <v>62</v>
      </c>
      <c r="F31" s="418"/>
      <c r="G31" s="428">
        <v>964</v>
      </c>
      <c r="H31" s="418"/>
      <c r="I31" s="440"/>
      <c r="J31" s="418" t="s">
        <v>143</v>
      </c>
      <c r="K31" s="440"/>
      <c r="L31" s="418"/>
      <c r="M31" s="418"/>
      <c r="N31" s="418"/>
    </row>
    <row r="32" spans="1:14">
      <c r="A32" s="418" t="s">
        <v>68</v>
      </c>
      <c r="B32" s="418"/>
      <c r="C32" s="418"/>
      <c r="D32" s="418" t="s">
        <v>66</v>
      </c>
      <c r="E32" s="428">
        <v>20</v>
      </c>
      <c r="F32" s="418"/>
      <c r="G32" s="418"/>
      <c r="H32" s="418"/>
      <c r="I32" s="440"/>
      <c r="J32" s="418" t="s">
        <v>401</v>
      </c>
      <c r="K32" s="441">
        <v>0.43</v>
      </c>
      <c r="L32" s="440"/>
      <c r="M32" s="418"/>
      <c r="N32" s="418"/>
    </row>
    <row r="33" spans="1:14">
      <c r="A33" s="418" t="s">
        <v>6</v>
      </c>
      <c r="B33" s="418"/>
      <c r="C33" s="418"/>
      <c r="D33" s="418"/>
      <c r="E33" s="428">
        <v>82</v>
      </c>
      <c r="F33" s="418"/>
      <c r="G33" s="418"/>
      <c r="H33" s="418"/>
      <c r="I33" s="418"/>
      <c r="J33" s="418" t="s">
        <v>402</v>
      </c>
      <c r="K33" s="441">
        <v>0.37</v>
      </c>
      <c r="L33" s="440"/>
      <c r="M33" s="418"/>
      <c r="N33" s="418"/>
    </row>
    <row r="34" spans="1:14">
      <c r="A34" s="419" t="s">
        <v>107</v>
      </c>
      <c r="B34" s="419"/>
      <c r="C34" s="419" t="s">
        <v>73</v>
      </c>
      <c r="D34" s="419"/>
      <c r="E34" s="419"/>
      <c r="F34" s="419"/>
      <c r="G34" s="419"/>
      <c r="H34" s="418"/>
      <c r="I34" s="418"/>
      <c r="J34" s="418" t="s">
        <v>403</v>
      </c>
      <c r="K34" s="441">
        <v>0.2</v>
      </c>
      <c r="L34" s="440"/>
      <c r="M34" s="418"/>
      <c r="N34" s="418"/>
    </row>
    <row r="35" spans="1:14">
      <c r="A35" s="422"/>
      <c r="B35" s="424" t="s">
        <v>201</v>
      </c>
      <c r="C35" s="442">
        <v>40</v>
      </c>
      <c r="D35" s="422" t="s">
        <v>75</v>
      </c>
      <c r="E35" s="443">
        <v>58</v>
      </c>
      <c r="F35" s="422"/>
      <c r="G35" s="443">
        <v>50</v>
      </c>
      <c r="H35" s="418"/>
      <c r="I35" s="418"/>
      <c r="J35" s="418"/>
      <c r="K35" s="418"/>
      <c r="L35" s="418"/>
      <c r="M35" s="418"/>
      <c r="N35" s="418"/>
    </row>
    <row r="36" spans="1:14">
      <c r="A36" s="422"/>
      <c r="B36" s="424" t="s">
        <v>200</v>
      </c>
      <c r="C36" s="442">
        <v>77</v>
      </c>
      <c r="D36" s="422" t="s">
        <v>75</v>
      </c>
      <c r="E36" s="443">
        <v>60</v>
      </c>
      <c r="F36" s="422"/>
      <c r="G36" s="443">
        <v>50</v>
      </c>
      <c r="H36" s="418"/>
      <c r="I36" s="418"/>
      <c r="J36" s="418"/>
      <c r="K36" s="418"/>
      <c r="L36" s="418"/>
      <c r="M36" s="418"/>
      <c r="N36" s="418"/>
    </row>
    <row r="37" spans="1:14">
      <c r="A37" s="422"/>
      <c r="B37" s="424" t="s">
        <v>404</v>
      </c>
      <c r="C37" s="442">
        <v>100</v>
      </c>
      <c r="D37" s="422" t="s">
        <v>405</v>
      </c>
      <c r="E37" s="443">
        <v>105</v>
      </c>
      <c r="F37" s="422"/>
      <c r="G37" s="443">
        <v>156</v>
      </c>
      <c r="H37" s="418"/>
      <c r="I37" s="418"/>
      <c r="J37" s="418"/>
      <c r="K37" s="418"/>
      <c r="L37" s="418"/>
      <c r="M37" s="418"/>
      <c r="N37" s="418"/>
    </row>
    <row r="38" spans="1:14">
      <c r="A38" s="418"/>
      <c r="B38" s="424" t="s">
        <v>406</v>
      </c>
      <c r="C38" s="442">
        <v>77</v>
      </c>
      <c r="D38" s="422" t="s">
        <v>75</v>
      </c>
      <c r="E38" s="443">
        <v>99</v>
      </c>
      <c r="F38" s="422"/>
      <c r="G38" s="443">
        <v>64</v>
      </c>
      <c r="H38" s="418"/>
      <c r="I38" s="418"/>
      <c r="J38" s="418"/>
      <c r="K38" s="418"/>
      <c r="L38" s="418"/>
      <c r="M38" s="418"/>
      <c r="N38" s="418"/>
    </row>
    <row r="39" spans="1:14">
      <c r="A39" s="419" t="s">
        <v>77</v>
      </c>
      <c r="B39" s="419"/>
      <c r="C39" s="419"/>
      <c r="D39" s="419"/>
      <c r="E39" s="419"/>
      <c r="F39" s="419"/>
      <c r="G39" s="444" t="s">
        <v>78</v>
      </c>
      <c r="H39" s="445"/>
      <c r="I39" s="444" t="s">
        <v>79</v>
      </c>
      <c r="J39" s="418"/>
      <c r="K39" s="418"/>
      <c r="L39" s="418"/>
      <c r="M39" s="418"/>
      <c r="N39" s="418"/>
    </row>
    <row r="40" spans="1:14">
      <c r="A40" s="422" t="s">
        <v>80</v>
      </c>
      <c r="B40" s="422"/>
      <c r="C40" s="422"/>
      <c r="D40" s="422"/>
      <c r="E40" s="422"/>
      <c r="F40" s="422"/>
      <c r="G40" s="446">
        <v>3902</v>
      </c>
      <c r="H40" s="440"/>
      <c r="I40" s="428">
        <v>9642</v>
      </c>
      <c r="J40" s="418"/>
      <c r="K40" s="418"/>
      <c r="L40" s="418"/>
      <c r="M40" s="418"/>
      <c r="N40" s="418"/>
    </row>
    <row r="41" spans="1:14">
      <c r="A41" s="422" t="s">
        <v>81</v>
      </c>
      <c r="B41" s="422"/>
      <c r="C41" s="422"/>
      <c r="D41" s="422"/>
      <c r="E41" s="422"/>
      <c r="F41" s="422"/>
      <c r="G41" s="447">
        <v>168</v>
      </c>
      <c r="H41" s="440"/>
      <c r="I41" s="428"/>
      <c r="J41" s="418"/>
      <c r="K41" s="418"/>
      <c r="L41" s="418"/>
      <c r="M41" s="418"/>
      <c r="N41" s="418"/>
    </row>
    <row r="42" spans="1:14">
      <c r="A42" s="422" t="s">
        <v>82</v>
      </c>
      <c r="B42" s="422"/>
      <c r="C42" s="422"/>
      <c r="D42" s="422"/>
      <c r="E42" s="422"/>
      <c r="F42" s="422"/>
      <c r="G42" s="447">
        <v>655536</v>
      </c>
      <c r="H42" s="440"/>
      <c r="I42" s="428">
        <v>1619829</v>
      </c>
      <c r="J42" s="418"/>
      <c r="K42" s="418"/>
      <c r="L42" s="418"/>
      <c r="M42" s="418"/>
      <c r="N42" s="418"/>
    </row>
    <row r="43" spans="1:14">
      <c r="A43" s="422" t="s">
        <v>83</v>
      </c>
      <c r="B43" s="422"/>
      <c r="C43" s="422"/>
      <c r="D43" s="422"/>
      <c r="E43" s="422"/>
      <c r="F43" s="422"/>
      <c r="G43" s="447">
        <v>372857</v>
      </c>
      <c r="H43" s="440"/>
      <c r="I43" s="428">
        <v>921330</v>
      </c>
      <c r="J43" s="418"/>
      <c r="K43" s="418"/>
      <c r="L43" s="418"/>
      <c r="M43" s="418"/>
      <c r="N43" s="418"/>
    </row>
    <row r="44" spans="1:14">
      <c r="A44" s="422" t="s">
        <v>84</v>
      </c>
      <c r="B44" s="422"/>
      <c r="C44" s="422"/>
      <c r="D44" s="422"/>
      <c r="E44" s="422"/>
      <c r="F44" s="422"/>
      <c r="G44" s="447">
        <v>395008</v>
      </c>
      <c r="H44" s="440"/>
      <c r="I44" s="428">
        <v>976065</v>
      </c>
      <c r="J44" s="418"/>
      <c r="K44" s="418"/>
      <c r="L44" s="418"/>
      <c r="M44" s="418"/>
      <c r="N44" s="418"/>
    </row>
    <row r="45" spans="1:14">
      <c r="A45" s="422" t="s">
        <v>85</v>
      </c>
      <c r="B45" s="422"/>
      <c r="C45" s="422"/>
      <c r="D45" s="422"/>
      <c r="E45" s="422"/>
      <c r="F45" s="422"/>
      <c r="G45" s="447">
        <v>72.444643772424399</v>
      </c>
      <c r="H45" s="440"/>
      <c r="I45" s="418"/>
      <c r="J45" s="418"/>
      <c r="K45" s="418"/>
      <c r="L45" s="418"/>
      <c r="M45" s="418"/>
      <c r="N45" s="418"/>
    </row>
    <row r="46" spans="1:14">
      <c r="A46" s="425" t="s">
        <v>86</v>
      </c>
      <c r="B46" s="425"/>
      <c r="C46" s="425"/>
      <c r="D46" s="425"/>
      <c r="E46" s="425"/>
      <c r="F46" s="425"/>
      <c r="G46" s="448">
        <v>66.76781137878011</v>
      </c>
      <c r="H46" s="237"/>
      <c r="I46" s="425"/>
      <c r="J46" s="418"/>
      <c r="K46" s="418"/>
      <c r="L46" s="418"/>
      <c r="M46" s="418"/>
      <c r="N46" s="418"/>
    </row>
    <row r="47" spans="1:14">
      <c r="A47" s="418"/>
      <c r="B47" s="418"/>
      <c r="C47" s="418"/>
      <c r="D47" s="418"/>
      <c r="E47" s="418"/>
      <c r="F47" s="418"/>
      <c r="G47" s="418"/>
      <c r="H47" s="418"/>
      <c r="I47" s="418"/>
      <c r="J47" s="418"/>
      <c r="K47" s="418"/>
      <c r="L47" s="418"/>
      <c r="M47" s="418"/>
      <c r="N47" s="418"/>
    </row>
    <row r="48" spans="1:14">
      <c r="A48" s="418" t="s">
        <v>113</v>
      </c>
      <c r="B48" s="418"/>
      <c r="C48" s="449" t="s">
        <v>407</v>
      </c>
      <c r="D48" s="449"/>
      <c r="E48" s="449"/>
      <c r="F48" s="418"/>
      <c r="G48" s="418"/>
      <c r="H48" s="418"/>
      <c r="I48" s="418"/>
      <c r="J48" s="418"/>
      <c r="K48" s="418"/>
      <c r="L48" s="418"/>
      <c r="M48" s="418"/>
      <c r="N48" s="418"/>
    </row>
    <row r="49" spans="1:14">
      <c r="A49" s="418"/>
      <c r="B49" s="418"/>
      <c r="C49" s="418"/>
      <c r="D49" s="418"/>
      <c r="E49" s="418"/>
      <c r="F49" s="418"/>
      <c r="G49" s="418"/>
      <c r="H49" s="418"/>
      <c r="I49" s="418"/>
      <c r="J49" s="418"/>
      <c r="K49" s="418"/>
      <c r="L49" s="418"/>
      <c r="M49" s="418"/>
      <c r="N49" s="418"/>
    </row>
    <row r="50" spans="1:14">
      <c r="A50" s="418"/>
      <c r="B50" s="418"/>
      <c r="C50" s="418"/>
      <c r="D50" s="418"/>
      <c r="E50" s="418"/>
      <c r="F50" s="418"/>
      <c r="G50" s="418"/>
      <c r="H50" s="418"/>
      <c r="I50" s="418"/>
      <c r="J50" s="418"/>
      <c r="K50" s="418"/>
      <c r="L50" s="418"/>
      <c r="M50" s="418"/>
      <c r="N50" s="418"/>
    </row>
    <row r="51" spans="1:14">
      <c r="A51" s="418"/>
      <c r="B51" s="418"/>
      <c r="C51" s="418"/>
      <c r="D51" s="418"/>
      <c r="E51" s="418"/>
      <c r="F51" s="418"/>
      <c r="G51" s="418"/>
      <c r="H51" s="418"/>
      <c r="I51" s="418"/>
      <c r="J51" s="418"/>
      <c r="K51" s="418"/>
      <c r="L51" s="418"/>
      <c r="M51" s="418"/>
      <c r="N51" s="418"/>
    </row>
    <row r="52" spans="1:14">
      <c r="A52" s="440" t="s">
        <v>408</v>
      </c>
      <c r="B52" s="440"/>
      <c r="C52" s="440"/>
      <c r="D52" s="440"/>
      <c r="E52" s="440"/>
      <c r="F52" s="440"/>
      <c r="G52" s="440"/>
      <c r="H52" s="440"/>
      <c r="I52" s="440"/>
      <c r="J52" s="440"/>
      <c r="K52" s="440"/>
      <c r="L52" s="440"/>
      <c r="M52" s="440"/>
      <c r="N52" s="270"/>
    </row>
    <row r="53" spans="1:14">
      <c r="A53" s="440" t="s">
        <v>409</v>
      </c>
      <c r="B53" s="440"/>
      <c r="C53" s="440"/>
      <c r="D53" s="440"/>
      <c r="E53" s="440"/>
      <c r="F53" s="440"/>
      <c r="G53" s="440"/>
      <c r="H53" s="440"/>
      <c r="I53" s="440"/>
      <c r="J53" s="440"/>
      <c r="K53" s="440"/>
      <c r="L53" s="440"/>
      <c r="M53" s="440"/>
      <c r="N53" s="270"/>
    </row>
    <row r="54" spans="1:14">
      <c r="A54" s="440" t="s">
        <v>410</v>
      </c>
      <c r="B54" s="440" t="s">
        <v>411</v>
      </c>
      <c r="C54" s="440" t="s">
        <v>412</v>
      </c>
      <c r="D54" s="440"/>
      <c r="E54" s="440"/>
      <c r="F54" s="440"/>
      <c r="G54" s="440"/>
      <c r="H54" s="440"/>
      <c r="I54" s="440"/>
      <c r="J54" s="440"/>
      <c r="K54" s="440"/>
      <c r="L54" s="440"/>
      <c r="M54" s="440"/>
      <c r="N54" s="270"/>
    </row>
    <row r="55" spans="1:14">
      <c r="A55" s="440" t="s">
        <v>413</v>
      </c>
      <c r="B55" s="440">
        <v>547</v>
      </c>
      <c r="C55" s="440">
        <v>133</v>
      </c>
      <c r="D55" s="440">
        <v>72751</v>
      </c>
      <c r="E55" s="440"/>
      <c r="F55" s="440"/>
      <c r="G55" s="440"/>
      <c r="H55" s="440"/>
      <c r="I55" s="440"/>
      <c r="J55" s="440"/>
      <c r="K55" s="440"/>
      <c r="L55" s="440"/>
      <c r="M55" s="440"/>
      <c r="N55" s="270"/>
    </row>
    <row r="56" spans="1:14">
      <c r="A56" s="440" t="s">
        <v>414</v>
      </c>
      <c r="B56" s="440">
        <v>547</v>
      </c>
      <c r="C56" s="440">
        <v>243</v>
      </c>
      <c r="D56" s="440">
        <v>132921</v>
      </c>
      <c r="E56" s="440"/>
      <c r="F56" s="440"/>
      <c r="G56" s="440"/>
      <c r="H56" s="440"/>
      <c r="I56" s="440"/>
      <c r="J56" s="440"/>
      <c r="K56" s="440"/>
      <c r="L56" s="440"/>
      <c r="M56" s="440"/>
      <c r="N56" s="270"/>
    </row>
    <row r="57" spans="1:14">
      <c r="A57" s="440" t="s">
        <v>415</v>
      </c>
      <c r="B57" s="440"/>
      <c r="C57" s="440"/>
      <c r="D57" s="450">
        <v>60170</v>
      </c>
      <c r="E57" s="440"/>
      <c r="F57" s="440"/>
      <c r="G57" s="440"/>
      <c r="H57" s="440"/>
      <c r="I57" s="440"/>
      <c r="J57" s="440"/>
      <c r="K57" s="440"/>
      <c r="L57" s="440"/>
      <c r="M57" s="440"/>
      <c r="N57" s="270"/>
    </row>
    <row r="58" spans="1:14">
      <c r="A58" s="440" t="s">
        <v>416</v>
      </c>
      <c r="B58" s="440"/>
      <c r="C58" s="440"/>
      <c r="D58" s="440"/>
      <c r="E58" s="440"/>
      <c r="F58" s="440"/>
      <c r="G58" s="440"/>
      <c r="H58" s="440"/>
      <c r="I58" s="440"/>
      <c r="J58" s="440"/>
      <c r="K58" s="440"/>
      <c r="L58" s="440"/>
      <c r="M58" s="440"/>
      <c r="N58" s="270"/>
    </row>
    <row r="59" spans="1:14">
      <c r="A59" s="440" t="s">
        <v>417</v>
      </c>
      <c r="B59" s="440"/>
      <c r="C59" s="440"/>
      <c r="D59" s="440"/>
      <c r="E59" s="440"/>
      <c r="F59" s="440"/>
      <c r="G59" s="440"/>
      <c r="H59" s="440"/>
      <c r="I59" s="440"/>
      <c r="J59" s="440"/>
      <c r="K59" s="440"/>
      <c r="L59" s="440"/>
      <c r="M59" s="440"/>
      <c r="N59" s="270"/>
    </row>
    <row r="60" spans="1:14">
      <c r="A60" s="440"/>
      <c r="B60" s="440"/>
      <c r="C60" s="440"/>
      <c r="D60" s="440"/>
      <c r="E60" s="440"/>
      <c r="F60" s="440"/>
      <c r="G60" s="440"/>
      <c r="H60" s="440"/>
      <c r="I60" s="440"/>
      <c r="J60" s="440"/>
      <c r="K60" s="440"/>
      <c r="L60" s="440"/>
      <c r="M60" s="440"/>
      <c r="N60" s="270"/>
    </row>
    <row r="61" spans="1:14">
      <c r="A61" s="440"/>
      <c r="B61" s="440"/>
      <c r="C61" s="440"/>
      <c r="D61" s="440"/>
      <c r="E61" s="440"/>
      <c r="F61" s="440"/>
      <c r="G61" s="440"/>
      <c r="H61" s="440"/>
      <c r="I61" s="440"/>
      <c r="J61" s="440"/>
      <c r="K61" s="440"/>
      <c r="L61" s="440"/>
      <c r="M61" s="440"/>
      <c r="N61" s="27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M48"/>
  <sheetViews>
    <sheetView workbookViewId="0">
      <selection sqref="A1:XFD1048576"/>
    </sheetView>
  </sheetViews>
  <sheetFormatPr defaultRowHeight="15"/>
  <cols>
    <col min="1" max="16384" width="9.140625" style="2"/>
  </cols>
  <sheetData>
    <row r="1" spans="1:13">
      <c r="A1" s="231" t="s">
        <v>0</v>
      </c>
      <c r="B1" s="231" t="s">
        <v>418</v>
      </c>
      <c r="C1" s="231"/>
      <c r="D1" s="231"/>
      <c r="E1" s="231"/>
      <c r="F1" s="231"/>
      <c r="G1" s="231"/>
      <c r="H1" s="231"/>
      <c r="I1" s="231"/>
      <c r="J1" s="231"/>
      <c r="K1" s="231"/>
      <c r="L1" s="231"/>
      <c r="M1" s="231"/>
    </row>
    <row r="2" spans="1:13">
      <c r="A2" s="231"/>
      <c r="B2" s="231" t="s">
        <v>419</v>
      </c>
      <c r="C2" s="231"/>
      <c r="D2" s="231"/>
      <c r="E2" s="231"/>
      <c r="F2" s="231"/>
      <c r="G2" s="231"/>
      <c r="H2" s="231"/>
      <c r="I2" s="231" t="s">
        <v>420</v>
      </c>
      <c r="J2" s="231"/>
      <c r="K2" s="231"/>
      <c r="L2" s="231"/>
      <c r="M2" s="231"/>
    </row>
    <row r="3" spans="1:13">
      <c r="A3" s="231"/>
      <c r="B3" s="231" t="s">
        <v>421</v>
      </c>
      <c r="C3" s="231"/>
      <c r="D3" s="231"/>
      <c r="E3" s="231"/>
      <c r="F3" s="231"/>
      <c r="G3" s="231"/>
      <c r="H3" s="231"/>
      <c r="I3" s="231"/>
      <c r="J3" s="231"/>
      <c r="K3" s="231"/>
      <c r="L3" s="231"/>
      <c r="M3" s="231"/>
    </row>
    <row r="4" spans="1:13">
      <c r="A4" s="232" t="s">
        <v>4</v>
      </c>
      <c r="B4" s="232"/>
      <c r="C4" s="232"/>
      <c r="D4" s="233" t="s">
        <v>5</v>
      </c>
      <c r="E4" s="233" t="s">
        <v>6</v>
      </c>
      <c r="F4" s="233" t="s">
        <v>7</v>
      </c>
      <c r="G4" s="233" t="s">
        <v>8</v>
      </c>
      <c r="H4" s="233" t="s">
        <v>9</v>
      </c>
      <c r="I4" s="233" t="s">
        <v>10</v>
      </c>
      <c r="J4" s="233" t="s">
        <v>11</v>
      </c>
      <c r="K4" s="233" t="s">
        <v>12</v>
      </c>
      <c r="L4" s="234" t="s">
        <v>13</v>
      </c>
      <c r="M4" s="233"/>
    </row>
    <row r="5" spans="1:13">
      <c r="A5" s="235"/>
      <c r="B5" s="235"/>
      <c r="C5" s="235"/>
      <c r="D5" s="236" t="s">
        <v>14</v>
      </c>
      <c r="E5" s="236" t="s">
        <v>15</v>
      </c>
      <c r="F5" s="236" t="s">
        <v>15</v>
      </c>
      <c r="G5" s="236" t="s">
        <v>16</v>
      </c>
      <c r="H5" s="236" t="s">
        <v>17</v>
      </c>
      <c r="I5" s="236" t="s">
        <v>18</v>
      </c>
      <c r="J5" s="236" t="s">
        <v>17</v>
      </c>
      <c r="K5" s="236" t="s">
        <v>17</v>
      </c>
      <c r="L5" s="451" t="s">
        <v>10</v>
      </c>
      <c r="M5" s="236" t="s">
        <v>11</v>
      </c>
    </row>
    <row r="6" spans="1:13">
      <c r="A6" s="235"/>
      <c r="B6" s="235"/>
      <c r="C6" s="235"/>
      <c r="D6" s="236" t="s">
        <v>19</v>
      </c>
      <c r="E6" s="236"/>
      <c r="F6" s="236"/>
      <c r="G6" s="236"/>
      <c r="H6" s="236" t="s">
        <v>20</v>
      </c>
      <c r="I6" s="236" t="s">
        <v>17</v>
      </c>
      <c r="J6" s="236" t="s">
        <v>20</v>
      </c>
      <c r="K6" s="236" t="s">
        <v>20</v>
      </c>
      <c r="L6" s="236"/>
      <c r="M6" s="236"/>
    </row>
    <row r="7" spans="1:13">
      <c r="A7" s="237"/>
      <c r="B7" s="237"/>
      <c r="C7" s="237"/>
      <c r="D7" s="238"/>
      <c r="E7" s="238"/>
      <c r="F7" s="238"/>
      <c r="G7" s="238"/>
      <c r="H7" s="238"/>
      <c r="I7" s="238" t="s">
        <v>20</v>
      </c>
      <c r="J7" s="238"/>
      <c r="K7" s="238"/>
      <c r="L7" s="238"/>
      <c r="M7" s="238"/>
    </row>
    <row r="8" spans="1:13">
      <c r="A8" s="231" t="s">
        <v>422</v>
      </c>
      <c r="B8" s="231"/>
      <c r="C8" s="231"/>
      <c r="D8" s="245">
        <v>100</v>
      </c>
      <c r="E8" s="240">
        <v>1.07</v>
      </c>
      <c r="F8" s="240">
        <v>0.93</v>
      </c>
      <c r="G8" s="452">
        <v>1317</v>
      </c>
      <c r="H8" s="240">
        <v>1409</v>
      </c>
      <c r="I8" s="231"/>
      <c r="J8" s="240">
        <v>522</v>
      </c>
      <c r="K8" s="240">
        <v>1931</v>
      </c>
      <c r="L8" s="231"/>
      <c r="M8" s="231"/>
    </row>
    <row r="9" spans="1:13">
      <c r="A9" s="231" t="s">
        <v>423</v>
      </c>
      <c r="B9" s="231"/>
      <c r="C9" s="231"/>
      <c r="D9" s="245">
        <v>90</v>
      </c>
      <c r="E9" s="453">
        <v>0.5</v>
      </c>
      <c r="F9" s="453">
        <v>0.5</v>
      </c>
      <c r="G9" s="241">
        <v>1314</v>
      </c>
      <c r="H9" s="240">
        <v>657</v>
      </c>
      <c r="I9" s="240">
        <v>6588</v>
      </c>
      <c r="J9" s="240"/>
      <c r="K9" s="240">
        <v>7245</v>
      </c>
      <c r="L9" s="231"/>
      <c r="M9" s="231"/>
    </row>
    <row r="10" spans="1:13">
      <c r="A10" s="231" t="s">
        <v>424</v>
      </c>
      <c r="B10" s="231"/>
      <c r="C10" s="231"/>
      <c r="D10" s="454" t="s">
        <v>25</v>
      </c>
      <c r="E10" s="240" t="s">
        <v>425</v>
      </c>
      <c r="F10" s="240" t="s">
        <v>426</v>
      </c>
      <c r="G10" s="241" t="s">
        <v>427</v>
      </c>
      <c r="H10" s="231" t="s">
        <v>428</v>
      </c>
      <c r="I10" s="231"/>
      <c r="J10" s="240"/>
      <c r="K10" s="240"/>
      <c r="L10" s="231"/>
      <c r="M10" s="231"/>
    </row>
    <row r="11" spans="1:13">
      <c r="A11" s="231" t="s">
        <v>123</v>
      </c>
      <c r="B11" s="231"/>
      <c r="C11" s="231"/>
      <c r="D11" s="245">
        <v>100</v>
      </c>
      <c r="E11" s="240">
        <v>6.3</v>
      </c>
      <c r="F11" s="240">
        <v>3</v>
      </c>
      <c r="G11" s="241">
        <v>1213</v>
      </c>
      <c r="H11" s="240">
        <v>7642</v>
      </c>
      <c r="I11" s="231"/>
      <c r="J11" s="240">
        <v>3499</v>
      </c>
      <c r="K11" s="240">
        <v>11141</v>
      </c>
      <c r="L11" s="231"/>
      <c r="M11" s="240"/>
    </row>
    <row r="12" spans="1:13">
      <c r="A12" s="231" t="s">
        <v>33</v>
      </c>
      <c r="B12" s="231"/>
      <c r="C12" s="231"/>
      <c r="D12" s="245">
        <v>100</v>
      </c>
      <c r="E12" s="240">
        <v>8.6</v>
      </c>
      <c r="F12" s="240">
        <v>3.5</v>
      </c>
      <c r="G12" s="241">
        <v>1151</v>
      </c>
      <c r="H12" s="240">
        <v>9899</v>
      </c>
      <c r="I12" s="231"/>
      <c r="J12" s="455">
        <v>16400</v>
      </c>
      <c r="K12" s="240">
        <v>26299</v>
      </c>
      <c r="L12" s="231"/>
      <c r="M12" s="231"/>
    </row>
    <row r="13" spans="1:13">
      <c r="A13" s="231" t="s">
        <v>429</v>
      </c>
      <c r="B13" s="231"/>
      <c r="C13" s="231"/>
      <c r="D13" s="245">
        <v>100</v>
      </c>
      <c r="E13" s="240">
        <v>14</v>
      </c>
      <c r="F13" s="240">
        <v>3.1</v>
      </c>
      <c r="G13" s="241">
        <v>1181</v>
      </c>
      <c r="H13" s="240">
        <v>16534</v>
      </c>
      <c r="I13" s="231"/>
      <c r="J13" s="240"/>
      <c r="K13" s="240">
        <v>16534</v>
      </c>
      <c r="L13" s="231"/>
      <c r="M13" s="231"/>
    </row>
    <row r="14" spans="1:13">
      <c r="A14" s="231" t="s">
        <v>35</v>
      </c>
      <c r="B14" s="231"/>
      <c r="C14" s="231"/>
      <c r="D14" s="245">
        <v>100</v>
      </c>
      <c r="E14" s="240">
        <v>10.32</v>
      </c>
      <c r="F14" s="240">
        <v>7.85</v>
      </c>
      <c r="G14" s="241">
        <v>1530</v>
      </c>
      <c r="H14" s="240">
        <v>15790</v>
      </c>
      <c r="I14" s="231"/>
      <c r="J14" s="240">
        <v>26068</v>
      </c>
      <c r="K14" s="240">
        <v>41858</v>
      </c>
      <c r="L14" s="231"/>
      <c r="M14" s="231"/>
    </row>
    <row r="15" spans="1:13">
      <c r="A15" s="231" t="s">
        <v>36</v>
      </c>
      <c r="B15" s="231"/>
      <c r="C15" s="231"/>
      <c r="D15" s="245">
        <v>100</v>
      </c>
      <c r="E15" s="240">
        <v>11</v>
      </c>
      <c r="F15" s="240">
        <v>10.6</v>
      </c>
      <c r="G15" s="241">
        <v>1323</v>
      </c>
      <c r="H15" s="240">
        <v>14553</v>
      </c>
      <c r="I15" s="240">
        <v>12646</v>
      </c>
      <c r="J15" s="456"/>
      <c r="K15" s="240">
        <v>27199</v>
      </c>
      <c r="L15" s="231"/>
      <c r="M15" s="231"/>
    </row>
    <row r="16" spans="1:13">
      <c r="A16" s="231" t="s">
        <v>229</v>
      </c>
      <c r="B16" s="231"/>
      <c r="C16" s="231"/>
      <c r="D16" s="245">
        <v>100</v>
      </c>
      <c r="E16" s="240">
        <v>33.6</v>
      </c>
      <c r="F16" s="240">
        <v>18</v>
      </c>
      <c r="G16" s="241">
        <v>1324</v>
      </c>
      <c r="H16" s="240">
        <v>44486</v>
      </c>
      <c r="I16" s="231"/>
      <c r="J16" s="240"/>
      <c r="K16" s="240">
        <v>44486</v>
      </c>
      <c r="L16" s="231"/>
      <c r="M16" s="231"/>
    </row>
    <row r="17" spans="1:13">
      <c r="A17" s="232" t="s">
        <v>46</v>
      </c>
      <c r="B17" s="232"/>
      <c r="C17" s="232"/>
      <c r="D17" s="247"/>
      <c r="E17" s="248">
        <v>85.39</v>
      </c>
      <c r="F17" s="248">
        <v>47.48</v>
      </c>
      <c r="G17" s="248"/>
      <c r="H17" s="248">
        <v>110970</v>
      </c>
      <c r="I17" s="248">
        <v>19234</v>
      </c>
      <c r="J17" s="248">
        <v>46489</v>
      </c>
      <c r="K17" s="248">
        <v>176693</v>
      </c>
      <c r="L17" s="232"/>
      <c r="M17" s="231"/>
    </row>
    <row r="18" spans="1:13">
      <c r="A18" s="237" t="s">
        <v>47</v>
      </c>
      <c r="B18" s="237"/>
      <c r="C18" s="237"/>
      <c r="D18" s="249"/>
      <c r="E18" s="250">
        <v>37.910000000000004</v>
      </c>
      <c r="F18" s="250"/>
      <c r="G18" s="250"/>
      <c r="H18" s="250">
        <v>49628</v>
      </c>
      <c r="I18" s="250">
        <v>19234</v>
      </c>
      <c r="J18" s="250">
        <v>46489</v>
      </c>
      <c r="K18" s="250">
        <v>115351</v>
      </c>
      <c r="L18" s="237"/>
      <c r="M18" s="231"/>
    </row>
    <row r="19" spans="1:13">
      <c r="A19" s="231"/>
      <c r="B19" s="231"/>
      <c r="C19" s="231"/>
      <c r="D19" s="231"/>
      <c r="E19" s="231"/>
      <c r="F19" s="231"/>
      <c r="G19" s="231"/>
      <c r="H19" s="231"/>
      <c r="I19" s="231"/>
      <c r="J19" s="231"/>
      <c r="K19" s="231"/>
      <c r="L19" s="231"/>
      <c r="M19" s="231"/>
    </row>
    <row r="20" spans="1:13">
      <c r="A20" s="231"/>
      <c r="B20" s="231"/>
      <c r="C20" s="231" t="s">
        <v>103</v>
      </c>
      <c r="D20" s="231"/>
      <c r="E20" s="231"/>
      <c r="F20" s="231"/>
      <c r="G20" s="231"/>
      <c r="H20" s="231"/>
      <c r="I20" s="231"/>
      <c r="J20" s="231"/>
      <c r="K20" s="231"/>
      <c r="L20" s="231"/>
      <c r="M20" s="231"/>
    </row>
    <row r="21" spans="1:13">
      <c r="A21" s="231"/>
      <c r="B21" s="231"/>
      <c r="C21" s="231"/>
      <c r="D21" s="231"/>
      <c r="E21" s="231"/>
      <c r="F21" s="231"/>
      <c r="G21" s="231"/>
      <c r="H21" s="231"/>
      <c r="I21" s="231"/>
      <c r="J21" s="231"/>
      <c r="K21" s="231"/>
      <c r="L21" s="231"/>
      <c r="M21" s="235"/>
    </row>
    <row r="22" spans="1:13">
      <c r="A22" s="231" t="s">
        <v>50</v>
      </c>
      <c r="B22" s="231"/>
      <c r="C22" s="231"/>
      <c r="D22" s="231"/>
      <c r="E22" s="231"/>
      <c r="F22" s="231"/>
      <c r="G22" s="231"/>
      <c r="H22" s="231"/>
      <c r="I22" s="231"/>
      <c r="J22" s="231"/>
      <c r="K22" s="231"/>
      <c r="L22" s="231"/>
      <c r="M22" s="235"/>
    </row>
    <row r="23" spans="1:13">
      <c r="A23" s="251" t="s">
        <v>51</v>
      </c>
      <c r="B23" s="251"/>
      <c r="C23" s="251"/>
      <c r="D23" s="251" t="s">
        <v>52</v>
      </c>
      <c r="E23" s="251" t="s">
        <v>53</v>
      </c>
      <c r="F23" s="251"/>
      <c r="G23" s="251" t="s">
        <v>54</v>
      </c>
      <c r="H23" s="231"/>
      <c r="I23" s="231"/>
      <c r="J23" s="231"/>
      <c r="K23" s="457" t="s">
        <v>105</v>
      </c>
      <c r="L23" s="458">
        <v>0.9</v>
      </c>
      <c r="M23" s="231"/>
    </row>
    <row r="24" spans="1:13">
      <c r="A24" s="231" t="s">
        <v>55</v>
      </c>
      <c r="B24" s="231"/>
      <c r="C24" s="231"/>
      <c r="D24" s="231"/>
      <c r="E24" s="231"/>
      <c r="F24" s="231"/>
      <c r="G24" s="231"/>
      <c r="H24" s="231"/>
      <c r="I24" s="231"/>
      <c r="J24" s="231"/>
      <c r="K24" s="457" t="s">
        <v>58</v>
      </c>
      <c r="L24" s="459">
        <v>0.5</v>
      </c>
      <c r="M24" s="231"/>
    </row>
    <row r="25" spans="1:13">
      <c r="A25" s="231" t="s">
        <v>56</v>
      </c>
      <c r="B25" s="231"/>
      <c r="C25" s="231"/>
      <c r="D25" s="460" t="s">
        <v>75</v>
      </c>
      <c r="E25" s="240">
        <v>0.2</v>
      </c>
      <c r="F25" s="231"/>
      <c r="G25" s="240">
        <v>17494</v>
      </c>
      <c r="H25" s="231"/>
      <c r="I25" s="231"/>
      <c r="J25" s="231"/>
      <c r="K25" s="231"/>
      <c r="L25" s="231"/>
      <c r="M25" s="231"/>
    </row>
    <row r="26" spans="1:13">
      <c r="A26" s="231"/>
      <c r="B26" s="231"/>
      <c r="C26" s="231"/>
      <c r="D26" s="231"/>
      <c r="E26" s="231"/>
      <c r="F26" s="231"/>
      <c r="G26" s="231"/>
      <c r="H26" s="231"/>
      <c r="I26" s="231"/>
      <c r="J26" s="231"/>
      <c r="K26" s="461" t="s">
        <v>430</v>
      </c>
      <c r="L26" s="461"/>
      <c r="M26" s="462"/>
    </row>
    <row r="27" spans="1:13">
      <c r="A27" s="231"/>
      <c r="B27" s="231"/>
      <c r="C27" s="231"/>
      <c r="D27" s="231"/>
      <c r="E27" s="231"/>
      <c r="F27" s="231"/>
      <c r="G27" s="231"/>
      <c r="H27" s="231"/>
      <c r="I27" s="231"/>
      <c r="J27" s="231"/>
      <c r="K27" s="459" t="s">
        <v>431</v>
      </c>
      <c r="L27" s="459">
        <v>60</v>
      </c>
      <c r="M27" s="463"/>
    </row>
    <row r="28" spans="1:13">
      <c r="A28" s="231" t="s">
        <v>64</v>
      </c>
      <c r="B28" s="231"/>
      <c r="C28" s="231"/>
      <c r="D28" s="231"/>
      <c r="E28" s="231"/>
      <c r="F28" s="231"/>
      <c r="G28" s="231"/>
      <c r="H28" s="231"/>
      <c r="I28" s="231"/>
      <c r="J28" s="231"/>
      <c r="K28" s="459" t="s">
        <v>432</v>
      </c>
      <c r="L28" s="459">
        <v>40</v>
      </c>
      <c r="M28" s="463"/>
    </row>
    <row r="29" spans="1:13">
      <c r="A29" s="231" t="s">
        <v>65</v>
      </c>
      <c r="B29" s="231"/>
      <c r="C29" s="231"/>
      <c r="D29" s="460" t="s">
        <v>66</v>
      </c>
      <c r="E29" s="240">
        <v>38</v>
      </c>
      <c r="F29" s="231"/>
      <c r="G29" s="240">
        <v>1306</v>
      </c>
      <c r="H29" s="231"/>
      <c r="I29" s="231"/>
      <c r="J29" s="231"/>
      <c r="K29" s="463"/>
      <c r="L29" s="463"/>
      <c r="M29" s="463"/>
    </row>
    <row r="30" spans="1:13">
      <c r="A30" s="231" t="s">
        <v>68</v>
      </c>
      <c r="B30" s="231"/>
      <c r="C30" s="231"/>
      <c r="D30" s="460" t="s">
        <v>66</v>
      </c>
      <c r="E30" s="240">
        <v>47</v>
      </c>
      <c r="F30" s="231"/>
      <c r="G30" s="231"/>
      <c r="H30" s="231"/>
      <c r="I30" s="231"/>
      <c r="J30" s="231"/>
      <c r="K30" s="231"/>
      <c r="L30" s="231"/>
      <c r="M30" s="463"/>
    </row>
    <row r="31" spans="1:13">
      <c r="A31" s="231" t="s">
        <v>6</v>
      </c>
      <c r="B31" s="231"/>
      <c r="C31" s="231"/>
      <c r="D31" s="231"/>
      <c r="E31" s="240">
        <v>85</v>
      </c>
      <c r="F31" s="231"/>
      <c r="G31" s="231"/>
      <c r="H31" s="231"/>
      <c r="I31" s="231"/>
      <c r="J31" s="231"/>
      <c r="K31" s="231"/>
      <c r="L31" s="231"/>
      <c r="M31" s="231"/>
    </row>
    <row r="32" spans="1:13">
      <c r="A32" s="232" t="s">
        <v>107</v>
      </c>
      <c r="B32" s="232"/>
      <c r="C32" s="232" t="s">
        <v>73</v>
      </c>
      <c r="D32" s="232"/>
      <c r="E32" s="232"/>
      <c r="F32" s="232"/>
      <c r="G32" s="232"/>
      <c r="H32" s="231"/>
      <c r="I32" s="231"/>
      <c r="J32" s="231"/>
      <c r="K32" s="231"/>
      <c r="L32" s="231"/>
      <c r="M32" s="231"/>
    </row>
    <row r="33" spans="1:13">
      <c r="A33" s="464"/>
      <c r="B33" s="465" t="s">
        <v>200</v>
      </c>
      <c r="C33" s="466">
        <v>100</v>
      </c>
      <c r="D33" s="236" t="s">
        <v>75</v>
      </c>
      <c r="E33" s="467">
        <v>197</v>
      </c>
      <c r="F33" s="235"/>
      <c r="G33" s="260">
        <v>50</v>
      </c>
      <c r="H33" s="231"/>
      <c r="I33" s="231"/>
      <c r="J33" s="231"/>
      <c r="K33" s="231"/>
      <c r="L33" s="231"/>
      <c r="M33" s="231"/>
    </row>
    <row r="34" spans="1:13">
      <c r="A34" s="464"/>
      <c r="B34" s="465" t="s">
        <v>201</v>
      </c>
      <c r="C34" s="466">
        <v>67</v>
      </c>
      <c r="D34" s="236" t="s">
        <v>75</v>
      </c>
      <c r="E34" s="467">
        <v>55</v>
      </c>
      <c r="F34" s="235"/>
      <c r="G34" s="260">
        <v>50</v>
      </c>
      <c r="H34" s="231"/>
      <c r="I34" s="231"/>
      <c r="J34" s="231"/>
      <c r="K34" s="231"/>
      <c r="L34" s="231"/>
      <c r="M34" s="231"/>
    </row>
    <row r="35" spans="1:13">
      <c r="A35" s="464"/>
      <c r="B35" s="465" t="s">
        <v>204</v>
      </c>
      <c r="C35" s="466">
        <v>40</v>
      </c>
      <c r="D35" s="236" t="s">
        <v>75</v>
      </c>
      <c r="E35" s="467">
        <v>76</v>
      </c>
      <c r="F35" s="235"/>
      <c r="G35" s="260">
        <v>50</v>
      </c>
      <c r="H35" s="231"/>
      <c r="I35" s="231"/>
      <c r="J35" s="231"/>
      <c r="K35" s="231"/>
      <c r="L35" s="231"/>
      <c r="M35" s="231"/>
    </row>
    <row r="36" spans="1:13">
      <c r="A36" s="232" t="s">
        <v>77</v>
      </c>
      <c r="B36" s="232"/>
      <c r="C36" s="232"/>
      <c r="D36" s="232"/>
      <c r="E36" s="232"/>
      <c r="F36" s="232"/>
      <c r="G36" s="232" t="s">
        <v>207</v>
      </c>
      <c r="H36" s="231" t="s">
        <v>79</v>
      </c>
      <c r="I36" s="231"/>
      <c r="J36" s="231"/>
      <c r="K36" s="231"/>
      <c r="L36" s="231"/>
      <c r="M36" s="231"/>
    </row>
    <row r="37" spans="1:13">
      <c r="A37" s="235" t="s">
        <v>80</v>
      </c>
      <c r="B37" s="235"/>
      <c r="C37" s="235"/>
      <c r="D37" s="235"/>
      <c r="E37" s="235"/>
      <c r="F37" s="235"/>
      <c r="G37" s="266">
        <v>9044</v>
      </c>
      <c r="H37" s="240">
        <v>22348</v>
      </c>
      <c r="I37" s="231"/>
      <c r="J37" s="231"/>
      <c r="K37" s="231"/>
      <c r="L37" s="231"/>
      <c r="M37" s="231"/>
    </row>
    <row r="38" spans="1:13">
      <c r="A38" s="235" t="s">
        <v>81</v>
      </c>
      <c r="B38" s="235"/>
      <c r="C38" s="235"/>
      <c r="D38" s="235"/>
      <c r="E38" s="235"/>
      <c r="F38" s="235"/>
      <c r="G38" s="468">
        <v>90</v>
      </c>
      <c r="H38" s="240"/>
      <c r="I38" s="231"/>
      <c r="J38" s="231"/>
      <c r="K38" s="231"/>
      <c r="L38" s="231"/>
      <c r="M38" s="231"/>
    </row>
    <row r="39" spans="1:13">
      <c r="A39" s="235" t="s">
        <v>82</v>
      </c>
      <c r="B39" s="235"/>
      <c r="C39" s="235"/>
      <c r="D39" s="235"/>
      <c r="E39" s="235"/>
      <c r="F39" s="235"/>
      <c r="G39" s="268">
        <v>813960</v>
      </c>
      <c r="H39" s="240">
        <v>2011295</v>
      </c>
      <c r="I39" s="231"/>
      <c r="J39" s="231"/>
      <c r="K39" s="231"/>
      <c r="L39" s="231"/>
      <c r="M39" s="231"/>
    </row>
    <row r="40" spans="1:13">
      <c r="A40" s="235" t="s">
        <v>83</v>
      </c>
      <c r="B40" s="235"/>
      <c r="C40" s="235"/>
      <c r="D40" s="235"/>
      <c r="E40" s="235"/>
      <c r="F40" s="235"/>
      <c r="G40" s="268">
        <v>637267</v>
      </c>
      <c r="H40" s="240">
        <v>1574687</v>
      </c>
      <c r="I40" s="231"/>
      <c r="J40" s="231"/>
      <c r="K40" s="231"/>
      <c r="L40" s="231"/>
      <c r="M40" s="231"/>
    </row>
    <row r="41" spans="1:13">
      <c r="A41" s="235" t="s">
        <v>84</v>
      </c>
      <c r="B41" s="235"/>
      <c r="C41" s="235"/>
      <c r="D41" s="235"/>
      <c r="E41" s="235"/>
      <c r="F41" s="235"/>
      <c r="G41" s="268">
        <v>698609</v>
      </c>
      <c r="H41" s="240">
        <v>1726263</v>
      </c>
      <c r="I41" s="231"/>
      <c r="J41" s="231"/>
      <c r="K41" s="231"/>
      <c r="L41" s="231"/>
      <c r="M41" s="231"/>
    </row>
    <row r="42" spans="1:13">
      <c r="A42" s="235"/>
      <c r="B42" s="235"/>
      <c r="C42" s="235"/>
      <c r="D42" s="235"/>
      <c r="E42" s="235"/>
      <c r="F42" s="235"/>
      <c r="G42" s="268"/>
      <c r="H42" s="231"/>
      <c r="I42" s="231"/>
      <c r="J42" s="231"/>
      <c r="K42" s="231"/>
      <c r="L42" s="231"/>
      <c r="M42" s="231"/>
    </row>
    <row r="43" spans="1:13">
      <c r="A43" s="235" t="s">
        <v>85</v>
      </c>
      <c r="B43" s="235"/>
      <c r="C43" s="235"/>
      <c r="D43" s="235"/>
      <c r="E43" s="235"/>
      <c r="F43" s="235"/>
      <c r="G43" s="268">
        <v>19.537041132242372</v>
      </c>
      <c r="H43" s="231"/>
      <c r="I43" s="231"/>
      <c r="J43" s="231"/>
      <c r="K43" s="231"/>
      <c r="L43" s="231"/>
      <c r="M43" s="231"/>
    </row>
    <row r="44" spans="1:13">
      <c r="A44" s="237" t="s">
        <v>86</v>
      </c>
      <c r="B44" s="237"/>
      <c r="C44" s="237"/>
      <c r="D44" s="237"/>
      <c r="E44" s="237"/>
      <c r="F44" s="237"/>
      <c r="G44" s="269">
        <v>12.754422821760283</v>
      </c>
      <c r="H44" s="231"/>
      <c r="I44" s="231"/>
      <c r="J44" s="231"/>
      <c r="K44" s="231"/>
      <c r="L44" s="231"/>
      <c r="M44" s="231"/>
    </row>
    <row r="46" spans="1:13">
      <c r="A46" s="231" t="s">
        <v>113</v>
      </c>
      <c r="B46" s="456"/>
      <c r="C46" s="469"/>
      <c r="D46" s="469"/>
      <c r="E46" s="469"/>
      <c r="F46" s="469"/>
      <c r="G46" s="469"/>
      <c r="H46" s="456"/>
      <c r="I46" s="456"/>
      <c r="J46" s="456"/>
      <c r="K46" s="456"/>
      <c r="L46" s="456"/>
      <c r="M46" s="456"/>
    </row>
    <row r="47" spans="1:13">
      <c r="A47" s="267" t="s">
        <v>433</v>
      </c>
      <c r="B47" s="469"/>
      <c r="C47" s="469"/>
      <c r="D47" s="469"/>
      <c r="E47" s="469"/>
      <c r="F47" s="456"/>
      <c r="G47" s="456"/>
      <c r="H47" s="456"/>
      <c r="I47" s="456"/>
      <c r="J47" s="456"/>
      <c r="K47" s="456"/>
      <c r="L47" s="456"/>
      <c r="M47" s="456"/>
    </row>
    <row r="48" spans="1:13">
      <c r="A48" s="456"/>
      <c r="B48" s="456"/>
      <c r="C48" s="469"/>
      <c r="D48" s="469"/>
      <c r="E48" s="469"/>
      <c r="F48" s="469"/>
      <c r="G48" s="456"/>
      <c r="H48" s="456"/>
      <c r="I48" s="456"/>
      <c r="J48" s="456"/>
      <c r="K48" s="456"/>
      <c r="L48" s="456"/>
      <c r="M48" s="45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51"/>
  <sheetViews>
    <sheetView tabSelected="1" workbookViewId="0">
      <selection activeCell="M27" sqref="M27"/>
    </sheetView>
  </sheetViews>
  <sheetFormatPr defaultRowHeight="15"/>
  <cols>
    <col min="1" max="2" width="9.140625" style="2"/>
    <col min="3" max="3" width="3.85546875" style="2" customWidth="1"/>
    <col min="4" max="6" width="9.140625" style="2"/>
    <col min="7" max="7" width="10.140625" style="2" customWidth="1"/>
    <col min="8" max="8" width="11.42578125" style="2" customWidth="1"/>
    <col min="9" max="10" width="9.140625" style="2"/>
    <col min="11" max="11" width="10.28515625" style="2" customWidth="1"/>
    <col min="12" max="16384" width="9.140625" style="2"/>
  </cols>
  <sheetData>
    <row r="1" spans="1:13">
      <c r="A1" s="4" t="s">
        <v>0</v>
      </c>
      <c r="B1" s="4" t="s">
        <v>434</v>
      </c>
      <c r="C1" s="4"/>
      <c r="D1" s="4"/>
      <c r="E1" s="4"/>
      <c r="F1" s="4"/>
      <c r="G1" s="4"/>
      <c r="H1" s="4"/>
      <c r="I1" s="4"/>
      <c r="J1" s="4"/>
      <c r="K1" s="4"/>
      <c r="L1" s="4"/>
      <c r="M1" s="4"/>
    </row>
    <row r="2" spans="1:13">
      <c r="A2" s="4"/>
      <c r="B2" s="4" t="s">
        <v>435</v>
      </c>
      <c r="C2" s="4"/>
      <c r="D2" s="4"/>
      <c r="E2" s="4"/>
      <c r="F2" s="4"/>
      <c r="G2" s="4"/>
      <c r="H2" s="4"/>
      <c r="I2" s="4"/>
      <c r="J2" s="4"/>
      <c r="K2" s="4"/>
      <c r="L2" s="4"/>
      <c r="M2" s="4"/>
    </row>
    <row r="3" spans="1:13">
      <c r="A3" s="4"/>
      <c r="B3" s="4" t="s">
        <v>436</v>
      </c>
      <c r="C3" s="4"/>
      <c r="D3" s="4"/>
      <c r="E3" s="4"/>
      <c r="F3" s="4"/>
      <c r="G3" s="4"/>
      <c r="H3" s="4"/>
      <c r="I3" s="4"/>
      <c r="J3" s="470" t="s">
        <v>420</v>
      </c>
      <c r="K3" s="470"/>
      <c r="L3" s="4"/>
      <c r="M3" s="4"/>
    </row>
    <row r="4" spans="1:13">
      <c r="A4" s="114" t="s">
        <v>4</v>
      </c>
      <c r="B4" s="114"/>
      <c r="C4" s="114"/>
      <c r="D4" s="157" t="s">
        <v>5</v>
      </c>
      <c r="E4" s="157" t="s">
        <v>6</v>
      </c>
      <c r="F4" s="157" t="s">
        <v>7</v>
      </c>
      <c r="G4" s="157" t="s">
        <v>8</v>
      </c>
      <c r="H4" s="157" t="s">
        <v>9</v>
      </c>
      <c r="I4" s="157" t="s">
        <v>10</v>
      </c>
      <c r="J4" s="157" t="s">
        <v>11</v>
      </c>
      <c r="K4" s="157" t="s">
        <v>12</v>
      </c>
      <c r="L4" s="272" t="s">
        <v>13</v>
      </c>
      <c r="M4" s="157"/>
    </row>
    <row r="5" spans="1:13">
      <c r="A5" s="117"/>
      <c r="B5" s="117"/>
      <c r="C5" s="117"/>
      <c r="D5" s="212" t="s">
        <v>14</v>
      </c>
      <c r="E5" s="212" t="s">
        <v>15</v>
      </c>
      <c r="F5" s="212" t="s">
        <v>15</v>
      </c>
      <c r="G5" s="212" t="s">
        <v>16</v>
      </c>
      <c r="H5" s="212" t="s">
        <v>17</v>
      </c>
      <c r="I5" s="212" t="s">
        <v>18</v>
      </c>
      <c r="J5" s="212" t="s">
        <v>17</v>
      </c>
      <c r="K5" s="212" t="s">
        <v>17</v>
      </c>
      <c r="L5" s="158" t="s">
        <v>10</v>
      </c>
      <c r="M5" s="212" t="s">
        <v>11</v>
      </c>
    </row>
    <row r="6" spans="1:13">
      <c r="A6" s="117"/>
      <c r="B6" s="117"/>
      <c r="C6" s="117"/>
      <c r="D6" s="212" t="s">
        <v>19</v>
      </c>
      <c r="E6" s="212"/>
      <c r="F6" s="212"/>
      <c r="G6" s="212"/>
      <c r="H6" s="212" t="s">
        <v>20</v>
      </c>
      <c r="I6" s="212" t="s">
        <v>17</v>
      </c>
      <c r="J6" s="212" t="s">
        <v>20</v>
      </c>
      <c r="K6" s="212" t="s">
        <v>20</v>
      </c>
      <c r="L6" s="212"/>
      <c r="M6" s="212"/>
    </row>
    <row r="7" spans="1:13">
      <c r="A7" s="121"/>
      <c r="B7" s="121"/>
      <c r="C7" s="121"/>
      <c r="D7" s="213"/>
      <c r="E7" s="213"/>
      <c r="F7" s="213"/>
      <c r="G7" s="213"/>
      <c r="H7" s="213"/>
      <c r="I7" s="213" t="s">
        <v>20</v>
      </c>
      <c r="J7" s="213"/>
      <c r="K7" s="213"/>
      <c r="L7" s="213"/>
      <c r="M7" s="213"/>
    </row>
    <row r="8" spans="1:13">
      <c r="A8" s="4" t="s">
        <v>90</v>
      </c>
      <c r="B8" s="4"/>
      <c r="C8" s="4"/>
      <c r="D8" s="135">
        <v>67</v>
      </c>
      <c r="E8" s="128">
        <v>1.2</v>
      </c>
      <c r="F8" s="128">
        <v>1</v>
      </c>
      <c r="G8" s="136">
        <v>1264</v>
      </c>
      <c r="H8" s="128">
        <v>1517</v>
      </c>
      <c r="I8" s="128">
        <v>6567</v>
      </c>
      <c r="J8" s="128"/>
      <c r="K8" s="128">
        <v>8084</v>
      </c>
      <c r="L8" s="128">
        <v>700</v>
      </c>
      <c r="M8" s="4"/>
    </row>
    <row r="9" spans="1:13">
      <c r="A9" s="4" t="s">
        <v>437</v>
      </c>
      <c r="B9" s="4"/>
      <c r="C9" s="4"/>
      <c r="D9" s="471" t="s">
        <v>223</v>
      </c>
      <c r="E9" s="472"/>
      <c r="F9" s="472"/>
      <c r="G9" s="473"/>
      <c r="H9" s="128"/>
      <c r="I9" s="474" t="s">
        <v>438</v>
      </c>
      <c r="J9" s="128"/>
      <c r="K9" s="128"/>
      <c r="L9" s="4"/>
      <c r="M9" s="4"/>
    </row>
    <row r="10" spans="1:13">
      <c r="A10" s="4" t="s">
        <v>439</v>
      </c>
      <c r="B10" s="4"/>
      <c r="C10" s="4"/>
      <c r="D10" s="135">
        <v>100</v>
      </c>
      <c r="E10" s="128">
        <v>8.1999999999999993</v>
      </c>
      <c r="F10" s="128">
        <v>2.2000000000000002</v>
      </c>
      <c r="G10" s="136">
        <v>1202</v>
      </c>
      <c r="H10" s="128">
        <v>9856</v>
      </c>
      <c r="I10" s="4"/>
      <c r="J10" s="128">
        <v>30023</v>
      </c>
      <c r="K10" s="128">
        <v>39879</v>
      </c>
      <c r="L10" s="4"/>
      <c r="M10" s="4"/>
    </row>
    <row r="11" spans="1:13">
      <c r="A11" s="4" t="s">
        <v>33</v>
      </c>
      <c r="B11" s="4"/>
      <c r="C11" s="4"/>
      <c r="D11" s="135">
        <v>100</v>
      </c>
      <c r="E11" s="128">
        <v>10.9</v>
      </c>
      <c r="F11" s="128">
        <v>5.4</v>
      </c>
      <c r="G11" s="136">
        <v>1123</v>
      </c>
      <c r="H11" s="128">
        <v>12241</v>
      </c>
      <c r="I11" s="4"/>
      <c r="J11" s="128">
        <f>E33*G33+E34*G34+E35*G35</f>
        <v>20454</v>
      </c>
      <c r="K11" s="128">
        <f>SUM(H11:J11)</f>
        <v>32695</v>
      </c>
      <c r="L11" s="4"/>
      <c r="M11" s="4"/>
    </row>
    <row r="12" spans="1:13">
      <c r="A12" s="4" t="s">
        <v>440</v>
      </c>
      <c r="B12" s="4"/>
      <c r="C12" s="4"/>
      <c r="D12" s="135">
        <v>100</v>
      </c>
      <c r="E12" s="128">
        <v>11.7</v>
      </c>
      <c r="F12" s="128">
        <v>5.5</v>
      </c>
      <c r="G12" s="136">
        <v>1221</v>
      </c>
      <c r="H12" s="128">
        <v>14286</v>
      </c>
      <c r="I12" s="4"/>
      <c r="J12" s="128"/>
      <c r="K12" s="128">
        <v>14286</v>
      </c>
      <c r="L12" s="4"/>
      <c r="M12" s="4"/>
    </row>
    <row r="13" spans="1:13">
      <c r="A13" s="4" t="s">
        <v>35</v>
      </c>
      <c r="B13" s="4"/>
      <c r="C13" s="4"/>
      <c r="D13" s="135">
        <v>100</v>
      </c>
      <c r="E13" s="128">
        <v>8.8000000000000007</v>
      </c>
      <c r="F13" s="128">
        <v>5.9</v>
      </c>
      <c r="G13" s="136">
        <v>1500</v>
      </c>
      <c r="H13" s="128">
        <v>13200</v>
      </c>
      <c r="I13" s="4"/>
      <c r="J13" s="128">
        <v>23587</v>
      </c>
      <c r="K13" s="128">
        <v>36787</v>
      </c>
      <c r="L13" s="4"/>
      <c r="M13" s="4"/>
    </row>
    <row r="14" spans="1:13">
      <c r="A14" s="4" t="s">
        <v>441</v>
      </c>
      <c r="B14" s="4"/>
      <c r="C14" s="4"/>
      <c r="D14" s="135">
        <v>100</v>
      </c>
      <c r="E14" s="128">
        <v>22.4</v>
      </c>
      <c r="F14" s="128">
        <v>9.5</v>
      </c>
      <c r="G14" s="136">
        <v>1285</v>
      </c>
      <c r="H14" s="128">
        <f t="shared" ref="H14" si="0">E14*G14</f>
        <v>28783.999999999996</v>
      </c>
      <c r="I14" s="4"/>
      <c r="J14" s="128">
        <v>19666</v>
      </c>
      <c r="K14" s="128">
        <v>48450</v>
      </c>
      <c r="L14" s="4"/>
      <c r="M14" s="4"/>
    </row>
    <row r="15" spans="1:13">
      <c r="A15" s="4" t="s">
        <v>36</v>
      </c>
      <c r="B15" s="4"/>
      <c r="C15" s="4"/>
      <c r="D15" s="135">
        <v>100</v>
      </c>
      <c r="E15" s="128">
        <v>10.199999999999999</v>
      </c>
      <c r="F15" s="128">
        <v>8.8000000000000007</v>
      </c>
      <c r="G15" s="136">
        <v>1287</v>
      </c>
      <c r="H15" s="128">
        <v>13127</v>
      </c>
      <c r="I15" s="128">
        <v>11923</v>
      </c>
      <c r="J15" s="128"/>
      <c r="K15" s="128">
        <v>25050</v>
      </c>
      <c r="L15" s="4"/>
      <c r="M15" s="4"/>
    </row>
    <row r="16" spans="1:13">
      <c r="A16" s="4" t="s">
        <v>229</v>
      </c>
      <c r="B16" s="4"/>
      <c r="C16" s="4"/>
      <c r="D16" s="135">
        <v>100</v>
      </c>
      <c r="E16" s="128">
        <v>39.799999999999997</v>
      </c>
      <c r="F16" s="128">
        <v>30.31</v>
      </c>
      <c r="G16" s="136">
        <v>1145</v>
      </c>
      <c r="H16" s="128">
        <v>45571</v>
      </c>
      <c r="I16" s="4"/>
      <c r="J16" s="128"/>
      <c r="K16" s="128">
        <v>45571</v>
      </c>
      <c r="L16" s="4"/>
      <c r="M16" s="4"/>
    </row>
    <row r="17" spans="1:13">
      <c r="A17" s="114" t="s">
        <v>46</v>
      </c>
      <c r="B17" s="114"/>
      <c r="C17" s="114"/>
      <c r="D17" s="137"/>
      <c r="E17" s="138">
        <f>SUM(E8:E16)</f>
        <v>113.19999999999999</v>
      </c>
      <c r="F17" s="138">
        <f>SUM(F8:F16)</f>
        <v>68.61</v>
      </c>
      <c r="G17" s="138"/>
      <c r="H17" s="138">
        <f>SUM(H8:H16)</f>
        <v>138582</v>
      </c>
      <c r="I17" s="138">
        <f>SUM(I8:I16)</f>
        <v>18490</v>
      </c>
      <c r="J17" s="138">
        <f>SUM(J8:J16)</f>
        <v>93730</v>
      </c>
      <c r="K17" s="138">
        <f>SUM(H17:J17)</f>
        <v>250802</v>
      </c>
      <c r="L17" s="138">
        <f>SUM(L8:L16)</f>
        <v>700</v>
      </c>
      <c r="M17" s="114"/>
    </row>
    <row r="18" spans="1:13">
      <c r="A18" s="121" t="s">
        <v>47</v>
      </c>
      <c r="B18" s="121"/>
      <c r="C18" s="121"/>
      <c r="D18" s="139"/>
      <c r="E18" s="140">
        <f>SUM(E17-F17)</f>
        <v>44.589999999999989</v>
      </c>
      <c r="F18" s="140"/>
      <c r="G18" s="140"/>
      <c r="H18" s="140">
        <f>E28*G28</f>
        <v>54720</v>
      </c>
      <c r="I18" s="140">
        <f>I17-L17</f>
        <v>17790</v>
      </c>
      <c r="J18" s="140">
        <f>J17-M17</f>
        <v>93730</v>
      </c>
      <c r="K18" s="140">
        <f>SUM(H18:J18)</f>
        <v>166240</v>
      </c>
      <c r="L18" s="121"/>
      <c r="M18" s="121"/>
    </row>
    <row r="19" spans="1:13">
      <c r="A19" s="4"/>
      <c r="B19" s="4"/>
      <c r="C19" s="4"/>
      <c r="D19" s="4"/>
      <c r="E19" s="4"/>
      <c r="F19" s="4"/>
      <c r="G19" s="4"/>
      <c r="H19" s="4"/>
      <c r="I19" s="4"/>
      <c r="J19" s="4"/>
      <c r="K19" s="4"/>
      <c r="L19" s="4"/>
      <c r="M19" s="4"/>
    </row>
    <row r="20" spans="1:13">
      <c r="A20" s="4"/>
      <c r="B20" s="4"/>
      <c r="C20" s="4" t="s">
        <v>103</v>
      </c>
      <c r="D20" s="4"/>
      <c r="E20" s="4"/>
      <c r="F20" s="4"/>
      <c r="G20" s="4"/>
      <c r="H20" s="4"/>
      <c r="I20" s="4"/>
      <c r="J20" s="4"/>
      <c r="K20" s="4"/>
      <c r="L20" s="4"/>
      <c r="M20" s="4"/>
    </row>
    <row r="21" spans="1:13">
      <c r="A21" s="4"/>
      <c r="B21" s="4"/>
      <c r="C21" s="4"/>
      <c r="D21" s="4"/>
      <c r="E21" s="4"/>
      <c r="F21" s="4"/>
      <c r="G21" s="4"/>
      <c r="H21" s="4"/>
      <c r="I21" s="4"/>
      <c r="J21" s="4"/>
      <c r="K21" s="128"/>
      <c r="L21" s="4"/>
      <c r="M21" s="4"/>
    </row>
    <row r="22" spans="1:13">
      <c r="A22" s="4" t="s">
        <v>50</v>
      </c>
      <c r="B22" s="4"/>
      <c r="C22" s="4"/>
      <c r="D22" s="4"/>
      <c r="E22" s="4"/>
      <c r="F22" s="4"/>
      <c r="G22" s="4"/>
      <c r="H22" s="4"/>
      <c r="I22" s="4"/>
      <c r="J22" s="4"/>
      <c r="K22" s="4"/>
      <c r="L22" s="4"/>
      <c r="M22" s="4"/>
    </row>
    <row r="23" spans="1:13">
      <c r="A23" s="143" t="s">
        <v>51</v>
      </c>
      <c r="B23" s="143"/>
      <c r="C23" s="143"/>
      <c r="D23" s="143" t="s">
        <v>52</v>
      </c>
      <c r="E23" s="143" t="s">
        <v>53</v>
      </c>
      <c r="F23" s="143"/>
      <c r="G23" s="143" t="s">
        <v>54</v>
      </c>
      <c r="H23" s="4"/>
      <c r="I23" s="4"/>
      <c r="J23" s="4"/>
      <c r="K23" s="4"/>
      <c r="L23" s="4"/>
      <c r="M23" s="4"/>
    </row>
    <row r="24" spans="1:13">
      <c r="A24" s="4" t="s">
        <v>55</v>
      </c>
      <c r="B24" s="4"/>
      <c r="C24" s="4"/>
      <c r="D24" s="4"/>
      <c r="E24" s="4"/>
      <c r="F24" s="4"/>
      <c r="G24" s="4"/>
      <c r="H24" s="4"/>
      <c r="I24" s="4"/>
      <c r="J24" s="4"/>
      <c r="K24" s="4"/>
      <c r="L24" s="4"/>
      <c r="M24" s="4"/>
    </row>
    <row r="25" spans="1:13">
      <c r="A25" s="4" t="s">
        <v>442</v>
      </c>
      <c r="B25" s="4" t="s">
        <v>443</v>
      </c>
      <c r="C25" s="4" t="s">
        <v>444</v>
      </c>
      <c r="D25" s="285" t="s">
        <v>75</v>
      </c>
      <c r="E25" s="128">
        <v>1</v>
      </c>
      <c r="F25" s="4"/>
      <c r="G25" s="128">
        <v>30023</v>
      </c>
      <c r="H25" s="4"/>
      <c r="I25" s="4"/>
      <c r="J25" s="4"/>
      <c r="K25" s="4"/>
      <c r="L25" s="4"/>
      <c r="M25" s="4"/>
    </row>
    <row r="26" spans="1:13">
      <c r="A26" s="4"/>
      <c r="B26" s="4" t="s">
        <v>445</v>
      </c>
      <c r="C26" s="4" t="s">
        <v>446</v>
      </c>
      <c r="D26" s="4" t="s">
        <v>75</v>
      </c>
      <c r="E26" s="4" t="s">
        <v>447</v>
      </c>
      <c r="F26" s="4"/>
      <c r="G26" s="4" t="s">
        <v>448</v>
      </c>
      <c r="H26" s="4"/>
      <c r="I26" s="475" t="s">
        <v>430</v>
      </c>
      <c r="J26" s="475"/>
      <c r="K26" s="4"/>
      <c r="L26" s="4"/>
      <c r="M26" s="4"/>
    </row>
    <row r="27" spans="1:13">
      <c r="A27" s="4" t="s">
        <v>64</v>
      </c>
      <c r="B27" s="4"/>
      <c r="C27" s="4"/>
      <c r="D27" s="4"/>
      <c r="E27" s="4"/>
      <c r="F27" s="4"/>
      <c r="G27" s="4"/>
      <c r="H27" s="4"/>
      <c r="I27" s="475" t="s">
        <v>431</v>
      </c>
      <c r="J27" s="224">
        <v>77</v>
      </c>
      <c r="K27" s="4"/>
      <c r="L27" s="4"/>
      <c r="M27" s="4"/>
    </row>
    <row r="28" spans="1:13">
      <c r="A28" s="4" t="s">
        <v>65</v>
      </c>
      <c r="B28" s="4"/>
      <c r="C28" s="4"/>
      <c r="D28" s="285" t="s">
        <v>66</v>
      </c>
      <c r="E28" s="219">
        <v>45</v>
      </c>
      <c r="F28" s="4"/>
      <c r="G28" s="128">
        <v>1216</v>
      </c>
      <c r="H28" s="4"/>
      <c r="I28" s="476" t="s">
        <v>432</v>
      </c>
      <c r="J28" s="224">
        <v>23</v>
      </c>
      <c r="K28" s="4"/>
      <c r="L28" s="4"/>
      <c r="M28" s="4"/>
    </row>
    <row r="29" spans="1:13">
      <c r="A29" s="4" t="s">
        <v>68</v>
      </c>
      <c r="B29" s="4"/>
      <c r="C29" s="4"/>
      <c r="D29" s="285" t="s">
        <v>66</v>
      </c>
      <c r="E29" s="219">
        <v>69</v>
      </c>
      <c r="F29" s="4"/>
      <c r="G29" s="4"/>
      <c r="H29" s="4"/>
      <c r="I29" s="4"/>
      <c r="J29" s="4"/>
      <c r="K29" s="4"/>
      <c r="L29" s="4"/>
      <c r="M29" s="4"/>
    </row>
    <row r="30" spans="1:13" ht="15.75" thickBot="1">
      <c r="A30" s="4" t="s">
        <v>6</v>
      </c>
      <c r="B30" s="4"/>
      <c r="C30" s="4"/>
      <c r="D30" s="4"/>
      <c r="E30" s="219">
        <f>SUM(E28:E29)</f>
        <v>114</v>
      </c>
      <c r="F30" s="4"/>
      <c r="G30" s="4"/>
      <c r="H30" s="4"/>
      <c r="I30" s="4"/>
      <c r="J30" s="4"/>
      <c r="K30" s="4"/>
      <c r="L30" s="4"/>
      <c r="M30" s="4"/>
    </row>
    <row r="31" spans="1:13">
      <c r="A31" s="4"/>
      <c r="B31" s="4"/>
      <c r="C31" s="4"/>
      <c r="D31" s="4"/>
      <c r="E31" s="285"/>
      <c r="F31" s="4"/>
      <c r="G31" s="4"/>
      <c r="H31" s="4"/>
      <c r="I31" s="477" t="s">
        <v>105</v>
      </c>
      <c r="J31" s="478">
        <v>0.9</v>
      </c>
      <c r="K31" s="4"/>
      <c r="L31" s="4"/>
      <c r="M31" s="4"/>
    </row>
    <row r="32" spans="1:13" ht="15.75" thickBot="1">
      <c r="A32" s="114" t="s">
        <v>107</v>
      </c>
      <c r="B32" s="114"/>
      <c r="C32" s="114" t="s">
        <v>73</v>
      </c>
      <c r="D32" s="114"/>
      <c r="E32" s="115"/>
      <c r="F32" s="114"/>
      <c r="G32" s="114"/>
      <c r="H32" s="4"/>
      <c r="I32" s="479" t="s">
        <v>58</v>
      </c>
      <c r="J32" s="480">
        <v>1</v>
      </c>
      <c r="K32" s="4"/>
      <c r="L32" s="4"/>
      <c r="M32" s="4"/>
    </row>
    <row r="33" spans="1:13">
      <c r="A33" s="117" t="s">
        <v>171</v>
      </c>
      <c r="B33" s="158" t="s">
        <v>200</v>
      </c>
      <c r="C33" s="481">
        <v>40</v>
      </c>
      <c r="D33" s="118" t="s">
        <v>75</v>
      </c>
      <c r="E33" s="482">
        <v>69</v>
      </c>
      <c r="F33" s="117"/>
      <c r="G33" s="142">
        <v>50</v>
      </c>
      <c r="H33" s="4"/>
      <c r="I33" s="4"/>
      <c r="J33" s="4"/>
      <c r="K33" s="4"/>
      <c r="L33" s="4"/>
      <c r="M33" s="4"/>
    </row>
    <row r="34" spans="1:13">
      <c r="A34" s="117"/>
      <c r="B34" s="158" t="s">
        <v>449</v>
      </c>
      <c r="C34" s="481">
        <v>53</v>
      </c>
      <c r="D34" s="118" t="s">
        <v>75</v>
      </c>
      <c r="E34" s="482">
        <v>98</v>
      </c>
      <c r="F34" s="117"/>
      <c r="G34" s="142">
        <v>50</v>
      </c>
      <c r="H34" s="4"/>
      <c r="I34" s="4"/>
      <c r="J34" s="4"/>
      <c r="K34" s="4"/>
      <c r="L34" s="117"/>
      <c r="M34" s="4"/>
    </row>
    <row r="35" spans="1:13">
      <c r="A35" s="117"/>
      <c r="B35" s="483" t="s">
        <v>450</v>
      </c>
      <c r="C35" s="484">
        <v>40</v>
      </c>
      <c r="D35" s="485" t="s">
        <v>75</v>
      </c>
      <c r="E35" s="482">
        <v>178</v>
      </c>
      <c r="F35" s="155"/>
      <c r="G35" s="142">
        <v>68</v>
      </c>
      <c r="H35" s="4"/>
      <c r="I35" s="4"/>
      <c r="J35" s="4"/>
      <c r="K35" s="4"/>
      <c r="L35" s="117"/>
      <c r="M35" s="486"/>
    </row>
    <row r="36" spans="1:13">
      <c r="A36" s="114" t="s">
        <v>77</v>
      </c>
      <c r="B36" s="114"/>
      <c r="C36" s="114"/>
      <c r="D36" s="114"/>
      <c r="E36" s="114"/>
      <c r="F36" s="114"/>
      <c r="G36" s="114"/>
      <c r="H36" s="207" t="s">
        <v>79</v>
      </c>
      <c r="I36" s="4"/>
      <c r="J36" s="4"/>
      <c r="K36" s="4"/>
      <c r="L36" s="4"/>
      <c r="M36" s="4"/>
    </row>
    <row r="37" spans="1:13">
      <c r="A37" s="117" t="s">
        <v>80</v>
      </c>
      <c r="B37" s="117"/>
      <c r="C37" s="117"/>
      <c r="D37" s="117"/>
      <c r="E37" s="117"/>
      <c r="F37" s="166"/>
      <c r="G37" s="166">
        <v>6041</v>
      </c>
      <c r="H37" s="128">
        <v>14927</v>
      </c>
      <c r="I37" s="4"/>
      <c r="J37" s="4"/>
      <c r="K37" s="4"/>
      <c r="L37" s="4"/>
      <c r="M37" s="4"/>
    </row>
    <row r="38" spans="1:13">
      <c r="A38" s="117" t="s">
        <v>81</v>
      </c>
      <c r="B38" s="117"/>
      <c r="C38" s="117"/>
      <c r="D38" s="117"/>
      <c r="E38" s="117"/>
      <c r="F38" s="167"/>
      <c r="G38" s="167">
        <v>116</v>
      </c>
      <c r="H38" s="128"/>
      <c r="I38" s="4"/>
      <c r="J38" s="4"/>
      <c r="K38" s="4"/>
      <c r="L38" s="4"/>
      <c r="M38" s="4"/>
    </row>
    <row r="39" spans="1:13">
      <c r="A39" s="117" t="s">
        <v>82</v>
      </c>
      <c r="B39" s="117"/>
      <c r="C39" s="117"/>
      <c r="D39" s="117"/>
      <c r="E39" s="117"/>
      <c r="F39" s="167"/>
      <c r="G39" s="167">
        <f>SUM(G37*G38)</f>
        <v>700756</v>
      </c>
      <c r="H39" s="128">
        <v>1731568</v>
      </c>
      <c r="I39" s="4"/>
      <c r="J39" s="4"/>
      <c r="K39" s="4"/>
      <c r="L39" s="4"/>
      <c r="M39" s="4"/>
    </row>
    <row r="40" spans="1:13">
      <c r="A40" s="117" t="s">
        <v>83</v>
      </c>
      <c r="B40" s="117"/>
      <c r="C40" s="117"/>
      <c r="D40" s="117"/>
      <c r="E40" s="117"/>
      <c r="F40" s="167"/>
      <c r="G40" s="167">
        <f>SUM(G39-K17)</f>
        <v>449954</v>
      </c>
      <c r="H40" s="128">
        <v>1111836</v>
      </c>
      <c r="I40" s="4"/>
      <c r="J40" s="4"/>
      <c r="K40" s="4"/>
      <c r="L40" s="4"/>
      <c r="M40" s="4"/>
    </row>
    <row r="41" spans="1:13">
      <c r="A41" s="117" t="s">
        <v>84</v>
      </c>
      <c r="B41" s="117"/>
      <c r="C41" s="117"/>
      <c r="D41" s="117"/>
      <c r="E41" s="117"/>
      <c r="F41" s="167"/>
      <c r="G41" s="167">
        <f>SUM(G39-K18)</f>
        <v>534516</v>
      </c>
      <c r="H41" s="128">
        <v>1320789</v>
      </c>
      <c r="I41" s="4"/>
      <c r="J41" s="4"/>
      <c r="K41" s="4"/>
      <c r="L41" s="4"/>
      <c r="M41" s="4"/>
    </row>
    <row r="42" spans="1:13">
      <c r="A42" s="117"/>
      <c r="B42" s="117"/>
      <c r="C42" s="117"/>
      <c r="D42" s="117"/>
      <c r="E42" s="117"/>
      <c r="F42" s="167"/>
      <c r="G42" s="167"/>
      <c r="H42" s="4"/>
      <c r="I42" s="4"/>
      <c r="J42" s="4"/>
      <c r="K42" s="4"/>
      <c r="L42" s="4"/>
      <c r="M42" s="4"/>
    </row>
    <row r="43" spans="1:13">
      <c r="A43" s="117" t="s">
        <v>85</v>
      </c>
      <c r="B43" s="117"/>
      <c r="C43" s="117"/>
      <c r="D43" s="117"/>
      <c r="E43" s="117"/>
      <c r="F43" s="167"/>
      <c r="G43" s="167">
        <f>SUM(K17/G37)</f>
        <v>41.516636318490313</v>
      </c>
      <c r="H43" s="4"/>
      <c r="I43" s="4"/>
      <c r="J43" s="4"/>
      <c r="K43" s="4"/>
      <c r="L43" s="4"/>
      <c r="M43" s="4"/>
    </row>
    <row r="44" spans="1:13">
      <c r="A44" s="121" t="s">
        <v>86</v>
      </c>
      <c r="B44" s="121"/>
      <c r="C44" s="121"/>
      <c r="D44" s="121"/>
      <c r="E44" s="121"/>
      <c r="F44" s="168"/>
      <c r="G44" s="168">
        <f>SUM(K18/G37)</f>
        <v>27.51862274457871</v>
      </c>
      <c r="H44" s="4"/>
      <c r="I44" s="4"/>
      <c r="J44" s="4"/>
      <c r="K44" s="4"/>
      <c r="L44" s="4"/>
      <c r="M44" s="4"/>
    </row>
    <row r="45" spans="1:13">
      <c r="A45" s="4"/>
      <c r="B45" s="4"/>
      <c r="C45" s="4"/>
      <c r="D45" s="4"/>
      <c r="E45" s="4"/>
      <c r="F45" s="4"/>
      <c r="G45" s="4"/>
      <c r="H45" s="4"/>
      <c r="I45" s="4"/>
      <c r="J45" s="4"/>
      <c r="K45" s="4"/>
      <c r="L45" s="4"/>
      <c r="M45" s="4"/>
    </row>
    <row r="46" spans="1:13">
      <c r="A46" s="5" t="s">
        <v>113</v>
      </c>
      <c r="B46" s="4"/>
      <c r="C46" s="487"/>
      <c r="D46" s="4"/>
      <c r="E46" s="4"/>
      <c r="F46" s="487"/>
      <c r="G46" s="487"/>
      <c r="H46" s="487"/>
      <c r="I46" s="4"/>
      <c r="J46" s="4"/>
      <c r="K46" s="4"/>
      <c r="L46" s="4"/>
      <c r="M46" s="4"/>
    </row>
    <row r="47" spans="1:13">
      <c r="A47" s="488" t="s">
        <v>451</v>
      </c>
      <c r="B47" s="1"/>
      <c r="C47" s="489"/>
      <c r="D47" s="489"/>
      <c r="E47" s="489"/>
      <c r="F47" s="489"/>
      <c r="G47" s="489"/>
      <c r="H47" s="489"/>
      <c r="I47" s="489"/>
      <c r="J47" s="489"/>
      <c r="K47" s="1"/>
      <c r="L47" s="4"/>
      <c r="M47" s="4"/>
    </row>
    <row r="48" spans="1:13">
      <c r="A48" s="1"/>
      <c r="B48" s="1" t="s">
        <v>452</v>
      </c>
      <c r="C48" s="1"/>
      <c r="D48" s="1"/>
      <c r="E48" s="1"/>
      <c r="F48" s="1"/>
      <c r="G48" s="1"/>
      <c r="H48" s="1"/>
      <c r="I48" s="1"/>
      <c r="J48" s="1"/>
      <c r="K48" s="1"/>
      <c r="L48" s="4"/>
      <c r="M48" s="4"/>
    </row>
    <row r="49" spans="1:13">
      <c r="A49" s="4"/>
      <c r="B49" s="4"/>
      <c r="C49" s="4"/>
      <c r="D49" s="4"/>
      <c r="E49" s="4"/>
      <c r="F49" s="4"/>
      <c r="G49" s="4"/>
      <c r="H49" s="4"/>
      <c r="I49" s="4"/>
      <c r="J49" s="4"/>
      <c r="K49" s="4"/>
      <c r="L49" s="4"/>
      <c r="M49" s="4"/>
    </row>
    <row r="50" spans="1:13">
      <c r="A50" s="488" t="s">
        <v>453</v>
      </c>
      <c r="B50" s="487"/>
      <c r="C50" s="490"/>
      <c r="D50" s="490"/>
      <c r="E50" s="490"/>
      <c r="F50" s="490"/>
      <c r="G50" s="490"/>
      <c r="H50" s="4"/>
      <c r="I50" s="4"/>
      <c r="J50" s="4"/>
      <c r="K50" s="4"/>
      <c r="L50" s="4"/>
      <c r="M50" s="4"/>
    </row>
    <row r="51" spans="1:13">
      <c r="A51" s="491" t="s">
        <v>454</v>
      </c>
      <c r="B51" s="490"/>
      <c r="C51" s="490"/>
      <c r="D51" s="490"/>
      <c r="E51" s="490"/>
      <c r="F51" s="4"/>
      <c r="G51" s="4"/>
      <c r="H51" s="4"/>
      <c r="I51" s="4"/>
      <c r="J51" s="4"/>
      <c r="K51" s="4"/>
      <c r="L51" s="4"/>
      <c r="M5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MAize-Badulla</vt:lpstr>
      <vt:lpstr>MAize-sysH</vt:lpstr>
      <vt:lpstr>Black gram-Sys H</vt:lpstr>
      <vt:lpstr>Cowpea-Ampara</vt:lpstr>
      <vt:lpstr>Carrot- Néliya</vt:lpstr>
      <vt:lpstr>cabbage-NÉliya</vt:lpstr>
      <vt:lpstr>pole bean-Badulla</vt:lpstr>
      <vt:lpstr>Tomato-Badulla</vt:lpstr>
      <vt:lpstr>tomato-kandy</vt:lpstr>
      <vt:lpstr>Big Onion-Matale</vt:lpstr>
      <vt:lpstr>Soya bean (Sys H)</vt:lpstr>
      <vt:lpstr>Gingerlly A'pura</vt:lpstr>
      <vt:lpstr>Manioc-Gampaha</vt:lpstr>
      <vt:lpstr>Potato-Badulla</vt:lpstr>
      <vt:lpstr>Potato-Nuwaraeliya</vt:lpstr>
      <vt:lpstr>Sweet potata-Matale</vt:lpstr>
      <vt:lpstr>chilli-A'pura</vt:lpstr>
      <vt:lpstr>Red onion-Puttalam</vt:lpstr>
      <vt:lpstr>Brinjal-H'tota</vt:lpstr>
      <vt:lpstr>Bitter gourd-H'tota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2018-05-09T04:13:53Z</cp:lastPrinted>
  <dcterms:created xsi:type="dcterms:W3CDTF">2018-05-08T08:50:47Z</dcterms:created>
  <dcterms:modified xsi:type="dcterms:W3CDTF">2019-01-24T06:12:51Z</dcterms:modified>
</cp:coreProperties>
</file>