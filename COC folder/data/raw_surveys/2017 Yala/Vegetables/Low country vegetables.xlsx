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480" yWindow="75" windowWidth="18195" windowHeight="11820" activeTab="1"/>
  </bookViews>
  <sheets>
    <sheet name="Brijal" sheetId="1" r:id="rId1"/>
    <sheet name="bitter gourd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G39" i="2"/>
  <c r="E30"/>
  <c r="H18"/>
  <c r="L17"/>
  <c r="I17"/>
  <c r="I18" s="1"/>
  <c r="F17"/>
  <c r="E18" s="1"/>
  <c r="E17"/>
  <c r="H14"/>
  <c r="H17" s="1"/>
  <c r="J11"/>
  <c r="J17" s="1"/>
  <c r="J18" s="1"/>
  <c r="K17" l="1"/>
  <c r="G43" s="1"/>
  <c r="K18"/>
  <c r="G44" s="1"/>
  <c r="G40"/>
  <c r="G41"/>
  <c r="K11"/>
</calcChain>
</file>

<file path=xl/sharedStrings.xml><?xml version="1.0" encoding="utf-8"?>
<sst xmlns="http://schemas.openxmlformats.org/spreadsheetml/2006/main" count="181" uniqueCount="97">
  <si>
    <t>Table:</t>
  </si>
  <si>
    <t>COST OF CULTIVATION PER ACRE OF BRINJAL (IRRIGATED  )</t>
  </si>
  <si>
    <t>DISTRICT: Hambantota       2017 Yala SEASON</t>
  </si>
  <si>
    <t>finalized by chanika</t>
  </si>
  <si>
    <t>Tabulated &amp; analyzed by :V.G.S.Nilantha</t>
  </si>
  <si>
    <t>Operation</t>
  </si>
  <si>
    <t xml:space="preserve">  No</t>
  </si>
  <si>
    <t>Total</t>
  </si>
  <si>
    <t>Fam</t>
  </si>
  <si>
    <t>Wage</t>
  </si>
  <si>
    <t xml:space="preserve">  Labour</t>
  </si>
  <si>
    <t xml:space="preserve">  Machinary</t>
  </si>
  <si>
    <t xml:space="preserve">  Material</t>
  </si>
  <si>
    <t xml:space="preserve">  Total </t>
  </si>
  <si>
    <t>OWN INPUTS</t>
  </si>
  <si>
    <t>Report</t>
  </si>
  <si>
    <t>Lab</t>
  </si>
  <si>
    <t>Rate</t>
  </si>
  <si>
    <t xml:space="preserve">  Cost</t>
  </si>
  <si>
    <t xml:space="preserve">  &amp; Equpim't</t>
  </si>
  <si>
    <t xml:space="preserve">  %</t>
  </si>
  <si>
    <t xml:space="preserve">  Rs/ac</t>
  </si>
  <si>
    <t>All Nursery Preparation</t>
  </si>
  <si>
    <t>1st 2nd, &amp; 3rd  Plough with 4wt</t>
  </si>
  <si>
    <t>(1st, 2nd, &amp; 3rd  Plough with Mannually)</t>
  </si>
  <si>
    <t>(10)</t>
  </si>
  <si>
    <t>`(1.40)</t>
  </si>
  <si>
    <t>`(0.10)</t>
  </si>
  <si>
    <t>`(1314.00)</t>
  </si>
  <si>
    <t>`(1840.00)</t>
  </si>
  <si>
    <t>Digging holes &amp; Transplanting</t>
  </si>
  <si>
    <t>Fertilizer Application</t>
  </si>
  <si>
    <t xml:space="preserve">Weeding &amp; Earthing up </t>
  </si>
  <si>
    <t>Pest &amp; Disease Control</t>
  </si>
  <si>
    <t>Water Management</t>
  </si>
  <si>
    <t>Harvesting &amp; Drawing</t>
  </si>
  <si>
    <t>Total Including Imputed Cost</t>
  </si>
  <si>
    <t xml:space="preserve">Total Excluding Imputed Cost </t>
  </si>
  <si>
    <t>RELATED INFORMATION</t>
  </si>
  <si>
    <t>Quantity and Price of Inputs</t>
  </si>
  <si>
    <t>Input</t>
  </si>
  <si>
    <t>Unit</t>
  </si>
  <si>
    <t>Quantity</t>
  </si>
  <si>
    <t>Unit Price (Rs)</t>
  </si>
  <si>
    <t>Mean</t>
  </si>
  <si>
    <t>SEED</t>
  </si>
  <si>
    <t>Mode</t>
  </si>
  <si>
    <t>Seed</t>
  </si>
  <si>
    <t>kg</t>
  </si>
  <si>
    <t>Variety destribution %</t>
  </si>
  <si>
    <t>Hybrid</t>
  </si>
  <si>
    <t>LABOUR</t>
  </si>
  <si>
    <t>Local</t>
  </si>
  <si>
    <t>Hired Labour</t>
  </si>
  <si>
    <t>md</t>
  </si>
  <si>
    <t>Family Labour</t>
  </si>
  <si>
    <t>FIELD FERTILIZER</t>
  </si>
  <si>
    <t>% Reporting</t>
  </si>
  <si>
    <t>Urea</t>
  </si>
  <si>
    <t>TSP</t>
  </si>
  <si>
    <t>MOP</t>
  </si>
  <si>
    <t>YIELD AND RETURNS</t>
  </si>
  <si>
    <t>per ac</t>
  </si>
  <si>
    <t>Per ha</t>
  </si>
  <si>
    <t>Average Yield (kg/ac)</t>
  </si>
  <si>
    <t>Price of Produce (Rs/kg)</t>
  </si>
  <si>
    <t>Gross Income (Rs/ac)</t>
  </si>
  <si>
    <t>Profit Incl. Imputed Cost (Rs/ac)</t>
  </si>
  <si>
    <t>Profit Excl. Imputed Cost (Rs/ac)</t>
  </si>
  <si>
    <t>Per Unit Cost (Incl.Imputed Cost) (Rs/kg)</t>
  </si>
  <si>
    <t>Per Unit Cost (Excl. Imputed Cost (Rs/kg)</t>
  </si>
  <si>
    <t>Special remarks-</t>
  </si>
  <si>
    <t>In this season price of brinjal is extreamly high when compared with 2016 yala.  Therefore profit margin to the farmer is very high</t>
  </si>
  <si>
    <t>COST OF CULTIVATION PER ACRE OF BITTER GOARD  (IRRIGATED)</t>
  </si>
  <si>
    <t>DISTRICT:  Hambantota       2017  YALA SEASON</t>
  </si>
  <si>
    <t>Tabulated &amp; analyzed by :J.W.L. Surangi</t>
  </si>
  <si>
    <t>1  Plough with 2wt</t>
  </si>
  <si>
    <t>1  Plough with 4wt</t>
  </si>
  <si>
    <t>(33)</t>
  </si>
  <si>
    <t>(6833.00)</t>
  </si>
  <si>
    <t>Digging holes &amp; seeding</t>
  </si>
  <si>
    <t>Weeding &amp; Earthing up</t>
  </si>
  <si>
    <t xml:space="preserve">Trelising &amp; Training </t>
  </si>
  <si>
    <t xml:space="preserve">Seed </t>
  </si>
  <si>
    <t>(Hybrid)</t>
  </si>
  <si>
    <t>`(77%)</t>
  </si>
  <si>
    <t>(Local)</t>
  </si>
  <si>
    <t>`(23%)</t>
  </si>
  <si>
    <t>`(1.1)</t>
  </si>
  <si>
    <t>`(6507.00)</t>
  </si>
  <si>
    <t xml:space="preserve">Basal </t>
  </si>
  <si>
    <t>Tsp</t>
  </si>
  <si>
    <t>Vege mix</t>
  </si>
  <si>
    <t>Majority of farmers (77%) has used hybrid seeds whare as local seeds used last year. Hence cost of seeds was very high.</t>
  </si>
  <si>
    <t xml:space="preserve">                                                    Farmers said that local seed varieties give low yield so they have used hybrid. </t>
  </si>
  <si>
    <t xml:space="preserve"> average yield is very high compared to last season and market price also quite high.</t>
  </si>
  <si>
    <r>
      <t xml:space="preserve">                                                           </t>
    </r>
    <r>
      <rPr>
        <sz val="9"/>
        <rFont val="Arial"/>
        <family val="2"/>
      </rPr>
      <t xml:space="preserve">   Consequently low unit cost gives high profit margin to the farmer</t>
    </r>
  </si>
</sst>
</file>

<file path=xl/styles.xml><?xml version="1.0" encoding="utf-8"?>
<styleSheet xmlns="http://schemas.openxmlformats.org/spreadsheetml/2006/main">
  <numFmts count="3">
    <numFmt numFmtId="164" formatCode="0_)"/>
    <numFmt numFmtId="165" formatCode="0.00_)"/>
    <numFmt numFmtId="166" formatCode="0.0"/>
  </numFmts>
  <fonts count="13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1"/>
      <name val="Calibri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sz val="10"/>
      <color rgb="FFFF0000"/>
      <name val="Times New Roman"/>
      <family val="1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93">
    <xf numFmtId="0" fontId="0" fillId="0" borderId="0" xfId="0"/>
    <xf numFmtId="0" fontId="1" fillId="0" borderId="0" xfId="1"/>
    <xf numFmtId="165" fontId="5" fillId="0" borderId="0" xfId="1" applyNumberFormat="1" applyFont="1" applyFill="1" applyProtection="1"/>
    <xf numFmtId="165" fontId="6" fillId="0" borderId="3" xfId="1" applyNumberFormat="1" applyFont="1" applyFill="1" applyBorder="1" applyProtection="1"/>
    <xf numFmtId="165" fontId="5" fillId="0" borderId="3" xfId="1" applyNumberFormat="1" applyFont="1" applyFill="1" applyBorder="1" applyProtection="1"/>
    <xf numFmtId="0" fontId="6" fillId="0" borderId="0" xfId="1" applyFont="1"/>
    <xf numFmtId="0" fontId="6" fillId="0" borderId="1" xfId="1" applyFont="1" applyBorder="1"/>
    <xf numFmtId="0" fontId="6" fillId="0" borderId="1" xfId="1" applyFont="1" applyBorder="1" applyAlignment="1">
      <alignment horizontal="right"/>
    </xf>
    <xf numFmtId="0" fontId="6" fillId="0" borderId="1" xfId="1" applyFont="1" applyBorder="1" applyAlignment="1">
      <alignment horizontal="left"/>
    </xf>
    <xf numFmtId="0" fontId="6" fillId="0" borderId="0" xfId="1" applyFont="1" applyBorder="1"/>
    <xf numFmtId="0" fontId="6" fillId="0" borderId="0" xfId="1" applyFont="1" applyBorder="1" applyAlignment="1">
      <alignment horizontal="right"/>
    </xf>
    <xf numFmtId="0" fontId="6" fillId="0" borderId="0" xfId="1" applyFont="1" applyBorder="1" applyAlignment="1">
      <alignment horizontal="left"/>
    </xf>
    <xf numFmtId="0" fontId="6" fillId="0" borderId="2" xfId="1" applyFont="1" applyBorder="1"/>
    <xf numFmtId="0" fontId="6" fillId="0" borderId="2" xfId="1" applyFont="1" applyBorder="1" applyAlignment="1">
      <alignment horizontal="right"/>
    </xf>
    <xf numFmtId="164" fontId="6" fillId="0" borderId="0" xfId="1" applyNumberFormat="1" applyFont="1" applyProtection="1"/>
    <xf numFmtId="2" fontId="6" fillId="0" borderId="0" xfId="1" applyNumberFormat="1" applyFont="1"/>
    <xf numFmtId="165" fontId="6" fillId="0" borderId="0" xfId="1" applyNumberFormat="1" applyFont="1" applyAlignment="1" applyProtection="1"/>
    <xf numFmtId="166" fontId="6" fillId="0" borderId="0" xfId="1" applyNumberFormat="1" applyFont="1"/>
    <xf numFmtId="2" fontId="6" fillId="0" borderId="0" xfId="1" applyNumberFormat="1" applyFont="1" applyProtection="1"/>
    <xf numFmtId="49" fontId="6" fillId="0" borderId="0" xfId="1" applyNumberFormat="1" applyFont="1" applyProtection="1"/>
    <xf numFmtId="2" fontId="6" fillId="0" borderId="0" xfId="1" applyNumberFormat="1" applyFont="1" applyFill="1"/>
    <xf numFmtId="164" fontId="6" fillId="0" borderId="1" xfId="1" applyNumberFormat="1" applyFont="1" applyBorder="1" applyProtection="1"/>
    <xf numFmtId="2" fontId="6" fillId="0" borderId="1" xfId="1" applyNumberFormat="1" applyFont="1" applyBorder="1"/>
    <xf numFmtId="164" fontId="6" fillId="0" borderId="2" xfId="1" applyNumberFormat="1" applyFont="1" applyBorder="1" applyProtection="1"/>
    <xf numFmtId="2" fontId="6" fillId="0" borderId="2" xfId="1" applyNumberFormat="1" applyFont="1" applyBorder="1"/>
    <xf numFmtId="0" fontId="6" fillId="0" borderId="4" xfId="1" applyFont="1" applyBorder="1"/>
    <xf numFmtId="166" fontId="6" fillId="0" borderId="3" xfId="1" applyNumberFormat="1" applyFont="1" applyBorder="1" applyAlignment="1">
      <alignment horizontal="left" vertical="top"/>
    </xf>
    <xf numFmtId="0" fontId="6" fillId="0" borderId="3" xfId="1" applyFont="1" applyBorder="1" applyAlignment="1">
      <alignment horizontal="left" vertical="top"/>
    </xf>
    <xf numFmtId="0" fontId="6" fillId="0" borderId="0" xfId="1" applyFont="1" applyAlignment="1">
      <alignment horizontal="right"/>
    </xf>
    <xf numFmtId="0" fontId="6" fillId="0" borderId="0" xfId="1" applyFont="1" applyAlignment="1">
      <alignment horizontal="left" vertical="top"/>
    </xf>
    <xf numFmtId="0" fontId="8" fillId="0" borderId="0" xfId="1" applyFont="1" applyBorder="1"/>
    <xf numFmtId="0" fontId="6" fillId="0" borderId="0" xfId="1" quotePrefix="1" applyFont="1" applyBorder="1" applyAlignment="1">
      <alignment horizontal="center"/>
    </xf>
    <xf numFmtId="2" fontId="6" fillId="0" borderId="0" xfId="1" applyNumberFormat="1" applyFont="1" applyBorder="1" applyAlignment="1">
      <alignment horizontal="center"/>
    </xf>
    <xf numFmtId="2" fontId="6" fillId="0" borderId="0" xfId="1" applyNumberFormat="1" applyFont="1" applyBorder="1"/>
    <xf numFmtId="165" fontId="6" fillId="0" borderId="0" xfId="1" applyNumberFormat="1" applyFont="1" applyBorder="1" applyProtection="1"/>
    <xf numFmtId="165" fontId="6" fillId="0" borderId="0" xfId="1" applyNumberFormat="1" applyFont="1" applyBorder="1"/>
    <xf numFmtId="165" fontId="6" fillId="0" borderId="2" xfId="1" applyNumberFormat="1" applyFont="1" applyBorder="1"/>
    <xf numFmtId="0" fontId="7" fillId="0" borderId="0" xfId="1" applyFont="1" applyFill="1"/>
    <xf numFmtId="165" fontId="6" fillId="0" borderId="0" xfId="1" applyNumberFormat="1" applyFont="1" applyFill="1" applyBorder="1"/>
    <xf numFmtId="0" fontId="6" fillId="0" borderId="0" xfId="1" applyFont="1" applyFill="1"/>
    <xf numFmtId="0" fontId="6" fillId="0" borderId="0" xfId="1" applyFont="1" applyBorder="1" applyAlignment="1">
      <alignment horizontal="center"/>
    </xf>
    <xf numFmtId="0" fontId="4" fillId="0" borderId="0" xfId="0" applyFont="1"/>
    <xf numFmtId="0" fontId="4" fillId="2" borderId="0" xfId="0" applyFont="1" applyFill="1"/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0" fontId="4" fillId="0" borderId="1" xfId="0" applyFont="1" applyBorder="1" applyAlignment="1">
      <alignment horizontal="left"/>
    </xf>
    <xf numFmtId="0" fontId="4" fillId="0" borderId="0" xfId="0" applyFont="1" applyBorder="1"/>
    <xf numFmtId="0" fontId="4" fillId="0" borderId="0" xfId="0" applyFont="1" applyBorder="1" applyAlignment="1">
      <alignment horizontal="right"/>
    </xf>
    <xf numFmtId="0" fontId="4" fillId="0" borderId="0" xfId="0" applyFont="1" applyBorder="1" applyAlignment="1">
      <alignment horizontal="left"/>
    </xf>
    <xf numFmtId="0" fontId="4" fillId="0" borderId="2" xfId="0" applyFont="1" applyBorder="1"/>
    <xf numFmtId="0" fontId="4" fillId="0" borderId="2" xfId="0" applyFont="1" applyBorder="1" applyAlignment="1">
      <alignment horizontal="right"/>
    </xf>
    <xf numFmtId="164" fontId="4" fillId="0" borderId="0" xfId="0" applyNumberFormat="1" applyFont="1" applyProtection="1"/>
    <xf numFmtId="2" fontId="4" fillId="0" borderId="0" xfId="0" applyNumberFormat="1" applyFont="1"/>
    <xf numFmtId="2" fontId="4" fillId="0" borderId="0" xfId="0" applyNumberFormat="1" applyFont="1" applyProtection="1"/>
    <xf numFmtId="49" fontId="4" fillId="0" borderId="0" xfId="0" applyNumberFormat="1" applyFont="1" applyProtection="1"/>
    <xf numFmtId="0" fontId="4" fillId="0" borderId="0" xfId="0" applyNumberFormat="1" applyFont="1"/>
    <xf numFmtId="0" fontId="4" fillId="0" borderId="0" xfId="0" applyNumberFormat="1" applyFont="1" applyProtection="1"/>
    <xf numFmtId="49" fontId="4" fillId="0" borderId="0" xfId="0" applyNumberFormat="1" applyFont="1"/>
    <xf numFmtId="164" fontId="4" fillId="0" borderId="1" xfId="0" applyNumberFormat="1" applyFont="1" applyBorder="1" applyProtection="1"/>
    <xf numFmtId="2" fontId="4" fillId="0" borderId="1" xfId="0" applyNumberFormat="1" applyFont="1" applyBorder="1"/>
    <xf numFmtId="164" fontId="4" fillId="0" borderId="2" xfId="0" applyNumberFormat="1" applyFont="1" applyBorder="1" applyProtection="1"/>
    <xf numFmtId="2" fontId="4" fillId="0" borderId="2" xfId="0" applyNumberFormat="1" applyFont="1" applyBorder="1"/>
    <xf numFmtId="0" fontId="4" fillId="0" borderId="4" xfId="0" applyFont="1" applyBorder="1"/>
    <xf numFmtId="0" fontId="4" fillId="0" borderId="0" xfId="0" applyFont="1" applyAlignment="1">
      <alignment horizontal="center"/>
    </xf>
    <xf numFmtId="0" fontId="0" fillId="0" borderId="3" xfId="0" applyBorder="1" applyAlignment="1">
      <alignment horizontal="left" vertical="top"/>
    </xf>
    <xf numFmtId="0" fontId="4" fillId="0" borderId="3" xfId="0" applyFont="1" applyBorder="1"/>
    <xf numFmtId="2" fontId="4" fillId="0" borderId="0" xfId="0" applyNumberFormat="1" applyFont="1" applyAlignment="1">
      <alignment horizontal="right"/>
    </xf>
    <xf numFmtId="0" fontId="2" fillId="0" borderId="3" xfId="0" applyFont="1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4" fillId="0" borderId="6" xfId="0" applyFont="1" applyBorder="1"/>
    <xf numFmtId="0" fontId="4" fillId="0" borderId="1" xfId="0" applyFont="1" applyBorder="1" applyAlignment="1">
      <alignment horizontal="center"/>
    </xf>
    <xf numFmtId="0" fontId="0" fillId="0" borderId="7" xfId="0" applyBorder="1" applyAlignment="1">
      <alignment horizontal="left" vertical="top"/>
    </xf>
    <xf numFmtId="0" fontId="4" fillId="0" borderId="8" xfId="0" applyFont="1" applyBorder="1"/>
    <xf numFmtId="0" fontId="4" fillId="0" borderId="0" xfId="0" quotePrefix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2" fontId="4" fillId="0" borderId="0" xfId="0" applyNumberFormat="1" applyFont="1" applyBorder="1" applyAlignment="1">
      <alignment horizontal="center"/>
    </xf>
    <xf numFmtId="2" fontId="4" fillId="0" borderId="0" xfId="0" applyNumberFormat="1" applyFont="1" applyBorder="1"/>
    <xf numFmtId="0" fontId="4" fillId="0" borderId="0" xfId="0" applyFont="1" applyFill="1" applyBorder="1" applyAlignment="1">
      <alignment horizontal="left"/>
    </xf>
    <xf numFmtId="0" fontId="4" fillId="0" borderId="0" xfId="0" quotePrefix="1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4" fillId="0" borderId="0" xfId="0" applyFont="1" applyFill="1" applyBorder="1"/>
    <xf numFmtId="0" fontId="0" fillId="0" borderId="0" xfId="0" applyBorder="1" applyAlignment="1">
      <alignment horizontal="left" vertical="top"/>
    </xf>
    <xf numFmtId="0" fontId="9" fillId="0" borderId="0" xfId="0" applyFont="1"/>
    <xf numFmtId="165" fontId="4" fillId="0" borderId="0" xfId="0" applyNumberFormat="1" applyFont="1" applyBorder="1" applyProtection="1"/>
    <xf numFmtId="165" fontId="4" fillId="0" borderId="0" xfId="0" applyNumberFormat="1" applyFont="1" applyBorder="1"/>
    <xf numFmtId="165" fontId="4" fillId="0" borderId="2" xfId="0" applyNumberFormat="1" applyFont="1" applyBorder="1"/>
    <xf numFmtId="0" fontId="10" fillId="0" borderId="0" xfId="0" applyFont="1"/>
    <xf numFmtId="0" fontId="0" fillId="0" borderId="0" xfId="0" applyFill="1" applyAlignment="1">
      <alignment horizontal="left" vertical="top"/>
    </xf>
    <xf numFmtId="0" fontId="3" fillId="0" borderId="0" xfId="0" applyFont="1" applyFill="1" applyAlignment="1">
      <alignment horizontal="left" vertical="top"/>
    </xf>
    <xf numFmtId="0" fontId="11" fillId="0" borderId="0" xfId="0" applyFont="1"/>
    <xf numFmtId="0" fontId="11" fillId="0" borderId="0" xfId="0" applyFont="1" applyAlignment="1"/>
    <xf numFmtId="0" fontId="4" fillId="0" borderId="0" xfId="0" applyFont="1" applyAlignment="1"/>
    <xf numFmtId="0" fontId="12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8"/>
  <sheetViews>
    <sheetView workbookViewId="0">
      <selection activeCell="M34" sqref="M34"/>
    </sheetView>
  </sheetViews>
  <sheetFormatPr defaultRowHeight="15"/>
  <sheetData>
    <row r="1" spans="1:13">
      <c r="A1" s="5" t="s">
        <v>0</v>
      </c>
      <c r="B1" s="5" t="s">
        <v>1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>
      <c r="A2" s="5"/>
      <c r="B2" s="5" t="s">
        <v>2</v>
      </c>
      <c r="C2" s="5"/>
      <c r="D2" s="5"/>
      <c r="E2" s="5"/>
      <c r="F2" s="5"/>
      <c r="G2" s="5"/>
      <c r="H2" s="5"/>
      <c r="I2" s="5" t="s">
        <v>3</v>
      </c>
      <c r="J2" s="5"/>
      <c r="K2" s="5"/>
      <c r="L2" s="5"/>
      <c r="M2" s="5"/>
    </row>
    <row r="3" spans="1:13">
      <c r="A3" s="5"/>
      <c r="B3" s="5" t="s">
        <v>4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3">
      <c r="A4" s="6" t="s">
        <v>5</v>
      </c>
      <c r="B4" s="6"/>
      <c r="C4" s="6"/>
      <c r="D4" s="7" t="s">
        <v>6</v>
      </c>
      <c r="E4" s="7" t="s">
        <v>7</v>
      </c>
      <c r="F4" s="7" t="s">
        <v>8</v>
      </c>
      <c r="G4" s="7" t="s">
        <v>9</v>
      </c>
      <c r="H4" s="7" t="s">
        <v>10</v>
      </c>
      <c r="I4" s="7" t="s">
        <v>11</v>
      </c>
      <c r="J4" s="7" t="s">
        <v>12</v>
      </c>
      <c r="K4" s="7" t="s">
        <v>13</v>
      </c>
      <c r="L4" s="8" t="s">
        <v>14</v>
      </c>
      <c r="M4" s="7"/>
    </row>
    <row r="5" spans="1:13">
      <c r="A5" s="9"/>
      <c r="B5" s="9"/>
      <c r="C5" s="9"/>
      <c r="D5" s="10" t="s">
        <v>15</v>
      </c>
      <c r="E5" s="10" t="s">
        <v>16</v>
      </c>
      <c r="F5" s="10" t="s">
        <v>16</v>
      </c>
      <c r="G5" s="10" t="s">
        <v>17</v>
      </c>
      <c r="H5" s="10" t="s">
        <v>18</v>
      </c>
      <c r="I5" s="10" t="s">
        <v>19</v>
      </c>
      <c r="J5" s="10" t="s">
        <v>18</v>
      </c>
      <c r="K5" s="10" t="s">
        <v>18</v>
      </c>
      <c r="L5" s="40" t="s">
        <v>11</v>
      </c>
      <c r="M5" s="10" t="s">
        <v>12</v>
      </c>
    </row>
    <row r="6" spans="1:13">
      <c r="A6" s="9"/>
      <c r="B6" s="9"/>
      <c r="C6" s="9"/>
      <c r="D6" s="10" t="s">
        <v>20</v>
      </c>
      <c r="E6" s="10"/>
      <c r="F6" s="10"/>
      <c r="G6" s="10"/>
      <c r="H6" s="10" t="s">
        <v>21</v>
      </c>
      <c r="I6" s="10" t="s">
        <v>18</v>
      </c>
      <c r="J6" s="10" t="s">
        <v>21</v>
      </c>
      <c r="K6" s="10" t="s">
        <v>21</v>
      </c>
      <c r="L6" s="10"/>
      <c r="M6" s="10"/>
    </row>
    <row r="7" spans="1:13">
      <c r="A7" s="12"/>
      <c r="B7" s="12"/>
      <c r="C7" s="12"/>
      <c r="D7" s="13"/>
      <c r="E7" s="13"/>
      <c r="F7" s="13"/>
      <c r="G7" s="13"/>
      <c r="H7" s="13"/>
      <c r="I7" s="13" t="s">
        <v>21</v>
      </c>
      <c r="J7" s="13"/>
      <c r="K7" s="13"/>
      <c r="L7" s="13"/>
      <c r="M7" s="13"/>
    </row>
    <row r="8" spans="1:13">
      <c r="A8" s="5" t="s">
        <v>22</v>
      </c>
      <c r="B8" s="5"/>
      <c r="C8" s="5"/>
      <c r="D8" s="14">
        <v>100</v>
      </c>
      <c r="E8" s="15">
        <v>1.07</v>
      </c>
      <c r="F8" s="15">
        <v>0.93</v>
      </c>
      <c r="G8" s="16">
        <v>1317</v>
      </c>
      <c r="H8" s="15">
        <v>1409</v>
      </c>
      <c r="I8" s="5"/>
      <c r="J8" s="15">
        <v>522</v>
      </c>
      <c r="K8" s="15">
        <v>1931</v>
      </c>
      <c r="L8" s="5"/>
      <c r="M8" s="5"/>
    </row>
    <row r="9" spans="1:13">
      <c r="A9" s="5" t="s">
        <v>23</v>
      </c>
      <c r="B9" s="5"/>
      <c r="C9" s="5"/>
      <c r="D9" s="14">
        <v>90</v>
      </c>
      <c r="E9" s="17">
        <v>0.5</v>
      </c>
      <c r="F9" s="17">
        <v>0.5</v>
      </c>
      <c r="G9" s="18">
        <v>1314</v>
      </c>
      <c r="H9" s="15">
        <v>657</v>
      </c>
      <c r="I9" s="15">
        <v>6588</v>
      </c>
      <c r="J9" s="15"/>
      <c r="K9" s="15">
        <v>7245</v>
      </c>
      <c r="L9" s="5"/>
      <c r="M9" s="5"/>
    </row>
    <row r="10" spans="1:13">
      <c r="A10" s="5" t="s">
        <v>24</v>
      </c>
      <c r="B10" s="5"/>
      <c r="C10" s="5"/>
      <c r="D10" s="19" t="s">
        <v>25</v>
      </c>
      <c r="E10" s="15" t="s">
        <v>26</v>
      </c>
      <c r="F10" s="15" t="s">
        <v>27</v>
      </c>
      <c r="G10" s="18" t="s">
        <v>28</v>
      </c>
      <c r="H10" s="5" t="s">
        <v>29</v>
      </c>
      <c r="I10" s="5"/>
      <c r="J10" s="15"/>
      <c r="K10" s="15"/>
      <c r="L10" s="5"/>
      <c r="M10" s="5"/>
    </row>
    <row r="11" spans="1:13">
      <c r="A11" s="5" t="s">
        <v>30</v>
      </c>
      <c r="B11" s="5"/>
      <c r="C11" s="5"/>
      <c r="D11" s="14">
        <v>100</v>
      </c>
      <c r="E11" s="15">
        <v>6.3</v>
      </c>
      <c r="F11" s="15">
        <v>3</v>
      </c>
      <c r="G11" s="18">
        <v>1213</v>
      </c>
      <c r="H11" s="15">
        <v>7642</v>
      </c>
      <c r="I11" s="5"/>
      <c r="J11" s="15">
        <v>3499</v>
      </c>
      <c r="K11" s="15">
        <v>11141</v>
      </c>
      <c r="L11" s="5"/>
      <c r="M11" s="15"/>
    </row>
    <row r="12" spans="1:13">
      <c r="A12" s="5" t="s">
        <v>31</v>
      </c>
      <c r="B12" s="5"/>
      <c r="C12" s="5"/>
      <c r="D12" s="14">
        <v>100</v>
      </c>
      <c r="E12" s="15">
        <v>8.6</v>
      </c>
      <c r="F12" s="15">
        <v>3.5</v>
      </c>
      <c r="G12" s="18">
        <v>1151</v>
      </c>
      <c r="H12" s="15">
        <v>9899</v>
      </c>
      <c r="I12" s="5"/>
      <c r="J12" s="20">
        <v>16400</v>
      </c>
      <c r="K12" s="15">
        <v>26299</v>
      </c>
      <c r="L12" s="5"/>
      <c r="M12" s="5"/>
    </row>
    <row r="13" spans="1:13">
      <c r="A13" s="5" t="s">
        <v>32</v>
      </c>
      <c r="B13" s="5"/>
      <c r="C13" s="5"/>
      <c r="D13" s="14">
        <v>100</v>
      </c>
      <c r="E13" s="15">
        <v>14</v>
      </c>
      <c r="F13" s="15">
        <v>3.1</v>
      </c>
      <c r="G13" s="18">
        <v>1181</v>
      </c>
      <c r="H13" s="15">
        <v>16534</v>
      </c>
      <c r="I13" s="5"/>
      <c r="J13" s="15"/>
      <c r="K13" s="15">
        <v>16534</v>
      </c>
      <c r="L13" s="5"/>
      <c r="M13" s="5"/>
    </row>
    <row r="14" spans="1:13">
      <c r="A14" s="5" t="s">
        <v>33</v>
      </c>
      <c r="B14" s="5"/>
      <c r="C14" s="5"/>
      <c r="D14" s="14">
        <v>100</v>
      </c>
      <c r="E14" s="15">
        <v>10.32</v>
      </c>
      <c r="F14" s="15">
        <v>7.85</v>
      </c>
      <c r="G14" s="18">
        <v>1530</v>
      </c>
      <c r="H14" s="15">
        <v>15790</v>
      </c>
      <c r="I14" s="5"/>
      <c r="J14" s="15">
        <v>26068</v>
      </c>
      <c r="K14" s="15">
        <v>41858</v>
      </c>
      <c r="L14" s="5"/>
      <c r="M14" s="5"/>
    </row>
    <row r="15" spans="1:13">
      <c r="A15" s="5" t="s">
        <v>34</v>
      </c>
      <c r="B15" s="5"/>
      <c r="C15" s="5"/>
      <c r="D15" s="14">
        <v>100</v>
      </c>
      <c r="E15" s="15">
        <v>11</v>
      </c>
      <c r="F15" s="15">
        <v>10.6</v>
      </c>
      <c r="G15" s="18">
        <v>1323</v>
      </c>
      <c r="H15" s="15">
        <v>14553</v>
      </c>
      <c r="I15" s="15">
        <v>12646</v>
      </c>
      <c r="J15" s="1"/>
      <c r="K15" s="15">
        <v>27199</v>
      </c>
      <c r="L15" s="5"/>
      <c r="M15" s="5"/>
    </row>
    <row r="16" spans="1:13">
      <c r="A16" s="5" t="s">
        <v>35</v>
      </c>
      <c r="B16" s="5"/>
      <c r="C16" s="5"/>
      <c r="D16" s="14">
        <v>100</v>
      </c>
      <c r="E16" s="15">
        <v>33.6</v>
      </c>
      <c r="F16" s="15">
        <v>18</v>
      </c>
      <c r="G16" s="18">
        <v>1324</v>
      </c>
      <c r="H16" s="15">
        <v>44486</v>
      </c>
      <c r="I16" s="5"/>
      <c r="J16" s="15"/>
      <c r="K16" s="15">
        <v>44486</v>
      </c>
      <c r="L16" s="5"/>
      <c r="M16" s="5"/>
    </row>
    <row r="17" spans="1:13">
      <c r="A17" s="6" t="s">
        <v>36</v>
      </c>
      <c r="B17" s="6"/>
      <c r="C17" s="6"/>
      <c r="D17" s="21"/>
      <c r="E17" s="22">
        <v>85.39</v>
      </c>
      <c r="F17" s="22">
        <v>47.48</v>
      </c>
      <c r="G17" s="22"/>
      <c r="H17" s="22">
        <v>110970</v>
      </c>
      <c r="I17" s="22">
        <v>19234</v>
      </c>
      <c r="J17" s="22">
        <v>46489</v>
      </c>
      <c r="K17" s="22">
        <v>176693</v>
      </c>
      <c r="L17" s="6"/>
      <c r="M17" s="5"/>
    </row>
    <row r="18" spans="1:13">
      <c r="A18" s="12" t="s">
        <v>37</v>
      </c>
      <c r="B18" s="12"/>
      <c r="C18" s="12"/>
      <c r="D18" s="23"/>
      <c r="E18" s="24">
        <v>37.910000000000004</v>
      </c>
      <c r="F18" s="24"/>
      <c r="G18" s="24"/>
      <c r="H18" s="24">
        <v>49628</v>
      </c>
      <c r="I18" s="24">
        <v>19234</v>
      </c>
      <c r="J18" s="24">
        <v>46489</v>
      </c>
      <c r="K18" s="24">
        <v>115351</v>
      </c>
      <c r="L18" s="12"/>
      <c r="M18" s="5"/>
    </row>
    <row r="19" spans="1:1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</row>
    <row r="20" spans="1:13">
      <c r="A20" s="5"/>
      <c r="B20" s="5"/>
      <c r="C20" s="5" t="s">
        <v>38</v>
      </c>
      <c r="D20" s="5"/>
      <c r="E20" s="5"/>
      <c r="F20" s="5"/>
      <c r="G20" s="5"/>
      <c r="H20" s="5"/>
      <c r="I20" s="5"/>
      <c r="J20" s="5"/>
      <c r="K20" s="5"/>
      <c r="L20" s="5"/>
      <c r="M20" s="5"/>
    </row>
    <row r="21" spans="1:1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9"/>
    </row>
    <row r="22" spans="1:13">
      <c r="A22" s="5" t="s">
        <v>39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9"/>
    </row>
    <row r="23" spans="1:13">
      <c r="A23" s="25" t="s">
        <v>40</v>
      </c>
      <c r="B23" s="25"/>
      <c r="C23" s="25"/>
      <c r="D23" s="25" t="s">
        <v>41</v>
      </c>
      <c r="E23" s="25" t="s">
        <v>42</v>
      </c>
      <c r="F23" s="25"/>
      <c r="G23" s="25" t="s">
        <v>43</v>
      </c>
      <c r="H23" s="5"/>
      <c r="I23" s="5"/>
      <c r="J23" s="5"/>
      <c r="K23" s="3" t="s">
        <v>44</v>
      </c>
      <c r="L23" s="26">
        <v>0.9</v>
      </c>
      <c r="M23" s="5"/>
    </row>
    <row r="24" spans="1:13">
      <c r="A24" s="5" t="s">
        <v>45</v>
      </c>
      <c r="B24" s="5"/>
      <c r="C24" s="5"/>
      <c r="D24" s="5"/>
      <c r="E24" s="5"/>
      <c r="F24" s="5"/>
      <c r="G24" s="5"/>
      <c r="H24" s="5"/>
      <c r="I24" s="5"/>
      <c r="J24" s="5"/>
      <c r="K24" s="3" t="s">
        <v>46</v>
      </c>
      <c r="L24" s="27">
        <v>0.5</v>
      </c>
      <c r="M24" s="5"/>
    </row>
    <row r="25" spans="1:13">
      <c r="A25" s="5" t="s">
        <v>47</v>
      </c>
      <c r="B25" s="5"/>
      <c r="C25" s="5"/>
      <c r="D25" s="28" t="s">
        <v>48</v>
      </c>
      <c r="E25" s="15">
        <v>0.2</v>
      </c>
      <c r="F25" s="5"/>
      <c r="G25" s="15">
        <v>17494</v>
      </c>
      <c r="H25" s="5"/>
      <c r="I25" s="5"/>
      <c r="J25" s="5"/>
      <c r="K25" s="5"/>
      <c r="L25" s="5"/>
      <c r="M25" s="5"/>
    </row>
    <row r="26" spans="1:13">
      <c r="A26" s="5"/>
      <c r="B26" s="5"/>
      <c r="C26" s="5"/>
      <c r="D26" s="5"/>
      <c r="E26" s="5"/>
      <c r="F26" s="5"/>
      <c r="G26" s="5"/>
      <c r="H26" s="5"/>
      <c r="I26" s="5"/>
      <c r="J26" s="5"/>
      <c r="K26" s="4" t="s">
        <v>49</v>
      </c>
      <c r="L26" s="4"/>
      <c r="M26" s="2"/>
    </row>
    <row r="27" spans="1:13">
      <c r="A27" s="5"/>
      <c r="B27" s="5"/>
      <c r="C27" s="5"/>
      <c r="D27" s="5"/>
      <c r="E27" s="5"/>
      <c r="F27" s="5"/>
      <c r="G27" s="5"/>
      <c r="H27" s="5"/>
      <c r="I27" s="5"/>
      <c r="J27" s="5"/>
      <c r="K27" s="27" t="s">
        <v>50</v>
      </c>
      <c r="L27" s="27">
        <v>60</v>
      </c>
      <c r="M27" s="29"/>
    </row>
    <row r="28" spans="1:13">
      <c r="A28" s="5" t="s">
        <v>51</v>
      </c>
      <c r="B28" s="5"/>
      <c r="C28" s="5"/>
      <c r="D28" s="5"/>
      <c r="E28" s="5"/>
      <c r="F28" s="5"/>
      <c r="G28" s="5"/>
      <c r="H28" s="5"/>
      <c r="I28" s="5"/>
      <c r="J28" s="5"/>
      <c r="K28" s="27" t="s">
        <v>52</v>
      </c>
      <c r="L28" s="27">
        <v>40</v>
      </c>
      <c r="M28" s="29"/>
    </row>
    <row r="29" spans="1:13">
      <c r="A29" s="5" t="s">
        <v>53</v>
      </c>
      <c r="B29" s="5"/>
      <c r="C29" s="5"/>
      <c r="D29" s="28" t="s">
        <v>54</v>
      </c>
      <c r="E29" s="15">
        <v>38</v>
      </c>
      <c r="F29" s="5"/>
      <c r="G29" s="15">
        <v>1306</v>
      </c>
      <c r="H29" s="5"/>
      <c r="I29" s="5"/>
      <c r="J29" s="5"/>
      <c r="K29" s="29"/>
      <c r="L29" s="29"/>
      <c r="M29" s="29"/>
    </row>
    <row r="30" spans="1:13">
      <c r="A30" s="5" t="s">
        <v>55</v>
      </c>
      <c r="B30" s="5"/>
      <c r="C30" s="5"/>
      <c r="D30" s="28" t="s">
        <v>54</v>
      </c>
      <c r="E30" s="15">
        <v>47</v>
      </c>
      <c r="F30" s="5"/>
      <c r="G30" s="5"/>
      <c r="H30" s="5"/>
      <c r="I30" s="5"/>
      <c r="J30" s="5"/>
      <c r="K30" s="5"/>
      <c r="L30" s="5"/>
      <c r="M30" s="29"/>
    </row>
    <row r="31" spans="1:13">
      <c r="A31" s="5" t="s">
        <v>7</v>
      </c>
      <c r="B31" s="5"/>
      <c r="C31" s="5"/>
      <c r="D31" s="5"/>
      <c r="E31" s="15">
        <v>85</v>
      </c>
      <c r="F31" s="5"/>
      <c r="G31" s="5"/>
      <c r="H31" s="5"/>
      <c r="I31" s="5"/>
      <c r="J31" s="5"/>
      <c r="K31" s="5"/>
      <c r="L31" s="5"/>
      <c r="M31" s="5"/>
    </row>
    <row r="32" spans="1:13">
      <c r="A32" s="6" t="s">
        <v>56</v>
      </c>
      <c r="B32" s="6"/>
      <c r="C32" s="6" t="s">
        <v>57</v>
      </c>
      <c r="D32" s="6"/>
      <c r="E32" s="6"/>
      <c r="F32" s="6"/>
      <c r="G32" s="6"/>
      <c r="H32" s="5"/>
      <c r="I32" s="5"/>
      <c r="J32" s="5"/>
      <c r="K32" s="5"/>
      <c r="L32" s="5"/>
      <c r="M32" s="5"/>
    </row>
    <row r="33" spans="1:13">
      <c r="A33" s="30"/>
      <c r="B33" s="11" t="s">
        <v>58</v>
      </c>
      <c r="C33" s="31">
        <v>100</v>
      </c>
      <c r="D33" s="10" t="s">
        <v>48</v>
      </c>
      <c r="E33" s="32">
        <v>197</v>
      </c>
      <c r="F33" s="9"/>
      <c r="G33" s="33">
        <v>50</v>
      </c>
      <c r="H33" s="5"/>
      <c r="I33" s="5"/>
      <c r="J33" s="5"/>
      <c r="K33" s="5"/>
      <c r="L33" s="5"/>
      <c r="M33" s="5"/>
    </row>
    <row r="34" spans="1:13">
      <c r="A34" s="30"/>
      <c r="B34" s="11" t="s">
        <v>59</v>
      </c>
      <c r="C34" s="31">
        <v>67</v>
      </c>
      <c r="D34" s="10" t="s">
        <v>48</v>
      </c>
      <c r="E34" s="32">
        <v>55</v>
      </c>
      <c r="F34" s="9"/>
      <c r="G34" s="33">
        <v>50</v>
      </c>
      <c r="H34" s="5"/>
      <c r="I34" s="5"/>
      <c r="J34" s="5"/>
      <c r="K34" s="5"/>
      <c r="L34" s="5"/>
      <c r="M34" s="5"/>
    </row>
    <row r="35" spans="1:13">
      <c r="A35" s="30"/>
      <c r="B35" s="11" t="s">
        <v>60</v>
      </c>
      <c r="C35" s="31">
        <v>40</v>
      </c>
      <c r="D35" s="10" t="s">
        <v>48</v>
      </c>
      <c r="E35" s="32">
        <v>76</v>
      </c>
      <c r="F35" s="9"/>
      <c r="G35" s="33">
        <v>50</v>
      </c>
      <c r="H35" s="5"/>
      <c r="I35" s="5"/>
      <c r="J35" s="5"/>
      <c r="K35" s="5"/>
      <c r="L35" s="5"/>
      <c r="M35" s="5"/>
    </row>
    <row r="36" spans="1:13">
      <c r="A36" s="6" t="s">
        <v>61</v>
      </c>
      <c r="B36" s="6"/>
      <c r="C36" s="6"/>
      <c r="D36" s="6"/>
      <c r="E36" s="6"/>
      <c r="F36" s="6"/>
      <c r="G36" s="6" t="s">
        <v>62</v>
      </c>
      <c r="H36" s="5" t="s">
        <v>63</v>
      </c>
      <c r="I36" s="5"/>
      <c r="J36" s="5"/>
      <c r="K36" s="5"/>
      <c r="L36" s="5"/>
      <c r="M36" s="5"/>
    </row>
    <row r="37" spans="1:13">
      <c r="A37" s="9" t="s">
        <v>64</v>
      </c>
      <c r="B37" s="9"/>
      <c r="C37" s="9"/>
      <c r="D37" s="9"/>
      <c r="E37" s="9"/>
      <c r="F37" s="9"/>
      <c r="G37" s="34">
        <v>9044</v>
      </c>
      <c r="H37" s="15">
        <v>22348</v>
      </c>
      <c r="I37" s="5"/>
      <c r="J37" s="5"/>
      <c r="K37" s="5"/>
      <c r="L37" s="5"/>
      <c r="M37" s="5"/>
    </row>
    <row r="38" spans="1:13">
      <c r="A38" s="9" t="s">
        <v>65</v>
      </c>
      <c r="B38" s="9"/>
      <c r="C38" s="9"/>
      <c r="D38" s="9"/>
      <c r="E38" s="9"/>
      <c r="F38" s="9"/>
      <c r="G38" s="38">
        <v>90</v>
      </c>
      <c r="H38" s="15"/>
      <c r="I38" s="5"/>
      <c r="J38" s="5"/>
      <c r="K38" s="5"/>
      <c r="L38" s="5"/>
      <c r="M38" s="5"/>
    </row>
    <row r="39" spans="1:13">
      <c r="A39" s="9" t="s">
        <v>66</v>
      </c>
      <c r="B39" s="9"/>
      <c r="C39" s="9"/>
      <c r="D39" s="9"/>
      <c r="E39" s="9"/>
      <c r="F39" s="9"/>
      <c r="G39" s="35">
        <v>813960</v>
      </c>
      <c r="H39" s="15">
        <v>2011295</v>
      </c>
      <c r="I39" s="5"/>
      <c r="J39" s="5"/>
      <c r="K39" s="5"/>
      <c r="L39" s="5"/>
      <c r="M39" s="5"/>
    </row>
    <row r="40" spans="1:13">
      <c r="A40" s="9" t="s">
        <v>67</v>
      </c>
      <c r="B40" s="9"/>
      <c r="C40" s="9"/>
      <c r="D40" s="9"/>
      <c r="E40" s="9"/>
      <c r="F40" s="9"/>
      <c r="G40" s="35">
        <v>637267</v>
      </c>
      <c r="H40" s="15">
        <v>1574687</v>
      </c>
      <c r="I40" s="5"/>
      <c r="J40" s="5"/>
      <c r="K40" s="5"/>
      <c r="L40" s="5"/>
      <c r="M40" s="5"/>
    </row>
    <row r="41" spans="1:13">
      <c r="A41" s="9" t="s">
        <v>68</v>
      </c>
      <c r="B41" s="9"/>
      <c r="C41" s="9"/>
      <c r="D41" s="9"/>
      <c r="E41" s="9"/>
      <c r="F41" s="9"/>
      <c r="G41" s="35">
        <v>698609</v>
      </c>
      <c r="H41" s="15">
        <v>1726263</v>
      </c>
      <c r="I41" s="5"/>
      <c r="J41" s="5"/>
      <c r="K41" s="5"/>
      <c r="L41" s="5"/>
      <c r="M41" s="5"/>
    </row>
    <row r="42" spans="1:13">
      <c r="A42" s="9"/>
      <c r="B42" s="9"/>
      <c r="C42" s="9"/>
      <c r="D42" s="9"/>
      <c r="E42" s="9"/>
      <c r="F42" s="9"/>
      <c r="G42" s="35"/>
      <c r="H42" s="5"/>
      <c r="I42" s="5"/>
      <c r="J42" s="5"/>
      <c r="K42" s="5"/>
      <c r="L42" s="5"/>
      <c r="M42" s="5"/>
    </row>
    <row r="43" spans="1:13">
      <c r="A43" s="9" t="s">
        <v>69</v>
      </c>
      <c r="B43" s="9"/>
      <c r="C43" s="9"/>
      <c r="D43" s="9"/>
      <c r="E43" s="9"/>
      <c r="F43" s="9"/>
      <c r="G43" s="35">
        <v>19.537041132242372</v>
      </c>
      <c r="H43" s="5"/>
      <c r="I43" s="5"/>
      <c r="J43" s="5"/>
      <c r="K43" s="5"/>
      <c r="L43" s="5"/>
      <c r="M43" s="5"/>
    </row>
    <row r="44" spans="1:13">
      <c r="A44" s="12" t="s">
        <v>70</v>
      </c>
      <c r="B44" s="12"/>
      <c r="C44" s="12"/>
      <c r="D44" s="12"/>
      <c r="E44" s="12"/>
      <c r="F44" s="12"/>
      <c r="G44" s="36">
        <v>12.754422821760283</v>
      </c>
      <c r="H44" s="5"/>
      <c r="I44" s="5"/>
      <c r="J44" s="5"/>
      <c r="K44" s="5"/>
      <c r="L44" s="5"/>
      <c r="M44" s="5"/>
    </row>
    <row r="46" spans="1:13">
      <c r="A46" s="5" t="s">
        <v>71</v>
      </c>
      <c r="B46" s="1"/>
      <c r="C46" s="37"/>
      <c r="D46" s="37"/>
      <c r="E46" s="37"/>
      <c r="F46" s="37"/>
      <c r="G46" s="37"/>
      <c r="H46" s="1"/>
      <c r="I46" s="1"/>
      <c r="J46" s="1"/>
      <c r="K46" s="1"/>
      <c r="L46" s="1"/>
      <c r="M46" s="1"/>
    </row>
    <row r="47" spans="1:13">
      <c r="A47" s="39" t="s">
        <v>72</v>
      </c>
      <c r="B47" s="37"/>
      <c r="C47" s="37"/>
      <c r="D47" s="37"/>
      <c r="E47" s="37"/>
      <c r="F47" s="1"/>
      <c r="G47" s="1"/>
      <c r="H47" s="1"/>
      <c r="I47" s="1"/>
      <c r="J47" s="1"/>
      <c r="K47" s="1"/>
      <c r="L47" s="1"/>
      <c r="M47" s="1"/>
    </row>
    <row r="48" spans="1:13">
      <c r="A48" s="1"/>
      <c r="B48" s="1"/>
      <c r="C48" s="37"/>
      <c r="D48" s="37"/>
      <c r="E48" s="37"/>
      <c r="F48" s="37"/>
      <c r="G48" s="1"/>
      <c r="H48" s="1"/>
      <c r="I48" s="1"/>
      <c r="J48" s="1"/>
      <c r="K48" s="1"/>
      <c r="L48" s="1"/>
      <c r="M48" s="1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1"/>
  <sheetViews>
    <sheetView tabSelected="1" workbookViewId="0">
      <selection activeCell="N27" sqref="N27"/>
    </sheetView>
  </sheetViews>
  <sheetFormatPr defaultRowHeight="15"/>
  <cols>
    <col min="3" max="3" width="3.85546875" customWidth="1"/>
    <col min="7" max="7" width="10.140625" customWidth="1"/>
    <col min="8" max="8" width="11.42578125" customWidth="1"/>
    <col min="11" max="11" width="10.28515625" customWidth="1"/>
  </cols>
  <sheetData>
    <row r="1" spans="1:13">
      <c r="A1" s="41" t="s">
        <v>0</v>
      </c>
      <c r="B1" s="41" t="s">
        <v>73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r="2" spans="1:13">
      <c r="A2" s="41"/>
      <c r="B2" s="41" t="s">
        <v>74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>
      <c r="A3" s="41"/>
      <c r="B3" s="41" t="s">
        <v>75</v>
      </c>
      <c r="C3" s="41"/>
      <c r="D3" s="41"/>
      <c r="E3" s="41"/>
      <c r="F3" s="41"/>
      <c r="G3" s="41"/>
      <c r="H3" s="41"/>
      <c r="I3" s="41"/>
      <c r="J3" s="42" t="s">
        <v>3</v>
      </c>
      <c r="K3" s="42"/>
      <c r="L3" s="41"/>
      <c r="M3" s="41"/>
    </row>
    <row r="4" spans="1:13">
      <c r="A4" s="43" t="s">
        <v>5</v>
      </c>
      <c r="B4" s="43"/>
      <c r="C4" s="43"/>
      <c r="D4" s="44" t="s">
        <v>6</v>
      </c>
      <c r="E4" s="44" t="s">
        <v>7</v>
      </c>
      <c r="F4" s="44" t="s">
        <v>8</v>
      </c>
      <c r="G4" s="44" t="s">
        <v>9</v>
      </c>
      <c r="H4" s="44" t="s">
        <v>10</v>
      </c>
      <c r="I4" s="44" t="s">
        <v>11</v>
      </c>
      <c r="J4" s="44" t="s">
        <v>12</v>
      </c>
      <c r="K4" s="44" t="s">
        <v>13</v>
      </c>
      <c r="L4" s="45" t="s">
        <v>14</v>
      </c>
      <c r="M4" s="44"/>
    </row>
    <row r="5" spans="1:13">
      <c r="A5" s="46"/>
      <c r="B5" s="46"/>
      <c r="C5" s="46"/>
      <c r="D5" s="47" t="s">
        <v>15</v>
      </c>
      <c r="E5" s="47" t="s">
        <v>16</v>
      </c>
      <c r="F5" s="47" t="s">
        <v>16</v>
      </c>
      <c r="G5" s="47" t="s">
        <v>17</v>
      </c>
      <c r="H5" s="47" t="s">
        <v>18</v>
      </c>
      <c r="I5" s="47" t="s">
        <v>19</v>
      </c>
      <c r="J5" s="47" t="s">
        <v>18</v>
      </c>
      <c r="K5" s="47" t="s">
        <v>18</v>
      </c>
      <c r="L5" s="48" t="s">
        <v>11</v>
      </c>
      <c r="M5" s="47" t="s">
        <v>12</v>
      </c>
    </row>
    <row r="6" spans="1:13">
      <c r="A6" s="46"/>
      <c r="B6" s="46"/>
      <c r="C6" s="46"/>
      <c r="D6" s="47" t="s">
        <v>20</v>
      </c>
      <c r="E6" s="47"/>
      <c r="F6" s="47"/>
      <c r="G6" s="47"/>
      <c r="H6" s="47" t="s">
        <v>21</v>
      </c>
      <c r="I6" s="47" t="s">
        <v>18</v>
      </c>
      <c r="J6" s="47" t="s">
        <v>21</v>
      </c>
      <c r="K6" s="47" t="s">
        <v>21</v>
      </c>
      <c r="L6" s="47"/>
      <c r="M6" s="47"/>
    </row>
    <row r="7" spans="1:13">
      <c r="A7" s="49"/>
      <c r="B7" s="49"/>
      <c r="C7" s="49"/>
      <c r="D7" s="50"/>
      <c r="E7" s="50"/>
      <c r="F7" s="50"/>
      <c r="G7" s="50"/>
      <c r="H7" s="50"/>
      <c r="I7" s="50" t="s">
        <v>21</v>
      </c>
      <c r="J7" s="50"/>
      <c r="K7" s="50"/>
      <c r="L7" s="50"/>
      <c r="M7" s="50"/>
    </row>
    <row r="8" spans="1:13">
      <c r="A8" s="41" t="s">
        <v>76</v>
      </c>
      <c r="B8" s="41"/>
      <c r="C8" s="41"/>
      <c r="D8" s="51">
        <v>67</v>
      </c>
      <c r="E8" s="52">
        <v>1.2</v>
      </c>
      <c r="F8" s="52">
        <v>1</v>
      </c>
      <c r="G8" s="53">
        <v>1264</v>
      </c>
      <c r="H8" s="52">
        <v>1517</v>
      </c>
      <c r="I8" s="52">
        <v>6567</v>
      </c>
      <c r="J8" s="52"/>
      <c r="K8" s="52">
        <v>8084</v>
      </c>
      <c r="L8" s="52">
        <v>700</v>
      </c>
      <c r="M8" s="41"/>
    </row>
    <row r="9" spans="1:13">
      <c r="A9" s="41" t="s">
        <v>77</v>
      </c>
      <c r="B9" s="41"/>
      <c r="C9" s="41"/>
      <c r="D9" s="54" t="s">
        <v>78</v>
      </c>
      <c r="E9" s="55"/>
      <c r="F9" s="55"/>
      <c r="G9" s="56"/>
      <c r="H9" s="52"/>
      <c r="I9" s="57" t="s">
        <v>79</v>
      </c>
      <c r="J9" s="52"/>
      <c r="K9" s="52"/>
      <c r="L9" s="41"/>
      <c r="M9" s="41"/>
    </row>
    <row r="10" spans="1:13">
      <c r="A10" s="41" t="s">
        <v>80</v>
      </c>
      <c r="B10" s="41"/>
      <c r="C10" s="41"/>
      <c r="D10" s="51">
        <v>100</v>
      </c>
      <c r="E10" s="52">
        <v>8.1999999999999993</v>
      </c>
      <c r="F10" s="52">
        <v>2.2000000000000002</v>
      </c>
      <c r="G10" s="53">
        <v>1202</v>
      </c>
      <c r="H10" s="52">
        <v>9856</v>
      </c>
      <c r="I10" s="41"/>
      <c r="J10" s="52">
        <v>30023</v>
      </c>
      <c r="K10" s="52">
        <v>39879</v>
      </c>
      <c r="L10" s="41"/>
      <c r="M10" s="41"/>
    </row>
    <row r="11" spans="1:13">
      <c r="A11" s="41" t="s">
        <v>31</v>
      </c>
      <c r="B11" s="41"/>
      <c r="C11" s="41"/>
      <c r="D11" s="51">
        <v>100</v>
      </c>
      <c r="E11" s="52">
        <v>10.9</v>
      </c>
      <c r="F11" s="52">
        <v>5.4</v>
      </c>
      <c r="G11" s="53">
        <v>1123</v>
      </c>
      <c r="H11" s="52">
        <v>12241</v>
      </c>
      <c r="I11" s="41"/>
      <c r="J11" s="52">
        <f>E33*G33+E34*G34+E35*G35</f>
        <v>20454</v>
      </c>
      <c r="K11" s="52">
        <f>SUM(H11:J11)</f>
        <v>32695</v>
      </c>
      <c r="L11" s="41"/>
      <c r="M11" s="41"/>
    </row>
    <row r="12" spans="1:13">
      <c r="A12" s="41" t="s">
        <v>81</v>
      </c>
      <c r="B12" s="41"/>
      <c r="C12" s="41"/>
      <c r="D12" s="51">
        <v>100</v>
      </c>
      <c r="E12" s="52">
        <v>11.7</v>
      </c>
      <c r="F12" s="52">
        <v>5.5</v>
      </c>
      <c r="G12" s="53">
        <v>1221</v>
      </c>
      <c r="H12" s="52">
        <v>14286</v>
      </c>
      <c r="I12" s="41"/>
      <c r="J12" s="52"/>
      <c r="K12" s="52">
        <v>14286</v>
      </c>
      <c r="L12" s="41"/>
      <c r="M12" s="41"/>
    </row>
    <row r="13" spans="1:13">
      <c r="A13" s="41" t="s">
        <v>33</v>
      </c>
      <c r="B13" s="41"/>
      <c r="C13" s="41"/>
      <c r="D13" s="51">
        <v>100</v>
      </c>
      <c r="E13" s="52">
        <v>8.8000000000000007</v>
      </c>
      <c r="F13" s="52">
        <v>5.9</v>
      </c>
      <c r="G13" s="53">
        <v>1500</v>
      </c>
      <c r="H13" s="52">
        <v>13200</v>
      </c>
      <c r="I13" s="41"/>
      <c r="J13" s="52">
        <v>23587</v>
      </c>
      <c r="K13" s="52">
        <v>36787</v>
      </c>
      <c r="L13" s="41"/>
      <c r="M13" s="41"/>
    </row>
    <row r="14" spans="1:13">
      <c r="A14" s="41" t="s">
        <v>82</v>
      </c>
      <c r="B14" s="41"/>
      <c r="C14" s="41"/>
      <c r="D14" s="51">
        <v>100</v>
      </c>
      <c r="E14" s="52">
        <v>22.4</v>
      </c>
      <c r="F14" s="52">
        <v>9.5</v>
      </c>
      <c r="G14" s="53">
        <v>1285</v>
      </c>
      <c r="H14" s="52">
        <f t="shared" ref="H14" si="0">E14*G14</f>
        <v>28783.999999999996</v>
      </c>
      <c r="I14" s="41"/>
      <c r="J14" s="52">
        <v>19666</v>
      </c>
      <c r="K14" s="52">
        <v>48450</v>
      </c>
      <c r="L14" s="41"/>
      <c r="M14" s="41"/>
    </row>
    <row r="15" spans="1:13">
      <c r="A15" s="41" t="s">
        <v>34</v>
      </c>
      <c r="B15" s="41"/>
      <c r="C15" s="41"/>
      <c r="D15" s="51">
        <v>100</v>
      </c>
      <c r="E15" s="52">
        <v>10.199999999999999</v>
      </c>
      <c r="F15" s="52">
        <v>8.8000000000000007</v>
      </c>
      <c r="G15" s="53">
        <v>1287</v>
      </c>
      <c r="H15" s="52">
        <v>13127</v>
      </c>
      <c r="I15" s="52">
        <v>11923</v>
      </c>
      <c r="J15" s="52"/>
      <c r="K15" s="52">
        <v>25050</v>
      </c>
      <c r="L15" s="41"/>
      <c r="M15" s="41"/>
    </row>
    <row r="16" spans="1:13">
      <c r="A16" s="41" t="s">
        <v>35</v>
      </c>
      <c r="B16" s="41"/>
      <c r="C16" s="41"/>
      <c r="D16" s="51">
        <v>100</v>
      </c>
      <c r="E16" s="52">
        <v>39.799999999999997</v>
      </c>
      <c r="F16" s="52">
        <v>30.31</v>
      </c>
      <c r="G16" s="53">
        <v>1145</v>
      </c>
      <c r="H16" s="52">
        <v>45571</v>
      </c>
      <c r="I16" s="41"/>
      <c r="J16" s="52"/>
      <c r="K16" s="52">
        <v>45571</v>
      </c>
      <c r="L16" s="41"/>
      <c r="M16" s="41"/>
    </row>
    <row r="17" spans="1:13">
      <c r="A17" s="43" t="s">
        <v>36</v>
      </c>
      <c r="B17" s="43"/>
      <c r="C17" s="43"/>
      <c r="D17" s="58"/>
      <c r="E17" s="59">
        <f>SUM(E8:E16)</f>
        <v>113.19999999999999</v>
      </c>
      <c r="F17" s="59">
        <f>SUM(F8:F16)</f>
        <v>68.61</v>
      </c>
      <c r="G17" s="59"/>
      <c r="H17" s="59">
        <f>SUM(H8:H16)</f>
        <v>138582</v>
      </c>
      <c r="I17" s="59">
        <f>SUM(I8:I16)</f>
        <v>18490</v>
      </c>
      <c r="J17" s="59">
        <f>SUM(J8:J16)</f>
        <v>93730</v>
      </c>
      <c r="K17" s="59">
        <f>SUM(H17:J17)</f>
        <v>250802</v>
      </c>
      <c r="L17" s="59">
        <f>SUM(L8:L16)</f>
        <v>700</v>
      </c>
      <c r="M17" s="43"/>
    </row>
    <row r="18" spans="1:13">
      <c r="A18" s="49" t="s">
        <v>37</v>
      </c>
      <c r="B18" s="49"/>
      <c r="C18" s="49"/>
      <c r="D18" s="60"/>
      <c r="E18" s="61">
        <f>SUM(E17-F17)</f>
        <v>44.589999999999989</v>
      </c>
      <c r="F18" s="61"/>
      <c r="G18" s="61"/>
      <c r="H18" s="61">
        <f>E28*G28</f>
        <v>54720</v>
      </c>
      <c r="I18" s="61">
        <f>I17-L17</f>
        <v>17790</v>
      </c>
      <c r="J18" s="61">
        <f>J17-M17</f>
        <v>93730</v>
      </c>
      <c r="K18" s="61">
        <f>SUM(H18:J18)</f>
        <v>166240</v>
      </c>
      <c r="L18" s="49"/>
      <c r="M18" s="49"/>
    </row>
    <row r="19" spans="1:13">
      <c r="A19" s="41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</row>
    <row r="20" spans="1:13">
      <c r="A20" s="41"/>
      <c r="B20" s="41"/>
      <c r="C20" s="41" t="s">
        <v>38</v>
      </c>
      <c r="D20" s="41"/>
      <c r="E20" s="41"/>
      <c r="F20" s="41"/>
      <c r="G20" s="41"/>
      <c r="H20" s="41"/>
      <c r="I20" s="41"/>
      <c r="J20" s="41"/>
      <c r="K20" s="41"/>
      <c r="L20" s="41"/>
      <c r="M20" s="41"/>
    </row>
    <row r="21" spans="1:13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52"/>
      <c r="L21" s="41"/>
      <c r="M21" s="41"/>
    </row>
    <row r="22" spans="1:13">
      <c r="A22" s="41" t="s">
        <v>39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</row>
    <row r="23" spans="1:13">
      <c r="A23" s="62" t="s">
        <v>40</v>
      </c>
      <c r="B23" s="62"/>
      <c r="C23" s="62"/>
      <c r="D23" s="62" t="s">
        <v>41</v>
      </c>
      <c r="E23" s="62" t="s">
        <v>42</v>
      </c>
      <c r="F23" s="62"/>
      <c r="G23" s="62" t="s">
        <v>43</v>
      </c>
      <c r="H23" s="41"/>
      <c r="I23" s="41"/>
      <c r="J23" s="41"/>
      <c r="K23" s="41"/>
      <c r="L23" s="41"/>
      <c r="M23" s="41"/>
    </row>
    <row r="24" spans="1:13">
      <c r="A24" s="41" t="s">
        <v>45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</row>
    <row r="25" spans="1:13">
      <c r="A25" s="41" t="s">
        <v>83</v>
      </c>
      <c r="B25" s="41" t="s">
        <v>84</v>
      </c>
      <c r="C25" s="41" t="s">
        <v>85</v>
      </c>
      <c r="D25" s="63" t="s">
        <v>48</v>
      </c>
      <c r="E25" s="52">
        <v>1</v>
      </c>
      <c r="F25" s="41"/>
      <c r="G25" s="52">
        <v>30023</v>
      </c>
      <c r="H25" s="41"/>
      <c r="I25" s="41"/>
      <c r="J25" s="41"/>
      <c r="K25" s="41"/>
      <c r="L25" s="41"/>
      <c r="M25" s="41"/>
    </row>
    <row r="26" spans="1:13">
      <c r="A26" s="41"/>
      <c r="B26" s="41" t="s">
        <v>86</v>
      </c>
      <c r="C26" s="41" t="s">
        <v>87</v>
      </c>
      <c r="D26" s="41" t="s">
        <v>48</v>
      </c>
      <c r="E26" s="41" t="s">
        <v>88</v>
      </c>
      <c r="F26" s="41"/>
      <c r="G26" s="41" t="s">
        <v>89</v>
      </c>
      <c r="H26" s="41"/>
      <c r="I26" s="64" t="s">
        <v>49</v>
      </c>
      <c r="J26" s="64"/>
      <c r="K26" s="41"/>
      <c r="L26" s="41"/>
      <c r="M26" s="41"/>
    </row>
    <row r="27" spans="1:13">
      <c r="A27" s="41" t="s">
        <v>51</v>
      </c>
      <c r="B27" s="41"/>
      <c r="C27" s="41"/>
      <c r="D27" s="41"/>
      <c r="E27" s="41"/>
      <c r="F27" s="41"/>
      <c r="G27" s="41"/>
      <c r="H27" s="41"/>
      <c r="I27" s="64" t="s">
        <v>50</v>
      </c>
      <c r="J27" s="65">
        <v>77</v>
      </c>
      <c r="K27" s="41"/>
      <c r="L27" s="41"/>
      <c r="M27" s="41"/>
    </row>
    <row r="28" spans="1:13">
      <c r="A28" s="41" t="s">
        <v>53</v>
      </c>
      <c r="B28" s="41"/>
      <c r="C28" s="41"/>
      <c r="D28" s="63" t="s">
        <v>54</v>
      </c>
      <c r="E28" s="66">
        <v>45</v>
      </c>
      <c r="F28" s="41"/>
      <c r="G28" s="52">
        <v>1216</v>
      </c>
      <c r="H28" s="41"/>
      <c r="I28" s="67" t="s">
        <v>52</v>
      </c>
      <c r="J28" s="65">
        <v>23</v>
      </c>
      <c r="K28" s="41"/>
      <c r="L28" s="41"/>
      <c r="M28" s="41"/>
    </row>
    <row r="29" spans="1:13">
      <c r="A29" s="41" t="s">
        <v>55</v>
      </c>
      <c r="B29" s="41"/>
      <c r="C29" s="41"/>
      <c r="D29" s="63" t="s">
        <v>54</v>
      </c>
      <c r="E29" s="66">
        <v>69</v>
      </c>
      <c r="F29" s="41"/>
      <c r="G29" s="41"/>
      <c r="H29" s="41"/>
      <c r="I29" s="41"/>
      <c r="J29" s="41"/>
      <c r="K29" s="41"/>
      <c r="L29" s="41"/>
      <c r="M29" s="41"/>
    </row>
    <row r="30" spans="1:13" ht="15.75" thickBot="1">
      <c r="A30" s="41" t="s">
        <v>7</v>
      </c>
      <c r="B30" s="41"/>
      <c r="C30" s="41"/>
      <c r="D30" s="41"/>
      <c r="E30" s="66">
        <f>SUM(E28:E29)</f>
        <v>114</v>
      </c>
      <c r="F30" s="41"/>
      <c r="G30" s="41"/>
      <c r="H30" s="41"/>
      <c r="I30" s="41"/>
      <c r="J30" s="41"/>
      <c r="K30" s="41"/>
      <c r="L30" s="41"/>
      <c r="M30" s="41"/>
    </row>
    <row r="31" spans="1:13">
      <c r="A31" s="41"/>
      <c r="B31" s="41"/>
      <c r="C31" s="41"/>
      <c r="D31" s="41"/>
      <c r="E31" s="63"/>
      <c r="F31" s="41"/>
      <c r="G31" s="41"/>
      <c r="H31" s="41"/>
      <c r="I31" s="68" t="s">
        <v>44</v>
      </c>
      <c r="J31" s="69">
        <v>0.9</v>
      </c>
      <c r="K31" s="41"/>
      <c r="L31" s="41"/>
      <c r="M31" s="41"/>
    </row>
    <row r="32" spans="1:13" ht="15.75" thickBot="1">
      <c r="A32" s="43" t="s">
        <v>56</v>
      </c>
      <c r="B32" s="43"/>
      <c r="C32" s="43" t="s">
        <v>57</v>
      </c>
      <c r="D32" s="43"/>
      <c r="E32" s="70"/>
      <c r="F32" s="43"/>
      <c r="G32" s="43"/>
      <c r="H32" s="41"/>
      <c r="I32" s="71" t="s">
        <v>46</v>
      </c>
      <c r="J32" s="72">
        <v>1</v>
      </c>
      <c r="K32" s="41"/>
      <c r="L32" s="41"/>
      <c r="M32" s="41"/>
    </row>
    <row r="33" spans="1:13">
      <c r="A33" s="46" t="s">
        <v>90</v>
      </c>
      <c r="B33" s="48" t="s">
        <v>58</v>
      </c>
      <c r="C33" s="73">
        <v>40</v>
      </c>
      <c r="D33" s="74" t="s">
        <v>48</v>
      </c>
      <c r="E33" s="75">
        <v>69</v>
      </c>
      <c r="F33" s="46"/>
      <c r="G33" s="76">
        <v>50</v>
      </c>
      <c r="H33" s="41"/>
      <c r="I33" s="41"/>
      <c r="J33" s="41"/>
      <c r="K33" s="41"/>
      <c r="L33" s="41"/>
      <c r="M33" s="41"/>
    </row>
    <row r="34" spans="1:13">
      <c r="A34" s="46"/>
      <c r="B34" s="48" t="s">
        <v>91</v>
      </c>
      <c r="C34" s="73">
        <v>53</v>
      </c>
      <c r="D34" s="74" t="s">
        <v>48</v>
      </c>
      <c r="E34" s="75">
        <v>98</v>
      </c>
      <c r="F34" s="46"/>
      <c r="G34" s="76">
        <v>50</v>
      </c>
      <c r="H34" s="41"/>
      <c r="I34" s="41"/>
      <c r="J34" s="41"/>
      <c r="K34" s="41"/>
      <c r="L34" s="46"/>
      <c r="M34" s="41"/>
    </row>
    <row r="35" spans="1:13">
      <c r="A35" s="46"/>
      <c r="B35" s="77" t="s">
        <v>92</v>
      </c>
      <c r="C35" s="78">
        <v>40</v>
      </c>
      <c r="D35" s="79" t="s">
        <v>48</v>
      </c>
      <c r="E35" s="75">
        <v>178</v>
      </c>
      <c r="F35" s="80"/>
      <c r="G35" s="76">
        <v>68</v>
      </c>
      <c r="H35" s="41"/>
      <c r="I35" s="41"/>
      <c r="J35" s="41"/>
      <c r="K35" s="41"/>
      <c r="L35" s="46"/>
      <c r="M35" s="81"/>
    </row>
    <row r="36" spans="1:13">
      <c r="A36" s="43" t="s">
        <v>61</v>
      </c>
      <c r="B36" s="43"/>
      <c r="C36" s="43"/>
      <c r="D36" s="43"/>
      <c r="E36" s="43"/>
      <c r="F36" s="43"/>
      <c r="G36" s="43"/>
      <c r="H36" s="82" t="s">
        <v>63</v>
      </c>
      <c r="I36" s="41"/>
      <c r="J36" s="41"/>
      <c r="K36" s="41"/>
      <c r="L36" s="41"/>
      <c r="M36" s="41"/>
    </row>
    <row r="37" spans="1:13">
      <c r="A37" s="46" t="s">
        <v>64</v>
      </c>
      <c r="B37" s="46"/>
      <c r="C37" s="46"/>
      <c r="D37" s="46"/>
      <c r="E37" s="46"/>
      <c r="F37" s="83"/>
      <c r="G37" s="83">
        <v>6041</v>
      </c>
      <c r="H37" s="52">
        <v>14927</v>
      </c>
      <c r="I37" s="41"/>
      <c r="J37" s="41"/>
      <c r="K37" s="41"/>
      <c r="L37" s="41"/>
      <c r="M37" s="41"/>
    </row>
    <row r="38" spans="1:13">
      <c r="A38" s="46" t="s">
        <v>65</v>
      </c>
      <c r="B38" s="46"/>
      <c r="C38" s="46"/>
      <c r="D38" s="46"/>
      <c r="E38" s="46"/>
      <c r="F38" s="84"/>
      <c r="G38" s="84">
        <v>116</v>
      </c>
      <c r="H38" s="52"/>
      <c r="I38" s="41"/>
      <c r="J38" s="41"/>
      <c r="K38" s="41"/>
      <c r="L38" s="41"/>
      <c r="M38" s="41"/>
    </row>
    <row r="39" spans="1:13">
      <c r="A39" s="46" t="s">
        <v>66</v>
      </c>
      <c r="B39" s="46"/>
      <c r="C39" s="46"/>
      <c r="D39" s="46"/>
      <c r="E39" s="46"/>
      <c r="F39" s="84"/>
      <c r="G39" s="84">
        <f>SUM(G37*G38)</f>
        <v>700756</v>
      </c>
      <c r="H39" s="52">
        <v>1731568</v>
      </c>
      <c r="I39" s="41"/>
      <c r="J39" s="41"/>
      <c r="K39" s="41"/>
      <c r="L39" s="41"/>
      <c r="M39" s="41"/>
    </row>
    <row r="40" spans="1:13">
      <c r="A40" s="46" t="s">
        <v>67</v>
      </c>
      <c r="B40" s="46"/>
      <c r="C40" s="46"/>
      <c r="D40" s="46"/>
      <c r="E40" s="46"/>
      <c r="F40" s="84"/>
      <c r="G40" s="84">
        <f>SUM(G39-K17)</f>
        <v>449954</v>
      </c>
      <c r="H40" s="52">
        <v>1111836</v>
      </c>
      <c r="I40" s="41"/>
      <c r="J40" s="41"/>
      <c r="K40" s="41"/>
      <c r="L40" s="41"/>
      <c r="M40" s="41"/>
    </row>
    <row r="41" spans="1:13">
      <c r="A41" s="46" t="s">
        <v>68</v>
      </c>
      <c r="B41" s="46"/>
      <c r="C41" s="46"/>
      <c r="D41" s="46"/>
      <c r="E41" s="46"/>
      <c r="F41" s="84"/>
      <c r="G41" s="84">
        <f>SUM(G39-K18)</f>
        <v>534516</v>
      </c>
      <c r="H41" s="52">
        <v>1320789</v>
      </c>
      <c r="I41" s="41"/>
      <c r="J41" s="41"/>
      <c r="K41" s="41"/>
      <c r="L41" s="41"/>
      <c r="M41" s="41"/>
    </row>
    <row r="42" spans="1:13">
      <c r="A42" s="46"/>
      <c r="B42" s="46"/>
      <c r="C42" s="46"/>
      <c r="D42" s="46"/>
      <c r="E42" s="46"/>
      <c r="F42" s="84"/>
      <c r="G42" s="84"/>
      <c r="H42" s="41"/>
      <c r="I42" s="41"/>
      <c r="J42" s="41"/>
      <c r="K42" s="41"/>
      <c r="L42" s="41"/>
      <c r="M42" s="41"/>
    </row>
    <row r="43" spans="1:13">
      <c r="A43" s="46" t="s">
        <v>69</v>
      </c>
      <c r="B43" s="46"/>
      <c r="C43" s="46"/>
      <c r="D43" s="46"/>
      <c r="E43" s="46"/>
      <c r="F43" s="84"/>
      <c r="G43" s="84">
        <f>SUM(K17/G37)</f>
        <v>41.516636318490313</v>
      </c>
      <c r="H43" s="41"/>
      <c r="I43" s="41"/>
      <c r="J43" s="41"/>
      <c r="K43" s="41"/>
      <c r="L43" s="41"/>
      <c r="M43" s="41"/>
    </row>
    <row r="44" spans="1:13">
      <c r="A44" s="49" t="s">
        <v>70</v>
      </c>
      <c r="B44" s="49"/>
      <c r="C44" s="49"/>
      <c r="D44" s="49"/>
      <c r="E44" s="49"/>
      <c r="F44" s="85"/>
      <c r="G44" s="85">
        <f>SUM(K18/G37)</f>
        <v>27.51862274457871</v>
      </c>
      <c r="H44" s="41"/>
      <c r="I44" s="41"/>
      <c r="J44" s="41"/>
      <c r="K44" s="41"/>
      <c r="L44" s="41"/>
      <c r="M44" s="41"/>
    </row>
    <row r="45" spans="1:13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</row>
    <row r="46" spans="1:13">
      <c r="A46" s="86" t="s">
        <v>71</v>
      </c>
      <c r="B46" s="41"/>
      <c r="C46" s="87"/>
      <c r="D46" s="41"/>
      <c r="E46" s="41"/>
      <c r="F46" s="87"/>
      <c r="G46" s="87"/>
      <c r="H46" s="87"/>
      <c r="I46" s="41"/>
      <c r="J46" s="41"/>
      <c r="K46" s="41"/>
      <c r="L46" s="41"/>
      <c r="M46" s="41"/>
    </row>
    <row r="47" spans="1:13">
      <c r="A47" s="88" t="s">
        <v>93</v>
      </c>
      <c r="B47" s="89"/>
      <c r="C47" s="90"/>
      <c r="D47" s="90"/>
      <c r="E47" s="90"/>
      <c r="F47" s="90"/>
      <c r="G47" s="90"/>
      <c r="H47" s="90"/>
      <c r="I47" s="90"/>
      <c r="J47" s="90"/>
      <c r="K47" s="89"/>
      <c r="L47" s="41"/>
      <c r="M47" s="41"/>
    </row>
    <row r="48" spans="1:13">
      <c r="A48" s="89"/>
      <c r="B48" s="89" t="s">
        <v>94</v>
      </c>
      <c r="C48" s="89"/>
      <c r="D48" s="89"/>
      <c r="E48" s="89"/>
      <c r="F48" s="89"/>
      <c r="G48" s="89"/>
      <c r="H48" s="89"/>
      <c r="I48" s="89"/>
      <c r="J48" s="89"/>
      <c r="K48" s="89"/>
      <c r="L48" s="41"/>
      <c r="M48" s="41"/>
    </row>
    <row r="49" spans="1:13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</row>
    <row r="50" spans="1:13">
      <c r="A50" s="88" t="s">
        <v>95</v>
      </c>
      <c r="B50" s="87"/>
      <c r="C50" s="91"/>
      <c r="D50" s="91"/>
      <c r="E50" s="91"/>
      <c r="F50" s="91"/>
      <c r="G50" s="91"/>
      <c r="H50" s="41"/>
      <c r="I50" s="41"/>
      <c r="J50" s="41"/>
      <c r="K50" s="41"/>
      <c r="L50" s="41"/>
      <c r="M50" s="41"/>
    </row>
    <row r="51" spans="1:13">
      <c r="A51" s="92" t="s">
        <v>96</v>
      </c>
      <c r="B51" s="91"/>
      <c r="C51" s="91"/>
      <c r="D51" s="91"/>
      <c r="E51" s="91"/>
      <c r="F51" s="41"/>
      <c r="G51" s="41"/>
      <c r="H51" s="41"/>
      <c r="I51" s="41"/>
      <c r="J51" s="41"/>
      <c r="K51" s="41"/>
      <c r="L51" s="41"/>
      <c r="M51" s="4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Brijal</vt:lpstr>
      <vt:lpstr>bitter gourd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2018-05-08T08:21:01Z</cp:lastPrinted>
  <dcterms:created xsi:type="dcterms:W3CDTF">2018-05-08T08:19:51Z</dcterms:created>
  <dcterms:modified xsi:type="dcterms:W3CDTF">2018-05-08T08:37:13Z</dcterms:modified>
</cp:coreProperties>
</file>