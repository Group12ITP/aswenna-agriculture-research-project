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8195" windowHeight="11820" activeTab="1"/>
  </bookViews>
  <sheets>
    <sheet name="Carrot- Néliya" sheetId="5" r:id="rId1"/>
    <sheet name="cabbage-NÉliya" sheetId="1" r:id="rId2"/>
    <sheet name="pole bean-Badulla" sheetId="2" r:id="rId3"/>
    <sheet name="Tomato-Badulla" sheetId="3" r:id="rId4"/>
    <sheet name="tomato-kandy" sheetId="4" r:id="rId5"/>
  </sheets>
  <externalReferences>
    <externalReference r:id="rId6"/>
  </externalReferences>
  <calcPr calcId="124519"/>
</workbook>
</file>

<file path=xl/calcChain.xml><?xml version="1.0" encoding="utf-8"?>
<calcChain xmlns="http://schemas.openxmlformats.org/spreadsheetml/2006/main">
  <c r="G51" i="1"/>
  <c r="K22"/>
  <c r="G48"/>
  <c r="G47"/>
  <c r="G47" i="5"/>
  <c r="G46"/>
  <c r="G42"/>
  <c r="L33"/>
  <c r="E33"/>
  <c r="L32"/>
  <c r="H19"/>
  <c r="E19"/>
  <c r="M18"/>
  <c r="L18"/>
  <c r="I18"/>
  <c r="G18"/>
  <c r="F18"/>
  <c r="E18"/>
  <c r="H16"/>
  <c r="H18" s="1"/>
  <c r="H15"/>
  <c r="G39" i="4" l="1"/>
  <c r="E32"/>
  <c r="H21"/>
  <c r="F20"/>
  <c r="E20"/>
  <c r="E21" s="1"/>
  <c r="K19"/>
  <c r="H18"/>
  <c r="K18" s="1"/>
  <c r="K17"/>
  <c r="K16"/>
  <c r="H16"/>
  <c r="H20" s="1"/>
  <c r="K15"/>
  <c r="J14"/>
  <c r="K14" s="1"/>
  <c r="J13"/>
  <c r="K13" s="1"/>
  <c r="K12"/>
  <c r="K9"/>
  <c r="K8"/>
  <c r="J20" l="1"/>
  <c r="J21" s="1"/>
  <c r="K21" s="1"/>
  <c r="G43" l="1"/>
  <c r="G41"/>
  <c r="K20"/>
  <c r="G42" l="1"/>
  <c r="G40"/>
  <c r="G46" i="3" l="1"/>
  <c r="E35"/>
  <c r="H22"/>
  <c r="M21"/>
  <c r="L21"/>
  <c r="I22" s="1"/>
  <c r="I21"/>
  <c r="F21"/>
  <c r="E21"/>
  <c r="E22" s="1"/>
  <c r="K20"/>
  <c r="K19"/>
  <c r="H19"/>
  <c r="K18"/>
  <c r="H17"/>
  <c r="K17" s="1"/>
  <c r="H16"/>
  <c r="K16" s="1"/>
  <c r="K15"/>
  <c r="J14"/>
  <c r="J21" s="1"/>
  <c r="J22" s="1"/>
  <c r="H14"/>
  <c r="K14" s="1"/>
  <c r="K13"/>
  <c r="K12"/>
  <c r="H10"/>
  <c r="K10" s="1"/>
  <c r="K9"/>
  <c r="K8"/>
  <c r="H8"/>
  <c r="H21" s="1"/>
  <c r="K21" s="1"/>
  <c r="G50" s="1"/>
  <c r="K22" l="1"/>
  <c r="G51" s="1"/>
  <c r="G48"/>
  <c r="G47"/>
  <c r="G41" i="2" l="1"/>
  <c r="E32"/>
  <c r="H21"/>
  <c r="L20"/>
  <c r="J20"/>
  <c r="J21" s="1"/>
  <c r="I20"/>
  <c r="I21" s="1"/>
  <c r="K21" s="1"/>
  <c r="G45" s="1"/>
  <c r="H20"/>
  <c r="F20"/>
  <c r="E20"/>
  <c r="E21" s="1"/>
  <c r="G43" l="1"/>
  <c r="K20"/>
  <c r="G44" s="1"/>
  <c r="G42" l="1"/>
</calcChain>
</file>

<file path=xl/sharedStrings.xml><?xml version="1.0" encoding="utf-8"?>
<sst xmlns="http://schemas.openxmlformats.org/spreadsheetml/2006/main" count="453" uniqueCount="176">
  <si>
    <t>Table:</t>
  </si>
  <si>
    <r>
      <t>COST OF CULTIVATION PER ACRE OF Cabbage (</t>
    </r>
    <r>
      <rPr>
        <b/>
        <sz val="10"/>
        <rFont val="Calibri"/>
        <family val="2"/>
        <scheme val="minor"/>
      </rPr>
      <t>IRRIGATED</t>
    </r>
    <r>
      <rPr>
        <sz val="10"/>
        <rFont val="Calibri"/>
        <family val="2"/>
        <scheme val="minor"/>
      </rPr>
      <t>)</t>
    </r>
  </si>
  <si>
    <t>DISTRICT: Nuwaraeliya       2017 Yala SEASON</t>
  </si>
  <si>
    <t>Tabulated &amp; analyzed by :M.F. Rishana Fazy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</si>
  <si>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</si>
  <si>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</si>
  <si>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</si>
  <si>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</si>
  <si>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</si>
  <si>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</si>
  <si>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</si>
  <si>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</si>
  <si>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</si>
  <si>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</si>
  <si>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</si>
  <si>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</si>
  <si>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</si>
  <si>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</si>
  <si>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</si>
  <si>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</si>
  <si>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</si>
  <si>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All Nursery preparation</t>
  </si>
  <si>
    <t>General Land Preparation</t>
  </si>
  <si>
    <t>1st Plough with 2WT</t>
  </si>
  <si>
    <t>Manually</t>
  </si>
  <si>
    <t>(10)</t>
  </si>
  <si>
    <t>(16.00)</t>
  </si>
  <si>
    <t>(11.2)</t>
  </si>
  <si>
    <t>(900.00)</t>
  </si>
  <si>
    <t>`(14400.00)</t>
  </si>
  <si>
    <t>Preparation beds &amp; ridges</t>
  </si>
  <si>
    <t>9111.00*</t>
  </si>
  <si>
    <t>Digging holes &amp; transplanting</t>
  </si>
  <si>
    <t>Fertilizer Application</t>
  </si>
  <si>
    <t>Weeding &amp; eathningup</t>
  </si>
  <si>
    <t>Pest &amp; Disease Control</t>
  </si>
  <si>
    <t>Water Management</t>
  </si>
  <si>
    <t>Harvesting and drawing**</t>
  </si>
  <si>
    <t>(Harvesting and drawing)</t>
  </si>
  <si>
    <t>(27)</t>
  </si>
  <si>
    <t>(12.28)</t>
  </si>
  <si>
    <t>(3.38)</t>
  </si>
  <si>
    <t>(971.00)</t>
  </si>
  <si>
    <t>(11924.00)</t>
  </si>
  <si>
    <t>(not Harvested)</t>
  </si>
  <si>
    <t>`(3)</t>
  </si>
  <si>
    <t>Total Including Imputed Cost</t>
  </si>
  <si>
    <t xml:space="preserve">Total Excluding Imputed Cost </t>
  </si>
  <si>
    <t xml:space="preserve">*Adding Lime </t>
  </si>
  <si>
    <t>**Done by buyer</t>
  </si>
  <si>
    <t>Quantity and Price of Inputs</t>
  </si>
  <si>
    <t>Input</t>
  </si>
  <si>
    <t>Unit</t>
  </si>
  <si>
    <t>Quantity</t>
  </si>
  <si>
    <t>Unit Price (Rs)</t>
  </si>
  <si>
    <t>SEED</t>
  </si>
  <si>
    <t>Seed</t>
  </si>
  <si>
    <t>grams</t>
  </si>
  <si>
    <t>Mode</t>
  </si>
  <si>
    <t>Plants</t>
  </si>
  <si>
    <t>(47)</t>
  </si>
  <si>
    <t>(16251.00)</t>
  </si>
  <si>
    <t>(2.40)</t>
  </si>
  <si>
    <t xml:space="preserve">Mean </t>
  </si>
  <si>
    <t>LABOUR</t>
  </si>
  <si>
    <t>Hired Labour</t>
  </si>
  <si>
    <t>md</t>
  </si>
  <si>
    <t>Variety %</t>
  </si>
  <si>
    <t>Family Labour</t>
  </si>
  <si>
    <t>Green cornet</t>
  </si>
  <si>
    <t>AS</t>
  </si>
  <si>
    <t>Other</t>
  </si>
  <si>
    <t>FERTILIZER</t>
  </si>
  <si>
    <t>% Reporting</t>
  </si>
  <si>
    <t xml:space="preserve">Urea                         </t>
  </si>
  <si>
    <t>kg</t>
  </si>
  <si>
    <t xml:space="preserve">Vegetable mix       </t>
  </si>
  <si>
    <t>YIELD AND RETURNS</t>
  </si>
  <si>
    <t>Per Ac</t>
  </si>
  <si>
    <t>Per 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</si>
  <si>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</si>
  <si>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</si>
  <si>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</si>
  <si>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</si>
  <si>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</si>
  <si>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</si>
  <si>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</si>
  <si>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COST OF CULTIVATION PER ACRE OF Pole Bean  (IRRIGATED)</t>
  </si>
  <si>
    <t>DISTRICT: --Badulla  2017 yala</t>
  </si>
  <si>
    <t>Tabulated &amp; analyzed by :-S.N.Kamalinie</t>
  </si>
  <si>
    <t>1  Plough with 2wt</t>
  </si>
  <si>
    <t>1st plough with manu</t>
  </si>
  <si>
    <t>`(30)</t>
  </si>
  <si>
    <t>`(7.96)</t>
  </si>
  <si>
    <t>`(4.60)</t>
  </si>
  <si>
    <t>`(1000.00)</t>
  </si>
  <si>
    <t>`(7960.00)</t>
  </si>
  <si>
    <t>Prperation beds &amp; ridges</t>
  </si>
  <si>
    <t>Digging holes</t>
  </si>
  <si>
    <t>Seeding</t>
  </si>
  <si>
    <t>Weeding &amp; earthing up</t>
  </si>
  <si>
    <t>Fixing support</t>
  </si>
  <si>
    <t xml:space="preserve">Harvesting </t>
  </si>
  <si>
    <t>RELATED INFORMATION</t>
  </si>
  <si>
    <t xml:space="preserve">Seeding </t>
  </si>
  <si>
    <t>Mean</t>
  </si>
  <si>
    <t>Capri</t>
  </si>
  <si>
    <t>FIELD FERTILIZER</t>
  </si>
  <si>
    <t>Poultry</t>
  </si>
  <si>
    <t>bag</t>
  </si>
  <si>
    <t>urea</t>
  </si>
  <si>
    <t>veg</t>
  </si>
  <si>
    <t>Per hec.</t>
  </si>
  <si>
    <t>Special remarks-</t>
  </si>
  <si>
    <t>In this season 57% farmers use machinery  for water management</t>
  </si>
  <si>
    <t>Low yield because the yellowing and drought</t>
  </si>
  <si>
    <t>COST OF CULTIVATION PER ACRE OF  TOMATO (IRRIGATED)</t>
  </si>
  <si>
    <t xml:space="preserve">DISTRICT: --Badulla  2017 Yala </t>
  </si>
  <si>
    <t>All Nursery Preperation</t>
  </si>
  <si>
    <t>`(13.20)</t>
  </si>
  <si>
    <t>`(8.40)</t>
  </si>
  <si>
    <t>`(1070.00)</t>
  </si>
  <si>
    <t>`(14124.00)</t>
  </si>
  <si>
    <t>Digging holes &amp; Transplanting</t>
  </si>
  <si>
    <t>Training</t>
  </si>
  <si>
    <t>Water Management (manu)</t>
  </si>
  <si>
    <t>Pathma</t>
  </si>
  <si>
    <t>vegitable mix</t>
  </si>
  <si>
    <t>Farmers were faced the water problem some areas but they had good yield</t>
  </si>
  <si>
    <t>COST OF CULTIVATION PER ACRE OF Tomato (IRRIGATED )</t>
  </si>
  <si>
    <t>DISTRICT: Kandy       2017 Yala  SEASON</t>
  </si>
  <si>
    <t>Tabulated &amp; analyzed by : N.P.S.A.Menike(EA)</t>
  </si>
  <si>
    <t>All nursery Preparation</t>
  </si>
  <si>
    <t>1 st  Plough with manu</t>
  </si>
  <si>
    <t>(1st  Plough with 2wt)</t>
  </si>
  <si>
    <t>`(40)</t>
  </si>
  <si>
    <t>(10545.00)</t>
  </si>
  <si>
    <t>(1st Plough with 4wt)</t>
  </si>
  <si>
    <t>preparation beds &amp; ridges</t>
  </si>
  <si>
    <t>Transplanting</t>
  </si>
  <si>
    <t>Weeding &amp; earthing up(Manual)</t>
  </si>
  <si>
    <t>Fixing support and training</t>
  </si>
  <si>
    <t>Harvesting and drawing</t>
  </si>
  <si>
    <t>Variety</t>
  </si>
  <si>
    <t>Padma</t>
  </si>
  <si>
    <t>Glori</t>
  </si>
  <si>
    <t>Abiman</t>
  </si>
  <si>
    <t>Kumari</t>
  </si>
  <si>
    <t>Vegi.Mix</t>
  </si>
  <si>
    <t>Nilketa</t>
  </si>
  <si>
    <t xml:space="preserve">High labour cost due to increase wage rate and deploy high man days for harvesting operation </t>
  </si>
  <si>
    <t>Not report 40% GLP this season</t>
  </si>
  <si>
    <t>COST OF CULTIVATION PER ACRE OF Carrot  (IRRIGATED )</t>
  </si>
  <si>
    <t>DISTRICT: NUWARA ELIYA</t>
  </si>
  <si>
    <t>CROP : CARROT</t>
  </si>
  <si>
    <t>SEASON</t>
  </si>
  <si>
    <t>2017 YALA</t>
  </si>
  <si>
    <t>Tabulated &amp; analyzed by : H.M.A.K Herath</t>
  </si>
  <si>
    <t>Own inputs</t>
  </si>
  <si>
    <t>Preparation of beds&amp; ridges</t>
  </si>
  <si>
    <t>5424.00*</t>
  </si>
  <si>
    <t xml:space="preserve"> Seeding</t>
  </si>
  <si>
    <t>Weeding &amp; thinning out</t>
  </si>
  <si>
    <t>Harvesting &amp; drawing by buyer</t>
  </si>
  <si>
    <t>* Lime</t>
  </si>
  <si>
    <t xml:space="preserve">Variety </t>
  </si>
  <si>
    <t>%</t>
  </si>
  <si>
    <t>Takis</t>
  </si>
  <si>
    <t>Magma</t>
  </si>
  <si>
    <t>Kuruda</t>
  </si>
  <si>
    <t xml:space="preserve">Mode </t>
  </si>
  <si>
    <t xml:space="preserve">Basal </t>
  </si>
  <si>
    <t>Polutary</t>
  </si>
  <si>
    <t>Bags</t>
  </si>
  <si>
    <t>Vegetable mixture    55</t>
  </si>
  <si>
    <t>Potato mixture           65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</si>
</sst>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_)"/>
    <numFmt numFmtId="166" formatCode="0.00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8" fillId="0" borderId="0" xfId="0" applyFont="1"/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165" fontId="3" fillId="0" borderId="0" xfId="0" applyNumberFormat="1" applyFont="1" applyProtection="1"/>
    <xf numFmtId="2" fontId="3" fillId="0" borderId="0" xfId="0" applyNumberFormat="1" applyFont="1"/>
    <xf numFmtId="2" fontId="3" fillId="0" borderId="0" xfId="0" applyNumberFormat="1" applyFont="1" applyProtection="1"/>
    <xf numFmtId="1" fontId="3" fillId="0" borderId="0" xfId="0" applyNumberFormat="1" applyFont="1"/>
    <xf numFmtId="165" fontId="3" fillId="0" borderId="0" xfId="0" quotePrefix="1" applyNumberFormat="1" applyFont="1" applyAlignment="1" applyProtection="1">
      <alignment horizontal="right"/>
    </xf>
    <xf numFmtId="2" fontId="3" fillId="0" borderId="0" xfId="0" quotePrefix="1" applyNumberFormat="1" applyFont="1" applyAlignment="1">
      <alignment horizontal="right"/>
    </xf>
    <xf numFmtId="2" fontId="3" fillId="0" borderId="0" xfId="0" quotePrefix="1" applyNumberFormat="1" applyFont="1" applyAlignment="1" applyProtection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2" fontId="3" fillId="2" borderId="0" xfId="0" applyNumberFormat="1" applyFont="1" applyFill="1" applyAlignment="1">
      <alignment horizontal="right"/>
    </xf>
    <xf numFmtId="165" fontId="3" fillId="0" borderId="1" xfId="0" applyNumberFormat="1" applyFont="1" applyBorder="1" applyProtection="1"/>
    <xf numFmtId="2" fontId="3" fillId="0" borderId="1" xfId="0" applyNumberFormat="1" applyFont="1" applyBorder="1"/>
    <xf numFmtId="165" fontId="3" fillId="0" borderId="2" xfId="0" applyNumberFormat="1" applyFont="1" applyBorder="1" applyProtection="1"/>
    <xf numFmtId="2" fontId="3" fillId="0" borderId="2" xfId="0" applyNumberFormat="1" applyFont="1" applyBorder="1"/>
    <xf numFmtId="0" fontId="4" fillId="0" borderId="0" xfId="0" applyFont="1" applyBorder="1"/>
    <xf numFmtId="165" fontId="3" fillId="0" borderId="0" xfId="0" applyNumberFormat="1" applyFont="1" applyBorder="1" applyProtection="1"/>
    <xf numFmtId="2" fontId="3" fillId="0" borderId="0" xfId="0" applyNumberFormat="1" applyFont="1" applyBorder="1"/>
    <xf numFmtId="0" fontId="4" fillId="0" borderId="3" xfId="0" applyFont="1" applyBorder="1"/>
    <xf numFmtId="0" fontId="4" fillId="0" borderId="0" xfId="0" applyFont="1" applyFill="1" applyBorder="1"/>
    <xf numFmtId="1" fontId="3" fillId="0" borderId="0" xfId="0" quotePrefix="1" applyNumberFormat="1" applyFont="1" applyAlignment="1">
      <alignment horizontal="right"/>
    </xf>
    <xf numFmtId="2" fontId="4" fillId="0" borderId="0" xfId="0" applyNumberFormat="1" applyFont="1" applyFill="1" applyBorder="1"/>
    <xf numFmtId="0" fontId="3" fillId="0" borderId="0" xfId="0" applyFont="1" applyFill="1" applyBorder="1"/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4" fillId="0" borderId="1" xfId="0" applyFont="1" applyBorder="1"/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0" fontId="7" fillId="0" borderId="0" xfId="0" quotePrefix="1" applyFont="1" applyBorder="1"/>
    <xf numFmtId="166" fontId="3" fillId="0" borderId="0" xfId="0" applyNumberFormat="1" applyFont="1" applyBorder="1" applyAlignment="1" applyProtection="1">
      <alignment horizontal="right"/>
    </xf>
    <xf numFmtId="166" fontId="3" fillId="0" borderId="0" xfId="0" applyNumberFormat="1" applyFont="1" applyBorder="1" applyAlignment="1">
      <alignment horizontal="right"/>
    </xf>
    <xf numFmtId="166" fontId="3" fillId="0" borderId="0" xfId="0" applyNumberFormat="1" applyFont="1" applyBorder="1"/>
    <xf numFmtId="166" fontId="3" fillId="0" borderId="2" xfId="0" applyNumberFormat="1" applyFont="1" applyBorder="1"/>
    <xf numFmtId="0" fontId="3" fillId="0" borderId="0" xfId="0" applyFont="1" applyBorder="1" applyAlignment="1"/>
    <xf numFmtId="1" fontId="5" fillId="0" borderId="0" xfId="0" applyNumberFormat="1" applyFont="1" applyFill="1" applyBorder="1" applyAlignment="1">
      <alignment horizontal="right" vertical="top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165" fontId="8" fillId="0" borderId="0" xfId="0" applyNumberFormat="1" applyFont="1" applyProtection="1"/>
    <xf numFmtId="2" fontId="8" fillId="0" borderId="0" xfId="0" applyNumberFormat="1" applyFont="1"/>
    <xf numFmtId="2" fontId="8" fillId="0" borderId="0" xfId="0" applyNumberFormat="1" applyFont="1" applyProtection="1"/>
    <xf numFmtId="165" fontId="8" fillId="0" borderId="1" xfId="0" applyNumberFormat="1" applyFont="1" applyBorder="1" applyProtection="1"/>
    <xf numFmtId="2" fontId="8" fillId="0" borderId="1" xfId="0" applyNumberFormat="1" applyFont="1" applyBorder="1"/>
    <xf numFmtId="165" fontId="8" fillId="0" borderId="2" xfId="0" applyNumberFormat="1" applyFont="1" applyBorder="1" applyProtection="1"/>
    <xf numFmtId="2" fontId="8" fillId="0" borderId="2" xfId="0" applyNumberFormat="1" applyFont="1" applyBorder="1"/>
    <xf numFmtId="0" fontId="8" fillId="0" borderId="3" xfId="0" applyFont="1" applyBorder="1"/>
    <xf numFmtId="9" fontId="8" fillId="0" borderId="0" xfId="0" applyNumberFormat="1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quotePrefix="1" applyFont="1" applyBorder="1"/>
    <xf numFmtId="2" fontId="8" fillId="0" borderId="0" xfId="0" applyNumberFormat="1" applyFont="1" applyBorder="1"/>
    <xf numFmtId="166" fontId="8" fillId="0" borderId="0" xfId="0" applyNumberFormat="1" applyFont="1" applyBorder="1" applyProtection="1"/>
    <xf numFmtId="166" fontId="8" fillId="0" borderId="0" xfId="0" applyNumberFormat="1" applyFont="1" applyBorder="1"/>
    <xf numFmtId="166" fontId="8" fillId="0" borderId="2" xfId="0" applyNumberFormat="1" applyFont="1" applyBorder="1"/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0" fontId="9" fillId="0" borderId="2" xfId="0" applyFont="1" applyBorder="1"/>
    <xf numFmtId="0" fontId="9" fillId="0" borderId="2" xfId="0" applyFont="1" applyBorder="1" applyAlignment="1">
      <alignment horizontal="right"/>
    </xf>
    <xf numFmtId="165" fontId="9" fillId="0" borderId="0" xfId="0" applyNumberFormat="1" applyFont="1" applyProtection="1"/>
    <xf numFmtId="2" fontId="9" fillId="0" borderId="0" xfId="0" applyNumberFormat="1" applyFont="1"/>
    <xf numFmtId="2" fontId="9" fillId="0" borderId="0" xfId="0" applyNumberFormat="1" applyFont="1" applyProtection="1"/>
    <xf numFmtId="0" fontId="9" fillId="0" borderId="0" xfId="0" applyFont="1" applyFill="1"/>
    <xf numFmtId="165" fontId="9" fillId="0" borderId="1" xfId="0" applyNumberFormat="1" applyFont="1" applyBorder="1" applyProtection="1"/>
    <xf numFmtId="1" fontId="9" fillId="0" borderId="1" xfId="0" applyNumberFormat="1" applyFont="1" applyBorder="1"/>
    <xf numFmtId="2" fontId="9" fillId="0" borderId="1" xfId="0" applyNumberFormat="1" applyFont="1" applyBorder="1"/>
    <xf numFmtId="165" fontId="9" fillId="0" borderId="2" xfId="0" applyNumberFormat="1" applyFont="1" applyBorder="1" applyProtection="1"/>
    <xf numFmtId="1" fontId="9" fillId="0" borderId="2" xfId="0" applyNumberFormat="1" applyFont="1" applyBorder="1"/>
    <xf numFmtId="2" fontId="9" fillId="0" borderId="2" xfId="0" applyNumberFormat="1" applyFont="1" applyBorder="1"/>
    <xf numFmtId="0" fontId="9" fillId="0" borderId="3" xfId="0" applyFont="1" applyBorder="1"/>
    <xf numFmtId="9" fontId="9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10" fillId="0" borderId="0" xfId="0" quotePrefix="1" applyFont="1" applyBorder="1"/>
    <xf numFmtId="2" fontId="9" fillId="0" borderId="0" xfId="0" applyNumberFormat="1" applyFont="1" applyBorder="1"/>
    <xf numFmtId="0" fontId="9" fillId="0" borderId="0" xfId="0" quotePrefix="1" applyFont="1" applyBorder="1"/>
    <xf numFmtId="2" fontId="9" fillId="0" borderId="0" xfId="0" applyNumberFormat="1" applyFont="1" applyBorder="1" applyProtection="1"/>
    <xf numFmtId="166" fontId="9" fillId="0" borderId="0" xfId="0" applyNumberFormat="1" applyFont="1" applyBorder="1"/>
    <xf numFmtId="166" fontId="9" fillId="0" borderId="2" xfId="0" applyNumberFormat="1" applyFont="1" applyBorder="1"/>
    <xf numFmtId="2" fontId="9" fillId="0" borderId="0" xfId="0" applyNumberFormat="1" applyFont="1" applyFill="1"/>
    <xf numFmtId="2" fontId="9" fillId="0" borderId="0" xfId="0" quotePrefix="1" applyNumberFormat="1" applyFont="1"/>
    <xf numFmtId="166" fontId="9" fillId="0" borderId="0" xfId="0" applyNumberFormat="1" applyFont="1" applyProtection="1"/>
    <xf numFmtId="0" fontId="11" fillId="0" borderId="1" xfId="0" applyFont="1" applyBorder="1"/>
    <xf numFmtId="0" fontId="11" fillId="0" borderId="0" xfId="0" applyFont="1"/>
    <xf numFmtId="166" fontId="9" fillId="0" borderId="0" xfId="0" applyNumberFormat="1" applyFont="1" applyBorder="1" applyProtection="1"/>
    <xf numFmtId="0" fontId="9" fillId="0" borderId="0" xfId="0" applyFont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2" fillId="0" borderId="0" xfId="0" applyNumberFormat="1" applyFont="1" applyFill="1" applyProtection="1"/>
    <xf numFmtId="0" fontId="2" fillId="0" borderId="0" xfId="0" applyFont="1" applyFill="1"/>
    <xf numFmtId="2" fontId="2" fillId="0" borderId="0" xfId="0" applyNumberFormat="1" applyFont="1" applyFill="1"/>
    <xf numFmtId="166" fontId="2" fillId="0" borderId="0" xfId="0" applyNumberFormat="1" applyFont="1" applyFill="1" applyProtection="1"/>
    <xf numFmtId="2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 applyFill="1" applyProtection="1"/>
    <xf numFmtId="1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2" fontId="2" fillId="0" borderId="0" xfId="0" quotePrefix="1" applyNumberFormat="1" applyFont="1" applyFill="1"/>
    <xf numFmtId="2" fontId="12" fillId="0" borderId="0" xfId="0" applyNumberFormat="1" applyFont="1"/>
    <xf numFmtId="165" fontId="2" fillId="0" borderId="0" xfId="0" applyNumberFormat="1" applyFont="1" applyProtection="1"/>
    <xf numFmtId="2" fontId="2" fillId="0" borderId="0" xfId="0" applyNumberFormat="1" applyFont="1" applyProtection="1"/>
    <xf numFmtId="165" fontId="2" fillId="0" borderId="1" xfId="0" applyNumberFormat="1" applyFont="1" applyBorder="1" applyProtection="1"/>
    <xf numFmtId="2" fontId="2" fillId="0" borderId="1" xfId="0" applyNumberFormat="1" applyFont="1" applyBorder="1"/>
    <xf numFmtId="165" fontId="2" fillId="0" borderId="2" xfId="0" applyNumberFormat="1" applyFont="1" applyBorder="1" applyProtection="1"/>
    <xf numFmtId="2" fontId="2" fillId="0" borderId="2" xfId="0" applyNumberFormat="1" applyFont="1" applyBorder="1"/>
    <xf numFmtId="165" fontId="2" fillId="0" borderId="0" xfId="0" applyNumberFormat="1" applyFont="1" applyBorder="1" applyProtection="1"/>
    <xf numFmtId="2" fontId="2" fillId="0" borderId="0" xfId="0" applyNumberFormat="1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top"/>
    </xf>
    <xf numFmtId="0" fontId="12" fillId="0" borderId="4" xfId="0" applyFont="1" applyBorder="1" applyAlignment="1">
      <alignment horizontal="left" vertical="top"/>
    </xf>
    <xf numFmtId="1" fontId="12" fillId="0" borderId="4" xfId="0" applyNumberFormat="1" applyFont="1" applyBorder="1" applyAlignment="1">
      <alignment horizontal="center" vertical="top"/>
    </xf>
    <xf numFmtId="1" fontId="12" fillId="0" borderId="4" xfId="0" applyNumberFormat="1" applyFont="1" applyBorder="1" applyAlignment="1">
      <alignment horizontal="center"/>
    </xf>
    <xf numFmtId="0" fontId="12" fillId="0" borderId="4" xfId="0" applyFont="1" applyFill="1" applyBorder="1" applyAlignment="1">
      <alignment horizontal="left" vertical="top"/>
    </xf>
    <xf numFmtId="49" fontId="12" fillId="0" borderId="4" xfId="0" applyNumberFormat="1" applyFont="1" applyFill="1" applyBorder="1" applyAlignment="1">
      <alignment horizontal="left"/>
    </xf>
    <xf numFmtId="164" fontId="1" fillId="0" borderId="0" xfId="0" applyNumberFormat="1" applyFont="1" applyBorder="1" applyAlignment="1">
      <alignment horizontal="left" vertical="top"/>
    </xf>
    <xf numFmtId="0" fontId="12" fillId="0" borderId="0" xfId="0" applyFont="1"/>
    <xf numFmtId="2" fontId="12" fillId="0" borderId="0" xfId="0" applyNumberFormat="1" applyFont="1" applyAlignment="1">
      <alignment horizontal="left"/>
    </xf>
    <xf numFmtId="0" fontId="13" fillId="0" borderId="0" xfId="0" applyFont="1" applyFill="1" applyBorder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12" fillId="0" borderId="0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0" xfId="0" quotePrefix="1" applyFont="1" applyBorder="1"/>
    <xf numFmtId="2" fontId="2" fillId="0" borderId="0" xfId="0" applyNumberFormat="1" applyFont="1" applyFill="1" applyBorder="1"/>
    <xf numFmtId="0" fontId="12" fillId="0" borderId="0" xfId="0" applyFont="1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9" fontId="12" fillId="0" borderId="0" xfId="0" applyNumberFormat="1" applyFont="1" applyFill="1" applyBorder="1"/>
    <xf numFmtId="1" fontId="12" fillId="0" borderId="0" xfId="0" applyNumberFormat="1" applyFont="1" applyFill="1" applyBorder="1"/>
    <xf numFmtId="164" fontId="12" fillId="0" borderId="0" xfId="0" applyNumberFormat="1" applyFont="1" applyFill="1" applyBorder="1"/>
    <xf numFmtId="0" fontId="2" fillId="0" borderId="2" xfId="0" applyFont="1" applyBorder="1" applyAlignment="1">
      <alignment horizontal="left"/>
    </xf>
    <xf numFmtId="166" fontId="2" fillId="0" borderId="0" xfId="0" applyNumberFormat="1" applyFont="1" applyBorder="1" applyProtection="1"/>
    <xf numFmtId="166" fontId="2" fillId="0" borderId="0" xfId="0" applyNumberFormat="1" applyFont="1" applyBorder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C%202017%20pub/17%20Y%20-%20Recieved%20files(18-2-6)/cheked%20OFc/Carrot%20N'Eliya%202017%20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mpling frame"/>
      <sheetName val="Raw Data Sheet1"/>
      <sheetName val="Analyzing"/>
      <sheetName val="Equa"/>
      <sheetName val="Analyzing Sheet"/>
      <sheetName val="Print Sheet"/>
    </sheetNames>
    <sheetDataSet>
      <sheetData sheetId="0"/>
      <sheetData sheetId="1"/>
      <sheetData sheetId="2">
        <row r="51">
          <cell r="I51"/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opLeftCell="A7" workbookViewId="0">
      <selection activeCell="G37" sqref="G37"/>
    </sheetView>
  </sheetViews>
  <sheetFormatPr defaultRowHeight="15"/>
  <cols>
    <col min="1" max="6" width="9.140625" style="2"/>
    <col min="7" max="7" width="11.140625" style="2" customWidth="1"/>
    <col min="8" max="8" width="11.42578125" style="2" customWidth="1"/>
    <col min="9" max="9" width="10.7109375" style="2" customWidth="1"/>
    <col min="10" max="10" width="9.140625" style="2"/>
    <col min="11" max="11" width="11.7109375" style="2" customWidth="1"/>
    <col min="12" max="16384" width="9.140625" style="2"/>
  </cols>
  <sheetData>
    <row r="1" spans="1:13">
      <c r="A1" s="4" t="s">
        <v>0</v>
      </c>
      <c r="B1" s="4" t="s">
        <v>152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4"/>
      <c r="B2" s="4" t="s">
        <v>153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4"/>
      <c r="B3" s="4" t="s">
        <v>154</v>
      </c>
      <c r="C3" s="4"/>
      <c r="D3" s="4"/>
      <c r="E3" s="4"/>
      <c r="F3" s="4"/>
      <c r="G3" s="4"/>
      <c r="H3" s="4" t="s">
        <v>155</v>
      </c>
      <c r="I3" s="4" t="s">
        <v>156</v>
      </c>
      <c r="J3" s="4"/>
      <c r="K3" s="4"/>
      <c r="L3" s="4"/>
      <c r="M3" s="4"/>
    </row>
    <row r="4" spans="1:13">
      <c r="A4" s="4"/>
      <c r="B4" s="4" t="s">
        <v>157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114" t="s">
        <v>4</v>
      </c>
      <c r="B5" s="114"/>
      <c r="C5" s="114"/>
      <c r="D5" s="115" t="s">
        <v>5</v>
      </c>
      <c r="E5" s="115" t="s">
        <v>6</v>
      </c>
      <c r="F5" s="115" t="s">
        <v>7</v>
      </c>
      <c r="G5" s="115" t="s">
        <v>8</v>
      </c>
      <c r="H5" s="115" t="s">
        <v>9</v>
      </c>
      <c r="I5" s="116" t="s">
        <v>10</v>
      </c>
      <c r="J5" s="116" t="s">
        <v>11</v>
      </c>
      <c r="K5" s="116" t="s">
        <v>12</v>
      </c>
      <c r="L5" s="117" t="s">
        <v>158</v>
      </c>
      <c r="M5" s="117"/>
    </row>
    <row r="6" spans="1:13">
      <c r="A6" s="118"/>
      <c r="B6" s="118"/>
      <c r="C6" s="118"/>
      <c r="D6" s="119" t="s">
        <v>14</v>
      </c>
      <c r="E6" s="119" t="s">
        <v>15</v>
      </c>
      <c r="F6" s="119" t="s">
        <v>15</v>
      </c>
      <c r="G6" s="119" t="s">
        <v>16</v>
      </c>
      <c r="H6" s="119" t="s">
        <v>17</v>
      </c>
      <c r="I6" s="120" t="s">
        <v>18</v>
      </c>
      <c r="J6" s="120" t="s">
        <v>17</v>
      </c>
      <c r="K6" s="120" t="s">
        <v>17</v>
      </c>
      <c r="L6" s="121" t="s">
        <v>10</v>
      </c>
      <c r="M6" s="121" t="s">
        <v>11</v>
      </c>
    </row>
    <row r="7" spans="1:13">
      <c r="A7" s="118"/>
      <c r="B7" s="118"/>
      <c r="C7" s="118"/>
      <c r="D7" s="119" t="s">
        <v>19</v>
      </c>
      <c r="E7" s="119"/>
      <c r="F7" s="119"/>
      <c r="G7" s="119"/>
      <c r="H7" s="119" t="s">
        <v>20</v>
      </c>
      <c r="I7" s="120" t="s">
        <v>17</v>
      </c>
      <c r="J7" s="120" t="s">
        <v>20</v>
      </c>
      <c r="K7" s="120" t="s">
        <v>20</v>
      </c>
      <c r="L7" s="120"/>
      <c r="M7" s="120"/>
    </row>
    <row r="8" spans="1:13">
      <c r="A8" s="122"/>
      <c r="B8" s="122"/>
      <c r="C8" s="122"/>
      <c r="D8" s="123"/>
      <c r="E8" s="123"/>
      <c r="F8" s="123"/>
      <c r="G8" s="123"/>
      <c r="H8" s="123"/>
      <c r="I8" s="124" t="s">
        <v>20</v>
      </c>
      <c r="J8" s="124"/>
      <c r="K8" s="124"/>
      <c r="L8" s="124"/>
      <c r="M8" s="124"/>
    </row>
    <row r="9" spans="1:13">
      <c r="A9" s="4" t="s">
        <v>22</v>
      </c>
      <c r="B9" s="4"/>
      <c r="C9" s="4"/>
      <c r="D9" s="125">
        <v>97</v>
      </c>
      <c r="E9" s="126">
        <v>13.1</v>
      </c>
      <c r="F9" s="127">
        <v>1.7</v>
      </c>
      <c r="G9" s="128">
        <v>1321</v>
      </c>
      <c r="H9" s="129">
        <v>17305</v>
      </c>
      <c r="I9" s="4"/>
      <c r="J9" s="130"/>
      <c r="K9" s="129">
        <v>17305</v>
      </c>
      <c r="L9" s="4"/>
      <c r="M9" s="4"/>
    </row>
    <row r="10" spans="1:13">
      <c r="A10" s="4" t="s">
        <v>90</v>
      </c>
      <c r="B10" s="4"/>
      <c r="C10" s="4"/>
      <c r="D10" s="125">
        <v>100</v>
      </c>
      <c r="E10" s="127">
        <v>0.97</v>
      </c>
      <c r="F10" s="127">
        <v>0.97</v>
      </c>
      <c r="G10" s="131">
        <v>1321</v>
      </c>
      <c r="H10" s="129">
        <v>1281</v>
      </c>
      <c r="I10" s="129">
        <v>9312</v>
      </c>
      <c r="J10" s="132"/>
      <c r="K10" s="129">
        <v>10593</v>
      </c>
      <c r="L10" s="4"/>
      <c r="M10" s="4"/>
    </row>
    <row r="11" spans="1:13">
      <c r="A11" s="4" t="s">
        <v>159</v>
      </c>
      <c r="B11" s="4"/>
      <c r="C11" s="4"/>
      <c r="D11" s="125">
        <v>100</v>
      </c>
      <c r="E11" s="127">
        <v>20.91</v>
      </c>
      <c r="F11" s="127">
        <v>2.87</v>
      </c>
      <c r="G11" s="131">
        <v>1289</v>
      </c>
      <c r="H11" s="129">
        <v>26953</v>
      </c>
      <c r="I11" s="129"/>
      <c r="J11" s="133" t="s">
        <v>160</v>
      </c>
      <c r="K11" s="129">
        <v>32377</v>
      </c>
      <c r="L11" s="4"/>
      <c r="M11" s="4"/>
    </row>
    <row r="12" spans="1:13">
      <c r="A12" s="4" t="s">
        <v>161</v>
      </c>
      <c r="B12" s="4"/>
      <c r="C12" s="4"/>
      <c r="D12" s="125">
        <v>100</v>
      </c>
      <c r="E12" s="134">
        <v>17.399999999999999</v>
      </c>
      <c r="F12" s="127">
        <v>6.8000000000000007</v>
      </c>
      <c r="G12" s="131">
        <v>1149</v>
      </c>
      <c r="H12" s="129">
        <v>19993</v>
      </c>
      <c r="I12" s="129"/>
      <c r="J12" s="127">
        <v>14407</v>
      </c>
      <c r="K12" s="129">
        <v>34400</v>
      </c>
      <c r="L12" s="4"/>
      <c r="M12" s="129"/>
    </row>
    <row r="13" spans="1:13">
      <c r="A13" s="4" t="s">
        <v>33</v>
      </c>
      <c r="B13" s="4"/>
      <c r="C13" s="4"/>
      <c r="D13" s="125">
        <v>100</v>
      </c>
      <c r="E13" s="127">
        <v>15.59</v>
      </c>
      <c r="F13" s="127">
        <v>8.5299999999999994</v>
      </c>
      <c r="G13" s="131">
        <v>1088</v>
      </c>
      <c r="H13" s="129">
        <v>16962</v>
      </c>
      <c r="I13" s="129"/>
      <c r="J13" s="127">
        <v>37415</v>
      </c>
      <c r="K13" s="129">
        <v>54377</v>
      </c>
      <c r="L13" s="4"/>
      <c r="M13" s="4"/>
    </row>
    <row r="14" spans="1:13">
      <c r="A14" s="4" t="s">
        <v>162</v>
      </c>
      <c r="B14" s="4"/>
      <c r="C14" s="4"/>
      <c r="D14" s="125">
        <v>100</v>
      </c>
      <c r="E14" s="127">
        <v>18.100000000000001</v>
      </c>
      <c r="F14" s="127">
        <v>1.6</v>
      </c>
      <c r="G14" s="131">
        <v>938</v>
      </c>
      <c r="H14" s="129">
        <v>16978</v>
      </c>
      <c r="I14" s="127"/>
      <c r="J14" s="127"/>
      <c r="K14" s="129">
        <v>16978</v>
      </c>
      <c r="L14" s="4"/>
      <c r="M14" s="4"/>
    </row>
    <row r="15" spans="1:13">
      <c r="A15" s="4" t="s">
        <v>35</v>
      </c>
      <c r="B15" s="4"/>
      <c r="C15" s="4"/>
      <c r="D15" s="125">
        <v>100</v>
      </c>
      <c r="E15" s="127">
        <v>6</v>
      </c>
      <c r="F15" s="127">
        <v>6</v>
      </c>
      <c r="G15" s="131">
        <v>938</v>
      </c>
      <c r="H15" s="129">
        <f t="shared" ref="H15:H16" si="0">+E15*G15</f>
        <v>5628</v>
      </c>
      <c r="I15" s="127"/>
      <c r="J15" s="127">
        <v>13512</v>
      </c>
      <c r="K15" s="129">
        <v>19140</v>
      </c>
      <c r="L15" s="4"/>
      <c r="M15" s="4"/>
    </row>
    <row r="16" spans="1:13">
      <c r="A16" s="4" t="s">
        <v>36</v>
      </c>
      <c r="B16" s="4"/>
      <c r="C16" s="4"/>
      <c r="D16" s="125">
        <v>100</v>
      </c>
      <c r="E16" s="127">
        <v>17</v>
      </c>
      <c r="F16" s="127">
        <v>17</v>
      </c>
      <c r="G16" s="131">
        <v>938</v>
      </c>
      <c r="H16" s="129">
        <f t="shared" si="0"/>
        <v>15946</v>
      </c>
      <c r="I16" s="135">
        <v>8896</v>
      </c>
      <c r="J16" s="127"/>
      <c r="K16" s="129">
        <v>24842</v>
      </c>
      <c r="L16" s="4"/>
      <c r="M16" s="4"/>
    </row>
    <row r="17" spans="1:13">
      <c r="A17" s="4" t="s">
        <v>163</v>
      </c>
      <c r="B17" s="4"/>
      <c r="C17" s="4"/>
      <c r="D17" s="136">
        <v>100</v>
      </c>
      <c r="E17" s="129"/>
      <c r="F17" s="129"/>
      <c r="G17" s="137"/>
      <c r="H17" s="129"/>
      <c r="I17" s="129"/>
      <c r="J17" s="129"/>
      <c r="K17" s="129"/>
      <c r="L17" s="4"/>
      <c r="M17" s="4"/>
    </row>
    <row r="18" spans="1:13">
      <c r="A18" s="114" t="s">
        <v>46</v>
      </c>
      <c r="B18" s="114"/>
      <c r="C18" s="114"/>
      <c r="D18" s="138"/>
      <c r="E18" s="139">
        <f>SUM(E9:E17)</f>
        <v>109.07</v>
      </c>
      <c r="F18" s="139">
        <f>SUM(F9:F17)</f>
        <v>45.47</v>
      </c>
      <c r="G18" s="139">
        <f t="shared" ref="G18:M18" si="1">SUM(G9:G17)</f>
        <v>8982</v>
      </c>
      <c r="H18" s="139">
        <f t="shared" si="1"/>
        <v>121046</v>
      </c>
      <c r="I18" s="139">
        <f t="shared" si="1"/>
        <v>18208</v>
      </c>
      <c r="J18" s="139">
        <v>70758</v>
      </c>
      <c r="K18" s="139">
        <v>210012</v>
      </c>
      <c r="L18" s="114">
        <f t="shared" si="1"/>
        <v>0</v>
      </c>
      <c r="M18" s="114">
        <f t="shared" si="1"/>
        <v>0</v>
      </c>
    </row>
    <row r="19" spans="1:13">
      <c r="A19" s="122" t="s">
        <v>47</v>
      </c>
      <c r="B19" s="122"/>
      <c r="C19" s="122"/>
      <c r="D19" s="140"/>
      <c r="E19" s="141">
        <f>+E18-F18</f>
        <v>63.599999999999994</v>
      </c>
      <c r="F19" s="141"/>
      <c r="G19" s="141"/>
      <c r="H19" s="141">
        <f>+G31*E31</f>
        <v>71104</v>
      </c>
      <c r="I19" s="141">
        <v>18208</v>
      </c>
      <c r="J19" s="141">
        <v>70758</v>
      </c>
      <c r="K19" s="141">
        <v>160070</v>
      </c>
      <c r="L19" s="122"/>
      <c r="M19" s="122"/>
    </row>
    <row r="20" spans="1:13">
      <c r="A20" s="118" t="s">
        <v>164</v>
      </c>
      <c r="B20" s="118"/>
      <c r="C20" s="118"/>
      <c r="D20" s="142"/>
      <c r="E20" s="143"/>
      <c r="F20" s="143"/>
      <c r="G20" s="143"/>
      <c r="H20" s="143"/>
      <c r="I20" s="118"/>
      <c r="J20" s="143"/>
      <c r="K20" s="143"/>
      <c r="L20" s="118"/>
      <c r="M20" s="143"/>
    </row>
    <row r="21" spans="1:13">
      <c r="A21" s="4"/>
      <c r="B21" s="4"/>
      <c r="C21" s="4"/>
      <c r="D21" s="4"/>
      <c r="E21" s="4"/>
      <c r="F21" s="4"/>
      <c r="G21" s="4"/>
      <c r="H21" s="4"/>
      <c r="I21" s="4"/>
      <c r="J21" s="129"/>
      <c r="K21" s="4"/>
      <c r="L21" s="4"/>
      <c r="M21" s="4"/>
    </row>
    <row r="22" spans="1:13">
      <c r="A22" s="4"/>
      <c r="B22" s="4"/>
      <c r="C22" s="4" t="s">
        <v>103</v>
      </c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4" t="s">
        <v>50</v>
      </c>
      <c r="B24" s="4"/>
      <c r="C24" s="4"/>
      <c r="D24" s="4"/>
      <c r="E24" s="4"/>
      <c r="F24" s="4"/>
      <c r="G24" s="4"/>
      <c r="H24" s="4"/>
      <c r="I24" s="4"/>
      <c r="J24" s="4"/>
      <c r="K24" s="129"/>
      <c r="L24" s="4"/>
      <c r="M24" s="4"/>
    </row>
    <row r="25" spans="1:13">
      <c r="A25" s="144" t="s">
        <v>51</v>
      </c>
      <c r="B25" s="144"/>
      <c r="C25" s="144"/>
      <c r="D25" s="144" t="s">
        <v>52</v>
      </c>
      <c r="E25" s="144" t="s">
        <v>53</v>
      </c>
      <c r="F25" s="144"/>
      <c r="G25" s="144" t="s">
        <v>54</v>
      </c>
      <c r="H25" s="4"/>
      <c r="I25" s="4"/>
      <c r="J25" s="4"/>
      <c r="K25" s="4"/>
      <c r="L25" s="4"/>
      <c r="M25" s="129"/>
    </row>
    <row r="26" spans="1:13">
      <c r="A26" s="4" t="s">
        <v>55</v>
      </c>
      <c r="B26" s="4"/>
      <c r="C26" s="4"/>
      <c r="D26" s="4"/>
      <c r="E26" s="4"/>
      <c r="F26" s="4"/>
      <c r="G26" s="4"/>
      <c r="H26" s="4"/>
      <c r="I26" s="4"/>
      <c r="J26" s="4"/>
      <c r="K26" s="145" t="s">
        <v>165</v>
      </c>
      <c r="L26" s="145" t="s">
        <v>166</v>
      </c>
      <c r="M26" s="4"/>
    </row>
    <row r="27" spans="1:13">
      <c r="A27" s="4" t="s">
        <v>56</v>
      </c>
      <c r="B27" s="4"/>
      <c r="C27" s="4"/>
      <c r="D27" s="4" t="s">
        <v>75</v>
      </c>
      <c r="E27" s="4">
        <v>2.17</v>
      </c>
      <c r="F27" s="4"/>
      <c r="G27" s="129">
        <v>6639</v>
      </c>
      <c r="H27" s="4"/>
      <c r="I27" s="4"/>
      <c r="J27" s="4"/>
      <c r="K27" s="146" t="s">
        <v>167</v>
      </c>
      <c r="L27" s="147">
        <v>70</v>
      </c>
      <c r="M27" s="4"/>
    </row>
    <row r="28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146" t="s">
        <v>168</v>
      </c>
      <c r="L28" s="148">
        <v>12</v>
      </c>
      <c r="M28" s="129"/>
    </row>
    <row r="29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149" t="s">
        <v>169</v>
      </c>
      <c r="L29" s="147">
        <v>10</v>
      </c>
      <c r="M29" s="4"/>
    </row>
    <row r="30" spans="1:13">
      <c r="A30" s="4" t="s">
        <v>64</v>
      </c>
      <c r="B30" s="4"/>
      <c r="C30" s="4"/>
      <c r="D30" s="4"/>
      <c r="E30" s="4"/>
      <c r="F30" s="4"/>
      <c r="G30" s="4"/>
      <c r="H30" s="4"/>
      <c r="I30" s="4"/>
      <c r="J30" s="4"/>
      <c r="K30" s="150" t="s">
        <v>71</v>
      </c>
      <c r="L30" s="147">
        <v>8</v>
      </c>
      <c r="M30" s="4"/>
    </row>
    <row r="31" spans="1:13">
      <c r="A31" s="4" t="s">
        <v>65</v>
      </c>
      <c r="B31" s="4"/>
      <c r="C31" s="4"/>
      <c r="D31" s="4" t="s">
        <v>66</v>
      </c>
      <c r="E31" s="129">
        <v>64</v>
      </c>
      <c r="F31" s="4"/>
      <c r="G31" s="129">
        <v>1111</v>
      </c>
      <c r="H31" s="4"/>
      <c r="I31" s="4"/>
      <c r="J31" s="130"/>
      <c r="K31" s="3"/>
      <c r="L31" s="151"/>
      <c r="M31" s="4"/>
    </row>
    <row r="32" spans="1:13">
      <c r="A32" s="4" t="s">
        <v>68</v>
      </c>
      <c r="B32" s="4"/>
      <c r="C32" s="4"/>
      <c r="D32" s="4" t="s">
        <v>66</v>
      </c>
      <c r="E32" s="129">
        <v>45</v>
      </c>
      <c r="F32" s="4"/>
      <c r="G32" s="4"/>
      <c r="H32" s="4"/>
      <c r="I32" s="4"/>
      <c r="J32" s="4"/>
      <c r="K32" s="152" t="s">
        <v>63</v>
      </c>
      <c r="L32" s="153">
        <f>+[1]Analyzing!I50</f>
        <v>0</v>
      </c>
      <c r="M32" s="154"/>
    </row>
    <row r="33" spans="1:13">
      <c r="A33" s="4" t="s">
        <v>6</v>
      </c>
      <c r="B33" s="4"/>
      <c r="C33" s="4"/>
      <c r="D33" s="4"/>
      <c r="E33" s="129">
        <f>+E31+E32</f>
        <v>109</v>
      </c>
      <c r="F33" s="4"/>
      <c r="G33" s="4"/>
      <c r="H33" s="4"/>
      <c r="I33" s="4"/>
      <c r="J33" s="4"/>
      <c r="K33" s="152" t="s">
        <v>170</v>
      </c>
      <c r="L33" s="153">
        <f>+[1]Analyzing!I51</f>
        <v>0</v>
      </c>
      <c r="M33" s="155"/>
    </row>
    <row r="34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156"/>
      <c r="L34" s="157"/>
      <c r="M34" s="157"/>
    </row>
    <row r="35" spans="1:13">
      <c r="A35" s="114" t="s">
        <v>107</v>
      </c>
      <c r="B35" s="114"/>
      <c r="C35" s="158" t="s">
        <v>73</v>
      </c>
      <c r="D35" s="114"/>
      <c r="E35" s="114"/>
      <c r="F35" s="114"/>
      <c r="G35" s="114"/>
      <c r="H35" s="4"/>
      <c r="I35" s="4"/>
      <c r="J35" s="4"/>
      <c r="K35" s="156"/>
      <c r="L35" s="155"/>
      <c r="M35" s="155"/>
    </row>
    <row r="36" spans="1:13">
      <c r="A36" s="118" t="s">
        <v>171</v>
      </c>
      <c r="B36" s="159" t="s">
        <v>172</v>
      </c>
      <c r="C36" s="160">
        <v>42</v>
      </c>
      <c r="D36" s="118" t="s">
        <v>173</v>
      </c>
      <c r="E36" s="143">
        <v>37</v>
      </c>
      <c r="F36" s="118"/>
      <c r="G36" s="161">
        <v>159</v>
      </c>
      <c r="H36" s="4"/>
      <c r="I36" s="4"/>
      <c r="J36" s="4"/>
      <c r="K36" s="156"/>
      <c r="L36" s="162"/>
      <c r="M36" s="163"/>
    </row>
    <row r="37" spans="1:13">
      <c r="A37" s="118"/>
      <c r="B37" s="164" t="s">
        <v>174</v>
      </c>
      <c r="C37" s="164"/>
      <c r="D37" s="118" t="s">
        <v>75</v>
      </c>
      <c r="E37" s="161">
        <v>242</v>
      </c>
      <c r="F37" s="118"/>
      <c r="G37" s="161">
        <v>50</v>
      </c>
      <c r="H37" s="4"/>
      <c r="I37" s="4"/>
      <c r="J37" s="4"/>
      <c r="K37" s="165"/>
      <c r="L37" s="166"/>
      <c r="M37" s="167"/>
    </row>
    <row r="38" spans="1:13">
      <c r="A38" s="118"/>
      <c r="B38" s="168" t="s">
        <v>175</v>
      </c>
      <c r="C38" s="168"/>
      <c r="D38" s="118" t="s">
        <v>75</v>
      </c>
      <c r="E38" s="143">
        <v>347</v>
      </c>
      <c r="F38" s="118"/>
      <c r="G38" s="161">
        <v>56</v>
      </c>
      <c r="H38" s="4"/>
      <c r="I38" s="4"/>
      <c r="J38" s="4"/>
      <c r="K38" s="156"/>
      <c r="L38" s="156"/>
      <c r="M38" s="156"/>
    </row>
    <row r="39" spans="1:13">
      <c r="A39" s="114" t="s">
        <v>77</v>
      </c>
      <c r="B39" s="114"/>
      <c r="C39" s="114"/>
      <c r="D39" s="114"/>
      <c r="E39" s="114"/>
      <c r="F39" s="114"/>
      <c r="G39" s="114" t="s">
        <v>78</v>
      </c>
      <c r="H39" s="4"/>
      <c r="I39" s="4" t="s">
        <v>79</v>
      </c>
      <c r="J39" s="4"/>
      <c r="K39" s="4"/>
      <c r="L39" s="4"/>
      <c r="M39" s="4"/>
    </row>
    <row r="40" spans="1:13">
      <c r="A40" s="118" t="s">
        <v>80</v>
      </c>
      <c r="B40" s="118"/>
      <c r="C40" s="118"/>
      <c r="D40" s="118"/>
      <c r="E40" s="118"/>
      <c r="F40" s="118"/>
      <c r="G40" s="169">
        <v>5997</v>
      </c>
      <c r="H40" s="4"/>
      <c r="I40" s="129">
        <v>14819</v>
      </c>
      <c r="J40" s="4"/>
      <c r="K40" s="4"/>
      <c r="L40" s="4"/>
      <c r="M40" s="4"/>
    </row>
    <row r="41" spans="1:13">
      <c r="A41" s="118" t="s">
        <v>81</v>
      </c>
      <c r="B41" s="118"/>
      <c r="C41" s="118"/>
      <c r="D41" s="118"/>
      <c r="E41" s="118"/>
      <c r="F41" s="118"/>
      <c r="G41" s="170">
        <v>83</v>
      </c>
      <c r="H41" s="4"/>
      <c r="I41" s="4"/>
      <c r="J41" s="4"/>
      <c r="K41" s="4"/>
      <c r="L41" s="4"/>
      <c r="M41" s="4"/>
    </row>
    <row r="42" spans="1:13">
      <c r="A42" s="118" t="s">
        <v>82</v>
      </c>
      <c r="B42" s="118"/>
      <c r="C42" s="118"/>
      <c r="D42" s="118"/>
      <c r="E42" s="118"/>
      <c r="F42" s="118"/>
      <c r="G42" s="170">
        <f>+G40*G41</f>
        <v>497751</v>
      </c>
      <c r="H42" s="4"/>
      <c r="I42" s="129">
        <v>1229943</v>
      </c>
      <c r="J42" s="130"/>
      <c r="K42" s="130"/>
      <c r="L42" s="4"/>
      <c r="M42" s="4"/>
    </row>
    <row r="43" spans="1:13">
      <c r="A43" s="118" t="s">
        <v>83</v>
      </c>
      <c r="B43" s="118"/>
      <c r="C43" s="118"/>
      <c r="D43" s="118"/>
      <c r="E43" s="118"/>
      <c r="F43" s="118"/>
      <c r="G43" s="170">
        <v>287739</v>
      </c>
      <c r="H43" s="129"/>
      <c r="I43" s="129">
        <v>711003</v>
      </c>
      <c r="J43" s="130"/>
      <c r="K43" s="130"/>
      <c r="L43" s="4"/>
      <c r="M43" s="4"/>
    </row>
    <row r="44" spans="1:13">
      <c r="A44" s="118" t="s">
        <v>84</v>
      </c>
      <c r="B44" s="118"/>
      <c r="C44" s="118"/>
      <c r="D44" s="118"/>
      <c r="E44" s="118"/>
      <c r="F44" s="118"/>
      <c r="G44" s="170">
        <v>337681</v>
      </c>
      <c r="H44" s="129"/>
      <c r="I44" s="129">
        <v>834410</v>
      </c>
      <c r="J44" s="130"/>
      <c r="K44" s="130"/>
      <c r="L44" s="4"/>
      <c r="M44" s="4"/>
    </row>
    <row r="45" spans="1:13">
      <c r="A45" s="118"/>
      <c r="B45" s="118"/>
      <c r="C45" s="118"/>
      <c r="D45" s="118"/>
      <c r="E45" s="118"/>
      <c r="F45" s="118"/>
      <c r="G45" s="170"/>
      <c r="H45" s="4"/>
      <c r="I45" s="4"/>
      <c r="J45" s="4"/>
      <c r="K45" s="130"/>
      <c r="L45" s="129"/>
      <c r="M45" s="4"/>
    </row>
    <row r="46" spans="1:13">
      <c r="A46" s="118" t="s">
        <v>85</v>
      </c>
      <c r="B46" s="118"/>
      <c r="C46" s="118"/>
      <c r="D46" s="118"/>
      <c r="E46" s="118"/>
      <c r="F46" s="118"/>
      <c r="G46" s="170">
        <f>+K18/G40</f>
        <v>35.01950975487744</v>
      </c>
      <c r="H46" s="4"/>
      <c r="I46" s="4"/>
      <c r="J46" s="4"/>
      <c r="K46" s="4"/>
      <c r="L46" s="4"/>
      <c r="M46" s="129"/>
    </row>
    <row r="47" spans="1:13">
      <c r="A47" s="122" t="s">
        <v>86</v>
      </c>
      <c r="B47" s="122"/>
      <c r="C47" s="122"/>
      <c r="D47" s="122"/>
      <c r="E47" s="122"/>
      <c r="F47" s="122"/>
      <c r="G47" s="171">
        <f>+K19/G40</f>
        <v>26.691679172919795</v>
      </c>
      <c r="H47" s="4"/>
      <c r="I47" s="4"/>
      <c r="J47" s="4"/>
      <c r="K47" s="4"/>
      <c r="L47" s="129"/>
      <c r="M47" s="129"/>
    </row>
  </sheetData>
  <mergeCells count="3">
    <mergeCell ref="L5:M5"/>
    <mergeCell ref="B37:C37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>
      <selection activeCell="P22" sqref="P22"/>
    </sheetView>
  </sheetViews>
  <sheetFormatPr defaultRowHeight="15"/>
  <cols>
    <col min="1" max="1" width="6.7109375" customWidth="1"/>
    <col min="2" max="2" width="7.42578125" customWidth="1"/>
    <col min="3" max="3" width="6.140625" customWidth="1"/>
    <col min="4" max="4" width="7.7109375" customWidth="1"/>
    <col min="5" max="5" width="8.28515625" customWidth="1"/>
    <col min="6" max="6" width="7.7109375" customWidth="1"/>
    <col min="7" max="7" width="9.140625" customWidth="1"/>
    <col min="8" max="8" width="9" customWidth="1"/>
    <col min="9" max="9" width="9.7109375" customWidth="1"/>
    <col min="10" max="10" width="8.28515625" customWidth="1"/>
    <col min="11" max="11" width="8.85546875" customWidth="1"/>
    <col min="12" max="12" width="7" customWidth="1"/>
    <col min="13" max="13" width="8.5703125" customWidth="1"/>
  </cols>
  <sheetData>
    <row r="1" spans="1:13">
      <c r="A1" s="5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5"/>
      <c r="B2" s="6" t="s">
        <v>2</v>
      </c>
      <c r="C2" s="5"/>
      <c r="D2" s="5"/>
      <c r="E2" s="5"/>
      <c r="F2" s="5"/>
      <c r="G2" s="6"/>
      <c r="H2" s="5"/>
      <c r="I2" s="5"/>
      <c r="J2" s="5"/>
      <c r="K2" s="5"/>
      <c r="L2" s="5"/>
      <c r="M2" s="5"/>
    </row>
    <row r="3" spans="1:13">
      <c r="A3" s="5"/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7" t="s">
        <v>4</v>
      </c>
      <c r="B4" s="7"/>
      <c r="C4" s="7"/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9" t="s">
        <v>13</v>
      </c>
      <c r="M4" s="8"/>
    </row>
    <row r="5" spans="1:13">
      <c r="A5" s="10"/>
      <c r="B5" s="10"/>
      <c r="C5" s="10"/>
      <c r="D5" s="11" t="s">
        <v>14</v>
      </c>
      <c r="E5" s="11" t="s">
        <v>15</v>
      </c>
      <c r="F5" s="11" t="s">
        <v>15</v>
      </c>
      <c r="G5" s="11" t="s">
        <v>16</v>
      </c>
      <c r="H5" s="11" t="s">
        <v>17</v>
      </c>
      <c r="I5" s="11" t="s">
        <v>18</v>
      </c>
      <c r="J5" s="11" t="s">
        <v>17</v>
      </c>
      <c r="K5" s="11" t="s">
        <v>17</v>
      </c>
      <c r="L5" s="51" t="s">
        <v>10</v>
      </c>
      <c r="M5" s="11" t="s">
        <v>11</v>
      </c>
    </row>
    <row r="6" spans="1:13">
      <c r="A6" s="10"/>
      <c r="B6" s="10"/>
      <c r="C6" s="10"/>
      <c r="D6" s="11" t="s">
        <v>19</v>
      </c>
      <c r="E6" s="11"/>
      <c r="F6" s="11"/>
      <c r="G6" s="11"/>
      <c r="H6" s="11" t="s">
        <v>20</v>
      </c>
      <c r="I6" s="11" t="s">
        <v>17</v>
      </c>
      <c r="J6" s="11" t="s">
        <v>20</v>
      </c>
      <c r="K6" s="11" t="s">
        <v>20</v>
      </c>
      <c r="L6" s="11"/>
      <c r="M6" s="11"/>
    </row>
    <row r="7" spans="1:13">
      <c r="A7" s="12"/>
      <c r="B7" s="12"/>
      <c r="C7" s="12"/>
      <c r="D7" s="13"/>
      <c r="E7" s="13"/>
      <c r="F7" s="13"/>
      <c r="G7" s="13"/>
      <c r="H7" s="13"/>
      <c r="I7" s="13" t="s">
        <v>20</v>
      </c>
      <c r="J7" s="13"/>
      <c r="K7" s="13"/>
      <c r="L7" s="13"/>
      <c r="M7" s="13"/>
    </row>
    <row r="8" spans="1:13">
      <c r="A8" s="5" t="s">
        <v>21</v>
      </c>
      <c r="B8" s="5"/>
      <c r="C8" s="5"/>
      <c r="D8" s="14">
        <v>53.333333333333336</v>
      </c>
      <c r="E8" s="15">
        <v>3.98</v>
      </c>
      <c r="F8" s="5">
        <v>2.61</v>
      </c>
      <c r="G8" s="16">
        <v>1233</v>
      </c>
      <c r="H8" s="15">
        <v>4907</v>
      </c>
      <c r="I8" s="5"/>
      <c r="J8" s="15">
        <v>1634</v>
      </c>
      <c r="K8" s="15">
        <v>6541</v>
      </c>
      <c r="L8" s="5"/>
      <c r="M8" s="5"/>
    </row>
    <row r="9" spans="1:13">
      <c r="A9" s="5" t="s">
        <v>22</v>
      </c>
      <c r="B9" s="5"/>
      <c r="C9" s="5"/>
      <c r="D9" s="14">
        <v>80</v>
      </c>
      <c r="E9" s="15">
        <v>9.6199999999999992</v>
      </c>
      <c r="F9" s="15">
        <v>2.11</v>
      </c>
      <c r="G9" s="16">
        <v>1149</v>
      </c>
      <c r="H9" s="15">
        <v>11053</v>
      </c>
      <c r="I9" s="5"/>
      <c r="J9" s="15"/>
      <c r="K9" s="15">
        <v>11053</v>
      </c>
      <c r="L9" s="5"/>
      <c r="M9" s="5"/>
    </row>
    <row r="10" spans="1:13">
      <c r="A10" s="5" t="s">
        <v>23</v>
      </c>
      <c r="B10" s="5"/>
      <c r="C10" s="5"/>
      <c r="D10" s="14">
        <v>90</v>
      </c>
      <c r="E10" s="15">
        <v>0.34</v>
      </c>
      <c r="F10" s="15">
        <v>0.34</v>
      </c>
      <c r="G10" s="16">
        <v>1250</v>
      </c>
      <c r="H10" s="15">
        <v>425.00000000000006</v>
      </c>
      <c r="I10" s="15">
        <v>9134</v>
      </c>
      <c r="J10" s="15"/>
      <c r="K10" s="15">
        <v>9559</v>
      </c>
      <c r="L10" s="15">
        <v>302</v>
      </c>
      <c r="M10" s="5"/>
    </row>
    <row r="11" spans="1:13">
      <c r="A11" s="5" t="s">
        <v>24</v>
      </c>
      <c r="B11" s="5"/>
      <c r="C11" s="5"/>
      <c r="D11" s="18" t="s">
        <v>25</v>
      </c>
      <c r="E11" s="19" t="s">
        <v>26</v>
      </c>
      <c r="F11" s="19" t="s">
        <v>27</v>
      </c>
      <c r="G11" s="20" t="s">
        <v>28</v>
      </c>
      <c r="H11" s="15" t="s">
        <v>29</v>
      </c>
      <c r="I11" s="21"/>
      <c r="J11" s="15"/>
      <c r="K11" s="15"/>
      <c r="L11" s="5"/>
      <c r="M11" s="5"/>
    </row>
    <row r="12" spans="1:13">
      <c r="A12" s="5" t="s">
        <v>30</v>
      </c>
      <c r="B12" s="5"/>
      <c r="C12" s="5"/>
      <c r="D12" s="14">
        <v>90</v>
      </c>
      <c r="E12" s="15">
        <v>12.74</v>
      </c>
      <c r="F12" s="15">
        <v>2.88</v>
      </c>
      <c r="G12" s="16">
        <v>1166</v>
      </c>
      <c r="H12" s="15">
        <v>14855</v>
      </c>
      <c r="I12" s="22"/>
      <c r="J12" s="23" t="s">
        <v>31</v>
      </c>
      <c r="K12" s="15">
        <v>23966</v>
      </c>
      <c r="L12" s="5"/>
      <c r="M12" s="5"/>
    </row>
    <row r="13" spans="1:13">
      <c r="A13" s="5" t="s">
        <v>32</v>
      </c>
      <c r="B13" s="5"/>
      <c r="C13" s="5"/>
      <c r="D13" s="14">
        <v>100</v>
      </c>
      <c r="E13" s="15">
        <v>13.44</v>
      </c>
      <c r="F13" s="15">
        <v>4.88</v>
      </c>
      <c r="G13" s="16">
        <v>1005</v>
      </c>
      <c r="H13" s="15">
        <v>13507</v>
      </c>
      <c r="I13" s="5"/>
      <c r="J13" s="15">
        <v>7138</v>
      </c>
      <c r="K13" s="15">
        <v>20645</v>
      </c>
      <c r="L13" s="5"/>
      <c r="M13" s="5"/>
    </row>
    <row r="14" spans="1:13">
      <c r="A14" s="5" t="s">
        <v>33</v>
      </c>
      <c r="B14" s="5"/>
      <c r="C14" s="5"/>
      <c r="D14" s="14">
        <v>100</v>
      </c>
      <c r="E14" s="15">
        <v>13.52</v>
      </c>
      <c r="F14" s="15">
        <v>5.6</v>
      </c>
      <c r="G14" s="16">
        <v>1061</v>
      </c>
      <c r="H14" s="15">
        <v>14345</v>
      </c>
      <c r="I14" s="5"/>
      <c r="J14" s="15">
        <v>20492</v>
      </c>
      <c r="K14" s="15">
        <v>34837</v>
      </c>
      <c r="L14" s="5"/>
      <c r="M14" s="5"/>
    </row>
    <row r="15" spans="1:13">
      <c r="A15" s="5" t="s">
        <v>34</v>
      </c>
      <c r="B15" s="5"/>
      <c r="C15" s="5"/>
      <c r="D15" s="14">
        <v>100</v>
      </c>
      <c r="E15" s="15">
        <v>16.75</v>
      </c>
      <c r="F15" s="15">
        <v>3.25</v>
      </c>
      <c r="G15" s="16">
        <v>893</v>
      </c>
      <c r="H15" s="15">
        <v>14958</v>
      </c>
      <c r="I15" s="5"/>
      <c r="J15" s="15"/>
      <c r="K15" s="15">
        <v>14958</v>
      </c>
      <c r="L15" s="5"/>
      <c r="M15" s="5"/>
    </row>
    <row r="16" spans="1:13">
      <c r="A16" s="5" t="s">
        <v>35</v>
      </c>
      <c r="B16" s="5"/>
      <c r="C16" s="5"/>
      <c r="D16" s="14">
        <v>100</v>
      </c>
      <c r="E16" s="15">
        <v>7.18</v>
      </c>
      <c r="F16" s="15">
        <v>6.69</v>
      </c>
      <c r="G16" s="16">
        <v>1118</v>
      </c>
      <c r="H16" s="15">
        <v>8027</v>
      </c>
      <c r="I16" s="5"/>
      <c r="J16" s="15">
        <v>17273</v>
      </c>
      <c r="K16" s="15">
        <v>25300</v>
      </c>
      <c r="L16" s="5"/>
      <c r="M16" s="5"/>
    </row>
    <row r="17" spans="1:13">
      <c r="A17" s="5" t="s">
        <v>36</v>
      </c>
      <c r="B17" s="5"/>
      <c r="C17" s="5"/>
      <c r="D17" s="14">
        <v>100</v>
      </c>
      <c r="E17" s="15">
        <v>20.36</v>
      </c>
      <c r="F17" s="15">
        <v>20.36</v>
      </c>
      <c r="G17" s="16">
        <v>1118</v>
      </c>
      <c r="H17" s="15">
        <v>22762</v>
      </c>
      <c r="I17" s="15">
        <v>13151</v>
      </c>
      <c r="J17" s="15"/>
      <c r="K17" s="15">
        <v>35913</v>
      </c>
      <c r="L17" s="5"/>
      <c r="M17" s="5"/>
    </row>
    <row r="18" spans="1:13">
      <c r="A18" s="5" t="s">
        <v>37</v>
      </c>
      <c r="B18" s="5"/>
      <c r="C18" s="5"/>
      <c r="D18" s="14">
        <v>70</v>
      </c>
      <c r="E18" s="15"/>
      <c r="F18" s="15"/>
      <c r="G18" s="16"/>
      <c r="H18" s="15"/>
      <c r="I18" s="5"/>
      <c r="J18" s="15"/>
      <c r="K18" s="15"/>
      <c r="L18" s="5"/>
      <c r="M18" s="5"/>
    </row>
    <row r="19" spans="1:13">
      <c r="A19" s="5" t="s">
        <v>38</v>
      </c>
      <c r="B19" s="5"/>
      <c r="C19" s="5"/>
      <c r="D19" s="18" t="s">
        <v>39</v>
      </c>
      <c r="E19" s="19" t="s">
        <v>40</v>
      </c>
      <c r="F19" s="19" t="s">
        <v>41</v>
      </c>
      <c r="G19" s="20" t="s">
        <v>42</v>
      </c>
      <c r="H19" s="21" t="s">
        <v>43</v>
      </c>
      <c r="I19" s="2"/>
      <c r="J19" s="15"/>
      <c r="K19" s="15"/>
      <c r="L19" s="5"/>
      <c r="M19" s="5"/>
    </row>
    <row r="20" spans="1:13">
      <c r="A20" s="5" t="s">
        <v>44</v>
      </c>
      <c r="B20" s="5"/>
      <c r="C20" s="5"/>
      <c r="D20" s="18" t="s">
        <v>45</v>
      </c>
      <c r="E20" s="19"/>
      <c r="F20" s="19"/>
      <c r="G20" s="20"/>
      <c r="H20" s="15"/>
      <c r="I20" s="21"/>
      <c r="J20" s="15"/>
      <c r="K20" s="15"/>
      <c r="L20" s="5"/>
      <c r="M20" s="5"/>
    </row>
    <row r="21" spans="1:13">
      <c r="A21" s="7" t="s">
        <v>46</v>
      </c>
      <c r="B21" s="7"/>
      <c r="C21" s="7"/>
      <c r="D21" s="24"/>
      <c r="E21" s="25">
        <v>97.929999999999993</v>
      </c>
      <c r="F21" s="25">
        <v>48.72</v>
      </c>
      <c r="G21" s="25"/>
      <c r="H21" s="25">
        <v>104839</v>
      </c>
      <c r="I21" s="25">
        <v>22285</v>
      </c>
      <c r="J21" s="25">
        <v>55648</v>
      </c>
      <c r="K21" s="25">
        <v>182772</v>
      </c>
      <c r="L21" s="25">
        <v>302</v>
      </c>
      <c r="M21" s="7">
        <v>0</v>
      </c>
    </row>
    <row r="22" spans="1:13">
      <c r="A22" s="12" t="s">
        <v>47</v>
      </c>
      <c r="B22" s="12"/>
      <c r="C22" s="12"/>
      <c r="D22" s="26"/>
      <c r="E22" s="27">
        <v>49.209999999999994</v>
      </c>
      <c r="F22" s="27"/>
      <c r="G22" s="27"/>
      <c r="H22" s="27">
        <v>52420</v>
      </c>
      <c r="I22" s="27">
        <v>21983</v>
      </c>
      <c r="J22" s="27">
        <v>55648</v>
      </c>
      <c r="K22" s="27">
        <f>+H22+I22+J22</f>
        <v>130051</v>
      </c>
      <c r="L22" s="12"/>
      <c r="M22" s="12"/>
    </row>
    <row r="23" spans="1:13">
      <c r="A23" s="28" t="s">
        <v>48</v>
      </c>
      <c r="B23" s="10"/>
      <c r="C23" s="10"/>
      <c r="D23" s="29"/>
      <c r="E23" s="30"/>
      <c r="F23" s="30"/>
      <c r="G23" s="30"/>
      <c r="H23" s="30"/>
      <c r="I23" s="10"/>
      <c r="J23" s="30"/>
      <c r="K23" s="30"/>
      <c r="L23" s="10"/>
      <c r="M23" s="10"/>
    </row>
    <row r="24" spans="1:13">
      <c r="A24" s="28" t="s">
        <v>49</v>
      </c>
      <c r="B24" s="10"/>
      <c r="C24" s="10"/>
      <c r="D24" s="29"/>
      <c r="E24" s="30"/>
      <c r="F24" s="30"/>
      <c r="G24" s="30"/>
      <c r="H24" s="30"/>
      <c r="I24" s="10"/>
      <c r="J24" s="30"/>
      <c r="K24" s="30"/>
      <c r="L24" s="10"/>
      <c r="M24" s="10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6" t="s">
        <v>50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1" t="s">
        <v>51</v>
      </c>
      <c r="B28" s="31"/>
      <c r="C28" s="31"/>
      <c r="D28" s="31" t="s">
        <v>52</v>
      </c>
      <c r="E28" s="31" t="s">
        <v>53</v>
      </c>
      <c r="F28" s="31"/>
      <c r="G28" s="31" t="s">
        <v>54</v>
      </c>
      <c r="H28" s="5"/>
      <c r="I28" s="5"/>
      <c r="J28" s="5"/>
      <c r="K28" s="5"/>
      <c r="L28" s="5"/>
      <c r="M28" s="5"/>
    </row>
    <row r="29" spans="1:13">
      <c r="A29" s="5" t="s">
        <v>55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 t="s">
        <v>56</v>
      </c>
      <c r="B30" s="2"/>
      <c r="C30" s="17">
        <v>53.333333333333336</v>
      </c>
      <c r="D30" s="5" t="s">
        <v>57</v>
      </c>
      <c r="E30" s="15">
        <v>86</v>
      </c>
      <c r="F30" s="5"/>
      <c r="G30" s="15">
        <v>83</v>
      </c>
      <c r="H30" s="5"/>
      <c r="I30" s="32" t="s">
        <v>58</v>
      </c>
      <c r="J30" s="32">
        <v>0.25</v>
      </c>
      <c r="K30" s="5"/>
      <c r="L30" s="5"/>
      <c r="M30" s="5"/>
    </row>
    <row r="31" spans="1:13">
      <c r="A31" s="5" t="s">
        <v>59</v>
      </c>
      <c r="B31" s="2"/>
      <c r="C31" s="33" t="s">
        <v>60</v>
      </c>
      <c r="D31" s="5" t="s">
        <v>59</v>
      </c>
      <c r="E31" s="21" t="s">
        <v>61</v>
      </c>
      <c r="F31" s="5"/>
      <c r="G31" s="19" t="s">
        <v>62</v>
      </c>
      <c r="H31" s="5"/>
      <c r="I31" s="32" t="s">
        <v>63</v>
      </c>
      <c r="J31" s="34">
        <v>0.33843055555555551</v>
      </c>
      <c r="K31" s="2"/>
      <c r="L31" s="35"/>
      <c r="M31" s="5"/>
    </row>
    <row r="32" spans="1:13">
      <c r="A32" s="2"/>
      <c r="B32" s="2"/>
      <c r="C32" s="2"/>
      <c r="D32" s="2"/>
      <c r="E32" s="2"/>
      <c r="F32" s="2"/>
      <c r="G32" s="2"/>
      <c r="H32" s="5"/>
      <c r="I32" s="5"/>
      <c r="J32" s="2"/>
      <c r="K32" s="2"/>
      <c r="L32" s="35"/>
      <c r="M32" s="5"/>
    </row>
    <row r="33" spans="1:13">
      <c r="A33" s="5"/>
      <c r="B33" s="5"/>
      <c r="C33" s="5"/>
      <c r="D33" s="5"/>
      <c r="E33" s="5"/>
      <c r="F33" s="5"/>
      <c r="G33" s="5"/>
      <c r="H33" s="5"/>
      <c r="I33" s="5"/>
      <c r="J33" s="35"/>
      <c r="K33" s="35"/>
      <c r="L33" s="35"/>
      <c r="M33" s="5"/>
    </row>
    <row r="34" spans="1:13">
      <c r="A34" s="6" t="s">
        <v>64</v>
      </c>
      <c r="B34" s="5"/>
      <c r="C34" s="5"/>
      <c r="D34" s="5"/>
      <c r="E34" s="5"/>
      <c r="F34" s="5"/>
      <c r="G34" s="5"/>
      <c r="H34" s="5"/>
      <c r="I34" s="5"/>
      <c r="J34" s="35"/>
      <c r="K34" s="35"/>
      <c r="L34" s="35"/>
      <c r="M34" s="5"/>
    </row>
    <row r="35" spans="1:13">
      <c r="A35" s="5" t="s">
        <v>65</v>
      </c>
      <c r="B35" s="5"/>
      <c r="C35" s="5"/>
      <c r="D35" s="5" t="s">
        <v>66</v>
      </c>
      <c r="E35" s="15">
        <v>49</v>
      </c>
      <c r="F35" s="5"/>
      <c r="G35" s="15">
        <v>1070</v>
      </c>
      <c r="H35" s="5"/>
      <c r="I35" s="36" t="s">
        <v>67</v>
      </c>
      <c r="J35" s="37"/>
      <c r="K35" s="2"/>
      <c r="L35" s="35"/>
      <c r="M35" s="5"/>
    </row>
    <row r="36" spans="1:13">
      <c r="A36" s="5" t="s">
        <v>68</v>
      </c>
      <c r="B36" s="5"/>
      <c r="C36" s="5"/>
      <c r="D36" s="5" t="s">
        <v>66</v>
      </c>
      <c r="E36" s="15">
        <v>49</v>
      </c>
      <c r="F36" s="5"/>
      <c r="G36" s="5"/>
      <c r="H36" s="5"/>
      <c r="I36" s="37" t="s">
        <v>69</v>
      </c>
      <c r="J36" s="52">
        <v>41</v>
      </c>
      <c r="K36" s="2"/>
      <c r="L36" s="35"/>
      <c r="M36" s="5"/>
    </row>
    <row r="37" spans="1:13">
      <c r="A37" s="5" t="s">
        <v>6</v>
      </c>
      <c r="B37" s="5"/>
      <c r="C37" s="5"/>
      <c r="D37" s="5"/>
      <c r="E37" s="15">
        <v>98</v>
      </c>
      <c r="F37" s="5"/>
      <c r="G37" s="5"/>
      <c r="H37" s="5"/>
      <c r="I37" s="35" t="s">
        <v>70</v>
      </c>
      <c r="J37" s="52">
        <v>31</v>
      </c>
      <c r="K37" s="2"/>
      <c r="L37" s="35"/>
      <c r="M37" s="5"/>
    </row>
    <row r="38" spans="1:13">
      <c r="A38" s="5"/>
      <c r="B38" s="5"/>
      <c r="C38" s="5"/>
      <c r="D38" s="5"/>
      <c r="E38" s="5"/>
      <c r="F38" s="5"/>
      <c r="G38" s="5"/>
      <c r="H38" s="5"/>
      <c r="I38" s="37" t="s">
        <v>71</v>
      </c>
      <c r="J38" s="52">
        <v>28</v>
      </c>
      <c r="K38" s="2"/>
      <c r="L38" s="35"/>
      <c r="M38" s="5"/>
    </row>
    <row r="39" spans="1:13">
      <c r="A39" s="38" t="s">
        <v>72</v>
      </c>
      <c r="B39" s="7"/>
      <c r="C39" s="7" t="s">
        <v>73</v>
      </c>
      <c r="D39" s="7"/>
      <c r="E39" s="7"/>
      <c r="F39" s="7"/>
      <c r="G39" s="7"/>
      <c r="H39" s="5"/>
      <c r="I39" s="37"/>
      <c r="J39" s="52"/>
      <c r="K39" s="2"/>
      <c r="L39" s="35"/>
      <c r="M39" s="5"/>
    </row>
    <row r="40" spans="1:13">
      <c r="A40" s="39" t="s">
        <v>74</v>
      </c>
      <c r="B40" s="2"/>
      <c r="C40" s="5">
        <v>47</v>
      </c>
      <c r="D40" s="40" t="s">
        <v>75</v>
      </c>
      <c r="E40" s="30">
        <v>95</v>
      </c>
      <c r="F40" s="10"/>
      <c r="G40" s="30">
        <v>52</v>
      </c>
      <c r="H40" s="5"/>
      <c r="I40" s="5"/>
      <c r="J40" s="41"/>
      <c r="K40" s="42"/>
      <c r="L40" s="10"/>
      <c r="M40" s="5"/>
    </row>
    <row r="41" spans="1:13">
      <c r="A41" s="3" t="s">
        <v>76</v>
      </c>
      <c r="B41" s="2"/>
      <c r="C41" s="5">
        <v>83</v>
      </c>
      <c r="D41" s="43" t="s">
        <v>75</v>
      </c>
      <c r="E41" s="30">
        <v>288</v>
      </c>
      <c r="F41" s="10"/>
      <c r="G41" s="30">
        <v>54</v>
      </c>
      <c r="H41" s="5"/>
      <c r="I41" s="5"/>
      <c r="J41" s="41"/>
      <c r="K41" s="42"/>
      <c r="L41" s="5"/>
      <c r="M41" s="5"/>
    </row>
    <row r="42" spans="1:13">
      <c r="A42" s="44"/>
      <c r="B42" s="45"/>
      <c r="C42" s="46"/>
      <c r="D42" s="10"/>
      <c r="E42" s="10"/>
      <c r="F42" s="10"/>
      <c r="G42" s="10"/>
      <c r="H42" s="5"/>
      <c r="I42" s="5"/>
      <c r="J42" s="5"/>
      <c r="K42" s="5"/>
      <c r="L42" s="5"/>
      <c r="M42" s="5"/>
    </row>
    <row r="43" spans="1:13">
      <c r="A43" s="38" t="s">
        <v>77</v>
      </c>
      <c r="B43" s="38"/>
      <c r="C43" s="38"/>
      <c r="D43" s="38"/>
      <c r="E43" s="38"/>
      <c r="F43" s="38"/>
      <c r="G43" s="38" t="s">
        <v>78</v>
      </c>
      <c r="H43" s="6"/>
      <c r="I43" s="6" t="s">
        <v>79</v>
      </c>
      <c r="J43" s="5"/>
      <c r="K43" s="5"/>
      <c r="L43" s="5"/>
      <c r="M43" s="5"/>
    </row>
    <row r="44" spans="1:13">
      <c r="A44" s="10" t="s">
        <v>80</v>
      </c>
      <c r="B44" s="10"/>
      <c r="C44" s="10"/>
      <c r="D44" s="10"/>
      <c r="E44" s="10"/>
      <c r="F44" s="10"/>
      <c r="G44" s="47">
        <v>8508</v>
      </c>
      <c r="H44" s="5"/>
      <c r="I44" s="15">
        <v>21023</v>
      </c>
      <c r="J44" s="5"/>
      <c r="K44" s="5"/>
      <c r="L44" s="5"/>
      <c r="M44" s="5"/>
    </row>
    <row r="45" spans="1:13">
      <c r="A45" s="10" t="s">
        <v>81</v>
      </c>
      <c r="B45" s="10"/>
      <c r="C45" s="10"/>
      <c r="D45" s="10"/>
      <c r="E45" s="10"/>
      <c r="F45" s="10"/>
      <c r="G45" s="48">
        <v>48</v>
      </c>
      <c r="H45" s="5"/>
      <c r="I45" s="15"/>
      <c r="J45" s="5"/>
      <c r="K45" s="5"/>
      <c r="L45" s="5"/>
      <c r="M45" s="5"/>
    </row>
    <row r="46" spans="1:13">
      <c r="A46" s="10" t="s">
        <v>82</v>
      </c>
      <c r="B46" s="10"/>
      <c r="C46" s="10"/>
      <c r="D46" s="10"/>
      <c r="E46" s="10"/>
      <c r="F46" s="10"/>
      <c r="G46" s="48">
        <v>408384</v>
      </c>
      <c r="H46" s="5"/>
      <c r="I46" s="15">
        <v>1009117</v>
      </c>
      <c r="J46" s="5"/>
      <c r="K46" s="5"/>
      <c r="L46" s="5"/>
      <c r="M46" s="5"/>
    </row>
    <row r="47" spans="1:13">
      <c r="A47" s="10" t="s">
        <v>83</v>
      </c>
      <c r="B47" s="10"/>
      <c r="C47" s="10"/>
      <c r="D47" s="10"/>
      <c r="E47" s="10"/>
      <c r="F47" s="10"/>
      <c r="G47" s="48">
        <f>+G46-K21</f>
        <v>225612</v>
      </c>
      <c r="H47" s="5"/>
      <c r="I47" s="15">
        <v>557487</v>
      </c>
      <c r="J47" s="5"/>
      <c r="K47" s="5"/>
      <c r="L47" s="5"/>
      <c r="M47" s="5"/>
    </row>
    <row r="48" spans="1:13">
      <c r="A48" s="10" t="s">
        <v>84</v>
      </c>
      <c r="B48" s="10"/>
      <c r="C48" s="10"/>
      <c r="D48" s="10"/>
      <c r="E48" s="10"/>
      <c r="F48" s="10"/>
      <c r="G48" s="48">
        <f>+G46-K22</f>
        <v>278333</v>
      </c>
      <c r="H48" s="5"/>
      <c r="I48" s="15">
        <v>687761</v>
      </c>
      <c r="J48" s="15"/>
      <c r="K48" s="5"/>
      <c r="L48" s="5"/>
      <c r="M48" s="5"/>
    </row>
    <row r="49" spans="1:13">
      <c r="A49" s="10"/>
      <c r="B49" s="10"/>
      <c r="C49" s="10"/>
      <c r="D49" s="10"/>
      <c r="E49" s="10"/>
      <c r="F49" s="10"/>
      <c r="G49" s="48"/>
      <c r="H49" s="5"/>
      <c r="I49" s="5"/>
      <c r="J49" s="5"/>
      <c r="K49" s="5"/>
      <c r="L49" s="5"/>
      <c r="M49" s="5"/>
    </row>
    <row r="50" spans="1:13">
      <c r="A50" s="10" t="s">
        <v>85</v>
      </c>
      <c r="B50" s="10"/>
      <c r="C50" s="10"/>
      <c r="D50" s="10"/>
      <c r="E50" s="10"/>
      <c r="F50" s="10"/>
      <c r="G50" s="49">
        <v>21.482369534555712</v>
      </c>
      <c r="H50" s="5"/>
      <c r="I50" s="5"/>
      <c r="J50" s="5"/>
      <c r="K50" s="5"/>
      <c r="L50" s="5"/>
      <c r="M50" s="5"/>
    </row>
    <row r="51" spans="1:13">
      <c r="A51" s="12" t="s">
        <v>86</v>
      </c>
      <c r="B51" s="12"/>
      <c r="C51" s="12"/>
      <c r="D51" s="12"/>
      <c r="E51" s="12"/>
      <c r="F51" s="12"/>
      <c r="G51" s="50">
        <f>+K22/G44</f>
        <v>15.285731076633757</v>
      </c>
      <c r="H51" s="5"/>
      <c r="I51" s="5"/>
      <c r="J51" s="5"/>
      <c r="K51" s="5"/>
      <c r="L51" s="5"/>
      <c r="M51" s="5"/>
    </row>
    <row r="52" spans="1:1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</sheetData>
  <pageMargins left="0.51" right="0.28000000000000003" top="0.55118110236220474" bottom="0.47244094488188981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topLeftCell="A13" workbookViewId="0">
      <selection activeCell="G49" sqref="G49"/>
    </sheetView>
  </sheetViews>
  <sheetFormatPr defaultRowHeight="15"/>
  <sheetData>
    <row r="1" spans="1:13">
      <c r="A1" s="1" t="s">
        <v>0</v>
      </c>
      <c r="B1" s="1" t="s">
        <v>87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88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 t="s">
        <v>89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53" t="s">
        <v>4</v>
      </c>
      <c r="B4" s="53"/>
      <c r="C4" s="53"/>
      <c r="D4" s="54" t="s">
        <v>5</v>
      </c>
      <c r="E4" s="54" t="s">
        <v>6</v>
      </c>
      <c r="F4" s="54" t="s">
        <v>7</v>
      </c>
      <c r="G4" s="54" t="s">
        <v>8</v>
      </c>
      <c r="H4" s="54" t="s">
        <v>9</v>
      </c>
      <c r="I4" s="54" t="s">
        <v>10</v>
      </c>
      <c r="J4" s="55" t="s">
        <v>11</v>
      </c>
      <c r="K4" s="54" t="s">
        <v>12</v>
      </c>
      <c r="L4" s="55" t="s">
        <v>13</v>
      </c>
      <c r="M4" s="54"/>
    </row>
    <row r="5" spans="1:13">
      <c r="A5" s="56"/>
      <c r="B5" s="56"/>
      <c r="C5" s="56"/>
      <c r="D5" s="57" t="s">
        <v>14</v>
      </c>
      <c r="E5" s="57" t="s">
        <v>15</v>
      </c>
      <c r="F5" s="57" t="s">
        <v>15</v>
      </c>
      <c r="G5" s="57" t="s">
        <v>16</v>
      </c>
      <c r="H5" s="57" t="s">
        <v>17</v>
      </c>
      <c r="I5" s="57" t="s">
        <v>18</v>
      </c>
      <c r="J5" s="58" t="s">
        <v>17</v>
      </c>
      <c r="K5" s="57" t="s">
        <v>17</v>
      </c>
      <c r="L5" s="58" t="s">
        <v>10</v>
      </c>
      <c r="M5" s="57" t="s">
        <v>11</v>
      </c>
    </row>
    <row r="6" spans="1:13">
      <c r="A6" s="56"/>
      <c r="B6" s="56"/>
      <c r="C6" s="56"/>
      <c r="D6" s="57" t="s">
        <v>19</v>
      </c>
      <c r="E6" s="57"/>
      <c r="F6" s="57"/>
      <c r="G6" s="57"/>
      <c r="H6" s="57" t="s">
        <v>20</v>
      </c>
      <c r="I6" s="57" t="s">
        <v>17</v>
      </c>
      <c r="J6" s="57" t="s">
        <v>20</v>
      </c>
      <c r="K6" s="57" t="s">
        <v>20</v>
      </c>
      <c r="L6" s="57"/>
      <c r="M6" s="57"/>
    </row>
    <row r="7" spans="1:13">
      <c r="A7" s="59"/>
      <c r="B7" s="59"/>
      <c r="C7" s="59"/>
      <c r="D7" s="60"/>
      <c r="E7" s="60"/>
      <c r="F7" s="60"/>
      <c r="G7" s="60"/>
      <c r="H7" s="60"/>
      <c r="I7" s="60" t="s">
        <v>20</v>
      </c>
      <c r="J7" s="60"/>
      <c r="K7" s="60"/>
      <c r="L7" s="60"/>
      <c r="M7" s="60"/>
    </row>
    <row r="8" spans="1:13">
      <c r="A8" s="1" t="s">
        <v>22</v>
      </c>
      <c r="B8" s="1"/>
      <c r="C8" s="1"/>
      <c r="D8" s="61">
        <v>63</v>
      </c>
      <c r="E8" s="62">
        <v>7.9</v>
      </c>
      <c r="F8" s="62">
        <v>2.8</v>
      </c>
      <c r="G8" s="63">
        <v>1031</v>
      </c>
      <c r="H8" s="62">
        <v>8145</v>
      </c>
      <c r="I8" s="1"/>
      <c r="J8" s="62"/>
      <c r="K8" s="62">
        <v>8145</v>
      </c>
      <c r="L8" s="1"/>
      <c r="M8" s="1"/>
    </row>
    <row r="9" spans="1:13">
      <c r="A9" s="1" t="s">
        <v>90</v>
      </c>
      <c r="B9" s="1"/>
      <c r="C9" s="1"/>
      <c r="D9" s="61">
        <v>70</v>
      </c>
      <c r="E9" s="1">
        <v>0.87</v>
      </c>
      <c r="F9" s="1">
        <v>0.87</v>
      </c>
      <c r="G9" s="62">
        <v>1000</v>
      </c>
      <c r="H9" s="62">
        <v>870</v>
      </c>
      <c r="I9" s="62">
        <v>9253</v>
      </c>
      <c r="J9" s="62"/>
      <c r="K9" s="62">
        <v>9412</v>
      </c>
      <c r="L9" s="62">
        <v>562</v>
      </c>
      <c r="M9" s="1"/>
    </row>
    <row r="10" spans="1:13">
      <c r="A10" s="1" t="s">
        <v>91</v>
      </c>
      <c r="B10" s="1"/>
      <c r="C10" s="1"/>
      <c r="D10" s="61" t="s">
        <v>92</v>
      </c>
      <c r="E10" s="62" t="s">
        <v>93</v>
      </c>
      <c r="F10" s="62" t="s">
        <v>94</v>
      </c>
      <c r="G10" s="63" t="s">
        <v>95</v>
      </c>
      <c r="H10" s="62" t="s">
        <v>96</v>
      </c>
      <c r="I10" s="4"/>
      <c r="J10" s="62"/>
      <c r="K10" s="62"/>
      <c r="L10" s="1"/>
      <c r="M10" s="1"/>
    </row>
    <row r="11" spans="1:13">
      <c r="A11" s="1" t="s">
        <v>97</v>
      </c>
      <c r="B11" s="1"/>
      <c r="C11" s="1"/>
      <c r="D11" s="61">
        <v>100</v>
      </c>
      <c r="E11" s="62">
        <v>11.55</v>
      </c>
      <c r="F11" s="62">
        <v>3.85</v>
      </c>
      <c r="G11" s="63">
        <v>1169</v>
      </c>
      <c r="H11" s="62">
        <v>13502</v>
      </c>
      <c r="I11" s="1"/>
      <c r="J11" s="62"/>
      <c r="K11" s="62">
        <v>13502</v>
      </c>
      <c r="L11" s="1"/>
      <c r="M11" s="1"/>
    </row>
    <row r="12" spans="1:13">
      <c r="A12" s="1" t="s">
        <v>98</v>
      </c>
      <c r="B12" s="1"/>
      <c r="C12" s="1"/>
      <c r="D12" s="61">
        <v>100</v>
      </c>
      <c r="E12" s="62">
        <v>6.8</v>
      </c>
      <c r="F12" s="62">
        <v>3</v>
      </c>
      <c r="G12" s="63">
        <v>1087</v>
      </c>
      <c r="H12" s="62">
        <v>7391</v>
      </c>
      <c r="I12" s="1"/>
      <c r="J12" s="62"/>
      <c r="K12" s="62">
        <v>7391</v>
      </c>
      <c r="L12" s="1"/>
      <c r="M12" s="1"/>
    </row>
    <row r="13" spans="1:13">
      <c r="A13" s="1" t="s">
        <v>99</v>
      </c>
      <c r="B13" s="1"/>
      <c r="C13" s="1"/>
      <c r="D13" s="61">
        <v>100</v>
      </c>
      <c r="E13" s="62">
        <v>5.8</v>
      </c>
      <c r="F13" s="62">
        <v>3.9000000000000004</v>
      </c>
      <c r="G13" s="63">
        <v>980</v>
      </c>
      <c r="H13" s="62">
        <v>5684</v>
      </c>
      <c r="I13" s="1"/>
      <c r="J13" s="62">
        <v>18872</v>
      </c>
      <c r="K13" s="62">
        <v>24556</v>
      </c>
      <c r="L13" s="1"/>
      <c r="M13" s="1"/>
    </row>
    <row r="14" spans="1:13">
      <c r="A14" s="1" t="s">
        <v>33</v>
      </c>
      <c r="B14" s="1"/>
      <c r="C14" s="1"/>
      <c r="D14" s="61">
        <v>100</v>
      </c>
      <c r="E14" s="62">
        <v>7.5</v>
      </c>
      <c r="F14" s="62">
        <v>6.8</v>
      </c>
      <c r="G14" s="63">
        <v>1287</v>
      </c>
      <c r="H14" s="62">
        <v>9652</v>
      </c>
      <c r="I14" s="1"/>
      <c r="J14" s="62">
        <v>25148</v>
      </c>
      <c r="K14" s="62">
        <v>34800</v>
      </c>
      <c r="L14" s="1"/>
      <c r="M14" s="1"/>
    </row>
    <row r="15" spans="1:13">
      <c r="A15" s="1" t="s">
        <v>100</v>
      </c>
      <c r="B15" s="1"/>
      <c r="C15" s="1"/>
      <c r="D15" s="61">
        <v>100</v>
      </c>
      <c r="E15" s="62">
        <v>11.2</v>
      </c>
      <c r="F15" s="62">
        <v>4.5999999999999996</v>
      </c>
      <c r="G15" s="63">
        <v>1044</v>
      </c>
      <c r="H15" s="62">
        <v>11692</v>
      </c>
      <c r="I15" s="1"/>
      <c r="J15" s="62"/>
      <c r="K15" s="62">
        <v>11692</v>
      </c>
      <c r="L15" s="1"/>
      <c r="M15" s="1"/>
    </row>
    <row r="16" spans="1:13">
      <c r="A16" s="1" t="s">
        <v>35</v>
      </c>
      <c r="B16" s="1"/>
      <c r="C16" s="1"/>
      <c r="D16" s="61">
        <v>100</v>
      </c>
      <c r="E16" s="62">
        <v>10.050000000000001</v>
      </c>
      <c r="F16" s="62">
        <v>9.8000000000000007</v>
      </c>
      <c r="G16" s="63">
        <v>1200</v>
      </c>
      <c r="H16" s="62">
        <v>12060</v>
      </c>
      <c r="I16" s="1"/>
      <c r="J16" s="62">
        <v>10892</v>
      </c>
      <c r="K16" s="62">
        <v>12060</v>
      </c>
      <c r="L16" s="1"/>
      <c r="M16" s="1"/>
    </row>
    <row r="17" spans="1:13">
      <c r="A17" s="1" t="s">
        <v>101</v>
      </c>
      <c r="B17" s="1"/>
      <c r="C17" s="1"/>
      <c r="D17" s="61">
        <v>100</v>
      </c>
      <c r="E17" s="62">
        <v>11.09</v>
      </c>
      <c r="F17" s="62">
        <v>5.46</v>
      </c>
      <c r="G17" s="63">
        <v>991</v>
      </c>
      <c r="H17" s="62">
        <v>10990</v>
      </c>
      <c r="I17" s="1"/>
      <c r="J17" s="62">
        <v>26191</v>
      </c>
      <c r="K17" s="62">
        <v>37181</v>
      </c>
      <c r="L17" s="1"/>
      <c r="M17" s="62">
        <v>6327</v>
      </c>
    </row>
    <row r="18" spans="1:13">
      <c r="A18" s="1" t="s">
        <v>36</v>
      </c>
      <c r="B18" s="1"/>
      <c r="C18" s="1"/>
      <c r="D18" s="61">
        <v>100</v>
      </c>
      <c r="E18" s="62">
        <v>12</v>
      </c>
      <c r="F18" s="62">
        <v>12</v>
      </c>
      <c r="G18" s="63">
        <v>1200</v>
      </c>
      <c r="H18" s="62">
        <v>14400</v>
      </c>
      <c r="I18" s="62">
        <v>13088</v>
      </c>
      <c r="J18" s="62"/>
      <c r="K18" s="62">
        <v>27488</v>
      </c>
      <c r="L18" s="1"/>
      <c r="M18" s="1"/>
    </row>
    <row r="19" spans="1:13">
      <c r="A19" s="1" t="s">
        <v>102</v>
      </c>
      <c r="B19" s="1"/>
      <c r="C19" s="1"/>
      <c r="D19" s="61">
        <v>100</v>
      </c>
      <c r="E19" s="62">
        <v>29</v>
      </c>
      <c r="F19" s="62">
        <v>14</v>
      </c>
      <c r="G19" s="63">
        <v>940</v>
      </c>
      <c r="H19" s="62">
        <v>27260</v>
      </c>
      <c r="I19" s="1"/>
      <c r="J19" s="62"/>
      <c r="K19" s="62">
        <v>27260</v>
      </c>
      <c r="L19" s="1"/>
      <c r="M19" s="1"/>
    </row>
    <row r="20" spans="1:13">
      <c r="A20" s="53" t="s">
        <v>46</v>
      </c>
      <c r="B20" s="53"/>
      <c r="C20" s="53"/>
      <c r="D20" s="64"/>
      <c r="E20" s="65">
        <f>SUM(E8:E19)</f>
        <v>113.76</v>
      </c>
      <c r="F20" s="65">
        <f>SUM(F8:F19)</f>
        <v>67.080000000000013</v>
      </c>
      <c r="G20" s="65"/>
      <c r="H20" s="65">
        <f>SUM(H8:H19)</f>
        <v>121646</v>
      </c>
      <c r="I20" s="65">
        <f>SUM(I8:I19)</f>
        <v>22341</v>
      </c>
      <c r="J20" s="65">
        <f>SUM(J8:J19)</f>
        <v>81103</v>
      </c>
      <c r="K20" s="65">
        <f>SUM(H20:J20)</f>
        <v>225090</v>
      </c>
      <c r="L20" s="65">
        <f>SUM(L9:L19)</f>
        <v>562</v>
      </c>
      <c r="M20" s="65">
        <v>6327</v>
      </c>
    </row>
    <row r="21" spans="1:13">
      <c r="A21" s="59" t="s">
        <v>47</v>
      </c>
      <c r="B21" s="59"/>
      <c r="C21" s="59"/>
      <c r="D21" s="66"/>
      <c r="E21" s="67">
        <f>SUM(E20-F20)</f>
        <v>46.679999999999993</v>
      </c>
      <c r="F21" s="67"/>
      <c r="G21" s="67"/>
      <c r="H21" s="67">
        <f>E30*G30</f>
        <v>50149</v>
      </c>
      <c r="I21" s="67">
        <f>I20-L20</f>
        <v>21779</v>
      </c>
      <c r="J21" s="67">
        <f>J20-M20</f>
        <v>74776</v>
      </c>
      <c r="K21" s="67">
        <f>SUM(H21:J21)</f>
        <v>146704</v>
      </c>
      <c r="L21" s="59"/>
      <c r="M21" s="59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 t="s">
        <v>103</v>
      </c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 t="s">
        <v>50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68" t="s">
        <v>51</v>
      </c>
      <c r="B25" s="68"/>
      <c r="C25" s="68"/>
      <c r="D25" s="68" t="s">
        <v>52</v>
      </c>
      <c r="E25" s="68" t="s">
        <v>53</v>
      </c>
      <c r="F25" s="68"/>
      <c r="G25" s="68" t="s">
        <v>54</v>
      </c>
      <c r="H25" s="1"/>
      <c r="I25" s="1"/>
      <c r="J25" s="1"/>
      <c r="K25" s="69"/>
      <c r="L25" s="1"/>
      <c r="M25" s="1"/>
    </row>
    <row r="26" spans="1:13">
      <c r="A26" s="1" t="s">
        <v>55</v>
      </c>
      <c r="B26" s="1"/>
      <c r="C26" s="1"/>
      <c r="D26" s="1"/>
      <c r="E26" s="1"/>
      <c r="F26" s="1"/>
      <c r="G26" s="1"/>
      <c r="H26" s="1"/>
      <c r="I26" s="1"/>
      <c r="J26" s="1"/>
      <c r="K26" s="69"/>
      <c r="L26" s="1"/>
      <c r="M26" s="1"/>
    </row>
    <row r="27" spans="1:13">
      <c r="A27" s="1" t="s">
        <v>104</v>
      </c>
      <c r="B27" s="1"/>
      <c r="C27" s="1"/>
      <c r="D27" s="1" t="s">
        <v>75</v>
      </c>
      <c r="E27" s="62">
        <v>13.48</v>
      </c>
      <c r="F27" s="70"/>
      <c r="G27" s="62">
        <v>1400</v>
      </c>
      <c r="H27" s="1"/>
      <c r="I27" s="1"/>
      <c r="J27" s="1"/>
      <c r="K27" s="69"/>
      <c r="L27" s="1"/>
      <c r="M27" s="1"/>
    </row>
    <row r="28" spans="1:13">
      <c r="A28" s="1"/>
      <c r="B28" s="1"/>
      <c r="C28" s="1"/>
      <c r="D28" s="1"/>
      <c r="E28" s="70"/>
      <c r="F28" s="70"/>
      <c r="G28" s="70"/>
      <c r="H28" s="1"/>
      <c r="I28" s="1"/>
      <c r="J28" s="1"/>
      <c r="K28" s="69"/>
      <c r="L28" s="1"/>
      <c r="M28" s="1"/>
    </row>
    <row r="29" spans="1:13">
      <c r="A29" s="1" t="s">
        <v>64</v>
      </c>
      <c r="B29" s="1"/>
      <c r="C29" s="1"/>
      <c r="D29" s="1"/>
      <c r="E29" s="70"/>
      <c r="F29" s="70"/>
      <c r="G29" s="70"/>
      <c r="H29" s="1"/>
      <c r="I29" s="1"/>
      <c r="J29" s="1" t="s">
        <v>105</v>
      </c>
      <c r="K29" s="1">
        <v>0.41</v>
      </c>
      <c r="L29" s="1"/>
      <c r="M29" s="1"/>
    </row>
    <row r="30" spans="1:13">
      <c r="A30" s="1" t="s">
        <v>65</v>
      </c>
      <c r="B30" s="1"/>
      <c r="C30" s="1"/>
      <c r="D30" s="1" t="s">
        <v>66</v>
      </c>
      <c r="E30" s="62">
        <v>47</v>
      </c>
      <c r="F30" s="62"/>
      <c r="G30" s="62">
        <v>1067</v>
      </c>
      <c r="H30" s="1"/>
      <c r="I30" s="1"/>
      <c r="J30" s="1" t="s">
        <v>58</v>
      </c>
      <c r="K30" s="1">
        <v>0.25</v>
      </c>
      <c r="L30" s="1"/>
      <c r="M30" s="1"/>
    </row>
    <row r="31" spans="1:13">
      <c r="A31" s="1" t="s">
        <v>68</v>
      </c>
      <c r="B31" s="1"/>
      <c r="C31" s="1"/>
      <c r="D31" s="1" t="s">
        <v>66</v>
      </c>
      <c r="E31" s="62">
        <v>67</v>
      </c>
      <c r="F31" s="62"/>
      <c r="G31" s="62"/>
      <c r="H31" s="1"/>
      <c r="I31" s="1"/>
      <c r="J31" s="4"/>
      <c r="K31" s="4"/>
      <c r="L31" s="1"/>
      <c r="M31" s="1"/>
    </row>
    <row r="32" spans="1:13">
      <c r="A32" s="1" t="s">
        <v>6</v>
      </c>
      <c r="B32" s="1"/>
      <c r="C32" s="1"/>
      <c r="D32" s="1"/>
      <c r="E32" s="62">
        <f>SUM(E30:E31)</f>
        <v>114</v>
      </c>
      <c r="F32" s="62"/>
      <c r="G32" s="62"/>
      <c r="H32" s="1"/>
      <c r="I32" s="1"/>
      <c r="J32" s="1" t="s">
        <v>67</v>
      </c>
      <c r="K32" s="4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 t="s">
        <v>106</v>
      </c>
      <c r="K33" s="71">
        <v>83</v>
      </c>
      <c r="L33" s="1"/>
      <c r="M33" s="1"/>
    </row>
    <row r="34" spans="1:13">
      <c r="A34" s="53" t="s">
        <v>107</v>
      </c>
      <c r="B34" s="53"/>
      <c r="C34" s="53" t="s">
        <v>73</v>
      </c>
      <c r="D34" s="53"/>
      <c r="E34" s="53"/>
      <c r="F34" s="53"/>
      <c r="G34" s="53"/>
      <c r="H34" s="1"/>
      <c r="I34" s="1"/>
      <c r="J34" s="1" t="s">
        <v>71</v>
      </c>
      <c r="K34" s="1">
        <v>17</v>
      </c>
      <c r="L34" s="1"/>
      <c r="M34" s="1"/>
    </row>
    <row r="35" spans="1:13">
      <c r="A35" s="56" t="s">
        <v>108</v>
      </c>
      <c r="B35" s="58"/>
      <c r="C35" s="72">
        <v>70</v>
      </c>
      <c r="D35" s="56" t="s">
        <v>109</v>
      </c>
      <c r="E35" s="73">
        <v>28</v>
      </c>
      <c r="F35" s="73"/>
      <c r="G35" s="73">
        <v>173</v>
      </c>
      <c r="H35" s="62"/>
      <c r="I35" s="1"/>
      <c r="J35" s="1"/>
      <c r="K35" s="1"/>
      <c r="L35" s="1"/>
      <c r="M35" s="1"/>
    </row>
    <row r="36" spans="1:13">
      <c r="A36" s="56" t="s">
        <v>110</v>
      </c>
      <c r="B36" s="58"/>
      <c r="C36" s="72">
        <v>40</v>
      </c>
      <c r="D36" s="56" t="s">
        <v>75</v>
      </c>
      <c r="E36" s="73">
        <v>81</v>
      </c>
      <c r="F36" s="73"/>
      <c r="G36" s="73">
        <v>50</v>
      </c>
      <c r="H36" s="62"/>
      <c r="I36" s="1"/>
      <c r="J36" s="1"/>
      <c r="K36" s="1"/>
      <c r="L36" s="1"/>
      <c r="M36" s="1"/>
    </row>
    <row r="37" spans="1:13">
      <c r="A37" s="56" t="s">
        <v>111</v>
      </c>
      <c r="B37" s="58"/>
      <c r="C37" s="72">
        <v>67</v>
      </c>
      <c r="D37" s="56" t="s">
        <v>75</v>
      </c>
      <c r="E37" s="73">
        <v>258</v>
      </c>
      <c r="F37" s="73"/>
      <c r="G37" s="73">
        <v>63</v>
      </c>
      <c r="H37" s="62"/>
      <c r="I37" s="1"/>
      <c r="J37" s="1"/>
      <c r="K37" s="1"/>
      <c r="L37" s="1"/>
      <c r="M37" s="1"/>
    </row>
    <row r="38" spans="1:13">
      <c r="A38" s="53" t="s">
        <v>77</v>
      </c>
      <c r="B38" s="53"/>
      <c r="C38" s="53"/>
      <c r="D38" s="53"/>
      <c r="E38" s="53"/>
      <c r="F38" s="53"/>
      <c r="G38" s="53"/>
      <c r="H38" s="1"/>
      <c r="I38" s="1"/>
      <c r="J38" s="1" t="s">
        <v>112</v>
      </c>
      <c r="K38" s="1"/>
      <c r="L38" s="1"/>
      <c r="M38" s="1"/>
    </row>
    <row r="39" spans="1:13">
      <c r="A39" s="56" t="s">
        <v>80</v>
      </c>
      <c r="B39" s="56"/>
      <c r="C39" s="56"/>
      <c r="D39" s="56"/>
      <c r="E39" s="56"/>
      <c r="F39" s="56"/>
      <c r="G39" s="74">
        <v>4388</v>
      </c>
      <c r="H39" s="1"/>
      <c r="I39" s="1"/>
      <c r="J39" s="62">
        <v>10843</v>
      </c>
      <c r="K39" s="1"/>
      <c r="L39" s="1"/>
      <c r="M39" s="1"/>
    </row>
    <row r="40" spans="1:13">
      <c r="A40" s="56" t="s">
        <v>81</v>
      </c>
      <c r="B40" s="56"/>
      <c r="C40" s="56"/>
      <c r="D40" s="56"/>
      <c r="E40" s="56"/>
      <c r="F40" s="56"/>
      <c r="G40" s="75">
        <v>93</v>
      </c>
      <c r="H40" s="1"/>
      <c r="I40" s="1"/>
      <c r="J40" s="62"/>
      <c r="K40" s="1"/>
      <c r="L40" s="1"/>
      <c r="M40" s="1"/>
    </row>
    <row r="41" spans="1:13">
      <c r="A41" s="56" t="s">
        <v>82</v>
      </c>
      <c r="B41" s="56"/>
      <c r="C41" s="56"/>
      <c r="D41" s="56"/>
      <c r="E41" s="56"/>
      <c r="F41" s="56"/>
      <c r="G41" s="75">
        <f>G39*G40</f>
        <v>408084</v>
      </c>
      <c r="H41" s="1"/>
      <c r="I41" s="1"/>
      <c r="J41" s="62">
        <v>1008376</v>
      </c>
      <c r="K41" s="1"/>
      <c r="L41" s="1"/>
      <c r="M41" s="1"/>
    </row>
    <row r="42" spans="1:13">
      <c r="A42" s="56" t="s">
        <v>83</v>
      </c>
      <c r="B42" s="56"/>
      <c r="C42" s="56"/>
      <c r="D42" s="56"/>
      <c r="E42" s="56"/>
      <c r="F42" s="56"/>
      <c r="G42" s="75">
        <f>G41-K20</f>
        <v>182994</v>
      </c>
      <c r="H42" s="1"/>
      <c r="I42" s="1"/>
      <c r="J42" s="62">
        <v>452178</v>
      </c>
      <c r="K42" s="1"/>
      <c r="L42" s="1"/>
      <c r="M42" s="1"/>
    </row>
    <row r="43" spans="1:13">
      <c r="A43" s="56" t="s">
        <v>84</v>
      </c>
      <c r="B43" s="56"/>
      <c r="C43" s="56"/>
      <c r="D43" s="56"/>
      <c r="E43" s="56"/>
      <c r="F43" s="56"/>
      <c r="G43" s="75">
        <f>G41-K21</f>
        <v>261380</v>
      </c>
      <c r="H43" s="1"/>
      <c r="I43" s="1"/>
      <c r="J43" s="62">
        <v>645870</v>
      </c>
      <c r="K43" s="1"/>
      <c r="L43" s="1"/>
      <c r="M43" s="1"/>
    </row>
    <row r="44" spans="1:13">
      <c r="A44" s="56" t="s">
        <v>85</v>
      </c>
      <c r="B44" s="56"/>
      <c r="C44" s="56"/>
      <c r="D44" s="56"/>
      <c r="E44" s="56"/>
      <c r="F44" s="56"/>
      <c r="G44" s="75">
        <f>K20/G39</f>
        <v>51.296718322698268</v>
      </c>
      <c r="H44" s="1"/>
      <c r="I44" s="1"/>
      <c r="J44" s="1"/>
      <c r="K44" s="1"/>
      <c r="L44" s="1"/>
      <c r="M44" s="1"/>
    </row>
    <row r="45" spans="1:13">
      <c r="A45" s="59" t="s">
        <v>86</v>
      </c>
      <c r="B45" s="59"/>
      <c r="C45" s="59"/>
      <c r="D45" s="59"/>
      <c r="E45" s="59"/>
      <c r="F45" s="59"/>
      <c r="G45" s="76">
        <f>K21/G39</f>
        <v>33.432999088422974</v>
      </c>
      <c r="H45" s="1"/>
      <c r="I45" s="1"/>
      <c r="J45" s="1"/>
      <c r="K45" s="1"/>
      <c r="L45" s="1"/>
      <c r="M45" s="1"/>
    </row>
    <row r="46" spans="1:13">
      <c r="A46" s="1" t="s">
        <v>113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 t="s">
        <v>114</v>
      </c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 t="s">
        <v>115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8"/>
  <sheetViews>
    <sheetView topLeftCell="A16" workbookViewId="0">
      <selection activeCell="E51" sqref="E51"/>
    </sheetView>
  </sheetViews>
  <sheetFormatPr defaultRowHeight="15"/>
  <sheetData>
    <row r="1" spans="1:13">
      <c r="A1" s="77" t="s">
        <v>0</v>
      </c>
      <c r="B1" s="77" t="s">
        <v>116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>
      <c r="A2" s="77"/>
      <c r="B2" s="77" t="s">
        <v>117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>
      <c r="A3" s="77"/>
      <c r="B3" s="77" t="s">
        <v>89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>
      <c r="A4" s="78" t="s">
        <v>4</v>
      </c>
      <c r="B4" s="78"/>
      <c r="C4" s="78"/>
      <c r="D4" s="79" t="s">
        <v>5</v>
      </c>
      <c r="E4" s="79" t="s">
        <v>6</v>
      </c>
      <c r="F4" s="79" t="s">
        <v>7</v>
      </c>
      <c r="G4" s="79" t="s">
        <v>8</v>
      </c>
      <c r="H4" s="79" t="s">
        <v>9</v>
      </c>
      <c r="I4" s="79" t="s">
        <v>10</v>
      </c>
      <c r="J4" s="79" t="s">
        <v>11</v>
      </c>
      <c r="K4" s="79" t="s">
        <v>12</v>
      </c>
      <c r="L4" s="80" t="s">
        <v>13</v>
      </c>
      <c r="M4" s="79"/>
    </row>
    <row r="5" spans="1:13">
      <c r="A5" s="81"/>
      <c r="B5" s="81"/>
      <c r="C5" s="81"/>
      <c r="D5" s="82" t="s">
        <v>14</v>
      </c>
      <c r="E5" s="82" t="s">
        <v>15</v>
      </c>
      <c r="F5" s="82" t="s">
        <v>15</v>
      </c>
      <c r="G5" s="82" t="s">
        <v>16</v>
      </c>
      <c r="H5" s="82" t="s">
        <v>17</v>
      </c>
      <c r="I5" s="82" t="s">
        <v>18</v>
      </c>
      <c r="J5" s="82" t="s">
        <v>17</v>
      </c>
      <c r="K5" s="82" t="s">
        <v>17</v>
      </c>
      <c r="L5" s="83" t="s">
        <v>10</v>
      </c>
      <c r="M5" s="82" t="s">
        <v>11</v>
      </c>
    </row>
    <row r="6" spans="1:13">
      <c r="A6" s="81"/>
      <c r="B6" s="81"/>
      <c r="C6" s="81"/>
      <c r="D6" s="82" t="s">
        <v>19</v>
      </c>
      <c r="E6" s="82"/>
      <c r="F6" s="82"/>
      <c r="G6" s="82"/>
      <c r="H6" s="82" t="s">
        <v>20</v>
      </c>
      <c r="I6" s="82" t="s">
        <v>17</v>
      </c>
      <c r="J6" s="82" t="s">
        <v>20</v>
      </c>
      <c r="K6" s="82" t="s">
        <v>20</v>
      </c>
      <c r="L6" s="82"/>
      <c r="M6" s="82"/>
    </row>
    <row r="7" spans="1:13">
      <c r="A7" s="84"/>
      <c r="B7" s="84"/>
      <c r="C7" s="84"/>
      <c r="D7" s="85"/>
      <c r="E7" s="85"/>
      <c r="F7" s="85"/>
      <c r="G7" s="85"/>
      <c r="H7" s="85"/>
      <c r="I7" s="85" t="s">
        <v>20</v>
      </c>
      <c r="J7" s="85"/>
      <c r="K7" s="85"/>
      <c r="L7" s="85"/>
      <c r="M7" s="85"/>
    </row>
    <row r="8" spans="1:13">
      <c r="A8" s="77" t="s">
        <v>118</v>
      </c>
      <c r="B8" s="77"/>
      <c r="C8" s="77"/>
      <c r="D8" s="86">
        <v>80</v>
      </c>
      <c r="E8" s="87">
        <v>6.64</v>
      </c>
      <c r="F8" s="87">
        <v>6.54</v>
      </c>
      <c r="G8" s="88">
        <v>1200</v>
      </c>
      <c r="H8" s="87">
        <f>SUM(E8*G8)</f>
        <v>7968</v>
      </c>
      <c r="I8" s="77"/>
      <c r="J8" s="87">
        <v>1051</v>
      </c>
      <c r="K8" s="87">
        <f>H8+I8+J8</f>
        <v>9019</v>
      </c>
      <c r="L8" s="77"/>
      <c r="M8" s="77"/>
    </row>
    <row r="9" spans="1:13">
      <c r="A9" s="77" t="s">
        <v>22</v>
      </c>
      <c r="B9" s="77"/>
      <c r="C9" s="77"/>
      <c r="D9" s="86">
        <v>70</v>
      </c>
      <c r="E9" s="87">
        <v>8.6</v>
      </c>
      <c r="F9" s="87">
        <v>4.2</v>
      </c>
      <c r="G9" s="88">
        <v>1102</v>
      </c>
      <c r="H9" s="87">
        <v>9477</v>
      </c>
      <c r="I9" s="77"/>
      <c r="J9" s="87"/>
      <c r="K9" s="87">
        <f>H9+I9+J9</f>
        <v>9477</v>
      </c>
      <c r="L9" s="77"/>
      <c r="M9" s="77"/>
    </row>
    <row r="10" spans="1:13">
      <c r="A10" s="77" t="s">
        <v>90</v>
      </c>
      <c r="B10" s="77"/>
      <c r="C10" s="77"/>
      <c r="D10" s="86">
        <v>50</v>
      </c>
      <c r="E10" s="87">
        <v>0.5</v>
      </c>
      <c r="F10" s="87">
        <v>0.5</v>
      </c>
      <c r="G10" s="88">
        <v>1070</v>
      </c>
      <c r="H10" s="87">
        <f t="shared" ref="H10:H19" si="0">SUM(E10*G10)</f>
        <v>535</v>
      </c>
      <c r="I10" s="87">
        <v>9633</v>
      </c>
      <c r="J10" s="87"/>
      <c r="K10" s="87">
        <f>H10+I10+J10</f>
        <v>10168</v>
      </c>
      <c r="L10" s="87">
        <v>1661</v>
      </c>
      <c r="M10" s="77"/>
    </row>
    <row r="11" spans="1:13">
      <c r="A11" s="77" t="s">
        <v>91</v>
      </c>
      <c r="B11" s="77"/>
      <c r="C11" s="77"/>
      <c r="D11" s="86" t="s">
        <v>92</v>
      </c>
      <c r="E11" s="87" t="s">
        <v>119</v>
      </c>
      <c r="F11" s="87" t="s">
        <v>120</v>
      </c>
      <c r="G11" s="88" t="s">
        <v>121</v>
      </c>
      <c r="H11" s="87" t="s">
        <v>122</v>
      </c>
      <c r="I11" s="77"/>
      <c r="J11" s="87"/>
      <c r="K11" s="87"/>
      <c r="L11" s="77"/>
      <c r="M11" s="77"/>
    </row>
    <row r="12" spans="1:13">
      <c r="A12" s="77" t="s">
        <v>97</v>
      </c>
      <c r="B12" s="77"/>
      <c r="C12" s="77"/>
      <c r="D12" s="86">
        <v>100</v>
      </c>
      <c r="E12" s="87">
        <v>13.2</v>
      </c>
      <c r="F12" s="87">
        <v>6.8999999999999995</v>
      </c>
      <c r="G12" s="88">
        <v>1059</v>
      </c>
      <c r="H12" s="87">
        <v>13979</v>
      </c>
      <c r="I12" s="77"/>
      <c r="J12" s="87"/>
      <c r="K12" s="87">
        <f>H12+I12+J12</f>
        <v>13979</v>
      </c>
      <c r="L12" s="77"/>
      <c r="M12" s="77"/>
    </row>
    <row r="13" spans="1:13">
      <c r="A13" s="89" t="s">
        <v>123</v>
      </c>
      <c r="B13" s="77"/>
      <c r="C13" s="77"/>
      <c r="D13" s="86">
        <v>100</v>
      </c>
      <c r="E13" s="87">
        <v>15.17</v>
      </c>
      <c r="F13" s="87">
        <v>7.72</v>
      </c>
      <c r="G13" s="88">
        <v>919</v>
      </c>
      <c r="H13" s="87">
        <v>13941</v>
      </c>
      <c r="I13" s="77"/>
      <c r="J13" s="87">
        <v>10339</v>
      </c>
      <c r="K13" s="87">
        <f>H13+I13+J13</f>
        <v>24280</v>
      </c>
      <c r="L13" s="77"/>
      <c r="M13" s="77"/>
    </row>
    <row r="14" spans="1:13">
      <c r="A14" s="89" t="s">
        <v>33</v>
      </c>
      <c r="B14" s="77"/>
      <c r="C14" s="77"/>
      <c r="D14" s="86">
        <v>100</v>
      </c>
      <c r="E14" s="87">
        <v>7.79</v>
      </c>
      <c r="F14" s="87">
        <v>7.02</v>
      </c>
      <c r="G14" s="88">
        <v>1200</v>
      </c>
      <c r="H14" s="87">
        <f t="shared" si="0"/>
        <v>9348</v>
      </c>
      <c r="I14" s="77"/>
      <c r="J14" s="87">
        <f>E39*G39+E40*G40+E41*G41</f>
        <v>29648</v>
      </c>
      <c r="K14" s="87">
        <f>H14+I14+J14</f>
        <v>38996</v>
      </c>
      <c r="L14" s="77"/>
      <c r="M14" s="77"/>
    </row>
    <row r="15" spans="1:13">
      <c r="A15" s="77" t="s">
        <v>100</v>
      </c>
      <c r="B15" s="77"/>
      <c r="C15" s="77"/>
      <c r="D15" s="86">
        <v>100</v>
      </c>
      <c r="E15" s="87">
        <v>12.6</v>
      </c>
      <c r="F15" s="87">
        <v>6.1</v>
      </c>
      <c r="G15" s="88">
        <v>1042</v>
      </c>
      <c r="H15" s="87">
        <v>13129</v>
      </c>
      <c r="I15" s="77"/>
      <c r="J15" s="87"/>
      <c r="K15" s="87">
        <f t="shared" ref="K15:K20" si="1">H15+I15+J15</f>
        <v>13129</v>
      </c>
      <c r="L15" s="77"/>
      <c r="M15" s="77"/>
    </row>
    <row r="16" spans="1:13">
      <c r="A16" s="77" t="s">
        <v>35</v>
      </c>
      <c r="B16" s="77"/>
      <c r="C16" s="77"/>
      <c r="D16" s="86">
        <v>100</v>
      </c>
      <c r="E16" s="87">
        <v>17.46</v>
      </c>
      <c r="F16" s="87">
        <v>17.2</v>
      </c>
      <c r="G16" s="88">
        <v>1200</v>
      </c>
      <c r="H16" s="87">
        <f t="shared" si="0"/>
        <v>20952</v>
      </c>
      <c r="I16" s="77"/>
      <c r="J16" s="87">
        <v>25889</v>
      </c>
      <c r="K16" s="87">
        <f t="shared" si="1"/>
        <v>46841</v>
      </c>
      <c r="L16" s="77"/>
      <c r="M16" s="77"/>
    </row>
    <row r="17" spans="1:13">
      <c r="A17" s="77" t="s">
        <v>101</v>
      </c>
      <c r="B17" s="77"/>
      <c r="C17" s="77"/>
      <c r="D17" s="86">
        <v>100</v>
      </c>
      <c r="E17" s="87">
        <v>12</v>
      </c>
      <c r="F17" s="87">
        <v>5.9</v>
      </c>
      <c r="G17" s="88">
        <v>1025</v>
      </c>
      <c r="H17" s="87">
        <f t="shared" si="0"/>
        <v>12300</v>
      </c>
      <c r="I17" s="77"/>
      <c r="J17" s="87">
        <v>18204</v>
      </c>
      <c r="K17" s="87">
        <f t="shared" si="1"/>
        <v>30504</v>
      </c>
      <c r="L17" s="77"/>
      <c r="M17" s="87">
        <v>7858</v>
      </c>
    </row>
    <row r="18" spans="1:13">
      <c r="A18" s="77" t="s">
        <v>124</v>
      </c>
      <c r="B18" s="77"/>
      <c r="C18" s="77"/>
      <c r="D18" s="86">
        <v>100</v>
      </c>
      <c r="E18" s="87">
        <v>9.9</v>
      </c>
      <c r="F18" s="87">
        <v>4.4000000000000004</v>
      </c>
      <c r="G18" s="88">
        <v>873</v>
      </c>
      <c r="H18" s="87">
        <v>8643</v>
      </c>
      <c r="I18" s="77"/>
      <c r="J18" s="87"/>
      <c r="K18" s="87">
        <f t="shared" si="1"/>
        <v>8643</v>
      </c>
      <c r="L18" s="77"/>
      <c r="M18" s="77"/>
    </row>
    <row r="19" spans="1:13">
      <c r="A19" s="77" t="s">
        <v>125</v>
      </c>
      <c r="B19" s="77"/>
      <c r="C19" s="77"/>
      <c r="D19" s="86">
        <v>60</v>
      </c>
      <c r="E19" s="87">
        <v>20.7</v>
      </c>
      <c r="F19" s="87">
        <v>4.4000000000000004</v>
      </c>
      <c r="G19" s="88">
        <v>1000</v>
      </c>
      <c r="H19" s="87">
        <f t="shared" si="0"/>
        <v>20700</v>
      </c>
      <c r="I19" s="77"/>
      <c r="J19" s="87"/>
      <c r="K19" s="87">
        <f t="shared" si="1"/>
        <v>20700</v>
      </c>
      <c r="L19" s="77"/>
      <c r="M19" s="77"/>
    </row>
    <row r="20" spans="1:13">
      <c r="A20" s="77" t="s">
        <v>102</v>
      </c>
      <c r="B20" s="77"/>
      <c r="C20" s="77"/>
      <c r="D20" s="86">
        <v>100</v>
      </c>
      <c r="E20" s="87">
        <v>49.4</v>
      </c>
      <c r="F20" s="87">
        <v>30.05</v>
      </c>
      <c r="G20" s="88">
        <v>912</v>
      </c>
      <c r="H20" s="87">
        <v>45053</v>
      </c>
      <c r="I20" s="77"/>
      <c r="J20" s="87"/>
      <c r="K20" s="87">
        <f t="shared" si="1"/>
        <v>45053</v>
      </c>
      <c r="L20" s="77"/>
      <c r="M20" s="77"/>
    </row>
    <row r="21" spans="1:13">
      <c r="A21" s="78" t="s">
        <v>46</v>
      </c>
      <c r="B21" s="78"/>
      <c r="C21" s="78"/>
      <c r="D21" s="90"/>
      <c r="E21" s="91">
        <f>SUM(E8:E20)</f>
        <v>173.96</v>
      </c>
      <c r="F21" s="91">
        <f>SUM(F8:F20)</f>
        <v>100.92999999999999</v>
      </c>
      <c r="G21" s="92"/>
      <c r="H21" s="92">
        <f>SUM(H8:H20)</f>
        <v>176025</v>
      </c>
      <c r="I21" s="92">
        <f>SUM(I8:I20)</f>
        <v>9633</v>
      </c>
      <c r="J21" s="92">
        <f>SUM(J8:J20)</f>
        <v>85131</v>
      </c>
      <c r="K21" s="92">
        <f>SUM(H21:J21)</f>
        <v>270789</v>
      </c>
      <c r="L21" s="92">
        <f>SUM(L8:L20)</f>
        <v>1661</v>
      </c>
      <c r="M21" s="92">
        <f>SUM(M8:M20)</f>
        <v>7858</v>
      </c>
    </row>
    <row r="22" spans="1:13">
      <c r="A22" s="84" t="s">
        <v>47</v>
      </c>
      <c r="B22" s="84"/>
      <c r="C22" s="84"/>
      <c r="D22" s="93"/>
      <c r="E22" s="94">
        <f>SUM(E21-F21)</f>
        <v>73.030000000000015</v>
      </c>
      <c r="F22" s="94"/>
      <c r="G22" s="95"/>
      <c r="H22" s="95">
        <f>SUM(E33*G33)</f>
        <v>73876</v>
      </c>
      <c r="I22" s="95">
        <f>SUM(I21-L21)</f>
        <v>7972</v>
      </c>
      <c r="J22" s="95">
        <f>SUM(J21-M21)</f>
        <v>77273</v>
      </c>
      <c r="K22" s="95">
        <f>SUM(H22:J22)</f>
        <v>159121</v>
      </c>
      <c r="L22" s="84"/>
      <c r="M22" s="84"/>
    </row>
    <row r="23" spans="1:1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</row>
    <row r="24" spans="1:13">
      <c r="A24" s="77"/>
      <c r="B24" s="77"/>
      <c r="C24" s="77" t="s">
        <v>103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</row>
    <row r="25" spans="1:13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</row>
    <row r="26" spans="1:13">
      <c r="A26" s="77" t="s">
        <v>50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</row>
    <row r="27" spans="1:13">
      <c r="A27" s="96" t="s">
        <v>51</v>
      </c>
      <c r="B27" s="96"/>
      <c r="C27" s="96"/>
      <c r="D27" s="96" t="s">
        <v>52</v>
      </c>
      <c r="E27" s="96" t="s">
        <v>53</v>
      </c>
      <c r="F27" s="96"/>
      <c r="G27" s="96" t="s">
        <v>54</v>
      </c>
      <c r="H27" s="77"/>
      <c r="I27" s="77"/>
      <c r="J27" s="77"/>
      <c r="K27" s="97"/>
      <c r="L27" s="77"/>
      <c r="M27" s="77"/>
    </row>
    <row r="28" spans="1:13">
      <c r="A28" s="77" t="s">
        <v>55</v>
      </c>
      <c r="B28" s="77"/>
      <c r="C28" s="77"/>
      <c r="D28" s="77"/>
      <c r="E28" s="77"/>
      <c r="F28" s="77"/>
      <c r="G28" s="77"/>
      <c r="H28" s="77"/>
      <c r="I28" s="77"/>
      <c r="J28" s="77" t="s">
        <v>126</v>
      </c>
      <c r="K28" s="97">
        <v>0.8</v>
      </c>
      <c r="L28" s="77"/>
      <c r="M28" s="77"/>
    </row>
    <row r="29" spans="1:13">
      <c r="A29" s="77" t="s">
        <v>104</v>
      </c>
      <c r="B29" s="77"/>
      <c r="C29" s="77"/>
      <c r="D29" s="77" t="s">
        <v>75</v>
      </c>
      <c r="E29" s="77">
        <v>9.4E-2</v>
      </c>
      <c r="F29" s="77"/>
      <c r="G29" s="87">
        <v>109990</v>
      </c>
      <c r="H29" s="77"/>
      <c r="I29" s="77"/>
      <c r="J29" s="77" t="s">
        <v>71</v>
      </c>
      <c r="K29" s="97">
        <v>0.2</v>
      </c>
      <c r="L29" s="77"/>
      <c r="M29" s="77"/>
    </row>
    <row r="30" spans="1:13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97"/>
      <c r="L30" s="77"/>
      <c r="M30" s="77"/>
    </row>
    <row r="31" spans="1:13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</row>
    <row r="32" spans="1:13">
      <c r="A32" s="77" t="s">
        <v>64</v>
      </c>
      <c r="B32" s="77"/>
      <c r="C32" s="77"/>
      <c r="D32" s="77"/>
      <c r="E32" s="77"/>
      <c r="F32" s="77"/>
      <c r="G32" s="77"/>
      <c r="H32" s="77"/>
      <c r="I32" s="77"/>
      <c r="J32" s="77" t="s">
        <v>105</v>
      </c>
      <c r="K32" s="77">
        <v>0.38</v>
      </c>
      <c r="L32" s="77"/>
      <c r="M32" s="77"/>
    </row>
    <row r="33" spans="1:13">
      <c r="A33" s="77" t="s">
        <v>65</v>
      </c>
      <c r="B33" s="77"/>
      <c r="C33" s="77"/>
      <c r="D33" s="77" t="s">
        <v>66</v>
      </c>
      <c r="E33" s="87">
        <v>73</v>
      </c>
      <c r="F33" s="77"/>
      <c r="G33" s="87">
        <v>1012</v>
      </c>
      <c r="H33" s="77"/>
      <c r="I33" s="77"/>
      <c r="J33" s="77" t="s">
        <v>58</v>
      </c>
      <c r="K33" s="77">
        <v>0.25</v>
      </c>
      <c r="L33" s="77"/>
      <c r="M33" s="77"/>
    </row>
    <row r="34" spans="1:13">
      <c r="A34" s="77" t="s">
        <v>68</v>
      </c>
      <c r="B34" s="77"/>
      <c r="C34" s="77"/>
      <c r="D34" s="77" t="s">
        <v>66</v>
      </c>
      <c r="E34" s="87">
        <v>101</v>
      </c>
      <c r="F34" s="77"/>
      <c r="G34" s="77"/>
      <c r="H34" s="77"/>
      <c r="I34" s="77"/>
      <c r="J34" s="77"/>
      <c r="K34" s="77"/>
      <c r="L34" s="77"/>
      <c r="M34" s="77"/>
    </row>
    <row r="35" spans="1:13">
      <c r="A35" s="77" t="s">
        <v>6</v>
      </c>
      <c r="B35" s="77"/>
      <c r="C35" s="77"/>
      <c r="D35" s="77"/>
      <c r="E35" s="87">
        <f>SUM(E33:E34)</f>
        <v>174</v>
      </c>
      <c r="F35" s="77"/>
      <c r="G35" s="77"/>
      <c r="H35" s="77"/>
      <c r="I35" s="77"/>
      <c r="J35" s="77"/>
      <c r="K35" s="98"/>
      <c r="L35" s="77"/>
      <c r="M35" s="77"/>
    </row>
    <row r="36" spans="1:13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</row>
    <row r="37" spans="1:13">
      <c r="A37" s="78" t="s">
        <v>107</v>
      </c>
      <c r="B37" s="78"/>
      <c r="C37" s="78" t="s">
        <v>73</v>
      </c>
      <c r="D37" s="78"/>
      <c r="E37" s="78"/>
      <c r="F37" s="78"/>
      <c r="G37" s="78"/>
      <c r="H37" s="77"/>
      <c r="I37" s="77"/>
      <c r="J37" s="77"/>
      <c r="K37" s="77"/>
      <c r="L37" s="77"/>
      <c r="M37" s="77"/>
    </row>
    <row r="38" spans="1:13">
      <c r="A38" s="99"/>
      <c r="B38" s="100"/>
      <c r="C38" s="101"/>
      <c r="D38" s="99"/>
      <c r="E38" s="81"/>
      <c r="F38" s="81"/>
      <c r="G38" s="102"/>
      <c r="H38" s="77"/>
      <c r="I38" s="77"/>
      <c r="J38" s="77"/>
      <c r="K38" s="77"/>
      <c r="L38" s="77"/>
      <c r="M38" s="77"/>
    </row>
    <row r="39" spans="1:13">
      <c r="A39" s="81" t="s">
        <v>108</v>
      </c>
      <c r="B39" s="83"/>
      <c r="C39" s="103">
        <v>77</v>
      </c>
      <c r="D39" s="81" t="s">
        <v>109</v>
      </c>
      <c r="E39" s="102">
        <v>50</v>
      </c>
      <c r="F39" s="102"/>
      <c r="G39" s="102">
        <v>158</v>
      </c>
      <c r="H39" s="77"/>
      <c r="I39" s="77"/>
      <c r="J39" s="77"/>
      <c r="K39" s="77"/>
      <c r="L39" s="77"/>
      <c r="M39" s="77"/>
    </row>
    <row r="40" spans="1:13">
      <c r="A40" s="81" t="s">
        <v>110</v>
      </c>
      <c r="B40" s="83"/>
      <c r="C40" s="103">
        <v>87</v>
      </c>
      <c r="D40" s="81" t="s">
        <v>75</v>
      </c>
      <c r="E40" s="102">
        <v>89</v>
      </c>
      <c r="F40" s="102"/>
      <c r="G40" s="102">
        <v>50</v>
      </c>
      <c r="H40" s="77"/>
      <c r="I40" s="77"/>
      <c r="J40" s="77"/>
      <c r="K40" s="77"/>
      <c r="L40" s="77"/>
      <c r="M40" s="77"/>
    </row>
    <row r="41" spans="1:13">
      <c r="A41" s="81" t="s">
        <v>127</v>
      </c>
      <c r="B41" s="83"/>
      <c r="C41" s="103">
        <v>67</v>
      </c>
      <c r="D41" s="81" t="s">
        <v>75</v>
      </c>
      <c r="E41" s="102">
        <v>279</v>
      </c>
      <c r="F41" s="102"/>
      <c r="G41" s="102">
        <v>62</v>
      </c>
      <c r="H41" s="77"/>
      <c r="I41" s="77"/>
      <c r="J41" s="77"/>
      <c r="K41" s="77"/>
      <c r="L41" s="77"/>
      <c r="M41" s="77"/>
    </row>
    <row r="42" spans="1:13">
      <c r="A42" s="99"/>
      <c r="B42" s="100"/>
      <c r="C42" s="101"/>
      <c r="D42" s="99"/>
      <c r="E42" s="102"/>
      <c r="F42" s="102"/>
      <c r="G42" s="102"/>
      <c r="H42" s="77"/>
      <c r="I42" s="77"/>
      <c r="J42" s="77"/>
      <c r="K42" s="77"/>
      <c r="L42" s="77"/>
      <c r="M42" s="77"/>
    </row>
    <row r="43" spans="1:13">
      <c r="A43" s="78" t="s">
        <v>77</v>
      </c>
      <c r="B43" s="78"/>
      <c r="C43" s="78"/>
      <c r="D43" s="78"/>
      <c r="E43" s="78"/>
      <c r="F43" s="78"/>
      <c r="G43" s="78"/>
      <c r="H43" s="77"/>
      <c r="I43" s="77"/>
      <c r="J43" s="77" t="s">
        <v>112</v>
      </c>
      <c r="K43" s="77"/>
      <c r="L43" s="77"/>
      <c r="M43" s="77"/>
    </row>
    <row r="44" spans="1:13">
      <c r="A44" s="81" t="s">
        <v>80</v>
      </c>
      <c r="B44" s="81"/>
      <c r="C44" s="81"/>
      <c r="D44" s="81"/>
      <c r="E44" s="81"/>
      <c r="F44" s="81"/>
      <c r="G44" s="104">
        <v>10155</v>
      </c>
      <c r="H44" s="77"/>
      <c r="I44" s="77"/>
      <c r="J44" s="87">
        <v>25093</v>
      </c>
      <c r="K44" s="77"/>
      <c r="L44" s="77"/>
      <c r="M44" s="77"/>
    </row>
    <row r="45" spans="1:13">
      <c r="A45" s="81" t="s">
        <v>81</v>
      </c>
      <c r="B45" s="81"/>
      <c r="C45" s="81"/>
      <c r="D45" s="81"/>
      <c r="E45" s="81"/>
      <c r="F45" s="81"/>
      <c r="G45" s="102">
        <v>76</v>
      </c>
      <c r="H45" s="77"/>
      <c r="I45" s="77"/>
      <c r="J45" s="87"/>
      <c r="K45" s="77"/>
      <c r="L45" s="77"/>
      <c r="M45" s="77"/>
    </row>
    <row r="46" spans="1:13">
      <c r="A46" s="81" t="s">
        <v>82</v>
      </c>
      <c r="B46" s="81"/>
      <c r="C46" s="81"/>
      <c r="D46" s="81"/>
      <c r="E46" s="81"/>
      <c r="F46" s="81"/>
      <c r="G46" s="102">
        <f>G44*G45</f>
        <v>771780</v>
      </c>
      <c r="H46" s="77"/>
      <c r="I46" s="77"/>
      <c r="J46" s="87">
        <v>1907068</v>
      </c>
      <c r="K46" s="77"/>
      <c r="L46" s="77"/>
      <c r="M46" s="77"/>
    </row>
    <row r="47" spans="1:13">
      <c r="A47" s="81" t="s">
        <v>83</v>
      </c>
      <c r="B47" s="81"/>
      <c r="C47" s="81"/>
      <c r="D47" s="81"/>
      <c r="E47" s="81"/>
      <c r="F47" s="81"/>
      <c r="G47" s="102">
        <f>G46-K21</f>
        <v>500991</v>
      </c>
      <c r="H47" s="77"/>
      <c r="I47" s="77"/>
      <c r="J47" s="87">
        <v>1237949</v>
      </c>
      <c r="K47" s="77"/>
      <c r="L47" s="77"/>
      <c r="M47" s="77"/>
    </row>
    <row r="48" spans="1:13">
      <c r="A48" s="81" t="s">
        <v>84</v>
      </c>
      <c r="B48" s="81"/>
      <c r="C48" s="81"/>
      <c r="D48" s="81"/>
      <c r="E48" s="81"/>
      <c r="F48" s="81"/>
      <c r="G48" s="102">
        <f>G46-K22</f>
        <v>612659</v>
      </c>
      <c r="H48" s="77"/>
      <c r="I48" s="77"/>
      <c r="J48" s="87">
        <v>1513880</v>
      </c>
      <c r="K48" s="77"/>
      <c r="L48" s="77"/>
      <c r="M48" s="77"/>
    </row>
    <row r="49" spans="1:13">
      <c r="A49" s="81"/>
      <c r="B49" s="81"/>
      <c r="C49" s="81"/>
      <c r="D49" s="81"/>
      <c r="E49" s="81"/>
      <c r="F49" s="81"/>
      <c r="G49" s="105"/>
      <c r="H49" s="77"/>
      <c r="I49" s="77"/>
      <c r="J49" s="77"/>
      <c r="K49" s="77"/>
      <c r="L49" s="77"/>
      <c r="M49" s="77"/>
    </row>
    <row r="50" spans="1:13">
      <c r="A50" s="81" t="s">
        <v>85</v>
      </c>
      <c r="B50" s="81"/>
      <c r="C50" s="81"/>
      <c r="D50" s="81"/>
      <c r="E50" s="81"/>
      <c r="F50" s="81"/>
      <c r="G50" s="105">
        <f>K21/G44</f>
        <v>26.665583456425406</v>
      </c>
      <c r="H50" s="77"/>
      <c r="I50" s="77"/>
      <c r="J50" s="77"/>
      <c r="K50" s="77"/>
      <c r="L50" s="77"/>
      <c r="M50" s="77"/>
    </row>
    <row r="51" spans="1:13">
      <c r="A51" s="84" t="s">
        <v>86</v>
      </c>
      <c r="B51" s="84"/>
      <c r="C51" s="84"/>
      <c r="D51" s="84"/>
      <c r="E51" s="84"/>
      <c r="F51" s="84"/>
      <c r="G51" s="106">
        <f>K22/G44</f>
        <v>15.669226981782373</v>
      </c>
      <c r="H51" s="77"/>
      <c r="I51" s="77"/>
      <c r="J51" s="77"/>
      <c r="K51" s="77"/>
      <c r="L51" s="77"/>
      <c r="M51" s="77"/>
    </row>
    <row r="52" spans="1:13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</row>
    <row r="53" spans="1:13">
      <c r="A53" s="77" t="s">
        <v>113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</row>
    <row r="54" spans="1:13">
      <c r="A54" s="77"/>
      <c r="B54" s="77" t="s">
        <v>128</v>
      </c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</row>
    <row r="55" spans="1:13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</row>
    <row r="56" spans="1:13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</row>
    <row r="57" spans="1:13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</row>
    <row r="58" spans="1:13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2"/>
  <sheetViews>
    <sheetView workbookViewId="0">
      <selection activeCell="K34" sqref="K34"/>
    </sheetView>
  </sheetViews>
  <sheetFormatPr defaultRowHeight="15"/>
  <sheetData>
    <row r="1" spans="1:14">
      <c r="A1" s="77" t="s">
        <v>0</v>
      </c>
      <c r="B1" s="77" t="s">
        <v>129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>
      <c r="A2" s="77"/>
      <c r="B2" s="77" t="s">
        <v>130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1:14">
      <c r="A3" s="77"/>
      <c r="B3" s="77" t="s">
        <v>131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1:14">
      <c r="A4" s="78" t="s">
        <v>4</v>
      </c>
      <c r="B4" s="78"/>
      <c r="C4" s="78"/>
      <c r="D4" s="79" t="s">
        <v>5</v>
      </c>
      <c r="E4" s="79" t="s">
        <v>6</v>
      </c>
      <c r="F4" s="79" t="s">
        <v>7</v>
      </c>
      <c r="G4" s="79" t="s">
        <v>8</v>
      </c>
      <c r="H4" s="79" t="s">
        <v>9</v>
      </c>
      <c r="I4" s="79" t="s">
        <v>10</v>
      </c>
      <c r="J4" s="79" t="s">
        <v>11</v>
      </c>
      <c r="K4" s="79" t="s">
        <v>12</v>
      </c>
      <c r="L4" s="80" t="s">
        <v>13</v>
      </c>
      <c r="M4" s="79"/>
      <c r="N4" s="77"/>
    </row>
    <row r="5" spans="1:14">
      <c r="A5" s="81"/>
      <c r="B5" s="81"/>
      <c r="C5" s="81"/>
      <c r="D5" s="82" t="s">
        <v>14</v>
      </c>
      <c r="E5" s="82" t="s">
        <v>15</v>
      </c>
      <c r="F5" s="82" t="s">
        <v>15</v>
      </c>
      <c r="G5" s="82" t="s">
        <v>16</v>
      </c>
      <c r="H5" s="82" t="s">
        <v>17</v>
      </c>
      <c r="I5" s="82" t="s">
        <v>18</v>
      </c>
      <c r="J5" s="82" t="s">
        <v>17</v>
      </c>
      <c r="K5" s="82" t="s">
        <v>17</v>
      </c>
      <c r="L5" s="83" t="s">
        <v>10</v>
      </c>
      <c r="M5" s="82" t="s">
        <v>11</v>
      </c>
      <c r="N5" s="77"/>
    </row>
    <row r="6" spans="1:14">
      <c r="A6" s="81"/>
      <c r="B6" s="81"/>
      <c r="C6" s="81"/>
      <c r="D6" s="82" t="s">
        <v>19</v>
      </c>
      <c r="E6" s="82"/>
      <c r="F6" s="82"/>
      <c r="G6" s="82"/>
      <c r="H6" s="82" t="s">
        <v>20</v>
      </c>
      <c r="I6" s="82" t="s">
        <v>17</v>
      </c>
      <c r="J6" s="82" t="s">
        <v>20</v>
      </c>
      <c r="K6" s="82" t="s">
        <v>20</v>
      </c>
      <c r="L6" s="82"/>
      <c r="M6" s="82"/>
      <c r="N6" s="77"/>
    </row>
    <row r="7" spans="1:14">
      <c r="A7" s="84"/>
      <c r="B7" s="84"/>
      <c r="C7" s="84"/>
      <c r="D7" s="85"/>
      <c r="E7" s="85"/>
      <c r="F7" s="85"/>
      <c r="G7" s="85"/>
      <c r="H7" s="85"/>
      <c r="I7" s="85" t="s">
        <v>20</v>
      </c>
      <c r="J7" s="85"/>
      <c r="K7" s="85"/>
      <c r="L7" s="85"/>
      <c r="M7" s="85"/>
      <c r="N7" s="77"/>
    </row>
    <row r="8" spans="1:14">
      <c r="A8" s="77" t="s">
        <v>132</v>
      </c>
      <c r="B8" s="77"/>
      <c r="C8" s="77"/>
      <c r="D8" s="86">
        <v>100</v>
      </c>
      <c r="E8" s="87">
        <v>6.26</v>
      </c>
      <c r="F8" s="87">
        <v>5.44</v>
      </c>
      <c r="G8" s="88">
        <v>1329</v>
      </c>
      <c r="H8" s="87">
        <v>8320</v>
      </c>
      <c r="I8" s="77"/>
      <c r="J8" s="87">
        <v>1858</v>
      </c>
      <c r="K8" s="87">
        <f t="shared" ref="K8:K19" si="0">SUM(H8:J8)</f>
        <v>10178</v>
      </c>
      <c r="L8" s="77"/>
      <c r="M8" s="77"/>
      <c r="N8" s="77"/>
    </row>
    <row r="9" spans="1:14">
      <c r="A9" s="77" t="s">
        <v>133</v>
      </c>
      <c r="B9" s="77"/>
      <c r="C9" s="77"/>
      <c r="D9" s="86">
        <v>57</v>
      </c>
      <c r="E9" s="107">
        <v>9.4700000000000006</v>
      </c>
      <c r="F9" s="87">
        <v>3.84</v>
      </c>
      <c r="G9" s="88">
        <v>1308</v>
      </c>
      <c r="H9" s="87">
        <v>12387</v>
      </c>
      <c r="I9" s="77"/>
      <c r="J9" s="87"/>
      <c r="K9" s="87">
        <f t="shared" si="0"/>
        <v>12387</v>
      </c>
      <c r="L9" s="77"/>
      <c r="M9" s="77"/>
      <c r="N9" s="77"/>
    </row>
    <row r="10" spans="1:14">
      <c r="A10" s="77" t="s">
        <v>134</v>
      </c>
      <c r="B10" s="77"/>
      <c r="C10" s="77"/>
      <c r="D10" s="86" t="s">
        <v>135</v>
      </c>
      <c r="E10" s="87"/>
      <c r="F10" s="87"/>
      <c r="G10" s="88"/>
      <c r="H10" s="87"/>
      <c r="I10" s="108" t="s">
        <v>136</v>
      </c>
      <c r="J10" s="87"/>
      <c r="K10" s="87"/>
      <c r="L10" s="77"/>
      <c r="M10" s="77"/>
      <c r="N10" s="77"/>
    </row>
    <row r="11" spans="1:14">
      <c r="A11" s="77" t="s">
        <v>137</v>
      </c>
      <c r="B11" s="77"/>
      <c r="C11" s="77"/>
      <c r="D11" s="86" t="s">
        <v>45</v>
      </c>
      <c r="E11" s="87"/>
      <c r="F11" s="87"/>
      <c r="G11" s="88"/>
      <c r="H11" s="87"/>
      <c r="I11" s="108"/>
      <c r="J11" s="87"/>
      <c r="K11" s="87"/>
      <c r="L11" s="77"/>
      <c r="M11" s="77"/>
      <c r="N11" s="77"/>
    </row>
    <row r="12" spans="1:14">
      <c r="A12" s="109" t="s">
        <v>138</v>
      </c>
      <c r="B12" s="86"/>
      <c r="C12" s="77"/>
      <c r="D12" s="86">
        <v>100</v>
      </c>
      <c r="E12" s="107">
        <v>9.3699999999999992</v>
      </c>
      <c r="F12" s="87">
        <v>3.88</v>
      </c>
      <c r="G12" s="88">
        <v>1286</v>
      </c>
      <c r="H12" s="87">
        <v>12050</v>
      </c>
      <c r="I12" s="77"/>
      <c r="J12" s="87"/>
      <c r="K12" s="87">
        <f t="shared" si="0"/>
        <v>12050</v>
      </c>
      <c r="L12" s="77"/>
      <c r="M12" s="77"/>
      <c r="N12" s="77"/>
    </row>
    <row r="13" spans="1:14">
      <c r="A13" s="77" t="s">
        <v>139</v>
      </c>
      <c r="B13" s="77"/>
      <c r="C13" s="77"/>
      <c r="D13" s="86">
        <v>100</v>
      </c>
      <c r="E13" s="87">
        <v>11.17</v>
      </c>
      <c r="F13" s="87">
        <v>4.49</v>
      </c>
      <c r="G13" s="88">
        <v>941</v>
      </c>
      <c r="H13" s="87">
        <v>10511</v>
      </c>
      <c r="I13" s="77"/>
      <c r="J13" s="87">
        <f>SUM(E28*G28)</f>
        <v>12402</v>
      </c>
      <c r="K13" s="87">
        <f t="shared" si="0"/>
        <v>22913</v>
      </c>
      <c r="L13" s="77"/>
      <c r="M13" s="77"/>
      <c r="N13" s="77"/>
    </row>
    <row r="14" spans="1:14">
      <c r="A14" s="77" t="s">
        <v>33</v>
      </c>
      <c r="B14" s="77"/>
      <c r="C14" s="77"/>
      <c r="D14" s="86">
        <v>100</v>
      </c>
      <c r="E14" s="107">
        <v>8.07</v>
      </c>
      <c r="F14" s="87">
        <v>4.67</v>
      </c>
      <c r="G14" s="88">
        <v>1260</v>
      </c>
      <c r="H14" s="87">
        <v>10168</v>
      </c>
      <c r="I14" s="77"/>
      <c r="J14" s="87">
        <f>SUM(E34*G34+E35*G35)</f>
        <v>26400</v>
      </c>
      <c r="K14" s="87">
        <f>SUM(H14:J14)</f>
        <v>36568</v>
      </c>
      <c r="L14" s="77"/>
      <c r="M14" s="77"/>
      <c r="N14" s="77"/>
    </row>
    <row r="15" spans="1:14">
      <c r="A15" s="77" t="s">
        <v>140</v>
      </c>
      <c r="B15" s="77"/>
      <c r="C15" s="77"/>
      <c r="D15" s="86">
        <v>100</v>
      </c>
      <c r="E15" s="87">
        <v>12.97</v>
      </c>
      <c r="F15" s="87">
        <v>5.15</v>
      </c>
      <c r="G15" s="88">
        <v>1124</v>
      </c>
      <c r="H15" s="87">
        <v>14578</v>
      </c>
      <c r="I15" s="77"/>
      <c r="J15" s="87"/>
      <c r="K15" s="87">
        <f t="shared" si="0"/>
        <v>14578</v>
      </c>
      <c r="L15" s="77"/>
      <c r="M15" s="77"/>
      <c r="N15" s="77"/>
    </row>
    <row r="16" spans="1:14">
      <c r="A16" s="77" t="s">
        <v>35</v>
      </c>
      <c r="B16" s="77"/>
      <c r="C16" s="77"/>
      <c r="D16" s="86">
        <v>100</v>
      </c>
      <c r="E16" s="107">
        <v>9.64</v>
      </c>
      <c r="F16" s="87">
        <v>8.32</v>
      </c>
      <c r="G16" s="88">
        <v>1200</v>
      </c>
      <c r="H16" s="87">
        <f t="shared" ref="H16:H18" si="1">SUM(E16*G16)</f>
        <v>11568</v>
      </c>
      <c r="I16" s="77"/>
      <c r="J16" s="87">
        <v>13702</v>
      </c>
      <c r="K16" s="87">
        <f>SUM(H16:J16)</f>
        <v>25270</v>
      </c>
      <c r="L16" s="77"/>
      <c r="M16" s="77"/>
      <c r="N16" s="77"/>
    </row>
    <row r="17" spans="1:14">
      <c r="A17" s="77" t="s">
        <v>141</v>
      </c>
      <c r="B17" s="77"/>
      <c r="C17" s="77"/>
      <c r="D17" s="86">
        <v>100</v>
      </c>
      <c r="E17" s="107">
        <v>13.67</v>
      </c>
      <c r="F17" s="87">
        <v>7.83</v>
      </c>
      <c r="G17" s="88">
        <v>1244</v>
      </c>
      <c r="H17" s="87">
        <v>17005</v>
      </c>
      <c r="I17" s="77"/>
      <c r="J17" s="87">
        <v>19914</v>
      </c>
      <c r="K17" s="87">
        <f t="shared" si="0"/>
        <v>36919</v>
      </c>
      <c r="L17" s="77"/>
      <c r="M17" s="77"/>
      <c r="N17" s="77"/>
    </row>
    <row r="18" spans="1:14">
      <c r="A18" s="77" t="s">
        <v>36</v>
      </c>
      <c r="B18" s="77"/>
      <c r="C18" s="77"/>
      <c r="D18" s="86">
        <v>100</v>
      </c>
      <c r="E18" s="87">
        <v>11.29</v>
      </c>
      <c r="F18" s="87">
        <v>11.29</v>
      </c>
      <c r="G18" s="88">
        <v>1200</v>
      </c>
      <c r="H18" s="87">
        <f t="shared" si="1"/>
        <v>13547.999999999998</v>
      </c>
      <c r="I18" s="87"/>
      <c r="J18" s="107"/>
      <c r="K18" s="87">
        <f t="shared" si="0"/>
        <v>13547.999999999998</v>
      </c>
      <c r="L18" s="77"/>
      <c r="M18" s="77"/>
      <c r="N18" s="77"/>
    </row>
    <row r="19" spans="1:14">
      <c r="A19" s="77" t="s">
        <v>142</v>
      </c>
      <c r="B19" s="77"/>
      <c r="C19" s="77"/>
      <c r="D19" s="86">
        <v>100</v>
      </c>
      <c r="E19" s="107">
        <v>37.79</v>
      </c>
      <c r="F19" s="87">
        <v>16.36</v>
      </c>
      <c r="G19" s="88">
        <v>1106</v>
      </c>
      <c r="H19" s="87">
        <v>41796</v>
      </c>
      <c r="I19" s="77"/>
      <c r="J19" s="87"/>
      <c r="K19" s="87">
        <f t="shared" si="0"/>
        <v>41796</v>
      </c>
      <c r="L19" s="77"/>
      <c r="M19" s="77"/>
      <c r="N19" s="77"/>
    </row>
    <row r="20" spans="1:14">
      <c r="A20" s="78" t="s">
        <v>46</v>
      </c>
      <c r="B20" s="78"/>
      <c r="C20" s="78"/>
      <c r="D20" s="90"/>
      <c r="E20" s="92">
        <f>SUM(E8:E19)</f>
        <v>129.69999999999999</v>
      </c>
      <c r="F20" s="92">
        <f>SUM(F8:F19)</f>
        <v>71.27</v>
      </c>
      <c r="G20" s="92"/>
      <c r="H20" s="92">
        <f>SUM(H8:H19)</f>
        <v>151931</v>
      </c>
      <c r="I20" s="92"/>
      <c r="J20" s="92">
        <f>SUM(J8:J19)</f>
        <v>74276</v>
      </c>
      <c r="K20" s="92">
        <f>SUM(H20:J20)</f>
        <v>226207</v>
      </c>
      <c r="L20" s="78"/>
      <c r="M20" s="78"/>
      <c r="N20" s="77"/>
    </row>
    <row r="21" spans="1:14">
      <c r="A21" s="84" t="s">
        <v>47</v>
      </c>
      <c r="B21" s="84"/>
      <c r="C21" s="84"/>
      <c r="D21" s="93"/>
      <c r="E21" s="95">
        <f>SUM(E20-F20)</f>
        <v>58.429999999999993</v>
      </c>
      <c r="F21" s="95"/>
      <c r="G21" s="95"/>
      <c r="H21" s="95">
        <f>SUM(E30*G30)</f>
        <v>68324</v>
      </c>
      <c r="I21" s="84"/>
      <c r="J21" s="95">
        <f>J20-M20</f>
        <v>74276</v>
      </c>
      <c r="K21" s="95">
        <f>SUM(H21:J21)</f>
        <v>142600</v>
      </c>
      <c r="L21" s="84"/>
      <c r="M21" s="84"/>
      <c r="N21" s="77"/>
    </row>
    <row r="22" spans="1:14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</row>
    <row r="23" spans="1:14">
      <c r="A23" s="77"/>
      <c r="B23" s="77"/>
      <c r="C23" s="77" t="s">
        <v>103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</row>
    <row r="24" spans="1:1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 t="s">
        <v>105</v>
      </c>
      <c r="L24" s="77">
        <v>0.49</v>
      </c>
      <c r="M24" s="77"/>
      <c r="N24" s="77"/>
    </row>
    <row r="25" spans="1:14">
      <c r="A25" s="77" t="s">
        <v>50</v>
      </c>
      <c r="B25" s="77"/>
      <c r="C25" s="77"/>
      <c r="D25" s="77"/>
      <c r="E25" s="77"/>
      <c r="F25" s="77"/>
      <c r="G25" s="77"/>
      <c r="H25" s="77"/>
      <c r="I25" s="77"/>
      <c r="J25" s="77"/>
      <c r="K25" s="77" t="s">
        <v>58</v>
      </c>
      <c r="L25" s="77">
        <v>0.25</v>
      </c>
      <c r="M25" s="77"/>
      <c r="N25" s="77"/>
    </row>
    <row r="26" spans="1:14">
      <c r="A26" s="96" t="s">
        <v>51</v>
      </c>
      <c r="B26" s="96"/>
      <c r="C26" s="96"/>
      <c r="D26" s="96" t="s">
        <v>52</v>
      </c>
      <c r="E26" s="96" t="s">
        <v>53</v>
      </c>
      <c r="F26" s="96"/>
      <c r="G26" s="96" t="s">
        <v>54</v>
      </c>
      <c r="H26" s="77"/>
      <c r="I26" s="77"/>
      <c r="J26" s="77"/>
      <c r="K26" s="77"/>
      <c r="L26" s="77"/>
      <c r="M26" s="77"/>
      <c r="N26" s="77"/>
    </row>
    <row r="27" spans="1:14">
      <c r="A27" s="77" t="s">
        <v>55</v>
      </c>
      <c r="B27" s="77"/>
      <c r="C27" s="77"/>
      <c r="D27" s="77"/>
      <c r="E27" s="77"/>
      <c r="F27" s="77"/>
      <c r="G27" s="77"/>
      <c r="H27" s="77"/>
      <c r="I27" s="77"/>
      <c r="J27" s="77" t="s">
        <v>143</v>
      </c>
      <c r="K27" s="77"/>
      <c r="L27" s="77"/>
      <c r="M27" s="77"/>
      <c r="N27" s="77"/>
    </row>
    <row r="28" spans="1:14">
      <c r="A28" s="77" t="s">
        <v>56</v>
      </c>
      <c r="B28" s="77"/>
      <c r="C28" s="77"/>
      <c r="D28" s="77" t="s">
        <v>75</v>
      </c>
      <c r="E28" s="77">
        <v>0.106</v>
      </c>
      <c r="F28" s="77"/>
      <c r="G28" s="107">
        <v>117000</v>
      </c>
      <c r="H28" s="77"/>
      <c r="I28" s="77"/>
      <c r="J28" s="77" t="s">
        <v>144</v>
      </c>
      <c r="K28" s="97">
        <v>0.5</v>
      </c>
      <c r="L28" s="77"/>
      <c r="M28" s="77"/>
      <c r="N28" s="77"/>
    </row>
    <row r="29" spans="1:14">
      <c r="A29" s="77" t="s">
        <v>64</v>
      </c>
      <c r="B29" s="77"/>
      <c r="C29" s="77"/>
      <c r="D29" s="77"/>
      <c r="E29" s="77"/>
      <c r="F29" s="77"/>
      <c r="G29" s="77"/>
      <c r="H29" s="77"/>
      <c r="I29" s="77"/>
      <c r="J29" s="77" t="s">
        <v>145</v>
      </c>
      <c r="K29" s="97">
        <v>0.23330000000000001</v>
      </c>
      <c r="L29" s="77"/>
      <c r="M29" s="77"/>
      <c r="N29" s="77"/>
    </row>
    <row r="30" spans="1:14">
      <c r="A30" s="77" t="s">
        <v>65</v>
      </c>
      <c r="B30" s="77"/>
      <c r="C30" s="77"/>
      <c r="D30" s="77" t="s">
        <v>66</v>
      </c>
      <c r="E30" s="87">
        <v>58</v>
      </c>
      <c r="F30" s="77"/>
      <c r="G30" s="87">
        <v>1178</v>
      </c>
      <c r="H30" s="77"/>
      <c r="I30" s="77"/>
      <c r="J30" s="77" t="s">
        <v>146</v>
      </c>
      <c r="K30" s="97">
        <v>0.23330000000000001</v>
      </c>
      <c r="L30" s="77"/>
      <c r="M30" s="77"/>
      <c r="N30" s="77"/>
    </row>
    <row r="31" spans="1:14">
      <c r="A31" s="77" t="s">
        <v>68</v>
      </c>
      <c r="B31" s="77"/>
      <c r="C31" s="77"/>
      <c r="D31" s="77" t="s">
        <v>66</v>
      </c>
      <c r="E31" s="87">
        <v>71</v>
      </c>
      <c r="F31" s="77"/>
      <c r="G31" s="77"/>
      <c r="H31" s="77"/>
      <c r="I31" s="77"/>
      <c r="J31" s="77" t="s">
        <v>147</v>
      </c>
      <c r="K31" s="97">
        <v>0.04</v>
      </c>
      <c r="L31" s="77"/>
      <c r="M31" s="77"/>
      <c r="N31" s="77"/>
    </row>
    <row r="32" spans="1:14">
      <c r="A32" s="77" t="s">
        <v>6</v>
      </c>
      <c r="B32" s="77"/>
      <c r="C32" s="77"/>
      <c r="D32" s="77"/>
      <c r="E32" s="87">
        <f>SUM(E30:E31)</f>
        <v>129</v>
      </c>
      <c r="F32" s="77"/>
      <c r="G32" s="77"/>
      <c r="H32" s="77"/>
      <c r="I32" s="77"/>
      <c r="J32" s="77"/>
      <c r="K32" s="77"/>
      <c r="L32" s="77"/>
      <c r="M32" s="77"/>
      <c r="N32" s="77"/>
    </row>
    <row r="33" spans="1:14">
      <c r="A33" s="78" t="s">
        <v>107</v>
      </c>
      <c r="B33" s="78"/>
      <c r="C33" s="78" t="s">
        <v>73</v>
      </c>
      <c r="D33" s="78"/>
      <c r="E33" s="78"/>
      <c r="F33" s="78"/>
      <c r="G33" s="78"/>
      <c r="H33" s="77"/>
      <c r="I33" s="77"/>
      <c r="J33" s="77"/>
      <c r="K33" s="77"/>
      <c r="L33" s="77"/>
      <c r="M33" s="77"/>
      <c r="N33" s="77"/>
    </row>
    <row r="34" spans="1:14">
      <c r="A34" s="77"/>
      <c r="B34" s="83" t="s">
        <v>148</v>
      </c>
      <c r="C34" s="103">
        <v>93</v>
      </c>
      <c r="D34" s="81" t="s">
        <v>75</v>
      </c>
      <c r="E34" s="102">
        <v>374</v>
      </c>
      <c r="F34" s="81"/>
      <c r="G34" s="102">
        <v>55</v>
      </c>
      <c r="H34" s="77"/>
      <c r="I34" s="77"/>
      <c r="J34" s="77"/>
      <c r="K34" s="77"/>
      <c r="L34" s="77"/>
      <c r="M34" s="77"/>
      <c r="N34" s="77"/>
    </row>
    <row r="35" spans="1:14">
      <c r="A35" s="81"/>
      <c r="B35" s="83" t="s">
        <v>149</v>
      </c>
      <c r="C35" s="103">
        <v>67</v>
      </c>
      <c r="D35" s="81" t="s">
        <v>75</v>
      </c>
      <c r="E35" s="102">
        <v>55</v>
      </c>
      <c r="F35" s="81"/>
      <c r="G35" s="102">
        <v>106</v>
      </c>
      <c r="H35" s="77"/>
      <c r="I35" s="77"/>
      <c r="J35" s="77"/>
      <c r="K35" s="77"/>
      <c r="L35" s="77"/>
      <c r="M35" s="77"/>
      <c r="N35" s="77"/>
    </row>
    <row r="36" spans="1:14">
      <c r="A36" s="78" t="s">
        <v>77</v>
      </c>
      <c r="B36" s="78"/>
      <c r="C36" s="78"/>
      <c r="D36" s="78"/>
      <c r="E36" s="78"/>
      <c r="F36" s="78"/>
      <c r="G36" s="110" t="s">
        <v>78</v>
      </c>
      <c r="H36" s="111" t="s">
        <v>79</v>
      </c>
      <c r="I36" s="77"/>
      <c r="J36" s="77"/>
      <c r="K36" s="77"/>
      <c r="L36" s="77"/>
      <c r="M36" s="77"/>
      <c r="N36" s="77"/>
    </row>
    <row r="37" spans="1:14">
      <c r="A37" s="81" t="s">
        <v>80</v>
      </c>
      <c r="B37" s="81"/>
      <c r="C37" s="81"/>
      <c r="D37" s="81"/>
      <c r="E37" s="81"/>
      <c r="F37" s="81"/>
      <c r="G37" s="112">
        <v>7872</v>
      </c>
      <c r="H37" s="87">
        <v>19452</v>
      </c>
      <c r="I37" s="77"/>
      <c r="J37" s="77"/>
      <c r="K37" s="77"/>
      <c r="L37" s="77"/>
      <c r="M37" s="77"/>
      <c r="N37" s="77"/>
    </row>
    <row r="38" spans="1:14">
      <c r="A38" s="81" t="s">
        <v>81</v>
      </c>
      <c r="B38" s="81"/>
      <c r="C38" s="81"/>
      <c r="D38" s="81"/>
      <c r="E38" s="81"/>
      <c r="F38" s="81"/>
      <c r="G38" s="105">
        <v>79</v>
      </c>
      <c r="H38" s="87"/>
      <c r="I38" s="77"/>
      <c r="J38" s="77"/>
      <c r="K38" s="77"/>
      <c r="L38" s="77"/>
      <c r="M38" s="77"/>
      <c r="N38" s="77"/>
    </row>
    <row r="39" spans="1:14">
      <c r="A39" s="81" t="s">
        <v>82</v>
      </c>
      <c r="B39" s="81"/>
      <c r="C39" s="81"/>
      <c r="D39" s="81"/>
      <c r="E39" s="81"/>
      <c r="F39" s="81"/>
      <c r="G39" s="105">
        <f>SUM(G37*G38)</f>
        <v>621888</v>
      </c>
      <c r="H39" s="87">
        <v>1536685</v>
      </c>
      <c r="I39" s="77"/>
      <c r="J39" s="77"/>
      <c r="K39" s="77"/>
      <c r="L39" s="77"/>
      <c r="M39" s="77"/>
      <c r="N39" s="77"/>
    </row>
    <row r="40" spans="1:14">
      <c r="A40" s="81" t="s">
        <v>83</v>
      </c>
      <c r="B40" s="81"/>
      <c r="C40" s="81"/>
      <c r="D40" s="81"/>
      <c r="E40" s="81"/>
      <c r="F40" s="81"/>
      <c r="G40" s="105">
        <f>SUM(G39-K20)</f>
        <v>395681</v>
      </c>
      <c r="H40" s="87">
        <v>977728</v>
      </c>
      <c r="I40" s="77"/>
      <c r="J40" s="77"/>
      <c r="K40" s="77"/>
      <c r="L40" s="77"/>
      <c r="M40" s="77"/>
      <c r="N40" s="77"/>
    </row>
    <row r="41" spans="1:14">
      <c r="A41" s="81" t="s">
        <v>84</v>
      </c>
      <c r="B41" s="81"/>
      <c r="C41" s="81"/>
      <c r="D41" s="81"/>
      <c r="E41" s="81"/>
      <c r="F41" s="81"/>
      <c r="G41" s="105">
        <f>SUM(G39-K21)</f>
        <v>479288</v>
      </c>
      <c r="H41" s="87">
        <v>1184355</v>
      </c>
      <c r="I41" s="77"/>
      <c r="J41" s="77"/>
      <c r="K41" s="77"/>
      <c r="L41" s="77"/>
      <c r="M41" s="77"/>
      <c r="N41" s="77"/>
    </row>
    <row r="42" spans="1:14">
      <c r="A42" s="81" t="s">
        <v>85</v>
      </c>
      <c r="B42" s="81"/>
      <c r="C42" s="81"/>
      <c r="D42" s="81"/>
      <c r="E42" s="81"/>
      <c r="F42" s="81"/>
      <c r="G42" s="105">
        <f>SUM(K20/G37)</f>
        <v>28.735645325203251</v>
      </c>
      <c r="H42" s="77"/>
      <c r="I42" s="77"/>
      <c r="J42" s="77"/>
      <c r="K42" s="77"/>
      <c r="L42" s="77"/>
      <c r="M42" s="77"/>
      <c r="N42" s="77"/>
    </row>
    <row r="43" spans="1:14">
      <c r="A43" s="84" t="s">
        <v>86</v>
      </c>
      <c r="B43" s="84"/>
      <c r="C43" s="84"/>
      <c r="D43" s="84"/>
      <c r="E43" s="84"/>
      <c r="F43" s="84"/>
      <c r="G43" s="106">
        <f>SUM(K21/G37)</f>
        <v>18.114837398373982</v>
      </c>
      <c r="H43" s="77"/>
      <c r="I43" s="77"/>
      <c r="J43" s="77"/>
      <c r="K43" s="77"/>
      <c r="L43" s="77"/>
      <c r="M43" s="77"/>
      <c r="N43" s="77"/>
    </row>
    <row r="44" spans="1:1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</row>
    <row r="45" spans="1:14">
      <c r="A45" s="77" t="s">
        <v>113</v>
      </c>
      <c r="B45" s="77"/>
      <c r="C45" s="113" t="s">
        <v>150</v>
      </c>
      <c r="D45" s="113"/>
      <c r="E45" s="113"/>
      <c r="F45" s="77"/>
      <c r="G45" s="77"/>
      <c r="H45" s="77"/>
      <c r="I45" s="77"/>
      <c r="J45" s="77"/>
      <c r="K45" s="77"/>
      <c r="L45" s="77"/>
      <c r="M45" s="77"/>
      <c r="N45" s="77"/>
    </row>
    <row r="46" spans="1:14">
      <c r="A46" s="77"/>
      <c r="B46" s="77"/>
      <c r="C46" s="77" t="s">
        <v>151</v>
      </c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</row>
    <row r="47" spans="1:14">
      <c r="A47" s="99"/>
      <c r="B47" s="81"/>
      <c r="C47" s="81"/>
      <c r="D47" s="81"/>
      <c r="E47" s="81"/>
      <c r="F47" s="81"/>
      <c r="G47" s="105"/>
      <c r="H47" s="77"/>
      <c r="I47" s="77"/>
      <c r="J47" s="77"/>
      <c r="K47" s="77"/>
      <c r="L47" s="77"/>
      <c r="M47" s="77"/>
      <c r="N47" s="77"/>
    </row>
    <row r="48" spans="1:14">
      <c r="A48" s="99"/>
      <c r="B48" s="81"/>
      <c r="C48" s="81"/>
      <c r="D48" s="81"/>
      <c r="E48" s="81"/>
      <c r="F48" s="81"/>
      <c r="G48" s="105"/>
      <c r="H48" s="77"/>
      <c r="I48" s="77"/>
      <c r="J48" s="77"/>
      <c r="K48" s="77"/>
      <c r="L48" s="77"/>
      <c r="M48" s="77"/>
      <c r="N48" s="77"/>
    </row>
    <row r="49" spans="1:14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</row>
    <row r="50" spans="1:14">
      <c r="A50" s="77"/>
      <c r="B50" s="77"/>
      <c r="C50" s="113"/>
      <c r="D50" s="113"/>
      <c r="E50" s="113"/>
      <c r="F50" s="77"/>
      <c r="G50" s="77"/>
      <c r="H50" s="77"/>
      <c r="I50" s="77"/>
      <c r="J50" s="77"/>
      <c r="K50" s="77"/>
      <c r="L50" s="77"/>
      <c r="M50" s="77"/>
      <c r="N50" s="77"/>
    </row>
    <row r="51" spans="1:14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</row>
    <row r="52" spans="1:14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Carrot- Néliya</vt:lpstr>
      <vt:lpstr>cabbage-NÉliya</vt:lpstr>
      <vt:lpstr>pole bean-Badulla</vt:lpstr>
      <vt:lpstr>Tomato-Badulla</vt:lpstr>
      <vt:lpstr>tomato-kandy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2018-05-09T04:13:53Z</cp:lastPrinted>
  <dcterms:created xsi:type="dcterms:W3CDTF">2018-05-08T08:50:47Z</dcterms:created>
  <dcterms:modified xsi:type="dcterms:W3CDTF">2018-05-09T04:23:43Z</dcterms:modified>
</cp:coreProperties>
</file>