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60" windowWidth="18855" windowHeight="11475" firstSheet="19" activeTab="22"/>
  </bookViews>
  <sheets>
    <sheet name="Black gram -Vavuniya" sheetId="1" r:id="rId1"/>
    <sheet name="B'gram -A'pura" sheetId="2" r:id="rId2"/>
    <sheet name="Brinal-A'pura" sheetId="3" r:id="rId3"/>
    <sheet name="CAbbage-NÉliya" sheetId="4" r:id="rId4"/>
    <sheet name="Capsi-Badulla" sheetId="5" r:id="rId5"/>
    <sheet name="Carrot-Néliya" sheetId="6" r:id="rId6"/>
    <sheet name="Cowpea-Ampara" sheetId="7" r:id="rId7"/>
    <sheet name="Gingelly-H'tota" sheetId="8" r:id="rId8"/>
    <sheet name="G.gram-Htota" sheetId="9" r:id="rId9"/>
    <sheet name="Groundnut-Monaragala" sheetId="10" r:id="rId10"/>
    <sheet name="Kurakkan-A'pura" sheetId="11" r:id="rId11"/>
    <sheet name="Maize-A'pura" sheetId="12" r:id="rId12"/>
    <sheet name="Maize-Ampara" sheetId="13" r:id="rId13"/>
    <sheet name="Maize-Monaragala" sheetId="14" r:id="rId14"/>
    <sheet name="Pole bean-Badulla" sheetId="15" r:id="rId15"/>
    <sheet name="Pole Baen-Matale" sheetId="16" r:id="rId16"/>
    <sheet name="Potato-Badulla" sheetId="17" r:id="rId17"/>
    <sheet name="Potato-NÉliya" sheetId="18" r:id="rId18"/>
    <sheet name="Pumpkin-A'pura" sheetId="19" r:id="rId19"/>
    <sheet name="Chilli -(A'pura)" sheetId="20" r:id="rId20"/>
    <sheet name="Red Onion-Puttalam" sheetId="21" r:id="rId21"/>
    <sheet name="Tomato-Badulla" sheetId="22" r:id="rId22"/>
    <sheet name="Red Onion -Jaffna" sheetId="23" r:id="rId23"/>
  </sheets>
  <calcPr calcId="144525"/>
</workbook>
</file>

<file path=xl/calcChain.xml><?xml version="1.0" encoding="utf-8"?>
<calcChain xmlns="http://schemas.openxmlformats.org/spreadsheetml/2006/main">
  <c r="K23" i="23" l="1"/>
  <c r="G48" i="23"/>
  <c r="H48" i="23" s="1"/>
  <c r="K16" i="23"/>
  <c r="K9" i="23"/>
  <c r="K11" i="23"/>
  <c r="K12" i="23"/>
  <c r="K13" i="23"/>
  <c r="K14" i="23"/>
  <c r="K15" i="23"/>
  <c r="K17" i="23"/>
  <c r="K18" i="23"/>
  <c r="K19" i="23"/>
  <c r="K20" i="23"/>
  <c r="K21" i="23"/>
  <c r="K22" i="23"/>
  <c r="K8" i="23"/>
  <c r="I23" i="23"/>
  <c r="J23" i="23"/>
  <c r="H23" i="23"/>
  <c r="G46" i="23"/>
  <c r="H46" i="23" s="1"/>
  <c r="H44" i="23"/>
  <c r="K19" i="2"/>
  <c r="K18" i="2"/>
  <c r="K10" i="2"/>
  <c r="K11" i="2"/>
  <c r="K12" i="2"/>
  <c r="K13" i="2"/>
  <c r="K14" i="2"/>
  <c r="K15" i="2"/>
  <c r="K16" i="2"/>
  <c r="K17" i="2"/>
  <c r="K9" i="2"/>
  <c r="H19" i="3"/>
  <c r="L20" i="4"/>
  <c r="G44" i="4"/>
  <c r="G43" i="4"/>
  <c r="L20" i="5"/>
  <c r="J20" i="5"/>
  <c r="K20" i="5"/>
  <c r="I20" i="5"/>
  <c r="K9" i="5"/>
  <c r="K11" i="5"/>
  <c r="K12" i="5"/>
  <c r="K13" i="5"/>
  <c r="K14" i="5"/>
  <c r="K15" i="5"/>
  <c r="K16" i="5"/>
  <c r="K17" i="5"/>
  <c r="K18" i="5"/>
  <c r="K19" i="5"/>
  <c r="K8" i="5"/>
  <c r="K17" i="6"/>
  <c r="K8" i="6"/>
  <c r="K9" i="6"/>
  <c r="K10" i="6"/>
  <c r="K11" i="6"/>
  <c r="K12" i="6"/>
  <c r="K13" i="6"/>
  <c r="K14" i="6"/>
  <c r="K15" i="6"/>
  <c r="K7" i="6"/>
  <c r="G49" i="23" l="1"/>
  <c r="G47" i="23" l="1"/>
  <c r="H47" i="23" s="1"/>
  <c r="M20" i="7" l="1"/>
  <c r="L20" i="7"/>
  <c r="K9" i="8"/>
  <c r="K11" i="8"/>
  <c r="K12" i="8"/>
  <c r="K13" i="8"/>
  <c r="K8" i="8"/>
  <c r="I14" i="8"/>
  <c r="J14" i="8"/>
  <c r="H14" i="8"/>
  <c r="K16" i="9"/>
  <c r="K15" i="9"/>
  <c r="K9" i="9"/>
  <c r="K10" i="9"/>
  <c r="K11" i="9"/>
  <c r="K12" i="9"/>
  <c r="K13" i="9"/>
  <c r="K14" i="9"/>
  <c r="K8" i="9"/>
  <c r="M16" i="10"/>
  <c r="H17" i="10"/>
  <c r="K16" i="10"/>
  <c r="K9" i="10"/>
  <c r="K10" i="10"/>
  <c r="K11" i="10"/>
  <c r="K12" i="10"/>
  <c r="K13" i="10"/>
  <c r="K14" i="10"/>
  <c r="K15" i="10"/>
  <c r="K8" i="10"/>
  <c r="I16" i="10"/>
  <c r="J16" i="10"/>
  <c r="H16" i="10"/>
  <c r="I50" i="22"/>
  <c r="I48" i="22"/>
  <c r="M12" i="20"/>
  <c r="M17" i="20"/>
  <c r="K17" i="20"/>
  <c r="K10" i="20"/>
  <c r="K11" i="20"/>
  <c r="K12" i="20"/>
  <c r="K13" i="20"/>
  <c r="K14" i="20"/>
  <c r="K15" i="20"/>
  <c r="K16" i="20"/>
  <c r="K9" i="20"/>
  <c r="I17" i="20"/>
  <c r="J17" i="20"/>
  <c r="H17" i="20"/>
  <c r="L16" i="19"/>
  <c r="K8" i="19"/>
  <c r="K9" i="19"/>
  <c r="K10" i="19"/>
  <c r="K11" i="19"/>
  <c r="K12" i="19"/>
  <c r="K13" i="19"/>
  <c r="K14" i="19"/>
  <c r="K15" i="19"/>
  <c r="K7" i="19"/>
  <c r="I16" i="19"/>
  <c r="J16" i="19"/>
  <c r="H16" i="19"/>
  <c r="J42" i="18"/>
  <c r="J43" i="18"/>
  <c r="J41" i="18"/>
  <c r="M17" i="18"/>
  <c r="I17" i="18"/>
  <c r="J17" i="18"/>
  <c r="K17" i="18"/>
  <c r="L17" i="18"/>
  <c r="H17" i="18"/>
  <c r="M18" i="17"/>
  <c r="L18" i="17"/>
  <c r="K19" i="17"/>
  <c r="H19" i="17"/>
  <c r="E32" i="17"/>
  <c r="K18" i="17"/>
  <c r="I18" i="17"/>
  <c r="J18" i="17"/>
  <c r="H18" i="17"/>
  <c r="K9" i="17"/>
  <c r="K10" i="17"/>
  <c r="K11" i="17"/>
  <c r="K12" i="17"/>
  <c r="K13" i="17"/>
  <c r="K14" i="17"/>
  <c r="K15" i="17"/>
  <c r="K16" i="17"/>
  <c r="K17" i="17"/>
  <c r="K8" i="17"/>
  <c r="G40" i="16"/>
  <c r="I40" i="16" s="1"/>
  <c r="G39" i="16"/>
  <c r="I39" i="16" s="1"/>
  <c r="I38" i="16"/>
  <c r="I36" i="16"/>
  <c r="G42" i="16"/>
  <c r="G41" i="16"/>
  <c r="K18" i="16"/>
  <c r="M17" i="16"/>
  <c r="K8" i="16"/>
  <c r="K10" i="16"/>
  <c r="K11" i="16"/>
  <c r="K12" i="16"/>
  <c r="K13" i="16"/>
  <c r="K14" i="16"/>
  <c r="K15" i="16"/>
  <c r="K16" i="16"/>
  <c r="K7" i="16"/>
  <c r="I17" i="16"/>
  <c r="J17" i="16"/>
  <c r="H17" i="16"/>
  <c r="M18" i="15"/>
  <c r="H19" i="15"/>
  <c r="K19" i="15" s="1"/>
  <c r="I18" i="15"/>
  <c r="L18" i="15" s="1"/>
  <c r="J18" i="15"/>
  <c r="H18" i="15"/>
  <c r="K8" i="15"/>
  <c r="K10" i="15"/>
  <c r="K11" i="15"/>
  <c r="K12" i="15"/>
  <c r="K13" i="15"/>
  <c r="K14" i="15"/>
  <c r="K15" i="15"/>
  <c r="K16" i="15"/>
  <c r="K17" i="15"/>
  <c r="K7" i="15"/>
  <c r="K18" i="15" s="1"/>
  <c r="H40" i="14"/>
  <c r="H41" i="14"/>
  <c r="H42" i="14"/>
  <c r="H38" i="14"/>
  <c r="G42" i="14"/>
  <c r="G41" i="14"/>
  <c r="G40" i="14"/>
  <c r="H20" i="14"/>
  <c r="K9" i="14"/>
  <c r="K19" i="14" s="1"/>
  <c r="K10" i="14"/>
  <c r="K11" i="14"/>
  <c r="K12" i="14"/>
  <c r="K13" i="14"/>
  <c r="K14" i="14"/>
  <c r="K15" i="14"/>
  <c r="K16" i="14"/>
  <c r="K17" i="14"/>
  <c r="K18" i="14"/>
  <c r="K8" i="14"/>
  <c r="I19" i="14"/>
  <c r="J19" i="14"/>
  <c r="I21" i="13"/>
  <c r="J21" i="13"/>
  <c r="H21" i="13"/>
  <c r="I41" i="12"/>
  <c r="I20" i="12"/>
  <c r="J20" i="12"/>
  <c r="K20" i="12"/>
  <c r="M11" i="11"/>
  <c r="K14" i="11"/>
  <c r="K14" i="8" l="1"/>
  <c r="K16" i="19"/>
  <c r="K17" i="16"/>
  <c r="M23" i="22"/>
  <c r="L23" i="22"/>
  <c r="E24" i="22"/>
  <c r="K22" i="22"/>
  <c r="K20" i="22"/>
  <c r="K19" i="22"/>
  <c r="K18" i="22"/>
  <c r="K17" i="22"/>
  <c r="K16" i="22"/>
  <c r="J23" i="22"/>
  <c r="H23" i="22"/>
  <c r="K14" i="22"/>
  <c r="K13" i="22"/>
  <c r="K12" i="22"/>
  <c r="K9" i="22"/>
  <c r="K8" i="22"/>
  <c r="G43" i="21"/>
  <c r="H41" i="21"/>
  <c r="H21" i="21"/>
  <c r="I20" i="21"/>
  <c r="K19" i="21"/>
  <c r="K16" i="21"/>
  <c r="K15" i="21"/>
  <c r="K14" i="21"/>
  <c r="K13" i="21"/>
  <c r="K12" i="21"/>
  <c r="K11" i="21"/>
  <c r="K10" i="21"/>
  <c r="G37" i="20"/>
  <c r="E29" i="20"/>
  <c r="L17" i="20"/>
  <c r="F17" i="20"/>
  <c r="E17" i="20"/>
  <c r="E18" i="20" s="1"/>
  <c r="H9" i="20"/>
  <c r="K8" i="20"/>
  <c r="H8" i="20"/>
  <c r="I40" i="15"/>
  <c r="I38" i="15"/>
  <c r="E28" i="15"/>
  <c r="M19" i="14"/>
  <c r="H19" i="14"/>
  <c r="G44" i="14" s="1"/>
  <c r="F19" i="14"/>
  <c r="E20" i="14" s="1"/>
  <c r="G42" i="13"/>
  <c r="E34" i="13"/>
  <c r="H22" i="13"/>
  <c r="K22" i="13" s="1"/>
  <c r="L21" i="13"/>
  <c r="J22" i="13"/>
  <c r="F21" i="13"/>
  <c r="E21" i="13"/>
  <c r="K20" i="13"/>
  <c r="K19" i="13"/>
  <c r="K17" i="13"/>
  <c r="K15" i="13"/>
  <c r="K14" i="13"/>
  <c r="K13" i="13"/>
  <c r="K12" i="13"/>
  <c r="K10" i="13"/>
  <c r="K9" i="13"/>
  <c r="I38" i="12"/>
  <c r="E32" i="12"/>
  <c r="M20" i="12"/>
  <c r="F20" i="12"/>
  <c r="E20" i="12"/>
  <c r="E21" i="12" s="1"/>
  <c r="K19" i="12"/>
  <c r="K18" i="12"/>
  <c r="H17" i="12"/>
  <c r="K17" i="12" s="1"/>
  <c r="K16" i="12"/>
  <c r="K15" i="12"/>
  <c r="K14" i="12"/>
  <c r="K13" i="12"/>
  <c r="K12" i="12"/>
  <c r="K11" i="12"/>
  <c r="K10" i="12"/>
  <c r="K9" i="12"/>
  <c r="K8" i="12"/>
  <c r="H35" i="11"/>
  <c r="K30" i="11"/>
  <c r="K29" i="11"/>
  <c r="K28" i="11"/>
  <c r="M17" i="11"/>
  <c r="E17" i="11"/>
  <c r="K16" i="11"/>
  <c r="F16" i="11"/>
  <c r="H15" i="11"/>
  <c r="K15" i="11" s="1"/>
  <c r="K13" i="11"/>
  <c r="F13" i="11"/>
  <c r="K12" i="11"/>
  <c r="F12" i="11"/>
  <c r="K11" i="11"/>
  <c r="F11" i="11"/>
  <c r="K10" i="11"/>
  <c r="F10" i="11"/>
  <c r="K9" i="11"/>
  <c r="F9" i="11"/>
  <c r="H8" i="11"/>
  <c r="K8" i="11" s="1"/>
  <c r="E16" i="10"/>
  <c r="M15" i="9"/>
  <c r="L15" i="9"/>
  <c r="I15" i="9"/>
  <c r="I16" i="9" s="1"/>
  <c r="F15" i="9"/>
  <c r="M14" i="8"/>
  <c r="L14" i="8"/>
  <c r="F14" i="8"/>
  <c r="E14" i="8"/>
  <c r="I35" i="6"/>
  <c r="M19" i="6"/>
  <c r="L19" i="6"/>
  <c r="I19" i="6"/>
  <c r="F19" i="6"/>
  <c r="E19" i="6"/>
  <c r="E20" i="6" s="1"/>
  <c r="E34" i="4"/>
  <c r="H21" i="4"/>
  <c r="I20" i="4"/>
  <c r="K17" i="4"/>
  <c r="K16" i="4"/>
  <c r="K15" i="4"/>
  <c r="K14" i="4"/>
  <c r="K13" i="4"/>
  <c r="K12" i="4"/>
  <c r="K10" i="4"/>
  <c r="K9" i="4"/>
  <c r="K8" i="4"/>
  <c r="H37" i="3"/>
  <c r="E30" i="3"/>
  <c r="L19" i="3"/>
  <c r="J19" i="3"/>
  <c r="I19" i="3"/>
  <c r="K18" i="3"/>
  <c r="K17" i="3"/>
  <c r="K16" i="3"/>
  <c r="K15" i="3"/>
  <c r="K14" i="3"/>
  <c r="K13" i="3"/>
  <c r="K12" i="3"/>
  <c r="K11" i="3"/>
  <c r="K10" i="3"/>
  <c r="K9" i="3"/>
  <c r="K8" i="3"/>
  <c r="G31" i="1"/>
  <c r="J16" i="1"/>
  <c r="J17" i="1" s="1"/>
  <c r="K15" i="1"/>
  <c r="K12" i="1"/>
  <c r="K11" i="1"/>
  <c r="K10" i="1"/>
  <c r="K9" i="1"/>
  <c r="K8" i="1"/>
  <c r="K7" i="1"/>
  <c r="I20" i="3" l="1"/>
  <c r="K21" i="13"/>
  <c r="G45" i="13" s="1"/>
  <c r="G46" i="13"/>
  <c r="E26" i="1"/>
  <c r="H20" i="4"/>
  <c r="K24" i="22"/>
  <c r="K19" i="6"/>
  <c r="J19" i="6"/>
  <c r="J20" i="6" s="1"/>
  <c r="H20" i="21"/>
  <c r="E20" i="3"/>
  <c r="E15" i="8"/>
  <c r="F17" i="11"/>
  <c r="J21" i="12"/>
  <c r="E22" i="13"/>
  <c r="H18" i="20"/>
  <c r="I18" i="20"/>
  <c r="K23" i="22"/>
  <c r="G54" i="22" s="1"/>
  <c r="K15" i="22"/>
  <c r="K9" i="21"/>
  <c r="K20" i="21" s="1"/>
  <c r="H43" i="21"/>
  <c r="H37" i="20"/>
  <c r="K8" i="13"/>
  <c r="H20" i="12"/>
  <c r="I40" i="12"/>
  <c r="H17" i="11"/>
  <c r="I37" i="6"/>
  <c r="J20" i="4"/>
  <c r="J21" i="4" s="1"/>
  <c r="K21" i="4" s="1"/>
  <c r="G45" i="4" s="1"/>
  <c r="H39" i="3"/>
  <c r="K17" i="1"/>
  <c r="K16" i="1"/>
  <c r="K18" i="20" l="1"/>
  <c r="G41" i="20" s="1"/>
  <c r="G40" i="20"/>
  <c r="G43" i="13"/>
  <c r="E30" i="11"/>
  <c r="G55" i="22"/>
  <c r="I52" i="22"/>
  <c r="E29" i="6"/>
  <c r="K20" i="6" s="1"/>
  <c r="G39" i="6" s="1"/>
  <c r="I39" i="6" s="1"/>
  <c r="E18" i="11"/>
  <c r="G44" i="13"/>
  <c r="I51" i="22"/>
  <c r="G46" i="21"/>
  <c r="G44" i="21"/>
  <c r="H44" i="21" s="1"/>
  <c r="G39" i="20"/>
  <c r="H39" i="20" s="1"/>
  <c r="H21" i="12"/>
  <c r="G38" i="6"/>
  <c r="I38" i="6" s="1"/>
  <c r="G40" i="6"/>
  <c r="G47" i="4"/>
  <c r="K20" i="4"/>
  <c r="K19" i="3"/>
  <c r="G41" i="6" l="1"/>
  <c r="G38" i="20"/>
  <c r="H38" i="20" s="1"/>
  <c r="G43" i="12"/>
  <c r="G40" i="11"/>
  <c r="G46" i="4"/>
  <c r="G43" i="3"/>
  <c r="H40" i="3"/>
  <c r="K21" i="12"/>
  <c r="G44" i="12" s="1"/>
  <c r="G42" i="12"/>
  <c r="L20" i="12"/>
  <c r="L19" i="14"/>
  <c r="K20" i="14"/>
  <c r="G45" i="14" s="1"/>
  <c r="L20" i="21"/>
  <c r="H45" i="21"/>
  <c r="L16" i="10"/>
  <c r="M13" i="3"/>
  <c r="M19" i="3"/>
  <c r="K20" i="3"/>
  <c r="G41" i="3" s="1"/>
  <c r="H41" i="3" s="1"/>
  <c r="G44" i="3" l="1"/>
  <c r="K21" i="21"/>
  <c r="K18" i="11"/>
  <c r="M20" i="21"/>
  <c r="J21" i="21"/>
  <c r="I18" i="11"/>
  <c r="L9" i="11"/>
  <c r="L17" i="11"/>
</calcChain>
</file>

<file path=xl/sharedStrings.xml><?xml version="1.0" encoding="utf-8"?>
<sst xmlns="http://schemas.openxmlformats.org/spreadsheetml/2006/main" count="1987" uniqueCount="457">
  <si>
    <t>Table:</t>
  </si>
  <si>
    <t>Cost of cultivation per acre of Black Grame (Rain - fed))</t>
  </si>
  <si>
    <t>District Vavuniy</t>
  </si>
  <si>
    <t xml:space="preserve"> Analized by</t>
  </si>
  <si>
    <t>MMT Dharmanayaka</t>
  </si>
  <si>
    <t>Season: 2018/19 Maha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</si>
  <si>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</si>
  <si>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</si>
  <si>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</si>
  <si>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</si>
  <si>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</si>
  <si>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</si>
  <si>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</si>
  <si>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</si>
  <si>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</si>
  <si>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</t>
  </si>
  <si>
    <t>Report</t>
  </si>
  <si>
    <t>Lab</t>
  </si>
  <si>
    <t>Rate</t>
  </si>
  <si>
    <t xml:space="preserve">  Cost</t>
  </si>
  <si>
    <t xml:space="preserve">  &amp; Equpim't</t>
  </si>
  <si>
    <t>Cost</t>
  </si>
  <si>
    <t xml:space="preserve">  %</t>
  </si>
  <si>
    <t xml:space="preserve">  Rs/ac</t>
  </si>
  <si>
    <t>General Land preparation</t>
  </si>
  <si>
    <t>1, 2, &amp; 3  Plough with4wt</t>
  </si>
  <si>
    <t>Broadcasting</t>
  </si>
  <si>
    <t xml:space="preserve">weeding and eathing up </t>
  </si>
  <si>
    <t>Pest &amp; disease control</t>
  </si>
  <si>
    <t>Harvesting drawing</t>
  </si>
  <si>
    <t>Threshing &amp; Prossing with Tsunami</t>
  </si>
  <si>
    <t>(do mannual)</t>
  </si>
  <si>
    <t>(3)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</si>
  <si>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</si>
  <si>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</si>
  <si>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</si>
  <si>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</si>
  <si>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</si>
  <si>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</si>
  <si>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</si>
  <si>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</si>
  <si>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</si>
  <si>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SEED</t>
  </si>
  <si>
    <t>Variety</t>
  </si>
  <si>
    <t>% of Ext.</t>
  </si>
  <si>
    <t>Seeding</t>
  </si>
  <si>
    <t>kg</t>
  </si>
  <si>
    <t>MI</t>
  </si>
  <si>
    <t>LABOUR</t>
  </si>
  <si>
    <t>OTHER</t>
  </si>
  <si>
    <t>Hired Labour</t>
  </si>
  <si>
    <t>md</t>
  </si>
  <si>
    <t>Family Labour</t>
  </si>
  <si>
    <t>Mean</t>
  </si>
  <si>
    <t>Mode</t>
  </si>
  <si>
    <t>YIELD AND RETURNS</t>
  </si>
  <si>
    <t>per ac</t>
  </si>
  <si>
    <t>per ha</t>
  </si>
  <si>
    <t>Average yield (kg/ac)</t>
  </si>
  <si>
    <t>*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</si>
  <si>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</si>
  <si>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</si>
  <si>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</si>
  <si>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</si>
  <si>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</si>
  <si>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</si>
  <si>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Note- </t>
  </si>
  <si>
    <t>* Law yield due to Drought</t>
  </si>
  <si>
    <t>COST OF CULTIVATION PER ACRE OF Black Gram RAINFED</t>
  </si>
  <si>
    <t>DISTRICT:  Anuradhapura    2018/19 MAHA SEASON</t>
  </si>
  <si>
    <t>Tabulated &amp; analyzed by : R.D.T.M.Randeniya</t>
  </si>
  <si>
    <t>OWN INPUTS</t>
  </si>
  <si>
    <t>Pre Weedicide Application</t>
  </si>
  <si>
    <t>General Land Preparation</t>
  </si>
  <si>
    <t>1 st  Plough with 4wt</t>
  </si>
  <si>
    <t>1st  Plough with  manu</t>
  </si>
  <si>
    <t>2nd  Plough with 4wt</t>
  </si>
  <si>
    <t>Pest &amp; Disease Control</t>
  </si>
  <si>
    <t xml:space="preserve">Harvesting </t>
  </si>
  <si>
    <t>Processing with Tsunami</t>
  </si>
  <si>
    <t>Transport Produce to Stores</t>
  </si>
  <si>
    <t>Total Including Imputed Cost</t>
  </si>
  <si>
    <t xml:space="preserve">Total Excluding Imputed Cost </t>
  </si>
  <si>
    <t xml:space="preserve">Broadcasting / T.P. / Seeding </t>
  </si>
  <si>
    <t>kg/g/Plants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</si>
  <si>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</si>
  <si>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</si>
  <si>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</si>
  <si>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</si>
  <si>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</si>
  <si>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</si>
  <si>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Special remarks-</t>
  </si>
  <si>
    <t>Low yeild due to Drought</t>
  </si>
  <si>
    <t xml:space="preserve">    </t>
  </si>
  <si>
    <t>COST OF CULTIVATION PER ACRE OF BRINJAL (IRRIGATED )</t>
  </si>
  <si>
    <t>DISTRICT: Anuradhapura     2018/19 Maha  SEASON</t>
  </si>
  <si>
    <t>Tabulated &amp; analyzed by : N.P.S.A.Menike(EA)</t>
  </si>
  <si>
    <t>All nursery preparation</t>
  </si>
  <si>
    <t>1, 2, &amp; 3  Plough with 4wt</t>
  </si>
  <si>
    <t>manually</t>
  </si>
  <si>
    <t>(4.47)</t>
  </si>
  <si>
    <t>(3.06)</t>
  </si>
  <si>
    <t>Preparation of beds &amp; ridges</t>
  </si>
  <si>
    <t>Didding holes &amp;  transplanting</t>
  </si>
  <si>
    <t>Fertilizer Application</t>
  </si>
  <si>
    <t>Weed Control With Weedicides</t>
  </si>
  <si>
    <t>Weeding &amp; earthing up (Manual)</t>
  </si>
  <si>
    <t>Water Management(fuel)</t>
  </si>
  <si>
    <t>(20)</t>
  </si>
  <si>
    <t>Harvesting &amp; drawing</t>
  </si>
  <si>
    <t>%</t>
  </si>
  <si>
    <t>Lenairi</t>
  </si>
  <si>
    <t xml:space="preserve">Ravina </t>
  </si>
  <si>
    <t>Plastic</t>
  </si>
  <si>
    <t>Dam batu</t>
  </si>
  <si>
    <t>FIELD FERTILIZER</t>
  </si>
  <si>
    <t>% Reporting</t>
  </si>
  <si>
    <t>Other</t>
  </si>
  <si>
    <t>TSP</t>
  </si>
  <si>
    <t>Urea</t>
  </si>
  <si>
    <t>MOP</t>
  </si>
  <si>
    <t>Kg</t>
  </si>
  <si>
    <t>Vege.Mix</t>
  </si>
  <si>
    <t>Per Ac</t>
  </si>
  <si>
    <t>Per ha</t>
  </si>
  <si>
    <r>
      <t>COST OF CULTIVATION PER ACRE OF IRRIGATED    (</t>
    </r>
    <r>
      <rPr>
        <b/>
        <sz val="11"/>
        <color theme="1"/>
        <rFont val="Calibri"/>
        <family val="2"/>
        <scheme val="minor"/>
      </rPr>
      <t>IRRIGATED</t>
    </r>
    <r>
      <rPr>
        <sz val="11"/>
        <color theme="1"/>
        <rFont val="Calibri"/>
        <family val="2"/>
        <scheme val="minor"/>
      </rPr>
      <t xml:space="preserve"> )</t>
    </r>
  </si>
  <si>
    <t>DISTRICT: Nuwaraeliya       2018/2019 MAHA SEASON Cabbage</t>
  </si>
  <si>
    <t>Tabulated &amp; analyzed by :P.A.W.P.Madhugeethika</t>
  </si>
  <si>
    <t>All Nursery preparation</t>
  </si>
  <si>
    <t>1st Plough with 2WT</t>
  </si>
  <si>
    <t>Manually</t>
  </si>
  <si>
    <t>(16)</t>
  </si>
  <si>
    <t>(5)</t>
  </si>
  <si>
    <t>(3.33)</t>
  </si>
  <si>
    <t>(1500)</t>
  </si>
  <si>
    <t>(7500.00)</t>
  </si>
  <si>
    <t>Preparation beds &amp; ridges</t>
  </si>
  <si>
    <t>Digging holes &amp; transplanting</t>
  </si>
  <si>
    <t>Weeding &amp; eathningup</t>
  </si>
  <si>
    <t>Water Management</t>
  </si>
  <si>
    <t>(Harvesting and drawing)**</t>
  </si>
  <si>
    <t>(20.60)</t>
  </si>
  <si>
    <t>(11.40)</t>
  </si>
  <si>
    <t>(1380)</t>
  </si>
  <si>
    <t>**</t>
  </si>
  <si>
    <t>Rest is done by buyers</t>
  </si>
  <si>
    <t>No Reporting %</t>
  </si>
  <si>
    <t>grams</t>
  </si>
  <si>
    <t xml:space="preserve">Mean </t>
  </si>
  <si>
    <t>Plants</t>
  </si>
  <si>
    <t>Seed</t>
  </si>
  <si>
    <t>Variety %</t>
  </si>
  <si>
    <t>AS</t>
  </si>
  <si>
    <t>Green cornet</t>
  </si>
  <si>
    <t>other</t>
  </si>
  <si>
    <t>FIELD FERTILIZER       No Reporting %</t>
  </si>
  <si>
    <t>Urea                         43</t>
  </si>
  <si>
    <t>Poultry mannuar</t>
  </si>
  <si>
    <t>COST OF CULTIVATION PER ACRE OF  --RF------------  (IRRIGATED / RAINFED )</t>
  </si>
  <si>
    <t>DISTRICT: --Badulla------------------       2018/19 M-------------- SEASON</t>
  </si>
  <si>
    <t>Capsicum</t>
  </si>
  <si>
    <t>Tabulated &amp; analyzed by :-S.N.Kamalinie------------</t>
  </si>
  <si>
    <t>All Nursery Preperation</t>
  </si>
  <si>
    <t>1st plough with manu</t>
  </si>
  <si>
    <t>1  Plough with 2wt</t>
  </si>
  <si>
    <t>Prperation beds &amp; ridges</t>
  </si>
  <si>
    <t>Digging holes</t>
  </si>
  <si>
    <t>Weeding &amp; earthing up</t>
  </si>
  <si>
    <t xml:space="preserve">Water Management </t>
  </si>
  <si>
    <t>PS</t>
  </si>
  <si>
    <t>Muriya</t>
  </si>
  <si>
    <t>Shivani</t>
  </si>
  <si>
    <t>Poultry</t>
  </si>
  <si>
    <t>B</t>
  </si>
  <si>
    <t>Veg</t>
  </si>
  <si>
    <t>C</t>
  </si>
  <si>
    <t>TDM</t>
  </si>
  <si>
    <t>D</t>
  </si>
  <si>
    <t>Per hec.</t>
  </si>
  <si>
    <t>Cost of cultivation per acre of Carrots (irrigated)- Nuwara eliya</t>
  </si>
  <si>
    <t xml:space="preserve">District : Nuwaraeliya   </t>
  </si>
  <si>
    <t>Season: 2018 /19   Maha</t>
  </si>
  <si>
    <t>(Mannal)</t>
  </si>
  <si>
    <t>(19)</t>
  </si>
  <si>
    <t>Preparation beds&amp;ridges</t>
  </si>
  <si>
    <t>seeding</t>
  </si>
  <si>
    <t>Fertilizer application</t>
  </si>
  <si>
    <t>Water management (mannual)</t>
  </si>
  <si>
    <t>(42)</t>
  </si>
  <si>
    <t>Harvesting drawing by buyers</t>
  </si>
  <si>
    <t>(Mannual)</t>
  </si>
  <si>
    <t>FERTILIZER</t>
  </si>
  <si>
    <t>Poyato mix</t>
  </si>
  <si>
    <t>ha</t>
  </si>
  <si>
    <t>COST OF CULTIVATION PER ACRE OF COWPEA RAINFED</t>
  </si>
  <si>
    <t>DISTRICT:  AMPARA    2018/19 MAHA SEASON</t>
  </si>
  <si>
    <t>Tabulated &amp; analyzed by : Thilina Randeniya</t>
  </si>
  <si>
    <t>1  &amp; 2  Plough with 4wt</t>
  </si>
  <si>
    <t>1  &amp; 2  Plough with Baffalow</t>
  </si>
  <si>
    <t>1  &amp; 2  Plough with Manual</t>
  </si>
  <si>
    <t>Digging holes &amp; Seeding  with Manual</t>
  </si>
  <si>
    <t>(Digging holes &amp; Seeding with Buffaloa)</t>
  </si>
  <si>
    <t>(1.88)</t>
  </si>
  <si>
    <t>(1.63)</t>
  </si>
  <si>
    <t>(1200)</t>
  </si>
  <si>
    <t xml:space="preserve">Weeding &amp; Earthing up </t>
  </si>
  <si>
    <t>(302.0)</t>
  </si>
  <si>
    <t>Additional Drying &amp; winnowing</t>
  </si>
  <si>
    <t>mean</t>
  </si>
  <si>
    <t xml:space="preserve">Red </t>
  </si>
  <si>
    <t xml:space="preserve">White </t>
  </si>
  <si>
    <t>COST OF CULTIVATION PER ACRE OF GINGELLY  ( RAINFED )</t>
  </si>
  <si>
    <t>DISTRICT: Hambantota       2018/19 Maha  SEASON</t>
  </si>
  <si>
    <t xml:space="preserve">Tabulated &amp; analyzed by : J.W.L. Surangi </t>
  </si>
  <si>
    <t>(43)</t>
  </si>
  <si>
    <t>(6282)</t>
  </si>
  <si>
    <t xml:space="preserve">Broadcasting </t>
  </si>
  <si>
    <t>Harvesting &amp; Drawing</t>
  </si>
  <si>
    <t>Processing</t>
  </si>
  <si>
    <t>Variety destribution %</t>
  </si>
  <si>
    <t>White</t>
  </si>
  <si>
    <t>low yield due to drought</t>
  </si>
  <si>
    <t>COST OF CULTIVATION PER ACRE OF  GREEN GRAM ( RAINFED )</t>
  </si>
  <si>
    <t>DISTRICT: Hambantota     2018/19 Maha SEASON</t>
  </si>
  <si>
    <t>Tabulated &amp; analyzed by :-V.G.S.Nilantha/J.W.L. Surangi</t>
  </si>
  <si>
    <t>Threshing &amp; Processing  with 2 wt</t>
  </si>
  <si>
    <t xml:space="preserve"> Seeding </t>
  </si>
  <si>
    <t>Australian</t>
  </si>
  <si>
    <t>MI 5</t>
  </si>
  <si>
    <t xml:space="preserve">Basal </t>
  </si>
  <si>
    <t>Tsp</t>
  </si>
  <si>
    <t>* Low  yeild due to drought &amp; desease</t>
  </si>
  <si>
    <t>COST OF CULTIVATION PER ACRE OF -GROUND NUT-  ( RAINFED )</t>
  </si>
  <si>
    <t>DISTRICT: Monaragala      2018/19 Maha SEASON</t>
  </si>
  <si>
    <t>Tabulated &amp; analyzed by :J.W.L. Surangi</t>
  </si>
  <si>
    <t>Digging holes &amp; seeding</t>
  </si>
  <si>
    <t>Weeding &amp; Earthing up</t>
  </si>
  <si>
    <t xml:space="preserve"> Seed</t>
  </si>
  <si>
    <t>Jambo peanut</t>
  </si>
  <si>
    <t>Red</t>
  </si>
  <si>
    <t>COST OF CULTIVATION PER ACRE OF KURAKKAN(Rain-fed )</t>
  </si>
  <si>
    <t>Tabulated &amp; analyzed by : E.P.J.W.K.Gunasinghe</t>
  </si>
  <si>
    <t>Processing manually</t>
  </si>
  <si>
    <t>Processing (4wt)</t>
  </si>
  <si>
    <t>Drying</t>
  </si>
  <si>
    <t>kirikurakkan</t>
  </si>
  <si>
    <t>Other local</t>
  </si>
  <si>
    <t>oshadi</t>
  </si>
  <si>
    <t>Low yield due to lack of water</t>
  </si>
  <si>
    <t>COST OF CULTIVATION PER ACRE OF MAIZE(Rain-fed )</t>
  </si>
  <si>
    <t>Processing (4wt thresher)</t>
  </si>
  <si>
    <t>(2784.62)</t>
  </si>
  <si>
    <t>Jet999</t>
  </si>
  <si>
    <t>Pacific</t>
  </si>
  <si>
    <t>American supper</t>
  </si>
  <si>
    <t>Hiro</t>
  </si>
  <si>
    <t>Low yield due to attack army worm</t>
  </si>
  <si>
    <t>COST OF CULTIVATION PER ACRE OF MAIZE (RAINFED )</t>
  </si>
  <si>
    <t>DISTRICT: Ampara      2018/19 Maha  SEASON</t>
  </si>
  <si>
    <t>Tabulated &amp; analyzed by : AMCMK Abeykoon</t>
  </si>
  <si>
    <t>Genaral land preparation</t>
  </si>
  <si>
    <t>1st &amp; 2nd Plough with 4wt</t>
  </si>
  <si>
    <t>Digging holes &amp; seeding (manual)</t>
  </si>
  <si>
    <t xml:space="preserve"> (do with buffalows)</t>
  </si>
  <si>
    <t>`(3.18)</t>
  </si>
  <si>
    <t>`(0.91)</t>
  </si>
  <si>
    <t>`(1320.00)</t>
  </si>
  <si>
    <t>`(1545.00)</t>
  </si>
  <si>
    <t xml:space="preserve">Thresing &amp; processing with </t>
  </si>
  <si>
    <t xml:space="preserve">  engine powered paddy thresher **</t>
  </si>
  <si>
    <t>`(27)</t>
  </si>
  <si>
    <t>`(1354.00)</t>
  </si>
  <si>
    <t>(do manually)</t>
  </si>
  <si>
    <t>`(2.29)</t>
  </si>
  <si>
    <t>`(2.20)</t>
  </si>
  <si>
    <t>Transport produce to store</t>
  </si>
  <si>
    <t>* Rest is done by buyer</t>
  </si>
  <si>
    <t>** 13% farmers were not thresing, because 10% farmers sell green cobs and 3% done by buyer</t>
  </si>
  <si>
    <t>Jet</t>
  </si>
  <si>
    <t>Lower yield due to BPH dmage</t>
  </si>
  <si>
    <t>High labour cost due to increase wage rate</t>
  </si>
  <si>
    <t>COST OF CULTIVATION PER ACRE OF MAIZE  (IRRIGATED / RAINFED )</t>
  </si>
  <si>
    <t>Tabulated &amp; analyzed by :V.G.S.Nilantha/ J.W.L.Surangi</t>
  </si>
  <si>
    <t>1,  &amp; 2  Plough with 4wt</t>
  </si>
  <si>
    <t>Digging holes / ridge with  4wt</t>
  </si>
  <si>
    <t>Weeding &amp; Earthing Up</t>
  </si>
  <si>
    <t>Thres&amp; Proce with 4wt thre</t>
  </si>
  <si>
    <t>Transporting</t>
  </si>
  <si>
    <t>Jet 999</t>
  </si>
  <si>
    <t>Pasific</t>
  </si>
  <si>
    <t>All Top D.</t>
  </si>
  <si>
    <t>A-Urea</t>
  </si>
  <si>
    <t>B-MOP</t>
  </si>
  <si>
    <t xml:space="preserve">low yield due to Fall Army worm </t>
  </si>
  <si>
    <t>Cost of cultivation per acre of Pole beans (irrigated)- Badulla</t>
  </si>
  <si>
    <t xml:space="preserve"> Analized by W.M.S.K Weerasinghe</t>
  </si>
  <si>
    <t>1 Plough with 2wt</t>
  </si>
  <si>
    <t>(manually)</t>
  </si>
  <si>
    <t>(10)</t>
  </si>
  <si>
    <t>Digging holes and seeding</t>
  </si>
  <si>
    <t>Fixing Support</t>
  </si>
  <si>
    <t>Water management</t>
  </si>
  <si>
    <t>Capri</t>
  </si>
  <si>
    <t>Veg Mixture</t>
  </si>
  <si>
    <t>Poultry manure</t>
  </si>
  <si>
    <t>Cost of cultivation per acre of Pole bean</t>
  </si>
  <si>
    <t xml:space="preserve">DISTRICT: -Matale - - - - - -   </t>
  </si>
  <si>
    <t xml:space="preserve"> Analized by Indunil</t>
  </si>
  <si>
    <t xml:space="preserve">Season: </t>
  </si>
  <si>
    <t>18/19 Maha</t>
  </si>
  <si>
    <t>(1, 2  Plough with 2wt)</t>
  </si>
  <si>
    <t>(27)</t>
  </si>
  <si>
    <t>(4654)</t>
  </si>
  <si>
    <t>weeding manually</t>
  </si>
  <si>
    <t>Fixing suppport</t>
  </si>
  <si>
    <t>pokurusitti</t>
  </si>
  <si>
    <t>veg fert</t>
  </si>
  <si>
    <t xml:space="preserve">Note: </t>
  </si>
  <si>
    <t>Higb yield and</t>
  </si>
  <si>
    <t xml:space="preserve"> low pesticide usage</t>
  </si>
  <si>
    <t>COST OF CULTIVATION PER ACRE OF  --IRR-------------  (IRRIGATED / RAINFED )</t>
  </si>
  <si>
    <t>DISTRICT: --Badulla------------------       2018/19 maha-------------- SEASON</t>
  </si>
  <si>
    <t>Digging holes &amp; Seeding</t>
  </si>
  <si>
    <t>Harvesting</t>
  </si>
  <si>
    <t>Ganola</t>
  </si>
  <si>
    <t>A</t>
  </si>
  <si>
    <t>potato</t>
  </si>
  <si>
    <t>E</t>
  </si>
  <si>
    <t>DISTRICT: --Badulla      2018/19M-------------- SEASON</t>
  </si>
  <si>
    <t>Water Management (pump)</t>
  </si>
  <si>
    <t>cowdung</t>
  </si>
  <si>
    <t>COST OF CULTIVATION PER ACRE OF Pumpkin (rain-fed )</t>
  </si>
  <si>
    <t>DISTRICT: Anuradhapura (2018 / 19 Maha)</t>
  </si>
  <si>
    <t>(Analysed by J.A.R.P.Gunathilaka)</t>
  </si>
  <si>
    <t>1 Plough with 4wt</t>
  </si>
  <si>
    <t>Loosing soil &amp; earthing up</t>
  </si>
  <si>
    <t>Pest &amp; disease Control</t>
  </si>
  <si>
    <t>Extent ( % )</t>
  </si>
  <si>
    <t>seed</t>
  </si>
  <si>
    <t>Suprima</t>
  </si>
  <si>
    <t>Leela</t>
  </si>
  <si>
    <t>Arjuna</t>
  </si>
  <si>
    <t xml:space="preserve">Hired </t>
  </si>
  <si>
    <t xml:space="preserve">Family </t>
  </si>
  <si>
    <t>Chilli mix/other</t>
  </si>
  <si>
    <t>Per ac</t>
  </si>
  <si>
    <t xml:space="preserve">Note: About 97% of the Farmers have received  very low price   </t>
  </si>
  <si>
    <t>COST OF CULTIVATION PER ACRE OF CHILLI(RAINFED)</t>
  </si>
  <si>
    <t>Transplanting</t>
  </si>
  <si>
    <t>Weeding &amp; earthing up(Manual)</t>
  </si>
  <si>
    <t>Harvesting with Manual</t>
  </si>
  <si>
    <t>KA2</t>
  </si>
  <si>
    <t>MICH</t>
  </si>
  <si>
    <t>Galkiriyagama</t>
  </si>
  <si>
    <t>Henmiris</t>
  </si>
  <si>
    <t>Chilli Mix</t>
  </si>
  <si>
    <t xml:space="preserve">Low yield due to leaf curls disease and drought </t>
  </si>
  <si>
    <t>Total cost due to reporting transport cost</t>
  </si>
  <si>
    <t>COST OF CULTIVATION PER ACRE OF Red Onion  (IRRIGATED )</t>
  </si>
  <si>
    <t>DISTRICT: Puttalam       2018/19Maha  SEASON</t>
  </si>
  <si>
    <t>Finalized on 2019/8/30</t>
  </si>
  <si>
    <t>Tabulated &amp; analyzed by :  chandi</t>
  </si>
  <si>
    <t>(3.05)</t>
  </si>
  <si>
    <t>(1.33)</t>
  </si>
  <si>
    <t>Seed Processing</t>
  </si>
  <si>
    <t>100*</t>
  </si>
  <si>
    <t>(23)</t>
  </si>
  <si>
    <t>New technoligy adaption for water mgt (Sprincles)</t>
  </si>
  <si>
    <t>* 43 % of farmers do by contract</t>
  </si>
  <si>
    <t>**27% of farmers do by contract</t>
  </si>
  <si>
    <t>*** cajon cost</t>
  </si>
  <si>
    <t xml:space="preserve">Seeding </t>
  </si>
  <si>
    <t>Vedalan</t>
  </si>
  <si>
    <t>Yapane mal</t>
  </si>
  <si>
    <t>CU3</t>
  </si>
  <si>
    <t>Cowdung</t>
  </si>
  <si>
    <t>Onion.Mix</t>
  </si>
  <si>
    <t>Average Yield (kg)</t>
  </si>
  <si>
    <t>Gross Income (R)</t>
  </si>
  <si>
    <t>Profit Incl. Imputed Cost (Rs)</t>
  </si>
  <si>
    <t>Profit Excl. Imputed Cost (Rs)</t>
  </si>
  <si>
    <t>Low yield due to high temperature</t>
  </si>
  <si>
    <t>Low farm-gate price</t>
  </si>
  <si>
    <t>COST OF CULTIVATION PER ACRE OF Tmato (IRR-)</t>
  </si>
  <si>
    <t>DISTRICT: --Badulla       2017/18 maha        SEASON</t>
  </si>
  <si>
    <t>Tabulated &amp; analyzed by :-chandi</t>
  </si>
  <si>
    <t>(33)</t>
  </si>
  <si>
    <t>(13.23)</t>
  </si>
  <si>
    <t>(5.71)</t>
  </si>
  <si>
    <t>(2.9)</t>
  </si>
  <si>
    <t>(2.18)</t>
  </si>
  <si>
    <t>Digging hoies</t>
  </si>
  <si>
    <t xml:space="preserve"> Transplanting</t>
  </si>
  <si>
    <t>Fixing support</t>
  </si>
  <si>
    <t>Training</t>
  </si>
  <si>
    <t>Water Management (manu)</t>
  </si>
  <si>
    <t>new Technology addaption</t>
  </si>
  <si>
    <t>(7.42)</t>
  </si>
  <si>
    <t xml:space="preserve"> * Lime </t>
  </si>
  <si>
    <t>**34% did not  do  ploughing</t>
  </si>
  <si>
    <t>variety</t>
  </si>
  <si>
    <t>Padma</t>
  </si>
  <si>
    <t>Thilina</t>
  </si>
  <si>
    <t>All Top Dressing</t>
  </si>
  <si>
    <t>Veg.Mix</t>
  </si>
  <si>
    <t>Nil keta</t>
  </si>
  <si>
    <t>(30)</t>
  </si>
  <si>
    <t>(136)</t>
  </si>
  <si>
    <t>Gross Income (Rs)</t>
  </si>
  <si>
    <t>1,  Plough with 4wt</t>
  </si>
  <si>
    <t>(2732.00)</t>
  </si>
  <si>
    <t>Unit Cost (Incl.Imputed Cost) (Rs/kg)</t>
  </si>
  <si>
    <t>Unit Cost (Excl. Imputed Cost (Rs/kg)</t>
  </si>
  <si>
    <t>1,   Plough with 4wt</t>
  </si>
  <si>
    <t xml:space="preserve"> Threshing &amp; Processing withthresher</t>
  </si>
  <si>
    <t>`(3536.00)</t>
  </si>
  <si>
    <t xml:space="preserve">Harvesting and drawing </t>
  </si>
  <si>
    <t>`(33)</t>
  </si>
  <si>
    <t>`(2977.00)</t>
  </si>
  <si>
    <t>(16106)</t>
  </si>
  <si>
    <t>1,   Plough - manually</t>
  </si>
  <si>
    <t>Transport to stores</t>
  </si>
  <si>
    <t>3409.00*</t>
  </si>
  <si>
    <t>(16458.00)</t>
  </si>
  <si>
    <t>(1617.00)</t>
  </si>
  <si>
    <t>(6270.00)</t>
  </si>
  <si>
    <t>(8857.00)</t>
  </si>
  <si>
    <t>1, 2, Plough with 4wt</t>
  </si>
  <si>
    <t>1  Plough with 4wt</t>
  </si>
  <si>
    <t>1,  Plough with 2wt</t>
  </si>
  <si>
    <t>threshing &amp; Processing with Manual</t>
  </si>
  <si>
    <t>(34)</t>
  </si>
  <si>
    <t>(1966.00)</t>
  </si>
  <si>
    <t>(1956.00)</t>
  </si>
  <si>
    <t>(18450.00)</t>
  </si>
  <si>
    <t>(21480.00)</t>
  </si>
  <si>
    <t>(35)</t>
  </si>
  <si>
    <t>(do with manually)</t>
  </si>
  <si>
    <t>(14796.00)</t>
  </si>
  <si>
    <t>poultry manure</t>
  </si>
  <si>
    <t>(15915)</t>
  </si>
  <si>
    <t>(22452.00)</t>
  </si>
  <si>
    <t>(47)</t>
  </si>
  <si>
    <t>(16051)</t>
  </si>
  <si>
    <t>(1.92)</t>
  </si>
  <si>
    <t>(5999.00)</t>
  </si>
  <si>
    <t>(17)</t>
  </si>
  <si>
    <t>Braodcasting</t>
  </si>
  <si>
    <t>DISTRICT: JAffna      2018/19Maha  SEASON</t>
  </si>
  <si>
    <t>1, 2,   Plough with 4wt</t>
  </si>
  <si>
    <t>(40)</t>
  </si>
  <si>
    <t>(do with contract)</t>
  </si>
  <si>
    <t>Proeparation beds &amp; ridges</t>
  </si>
  <si>
    <t>Weeding &amp; looasing soil</t>
  </si>
  <si>
    <t>(10315)</t>
  </si>
  <si>
    <t>NPK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</si>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</sst>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0_)"/>
    <numFmt numFmtId="165" formatCode="0.00_)"/>
    <numFmt numFmtId="166" formatCode="0.0"/>
    <numFmt numFmtId="167" formatCode="0.00_);\(0.00\)"/>
    <numFmt numFmtId="168" formatCode="_(* #,##0.00_);_(* \(#,##0.00\);_(* &quot;-&quot;??_);_(@_)"/>
    <numFmt numFmtId="169" formatCode="0.000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i/>
      <sz val="1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1"/>
      <name val="DL-Araliya.."/>
    </font>
    <font>
      <sz val="9"/>
      <color theme="1"/>
      <name val="Calibri"/>
      <family val="2"/>
      <scheme val="minor"/>
    </font>
    <font>
      <sz val="9"/>
      <color theme="6" tint="-0.49998474074526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1"/>
      <name val="Arial"/>
      <family val="2"/>
    </font>
    <font>
      <b/>
      <sz val="9"/>
      <color theme="6" tint="-0.499984740745262"/>
      <name val="Calibri"/>
      <family val="2"/>
      <scheme val="minor"/>
    </font>
    <font>
      <sz val="8"/>
      <color theme="6" tint="-0.499984740745262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DL-Araliya.."/>
    </font>
    <font>
      <sz val="8"/>
      <color theme="1"/>
      <name val="Calibri"/>
      <family val="2"/>
      <scheme val="minor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9"/>
      <color rgb="FFFF0000"/>
      <name val="Times New Roman"/>
      <family val="1"/>
    </font>
    <font>
      <b/>
      <sz val="11"/>
      <name val="Times New Roman"/>
      <family val="1"/>
    </font>
    <font>
      <i/>
      <sz val="10"/>
      <name val="Times New Roman"/>
      <family val="1"/>
    </font>
    <font>
      <sz val="10"/>
      <name val="Calibri"/>
      <family val="2"/>
      <scheme val="minor"/>
    </font>
    <font>
      <b/>
      <sz val="8"/>
      <name val="Comic Sans MS"/>
      <family val="4"/>
    </font>
    <font>
      <sz val="8"/>
      <name val="Comic Sans MS"/>
      <family val="4"/>
    </font>
    <font>
      <sz val="9"/>
      <name val="Comic Sans MS"/>
      <family val="4"/>
    </font>
    <font>
      <b/>
      <sz val="9"/>
      <name val="Arial"/>
      <family val="2"/>
    </font>
    <font>
      <b/>
      <i/>
      <sz val="10"/>
      <name val="Arial"/>
      <family val="2"/>
    </font>
    <font>
      <i/>
      <sz val="12"/>
      <color rgb="FFC00000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6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 wrapText="1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2" fontId="4" fillId="0" borderId="0" xfId="0" applyNumberFormat="1" applyFont="1" applyFill="1" applyBorder="1" applyAlignment="1">
      <alignment horizontal="right"/>
    </xf>
    <xf numFmtId="0" fontId="4" fillId="0" borderId="0" xfId="0" applyFont="1" applyFill="1"/>
    <xf numFmtId="164" fontId="4" fillId="0" borderId="0" xfId="0" quotePrefix="1" applyNumberFormat="1" applyFont="1" applyFill="1" applyProtection="1"/>
    <xf numFmtId="2" fontId="4" fillId="0" borderId="0" xfId="0" applyNumberFormat="1" applyFont="1" applyFill="1"/>
    <xf numFmtId="2" fontId="4" fillId="0" borderId="0" xfId="0" applyNumberFormat="1" applyFont="1" applyFill="1" applyProtection="1"/>
    <xf numFmtId="164" fontId="4" fillId="0" borderId="0" xfId="0" applyNumberFormat="1" applyFont="1" applyFill="1" applyProtection="1"/>
    <xf numFmtId="49" fontId="4" fillId="0" borderId="0" xfId="0" applyNumberFormat="1" applyFont="1" applyFill="1" applyAlignment="1" applyProtection="1">
      <alignment horizontal="right"/>
    </xf>
    <xf numFmtId="164" fontId="4" fillId="0" borderId="2" xfId="0" applyNumberFormat="1" applyFont="1" applyBorder="1" applyProtection="1"/>
    <xf numFmtId="2" fontId="4" fillId="0" borderId="2" xfId="0" applyNumberFormat="1" applyFont="1" applyBorder="1"/>
    <xf numFmtId="164" fontId="4" fillId="0" borderId="1" xfId="0" applyNumberFormat="1" applyFont="1" applyBorder="1" applyProtection="1"/>
    <xf numFmtId="2" fontId="4" fillId="0" borderId="1" xfId="0" applyNumberFormat="1" applyFont="1" applyBorder="1"/>
    <xf numFmtId="0" fontId="4" fillId="0" borderId="3" xfId="0" applyFont="1" applyBorder="1"/>
    <xf numFmtId="2" fontId="4" fillId="0" borderId="4" xfId="0" applyNumberFormat="1" applyFont="1" applyFill="1" applyBorder="1"/>
    <xf numFmtId="0" fontId="4" fillId="0" borderId="5" xfId="0" applyFont="1" applyFill="1" applyBorder="1"/>
    <xf numFmtId="2" fontId="4" fillId="0" borderId="0" xfId="0" applyNumberFormat="1" applyFont="1"/>
    <xf numFmtId="0" fontId="4" fillId="0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Border="1" applyProtection="1"/>
    <xf numFmtId="165" fontId="4" fillId="0" borderId="0" xfId="0" applyNumberFormat="1" applyFont="1" applyBorder="1"/>
    <xf numFmtId="165" fontId="4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64" fontId="7" fillId="0" borderId="0" xfId="0" applyNumberFormat="1" applyFont="1" applyProtection="1"/>
    <xf numFmtId="2" fontId="7" fillId="0" borderId="0" xfId="0" applyNumberFormat="1" applyFont="1"/>
    <xf numFmtId="2" fontId="7" fillId="0" borderId="0" xfId="0" applyNumberFormat="1" applyFont="1" applyProtection="1"/>
    <xf numFmtId="0" fontId="7" fillId="0" borderId="0" xfId="0" quotePrefix="1" applyFont="1" applyAlignment="1">
      <alignment horizontal="right"/>
    </xf>
    <xf numFmtId="164" fontId="7" fillId="0" borderId="0" xfId="0" quotePrefix="1" applyNumberFormat="1" applyFont="1" applyAlignment="1" applyProtection="1">
      <alignment horizontal="right"/>
    </xf>
    <xf numFmtId="2" fontId="7" fillId="0" borderId="0" xfId="0" quotePrefix="1" applyNumberFormat="1" applyFont="1"/>
    <xf numFmtId="2" fontId="7" fillId="0" borderId="0" xfId="0" quotePrefix="1" applyNumberFormat="1" applyFont="1" applyProtection="1"/>
    <xf numFmtId="2" fontId="2" fillId="0" borderId="0" xfId="0" applyNumberFormat="1" applyFont="1"/>
    <xf numFmtId="0" fontId="7" fillId="0" borderId="0" xfId="0" quotePrefix="1" applyFont="1"/>
    <xf numFmtId="0" fontId="2" fillId="0" borderId="2" xfId="0" applyFont="1" applyBorder="1"/>
    <xf numFmtId="0" fontId="7" fillId="0" borderId="2" xfId="0" applyFont="1" applyBorder="1"/>
    <xf numFmtId="164" fontId="7" fillId="0" borderId="2" xfId="0" applyNumberFormat="1" applyFont="1" applyBorder="1" applyProtection="1"/>
    <xf numFmtId="2" fontId="7" fillId="0" borderId="2" xfId="0" applyNumberFormat="1" applyFont="1" applyBorder="1"/>
    <xf numFmtId="0" fontId="2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 applyProtection="1"/>
    <xf numFmtId="2" fontId="7" fillId="0" borderId="1" xfId="0" applyNumberFormat="1" applyFont="1" applyBorder="1"/>
    <xf numFmtId="0" fontId="8" fillId="0" borderId="3" xfId="0" applyFont="1" applyBorder="1"/>
    <xf numFmtId="0" fontId="2" fillId="0" borderId="0" xfId="0" applyFont="1"/>
    <xf numFmtId="0" fontId="2" fillId="0" borderId="0" xfId="0" applyFont="1" applyBorder="1"/>
    <xf numFmtId="0" fontId="7" fillId="0" borderId="0" xfId="0" applyFont="1" applyBorder="1"/>
    <xf numFmtId="165" fontId="7" fillId="0" borderId="0" xfId="0" applyNumberFormat="1" applyFont="1" applyBorder="1" applyProtection="1"/>
    <xf numFmtId="165" fontId="7" fillId="0" borderId="0" xfId="0" applyNumberFormat="1" applyFont="1" applyBorder="1"/>
    <xf numFmtId="165" fontId="7" fillId="0" borderId="1" xfId="0" applyNumberFormat="1" applyFont="1" applyBorder="1"/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164" fontId="9" fillId="0" borderId="0" xfId="0" applyNumberFormat="1" applyFont="1" applyProtection="1"/>
    <xf numFmtId="2" fontId="9" fillId="0" borderId="0" xfId="0" applyNumberFormat="1" applyFont="1"/>
    <xf numFmtId="2" fontId="9" fillId="0" borderId="0" xfId="0" applyNumberFormat="1" applyFont="1" applyProtection="1"/>
    <xf numFmtId="164" fontId="9" fillId="0" borderId="0" xfId="0" quotePrefix="1" applyNumberFormat="1" applyFont="1" applyProtection="1"/>
    <xf numFmtId="0" fontId="9" fillId="0" borderId="0" xfId="0" applyFont="1" applyBorder="1" applyAlignment="1">
      <alignment horizontal="left" vertical="top"/>
    </xf>
    <xf numFmtId="2" fontId="9" fillId="0" borderId="0" xfId="0" quotePrefix="1" applyNumberFormat="1" applyFont="1"/>
    <xf numFmtId="2" fontId="9" fillId="0" borderId="0" xfId="0" applyNumberFormat="1" applyFont="1" applyFill="1"/>
    <xf numFmtId="164" fontId="9" fillId="0" borderId="2" xfId="0" applyNumberFormat="1" applyFont="1" applyBorder="1" applyProtection="1"/>
    <xf numFmtId="2" fontId="9" fillId="0" borderId="2" xfId="0" applyNumberFormat="1" applyFont="1" applyBorder="1"/>
    <xf numFmtId="164" fontId="9" fillId="0" borderId="1" xfId="0" applyNumberFormat="1" applyFont="1" applyBorder="1" applyProtection="1"/>
    <xf numFmtId="2" fontId="9" fillId="0" borderId="1" xfId="0" applyNumberFormat="1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6" xfId="0" applyFont="1" applyBorder="1"/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2" fontId="9" fillId="0" borderId="9" xfId="0" applyNumberFormat="1" applyFont="1" applyBorder="1" applyAlignment="1">
      <alignment horizontal="left" vertical="top"/>
    </xf>
    <xf numFmtId="2" fontId="9" fillId="0" borderId="10" xfId="0" applyNumberFormat="1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2" fontId="9" fillId="0" borderId="12" xfId="0" applyNumberFormat="1" applyFont="1" applyBorder="1" applyAlignment="1">
      <alignment horizontal="left" vertical="top"/>
    </xf>
    <xf numFmtId="0" fontId="9" fillId="0" borderId="0" xfId="0" quotePrefix="1" applyFont="1" applyBorder="1"/>
    <xf numFmtId="2" fontId="9" fillId="0" borderId="0" xfId="0" applyNumberFormat="1" applyFont="1" applyBorder="1"/>
    <xf numFmtId="165" fontId="9" fillId="0" borderId="0" xfId="0" applyNumberFormat="1" applyFont="1" applyBorder="1" applyProtection="1"/>
    <xf numFmtId="1" fontId="9" fillId="0" borderId="0" xfId="0" applyNumberFormat="1" applyFont="1"/>
    <xf numFmtId="165" fontId="9" fillId="0" borderId="0" xfId="0" applyNumberFormat="1" applyFont="1" applyBorder="1"/>
    <xf numFmtId="165" fontId="9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2" xfId="0" applyFont="1" applyBorder="1"/>
    <xf numFmtId="0" fontId="0" fillId="0" borderId="2" xfId="0" applyFont="1" applyBorder="1" applyAlignment="1">
      <alignment horizontal="right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right"/>
    </xf>
    <xf numFmtId="0" fontId="14" fillId="0" borderId="0" xfId="0" applyFont="1" applyFill="1" applyBorder="1"/>
    <xf numFmtId="0" fontId="15" fillId="0" borderId="0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1" fontId="4" fillId="0" borderId="0" xfId="0" applyNumberFormat="1" applyFont="1" applyFill="1" applyBorder="1"/>
    <xf numFmtId="0" fontId="16" fillId="0" borderId="0" xfId="0" applyFont="1"/>
    <xf numFmtId="164" fontId="0" fillId="0" borderId="0" xfId="0" quotePrefix="1" applyNumberFormat="1" applyFont="1" applyAlignment="1" applyProtection="1">
      <alignment horizontal="right"/>
    </xf>
    <xf numFmtId="2" fontId="0" fillId="0" borderId="0" xfId="0" quotePrefix="1" applyNumberFormat="1" applyFont="1" applyAlignment="1">
      <alignment horizontal="right"/>
    </xf>
    <xf numFmtId="0" fontId="0" fillId="0" borderId="0" xfId="0" quotePrefix="1" applyFont="1"/>
    <xf numFmtId="2" fontId="0" fillId="0" borderId="0" xfId="0" quotePrefix="1" applyNumberFormat="1" applyFont="1" applyAlignment="1" applyProtection="1">
      <alignment horizontal="right"/>
    </xf>
    <xf numFmtId="2" fontId="0" fillId="0" borderId="0" xfId="0" applyNumberFormat="1" applyFont="1"/>
    <xf numFmtId="0" fontId="4" fillId="0" borderId="0" xfId="0" applyNumberFormat="1" applyFont="1" applyFill="1" applyBorder="1" applyAlignment="1" applyProtection="1"/>
    <xf numFmtId="164" fontId="0" fillId="0" borderId="0" xfId="0" applyNumberFormat="1" applyFont="1" applyProtection="1"/>
    <xf numFmtId="2" fontId="0" fillId="0" borderId="0" xfId="0" applyNumberFormat="1" applyFont="1" applyProtection="1"/>
    <xf numFmtId="0" fontId="4" fillId="0" borderId="0" xfId="0" applyNumberFormat="1" applyFont="1" applyFill="1" applyBorder="1" applyAlignment="1"/>
    <xf numFmtId="2" fontId="4" fillId="0" borderId="0" xfId="0" applyNumberFormat="1" applyFont="1" applyFill="1" applyBorder="1" applyAlignment="1"/>
    <xf numFmtId="2" fontId="12" fillId="0" borderId="0" xfId="0" applyNumberFormat="1" applyFont="1"/>
    <xf numFmtId="49" fontId="0" fillId="0" borderId="0" xfId="0" quotePrefix="1" applyNumberFormat="1" applyFont="1" applyAlignment="1">
      <alignment horizontal="right"/>
    </xf>
    <xf numFmtId="49" fontId="0" fillId="0" borderId="0" xfId="0" quotePrefix="1" applyNumberFormat="1" applyFont="1" applyAlignment="1" applyProtection="1">
      <alignment horizontal="right"/>
    </xf>
    <xf numFmtId="2" fontId="16" fillId="0" borderId="0" xfId="0" applyNumberFormat="1" applyFont="1"/>
    <xf numFmtId="2" fontId="4" fillId="0" borderId="0" xfId="0" applyNumberFormat="1" applyFont="1" applyFill="1" applyBorder="1" applyAlignment="1" applyProtection="1"/>
    <xf numFmtId="2" fontId="0" fillId="0" borderId="0" xfId="0" applyNumberFormat="1" applyFont="1" applyAlignment="1">
      <alignment horizontal="right"/>
    </xf>
    <xf numFmtId="2" fontId="4" fillId="0" borderId="0" xfId="0" applyNumberFormat="1" applyFont="1" applyFill="1" applyBorder="1"/>
    <xf numFmtId="0" fontId="0" fillId="0" borderId="0" xfId="0" applyFill="1" applyBorder="1"/>
    <xf numFmtId="164" fontId="0" fillId="0" borderId="0" xfId="0" quotePrefix="1" applyNumberFormat="1" applyFont="1" applyProtection="1"/>
    <xf numFmtId="2" fontId="0" fillId="0" borderId="0" xfId="0" quotePrefix="1" applyNumberFormat="1" applyFont="1"/>
    <xf numFmtId="2" fontId="0" fillId="0" borderId="0" xfId="0" quotePrefix="1" applyNumberFormat="1" applyFont="1" applyProtection="1"/>
    <xf numFmtId="49" fontId="16" fillId="0" borderId="0" xfId="0" applyNumberFormat="1" applyFont="1" applyProtection="1"/>
    <xf numFmtId="49" fontId="16" fillId="0" borderId="0" xfId="0" applyNumberFormat="1" applyFont="1"/>
    <xf numFmtId="49" fontId="16" fillId="0" borderId="0" xfId="0" quotePrefix="1" applyNumberFormat="1" applyFont="1"/>
    <xf numFmtId="2" fontId="16" fillId="0" borderId="0" xfId="0" quotePrefix="1" applyNumberFormat="1" applyFont="1"/>
    <xf numFmtId="164" fontId="0" fillId="0" borderId="2" xfId="0" applyNumberFormat="1" applyFont="1" applyBorder="1" applyProtection="1"/>
    <xf numFmtId="2" fontId="0" fillId="0" borderId="2" xfId="0" applyNumberFormat="1" applyFont="1" applyBorder="1"/>
    <xf numFmtId="2" fontId="12" fillId="0" borderId="2" xfId="0" applyNumberFormat="1" applyFont="1" applyBorder="1"/>
    <xf numFmtId="0" fontId="12" fillId="0" borderId="2" xfId="0" applyFont="1" applyBorder="1"/>
    <xf numFmtId="164" fontId="0" fillId="0" borderId="1" xfId="0" applyNumberFormat="1" applyFont="1" applyBorder="1" applyProtection="1"/>
    <xf numFmtId="2" fontId="0" fillId="0" borderId="1" xfId="0" applyNumberFormat="1" applyFont="1" applyBorder="1"/>
    <xf numFmtId="0" fontId="12" fillId="0" borderId="1" xfId="0" applyFont="1" applyBorder="1"/>
    <xf numFmtId="0" fontId="3" fillId="0" borderId="0" xfId="0" applyFont="1" applyBorder="1"/>
    <xf numFmtId="0" fontId="16" fillId="0" borderId="0" xfId="0" applyFont="1" applyBorder="1"/>
    <xf numFmtId="164" fontId="16" fillId="0" borderId="0" xfId="0" applyNumberFormat="1" applyFont="1" applyBorder="1" applyProtection="1"/>
    <xf numFmtId="2" fontId="16" fillId="0" borderId="0" xfId="0" applyNumberFormat="1" applyFont="1" applyBorder="1"/>
    <xf numFmtId="0" fontId="13" fillId="0" borderId="0" xfId="0" applyFont="1" applyBorder="1"/>
    <xf numFmtId="0" fontId="17" fillId="0" borderId="0" xfId="0" applyFont="1" applyBorder="1"/>
    <xf numFmtId="0" fontId="0" fillId="0" borderId="3" xfId="0" applyFont="1" applyBorder="1"/>
    <xf numFmtId="0" fontId="3" fillId="0" borderId="0" xfId="0" applyFont="1" applyFill="1"/>
    <xf numFmtId="2" fontId="3" fillId="0" borderId="0" xfId="0" applyNumberFormat="1" applyFont="1" applyFill="1"/>
    <xf numFmtId="0" fontId="16" fillId="0" borderId="2" xfId="0" applyFont="1" applyBorder="1"/>
    <xf numFmtId="1" fontId="13" fillId="0" borderId="0" xfId="0" applyNumberFormat="1" applyFont="1"/>
    <xf numFmtId="0" fontId="3" fillId="0" borderId="5" xfId="0" applyFont="1" applyFill="1" applyBorder="1" applyAlignment="1">
      <alignment horizontal="left" vertical="top"/>
    </xf>
    <xf numFmtId="0" fontId="16" fillId="0" borderId="5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0" fontId="16" fillId="0" borderId="8" xfId="0" applyFont="1" applyFill="1" applyBorder="1" applyAlignment="1">
      <alignment horizontal="left" vertical="top"/>
    </xf>
    <xf numFmtId="0" fontId="0" fillId="0" borderId="7" xfId="0" applyFont="1" applyFill="1" applyBorder="1"/>
    <xf numFmtId="1" fontId="0" fillId="0" borderId="8" xfId="0" applyNumberFormat="1" applyFont="1" applyFill="1" applyBorder="1"/>
    <xf numFmtId="0" fontId="16" fillId="0" borderId="0" xfId="0" applyFont="1" applyFill="1"/>
    <xf numFmtId="0" fontId="13" fillId="0" borderId="0" xfId="0" applyFont="1" applyFill="1"/>
    <xf numFmtId="0" fontId="0" fillId="0" borderId="9" xfId="0" applyFont="1" applyFill="1" applyBorder="1"/>
    <xf numFmtId="1" fontId="0" fillId="0" borderId="10" xfId="0" applyNumberFormat="1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2" fontId="13" fillId="0" borderId="0" xfId="0" applyNumberFormat="1" applyFont="1"/>
    <xf numFmtId="0" fontId="16" fillId="0" borderId="0" xfId="0" applyFont="1" applyFill="1" applyBorder="1" applyAlignment="1">
      <alignment horizontal="left" vertical="top"/>
    </xf>
    <xf numFmtId="166" fontId="16" fillId="0" borderId="0" xfId="0" applyNumberFormat="1" applyFont="1" applyFill="1" applyBorder="1" applyAlignment="1">
      <alignment horizontal="left" vertical="top"/>
    </xf>
    <xf numFmtId="0" fontId="0" fillId="0" borderId="0" xfId="0" applyFont="1" applyAlignment="1">
      <alignment horizontal="right"/>
    </xf>
    <xf numFmtId="0" fontId="0" fillId="2" borderId="0" xfId="0" quotePrefix="1" applyFont="1" applyFill="1" applyBorder="1"/>
    <xf numFmtId="0" fontId="0" fillId="2" borderId="0" xfId="0" applyFont="1" applyFill="1" applyBorder="1"/>
    <xf numFmtId="2" fontId="0" fillId="0" borderId="0" xfId="0" applyNumberFormat="1" applyFont="1" applyBorder="1"/>
    <xf numFmtId="0" fontId="16" fillId="0" borderId="0" xfId="0" applyFont="1" applyBorder="1" applyAlignment="1">
      <alignment horizontal="left" vertical="top"/>
    </xf>
    <xf numFmtId="166" fontId="16" fillId="0" borderId="0" xfId="0" applyNumberFormat="1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0" fillId="0" borderId="0" xfId="0" quotePrefix="1" applyFont="1" applyBorder="1"/>
    <xf numFmtId="165" fontId="0" fillId="0" borderId="0" xfId="0" applyNumberFormat="1" applyFont="1" applyBorder="1" applyProtection="1"/>
    <xf numFmtId="165" fontId="0" fillId="0" borderId="0" xfId="0" applyNumberFormat="1" applyFont="1" applyBorder="1"/>
    <xf numFmtId="165" fontId="0" fillId="0" borderId="1" xfId="0" applyNumberFormat="1" applyFont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2" xfId="0" applyFont="1" applyBorder="1"/>
    <xf numFmtId="0" fontId="21" fillId="0" borderId="2" xfId="0" applyFont="1" applyBorder="1" applyAlignment="1">
      <alignment horizontal="right"/>
    </xf>
    <xf numFmtId="0" fontId="21" fillId="0" borderId="2" xfId="0" applyFont="1" applyBorder="1" applyAlignment="1">
      <alignment horizontal="left"/>
    </xf>
    <xf numFmtId="0" fontId="21" fillId="0" borderId="0" xfId="0" applyFont="1" applyBorder="1"/>
    <xf numFmtId="0" fontId="21" fillId="0" borderId="0" xfId="0" applyFont="1" applyBorder="1" applyAlignment="1">
      <alignment horizontal="right"/>
    </xf>
    <xf numFmtId="0" fontId="21" fillId="0" borderId="0" xfId="0" applyFont="1" applyBorder="1" applyAlignment="1">
      <alignment horizontal="left"/>
    </xf>
    <xf numFmtId="0" fontId="21" fillId="0" borderId="1" xfId="0" applyFont="1" applyBorder="1"/>
    <xf numFmtId="0" fontId="21" fillId="0" borderId="1" xfId="0" applyFont="1" applyBorder="1" applyAlignment="1">
      <alignment horizontal="right"/>
    </xf>
    <xf numFmtId="164" fontId="21" fillId="0" borderId="0" xfId="0" applyNumberFormat="1" applyFont="1" applyProtection="1"/>
    <xf numFmtId="2" fontId="21" fillId="0" borderId="0" xfId="0" applyNumberFormat="1" applyFont="1"/>
    <xf numFmtId="166" fontId="21" fillId="0" borderId="0" xfId="0" applyNumberFormat="1" applyFont="1" applyProtection="1"/>
    <xf numFmtId="1" fontId="21" fillId="0" borderId="0" xfId="0" applyNumberFormat="1" applyFont="1"/>
    <xf numFmtId="166" fontId="21" fillId="0" borderId="0" xfId="0" applyNumberFormat="1" applyFont="1"/>
    <xf numFmtId="164" fontId="21" fillId="0" borderId="2" xfId="0" applyNumberFormat="1" applyFont="1" applyBorder="1" applyProtection="1"/>
    <xf numFmtId="2" fontId="21" fillId="0" borderId="2" xfId="0" applyNumberFormat="1" applyFont="1" applyBorder="1"/>
    <xf numFmtId="164" fontId="21" fillId="0" borderId="1" xfId="0" applyNumberFormat="1" applyFont="1" applyBorder="1" applyProtection="1"/>
    <xf numFmtId="2" fontId="21" fillId="0" borderId="1" xfId="0" applyNumberFormat="1" applyFont="1" applyBorder="1"/>
    <xf numFmtId="2" fontId="21" fillId="0" borderId="0" xfId="0" applyNumberFormat="1" applyFont="1" applyProtection="1"/>
    <xf numFmtId="0" fontId="21" fillId="0" borderId="3" xfId="0" applyFont="1" applyBorder="1"/>
    <xf numFmtId="0" fontId="21" fillId="0" borderId="0" xfId="0" applyFont="1" applyAlignment="1">
      <alignment horizontal="left" vertical="top"/>
    </xf>
    <xf numFmtId="9" fontId="21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center"/>
    </xf>
    <xf numFmtId="0" fontId="21" fillId="0" borderId="0" xfId="0" quotePrefix="1" applyFont="1" applyBorder="1"/>
    <xf numFmtId="166" fontId="21" fillId="0" borderId="0" xfId="0" applyNumberFormat="1" applyFont="1" applyBorder="1"/>
    <xf numFmtId="2" fontId="21" fillId="0" borderId="0" xfId="0" applyNumberFormat="1" applyFont="1" applyBorder="1"/>
    <xf numFmtId="165" fontId="21" fillId="0" borderId="0" xfId="0" applyNumberFormat="1" applyFont="1" applyBorder="1" applyProtection="1"/>
    <xf numFmtId="165" fontId="21" fillId="0" borderId="0" xfId="0" applyNumberFormat="1" applyFont="1" applyBorder="1"/>
    <xf numFmtId="165" fontId="21" fillId="0" borderId="1" xfId="0" applyNumberFormat="1" applyFont="1" applyBorder="1"/>
    <xf numFmtId="0" fontId="22" fillId="0" borderId="0" xfId="0" applyFont="1"/>
    <xf numFmtId="0" fontId="22" fillId="0" borderId="0" xfId="0" applyFont="1" applyFill="1"/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0" fontId="22" fillId="0" borderId="0" xfId="0" applyFont="1" applyBorder="1"/>
    <xf numFmtId="0" fontId="22" fillId="0" borderId="0" xfId="0" applyFont="1" applyBorder="1" applyAlignment="1">
      <alignment horizontal="right"/>
    </xf>
    <xf numFmtId="0" fontId="22" fillId="0" borderId="0" xfId="0" applyFont="1" applyBorder="1" applyAlignment="1">
      <alignment horizontal="center" vertical="center"/>
    </xf>
    <xf numFmtId="0" fontId="22" fillId="0" borderId="1" xfId="0" applyFont="1" applyBorder="1"/>
    <xf numFmtId="0" fontId="22" fillId="0" borderId="1" xfId="0" applyFont="1" applyBorder="1" applyAlignment="1">
      <alignment horizontal="right"/>
    </xf>
    <xf numFmtId="0" fontId="22" fillId="0" borderId="0" xfId="0" applyFont="1" applyFill="1" applyBorder="1"/>
    <xf numFmtId="0" fontId="22" fillId="0" borderId="0" xfId="0" applyFont="1" applyFill="1" applyBorder="1" applyAlignment="1">
      <alignment horizontal="right"/>
    </xf>
    <xf numFmtId="2" fontId="22" fillId="0" borderId="0" xfId="0" applyNumberFormat="1" applyFont="1" applyFill="1" applyBorder="1" applyAlignment="1">
      <alignment horizontal="right"/>
    </xf>
    <xf numFmtId="1" fontId="22" fillId="0" borderId="0" xfId="0" applyNumberFormat="1" applyFont="1" applyFill="1" applyBorder="1" applyAlignment="1">
      <alignment horizontal="right"/>
    </xf>
    <xf numFmtId="164" fontId="22" fillId="0" borderId="0" xfId="0" quotePrefix="1" applyNumberFormat="1" applyFont="1" applyFill="1" applyProtection="1"/>
    <xf numFmtId="2" fontId="22" fillId="0" borderId="0" xfId="0" applyNumberFormat="1" applyFont="1" applyFill="1"/>
    <xf numFmtId="2" fontId="22" fillId="0" borderId="0" xfId="0" applyNumberFormat="1" applyFont="1" applyFill="1" applyProtection="1"/>
    <xf numFmtId="1" fontId="22" fillId="0" borderId="0" xfId="0" applyNumberFormat="1" applyFont="1" applyFill="1"/>
    <xf numFmtId="164" fontId="22" fillId="0" borderId="0" xfId="0" quotePrefix="1" applyNumberFormat="1" applyFont="1" applyFill="1" applyAlignment="1" applyProtection="1">
      <alignment horizontal="right"/>
    </xf>
    <xf numFmtId="165" fontId="21" fillId="0" borderId="0" xfId="0" applyNumberFormat="1" applyFont="1" applyFill="1" applyBorder="1" applyProtection="1"/>
    <xf numFmtId="164" fontId="22" fillId="0" borderId="0" xfId="0" applyNumberFormat="1" applyFont="1" applyFill="1" applyProtection="1"/>
    <xf numFmtId="164" fontId="22" fillId="0" borderId="2" xfId="0" applyNumberFormat="1" applyFont="1" applyFill="1" applyBorder="1" applyProtection="1"/>
    <xf numFmtId="2" fontId="22" fillId="0" borderId="2" xfId="0" applyNumberFormat="1" applyFont="1" applyFill="1" applyBorder="1"/>
    <xf numFmtId="1" fontId="22" fillId="0" borderId="2" xfId="0" applyNumberFormat="1" applyFont="1" applyFill="1" applyBorder="1"/>
    <xf numFmtId="164" fontId="22" fillId="0" borderId="1" xfId="0" applyNumberFormat="1" applyFont="1" applyFill="1" applyBorder="1" applyProtection="1"/>
    <xf numFmtId="2" fontId="22" fillId="0" borderId="1" xfId="0" applyNumberFormat="1" applyFont="1" applyFill="1" applyBorder="1"/>
    <xf numFmtId="1" fontId="22" fillId="0" borderId="1" xfId="0" applyNumberFormat="1" applyFont="1" applyFill="1" applyBorder="1"/>
    <xf numFmtId="0" fontId="22" fillId="0" borderId="1" xfId="0" applyFont="1" applyFill="1" applyBorder="1"/>
    <xf numFmtId="0" fontId="22" fillId="0" borderId="3" xfId="0" applyFont="1" applyBorder="1"/>
    <xf numFmtId="2" fontId="21" fillId="0" borderId="0" xfId="0" applyNumberFormat="1" applyFont="1" applyFill="1" applyBorder="1"/>
    <xf numFmtId="0" fontId="21" fillId="0" borderId="0" xfId="0" applyFont="1" applyFill="1" applyBorder="1"/>
    <xf numFmtId="2" fontId="22" fillId="0" borderId="0" xfId="0" applyNumberFormat="1" applyFont="1"/>
    <xf numFmtId="1" fontId="22" fillId="0" borderId="0" xfId="0" applyNumberFormat="1" applyFont="1"/>
    <xf numFmtId="0" fontId="22" fillId="0" borderId="0" xfId="0" quotePrefix="1" applyFont="1" applyBorder="1"/>
    <xf numFmtId="2" fontId="22" fillId="0" borderId="0" xfId="0" applyNumberFormat="1" applyFont="1" applyBorder="1"/>
    <xf numFmtId="2" fontId="22" fillId="0" borderId="0" xfId="0" quotePrefix="1" applyNumberFormat="1" applyFont="1" applyBorder="1"/>
    <xf numFmtId="2" fontId="4" fillId="0" borderId="0" xfId="0" applyNumberFormat="1" applyFont="1" applyBorder="1"/>
    <xf numFmtId="0" fontId="21" fillId="0" borderId="3" xfId="0" applyFont="1" applyBorder="1" applyAlignment="1">
      <alignment horizontal="right"/>
    </xf>
    <xf numFmtId="0" fontId="22" fillId="0" borderId="0" xfId="0" applyFont="1" applyAlignment="1">
      <alignment horizontal="right"/>
    </xf>
    <xf numFmtId="165" fontId="22" fillId="0" borderId="0" xfId="0" applyNumberFormat="1" applyFont="1" applyBorder="1" applyProtection="1"/>
    <xf numFmtId="0" fontId="21" fillId="0" borderId="0" xfId="0" applyFont="1" applyFill="1"/>
    <xf numFmtId="165" fontId="22" fillId="0" borderId="0" xfId="0" applyNumberFormat="1" applyFont="1" applyBorder="1"/>
    <xf numFmtId="165" fontId="22" fillId="0" borderId="1" xfId="0" applyNumberFormat="1" applyFont="1" applyBorder="1"/>
    <xf numFmtId="0" fontId="7" fillId="0" borderId="0" xfId="0" applyFont="1" applyFill="1"/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Alignment="1">
      <alignment horizontal="right"/>
    </xf>
    <xf numFmtId="0" fontId="7" fillId="0" borderId="2" xfId="0" applyFont="1" applyFill="1" applyBorder="1"/>
    <xf numFmtId="0" fontId="7" fillId="0" borderId="2" xfId="0" applyFont="1" applyFill="1" applyBorder="1" applyAlignment="1">
      <alignment horizontal="right"/>
    </xf>
    <xf numFmtId="2" fontId="7" fillId="0" borderId="2" xfId="0" applyNumberFormat="1" applyFont="1" applyFill="1" applyBorder="1" applyAlignment="1">
      <alignment horizontal="right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2" fontId="7" fillId="0" borderId="0" xfId="0" applyNumberFormat="1" applyFont="1" applyFill="1" applyBorder="1" applyAlignment="1">
      <alignment horizontal="righ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164" fontId="7" fillId="0" borderId="0" xfId="0" applyNumberFormat="1" applyFont="1" applyFill="1" applyAlignment="1" applyProtection="1">
      <alignment horizontal="right"/>
    </xf>
    <xf numFmtId="2" fontId="7" fillId="0" borderId="0" xfId="0" applyNumberFormat="1" applyFont="1" applyFill="1" applyAlignment="1" applyProtection="1">
      <alignment horizontal="right"/>
    </xf>
    <xf numFmtId="164" fontId="7" fillId="0" borderId="0" xfId="0" quotePrefix="1" applyNumberFormat="1" applyFont="1" applyFill="1" applyAlignment="1" applyProtection="1">
      <alignment horizontal="right"/>
    </xf>
    <xf numFmtId="2" fontId="7" fillId="0" borderId="0" xfId="0" quotePrefix="1" applyNumberFormat="1" applyFont="1" applyFill="1" applyAlignment="1">
      <alignment horizontal="right"/>
    </xf>
    <xf numFmtId="2" fontId="7" fillId="0" borderId="0" xfId="0" quotePrefix="1" applyNumberFormat="1" applyFont="1" applyFill="1" applyAlignment="1" applyProtection="1">
      <alignment horizontal="right"/>
    </xf>
    <xf numFmtId="0" fontId="7" fillId="0" borderId="0" xfId="0" quotePrefix="1" applyFont="1" applyFill="1" applyAlignment="1">
      <alignment horizontal="right"/>
    </xf>
    <xf numFmtId="164" fontId="7" fillId="0" borderId="2" xfId="0" applyNumberFormat="1" applyFont="1" applyFill="1" applyBorder="1" applyAlignment="1" applyProtection="1">
      <alignment horizontal="right"/>
    </xf>
    <xf numFmtId="164" fontId="7" fillId="0" borderId="1" xfId="0" applyNumberFormat="1" applyFont="1" applyFill="1" applyBorder="1" applyAlignment="1" applyProtection="1">
      <alignment horizontal="right"/>
    </xf>
    <xf numFmtId="2" fontId="5" fillId="0" borderId="0" xfId="0" applyNumberFormat="1" applyFont="1" applyFill="1" applyAlignment="1">
      <alignment horizontal="right" vertical="top"/>
    </xf>
    <xf numFmtId="0" fontId="7" fillId="0" borderId="3" xfId="0" applyFont="1" applyFill="1" applyBorder="1"/>
    <xf numFmtId="0" fontId="7" fillId="0" borderId="3" xfId="0" applyFont="1" applyFill="1" applyBorder="1" applyAlignment="1">
      <alignment horizontal="right"/>
    </xf>
    <xf numFmtId="2" fontId="23" fillId="0" borderId="7" xfId="0" applyNumberFormat="1" applyFont="1" applyFill="1" applyBorder="1" applyAlignment="1">
      <alignment horizontal="right" vertical="top"/>
    </xf>
    <xf numFmtId="2" fontId="5" fillId="0" borderId="8" xfId="0" applyNumberFormat="1" applyFont="1" applyFill="1" applyBorder="1" applyAlignment="1">
      <alignment horizontal="right" vertical="top"/>
    </xf>
    <xf numFmtId="2" fontId="5" fillId="0" borderId="9" xfId="0" applyNumberFormat="1" applyFont="1" applyFill="1" applyBorder="1" applyAlignment="1">
      <alignment horizontal="right" vertical="top"/>
    </xf>
    <xf numFmtId="1" fontId="5" fillId="0" borderId="10" xfId="0" applyNumberFormat="1" applyFont="1" applyFill="1" applyBorder="1" applyAlignment="1">
      <alignment horizontal="right" vertical="top"/>
    </xf>
    <xf numFmtId="2" fontId="5" fillId="0" borderId="11" xfId="0" applyNumberFormat="1" applyFont="1" applyFill="1" applyBorder="1" applyAlignment="1">
      <alignment horizontal="right" vertical="top"/>
    </xf>
    <xf numFmtId="1" fontId="5" fillId="0" borderId="12" xfId="0" applyNumberFormat="1" applyFont="1" applyFill="1" applyBorder="1" applyAlignment="1">
      <alignment horizontal="right" vertical="top"/>
    </xf>
    <xf numFmtId="165" fontId="7" fillId="0" borderId="0" xfId="0" applyNumberFormat="1" applyFont="1" applyFill="1" applyBorder="1" applyAlignment="1" applyProtection="1">
      <alignment horizontal="right"/>
    </xf>
    <xf numFmtId="165" fontId="7" fillId="0" borderId="0" xfId="0" applyNumberFormat="1" applyFont="1" applyFill="1" applyBorder="1" applyAlignment="1">
      <alignment horizontal="right"/>
    </xf>
    <xf numFmtId="165" fontId="7" fillId="0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64" fontId="4" fillId="0" borderId="0" xfId="0" applyNumberFormat="1" applyFont="1" applyProtection="1"/>
    <xf numFmtId="2" fontId="4" fillId="0" borderId="0" xfId="0" applyNumberFormat="1" applyFont="1" applyProtection="1"/>
    <xf numFmtId="49" fontId="4" fillId="0" borderId="0" xfId="0" applyNumberFormat="1" applyFont="1" applyProtection="1"/>
    <xf numFmtId="167" fontId="4" fillId="0" borderId="0" xfId="0" applyNumberFormat="1" applyFont="1"/>
    <xf numFmtId="49" fontId="4" fillId="0" borderId="0" xfId="0" applyNumberFormat="1" applyFont="1"/>
    <xf numFmtId="0" fontId="4" fillId="0" borderId="5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left" vertical="top"/>
    </xf>
    <xf numFmtId="0" fontId="24" fillId="0" borderId="0" xfId="0" applyFont="1"/>
    <xf numFmtId="165" fontId="4" fillId="3" borderId="0" xfId="0" applyNumberFormat="1" applyFont="1" applyFill="1" applyBorder="1" applyProtection="1"/>
    <xf numFmtId="0" fontId="4" fillId="3" borderId="0" xfId="0" applyFont="1" applyFill="1"/>
    <xf numFmtId="0" fontId="4" fillId="0" borderId="2" xfId="0" applyFont="1" applyFill="1" applyBorder="1"/>
    <xf numFmtId="0" fontId="4" fillId="0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left"/>
    </xf>
    <xf numFmtId="0" fontId="7" fillId="0" borderId="2" xfId="0" applyFont="1" applyBorder="1" applyAlignment="1">
      <alignment horizontal="right"/>
    </xf>
    <xf numFmtId="0" fontId="4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164" fontId="4" fillId="0" borderId="0" xfId="0" applyNumberFormat="1" applyFont="1" applyFill="1" applyAlignment="1" applyProtection="1">
      <alignment horizontal="center"/>
    </xf>
    <xf numFmtId="0" fontId="4" fillId="0" borderId="0" xfId="0" applyFont="1" applyFill="1" applyBorder="1" applyAlignment="1">
      <alignment horizontal="left" vertical="top"/>
    </xf>
    <xf numFmtId="164" fontId="4" fillId="0" borderId="2" xfId="0" applyNumberFormat="1" applyFont="1" applyFill="1" applyBorder="1" applyProtection="1"/>
    <xf numFmtId="2" fontId="4" fillId="0" borderId="2" xfId="0" applyNumberFormat="1" applyFont="1" applyFill="1" applyBorder="1"/>
    <xf numFmtId="164" fontId="4" fillId="0" borderId="1" xfId="0" applyNumberFormat="1" applyFont="1" applyFill="1" applyBorder="1" applyProtection="1"/>
    <xf numFmtId="2" fontId="4" fillId="0" borderId="1" xfId="0" applyNumberFormat="1" applyFont="1" applyFill="1" applyBorder="1"/>
    <xf numFmtId="0" fontId="4" fillId="0" borderId="3" xfId="0" applyFont="1" applyFill="1" applyBorder="1"/>
    <xf numFmtId="166" fontId="4" fillId="0" borderId="5" xfId="0" applyNumberFormat="1" applyFont="1" applyFill="1" applyBorder="1"/>
    <xf numFmtId="0" fontId="4" fillId="0" borderId="0" xfId="0" applyFont="1" applyFill="1" applyAlignment="1">
      <alignment horizontal="right"/>
    </xf>
    <xf numFmtId="165" fontId="24" fillId="0" borderId="5" xfId="0" applyNumberFormat="1" applyFont="1" applyFill="1" applyBorder="1" applyProtection="1"/>
    <xf numFmtId="0" fontId="4" fillId="0" borderId="5" xfId="0" applyFont="1" applyFill="1" applyBorder="1" applyAlignment="1">
      <alignment horizontal="left" vertical="top"/>
    </xf>
    <xf numFmtId="1" fontId="4" fillId="0" borderId="5" xfId="0" applyNumberFormat="1" applyFont="1" applyFill="1" applyBorder="1" applyAlignment="1">
      <alignment horizontal="left" vertical="top"/>
    </xf>
    <xf numFmtId="0" fontId="4" fillId="0" borderId="0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4" fillId="0" borderId="0" xfId="0" applyFont="1" applyFill="1"/>
    <xf numFmtId="165" fontId="4" fillId="0" borderId="0" xfId="0" applyNumberFormat="1" applyFont="1" applyFill="1" applyBorder="1" applyProtection="1"/>
    <xf numFmtId="165" fontId="4" fillId="0" borderId="0" xfId="0" applyNumberFormat="1" applyFont="1" applyFill="1" applyBorder="1"/>
    <xf numFmtId="165" fontId="4" fillId="0" borderId="1" xfId="0" applyNumberFormat="1" applyFont="1" applyFill="1" applyBorder="1"/>
    <xf numFmtId="0" fontId="7" fillId="0" borderId="2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" fillId="0" borderId="0" xfId="0" applyFont="1"/>
    <xf numFmtId="164" fontId="1" fillId="0" borderId="0" xfId="0" applyNumberFormat="1" applyFont="1" applyProtection="1"/>
    <xf numFmtId="2" fontId="1" fillId="0" borderId="0" xfId="0" applyNumberFormat="1" applyFont="1"/>
    <xf numFmtId="2" fontId="1" fillId="0" borderId="0" xfId="0" applyNumberFormat="1" applyFont="1" applyProtection="1"/>
    <xf numFmtId="1" fontId="7" fillId="0" borderId="0" xfId="0" applyNumberFormat="1" applyFont="1"/>
    <xf numFmtId="0" fontId="1" fillId="0" borderId="2" xfId="0" applyFont="1" applyBorder="1"/>
    <xf numFmtId="164" fontId="1" fillId="0" borderId="2" xfId="0" applyNumberFormat="1" applyFont="1" applyBorder="1" applyProtection="1"/>
    <xf numFmtId="2" fontId="1" fillId="0" borderId="2" xfId="0" applyNumberFormat="1" applyFont="1" applyBorder="1"/>
    <xf numFmtId="1" fontId="7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 applyProtection="1"/>
    <xf numFmtId="2" fontId="1" fillId="0" borderId="1" xfId="0" applyNumberFormat="1" applyFon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0" fillId="0" borderId="5" xfId="0" applyBorder="1" applyAlignment="1">
      <alignment horizontal="left" vertical="top"/>
    </xf>
    <xf numFmtId="166" fontId="7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1" fontId="0" fillId="0" borderId="5" xfId="0" applyNumberFormat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" fillId="0" borderId="0" xfId="0" applyFont="1" applyBorder="1"/>
    <xf numFmtId="0" fontId="0" fillId="0" borderId="0" xfId="0" applyFill="1" applyAlignment="1">
      <alignment horizontal="left" vertical="top"/>
    </xf>
    <xf numFmtId="0" fontId="4" fillId="0" borderId="0" xfId="0" quotePrefix="1" applyFont="1" applyFill="1"/>
    <xf numFmtId="2" fontId="7" fillId="0" borderId="0" xfId="0" applyNumberFormat="1" applyFont="1" applyFill="1"/>
    <xf numFmtId="2" fontId="4" fillId="0" borderId="0" xfId="0" applyNumberFormat="1" applyFont="1" applyFill="1" applyBorder="1" applyAlignment="1">
      <alignment horizontal="left" vertical="top"/>
    </xf>
    <xf numFmtId="0" fontId="4" fillId="0" borderId="0" xfId="0" quotePrefix="1" applyFont="1" applyFill="1" applyBorder="1"/>
    <xf numFmtId="0" fontId="24" fillId="0" borderId="2" xfId="0" applyFont="1" applyFill="1" applyBorder="1"/>
    <xf numFmtId="0" fontId="4" fillId="0" borderId="0" xfId="0" applyFont="1" applyFill="1" applyAlignment="1">
      <alignment horizontal="left" vertical="top"/>
    </xf>
    <xf numFmtId="164" fontId="7" fillId="0" borderId="0" xfId="0" applyNumberFormat="1" applyFont="1" applyBorder="1" applyProtection="1"/>
    <xf numFmtId="2" fontId="7" fillId="0" borderId="0" xfId="0" applyNumberFormat="1" applyFont="1" applyBorder="1"/>
    <xf numFmtId="2" fontId="7" fillId="0" borderId="0" xfId="0" applyNumberFormat="1" applyFont="1" applyBorder="1" applyProtection="1"/>
    <xf numFmtId="2" fontId="2" fillId="0" borderId="0" xfId="0" applyNumberFormat="1" applyFont="1" applyBorder="1"/>
    <xf numFmtId="2" fontId="7" fillId="0" borderId="0" xfId="0" quotePrefix="1" applyNumberFormat="1" applyFont="1" applyBorder="1"/>
    <xf numFmtId="2" fontId="7" fillId="0" borderId="0" xfId="0" applyNumberFormat="1" applyFont="1" applyFill="1" applyBorder="1"/>
    <xf numFmtId="0" fontId="7" fillId="0" borderId="0" xfId="0" quotePrefix="1" applyFont="1" applyBorder="1"/>
    <xf numFmtId="2" fontId="0" fillId="0" borderId="0" xfId="0" applyNumberForma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2" fillId="0" borderId="0" xfId="0" quotePrefix="1" applyFont="1" applyBorder="1"/>
    <xf numFmtId="0" fontId="25" fillId="0" borderId="0" xfId="0" applyFont="1" applyBorder="1"/>
    <xf numFmtId="0" fontId="0" fillId="0" borderId="0" xfId="0" applyBorder="1"/>
    <xf numFmtId="2" fontId="4" fillId="0" borderId="0" xfId="0" quotePrefix="1" applyNumberFormat="1" applyFont="1"/>
    <xf numFmtId="0" fontId="4" fillId="0" borderId="0" xfId="0" quotePrefix="1" applyFont="1"/>
    <xf numFmtId="2" fontId="4" fillId="0" borderId="7" xfId="0" applyNumberFormat="1" applyFont="1" applyBorder="1" applyAlignment="1">
      <alignment horizontal="left" vertical="top"/>
    </xf>
    <xf numFmtId="2" fontId="4" fillId="0" borderId="8" xfId="0" applyNumberFormat="1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2" fontId="4" fillId="0" borderId="10" xfId="0" applyNumberFormat="1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0" fontId="4" fillId="0" borderId="0" xfId="0" quotePrefix="1" applyFont="1" applyBorder="1"/>
    <xf numFmtId="166" fontId="4" fillId="0" borderId="0" xfId="0" applyNumberFormat="1" applyFont="1" applyBorder="1"/>
    <xf numFmtId="0" fontId="24" fillId="0" borderId="2" xfId="0" applyFont="1" applyBorder="1"/>
    <xf numFmtId="0" fontId="4" fillId="0" borderId="0" xfId="0" applyFont="1" applyAlignment="1">
      <alignment horizontal="left" vertical="top"/>
    </xf>
    <xf numFmtId="0" fontId="22" fillId="0" borderId="2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164" fontId="22" fillId="0" borderId="0" xfId="0" applyNumberFormat="1" applyFont="1" applyProtection="1"/>
    <xf numFmtId="2" fontId="22" fillId="0" borderId="0" xfId="0" applyNumberFormat="1" applyFont="1" applyProtection="1"/>
    <xf numFmtId="2" fontId="22" fillId="0" borderId="0" xfId="0" quotePrefix="1" applyNumberFormat="1" applyFont="1"/>
    <xf numFmtId="164" fontId="22" fillId="0" borderId="2" xfId="0" applyNumberFormat="1" applyFont="1" applyBorder="1" applyProtection="1"/>
    <xf numFmtId="2" fontId="22" fillId="0" borderId="2" xfId="0" applyNumberFormat="1" applyFont="1" applyBorder="1"/>
    <xf numFmtId="164" fontId="22" fillId="0" borderId="1" xfId="0" applyNumberFormat="1" applyFont="1" applyBorder="1" applyProtection="1"/>
    <xf numFmtId="2" fontId="22" fillId="0" borderId="1" xfId="0" applyNumberFormat="1" applyFont="1" applyBorder="1"/>
    <xf numFmtId="0" fontId="26" fillId="0" borderId="0" xfId="0" applyFont="1"/>
    <xf numFmtId="9" fontId="22" fillId="0" borderId="0" xfId="0" applyNumberFormat="1" applyFont="1"/>
    <xf numFmtId="0" fontId="27" fillId="0" borderId="2" xfId="0" applyFont="1" applyBorder="1"/>
    <xf numFmtId="0" fontId="27" fillId="0" borderId="0" xfId="0" applyFont="1"/>
    <xf numFmtId="2" fontId="28" fillId="0" borderId="0" xfId="0" applyNumberFormat="1" applyFont="1"/>
    <xf numFmtId="0" fontId="28" fillId="0" borderId="0" xfId="0" applyFont="1"/>
    <xf numFmtId="0" fontId="22" fillId="0" borderId="0" xfId="0" applyFont="1" applyAlignment="1">
      <alignment horizontal="left" vertical="top"/>
    </xf>
    <xf numFmtId="0" fontId="29" fillId="0" borderId="0" xfId="0" applyFont="1" applyBorder="1"/>
    <xf numFmtId="0" fontId="9" fillId="0" borderId="0" xfId="0" applyFont="1" applyFill="1"/>
    <xf numFmtId="0" fontId="9" fillId="0" borderId="2" xfId="0" applyFont="1" applyFill="1" applyBorder="1"/>
    <xf numFmtId="0" fontId="9" fillId="0" borderId="2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left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right"/>
    </xf>
    <xf numFmtId="164" fontId="9" fillId="0" borderId="0" xfId="0" applyNumberFormat="1" applyFont="1" applyFill="1" applyProtection="1"/>
    <xf numFmtId="2" fontId="9" fillId="0" borderId="0" xfId="0" applyNumberFormat="1" applyFont="1" applyFill="1" applyProtection="1"/>
    <xf numFmtId="2" fontId="9" fillId="0" borderId="0" xfId="0" applyNumberFormat="1" applyFont="1" applyFill="1" applyBorder="1"/>
    <xf numFmtId="164" fontId="9" fillId="0" borderId="2" xfId="0" applyNumberFormat="1" applyFont="1" applyFill="1" applyBorder="1" applyProtection="1"/>
    <xf numFmtId="2" fontId="9" fillId="0" borderId="2" xfId="0" applyNumberFormat="1" applyFont="1" applyFill="1" applyBorder="1"/>
    <xf numFmtId="164" fontId="9" fillId="0" borderId="1" xfId="0" applyNumberFormat="1" applyFont="1" applyFill="1" applyBorder="1" applyProtection="1"/>
    <xf numFmtId="2" fontId="9" fillId="0" borderId="1" xfId="0" applyNumberFormat="1" applyFont="1" applyFill="1" applyBorder="1"/>
    <xf numFmtId="0" fontId="9" fillId="0" borderId="3" xfId="0" applyFont="1" applyFill="1" applyBorder="1"/>
    <xf numFmtId="0" fontId="21" fillId="0" borderId="5" xfId="0" applyFont="1" applyFill="1" applyBorder="1"/>
    <xf numFmtId="0" fontId="9" fillId="0" borderId="5" xfId="0" applyFont="1" applyFill="1" applyBorder="1"/>
    <xf numFmtId="166" fontId="9" fillId="0" borderId="5" xfId="0" applyNumberFormat="1" applyFont="1" applyFill="1" applyBorder="1"/>
    <xf numFmtId="0" fontId="9" fillId="0" borderId="0" xfId="0" quotePrefix="1" applyFont="1" applyFill="1" applyBorder="1" applyAlignment="1">
      <alignment horizontal="center"/>
    </xf>
    <xf numFmtId="0" fontId="30" fillId="0" borderId="0" xfId="0" applyFont="1" applyFill="1"/>
    <xf numFmtId="165" fontId="9" fillId="0" borderId="0" xfId="0" applyNumberFormat="1" applyFont="1" applyFill="1" applyBorder="1" applyProtection="1"/>
    <xf numFmtId="165" fontId="9" fillId="0" borderId="0" xfId="0" applyNumberFormat="1" applyFont="1" applyFill="1" applyBorder="1"/>
    <xf numFmtId="165" fontId="9" fillId="0" borderId="1" xfId="0" applyNumberFormat="1" applyFont="1" applyFill="1" applyBorder="1"/>
    <xf numFmtId="165" fontId="22" fillId="0" borderId="0" xfId="0" applyNumberFormat="1" applyFont="1" applyFill="1" applyProtection="1"/>
    <xf numFmtId="1" fontId="4" fillId="0" borderId="0" xfId="0" applyNumberFormat="1" applyFont="1" applyFill="1"/>
    <xf numFmtId="164" fontId="4" fillId="0" borderId="0" xfId="0" quotePrefix="1" applyNumberFormat="1" applyFont="1" applyFill="1" applyAlignment="1" applyProtection="1">
      <alignment horizontal="right"/>
    </xf>
    <xf numFmtId="168" fontId="4" fillId="0" borderId="0" xfId="1" quotePrefix="1" applyNumberFormat="1" applyFont="1" applyFill="1" applyAlignment="1">
      <alignment horizontal="right"/>
    </xf>
    <xf numFmtId="168" fontId="4" fillId="0" borderId="0" xfId="1" quotePrefix="1" applyNumberFormat="1" applyFont="1" applyFill="1" applyAlignment="1" applyProtection="1">
      <alignment horizontal="right"/>
    </xf>
    <xf numFmtId="1" fontId="4" fillId="0" borderId="2" xfId="0" applyNumberFormat="1" applyFont="1" applyFill="1" applyBorder="1"/>
    <xf numFmtId="1" fontId="4" fillId="0" borderId="1" xfId="0" applyNumberFormat="1" applyFont="1" applyFill="1" applyBorder="1"/>
    <xf numFmtId="2" fontId="4" fillId="0" borderId="5" xfId="0" applyNumberFormat="1" applyFont="1" applyFill="1" applyBorder="1"/>
    <xf numFmtId="2" fontId="4" fillId="0" borderId="0" xfId="0" quotePrefix="1" applyNumberFormat="1" applyFont="1" applyFill="1" applyBorder="1"/>
    <xf numFmtId="169" fontId="4" fillId="0" borderId="0" xfId="0" applyNumberFormat="1" applyFont="1" applyFill="1"/>
    <xf numFmtId="0" fontId="6" fillId="0" borderId="0" xfId="0" applyFont="1" applyFill="1"/>
    <xf numFmtId="2" fontId="22" fillId="0" borderId="0" xfId="0" applyNumberFormat="1" applyFont="1" applyFill="1" applyBorder="1"/>
    <xf numFmtId="1" fontId="22" fillId="0" borderId="2" xfId="0" applyNumberFormat="1" applyFont="1" applyBorder="1"/>
    <xf numFmtId="1" fontId="22" fillId="0" borderId="1" xfId="0" applyNumberFormat="1" applyFont="1" applyBorder="1"/>
    <xf numFmtId="2" fontId="21" fillId="0" borderId="5" xfId="0" applyNumberFormat="1" applyFont="1" applyFill="1" applyBorder="1"/>
    <xf numFmtId="0" fontId="21" fillId="0" borderId="0" xfId="0" applyFont="1" applyAlignment="1">
      <alignment horizontal="right"/>
    </xf>
    <xf numFmtId="0" fontId="31" fillId="0" borderId="0" xfId="0" applyFont="1"/>
    <xf numFmtId="0" fontId="32" fillId="0" borderId="0" xfId="0" applyFont="1"/>
    <xf numFmtId="1" fontId="4" fillId="0" borderId="0" xfId="0" applyNumberFormat="1" applyFont="1"/>
    <xf numFmtId="1" fontId="4" fillId="0" borderId="2" xfId="0" applyNumberFormat="1" applyFont="1" applyBorder="1"/>
    <xf numFmtId="9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1" xfId="0" applyNumberFormat="1" applyFont="1" applyBorder="1"/>
    <xf numFmtId="0" fontId="33" fillId="0" borderId="0" xfId="0" applyFont="1"/>
    <xf numFmtId="0" fontId="34" fillId="0" borderId="0" xfId="0" applyFont="1"/>
    <xf numFmtId="0" fontId="34" fillId="0" borderId="2" xfId="0" applyFont="1" applyBorder="1"/>
    <xf numFmtId="0" fontId="34" fillId="0" borderId="2" xfId="0" applyFont="1" applyBorder="1" applyAlignment="1">
      <alignment horizontal="right"/>
    </xf>
    <xf numFmtId="0" fontId="34" fillId="0" borderId="2" xfId="0" applyFont="1" applyBorder="1" applyAlignment="1">
      <alignment horizontal="left"/>
    </xf>
    <xf numFmtId="0" fontId="34" fillId="0" borderId="0" xfId="0" applyFont="1" applyBorder="1"/>
    <xf numFmtId="0" fontId="34" fillId="0" borderId="0" xfId="0" applyFont="1" applyBorder="1" applyAlignment="1">
      <alignment horizontal="right"/>
    </xf>
    <xf numFmtId="0" fontId="34" fillId="0" borderId="1" xfId="0" applyFont="1" applyBorder="1"/>
    <xf numFmtId="0" fontId="34" fillId="0" borderId="1" xfId="0" applyFont="1" applyBorder="1" applyAlignment="1">
      <alignment horizontal="right"/>
    </xf>
    <xf numFmtId="164" fontId="34" fillId="0" borderId="0" xfId="0" quotePrefix="1" applyNumberFormat="1" applyFont="1" applyProtection="1"/>
    <xf numFmtId="2" fontId="34" fillId="0" borderId="0" xfId="0" quotePrefix="1" applyNumberFormat="1" applyFont="1"/>
    <xf numFmtId="2" fontId="34" fillId="0" borderId="0" xfId="0" applyNumberFormat="1" applyFont="1"/>
    <xf numFmtId="2" fontId="34" fillId="0" borderId="0" xfId="0" applyNumberFormat="1" applyFont="1" applyProtection="1"/>
    <xf numFmtId="0" fontId="35" fillId="0" borderId="0" xfId="0" applyFont="1"/>
    <xf numFmtId="2" fontId="35" fillId="0" borderId="0" xfId="0" applyNumberFormat="1" applyFont="1"/>
    <xf numFmtId="2" fontId="34" fillId="0" borderId="0" xfId="0" applyNumberFormat="1" applyFont="1" applyFill="1"/>
    <xf numFmtId="2" fontId="35" fillId="0" borderId="0" xfId="0" applyNumberFormat="1" applyFont="1" applyFill="1"/>
    <xf numFmtId="2" fontId="34" fillId="0" borderId="0" xfId="0" applyNumberFormat="1" applyFont="1" applyFill="1" applyProtection="1"/>
    <xf numFmtId="2" fontId="35" fillId="0" borderId="0" xfId="0" quotePrefix="1" applyNumberFormat="1" applyFont="1"/>
    <xf numFmtId="164" fontId="34" fillId="0" borderId="2" xfId="0" applyNumberFormat="1" applyFont="1" applyBorder="1" applyProtection="1"/>
    <xf numFmtId="2" fontId="34" fillId="0" borderId="2" xfId="0" applyNumberFormat="1" applyFont="1" applyBorder="1"/>
    <xf numFmtId="164" fontId="34" fillId="0" borderId="1" xfId="0" applyNumberFormat="1" applyFont="1" applyBorder="1" applyProtection="1"/>
    <xf numFmtId="2" fontId="34" fillId="0" borderId="1" xfId="0" applyNumberFormat="1" applyFont="1" applyBorder="1"/>
    <xf numFmtId="0" fontId="34" fillId="0" borderId="3" xfId="0" applyFont="1" applyBorder="1"/>
    <xf numFmtId="2" fontId="36" fillId="0" borderId="0" xfId="0" applyNumberFormat="1" applyFont="1" applyFill="1" applyBorder="1"/>
    <xf numFmtId="0" fontId="23" fillId="0" borderId="0" xfId="0" applyFont="1" applyFill="1" applyBorder="1"/>
    <xf numFmtId="2" fontId="23" fillId="0" borderId="5" xfId="0" applyNumberFormat="1" applyFont="1" applyFill="1" applyBorder="1"/>
    <xf numFmtId="1" fontId="23" fillId="0" borderId="5" xfId="0" applyNumberFormat="1" applyFont="1" applyFill="1" applyBorder="1"/>
    <xf numFmtId="1" fontId="34" fillId="0" borderId="0" xfId="0" applyNumberFormat="1" applyFont="1"/>
    <xf numFmtId="0" fontId="23" fillId="0" borderId="5" xfId="0" applyFont="1" applyFill="1" applyBorder="1"/>
    <xf numFmtId="2" fontId="34" fillId="0" borderId="5" xfId="0" applyNumberFormat="1" applyFont="1" applyBorder="1"/>
    <xf numFmtId="1" fontId="34" fillId="0" borderId="5" xfId="0" applyNumberFormat="1" applyFont="1" applyBorder="1"/>
    <xf numFmtId="0" fontId="5" fillId="0" borderId="0" xfId="0" applyFont="1" applyBorder="1"/>
    <xf numFmtId="1" fontId="34" fillId="0" borderId="0" xfId="0" applyNumberFormat="1" applyFont="1" applyBorder="1"/>
    <xf numFmtId="164" fontId="34" fillId="0" borderId="0" xfId="0" applyNumberFormat="1" applyFont="1"/>
    <xf numFmtId="0" fontId="5" fillId="0" borderId="5" xfId="0" applyFont="1" applyBorder="1"/>
    <xf numFmtId="1" fontId="0" fillId="0" borderId="0" xfId="0" applyNumberFormat="1" applyBorder="1"/>
    <xf numFmtId="0" fontId="0" fillId="0" borderId="5" xfId="0" applyBorder="1"/>
    <xf numFmtId="0" fontId="33" fillId="0" borderId="0" xfId="0" applyFont="1" applyBorder="1"/>
    <xf numFmtId="0" fontId="34" fillId="0" borderId="0" xfId="0" quotePrefix="1" applyFont="1" applyBorder="1"/>
    <xf numFmtId="0" fontId="34" fillId="0" borderId="0" xfId="0" quotePrefix="1" applyFont="1" applyFill="1" applyBorder="1"/>
    <xf numFmtId="0" fontId="34" fillId="0" borderId="0" xfId="0" applyFont="1" applyFill="1"/>
    <xf numFmtId="0" fontId="34" fillId="0" borderId="0" xfId="0" applyFont="1" applyFill="1" applyBorder="1"/>
    <xf numFmtId="2" fontId="34" fillId="0" borderId="0" xfId="0" applyNumberFormat="1" applyFont="1" applyFill="1" applyBorder="1"/>
    <xf numFmtId="2" fontId="34" fillId="0" borderId="0" xfId="0" quotePrefix="1" applyNumberFormat="1" applyFont="1" applyFill="1" applyBorder="1"/>
    <xf numFmtId="2" fontId="34" fillId="0" borderId="0" xfId="0" applyNumberFormat="1" applyFont="1" applyBorder="1"/>
    <xf numFmtId="1" fontId="34" fillId="0" borderId="0" xfId="0" quotePrefix="1" applyNumberFormat="1" applyFont="1" applyBorder="1"/>
    <xf numFmtId="2" fontId="34" fillId="0" borderId="0" xfId="0" quotePrefix="1" applyNumberFormat="1" applyFont="1" applyBorder="1"/>
    <xf numFmtId="2" fontId="33" fillId="0" borderId="0" xfId="0" applyNumberFormat="1" applyFont="1" applyBorder="1"/>
    <xf numFmtId="0" fontId="34" fillId="0" borderId="0" xfId="0" applyFont="1" applyFill="1" applyBorder="1" applyProtection="1"/>
    <xf numFmtId="165" fontId="34" fillId="0" borderId="0" xfId="0" applyNumberFormat="1" applyFont="1" applyFill="1" applyBorder="1"/>
    <xf numFmtId="165" fontId="34" fillId="0" borderId="0" xfId="0" applyNumberFormat="1" applyFont="1"/>
    <xf numFmtId="165" fontId="34" fillId="0" borderId="0" xfId="0" applyNumberFormat="1" applyFont="1" applyBorder="1"/>
    <xf numFmtId="165" fontId="34" fillId="0" borderId="1" xfId="0" applyNumberFormat="1" applyFont="1" applyBorder="1"/>
    <xf numFmtId="0" fontId="23" fillId="0" borderId="0" xfId="0" applyFont="1" applyFill="1"/>
    <xf numFmtId="0" fontId="37" fillId="0" borderId="0" xfId="0" applyFont="1"/>
    <xf numFmtId="9" fontId="7" fillId="0" borderId="0" xfId="0" applyNumberFormat="1" applyFont="1"/>
    <xf numFmtId="0" fontId="25" fillId="0" borderId="0" xfId="0" applyFont="1"/>
    <xf numFmtId="164" fontId="7" fillId="0" borderId="0" xfId="0" quotePrefix="1" applyNumberFormat="1" applyFont="1" applyProtection="1"/>
    <xf numFmtId="165" fontId="9" fillId="0" borderId="0" xfId="0" applyNumberFormat="1" applyFont="1" applyProtection="1"/>
    <xf numFmtId="0" fontId="7" fillId="0" borderId="7" xfId="0" applyFont="1" applyBorder="1"/>
    <xf numFmtId="2" fontId="0" fillId="0" borderId="8" xfId="0" applyNumberFormat="1" applyBorder="1" applyAlignment="1">
      <alignment horizontal="left" vertical="top"/>
    </xf>
    <xf numFmtId="0" fontId="7" fillId="0" borderId="11" xfId="0" applyFont="1" applyBorder="1"/>
    <xf numFmtId="2" fontId="0" fillId="0" borderId="12" xfId="0" applyNumberFormat="1" applyBorder="1" applyAlignment="1">
      <alignment horizontal="left" vertical="top"/>
    </xf>
    <xf numFmtId="9" fontId="7" fillId="0" borderId="8" xfId="0" applyNumberFormat="1" applyFont="1" applyBorder="1"/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5" fillId="0" borderId="11" xfId="0" applyFont="1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164" fontId="7" fillId="0" borderId="0" xfId="0" applyNumberFormat="1" applyFont="1" applyBorder="1"/>
    <xf numFmtId="0" fontId="5" fillId="0" borderId="0" xfId="0" applyFont="1" applyAlignment="1">
      <alignment horizontal="left" vertical="top"/>
    </xf>
    <xf numFmtId="0" fontId="38" fillId="0" borderId="0" xfId="0" applyFont="1"/>
    <xf numFmtId="0" fontId="39" fillId="0" borderId="0" xfId="0" applyFont="1"/>
    <xf numFmtId="0" fontId="0" fillId="0" borderId="8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0" xfId="0" applyFont="1" applyFill="1" applyBorder="1" applyAlignment="1">
      <alignment horizontal="left"/>
    </xf>
    <xf numFmtId="0" fontId="7" fillId="0" borderId="0" xfId="0" quotePrefix="1" applyFont="1" applyFill="1" applyBorder="1"/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22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0" xfId="0" applyFont="1" applyAlignment="1">
      <alignment horizontal="left" wrapText="1"/>
    </xf>
    <xf numFmtId="1" fontId="4" fillId="0" borderId="0" xfId="0" quotePrefix="1" applyNumberFormat="1" applyFont="1" applyBorder="1"/>
    <xf numFmtId="164" fontId="4" fillId="0" borderId="0" xfId="0" applyNumberFormat="1" applyFont="1" applyBorder="1"/>
    <xf numFmtId="2" fontId="0" fillId="0" borderId="0" xfId="0" applyNumberFormat="1"/>
    <xf numFmtId="164" fontId="22" fillId="0" borderId="0" xfId="0" applyNumberFormat="1" applyFont="1" applyBorder="1"/>
    <xf numFmtId="1" fontId="9" fillId="0" borderId="0" xfId="0" applyNumberFormat="1" applyFont="1" applyFill="1"/>
    <xf numFmtId="168" fontId="4" fillId="0" borderId="0" xfId="1" quotePrefix="1" applyNumberFormat="1" applyFont="1" applyFill="1" applyBorder="1" applyAlignment="1">
      <alignment horizontal="right"/>
    </xf>
    <xf numFmtId="164" fontId="22" fillId="0" borderId="0" xfId="0" quotePrefix="1" applyNumberFormat="1" applyFont="1" applyFill="1" applyBorder="1" applyProtection="1"/>
    <xf numFmtId="2" fontId="22" fillId="0" borderId="0" xfId="0" applyNumberFormat="1" applyFont="1" applyFill="1" applyBorder="1" applyProtection="1"/>
    <xf numFmtId="164" fontId="22" fillId="0" borderId="0" xfId="0" quotePrefix="1" applyNumberFormat="1" applyFont="1" applyFill="1" applyBorder="1" applyAlignment="1" applyProtection="1">
      <alignment horizontal="right"/>
    </xf>
    <xf numFmtId="2" fontId="22" fillId="0" borderId="0" xfId="0" applyNumberFormat="1" applyFont="1" applyFill="1" applyBorder="1" applyAlignment="1" applyProtection="1">
      <alignment horizontal="right"/>
    </xf>
    <xf numFmtId="2" fontId="22" fillId="0" borderId="0" xfId="0" quotePrefix="1" applyNumberFormat="1" applyFont="1" applyFill="1" applyBorder="1" applyAlignment="1">
      <alignment horizontal="right"/>
    </xf>
    <xf numFmtId="164" fontId="22" fillId="0" borderId="0" xfId="0" applyNumberFormat="1" applyFont="1" applyFill="1" applyBorder="1" applyProtection="1"/>
    <xf numFmtId="2" fontId="7" fillId="0" borderId="2" xfId="0" applyNumberFormat="1" applyFont="1" applyFill="1" applyBorder="1"/>
    <xf numFmtId="2" fontId="22" fillId="0" borderId="0" xfId="0" quotePrefix="1" applyNumberFormat="1" applyFont="1" applyFill="1"/>
    <xf numFmtId="164" fontId="21" fillId="0" borderId="0" xfId="0" quotePrefix="1" applyNumberFormat="1" applyFont="1" applyProtection="1"/>
    <xf numFmtId="2" fontId="21" fillId="0" borderId="0" xfId="0" quotePrefix="1" applyNumberFormat="1" applyFont="1"/>
    <xf numFmtId="1" fontId="0" fillId="0" borderId="0" xfId="0" quotePrefix="1" applyNumberFormat="1" applyFont="1"/>
    <xf numFmtId="165" fontId="9" fillId="0" borderId="0" xfId="0" quotePrefix="1" applyNumberFormat="1" applyFont="1" applyProtection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opLeftCell="A16" workbookViewId="0">
      <selection activeCell="I34" sqref="I34"/>
    </sheetView>
  </sheetViews>
  <sheetFormatPr defaultColWidth="8.7109375" defaultRowHeight="12.75"/>
  <cols>
    <col min="1" max="1" width="5.85546875" style="2" customWidth="1"/>
    <col min="2" max="2" width="10.140625" style="2" customWidth="1"/>
    <col min="3" max="3" width="12.140625" style="2" customWidth="1"/>
    <col min="4" max="5" width="5.140625" style="2" customWidth="1"/>
    <col min="6" max="6" width="5" style="2" customWidth="1"/>
    <col min="7" max="7" width="8.140625" style="2" customWidth="1"/>
    <col min="8" max="8" width="7.42578125" style="2" customWidth="1"/>
    <col min="9" max="9" width="8.42578125" style="2" customWidth="1"/>
    <col min="10" max="10" width="6.7109375" style="2" customWidth="1"/>
    <col min="11" max="11" width="7.5703125" style="2" customWidth="1"/>
    <col min="12" max="12" width="8.140625" style="2" customWidth="1"/>
    <col min="13" max="16384" width="8.7109375" style="2"/>
  </cols>
  <sheetData>
    <row r="1" spans="1:1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 t="s">
        <v>2</v>
      </c>
      <c r="C2" s="553" t="s">
        <v>3</v>
      </c>
      <c r="D2" s="553"/>
      <c r="E2" s="553" t="s">
        <v>4</v>
      </c>
      <c r="F2" s="553"/>
      <c r="G2" s="553"/>
      <c r="H2" s="1" t="s">
        <v>5</v>
      </c>
      <c r="I2" s="1"/>
      <c r="J2" s="1"/>
      <c r="K2" s="1"/>
      <c r="L2" s="1"/>
    </row>
    <row r="3" spans="1:12">
      <c r="A3" s="3" t="s">
        <v>6</v>
      </c>
      <c r="B3" s="3"/>
      <c r="C3" s="3"/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5" t="s">
        <v>15</v>
      </c>
    </row>
    <row r="4" spans="1:12">
      <c r="A4" s="6"/>
      <c r="B4" s="6"/>
      <c r="C4" s="6"/>
      <c r="D4" s="7" t="s">
        <v>16</v>
      </c>
      <c r="E4" s="7" t="s">
        <v>17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19</v>
      </c>
      <c r="K4" s="7" t="s">
        <v>19</v>
      </c>
      <c r="L4" s="8" t="s">
        <v>21</v>
      </c>
    </row>
    <row r="5" spans="1:12">
      <c r="A5" s="6"/>
      <c r="B5" s="6"/>
      <c r="C5" s="6"/>
      <c r="D5" s="7" t="s">
        <v>22</v>
      </c>
      <c r="E5" s="7"/>
      <c r="F5" s="7"/>
      <c r="G5" s="7"/>
      <c r="H5" s="7" t="s">
        <v>23</v>
      </c>
      <c r="I5" s="7" t="s">
        <v>19</v>
      </c>
      <c r="J5" s="7" t="s">
        <v>23</v>
      </c>
      <c r="K5" s="7" t="s">
        <v>23</v>
      </c>
      <c r="L5" s="7"/>
    </row>
    <row r="6" spans="1:12">
      <c r="A6" s="9"/>
      <c r="B6" s="9"/>
      <c r="C6" s="9"/>
      <c r="D6" s="10"/>
      <c r="E6" s="10"/>
      <c r="F6" s="10"/>
      <c r="G6" s="10"/>
      <c r="H6" s="10"/>
      <c r="I6" s="10" t="s">
        <v>23</v>
      </c>
      <c r="J6" s="10"/>
      <c r="K6" s="10"/>
      <c r="L6" s="10"/>
    </row>
    <row r="7" spans="1:12">
      <c r="A7" s="11" t="s">
        <v>24</v>
      </c>
      <c r="B7" s="11"/>
      <c r="C7" s="11"/>
      <c r="D7" s="12">
        <v>70</v>
      </c>
      <c r="E7" s="12">
        <v>2.7</v>
      </c>
      <c r="F7" s="12">
        <v>0.49</v>
      </c>
      <c r="G7" s="13">
        <v>1500</v>
      </c>
      <c r="H7" s="13">
        <v>4500</v>
      </c>
      <c r="I7" s="12"/>
      <c r="J7" s="12"/>
      <c r="K7" s="13">
        <f>SUM(H7:J7)</f>
        <v>4500</v>
      </c>
      <c r="L7" s="12"/>
    </row>
    <row r="8" spans="1:12">
      <c r="A8" s="14" t="s">
        <v>25</v>
      </c>
      <c r="B8" s="14"/>
      <c r="C8" s="14"/>
      <c r="D8" s="15">
        <v>100</v>
      </c>
      <c r="E8" s="16">
        <v>0.41</v>
      </c>
      <c r="F8" s="16">
        <v>0.41</v>
      </c>
      <c r="G8" s="17">
        <v>1500</v>
      </c>
      <c r="H8" s="16">
        <v>600</v>
      </c>
      <c r="I8" s="16">
        <v>6352</v>
      </c>
      <c r="J8" s="16"/>
      <c r="K8" s="16">
        <f t="shared" ref="K8:K15" si="0">SUM(H8:J8)</f>
        <v>6952</v>
      </c>
      <c r="L8" s="16"/>
    </row>
    <row r="9" spans="1:12">
      <c r="A9" s="14" t="s">
        <v>26</v>
      </c>
      <c r="B9" s="14"/>
      <c r="C9" s="14"/>
      <c r="D9" s="15">
        <v>100</v>
      </c>
      <c r="E9" s="16">
        <v>0.38</v>
      </c>
      <c r="F9" s="16">
        <v>0.26</v>
      </c>
      <c r="G9" s="17">
        <v>1500</v>
      </c>
      <c r="H9" s="16">
        <v>750</v>
      </c>
      <c r="I9" s="16"/>
      <c r="J9" s="16">
        <v>3614</v>
      </c>
      <c r="K9" s="16">
        <f t="shared" si="0"/>
        <v>4364</v>
      </c>
      <c r="L9" s="16"/>
    </row>
    <row r="10" spans="1:12">
      <c r="A10" s="14" t="s">
        <v>27</v>
      </c>
      <c r="B10" s="14"/>
      <c r="C10" s="14"/>
      <c r="D10" s="18">
        <v>97</v>
      </c>
      <c r="E10" s="16">
        <v>4.8600000000000003</v>
      </c>
      <c r="F10" s="16">
        <v>0.4</v>
      </c>
      <c r="G10" s="17">
        <v>1000</v>
      </c>
      <c r="H10" s="16">
        <v>4200</v>
      </c>
      <c r="I10" s="16"/>
      <c r="J10" s="16"/>
      <c r="K10" s="16">
        <f t="shared" si="0"/>
        <v>4200</v>
      </c>
      <c r="L10" s="16"/>
    </row>
    <row r="11" spans="1:12">
      <c r="A11" s="14" t="s">
        <v>28</v>
      </c>
      <c r="B11" s="14"/>
      <c r="C11" s="14"/>
      <c r="D11" s="15">
        <v>73</v>
      </c>
      <c r="E11" s="16">
        <v>0.43</v>
      </c>
      <c r="F11" s="16">
        <v>0.16</v>
      </c>
      <c r="G11" s="17">
        <v>1500</v>
      </c>
      <c r="H11" s="16">
        <v>750</v>
      </c>
      <c r="I11" s="16"/>
      <c r="J11" s="16">
        <v>1763</v>
      </c>
      <c r="K11" s="16">
        <f t="shared" si="0"/>
        <v>2513</v>
      </c>
      <c r="L11" s="16"/>
    </row>
    <row r="12" spans="1:12">
      <c r="A12" s="14" t="s">
        <v>29</v>
      </c>
      <c r="B12" s="14"/>
      <c r="C12" s="14"/>
      <c r="D12" s="15">
        <v>100</v>
      </c>
      <c r="E12" s="16">
        <v>6.64</v>
      </c>
      <c r="F12" s="16">
        <v>0.96</v>
      </c>
      <c r="G12" s="17">
        <v>1045</v>
      </c>
      <c r="H12" s="16">
        <v>9204</v>
      </c>
      <c r="I12" s="16"/>
      <c r="J12" s="16"/>
      <c r="K12" s="16">
        <f t="shared" si="0"/>
        <v>9204</v>
      </c>
      <c r="L12" s="16"/>
    </row>
    <row r="13" spans="1:12">
      <c r="A13" s="14" t="s">
        <v>30</v>
      </c>
      <c r="B13" s="14"/>
      <c r="C13" s="14"/>
      <c r="D13" s="18">
        <v>97</v>
      </c>
      <c r="E13" s="16">
        <v>3.09</v>
      </c>
      <c r="F13" s="16">
        <v>1.45</v>
      </c>
      <c r="G13" s="17">
        <v>1057</v>
      </c>
      <c r="H13" s="16">
        <v>2250</v>
      </c>
      <c r="I13" s="16">
        <v>3770</v>
      </c>
      <c r="J13" s="16"/>
      <c r="K13" s="16">
        <v>5539</v>
      </c>
      <c r="L13" s="16"/>
    </row>
    <row r="14" spans="1:12">
      <c r="A14" s="14" t="s">
        <v>31</v>
      </c>
      <c r="B14" s="14"/>
      <c r="C14" s="14"/>
      <c r="D14" s="19" t="s">
        <v>32</v>
      </c>
      <c r="E14" s="16"/>
      <c r="F14" s="16"/>
      <c r="G14" s="17"/>
      <c r="H14" s="16"/>
      <c r="I14" s="16"/>
      <c r="J14" s="16"/>
      <c r="K14" s="16"/>
      <c r="L14" s="16"/>
    </row>
    <row r="15" spans="1:12">
      <c r="A15" s="14" t="s">
        <v>33</v>
      </c>
      <c r="B15" s="14"/>
      <c r="C15" s="14"/>
      <c r="D15" s="15">
        <v>53</v>
      </c>
      <c r="E15" s="16">
        <v>0.12</v>
      </c>
      <c r="F15" s="16">
        <v>0.12</v>
      </c>
      <c r="G15" s="17">
        <v>1500</v>
      </c>
      <c r="H15" s="16">
        <v>141</v>
      </c>
      <c r="I15" s="16">
        <v>304</v>
      </c>
      <c r="J15" s="16"/>
      <c r="K15" s="16">
        <f t="shared" si="0"/>
        <v>445</v>
      </c>
      <c r="L15" s="16"/>
    </row>
    <row r="16" spans="1:12">
      <c r="A16" s="3" t="s">
        <v>34</v>
      </c>
      <c r="B16" s="3"/>
      <c r="C16" s="3"/>
      <c r="D16" s="20"/>
      <c r="E16" s="21">
        <v>17</v>
      </c>
      <c r="F16" s="21">
        <v>3</v>
      </c>
      <c r="G16" s="21"/>
      <c r="H16" s="21">
        <v>22395</v>
      </c>
      <c r="I16" s="21">
        <v>10426</v>
      </c>
      <c r="J16" s="21">
        <f>SUM(J8:J15)</f>
        <v>5377</v>
      </c>
      <c r="K16" s="21">
        <f>SUM(H16:J16)</f>
        <v>38198</v>
      </c>
      <c r="L16" s="21"/>
    </row>
    <row r="17" spans="1:12">
      <c r="A17" s="9" t="s">
        <v>35</v>
      </c>
      <c r="B17" s="9"/>
      <c r="C17" s="9"/>
      <c r="D17" s="22"/>
      <c r="E17" s="23">
        <v>14</v>
      </c>
      <c r="F17" s="23"/>
      <c r="G17" s="23"/>
      <c r="H17" s="23">
        <v>18438</v>
      </c>
      <c r="I17" s="23">
        <v>10426</v>
      </c>
      <c r="J17" s="23">
        <f>J16-M16</f>
        <v>5377</v>
      </c>
      <c r="K17" s="23">
        <f>SUM(H17:J17)</f>
        <v>34241</v>
      </c>
      <c r="L17" s="9"/>
    </row>
    <row r="18" spans="1:12">
      <c r="A18" s="1"/>
      <c r="B18" s="1"/>
      <c r="C18" s="1" t="s">
        <v>36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 t="s">
        <v>37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24" t="s">
        <v>38</v>
      </c>
      <c r="B20" s="24"/>
      <c r="C20" s="24"/>
      <c r="D20" s="24" t="s">
        <v>39</v>
      </c>
      <c r="E20" s="24" t="s">
        <v>40</v>
      </c>
      <c r="F20" s="24"/>
      <c r="G20" s="24" t="s">
        <v>41</v>
      </c>
      <c r="H20" s="1"/>
      <c r="I20" s="1"/>
      <c r="J20" s="1"/>
      <c r="K20" s="1"/>
      <c r="L20" s="1"/>
    </row>
    <row r="21" spans="1:12">
      <c r="A21" s="1" t="s">
        <v>42</v>
      </c>
      <c r="B21" s="1"/>
      <c r="C21" s="1"/>
      <c r="D21" s="1"/>
      <c r="E21" s="1"/>
      <c r="F21" s="1"/>
      <c r="G21" s="1"/>
      <c r="H21" s="1"/>
      <c r="I21" s="1"/>
      <c r="J21" s="25" t="s">
        <v>43</v>
      </c>
      <c r="K21" s="26" t="s">
        <v>44</v>
      </c>
      <c r="L21" s="1"/>
    </row>
    <row r="22" spans="1:12">
      <c r="A22" s="1" t="s">
        <v>45</v>
      </c>
      <c r="B22" s="1"/>
      <c r="C22" s="1"/>
      <c r="D22" s="1" t="s">
        <v>46</v>
      </c>
      <c r="E22" s="27">
        <v>13.9</v>
      </c>
      <c r="F22" s="1"/>
      <c r="G22" s="27">
        <v>260</v>
      </c>
      <c r="H22" s="1"/>
      <c r="I22" s="1"/>
      <c r="J22" s="25" t="s">
        <v>47</v>
      </c>
      <c r="K22" s="28">
        <v>93</v>
      </c>
      <c r="L22" s="1"/>
    </row>
    <row r="23" spans="1:12">
      <c r="A23" s="1" t="s">
        <v>48</v>
      </c>
      <c r="B23" s="1"/>
      <c r="C23" s="1"/>
      <c r="D23" s="1"/>
      <c r="E23" s="1"/>
      <c r="F23" s="1"/>
      <c r="G23" s="1"/>
      <c r="H23" s="1"/>
      <c r="I23" s="1"/>
      <c r="J23" s="29" t="s">
        <v>49</v>
      </c>
      <c r="K23" s="30">
        <v>7</v>
      </c>
      <c r="L23" s="1"/>
    </row>
    <row r="24" spans="1:12">
      <c r="A24" s="1" t="s">
        <v>50</v>
      </c>
      <c r="B24" s="1"/>
      <c r="C24" s="1"/>
      <c r="D24" s="1" t="s">
        <v>51</v>
      </c>
      <c r="E24" s="27">
        <v>14</v>
      </c>
      <c r="F24" s="1"/>
      <c r="G24" s="27">
        <v>1317</v>
      </c>
      <c r="H24" s="1"/>
      <c r="I24" s="6"/>
      <c r="J24" s="6"/>
      <c r="K24" s="31"/>
      <c r="L24" s="1"/>
    </row>
    <row r="25" spans="1:12">
      <c r="A25" s="1" t="s">
        <v>52</v>
      </c>
      <c r="B25" s="1"/>
      <c r="C25" s="1"/>
      <c r="D25" s="1" t="s">
        <v>51</v>
      </c>
      <c r="E25" s="1">
        <v>3</v>
      </c>
      <c r="F25" s="1"/>
      <c r="G25" s="1"/>
      <c r="H25" s="1"/>
      <c r="I25" s="6"/>
      <c r="J25" s="29" t="s">
        <v>53</v>
      </c>
      <c r="K25" s="30">
        <v>3</v>
      </c>
      <c r="L25" s="1"/>
    </row>
    <row r="26" spans="1:12">
      <c r="A26" s="1" t="s">
        <v>8</v>
      </c>
      <c r="B26" s="1"/>
      <c r="C26" s="1"/>
      <c r="D26" s="1" t="s">
        <v>51</v>
      </c>
      <c r="E26" s="1">
        <f>SUM(E24:E25)</f>
        <v>17</v>
      </c>
      <c r="F26" s="1"/>
      <c r="G26" s="1"/>
      <c r="H26" s="1"/>
      <c r="I26" s="6"/>
      <c r="J26" s="29" t="s">
        <v>54</v>
      </c>
      <c r="K26" s="30">
        <v>2</v>
      </c>
      <c r="L26" s="1"/>
    </row>
    <row r="27" spans="1:12">
      <c r="A27" s="24" t="s">
        <v>55</v>
      </c>
      <c r="B27" s="24"/>
      <c r="C27" s="24"/>
      <c r="D27" s="24"/>
      <c r="E27" s="24"/>
      <c r="F27" s="24"/>
      <c r="G27" s="32" t="s">
        <v>56</v>
      </c>
      <c r="H27" s="33"/>
      <c r="I27" s="33" t="s">
        <v>57</v>
      </c>
      <c r="J27" s="27"/>
      <c r="K27" s="1"/>
      <c r="L27" s="1"/>
    </row>
    <row r="28" spans="1:12">
      <c r="A28" s="6"/>
      <c r="B28" s="6"/>
      <c r="C28" s="6"/>
      <c r="D28" s="6"/>
      <c r="E28" s="6"/>
      <c r="F28" s="6"/>
      <c r="G28" s="6"/>
      <c r="H28" s="1"/>
      <c r="I28" s="1"/>
      <c r="J28" s="27"/>
      <c r="K28" s="1"/>
      <c r="L28" s="1"/>
    </row>
    <row r="29" spans="1:12">
      <c r="A29" s="6" t="s">
        <v>58</v>
      </c>
      <c r="B29" s="6"/>
      <c r="C29" s="6"/>
      <c r="D29" s="6"/>
      <c r="E29" s="6"/>
      <c r="F29" s="6"/>
      <c r="G29" s="34">
        <v>225</v>
      </c>
      <c r="H29" s="14" t="s">
        <v>59</v>
      </c>
      <c r="I29" s="27">
        <v>556</v>
      </c>
      <c r="J29" s="1"/>
      <c r="K29" s="1"/>
      <c r="L29" s="1"/>
    </row>
    <row r="30" spans="1:12">
      <c r="A30" s="6" t="s">
        <v>60</v>
      </c>
      <c r="B30" s="6"/>
      <c r="C30" s="6"/>
      <c r="D30" s="6"/>
      <c r="E30" s="6"/>
      <c r="F30" s="6"/>
      <c r="G30" s="35">
        <v>204</v>
      </c>
      <c r="H30" s="1"/>
      <c r="I30" s="27"/>
      <c r="J30" s="1"/>
      <c r="K30" s="1"/>
      <c r="L30" s="1"/>
    </row>
    <row r="31" spans="1:12">
      <c r="A31" s="6" t="s">
        <v>61</v>
      </c>
      <c r="B31" s="6"/>
      <c r="C31" s="6"/>
      <c r="D31" s="6"/>
      <c r="E31" s="6"/>
      <c r="F31" s="6"/>
      <c r="G31" s="35">
        <f>SUM(G29*G30)</f>
        <v>45900</v>
      </c>
      <c r="H31" s="1"/>
      <c r="I31" s="27">
        <v>113419</v>
      </c>
      <c r="J31" s="1"/>
      <c r="K31" s="1"/>
      <c r="L31" s="1"/>
    </row>
    <row r="32" spans="1:12">
      <c r="A32" s="6" t="s">
        <v>62</v>
      </c>
      <c r="B32" s="6"/>
      <c r="C32" s="6"/>
      <c r="D32" s="6"/>
      <c r="E32" s="6"/>
      <c r="F32" s="6"/>
      <c r="G32" s="35">
        <v>7702</v>
      </c>
      <c r="H32" s="1"/>
      <c r="I32" s="27">
        <v>19032</v>
      </c>
      <c r="J32" s="1"/>
      <c r="K32" s="1"/>
      <c r="L32" s="1"/>
    </row>
    <row r="33" spans="1:12">
      <c r="A33" s="6" t="s">
        <v>63</v>
      </c>
      <c r="B33" s="6"/>
      <c r="C33" s="6"/>
      <c r="D33" s="6"/>
      <c r="E33" s="6"/>
      <c r="F33" s="6"/>
      <c r="G33" s="35">
        <v>11659</v>
      </c>
      <c r="H33" s="1"/>
      <c r="I33" s="27">
        <v>28809</v>
      </c>
      <c r="J33" s="1"/>
      <c r="K33" s="1"/>
      <c r="L33" s="1"/>
    </row>
    <row r="34" spans="1:12">
      <c r="A34" s="6" t="s">
        <v>64</v>
      </c>
      <c r="B34" s="6"/>
      <c r="C34" s="6"/>
      <c r="D34" s="6"/>
      <c r="E34" s="6"/>
      <c r="F34" s="6"/>
      <c r="G34" s="35">
        <v>169.77</v>
      </c>
      <c r="H34" s="1"/>
      <c r="I34" s="1"/>
      <c r="J34" s="1"/>
      <c r="K34" s="1"/>
      <c r="L34" s="1"/>
    </row>
    <row r="35" spans="1:12">
      <c r="A35" s="9" t="s">
        <v>65</v>
      </c>
      <c r="B35" s="9"/>
      <c r="C35" s="9"/>
      <c r="D35" s="9"/>
      <c r="E35" s="9"/>
      <c r="F35" s="9"/>
      <c r="G35" s="36">
        <v>152.18</v>
      </c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3.5">
      <c r="A37" s="37" t="s">
        <v>66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 t="s">
        <v>67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2">
    <mergeCell ref="C2:D2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20" workbookViewId="0">
      <selection activeCell="H39" sqref="H39"/>
    </sheetView>
  </sheetViews>
  <sheetFormatPr defaultRowHeight="15"/>
  <cols>
    <col min="1" max="3" width="9.140625" style="38"/>
    <col min="4" max="4" width="11.5703125" style="38" customWidth="1"/>
    <col min="5" max="6" width="9.140625" style="38"/>
    <col min="7" max="7" width="9.28515625" style="38" bestFit="1" customWidth="1"/>
    <col min="8" max="8" width="9.140625" style="38"/>
    <col min="9" max="9" width="10.85546875" style="38" customWidth="1"/>
    <col min="10" max="10" width="9.140625" style="38"/>
    <col min="11" max="11" width="10.28515625" style="38" customWidth="1"/>
    <col min="12" max="12" width="11.5703125" style="38" customWidth="1"/>
    <col min="13" max="16384" width="9.140625" style="38"/>
  </cols>
  <sheetData>
    <row r="1" spans="1:13">
      <c r="A1" s="38" t="s">
        <v>0</v>
      </c>
      <c r="B1" s="38" t="s">
        <v>68</v>
      </c>
    </row>
    <row r="2" spans="1:13">
      <c r="B2" s="38" t="s">
        <v>69</v>
      </c>
    </row>
    <row r="3" spans="1:13">
      <c r="B3" s="38" t="s">
        <v>70</v>
      </c>
    </row>
    <row r="4" spans="1:13" s="42" customFormat="1">
      <c r="A4" s="39" t="s">
        <v>6</v>
      </c>
      <c r="B4" s="39"/>
      <c r="C4" s="39"/>
      <c r="D4" s="40" t="s">
        <v>7</v>
      </c>
      <c r="E4" s="40" t="s">
        <v>8</v>
      </c>
      <c r="F4" s="40" t="s">
        <v>9</v>
      </c>
      <c r="G4" s="40" t="s">
        <v>10</v>
      </c>
      <c r="H4" s="40" t="s">
        <v>11</v>
      </c>
      <c r="I4" s="40" t="s">
        <v>12</v>
      </c>
      <c r="J4" s="40" t="s">
        <v>13</v>
      </c>
      <c r="K4" s="40" t="s">
        <v>14</v>
      </c>
      <c r="L4" s="41" t="s">
        <v>71</v>
      </c>
      <c r="M4" s="40"/>
    </row>
    <row r="5" spans="1:13" s="42" customFormat="1">
      <c r="A5" s="43"/>
      <c r="B5" s="43"/>
      <c r="C5" s="43"/>
      <c r="D5" s="44" t="s">
        <v>16</v>
      </c>
      <c r="E5" s="44" t="s">
        <v>17</v>
      </c>
      <c r="F5" s="44" t="s">
        <v>17</v>
      </c>
      <c r="G5" s="44" t="s">
        <v>18</v>
      </c>
      <c r="H5" s="44" t="s">
        <v>19</v>
      </c>
      <c r="I5" s="44" t="s">
        <v>20</v>
      </c>
      <c r="J5" s="44" t="s">
        <v>19</v>
      </c>
      <c r="K5" s="44" t="s">
        <v>19</v>
      </c>
      <c r="L5" s="45" t="s">
        <v>12</v>
      </c>
      <c r="M5" s="44" t="s">
        <v>13</v>
      </c>
    </row>
    <row r="6" spans="1:13" s="42" customFormat="1">
      <c r="A6" s="43"/>
      <c r="B6" s="43"/>
      <c r="C6" s="43"/>
      <c r="D6" s="44" t="s">
        <v>22</v>
      </c>
      <c r="E6" s="44"/>
      <c r="F6" s="44"/>
      <c r="G6" s="44"/>
      <c r="H6" s="44" t="s">
        <v>23</v>
      </c>
      <c r="I6" s="44" t="s">
        <v>19</v>
      </c>
      <c r="J6" s="44" t="s">
        <v>23</v>
      </c>
      <c r="K6" s="44" t="s">
        <v>23</v>
      </c>
      <c r="L6" s="44"/>
      <c r="M6" s="44"/>
    </row>
    <row r="7" spans="1:13" s="42" customFormat="1">
      <c r="A7" s="46"/>
      <c r="B7" s="46"/>
      <c r="C7" s="46"/>
      <c r="D7" s="47"/>
      <c r="E7" s="47"/>
      <c r="F7" s="47"/>
      <c r="G7" s="47"/>
      <c r="H7" s="47"/>
      <c r="I7" s="47" t="s">
        <v>23</v>
      </c>
      <c r="J7" s="47"/>
      <c r="K7" s="47"/>
      <c r="L7" s="47"/>
      <c r="M7" s="47"/>
    </row>
    <row r="8" spans="1:13">
      <c r="A8" s="38" t="s">
        <v>72</v>
      </c>
      <c r="D8" s="48"/>
      <c r="E8" s="49"/>
      <c r="F8" s="49"/>
      <c r="G8" s="50"/>
      <c r="H8" s="49">
        <v>0</v>
      </c>
      <c r="J8" s="49"/>
      <c r="K8" s="49">
        <v>0</v>
      </c>
    </row>
    <row r="9" spans="1:13">
      <c r="A9" s="38" t="s">
        <v>73</v>
      </c>
      <c r="D9" s="48">
        <v>68</v>
      </c>
      <c r="E9" s="49">
        <v>4.6500000000000004</v>
      </c>
      <c r="F9" s="49">
        <v>3.05</v>
      </c>
      <c r="G9" s="50">
        <v>1271</v>
      </c>
      <c r="H9" s="49">
        <v>4440</v>
      </c>
      <c r="J9" s="49"/>
      <c r="K9" s="49">
        <f>+J9+I9+H9</f>
        <v>4440</v>
      </c>
    </row>
    <row r="10" spans="1:13">
      <c r="A10" s="38" t="s">
        <v>74</v>
      </c>
      <c r="D10" s="48">
        <v>97</v>
      </c>
      <c r="E10" s="49">
        <v>0.3</v>
      </c>
      <c r="F10" s="49">
        <v>0.3</v>
      </c>
      <c r="G10" s="50">
        <v>1200</v>
      </c>
      <c r="H10" s="49">
        <v>371</v>
      </c>
      <c r="I10" s="38">
        <v>8187</v>
      </c>
      <c r="J10" s="49"/>
      <c r="K10" s="49">
        <f t="shared" ref="K10:K17" si="0">+J10+I10+H10</f>
        <v>8558</v>
      </c>
      <c r="L10" s="38">
        <v>854</v>
      </c>
    </row>
    <row r="11" spans="1:13">
      <c r="A11" s="38" t="s">
        <v>75</v>
      </c>
      <c r="D11" s="51" t="s">
        <v>32</v>
      </c>
      <c r="K11" s="49">
        <f t="shared" si="0"/>
        <v>0</v>
      </c>
    </row>
    <row r="12" spans="1:13">
      <c r="A12" s="38" t="s">
        <v>76</v>
      </c>
      <c r="D12" s="48">
        <v>48</v>
      </c>
      <c r="E12" s="49">
        <v>5.87</v>
      </c>
      <c r="F12" s="49">
        <v>5.87</v>
      </c>
      <c r="G12" s="50">
        <v>1200</v>
      </c>
      <c r="H12" s="49">
        <v>371</v>
      </c>
      <c r="I12" s="38">
        <v>2821</v>
      </c>
      <c r="J12" s="49"/>
      <c r="K12" s="49">
        <f t="shared" si="0"/>
        <v>3192</v>
      </c>
    </row>
    <row r="13" spans="1:13">
      <c r="A13" s="38" t="s">
        <v>447</v>
      </c>
      <c r="D13" s="52">
        <v>100</v>
      </c>
      <c r="E13" s="53">
        <v>1.1100000000000001</v>
      </c>
      <c r="F13" s="53">
        <v>0.67</v>
      </c>
      <c r="G13" s="54">
        <v>1248</v>
      </c>
      <c r="H13" s="49">
        <v>1609</v>
      </c>
      <c r="J13" s="55">
        <v>2851</v>
      </c>
      <c r="K13" s="49">
        <f t="shared" si="0"/>
        <v>4460</v>
      </c>
      <c r="M13" s="56">
        <v>1230</v>
      </c>
    </row>
    <row r="14" spans="1:13">
      <c r="A14" s="38" t="s">
        <v>77</v>
      </c>
      <c r="D14" s="38">
        <v>68</v>
      </c>
      <c r="E14" s="38">
        <v>0.51</v>
      </c>
      <c r="F14" s="38">
        <v>0.35</v>
      </c>
      <c r="G14" s="38">
        <v>1385</v>
      </c>
      <c r="H14" s="38">
        <v>831</v>
      </c>
      <c r="J14" s="38">
        <v>1056</v>
      </c>
      <c r="K14" s="49">
        <f t="shared" si="0"/>
        <v>1887</v>
      </c>
    </row>
    <row r="15" spans="1:13">
      <c r="A15" s="38" t="s">
        <v>78</v>
      </c>
      <c r="D15" s="48">
        <v>100</v>
      </c>
      <c r="E15" s="49">
        <v>8.01</v>
      </c>
      <c r="F15" s="49">
        <v>3.08</v>
      </c>
      <c r="G15" s="50">
        <v>1265</v>
      </c>
      <c r="H15" s="49">
        <v>9824</v>
      </c>
      <c r="J15" s="49"/>
      <c r="K15" s="49">
        <f t="shared" si="0"/>
        <v>9824</v>
      </c>
    </row>
    <row r="16" spans="1:13">
      <c r="A16" s="38" t="s">
        <v>79</v>
      </c>
      <c r="D16" s="48">
        <v>97</v>
      </c>
      <c r="E16" s="49">
        <v>0.67</v>
      </c>
      <c r="F16" s="49">
        <v>0.38</v>
      </c>
      <c r="G16" s="50">
        <v>1281</v>
      </c>
      <c r="H16" s="49">
        <v>860</v>
      </c>
      <c r="I16" s="56">
        <v>1922</v>
      </c>
      <c r="J16" s="49"/>
      <c r="K16" s="49">
        <f t="shared" si="0"/>
        <v>2782</v>
      </c>
    </row>
    <row r="17" spans="1:13">
      <c r="A17" s="38" t="s">
        <v>80</v>
      </c>
      <c r="D17" s="48">
        <v>51</v>
      </c>
      <c r="E17" s="49">
        <v>0.11</v>
      </c>
      <c r="F17" s="49">
        <v>0.11</v>
      </c>
      <c r="G17" s="50">
        <v>1200</v>
      </c>
      <c r="H17" s="49">
        <v>123</v>
      </c>
      <c r="I17" s="38">
        <v>267</v>
      </c>
      <c r="J17" s="49"/>
      <c r="K17" s="49">
        <f t="shared" si="0"/>
        <v>390</v>
      </c>
    </row>
    <row r="18" spans="1:13">
      <c r="A18" s="57" t="s">
        <v>81</v>
      </c>
      <c r="B18" s="58"/>
      <c r="C18" s="58"/>
      <c r="D18" s="59"/>
      <c r="E18" s="60">
        <v>21.23</v>
      </c>
      <c r="F18" s="60">
        <v>13.809999999999999</v>
      </c>
      <c r="G18" s="60"/>
      <c r="H18" s="60">
        <v>18429</v>
      </c>
      <c r="I18" s="58">
        <v>10197</v>
      </c>
      <c r="J18" s="60">
        <v>3907</v>
      </c>
      <c r="K18" s="60">
        <f>SUM(K8:K17)</f>
        <v>35533</v>
      </c>
      <c r="L18" s="58">
        <v>854</v>
      </c>
      <c r="M18" s="58">
        <v>1230</v>
      </c>
    </row>
    <row r="19" spans="1:13">
      <c r="A19" s="61" t="s">
        <v>82</v>
      </c>
      <c r="B19" s="62"/>
      <c r="C19" s="62"/>
      <c r="D19" s="63"/>
      <c r="E19" s="64">
        <v>7.4200000000000017</v>
      </c>
      <c r="F19" s="64"/>
      <c r="G19" s="64"/>
      <c r="H19" s="64">
        <v>8603</v>
      </c>
      <c r="I19" s="62">
        <v>9343</v>
      </c>
      <c r="J19" s="64">
        <v>2677</v>
      </c>
      <c r="K19" s="64">
        <f>+J19+H19+I19</f>
        <v>20623</v>
      </c>
      <c r="L19" s="62"/>
      <c r="M19" s="62"/>
    </row>
    <row r="20" spans="1:13" ht="9.75" customHeight="1"/>
    <row r="21" spans="1:13">
      <c r="C21" s="42" t="s">
        <v>36</v>
      </c>
    </row>
    <row r="22" spans="1:13">
      <c r="A22" s="38" t="s">
        <v>37</v>
      </c>
      <c r="K22" s="49"/>
    </row>
    <row r="23" spans="1:13" s="42" customFormat="1">
      <c r="A23" s="65" t="s">
        <v>38</v>
      </c>
      <c r="B23" s="65"/>
      <c r="C23" s="65"/>
      <c r="D23" s="65" t="s">
        <v>39</v>
      </c>
      <c r="E23" s="65" t="s">
        <v>40</v>
      </c>
      <c r="F23" s="65"/>
      <c r="G23" s="65" t="s">
        <v>41</v>
      </c>
    </row>
    <row r="24" spans="1:13">
      <c r="A24" s="38" t="s">
        <v>42</v>
      </c>
    </row>
    <row r="25" spans="1:13">
      <c r="A25" s="66" t="s">
        <v>83</v>
      </c>
      <c r="D25" s="38" t="s">
        <v>84</v>
      </c>
      <c r="E25" s="38">
        <v>10.6</v>
      </c>
      <c r="G25" s="38">
        <v>269</v>
      </c>
    </row>
    <row r="28" spans="1:13">
      <c r="A28" s="38" t="s">
        <v>48</v>
      </c>
    </row>
    <row r="29" spans="1:13">
      <c r="A29" s="38" t="s">
        <v>50</v>
      </c>
      <c r="D29" s="38" t="s">
        <v>51</v>
      </c>
      <c r="E29" s="49">
        <v>7</v>
      </c>
      <c r="G29" s="49">
        <v>1229</v>
      </c>
    </row>
    <row r="30" spans="1:13">
      <c r="A30" s="38" t="s">
        <v>52</v>
      </c>
      <c r="D30" s="38" t="s">
        <v>51</v>
      </c>
      <c r="E30" s="49">
        <v>8</v>
      </c>
    </row>
    <row r="31" spans="1:13">
      <c r="A31" s="38" t="s">
        <v>8</v>
      </c>
      <c r="E31" s="49">
        <v>15</v>
      </c>
    </row>
    <row r="33" spans="1:8">
      <c r="A33" s="57" t="s">
        <v>55</v>
      </c>
      <c r="B33" s="58"/>
      <c r="C33" s="58"/>
      <c r="D33" s="58"/>
      <c r="E33" s="58"/>
      <c r="F33" s="58"/>
      <c r="G33" s="58" t="s">
        <v>56</v>
      </c>
      <c r="H33" s="38" t="s">
        <v>57</v>
      </c>
    </row>
    <row r="34" spans="1:8">
      <c r="A34" s="67" t="s">
        <v>85</v>
      </c>
      <c r="B34" s="68"/>
      <c r="C34" s="68"/>
      <c r="D34" s="68"/>
      <c r="E34" s="68"/>
      <c r="F34" s="68"/>
      <c r="G34" s="69">
        <v>222</v>
      </c>
      <c r="H34" s="38">
        <v>549</v>
      </c>
    </row>
    <row r="35" spans="1:8">
      <c r="A35" s="67" t="s">
        <v>60</v>
      </c>
      <c r="B35" s="68"/>
      <c r="C35" s="68"/>
      <c r="D35" s="68"/>
      <c r="E35" s="68"/>
      <c r="F35" s="68"/>
      <c r="G35" s="70">
        <v>133</v>
      </c>
    </row>
    <row r="36" spans="1:8">
      <c r="A36" s="67" t="s">
        <v>86</v>
      </c>
      <c r="B36" s="68"/>
      <c r="C36" s="68"/>
      <c r="D36" s="68"/>
      <c r="E36" s="68"/>
      <c r="F36" s="68"/>
      <c r="G36" s="70">
        <v>29526</v>
      </c>
      <c r="H36" s="38">
        <v>72959</v>
      </c>
    </row>
    <row r="37" spans="1:8">
      <c r="A37" s="67" t="s">
        <v>87</v>
      </c>
      <c r="B37" s="68"/>
      <c r="C37" s="68"/>
      <c r="D37" s="68"/>
      <c r="E37" s="68"/>
      <c r="F37" s="68"/>
      <c r="G37" s="70">
        <v>-3007</v>
      </c>
      <c r="H37" s="38">
        <v>-7430</v>
      </c>
    </row>
    <row r="38" spans="1:8">
      <c r="A38" s="67" t="s">
        <v>88</v>
      </c>
      <c r="B38" s="68"/>
      <c r="C38" s="68"/>
      <c r="D38" s="68"/>
      <c r="E38" s="68"/>
      <c r="F38" s="68"/>
      <c r="G38" s="70">
        <v>8903</v>
      </c>
      <c r="H38" s="38">
        <v>21999</v>
      </c>
    </row>
    <row r="39" spans="1:8">
      <c r="A39" s="67"/>
      <c r="B39" s="68"/>
      <c r="C39" s="68"/>
      <c r="D39" s="68"/>
      <c r="E39" s="68"/>
      <c r="F39" s="68"/>
      <c r="G39" s="70"/>
    </row>
    <row r="40" spans="1:8">
      <c r="A40" s="67" t="s">
        <v>89</v>
      </c>
      <c r="B40" s="68"/>
      <c r="C40" s="68"/>
      <c r="D40" s="68"/>
      <c r="E40" s="68"/>
      <c r="F40" s="68"/>
      <c r="G40" s="70">
        <v>146.55000000000001</v>
      </c>
    </row>
    <row r="41" spans="1:8">
      <c r="A41" s="61" t="s">
        <v>90</v>
      </c>
      <c r="B41" s="62"/>
      <c r="C41" s="62"/>
      <c r="D41" s="62"/>
      <c r="E41" s="62"/>
      <c r="F41" s="62"/>
      <c r="G41" s="71">
        <v>92.9</v>
      </c>
    </row>
    <row r="43" spans="1:8">
      <c r="A43" s="38" t="s">
        <v>91</v>
      </c>
    </row>
    <row r="44" spans="1:8">
      <c r="A44" s="38" t="s">
        <v>92</v>
      </c>
    </row>
    <row r="52" spans="7:7">
      <c r="G52" s="3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34" workbookViewId="0">
      <selection activeCell="H44" sqref="H44"/>
    </sheetView>
  </sheetViews>
  <sheetFormatPr defaultRowHeight="15"/>
  <cols>
    <col min="1" max="2" width="8.140625" customWidth="1"/>
    <col min="3" max="3" width="5.85546875" customWidth="1"/>
    <col min="4" max="4" width="7.5703125" customWidth="1"/>
    <col min="5" max="6" width="7.28515625" customWidth="1"/>
    <col min="7" max="7" width="12.140625" customWidth="1"/>
    <col min="8" max="8" width="11.28515625" customWidth="1"/>
    <col min="9" max="9" width="11" customWidth="1"/>
    <col min="10" max="10" width="10.28515625" customWidth="1"/>
    <col min="11" max="11" width="12.140625" customWidth="1"/>
    <col min="12" max="12" width="3.85546875" customWidth="1"/>
    <col min="13" max="13" width="3" customWidth="1"/>
  </cols>
  <sheetData>
    <row r="1" spans="1:15" s="38" customFormat="1">
      <c r="A1" s="72" t="s">
        <v>0</v>
      </c>
      <c r="B1" s="72" t="s">
        <v>94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5" s="38" customFormat="1">
      <c r="A2" s="72"/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15" s="38" customFormat="1">
      <c r="A3" s="72"/>
      <c r="B3" s="72" t="s">
        <v>96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5" s="38" customFormat="1">
      <c r="A4" s="73" t="s">
        <v>6</v>
      </c>
      <c r="B4" s="73"/>
      <c r="C4" s="73"/>
      <c r="D4" s="74" t="s">
        <v>7</v>
      </c>
      <c r="E4" s="74" t="s">
        <v>8</v>
      </c>
      <c r="F4" s="74" t="s">
        <v>9</v>
      </c>
      <c r="G4" s="74" t="s">
        <v>10</v>
      </c>
      <c r="H4" s="74" t="s">
        <v>11</v>
      </c>
      <c r="I4" s="74" t="s">
        <v>12</v>
      </c>
      <c r="J4" s="74" t="s">
        <v>13</v>
      </c>
      <c r="K4" s="74" t="s">
        <v>14</v>
      </c>
      <c r="L4" s="75" t="s">
        <v>71</v>
      </c>
      <c r="M4" s="74"/>
      <c r="N4" s="72"/>
    </row>
    <row r="5" spans="1:15" s="38" customFormat="1">
      <c r="A5" s="76"/>
      <c r="B5" s="76"/>
      <c r="C5" s="76"/>
      <c r="D5" s="77" t="s">
        <v>16</v>
      </c>
      <c r="E5" s="77" t="s">
        <v>17</v>
      </c>
      <c r="F5" s="77" t="s">
        <v>17</v>
      </c>
      <c r="G5" s="77" t="s">
        <v>18</v>
      </c>
      <c r="H5" s="77" t="s">
        <v>19</v>
      </c>
      <c r="I5" s="77" t="s">
        <v>20</v>
      </c>
      <c r="J5" s="77" t="s">
        <v>19</v>
      </c>
      <c r="K5" s="77" t="s">
        <v>19</v>
      </c>
      <c r="L5" s="78" t="s">
        <v>12</v>
      </c>
      <c r="M5" s="77" t="s">
        <v>13</v>
      </c>
      <c r="N5" s="72"/>
    </row>
    <row r="6" spans="1:15" s="38" customFormat="1">
      <c r="A6" s="76"/>
      <c r="B6" s="76"/>
      <c r="C6" s="76"/>
      <c r="D6" s="77" t="s">
        <v>22</v>
      </c>
      <c r="E6" s="77"/>
      <c r="F6" s="77"/>
      <c r="G6" s="77"/>
      <c r="H6" s="77" t="s">
        <v>23</v>
      </c>
      <c r="I6" s="77" t="s">
        <v>19</v>
      </c>
      <c r="J6" s="77" t="s">
        <v>23</v>
      </c>
      <c r="K6" s="77" t="s">
        <v>23</v>
      </c>
      <c r="L6" s="77"/>
      <c r="M6" s="77"/>
      <c r="N6" s="72"/>
    </row>
    <row r="7" spans="1:15" s="38" customFormat="1">
      <c r="A7" s="79"/>
      <c r="B7" s="79"/>
      <c r="C7" s="79"/>
      <c r="D7" s="80"/>
      <c r="E7" s="80"/>
      <c r="F7" s="80"/>
      <c r="G7" s="80"/>
      <c r="H7" s="80"/>
      <c r="I7" s="80" t="s">
        <v>23</v>
      </c>
      <c r="J7" s="80"/>
      <c r="K7" s="80"/>
      <c r="L7" s="80"/>
      <c r="M7" s="80"/>
      <c r="N7" s="72"/>
    </row>
    <row r="8" spans="1:15" s="38" customFormat="1">
      <c r="A8" s="72" t="s">
        <v>97</v>
      </c>
      <c r="B8" s="72"/>
      <c r="C8" s="72"/>
      <c r="D8" s="81">
        <v>100</v>
      </c>
      <c r="E8" s="82">
        <v>3.55</v>
      </c>
      <c r="F8" s="82">
        <v>3.55</v>
      </c>
      <c r="G8" s="83">
        <v>1300</v>
      </c>
      <c r="H8" s="82">
        <v>5070</v>
      </c>
      <c r="I8" s="72"/>
      <c r="J8" s="82">
        <v>1135</v>
      </c>
      <c r="K8" s="82">
        <f t="shared" ref="K8:K17" si="0">SUM(H8:J8)</f>
        <v>6205</v>
      </c>
      <c r="L8" s="72"/>
      <c r="M8" s="72"/>
      <c r="N8" s="72"/>
    </row>
    <row r="9" spans="1:15" s="38" customFormat="1">
      <c r="A9" s="72" t="s">
        <v>73</v>
      </c>
      <c r="B9" s="72"/>
      <c r="C9" s="72"/>
      <c r="D9" s="81">
        <v>73.33</v>
      </c>
      <c r="E9" s="82">
        <v>4.49</v>
      </c>
      <c r="F9" s="82">
        <v>3.38</v>
      </c>
      <c r="G9" s="83">
        <v>1333</v>
      </c>
      <c r="H9" s="82">
        <v>6148</v>
      </c>
      <c r="I9" s="72"/>
      <c r="J9" s="82"/>
      <c r="K9" s="82">
        <f t="shared" si="0"/>
        <v>6148</v>
      </c>
      <c r="L9" s="72"/>
      <c r="M9" s="72"/>
      <c r="N9" s="72"/>
      <c r="O9" s="49"/>
    </row>
    <row r="10" spans="1:15" s="38" customFormat="1">
      <c r="A10" s="72" t="s">
        <v>98</v>
      </c>
      <c r="B10" s="72"/>
      <c r="C10" s="72"/>
      <c r="D10" s="81">
        <v>83</v>
      </c>
      <c r="E10" s="82">
        <v>1.4</v>
      </c>
      <c r="F10" s="82">
        <v>1.21</v>
      </c>
      <c r="G10" s="83">
        <v>1375</v>
      </c>
      <c r="H10" s="82">
        <v>1528</v>
      </c>
      <c r="I10" s="82">
        <v>8846</v>
      </c>
      <c r="J10" s="82"/>
      <c r="K10" s="82">
        <f t="shared" si="0"/>
        <v>10374</v>
      </c>
      <c r="L10" s="72"/>
      <c r="M10" s="72"/>
      <c r="N10" s="72"/>
      <c r="O10" s="49"/>
    </row>
    <row r="11" spans="1:15" s="38" customFormat="1">
      <c r="A11" s="85" t="s">
        <v>99</v>
      </c>
      <c r="B11" s="85"/>
      <c r="C11" s="85"/>
      <c r="D11" s="84" t="s">
        <v>446</v>
      </c>
      <c r="E11" s="86" t="s">
        <v>100</v>
      </c>
      <c r="F11" s="86" t="s">
        <v>101</v>
      </c>
      <c r="G11" s="83">
        <v>0</v>
      </c>
      <c r="H11" s="86" t="s">
        <v>445</v>
      </c>
      <c r="I11" s="72"/>
      <c r="J11" s="82"/>
      <c r="K11" s="82">
        <f t="shared" si="0"/>
        <v>0</v>
      </c>
      <c r="L11" s="72"/>
      <c r="M11" s="72"/>
      <c r="N11" s="72"/>
      <c r="O11" s="49"/>
    </row>
    <row r="12" spans="1:15" s="38" customFormat="1">
      <c r="A12" s="72" t="s">
        <v>102</v>
      </c>
      <c r="B12" s="72"/>
      <c r="C12" s="72"/>
      <c r="D12" s="81">
        <v>100</v>
      </c>
      <c r="E12" s="82">
        <v>8.74</v>
      </c>
      <c r="F12" s="82">
        <v>4.21</v>
      </c>
      <c r="G12" s="83">
        <v>1372</v>
      </c>
      <c r="H12" s="82">
        <v>11936</v>
      </c>
      <c r="I12" s="72"/>
      <c r="J12" s="82"/>
      <c r="K12" s="82">
        <f t="shared" si="0"/>
        <v>11936</v>
      </c>
      <c r="L12" s="72"/>
      <c r="M12" s="72"/>
      <c r="N12" s="72"/>
      <c r="O12" s="49"/>
    </row>
    <row r="13" spans="1:15" s="38" customFormat="1">
      <c r="A13" s="72" t="s">
        <v>103</v>
      </c>
      <c r="B13" s="72"/>
      <c r="C13" s="72"/>
      <c r="D13" s="81">
        <v>100</v>
      </c>
      <c r="E13" s="82">
        <v>7.59</v>
      </c>
      <c r="F13" s="82">
        <v>5.35</v>
      </c>
      <c r="G13" s="83">
        <v>1338</v>
      </c>
      <c r="H13" s="82">
        <v>8910</v>
      </c>
      <c r="I13" s="72"/>
      <c r="J13" s="82">
        <v>2013</v>
      </c>
      <c r="K13" s="82">
        <f t="shared" si="0"/>
        <v>10923</v>
      </c>
      <c r="L13" s="72">
        <v>0</v>
      </c>
      <c r="M13" s="82">
        <f>+J19-J20</f>
        <v>564</v>
      </c>
      <c r="N13" s="72"/>
      <c r="O13" s="49"/>
    </row>
    <row r="14" spans="1:15" s="38" customFormat="1">
      <c r="A14" s="72" t="s">
        <v>104</v>
      </c>
      <c r="B14" s="72"/>
      <c r="C14" s="72"/>
      <c r="D14" s="81">
        <v>93.33</v>
      </c>
      <c r="E14" s="82">
        <v>10.55</v>
      </c>
      <c r="F14" s="82">
        <v>9.5399999999999991</v>
      </c>
      <c r="G14" s="83">
        <v>1328</v>
      </c>
      <c r="H14" s="82">
        <v>14077</v>
      </c>
      <c r="I14" s="72"/>
      <c r="J14" s="82">
        <v>12540</v>
      </c>
      <c r="K14" s="82">
        <f t="shared" si="0"/>
        <v>26617</v>
      </c>
      <c r="L14" s="72"/>
      <c r="M14" s="72"/>
      <c r="N14" s="72"/>
      <c r="O14" s="49"/>
    </row>
    <row r="15" spans="1:15" s="38" customFormat="1">
      <c r="A15" s="72" t="s">
        <v>106</v>
      </c>
      <c r="B15" s="72"/>
      <c r="C15" s="72"/>
      <c r="D15" s="81">
        <v>100</v>
      </c>
      <c r="E15" s="82">
        <v>18.13</v>
      </c>
      <c r="F15" s="82">
        <v>11.62</v>
      </c>
      <c r="G15" s="83">
        <v>1240</v>
      </c>
      <c r="H15" s="82">
        <v>24961</v>
      </c>
      <c r="I15" s="72"/>
      <c r="J15" s="82"/>
      <c r="K15" s="82">
        <f t="shared" si="0"/>
        <v>24961</v>
      </c>
      <c r="L15" s="72"/>
      <c r="M15" s="72"/>
      <c r="N15" s="72"/>
    </row>
    <row r="16" spans="1:15" s="38" customFormat="1">
      <c r="A16" s="72" t="s">
        <v>77</v>
      </c>
      <c r="B16" s="72"/>
      <c r="C16" s="72"/>
      <c r="D16" s="81">
        <v>100</v>
      </c>
      <c r="E16" s="82">
        <v>13.21</v>
      </c>
      <c r="F16" s="82">
        <v>8.1199999999999992</v>
      </c>
      <c r="G16" s="83">
        <v>1461</v>
      </c>
      <c r="H16" s="82">
        <v>20454</v>
      </c>
      <c r="I16" s="72"/>
      <c r="J16" s="82">
        <v>22988</v>
      </c>
      <c r="K16" s="82">
        <f t="shared" si="0"/>
        <v>43442</v>
      </c>
      <c r="L16" s="72"/>
      <c r="M16" s="72"/>
      <c r="N16" s="72"/>
    </row>
    <row r="17" spans="1:14" s="38" customFormat="1">
      <c r="A17" s="72" t="s">
        <v>107</v>
      </c>
      <c r="B17" s="72"/>
      <c r="C17" s="72"/>
      <c r="D17" s="81">
        <v>100</v>
      </c>
      <c r="E17" s="82">
        <v>22.29</v>
      </c>
      <c r="F17" s="82">
        <v>22.29</v>
      </c>
      <c r="G17" s="83">
        <v>1300</v>
      </c>
      <c r="H17" s="82">
        <v>22560</v>
      </c>
      <c r="I17" s="82">
        <v>19583</v>
      </c>
      <c r="J17" s="87">
        <v>0</v>
      </c>
      <c r="K17" s="82">
        <f t="shared" si="0"/>
        <v>42143</v>
      </c>
      <c r="L17" s="72"/>
      <c r="M17" s="72"/>
      <c r="N17" s="72"/>
    </row>
    <row r="18" spans="1:14" s="38" customFormat="1">
      <c r="A18" s="72" t="s">
        <v>109</v>
      </c>
      <c r="B18" s="72"/>
      <c r="C18" s="72"/>
      <c r="D18" s="81">
        <v>100</v>
      </c>
      <c r="E18" s="82">
        <v>26.83</v>
      </c>
      <c r="F18" s="82">
        <v>18.670000000000002</v>
      </c>
      <c r="G18" s="83">
        <v>1120</v>
      </c>
      <c r="H18" s="82">
        <v>38030</v>
      </c>
      <c r="I18" s="72"/>
      <c r="J18" s="82"/>
      <c r="K18" s="82">
        <f t="shared" ref="K18" si="1">SUM(H18:J18)</f>
        <v>38030</v>
      </c>
      <c r="L18" s="72"/>
      <c r="M18" s="72"/>
      <c r="N18" s="72"/>
    </row>
    <row r="19" spans="1:14" s="38" customFormat="1">
      <c r="A19" s="73" t="s">
        <v>81</v>
      </c>
      <c r="B19" s="73"/>
      <c r="C19" s="73"/>
      <c r="D19" s="88"/>
      <c r="E19" s="89">
        <v>118</v>
      </c>
      <c r="F19" s="89">
        <v>88</v>
      </c>
      <c r="G19" s="89"/>
      <c r="H19" s="89">
        <f>SUM(H8:H18)</f>
        <v>153674</v>
      </c>
      <c r="I19" s="89">
        <f>SUM(I8:I18)</f>
        <v>28429</v>
      </c>
      <c r="J19" s="89">
        <f>SUM(J8:J18)</f>
        <v>38676</v>
      </c>
      <c r="K19" s="89">
        <f>SUM(H19:J19)</f>
        <v>220779</v>
      </c>
      <c r="L19" s="73">
        <f>SUM(L8:L18)</f>
        <v>0</v>
      </c>
      <c r="M19" s="89">
        <f>+J19-J20</f>
        <v>564</v>
      </c>
      <c r="N19" s="72"/>
    </row>
    <row r="20" spans="1:14" s="38" customFormat="1">
      <c r="A20" s="79" t="s">
        <v>82</v>
      </c>
      <c r="B20" s="79"/>
      <c r="C20" s="79"/>
      <c r="D20" s="90"/>
      <c r="E20" s="91">
        <f>SUM(E19-F19)</f>
        <v>30</v>
      </c>
      <c r="F20" s="91"/>
      <c r="G20" s="91"/>
      <c r="H20" s="91">
        <v>39060</v>
      </c>
      <c r="I20" s="91">
        <f>I19-L19</f>
        <v>28429</v>
      </c>
      <c r="J20" s="91">
        <v>38112</v>
      </c>
      <c r="K20" s="91">
        <f>SUM(H20:J20)</f>
        <v>105601</v>
      </c>
      <c r="L20" s="79"/>
      <c r="M20" s="79"/>
      <c r="N20" s="72"/>
    </row>
    <row r="21" spans="1:14" s="38" customForma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</row>
    <row r="22" spans="1:14" s="38" customFormat="1">
      <c r="A22" s="72"/>
      <c r="B22" s="72"/>
      <c r="C22" s="72" t="s">
        <v>36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</row>
    <row r="23" spans="1:14" s="38" customFormat="1">
      <c r="A23" s="72" t="s">
        <v>37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</row>
    <row r="24" spans="1:14" s="38" customFormat="1">
      <c r="A24" s="92" t="s">
        <v>38</v>
      </c>
      <c r="B24" s="92"/>
      <c r="C24" s="92"/>
      <c r="D24" s="92" t="s">
        <v>39</v>
      </c>
      <c r="E24" s="92" t="s">
        <v>40</v>
      </c>
      <c r="F24" s="92"/>
      <c r="G24" s="92" t="s">
        <v>41</v>
      </c>
      <c r="H24" s="72"/>
      <c r="I24" s="72" t="s">
        <v>53</v>
      </c>
      <c r="J24" s="72">
        <v>0.63</v>
      </c>
      <c r="K24" s="72"/>
      <c r="L24" s="72"/>
      <c r="M24" s="72"/>
      <c r="N24" s="72"/>
    </row>
    <row r="25" spans="1:14" s="38" customFormat="1">
      <c r="A25" s="72" t="s">
        <v>42</v>
      </c>
      <c r="B25" s="72"/>
      <c r="C25" s="72"/>
      <c r="D25" s="72"/>
      <c r="E25" s="72"/>
      <c r="F25" s="72"/>
      <c r="G25" s="72"/>
      <c r="H25" s="72"/>
      <c r="I25" s="72" t="s">
        <v>54</v>
      </c>
      <c r="J25" s="72">
        <v>0.5</v>
      </c>
      <c r="K25" s="72"/>
      <c r="L25" s="72"/>
      <c r="M25" s="72"/>
      <c r="N25" s="82"/>
    </row>
    <row r="26" spans="1:14" s="38" customFormat="1">
      <c r="A26" s="72" t="s">
        <v>83</v>
      </c>
      <c r="B26" s="72"/>
      <c r="C26" s="72"/>
      <c r="D26" s="72" t="s">
        <v>46</v>
      </c>
      <c r="E26" s="72">
        <v>0.23</v>
      </c>
      <c r="F26" s="72"/>
      <c r="G26" s="87">
        <v>8750</v>
      </c>
      <c r="H26" s="72"/>
      <c r="I26" s="93" t="s">
        <v>43</v>
      </c>
      <c r="J26" s="94" t="s">
        <v>110</v>
      </c>
      <c r="K26" s="72"/>
      <c r="L26" s="72"/>
      <c r="M26" s="72"/>
      <c r="N26" s="72"/>
    </row>
    <row r="27" spans="1:14" s="38" customFormat="1">
      <c r="A27" s="72" t="s">
        <v>48</v>
      </c>
      <c r="B27" s="72"/>
      <c r="C27" s="72"/>
      <c r="D27" s="72"/>
      <c r="E27" s="72"/>
      <c r="F27" s="72"/>
      <c r="G27" s="72"/>
      <c r="H27" s="72"/>
      <c r="I27" s="95" t="s">
        <v>111</v>
      </c>
      <c r="J27" s="96">
        <v>30</v>
      </c>
      <c r="K27" s="72"/>
      <c r="L27" s="72"/>
      <c r="M27" s="72"/>
      <c r="N27" s="72"/>
    </row>
    <row r="28" spans="1:14" s="38" customFormat="1">
      <c r="A28" s="72" t="s">
        <v>50</v>
      </c>
      <c r="B28" s="72"/>
      <c r="C28" s="72"/>
      <c r="D28" s="72" t="s">
        <v>51</v>
      </c>
      <c r="E28" s="82">
        <v>30</v>
      </c>
      <c r="F28" s="72"/>
      <c r="G28" s="82">
        <v>1302</v>
      </c>
      <c r="H28" s="72"/>
      <c r="I28" s="97" t="s">
        <v>112</v>
      </c>
      <c r="J28" s="98">
        <v>26.67</v>
      </c>
      <c r="K28" s="72"/>
      <c r="L28" s="72"/>
      <c r="M28" s="72"/>
      <c r="N28" s="72"/>
    </row>
    <row r="29" spans="1:14" s="38" customFormat="1">
      <c r="A29" s="72" t="s">
        <v>52</v>
      </c>
      <c r="B29" s="72"/>
      <c r="C29" s="72"/>
      <c r="D29" s="72" t="s">
        <v>51</v>
      </c>
      <c r="E29" s="82">
        <v>88</v>
      </c>
      <c r="F29" s="72"/>
      <c r="G29" s="72"/>
      <c r="H29" s="72"/>
      <c r="I29" s="99" t="s">
        <v>113</v>
      </c>
      <c r="J29" s="100">
        <v>23.33</v>
      </c>
      <c r="K29" s="72"/>
      <c r="L29" s="72"/>
      <c r="M29" s="72"/>
      <c r="N29" s="72"/>
    </row>
    <row r="30" spans="1:14" s="38" customFormat="1">
      <c r="A30" s="72" t="s">
        <v>8</v>
      </c>
      <c r="B30" s="72"/>
      <c r="C30" s="72"/>
      <c r="D30" s="72"/>
      <c r="E30" s="82">
        <f>SUM(E28:E29)</f>
        <v>118</v>
      </c>
      <c r="F30" s="72"/>
      <c r="G30" s="72"/>
      <c r="H30" s="72"/>
      <c r="I30" s="97" t="s">
        <v>114</v>
      </c>
      <c r="J30" s="100">
        <v>10.67</v>
      </c>
      <c r="K30" s="72"/>
      <c r="L30" s="72"/>
      <c r="M30" s="72"/>
      <c r="N30" s="72"/>
    </row>
    <row r="31" spans="1:14" s="38" customFormat="1">
      <c r="A31" s="73" t="s">
        <v>115</v>
      </c>
      <c r="B31" s="73"/>
      <c r="C31" s="73" t="s">
        <v>116</v>
      </c>
      <c r="D31" s="73"/>
      <c r="E31" s="73"/>
      <c r="F31" s="73"/>
      <c r="G31" s="73"/>
      <c r="H31" s="72"/>
      <c r="I31" s="101" t="s">
        <v>117</v>
      </c>
      <c r="J31" s="102">
        <v>3.33</v>
      </c>
      <c r="K31" s="76"/>
      <c r="L31" s="72"/>
      <c r="M31" s="72"/>
      <c r="N31" s="72"/>
    </row>
    <row r="32" spans="1:14" s="38" customFormat="1">
      <c r="A32" s="76"/>
      <c r="B32" s="78" t="s">
        <v>118</v>
      </c>
      <c r="C32" s="103">
        <v>63.33</v>
      </c>
      <c r="D32" s="76" t="s">
        <v>46</v>
      </c>
      <c r="E32" s="104">
        <v>91</v>
      </c>
      <c r="F32" s="76"/>
      <c r="G32" s="104">
        <v>30</v>
      </c>
      <c r="H32" s="72"/>
      <c r="I32" s="72"/>
      <c r="J32" s="76"/>
      <c r="K32" s="76"/>
      <c r="L32" s="72"/>
      <c r="M32" s="72"/>
      <c r="N32" s="72"/>
    </row>
    <row r="33" spans="1:15" s="38" customFormat="1">
      <c r="A33" s="76"/>
      <c r="B33" s="78" t="s">
        <v>119</v>
      </c>
      <c r="C33" s="103">
        <v>83.33</v>
      </c>
      <c r="D33" s="76" t="s">
        <v>46</v>
      </c>
      <c r="E33" s="104">
        <v>146</v>
      </c>
      <c r="F33" s="76"/>
      <c r="G33" s="104">
        <v>30</v>
      </c>
      <c r="H33" s="72"/>
      <c r="I33" s="72"/>
      <c r="J33" s="72"/>
      <c r="K33" s="72"/>
      <c r="L33" s="72"/>
      <c r="M33" s="72"/>
      <c r="N33" s="72"/>
    </row>
    <row r="34" spans="1:15" s="38" customFormat="1">
      <c r="A34" s="76"/>
      <c r="B34" s="78" t="s">
        <v>120</v>
      </c>
      <c r="C34" s="103">
        <v>63.33</v>
      </c>
      <c r="D34" s="76" t="s">
        <v>121</v>
      </c>
      <c r="E34" s="104">
        <v>56</v>
      </c>
      <c r="F34" s="76"/>
      <c r="G34" s="104">
        <v>30</v>
      </c>
      <c r="H34" s="72"/>
      <c r="I34" s="72"/>
      <c r="J34" s="72"/>
      <c r="K34" s="72"/>
      <c r="L34" s="72"/>
      <c r="M34" s="72"/>
      <c r="N34" s="72"/>
    </row>
    <row r="35" spans="1:15" s="38" customFormat="1">
      <c r="A35" s="76"/>
      <c r="B35" s="78" t="s">
        <v>122</v>
      </c>
      <c r="C35" s="103">
        <v>53.33</v>
      </c>
      <c r="D35" s="76" t="s">
        <v>46</v>
      </c>
      <c r="E35" s="104">
        <v>125</v>
      </c>
      <c r="F35" s="76"/>
      <c r="G35" s="104">
        <v>30</v>
      </c>
      <c r="H35" s="72"/>
      <c r="I35" s="72"/>
      <c r="J35" s="72"/>
      <c r="K35" s="72"/>
      <c r="L35" s="72"/>
      <c r="M35" s="72"/>
      <c r="N35" s="72"/>
    </row>
    <row r="36" spans="1:15" s="38" customFormat="1">
      <c r="A36" s="73" t="s">
        <v>55</v>
      </c>
      <c r="B36" s="73"/>
      <c r="C36" s="73"/>
      <c r="D36" s="73"/>
      <c r="E36" s="73"/>
      <c r="F36" s="73"/>
      <c r="G36" s="73" t="s">
        <v>123</v>
      </c>
      <c r="H36" s="72" t="s">
        <v>124</v>
      </c>
      <c r="I36" s="72"/>
      <c r="J36" s="72"/>
      <c r="K36" s="72"/>
      <c r="L36" s="72"/>
      <c r="M36" s="72"/>
      <c r="N36" s="72"/>
    </row>
    <row r="37" spans="1:15" s="38" customFormat="1">
      <c r="A37" s="76" t="s">
        <v>85</v>
      </c>
      <c r="B37" s="76"/>
      <c r="C37" s="76"/>
      <c r="D37" s="76"/>
      <c r="E37" s="76"/>
      <c r="F37" s="76"/>
      <c r="G37" s="105">
        <v>8104</v>
      </c>
      <c r="H37" s="106">
        <f>G37*2.471</f>
        <v>20024.984</v>
      </c>
      <c r="I37" s="72"/>
      <c r="J37" s="72"/>
      <c r="K37" s="72"/>
      <c r="L37" s="72"/>
      <c r="M37" s="72"/>
      <c r="N37" s="72"/>
    </row>
    <row r="38" spans="1:15" s="38" customFormat="1">
      <c r="A38" s="76" t="s">
        <v>60</v>
      </c>
      <c r="B38" s="76"/>
      <c r="C38" s="76"/>
      <c r="D38" s="76"/>
      <c r="E38" s="76"/>
      <c r="F38" s="76"/>
      <c r="G38" s="107">
        <v>61.3</v>
      </c>
      <c r="H38" s="106"/>
      <c r="I38" s="72"/>
      <c r="J38" s="72"/>
      <c r="K38" s="72"/>
      <c r="L38" s="72"/>
      <c r="M38" s="72"/>
      <c r="N38" s="72"/>
    </row>
    <row r="39" spans="1:15" s="38" customFormat="1">
      <c r="A39" s="76" t="s">
        <v>86</v>
      </c>
      <c r="B39" s="76"/>
      <c r="C39" s="76"/>
      <c r="D39" s="76"/>
      <c r="E39" s="76"/>
      <c r="F39" s="76"/>
      <c r="G39" s="107">
        <v>496775</v>
      </c>
      <c r="H39" s="106">
        <f>G39*2.471</f>
        <v>1227531.0250000001</v>
      </c>
      <c r="I39" s="72"/>
      <c r="J39" s="72"/>
      <c r="K39" s="72"/>
      <c r="L39" s="72"/>
      <c r="M39" s="72"/>
      <c r="N39" s="72"/>
    </row>
    <row r="40" spans="1:15" s="38" customFormat="1">
      <c r="A40" s="76" t="s">
        <v>87</v>
      </c>
      <c r="B40" s="76"/>
      <c r="C40" s="76"/>
      <c r="D40" s="76"/>
      <c r="E40" s="76"/>
      <c r="F40" s="76"/>
      <c r="G40" s="107">
        <v>275996</v>
      </c>
      <c r="H40" s="106">
        <f>G40*2.471</f>
        <v>681986.11600000004</v>
      </c>
      <c r="I40" s="72"/>
      <c r="J40" s="72"/>
      <c r="K40" s="72"/>
      <c r="L40" s="72"/>
      <c r="M40" s="72"/>
      <c r="N40" s="72"/>
    </row>
    <row r="41" spans="1:15">
      <c r="A41" s="76" t="s">
        <v>88</v>
      </c>
      <c r="B41" s="76"/>
      <c r="C41" s="76"/>
      <c r="D41" s="76"/>
      <c r="E41" s="76"/>
      <c r="F41" s="76"/>
      <c r="G41" s="107">
        <f>SUM(G39-K20)</f>
        <v>391174</v>
      </c>
      <c r="H41" s="106">
        <f>G41*2.471</f>
        <v>966590.95400000003</v>
      </c>
      <c r="I41" s="72"/>
      <c r="J41" s="72"/>
      <c r="K41" s="72"/>
      <c r="L41" s="72"/>
      <c r="M41" s="72"/>
      <c r="N41" s="72"/>
      <c r="O41" s="38"/>
    </row>
    <row r="42" spans="1:15">
      <c r="A42" s="76"/>
      <c r="B42" s="76"/>
      <c r="C42" s="76"/>
      <c r="D42" s="76"/>
      <c r="E42" s="76"/>
      <c r="F42" s="76"/>
      <c r="G42" s="107"/>
      <c r="H42" s="72"/>
      <c r="I42" s="72"/>
      <c r="J42" s="72"/>
      <c r="K42" s="72"/>
      <c r="L42" s="72"/>
      <c r="M42" s="72"/>
      <c r="N42" s="72"/>
      <c r="O42" s="38"/>
    </row>
    <row r="43" spans="1:15">
      <c r="A43" s="76" t="s">
        <v>89</v>
      </c>
      <c r="B43" s="76"/>
      <c r="C43" s="76"/>
      <c r="D43" s="76"/>
      <c r="E43" s="76"/>
      <c r="F43" s="76"/>
      <c r="G43" s="107">
        <f>SUM(K19/G37)</f>
        <v>27.24321322803554</v>
      </c>
      <c r="H43" s="72"/>
      <c r="I43" s="72"/>
      <c r="J43" s="72"/>
      <c r="K43" s="72"/>
      <c r="L43" s="72"/>
      <c r="M43" s="72"/>
      <c r="N43" s="72"/>
      <c r="O43" s="38"/>
    </row>
    <row r="44" spans="1:15">
      <c r="A44" s="79" t="s">
        <v>90</v>
      </c>
      <c r="B44" s="79"/>
      <c r="C44" s="79"/>
      <c r="D44" s="79"/>
      <c r="E44" s="79"/>
      <c r="F44" s="79"/>
      <c r="G44" s="108">
        <f>SUM(K20/G37)</f>
        <v>13.030725567620928</v>
      </c>
      <c r="H44" s="72"/>
      <c r="I44" s="72"/>
      <c r="J44" s="72"/>
      <c r="K44" s="72"/>
      <c r="L44" s="72"/>
      <c r="M44" s="72"/>
      <c r="N44" s="72"/>
    </row>
    <row r="45" spans="1:15" ht="15.7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72"/>
      <c r="N45" s="72"/>
    </row>
    <row r="46" spans="1:15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</row>
    <row r="47" spans="1:15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1"/>
    </row>
    <row r="48" spans="1:15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1"/>
    </row>
    <row r="49" spans="1:14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1"/>
    </row>
    <row r="50" spans="1:14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1"/>
    </row>
    <row r="51" spans="1:14">
      <c r="A51" s="110"/>
      <c r="B51" s="38"/>
      <c r="C51" s="38"/>
      <c r="D51" s="42"/>
      <c r="E51" s="38"/>
      <c r="F51" s="38"/>
      <c r="G51" s="38"/>
      <c r="H51" s="38"/>
      <c r="I51" s="38"/>
      <c r="J51" s="38"/>
      <c r="K51" s="38"/>
      <c r="L51" s="38"/>
      <c r="M51" s="38"/>
    </row>
    <row r="52" spans="1:14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14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topLeftCell="A34" workbookViewId="0">
      <selection activeCell="I46" sqref="I46"/>
    </sheetView>
  </sheetViews>
  <sheetFormatPr defaultRowHeight="11.25"/>
  <cols>
    <col min="1" max="1" width="9.140625" style="115"/>
    <col min="2" max="2" width="12.85546875" style="115" customWidth="1"/>
    <col min="3" max="3" width="1.140625" style="115" hidden="1" customWidth="1"/>
    <col min="4" max="4" width="8" style="115" customWidth="1"/>
    <col min="5" max="5" width="8.42578125" style="115" customWidth="1"/>
    <col min="6" max="6" width="6" style="115" customWidth="1"/>
    <col min="7" max="7" width="13" style="115" customWidth="1"/>
    <col min="8" max="8" width="9.5703125" style="115" customWidth="1"/>
    <col min="9" max="9" width="10.7109375" style="115" customWidth="1"/>
    <col min="10" max="10" width="8.28515625" style="115" customWidth="1"/>
    <col min="11" max="11" width="9.85546875" style="115" customWidth="1"/>
    <col min="12" max="12" width="5.5703125" style="115" customWidth="1"/>
    <col min="13" max="13" width="6" style="115" customWidth="1"/>
    <col min="14" max="16384" width="9.140625" style="115"/>
  </cols>
  <sheetData>
    <row r="1" spans="1:23" ht="15">
      <c r="A1" s="111" t="s">
        <v>0</v>
      </c>
      <c r="B1" s="111" t="s">
        <v>125</v>
      </c>
      <c r="C1" s="111"/>
      <c r="D1" s="111"/>
      <c r="E1" s="111"/>
      <c r="F1" s="111"/>
      <c r="G1" s="111"/>
      <c r="H1" s="111"/>
      <c r="I1" s="111"/>
      <c r="J1" s="111"/>
      <c r="K1" s="111"/>
      <c r="L1" s="112"/>
      <c r="M1" s="112"/>
      <c r="N1" s="113"/>
      <c r="O1" s="114"/>
    </row>
    <row r="2" spans="1:23" ht="15">
      <c r="A2" s="111"/>
      <c r="B2" s="111" t="s">
        <v>126</v>
      </c>
      <c r="C2" s="111"/>
      <c r="D2" s="111"/>
      <c r="E2" s="111"/>
      <c r="F2" s="111"/>
      <c r="G2" s="111"/>
      <c r="H2" s="111"/>
      <c r="I2" s="111"/>
      <c r="J2" s="111"/>
      <c r="K2" s="111"/>
      <c r="L2" s="112"/>
      <c r="M2" s="112"/>
      <c r="N2" s="113"/>
      <c r="O2" s="114"/>
    </row>
    <row r="3" spans="1:23" ht="15">
      <c r="A3" s="111"/>
      <c r="B3" s="111" t="s">
        <v>127</v>
      </c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112"/>
      <c r="N3" s="113"/>
      <c r="O3" s="114"/>
    </row>
    <row r="4" spans="1:23" ht="15">
      <c r="A4" s="116" t="s">
        <v>6</v>
      </c>
      <c r="B4" s="116"/>
      <c r="C4" s="116"/>
      <c r="D4" s="117" t="s">
        <v>7</v>
      </c>
      <c r="E4" s="117" t="s">
        <v>8</v>
      </c>
      <c r="F4" s="117" t="s">
        <v>9</v>
      </c>
      <c r="G4" s="117" t="s">
        <v>10</v>
      </c>
      <c r="H4" s="117" t="s">
        <v>11</v>
      </c>
      <c r="I4" s="117" t="s">
        <v>12</v>
      </c>
      <c r="J4" s="117" t="s">
        <v>13</v>
      </c>
      <c r="K4" s="117" t="s">
        <v>14</v>
      </c>
      <c r="L4" s="118" t="s">
        <v>71</v>
      </c>
      <c r="M4" s="119"/>
      <c r="N4" s="113"/>
      <c r="O4" s="114"/>
    </row>
    <row r="5" spans="1:23" ht="15">
      <c r="A5" s="120"/>
      <c r="B5" s="120"/>
      <c r="C5" s="120"/>
      <c r="D5" s="121" t="s">
        <v>16</v>
      </c>
      <c r="E5" s="121" t="s">
        <v>17</v>
      </c>
      <c r="F5" s="121" t="s">
        <v>17</v>
      </c>
      <c r="G5" s="121" t="s">
        <v>18</v>
      </c>
      <c r="H5" s="121" t="s">
        <v>19</v>
      </c>
      <c r="I5" s="121" t="s">
        <v>20</v>
      </c>
      <c r="J5" s="121" t="s">
        <v>19</v>
      </c>
      <c r="K5" s="121" t="s">
        <v>19</v>
      </c>
      <c r="L5" s="122" t="s">
        <v>12</v>
      </c>
      <c r="M5" s="123" t="s">
        <v>13</v>
      </c>
      <c r="N5" s="113"/>
      <c r="O5" s="124"/>
      <c r="P5" s="125"/>
      <c r="Q5" s="125"/>
      <c r="R5" s="125"/>
      <c r="S5" s="125"/>
      <c r="T5" s="125"/>
      <c r="U5" s="125"/>
      <c r="V5" s="125"/>
      <c r="W5" s="125"/>
    </row>
    <row r="6" spans="1:23" ht="15">
      <c r="A6" s="120"/>
      <c r="B6" s="120"/>
      <c r="C6" s="120"/>
      <c r="D6" s="121" t="s">
        <v>22</v>
      </c>
      <c r="E6" s="121"/>
      <c r="F6" s="121"/>
      <c r="G6" s="121"/>
      <c r="H6" s="121" t="s">
        <v>23</v>
      </c>
      <c r="I6" s="121" t="s">
        <v>19</v>
      </c>
      <c r="J6" s="121" t="s">
        <v>23</v>
      </c>
      <c r="K6" s="121" t="s">
        <v>23</v>
      </c>
      <c r="L6" s="123"/>
      <c r="M6" s="123"/>
      <c r="N6" s="113"/>
      <c r="O6" s="124"/>
      <c r="P6" s="125"/>
      <c r="Q6" s="125"/>
      <c r="R6" s="125"/>
      <c r="S6" s="125"/>
      <c r="T6" s="125"/>
      <c r="U6" s="125"/>
      <c r="V6" s="125"/>
      <c r="W6" s="125"/>
    </row>
    <row r="7" spans="1:23" ht="15">
      <c r="A7" s="126"/>
      <c r="B7" s="126"/>
      <c r="C7" s="126"/>
      <c r="D7" s="127"/>
      <c r="E7" s="127"/>
      <c r="F7" s="127"/>
      <c r="G7" s="127"/>
      <c r="H7" s="127"/>
      <c r="I7" s="127" t="s">
        <v>23</v>
      </c>
      <c r="J7" s="127"/>
      <c r="K7" s="127"/>
      <c r="L7" s="128"/>
      <c r="M7" s="128"/>
      <c r="N7" s="113"/>
      <c r="O7" s="11"/>
      <c r="P7" s="129"/>
      <c r="Q7" s="125"/>
      <c r="R7" s="125"/>
      <c r="S7" s="125"/>
      <c r="T7" s="125"/>
      <c r="U7" s="125"/>
      <c r="V7" s="125"/>
      <c r="W7" s="125"/>
    </row>
    <row r="8" spans="1:23" ht="15">
      <c r="A8" s="111" t="s">
        <v>128</v>
      </c>
      <c r="B8" s="130"/>
      <c r="C8" s="130"/>
      <c r="D8" s="131">
        <v>53</v>
      </c>
      <c r="E8" s="132">
        <v>5.33</v>
      </c>
      <c r="F8" s="133">
        <v>4.74</v>
      </c>
      <c r="G8" s="134">
        <v>1200</v>
      </c>
      <c r="H8" s="132">
        <v>5520</v>
      </c>
      <c r="I8" s="111"/>
      <c r="J8" s="132">
        <v>1758</v>
      </c>
      <c r="K8" s="135">
        <f>SUM(H8:J8)</f>
        <v>7278</v>
      </c>
      <c r="L8" s="112"/>
      <c r="M8" s="113"/>
      <c r="N8" s="113"/>
      <c r="O8" s="136"/>
      <c r="P8" s="136"/>
      <c r="Q8" s="125"/>
      <c r="R8" s="125"/>
      <c r="S8" s="125"/>
      <c r="T8" s="125"/>
      <c r="U8" s="125"/>
      <c r="V8" s="125"/>
      <c r="W8" s="125"/>
    </row>
    <row r="9" spans="1:23" ht="15">
      <c r="A9" s="111" t="s">
        <v>73</v>
      </c>
      <c r="B9" s="130"/>
      <c r="C9" s="130"/>
      <c r="D9" s="137">
        <v>93</v>
      </c>
      <c r="E9" s="135">
        <v>5.43</v>
      </c>
      <c r="F9" s="135">
        <v>3.9</v>
      </c>
      <c r="G9" s="138">
        <v>1471.8309999999999</v>
      </c>
      <c r="H9" s="132">
        <v>11827</v>
      </c>
      <c r="I9" s="111"/>
      <c r="J9" s="135"/>
      <c r="K9" s="135">
        <f>SUM(H9:J9)</f>
        <v>11827</v>
      </c>
      <c r="L9" s="112"/>
      <c r="M9" s="113"/>
      <c r="N9" s="113"/>
      <c r="O9" s="139"/>
      <c r="P9" s="140"/>
      <c r="Q9" s="125"/>
      <c r="R9" s="125"/>
      <c r="S9" s="125"/>
      <c r="T9" s="125"/>
      <c r="U9" s="125"/>
      <c r="V9" s="125"/>
      <c r="W9" s="125"/>
    </row>
    <row r="10" spans="1:23" ht="15">
      <c r="A10" s="111" t="s">
        <v>129</v>
      </c>
      <c r="B10" s="130"/>
      <c r="C10" s="130"/>
      <c r="D10" s="137">
        <v>76.66</v>
      </c>
      <c r="E10" s="135">
        <v>1.286</v>
      </c>
      <c r="F10" s="135">
        <v>0.96</v>
      </c>
      <c r="G10" s="138">
        <v>1275</v>
      </c>
      <c r="H10" s="132">
        <v>2124</v>
      </c>
      <c r="I10" s="135">
        <v>8937</v>
      </c>
      <c r="J10" s="135"/>
      <c r="K10" s="135">
        <f t="shared" ref="K10:K17" si="0">SUM(H10:J10)</f>
        <v>11061</v>
      </c>
      <c r="L10" s="141">
        <v>971</v>
      </c>
      <c r="M10" s="113"/>
      <c r="N10" s="113"/>
      <c r="O10" s="136"/>
      <c r="P10" s="136"/>
      <c r="Q10" s="125"/>
      <c r="R10" s="125"/>
      <c r="S10" s="125"/>
      <c r="T10" s="125"/>
      <c r="U10" s="125"/>
      <c r="V10" s="125"/>
      <c r="W10" s="125"/>
    </row>
    <row r="11" spans="1:23" ht="11.25" customHeight="1">
      <c r="A11" s="111" t="s">
        <v>130</v>
      </c>
      <c r="B11" s="130"/>
      <c r="C11" s="130"/>
      <c r="D11" s="131" t="s">
        <v>131</v>
      </c>
      <c r="E11" s="142" t="s">
        <v>132</v>
      </c>
      <c r="F11" s="142" t="s">
        <v>133</v>
      </c>
      <c r="G11" s="143" t="s">
        <v>134</v>
      </c>
      <c r="H11" s="132" t="s">
        <v>135</v>
      </c>
      <c r="I11" s="130"/>
      <c r="J11" s="144"/>
      <c r="K11" s="144"/>
      <c r="L11" s="113"/>
      <c r="M11" s="113"/>
      <c r="N11" s="113"/>
      <c r="O11" s="136"/>
      <c r="P11" s="145"/>
      <c r="Q11" s="125"/>
      <c r="R11" s="125"/>
      <c r="S11" s="125"/>
      <c r="T11" s="125"/>
      <c r="U11" s="125"/>
      <c r="V11" s="125"/>
      <c r="W11" s="125"/>
    </row>
    <row r="12" spans="1:23" ht="15">
      <c r="A12" s="111" t="s">
        <v>136</v>
      </c>
      <c r="B12" s="130"/>
      <c r="C12" s="130"/>
      <c r="D12" s="137">
        <v>100</v>
      </c>
      <c r="E12" s="111">
        <v>16.713999999999999</v>
      </c>
      <c r="F12" s="135">
        <v>3.6080000000000001</v>
      </c>
      <c r="G12" s="138">
        <v>1389.42</v>
      </c>
      <c r="H12" s="132">
        <v>20922</v>
      </c>
      <c r="I12" s="130"/>
      <c r="J12" s="146">
        <v>6157</v>
      </c>
      <c r="K12" s="135">
        <f>SUM(H12:J12)</f>
        <v>27079</v>
      </c>
      <c r="L12" s="113"/>
      <c r="M12" s="113"/>
      <c r="N12" s="113"/>
      <c r="O12" s="136"/>
      <c r="P12" s="145"/>
      <c r="Q12" s="125"/>
      <c r="R12" s="125"/>
      <c r="S12" s="125"/>
      <c r="T12" s="125"/>
      <c r="U12" s="125"/>
      <c r="V12" s="125"/>
      <c r="W12" s="125"/>
    </row>
    <row r="13" spans="1:23" ht="15">
      <c r="A13" s="111" t="s">
        <v>137</v>
      </c>
      <c r="B13" s="130"/>
      <c r="C13" s="130"/>
      <c r="D13" s="137">
        <v>100</v>
      </c>
      <c r="E13" s="135">
        <v>12.269</v>
      </c>
      <c r="F13" s="135">
        <v>4.2190000000000003</v>
      </c>
      <c r="G13" s="138">
        <v>1283.114</v>
      </c>
      <c r="H13" s="132">
        <v>17478</v>
      </c>
      <c r="I13" s="130"/>
      <c r="J13" s="135">
        <v>14516</v>
      </c>
      <c r="K13" s="135">
        <f>SUM(H13:J13)</f>
        <v>31994</v>
      </c>
      <c r="L13" s="113"/>
      <c r="M13" s="113"/>
      <c r="N13" s="113"/>
      <c r="O13" s="139"/>
      <c r="P13" s="139"/>
      <c r="Q13" s="125"/>
      <c r="R13" s="125"/>
      <c r="S13" s="125"/>
      <c r="T13" s="125"/>
      <c r="U13" s="125"/>
      <c r="V13" s="125"/>
      <c r="W13" s="125"/>
    </row>
    <row r="14" spans="1:23" ht="15">
      <c r="A14" s="111" t="s">
        <v>138</v>
      </c>
      <c r="B14" s="130"/>
      <c r="C14" s="130"/>
      <c r="D14" s="137">
        <v>100</v>
      </c>
      <c r="E14" s="135">
        <v>14.946553</v>
      </c>
      <c r="F14" s="135">
        <v>4.6102999999999996</v>
      </c>
      <c r="G14" s="138">
        <v>1215.0350000000001</v>
      </c>
      <c r="H14" s="132">
        <v>17889</v>
      </c>
      <c r="I14" s="130"/>
      <c r="J14" s="144"/>
      <c r="K14" s="135">
        <f>SUM(H14:J14)</f>
        <v>17889</v>
      </c>
      <c r="L14" s="113"/>
      <c r="M14" s="113"/>
      <c r="N14" s="113"/>
      <c r="O14" s="11"/>
      <c r="P14" s="147"/>
      <c r="Q14" s="125"/>
      <c r="R14" s="125"/>
      <c r="S14" s="125"/>
      <c r="T14" s="125"/>
      <c r="U14" s="125"/>
      <c r="V14" s="125"/>
      <c r="W14" s="125"/>
    </row>
    <row r="15" spans="1:23" ht="15">
      <c r="A15" s="111" t="s">
        <v>104</v>
      </c>
      <c r="B15" s="130"/>
      <c r="C15" s="130"/>
      <c r="D15" s="137">
        <v>100</v>
      </c>
      <c r="E15" s="135">
        <v>7.4939999999999998</v>
      </c>
      <c r="F15" s="135">
        <v>3.5083000000000002</v>
      </c>
      <c r="G15" s="138">
        <v>1309.5925</v>
      </c>
      <c r="H15" s="132">
        <v>12816</v>
      </c>
      <c r="I15" s="130"/>
      <c r="J15" s="135">
        <v>18234</v>
      </c>
      <c r="K15" s="135">
        <f t="shared" si="0"/>
        <v>31050</v>
      </c>
      <c r="L15" s="113"/>
      <c r="M15" s="113"/>
      <c r="N15" s="113"/>
      <c r="O15" s="11"/>
      <c r="P15" s="147"/>
      <c r="Q15" s="125"/>
      <c r="R15" s="125"/>
      <c r="S15" s="125"/>
      <c r="T15" s="125"/>
      <c r="U15" s="125"/>
      <c r="V15" s="125"/>
      <c r="W15" s="125"/>
    </row>
    <row r="16" spans="1:23" ht="15">
      <c r="A16" s="111" t="s">
        <v>77</v>
      </c>
      <c r="B16" s="130"/>
      <c r="C16" s="130"/>
      <c r="D16" s="137">
        <v>100</v>
      </c>
      <c r="E16" s="135">
        <v>8.4019999999999992</v>
      </c>
      <c r="F16" s="135">
        <v>7.2309999999999999</v>
      </c>
      <c r="G16" s="138">
        <v>1012</v>
      </c>
      <c r="H16" s="132">
        <v>13457</v>
      </c>
      <c r="I16" s="130"/>
      <c r="J16" s="135">
        <v>12379</v>
      </c>
      <c r="K16" s="135">
        <f>SUM(H16:J16)</f>
        <v>25836</v>
      </c>
      <c r="L16" s="113"/>
      <c r="M16" s="113"/>
      <c r="N16" s="113"/>
      <c r="O16" s="11"/>
      <c r="P16" s="148"/>
      <c r="Q16" s="125"/>
      <c r="R16" s="125"/>
      <c r="S16" s="125"/>
      <c r="T16" s="125"/>
      <c r="U16" s="125"/>
      <c r="V16" s="125"/>
      <c r="W16" s="125"/>
    </row>
    <row r="17" spans="1:23" ht="15">
      <c r="A17" s="111" t="s">
        <v>139</v>
      </c>
      <c r="B17" s="130"/>
      <c r="C17" s="130"/>
      <c r="D17" s="137">
        <v>100</v>
      </c>
      <c r="E17" s="135">
        <v>25.73</v>
      </c>
      <c r="F17" s="135">
        <v>20.413599999999999</v>
      </c>
      <c r="G17" s="138">
        <v>1313.37</v>
      </c>
      <c r="H17" s="132">
        <v>23624</v>
      </c>
      <c r="I17" s="135">
        <v>11159</v>
      </c>
      <c r="J17" s="144"/>
      <c r="K17" s="135">
        <f t="shared" si="0"/>
        <v>34783</v>
      </c>
      <c r="L17" s="113"/>
      <c r="M17" s="113"/>
      <c r="N17" s="113"/>
      <c r="O17" s="124"/>
      <c r="P17" s="125"/>
      <c r="Q17" s="125"/>
      <c r="R17" s="125"/>
      <c r="S17" s="125"/>
      <c r="T17" s="125"/>
      <c r="U17" s="125"/>
      <c r="V17" s="125"/>
      <c r="W17" s="125"/>
    </row>
    <row r="18" spans="1:23" ht="15">
      <c r="A18" s="133" t="s">
        <v>140</v>
      </c>
      <c r="B18" s="130"/>
      <c r="C18" s="130"/>
      <c r="D18" s="149" t="s">
        <v>108</v>
      </c>
      <c r="E18" s="150" t="s">
        <v>141</v>
      </c>
      <c r="F18" s="150" t="s">
        <v>142</v>
      </c>
      <c r="G18" s="151" t="s">
        <v>143</v>
      </c>
      <c r="H18" s="132" t="s">
        <v>441</v>
      </c>
      <c r="I18" s="130"/>
      <c r="J18" s="144"/>
      <c r="K18" s="144"/>
      <c r="L18" s="113"/>
      <c r="M18" s="113"/>
      <c r="N18" s="113"/>
      <c r="O18" s="124"/>
      <c r="P18" s="125"/>
      <c r="Q18" s="125"/>
      <c r="R18" s="125"/>
      <c r="S18" s="125"/>
      <c r="T18" s="125"/>
      <c r="U18" s="125"/>
      <c r="V18" s="125"/>
      <c r="W18" s="125"/>
    </row>
    <row r="19" spans="1:23" ht="15">
      <c r="A19" s="130"/>
      <c r="B19" s="130"/>
      <c r="C19" s="130"/>
      <c r="D19" s="152"/>
      <c r="E19" s="153"/>
      <c r="F19" s="153"/>
      <c r="G19" s="152"/>
      <c r="H19" s="154"/>
      <c r="I19" s="130"/>
      <c r="J19" s="144"/>
      <c r="K19" s="155"/>
      <c r="L19" s="113"/>
      <c r="M19" s="113"/>
      <c r="N19" s="113"/>
      <c r="O19" s="124"/>
      <c r="P19" s="125"/>
      <c r="Q19" s="125"/>
      <c r="R19" s="125"/>
      <c r="S19" s="125"/>
      <c r="T19" s="125"/>
      <c r="U19" s="125"/>
      <c r="V19" s="125"/>
      <c r="W19" s="125"/>
    </row>
    <row r="20" spans="1:23" ht="15">
      <c r="A20" s="116" t="s">
        <v>81</v>
      </c>
      <c r="B20" s="116"/>
      <c r="C20" s="116"/>
      <c r="D20" s="156"/>
      <c r="E20" s="157">
        <v>92</v>
      </c>
      <c r="F20" s="157">
        <v>48</v>
      </c>
      <c r="G20" s="157"/>
      <c r="H20" s="157">
        <f>SUM(H8:H19)</f>
        <v>125657</v>
      </c>
      <c r="I20" s="157">
        <f>SUM(I8:I19)</f>
        <v>20096</v>
      </c>
      <c r="J20" s="157">
        <f>SUM(J8:J19)</f>
        <v>53044</v>
      </c>
      <c r="K20" s="157">
        <f>SUM(H20:J20)</f>
        <v>198797</v>
      </c>
      <c r="L20" s="158">
        <f>+I20-I21</f>
        <v>971</v>
      </c>
      <c r="M20" s="159"/>
      <c r="N20" s="113"/>
      <c r="O20" s="124"/>
      <c r="P20" s="125"/>
      <c r="Q20" s="125"/>
      <c r="R20" s="125"/>
      <c r="S20" s="125"/>
      <c r="T20" s="125"/>
      <c r="U20" s="125"/>
      <c r="V20" s="125"/>
      <c r="W20" s="125"/>
    </row>
    <row r="21" spans="1:23" ht="15">
      <c r="A21" s="126" t="s">
        <v>82</v>
      </c>
      <c r="B21" s="126"/>
      <c r="C21" s="126"/>
      <c r="D21" s="160"/>
      <c r="E21" s="161">
        <v>44</v>
      </c>
      <c r="F21" s="161"/>
      <c r="G21" s="161"/>
      <c r="H21" s="161">
        <f>SUM(E32*G32)</f>
        <v>60104</v>
      </c>
      <c r="I21" s="161">
        <v>19125</v>
      </c>
      <c r="J21" s="161">
        <f>J20-M20</f>
        <v>53044</v>
      </c>
      <c r="K21" s="161">
        <f>SUM(H21:J21)</f>
        <v>132273</v>
      </c>
      <c r="L21" s="162"/>
      <c r="M21" s="162"/>
      <c r="N21" s="113"/>
      <c r="O21" s="114"/>
    </row>
    <row r="22" spans="1:23" ht="15">
      <c r="A22" s="163" t="s">
        <v>144</v>
      </c>
      <c r="B22" s="120" t="s">
        <v>145</v>
      </c>
      <c r="C22" s="164"/>
      <c r="D22" s="165"/>
      <c r="E22" s="166"/>
      <c r="F22" s="166"/>
      <c r="G22" s="166"/>
      <c r="H22" s="166"/>
      <c r="I22" s="164"/>
      <c r="J22" s="166"/>
      <c r="K22" s="166"/>
      <c r="L22" s="167"/>
      <c r="M22" s="167"/>
      <c r="N22" s="113"/>
      <c r="O22" s="114"/>
    </row>
    <row r="23" spans="1:23" ht="15">
      <c r="A23" s="168"/>
      <c r="B23" s="164"/>
      <c r="C23" s="164"/>
      <c r="D23" s="165"/>
      <c r="E23" s="166"/>
      <c r="F23" s="166"/>
      <c r="G23" s="166"/>
      <c r="H23" s="166"/>
      <c r="I23" s="164"/>
      <c r="J23" s="166"/>
      <c r="K23" s="166"/>
      <c r="L23" s="167"/>
      <c r="M23" s="167"/>
      <c r="N23" s="113"/>
      <c r="O23" s="114"/>
    </row>
    <row r="24" spans="1:23" ht="15">
      <c r="A24" s="168"/>
      <c r="B24" s="164"/>
      <c r="C24" s="164"/>
      <c r="D24" s="165"/>
      <c r="E24" s="166"/>
      <c r="F24" s="166"/>
      <c r="G24" s="166"/>
      <c r="H24" s="166"/>
      <c r="I24" s="164"/>
      <c r="J24" s="166"/>
      <c r="K24" s="166"/>
      <c r="L24" s="167"/>
      <c r="M24" s="167"/>
      <c r="N24" s="113"/>
      <c r="O24" s="114"/>
    </row>
    <row r="25" spans="1:23" ht="15">
      <c r="A25" s="111" t="s">
        <v>37</v>
      </c>
      <c r="B25" s="111"/>
      <c r="C25" s="111"/>
      <c r="D25" s="111"/>
      <c r="E25" s="111"/>
      <c r="F25" s="111"/>
      <c r="G25" s="111"/>
      <c r="H25" s="111"/>
      <c r="I25" s="130"/>
      <c r="J25" s="130"/>
      <c r="K25" s="130"/>
      <c r="L25" s="113"/>
      <c r="M25" s="113"/>
      <c r="N25" s="113"/>
      <c r="O25" s="114"/>
    </row>
    <row r="26" spans="1:23" ht="15">
      <c r="A26" s="169" t="s">
        <v>38</v>
      </c>
      <c r="B26" s="169"/>
      <c r="C26" s="169"/>
      <c r="D26" s="169" t="s">
        <v>39</v>
      </c>
      <c r="E26" s="169" t="s">
        <v>40</v>
      </c>
      <c r="F26" s="169"/>
      <c r="G26" s="169" t="s">
        <v>41</v>
      </c>
      <c r="H26" s="111"/>
      <c r="I26" s="170" t="s">
        <v>54</v>
      </c>
      <c r="J26" s="171">
        <v>0.44819999999999999</v>
      </c>
      <c r="K26" s="130"/>
      <c r="L26" s="113"/>
      <c r="M26" s="113"/>
      <c r="N26" s="113"/>
      <c r="O26" s="114"/>
    </row>
    <row r="27" spans="1:23" ht="15">
      <c r="A27" s="111"/>
      <c r="B27" s="116" t="s">
        <v>146</v>
      </c>
      <c r="C27" s="172"/>
      <c r="D27" s="111" t="s">
        <v>147</v>
      </c>
      <c r="E27" s="130"/>
      <c r="F27" s="130"/>
      <c r="G27" s="130"/>
      <c r="H27" s="130"/>
      <c r="I27" s="170" t="s">
        <v>148</v>
      </c>
      <c r="J27" s="171">
        <v>0.25</v>
      </c>
      <c r="K27" s="130"/>
      <c r="L27" s="173"/>
      <c r="M27" s="113"/>
      <c r="N27" s="113"/>
      <c r="O27" s="114"/>
    </row>
    <row r="28" spans="1:23" ht="15">
      <c r="A28" s="111" t="s">
        <v>149</v>
      </c>
      <c r="B28" s="133" t="s">
        <v>442</v>
      </c>
      <c r="C28" s="130">
        <v>41.67</v>
      </c>
      <c r="D28" s="111" t="s">
        <v>149</v>
      </c>
      <c r="E28" s="574" t="s">
        <v>443</v>
      </c>
      <c r="F28" s="111"/>
      <c r="G28" s="150" t="s">
        <v>444</v>
      </c>
      <c r="H28" s="130"/>
      <c r="I28" s="130"/>
      <c r="J28" s="130"/>
      <c r="K28" s="130"/>
      <c r="L28" s="173"/>
      <c r="M28" s="113"/>
      <c r="N28" s="113"/>
      <c r="O28" s="114"/>
    </row>
    <row r="29" spans="1:23" ht="15">
      <c r="A29" s="111" t="s">
        <v>150</v>
      </c>
      <c r="B29" s="111">
        <v>53</v>
      </c>
      <c r="C29" s="130">
        <v>58.33</v>
      </c>
      <c r="D29" s="111" t="s">
        <v>46</v>
      </c>
      <c r="E29" s="135">
        <v>0.18099999999999999</v>
      </c>
      <c r="F29" s="111"/>
      <c r="G29" s="135">
        <v>80200</v>
      </c>
      <c r="H29" s="130"/>
      <c r="I29" s="174" t="s">
        <v>151</v>
      </c>
      <c r="J29" s="175"/>
      <c r="K29" s="130"/>
      <c r="L29" s="173"/>
      <c r="M29" s="113"/>
      <c r="N29" s="113"/>
      <c r="O29" s="114"/>
    </row>
    <row r="30" spans="1:23" ht="15">
      <c r="A30" s="111"/>
      <c r="B30" s="111"/>
      <c r="C30" s="130"/>
      <c r="D30" s="130"/>
      <c r="E30" s="144"/>
      <c r="F30" s="130"/>
      <c r="G30" s="144"/>
      <c r="H30" s="130"/>
      <c r="I30" s="176"/>
      <c r="J30" s="177"/>
      <c r="K30" s="130"/>
      <c r="L30" s="113"/>
      <c r="M30" s="113"/>
      <c r="N30" s="113"/>
      <c r="O30" s="114"/>
    </row>
    <row r="31" spans="1:23" ht="15">
      <c r="A31" s="111" t="s">
        <v>48</v>
      </c>
      <c r="B31" s="111"/>
      <c r="C31" s="130"/>
      <c r="D31" s="130"/>
      <c r="E31" s="130"/>
      <c r="F31" s="130"/>
      <c r="G31" s="130"/>
      <c r="H31" s="130"/>
      <c r="I31" s="178" t="s">
        <v>152</v>
      </c>
      <c r="J31" s="179">
        <v>43</v>
      </c>
      <c r="K31" s="180"/>
      <c r="L31" s="181"/>
      <c r="M31" s="113"/>
      <c r="N31" s="113"/>
      <c r="O31" s="114"/>
    </row>
    <row r="32" spans="1:23" ht="15">
      <c r="A32" s="111" t="s">
        <v>50</v>
      </c>
      <c r="B32" s="111"/>
      <c r="C32" s="130"/>
      <c r="D32" s="111" t="s">
        <v>51</v>
      </c>
      <c r="E32" s="135">
        <v>44</v>
      </c>
      <c r="F32" s="111"/>
      <c r="G32" s="135">
        <v>1366</v>
      </c>
      <c r="H32" s="130"/>
      <c r="I32" s="182" t="s">
        <v>153</v>
      </c>
      <c r="J32" s="183">
        <v>40</v>
      </c>
      <c r="K32" s="130"/>
      <c r="L32" s="181"/>
      <c r="M32" s="113"/>
      <c r="N32" s="113"/>
      <c r="O32" s="114"/>
    </row>
    <row r="33" spans="1:15" ht="15">
      <c r="A33" s="111" t="s">
        <v>52</v>
      </c>
      <c r="B33" s="111"/>
      <c r="C33" s="130"/>
      <c r="D33" s="111" t="s">
        <v>51</v>
      </c>
      <c r="E33" s="135">
        <v>48</v>
      </c>
      <c r="F33" s="111"/>
      <c r="G33" s="111"/>
      <c r="H33" s="130"/>
      <c r="I33" s="184" t="s">
        <v>154</v>
      </c>
      <c r="J33" s="185">
        <v>17</v>
      </c>
      <c r="K33" s="130"/>
      <c r="L33" s="181"/>
      <c r="M33" s="113"/>
      <c r="N33" s="113"/>
      <c r="O33" s="114"/>
    </row>
    <row r="34" spans="1:15" ht="15">
      <c r="A34" s="111" t="s">
        <v>8</v>
      </c>
      <c r="B34" s="130"/>
      <c r="C34" s="130"/>
      <c r="D34" s="130"/>
      <c r="E34" s="135">
        <f>SUM(E32:E33)</f>
        <v>92</v>
      </c>
      <c r="F34" s="111"/>
      <c r="G34" s="111"/>
      <c r="H34" s="130"/>
      <c r="I34" s="130"/>
      <c r="J34" s="130"/>
      <c r="K34" s="130"/>
      <c r="L34" s="181"/>
      <c r="M34" s="113"/>
      <c r="N34" s="186"/>
      <c r="O34" s="114"/>
    </row>
    <row r="35" spans="1:15" ht="15">
      <c r="A35" s="116" t="s">
        <v>155</v>
      </c>
      <c r="B35" s="116"/>
      <c r="C35" s="116" t="s">
        <v>116</v>
      </c>
      <c r="D35" s="116"/>
      <c r="E35" s="116"/>
      <c r="F35" s="116"/>
      <c r="G35" s="116"/>
      <c r="H35" s="130"/>
      <c r="I35" s="130"/>
      <c r="J35" s="187"/>
      <c r="K35" s="188"/>
      <c r="L35" s="181"/>
      <c r="M35" s="113"/>
      <c r="N35" s="113"/>
      <c r="O35" s="114"/>
    </row>
    <row r="36" spans="1:15" ht="15">
      <c r="A36" s="111" t="s">
        <v>156</v>
      </c>
      <c r="B36" s="189">
        <v>57</v>
      </c>
      <c r="C36" s="190">
        <v>37.5</v>
      </c>
      <c r="D36" s="191" t="s">
        <v>46</v>
      </c>
      <c r="E36" s="192">
        <v>326</v>
      </c>
      <c r="F36" s="120"/>
      <c r="G36" s="192">
        <v>30</v>
      </c>
      <c r="H36" s="130"/>
      <c r="I36" s="130"/>
      <c r="J36" s="193"/>
      <c r="K36" s="194"/>
      <c r="L36" s="113"/>
      <c r="M36" s="113"/>
      <c r="N36" s="113"/>
      <c r="O36" s="114"/>
    </row>
    <row r="37" spans="1:15" ht="15">
      <c r="A37" s="111" t="s">
        <v>118</v>
      </c>
      <c r="B37" s="189">
        <v>50</v>
      </c>
      <c r="C37" s="190"/>
      <c r="D37" s="191" t="s">
        <v>46</v>
      </c>
      <c r="E37" s="192">
        <v>47</v>
      </c>
      <c r="F37" s="120"/>
      <c r="G37" s="192">
        <v>30</v>
      </c>
      <c r="H37" s="130"/>
      <c r="I37" s="130"/>
      <c r="J37" s="193"/>
      <c r="K37" s="194"/>
      <c r="L37" s="113"/>
      <c r="M37" s="113"/>
      <c r="N37" s="113"/>
      <c r="O37" s="114"/>
    </row>
    <row r="38" spans="1:15" ht="15">
      <c r="A38" s="195" t="s">
        <v>157</v>
      </c>
      <c r="B38" s="189">
        <v>40</v>
      </c>
      <c r="C38" s="196"/>
      <c r="D38" s="120" t="s">
        <v>46</v>
      </c>
      <c r="E38" s="192">
        <v>1174</v>
      </c>
      <c r="F38" s="120"/>
      <c r="G38" s="192">
        <v>6</v>
      </c>
      <c r="H38" s="130"/>
      <c r="I38" s="130"/>
      <c r="J38" s="193"/>
      <c r="K38" s="194"/>
      <c r="L38" s="113"/>
      <c r="M38" s="113"/>
      <c r="N38" s="113"/>
      <c r="O38" s="114"/>
    </row>
    <row r="39" spans="1:15" ht="15">
      <c r="A39" s="111"/>
      <c r="B39" s="111"/>
      <c r="C39" s="196"/>
      <c r="D39" s="111"/>
      <c r="E39" s="120"/>
      <c r="F39" s="120"/>
      <c r="G39" s="192"/>
      <c r="H39" s="130"/>
      <c r="I39" s="130"/>
      <c r="J39" s="130"/>
      <c r="K39" s="130"/>
      <c r="L39" s="113"/>
      <c r="M39" s="113"/>
      <c r="N39" s="113"/>
      <c r="O39" s="114"/>
    </row>
    <row r="40" spans="1:15" ht="15">
      <c r="A40" s="116" t="s">
        <v>55</v>
      </c>
      <c r="B40" s="116"/>
      <c r="C40" s="116"/>
      <c r="D40" s="116"/>
      <c r="E40" s="116"/>
      <c r="F40" s="116"/>
      <c r="G40" s="116" t="s">
        <v>123</v>
      </c>
      <c r="H40" s="111"/>
      <c r="I40" s="111" t="s">
        <v>124</v>
      </c>
      <c r="J40" s="111"/>
      <c r="K40" s="130"/>
      <c r="L40" s="113"/>
      <c r="M40" s="113"/>
      <c r="N40" s="113"/>
      <c r="O40" s="114"/>
    </row>
    <row r="41" spans="1:15" ht="15">
      <c r="A41" s="120" t="s">
        <v>85</v>
      </c>
      <c r="B41" s="120"/>
      <c r="C41" s="120"/>
      <c r="D41" s="120"/>
      <c r="E41" s="120"/>
      <c r="F41" s="120"/>
      <c r="G41" s="197">
        <v>10873</v>
      </c>
      <c r="H41" s="111"/>
      <c r="I41" s="135">
        <v>26867</v>
      </c>
      <c r="J41" s="111"/>
      <c r="K41" s="130"/>
      <c r="L41" s="113"/>
      <c r="M41" s="113"/>
      <c r="N41" s="113"/>
      <c r="O41" s="114"/>
    </row>
    <row r="42" spans="1:15" ht="15">
      <c r="A42" s="120" t="s">
        <v>60</v>
      </c>
      <c r="B42" s="120"/>
      <c r="C42" s="120"/>
      <c r="D42" s="120"/>
      <c r="E42" s="120"/>
      <c r="F42" s="120"/>
      <c r="G42" s="198">
        <v>36.520000000000003</v>
      </c>
      <c r="H42" s="111"/>
      <c r="I42" s="135"/>
      <c r="J42" s="111"/>
      <c r="K42" s="130"/>
      <c r="L42" s="113"/>
      <c r="M42" s="113"/>
      <c r="N42" s="113"/>
      <c r="O42" s="114"/>
    </row>
    <row r="43" spans="1:15" ht="15">
      <c r="A43" s="120" t="s">
        <v>86</v>
      </c>
      <c r="B43" s="120"/>
      <c r="C43" s="120"/>
      <c r="D43" s="120"/>
      <c r="E43" s="120"/>
      <c r="F43" s="120"/>
      <c r="G43" s="198">
        <f>+G41*G42</f>
        <v>397081.96</v>
      </c>
      <c r="H43" s="111"/>
      <c r="I43" s="135">
        <v>981190</v>
      </c>
      <c r="J43" s="111"/>
      <c r="K43" s="130"/>
      <c r="L43" s="113"/>
      <c r="M43" s="113"/>
      <c r="N43" s="113"/>
      <c r="O43" s="114"/>
    </row>
    <row r="44" spans="1:15" ht="15">
      <c r="A44" s="120" t="s">
        <v>87</v>
      </c>
      <c r="B44" s="120"/>
      <c r="C44" s="120"/>
      <c r="D44" s="120"/>
      <c r="E44" s="120"/>
      <c r="F44" s="120"/>
      <c r="G44" s="198">
        <f>+G43-K20</f>
        <v>198284.96000000002</v>
      </c>
      <c r="H44" s="111"/>
      <c r="I44" s="135">
        <v>489938</v>
      </c>
      <c r="J44" s="111"/>
      <c r="K44" s="130"/>
      <c r="L44" s="113"/>
      <c r="M44" s="113"/>
      <c r="N44" s="113"/>
      <c r="O44" s="114"/>
    </row>
    <row r="45" spans="1:15" ht="15">
      <c r="A45" s="120" t="s">
        <v>88</v>
      </c>
      <c r="B45" s="120"/>
      <c r="C45" s="120"/>
      <c r="D45" s="120"/>
      <c r="E45" s="120"/>
      <c r="F45" s="120"/>
      <c r="G45" s="198">
        <f>+G43-K21</f>
        <v>264808.96000000002</v>
      </c>
      <c r="H45" s="111"/>
      <c r="I45" s="135">
        <v>654343</v>
      </c>
      <c r="J45" s="111"/>
      <c r="K45" s="130"/>
      <c r="L45" s="113"/>
      <c r="M45" s="113"/>
      <c r="N45" s="113"/>
      <c r="O45" s="114"/>
    </row>
    <row r="46" spans="1:15" ht="15">
      <c r="A46" s="120" t="s">
        <v>89</v>
      </c>
      <c r="B46" s="120"/>
      <c r="C46" s="120"/>
      <c r="D46" s="120"/>
      <c r="E46" s="120"/>
      <c r="F46" s="120"/>
      <c r="G46" s="198">
        <f>SUM(K20/G41)</f>
        <v>18.283546399337808</v>
      </c>
      <c r="H46" s="111"/>
      <c r="I46" s="111"/>
      <c r="J46" s="111"/>
      <c r="K46" s="130"/>
      <c r="L46" s="113"/>
      <c r="M46" s="113"/>
      <c r="N46" s="113"/>
      <c r="O46" s="114"/>
    </row>
    <row r="47" spans="1:15" ht="15">
      <c r="A47" s="126" t="s">
        <v>90</v>
      </c>
      <c r="B47" s="126"/>
      <c r="C47" s="126"/>
      <c r="D47" s="126"/>
      <c r="E47" s="126"/>
      <c r="F47" s="126"/>
      <c r="G47" s="199">
        <f>SUM(K21/G41)</f>
        <v>12.165271774119379</v>
      </c>
      <c r="H47" s="111"/>
      <c r="I47" s="111"/>
      <c r="J47" s="111"/>
      <c r="K47" s="130"/>
      <c r="L47" s="113"/>
      <c r="M47" s="113"/>
      <c r="N47" s="113"/>
      <c r="O47" s="114"/>
    </row>
    <row r="48" spans="1:15" ht="15">
      <c r="A48" s="111"/>
      <c r="B48" s="111"/>
      <c r="C48" s="111"/>
      <c r="D48" s="111"/>
      <c r="E48" s="111"/>
      <c r="F48" s="130"/>
      <c r="G48" s="130"/>
      <c r="H48" s="130"/>
      <c r="I48" s="130"/>
      <c r="J48" s="130"/>
      <c r="K48" s="130"/>
      <c r="L48" s="113"/>
      <c r="M48" s="113"/>
      <c r="N48" s="113"/>
      <c r="O48" s="114"/>
    </row>
    <row r="49" spans="1:15" ht="12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4"/>
    </row>
    <row r="50" spans="1:15" ht="12">
      <c r="A50" s="200"/>
      <c r="B50" s="200"/>
      <c r="C50" s="200"/>
      <c r="D50" s="200"/>
      <c r="E50" s="200"/>
      <c r="F50" s="113"/>
      <c r="G50" s="113"/>
      <c r="H50" s="113"/>
      <c r="I50" s="113"/>
      <c r="J50" s="113"/>
      <c r="K50" s="113"/>
      <c r="L50" s="113"/>
      <c r="M50" s="113"/>
      <c r="N50" s="201"/>
    </row>
    <row r="51" spans="1:15" ht="12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201"/>
    </row>
    <row r="58" spans="1:15">
      <c r="G58" s="11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opLeftCell="A30" workbookViewId="0">
      <selection activeCell="G47" sqref="G47"/>
    </sheetView>
  </sheetViews>
  <sheetFormatPr defaultColWidth="9.140625" defaultRowHeight="15"/>
  <cols>
    <col min="1" max="2" width="5.42578125" style="38" customWidth="1"/>
    <col min="3" max="3" width="3.28515625" style="38" customWidth="1"/>
    <col min="4" max="4" width="4.7109375" style="38" customWidth="1"/>
    <col min="5" max="5" width="7.85546875" style="38" customWidth="1"/>
    <col min="6" max="6" width="5.7109375" style="38" customWidth="1"/>
    <col min="7" max="7" width="7" style="38" customWidth="1"/>
    <col min="8" max="8" width="10.85546875" style="38" customWidth="1"/>
    <col min="9" max="9" width="8.7109375" style="38" customWidth="1"/>
    <col min="10" max="10" width="9.42578125" style="38" customWidth="1"/>
    <col min="11" max="11" width="9.85546875" style="38" customWidth="1"/>
    <col min="12" max="12" width="9.140625" style="38" customWidth="1"/>
    <col min="13" max="13" width="5.140625" style="38" customWidth="1"/>
    <col min="14" max="16384" width="9.140625" style="38"/>
  </cols>
  <sheetData>
    <row r="1" spans="1:13">
      <c r="A1" s="202" t="s">
        <v>0</v>
      </c>
      <c r="B1" s="202" t="s">
        <v>158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>
      <c r="A2" s="202"/>
      <c r="B2" s="202" t="s">
        <v>159</v>
      </c>
      <c r="C2" s="202"/>
      <c r="D2" s="202"/>
      <c r="E2" s="202"/>
      <c r="F2" s="202"/>
      <c r="G2" s="202"/>
      <c r="H2" s="202"/>
      <c r="I2" s="202" t="s">
        <v>160</v>
      </c>
      <c r="J2" s="202"/>
      <c r="K2" s="202"/>
      <c r="L2" s="202"/>
      <c r="M2" s="202"/>
    </row>
    <row r="3" spans="1:13">
      <c r="A3" s="202"/>
      <c r="B3" s="202" t="s">
        <v>161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>
      <c r="A4" s="203" t="s">
        <v>6</v>
      </c>
      <c r="B4" s="203"/>
      <c r="C4" s="203"/>
      <c r="D4" s="204" t="s">
        <v>7</v>
      </c>
      <c r="E4" s="204" t="s">
        <v>8</v>
      </c>
      <c r="F4" s="204" t="s">
        <v>9</v>
      </c>
      <c r="G4" s="204" t="s">
        <v>10</v>
      </c>
      <c r="H4" s="204" t="s">
        <v>11</v>
      </c>
      <c r="I4" s="204" t="s">
        <v>12</v>
      </c>
      <c r="J4" s="204" t="s">
        <v>13</v>
      </c>
      <c r="K4" s="204" t="s">
        <v>14</v>
      </c>
      <c r="L4" s="205" t="s">
        <v>71</v>
      </c>
      <c r="M4" s="204"/>
    </row>
    <row r="5" spans="1:13">
      <c r="A5" s="206"/>
      <c r="B5" s="206"/>
      <c r="C5" s="206"/>
      <c r="D5" s="207" t="s">
        <v>16</v>
      </c>
      <c r="E5" s="207" t="s">
        <v>17</v>
      </c>
      <c r="F5" s="207" t="s">
        <v>17</v>
      </c>
      <c r="G5" s="207" t="s">
        <v>18</v>
      </c>
      <c r="H5" s="207" t="s">
        <v>19</v>
      </c>
      <c r="I5" s="207" t="s">
        <v>20</v>
      </c>
      <c r="J5" s="207" t="s">
        <v>19</v>
      </c>
      <c r="K5" s="207" t="s">
        <v>19</v>
      </c>
      <c r="L5" s="208" t="s">
        <v>12</v>
      </c>
      <c r="M5" s="207" t="s">
        <v>13</v>
      </c>
    </row>
    <row r="6" spans="1:13">
      <c r="A6" s="206"/>
      <c r="B6" s="206"/>
      <c r="C6" s="206"/>
      <c r="D6" s="207" t="s">
        <v>22</v>
      </c>
      <c r="E6" s="207"/>
      <c r="F6" s="207"/>
      <c r="G6" s="207"/>
      <c r="H6" s="207" t="s">
        <v>23</v>
      </c>
      <c r="I6" s="207" t="s">
        <v>19</v>
      </c>
      <c r="J6" s="207" t="s">
        <v>23</v>
      </c>
      <c r="K6" s="207" t="s">
        <v>23</v>
      </c>
      <c r="L6" s="207"/>
      <c r="M6" s="207"/>
    </row>
    <row r="7" spans="1:13">
      <c r="A7" s="209"/>
      <c r="B7" s="209"/>
      <c r="C7" s="209"/>
      <c r="D7" s="210"/>
      <c r="E7" s="210"/>
      <c r="F7" s="210"/>
      <c r="G7" s="210"/>
      <c r="H7" s="210"/>
      <c r="I7" s="210" t="s">
        <v>23</v>
      </c>
      <c r="J7" s="210"/>
      <c r="K7" s="210"/>
      <c r="L7" s="210"/>
      <c r="M7" s="210"/>
    </row>
    <row r="8" spans="1:13">
      <c r="A8" s="202" t="s">
        <v>162</v>
      </c>
      <c r="B8" s="202"/>
      <c r="C8" s="202"/>
      <c r="D8" s="211">
        <v>100</v>
      </c>
      <c r="E8" s="212">
        <v>7.9</v>
      </c>
      <c r="F8" s="212">
        <v>7.2</v>
      </c>
      <c r="G8" s="213">
        <v>1100</v>
      </c>
      <c r="H8" s="212">
        <v>9880</v>
      </c>
      <c r="I8" s="202"/>
      <c r="J8" s="212">
        <v>2198</v>
      </c>
      <c r="K8" s="212">
        <f>+J8+I8+H8</f>
        <v>12078</v>
      </c>
      <c r="L8" s="202"/>
      <c r="M8" s="202"/>
    </row>
    <row r="9" spans="1:13">
      <c r="A9" s="202" t="s">
        <v>73</v>
      </c>
      <c r="B9" s="202"/>
      <c r="C9" s="202"/>
      <c r="D9" s="211">
        <v>73</v>
      </c>
      <c r="E9" s="212">
        <v>6.5</v>
      </c>
      <c r="F9" s="212">
        <v>3.32</v>
      </c>
      <c r="G9" s="213">
        <v>1219</v>
      </c>
      <c r="H9" s="212">
        <v>11009</v>
      </c>
      <c r="I9" s="202"/>
      <c r="J9" s="212"/>
      <c r="K9" s="212">
        <f t="shared" ref="K9:K19" si="0">+J9+I9+H9</f>
        <v>11009</v>
      </c>
      <c r="L9" s="202"/>
      <c r="M9" s="202"/>
    </row>
    <row r="10" spans="1:13">
      <c r="A10" s="202" t="s">
        <v>163</v>
      </c>
      <c r="B10" s="202"/>
      <c r="C10" s="202"/>
      <c r="D10" s="572" t="s">
        <v>366</v>
      </c>
      <c r="E10" s="212"/>
      <c r="F10" s="212"/>
      <c r="G10" s="213"/>
      <c r="H10" s="573" t="s">
        <v>440</v>
      </c>
      <c r="I10" s="202"/>
      <c r="J10" s="212"/>
      <c r="K10" s="212"/>
      <c r="L10" s="202"/>
      <c r="M10" s="202"/>
    </row>
    <row r="11" spans="1:13">
      <c r="A11" s="202" t="s">
        <v>164</v>
      </c>
      <c r="B11" s="202"/>
      <c r="C11" s="202"/>
      <c r="D11" s="211">
        <v>77</v>
      </c>
      <c r="E11" s="212">
        <v>1.05</v>
      </c>
      <c r="F11" s="212">
        <v>0.9</v>
      </c>
      <c r="G11" s="213">
        <v>1000</v>
      </c>
      <c r="H11" s="212">
        <v>1785</v>
      </c>
      <c r="I11" s="212">
        <v>9121</v>
      </c>
      <c r="J11" s="212"/>
      <c r="K11" s="212">
        <f t="shared" si="0"/>
        <v>10906</v>
      </c>
      <c r="L11" s="214">
        <v>1262</v>
      </c>
      <c r="M11" s="202"/>
    </row>
    <row r="12" spans="1:13">
      <c r="A12" s="202" t="s">
        <v>165</v>
      </c>
      <c r="B12" s="202"/>
      <c r="C12" s="202"/>
      <c r="D12" s="211">
        <v>100</v>
      </c>
      <c r="E12" s="212">
        <v>9.1999999999999993</v>
      </c>
      <c r="F12" s="212">
        <v>3.0500000000000003</v>
      </c>
      <c r="G12" s="213">
        <v>1100</v>
      </c>
      <c r="H12" s="212">
        <v>13585</v>
      </c>
      <c r="I12" s="202"/>
      <c r="J12" s="212">
        <v>3342</v>
      </c>
      <c r="K12" s="212">
        <f t="shared" si="0"/>
        <v>16927</v>
      </c>
      <c r="L12" s="215"/>
      <c r="M12" s="202"/>
    </row>
    <row r="13" spans="1:13">
      <c r="A13" s="202" t="s">
        <v>166</v>
      </c>
      <c r="B13" s="202"/>
      <c r="C13" s="202"/>
      <c r="D13" s="211">
        <v>100</v>
      </c>
      <c r="E13" s="212">
        <v>6.7</v>
      </c>
      <c r="F13" s="212">
        <v>3.2</v>
      </c>
      <c r="G13" s="213">
        <v>1155</v>
      </c>
      <c r="H13" s="212">
        <v>10200</v>
      </c>
      <c r="I13" s="202"/>
      <c r="J13" s="212"/>
      <c r="K13" s="212">
        <f t="shared" si="0"/>
        <v>10200</v>
      </c>
      <c r="L13" s="215"/>
      <c r="M13" s="202"/>
    </row>
    <row r="14" spans="1:13">
      <c r="A14" s="202" t="s">
        <v>348</v>
      </c>
      <c r="B14" s="202"/>
      <c r="C14" s="202"/>
      <c r="D14" s="211">
        <v>100</v>
      </c>
      <c r="E14" s="212">
        <v>9.25</v>
      </c>
      <c r="F14" s="212">
        <v>4.59</v>
      </c>
      <c r="G14" s="213">
        <v>932</v>
      </c>
      <c r="H14" s="212">
        <v>10136</v>
      </c>
      <c r="I14" s="202"/>
      <c r="J14" s="212">
        <v>15903</v>
      </c>
      <c r="K14" s="212">
        <f t="shared" si="0"/>
        <v>26039</v>
      </c>
      <c r="L14" s="215"/>
      <c r="M14" s="202"/>
    </row>
    <row r="15" spans="1:13">
      <c r="A15" s="202" t="s">
        <v>104</v>
      </c>
      <c r="B15" s="202"/>
      <c r="C15" s="202"/>
      <c r="D15" s="211">
        <v>100</v>
      </c>
      <c r="E15" s="212">
        <v>7.5</v>
      </c>
      <c r="F15" s="212">
        <v>7.3</v>
      </c>
      <c r="G15" s="213">
        <v>1100</v>
      </c>
      <c r="H15" s="212">
        <v>9360</v>
      </c>
      <c r="I15" s="202"/>
      <c r="J15" s="212">
        <v>22872</v>
      </c>
      <c r="K15" s="212">
        <f t="shared" si="0"/>
        <v>32232</v>
      </c>
      <c r="L15" s="215"/>
      <c r="M15" s="202"/>
    </row>
    <row r="16" spans="1:13">
      <c r="A16" s="202" t="s">
        <v>167</v>
      </c>
      <c r="B16" s="202"/>
      <c r="C16" s="202"/>
      <c r="D16" s="211">
        <v>100</v>
      </c>
      <c r="E16" s="212">
        <v>20.6</v>
      </c>
      <c r="F16" s="212">
        <v>9</v>
      </c>
      <c r="G16" s="213">
        <v>1057</v>
      </c>
      <c r="H16" s="212">
        <v>19114</v>
      </c>
      <c r="I16" s="202"/>
      <c r="J16" s="212"/>
      <c r="K16" s="212">
        <f t="shared" si="0"/>
        <v>19114</v>
      </c>
      <c r="L16" s="215"/>
      <c r="M16" s="202"/>
    </row>
    <row r="17" spans="1:13">
      <c r="A17" s="202" t="s">
        <v>77</v>
      </c>
      <c r="B17" s="202"/>
      <c r="C17" s="202"/>
      <c r="D17" s="211">
        <v>100</v>
      </c>
      <c r="E17" s="212">
        <v>11.6</v>
      </c>
      <c r="F17" s="212">
        <v>11</v>
      </c>
      <c r="G17" s="213">
        <v>950</v>
      </c>
      <c r="H17" s="212">
        <v>15080</v>
      </c>
      <c r="I17" s="202"/>
      <c r="J17" s="212">
        <v>19959</v>
      </c>
      <c r="K17" s="212">
        <f t="shared" si="0"/>
        <v>35039</v>
      </c>
      <c r="L17" s="215"/>
      <c r="M17" s="202"/>
    </row>
    <row r="18" spans="1:13">
      <c r="A18" s="202" t="s">
        <v>168</v>
      </c>
      <c r="B18" s="202"/>
      <c r="C18" s="202"/>
      <c r="D18" s="211">
        <v>100</v>
      </c>
      <c r="E18" s="212">
        <v>17.899999999999999</v>
      </c>
      <c r="F18" s="212">
        <v>16</v>
      </c>
      <c r="G18" s="213">
        <v>950</v>
      </c>
      <c r="H18" s="212">
        <v>19630</v>
      </c>
      <c r="I18" s="212">
        <v>8161</v>
      </c>
      <c r="J18" s="212"/>
      <c r="K18" s="212">
        <f t="shared" si="0"/>
        <v>27791</v>
      </c>
      <c r="L18" s="215"/>
      <c r="M18" s="202"/>
    </row>
    <row r="19" spans="1:13">
      <c r="A19" s="202" t="s">
        <v>78</v>
      </c>
      <c r="B19" s="202"/>
      <c r="C19" s="202"/>
      <c r="D19" s="211">
        <v>100</v>
      </c>
      <c r="E19" s="212">
        <v>33</v>
      </c>
      <c r="F19" s="212">
        <v>20.7</v>
      </c>
      <c r="G19" s="213">
        <v>925</v>
      </c>
      <c r="H19" s="212">
        <v>36625</v>
      </c>
      <c r="I19" s="202"/>
      <c r="J19" s="212"/>
      <c r="K19" s="212">
        <f t="shared" si="0"/>
        <v>36625</v>
      </c>
      <c r="L19" s="215"/>
      <c r="M19" s="202"/>
    </row>
    <row r="20" spans="1:13">
      <c r="A20" s="203" t="s">
        <v>81</v>
      </c>
      <c r="B20" s="203"/>
      <c r="C20" s="203"/>
      <c r="D20" s="216"/>
      <c r="E20" s="217">
        <v>116.19999999999999</v>
      </c>
      <c r="F20" s="217">
        <v>93.26</v>
      </c>
      <c r="G20" s="217"/>
      <c r="H20" s="217">
        <v>156404</v>
      </c>
      <c r="I20" s="217">
        <f>SUM(I8:I19)</f>
        <v>17282</v>
      </c>
      <c r="J20" s="217">
        <f t="shared" ref="J20:L20" si="1">SUM(J8:J19)</f>
        <v>64274</v>
      </c>
      <c r="K20" s="217">
        <f t="shared" si="1"/>
        <v>237960</v>
      </c>
      <c r="L20" s="217">
        <f>+I20-I21</f>
        <v>1262</v>
      </c>
      <c r="M20" s="203">
        <v>0</v>
      </c>
    </row>
    <row r="21" spans="1:13">
      <c r="A21" s="209" t="s">
        <v>82</v>
      </c>
      <c r="B21" s="209"/>
      <c r="C21" s="209"/>
      <c r="D21" s="218"/>
      <c r="E21" s="219">
        <v>22.939999999999984</v>
      </c>
      <c r="F21" s="219"/>
      <c r="G21" s="219"/>
      <c r="H21" s="219">
        <v>52976</v>
      </c>
      <c r="I21" s="219">
        <v>16020</v>
      </c>
      <c r="J21" s="219">
        <v>64274</v>
      </c>
      <c r="K21" s="219">
        <v>116582</v>
      </c>
      <c r="L21" s="209"/>
      <c r="M21" s="209"/>
    </row>
    <row r="22" spans="1:13">
      <c r="A22" s="202"/>
      <c r="B22" s="202"/>
      <c r="C22" s="202"/>
      <c r="D22" s="211"/>
      <c r="E22" s="212"/>
      <c r="F22" s="212"/>
      <c r="G22" s="220"/>
      <c r="H22" s="212"/>
      <c r="I22" s="202"/>
      <c r="J22" s="212"/>
      <c r="K22" s="212"/>
      <c r="L22" s="202"/>
      <c r="M22" s="202"/>
    </row>
    <row r="23" spans="1:13">
      <c r="A23" s="202"/>
      <c r="B23" s="202"/>
      <c r="C23" s="202" t="s">
        <v>36</v>
      </c>
      <c r="D23" s="202"/>
      <c r="E23" s="202"/>
      <c r="F23" s="202"/>
      <c r="G23" s="202"/>
      <c r="H23" s="202"/>
      <c r="I23" s="202"/>
      <c r="J23" s="202"/>
      <c r="K23" s="202"/>
      <c r="L23" s="202"/>
      <c r="M23" s="202"/>
    </row>
    <row r="24" spans="1:13">
      <c r="A24" s="202" t="s">
        <v>37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</row>
    <row r="25" spans="1:13">
      <c r="A25" s="221" t="s">
        <v>38</v>
      </c>
      <c r="B25" s="221"/>
      <c r="C25" s="221"/>
      <c r="D25" s="221" t="s">
        <v>39</v>
      </c>
      <c r="E25" s="221" t="s">
        <v>40</v>
      </c>
      <c r="F25" s="221"/>
      <c r="G25" s="221" t="s">
        <v>41</v>
      </c>
      <c r="H25" s="202"/>
      <c r="I25" s="222" t="s">
        <v>169</v>
      </c>
      <c r="J25" s="223">
        <v>0.43</v>
      </c>
      <c r="K25" s="114"/>
      <c r="L25" s="202"/>
      <c r="M25" s="202"/>
    </row>
    <row r="26" spans="1:13">
      <c r="A26" s="202" t="s">
        <v>42</v>
      </c>
      <c r="B26" s="202"/>
      <c r="C26" s="202"/>
      <c r="D26" s="202" t="s">
        <v>84</v>
      </c>
      <c r="E26" s="202"/>
      <c r="F26" s="202"/>
      <c r="G26" s="202"/>
      <c r="H26" s="202"/>
      <c r="I26" s="222" t="s">
        <v>170</v>
      </c>
      <c r="J26" s="223">
        <v>0.4</v>
      </c>
      <c r="K26" s="114"/>
      <c r="L26" s="202"/>
      <c r="M26" s="202"/>
    </row>
    <row r="27" spans="1:13">
      <c r="A27" s="202" t="s">
        <v>83</v>
      </c>
      <c r="B27" s="202"/>
      <c r="C27" s="202"/>
      <c r="D27" s="202" t="s">
        <v>46</v>
      </c>
      <c r="E27" s="212">
        <v>0.67100000000000004</v>
      </c>
      <c r="F27" s="202"/>
      <c r="G27" s="212">
        <v>23700</v>
      </c>
      <c r="H27" s="202"/>
      <c r="I27" s="222" t="s">
        <v>171</v>
      </c>
      <c r="J27" s="223">
        <v>0.1</v>
      </c>
      <c r="K27" s="114"/>
      <c r="L27" s="202"/>
      <c r="M27" s="202"/>
    </row>
    <row r="28" spans="1:13">
      <c r="A28" s="202"/>
      <c r="B28" s="202"/>
      <c r="C28" s="202"/>
      <c r="D28" s="202"/>
      <c r="E28" s="202"/>
      <c r="F28" s="202"/>
      <c r="G28" s="202"/>
      <c r="H28" s="202"/>
      <c r="I28" s="222" t="s">
        <v>117</v>
      </c>
      <c r="J28" s="223">
        <v>7.0000000000000007E-2</v>
      </c>
      <c r="K28" s="114"/>
      <c r="L28" s="202"/>
      <c r="M28" s="202"/>
    </row>
    <row r="29" spans="1:13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</row>
    <row r="30" spans="1:13">
      <c r="A30" s="202" t="s">
        <v>48</v>
      </c>
      <c r="B30" s="202"/>
      <c r="C30" s="202"/>
      <c r="D30" s="202"/>
      <c r="E30" s="202"/>
      <c r="F30" s="202"/>
      <c r="G30" s="202"/>
      <c r="H30" s="202"/>
      <c r="I30" s="202"/>
      <c r="J30" s="114"/>
      <c r="K30" s="114"/>
      <c r="L30" s="202"/>
      <c r="M30" s="202"/>
    </row>
    <row r="31" spans="1:13">
      <c r="A31" s="202" t="s">
        <v>50</v>
      </c>
      <c r="B31" s="202"/>
      <c r="C31" s="202"/>
      <c r="D31" s="202" t="s">
        <v>51</v>
      </c>
      <c r="E31" s="214">
        <v>43</v>
      </c>
      <c r="F31" s="214"/>
      <c r="G31" s="215">
        <v>1232</v>
      </c>
      <c r="H31" s="202"/>
      <c r="I31" s="202" t="s">
        <v>53</v>
      </c>
      <c r="J31" s="202">
        <v>0.45</v>
      </c>
      <c r="K31" s="114"/>
      <c r="L31" s="202"/>
      <c r="M31" s="202"/>
    </row>
    <row r="32" spans="1:13">
      <c r="A32" s="202" t="s">
        <v>52</v>
      </c>
      <c r="B32" s="202"/>
      <c r="C32" s="202"/>
      <c r="D32" s="202" t="s">
        <v>51</v>
      </c>
      <c r="E32" s="214">
        <v>84</v>
      </c>
      <c r="F32" s="214"/>
      <c r="G32" s="202"/>
      <c r="H32" s="202"/>
      <c r="I32" s="202" t="s">
        <v>54</v>
      </c>
      <c r="J32" s="202">
        <v>0.5</v>
      </c>
      <c r="K32" s="202"/>
      <c r="L32" s="202"/>
      <c r="M32" s="202"/>
    </row>
    <row r="33" spans="1:13">
      <c r="A33" s="202" t="s">
        <v>8</v>
      </c>
      <c r="B33" s="202"/>
      <c r="C33" s="202"/>
      <c r="D33" s="202"/>
      <c r="E33" s="214">
        <v>127</v>
      </c>
      <c r="F33" s="214"/>
      <c r="G33" s="202"/>
      <c r="H33" s="202"/>
      <c r="I33" s="202"/>
      <c r="J33" s="202"/>
      <c r="K33" s="224"/>
      <c r="L33" s="202"/>
      <c r="M33" s="202"/>
    </row>
    <row r="34" spans="1:13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</row>
    <row r="35" spans="1:13">
      <c r="A35" s="203" t="s">
        <v>115</v>
      </c>
      <c r="B35" s="203"/>
      <c r="C35" s="203" t="s">
        <v>116</v>
      </c>
      <c r="D35" s="203"/>
      <c r="E35" s="203"/>
      <c r="F35" s="203"/>
      <c r="G35" s="203"/>
      <c r="H35" s="202"/>
      <c r="I35" s="202"/>
      <c r="J35" s="202"/>
      <c r="K35" s="202"/>
      <c r="L35" s="202"/>
      <c r="M35" s="202"/>
    </row>
    <row r="36" spans="1:13">
      <c r="A36" s="206" t="s">
        <v>172</v>
      </c>
      <c r="B36" s="208" t="s">
        <v>173</v>
      </c>
      <c r="C36" s="225">
        <v>50</v>
      </c>
      <c r="D36" s="206" t="s">
        <v>46</v>
      </c>
      <c r="E36" s="226">
        <v>1137</v>
      </c>
      <c r="F36" s="227"/>
      <c r="G36" s="227">
        <v>6</v>
      </c>
      <c r="H36" s="212"/>
      <c r="I36" s="202"/>
      <c r="J36" s="202"/>
      <c r="K36" s="202"/>
      <c r="L36" s="202"/>
      <c r="M36" s="202"/>
    </row>
    <row r="37" spans="1:13">
      <c r="A37" s="206" t="s">
        <v>174</v>
      </c>
      <c r="B37" s="208" t="s">
        <v>175</v>
      </c>
      <c r="C37" s="225">
        <v>83</v>
      </c>
      <c r="D37" s="206" t="s">
        <v>46</v>
      </c>
      <c r="E37" s="226">
        <v>329</v>
      </c>
      <c r="F37" s="227"/>
      <c r="G37" s="227">
        <v>30</v>
      </c>
      <c r="H37" s="212"/>
      <c r="I37" s="202"/>
      <c r="J37" s="202"/>
      <c r="K37" s="202"/>
      <c r="L37" s="202"/>
      <c r="M37" s="202"/>
    </row>
    <row r="38" spans="1:13">
      <c r="A38" s="206" t="s">
        <v>176</v>
      </c>
      <c r="B38" s="208" t="s">
        <v>177</v>
      </c>
      <c r="C38" s="225">
        <v>50</v>
      </c>
      <c r="D38" s="206" t="s">
        <v>46</v>
      </c>
      <c r="E38" s="226">
        <v>206</v>
      </c>
      <c r="F38" s="227"/>
      <c r="G38" s="227">
        <v>30</v>
      </c>
      <c r="H38" s="212"/>
      <c r="I38" s="202"/>
      <c r="J38" s="202"/>
      <c r="K38" s="202"/>
      <c r="L38" s="202"/>
      <c r="M38" s="202"/>
    </row>
    <row r="39" spans="1:13">
      <c r="A39" s="203" t="s">
        <v>55</v>
      </c>
      <c r="B39" s="203"/>
      <c r="C39" s="203"/>
      <c r="D39" s="203"/>
      <c r="E39" s="203"/>
      <c r="F39" s="203"/>
      <c r="G39" s="203"/>
      <c r="H39" s="202" t="s">
        <v>345</v>
      </c>
      <c r="I39" s="202"/>
      <c r="K39" s="202" t="s">
        <v>178</v>
      </c>
      <c r="L39" s="202"/>
      <c r="M39" s="202"/>
    </row>
    <row r="40" spans="1:13">
      <c r="A40" s="206" t="s">
        <v>85</v>
      </c>
      <c r="B40" s="206"/>
      <c r="C40" s="206"/>
      <c r="D40" s="206"/>
      <c r="E40" s="206"/>
      <c r="F40" s="206"/>
      <c r="H40" s="228">
        <v>3642</v>
      </c>
      <c r="I40" s="202"/>
      <c r="K40" s="215">
        <v>8999</v>
      </c>
      <c r="L40" s="214"/>
      <c r="M40" s="202"/>
    </row>
    <row r="41" spans="1:13">
      <c r="A41" s="206" t="s">
        <v>60</v>
      </c>
      <c r="B41" s="206"/>
      <c r="C41" s="206"/>
      <c r="D41" s="206"/>
      <c r="E41" s="206"/>
      <c r="F41" s="206"/>
      <c r="H41" s="229">
        <v>156</v>
      </c>
      <c r="I41" s="202"/>
      <c r="K41" s="215"/>
      <c r="L41" s="214"/>
      <c r="M41" s="202"/>
    </row>
    <row r="42" spans="1:13">
      <c r="A42" s="206" t="s">
        <v>86</v>
      </c>
      <c r="B42" s="206"/>
      <c r="C42" s="206"/>
      <c r="D42" s="206"/>
      <c r="E42" s="206"/>
      <c r="F42" s="206"/>
      <c r="H42" s="229">
        <v>568152</v>
      </c>
      <c r="I42" s="202"/>
      <c r="K42" s="215">
        <v>1403904</v>
      </c>
      <c r="L42" s="214"/>
      <c r="M42" s="202"/>
    </row>
    <row r="43" spans="1:13">
      <c r="A43" s="206" t="s">
        <v>87</v>
      </c>
      <c r="B43" s="206"/>
      <c r="C43" s="206"/>
      <c r="D43" s="206"/>
      <c r="E43" s="206"/>
      <c r="F43" s="206"/>
      <c r="H43" s="229">
        <v>330192</v>
      </c>
      <c r="I43" s="202"/>
      <c r="K43" s="215">
        <v>815904</v>
      </c>
      <c r="L43" s="214"/>
      <c r="M43" s="202"/>
    </row>
    <row r="44" spans="1:13">
      <c r="A44" s="206" t="s">
        <v>88</v>
      </c>
      <c r="B44" s="206"/>
      <c r="C44" s="206"/>
      <c r="D44" s="206"/>
      <c r="E44" s="206"/>
      <c r="F44" s="206"/>
      <c r="H44" s="229">
        <v>434882</v>
      </c>
      <c r="I44" s="202"/>
      <c r="K44" s="215">
        <v>1074593</v>
      </c>
      <c r="L44" s="214"/>
      <c r="M44" s="202"/>
    </row>
    <row r="45" spans="1:13">
      <c r="A45" s="206"/>
      <c r="B45" s="206"/>
      <c r="C45" s="206"/>
      <c r="D45" s="206"/>
      <c r="E45" s="206"/>
      <c r="F45" s="206"/>
      <c r="G45" s="229"/>
      <c r="H45" s="202"/>
      <c r="I45" s="202"/>
      <c r="J45" s="202"/>
      <c r="K45" s="202"/>
      <c r="L45" s="202"/>
      <c r="M45" s="202"/>
    </row>
    <row r="46" spans="1:13">
      <c r="A46" s="206" t="s">
        <v>89</v>
      </c>
      <c r="B46" s="206"/>
      <c r="C46" s="206"/>
      <c r="D46" s="206"/>
      <c r="E46" s="206"/>
      <c r="F46" s="206"/>
      <c r="G46" s="229">
        <v>65.34</v>
      </c>
      <c r="H46" s="202"/>
      <c r="I46" s="202"/>
      <c r="J46" s="202"/>
      <c r="K46" s="202"/>
      <c r="L46" s="202"/>
      <c r="M46" s="202"/>
    </row>
    <row r="47" spans="1:13">
      <c r="A47" s="209" t="s">
        <v>90</v>
      </c>
      <c r="B47" s="209"/>
      <c r="C47" s="209"/>
      <c r="D47" s="209"/>
      <c r="E47" s="209"/>
      <c r="F47" s="209"/>
      <c r="G47" s="230">
        <v>36.590000000000003</v>
      </c>
      <c r="H47" s="202"/>
      <c r="I47" s="202"/>
      <c r="J47" s="202"/>
      <c r="K47" s="202"/>
      <c r="L47" s="202"/>
      <c r="M47" s="202"/>
    </row>
    <row r="48" spans="1:13">
      <c r="A48" s="202" t="s">
        <v>91</v>
      </c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</row>
    <row r="49" spans="1:13">
      <c r="A49" s="114"/>
      <c r="B49" s="114"/>
      <c r="C49" s="114"/>
      <c r="D49" s="202"/>
      <c r="E49" s="202"/>
      <c r="F49" s="202"/>
      <c r="G49" s="202"/>
      <c r="H49" s="202"/>
      <c r="I49" s="202"/>
      <c r="J49" s="202"/>
      <c r="K49" s="202"/>
      <c r="L49" s="202"/>
      <c r="M49" s="202"/>
    </row>
    <row r="50" spans="1:13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</row>
    <row r="51" spans="1:13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</row>
    <row r="52" spans="1:13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</row>
    <row r="53" spans="1:13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</row>
    <row r="54" spans="1:13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</row>
    <row r="55" spans="1:13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</row>
    <row r="56" spans="1:1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</row>
    <row r="57" spans="1:13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</row>
    <row r="59" spans="1:13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</row>
    <row r="60" spans="1:13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</row>
    <row r="61" spans="1:13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</row>
    <row r="62" spans="1:13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</row>
    <row r="63" spans="1:1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</row>
    <row r="65" spans="1:13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</row>
    <row r="66" spans="1:13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</row>
    <row r="67" spans="1:13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</row>
    <row r="68" spans="1:13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</row>
    <row r="69" spans="1:13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</row>
    <row r="70" spans="1:13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</row>
    <row r="71" spans="1:13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</row>
    <row r="72" spans="1:13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</row>
    <row r="73" spans="1:13">
      <c r="A73" s="114"/>
      <c r="B73" s="114"/>
      <c r="C73" s="114"/>
      <c r="D73" s="114"/>
      <c r="E73" s="114"/>
      <c r="F73" s="114"/>
      <c r="G73" s="114" t="s">
        <v>93</v>
      </c>
      <c r="H73" s="114"/>
      <c r="I73" s="114"/>
      <c r="J73" s="114"/>
      <c r="K73" s="114"/>
      <c r="L73" s="114"/>
      <c r="M73" s="114"/>
    </row>
    <row r="74" spans="1:13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</row>
    <row r="75" spans="1:13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</row>
    <row r="76" spans="1:13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</row>
    <row r="77" spans="1:13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</row>
    <row r="78" spans="1:13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</row>
    <row r="79" spans="1:13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</row>
    <row r="81" spans="1:13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</row>
    <row r="82" spans="1:13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</row>
    <row r="83" spans="1:1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opLeftCell="A19" workbookViewId="0">
      <selection activeCell="I35" sqref="I35:I39"/>
    </sheetView>
  </sheetViews>
  <sheetFormatPr defaultColWidth="8.7109375" defaultRowHeight="12.75"/>
  <cols>
    <col min="1" max="2" width="8.7109375" style="1"/>
    <col min="3" max="3" width="10" style="1" customWidth="1"/>
    <col min="4" max="4" width="12" style="1" customWidth="1"/>
    <col min="5" max="6" width="8.7109375" style="1"/>
    <col min="7" max="7" width="8.85546875" style="1" bestFit="1" customWidth="1"/>
    <col min="8" max="8" width="8.28515625" style="1" customWidth="1"/>
    <col min="9" max="9" width="9.140625" style="1" bestFit="1" customWidth="1"/>
    <col min="10" max="11" width="8.7109375" style="1"/>
    <col min="12" max="12" width="8.140625" style="1" customWidth="1"/>
    <col min="13" max="15" width="8.7109375" style="1"/>
    <col min="16" max="16" width="12.85546875" style="1" customWidth="1"/>
    <col min="17" max="17" width="10" style="1" bestFit="1" customWidth="1"/>
    <col min="18" max="16384" width="8.7109375" style="1"/>
  </cols>
  <sheetData>
    <row r="1" spans="1:17" ht="15.75">
      <c r="A1" s="231" t="s">
        <v>0</v>
      </c>
      <c r="B1" s="109" t="s">
        <v>179</v>
      </c>
      <c r="C1" s="109"/>
      <c r="D1" s="109"/>
      <c r="E1" s="109"/>
      <c r="F1" s="109"/>
      <c r="G1" s="231"/>
      <c r="H1" s="231"/>
      <c r="I1" s="231"/>
      <c r="J1" s="231"/>
      <c r="K1" s="231"/>
      <c r="L1" s="231"/>
      <c r="M1" s="231"/>
      <c r="N1" s="232"/>
    </row>
    <row r="2" spans="1:17" ht="15.75">
      <c r="A2" s="109"/>
      <c r="B2" s="554" t="s">
        <v>180</v>
      </c>
      <c r="C2" s="554"/>
      <c r="D2" s="554"/>
      <c r="E2" s="109"/>
      <c r="F2" s="109"/>
      <c r="G2" s="109"/>
      <c r="H2" s="109" t="s">
        <v>181</v>
      </c>
      <c r="I2" s="109"/>
      <c r="J2" s="231"/>
      <c r="K2" s="231"/>
      <c r="L2" s="231"/>
      <c r="M2" s="231"/>
      <c r="N2" s="232"/>
    </row>
    <row r="3" spans="1:17">
      <c r="A3" s="233" t="s">
        <v>6</v>
      </c>
      <c r="B3" s="233"/>
      <c r="C3" s="233"/>
      <c r="D3" s="234" t="s">
        <v>7</v>
      </c>
      <c r="E3" s="234" t="s">
        <v>8</v>
      </c>
      <c r="F3" s="234" t="s">
        <v>9</v>
      </c>
      <c r="G3" s="234" t="s">
        <v>10</v>
      </c>
      <c r="H3" s="234" t="s">
        <v>11</v>
      </c>
      <c r="I3" s="234" t="s">
        <v>12</v>
      </c>
      <c r="J3" s="234" t="s">
        <v>13</v>
      </c>
      <c r="K3" s="234" t="s">
        <v>14</v>
      </c>
      <c r="L3" s="555" t="s">
        <v>71</v>
      </c>
      <c r="M3" s="555"/>
      <c r="N3" s="232"/>
    </row>
    <row r="4" spans="1:17">
      <c r="A4" s="235"/>
      <c r="B4" s="235"/>
      <c r="C4" s="235"/>
      <c r="D4" s="236" t="s">
        <v>16</v>
      </c>
      <c r="E4" s="236" t="s">
        <v>17</v>
      </c>
      <c r="F4" s="236" t="s">
        <v>17</v>
      </c>
      <c r="G4" s="236" t="s">
        <v>18</v>
      </c>
      <c r="H4" s="236" t="s">
        <v>19</v>
      </c>
      <c r="I4" s="236" t="s">
        <v>20</v>
      </c>
      <c r="J4" s="236" t="s">
        <v>19</v>
      </c>
      <c r="K4" s="236" t="s">
        <v>19</v>
      </c>
      <c r="L4" s="237" t="s">
        <v>12</v>
      </c>
      <c r="M4" s="237" t="s">
        <v>13</v>
      </c>
      <c r="N4" s="232"/>
    </row>
    <row r="5" spans="1:17">
      <c r="A5" s="235"/>
      <c r="B5" s="235"/>
      <c r="C5" s="235"/>
      <c r="D5" s="236" t="s">
        <v>22</v>
      </c>
      <c r="E5" s="236"/>
      <c r="F5" s="236"/>
      <c r="G5" s="236"/>
      <c r="H5" s="236" t="s">
        <v>23</v>
      </c>
      <c r="I5" s="236" t="s">
        <v>19</v>
      </c>
      <c r="J5" s="236" t="s">
        <v>23</v>
      </c>
      <c r="K5" s="236" t="s">
        <v>23</v>
      </c>
      <c r="L5" s="236"/>
      <c r="M5" s="236"/>
      <c r="N5" s="232"/>
    </row>
    <row r="6" spans="1:17">
      <c r="A6" s="238"/>
      <c r="B6" s="238"/>
      <c r="C6" s="238"/>
      <c r="D6" s="239"/>
      <c r="E6" s="239"/>
      <c r="F6" s="239"/>
      <c r="G6" s="239"/>
      <c r="H6" s="239"/>
      <c r="I6" s="239" t="s">
        <v>23</v>
      </c>
      <c r="J6" s="239"/>
      <c r="K6" s="239"/>
      <c r="L6" s="239"/>
      <c r="M6" s="239"/>
      <c r="N6" s="232"/>
    </row>
    <row r="7" spans="1:17" s="14" customFormat="1">
      <c r="A7" s="240" t="s">
        <v>24</v>
      </c>
      <c r="B7" s="240"/>
      <c r="C7" s="240"/>
      <c r="D7" s="241">
        <v>100</v>
      </c>
      <c r="E7" s="241">
        <v>9.77</v>
      </c>
      <c r="F7" s="241">
        <v>3.48</v>
      </c>
      <c r="G7" s="241">
        <v>1431.89</v>
      </c>
      <c r="H7" s="242">
        <v>17237</v>
      </c>
      <c r="I7" s="241"/>
      <c r="J7" s="241"/>
      <c r="K7" s="243">
        <f>+H7+I7+J7</f>
        <v>17237</v>
      </c>
      <c r="L7" s="241"/>
      <c r="M7" s="241"/>
      <c r="N7" s="232"/>
    </row>
    <row r="8" spans="1:17" s="14" customFormat="1">
      <c r="A8" s="232" t="s">
        <v>429</v>
      </c>
      <c r="B8" s="232"/>
      <c r="C8" s="232"/>
      <c r="D8" s="244">
        <v>81</v>
      </c>
      <c r="E8" s="245">
        <v>3.1</v>
      </c>
      <c r="F8" s="245">
        <v>1.95</v>
      </c>
      <c r="G8" s="246">
        <v>1328.57</v>
      </c>
      <c r="H8" s="245">
        <v>1594</v>
      </c>
      <c r="I8" s="247">
        <v>10409</v>
      </c>
      <c r="J8" s="245"/>
      <c r="K8" s="243">
        <f t="shared" ref="K8:K17" si="0">+H8+I8+J8</f>
        <v>12003</v>
      </c>
      <c r="L8" s="245">
        <v>0</v>
      </c>
      <c r="M8" s="245"/>
      <c r="N8" s="232"/>
      <c r="P8" s="16"/>
    </row>
    <row r="9" spans="1:17" s="14" customFormat="1">
      <c r="B9" s="232" t="s">
        <v>182</v>
      </c>
      <c r="C9" s="232"/>
      <c r="D9" s="248" t="s">
        <v>183</v>
      </c>
      <c r="E9" s="245"/>
      <c r="F9" s="245"/>
      <c r="G9" s="246"/>
      <c r="H9" s="571" t="s">
        <v>438</v>
      </c>
      <c r="I9" s="247"/>
      <c r="J9" s="245"/>
      <c r="K9" s="243">
        <f t="shared" si="0"/>
        <v>-14796</v>
      </c>
      <c r="L9" s="245"/>
      <c r="M9" s="245"/>
      <c r="N9" s="232"/>
      <c r="P9" s="16"/>
      <c r="Q9" s="16"/>
    </row>
    <row r="10" spans="1:17" s="14" customFormat="1">
      <c r="A10" s="249" t="s">
        <v>184</v>
      </c>
      <c r="B10" s="249"/>
      <c r="C10" s="249"/>
      <c r="D10" s="244">
        <v>94</v>
      </c>
      <c r="E10" s="245">
        <v>14.89</v>
      </c>
      <c r="F10" s="245">
        <v>4.0199999999999996</v>
      </c>
      <c r="G10" s="246">
        <v>1199.82</v>
      </c>
      <c r="H10" s="245">
        <v>23744</v>
      </c>
      <c r="I10" s="245"/>
      <c r="J10" s="245">
        <v>3965</v>
      </c>
      <c r="K10" s="243">
        <f t="shared" si="0"/>
        <v>27709</v>
      </c>
      <c r="L10" s="245"/>
      <c r="M10" s="245"/>
      <c r="N10" s="232"/>
      <c r="P10" s="16"/>
      <c r="Q10" s="16"/>
    </row>
    <row r="11" spans="1:17" s="14" customFormat="1">
      <c r="A11" s="232" t="s">
        <v>185</v>
      </c>
      <c r="B11" s="232"/>
      <c r="C11" s="232"/>
      <c r="D11" s="244">
        <v>100</v>
      </c>
      <c r="E11" s="245">
        <v>7.89</v>
      </c>
      <c r="F11" s="245">
        <v>3.15</v>
      </c>
      <c r="G11" s="246">
        <v>1510.5</v>
      </c>
      <c r="H11" s="245">
        <v>16701</v>
      </c>
      <c r="I11" s="245"/>
      <c r="J11" s="247">
        <v>10514</v>
      </c>
      <c r="K11" s="243">
        <f t="shared" si="0"/>
        <v>27215</v>
      </c>
      <c r="L11" s="245"/>
      <c r="M11" s="245"/>
      <c r="N11" s="232"/>
      <c r="P11" s="16"/>
      <c r="Q11" s="16"/>
    </row>
    <row r="12" spans="1:17" s="14" customFormat="1">
      <c r="A12" s="232" t="s">
        <v>186</v>
      </c>
      <c r="B12" s="232"/>
      <c r="C12" s="232"/>
      <c r="D12" s="244">
        <v>100</v>
      </c>
      <c r="E12" s="245">
        <v>6.2</v>
      </c>
      <c r="F12" s="245">
        <v>2.68</v>
      </c>
      <c r="G12" s="246">
        <v>1439.61</v>
      </c>
      <c r="H12" s="245">
        <v>13594</v>
      </c>
      <c r="I12" s="245"/>
      <c r="J12" s="247">
        <v>18732</v>
      </c>
      <c r="K12" s="243">
        <f t="shared" si="0"/>
        <v>32326</v>
      </c>
      <c r="L12" s="245"/>
      <c r="M12" s="245"/>
      <c r="N12" s="232"/>
      <c r="Q12" s="16"/>
    </row>
    <row r="13" spans="1:17" s="14" customFormat="1">
      <c r="A13" s="232" t="s">
        <v>27</v>
      </c>
      <c r="B13" s="232"/>
      <c r="C13" s="232"/>
      <c r="D13" s="250">
        <v>100</v>
      </c>
      <c r="E13" s="245">
        <v>24.17</v>
      </c>
      <c r="F13" s="245">
        <v>5.46</v>
      </c>
      <c r="G13" s="246">
        <v>905.1</v>
      </c>
      <c r="H13" s="245">
        <v>20935</v>
      </c>
      <c r="I13" s="245"/>
      <c r="J13" s="247"/>
      <c r="K13" s="243">
        <f t="shared" si="0"/>
        <v>20935</v>
      </c>
      <c r="L13" s="245"/>
      <c r="M13" s="245"/>
      <c r="N13" s="232"/>
    </row>
    <row r="14" spans="1:17" s="14" customFormat="1">
      <c r="A14" s="232" t="s">
        <v>28</v>
      </c>
      <c r="B14" s="232"/>
      <c r="C14" s="232"/>
      <c r="D14" s="244">
        <v>100</v>
      </c>
      <c r="E14" s="245">
        <v>6.07</v>
      </c>
      <c r="F14" s="245">
        <v>3.75</v>
      </c>
      <c r="G14" s="246">
        <v>1455.4</v>
      </c>
      <c r="H14" s="245">
        <v>12192</v>
      </c>
      <c r="I14" s="245"/>
      <c r="J14" s="247">
        <v>13295</v>
      </c>
      <c r="K14" s="243">
        <f t="shared" si="0"/>
        <v>25487</v>
      </c>
      <c r="L14" s="245"/>
      <c r="M14" s="245"/>
      <c r="N14" s="232"/>
    </row>
    <row r="15" spans="1:17" s="14" customFormat="1">
      <c r="A15" s="232" t="s">
        <v>187</v>
      </c>
      <c r="B15" s="232"/>
      <c r="C15" s="232"/>
      <c r="D15" s="244">
        <v>58</v>
      </c>
      <c r="E15" s="245">
        <v>39.32</v>
      </c>
      <c r="F15" s="245">
        <v>25.58</v>
      </c>
      <c r="G15" s="246">
        <v>1102.98</v>
      </c>
      <c r="H15" s="245">
        <v>31601</v>
      </c>
      <c r="I15" s="247"/>
      <c r="J15" s="245"/>
      <c r="K15" s="243">
        <f t="shared" si="0"/>
        <v>31601</v>
      </c>
      <c r="L15" s="245"/>
      <c r="M15" s="245"/>
      <c r="N15" s="232"/>
      <c r="P15" s="16"/>
    </row>
    <row r="16" spans="1:17" s="14" customFormat="1">
      <c r="A16" s="232" t="s">
        <v>437</v>
      </c>
      <c r="B16" s="232"/>
      <c r="C16" s="232"/>
      <c r="D16" s="248" t="s">
        <v>188</v>
      </c>
      <c r="E16" s="245"/>
      <c r="F16" s="245"/>
      <c r="G16" s="246"/>
      <c r="H16" s="571" t="s">
        <v>434</v>
      </c>
      <c r="I16" s="245"/>
      <c r="J16" s="245"/>
      <c r="K16" s="243"/>
      <c r="L16" s="245"/>
      <c r="M16" s="245"/>
      <c r="N16" s="232"/>
      <c r="P16" s="16"/>
    </row>
    <row r="17" spans="1:16" s="14" customFormat="1">
      <c r="A17" s="232" t="s">
        <v>189</v>
      </c>
      <c r="B17" s="232"/>
      <c r="C17" s="232"/>
      <c r="D17" s="244">
        <v>64</v>
      </c>
      <c r="E17" s="245"/>
      <c r="F17" s="245"/>
      <c r="G17" s="246"/>
      <c r="H17" s="245"/>
      <c r="I17" s="245"/>
      <c r="J17" s="245"/>
      <c r="K17" s="243">
        <f t="shared" si="0"/>
        <v>0</v>
      </c>
      <c r="L17" s="245"/>
      <c r="M17" s="245"/>
      <c r="N17" s="232"/>
      <c r="P17" s="16"/>
    </row>
    <row r="18" spans="1:16" s="14" customFormat="1">
      <c r="A18" s="232"/>
      <c r="B18" s="232" t="s">
        <v>190</v>
      </c>
      <c r="C18" s="232"/>
      <c r="D18" s="248" t="s">
        <v>436</v>
      </c>
      <c r="E18" s="245">
        <v>17.68</v>
      </c>
      <c r="F18" s="245">
        <v>9.6300000000000008</v>
      </c>
      <c r="G18" s="246">
        <v>1058.3699999999999</v>
      </c>
      <c r="H18" s="571" t="s">
        <v>435</v>
      </c>
      <c r="I18" s="245"/>
      <c r="J18" s="245"/>
      <c r="K18" s="243"/>
      <c r="L18" s="245"/>
      <c r="M18" s="245"/>
      <c r="N18" s="232"/>
      <c r="P18" s="16"/>
    </row>
    <row r="19" spans="1:16">
      <c r="A19" s="233" t="s">
        <v>34</v>
      </c>
      <c r="B19" s="233"/>
      <c r="C19" s="233"/>
      <c r="D19" s="251"/>
      <c r="E19" s="252">
        <f>SUM(E8:E17)</f>
        <v>101.64000000000001</v>
      </c>
      <c r="F19" s="252">
        <f>SUM(F8:F17)</f>
        <v>46.589999999999996</v>
      </c>
      <c r="G19" s="252"/>
      <c r="H19" s="253">
        <v>137598</v>
      </c>
      <c r="I19" s="253">
        <f>SUM(I8:I17)</f>
        <v>10409</v>
      </c>
      <c r="J19" s="253">
        <f>SUM(J8:J17)</f>
        <v>46506</v>
      </c>
      <c r="K19" s="253">
        <f>SUM(H19:J19)</f>
        <v>194513</v>
      </c>
      <c r="L19" s="252">
        <f>SUM(L8:L17)</f>
        <v>0</v>
      </c>
      <c r="M19" s="252">
        <f>SUM(M8:M17)</f>
        <v>0</v>
      </c>
      <c r="N19" s="232"/>
      <c r="P19" s="27"/>
    </row>
    <row r="20" spans="1:16">
      <c r="A20" s="238" t="s">
        <v>35</v>
      </c>
      <c r="B20" s="238"/>
      <c r="C20" s="238"/>
      <c r="D20" s="254"/>
      <c r="E20" s="255">
        <f>SUM(E19-F19)</f>
        <v>55.050000000000018</v>
      </c>
      <c r="F20" s="255"/>
      <c r="G20" s="255"/>
      <c r="H20" s="256">
        <v>66738</v>
      </c>
      <c r="I20" s="256">
        <v>9876</v>
      </c>
      <c r="J20" s="256">
        <f>J19-M19</f>
        <v>46506</v>
      </c>
      <c r="K20" s="256">
        <f>SUM(H20:J20)</f>
        <v>123120</v>
      </c>
      <c r="L20" s="257"/>
      <c r="M20" s="257"/>
      <c r="N20" s="232"/>
      <c r="P20" s="27"/>
    </row>
    <row r="21" spans="1:16">
      <c r="A21" s="231"/>
      <c r="B21" s="231"/>
      <c r="C21" s="231" t="s">
        <v>36</v>
      </c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2"/>
      <c r="P21" s="27"/>
    </row>
    <row r="22" spans="1:16">
      <c r="A22" s="231" t="s">
        <v>37</v>
      </c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2"/>
      <c r="P22" s="27"/>
    </row>
    <row r="23" spans="1:16">
      <c r="A23" s="258" t="s">
        <v>38</v>
      </c>
      <c r="B23" s="258"/>
      <c r="C23" s="258"/>
      <c r="D23" s="258" t="s">
        <v>39</v>
      </c>
      <c r="E23" s="258" t="s">
        <v>40</v>
      </c>
      <c r="F23" s="258"/>
      <c r="G23" s="258" t="s">
        <v>41</v>
      </c>
      <c r="H23" s="231"/>
      <c r="I23" s="231"/>
      <c r="J23" s="231"/>
      <c r="K23" s="231"/>
      <c r="L23" s="231"/>
      <c r="M23" s="231"/>
      <c r="N23" s="232"/>
    </row>
    <row r="24" spans="1:16">
      <c r="A24" s="231" t="s">
        <v>42</v>
      </c>
      <c r="B24" s="231"/>
      <c r="C24" s="231"/>
      <c r="D24" s="231"/>
      <c r="E24" s="231"/>
      <c r="F24" s="231"/>
      <c r="G24" s="231"/>
      <c r="H24" s="231"/>
      <c r="I24" s="231"/>
      <c r="J24" s="259"/>
      <c r="K24" s="260"/>
      <c r="L24" s="231"/>
      <c r="M24" s="231"/>
      <c r="N24" s="232"/>
    </row>
    <row r="25" spans="1:16">
      <c r="A25" s="231" t="s">
        <v>45</v>
      </c>
      <c r="B25" s="231"/>
      <c r="C25" s="231"/>
      <c r="D25" s="231" t="s">
        <v>46</v>
      </c>
      <c r="E25" s="261">
        <v>1.51</v>
      </c>
      <c r="F25" s="231"/>
      <c r="G25" s="261">
        <v>6963</v>
      </c>
      <c r="H25" s="231"/>
      <c r="I25" s="231"/>
      <c r="J25" s="259"/>
      <c r="K25" s="260"/>
      <c r="L25" s="231"/>
      <c r="M25" s="231"/>
      <c r="N25" s="232"/>
    </row>
    <row r="26" spans="1:16">
      <c r="A26" s="231" t="s">
        <v>48</v>
      </c>
      <c r="B26" s="231"/>
      <c r="C26" s="231"/>
      <c r="D26" s="231"/>
      <c r="E26" s="231"/>
      <c r="F26" s="231"/>
      <c r="G26" s="231"/>
      <c r="H26" s="231"/>
      <c r="I26" s="231"/>
      <c r="J26" s="6"/>
      <c r="K26" s="6"/>
      <c r="L26" s="231"/>
      <c r="M26" s="231"/>
      <c r="N26" s="232"/>
    </row>
    <row r="27" spans="1:16">
      <c r="A27" s="231" t="s">
        <v>50</v>
      </c>
      <c r="B27" s="231"/>
      <c r="C27" s="231"/>
      <c r="D27" s="231" t="s">
        <v>51</v>
      </c>
      <c r="E27" s="262">
        <v>49</v>
      </c>
      <c r="F27" s="231"/>
      <c r="G27" s="261">
        <v>1362</v>
      </c>
      <c r="H27" s="231"/>
      <c r="I27" s="6"/>
      <c r="J27" s="6"/>
      <c r="K27" s="6"/>
      <c r="L27" s="231"/>
      <c r="M27" s="231"/>
      <c r="N27" s="232"/>
    </row>
    <row r="28" spans="1:16">
      <c r="A28" s="231" t="s">
        <v>52</v>
      </c>
      <c r="B28" s="231"/>
      <c r="C28" s="231"/>
      <c r="D28" s="231" t="s">
        <v>51</v>
      </c>
      <c r="E28" s="262">
        <v>52</v>
      </c>
      <c r="F28" s="231"/>
      <c r="G28" s="231"/>
      <c r="H28" s="231"/>
      <c r="I28" s="6"/>
      <c r="J28" s="6"/>
      <c r="K28" s="6"/>
      <c r="L28" s="231"/>
      <c r="M28" s="231"/>
      <c r="N28" s="232"/>
    </row>
    <row r="29" spans="1:16">
      <c r="A29" s="231" t="s">
        <v>8</v>
      </c>
      <c r="B29" s="231"/>
      <c r="C29" s="231"/>
      <c r="D29" s="231" t="s">
        <v>51</v>
      </c>
      <c r="E29" s="262">
        <f>SUM(E27:E28)</f>
        <v>101</v>
      </c>
      <c r="F29" s="231"/>
      <c r="G29" s="231"/>
      <c r="H29" s="231"/>
      <c r="I29" s="6"/>
      <c r="J29" s="6"/>
      <c r="K29" s="6"/>
      <c r="L29" s="231"/>
      <c r="M29" s="231"/>
      <c r="N29" s="232"/>
    </row>
    <row r="30" spans="1:16">
      <c r="A30" s="233" t="s">
        <v>191</v>
      </c>
      <c r="B30" s="233"/>
      <c r="C30" s="233" t="s">
        <v>116</v>
      </c>
      <c r="D30" s="233"/>
      <c r="E30" s="233"/>
      <c r="F30" s="233"/>
      <c r="G30" s="233"/>
      <c r="H30" s="231"/>
      <c r="I30" s="6"/>
      <c r="J30" s="6"/>
      <c r="K30" s="235"/>
      <c r="L30" s="231"/>
      <c r="M30" s="231"/>
      <c r="N30" s="232"/>
    </row>
    <row r="31" spans="1:16">
      <c r="A31" s="235"/>
      <c r="B31" s="235" t="s">
        <v>192</v>
      </c>
      <c r="C31" s="263">
        <v>94</v>
      </c>
      <c r="D31" s="235" t="s">
        <v>46</v>
      </c>
      <c r="E31" s="264">
        <v>374</v>
      </c>
      <c r="F31" s="264"/>
      <c r="G31" s="264">
        <v>30</v>
      </c>
      <c r="H31" s="231"/>
      <c r="I31" s="6"/>
      <c r="J31" s="6"/>
      <c r="K31" s="231"/>
      <c r="L31" s="231"/>
      <c r="M31" s="231"/>
      <c r="N31" s="232"/>
    </row>
    <row r="32" spans="1:16">
      <c r="A32" s="235"/>
      <c r="B32" s="235" t="s">
        <v>439</v>
      </c>
      <c r="C32" s="263">
        <v>48</v>
      </c>
      <c r="D32" s="235"/>
      <c r="E32" s="265">
        <v>1252</v>
      </c>
      <c r="F32" s="264"/>
      <c r="G32" s="265">
        <v>6</v>
      </c>
      <c r="H32" s="231"/>
      <c r="I32" s="6"/>
      <c r="J32" s="266"/>
      <c r="K32" s="231"/>
      <c r="L32" s="231"/>
      <c r="M32" s="231"/>
      <c r="N32" s="232"/>
    </row>
    <row r="33" spans="1:14">
      <c r="A33" s="258" t="s">
        <v>55</v>
      </c>
      <c r="B33" s="258"/>
      <c r="C33" s="258"/>
      <c r="D33" s="258"/>
      <c r="E33" s="258"/>
      <c r="F33" s="258"/>
      <c r="G33" s="267" t="s">
        <v>56</v>
      </c>
      <c r="H33" s="268"/>
      <c r="I33" s="224" t="s">
        <v>193</v>
      </c>
      <c r="J33" s="266"/>
      <c r="K33" s="231"/>
      <c r="L33" s="231"/>
      <c r="M33" s="231"/>
      <c r="N33" s="232"/>
    </row>
    <row r="34" spans="1:14">
      <c r="A34" s="235"/>
      <c r="B34" s="235"/>
      <c r="C34" s="235"/>
      <c r="D34" s="235"/>
      <c r="E34" s="235"/>
      <c r="F34" s="235"/>
      <c r="G34" s="235"/>
      <c r="H34" s="231"/>
      <c r="I34" s="231"/>
      <c r="J34" s="6"/>
      <c r="K34" s="231"/>
      <c r="L34" s="231"/>
      <c r="M34" s="231"/>
      <c r="N34" s="232"/>
    </row>
    <row r="35" spans="1:14">
      <c r="A35" s="235" t="s">
        <v>58</v>
      </c>
      <c r="B35" s="235"/>
      <c r="C35" s="235"/>
      <c r="D35" s="235"/>
      <c r="E35" s="235"/>
      <c r="F35" s="235"/>
      <c r="G35" s="269">
        <v>4850</v>
      </c>
      <c r="H35" s="270"/>
      <c r="I35" s="262">
        <f>+G35*2.471</f>
        <v>11984.35</v>
      </c>
      <c r="J35" s="261"/>
      <c r="K35" s="231"/>
      <c r="L35" s="231"/>
      <c r="M35" s="231"/>
      <c r="N35" s="232"/>
    </row>
    <row r="36" spans="1:14">
      <c r="A36" s="235" t="s">
        <v>60</v>
      </c>
      <c r="B36" s="235"/>
      <c r="C36" s="235"/>
      <c r="D36" s="235"/>
      <c r="E36" s="235"/>
      <c r="F36" s="235"/>
      <c r="G36" s="271">
        <v>69</v>
      </c>
      <c r="H36" s="231"/>
      <c r="I36" s="262"/>
      <c r="J36" s="261"/>
      <c r="K36" s="231"/>
      <c r="L36" s="231"/>
      <c r="M36" s="231"/>
      <c r="N36" s="232"/>
    </row>
    <row r="37" spans="1:14">
      <c r="A37" s="235" t="s">
        <v>61</v>
      </c>
      <c r="B37" s="235"/>
      <c r="C37" s="235"/>
      <c r="D37" s="235"/>
      <c r="E37" s="235"/>
      <c r="F37" s="235"/>
      <c r="G37" s="271">
        <v>334650</v>
      </c>
      <c r="H37" s="231"/>
      <c r="I37" s="262">
        <f>+G37*2.471</f>
        <v>826920.15</v>
      </c>
      <c r="J37" s="231"/>
      <c r="K37" s="231"/>
      <c r="L37" s="231"/>
      <c r="M37" s="231"/>
      <c r="N37" s="232"/>
    </row>
    <row r="38" spans="1:14">
      <c r="A38" s="235" t="s">
        <v>62</v>
      </c>
      <c r="B38" s="235"/>
      <c r="C38" s="235"/>
      <c r="D38" s="235"/>
      <c r="E38" s="235"/>
      <c r="F38" s="235"/>
      <c r="G38" s="271">
        <f>SUM(G37-K19)</f>
        <v>140137</v>
      </c>
      <c r="H38" s="231"/>
      <c r="I38" s="262">
        <f>+G38*2.471</f>
        <v>346278.527</v>
      </c>
      <c r="J38" s="231"/>
      <c r="K38" s="231"/>
      <c r="L38" s="231"/>
      <c r="M38" s="231"/>
      <c r="N38" s="232"/>
    </row>
    <row r="39" spans="1:14">
      <c r="A39" s="235" t="s">
        <v>63</v>
      </c>
      <c r="B39" s="235"/>
      <c r="C39" s="235"/>
      <c r="D39" s="235"/>
      <c r="E39" s="235"/>
      <c r="F39" s="235"/>
      <c r="G39" s="271">
        <f>SUM(G37-K20)</f>
        <v>211530</v>
      </c>
      <c r="H39" s="231"/>
      <c r="I39" s="262">
        <f>+G39*2.471</f>
        <v>522690.63</v>
      </c>
      <c r="J39" s="231"/>
      <c r="K39" s="231"/>
      <c r="L39" s="231"/>
      <c r="M39" s="231"/>
      <c r="N39" s="232"/>
    </row>
    <row r="40" spans="1:14">
      <c r="A40" s="235" t="s">
        <v>64</v>
      </c>
      <c r="B40" s="235"/>
      <c r="C40" s="235"/>
      <c r="D40" s="235"/>
      <c r="E40" s="235"/>
      <c r="F40" s="235"/>
      <c r="G40" s="271">
        <f>SUM(K19/G35)</f>
        <v>40.105773195876289</v>
      </c>
      <c r="H40" s="231"/>
      <c r="I40" s="231"/>
      <c r="J40" s="231"/>
      <c r="K40" s="231"/>
      <c r="L40" s="231"/>
      <c r="M40" s="231"/>
      <c r="N40" s="232"/>
    </row>
    <row r="41" spans="1:14">
      <c r="A41" s="238" t="s">
        <v>65</v>
      </c>
      <c r="B41" s="238"/>
      <c r="C41" s="238"/>
      <c r="D41" s="238"/>
      <c r="E41" s="238"/>
      <c r="F41" s="238"/>
      <c r="G41" s="272">
        <f>SUM(K20/G35)</f>
        <v>25.385567010309277</v>
      </c>
      <c r="H41" s="231"/>
      <c r="I41" s="231"/>
      <c r="J41" s="231"/>
      <c r="K41" s="231"/>
      <c r="L41" s="231"/>
      <c r="M41" s="231"/>
      <c r="N41" s="232"/>
    </row>
    <row r="42" spans="1:14">
      <c r="J42" s="231"/>
      <c r="K42" s="231"/>
      <c r="L42" s="231"/>
      <c r="M42" s="231"/>
      <c r="N42" s="232"/>
    </row>
    <row r="43" spans="1:14">
      <c r="J43" s="231"/>
      <c r="K43" s="231"/>
      <c r="L43" s="231"/>
      <c r="M43" s="231"/>
      <c r="N43" s="232"/>
    </row>
    <row r="44" spans="1:14">
      <c r="A44" s="231"/>
      <c r="B44" s="231"/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2"/>
    </row>
    <row r="45" spans="1:14" ht="13.5">
      <c r="A45" s="37"/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2"/>
    </row>
    <row r="46" spans="1:14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2"/>
    </row>
    <row r="47" spans="1:14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2"/>
    </row>
    <row r="48" spans="1:14">
      <c r="A48" s="231"/>
      <c r="B48" s="231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2"/>
    </row>
  </sheetData>
  <mergeCells count="2">
    <mergeCell ref="B2:D2"/>
    <mergeCell ref="L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opLeftCell="A25" workbookViewId="0">
      <selection activeCell="I40" sqref="I40"/>
    </sheetView>
  </sheetViews>
  <sheetFormatPr defaultRowHeight="15"/>
  <cols>
    <col min="1" max="1" width="20.85546875" style="38" customWidth="1"/>
    <col min="2" max="2" width="14.7109375" style="38" customWidth="1"/>
    <col min="3" max="3" width="9.140625" style="38" hidden="1" customWidth="1"/>
    <col min="4" max="4" width="6.42578125" style="305" customWidth="1"/>
    <col min="5" max="5" width="7.42578125" style="305" customWidth="1"/>
    <col min="6" max="6" width="6.42578125" style="305" customWidth="1"/>
    <col min="7" max="7" width="9.7109375" style="305" customWidth="1"/>
    <col min="8" max="8" width="9.140625" style="305"/>
    <col min="9" max="9" width="10.85546875" style="305" customWidth="1"/>
    <col min="10" max="10" width="8" style="305" customWidth="1"/>
    <col min="11" max="11" width="8.7109375" style="305" customWidth="1"/>
    <col min="12" max="12" width="6.7109375" style="306" customWidth="1"/>
    <col min="13" max="13" width="6.28515625" style="38" customWidth="1"/>
    <col min="14" max="16384" width="9.140625" style="38"/>
  </cols>
  <sheetData>
    <row r="1" spans="1:13" s="273" customFormat="1">
      <c r="A1" s="273" t="s">
        <v>0</v>
      </c>
      <c r="B1" s="273" t="s">
        <v>194</v>
      </c>
      <c r="F1" s="274"/>
      <c r="G1" s="274"/>
      <c r="H1" s="274"/>
      <c r="I1" s="274"/>
      <c r="J1" s="274"/>
      <c r="K1" s="274"/>
      <c r="L1" s="275"/>
    </row>
    <row r="2" spans="1:13" s="273" customFormat="1">
      <c r="B2" s="273" t="s">
        <v>195</v>
      </c>
      <c r="D2" s="274"/>
      <c r="E2" s="274"/>
      <c r="F2" s="274"/>
      <c r="G2" s="274"/>
      <c r="H2" s="274"/>
      <c r="I2" s="274"/>
      <c r="J2" s="274"/>
      <c r="K2" s="274"/>
      <c r="L2" s="275"/>
    </row>
    <row r="3" spans="1:13" s="273" customFormat="1">
      <c r="B3" s="273" t="s">
        <v>196</v>
      </c>
      <c r="D3" s="274"/>
      <c r="E3" s="274"/>
      <c r="F3" s="274"/>
      <c r="G3" s="274"/>
      <c r="H3" s="274"/>
      <c r="I3" s="274"/>
      <c r="J3" s="274"/>
      <c r="K3" s="274"/>
      <c r="L3" s="275"/>
    </row>
    <row r="4" spans="1:13" s="273" customFormat="1">
      <c r="A4" s="276" t="s">
        <v>6</v>
      </c>
      <c r="B4" s="276"/>
      <c r="C4" s="276"/>
      <c r="D4" s="277" t="s">
        <v>7</v>
      </c>
      <c r="E4" s="277" t="s">
        <v>8</v>
      </c>
      <c r="F4" s="277" t="s">
        <v>9</v>
      </c>
      <c r="G4" s="277" t="s">
        <v>10</v>
      </c>
      <c r="H4" s="277" t="s">
        <v>11</v>
      </c>
      <c r="I4" s="277" t="s">
        <v>12</v>
      </c>
      <c r="J4" s="277" t="s">
        <v>13</v>
      </c>
      <c r="K4" s="277" t="s">
        <v>14</v>
      </c>
      <c r="L4" s="278" t="s">
        <v>71</v>
      </c>
      <c r="M4" s="277"/>
    </row>
    <row r="5" spans="1:13" s="273" customFormat="1">
      <c r="A5" s="279"/>
      <c r="B5" s="279"/>
      <c r="C5" s="279"/>
      <c r="D5" s="280" t="s">
        <v>16</v>
      </c>
      <c r="E5" s="280" t="s">
        <v>17</v>
      </c>
      <c r="F5" s="280" t="s">
        <v>17</v>
      </c>
      <c r="G5" s="280" t="s">
        <v>18</v>
      </c>
      <c r="H5" s="280" t="s">
        <v>19</v>
      </c>
      <c r="I5" s="280" t="s">
        <v>20</v>
      </c>
      <c r="J5" s="280" t="s">
        <v>19</v>
      </c>
      <c r="K5" s="280" t="s">
        <v>19</v>
      </c>
      <c r="L5" s="281" t="s">
        <v>12</v>
      </c>
      <c r="M5" s="280" t="s">
        <v>13</v>
      </c>
    </row>
    <row r="6" spans="1:13" s="273" customFormat="1">
      <c r="A6" s="279"/>
      <c r="B6" s="279"/>
      <c r="C6" s="279"/>
      <c r="D6" s="280" t="s">
        <v>22</v>
      </c>
      <c r="E6" s="280"/>
      <c r="F6" s="280"/>
      <c r="G6" s="280"/>
      <c r="H6" s="280" t="s">
        <v>23</v>
      </c>
      <c r="I6" s="280" t="s">
        <v>19</v>
      </c>
      <c r="J6" s="280" t="s">
        <v>23</v>
      </c>
      <c r="K6" s="280" t="s">
        <v>23</v>
      </c>
      <c r="L6" s="281"/>
      <c r="M6" s="280"/>
    </row>
    <row r="7" spans="1:13" s="273" customFormat="1">
      <c r="A7" s="282"/>
      <c r="B7" s="282"/>
      <c r="C7" s="282"/>
      <c r="D7" s="283"/>
      <c r="E7" s="283"/>
      <c r="F7" s="283"/>
      <c r="G7" s="283"/>
      <c r="H7" s="283"/>
      <c r="I7" s="283" t="s">
        <v>23</v>
      </c>
      <c r="J7" s="283"/>
      <c r="K7" s="283"/>
      <c r="L7" s="284"/>
      <c r="M7" s="283"/>
    </row>
    <row r="8" spans="1:13" s="273" customFormat="1">
      <c r="A8" s="273" t="s">
        <v>73</v>
      </c>
      <c r="D8" s="285">
        <v>40</v>
      </c>
      <c r="E8" s="275">
        <v>4.51</v>
      </c>
      <c r="F8" s="275">
        <v>2.74</v>
      </c>
      <c r="G8" s="286">
        <v>1340</v>
      </c>
      <c r="H8" s="275">
        <v>3720</v>
      </c>
      <c r="I8" s="274"/>
      <c r="J8" s="275"/>
      <c r="K8" s="275">
        <v>3720</v>
      </c>
      <c r="L8" s="275"/>
    </row>
    <row r="9" spans="1:13" s="273" customFormat="1">
      <c r="A9" s="273" t="s">
        <v>197</v>
      </c>
      <c r="D9" s="285">
        <v>94.29</v>
      </c>
      <c r="E9" s="275">
        <v>3.8</v>
      </c>
      <c r="F9" s="275">
        <v>3.07</v>
      </c>
      <c r="G9" s="286">
        <v>1300</v>
      </c>
      <c r="H9" s="275">
        <v>1300</v>
      </c>
      <c r="I9" s="274">
        <v>5803</v>
      </c>
      <c r="J9" s="275"/>
      <c r="K9" s="275">
        <v>7103</v>
      </c>
      <c r="L9" s="275">
        <v>321</v>
      </c>
    </row>
    <row r="10" spans="1:13" s="273" customFormat="1">
      <c r="A10" s="273" t="s">
        <v>198</v>
      </c>
      <c r="D10" s="287" t="s">
        <v>32</v>
      </c>
      <c r="E10" s="275"/>
      <c r="F10" s="275"/>
      <c r="G10" s="286"/>
      <c r="H10" s="275"/>
      <c r="I10" s="274"/>
      <c r="J10" s="275"/>
      <c r="K10" s="275"/>
      <c r="L10" s="275"/>
    </row>
    <row r="11" spans="1:13" s="273" customFormat="1">
      <c r="A11" s="273" t="s">
        <v>199</v>
      </c>
      <c r="D11" s="287" t="s">
        <v>32</v>
      </c>
      <c r="E11" s="275"/>
      <c r="F11" s="275"/>
      <c r="G11" s="286"/>
      <c r="H11" s="275"/>
      <c r="I11" s="274"/>
      <c r="J11" s="275"/>
      <c r="K11" s="275"/>
      <c r="L11" s="275"/>
    </row>
    <row r="12" spans="1:13" s="273" customFormat="1">
      <c r="A12" s="273" t="s">
        <v>200</v>
      </c>
      <c r="D12" s="285">
        <v>66</v>
      </c>
      <c r="E12" s="275">
        <v>4.45</v>
      </c>
      <c r="F12" s="275">
        <v>1.18</v>
      </c>
      <c r="G12" s="286">
        <v>1690</v>
      </c>
      <c r="H12" s="275">
        <v>4420</v>
      </c>
      <c r="I12" s="274"/>
      <c r="J12" s="275">
        <v>3109</v>
      </c>
      <c r="K12" s="275">
        <v>7529</v>
      </c>
      <c r="L12" s="275"/>
      <c r="M12" s="273">
        <v>129</v>
      </c>
    </row>
    <row r="13" spans="1:13" s="273" customFormat="1">
      <c r="A13" s="273" t="s">
        <v>201</v>
      </c>
      <c r="D13" s="287" t="s">
        <v>431</v>
      </c>
      <c r="E13" s="288" t="s">
        <v>202</v>
      </c>
      <c r="F13" s="288" t="s">
        <v>203</v>
      </c>
      <c r="G13" s="289" t="s">
        <v>204</v>
      </c>
      <c r="H13" s="288" t="s">
        <v>433</v>
      </c>
      <c r="I13" s="290" t="s">
        <v>432</v>
      </c>
      <c r="J13" s="275"/>
      <c r="K13" s="275">
        <v>0</v>
      </c>
      <c r="L13" s="288"/>
    </row>
    <row r="14" spans="1:13" s="273" customFormat="1">
      <c r="A14" s="273" t="s">
        <v>205</v>
      </c>
      <c r="D14" s="285">
        <v>83</v>
      </c>
      <c r="E14" s="275">
        <v>7.2</v>
      </c>
      <c r="F14" s="275">
        <v>5.4</v>
      </c>
      <c r="G14" s="286">
        <v>1322</v>
      </c>
      <c r="H14" s="275">
        <v>7320</v>
      </c>
      <c r="I14" s="274"/>
      <c r="J14" s="275"/>
      <c r="K14" s="275">
        <v>7320</v>
      </c>
      <c r="L14" s="275"/>
    </row>
    <row r="15" spans="1:13" s="273" customFormat="1">
      <c r="A15" s="273" t="s">
        <v>77</v>
      </c>
      <c r="D15" s="285">
        <v>89</v>
      </c>
      <c r="E15" s="275">
        <v>0.67</v>
      </c>
      <c r="F15" s="275">
        <v>0.51</v>
      </c>
      <c r="G15" s="286">
        <v>1422</v>
      </c>
      <c r="H15" s="275">
        <v>918</v>
      </c>
      <c r="I15" s="274"/>
      <c r="J15" s="275">
        <v>1170</v>
      </c>
      <c r="K15" s="275">
        <v>2088</v>
      </c>
      <c r="L15" s="275"/>
    </row>
    <row r="16" spans="1:13" s="273" customFormat="1">
      <c r="A16" s="273" t="s">
        <v>78</v>
      </c>
      <c r="D16" s="285">
        <v>100</v>
      </c>
      <c r="E16" s="275">
        <v>7.98</v>
      </c>
      <c r="F16" s="275">
        <v>5.9</v>
      </c>
      <c r="G16" s="286">
        <v>1077</v>
      </c>
      <c r="H16" s="275">
        <v>10464</v>
      </c>
      <c r="I16" s="274"/>
      <c r="J16" s="275"/>
      <c r="K16" s="275">
        <v>10464</v>
      </c>
      <c r="L16" s="275"/>
    </row>
    <row r="17" spans="1:13" s="273" customFormat="1">
      <c r="A17" s="273" t="s">
        <v>430</v>
      </c>
      <c r="D17" s="287">
        <v>100</v>
      </c>
      <c r="E17" s="288">
        <v>2.17</v>
      </c>
      <c r="F17" s="288">
        <v>2.12</v>
      </c>
      <c r="G17" s="289">
        <v>1400</v>
      </c>
      <c r="H17" s="275">
        <v>3900</v>
      </c>
      <c r="I17" s="290"/>
      <c r="J17" s="275"/>
      <c r="K17" s="275">
        <v>3900</v>
      </c>
      <c r="L17" s="288" t="s">
        <v>206</v>
      </c>
    </row>
    <row r="18" spans="1:13" s="273" customFormat="1">
      <c r="A18" s="273" t="s">
        <v>207</v>
      </c>
      <c r="D18" s="285">
        <v>66</v>
      </c>
      <c r="E18" s="275">
        <v>1.31</v>
      </c>
      <c r="F18" s="275">
        <v>1.31</v>
      </c>
      <c r="G18" s="286">
        <v>1200</v>
      </c>
      <c r="H18" s="275">
        <v>1560</v>
      </c>
      <c r="I18" s="274"/>
      <c r="J18" s="275"/>
      <c r="K18" s="275">
        <v>1560</v>
      </c>
      <c r="L18" s="275"/>
    </row>
    <row r="19" spans="1:13" s="273" customFormat="1">
      <c r="A19" s="273" t="s">
        <v>80</v>
      </c>
      <c r="D19" s="285">
        <v>46</v>
      </c>
      <c r="E19" s="275">
        <v>0.36</v>
      </c>
      <c r="F19" s="275">
        <v>0.36</v>
      </c>
      <c r="G19" s="286">
        <v>1200</v>
      </c>
      <c r="H19" s="275">
        <v>480</v>
      </c>
      <c r="I19" s="274"/>
      <c r="J19" s="275"/>
      <c r="K19" s="275">
        <v>480</v>
      </c>
      <c r="L19" s="275"/>
    </row>
    <row r="20" spans="1:13" s="273" customFormat="1">
      <c r="A20" s="276" t="s">
        <v>81</v>
      </c>
      <c r="B20" s="276"/>
      <c r="C20" s="276"/>
      <c r="D20" s="291"/>
      <c r="E20" s="278">
        <v>27</v>
      </c>
      <c r="F20" s="278">
        <v>20</v>
      </c>
      <c r="G20" s="278"/>
      <c r="H20" s="278">
        <v>34082</v>
      </c>
      <c r="I20" s="277">
        <v>5803</v>
      </c>
      <c r="J20" s="278">
        <v>4279</v>
      </c>
      <c r="K20" s="278">
        <v>44164</v>
      </c>
      <c r="L20" s="278">
        <f>+I20-I21</f>
        <v>321</v>
      </c>
      <c r="M20" s="570">
        <f>+J20-J21</f>
        <v>129</v>
      </c>
    </row>
    <row r="21" spans="1:13" s="273" customFormat="1">
      <c r="A21" s="282" t="s">
        <v>82</v>
      </c>
      <c r="B21" s="282"/>
      <c r="C21" s="282"/>
      <c r="D21" s="292"/>
      <c r="E21" s="284">
        <v>7</v>
      </c>
      <c r="F21" s="284"/>
      <c r="G21" s="284"/>
      <c r="H21" s="284">
        <v>8834</v>
      </c>
      <c r="I21" s="283">
        <v>5482</v>
      </c>
      <c r="J21" s="284">
        <v>4150</v>
      </c>
      <c r="K21" s="284">
        <v>18466</v>
      </c>
      <c r="L21" s="284"/>
      <c r="M21" s="282"/>
    </row>
    <row r="22" spans="1:13" s="273" customFormat="1">
      <c r="D22" s="274"/>
      <c r="E22" s="274"/>
      <c r="F22" s="274"/>
      <c r="G22" s="274"/>
      <c r="H22" s="274"/>
      <c r="I22" s="274"/>
      <c r="J22" s="274"/>
      <c r="K22" s="274"/>
      <c r="L22" s="275"/>
    </row>
    <row r="23" spans="1:13" s="273" customFormat="1">
      <c r="C23" s="273" t="s">
        <v>36</v>
      </c>
      <c r="D23" s="274"/>
      <c r="E23" s="274"/>
      <c r="F23" s="274"/>
      <c r="G23" s="274"/>
      <c r="H23" s="274"/>
      <c r="I23" s="274"/>
      <c r="J23" s="274"/>
      <c r="K23" s="274"/>
      <c r="L23" s="275"/>
    </row>
    <row r="24" spans="1:13" s="273" customFormat="1">
      <c r="D24" s="274"/>
      <c r="E24" s="274"/>
      <c r="F24" s="274"/>
      <c r="G24" s="274"/>
      <c r="H24" s="274"/>
      <c r="I24" s="274"/>
      <c r="J24" s="293" t="s">
        <v>208</v>
      </c>
      <c r="K24" s="293">
        <v>0</v>
      </c>
      <c r="L24" s="275"/>
    </row>
    <row r="25" spans="1:13" s="273" customFormat="1">
      <c r="A25" s="273" t="s">
        <v>37</v>
      </c>
      <c r="D25" s="274"/>
      <c r="E25" s="274"/>
      <c r="F25" s="274"/>
      <c r="G25" s="274"/>
      <c r="H25" s="274"/>
      <c r="I25" s="274"/>
      <c r="J25" s="293" t="s">
        <v>54</v>
      </c>
      <c r="K25" s="293">
        <v>13</v>
      </c>
      <c r="L25" s="275"/>
    </row>
    <row r="26" spans="1:13" s="273" customFormat="1">
      <c r="A26" s="294" t="s">
        <v>38</v>
      </c>
      <c r="B26" s="294"/>
      <c r="C26" s="294"/>
      <c r="D26" s="295" t="s">
        <v>39</v>
      </c>
      <c r="E26" s="295" t="s">
        <v>40</v>
      </c>
      <c r="F26" s="295"/>
      <c r="G26" s="295" t="s">
        <v>41</v>
      </c>
      <c r="H26" s="274"/>
      <c r="I26" s="274"/>
      <c r="J26" s="274"/>
      <c r="K26" s="274"/>
      <c r="L26" s="275"/>
    </row>
    <row r="27" spans="1:13" s="273" customFormat="1">
      <c r="A27" s="273" t="s">
        <v>42</v>
      </c>
      <c r="D27" s="274"/>
      <c r="E27" s="274"/>
      <c r="F27" s="274"/>
      <c r="G27" s="274"/>
      <c r="H27" s="274"/>
      <c r="I27" s="274"/>
      <c r="J27" s="274"/>
      <c r="K27" s="274"/>
      <c r="L27" s="275"/>
    </row>
    <row r="28" spans="1:13" s="273" customFormat="1">
      <c r="A28" s="273" t="s">
        <v>83</v>
      </c>
      <c r="D28" s="274" t="s">
        <v>84</v>
      </c>
      <c r="E28" s="274">
        <v>11.6</v>
      </c>
      <c r="F28" s="274"/>
      <c r="G28" s="274">
        <v>268</v>
      </c>
      <c r="H28" s="274"/>
      <c r="I28" s="274"/>
      <c r="J28" s="296" t="s">
        <v>43</v>
      </c>
      <c r="K28" s="297"/>
      <c r="L28" s="275"/>
    </row>
    <row r="29" spans="1:13" s="273" customFormat="1">
      <c r="D29" s="274"/>
      <c r="E29" s="274"/>
      <c r="F29" s="274"/>
      <c r="G29" s="274"/>
      <c r="H29" s="274"/>
      <c r="I29" s="274"/>
      <c r="J29" s="298" t="s">
        <v>209</v>
      </c>
      <c r="K29" s="299">
        <v>94.285714285714278</v>
      </c>
      <c r="L29" s="275"/>
    </row>
    <row r="30" spans="1:13" s="273" customFormat="1">
      <c r="D30" s="274"/>
      <c r="E30" s="274"/>
      <c r="F30" s="274"/>
      <c r="G30" s="274"/>
      <c r="H30" s="274"/>
      <c r="I30" s="274"/>
      <c r="J30" s="300" t="s">
        <v>210</v>
      </c>
      <c r="K30" s="301">
        <v>5.7142857142857144</v>
      </c>
      <c r="L30" s="275"/>
    </row>
    <row r="31" spans="1:13" s="273" customFormat="1">
      <c r="A31" s="273" t="s">
        <v>48</v>
      </c>
      <c r="D31" s="274"/>
      <c r="E31" s="274"/>
      <c r="F31" s="274"/>
      <c r="G31" s="274"/>
      <c r="H31" s="274"/>
      <c r="I31" s="274"/>
      <c r="J31" s="274"/>
      <c r="K31" s="274"/>
      <c r="L31" s="275"/>
    </row>
    <row r="32" spans="1:13" s="273" customFormat="1">
      <c r="A32" s="273" t="s">
        <v>50</v>
      </c>
      <c r="D32" s="274" t="s">
        <v>51</v>
      </c>
      <c r="E32" s="275">
        <v>7</v>
      </c>
      <c r="F32" s="274"/>
      <c r="G32" s="275">
        <v>1262</v>
      </c>
      <c r="H32" s="274"/>
      <c r="I32" s="274"/>
      <c r="J32" s="274"/>
      <c r="K32" s="274"/>
      <c r="L32" s="275"/>
    </row>
    <row r="33" spans="1:12" s="273" customFormat="1">
      <c r="A33" s="273" t="s">
        <v>52</v>
      </c>
      <c r="D33" s="274" t="s">
        <v>51</v>
      </c>
      <c r="E33" s="275">
        <v>20</v>
      </c>
      <c r="F33" s="274"/>
      <c r="G33" s="274"/>
      <c r="H33" s="274"/>
      <c r="I33" s="274"/>
      <c r="J33" s="274"/>
      <c r="K33" s="274"/>
      <c r="L33" s="275"/>
    </row>
    <row r="34" spans="1:12" s="273" customFormat="1">
      <c r="A34" s="273" t="s">
        <v>8</v>
      </c>
      <c r="D34" s="274" t="s">
        <v>51</v>
      </c>
      <c r="E34" s="275">
        <v>27</v>
      </c>
      <c r="F34" s="274"/>
      <c r="G34" s="274"/>
      <c r="H34" s="274"/>
      <c r="I34" s="274"/>
      <c r="J34" s="274"/>
      <c r="K34" s="274"/>
      <c r="L34" s="275"/>
    </row>
    <row r="35" spans="1:12" s="273" customFormat="1">
      <c r="D35" s="274"/>
      <c r="E35" s="274"/>
      <c r="F35" s="274"/>
      <c r="G35" s="274"/>
      <c r="H35" s="274"/>
      <c r="I35" s="274"/>
      <c r="J35" s="274"/>
      <c r="K35" s="274"/>
      <c r="L35" s="275"/>
    </row>
    <row r="36" spans="1:12" s="273" customFormat="1">
      <c r="A36" s="276" t="s">
        <v>55</v>
      </c>
      <c r="B36" s="276"/>
      <c r="C36" s="276"/>
      <c r="D36" s="277"/>
      <c r="E36" s="277"/>
      <c r="F36" s="277"/>
      <c r="G36" s="277"/>
      <c r="H36" s="274" t="s">
        <v>57</v>
      </c>
      <c r="I36" s="274"/>
      <c r="J36" s="274"/>
      <c r="K36" s="274"/>
      <c r="L36" s="275"/>
    </row>
    <row r="37" spans="1:12" s="273" customFormat="1">
      <c r="A37" s="279" t="s">
        <v>85</v>
      </c>
      <c r="B37" s="279"/>
      <c r="C37" s="279"/>
      <c r="D37" s="280"/>
      <c r="E37" s="280"/>
      <c r="F37" s="280"/>
      <c r="G37" s="302">
        <v>212</v>
      </c>
      <c r="H37" s="274">
        <v>524</v>
      </c>
      <c r="I37" s="274"/>
      <c r="J37" s="274"/>
      <c r="K37" s="274"/>
      <c r="L37" s="275"/>
    </row>
    <row r="38" spans="1:12" s="273" customFormat="1">
      <c r="A38" s="279" t="s">
        <v>60</v>
      </c>
      <c r="B38" s="279"/>
      <c r="C38" s="279"/>
      <c r="D38" s="280"/>
      <c r="E38" s="280"/>
      <c r="F38" s="280"/>
      <c r="G38" s="303">
        <v>173</v>
      </c>
      <c r="H38" s="274"/>
      <c r="I38" s="274"/>
      <c r="J38" s="274"/>
      <c r="K38" s="274"/>
      <c r="L38" s="275"/>
    </row>
    <row r="39" spans="1:12" s="273" customFormat="1">
      <c r="A39" s="279" t="s">
        <v>86</v>
      </c>
      <c r="B39" s="279"/>
      <c r="C39" s="279"/>
      <c r="D39" s="280"/>
      <c r="E39" s="280"/>
      <c r="F39" s="280"/>
      <c r="G39" s="303">
        <v>36676</v>
      </c>
      <c r="H39" s="274">
        <v>90626</v>
      </c>
      <c r="I39" s="274"/>
      <c r="J39" s="274"/>
      <c r="K39" s="274"/>
      <c r="L39" s="275"/>
    </row>
    <row r="40" spans="1:12" s="273" customFormat="1">
      <c r="A40" s="279" t="s">
        <v>87</v>
      </c>
      <c r="B40" s="279"/>
      <c r="C40" s="279"/>
      <c r="D40" s="280"/>
      <c r="E40" s="280"/>
      <c r="F40" s="280"/>
      <c r="G40" s="303">
        <v>-7488</v>
      </c>
      <c r="H40" s="274">
        <v>-18503</v>
      </c>
      <c r="I40" s="274"/>
      <c r="J40" s="274"/>
      <c r="K40" s="274"/>
      <c r="L40" s="275"/>
    </row>
    <row r="41" spans="1:12" s="273" customFormat="1">
      <c r="A41" s="279" t="s">
        <v>88</v>
      </c>
      <c r="B41" s="279"/>
      <c r="C41" s="279"/>
      <c r="D41" s="280"/>
      <c r="E41" s="280"/>
      <c r="F41" s="280"/>
      <c r="G41" s="303">
        <v>18210</v>
      </c>
      <c r="H41" s="274">
        <v>44997</v>
      </c>
      <c r="I41" s="274"/>
      <c r="J41" s="274"/>
      <c r="K41" s="274"/>
      <c r="L41" s="275"/>
    </row>
    <row r="42" spans="1:12" s="273" customFormat="1">
      <c r="A42" s="279" t="s">
        <v>89</v>
      </c>
      <c r="B42" s="279"/>
      <c r="C42" s="279"/>
      <c r="D42" s="280"/>
      <c r="E42" s="280"/>
      <c r="F42" s="280"/>
      <c r="G42" s="303">
        <v>208.32</v>
      </c>
      <c r="H42" s="274"/>
      <c r="I42" s="274"/>
      <c r="J42" s="274"/>
      <c r="K42" s="274"/>
      <c r="L42" s="275"/>
    </row>
    <row r="43" spans="1:12" s="273" customFormat="1">
      <c r="A43" s="282" t="s">
        <v>90</v>
      </c>
      <c r="B43" s="282"/>
      <c r="C43" s="282"/>
      <c r="D43" s="283"/>
      <c r="E43" s="283"/>
      <c r="F43" s="283"/>
      <c r="G43" s="304">
        <v>87.1</v>
      </c>
      <c r="H43" s="274"/>
      <c r="I43" s="274"/>
      <c r="J43" s="274"/>
      <c r="K43" s="274"/>
      <c r="L43" s="275"/>
    </row>
    <row r="44" spans="1:12" s="273" customFormat="1">
      <c r="D44" s="274"/>
      <c r="E44" s="274"/>
      <c r="F44" s="274"/>
      <c r="G44" s="274"/>
      <c r="H44" s="274"/>
      <c r="I44" s="274"/>
      <c r="J44" s="274"/>
      <c r="K44" s="274"/>
      <c r="L44" s="275"/>
    </row>
    <row r="45" spans="1:12" s="273" customFormat="1">
      <c r="A45" s="273" t="s">
        <v>91</v>
      </c>
      <c r="D45" s="274"/>
      <c r="E45" s="274"/>
      <c r="F45" s="274"/>
      <c r="G45" s="274"/>
      <c r="H45" s="274"/>
      <c r="I45" s="274"/>
      <c r="J45" s="274"/>
      <c r="K45" s="274"/>
      <c r="L45" s="275"/>
    </row>
    <row r="46" spans="1:12" s="273" customFormat="1">
      <c r="D46" s="274"/>
      <c r="E46" s="274"/>
      <c r="F46" s="274"/>
      <c r="G46" s="274"/>
      <c r="H46" s="274"/>
      <c r="I46" s="274"/>
      <c r="J46" s="274"/>
      <c r="K46" s="274"/>
      <c r="L46" s="275"/>
    </row>
    <row r="47" spans="1:12" s="273" customFormat="1">
      <c r="D47" s="274"/>
      <c r="E47" s="274"/>
      <c r="F47" s="274"/>
      <c r="G47" s="274"/>
      <c r="H47" s="274"/>
      <c r="I47" s="274"/>
      <c r="J47" s="274"/>
      <c r="K47" s="274"/>
      <c r="L47" s="275"/>
    </row>
    <row r="48" spans="1:12" s="273" customFormat="1">
      <c r="D48" s="274"/>
      <c r="E48" s="274"/>
      <c r="F48" s="274"/>
      <c r="G48" s="274"/>
      <c r="H48" s="274"/>
      <c r="I48" s="274"/>
      <c r="J48" s="274"/>
      <c r="K48" s="274"/>
      <c r="L48" s="275"/>
    </row>
    <row r="49" spans="4:12" s="273" customFormat="1">
      <c r="D49" s="274"/>
      <c r="E49" s="274"/>
      <c r="F49" s="274"/>
      <c r="G49" s="274"/>
      <c r="H49" s="274"/>
      <c r="I49" s="274"/>
      <c r="J49" s="274"/>
      <c r="K49" s="274"/>
      <c r="L49" s="275"/>
    </row>
    <row r="50" spans="4:12" s="273" customFormat="1">
      <c r="D50" s="274"/>
      <c r="E50" s="274"/>
      <c r="F50" s="274"/>
      <c r="G50" s="274"/>
      <c r="H50" s="274"/>
      <c r="I50" s="274"/>
      <c r="J50" s="274"/>
      <c r="K50" s="274"/>
      <c r="L50" s="275"/>
    </row>
    <row r="51" spans="4:12" s="273" customFormat="1">
      <c r="D51" s="274"/>
      <c r="E51" s="274"/>
      <c r="F51" s="274"/>
      <c r="G51" s="274"/>
      <c r="H51" s="274"/>
      <c r="I51" s="274"/>
      <c r="J51" s="274"/>
      <c r="K51" s="274"/>
      <c r="L51" s="275"/>
    </row>
    <row r="52" spans="4:12" s="273" customFormat="1">
      <c r="D52" s="274"/>
      <c r="E52" s="274"/>
      <c r="F52" s="274"/>
      <c r="G52" s="274"/>
      <c r="H52" s="274"/>
      <c r="I52" s="274"/>
      <c r="J52" s="274"/>
      <c r="K52" s="274"/>
      <c r="L52" s="275"/>
    </row>
    <row r="53" spans="4:12" s="273" customFormat="1">
      <c r="D53" s="274"/>
      <c r="E53" s="274"/>
      <c r="F53" s="274"/>
      <c r="G53" s="274"/>
      <c r="H53" s="274"/>
      <c r="I53" s="274"/>
      <c r="J53" s="274"/>
      <c r="K53" s="274"/>
      <c r="L53" s="275"/>
    </row>
    <row r="54" spans="4:12">
      <c r="G54" s="305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opLeftCell="A22" workbookViewId="0">
      <selection activeCell="H36" sqref="H36"/>
    </sheetView>
  </sheetViews>
  <sheetFormatPr defaultRowHeight="15"/>
  <cols>
    <col min="1" max="1" width="8.28515625" style="38" customWidth="1"/>
    <col min="2" max="2" width="5.85546875" style="38" customWidth="1"/>
    <col min="3" max="3" width="7.7109375" style="38" customWidth="1"/>
    <col min="4" max="4" width="7.42578125" style="38" customWidth="1"/>
    <col min="5" max="5" width="6.28515625" style="38" customWidth="1"/>
    <col min="6" max="6" width="5.85546875" style="38" customWidth="1"/>
    <col min="7" max="7" width="8.140625" style="38" customWidth="1"/>
    <col min="8" max="8" width="8.7109375" style="38" customWidth="1"/>
    <col min="9" max="9" width="9.140625" style="38" customWidth="1"/>
    <col min="10" max="10" width="8.140625" style="38" customWidth="1"/>
    <col min="11" max="11" width="8" style="38" customWidth="1"/>
    <col min="12" max="12" width="5.42578125" style="38" customWidth="1"/>
    <col min="13" max="13" width="5" style="38" customWidth="1"/>
    <col min="14" max="16384" width="9.140625" style="38"/>
  </cols>
  <sheetData>
    <row r="1" spans="1:13">
      <c r="A1" s="1" t="s">
        <v>0</v>
      </c>
      <c r="B1" s="1" t="s">
        <v>211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212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 t="s">
        <v>213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6</v>
      </c>
      <c r="B4" s="3"/>
      <c r="C4" s="3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307" t="s">
        <v>71</v>
      </c>
      <c r="M4" s="4"/>
    </row>
    <row r="5" spans="1:13">
      <c r="A5" s="6"/>
      <c r="B5" s="6"/>
      <c r="C5" s="6"/>
      <c r="D5" s="7" t="s">
        <v>16</v>
      </c>
      <c r="E5" s="7" t="s">
        <v>17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19</v>
      </c>
      <c r="K5" s="7" t="s">
        <v>19</v>
      </c>
      <c r="L5" s="8" t="s">
        <v>12</v>
      </c>
      <c r="M5" s="7" t="s">
        <v>13</v>
      </c>
    </row>
    <row r="6" spans="1:13">
      <c r="A6" s="6"/>
      <c r="B6" s="6"/>
      <c r="C6" s="6"/>
      <c r="D6" s="7" t="s">
        <v>22</v>
      </c>
      <c r="E6" s="7"/>
      <c r="F6" s="7"/>
      <c r="G6" s="7"/>
      <c r="H6" s="7" t="s">
        <v>23</v>
      </c>
      <c r="I6" s="7" t="s">
        <v>19</v>
      </c>
      <c r="J6" s="7" t="s">
        <v>23</v>
      </c>
      <c r="K6" s="7" t="s">
        <v>23</v>
      </c>
      <c r="L6" s="7"/>
      <c r="M6" s="7"/>
    </row>
    <row r="7" spans="1:13">
      <c r="A7" s="9"/>
      <c r="B7" s="9"/>
      <c r="C7" s="9"/>
      <c r="D7" s="10"/>
      <c r="E7" s="10"/>
      <c r="F7" s="10"/>
      <c r="G7" s="10"/>
      <c r="H7" s="10"/>
      <c r="I7" s="10" t="s">
        <v>23</v>
      </c>
      <c r="J7" s="10"/>
      <c r="K7" s="10"/>
      <c r="L7" s="10"/>
      <c r="M7" s="10"/>
    </row>
    <row r="8" spans="1:13" ht="18.75" customHeight="1">
      <c r="A8" s="1" t="s">
        <v>73</v>
      </c>
      <c r="B8" s="1"/>
      <c r="C8" s="1"/>
      <c r="D8" s="308">
        <v>100</v>
      </c>
      <c r="E8" s="27">
        <v>6.4</v>
      </c>
      <c r="F8" s="27">
        <v>3.6</v>
      </c>
      <c r="G8" s="309">
        <v>1648</v>
      </c>
      <c r="H8" s="27">
        <v>9600</v>
      </c>
      <c r="I8" s="1"/>
      <c r="J8" s="27"/>
      <c r="K8" s="27">
        <f>+J8+I8+H8</f>
        <v>9600</v>
      </c>
      <c r="L8" s="1"/>
      <c r="M8" s="1"/>
    </row>
    <row r="9" spans="1:13" ht="18.75" customHeight="1">
      <c r="A9" s="1" t="s">
        <v>429</v>
      </c>
      <c r="B9" s="1"/>
      <c r="C9" s="1"/>
      <c r="D9" s="308">
        <v>50</v>
      </c>
      <c r="E9" s="27">
        <v>0.4</v>
      </c>
      <c r="F9" s="27">
        <v>0.4</v>
      </c>
      <c r="G9" s="309">
        <v>1620</v>
      </c>
      <c r="H9" s="27">
        <v>648</v>
      </c>
      <c r="I9" s="27">
        <v>5875</v>
      </c>
      <c r="J9" s="27"/>
      <c r="K9" s="27">
        <f t="shared" ref="K9:K13" si="0">+J9+I9+H9</f>
        <v>6523</v>
      </c>
      <c r="L9" s="1"/>
      <c r="M9" s="1"/>
    </row>
    <row r="10" spans="1:13" ht="18.75" customHeight="1">
      <c r="A10" s="1" t="s">
        <v>98</v>
      </c>
      <c r="B10" s="1"/>
      <c r="C10" s="1"/>
      <c r="D10" s="310" t="s">
        <v>214</v>
      </c>
      <c r="E10" s="311"/>
      <c r="F10" s="27"/>
      <c r="G10" s="309"/>
      <c r="H10" s="27">
        <v>0</v>
      </c>
      <c r="I10" s="312" t="s">
        <v>215</v>
      </c>
      <c r="J10" s="27"/>
      <c r="K10" s="27"/>
      <c r="L10" s="1"/>
      <c r="M10" s="1"/>
    </row>
    <row r="11" spans="1:13">
      <c r="A11" s="1" t="s">
        <v>216</v>
      </c>
      <c r="B11" s="1"/>
      <c r="C11" s="1"/>
      <c r="D11" s="308">
        <v>100</v>
      </c>
      <c r="E11" s="27">
        <v>1</v>
      </c>
      <c r="F11" s="27">
        <v>0.8</v>
      </c>
      <c r="G11" s="309">
        <v>1626</v>
      </c>
      <c r="H11" s="27">
        <v>1951</v>
      </c>
      <c r="I11" s="1"/>
      <c r="J11" s="27">
        <v>1481</v>
      </c>
      <c r="K11" s="27">
        <f t="shared" si="0"/>
        <v>3432</v>
      </c>
      <c r="L11" s="1"/>
      <c r="M11" s="1"/>
    </row>
    <row r="12" spans="1:13">
      <c r="A12" s="1" t="s">
        <v>217</v>
      </c>
      <c r="B12" s="1"/>
      <c r="C12" s="1"/>
      <c r="D12" s="308">
        <v>100</v>
      </c>
      <c r="E12" s="27">
        <v>7.2</v>
      </c>
      <c r="F12" s="27">
        <v>1</v>
      </c>
      <c r="G12" s="309">
        <v>1608</v>
      </c>
      <c r="H12" s="27">
        <v>8349</v>
      </c>
      <c r="I12" s="1"/>
      <c r="J12" s="27"/>
      <c r="K12" s="27">
        <f t="shared" si="0"/>
        <v>8349</v>
      </c>
      <c r="L12" s="1"/>
      <c r="M12" s="1"/>
    </row>
    <row r="13" spans="1:13">
      <c r="A13" s="1" t="s">
        <v>218</v>
      </c>
      <c r="B13" s="1"/>
      <c r="C13" s="1"/>
      <c r="D13" s="308">
        <v>100</v>
      </c>
      <c r="E13" s="27">
        <v>4.8</v>
      </c>
      <c r="F13" s="27">
        <v>2.9</v>
      </c>
      <c r="G13" s="309">
        <v>1613</v>
      </c>
      <c r="H13" s="27">
        <v>8388</v>
      </c>
      <c r="I13" s="1"/>
      <c r="J13" s="27"/>
      <c r="K13" s="27">
        <f t="shared" si="0"/>
        <v>8388</v>
      </c>
      <c r="L13" s="1"/>
      <c r="M13" s="1"/>
    </row>
    <row r="14" spans="1:13">
      <c r="A14" s="3" t="s">
        <v>81</v>
      </c>
      <c r="B14" s="3"/>
      <c r="C14" s="3"/>
      <c r="D14" s="20"/>
      <c r="E14" s="21">
        <f>SUM(E8:E13)</f>
        <v>19.8</v>
      </c>
      <c r="F14" s="21">
        <f>SUM(F8:F13)</f>
        <v>8.6999999999999993</v>
      </c>
      <c r="G14" s="21"/>
      <c r="H14" s="21">
        <f>SUM(H8:H13)</f>
        <v>28936</v>
      </c>
      <c r="I14" s="21">
        <f t="shared" ref="I14:K14" si="1">SUM(I8:I13)</f>
        <v>5875</v>
      </c>
      <c r="J14" s="21">
        <f t="shared" si="1"/>
        <v>1481</v>
      </c>
      <c r="K14" s="21">
        <f t="shared" si="1"/>
        <v>36292</v>
      </c>
      <c r="L14" s="3">
        <f>SUM(L8:L13)</f>
        <v>0</v>
      </c>
      <c r="M14" s="3">
        <f>SUM(M8:M13)</f>
        <v>0</v>
      </c>
    </row>
    <row r="15" spans="1:13">
      <c r="A15" s="9" t="s">
        <v>82</v>
      </c>
      <c r="B15" s="9"/>
      <c r="C15" s="9"/>
      <c r="D15" s="22"/>
      <c r="E15" s="23">
        <f>SUM(E14-F14)</f>
        <v>11.100000000000001</v>
      </c>
      <c r="F15" s="23"/>
      <c r="G15" s="23"/>
      <c r="H15" s="23">
        <v>17364</v>
      </c>
      <c r="I15" s="23">
        <v>5147</v>
      </c>
      <c r="J15" s="23">
        <v>1155</v>
      </c>
      <c r="K15" s="23">
        <v>23666</v>
      </c>
      <c r="L15" s="9"/>
      <c r="M15" s="9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 t="s">
        <v>36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 t="s">
        <v>37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4" t="s">
        <v>38</v>
      </c>
      <c r="B20" s="24"/>
      <c r="C20" s="24"/>
      <c r="D20" s="24" t="s">
        <v>39</v>
      </c>
      <c r="E20" s="24" t="s">
        <v>40</v>
      </c>
      <c r="F20" s="24"/>
      <c r="G20" s="24" t="s">
        <v>41</v>
      </c>
      <c r="H20" s="1"/>
      <c r="I20" s="313" t="s">
        <v>53</v>
      </c>
      <c r="J20" s="314">
        <v>4.2</v>
      </c>
      <c r="K20" s="1"/>
      <c r="L20" s="1"/>
      <c r="M20" s="1"/>
    </row>
    <row r="21" spans="1:13">
      <c r="A21" s="1" t="s">
        <v>42</v>
      </c>
      <c r="B21" s="1"/>
      <c r="C21" s="1"/>
      <c r="D21" s="1"/>
      <c r="E21" s="1"/>
      <c r="F21" s="1"/>
      <c r="G21" s="1"/>
      <c r="H21" s="1"/>
      <c r="I21" s="313" t="s">
        <v>54</v>
      </c>
      <c r="J21" s="314">
        <v>2</v>
      </c>
      <c r="K21" s="1"/>
      <c r="L21" s="1"/>
      <c r="M21" s="1"/>
    </row>
    <row r="22" spans="1:13">
      <c r="A22" s="1" t="s">
        <v>150</v>
      </c>
      <c r="B22" s="1"/>
      <c r="C22" s="1"/>
      <c r="D22" s="1" t="s">
        <v>46</v>
      </c>
      <c r="E22" s="1">
        <v>4.7</v>
      </c>
      <c r="F22" s="1"/>
      <c r="G22" s="27">
        <v>315</v>
      </c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313" t="s">
        <v>219</v>
      </c>
      <c r="J23" s="313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31" t="s">
        <v>220</v>
      </c>
      <c r="J24" s="31">
        <v>100</v>
      </c>
      <c r="K24" s="1"/>
      <c r="L24" s="1"/>
      <c r="M24" s="1"/>
    </row>
    <row r="25" spans="1:13">
      <c r="A25" s="1" t="s">
        <v>48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 t="s">
        <v>50</v>
      </c>
      <c r="B26" s="1"/>
      <c r="C26" s="1"/>
      <c r="D26" s="1" t="s">
        <v>51</v>
      </c>
      <c r="E26" s="1">
        <v>12</v>
      </c>
      <c r="F26" s="1"/>
      <c r="G26" s="27">
        <v>1447</v>
      </c>
      <c r="H26" s="1"/>
      <c r="I26" s="1"/>
      <c r="J26" s="1"/>
      <c r="K26" s="1"/>
      <c r="L26" s="1"/>
      <c r="M26" s="1"/>
    </row>
    <row r="27" spans="1:13">
      <c r="A27" s="1" t="s">
        <v>52</v>
      </c>
      <c r="B27" s="1"/>
      <c r="C27" s="1"/>
      <c r="D27" s="1" t="s">
        <v>51</v>
      </c>
      <c r="E27" s="1">
        <v>8</v>
      </c>
      <c r="F27" s="1"/>
      <c r="G27" s="1"/>
      <c r="H27" s="1"/>
      <c r="I27" s="1"/>
      <c r="J27" s="1"/>
      <c r="K27" s="1"/>
      <c r="L27" s="1"/>
      <c r="M27" s="1"/>
    </row>
    <row r="28" spans="1:13">
      <c r="A28" s="1" t="s">
        <v>8</v>
      </c>
      <c r="B28" s="1"/>
      <c r="C28" s="1"/>
      <c r="D28" s="1"/>
      <c r="E28" s="1">
        <v>20</v>
      </c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3" t="s">
        <v>55</v>
      </c>
      <c r="B30" s="3"/>
      <c r="C30" s="3"/>
      <c r="D30" s="3"/>
      <c r="E30" s="3"/>
      <c r="F30" s="3"/>
      <c r="G30" s="3"/>
      <c r="H30" s="315" t="s">
        <v>124</v>
      </c>
      <c r="I30" s="1"/>
      <c r="J30" s="1"/>
      <c r="K30" s="1"/>
      <c r="L30" s="1"/>
      <c r="M30" s="1"/>
    </row>
    <row r="31" spans="1:13">
      <c r="A31" s="6" t="s">
        <v>85</v>
      </c>
      <c r="B31" s="6"/>
      <c r="C31" s="6"/>
      <c r="D31" s="6"/>
      <c r="E31" s="6"/>
      <c r="F31" s="6"/>
      <c r="G31" s="316">
        <v>294</v>
      </c>
      <c r="H31" s="27">
        <v>726</v>
      </c>
      <c r="I31" s="1"/>
      <c r="J31" s="1"/>
      <c r="K31" s="1"/>
      <c r="L31" s="1"/>
      <c r="M31" s="1"/>
    </row>
    <row r="32" spans="1:13">
      <c r="A32" s="6" t="s">
        <v>60</v>
      </c>
      <c r="B32" s="6"/>
      <c r="C32" s="6"/>
      <c r="D32" s="6"/>
      <c r="E32" s="6"/>
      <c r="F32" s="6"/>
      <c r="G32" s="35">
        <v>240</v>
      </c>
      <c r="H32" s="27"/>
      <c r="I32" s="1"/>
      <c r="J32" s="1"/>
      <c r="K32" s="1"/>
      <c r="L32" s="1"/>
      <c r="M32" s="1"/>
    </row>
    <row r="33" spans="1:13">
      <c r="A33" s="6" t="s">
        <v>86</v>
      </c>
      <c r="B33" s="6"/>
      <c r="C33" s="6"/>
      <c r="D33" s="6"/>
      <c r="E33" s="6"/>
      <c r="F33" s="6"/>
      <c r="G33" s="35">
        <v>70560</v>
      </c>
      <c r="H33" s="27">
        <v>174354</v>
      </c>
      <c r="I33" s="1"/>
      <c r="J33" s="1"/>
      <c r="K33" s="1"/>
      <c r="L33" s="1"/>
      <c r="M33" s="1"/>
    </row>
    <row r="34" spans="1:13">
      <c r="A34" s="6" t="s">
        <v>87</v>
      </c>
      <c r="B34" s="6"/>
      <c r="C34" s="6"/>
      <c r="D34" s="6"/>
      <c r="E34" s="6"/>
      <c r="F34" s="6"/>
      <c r="G34" s="35">
        <v>34268</v>
      </c>
      <c r="H34" s="27">
        <v>84676</v>
      </c>
      <c r="I34" s="1"/>
      <c r="J34" s="1"/>
      <c r="K34" s="1"/>
      <c r="L34" s="1"/>
      <c r="M34" s="1"/>
    </row>
    <row r="35" spans="1:13">
      <c r="A35" s="6" t="s">
        <v>88</v>
      </c>
      <c r="B35" s="6"/>
      <c r="C35" s="6"/>
      <c r="D35" s="6"/>
      <c r="E35" s="6"/>
      <c r="F35" s="6"/>
      <c r="G35" s="35">
        <v>46894</v>
      </c>
      <c r="H35" s="27">
        <v>115875</v>
      </c>
      <c r="I35" s="1"/>
      <c r="J35" s="1"/>
      <c r="K35" s="1"/>
      <c r="L35" s="1"/>
      <c r="M35" s="1"/>
    </row>
    <row r="36" spans="1:13">
      <c r="A36" s="6"/>
      <c r="B36" s="6"/>
      <c r="C36" s="6"/>
      <c r="D36" s="6"/>
      <c r="E36" s="6"/>
      <c r="F36" s="6"/>
      <c r="G36" s="35"/>
      <c r="H36" s="1"/>
      <c r="I36" s="1"/>
      <c r="J36" s="1"/>
      <c r="K36" s="1"/>
      <c r="L36" s="1"/>
      <c r="M36" s="1"/>
    </row>
    <row r="37" spans="1:13">
      <c r="A37" s="6" t="s">
        <v>89</v>
      </c>
      <c r="B37" s="6"/>
      <c r="C37" s="6"/>
      <c r="D37" s="6"/>
      <c r="E37" s="6"/>
      <c r="F37" s="6"/>
      <c r="G37" s="35">
        <v>123.44</v>
      </c>
      <c r="H37" s="1"/>
      <c r="I37" s="1"/>
      <c r="J37" s="1"/>
      <c r="K37" s="1"/>
      <c r="L37" s="1"/>
      <c r="M37" s="1"/>
    </row>
    <row r="38" spans="1:13">
      <c r="A38" s="9" t="s">
        <v>90</v>
      </c>
      <c r="B38" s="9"/>
      <c r="C38" s="9"/>
      <c r="D38" s="9"/>
      <c r="E38" s="9"/>
      <c r="F38" s="9"/>
      <c r="G38" s="36">
        <v>80.5</v>
      </c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 t="s">
        <v>91</v>
      </c>
      <c r="B40" s="1"/>
      <c r="C40" s="317" t="s">
        <v>221</v>
      </c>
      <c r="D40" s="317"/>
      <c r="E40" s="14"/>
      <c r="F40" s="14"/>
      <c r="G40" s="14"/>
      <c r="H40" s="14"/>
      <c r="I40" s="14"/>
      <c r="J40" s="14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 t="s">
        <v>93</v>
      </c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A28" workbookViewId="0">
      <selection activeCell="J40" sqref="J40"/>
    </sheetView>
  </sheetViews>
  <sheetFormatPr defaultRowHeight="15"/>
  <cols>
    <col min="1" max="1" width="7.5703125" style="38" customWidth="1"/>
    <col min="2" max="2" width="5.42578125" style="38" customWidth="1"/>
    <col min="3" max="3" width="6.28515625" style="38" customWidth="1"/>
    <col min="4" max="4" width="6" style="38" customWidth="1"/>
    <col min="5" max="6" width="4.7109375" style="38" customWidth="1"/>
    <col min="7" max="7" width="9.42578125" style="38" customWidth="1"/>
    <col min="8" max="8" width="8.140625" style="38" customWidth="1"/>
    <col min="9" max="9" width="8.85546875" style="38" customWidth="1"/>
    <col min="10" max="10" width="7.7109375" style="38" customWidth="1"/>
    <col min="11" max="11" width="8" style="38" customWidth="1"/>
    <col min="12" max="12" width="4.5703125" style="38" customWidth="1"/>
    <col min="13" max="13" width="4.28515625" style="38" customWidth="1"/>
    <col min="14" max="16384" width="9.140625" style="38"/>
  </cols>
  <sheetData>
    <row r="1" spans="1:13">
      <c r="A1" s="14" t="s">
        <v>0</v>
      </c>
      <c r="B1" s="14" t="s">
        <v>222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>
      <c r="A2" s="14"/>
      <c r="B2" s="14" t="s">
        <v>223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3">
      <c r="A3" s="14"/>
      <c r="B3" s="14" t="s">
        <v>224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3">
      <c r="A4" s="318" t="s">
        <v>6</v>
      </c>
      <c r="B4" s="318"/>
      <c r="C4" s="318"/>
      <c r="D4" s="319" t="s">
        <v>7</v>
      </c>
      <c r="E4" s="319" t="s">
        <v>8</v>
      </c>
      <c r="F4" s="319" t="s">
        <v>9</v>
      </c>
      <c r="G4" s="319" t="s">
        <v>10</v>
      </c>
      <c r="H4" s="319" t="s">
        <v>11</v>
      </c>
      <c r="I4" s="319" t="s">
        <v>12</v>
      </c>
      <c r="J4" s="319" t="s">
        <v>13</v>
      </c>
      <c r="K4" s="319" t="s">
        <v>14</v>
      </c>
      <c r="L4" s="320" t="s">
        <v>71</v>
      </c>
      <c r="M4" s="321"/>
    </row>
    <row r="5" spans="1:13">
      <c r="A5" s="11"/>
      <c r="B5" s="11"/>
      <c r="C5" s="11"/>
      <c r="D5" s="12" t="s">
        <v>16</v>
      </c>
      <c r="E5" s="12" t="s">
        <v>17</v>
      </c>
      <c r="F5" s="12" t="s">
        <v>17</v>
      </c>
      <c r="G5" s="12" t="s">
        <v>18</v>
      </c>
      <c r="H5" s="12" t="s">
        <v>19</v>
      </c>
      <c r="I5" s="12" t="s">
        <v>20</v>
      </c>
      <c r="J5" s="12" t="s">
        <v>19</v>
      </c>
      <c r="K5" s="12" t="s">
        <v>19</v>
      </c>
      <c r="L5" s="322" t="s">
        <v>12</v>
      </c>
      <c r="M5" s="323" t="s">
        <v>13</v>
      </c>
    </row>
    <row r="6" spans="1:13">
      <c r="A6" s="11"/>
      <c r="B6" s="11"/>
      <c r="C6" s="11"/>
      <c r="D6" s="12" t="s">
        <v>22</v>
      </c>
      <c r="E6" s="12"/>
      <c r="F6" s="12"/>
      <c r="G6" s="12"/>
      <c r="H6" s="12" t="s">
        <v>23</v>
      </c>
      <c r="I6" s="12" t="s">
        <v>19</v>
      </c>
      <c r="J6" s="12" t="s">
        <v>23</v>
      </c>
      <c r="K6" s="12" t="s">
        <v>23</v>
      </c>
      <c r="L6" s="12"/>
      <c r="M6" s="323"/>
    </row>
    <row r="7" spans="1:13">
      <c r="A7" s="324"/>
      <c r="B7" s="324"/>
      <c r="C7" s="324"/>
      <c r="D7" s="325"/>
      <c r="E7" s="325"/>
      <c r="F7" s="325"/>
      <c r="G7" s="325"/>
      <c r="H7" s="325"/>
      <c r="I7" s="325" t="s">
        <v>23</v>
      </c>
      <c r="J7" s="325"/>
      <c r="K7" s="325"/>
      <c r="L7" s="325"/>
      <c r="M7" s="326"/>
    </row>
    <row r="8" spans="1:13">
      <c r="A8" s="14" t="s">
        <v>73</v>
      </c>
      <c r="B8" s="14"/>
      <c r="C8" s="14"/>
      <c r="D8" s="327">
        <v>80</v>
      </c>
      <c r="E8" s="16">
        <v>4.9000000000000004</v>
      </c>
      <c r="F8" s="16">
        <v>3.2</v>
      </c>
      <c r="G8" s="17">
        <v>1545</v>
      </c>
      <c r="H8" s="16">
        <v>7500</v>
      </c>
      <c r="I8" s="14"/>
      <c r="J8" s="16"/>
      <c r="K8" s="16">
        <f>+H8+I8+J8</f>
        <v>7500</v>
      </c>
      <c r="L8" s="14"/>
    </row>
    <row r="9" spans="1:13">
      <c r="A9" s="14" t="s">
        <v>428</v>
      </c>
      <c r="B9" s="14"/>
      <c r="C9" s="14"/>
      <c r="D9" s="327">
        <v>100</v>
      </c>
      <c r="E9" s="16">
        <v>0.3</v>
      </c>
      <c r="F9" s="16">
        <v>0.3</v>
      </c>
      <c r="G9" s="17">
        <v>1500</v>
      </c>
      <c r="H9" s="16">
        <v>450</v>
      </c>
      <c r="I9" s="14">
        <v>4342</v>
      </c>
      <c r="J9" s="16"/>
      <c r="K9" s="16">
        <f t="shared" ref="K9:K14" si="0">+H9+I9+J9</f>
        <v>4792</v>
      </c>
      <c r="L9" s="14"/>
    </row>
    <row r="10" spans="1:13">
      <c r="A10" s="14" t="s">
        <v>26</v>
      </c>
      <c r="B10" s="14"/>
      <c r="C10" s="14"/>
      <c r="D10" s="327">
        <v>100</v>
      </c>
      <c r="E10" s="16">
        <v>0.3</v>
      </c>
      <c r="F10" s="16">
        <v>0.2</v>
      </c>
      <c r="G10" s="17">
        <v>1500</v>
      </c>
      <c r="H10" s="16">
        <v>750</v>
      </c>
      <c r="I10" s="14"/>
      <c r="J10" s="16">
        <v>3419</v>
      </c>
      <c r="K10" s="16">
        <f t="shared" si="0"/>
        <v>4169</v>
      </c>
      <c r="L10" s="14"/>
    </row>
    <row r="11" spans="1:13">
      <c r="A11" s="14" t="s">
        <v>104</v>
      </c>
      <c r="B11" s="14"/>
      <c r="C11" s="14"/>
      <c r="D11" s="327">
        <v>70</v>
      </c>
      <c r="E11" s="16">
        <v>0.3</v>
      </c>
      <c r="F11" s="16">
        <v>0.2</v>
      </c>
      <c r="G11" s="17">
        <v>1550</v>
      </c>
      <c r="H11" s="16">
        <v>450</v>
      </c>
      <c r="I11" s="14"/>
      <c r="J11" s="16">
        <v>960</v>
      </c>
      <c r="K11" s="16">
        <f t="shared" si="0"/>
        <v>1410</v>
      </c>
      <c r="L11" s="14"/>
    </row>
    <row r="12" spans="1:13">
      <c r="A12" s="14" t="s">
        <v>77</v>
      </c>
      <c r="B12" s="14"/>
      <c r="C12" s="14"/>
      <c r="D12" s="327">
        <v>100</v>
      </c>
      <c r="E12" s="16">
        <v>0.9</v>
      </c>
      <c r="F12" s="16">
        <v>0.6</v>
      </c>
      <c r="G12" s="17">
        <v>1555</v>
      </c>
      <c r="H12" s="16">
        <v>1500</v>
      </c>
      <c r="I12" s="14"/>
      <c r="J12" s="16">
        <v>4524</v>
      </c>
      <c r="K12" s="16">
        <f t="shared" si="0"/>
        <v>6024</v>
      </c>
      <c r="L12" s="14"/>
    </row>
    <row r="13" spans="1:13">
      <c r="A13" s="14" t="s">
        <v>217</v>
      </c>
      <c r="B13" s="14"/>
      <c r="C13" s="14"/>
      <c r="D13" s="327">
        <v>100</v>
      </c>
      <c r="E13" s="16">
        <v>7.5</v>
      </c>
      <c r="F13" s="16">
        <v>0.3</v>
      </c>
      <c r="G13" s="17">
        <v>1500</v>
      </c>
      <c r="H13" s="16">
        <v>13200</v>
      </c>
      <c r="I13" s="14"/>
      <c r="J13" s="16"/>
      <c r="K13" s="16">
        <f t="shared" si="0"/>
        <v>13200</v>
      </c>
      <c r="L13" s="14"/>
    </row>
    <row r="14" spans="1:13">
      <c r="A14" s="14" t="s">
        <v>225</v>
      </c>
      <c r="B14" s="14"/>
      <c r="C14" s="14"/>
      <c r="D14" s="327">
        <v>100</v>
      </c>
      <c r="E14" s="16">
        <v>1.1000000000000001</v>
      </c>
      <c r="F14" s="16">
        <v>0.5</v>
      </c>
      <c r="G14" s="17">
        <v>1524</v>
      </c>
      <c r="H14" s="16">
        <v>1650</v>
      </c>
      <c r="I14" s="14">
        <v>1350</v>
      </c>
      <c r="J14" s="16"/>
      <c r="K14" s="16">
        <f t="shared" si="0"/>
        <v>3000</v>
      </c>
      <c r="L14" s="14"/>
    </row>
    <row r="15" spans="1:13">
      <c r="A15" s="318" t="s">
        <v>81</v>
      </c>
      <c r="B15" s="318"/>
      <c r="C15" s="318"/>
      <c r="D15" s="329"/>
      <c r="E15" s="330">
        <v>17</v>
      </c>
      <c r="F15" s="330">
        <f>SUM(F8:F14)</f>
        <v>5.3</v>
      </c>
      <c r="G15" s="330"/>
      <c r="H15" s="330">
        <v>25500</v>
      </c>
      <c r="I15" s="318">
        <f>SUM(I8:I14)</f>
        <v>5692</v>
      </c>
      <c r="J15" s="330">
        <v>8903</v>
      </c>
      <c r="K15" s="330">
        <f>SUM(K8:K14)</f>
        <v>40095</v>
      </c>
      <c r="L15" s="318">
        <f>SUM(L8:L14)</f>
        <v>0</v>
      </c>
      <c r="M15" s="58">
        <f>SUM(M8:M14)</f>
        <v>0</v>
      </c>
    </row>
    <row r="16" spans="1:13">
      <c r="A16" s="324" t="s">
        <v>82</v>
      </c>
      <c r="B16" s="324"/>
      <c r="C16" s="324"/>
      <c r="D16" s="331"/>
      <c r="E16" s="332">
        <v>11</v>
      </c>
      <c r="F16" s="332"/>
      <c r="G16" s="332"/>
      <c r="H16" s="332">
        <v>16500</v>
      </c>
      <c r="I16" s="324">
        <f>I15-L15</f>
        <v>5692</v>
      </c>
      <c r="J16" s="330">
        <v>8903</v>
      </c>
      <c r="K16" s="332">
        <f>+J16+I16+H16</f>
        <v>31095</v>
      </c>
      <c r="L16" s="324"/>
      <c r="M16" s="62"/>
    </row>
    <row r="17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>
      <c r="A18" s="14"/>
      <c r="B18" s="14"/>
      <c r="C18" s="14" t="s">
        <v>36</v>
      </c>
      <c r="D18" s="14"/>
      <c r="E18" s="14"/>
      <c r="F18" s="14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>
      <c r="A20" s="14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>
      <c r="A21" s="333" t="s">
        <v>38</v>
      </c>
      <c r="B21" s="333"/>
      <c r="C21" s="333"/>
      <c r="D21" s="333" t="s">
        <v>39</v>
      </c>
      <c r="E21" s="333" t="s">
        <v>40</v>
      </c>
      <c r="F21" s="333"/>
      <c r="G21" s="333" t="s">
        <v>41</v>
      </c>
      <c r="H21" s="14"/>
      <c r="I21" s="26" t="s">
        <v>53</v>
      </c>
      <c r="J21" s="26">
        <v>3.7</v>
      </c>
      <c r="K21" s="14"/>
      <c r="L21" s="14"/>
    </row>
    <row r="22" spans="1:12">
      <c r="A22" s="14" t="s">
        <v>42</v>
      </c>
      <c r="B22" s="14"/>
      <c r="C22" s="14"/>
      <c r="D22" s="14"/>
      <c r="E22" s="14"/>
      <c r="F22" s="14"/>
      <c r="G22" s="14"/>
      <c r="H22" s="14"/>
      <c r="I22" s="26" t="s">
        <v>54</v>
      </c>
      <c r="J22" s="334">
        <v>3</v>
      </c>
      <c r="K22" s="14"/>
      <c r="L22" s="14"/>
    </row>
    <row r="23" spans="1:12">
      <c r="A23" s="14" t="s">
        <v>226</v>
      </c>
      <c r="B23" s="14"/>
      <c r="C23" s="14"/>
      <c r="D23" s="335" t="s">
        <v>46</v>
      </c>
      <c r="E23" s="14">
        <v>14.8</v>
      </c>
      <c r="F23" s="14"/>
      <c r="G23" s="14">
        <v>231</v>
      </c>
      <c r="H23" s="14"/>
      <c r="I23" s="14"/>
      <c r="J23" s="14"/>
      <c r="K23" s="14"/>
      <c r="L23" s="14"/>
    </row>
    <row r="24" spans="1:12">
      <c r="A24" s="14"/>
      <c r="B24" s="14"/>
      <c r="C24" s="14"/>
      <c r="D24" s="335"/>
      <c r="E24" s="14"/>
      <c r="F24" s="14"/>
      <c r="G24" s="14"/>
      <c r="H24" s="14"/>
      <c r="I24" s="336" t="s">
        <v>219</v>
      </c>
      <c r="J24" s="336"/>
      <c r="K24" s="14"/>
      <c r="L24" s="14"/>
    </row>
    <row r="25" spans="1:12">
      <c r="A25" s="14"/>
      <c r="B25" s="14"/>
      <c r="C25" s="14"/>
      <c r="D25" s="335"/>
      <c r="E25" s="14"/>
      <c r="F25" s="14"/>
      <c r="G25" s="14"/>
      <c r="H25" s="14"/>
      <c r="I25" s="337" t="s">
        <v>227</v>
      </c>
      <c r="J25" s="338">
        <v>97</v>
      </c>
      <c r="K25" s="14"/>
      <c r="L25" s="14"/>
    </row>
    <row r="26" spans="1:12">
      <c r="A26" s="14" t="s">
        <v>48</v>
      </c>
      <c r="B26" s="14"/>
      <c r="C26" s="14"/>
      <c r="D26" s="335"/>
      <c r="E26" s="14"/>
      <c r="F26" s="14"/>
      <c r="G26" s="14"/>
      <c r="H26" s="14"/>
      <c r="I26" s="337" t="s">
        <v>228</v>
      </c>
      <c r="J26" s="338">
        <v>3</v>
      </c>
      <c r="K26" s="14"/>
      <c r="L26" s="14"/>
    </row>
    <row r="27" spans="1:12">
      <c r="A27" s="14" t="s">
        <v>50</v>
      </c>
      <c r="B27" s="14"/>
      <c r="C27" s="14"/>
      <c r="D27" s="335" t="s">
        <v>51</v>
      </c>
      <c r="E27" s="14">
        <v>11</v>
      </c>
      <c r="F27" s="14"/>
      <c r="G27" s="16">
        <v>1500</v>
      </c>
      <c r="H27" s="14"/>
      <c r="I27" s="14"/>
      <c r="J27" s="14"/>
      <c r="K27" s="14"/>
      <c r="L27" s="14"/>
    </row>
    <row r="28" spans="1:12">
      <c r="A28" s="14" t="s">
        <v>52</v>
      </c>
      <c r="B28" s="14"/>
      <c r="C28" s="14"/>
      <c r="D28" s="335" t="s">
        <v>51</v>
      </c>
      <c r="E28" s="14">
        <v>6</v>
      </c>
      <c r="F28" s="14"/>
      <c r="G28" s="14"/>
      <c r="H28" s="14"/>
      <c r="I28" s="14"/>
      <c r="J28" s="14"/>
      <c r="K28" s="14"/>
      <c r="L28" s="14"/>
    </row>
    <row r="29" spans="1:12">
      <c r="A29" s="14" t="s">
        <v>8</v>
      </c>
      <c r="B29" s="14"/>
      <c r="C29" s="14"/>
      <c r="D29" s="14"/>
      <c r="E29" s="14">
        <v>17</v>
      </c>
      <c r="F29" s="14"/>
      <c r="G29" s="14"/>
      <c r="H29" s="14"/>
      <c r="I29" s="14"/>
      <c r="J29" s="14"/>
      <c r="K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A31" s="318" t="s">
        <v>115</v>
      </c>
      <c r="B31" s="318"/>
      <c r="C31" s="318" t="s">
        <v>116</v>
      </c>
      <c r="D31" s="318"/>
      <c r="E31" s="318"/>
      <c r="F31" s="318"/>
      <c r="G31" s="318"/>
      <c r="H31" s="14"/>
      <c r="I31" s="14"/>
      <c r="J31" s="14"/>
      <c r="K31" s="14"/>
      <c r="L31" s="14"/>
    </row>
    <row r="32" spans="1:12">
      <c r="A32" s="11" t="s">
        <v>229</v>
      </c>
      <c r="B32" s="322" t="s">
        <v>230</v>
      </c>
      <c r="C32" s="339">
        <v>70</v>
      </c>
      <c r="D32" s="12" t="s">
        <v>46</v>
      </c>
      <c r="E32" s="12">
        <v>32</v>
      </c>
      <c r="F32" s="11"/>
      <c r="G32" s="147">
        <v>30</v>
      </c>
      <c r="H32" s="14"/>
      <c r="I32" s="14"/>
      <c r="J32" s="14"/>
      <c r="K32" s="14"/>
      <c r="L32" s="14"/>
    </row>
    <row r="33" spans="1:12">
      <c r="A33" s="11"/>
      <c r="B33" s="322"/>
      <c r="C33" s="339"/>
      <c r="D33" s="340"/>
      <c r="E33" s="340"/>
      <c r="F33" s="11"/>
      <c r="G33" s="147"/>
      <c r="H33" s="14"/>
      <c r="I33" s="14"/>
      <c r="J33" s="14"/>
      <c r="K33" s="14"/>
      <c r="L33" s="14"/>
    </row>
    <row r="34" spans="1:12">
      <c r="A34" s="318" t="s">
        <v>55</v>
      </c>
      <c r="B34" s="318"/>
      <c r="C34" s="318"/>
      <c r="D34" s="318"/>
      <c r="E34" s="318"/>
      <c r="F34" s="318"/>
      <c r="G34" s="318"/>
      <c r="I34" s="341" t="s">
        <v>124</v>
      </c>
      <c r="J34" s="14"/>
      <c r="K34" s="14"/>
      <c r="L34" s="14"/>
    </row>
    <row r="35" spans="1:12">
      <c r="A35" s="11" t="s">
        <v>85</v>
      </c>
      <c r="B35" s="11"/>
      <c r="C35" s="11"/>
      <c r="D35" s="11"/>
      <c r="E35" s="11"/>
      <c r="F35" s="11"/>
      <c r="G35" s="342">
        <v>396</v>
      </c>
      <c r="I35" s="16">
        <v>979</v>
      </c>
      <c r="J35" s="14"/>
      <c r="K35" s="14"/>
      <c r="L35" s="14"/>
    </row>
    <row r="36" spans="1:12">
      <c r="A36" s="11" t="s">
        <v>60</v>
      </c>
      <c r="B36" s="11"/>
      <c r="C36" s="11"/>
      <c r="D36" s="11"/>
      <c r="E36" s="11"/>
      <c r="F36" s="11"/>
      <c r="G36" s="343">
        <v>186</v>
      </c>
      <c r="I36" s="16"/>
      <c r="J36" s="14"/>
      <c r="K36" s="14"/>
      <c r="L36" s="14"/>
    </row>
    <row r="37" spans="1:12">
      <c r="A37" s="11" t="s">
        <v>86</v>
      </c>
      <c r="B37" s="11"/>
      <c r="C37" s="11"/>
      <c r="D37" s="11"/>
      <c r="E37" s="11"/>
      <c r="F37" s="11"/>
      <c r="G37" s="343">
        <v>73656</v>
      </c>
      <c r="I37" s="16">
        <v>182004</v>
      </c>
      <c r="J37" s="14"/>
      <c r="K37" s="14"/>
      <c r="L37" s="14"/>
    </row>
    <row r="38" spans="1:12">
      <c r="A38" s="11" t="s">
        <v>87</v>
      </c>
      <c r="B38" s="11"/>
      <c r="C38" s="11"/>
      <c r="D38" s="11"/>
      <c r="E38" s="11"/>
      <c r="F38" s="11"/>
      <c r="G38" s="343">
        <v>33561</v>
      </c>
      <c r="I38" s="16">
        <v>82929</v>
      </c>
      <c r="J38" s="14"/>
      <c r="K38" s="14"/>
      <c r="L38" s="14"/>
    </row>
    <row r="39" spans="1:12">
      <c r="A39" s="11" t="s">
        <v>88</v>
      </c>
      <c r="B39" s="11"/>
      <c r="C39" s="11"/>
      <c r="D39" s="11"/>
      <c r="E39" s="11"/>
      <c r="F39" s="11"/>
      <c r="G39" s="343">
        <v>42561</v>
      </c>
      <c r="I39" s="16">
        <v>105168</v>
      </c>
      <c r="J39" s="14"/>
      <c r="K39" s="14"/>
      <c r="L39" s="14"/>
    </row>
    <row r="40" spans="1:12">
      <c r="A40" s="11"/>
      <c r="B40" s="11"/>
      <c r="C40" s="11"/>
      <c r="D40" s="11"/>
      <c r="E40" s="11"/>
      <c r="F40" s="11"/>
      <c r="G40" s="343"/>
      <c r="H40" s="14"/>
      <c r="I40" s="14"/>
      <c r="J40" s="14"/>
      <c r="K40" s="14"/>
      <c r="L40" s="14"/>
    </row>
    <row r="41" spans="1:12">
      <c r="A41" s="11" t="s">
        <v>89</v>
      </c>
      <c r="B41" s="11"/>
      <c r="C41" s="11"/>
      <c r="D41" s="11"/>
      <c r="E41" s="11"/>
      <c r="F41" s="11"/>
      <c r="G41" s="343">
        <v>101.25</v>
      </c>
      <c r="H41" s="14"/>
      <c r="I41" s="14"/>
      <c r="J41" s="14"/>
      <c r="K41" s="14"/>
      <c r="L41" s="14"/>
    </row>
    <row r="42" spans="1:12">
      <c r="A42" s="324" t="s">
        <v>90</v>
      </c>
      <c r="B42" s="324"/>
      <c r="C42" s="324"/>
      <c r="D42" s="324"/>
      <c r="E42" s="324"/>
      <c r="F42" s="324"/>
      <c r="G42" s="344">
        <v>78.52</v>
      </c>
      <c r="H42" s="14"/>
      <c r="I42" s="14"/>
      <c r="J42" s="14"/>
      <c r="K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>
      <c r="A44" s="14" t="s">
        <v>231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>
      <c r="G45" s="14"/>
      <c r="H45" s="14"/>
      <c r="I45" s="14"/>
      <c r="J45" s="14"/>
      <c r="K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53" spans="7:7">
      <c r="G53" s="38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A22" workbookViewId="0">
      <selection activeCell="H38" sqref="H38"/>
    </sheetView>
  </sheetViews>
  <sheetFormatPr defaultRowHeight="15"/>
  <cols>
    <col min="1" max="1" width="9.140625" style="38"/>
    <col min="2" max="2" width="8" style="38" customWidth="1"/>
    <col min="3" max="3" width="6.85546875" style="38" customWidth="1"/>
    <col min="4" max="4" width="7.5703125" style="38" customWidth="1"/>
    <col min="5" max="5" width="5.7109375" style="38" customWidth="1"/>
    <col min="6" max="6" width="5.85546875" style="38" customWidth="1"/>
    <col min="7" max="7" width="10.5703125" style="38" customWidth="1"/>
    <col min="8" max="8" width="9.28515625" style="38" customWidth="1"/>
    <col min="9" max="9" width="10.28515625" style="38" customWidth="1"/>
    <col min="10" max="10" width="8.85546875" style="38" customWidth="1"/>
    <col min="11" max="11" width="8.7109375" style="38" customWidth="1"/>
    <col min="12" max="12" width="7.28515625" style="38" customWidth="1"/>
    <col min="13" max="13" width="6.28515625" style="38" customWidth="1"/>
    <col min="14" max="16384" width="9.140625" style="38"/>
  </cols>
  <sheetData>
    <row r="1" spans="1:13">
      <c r="A1" s="38" t="s">
        <v>0</v>
      </c>
      <c r="B1" s="38" t="s">
        <v>232</v>
      </c>
    </row>
    <row r="2" spans="1:13">
      <c r="B2" s="38" t="s">
        <v>233</v>
      </c>
    </row>
    <row r="3" spans="1:13">
      <c r="B3" s="38" t="s">
        <v>234</v>
      </c>
    </row>
    <row r="4" spans="1:13">
      <c r="A4" s="58" t="s">
        <v>6</v>
      </c>
      <c r="B4" s="58"/>
      <c r="C4" s="58"/>
      <c r="D4" s="321" t="s">
        <v>7</v>
      </c>
      <c r="E4" s="321" t="s">
        <v>8</v>
      </c>
      <c r="F4" s="321" t="s">
        <v>9</v>
      </c>
      <c r="G4" s="321" t="s">
        <v>10</v>
      </c>
      <c r="H4" s="321" t="s">
        <v>11</v>
      </c>
      <c r="I4" s="321" t="s">
        <v>12</v>
      </c>
      <c r="J4" s="321" t="s">
        <v>13</v>
      </c>
      <c r="K4" s="321" t="s">
        <v>14</v>
      </c>
      <c r="L4" s="345" t="s">
        <v>71</v>
      </c>
      <c r="M4" s="321"/>
    </row>
    <row r="5" spans="1:13">
      <c r="A5" s="68"/>
      <c r="B5" s="68"/>
      <c r="C5" s="68"/>
      <c r="D5" s="323" t="s">
        <v>16</v>
      </c>
      <c r="E5" s="323" t="s">
        <v>17</v>
      </c>
      <c r="F5" s="323" t="s">
        <v>17</v>
      </c>
      <c r="G5" s="323" t="s">
        <v>18</v>
      </c>
      <c r="H5" s="323" t="s">
        <v>19</v>
      </c>
      <c r="I5" s="323" t="s">
        <v>20</v>
      </c>
      <c r="J5" s="323" t="s">
        <v>19</v>
      </c>
      <c r="K5" s="323" t="s">
        <v>19</v>
      </c>
      <c r="L5" s="346" t="s">
        <v>12</v>
      </c>
      <c r="M5" s="323" t="s">
        <v>13</v>
      </c>
    </row>
    <row r="6" spans="1:13">
      <c r="A6" s="68"/>
      <c r="B6" s="68"/>
      <c r="C6" s="68"/>
      <c r="D6" s="323" t="s">
        <v>22</v>
      </c>
      <c r="E6" s="323"/>
      <c r="F6" s="323"/>
      <c r="G6" s="323"/>
      <c r="H6" s="323" t="s">
        <v>23</v>
      </c>
      <c r="I6" s="323" t="s">
        <v>19</v>
      </c>
      <c r="J6" s="323" t="s">
        <v>23</v>
      </c>
      <c r="K6" s="323" t="s">
        <v>23</v>
      </c>
      <c r="L6" s="323"/>
      <c r="M6" s="323"/>
    </row>
    <row r="7" spans="1:13">
      <c r="A7" s="62"/>
      <c r="B7" s="62"/>
      <c r="C7" s="62"/>
      <c r="D7" s="326"/>
      <c r="E7" s="326"/>
      <c r="F7" s="326"/>
      <c r="G7" s="326"/>
      <c r="H7" s="326"/>
      <c r="I7" s="326" t="s">
        <v>23</v>
      </c>
      <c r="J7" s="326"/>
      <c r="K7" s="326"/>
      <c r="L7" s="326"/>
      <c r="M7" s="326"/>
    </row>
    <row r="8" spans="1:13">
      <c r="A8" s="347" t="s">
        <v>73</v>
      </c>
      <c r="B8" s="347"/>
      <c r="C8" s="347"/>
      <c r="D8" s="348">
        <v>60</v>
      </c>
      <c r="E8" s="349">
        <v>3.6</v>
      </c>
      <c r="F8" s="349">
        <v>2</v>
      </c>
      <c r="G8" s="350">
        <v>1213</v>
      </c>
      <c r="H8" s="349">
        <v>4246</v>
      </c>
      <c r="I8" s="347"/>
      <c r="J8" s="349"/>
      <c r="K8" s="49">
        <f>+J8+I8+H8</f>
        <v>4246</v>
      </c>
    </row>
    <row r="9" spans="1:13">
      <c r="A9" s="111" t="s">
        <v>427</v>
      </c>
      <c r="B9" s="347"/>
      <c r="C9" s="347"/>
      <c r="D9" s="348">
        <v>100</v>
      </c>
      <c r="E9" s="349">
        <v>1</v>
      </c>
      <c r="F9" s="349">
        <v>0.9</v>
      </c>
      <c r="G9" s="350">
        <v>1200</v>
      </c>
      <c r="H9" s="349">
        <v>1080</v>
      </c>
      <c r="I9" s="349">
        <v>5742</v>
      </c>
      <c r="J9" s="349"/>
      <c r="K9" s="49">
        <f t="shared" ref="K9:K15" si="0">+J9+I9+H9</f>
        <v>6822</v>
      </c>
    </row>
    <row r="10" spans="1:13">
      <c r="A10" s="347" t="s">
        <v>235</v>
      </c>
      <c r="B10" s="347"/>
      <c r="C10" s="347"/>
      <c r="D10" s="348">
        <v>100</v>
      </c>
      <c r="E10" s="349">
        <v>5.7</v>
      </c>
      <c r="F10" s="349">
        <v>1.7</v>
      </c>
      <c r="G10" s="350">
        <v>1228</v>
      </c>
      <c r="H10" s="349">
        <v>6960</v>
      </c>
      <c r="I10" s="349"/>
      <c r="J10" s="349">
        <v>12090</v>
      </c>
      <c r="K10" s="49">
        <f t="shared" si="0"/>
        <v>19050</v>
      </c>
      <c r="M10" s="351">
        <v>7627</v>
      </c>
    </row>
    <row r="11" spans="1:13">
      <c r="A11" s="347" t="s">
        <v>236</v>
      </c>
      <c r="B11" s="347"/>
      <c r="C11" s="347"/>
      <c r="D11" s="348">
        <v>83</v>
      </c>
      <c r="E11" s="349">
        <v>8.1999999999999993</v>
      </c>
      <c r="F11" s="349">
        <v>3.5</v>
      </c>
      <c r="G11" s="350">
        <v>1233</v>
      </c>
      <c r="H11" s="349">
        <v>10370</v>
      </c>
      <c r="I11" s="349"/>
      <c r="J11" s="349"/>
      <c r="K11" s="49">
        <f t="shared" si="0"/>
        <v>10370</v>
      </c>
    </row>
    <row r="12" spans="1:13">
      <c r="A12" s="347" t="s">
        <v>105</v>
      </c>
      <c r="B12" s="347"/>
      <c r="C12" s="347"/>
      <c r="D12" s="348">
        <v>63</v>
      </c>
      <c r="E12" s="349">
        <v>0.7</v>
      </c>
      <c r="F12" s="349">
        <v>0.5</v>
      </c>
      <c r="G12" s="350">
        <v>1291</v>
      </c>
      <c r="H12" s="349">
        <v>904</v>
      </c>
      <c r="I12" s="349"/>
      <c r="J12" s="349">
        <v>2206</v>
      </c>
      <c r="K12" s="49">
        <f t="shared" si="0"/>
        <v>3110</v>
      </c>
    </row>
    <row r="13" spans="1:13">
      <c r="A13" s="347" t="s">
        <v>217</v>
      </c>
      <c r="B13" s="347"/>
      <c r="C13" s="347"/>
      <c r="D13" s="348">
        <v>100</v>
      </c>
      <c r="E13" s="349">
        <v>8.1</v>
      </c>
      <c r="F13" s="349">
        <v>2.2999999999999998</v>
      </c>
      <c r="G13" s="350">
        <v>1234</v>
      </c>
      <c r="H13" s="349">
        <v>9840</v>
      </c>
      <c r="I13" s="349"/>
      <c r="J13" s="349"/>
      <c r="K13" s="49">
        <f t="shared" si="0"/>
        <v>9840</v>
      </c>
    </row>
    <row r="14" spans="1:13">
      <c r="A14" s="347" t="s">
        <v>218</v>
      </c>
      <c r="B14" s="347"/>
      <c r="C14" s="347"/>
      <c r="D14" s="348">
        <v>100</v>
      </c>
      <c r="E14" s="349">
        <v>6.3</v>
      </c>
      <c r="F14" s="349">
        <v>3.9</v>
      </c>
      <c r="G14" s="350">
        <v>1232</v>
      </c>
      <c r="H14" s="349">
        <v>6281</v>
      </c>
      <c r="I14" s="349"/>
      <c r="J14" s="349"/>
      <c r="K14" s="49">
        <f t="shared" si="0"/>
        <v>6281</v>
      </c>
    </row>
    <row r="15" spans="1:13">
      <c r="A15" s="347" t="s">
        <v>80</v>
      </c>
      <c r="B15" s="347"/>
      <c r="C15" s="347"/>
      <c r="D15" s="348">
        <v>43</v>
      </c>
      <c r="E15" s="349">
        <v>0.1</v>
      </c>
      <c r="F15" s="349">
        <v>0.1</v>
      </c>
      <c r="G15" s="350">
        <v>1200</v>
      </c>
      <c r="H15" s="349">
        <v>600</v>
      </c>
      <c r="I15" s="349">
        <v>1022</v>
      </c>
      <c r="J15" s="349"/>
      <c r="K15" s="49">
        <f t="shared" si="0"/>
        <v>1622</v>
      </c>
    </row>
    <row r="16" spans="1:13">
      <c r="A16" s="352" t="s">
        <v>81</v>
      </c>
      <c r="B16" s="352"/>
      <c r="C16" s="352"/>
      <c r="D16" s="353"/>
      <c r="E16" s="354">
        <f>SUM(E8:E15)</f>
        <v>33.699999999999996</v>
      </c>
      <c r="F16" s="354">
        <v>13</v>
      </c>
      <c r="G16" s="354"/>
      <c r="H16" s="354">
        <f>SUM(H8:H15)</f>
        <v>40281</v>
      </c>
      <c r="I16" s="354">
        <f t="shared" ref="I16:K16" si="1">SUM(I8:I15)</f>
        <v>6764</v>
      </c>
      <c r="J16" s="354">
        <f t="shared" si="1"/>
        <v>14296</v>
      </c>
      <c r="K16" s="354">
        <f t="shared" si="1"/>
        <v>61341</v>
      </c>
      <c r="L16" s="60">
        <f>+I16-I17</f>
        <v>110</v>
      </c>
      <c r="M16" s="355">
        <f>+J16-J17</f>
        <v>7628</v>
      </c>
    </row>
    <row r="17" spans="1:13">
      <c r="A17" s="356" t="s">
        <v>82</v>
      </c>
      <c r="B17" s="356"/>
      <c r="C17" s="356"/>
      <c r="D17" s="357"/>
      <c r="E17" s="358">
        <v>20</v>
      </c>
      <c r="F17" s="358"/>
      <c r="G17" s="358"/>
      <c r="H17" s="358">
        <f>+E28*G28</f>
        <v>24420</v>
      </c>
      <c r="I17" s="358">
        <v>6654</v>
      </c>
      <c r="J17" s="358">
        <v>6668</v>
      </c>
      <c r="K17" s="64">
        <v>37320</v>
      </c>
      <c r="L17" s="62"/>
      <c r="M17" s="62"/>
    </row>
    <row r="19" spans="1:13">
      <c r="C19" s="38" t="s">
        <v>36</v>
      </c>
    </row>
    <row r="21" spans="1:13">
      <c r="A21" s="38" t="s">
        <v>37</v>
      </c>
    </row>
    <row r="22" spans="1:13">
      <c r="A22" s="359" t="s">
        <v>38</v>
      </c>
      <c r="B22" s="359"/>
      <c r="C22" s="359"/>
      <c r="D22" s="360" t="s">
        <v>39</v>
      </c>
      <c r="E22" s="360" t="s">
        <v>40</v>
      </c>
      <c r="F22" s="359"/>
      <c r="G22" s="359" t="s">
        <v>41</v>
      </c>
      <c r="J22" s="361" t="s">
        <v>53</v>
      </c>
      <c r="K22" s="362">
        <v>1.2</v>
      </c>
    </row>
    <row r="23" spans="1:13">
      <c r="A23" s="38" t="s">
        <v>42</v>
      </c>
      <c r="J23" s="361" t="s">
        <v>54</v>
      </c>
      <c r="K23" s="362">
        <v>1</v>
      </c>
    </row>
    <row r="24" spans="1:13">
      <c r="A24" s="347" t="s">
        <v>237</v>
      </c>
      <c r="B24" s="347"/>
      <c r="C24" s="347"/>
      <c r="D24" s="363" t="s">
        <v>46</v>
      </c>
      <c r="E24" s="363">
        <v>62</v>
      </c>
      <c r="G24" s="38">
        <v>195</v>
      </c>
    </row>
    <row r="25" spans="1:13">
      <c r="A25" s="347"/>
      <c r="B25" s="347"/>
      <c r="C25" s="347"/>
      <c r="D25" s="363"/>
      <c r="E25" s="363"/>
      <c r="J25" s="336" t="s">
        <v>219</v>
      </c>
      <c r="K25" s="336"/>
    </row>
    <row r="26" spans="1:13">
      <c r="A26" s="347"/>
      <c r="B26" s="347"/>
      <c r="C26" s="347"/>
      <c r="D26" s="363"/>
      <c r="E26" s="363"/>
      <c r="J26" s="364" t="s">
        <v>220</v>
      </c>
      <c r="K26" s="365">
        <v>57</v>
      </c>
    </row>
    <row r="27" spans="1:13">
      <c r="A27" s="347" t="s">
        <v>48</v>
      </c>
      <c r="B27" s="347"/>
      <c r="C27" s="347"/>
      <c r="D27" s="363"/>
      <c r="E27" s="363"/>
      <c r="J27" s="364" t="s">
        <v>238</v>
      </c>
      <c r="K27" s="366">
        <v>27</v>
      </c>
    </row>
    <row r="28" spans="1:13">
      <c r="A28" s="347" t="s">
        <v>50</v>
      </c>
      <c r="B28" s="347"/>
      <c r="C28" s="347"/>
      <c r="D28" s="363" t="s">
        <v>51</v>
      </c>
      <c r="E28" s="363">
        <v>20</v>
      </c>
      <c r="G28" s="49">
        <v>1221</v>
      </c>
      <c r="J28" s="364" t="s">
        <v>239</v>
      </c>
      <c r="K28" s="367">
        <v>16</v>
      </c>
    </row>
    <row r="29" spans="1:13">
      <c r="A29" s="347" t="s">
        <v>52</v>
      </c>
      <c r="B29" s="347"/>
      <c r="C29" s="347"/>
      <c r="D29" s="363" t="s">
        <v>51</v>
      </c>
      <c r="E29" s="363">
        <v>13</v>
      </c>
      <c r="J29" s="368"/>
      <c r="K29" s="369"/>
    </row>
    <row r="30" spans="1:13">
      <c r="A30" s="347" t="s">
        <v>8</v>
      </c>
      <c r="B30" s="347"/>
      <c r="C30" s="347"/>
      <c r="D30" s="363"/>
      <c r="E30" s="363">
        <v>33</v>
      </c>
      <c r="J30" s="368"/>
      <c r="K30" s="369"/>
    </row>
    <row r="31" spans="1:13">
      <c r="A31" s="347"/>
      <c r="B31" s="347"/>
      <c r="C31" s="347"/>
      <c r="D31" s="347"/>
      <c r="E31" s="347"/>
      <c r="J31" s="368"/>
      <c r="K31" s="368"/>
    </row>
    <row r="32" spans="1:13">
      <c r="A32" s="352" t="s">
        <v>55</v>
      </c>
      <c r="B32" s="352"/>
      <c r="C32" s="352"/>
      <c r="D32" s="352"/>
      <c r="E32" s="352"/>
      <c r="F32" s="58"/>
      <c r="G32" s="58"/>
      <c r="H32" s="42" t="s">
        <v>124</v>
      </c>
    </row>
    <row r="33" spans="1:8">
      <c r="A33" s="370" t="s">
        <v>85</v>
      </c>
      <c r="B33" s="370"/>
      <c r="C33" s="370"/>
      <c r="D33" s="370"/>
      <c r="E33" s="370"/>
      <c r="F33" s="68"/>
      <c r="G33" s="69">
        <v>608</v>
      </c>
      <c r="H33" s="49">
        <v>1502</v>
      </c>
    </row>
    <row r="34" spans="1:8">
      <c r="A34" s="370" t="s">
        <v>60</v>
      </c>
      <c r="B34" s="370"/>
      <c r="C34" s="370"/>
      <c r="D34" s="370"/>
      <c r="E34" s="370"/>
      <c r="F34" s="68"/>
      <c r="G34" s="70">
        <v>180</v>
      </c>
      <c r="H34" s="49"/>
    </row>
    <row r="35" spans="1:8">
      <c r="A35" s="370" t="s">
        <v>86</v>
      </c>
      <c r="B35" s="370"/>
      <c r="C35" s="370"/>
      <c r="D35" s="370"/>
      <c r="E35" s="370"/>
      <c r="F35" s="68"/>
      <c r="G35" s="70">
        <v>109440</v>
      </c>
      <c r="H35" s="49">
        <v>270426</v>
      </c>
    </row>
    <row r="36" spans="1:8">
      <c r="A36" s="370" t="s">
        <v>87</v>
      </c>
      <c r="B36" s="370"/>
      <c r="C36" s="370"/>
      <c r="D36" s="370"/>
      <c r="E36" s="370"/>
      <c r="F36" s="68"/>
      <c r="G36" s="70">
        <v>48099</v>
      </c>
      <c r="H36" s="49">
        <v>118853</v>
      </c>
    </row>
    <row r="37" spans="1:8">
      <c r="A37" s="370" t="s">
        <v>88</v>
      </c>
      <c r="B37" s="370"/>
      <c r="C37" s="370"/>
      <c r="D37" s="370"/>
      <c r="E37" s="370"/>
      <c r="F37" s="68"/>
      <c r="G37" s="70">
        <v>71698</v>
      </c>
      <c r="H37" s="49">
        <v>177166</v>
      </c>
    </row>
    <row r="38" spans="1:8">
      <c r="A38" s="370"/>
      <c r="B38" s="370"/>
      <c r="C38" s="370"/>
      <c r="D38" s="370"/>
      <c r="E38" s="370"/>
      <c r="F38" s="68"/>
      <c r="G38" s="70"/>
    </row>
    <row r="39" spans="1:8">
      <c r="A39" s="370" t="s">
        <v>89</v>
      </c>
      <c r="B39" s="370"/>
      <c r="C39" s="370"/>
      <c r="D39" s="370"/>
      <c r="E39" s="370"/>
      <c r="F39" s="68"/>
      <c r="G39" s="70">
        <v>100.89</v>
      </c>
    </row>
    <row r="40" spans="1:8">
      <c r="A40" s="356" t="s">
        <v>90</v>
      </c>
      <c r="B40" s="356"/>
      <c r="C40" s="356"/>
      <c r="D40" s="356"/>
      <c r="E40" s="356"/>
      <c r="F40" s="62"/>
      <c r="G40" s="71">
        <v>62.08</v>
      </c>
    </row>
    <row r="41" spans="1:8">
      <c r="A41" s="347"/>
      <c r="B41" s="347"/>
      <c r="C41" s="347"/>
      <c r="D41" s="347"/>
      <c r="E41" s="347"/>
    </row>
    <row r="42" spans="1:8">
      <c r="C42" s="371"/>
      <c r="D42" s="371"/>
      <c r="E42" s="273"/>
    </row>
    <row r="51" spans="7:7">
      <c r="G51" s="38" t="s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topLeftCell="A34" workbookViewId="0">
      <selection activeCell="H40" sqref="H40"/>
    </sheetView>
  </sheetViews>
  <sheetFormatPr defaultColWidth="9.140625" defaultRowHeight="15"/>
  <cols>
    <col min="1" max="1" width="8.7109375" style="38" customWidth="1"/>
    <col min="2" max="2" width="7.140625" style="38" customWidth="1"/>
    <col min="3" max="3" width="10" style="38" customWidth="1"/>
    <col min="4" max="4" width="7.42578125" style="38" customWidth="1"/>
    <col min="5" max="5" width="9.140625" style="38"/>
    <col min="6" max="6" width="6.5703125" style="38" customWidth="1"/>
    <col min="7" max="7" width="9.42578125" style="38" customWidth="1"/>
    <col min="8" max="8" width="10.5703125" style="38" customWidth="1"/>
    <col min="9" max="9" width="4.42578125" style="38" customWidth="1"/>
    <col min="10" max="10" width="11" style="38" customWidth="1"/>
    <col min="11" max="11" width="9.28515625" style="38" customWidth="1"/>
    <col min="12" max="12" width="6.140625" style="38" customWidth="1"/>
    <col min="13" max="13" width="6" style="38" customWidth="1"/>
    <col min="14" max="16384" width="9.140625" style="38"/>
  </cols>
  <sheetData>
    <row r="1" spans="1:15">
      <c r="A1" s="14" t="s">
        <v>0</v>
      </c>
      <c r="B1" s="14" t="s">
        <v>240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>
      <c r="A2" s="14"/>
      <c r="B2" s="14" t="s">
        <v>95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>
      <c r="A3" s="14"/>
      <c r="B3" s="14" t="s">
        <v>241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5">
      <c r="A4" s="318" t="s">
        <v>6</v>
      </c>
      <c r="B4" s="318"/>
      <c r="C4" s="318"/>
      <c r="D4" s="319" t="s">
        <v>7</v>
      </c>
      <c r="E4" s="319" t="s">
        <v>8</v>
      </c>
      <c r="F4" s="319" t="s">
        <v>9</v>
      </c>
      <c r="G4" s="319" t="s">
        <v>10</v>
      </c>
      <c r="H4" s="319" t="s">
        <v>11</v>
      </c>
      <c r="I4" s="319" t="s">
        <v>12</v>
      </c>
      <c r="J4" s="319" t="s">
        <v>13</v>
      </c>
      <c r="K4" s="319" t="s">
        <v>14</v>
      </c>
      <c r="L4" s="320" t="s">
        <v>71</v>
      </c>
      <c r="M4" s="319"/>
      <c r="N4" s="14"/>
    </row>
    <row r="5" spans="1:15">
      <c r="A5" s="11"/>
      <c r="B5" s="11"/>
      <c r="C5" s="11"/>
      <c r="D5" s="12" t="s">
        <v>16</v>
      </c>
      <c r="E5" s="12" t="s">
        <v>17</v>
      </c>
      <c r="F5" s="12" t="s">
        <v>17</v>
      </c>
      <c r="G5" s="12" t="s">
        <v>18</v>
      </c>
      <c r="H5" s="12" t="s">
        <v>19</v>
      </c>
      <c r="I5" s="12" t="s">
        <v>20</v>
      </c>
      <c r="J5" s="12" t="s">
        <v>19</v>
      </c>
      <c r="K5" s="12" t="s">
        <v>19</v>
      </c>
      <c r="L5" s="322" t="s">
        <v>12</v>
      </c>
      <c r="M5" s="12" t="s">
        <v>13</v>
      </c>
      <c r="N5" s="14"/>
    </row>
    <row r="6" spans="1:15">
      <c r="A6" s="11"/>
      <c r="B6" s="11"/>
      <c r="C6" s="11"/>
      <c r="D6" s="12" t="s">
        <v>22</v>
      </c>
      <c r="E6" s="12"/>
      <c r="F6" s="12"/>
      <c r="G6" s="12"/>
      <c r="H6" s="12" t="s">
        <v>23</v>
      </c>
      <c r="I6" s="12" t="s">
        <v>19</v>
      </c>
      <c r="J6" s="12" t="s">
        <v>23</v>
      </c>
      <c r="K6" s="12" t="s">
        <v>23</v>
      </c>
      <c r="L6" s="12"/>
      <c r="M6" s="12"/>
      <c r="N6" s="14"/>
    </row>
    <row r="7" spans="1:15">
      <c r="A7" s="324"/>
      <c r="B7" s="324"/>
      <c r="C7" s="324"/>
      <c r="D7" s="325"/>
      <c r="E7" s="325"/>
      <c r="F7" s="325"/>
      <c r="G7" s="325"/>
      <c r="H7" s="325"/>
      <c r="I7" s="325" t="s">
        <v>23</v>
      </c>
      <c r="J7" s="325"/>
      <c r="K7" s="325"/>
      <c r="L7" s="325"/>
      <c r="M7" s="325"/>
      <c r="N7" s="14"/>
    </row>
    <row r="8" spans="1:15">
      <c r="A8" s="14" t="s">
        <v>97</v>
      </c>
      <c r="B8" s="14"/>
      <c r="C8" s="14"/>
      <c r="D8" s="18"/>
      <c r="E8" s="16"/>
      <c r="F8" s="16"/>
      <c r="G8" s="17"/>
      <c r="H8" s="16">
        <f t="shared" ref="H8:H16" si="0">SUM(E8*G8)</f>
        <v>0</v>
      </c>
      <c r="I8" s="14"/>
      <c r="J8" s="16"/>
      <c r="K8" s="16">
        <f t="shared" ref="K8:K16" si="1">SUM(H8:J8)</f>
        <v>0</v>
      </c>
      <c r="L8" s="14"/>
      <c r="M8" s="14"/>
      <c r="N8" s="14"/>
    </row>
    <row r="9" spans="1:15">
      <c r="A9" s="14" t="s">
        <v>73</v>
      </c>
      <c r="B9" s="14"/>
      <c r="C9" s="14"/>
      <c r="D9" s="18">
        <v>73</v>
      </c>
      <c r="E9" s="16">
        <v>7.22</v>
      </c>
      <c r="F9" s="16">
        <f>3.93+1.63</f>
        <v>5.5600000000000005</v>
      </c>
      <c r="G9" s="17">
        <v>1421</v>
      </c>
      <c r="H9" s="16">
        <v>8668</v>
      </c>
      <c r="J9" s="16"/>
      <c r="K9" s="16">
        <f t="shared" si="1"/>
        <v>8668</v>
      </c>
      <c r="L9" s="16">
        <f ca="1">+I17-I18</f>
        <v>0</v>
      </c>
      <c r="M9" s="14"/>
      <c r="N9" s="14"/>
      <c r="O9" s="49"/>
    </row>
    <row r="10" spans="1:15">
      <c r="A10" s="14" t="s">
        <v>409</v>
      </c>
      <c r="B10" s="14"/>
      <c r="C10" s="14"/>
      <c r="D10" s="18">
        <v>53</v>
      </c>
      <c r="E10" s="16">
        <v>3.78</v>
      </c>
      <c r="F10" s="16">
        <f>1.61+0.19</f>
        <v>1.8</v>
      </c>
      <c r="G10" s="17">
        <v>1359</v>
      </c>
      <c r="H10" s="16">
        <v>815</v>
      </c>
      <c r="I10" s="14">
        <v>6335</v>
      </c>
      <c r="J10" s="16"/>
      <c r="K10" s="16">
        <f t="shared" si="1"/>
        <v>7150</v>
      </c>
      <c r="L10" s="14"/>
      <c r="M10" s="14"/>
      <c r="N10" s="14"/>
      <c r="O10" s="49"/>
    </row>
    <row r="11" spans="1:15">
      <c r="A11" s="14" t="s">
        <v>26</v>
      </c>
      <c r="B11" s="14"/>
      <c r="C11" s="14"/>
      <c r="D11" s="18">
        <v>100</v>
      </c>
      <c r="E11" s="16">
        <v>2.62</v>
      </c>
      <c r="F11" s="16">
        <f>1.62+0.67</f>
        <v>2.29</v>
      </c>
      <c r="G11" s="17">
        <v>1473</v>
      </c>
      <c r="H11" s="16">
        <v>6116</v>
      </c>
      <c r="I11" s="14"/>
      <c r="J11" s="16">
        <v>1084</v>
      </c>
      <c r="K11" s="16">
        <f t="shared" si="1"/>
        <v>7200</v>
      </c>
      <c r="L11" s="14"/>
      <c r="M11" s="16">
        <f>+J17-J18</f>
        <v>521</v>
      </c>
      <c r="N11" s="14"/>
      <c r="O11" s="49"/>
    </row>
    <row r="12" spans="1:15">
      <c r="A12" s="14" t="s">
        <v>104</v>
      </c>
      <c r="B12" s="14"/>
      <c r="C12" s="14"/>
      <c r="D12" s="18">
        <v>73</v>
      </c>
      <c r="E12" s="16">
        <v>0.46</v>
      </c>
      <c r="F12" s="16">
        <f>0.37+0.07</f>
        <v>0.44</v>
      </c>
      <c r="G12" s="17">
        <v>1500</v>
      </c>
      <c r="H12" s="16">
        <v>680</v>
      </c>
      <c r="I12" s="14"/>
      <c r="J12" s="16">
        <v>930</v>
      </c>
      <c r="K12" s="16">
        <f t="shared" si="1"/>
        <v>1610</v>
      </c>
      <c r="L12" s="14"/>
      <c r="M12" s="14"/>
      <c r="N12" s="14"/>
      <c r="O12" s="49"/>
    </row>
    <row r="13" spans="1:15">
      <c r="A13" s="14" t="s">
        <v>109</v>
      </c>
      <c r="B13" s="14"/>
      <c r="C13" s="14"/>
      <c r="D13" s="18">
        <v>100</v>
      </c>
      <c r="E13" s="16">
        <v>10.029999999999999</v>
      </c>
      <c r="F13" s="16">
        <f>3.34+3.47</f>
        <v>6.8100000000000005</v>
      </c>
      <c r="G13" s="17">
        <v>1500</v>
      </c>
      <c r="H13" s="16">
        <v>12172</v>
      </c>
      <c r="I13" s="16"/>
      <c r="J13" s="16"/>
      <c r="K13" s="16">
        <f t="shared" si="1"/>
        <v>12172</v>
      </c>
      <c r="L13" s="14"/>
      <c r="M13" s="14"/>
      <c r="N13" s="14"/>
      <c r="O13" s="49"/>
    </row>
    <row r="14" spans="1:15">
      <c r="A14" s="14" t="s">
        <v>242</v>
      </c>
      <c r="B14" s="14"/>
      <c r="C14" s="14"/>
      <c r="D14" s="18">
        <v>67</v>
      </c>
      <c r="E14" s="16"/>
      <c r="F14" s="16"/>
      <c r="G14" s="17"/>
      <c r="H14" s="16">
        <v>6523</v>
      </c>
      <c r="I14" s="16"/>
      <c r="J14" s="16"/>
      <c r="K14" s="16">
        <f t="shared" si="1"/>
        <v>6523</v>
      </c>
      <c r="L14" s="14"/>
      <c r="M14" s="14"/>
      <c r="N14" s="14"/>
      <c r="O14" s="49"/>
    </row>
    <row r="15" spans="1:15">
      <c r="A15" s="14" t="s">
        <v>243</v>
      </c>
      <c r="B15" s="14"/>
      <c r="C15" s="14"/>
      <c r="D15" s="15" t="s">
        <v>386</v>
      </c>
      <c r="E15" s="16"/>
      <c r="F15" s="16"/>
      <c r="G15" s="17"/>
      <c r="H15" s="16">
        <f t="shared" si="0"/>
        <v>0</v>
      </c>
      <c r="I15" s="372" t="s">
        <v>410</v>
      </c>
      <c r="J15" s="16"/>
      <c r="K15" s="16">
        <f t="shared" si="1"/>
        <v>0</v>
      </c>
      <c r="L15" s="372"/>
      <c r="M15" s="14"/>
      <c r="N15" s="14"/>
    </row>
    <row r="16" spans="1:15">
      <c r="A16" s="14" t="s">
        <v>244</v>
      </c>
      <c r="B16" s="14"/>
      <c r="C16" s="14"/>
      <c r="D16" s="18">
        <v>100</v>
      </c>
      <c r="E16" s="16">
        <v>2.42</v>
      </c>
      <c r="F16" s="16">
        <f>1.1+1.9</f>
        <v>3</v>
      </c>
      <c r="G16" s="17"/>
      <c r="H16" s="16">
        <v>2367</v>
      </c>
      <c r="I16" s="16"/>
      <c r="J16" s="16"/>
      <c r="K16" s="16">
        <f t="shared" si="1"/>
        <v>2367</v>
      </c>
      <c r="L16" s="14">
        <v>0</v>
      </c>
      <c r="M16" s="14"/>
      <c r="N16" s="14"/>
    </row>
    <row r="17" spans="1:14">
      <c r="A17" s="318" t="s">
        <v>81</v>
      </c>
      <c r="B17" s="318"/>
      <c r="C17" s="318"/>
      <c r="D17" s="329"/>
      <c r="E17" s="330">
        <f>SUM(E8:E16)</f>
        <v>26.53</v>
      </c>
      <c r="F17" s="330">
        <f>SUM(F8:F16)</f>
        <v>19.899999999999999</v>
      </c>
      <c r="G17" s="330"/>
      <c r="H17" s="330">
        <f>SUM(H8:H16)</f>
        <v>37341</v>
      </c>
      <c r="I17" s="330">
        <v>6335</v>
      </c>
      <c r="J17" s="330">
        <v>2014</v>
      </c>
      <c r="K17" s="330">
        <v>45690</v>
      </c>
      <c r="L17" s="318">
        <f ca="1">SUM(L8:L16)</f>
        <v>0</v>
      </c>
      <c r="M17" s="318">
        <f>SUM(M8:M16)</f>
        <v>521</v>
      </c>
      <c r="N17" s="14"/>
    </row>
    <row r="18" spans="1:14">
      <c r="A18" s="324" t="s">
        <v>82</v>
      </c>
      <c r="B18" s="324"/>
      <c r="C18" s="324"/>
      <c r="D18" s="331"/>
      <c r="E18" s="332">
        <f>SUM(E17-F17)</f>
        <v>6.6300000000000026</v>
      </c>
      <c r="F18" s="332"/>
      <c r="G18" s="332"/>
      <c r="H18" s="332">
        <v>7728</v>
      </c>
      <c r="I18" s="324">
        <f ca="1">I17-L17</f>
        <v>6335</v>
      </c>
      <c r="J18" s="332">
        <v>1493</v>
      </c>
      <c r="K18" s="332">
        <f ca="1">SUM(H18:J18)</f>
        <v>15556</v>
      </c>
      <c r="L18" s="324"/>
      <c r="M18" s="324"/>
      <c r="N18" s="14"/>
    </row>
    <row r="19" spans="1:1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>
      <c r="A20" s="14"/>
      <c r="B20" s="14"/>
      <c r="C20" s="14" t="s">
        <v>36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>
      <c r="A22" s="14" t="s">
        <v>37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>
      <c r="A23" s="333" t="s">
        <v>38</v>
      </c>
      <c r="B23" s="333"/>
      <c r="C23" s="333"/>
      <c r="D23" s="333" t="s">
        <v>39</v>
      </c>
      <c r="E23" s="333" t="s">
        <v>40</v>
      </c>
      <c r="F23" s="333"/>
      <c r="G23" s="333" t="s">
        <v>41</v>
      </c>
      <c r="H23" s="14"/>
      <c r="I23" s="14"/>
      <c r="J23" s="14"/>
      <c r="K23" s="14"/>
      <c r="L23" s="14"/>
      <c r="M23" s="14"/>
      <c r="N23" s="14"/>
    </row>
    <row r="24" spans="1:14">
      <c r="A24" s="14" t="s">
        <v>42</v>
      </c>
      <c r="B24" s="14"/>
      <c r="C24" s="14"/>
      <c r="D24" s="14"/>
      <c r="E24" s="14"/>
      <c r="F24" s="14"/>
      <c r="G24" s="14"/>
      <c r="H24" s="14"/>
      <c r="I24" s="14" t="s">
        <v>53</v>
      </c>
      <c r="J24" s="14">
        <v>1.0900000000000001</v>
      </c>
      <c r="K24" s="14"/>
      <c r="L24" s="14"/>
      <c r="M24" s="14"/>
      <c r="N24" s="16"/>
    </row>
    <row r="25" spans="1:14">
      <c r="A25" s="14" t="s">
        <v>83</v>
      </c>
      <c r="B25" s="14"/>
      <c r="C25" s="14"/>
      <c r="D25" s="14" t="s">
        <v>46</v>
      </c>
      <c r="E25" s="14">
        <v>5.4</v>
      </c>
      <c r="F25" s="14"/>
      <c r="G25" s="16">
        <v>200.7</v>
      </c>
      <c r="H25" s="14"/>
      <c r="I25" s="14" t="s">
        <v>54</v>
      </c>
      <c r="J25" s="14">
        <v>1</v>
      </c>
      <c r="K25" s="14"/>
      <c r="L25" s="14"/>
      <c r="M25" s="14"/>
      <c r="N25" s="14"/>
    </row>
    <row r="26" spans="1:14">
      <c r="A26" s="14"/>
      <c r="B26" s="14"/>
      <c r="C26" s="14"/>
      <c r="D26" s="14"/>
      <c r="E26" s="14"/>
      <c r="F26" s="14"/>
      <c r="G26" s="14"/>
      <c r="H26" s="14"/>
      <c r="I26" s="11"/>
      <c r="L26" s="14"/>
      <c r="M26" s="14"/>
      <c r="N26" s="14"/>
    </row>
    <row r="27" spans="1:14">
      <c r="A27" s="14" t="s">
        <v>48</v>
      </c>
      <c r="B27" s="14"/>
      <c r="C27" s="14"/>
      <c r="D27" s="14"/>
      <c r="E27" s="14"/>
      <c r="F27" s="14"/>
      <c r="G27" s="14"/>
      <c r="H27" s="14"/>
      <c r="I27" s="11"/>
      <c r="L27" s="14"/>
      <c r="M27" s="14"/>
      <c r="N27" s="14"/>
    </row>
    <row r="28" spans="1:14">
      <c r="A28" s="14" t="s">
        <v>50</v>
      </c>
      <c r="B28" s="14"/>
      <c r="C28" s="14"/>
      <c r="D28" s="14" t="s">
        <v>51</v>
      </c>
      <c r="E28" s="14">
        <v>6</v>
      </c>
      <c r="F28" s="14"/>
      <c r="G28" s="16">
        <v>1288</v>
      </c>
      <c r="H28" s="14"/>
      <c r="I28" s="14"/>
      <c r="J28" s="337" t="s">
        <v>245</v>
      </c>
      <c r="K28" s="338">
        <f>19/30*100</f>
        <v>63.333333333333329</v>
      </c>
      <c r="L28" s="14"/>
      <c r="M28" s="14"/>
      <c r="N28" s="14"/>
    </row>
    <row r="29" spans="1:14">
      <c r="A29" s="14" t="s">
        <v>52</v>
      </c>
      <c r="B29" s="14"/>
      <c r="C29" s="14"/>
      <c r="D29" s="14" t="s">
        <v>51</v>
      </c>
      <c r="E29" s="14">
        <v>23</v>
      </c>
      <c r="F29" s="14"/>
      <c r="G29" s="14"/>
      <c r="H29" s="14"/>
      <c r="I29" s="14"/>
      <c r="J29" s="337" t="s">
        <v>246</v>
      </c>
      <c r="K29" s="337">
        <f>9/30*100</f>
        <v>30</v>
      </c>
      <c r="L29" s="14"/>
      <c r="M29" s="14"/>
      <c r="N29" s="14"/>
    </row>
    <row r="30" spans="1:14">
      <c r="A30" s="14" t="s">
        <v>8</v>
      </c>
      <c r="B30" s="14"/>
      <c r="C30" s="14"/>
      <c r="D30" s="14"/>
      <c r="E30" s="14">
        <f>SUM(E28:E29)</f>
        <v>29</v>
      </c>
      <c r="F30" s="14"/>
      <c r="G30" s="14"/>
      <c r="H30" s="14"/>
      <c r="I30" s="14"/>
      <c r="J30" s="337" t="s">
        <v>247</v>
      </c>
      <c r="K30" s="338">
        <f>2/30*100</f>
        <v>6.666666666666667</v>
      </c>
      <c r="L30" s="14"/>
      <c r="M30" s="14"/>
      <c r="N30" s="14"/>
    </row>
    <row r="31" spans="1:14">
      <c r="A31" s="14"/>
      <c r="B31" s="14"/>
      <c r="C31" s="14"/>
      <c r="D31" s="14"/>
      <c r="E31" s="14"/>
      <c r="F31" s="14"/>
      <c r="G31" s="14"/>
      <c r="H31" s="14"/>
      <c r="I31" s="14"/>
      <c r="J31" s="328"/>
      <c r="K31" s="374"/>
      <c r="L31" s="14"/>
      <c r="M31" s="14"/>
      <c r="N31" s="14"/>
    </row>
    <row r="32" spans="1:14">
      <c r="A32" s="318" t="s">
        <v>115</v>
      </c>
      <c r="B32" s="318"/>
      <c r="C32" s="318" t="s">
        <v>116</v>
      </c>
      <c r="D32" s="318"/>
      <c r="E32" s="318"/>
      <c r="F32" s="318"/>
      <c r="G32" s="318"/>
      <c r="H32" s="14"/>
      <c r="I32" s="14"/>
      <c r="J32" s="14"/>
      <c r="K32" s="14"/>
      <c r="L32" s="14"/>
      <c r="M32" s="14"/>
      <c r="N32" s="14"/>
    </row>
    <row r="33" spans="1:16">
      <c r="A33" s="11" t="s">
        <v>229</v>
      </c>
      <c r="B33" s="322" t="s">
        <v>119</v>
      </c>
      <c r="C33" s="375">
        <v>73</v>
      </c>
      <c r="D33" s="11" t="s">
        <v>46</v>
      </c>
      <c r="E33" s="11">
        <v>31</v>
      </c>
      <c r="F33" s="11"/>
      <c r="G33" s="147">
        <v>30</v>
      </c>
      <c r="H33" s="14"/>
      <c r="I33" s="14"/>
      <c r="J33" s="14"/>
      <c r="K33" s="14"/>
      <c r="L33" s="14"/>
      <c r="M33" s="14"/>
      <c r="N33" s="14"/>
    </row>
    <row r="34" spans="1:16">
      <c r="A34" s="318" t="s">
        <v>55</v>
      </c>
      <c r="B34" s="318"/>
      <c r="C34" s="318"/>
      <c r="D34" s="318"/>
      <c r="E34" s="318"/>
      <c r="F34" s="318"/>
      <c r="G34" s="376" t="s">
        <v>123</v>
      </c>
      <c r="H34" s="341" t="s">
        <v>124</v>
      </c>
      <c r="I34" s="14"/>
      <c r="J34" s="14"/>
      <c r="K34" s="14"/>
      <c r="L34" s="14"/>
      <c r="M34" s="14"/>
      <c r="N34" s="14"/>
    </row>
    <row r="35" spans="1:16">
      <c r="A35" s="11" t="s">
        <v>85</v>
      </c>
      <c r="B35" s="11"/>
      <c r="C35" s="11"/>
      <c r="D35" s="11"/>
      <c r="E35" s="11"/>
      <c r="F35" s="11"/>
      <c r="G35" s="342">
        <v>523</v>
      </c>
      <c r="H35" s="16">
        <f>G35*2.471</f>
        <v>1292.3330000000001</v>
      </c>
      <c r="I35" s="14"/>
      <c r="J35" s="14"/>
      <c r="K35" s="14"/>
      <c r="L35" s="14"/>
      <c r="M35" s="14"/>
      <c r="N35" s="14"/>
    </row>
    <row r="36" spans="1:16">
      <c r="A36" s="11" t="s">
        <v>60</v>
      </c>
      <c r="B36" s="11"/>
      <c r="C36" s="11"/>
      <c r="D36" s="11"/>
      <c r="E36" s="11"/>
      <c r="F36" s="11"/>
      <c r="G36" s="343">
        <v>151.5</v>
      </c>
      <c r="H36" s="16"/>
      <c r="I36" s="14"/>
      <c r="J36" s="14"/>
      <c r="K36" s="14"/>
      <c r="L36" s="14"/>
      <c r="M36" s="14"/>
      <c r="N36" s="14"/>
    </row>
    <row r="37" spans="1:16">
      <c r="A37" s="11" t="s">
        <v>86</v>
      </c>
      <c r="B37" s="11"/>
      <c r="C37" s="11"/>
      <c r="D37" s="11"/>
      <c r="E37" s="11"/>
      <c r="F37" s="11"/>
      <c r="G37" s="343">
        <v>79235</v>
      </c>
      <c r="H37" s="16">
        <v>195790</v>
      </c>
      <c r="I37" s="14"/>
      <c r="J37" s="14"/>
      <c r="K37" s="14"/>
      <c r="L37" s="14"/>
      <c r="M37" s="14"/>
      <c r="N37" s="14"/>
    </row>
    <row r="38" spans="1:16">
      <c r="A38" s="11" t="s">
        <v>87</v>
      </c>
      <c r="B38" s="11"/>
      <c r="C38" s="11"/>
      <c r="D38" s="11"/>
      <c r="E38" s="11"/>
      <c r="F38" s="11"/>
      <c r="G38" s="343">
        <v>33545</v>
      </c>
      <c r="H38" s="16">
        <v>82890</v>
      </c>
      <c r="I38" s="14"/>
      <c r="J38" s="14"/>
      <c r="K38" s="14"/>
      <c r="L38" s="14"/>
      <c r="M38" s="14"/>
      <c r="N38" s="14"/>
    </row>
    <row r="39" spans="1:16">
      <c r="A39" s="11" t="s">
        <v>88</v>
      </c>
      <c r="B39" s="11"/>
      <c r="C39" s="11"/>
      <c r="D39" s="11"/>
      <c r="E39" s="11"/>
      <c r="F39" s="11"/>
      <c r="G39" s="343">
        <v>63976</v>
      </c>
      <c r="H39" s="16">
        <v>157351</v>
      </c>
      <c r="I39" s="14"/>
      <c r="J39" s="14"/>
      <c r="K39" s="14"/>
      <c r="L39" s="14"/>
      <c r="M39" s="14"/>
      <c r="N39" s="14"/>
    </row>
    <row r="40" spans="1:16">
      <c r="A40" s="11" t="s">
        <v>411</v>
      </c>
      <c r="B40" s="11"/>
      <c r="C40" s="11"/>
      <c r="D40" s="11"/>
      <c r="E40" s="11"/>
      <c r="F40" s="11"/>
      <c r="G40" s="343">
        <f>SUM(K17/G35)</f>
        <v>87.361376673040155</v>
      </c>
      <c r="H40" s="14"/>
      <c r="I40" s="14"/>
      <c r="J40" s="14"/>
      <c r="K40" s="14"/>
      <c r="L40" s="14"/>
      <c r="M40" s="14"/>
      <c r="N40" s="14"/>
    </row>
    <row r="41" spans="1:16">
      <c r="A41" s="324" t="s">
        <v>412</v>
      </c>
      <c r="B41" s="324"/>
      <c r="C41" s="324"/>
      <c r="D41" s="324"/>
      <c r="E41" s="324"/>
      <c r="F41" s="324"/>
      <c r="G41" s="344">
        <v>29.74</v>
      </c>
      <c r="H41" s="14"/>
      <c r="I41" s="14"/>
      <c r="J41" s="14"/>
      <c r="K41" s="14"/>
      <c r="L41" s="14"/>
      <c r="M41" s="14"/>
      <c r="N41" s="14"/>
    </row>
    <row r="42" spans="1:16">
      <c r="A42" s="14" t="s">
        <v>91</v>
      </c>
      <c r="B42" s="14"/>
      <c r="C42" s="14"/>
      <c r="D42" s="377" t="s">
        <v>248</v>
      </c>
      <c r="E42" s="377"/>
      <c r="F42" s="377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68"/>
      <c r="P45" s="68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68"/>
      <c r="P46" s="68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68"/>
      <c r="P47" s="68"/>
    </row>
    <row r="48" spans="1:1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8"/>
      <c r="P48" s="68"/>
    </row>
    <row r="49" spans="1:16">
      <c r="A49" s="68"/>
      <c r="B49" s="68"/>
      <c r="C49" s="68"/>
      <c r="D49" s="323"/>
      <c r="E49" s="323"/>
      <c r="F49" s="323"/>
      <c r="G49" s="323"/>
      <c r="H49" s="323"/>
      <c r="I49" s="323"/>
      <c r="J49" s="323"/>
      <c r="K49" s="323"/>
      <c r="L49" s="346"/>
      <c r="M49" s="323"/>
      <c r="N49" s="68"/>
      <c r="O49" s="68"/>
      <c r="P49" s="68"/>
    </row>
    <row r="50" spans="1:16">
      <c r="A50" s="68"/>
      <c r="B50" s="68"/>
      <c r="C50" s="68"/>
      <c r="D50" s="323"/>
      <c r="E50" s="323"/>
      <c r="F50" s="323"/>
      <c r="G50" s="323"/>
      <c r="H50" s="323"/>
      <c r="I50" s="323"/>
      <c r="J50" s="323"/>
      <c r="K50" s="323"/>
      <c r="L50" s="346"/>
      <c r="M50" s="323"/>
      <c r="N50" s="68"/>
      <c r="O50" s="68"/>
      <c r="P50" s="68"/>
    </row>
    <row r="51" spans="1:16">
      <c r="A51" s="68"/>
      <c r="B51" s="68"/>
      <c r="C51" s="68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68"/>
      <c r="O51" s="68"/>
      <c r="P51" s="68"/>
    </row>
    <row r="52" spans="1:16">
      <c r="A52" s="68"/>
      <c r="B52" s="68"/>
      <c r="C52" s="68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68"/>
      <c r="O52" s="68"/>
      <c r="P52" s="68"/>
    </row>
    <row r="53" spans="1:16">
      <c r="A53" s="68"/>
      <c r="B53" s="68"/>
      <c r="C53" s="68"/>
      <c r="D53" s="378"/>
      <c r="E53" s="379"/>
      <c r="F53" s="379"/>
      <c r="G53" s="380"/>
      <c r="H53" s="379"/>
      <c r="I53" s="68"/>
      <c r="J53" s="379"/>
      <c r="K53" s="379"/>
      <c r="L53" s="68"/>
      <c r="M53" s="68"/>
      <c r="N53" s="68"/>
      <c r="O53" s="379"/>
      <c r="P53" s="68"/>
    </row>
    <row r="54" spans="1:16">
      <c r="A54" s="68"/>
      <c r="B54" s="68"/>
      <c r="C54" s="68"/>
      <c r="D54" s="378"/>
      <c r="E54" s="379"/>
      <c r="F54" s="379"/>
      <c r="G54" s="380"/>
      <c r="H54" s="379"/>
      <c r="I54" s="379"/>
      <c r="J54" s="379"/>
      <c r="K54" s="379"/>
      <c r="L54" s="379"/>
      <c r="M54" s="68"/>
      <c r="N54" s="68"/>
      <c r="O54" s="379"/>
      <c r="P54" s="68"/>
    </row>
    <row r="55" spans="1:16">
      <c r="A55" s="67"/>
      <c r="B55" s="68"/>
      <c r="C55" s="68"/>
      <c r="D55" s="378"/>
      <c r="E55" s="379"/>
      <c r="F55" s="379"/>
      <c r="G55" s="380"/>
      <c r="H55" s="379"/>
      <c r="I55" s="68"/>
      <c r="J55" s="381"/>
      <c r="K55" s="379"/>
      <c r="L55" s="68"/>
      <c r="M55" s="68"/>
      <c r="N55" s="68"/>
      <c r="O55" s="379"/>
      <c r="P55" s="68"/>
    </row>
    <row r="56" spans="1:16">
      <c r="A56" s="67"/>
      <c r="B56" s="68"/>
      <c r="C56" s="68"/>
      <c r="D56" s="378"/>
      <c r="E56" s="379"/>
      <c r="F56" s="379"/>
      <c r="G56" s="380"/>
      <c r="H56" s="379"/>
      <c r="I56" s="68"/>
      <c r="J56" s="381"/>
      <c r="K56" s="379"/>
      <c r="L56" s="68"/>
      <c r="M56" s="68"/>
      <c r="N56" s="68"/>
      <c r="O56" s="68"/>
      <c r="P56" s="68"/>
    </row>
    <row r="57" spans="1:16">
      <c r="A57" s="68"/>
      <c r="B57" s="68"/>
      <c r="C57" s="68"/>
      <c r="D57" s="378"/>
      <c r="E57" s="379"/>
      <c r="F57" s="379"/>
      <c r="G57" s="380"/>
      <c r="H57" s="379"/>
      <c r="I57" s="68"/>
      <c r="J57" s="382"/>
      <c r="K57" s="379"/>
      <c r="L57" s="68"/>
      <c r="M57" s="68"/>
      <c r="N57" s="68"/>
      <c r="O57" s="68"/>
      <c r="P57" s="68"/>
    </row>
    <row r="58" spans="1:16">
      <c r="A58" s="68"/>
      <c r="B58" s="68"/>
      <c r="C58" s="68"/>
      <c r="D58" s="378"/>
      <c r="E58" s="379"/>
      <c r="F58" s="379"/>
      <c r="G58" s="380"/>
      <c r="H58" s="379"/>
      <c r="I58" s="379"/>
      <c r="J58" s="383"/>
      <c r="K58" s="379"/>
      <c r="L58" s="68"/>
      <c r="M58" s="68"/>
      <c r="N58" s="68"/>
      <c r="O58" s="68"/>
      <c r="P58" s="68"/>
    </row>
    <row r="59" spans="1:16">
      <c r="A59" s="68"/>
      <c r="B59" s="68"/>
      <c r="C59" s="68"/>
      <c r="D59" s="378"/>
      <c r="E59" s="382"/>
      <c r="F59" s="382"/>
      <c r="G59" s="380"/>
      <c r="H59" s="379"/>
      <c r="I59" s="68"/>
      <c r="J59" s="379"/>
      <c r="K59" s="379"/>
      <c r="L59" s="68"/>
      <c r="M59" s="68"/>
      <c r="N59" s="68"/>
      <c r="O59" s="68"/>
      <c r="P59" s="68"/>
    </row>
    <row r="60" spans="1:16">
      <c r="A60" s="68"/>
      <c r="B60" s="68"/>
      <c r="C60" s="68"/>
      <c r="D60" s="378"/>
      <c r="E60" s="379"/>
      <c r="F60" s="379"/>
      <c r="G60" s="380"/>
      <c r="H60" s="379"/>
      <c r="I60" s="384"/>
      <c r="J60" s="379"/>
      <c r="K60" s="379"/>
      <c r="L60" s="384"/>
      <c r="M60" s="68"/>
      <c r="N60" s="68"/>
      <c r="O60" s="68"/>
      <c r="P60" s="68"/>
    </row>
    <row r="61" spans="1:16">
      <c r="A61" s="68"/>
      <c r="B61" s="68"/>
      <c r="C61" s="68"/>
      <c r="D61" s="378"/>
      <c r="E61" s="379"/>
      <c r="F61" s="379"/>
      <c r="G61" s="380"/>
      <c r="H61" s="379"/>
      <c r="I61" s="384"/>
      <c r="J61" s="379"/>
      <c r="K61" s="379"/>
      <c r="L61" s="384"/>
      <c r="M61" s="68"/>
      <c r="N61" s="379"/>
      <c r="O61" s="68"/>
      <c r="P61" s="68"/>
    </row>
    <row r="62" spans="1:16">
      <c r="A62" s="67"/>
      <c r="B62" s="68"/>
      <c r="C62" s="68"/>
      <c r="D62" s="378"/>
      <c r="E62" s="379"/>
      <c r="F62" s="379"/>
      <c r="G62" s="379"/>
      <c r="H62" s="379"/>
      <c r="I62" s="379"/>
      <c r="J62" s="379"/>
      <c r="K62" s="379"/>
      <c r="L62" s="379"/>
      <c r="M62" s="68"/>
      <c r="N62" s="68"/>
      <c r="O62" s="68"/>
      <c r="P62" s="68"/>
    </row>
    <row r="63" spans="1:16">
      <c r="A63" s="67"/>
      <c r="B63" s="68"/>
      <c r="C63" s="68"/>
      <c r="D63" s="378"/>
      <c r="E63" s="379"/>
      <c r="F63" s="379"/>
      <c r="G63" s="379"/>
      <c r="H63" s="379"/>
      <c r="I63" s="379"/>
      <c r="J63" s="379"/>
      <c r="K63" s="379"/>
      <c r="L63" s="68"/>
      <c r="M63" s="68"/>
      <c r="N63" s="68"/>
      <c r="O63" s="68"/>
      <c r="P63" s="68"/>
    </row>
    <row r="64" spans="1:16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</row>
    <row r="65" spans="1:16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</row>
    <row r="66" spans="1:1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</row>
    <row r="67" spans="1:16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</row>
    <row r="68" spans="1:16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</row>
    <row r="69" spans="1:16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</row>
    <row r="70" spans="1:16">
      <c r="A70" s="67"/>
      <c r="B70" s="68"/>
      <c r="C70" s="68"/>
      <c r="D70" s="68"/>
      <c r="E70" s="68"/>
      <c r="F70" s="68"/>
      <c r="G70" s="383"/>
      <c r="H70" s="68"/>
      <c r="I70" s="68"/>
      <c r="J70" s="68"/>
      <c r="K70" s="68"/>
      <c r="L70" s="68"/>
      <c r="M70" s="68"/>
      <c r="N70" s="68"/>
      <c r="O70" s="68"/>
      <c r="P70" s="68"/>
    </row>
    <row r="71" spans="1:16">
      <c r="A71" s="68"/>
      <c r="B71" s="68"/>
      <c r="C71" s="68"/>
      <c r="D71" s="68"/>
      <c r="E71" s="68"/>
      <c r="F71" s="68"/>
      <c r="G71" s="68"/>
      <c r="H71" s="68"/>
      <c r="I71" s="68"/>
      <c r="J71" s="385"/>
      <c r="K71" s="385"/>
      <c r="L71" s="68"/>
      <c r="M71" s="68"/>
      <c r="N71" s="68"/>
      <c r="O71" s="68"/>
      <c r="P71" s="68"/>
    </row>
    <row r="72" spans="1:16">
      <c r="A72" s="68"/>
      <c r="B72" s="68"/>
      <c r="C72" s="68"/>
      <c r="D72" s="68"/>
      <c r="E72" s="379"/>
      <c r="F72" s="68"/>
      <c r="G72" s="379"/>
      <c r="H72" s="68"/>
      <c r="I72" s="68"/>
      <c r="J72" s="386"/>
      <c r="K72" s="386"/>
      <c r="L72" s="68"/>
      <c r="M72" s="68"/>
      <c r="N72" s="68"/>
      <c r="O72" s="68"/>
      <c r="P72" s="68"/>
    </row>
    <row r="73" spans="1:16">
      <c r="A73" s="68"/>
      <c r="B73" s="68"/>
      <c r="C73" s="68"/>
      <c r="D73" s="68"/>
      <c r="E73" s="379"/>
      <c r="F73" s="68"/>
      <c r="G73" s="68"/>
      <c r="H73" s="68"/>
      <c r="I73" s="68"/>
      <c r="J73" s="386"/>
      <c r="K73" s="385"/>
      <c r="L73" s="68"/>
      <c r="M73" s="68"/>
      <c r="N73" s="68"/>
      <c r="O73" s="68"/>
      <c r="P73" s="68"/>
    </row>
    <row r="74" spans="1:16">
      <c r="A74" s="68"/>
      <c r="B74" s="68"/>
      <c r="C74" s="68"/>
      <c r="D74" s="68"/>
      <c r="E74" s="379"/>
      <c r="F74" s="68"/>
      <c r="G74" s="68"/>
      <c r="H74" s="68"/>
      <c r="I74" s="68"/>
      <c r="J74" s="386"/>
      <c r="K74" s="387"/>
      <c r="L74" s="68"/>
      <c r="M74" s="68"/>
      <c r="N74" s="68"/>
      <c r="O74" s="68"/>
      <c r="P74" s="68"/>
    </row>
    <row r="75" spans="1:16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</row>
    <row r="76" spans="1:16">
      <c r="A76" s="67"/>
      <c r="B76" s="388"/>
      <c r="C76" s="389"/>
      <c r="D76" s="67"/>
      <c r="E76" s="379"/>
      <c r="F76" s="68"/>
      <c r="G76" s="379"/>
      <c r="H76" s="68"/>
      <c r="I76" s="68"/>
      <c r="J76" s="68"/>
      <c r="K76" s="68"/>
      <c r="L76" s="68"/>
      <c r="M76" s="68"/>
      <c r="N76" s="68"/>
      <c r="O76" s="68"/>
      <c r="P76" s="68"/>
    </row>
    <row r="77" spans="1:16">
      <c r="A77" s="67"/>
      <c r="B77" s="68"/>
      <c r="C77" s="68"/>
      <c r="D77" s="68"/>
      <c r="E77" s="68"/>
      <c r="F77" s="68"/>
      <c r="G77" s="43"/>
      <c r="H77" s="43"/>
      <c r="I77" s="68"/>
      <c r="J77" s="68"/>
      <c r="K77" s="68"/>
      <c r="L77" s="68"/>
      <c r="M77" s="68"/>
      <c r="N77" s="68"/>
      <c r="O77" s="68"/>
      <c r="P77" s="68"/>
    </row>
    <row r="78" spans="1:16">
      <c r="A78" s="67"/>
      <c r="B78" s="68"/>
      <c r="C78" s="68"/>
      <c r="D78" s="68"/>
      <c r="E78" s="68"/>
      <c r="F78" s="68"/>
      <c r="G78" s="69"/>
      <c r="H78" s="379"/>
      <c r="I78" s="68"/>
      <c r="J78" s="68"/>
      <c r="K78" s="68"/>
      <c r="L78" s="68"/>
      <c r="M78" s="68"/>
      <c r="N78" s="68"/>
      <c r="O78" s="68"/>
      <c r="P78" s="68"/>
    </row>
    <row r="79" spans="1:16">
      <c r="A79" s="67"/>
      <c r="B79" s="68"/>
      <c r="C79" s="68"/>
      <c r="D79" s="68"/>
      <c r="E79" s="68"/>
      <c r="F79" s="68"/>
      <c r="G79" s="70"/>
      <c r="H79" s="379"/>
      <c r="I79" s="68"/>
      <c r="J79" s="68"/>
      <c r="K79" s="68"/>
      <c r="L79" s="68"/>
      <c r="M79" s="68"/>
      <c r="N79" s="68"/>
      <c r="O79" s="68"/>
      <c r="P79" s="68"/>
    </row>
    <row r="80" spans="1:16">
      <c r="A80" s="67"/>
      <c r="B80" s="68"/>
      <c r="C80" s="68"/>
      <c r="D80" s="68"/>
      <c r="E80" s="68"/>
      <c r="F80" s="68"/>
      <c r="G80" s="70"/>
      <c r="H80" s="379"/>
      <c r="I80" s="68"/>
      <c r="J80" s="68"/>
      <c r="K80" s="68"/>
      <c r="L80" s="68"/>
      <c r="M80" s="68"/>
      <c r="N80" s="68"/>
      <c r="O80" s="68"/>
      <c r="P80" s="68"/>
    </row>
    <row r="81" spans="1:16">
      <c r="A81" s="67"/>
      <c r="B81" s="68"/>
      <c r="C81" s="68"/>
      <c r="D81" s="68"/>
      <c r="E81" s="68"/>
      <c r="F81" s="68"/>
      <c r="G81" s="70"/>
      <c r="H81" s="379"/>
      <c r="I81" s="68"/>
      <c r="J81" s="68"/>
      <c r="K81" s="68"/>
      <c r="L81" s="68"/>
      <c r="M81" s="68"/>
      <c r="N81" s="68"/>
      <c r="O81" s="68"/>
      <c r="P81" s="68"/>
    </row>
    <row r="82" spans="1:16">
      <c r="A82" s="67"/>
      <c r="B82" s="68"/>
      <c r="C82" s="68"/>
      <c r="D82" s="68"/>
      <c r="E82" s="68"/>
      <c r="F82" s="68"/>
      <c r="G82" s="70"/>
      <c r="H82" s="379"/>
      <c r="I82" s="68"/>
      <c r="J82" s="68"/>
      <c r="K82" s="68"/>
      <c r="L82" s="68"/>
      <c r="M82" s="68"/>
      <c r="N82" s="68"/>
      <c r="O82" s="68"/>
      <c r="P82" s="68"/>
    </row>
    <row r="83" spans="1:16">
      <c r="A83" s="67"/>
      <c r="B83" s="68"/>
      <c r="C83" s="68"/>
      <c r="D83" s="68"/>
      <c r="E83" s="68"/>
      <c r="F83" s="68"/>
      <c r="G83" s="70"/>
      <c r="H83" s="68"/>
      <c r="I83" s="68"/>
      <c r="J83" s="68"/>
      <c r="K83" s="68"/>
      <c r="L83" s="68"/>
      <c r="M83" s="68"/>
      <c r="N83" s="68"/>
      <c r="O83" s="68"/>
      <c r="P83" s="68"/>
    </row>
    <row r="84" spans="1:16">
      <c r="A84" s="67"/>
      <c r="B84" s="68"/>
      <c r="C84" s="68"/>
      <c r="D84" s="68"/>
      <c r="E84" s="68"/>
      <c r="F84" s="68"/>
      <c r="G84" s="70"/>
      <c r="H84" s="68"/>
      <c r="I84" s="68"/>
      <c r="J84" s="68"/>
      <c r="K84" s="68"/>
      <c r="L84" s="68"/>
      <c r="M84" s="68"/>
      <c r="N84" s="68"/>
      <c r="O84" s="68"/>
      <c r="P84" s="68"/>
    </row>
    <row r="85" spans="1:16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</row>
    <row r="86" spans="1:16">
      <c r="A86" s="68"/>
      <c r="B86" s="68"/>
      <c r="C86" s="76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</row>
    <row r="87" spans="1:16">
      <c r="A87" s="390"/>
      <c r="B87" s="391"/>
      <c r="C87" s="386"/>
      <c r="D87" s="386"/>
      <c r="E87" s="386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</row>
    <row r="88" spans="1:16">
      <c r="A88" s="390"/>
      <c r="B88" s="391"/>
      <c r="C88" s="391"/>
      <c r="D88" s="391"/>
      <c r="E88" s="391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</row>
    <row r="89" spans="1:16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</row>
    <row r="90" spans="1:16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</row>
    <row r="91" spans="1:16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</row>
    <row r="92" spans="1:16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</row>
    <row r="93" spans="1:16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</row>
    <row r="94" spans="1:16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</row>
    <row r="95" spans="1:16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15" workbookViewId="0">
      <selection activeCell="O44" sqref="O44"/>
    </sheetView>
  </sheetViews>
  <sheetFormatPr defaultRowHeight="15"/>
  <cols>
    <col min="1" max="1" width="8.28515625" customWidth="1"/>
    <col min="2" max="2" width="8.42578125" customWidth="1"/>
    <col min="3" max="3" width="5.28515625" customWidth="1"/>
    <col min="4" max="4" width="4.85546875" customWidth="1"/>
    <col min="5" max="5" width="5.28515625" customWidth="1"/>
    <col min="6" max="6" width="6" customWidth="1"/>
    <col min="7" max="7" width="8.5703125" customWidth="1"/>
    <col min="8" max="8" width="9" customWidth="1"/>
    <col min="9" max="9" width="8.85546875" customWidth="1"/>
    <col min="10" max="10" width="7.7109375" customWidth="1"/>
    <col min="11" max="11" width="8.140625" customWidth="1"/>
    <col min="12" max="12" width="6.140625" customWidth="1"/>
    <col min="13" max="13" width="4.85546875" customWidth="1"/>
  </cols>
  <sheetData>
    <row r="1" spans="1:15" s="38" customFormat="1">
      <c r="A1" s="1" t="s">
        <v>0</v>
      </c>
      <c r="B1" s="1" t="s">
        <v>249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s="38" customFormat="1">
      <c r="A2" s="1"/>
      <c r="B2" s="1" t="s">
        <v>95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s="38" customFormat="1">
      <c r="A3" s="1"/>
      <c r="B3" s="1" t="s">
        <v>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s="38" customFormat="1">
      <c r="A4" s="3" t="s">
        <v>6</v>
      </c>
      <c r="B4" s="3"/>
      <c r="C4" s="3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307" t="s">
        <v>71</v>
      </c>
      <c r="M4" s="4"/>
      <c r="N4" s="1"/>
    </row>
    <row r="5" spans="1:15" s="38" customFormat="1">
      <c r="A5" s="6"/>
      <c r="B5" s="6"/>
      <c r="C5" s="6"/>
      <c r="D5" s="7" t="s">
        <v>16</v>
      </c>
      <c r="E5" s="7" t="s">
        <v>17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19</v>
      </c>
      <c r="K5" s="7" t="s">
        <v>19</v>
      </c>
      <c r="L5" s="8" t="s">
        <v>12</v>
      </c>
      <c r="M5" s="7" t="s">
        <v>13</v>
      </c>
      <c r="N5" s="1"/>
    </row>
    <row r="6" spans="1:15" s="38" customFormat="1">
      <c r="A6" s="6"/>
      <c r="B6" s="6"/>
      <c r="C6" s="6"/>
      <c r="D6" s="7" t="s">
        <v>22</v>
      </c>
      <c r="E6" s="7"/>
      <c r="F6" s="7"/>
      <c r="G6" s="7"/>
      <c r="H6" s="7" t="s">
        <v>23</v>
      </c>
      <c r="I6" s="7" t="s">
        <v>19</v>
      </c>
      <c r="J6" s="7" t="s">
        <v>23</v>
      </c>
      <c r="K6" s="7" t="s">
        <v>23</v>
      </c>
      <c r="L6" s="7"/>
      <c r="M6" s="7"/>
      <c r="N6" s="1"/>
    </row>
    <row r="7" spans="1:15" s="38" customFormat="1">
      <c r="A7" s="9"/>
      <c r="B7" s="9"/>
      <c r="C7" s="9"/>
      <c r="D7" s="10"/>
      <c r="E7" s="10"/>
      <c r="F7" s="10"/>
      <c r="G7" s="10"/>
      <c r="H7" s="10"/>
      <c r="I7" s="10" t="s">
        <v>23</v>
      </c>
      <c r="J7" s="10"/>
      <c r="K7" s="10"/>
      <c r="L7" s="10"/>
      <c r="M7" s="10"/>
      <c r="N7" s="1"/>
    </row>
    <row r="8" spans="1:15" s="38" customFormat="1">
      <c r="A8" s="1" t="s">
        <v>73</v>
      </c>
      <c r="B8" s="1"/>
      <c r="C8" s="1"/>
      <c r="D8" s="308">
        <v>93.33</v>
      </c>
      <c r="E8" s="27">
        <v>1.65</v>
      </c>
      <c r="F8" s="27">
        <v>0.95</v>
      </c>
      <c r="G8" s="309">
        <v>1379.07</v>
      </c>
      <c r="H8" s="27">
        <v>2066</v>
      </c>
      <c r="I8" s="1"/>
      <c r="J8" s="27"/>
      <c r="K8" s="27">
        <f t="shared" ref="K8:K19" si="0">SUM(H8:J8)</f>
        <v>2066</v>
      </c>
      <c r="L8" s="1"/>
      <c r="M8" s="1"/>
      <c r="N8" s="1"/>
    </row>
    <row r="9" spans="1:15" s="38" customFormat="1">
      <c r="A9" s="1" t="s">
        <v>413</v>
      </c>
      <c r="B9" s="1"/>
      <c r="C9" s="1"/>
      <c r="D9" s="308">
        <v>100</v>
      </c>
      <c r="E9" s="27">
        <v>0.56000000000000005</v>
      </c>
      <c r="F9" s="27">
        <v>0.41</v>
      </c>
      <c r="G9" s="309">
        <v>1500</v>
      </c>
      <c r="H9" s="27">
        <v>775</v>
      </c>
      <c r="I9" s="27">
        <v>5728</v>
      </c>
      <c r="J9" s="27"/>
      <c r="K9" s="27">
        <f t="shared" si="0"/>
        <v>6503</v>
      </c>
      <c r="L9" s="27">
        <v>184</v>
      </c>
      <c r="M9" s="1"/>
      <c r="N9" s="1"/>
      <c r="O9" s="49"/>
    </row>
    <row r="10" spans="1:15" s="38" customFormat="1">
      <c r="A10" s="1" t="s">
        <v>235</v>
      </c>
      <c r="B10" s="1"/>
      <c r="C10" s="1"/>
      <c r="D10" s="308">
        <v>100</v>
      </c>
      <c r="E10" s="27">
        <v>5.26</v>
      </c>
      <c r="F10" s="27">
        <v>2.59</v>
      </c>
      <c r="G10" s="309">
        <v>1261.9100000000001</v>
      </c>
      <c r="H10" s="27">
        <v>6809</v>
      </c>
      <c r="I10" s="1"/>
      <c r="J10" s="27">
        <v>6413</v>
      </c>
      <c r="K10" s="27">
        <f t="shared" si="0"/>
        <v>13222</v>
      </c>
      <c r="L10" s="27">
        <v>0</v>
      </c>
      <c r="M10" s="1"/>
      <c r="N10" s="1"/>
      <c r="O10" s="49"/>
    </row>
    <row r="11" spans="1:15" s="38" customFormat="1">
      <c r="A11" s="1" t="s">
        <v>104</v>
      </c>
      <c r="B11" s="1"/>
      <c r="C11" s="1"/>
      <c r="D11" s="308">
        <v>100</v>
      </c>
      <c r="E11" s="27">
        <v>2.86</v>
      </c>
      <c r="F11" s="27">
        <v>1.75</v>
      </c>
      <c r="G11" s="309">
        <v>1381.13</v>
      </c>
      <c r="H11" s="27">
        <v>3310</v>
      </c>
      <c r="I11" s="1"/>
      <c r="J11" s="27">
        <v>5910</v>
      </c>
      <c r="K11" s="27">
        <f t="shared" si="0"/>
        <v>9220</v>
      </c>
      <c r="L11" s="27"/>
      <c r="M11" s="1"/>
      <c r="N11" s="1"/>
      <c r="O11" s="53"/>
    </row>
    <row r="12" spans="1:15" s="38" customFormat="1">
      <c r="A12" s="1" t="s">
        <v>105</v>
      </c>
      <c r="B12" s="1"/>
      <c r="C12" s="1"/>
      <c r="D12" s="308">
        <v>40</v>
      </c>
      <c r="E12" s="392">
        <v>0.57999999999999996</v>
      </c>
      <c r="F12" s="392">
        <v>0.47</v>
      </c>
      <c r="G12" s="309">
        <v>1500</v>
      </c>
      <c r="H12" s="27">
        <v>821</v>
      </c>
      <c r="I12" s="1"/>
      <c r="J12" s="392">
        <v>2520</v>
      </c>
      <c r="K12" s="27">
        <f t="shared" si="0"/>
        <v>3341</v>
      </c>
      <c r="L12" s="27"/>
      <c r="M12" s="1"/>
      <c r="N12" s="1"/>
      <c r="O12" s="49"/>
    </row>
    <row r="13" spans="1:15" s="38" customFormat="1">
      <c r="A13" s="1" t="s">
        <v>106</v>
      </c>
      <c r="B13" s="1"/>
      <c r="C13" s="1"/>
      <c r="D13" s="308">
        <v>63.33</v>
      </c>
      <c r="E13" s="27">
        <v>5.49</v>
      </c>
      <c r="F13" s="27">
        <v>3.29</v>
      </c>
      <c r="G13" s="309">
        <v>1282.82</v>
      </c>
      <c r="H13" s="27">
        <v>7661</v>
      </c>
      <c r="I13" s="1"/>
      <c r="J13" s="27"/>
      <c r="K13" s="27">
        <f t="shared" si="0"/>
        <v>7661</v>
      </c>
      <c r="L13" s="27"/>
      <c r="M13" s="1"/>
      <c r="N13" s="1"/>
      <c r="O13" s="49"/>
    </row>
    <row r="14" spans="1:15" s="38" customFormat="1">
      <c r="A14" s="1" t="s">
        <v>77</v>
      </c>
      <c r="B14" s="1"/>
      <c r="C14" s="1"/>
      <c r="D14" s="308">
        <v>66.67</v>
      </c>
      <c r="E14" s="27">
        <v>0.59</v>
      </c>
      <c r="F14" s="27">
        <v>0.34</v>
      </c>
      <c r="G14" s="309">
        <v>1500</v>
      </c>
      <c r="H14" s="27">
        <v>900</v>
      </c>
      <c r="I14" s="1"/>
      <c r="J14" s="27">
        <v>1570</v>
      </c>
      <c r="K14" s="27">
        <f t="shared" si="0"/>
        <v>2470</v>
      </c>
      <c r="L14" s="27"/>
      <c r="M14" s="1"/>
      <c r="N14" s="1"/>
      <c r="O14" s="49"/>
    </row>
    <row r="15" spans="1:15" s="38" customFormat="1" ht="11.25" customHeight="1">
      <c r="A15" s="1" t="s">
        <v>109</v>
      </c>
      <c r="B15" s="1"/>
      <c r="C15" s="1"/>
      <c r="D15" s="308">
        <v>100</v>
      </c>
      <c r="E15" s="27">
        <v>6.19</v>
      </c>
      <c r="F15" s="27">
        <v>2.72</v>
      </c>
      <c r="G15" s="309">
        <v>1284.29</v>
      </c>
      <c r="H15" s="27">
        <v>7862</v>
      </c>
      <c r="I15" s="27"/>
      <c r="J15" s="16"/>
      <c r="K15" s="27">
        <f t="shared" si="0"/>
        <v>7862</v>
      </c>
      <c r="L15" s="27"/>
      <c r="M15" s="1"/>
      <c r="N15" s="1"/>
      <c r="O15" s="49"/>
    </row>
    <row r="16" spans="1:15" s="38" customFormat="1">
      <c r="A16" s="1" t="s">
        <v>414</v>
      </c>
      <c r="B16" s="1"/>
      <c r="C16" s="1"/>
      <c r="D16" s="308">
        <v>100</v>
      </c>
      <c r="E16" s="392">
        <v>0.73</v>
      </c>
      <c r="F16" s="392">
        <v>0.37</v>
      </c>
      <c r="G16" s="309">
        <v>1332.62</v>
      </c>
      <c r="H16" s="27">
        <v>1009</v>
      </c>
      <c r="I16" s="27">
        <v>2683</v>
      </c>
      <c r="J16" s="27"/>
      <c r="K16" s="27">
        <f t="shared" si="0"/>
        <v>3692</v>
      </c>
      <c r="L16" s="27">
        <v>318</v>
      </c>
      <c r="M16" s="1"/>
      <c r="N16" s="1"/>
      <c r="O16" s="49"/>
    </row>
    <row r="17" spans="1:14" s="38" customFormat="1">
      <c r="A17" s="1" t="s">
        <v>250</v>
      </c>
      <c r="B17" s="1"/>
      <c r="C17" s="1"/>
      <c r="D17" s="308">
        <v>13.33</v>
      </c>
      <c r="E17" s="27">
        <v>0</v>
      </c>
      <c r="F17" s="27">
        <v>0</v>
      </c>
      <c r="G17" s="309">
        <v>0</v>
      </c>
      <c r="H17" s="27">
        <f t="shared" ref="H17:H19" si="1">SUM(E17*G17)</f>
        <v>0</v>
      </c>
      <c r="I17" s="393" t="s">
        <v>251</v>
      </c>
      <c r="J17" s="27"/>
      <c r="K17" s="27">
        <f t="shared" si="0"/>
        <v>0</v>
      </c>
      <c r="L17" s="392"/>
      <c r="M17" s="1"/>
      <c r="N17" s="1"/>
    </row>
    <row r="18" spans="1:14" s="38" customFormat="1">
      <c r="A18" s="1" t="s">
        <v>244</v>
      </c>
      <c r="B18" s="1"/>
      <c r="C18" s="1"/>
      <c r="D18" s="308">
        <v>53.33</v>
      </c>
      <c r="E18" s="27">
        <v>1.62</v>
      </c>
      <c r="F18" s="27">
        <v>0.24</v>
      </c>
      <c r="G18" s="309">
        <v>1500</v>
      </c>
      <c r="H18" s="27">
        <v>2018</v>
      </c>
      <c r="I18" s="393"/>
      <c r="J18" s="27"/>
      <c r="K18" s="27">
        <f t="shared" si="0"/>
        <v>2018</v>
      </c>
      <c r="L18" s="392"/>
      <c r="M18" s="1"/>
      <c r="N18" s="1"/>
    </row>
    <row r="19" spans="1:14" s="38" customFormat="1">
      <c r="A19" s="1" t="s">
        <v>80</v>
      </c>
      <c r="B19" s="1"/>
      <c r="C19" s="1"/>
      <c r="D19" s="308">
        <v>73.33</v>
      </c>
      <c r="E19" s="27">
        <v>0.24</v>
      </c>
      <c r="F19" s="27">
        <v>0.24</v>
      </c>
      <c r="G19" s="309">
        <v>1500</v>
      </c>
      <c r="H19" s="27">
        <v>378</v>
      </c>
      <c r="I19" s="392">
        <v>723</v>
      </c>
      <c r="J19" s="27"/>
      <c r="K19" s="27">
        <f t="shared" si="0"/>
        <v>1101</v>
      </c>
      <c r="L19" s="392">
        <v>183</v>
      </c>
      <c r="M19" s="1"/>
      <c r="N19" s="1"/>
    </row>
    <row r="20" spans="1:14" s="38" customFormat="1">
      <c r="A20" s="3" t="s">
        <v>81</v>
      </c>
      <c r="B20" s="3"/>
      <c r="C20" s="3"/>
      <c r="D20" s="20"/>
      <c r="E20" s="21">
        <f>SUM(E8:E19)</f>
        <v>25.77</v>
      </c>
      <c r="F20" s="21">
        <f>SUM(F8:F19)</f>
        <v>13.37</v>
      </c>
      <c r="G20" s="21"/>
      <c r="H20" s="21">
        <f>SUM(H8:H19)</f>
        <v>33609</v>
      </c>
      <c r="I20" s="21">
        <f t="shared" ref="I20:K20" si="2">SUM(I8:I19)</f>
        <v>9134</v>
      </c>
      <c r="J20" s="21">
        <f t="shared" si="2"/>
        <v>16413</v>
      </c>
      <c r="K20" s="21">
        <f t="shared" si="2"/>
        <v>59156</v>
      </c>
      <c r="L20" s="21">
        <f>+I20-I21</f>
        <v>651</v>
      </c>
      <c r="M20" s="3">
        <f>SUM(M8:M19)</f>
        <v>0</v>
      </c>
      <c r="N20" s="1"/>
    </row>
    <row r="21" spans="1:14" s="38" customFormat="1">
      <c r="A21" s="9" t="s">
        <v>82</v>
      </c>
      <c r="B21" s="9"/>
      <c r="C21" s="9"/>
      <c r="D21" s="22"/>
      <c r="E21" s="23">
        <f>SUM(E20-F20)</f>
        <v>12.4</v>
      </c>
      <c r="F21" s="23"/>
      <c r="G21" s="23"/>
      <c r="H21" s="23">
        <f>SUM(E30*G30)</f>
        <v>14223</v>
      </c>
      <c r="I21" s="23">
        <v>8483</v>
      </c>
      <c r="J21" s="23">
        <f>J20-M20</f>
        <v>16413</v>
      </c>
      <c r="K21" s="23">
        <f>SUM(H21:J21)</f>
        <v>39119</v>
      </c>
      <c r="L21" s="9"/>
      <c r="M21" s="9"/>
      <c r="N21" s="1"/>
    </row>
    <row r="22" spans="1:14" s="38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38" customFormat="1">
      <c r="A23" s="1"/>
      <c r="B23" s="1"/>
      <c r="C23" s="1" t="s">
        <v>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38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38" customFormat="1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38" customFormat="1">
      <c r="A26" s="24" t="s">
        <v>38</v>
      </c>
      <c r="B26" s="24"/>
      <c r="C26" s="24"/>
      <c r="D26" s="24" t="s">
        <v>39</v>
      </c>
      <c r="E26" s="24" t="s">
        <v>40</v>
      </c>
      <c r="F26" s="24"/>
      <c r="G26" s="24" t="s">
        <v>41</v>
      </c>
      <c r="H26" s="1"/>
      <c r="I26" s="1" t="s">
        <v>53</v>
      </c>
      <c r="J26" s="1">
        <v>2.1800000000000002</v>
      </c>
      <c r="K26" s="1"/>
      <c r="L26" s="1"/>
      <c r="M26" s="1"/>
      <c r="N26" s="1"/>
    </row>
    <row r="27" spans="1:14" s="38" customFormat="1">
      <c r="A27" s="1" t="s">
        <v>42</v>
      </c>
      <c r="B27" s="1"/>
      <c r="C27" s="1"/>
      <c r="D27" s="1"/>
      <c r="E27" s="1"/>
      <c r="F27" s="1"/>
      <c r="G27" s="1"/>
      <c r="H27" s="1"/>
      <c r="I27" s="1" t="s">
        <v>54</v>
      </c>
      <c r="J27" s="27">
        <v>2</v>
      </c>
      <c r="K27" s="1"/>
      <c r="L27" s="1"/>
      <c r="M27" s="1"/>
      <c r="N27" s="1"/>
    </row>
    <row r="28" spans="1:14" s="38" customFormat="1">
      <c r="A28" s="1" t="s">
        <v>83</v>
      </c>
      <c r="B28" s="1"/>
      <c r="C28" s="1"/>
      <c r="D28" s="1" t="s">
        <v>46</v>
      </c>
      <c r="E28" s="1">
        <v>5.3</v>
      </c>
      <c r="F28" s="1"/>
      <c r="G28" s="16">
        <v>1210</v>
      </c>
      <c r="H28" s="1"/>
      <c r="I28" s="1" t="s">
        <v>43</v>
      </c>
      <c r="J28" s="394" t="s">
        <v>252</v>
      </c>
      <c r="K28" s="395">
        <v>56.67</v>
      </c>
      <c r="L28" s="1"/>
      <c r="M28" s="1"/>
      <c r="N28" s="1"/>
    </row>
    <row r="29" spans="1:14" s="38" customFormat="1">
      <c r="A29" s="1" t="s">
        <v>48</v>
      </c>
      <c r="B29" s="1"/>
      <c r="C29" s="1"/>
      <c r="D29" s="1"/>
      <c r="E29" s="1"/>
      <c r="F29" s="1"/>
      <c r="G29" s="1"/>
      <c r="H29" s="1"/>
      <c r="I29" s="1"/>
      <c r="J29" s="396" t="s">
        <v>253</v>
      </c>
      <c r="K29" s="397">
        <v>36.67</v>
      </c>
      <c r="L29" s="1"/>
      <c r="M29" s="1"/>
      <c r="N29" s="1"/>
    </row>
    <row r="30" spans="1:14" s="38" customFormat="1">
      <c r="A30" s="1" t="s">
        <v>50</v>
      </c>
      <c r="B30" s="1"/>
      <c r="C30" s="1"/>
      <c r="D30" s="1" t="s">
        <v>51</v>
      </c>
      <c r="E30" s="27">
        <v>11</v>
      </c>
      <c r="F30" s="1"/>
      <c r="G30" s="27">
        <v>1293</v>
      </c>
      <c r="H30" s="1"/>
      <c r="I30" s="1"/>
      <c r="J30" s="396" t="s">
        <v>254</v>
      </c>
      <c r="K30" s="398">
        <v>3.33</v>
      </c>
      <c r="L30" s="1"/>
      <c r="M30" s="1"/>
      <c r="N30" s="1"/>
    </row>
    <row r="31" spans="1:14" s="38" customFormat="1">
      <c r="A31" s="1" t="s">
        <v>52</v>
      </c>
      <c r="B31" s="1"/>
      <c r="C31" s="1"/>
      <c r="D31" s="1" t="s">
        <v>51</v>
      </c>
      <c r="E31" s="27">
        <v>15</v>
      </c>
      <c r="F31" s="1"/>
      <c r="G31" s="1"/>
      <c r="H31" s="1"/>
      <c r="I31" s="1"/>
      <c r="J31" s="399" t="s">
        <v>255</v>
      </c>
      <c r="K31" s="400">
        <v>3.33</v>
      </c>
      <c r="L31" s="1"/>
      <c r="M31" s="1"/>
      <c r="N31" s="1"/>
    </row>
    <row r="32" spans="1:14" s="38" customFormat="1">
      <c r="A32" s="1" t="s">
        <v>8</v>
      </c>
      <c r="B32" s="1"/>
      <c r="C32" s="1"/>
      <c r="D32" s="1"/>
      <c r="E32" s="27">
        <f>SUM(E30:E31)</f>
        <v>26</v>
      </c>
      <c r="F32" s="1"/>
      <c r="G32" s="1"/>
      <c r="H32" s="1"/>
      <c r="I32" s="1"/>
      <c r="J32" s="401"/>
      <c r="K32" s="402"/>
      <c r="L32" s="1"/>
      <c r="M32" s="1"/>
      <c r="N32" s="1"/>
    </row>
    <row r="33" spans="1:15" s="38" customFormat="1">
      <c r="A33" s="3" t="s">
        <v>115</v>
      </c>
      <c r="B33" s="3"/>
      <c r="C33" s="3" t="s">
        <v>116</v>
      </c>
      <c r="D33" s="3"/>
      <c r="E33" s="3"/>
      <c r="F33" s="3"/>
      <c r="G33" s="3"/>
      <c r="H33" s="1"/>
      <c r="I33" s="1"/>
      <c r="J33" s="1"/>
      <c r="K33" s="1"/>
      <c r="L33" s="1"/>
      <c r="M33" s="1"/>
      <c r="N33" s="1"/>
    </row>
    <row r="34" spans="1:15" s="38" customFormat="1">
      <c r="A34" s="6"/>
      <c r="B34" s="8" t="s">
        <v>119</v>
      </c>
      <c r="C34" s="558">
        <v>93.33</v>
      </c>
      <c r="D34" s="6" t="s">
        <v>46</v>
      </c>
      <c r="E34" s="404">
        <v>124</v>
      </c>
      <c r="F34" s="6"/>
      <c r="G34" s="266">
        <v>30</v>
      </c>
      <c r="H34" s="1"/>
      <c r="I34" s="1"/>
      <c r="J34" s="1"/>
      <c r="K34" s="1"/>
      <c r="L34" s="1"/>
      <c r="M34" s="1"/>
      <c r="N34" s="1"/>
    </row>
    <row r="35" spans="1:15" s="38" customFormat="1">
      <c r="A35" s="6"/>
      <c r="B35" s="8" t="s">
        <v>118</v>
      </c>
      <c r="C35" s="558">
        <v>56.67</v>
      </c>
      <c r="D35" s="6" t="s">
        <v>46</v>
      </c>
      <c r="E35" s="266">
        <v>45</v>
      </c>
      <c r="F35" s="6"/>
      <c r="G35" s="266">
        <v>30</v>
      </c>
      <c r="H35" s="1"/>
      <c r="I35" s="1"/>
      <c r="J35" s="1"/>
      <c r="K35" s="1"/>
      <c r="L35" s="1"/>
      <c r="M35" s="1"/>
      <c r="N35" s="1"/>
    </row>
    <row r="36" spans="1:15" s="38" customFormat="1">
      <c r="A36" s="6"/>
      <c r="B36" s="8" t="s">
        <v>120</v>
      </c>
      <c r="C36" s="558">
        <v>60</v>
      </c>
      <c r="D36" s="6" t="s">
        <v>121</v>
      </c>
      <c r="E36" s="266">
        <v>28</v>
      </c>
      <c r="F36" s="6"/>
      <c r="G36" s="266">
        <v>3</v>
      </c>
      <c r="H36" s="1"/>
      <c r="I36" s="1"/>
      <c r="J36" s="1"/>
      <c r="K36" s="1"/>
      <c r="L36" s="1"/>
      <c r="M36" s="1"/>
      <c r="N36" s="1"/>
    </row>
    <row r="37" spans="1:15" s="38" customFormat="1">
      <c r="A37" s="3" t="s">
        <v>55</v>
      </c>
      <c r="B37" s="3"/>
      <c r="C37" s="3"/>
      <c r="D37" s="3"/>
      <c r="E37" s="3"/>
      <c r="F37" s="3"/>
      <c r="G37" s="405" t="s">
        <v>123</v>
      </c>
      <c r="I37" s="315" t="s">
        <v>124</v>
      </c>
      <c r="J37" s="1"/>
      <c r="K37" s="1"/>
      <c r="L37" s="1"/>
      <c r="M37" s="1"/>
      <c r="N37" s="1"/>
    </row>
    <row r="38" spans="1:15" s="38" customFormat="1">
      <c r="A38" s="6" t="s">
        <v>85</v>
      </c>
      <c r="B38" s="6"/>
      <c r="C38" s="6"/>
      <c r="D38" s="6"/>
      <c r="E38" s="6"/>
      <c r="F38" s="6"/>
      <c r="G38" s="34">
        <v>1855</v>
      </c>
      <c r="I38" s="467">
        <f>G38*2.471</f>
        <v>4583.7049999999999</v>
      </c>
      <c r="J38" s="1"/>
      <c r="K38" s="1"/>
      <c r="L38" s="1"/>
      <c r="M38" s="1"/>
      <c r="N38" s="1"/>
    </row>
    <row r="39" spans="1:15" s="38" customFormat="1">
      <c r="A39" s="6" t="s">
        <v>60</v>
      </c>
      <c r="B39" s="6"/>
      <c r="C39" s="6"/>
      <c r="D39" s="6"/>
      <c r="E39" s="6"/>
      <c r="F39" s="6"/>
      <c r="G39" s="35">
        <v>42.1</v>
      </c>
      <c r="I39" s="467"/>
      <c r="J39" s="1"/>
      <c r="K39" s="1"/>
      <c r="L39" s="1"/>
      <c r="M39" s="1"/>
      <c r="N39" s="1"/>
    </row>
    <row r="40" spans="1:15" s="38" customFormat="1">
      <c r="A40" s="6" t="s">
        <v>86</v>
      </c>
      <c r="B40" s="6"/>
      <c r="C40" s="6"/>
      <c r="D40" s="6"/>
      <c r="E40" s="6"/>
      <c r="F40" s="6"/>
      <c r="G40" s="559">
        <v>78096</v>
      </c>
      <c r="I40" s="467">
        <f>G40*2.471</f>
        <v>192975.21600000001</v>
      </c>
      <c r="J40" s="1"/>
      <c r="K40" s="1"/>
      <c r="L40" s="1"/>
      <c r="M40" s="1"/>
      <c r="N40" s="1"/>
    </row>
    <row r="41" spans="1:15" s="38" customFormat="1">
      <c r="A41" s="6" t="s">
        <v>87</v>
      </c>
      <c r="B41" s="6"/>
      <c r="C41" s="6"/>
      <c r="D41" s="6"/>
      <c r="E41" s="6"/>
      <c r="F41" s="6"/>
      <c r="G41" s="559">
        <v>18940</v>
      </c>
      <c r="I41" s="467">
        <f>G41*2.471</f>
        <v>46800.740000000005</v>
      </c>
      <c r="J41" s="1"/>
      <c r="K41" s="1"/>
      <c r="L41" s="1"/>
      <c r="M41" s="1"/>
      <c r="N41" s="1"/>
    </row>
    <row r="42" spans="1:15" s="38" customFormat="1">
      <c r="A42" s="6" t="s">
        <v>88</v>
      </c>
      <c r="B42" s="6"/>
      <c r="C42" s="6"/>
      <c r="D42" s="6"/>
      <c r="E42" s="6"/>
      <c r="F42" s="6"/>
      <c r="G42" s="559">
        <f>SUM(G40-K21)</f>
        <v>38977</v>
      </c>
      <c r="I42" s="467">
        <v>96312</v>
      </c>
      <c r="J42" s="1"/>
      <c r="K42" s="1"/>
      <c r="L42" s="1"/>
      <c r="M42" s="1"/>
      <c r="N42" s="1"/>
    </row>
    <row r="43" spans="1:15" s="38" customFormat="1">
      <c r="A43" s="6" t="s">
        <v>89</v>
      </c>
      <c r="B43" s="6"/>
      <c r="C43" s="6"/>
      <c r="D43" s="6"/>
      <c r="E43" s="6"/>
      <c r="F43" s="6"/>
      <c r="G43" s="35">
        <f>SUM(K20/G38)</f>
        <v>31.890026954177898</v>
      </c>
      <c r="H43" s="1"/>
      <c r="I43" s="1"/>
      <c r="J43" s="1"/>
      <c r="K43" s="1"/>
      <c r="L43" s="1"/>
      <c r="M43" s="1"/>
      <c r="N43" s="1"/>
    </row>
    <row r="44" spans="1:15" s="38" customFormat="1">
      <c r="A44" s="9" t="s">
        <v>90</v>
      </c>
      <c r="B44" s="9"/>
      <c r="C44" s="9"/>
      <c r="D44" s="9"/>
      <c r="E44" s="9"/>
      <c r="F44" s="9"/>
      <c r="G44" s="36">
        <f>SUM(K21/G38)</f>
        <v>21.088409703504045</v>
      </c>
      <c r="H44" s="1"/>
      <c r="I44" s="1"/>
      <c r="J44" s="1"/>
      <c r="K44" s="1"/>
      <c r="L44" s="1"/>
      <c r="M44" s="1"/>
      <c r="N44" s="1"/>
    </row>
    <row r="45" spans="1:15" s="38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s="38" customFormat="1">
      <c r="A46" s="1" t="s">
        <v>91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s="38" customFormat="1">
      <c r="A47" s="1"/>
      <c r="B47" s="1"/>
      <c r="C47" s="406" t="s">
        <v>256</v>
      </c>
      <c r="D47" s="406"/>
      <c r="E47" s="406"/>
      <c r="F47" s="406"/>
      <c r="G47" s="1"/>
      <c r="H47" s="1"/>
      <c r="I47" s="1"/>
      <c r="J47" s="1"/>
      <c r="K47" s="1"/>
      <c r="L47" s="1"/>
      <c r="M47" s="1"/>
      <c r="N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8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8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8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15">
      <c r="A53" s="110"/>
      <c r="B53" s="110"/>
      <c r="C53" s="110"/>
      <c r="D53" s="110"/>
      <c r="E53" s="110"/>
      <c r="F53" s="110"/>
      <c r="G53" s="110"/>
      <c r="H53" s="38"/>
      <c r="I53" s="38"/>
      <c r="J53" s="38"/>
      <c r="K53" s="38"/>
      <c r="L53" s="38"/>
      <c r="M53" s="38"/>
    </row>
    <row r="54" spans="1:15">
      <c r="A54" s="110"/>
      <c r="B54" s="110"/>
      <c r="C54" s="110"/>
      <c r="D54" s="110"/>
      <c r="E54" s="110"/>
      <c r="F54" s="110"/>
      <c r="G54" s="110"/>
      <c r="H54" s="38"/>
      <c r="I54" s="38"/>
      <c r="J54" s="38"/>
      <c r="K54" s="38"/>
      <c r="L54" s="38"/>
      <c r="M54" s="38"/>
    </row>
    <row r="55" spans="1:1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15">
      <c r="A58" s="110"/>
      <c r="B58" s="38"/>
      <c r="C58" s="38"/>
      <c r="D58" s="42"/>
      <c r="E58" s="38"/>
      <c r="F58" s="38"/>
      <c r="G58" s="38"/>
      <c r="H58" s="38"/>
      <c r="I58" s="38"/>
      <c r="J58" s="38"/>
      <c r="K58" s="38"/>
      <c r="L58" s="38"/>
      <c r="M58" s="38"/>
    </row>
    <row r="59" spans="1:1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spans="1:1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opLeftCell="A28" workbookViewId="0">
      <selection activeCell="L33" sqref="L33"/>
    </sheetView>
  </sheetViews>
  <sheetFormatPr defaultRowHeight="15"/>
  <cols>
    <col min="1" max="1" width="8.28515625" customWidth="1"/>
    <col min="2" max="2" width="7.140625" customWidth="1"/>
    <col min="3" max="3" width="8.7109375" customWidth="1"/>
    <col min="4" max="4" width="5" customWidth="1"/>
    <col min="5" max="5" width="6.5703125" customWidth="1"/>
    <col min="6" max="6" width="6.7109375" customWidth="1"/>
    <col min="7" max="7" width="8.85546875" customWidth="1"/>
    <col min="8" max="8" width="8.5703125" customWidth="1"/>
    <col min="9" max="9" width="8" customWidth="1"/>
    <col min="10" max="10" width="7.140625" customWidth="1"/>
    <col min="11" max="11" width="8.140625" customWidth="1"/>
    <col min="12" max="12" width="5.7109375" customWidth="1"/>
    <col min="13" max="13" width="6.85546875" customWidth="1"/>
  </cols>
  <sheetData>
    <row r="1" spans="1:14">
      <c r="A1" s="231" t="s">
        <v>0</v>
      </c>
      <c r="B1" s="231" t="s">
        <v>257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02"/>
    </row>
    <row r="2" spans="1:14">
      <c r="A2" s="231"/>
      <c r="B2" s="231" t="s">
        <v>258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02"/>
    </row>
    <row r="3" spans="1:14">
      <c r="A3" s="231"/>
      <c r="B3" s="231" t="s">
        <v>259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02"/>
    </row>
    <row r="4" spans="1:14">
      <c r="A4" s="233" t="s">
        <v>6</v>
      </c>
      <c r="B4" s="233"/>
      <c r="C4" s="233"/>
      <c r="D4" s="234" t="s">
        <v>7</v>
      </c>
      <c r="E4" s="234" t="s">
        <v>8</v>
      </c>
      <c r="F4" s="234" t="s">
        <v>9</v>
      </c>
      <c r="G4" s="234" t="s">
        <v>10</v>
      </c>
      <c r="H4" s="234" t="s">
        <v>11</v>
      </c>
      <c r="I4" s="234" t="s">
        <v>12</v>
      </c>
      <c r="J4" s="234" t="s">
        <v>13</v>
      </c>
      <c r="K4" s="234" t="s">
        <v>14</v>
      </c>
      <c r="L4" s="407" t="s">
        <v>71</v>
      </c>
      <c r="M4" s="234"/>
      <c r="N4" s="202"/>
    </row>
    <row r="5" spans="1:14">
      <c r="A5" s="235"/>
      <c r="B5" s="235"/>
      <c r="C5" s="235"/>
      <c r="D5" s="236" t="s">
        <v>16</v>
      </c>
      <c r="E5" s="236" t="s">
        <v>17</v>
      </c>
      <c r="F5" s="236" t="s">
        <v>17</v>
      </c>
      <c r="G5" s="236" t="s">
        <v>18</v>
      </c>
      <c r="H5" s="236" t="s">
        <v>19</v>
      </c>
      <c r="I5" s="236" t="s">
        <v>20</v>
      </c>
      <c r="J5" s="236" t="s">
        <v>19</v>
      </c>
      <c r="K5" s="236" t="s">
        <v>19</v>
      </c>
      <c r="L5" s="408" t="s">
        <v>12</v>
      </c>
      <c r="M5" s="236" t="s">
        <v>13</v>
      </c>
      <c r="N5" s="202"/>
    </row>
    <row r="6" spans="1:14">
      <c r="A6" s="235"/>
      <c r="B6" s="235"/>
      <c r="C6" s="235"/>
      <c r="D6" s="236" t="s">
        <v>22</v>
      </c>
      <c r="E6" s="236"/>
      <c r="F6" s="236"/>
      <c r="G6" s="236"/>
      <c r="H6" s="236" t="s">
        <v>23</v>
      </c>
      <c r="I6" s="236" t="s">
        <v>19</v>
      </c>
      <c r="J6" s="236" t="s">
        <v>23</v>
      </c>
      <c r="K6" s="236" t="s">
        <v>23</v>
      </c>
      <c r="L6" s="236"/>
      <c r="M6" s="236"/>
      <c r="N6" s="202"/>
    </row>
    <row r="7" spans="1:14">
      <c r="A7" s="238"/>
      <c r="B7" s="238"/>
      <c r="C7" s="238"/>
      <c r="D7" s="239"/>
      <c r="E7" s="239"/>
      <c r="F7" s="239"/>
      <c r="G7" s="239"/>
      <c r="H7" s="239"/>
      <c r="I7" s="239" t="s">
        <v>23</v>
      </c>
      <c r="J7" s="239"/>
      <c r="K7" s="239"/>
      <c r="L7" s="239"/>
      <c r="M7" s="239"/>
      <c r="N7" s="202"/>
    </row>
    <row r="8" spans="1:14">
      <c r="A8" s="231" t="s">
        <v>260</v>
      </c>
      <c r="B8" s="231"/>
      <c r="C8" s="231"/>
      <c r="D8" s="409">
        <v>53</v>
      </c>
      <c r="E8" s="261">
        <v>3.13</v>
      </c>
      <c r="F8" s="261">
        <v>2.62</v>
      </c>
      <c r="G8" s="410">
        <v>1500</v>
      </c>
      <c r="H8" s="261">
        <v>4030</v>
      </c>
      <c r="I8" s="231"/>
      <c r="J8" s="261"/>
      <c r="K8" s="261">
        <f>SUM(H8:J8)</f>
        <v>4030</v>
      </c>
      <c r="L8" s="231"/>
      <c r="M8" s="231"/>
      <c r="N8" s="202"/>
    </row>
    <row r="9" spans="1:14">
      <c r="A9" s="231" t="s">
        <v>261</v>
      </c>
      <c r="B9" s="231"/>
      <c r="C9" s="231"/>
      <c r="D9" s="409">
        <v>100</v>
      </c>
      <c r="E9" s="245">
        <v>0.46</v>
      </c>
      <c r="F9" s="261">
        <v>0.42</v>
      </c>
      <c r="G9" s="410">
        <v>1500</v>
      </c>
      <c r="H9" s="261">
        <v>650</v>
      </c>
      <c r="I9" s="261">
        <v>6143</v>
      </c>
      <c r="J9" s="261"/>
      <c r="K9" s="261">
        <f>SUM(H9:J9)</f>
        <v>6793</v>
      </c>
      <c r="L9" s="261">
        <v>96</v>
      </c>
      <c r="M9" s="231"/>
      <c r="N9" s="202"/>
    </row>
    <row r="10" spans="1:14">
      <c r="A10" s="231" t="s">
        <v>262</v>
      </c>
      <c r="B10" s="231"/>
      <c r="C10" s="231"/>
      <c r="D10" s="409">
        <v>73</v>
      </c>
      <c r="E10" s="261">
        <v>4.42</v>
      </c>
      <c r="F10" s="261">
        <v>3.29</v>
      </c>
      <c r="G10" s="410">
        <v>1320</v>
      </c>
      <c r="H10" s="261">
        <v>5280</v>
      </c>
      <c r="I10" s="411"/>
      <c r="J10" s="261">
        <v>6917</v>
      </c>
      <c r="K10" s="261">
        <f t="shared" ref="K10:K15" si="0">SUM(H10:J10)</f>
        <v>12197</v>
      </c>
      <c r="L10" s="231"/>
      <c r="M10" s="231"/>
      <c r="N10" s="202"/>
    </row>
    <row r="11" spans="1:14">
      <c r="A11" s="231" t="s">
        <v>263</v>
      </c>
      <c r="B11" s="409"/>
      <c r="C11" s="231"/>
      <c r="D11" s="409" t="s">
        <v>270</v>
      </c>
      <c r="E11" s="245" t="s">
        <v>264</v>
      </c>
      <c r="F11" s="261" t="s">
        <v>265</v>
      </c>
      <c r="G11" s="410" t="s">
        <v>266</v>
      </c>
      <c r="H11" s="261" t="s">
        <v>415</v>
      </c>
      <c r="I11" s="231" t="s">
        <v>267</v>
      </c>
      <c r="J11" s="261"/>
      <c r="K11" s="261"/>
      <c r="L11" s="231"/>
      <c r="M11" s="231"/>
      <c r="N11" s="202"/>
    </row>
    <row r="12" spans="1:14">
      <c r="A12" s="231" t="s">
        <v>104</v>
      </c>
      <c r="B12" s="231"/>
      <c r="C12" s="231"/>
      <c r="D12" s="409">
        <v>100</v>
      </c>
      <c r="E12" s="245">
        <v>2.2400000000000002</v>
      </c>
      <c r="F12" s="261">
        <v>1.83</v>
      </c>
      <c r="G12" s="410">
        <v>1340</v>
      </c>
      <c r="H12" s="261">
        <v>2340</v>
      </c>
      <c r="I12" s="231"/>
      <c r="J12" s="261">
        <v>3420</v>
      </c>
      <c r="K12" s="261">
        <f t="shared" si="0"/>
        <v>5760</v>
      </c>
      <c r="L12" s="231"/>
      <c r="M12" s="231"/>
      <c r="N12" s="202"/>
    </row>
    <row r="13" spans="1:14">
      <c r="A13" s="231" t="s">
        <v>167</v>
      </c>
      <c r="B13" s="231"/>
      <c r="C13" s="231"/>
      <c r="D13" s="409">
        <v>100</v>
      </c>
      <c r="E13" s="261">
        <v>6.31</v>
      </c>
      <c r="F13" s="261">
        <v>3.91</v>
      </c>
      <c r="G13" s="410">
        <v>1293</v>
      </c>
      <c r="H13" s="261">
        <v>7320</v>
      </c>
      <c r="I13" s="231"/>
      <c r="J13" s="261"/>
      <c r="K13" s="261">
        <f t="shared" si="0"/>
        <v>7320</v>
      </c>
      <c r="L13" s="231"/>
      <c r="M13" s="231"/>
      <c r="N13" s="202"/>
    </row>
    <row r="14" spans="1:14">
      <c r="A14" s="231" t="s">
        <v>77</v>
      </c>
      <c r="B14" s="231"/>
      <c r="C14" s="231"/>
      <c r="D14" s="409">
        <v>73</v>
      </c>
      <c r="E14" s="245">
        <v>0.95</v>
      </c>
      <c r="F14" s="261">
        <v>0.7</v>
      </c>
      <c r="G14" s="410">
        <v>1454</v>
      </c>
      <c r="H14" s="261">
        <v>1454</v>
      </c>
      <c r="I14" s="231"/>
      <c r="J14" s="261">
        <v>2207</v>
      </c>
      <c r="K14" s="261">
        <f t="shared" si="0"/>
        <v>3661</v>
      </c>
      <c r="L14" s="231"/>
      <c r="M14" s="231"/>
      <c r="N14" s="202"/>
    </row>
    <row r="15" spans="1:14">
      <c r="A15" s="231" t="s">
        <v>416</v>
      </c>
      <c r="B15" s="231"/>
      <c r="C15" s="231"/>
      <c r="D15" s="409">
        <v>100</v>
      </c>
      <c r="E15" s="261">
        <v>4.6900000000000004</v>
      </c>
      <c r="F15" s="261">
        <v>3.09</v>
      </c>
      <c r="G15" s="410">
        <v>1270</v>
      </c>
      <c r="H15" s="261">
        <v>8710</v>
      </c>
      <c r="I15" s="261"/>
      <c r="J15" s="245"/>
      <c r="K15" s="261">
        <f t="shared" si="0"/>
        <v>8710</v>
      </c>
      <c r="L15" s="231"/>
      <c r="M15" s="231"/>
      <c r="N15" s="202"/>
    </row>
    <row r="16" spans="1:14">
      <c r="A16" s="231" t="s">
        <v>268</v>
      </c>
      <c r="B16" s="231"/>
      <c r="C16" s="231"/>
      <c r="D16" s="409"/>
      <c r="E16" s="261"/>
      <c r="F16" s="261"/>
      <c r="G16" s="410"/>
      <c r="H16" s="261"/>
      <c r="I16" s="261"/>
      <c r="J16" s="245"/>
      <c r="K16" s="261"/>
      <c r="L16" s="231"/>
      <c r="M16" s="231"/>
      <c r="N16" s="202"/>
    </row>
    <row r="17" spans="1:15">
      <c r="A17" s="231" t="s">
        <v>269</v>
      </c>
      <c r="B17" s="231"/>
      <c r="C17" s="231"/>
      <c r="D17" s="409">
        <v>67</v>
      </c>
      <c r="E17" s="261">
        <v>0.96</v>
      </c>
      <c r="F17" s="261">
        <v>0.65</v>
      </c>
      <c r="G17" s="410">
        <v>1354</v>
      </c>
      <c r="H17" s="261">
        <v>1560</v>
      </c>
      <c r="I17" s="261">
        <v>1999</v>
      </c>
      <c r="J17" s="245"/>
      <c r="K17" s="261">
        <f t="shared" ref="K17:K20" si="1">SUM(H17:J17)</f>
        <v>3559</v>
      </c>
      <c r="L17" s="231"/>
      <c r="M17" s="231"/>
      <c r="N17" s="202"/>
    </row>
    <row r="18" spans="1:15">
      <c r="A18" s="231" t="s">
        <v>272</v>
      </c>
      <c r="B18" s="231"/>
      <c r="C18" s="231"/>
      <c r="D18" s="409" t="s">
        <v>417</v>
      </c>
      <c r="E18" s="261" t="s">
        <v>273</v>
      </c>
      <c r="F18" s="261" t="s">
        <v>274</v>
      </c>
      <c r="G18" s="410" t="s">
        <v>271</v>
      </c>
      <c r="H18" s="261" t="s">
        <v>418</v>
      </c>
      <c r="I18" s="261"/>
      <c r="J18" s="245"/>
      <c r="K18" s="261"/>
      <c r="L18" s="231"/>
      <c r="M18" s="231"/>
      <c r="N18" s="202"/>
    </row>
    <row r="19" spans="1:15">
      <c r="A19" s="231" t="s">
        <v>244</v>
      </c>
      <c r="B19" s="231"/>
      <c r="C19" s="231"/>
      <c r="D19" s="409">
        <v>40</v>
      </c>
      <c r="E19" s="261">
        <v>1.1399999999999999</v>
      </c>
      <c r="F19" s="261">
        <v>0.98</v>
      </c>
      <c r="G19" s="410">
        <v>1223</v>
      </c>
      <c r="H19" s="261">
        <v>840</v>
      </c>
      <c r="I19" s="261"/>
      <c r="J19" s="245"/>
      <c r="K19" s="261">
        <f t="shared" si="1"/>
        <v>840</v>
      </c>
      <c r="L19" s="231"/>
      <c r="M19" s="231"/>
      <c r="N19" s="202"/>
    </row>
    <row r="20" spans="1:15">
      <c r="A20" s="231" t="s">
        <v>275</v>
      </c>
      <c r="B20" s="231"/>
      <c r="C20" s="231"/>
      <c r="D20" s="409">
        <v>70</v>
      </c>
      <c r="E20" s="245">
        <v>0.28000000000000003</v>
      </c>
      <c r="F20" s="261">
        <v>0.28000000000000003</v>
      </c>
      <c r="G20" s="410">
        <v>1200</v>
      </c>
      <c r="H20" s="261">
        <v>360</v>
      </c>
      <c r="I20" s="261">
        <v>813</v>
      </c>
      <c r="J20" s="261"/>
      <c r="K20" s="261">
        <f t="shared" si="1"/>
        <v>1173</v>
      </c>
      <c r="L20" s="231"/>
      <c r="M20" s="231"/>
      <c r="N20" s="202"/>
      <c r="O20" s="560"/>
    </row>
    <row r="21" spans="1:15">
      <c r="A21" s="233" t="s">
        <v>81</v>
      </c>
      <c r="B21" s="233"/>
      <c r="C21" s="233"/>
      <c r="D21" s="412"/>
      <c r="E21" s="413">
        <f>SUM(E8:E20)</f>
        <v>24.580000000000002</v>
      </c>
      <c r="F21" s="413">
        <f>SUM(F8:F20)</f>
        <v>17.77</v>
      </c>
      <c r="G21" s="413"/>
      <c r="H21" s="413">
        <f>SUM(H8:H20)</f>
        <v>32544</v>
      </c>
      <c r="I21" s="413">
        <f t="shared" ref="I21:K21" si="2">SUM(I8:I20)</f>
        <v>8955</v>
      </c>
      <c r="J21" s="413">
        <f t="shared" si="2"/>
        <v>12544</v>
      </c>
      <c r="K21" s="413">
        <f t="shared" si="2"/>
        <v>54043</v>
      </c>
      <c r="L21" s="413">
        <f>SUM(L8:L20)</f>
        <v>96</v>
      </c>
      <c r="M21" s="233"/>
      <c r="N21" s="202"/>
    </row>
    <row r="22" spans="1:15">
      <c r="A22" s="238" t="s">
        <v>82</v>
      </c>
      <c r="B22" s="238"/>
      <c r="C22" s="238"/>
      <c r="D22" s="414"/>
      <c r="E22" s="415">
        <f>SUM(E21-F21)</f>
        <v>6.8100000000000023</v>
      </c>
      <c r="F22" s="415"/>
      <c r="G22" s="415"/>
      <c r="H22" s="415">
        <f>SUM(E32*G32)</f>
        <v>9114</v>
      </c>
      <c r="I22" s="415">
        <v>8859</v>
      </c>
      <c r="J22" s="415">
        <f>J21-M21</f>
        <v>12544</v>
      </c>
      <c r="K22" s="415">
        <f>SUM(H22:J22)</f>
        <v>30517</v>
      </c>
      <c r="L22" s="238"/>
      <c r="M22" s="238"/>
      <c r="N22" s="202"/>
    </row>
    <row r="23" spans="1:15">
      <c r="A23" s="231" t="s">
        <v>276</v>
      </c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02"/>
    </row>
    <row r="24" spans="1:15">
      <c r="A24" s="231" t="s">
        <v>277</v>
      </c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02"/>
    </row>
    <row r="25" spans="1:15">
      <c r="A25" s="231"/>
      <c r="B25" s="231"/>
      <c r="C25" s="231" t="s">
        <v>36</v>
      </c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02"/>
    </row>
    <row r="26" spans="1:15">
      <c r="A26" s="231"/>
      <c r="B26" s="231"/>
      <c r="C26" s="231"/>
      <c r="D26" s="231"/>
      <c r="E26" s="231"/>
      <c r="F26" s="231"/>
      <c r="G26" s="231"/>
      <c r="H26" s="231"/>
      <c r="I26" s="231"/>
      <c r="J26" s="231" t="s">
        <v>53</v>
      </c>
      <c r="K26" s="231">
        <v>0.37</v>
      </c>
      <c r="L26" s="416"/>
      <c r="M26" s="231"/>
      <c r="N26" s="202"/>
    </row>
    <row r="27" spans="1:15">
      <c r="A27" s="231" t="s">
        <v>37</v>
      </c>
      <c r="B27" s="231"/>
      <c r="C27" s="231"/>
      <c r="D27" s="231"/>
      <c r="E27" s="231"/>
      <c r="F27" s="231"/>
      <c r="G27" s="231"/>
      <c r="H27" s="231"/>
      <c r="I27" s="231"/>
      <c r="J27" s="231" t="s">
        <v>54</v>
      </c>
      <c r="K27" s="261">
        <v>4</v>
      </c>
      <c r="L27" s="416"/>
      <c r="M27" s="231"/>
      <c r="N27" s="202"/>
    </row>
    <row r="28" spans="1:15">
      <c r="A28" s="258" t="s">
        <v>38</v>
      </c>
      <c r="B28" s="258"/>
      <c r="C28" s="258"/>
      <c r="D28" s="258" t="s">
        <v>39</v>
      </c>
      <c r="E28" s="258" t="s">
        <v>40</v>
      </c>
      <c r="F28" s="258"/>
      <c r="G28" s="258" t="s">
        <v>41</v>
      </c>
      <c r="H28" s="231"/>
      <c r="I28" s="231"/>
      <c r="J28" s="231"/>
      <c r="K28" s="231"/>
      <c r="L28" s="231"/>
      <c r="M28" s="231"/>
      <c r="N28" s="202"/>
    </row>
    <row r="29" spans="1:15">
      <c r="A29" s="231" t="s">
        <v>42</v>
      </c>
      <c r="B29" s="231"/>
      <c r="C29" s="231"/>
      <c r="D29" s="231"/>
      <c r="E29" s="231"/>
      <c r="F29" s="231"/>
      <c r="G29" s="231"/>
      <c r="H29" s="231"/>
      <c r="I29" s="231"/>
      <c r="J29" s="231" t="s">
        <v>43</v>
      </c>
      <c r="K29" s="231"/>
      <c r="L29" s="231"/>
      <c r="M29" s="231"/>
      <c r="N29" s="202"/>
    </row>
    <row r="30" spans="1:15">
      <c r="A30" s="231" t="s">
        <v>150</v>
      </c>
      <c r="B30" s="231"/>
      <c r="C30" s="231"/>
      <c r="D30" s="231" t="s">
        <v>46</v>
      </c>
      <c r="E30" s="231">
        <v>5.26</v>
      </c>
      <c r="F30" s="231"/>
      <c r="G30" s="245">
        <v>1315</v>
      </c>
      <c r="H30" s="231"/>
      <c r="I30" s="231"/>
      <c r="J30" s="231" t="s">
        <v>278</v>
      </c>
      <c r="K30" s="262">
        <v>53</v>
      </c>
      <c r="L30" s="231"/>
      <c r="M30" s="231"/>
      <c r="N30" s="202"/>
    </row>
    <row r="31" spans="1:15">
      <c r="A31" s="231" t="s">
        <v>48</v>
      </c>
      <c r="B31" s="231"/>
      <c r="C31" s="231"/>
      <c r="D31" s="231"/>
      <c r="E31" s="231"/>
      <c r="F31" s="231"/>
      <c r="G31" s="231"/>
      <c r="H31" s="231"/>
      <c r="I31" s="231"/>
      <c r="J31" s="231" t="s">
        <v>253</v>
      </c>
      <c r="K31" s="262">
        <v>23</v>
      </c>
      <c r="L31" s="416"/>
      <c r="M31" s="416"/>
      <c r="N31" s="202"/>
    </row>
    <row r="32" spans="1:15">
      <c r="A32" s="231" t="s">
        <v>50</v>
      </c>
      <c r="B32" s="231"/>
      <c r="C32" s="231"/>
      <c r="D32" s="231" t="s">
        <v>51</v>
      </c>
      <c r="E32" s="261">
        <v>7</v>
      </c>
      <c r="F32" s="231"/>
      <c r="G32" s="261">
        <v>1302</v>
      </c>
      <c r="H32" s="231"/>
      <c r="I32" s="231"/>
      <c r="J32" s="231" t="s">
        <v>117</v>
      </c>
      <c r="K32" s="262">
        <v>24</v>
      </c>
      <c r="L32" s="231"/>
      <c r="M32" s="231"/>
      <c r="N32" s="202"/>
    </row>
    <row r="33" spans="1:14">
      <c r="A33" s="231" t="s">
        <v>52</v>
      </c>
      <c r="B33" s="231"/>
      <c r="C33" s="231"/>
      <c r="D33" s="231" t="s">
        <v>51</v>
      </c>
      <c r="E33" s="261">
        <v>18</v>
      </c>
      <c r="F33" s="231"/>
      <c r="G33" s="231"/>
      <c r="H33" s="231"/>
      <c r="I33" s="231"/>
      <c r="J33" s="231"/>
      <c r="K33" s="417"/>
      <c r="L33" s="231"/>
      <c r="M33" s="231"/>
      <c r="N33" s="202"/>
    </row>
    <row r="34" spans="1:14">
      <c r="A34" s="231" t="s">
        <v>8</v>
      </c>
      <c r="B34" s="231"/>
      <c r="C34" s="231"/>
      <c r="D34" s="231"/>
      <c r="E34" s="261">
        <f>SUM(E32:E33)</f>
        <v>25</v>
      </c>
      <c r="F34" s="231"/>
      <c r="G34" s="231"/>
      <c r="H34" s="231"/>
      <c r="I34" s="231"/>
      <c r="J34" s="231"/>
      <c r="K34" s="231"/>
      <c r="L34" s="231"/>
      <c r="M34" s="231"/>
      <c r="N34" s="202"/>
    </row>
    <row r="35" spans="1:14">
      <c r="A35" s="233" t="s">
        <v>115</v>
      </c>
      <c r="B35" s="233"/>
      <c r="C35" s="233" t="s">
        <v>116</v>
      </c>
      <c r="D35" s="233"/>
      <c r="E35" s="233"/>
      <c r="F35" s="233"/>
      <c r="G35" s="233"/>
      <c r="H35" s="231"/>
      <c r="I35" s="231"/>
      <c r="J35" s="231"/>
      <c r="K35" s="231"/>
      <c r="L35" s="231"/>
      <c r="M35" s="231"/>
      <c r="N35" s="202"/>
    </row>
    <row r="36" spans="1:14">
      <c r="A36" s="231"/>
      <c r="B36" s="408" t="s">
        <v>119</v>
      </c>
      <c r="C36" s="263">
        <v>77</v>
      </c>
      <c r="D36" s="235" t="s">
        <v>46</v>
      </c>
      <c r="E36" s="264">
        <v>87</v>
      </c>
      <c r="F36" s="235"/>
      <c r="G36" s="264">
        <v>30</v>
      </c>
      <c r="H36" s="231"/>
      <c r="I36" s="231"/>
      <c r="J36" s="231"/>
      <c r="K36" s="231"/>
      <c r="L36" s="231"/>
      <c r="M36" s="231"/>
      <c r="N36" s="202"/>
    </row>
    <row r="37" spans="1:14">
      <c r="A37" s="231"/>
      <c r="B37" s="408" t="s">
        <v>120</v>
      </c>
      <c r="C37" s="263">
        <v>40</v>
      </c>
      <c r="D37" s="235" t="s">
        <v>46</v>
      </c>
      <c r="E37" s="264">
        <v>27</v>
      </c>
      <c r="F37" s="235"/>
      <c r="G37" s="264">
        <v>30</v>
      </c>
      <c r="H37" s="231"/>
      <c r="I37" s="231"/>
      <c r="J37" s="231"/>
      <c r="K37" s="231"/>
      <c r="L37" s="231"/>
      <c r="M37" s="231"/>
      <c r="N37" s="202"/>
    </row>
    <row r="38" spans="1:14">
      <c r="A38" s="231"/>
      <c r="B38" s="408"/>
      <c r="C38" s="263"/>
      <c r="D38" s="235"/>
      <c r="E38" s="264"/>
      <c r="F38" s="235"/>
      <c r="G38" s="264"/>
      <c r="H38" s="231"/>
      <c r="I38" s="231"/>
      <c r="J38" s="231"/>
      <c r="K38" s="231"/>
      <c r="L38" s="231"/>
      <c r="M38" s="231"/>
      <c r="N38" s="202"/>
    </row>
    <row r="39" spans="1:14">
      <c r="A39" s="233" t="s">
        <v>55</v>
      </c>
      <c r="B39" s="233"/>
      <c r="C39" s="233"/>
      <c r="D39" s="233"/>
      <c r="E39" s="233"/>
      <c r="F39" s="233"/>
      <c r="G39" s="418" t="s">
        <v>123</v>
      </c>
      <c r="H39" s="419" t="s">
        <v>124</v>
      </c>
      <c r="I39" s="231"/>
      <c r="J39" s="231"/>
      <c r="K39" s="231"/>
      <c r="L39" s="231"/>
      <c r="M39" s="231"/>
      <c r="N39" s="202"/>
    </row>
    <row r="40" spans="1:14">
      <c r="A40" s="235" t="s">
        <v>85</v>
      </c>
      <c r="B40" s="235"/>
      <c r="C40" s="235"/>
      <c r="D40" s="235"/>
      <c r="E40" s="235"/>
      <c r="F40" s="235"/>
      <c r="G40" s="269">
        <v>976</v>
      </c>
      <c r="H40" s="261">
        <v>2412</v>
      </c>
      <c r="I40" s="231"/>
      <c r="J40" s="231"/>
      <c r="K40" s="231"/>
      <c r="L40" s="231"/>
      <c r="M40" s="231"/>
      <c r="N40" s="202"/>
    </row>
    <row r="41" spans="1:14">
      <c r="A41" s="235" t="s">
        <v>60</v>
      </c>
      <c r="B41" s="235"/>
      <c r="C41" s="235"/>
      <c r="D41" s="235"/>
      <c r="E41" s="235"/>
      <c r="F41" s="235"/>
      <c r="G41" s="271">
        <v>43.4</v>
      </c>
      <c r="H41" s="261"/>
      <c r="I41" s="231"/>
      <c r="J41" s="231"/>
      <c r="K41" s="231"/>
      <c r="L41" s="231"/>
      <c r="M41" s="231"/>
      <c r="N41" s="202"/>
    </row>
    <row r="42" spans="1:14">
      <c r="A42" s="235" t="s">
        <v>86</v>
      </c>
      <c r="B42" s="235"/>
      <c r="C42" s="235"/>
      <c r="D42" s="235"/>
      <c r="E42" s="235"/>
      <c r="F42" s="235"/>
      <c r="G42" s="561">
        <f>SUM(G40*G41)</f>
        <v>42358.400000000001</v>
      </c>
      <c r="H42" s="261">
        <v>104668</v>
      </c>
      <c r="I42" s="231"/>
      <c r="J42" s="231"/>
      <c r="K42" s="231"/>
      <c r="L42" s="231"/>
      <c r="M42" s="231"/>
      <c r="N42" s="202"/>
    </row>
    <row r="43" spans="1:14">
      <c r="A43" s="235" t="s">
        <v>87</v>
      </c>
      <c r="B43" s="235"/>
      <c r="C43" s="235"/>
      <c r="D43" s="235"/>
      <c r="E43" s="235"/>
      <c r="F43" s="235"/>
      <c r="G43" s="561">
        <f>SUM(G42-K21)</f>
        <v>-11684.599999999999</v>
      </c>
      <c r="H43" s="420">
        <v>-28873</v>
      </c>
      <c r="I43" s="261"/>
      <c r="J43" s="231"/>
      <c r="K43" s="231"/>
      <c r="L43" s="231"/>
      <c r="M43" s="231"/>
      <c r="N43" s="202"/>
    </row>
    <row r="44" spans="1:14">
      <c r="A44" s="235" t="s">
        <v>88</v>
      </c>
      <c r="B44" s="235"/>
      <c r="C44" s="235"/>
      <c r="D44" s="235"/>
      <c r="E44" s="235"/>
      <c r="F44" s="235"/>
      <c r="G44" s="561">
        <f>SUM(G42-K22)</f>
        <v>11841.400000000001</v>
      </c>
      <c r="H44" s="261">
        <v>29260</v>
      </c>
      <c r="I44" s="231"/>
      <c r="J44" s="231"/>
      <c r="K44" s="231"/>
      <c r="L44" s="231"/>
      <c r="M44" s="231"/>
      <c r="N44" s="202"/>
    </row>
    <row r="45" spans="1:14">
      <c r="A45" s="235" t="s">
        <v>89</v>
      </c>
      <c r="B45" s="235"/>
      <c r="C45" s="235"/>
      <c r="D45" s="235"/>
      <c r="E45" s="235"/>
      <c r="F45" s="235"/>
      <c r="G45" s="271">
        <f>SUM(K21/G40)</f>
        <v>55.371926229508198</v>
      </c>
      <c r="H45" s="231"/>
      <c r="I45" s="231"/>
      <c r="J45" s="231"/>
      <c r="K45" s="231"/>
      <c r="L45" s="231"/>
      <c r="M45" s="231"/>
      <c r="N45" s="202"/>
    </row>
    <row r="46" spans="1:14">
      <c r="A46" s="238" t="s">
        <v>90</v>
      </c>
      <c r="B46" s="238"/>
      <c r="C46" s="238"/>
      <c r="D46" s="238"/>
      <c r="E46" s="238"/>
      <c r="F46" s="238"/>
      <c r="G46" s="272">
        <f>SUM(K22/G40)</f>
        <v>31.267418032786885</v>
      </c>
      <c r="H46" s="231"/>
      <c r="I46" s="231"/>
      <c r="J46" s="231"/>
      <c r="K46" s="231"/>
      <c r="L46" s="231"/>
      <c r="M46" s="231"/>
      <c r="N46" s="202"/>
    </row>
    <row r="47" spans="1:14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02"/>
    </row>
    <row r="48" spans="1:14">
      <c r="A48" s="231" t="s">
        <v>91</v>
      </c>
      <c r="B48" s="231"/>
      <c r="C48" s="421" t="s">
        <v>279</v>
      </c>
      <c r="D48" s="422"/>
      <c r="E48" s="422"/>
      <c r="F48" s="231"/>
      <c r="G48" s="231"/>
      <c r="H48" s="231"/>
      <c r="I48" s="231"/>
      <c r="J48" s="231"/>
      <c r="K48" s="231"/>
      <c r="L48" s="231"/>
      <c r="M48" s="231"/>
      <c r="N48" s="202"/>
    </row>
    <row r="49" spans="1:14">
      <c r="A49" s="231"/>
      <c r="B49" s="231"/>
      <c r="C49" s="422" t="s">
        <v>280</v>
      </c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02"/>
    </row>
    <row r="50" spans="1:14">
      <c r="A50" s="423"/>
      <c r="B50" s="206"/>
      <c r="C50" s="206"/>
      <c r="D50" s="206"/>
      <c r="E50" s="206"/>
      <c r="F50" s="206"/>
      <c r="G50" s="229"/>
      <c r="H50" s="202"/>
      <c r="I50" s="202"/>
      <c r="J50" s="202"/>
      <c r="K50" s="202"/>
      <c r="L50" s="202"/>
      <c r="M50" s="202"/>
      <c r="N50" s="202"/>
    </row>
    <row r="51" spans="1:14">
      <c r="A51" s="423"/>
      <c r="B51" s="206"/>
      <c r="C51" s="206"/>
      <c r="D51" s="206"/>
      <c r="E51" s="206"/>
      <c r="F51" s="206"/>
      <c r="G51" s="229"/>
      <c r="H51" s="202"/>
      <c r="I51" s="202"/>
      <c r="J51" s="202"/>
      <c r="K51" s="202"/>
      <c r="L51" s="202"/>
      <c r="M51" s="202"/>
      <c r="N51" s="202"/>
    </row>
    <row r="52" spans="1:14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</row>
    <row r="53" spans="1:14">
      <c r="A53" s="202"/>
      <c r="B53" s="202"/>
      <c r="C53" s="222"/>
      <c r="D53" s="222"/>
      <c r="E53" s="222"/>
      <c r="F53" s="202"/>
      <c r="G53" s="202"/>
      <c r="H53" s="202"/>
      <c r="I53" s="202"/>
      <c r="J53" s="202"/>
      <c r="K53" s="202"/>
      <c r="L53" s="202"/>
      <c r="M53" s="202"/>
      <c r="N53" s="202"/>
    </row>
    <row r="54" spans="1:14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</row>
    <row r="55" spans="1:14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28" workbookViewId="0">
      <selection activeCell="I46" sqref="I46"/>
    </sheetView>
  </sheetViews>
  <sheetFormatPr defaultRowHeight="15"/>
  <cols>
    <col min="1" max="1" width="6.42578125" style="38" customWidth="1"/>
    <col min="2" max="2" width="7.28515625" style="38" customWidth="1"/>
    <col min="3" max="3" width="14.28515625" style="38" customWidth="1"/>
    <col min="4" max="4" width="7" style="38" customWidth="1"/>
    <col min="5" max="5" width="6" style="38" customWidth="1"/>
    <col min="6" max="6" width="6.140625" style="38" customWidth="1"/>
    <col min="7" max="7" width="10.85546875" style="38" customWidth="1"/>
    <col min="8" max="8" width="9.5703125" style="38" bestFit="1" customWidth="1"/>
    <col min="9" max="9" width="10.28515625" style="38" customWidth="1"/>
    <col min="10" max="10" width="10" style="38" customWidth="1"/>
    <col min="11" max="11" width="8.85546875" style="38" customWidth="1"/>
    <col min="12" max="12" width="4.85546875" style="38" customWidth="1"/>
    <col min="13" max="13" width="3.7109375" style="38" customWidth="1"/>
    <col min="14" max="16384" width="9.140625" style="38"/>
  </cols>
  <sheetData>
    <row r="1" spans="1:13">
      <c r="A1" s="424" t="s">
        <v>0</v>
      </c>
      <c r="B1" s="424" t="s">
        <v>281</v>
      </c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</row>
    <row r="2" spans="1:13">
      <c r="A2" s="424"/>
      <c r="B2" s="424" t="s">
        <v>233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</row>
    <row r="3" spans="1:13">
      <c r="A3" s="424"/>
      <c r="B3" s="424" t="s">
        <v>282</v>
      </c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</row>
    <row r="4" spans="1:13">
      <c r="A4" s="425" t="s">
        <v>6</v>
      </c>
      <c r="B4" s="425"/>
      <c r="C4" s="425"/>
      <c r="D4" s="426" t="s">
        <v>7</v>
      </c>
      <c r="E4" s="426" t="s">
        <v>8</v>
      </c>
      <c r="F4" s="426" t="s">
        <v>9</v>
      </c>
      <c r="G4" s="426" t="s">
        <v>10</v>
      </c>
      <c r="H4" s="426" t="s">
        <v>11</v>
      </c>
      <c r="I4" s="426" t="s">
        <v>12</v>
      </c>
      <c r="J4" s="426" t="s">
        <v>13</v>
      </c>
      <c r="K4" s="426" t="s">
        <v>14</v>
      </c>
      <c r="L4" s="427" t="s">
        <v>71</v>
      </c>
      <c r="M4" s="426"/>
    </row>
    <row r="5" spans="1:13">
      <c r="A5" s="428"/>
      <c r="B5" s="428"/>
      <c r="C5" s="428"/>
      <c r="D5" s="429" t="s">
        <v>16</v>
      </c>
      <c r="E5" s="429" t="s">
        <v>17</v>
      </c>
      <c r="F5" s="429" t="s">
        <v>17</v>
      </c>
      <c r="G5" s="429" t="s">
        <v>18</v>
      </c>
      <c r="H5" s="429" t="s">
        <v>19</v>
      </c>
      <c r="I5" s="429" t="s">
        <v>20</v>
      </c>
      <c r="J5" s="429" t="s">
        <v>19</v>
      </c>
      <c r="K5" s="429" t="s">
        <v>19</v>
      </c>
      <c r="L5" s="430" t="s">
        <v>12</v>
      </c>
      <c r="M5" s="429" t="s">
        <v>13</v>
      </c>
    </row>
    <row r="6" spans="1:13">
      <c r="A6" s="428"/>
      <c r="B6" s="428"/>
      <c r="C6" s="428"/>
      <c r="D6" s="429" t="s">
        <v>22</v>
      </c>
      <c r="E6" s="429"/>
      <c r="F6" s="429"/>
      <c r="G6" s="429"/>
      <c r="H6" s="429" t="s">
        <v>23</v>
      </c>
      <c r="I6" s="429" t="s">
        <v>19</v>
      </c>
      <c r="J6" s="429" t="s">
        <v>23</v>
      </c>
      <c r="K6" s="429" t="s">
        <v>23</v>
      </c>
      <c r="L6" s="429"/>
      <c r="M6" s="429"/>
    </row>
    <row r="7" spans="1:13">
      <c r="A7" s="431"/>
      <c r="B7" s="431"/>
      <c r="C7" s="431"/>
      <c r="D7" s="432"/>
      <c r="E7" s="432"/>
      <c r="F7" s="432"/>
      <c r="G7" s="432"/>
      <c r="H7" s="432"/>
      <c r="I7" s="432" t="s">
        <v>23</v>
      </c>
      <c r="J7" s="432"/>
      <c r="K7" s="432"/>
      <c r="L7" s="432"/>
      <c r="M7" s="432"/>
    </row>
    <row r="8" spans="1:13">
      <c r="A8" s="424" t="s">
        <v>260</v>
      </c>
      <c r="B8" s="424"/>
      <c r="C8" s="424"/>
      <c r="D8" s="433">
        <v>50</v>
      </c>
      <c r="E8" s="87">
        <v>4.3</v>
      </c>
      <c r="F8" s="87">
        <v>0.9</v>
      </c>
      <c r="G8" s="434">
        <v>1237</v>
      </c>
      <c r="H8" s="87">
        <v>2845</v>
      </c>
      <c r="I8" s="424"/>
      <c r="J8" s="87"/>
      <c r="K8" s="87">
        <f>SUM(H8:J8)</f>
        <v>2845</v>
      </c>
      <c r="L8" s="424"/>
      <c r="M8" s="424"/>
    </row>
    <row r="9" spans="1:13">
      <c r="A9" s="424" t="s">
        <v>283</v>
      </c>
      <c r="B9" s="424"/>
      <c r="C9" s="424"/>
      <c r="D9" s="433">
        <v>100</v>
      </c>
      <c r="E9" s="87">
        <v>0.6</v>
      </c>
      <c r="F9" s="87">
        <v>0.6</v>
      </c>
      <c r="G9" s="434">
        <v>1200</v>
      </c>
      <c r="H9" s="87">
        <v>720</v>
      </c>
      <c r="I9" s="87">
        <v>6368</v>
      </c>
      <c r="J9" s="87"/>
      <c r="K9" s="87">
        <f t="shared" ref="K9:K18" si="0">SUM(H9:J9)</f>
        <v>7088</v>
      </c>
      <c r="L9" s="424"/>
      <c r="M9" s="424"/>
    </row>
    <row r="10" spans="1:13">
      <c r="A10" s="424" t="s">
        <v>284</v>
      </c>
      <c r="B10" s="424"/>
      <c r="C10" s="424"/>
      <c r="D10" s="433">
        <v>100</v>
      </c>
      <c r="E10" s="87"/>
      <c r="F10" s="87"/>
      <c r="G10" s="434"/>
      <c r="H10" s="87">
        <v>0</v>
      </c>
      <c r="I10" s="87">
        <v>2217</v>
      </c>
      <c r="J10" s="87"/>
      <c r="K10" s="87">
        <f t="shared" si="0"/>
        <v>2217</v>
      </c>
      <c r="L10" s="424"/>
      <c r="M10" s="424"/>
    </row>
    <row r="11" spans="1:13">
      <c r="A11" s="424" t="s">
        <v>45</v>
      </c>
      <c r="B11" s="424"/>
      <c r="C11" s="424"/>
      <c r="D11" s="433">
        <v>100</v>
      </c>
      <c r="E11" s="87">
        <v>2.4</v>
      </c>
      <c r="F11" s="87">
        <v>0.3</v>
      </c>
      <c r="G11" s="434">
        <v>1268</v>
      </c>
      <c r="H11" s="87">
        <v>3714</v>
      </c>
      <c r="I11" s="424"/>
      <c r="J11" s="435">
        <v>6599</v>
      </c>
      <c r="K11" s="87">
        <f t="shared" si="0"/>
        <v>10313</v>
      </c>
      <c r="L11" s="424"/>
      <c r="M11" s="424"/>
    </row>
    <row r="12" spans="1:13">
      <c r="A12" s="424" t="s">
        <v>104</v>
      </c>
      <c r="B12" s="424"/>
      <c r="C12" s="424"/>
      <c r="D12" s="433">
        <v>100</v>
      </c>
      <c r="E12" s="87">
        <v>1.6</v>
      </c>
      <c r="F12" s="87">
        <v>0.6</v>
      </c>
      <c r="G12" s="434">
        <v>1264</v>
      </c>
      <c r="H12" s="87">
        <v>2577</v>
      </c>
      <c r="I12" s="424"/>
      <c r="J12" s="435">
        <v>4440</v>
      </c>
      <c r="K12" s="87">
        <f t="shared" si="0"/>
        <v>7017</v>
      </c>
      <c r="L12" s="424"/>
      <c r="M12" s="424"/>
    </row>
    <row r="13" spans="1:13">
      <c r="A13" s="424" t="s">
        <v>285</v>
      </c>
      <c r="B13" s="424"/>
      <c r="C13" s="424"/>
      <c r="D13" s="433">
        <v>47</v>
      </c>
      <c r="E13" s="87">
        <v>2.7</v>
      </c>
      <c r="F13" s="87">
        <v>0.4</v>
      </c>
      <c r="G13" s="434">
        <v>1255</v>
      </c>
      <c r="H13" s="87">
        <v>4410</v>
      </c>
      <c r="I13" s="424"/>
      <c r="J13" s="435"/>
      <c r="K13" s="87">
        <f t="shared" si="0"/>
        <v>4410</v>
      </c>
      <c r="L13" s="424"/>
      <c r="M13" s="424"/>
    </row>
    <row r="14" spans="1:13">
      <c r="A14" s="424" t="s">
        <v>105</v>
      </c>
      <c r="B14" s="424"/>
      <c r="C14" s="424"/>
      <c r="D14" s="433">
        <v>60</v>
      </c>
      <c r="E14" s="87">
        <v>0.3</v>
      </c>
      <c r="F14" s="87">
        <v>0.1</v>
      </c>
      <c r="G14" s="434">
        <v>1271</v>
      </c>
      <c r="H14" s="87">
        <v>381</v>
      </c>
      <c r="I14" s="424"/>
      <c r="J14" s="87">
        <v>2286</v>
      </c>
      <c r="K14" s="87">
        <f t="shared" si="0"/>
        <v>2667</v>
      </c>
      <c r="L14" s="424"/>
      <c r="M14" s="424"/>
    </row>
    <row r="15" spans="1:13">
      <c r="A15" s="424" t="s">
        <v>28</v>
      </c>
      <c r="B15" s="424"/>
      <c r="C15" s="424"/>
      <c r="D15" s="433">
        <v>47</v>
      </c>
      <c r="E15" s="87">
        <v>0.2</v>
      </c>
      <c r="F15" s="87">
        <v>0.16</v>
      </c>
      <c r="G15" s="434">
        <v>1271</v>
      </c>
      <c r="H15" s="87">
        <v>254</v>
      </c>
      <c r="I15" s="424"/>
      <c r="J15" s="87">
        <v>1953</v>
      </c>
      <c r="K15" s="87">
        <f t="shared" si="0"/>
        <v>2207</v>
      </c>
      <c r="L15" s="424"/>
      <c r="M15" s="424"/>
    </row>
    <row r="16" spans="1:13">
      <c r="A16" s="424" t="s">
        <v>217</v>
      </c>
      <c r="B16" s="424"/>
      <c r="C16" s="424"/>
      <c r="D16" s="433">
        <v>100</v>
      </c>
      <c r="E16" s="87">
        <v>3.9</v>
      </c>
      <c r="F16" s="87">
        <v>0.7</v>
      </c>
      <c r="G16" s="434">
        <v>1259</v>
      </c>
      <c r="H16" s="87">
        <v>7244</v>
      </c>
      <c r="I16" s="424"/>
      <c r="J16" s="87"/>
      <c r="K16" s="87">
        <f t="shared" si="0"/>
        <v>7244</v>
      </c>
      <c r="L16" s="424"/>
      <c r="M16" s="424"/>
    </row>
    <row r="17" spans="1:13">
      <c r="A17" s="424" t="s">
        <v>286</v>
      </c>
      <c r="B17" s="424"/>
      <c r="C17" s="424"/>
      <c r="D17" s="433">
        <v>100</v>
      </c>
      <c r="E17" s="87">
        <v>1.4</v>
      </c>
      <c r="F17" s="87">
        <v>0.3</v>
      </c>
      <c r="G17" s="434">
        <v>1254</v>
      </c>
      <c r="H17" s="87">
        <v>1756</v>
      </c>
      <c r="I17" s="87">
        <v>2099</v>
      </c>
      <c r="J17" s="87"/>
      <c r="K17" s="87">
        <f t="shared" si="0"/>
        <v>3855</v>
      </c>
      <c r="L17" s="424"/>
      <c r="M17" s="424"/>
    </row>
    <row r="18" spans="1:13">
      <c r="A18" s="424" t="s">
        <v>287</v>
      </c>
      <c r="B18" s="424"/>
      <c r="C18" s="424"/>
      <c r="D18" s="433">
        <v>77</v>
      </c>
      <c r="E18" s="87">
        <v>0.05</v>
      </c>
      <c r="F18" s="87">
        <v>0.03</v>
      </c>
      <c r="G18" s="434">
        <v>1250</v>
      </c>
      <c r="H18" s="87">
        <v>250</v>
      </c>
      <c r="I18" s="87">
        <v>1124</v>
      </c>
      <c r="J18" s="87"/>
      <c r="K18" s="87">
        <f t="shared" si="0"/>
        <v>1374</v>
      </c>
      <c r="L18" s="424"/>
      <c r="M18" s="424"/>
    </row>
    <row r="19" spans="1:13">
      <c r="A19" s="425" t="s">
        <v>81</v>
      </c>
      <c r="B19" s="425"/>
      <c r="C19" s="425"/>
      <c r="D19" s="436"/>
      <c r="E19" s="437">
        <v>20</v>
      </c>
      <c r="F19" s="437">
        <f>SUM(F8:F18)</f>
        <v>4.09</v>
      </c>
      <c r="G19" s="437"/>
      <c r="H19" s="437">
        <f>SUM(H8:H18)</f>
        <v>24151</v>
      </c>
      <c r="I19" s="437">
        <f t="shared" ref="I19:K19" si="1">SUM(I8:I18)</f>
        <v>11808</v>
      </c>
      <c r="J19" s="437">
        <f t="shared" si="1"/>
        <v>15278</v>
      </c>
      <c r="K19" s="437">
        <f t="shared" si="1"/>
        <v>51237</v>
      </c>
      <c r="L19" s="437">
        <f>+I19-I20</f>
        <v>79</v>
      </c>
      <c r="M19" s="425">
        <f>SUM(M8:M18)</f>
        <v>0</v>
      </c>
    </row>
    <row r="20" spans="1:13">
      <c r="A20" s="431" t="s">
        <v>82</v>
      </c>
      <c r="B20" s="431"/>
      <c r="C20" s="431"/>
      <c r="D20" s="438"/>
      <c r="E20" s="439">
        <f>SUM(E19-F19)</f>
        <v>15.91</v>
      </c>
      <c r="F20" s="439"/>
      <c r="G20" s="439"/>
      <c r="H20" s="439">
        <f>+E30*G30</f>
        <v>18120</v>
      </c>
      <c r="I20" s="439">
        <v>11729</v>
      </c>
      <c r="J20" s="439">
        <v>15278</v>
      </c>
      <c r="K20" s="439">
        <f>SUM(H20:J20)</f>
        <v>45127</v>
      </c>
      <c r="L20" s="431"/>
      <c r="M20" s="431"/>
    </row>
    <row r="21" spans="1:13">
      <c r="A21" s="424"/>
      <c r="B21" s="424"/>
      <c r="C21" s="424"/>
      <c r="D21" s="424"/>
      <c r="E21" s="424"/>
      <c r="F21" s="424"/>
      <c r="G21" s="424"/>
      <c r="H21" s="424"/>
      <c r="I21" s="424"/>
      <c r="J21" s="424"/>
      <c r="K21" s="424"/>
      <c r="L21" s="424"/>
      <c r="M21" s="424"/>
    </row>
    <row r="22" spans="1:13">
      <c r="A22" s="424"/>
      <c r="B22" s="424"/>
      <c r="C22" s="424"/>
      <c r="D22" s="424"/>
      <c r="E22" s="424"/>
      <c r="F22" s="424"/>
      <c r="G22" s="424"/>
      <c r="H22" s="424"/>
      <c r="I22" s="424"/>
      <c r="J22" s="424"/>
      <c r="K22" s="424"/>
      <c r="L22" s="424"/>
      <c r="M22" s="424"/>
    </row>
    <row r="23" spans="1:13">
      <c r="A23" s="424"/>
      <c r="B23" s="424"/>
      <c r="C23" s="424" t="s">
        <v>36</v>
      </c>
      <c r="D23" s="424"/>
      <c r="E23" s="424"/>
      <c r="F23" s="424"/>
      <c r="G23" s="424"/>
      <c r="H23" s="424"/>
      <c r="I23" s="424"/>
      <c r="J23" s="424"/>
      <c r="K23" s="424"/>
      <c r="L23" s="424"/>
      <c r="M23" s="424"/>
    </row>
    <row r="24" spans="1:13">
      <c r="A24" s="424" t="s">
        <v>37</v>
      </c>
      <c r="B24" s="424"/>
      <c r="C24" s="424"/>
      <c r="D24" s="424"/>
      <c r="E24" s="424"/>
      <c r="F24" s="424"/>
      <c r="G24" s="424"/>
      <c r="H24" s="424"/>
      <c r="I24" s="424"/>
      <c r="J24" s="424"/>
      <c r="K24" s="424"/>
      <c r="L24" s="424"/>
      <c r="M24" s="424"/>
    </row>
    <row r="25" spans="1:13">
      <c r="A25" s="440" t="s">
        <v>38</v>
      </c>
      <c r="B25" s="440"/>
      <c r="C25" s="440"/>
      <c r="D25" s="440" t="s">
        <v>39</v>
      </c>
      <c r="E25" s="440" t="s">
        <v>40</v>
      </c>
      <c r="F25" s="440"/>
      <c r="G25" s="440" t="s">
        <v>41</v>
      </c>
      <c r="H25" s="424"/>
      <c r="I25" s="424"/>
      <c r="J25" s="441" t="s">
        <v>53</v>
      </c>
      <c r="K25" s="442">
        <v>5.0999999999999996</v>
      </c>
      <c r="L25" s="424"/>
      <c r="M25" s="424"/>
    </row>
    <row r="26" spans="1:13">
      <c r="A26" s="424" t="s">
        <v>42</v>
      </c>
      <c r="B26" s="424"/>
      <c r="C26" s="424"/>
      <c r="D26" s="424"/>
      <c r="E26" s="424"/>
      <c r="F26" s="424"/>
      <c r="G26" s="424"/>
      <c r="H26" s="424"/>
      <c r="I26" s="424"/>
      <c r="J26" s="441" t="s">
        <v>54</v>
      </c>
      <c r="K26" s="443">
        <v>3</v>
      </c>
      <c r="L26" s="424"/>
      <c r="M26" s="424"/>
    </row>
    <row r="27" spans="1:13">
      <c r="A27" s="424" t="s">
        <v>226</v>
      </c>
      <c r="B27" s="424"/>
      <c r="C27" s="424"/>
      <c r="D27" s="424" t="s">
        <v>46</v>
      </c>
      <c r="E27" s="424">
        <v>5.3</v>
      </c>
      <c r="F27" s="424"/>
      <c r="G27" s="87">
        <v>1245</v>
      </c>
      <c r="H27" s="424"/>
      <c r="I27" s="424"/>
      <c r="J27" s="424"/>
      <c r="K27" s="424"/>
      <c r="L27" s="424"/>
      <c r="M27" s="424"/>
    </row>
    <row r="28" spans="1:13">
      <c r="A28" s="424"/>
      <c r="B28" s="424"/>
      <c r="C28" s="424"/>
      <c r="D28" s="424"/>
      <c r="E28" s="424"/>
      <c r="F28" s="424"/>
      <c r="G28" s="424"/>
      <c r="H28" s="424"/>
      <c r="I28" s="424"/>
      <c r="J28" s="336" t="s">
        <v>219</v>
      </c>
      <c r="K28" s="336"/>
      <c r="L28" s="424"/>
      <c r="M28" s="424"/>
    </row>
    <row r="29" spans="1:13">
      <c r="A29" s="424" t="s">
        <v>48</v>
      </c>
      <c r="B29" s="424"/>
      <c r="C29" s="424"/>
      <c r="D29" s="424"/>
      <c r="E29" s="424"/>
      <c r="F29" s="424"/>
      <c r="G29" s="424"/>
      <c r="H29" s="424"/>
      <c r="I29" s="424"/>
      <c r="J29" s="337" t="s">
        <v>288</v>
      </c>
      <c r="K29" s="338">
        <v>57</v>
      </c>
      <c r="L29" s="424"/>
      <c r="M29" s="424"/>
    </row>
    <row r="30" spans="1:13">
      <c r="A30" s="424" t="s">
        <v>50</v>
      </c>
      <c r="B30" s="424"/>
      <c r="C30" s="424"/>
      <c r="D30" s="424" t="s">
        <v>51</v>
      </c>
      <c r="E30" s="424">
        <v>15</v>
      </c>
      <c r="F30" s="424"/>
      <c r="G30" s="87">
        <v>1208</v>
      </c>
      <c r="H30" s="424"/>
      <c r="I30" s="424"/>
      <c r="J30" s="337" t="s">
        <v>289</v>
      </c>
      <c r="K30" s="338">
        <v>43</v>
      </c>
      <c r="L30" s="424"/>
      <c r="M30" s="424"/>
    </row>
    <row r="31" spans="1:13">
      <c r="A31" s="424" t="s">
        <v>52</v>
      </c>
      <c r="B31" s="424"/>
      <c r="C31" s="424"/>
      <c r="D31" s="424" t="s">
        <v>51</v>
      </c>
      <c r="E31" s="424">
        <v>5</v>
      </c>
      <c r="F31" s="424"/>
      <c r="G31" s="424"/>
      <c r="H31" s="424"/>
      <c r="I31" s="424"/>
      <c r="J31" s="424"/>
      <c r="K31" s="424"/>
      <c r="L31" s="424"/>
      <c r="M31" s="424"/>
    </row>
    <row r="32" spans="1:13">
      <c r="A32" s="424" t="s">
        <v>8</v>
      </c>
      <c r="B32" s="424"/>
      <c r="C32" s="424"/>
      <c r="D32" s="424"/>
      <c r="E32" s="424">
        <v>20</v>
      </c>
      <c r="F32" s="424"/>
      <c r="G32" s="424"/>
      <c r="H32" s="424"/>
      <c r="I32" s="424"/>
      <c r="J32" s="424"/>
      <c r="K32" s="424"/>
      <c r="L32" s="424"/>
      <c r="M32" s="424"/>
    </row>
    <row r="33" spans="1:13">
      <c r="A33" s="425" t="s">
        <v>115</v>
      </c>
      <c r="B33" s="425"/>
      <c r="C33" s="425" t="s">
        <v>116</v>
      </c>
      <c r="D33" s="425"/>
      <c r="E33" s="425"/>
      <c r="F33" s="425"/>
      <c r="G33" s="425"/>
      <c r="H33" s="424"/>
      <c r="I33" s="424"/>
      <c r="J33" s="424"/>
      <c r="K33" s="424"/>
      <c r="L33" s="424"/>
      <c r="M33" s="424"/>
    </row>
    <row r="34" spans="1:13">
      <c r="A34" s="424" t="s">
        <v>290</v>
      </c>
      <c r="B34" s="430" t="s">
        <v>291</v>
      </c>
      <c r="C34" s="444">
        <v>97</v>
      </c>
      <c r="D34" s="429" t="s">
        <v>46</v>
      </c>
      <c r="E34" s="428">
        <v>114</v>
      </c>
      <c r="F34" s="428"/>
      <c r="G34" s="435">
        <v>30</v>
      </c>
      <c r="H34" s="424"/>
      <c r="I34" s="424"/>
      <c r="J34" s="424"/>
      <c r="K34" s="424"/>
      <c r="L34" s="424"/>
      <c r="M34" s="424"/>
    </row>
    <row r="35" spans="1:13" ht="17.25" customHeight="1">
      <c r="A35" s="428"/>
      <c r="B35" s="430" t="s">
        <v>292</v>
      </c>
      <c r="C35" s="444">
        <v>67</v>
      </c>
      <c r="D35" s="429" t="s">
        <v>46</v>
      </c>
      <c r="E35" s="428">
        <v>34</v>
      </c>
      <c r="F35" s="428"/>
      <c r="G35" s="435">
        <v>30</v>
      </c>
      <c r="H35" s="424"/>
      <c r="I35" s="424"/>
      <c r="J35" s="424"/>
      <c r="K35" s="424"/>
      <c r="L35" s="424"/>
      <c r="M35" s="424"/>
    </row>
    <row r="36" spans="1:13" ht="17.25" customHeight="1">
      <c r="A36" s="428"/>
      <c r="B36" s="430"/>
      <c r="C36" s="444"/>
      <c r="D36" s="429"/>
      <c r="E36" s="428"/>
      <c r="F36" s="428"/>
      <c r="G36" s="435"/>
      <c r="H36" s="424"/>
      <c r="I36" s="424"/>
      <c r="J36" s="424"/>
      <c r="K36" s="424"/>
      <c r="L36" s="424"/>
      <c r="M36" s="424"/>
    </row>
    <row r="37" spans="1:13">
      <c r="A37" s="425" t="s">
        <v>55</v>
      </c>
      <c r="B37" s="425"/>
      <c r="C37" s="425"/>
      <c r="D37" s="425"/>
      <c r="E37" s="425"/>
      <c r="F37" s="425"/>
      <c r="G37" s="425"/>
      <c r="H37" s="445" t="s">
        <v>124</v>
      </c>
      <c r="I37" s="424"/>
      <c r="J37" s="424"/>
      <c r="K37" s="424"/>
      <c r="L37" s="424"/>
      <c r="M37" s="424"/>
    </row>
    <row r="38" spans="1:13">
      <c r="A38" s="428" t="s">
        <v>85</v>
      </c>
      <c r="B38" s="428"/>
      <c r="C38" s="428"/>
      <c r="D38" s="428"/>
      <c r="E38" s="428"/>
      <c r="F38" s="428"/>
      <c r="G38" s="446">
        <v>1283</v>
      </c>
      <c r="H38" s="562">
        <f>+G38*2.471</f>
        <v>3170.2930000000001</v>
      </c>
      <c r="I38" s="424"/>
      <c r="J38" s="424"/>
      <c r="K38" s="424"/>
      <c r="L38" s="424"/>
      <c r="M38" s="424"/>
    </row>
    <row r="39" spans="1:13">
      <c r="A39" s="428" t="s">
        <v>60</v>
      </c>
      <c r="B39" s="428"/>
      <c r="C39" s="428"/>
      <c r="D39" s="428"/>
      <c r="E39" s="428"/>
      <c r="F39" s="428"/>
      <c r="G39" s="447">
        <v>44</v>
      </c>
      <c r="H39" s="562"/>
      <c r="I39" s="424"/>
      <c r="J39" s="424"/>
      <c r="K39" s="424"/>
      <c r="L39" s="424"/>
      <c r="M39" s="424"/>
    </row>
    <row r="40" spans="1:13">
      <c r="A40" s="428" t="s">
        <v>86</v>
      </c>
      <c r="B40" s="428"/>
      <c r="C40" s="428"/>
      <c r="D40" s="428"/>
      <c r="E40" s="428"/>
      <c r="F40" s="428"/>
      <c r="G40" s="447">
        <f>+G38*G39</f>
        <v>56452</v>
      </c>
      <c r="H40" s="562">
        <f t="shared" ref="H39:H42" si="2">+G40*2.471</f>
        <v>139492.89199999999</v>
      </c>
      <c r="I40" s="424"/>
      <c r="J40" s="424"/>
      <c r="K40" s="424"/>
      <c r="L40" s="424"/>
      <c r="M40" s="424"/>
    </row>
    <row r="41" spans="1:13">
      <c r="A41" s="428" t="s">
        <v>87</v>
      </c>
      <c r="B41" s="428"/>
      <c r="C41" s="428"/>
      <c r="D41" s="428"/>
      <c r="E41" s="428"/>
      <c r="F41" s="428"/>
      <c r="G41" s="447">
        <f>+G40-K19</f>
        <v>5215</v>
      </c>
      <c r="H41" s="562">
        <f t="shared" si="2"/>
        <v>12886.265000000001</v>
      </c>
      <c r="I41" s="424"/>
      <c r="J41" s="424"/>
      <c r="K41" s="424"/>
      <c r="L41" s="424"/>
      <c r="M41" s="424"/>
    </row>
    <row r="42" spans="1:13">
      <c r="A42" s="428" t="s">
        <v>88</v>
      </c>
      <c r="B42" s="428"/>
      <c r="C42" s="428"/>
      <c r="D42" s="428"/>
      <c r="E42" s="428"/>
      <c r="F42" s="428"/>
      <c r="G42" s="447">
        <f>+G40-K20</f>
        <v>11325</v>
      </c>
      <c r="H42" s="562">
        <f t="shared" si="2"/>
        <v>27984.075000000001</v>
      </c>
      <c r="I42" s="424"/>
      <c r="J42" s="424"/>
      <c r="K42" s="424"/>
      <c r="L42" s="424"/>
      <c r="M42" s="424"/>
    </row>
    <row r="43" spans="1:13">
      <c r="A43" s="428"/>
      <c r="B43" s="428"/>
      <c r="C43" s="428"/>
      <c r="D43" s="428"/>
      <c r="E43" s="428"/>
      <c r="F43" s="428"/>
      <c r="G43" s="447"/>
      <c r="H43" s="424"/>
      <c r="I43" s="424"/>
      <c r="J43" s="424"/>
      <c r="K43" s="424"/>
      <c r="L43" s="424"/>
      <c r="M43" s="424"/>
    </row>
    <row r="44" spans="1:13">
      <c r="A44" s="428" t="s">
        <v>89</v>
      </c>
      <c r="B44" s="428"/>
      <c r="C44" s="428"/>
      <c r="D44" s="428"/>
      <c r="E44" s="428"/>
      <c r="F44" s="428"/>
      <c r="G44" s="447">
        <f>SUM(K19/G38)</f>
        <v>39.93530787217459</v>
      </c>
      <c r="H44" s="424"/>
      <c r="I44" s="424"/>
      <c r="J44" s="424"/>
      <c r="K44" s="424"/>
      <c r="L44" s="424"/>
      <c r="M44" s="424"/>
    </row>
    <row r="45" spans="1:13">
      <c r="A45" s="431" t="s">
        <v>90</v>
      </c>
      <c r="B45" s="431"/>
      <c r="C45" s="431"/>
      <c r="D45" s="431"/>
      <c r="E45" s="431"/>
      <c r="F45" s="431"/>
      <c r="G45" s="448">
        <f>SUM(K20/G38)</f>
        <v>35.173031956352297</v>
      </c>
      <c r="H45" s="424"/>
      <c r="I45" s="424"/>
      <c r="J45" s="424"/>
      <c r="K45" s="424"/>
      <c r="L45" s="424"/>
      <c r="M45" s="424"/>
    </row>
    <row r="46" spans="1:13">
      <c r="A46" s="424" t="s">
        <v>91</v>
      </c>
      <c r="B46" s="424"/>
      <c r="C46" s="377" t="s">
        <v>293</v>
      </c>
      <c r="D46" s="424"/>
      <c r="E46" s="424"/>
      <c r="F46" s="424"/>
      <c r="G46" s="424"/>
      <c r="H46" s="424"/>
      <c r="I46" s="424"/>
      <c r="J46" s="424"/>
      <c r="K46" s="424"/>
      <c r="L46" s="424"/>
      <c r="M46" s="424"/>
    </row>
    <row r="47" spans="1:13">
      <c r="A47" s="424"/>
      <c r="B47" s="424"/>
      <c r="C47" s="424"/>
      <c r="D47" s="449"/>
      <c r="E47" s="424"/>
      <c r="F47" s="424"/>
      <c r="G47" s="424"/>
      <c r="H47" s="424"/>
      <c r="I47" s="424"/>
      <c r="J47" s="424"/>
      <c r="K47" s="424"/>
      <c r="L47" s="424"/>
      <c r="M47" s="424"/>
    </row>
    <row r="48" spans="1:13">
      <c r="E48" s="424"/>
      <c r="F48" s="424"/>
      <c r="G48" s="424"/>
      <c r="H48" s="424"/>
      <c r="I48" s="424"/>
      <c r="J48" s="424"/>
      <c r="K48" s="424"/>
      <c r="L48" s="424"/>
      <c r="M48" s="424"/>
    </row>
    <row r="49" spans="1:13">
      <c r="A49" s="424"/>
      <c r="B49" s="424"/>
      <c r="C49" s="424"/>
      <c r="D49" s="424"/>
      <c r="E49" s="424"/>
      <c r="F49" s="424"/>
      <c r="G49" s="424"/>
      <c r="H49" s="424"/>
      <c r="I49" s="424"/>
      <c r="J49" s="424"/>
      <c r="K49" s="424"/>
      <c r="L49" s="424"/>
      <c r="M49" s="424"/>
    </row>
    <row r="50" spans="1:13">
      <c r="A50" s="424"/>
      <c r="B50" s="424"/>
      <c r="C50" s="424"/>
      <c r="D50" s="424"/>
      <c r="E50" s="424"/>
      <c r="F50" s="424"/>
      <c r="G50" s="424"/>
      <c r="H50" s="424"/>
      <c r="I50" s="424"/>
      <c r="J50" s="424"/>
      <c r="K50" s="424"/>
      <c r="L50" s="424"/>
      <c r="M50" s="424"/>
    </row>
    <row r="51" spans="1:13">
      <c r="A51" s="424"/>
      <c r="B51" s="424"/>
      <c r="C51" s="424"/>
      <c r="D51" s="424"/>
      <c r="E51" s="424"/>
      <c r="F51" s="424"/>
      <c r="G51" s="424"/>
      <c r="H51" s="424"/>
      <c r="I51" s="424"/>
      <c r="J51" s="424"/>
      <c r="K51" s="424"/>
      <c r="L51" s="424"/>
      <c r="M51" s="424"/>
    </row>
    <row r="52" spans="1:13">
      <c r="A52" s="424"/>
      <c r="B52" s="424"/>
      <c r="C52" s="424"/>
      <c r="D52" s="424"/>
      <c r="E52" s="424"/>
      <c r="F52" s="424"/>
      <c r="G52" s="424"/>
      <c r="H52" s="424"/>
      <c r="I52" s="424"/>
      <c r="J52" s="424"/>
      <c r="K52" s="424"/>
      <c r="L52" s="424"/>
      <c r="M52" s="424"/>
    </row>
    <row r="53" spans="1:13">
      <c r="A53" s="424"/>
      <c r="B53" s="424"/>
      <c r="C53" s="424"/>
      <c r="D53" s="424"/>
      <c r="E53" s="424"/>
      <c r="F53" s="424"/>
      <c r="G53" s="424"/>
      <c r="H53" s="424"/>
      <c r="I53" s="424"/>
      <c r="J53" s="424"/>
      <c r="K53" s="424"/>
      <c r="L53" s="424"/>
      <c r="M53" s="424"/>
    </row>
    <row r="54" spans="1:13">
      <c r="A54" s="424"/>
      <c r="B54" s="424"/>
      <c r="C54" s="424"/>
      <c r="D54" s="424"/>
      <c r="E54" s="424"/>
      <c r="F54" s="424"/>
      <c r="G54" s="424"/>
      <c r="H54" s="424"/>
      <c r="I54" s="424"/>
      <c r="J54" s="424"/>
      <c r="K54" s="424"/>
      <c r="L54" s="424"/>
      <c r="M54" s="424"/>
    </row>
    <row r="55" spans="1:13">
      <c r="A55" s="424"/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</row>
    <row r="56" spans="1:13">
      <c r="A56" s="424"/>
      <c r="B56" s="424"/>
      <c r="C56" s="424"/>
      <c r="D56" s="424"/>
      <c r="E56" s="424"/>
      <c r="F56" s="424"/>
      <c r="G56" s="424" t="s">
        <v>93</v>
      </c>
      <c r="H56" s="424"/>
      <c r="I56" s="424"/>
      <c r="J56" s="424"/>
      <c r="K56" s="424"/>
      <c r="L56" s="424"/>
      <c r="M56" s="4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>
      <selection activeCell="I40" sqref="I40"/>
    </sheetView>
  </sheetViews>
  <sheetFormatPr defaultColWidth="8.7109375" defaultRowHeight="12.75"/>
  <cols>
    <col min="1" max="1" width="8.7109375" style="1"/>
    <col min="2" max="2" width="7.28515625" style="1" customWidth="1"/>
    <col min="3" max="3" width="3.5703125" style="1" customWidth="1"/>
    <col min="4" max="4" width="5.5703125" style="1" customWidth="1"/>
    <col min="5" max="5" width="7" style="1" customWidth="1"/>
    <col min="6" max="6" width="7.140625" style="1" customWidth="1"/>
    <col min="7" max="7" width="9.42578125" style="1" customWidth="1"/>
    <col min="8" max="8" width="10.42578125" style="1" customWidth="1"/>
    <col min="9" max="9" width="8.85546875" style="1" customWidth="1"/>
    <col min="10" max="10" width="7.140625" style="1" customWidth="1"/>
    <col min="11" max="11" width="10" style="1" customWidth="1"/>
    <col min="12" max="12" width="5.5703125" style="1" customWidth="1"/>
    <col min="13" max="13" width="6.7109375" style="1" customWidth="1"/>
    <col min="14" max="16384" width="8.7109375" style="1"/>
  </cols>
  <sheetData>
    <row r="1" spans="1:15">
      <c r="A1" s="1" t="s">
        <v>0</v>
      </c>
      <c r="B1" s="1" t="s">
        <v>294</v>
      </c>
      <c r="N1" s="232"/>
      <c r="O1" s="231"/>
    </row>
    <row r="2" spans="1:15">
      <c r="A2" s="556" t="s">
        <v>295</v>
      </c>
      <c r="B2" s="556"/>
      <c r="C2" s="556"/>
      <c r="D2" s="556"/>
      <c r="E2" s="556"/>
      <c r="F2" s="556"/>
      <c r="H2" s="1" t="s">
        <v>5</v>
      </c>
      <c r="N2" s="232"/>
      <c r="O2" s="231"/>
    </row>
    <row r="3" spans="1:15">
      <c r="A3" s="3" t="s">
        <v>6</v>
      </c>
      <c r="B3" s="3"/>
      <c r="C3" s="3"/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307" t="s">
        <v>71</v>
      </c>
      <c r="M3" s="4"/>
      <c r="N3" s="232"/>
      <c r="O3" s="231"/>
    </row>
    <row r="4" spans="1:15">
      <c r="A4" s="6"/>
      <c r="B4" s="6"/>
      <c r="C4" s="6"/>
      <c r="D4" s="7" t="s">
        <v>16</v>
      </c>
      <c r="E4" s="7" t="s">
        <v>17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19</v>
      </c>
      <c r="K4" s="7" t="s">
        <v>19</v>
      </c>
      <c r="L4" s="7" t="s">
        <v>12</v>
      </c>
      <c r="M4" s="7" t="s">
        <v>13</v>
      </c>
      <c r="N4" s="232"/>
      <c r="O4" s="231"/>
    </row>
    <row r="5" spans="1:15">
      <c r="A5" s="6"/>
      <c r="B5" s="6"/>
      <c r="C5" s="6"/>
      <c r="D5" s="7" t="s">
        <v>22</v>
      </c>
      <c r="E5" s="7"/>
      <c r="F5" s="7"/>
      <c r="G5" s="7"/>
      <c r="H5" s="7" t="s">
        <v>23</v>
      </c>
      <c r="I5" s="7" t="s">
        <v>19</v>
      </c>
      <c r="J5" s="7" t="s">
        <v>23</v>
      </c>
      <c r="K5" s="7" t="s">
        <v>23</v>
      </c>
      <c r="L5" s="7"/>
      <c r="M5" s="7"/>
      <c r="N5" s="232"/>
      <c r="O5" s="231"/>
    </row>
    <row r="6" spans="1:15">
      <c r="A6" s="9"/>
      <c r="B6" s="9"/>
      <c r="C6" s="9"/>
      <c r="D6" s="10"/>
      <c r="E6" s="10"/>
      <c r="F6" s="10"/>
      <c r="G6" s="10"/>
      <c r="H6" s="10"/>
      <c r="I6" s="10" t="s">
        <v>23</v>
      </c>
      <c r="J6" s="10"/>
      <c r="K6" s="10"/>
      <c r="L6" s="10"/>
      <c r="M6" s="10"/>
      <c r="N6" s="232"/>
      <c r="O6" s="231"/>
    </row>
    <row r="7" spans="1:15" s="14" customFormat="1">
      <c r="A7" s="11" t="s">
        <v>24</v>
      </c>
      <c r="B7" s="11"/>
      <c r="C7" s="11"/>
      <c r="D7" s="12">
        <v>81</v>
      </c>
      <c r="E7" s="12">
        <v>11.99</v>
      </c>
      <c r="F7" s="12">
        <v>5.14</v>
      </c>
      <c r="G7" s="13">
        <v>1355</v>
      </c>
      <c r="H7" s="13">
        <v>13550</v>
      </c>
      <c r="I7" s="12"/>
      <c r="J7" s="12"/>
      <c r="K7" s="13">
        <f>+H7+I7+J7</f>
        <v>13550</v>
      </c>
      <c r="L7" s="12"/>
      <c r="M7" s="12"/>
      <c r="N7" s="232"/>
      <c r="O7" s="232"/>
    </row>
    <row r="8" spans="1:15" s="14" customFormat="1">
      <c r="A8" s="14" t="s">
        <v>296</v>
      </c>
      <c r="D8" s="15">
        <v>84</v>
      </c>
      <c r="E8" s="16">
        <v>2.2551999999999999</v>
      </c>
      <c r="F8" s="16">
        <v>1.5431999999999999</v>
      </c>
      <c r="G8" s="17">
        <v>1463</v>
      </c>
      <c r="H8" s="13">
        <v>1788</v>
      </c>
      <c r="I8" s="16">
        <v>9529</v>
      </c>
      <c r="J8" s="16"/>
      <c r="K8" s="13">
        <f t="shared" ref="K8:K17" si="0">+H8+I8+J8</f>
        <v>11317</v>
      </c>
      <c r="L8" s="450">
        <v>2845</v>
      </c>
      <c r="M8" s="450"/>
      <c r="N8" s="232"/>
      <c r="O8" s="232"/>
    </row>
    <row r="9" spans="1:15" s="14" customFormat="1">
      <c r="B9" s="14" t="s">
        <v>297</v>
      </c>
      <c r="D9" s="451" t="s">
        <v>298</v>
      </c>
      <c r="E9" s="452">
        <v>-11.5044</v>
      </c>
      <c r="F9" s="452">
        <v>-9.734</v>
      </c>
      <c r="G9" s="453">
        <v>-1400</v>
      </c>
      <c r="H9" s="563" t="s">
        <v>419</v>
      </c>
      <c r="I9" s="16"/>
      <c r="J9" s="16"/>
      <c r="K9" s="13"/>
      <c r="L9" s="450"/>
      <c r="M9" s="450"/>
      <c r="N9" s="232"/>
      <c r="O9" s="232"/>
    </row>
    <row r="10" spans="1:15" s="14" customFormat="1">
      <c r="A10" s="342" t="s">
        <v>136</v>
      </c>
      <c r="B10" s="342"/>
      <c r="C10" s="342"/>
      <c r="D10" s="15">
        <v>100</v>
      </c>
      <c r="E10" s="16">
        <v>9.48</v>
      </c>
      <c r="F10" s="16">
        <v>4.62</v>
      </c>
      <c r="G10" s="17">
        <v>1340</v>
      </c>
      <c r="H10" s="13">
        <v>13073</v>
      </c>
      <c r="I10" s="16"/>
      <c r="J10" s="16">
        <v>2783</v>
      </c>
      <c r="K10" s="13">
        <f t="shared" si="0"/>
        <v>15856</v>
      </c>
      <c r="L10" s="450"/>
      <c r="M10" s="450"/>
      <c r="N10" s="232"/>
      <c r="O10" s="232"/>
    </row>
    <row r="11" spans="1:15" s="14" customFormat="1">
      <c r="A11" s="14" t="s">
        <v>299</v>
      </c>
      <c r="D11" s="15">
        <v>100</v>
      </c>
      <c r="E11" s="16">
        <v>8.74</v>
      </c>
      <c r="F11" s="16">
        <v>5.87</v>
      </c>
      <c r="G11" s="17">
        <v>1530</v>
      </c>
      <c r="H11" s="13">
        <v>14443</v>
      </c>
      <c r="I11" s="16"/>
      <c r="J11" s="450">
        <v>21900</v>
      </c>
      <c r="K11" s="13">
        <f t="shared" si="0"/>
        <v>36343</v>
      </c>
      <c r="L11" s="450"/>
      <c r="M11" s="450">
        <v>5826</v>
      </c>
      <c r="N11" s="232"/>
      <c r="O11" s="232"/>
    </row>
    <row r="12" spans="1:15" s="14" customFormat="1">
      <c r="A12" s="14" t="s">
        <v>186</v>
      </c>
      <c r="D12" s="15">
        <v>100</v>
      </c>
      <c r="E12" s="16">
        <v>5.1223999999999998</v>
      </c>
      <c r="F12" s="16">
        <v>4.6749999999999998</v>
      </c>
      <c r="G12" s="17">
        <v>1656</v>
      </c>
      <c r="H12" s="13">
        <v>8880</v>
      </c>
      <c r="I12" s="16"/>
      <c r="J12" s="450">
        <v>14124</v>
      </c>
      <c r="K12" s="13">
        <f t="shared" si="0"/>
        <v>23004</v>
      </c>
      <c r="L12" s="450"/>
      <c r="M12" s="450"/>
      <c r="N12" s="232"/>
      <c r="O12" s="232"/>
    </row>
    <row r="13" spans="1:15" s="14" customFormat="1">
      <c r="A13" s="14" t="s">
        <v>27</v>
      </c>
      <c r="D13" s="18">
        <v>100</v>
      </c>
      <c r="E13" s="16">
        <v>10.904</v>
      </c>
      <c r="F13" s="16">
        <v>6.1390000000000002</v>
      </c>
      <c r="G13" s="17">
        <v>1771</v>
      </c>
      <c r="H13" s="13">
        <v>11616</v>
      </c>
      <c r="I13" s="16"/>
      <c r="J13" s="450"/>
      <c r="K13" s="13">
        <f t="shared" si="0"/>
        <v>11616</v>
      </c>
      <c r="L13" s="450"/>
      <c r="M13" s="450"/>
      <c r="N13" s="232"/>
      <c r="O13" s="232"/>
    </row>
    <row r="14" spans="1:15" s="14" customFormat="1">
      <c r="A14" s="14" t="s">
        <v>28</v>
      </c>
      <c r="D14" s="15">
        <v>100</v>
      </c>
      <c r="E14" s="16">
        <v>7.5613000000000001</v>
      </c>
      <c r="F14" s="16">
        <v>6.1459000000000001</v>
      </c>
      <c r="G14" s="17">
        <v>1438</v>
      </c>
      <c r="H14" s="13">
        <v>13086</v>
      </c>
      <c r="I14" s="16"/>
      <c r="J14" s="450">
        <v>11228</v>
      </c>
      <c r="K14" s="13">
        <f t="shared" si="0"/>
        <v>24314</v>
      </c>
      <c r="L14" s="450"/>
      <c r="M14" s="450"/>
      <c r="N14" s="232"/>
      <c r="O14" s="232"/>
    </row>
    <row r="15" spans="1:15" s="14" customFormat="1">
      <c r="A15" s="14" t="s">
        <v>300</v>
      </c>
      <c r="D15" s="15">
        <v>100</v>
      </c>
      <c r="E15" s="16">
        <v>11.478069</v>
      </c>
      <c r="F15" s="16">
        <v>8.8240999999999996</v>
      </c>
      <c r="G15" s="17">
        <v>1750</v>
      </c>
      <c r="H15" s="13">
        <v>13627</v>
      </c>
      <c r="I15" s="16"/>
      <c r="J15" s="450">
        <v>21870</v>
      </c>
      <c r="K15" s="13">
        <f t="shared" si="0"/>
        <v>35497</v>
      </c>
      <c r="L15" s="450"/>
      <c r="M15" s="450"/>
      <c r="N15" s="232"/>
      <c r="O15" s="232"/>
    </row>
    <row r="16" spans="1:15" s="14" customFormat="1">
      <c r="A16" s="14" t="s">
        <v>301</v>
      </c>
      <c r="D16" s="15">
        <v>97</v>
      </c>
      <c r="E16" s="16">
        <v>20.409721999999999</v>
      </c>
      <c r="F16" s="16">
        <v>20.41</v>
      </c>
      <c r="G16" s="17">
        <v>1750</v>
      </c>
      <c r="H16" s="13">
        <v>25666</v>
      </c>
      <c r="I16" s="16"/>
      <c r="J16" s="450"/>
      <c r="K16" s="13">
        <f t="shared" si="0"/>
        <v>25666</v>
      </c>
      <c r="L16" s="450"/>
      <c r="M16" s="450"/>
      <c r="N16" s="232"/>
      <c r="O16" s="232"/>
    </row>
    <row r="17" spans="1:15" s="14" customFormat="1">
      <c r="A17" s="14" t="s">
        <v>29</v>
      </c>
      <c r="D17" s="18">
        <v>100</v>
      </c>
      <c r="E17" s="16">
        <v>43.009</v>
      </c>
      <c r="F17" s="16">
        <v>21.126000000000001</v>
      </c>
      <c r="G17" s="17">
        <v>996</v>
      </c>
      <c r="H17" s="13">
        <v>30432</v>
      </c>
      <c r="I17" s="16"/>
      <c r="J17" s="450"/>
      <c r="K17" s="13">
        <f t="shared" si="0"/>
        <v>30432</v>
      </c>
      <c r="L17" s="450"/>
      <c r="M17" s="450"/>
      <c r="N17" s="232"/>
      <c r="O17" s="232"/>
    </row>
    <row r="18" spans="1:15">
      <c r="A18" s="318" t="s">
        <v>34</v>
      </c>
      <c r="B18" s="318"/>
      <c r="C18" s="318"/>
      <c r="D18" s="329"/>
      <c r="E18" s="330">
        <v>117</v>
      </c>
      <c r="F18" s="330">
        <v>85</v>
      </c>
      <c r="G18" s="330"/>
      <c r="H18" s="330">
        <f>SUM(H7:H17)</f>
        <v>146161</v>
      </c>
      <c r="I18" s="330">
        <f t="shared" ref="I18:K18" si="1">SUM(I7:I17)</f>
        <v>9529</v>
      </c>
      <c r="J18" s="330">
        <f t="shared" si="1"/>
        <v>71905</v>
      </c>
      <c r="K18" s="330">
        <f t="shared" si="1"/>
        <v>227595</v>
      </c>
      <c r="L18" s="454">
        <f>+I18-I19</f>
        <v>2845</v>
      </c>
      <c r="M18" s="454">
        <f>+J18-J19</f>
        <v>5826</v>
      </c>
      <c r="N18" s="232"/>
      <c r="O18" s="232"/>
    </row>
    <row r="19" spans="1:15">
      <c r="A19" s="324" t="s">
        <v>35</v>
      </c>
      <c r="B19" s="324"/>
      <c r="C19" s="324"/>
      <c r="D19" s="331"/>
      <c r="E19" s="332">
        <v>32</v>
      </c>
      <c r="F19" s="332"/>
      <c r="G19" s="332"/>
      <c r="H19" s="332">
        <f>+E26*G26</f>
        <v>39968</v>
      </c>
      <c r="I19" s="332">
        <v>6684</v>
      </c>
      <c r="J19" s="455">
        <v>66079</v>
      </c>
      <c r="K19" s="332">
        <f>+H19+I19+J19</f>
        <v>112731</v>
      </c>
      <c r="L19" s="455"/>
      <c r="M19" s="455"/>
      <c r="N19" s="232"/>
      <c r="O19" s="232"/>
    </row>
    <row r="20" spans="1:15">
      <c r="A20" s="14"/>
      <c r="B20" s="14"/>
      <c r="C20" s="14" t="s">
        <v>36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32"/>
      <c r="O20" s="232"/>
    </row>
    <row r="21" spans="1:15">
      <c r="A21" s="14" t="s">
        <v>37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32"/>
      <c r="O21" s="232"/>
    </row>
    <row r="22" spans="1:15">
      <c r="A22" s="333" t="s">
        <v>38</v>
      </c>
      <c r="B22" s="333"/>
      <c r="C22" s="333"/>
      <c r="D22" s="333" t="s">
        <v>39</v>
      </c>
      <c r="E22" s="333" t="s">
        <v>40</v>
      </c>
      <c r="F22" s="333"/>
      <c r="G22" s="333" t="s">
        <v>41</v>
      </c>
      <c r="H22" s="14"/>
      <c r="I22" s="14"/>
      <c r="J22" s="14"/>
      <c r="K22" s="14"/>
      <c r="L22" s="14"/>
      <c r="M22" s="14"/>
      <c r="N22" s="232"/>
      <c r="O22" s="232"/>
    </row>
    <row r="23" spans="1:15">
      <c r="A23" s="14" t="s">
        <v>42</v>
      </c>
      <c r="B23" s="14"/>
      <c r="C23" s="14"/>
      <c r="D23" s="14"/>
      <c r="E23" s="14"/>
      <c r="F23" s="14"/>
      <c r="G23" s="14"/>
      <c r="H23" s="14"/>
      <c r="I23" s="14"/>
      <c r="J23" s="456" t="s">
        <v>43</v>
      </c>
      <c r="K23" s="26" t="s">
        <v>44</v>
      </c>
      <c r="L23" s="14"/>
      <c r="M23" s="14"/>
      <c r="N23" s="232"/>
      <c r="O23" s="232"/>
    </row>
    <row r="24" spans="1:15">
      <c r="A24" s="14" t="s">
        <v>150</v>
      </c>
      <c r="B24" s="14"/>
      <c r="C24" s="14"/>
      <c r="D24" s="14" t="s">
        <v>46</v>
      </c>
      <c r="E24" s="16">
        <v>14.6</v>
      </c>
      <c r="F24" s="14"/>
      <c r="G24" s="16">
        <v>1500</v>
      </c>
      <c r="H24" s="14"/>
      <c r="I24" s="14"/>
      <c r="J24" s="456" t="s">
        <v>302</v>
      </c>
      <c r="K24" s="26">
        <v>94</v>
      </c>
      <c r="L24" s="14"/>
      <c r="M24" s="14"/>
      <c r="N24" s="232"/>
      <c r="O24" s="232"/>
    </row>
    <row r="25" spans="1:15">
      <c r="A25" s="14" t="s">
        <v>48</v>
      </c>
      <c r="B25" s="14"/>
      <c r="C25" s="14"/>
      <c r="D25" s="14"/>
      <c r="E25" s="14"/>
      <c r="F25" s="14"/>
      <c r="G25" s="14"/>
      <c r="H25" s="14"/>
      <c r="I25" s="14"/>
      <c r="J25" s="26" t="s">
        <v>49</v>
      </c>
      <c r="K25" s="26">
        <v>6</v>
      </c>
      <c r="L25" s="14"/>
      <c r="M25" s="14"/>
      <c r="N25" s="232"/>
      <c r="O25" s="232"/>
    </row>
    <row r="26" spans="1:15">
      <c r="A26" s="14" t="s">
        <v>50</v>
      </c>
      <c r="B26" s="14"/>
      <c r="C26" s="14"/>
      <c r="D26" s="14" t="s">
        <v>51</v>
      </c>
      <c r="E26" s="16">
        <v>32</v>
      </c>
      <c r="F26" s="14"/>
      <c r="G26" s="16">
        <v>1249</v>
      </c>
      <c r="H26" s="14"/>
      <c r="I26" s="11"/>
      <c r="J26" s="11"/>
      <c r="K26" s="11"/>
      <c r="L26" s="14"/>
      <c r="M26" s="14"/>
      <c r="N26" s="232"/>
      <c r="O26" s="232"/>
    </row>
    <row r="27" spans="1:15">
      <c r="A27" s="14" t="s">
        <v>52</v>
      </c>
      <c r="B27" s="14"/>
      <c r="C27" s="14"/>
      <c r="D27" s="14" t="s">
        <v>51</v>
      </c>
      <c r="E27" s="16">
        <v>85</v>
      </c>
      <c r="F27" s="14"/>
      <c r="G27" s="14"/>
      <c r="H27" s="14"/>
      <c r="I27" s="11"/>
      <c r="J27" s="11" t="s">
        <v>53</v>
      </c>
      <c r="K27" s="11">
        <v>0.4</v>
      </c>
      <c r="L27" s="14"/>
      <c r="M27" s="14"/>
      <c r="N27" s="232"/>
      <c r="O27" s="232"/>
    </row>
    <row r="28" spans="1:15">
      <c r="A28" s="14" t="s">
        <v>8</v>
      </c>
      <c r="B28" s="14"/>
      <c r="C28" s="14"/>
      <c r="D28" s="14" t="s">
        <v>51</v>
      </c>
      <c r="E28" s="16">
        <f>E26+E27</f>
        <v>117</v>
      </c>
      <c r="F28" s="14"/>
      <c r="G28" s="14"/>
      <c r="H28" s="14"/>
      <c r="I28" s="11"/>
      <c r="J28" s="11" t="s">
        <v>54</v>
      </c>
      <c r="K28" s="11">
        <v>0.25</v>
      </c>
      <c r="L28" s="14"/>
      <c r="M28" s="14"/>
      <c r="N28" s="232"/>
      <c r="O28" s="232"/>
    </row>
    <row r="29" spans="1:15">
      <c r="A29" s="318" t="s">
        <v>191</v>
      </c>
      <c r="B29" s="318"/>
      <c r="C29" s="318" t="s">
        <v>116</v>
      </c>
      <c r="D29" s="318"/>
      <c r="E29" s="318"/>
      <c r="F29" s="318"/>
      <c r="G29" s="318"/>
      <c r="H29" s="14"/>
      <c r="I29" s="11"/>
      <c r="J29" s="11"/>
      <c r="K29" s="14"/>
      <c r="L29" s="14"/>
      <c r="M29" s="14"/>
      <c r="N29" s="232"/>
      <c r="O29" s="232"/>
    </row>
    <row r="30" spans="1:15">
      <c r="A30" s="11"/>
      <c r="B30" s="11" t="s">
        <v>176</v>
      </c>
      <c r="C30" s="375">
        <v>70.97</v>
      </c>
      <c r="D30" s="11" t="s">
        <v>46</v>
      </c>
      <c r="E30" s="147">
        <v>131</v>
      </c>
      <c r="F30" s="147"/>
      <c r="G30" s="147">
        <v>30</v>
      </c>
      <c r="H30" s="14"/>
      <c r="I30" s="11"/>
      <c r="J30" s="11"/>
      <c r="K30" s="14"/>
      <c r="L30" s="14"/>
      <c r="M30" s="14"/>
      <c r="N30" s="232"/>
      <c r="O30" s="232"/>
    </row>
    <row r="31" spans="1:15">
      <c r="A31" s="11"/>
      <c r="B31" s="11" t="s">
        <v>303</v>
      </c>
      <c r="C31" s="375">
        <v>48.39</v>
      </c>
      <c r="D31" s="11" t="s">
        <v>46</v>
      </c>
      <c r="E31" s="457">
        <v>171</v>
      </c>
      <c r="F31" s="147"/>
      <c r="G31" s="457">
        <v>30</v>
      </c>
      <c r="H31" s="14"/>
      <c r="I31" s="11"/>
      <c r="J31" s="147"/>
      <c r="K31" s="14"/>
      <c r="L31" s="14"/>
      <c r="M31" s="14"/>
      <c r="N31" s="232"/>
      <c r="O31" s="232"/>
    </row>
    <row r="32" spans="1:15">
      <c r="A32" s="11"/>
      <c r="B32" s="11" t="s">
        <v>304</v>
      </c>
      <c r="C32" s="375">
        <v>64.52</v>
      </c>
      <c r="D32" s="11" t="s">
        <v>46</v>
      </c>
      <c r="E32" s="457">
        <v>844</v>
      </c>
      <c r="F32" s="147"/>
      <c r="G32" s="457">
        <v>6</v>
      </c>
      <c r="H32" s="14"/>
      <c r="I32" s="11"/>
      <c r="J32" s="147"/>
      <c r="K32" s="14"/>
      <c r="L32" s="14"/>
      <c r="M32" s="14"/>
      <c r="N32" s="232"/>
      <c r="O32" s="232"/>
    </row>
    <row r="33" spans="1:15" hidden="1">
      <c r="A33" s="11"/>
      <c r="B33" s="11"/>
      <c r="C33" s="375"/>
      <c r="D33" s="11" t="s">
        <v>46</v>
      </c>
      <c r="E33" s="147"/>
      <c r="F33" s="147"/>
      <c r="G33" s="457"/>
      <c r="H33" s="14"/>
      <c r="I33" s="11"/>
      <c r="J33" s="147"/>
      <c r="K33" s="14"/>
      <c r="L33" s="14"/>
      <c r="M33" s="14"/>
      <c r="N33" s="232"/>
      <c r="O33" s="232"/>
    </row>
    <row r="34" spans="1:15" hidden="1">
      <c r="A34" s="11"/>
      <c r="B34" s="11"/>
      <c r="C34" s="375"/>
      <c r="D34" s="11" t="s">
        <v>46</v>
      </c>
      <c r="E34" s="147"/>
      <c r="F34" s="147"/>
      <c r="G34" s="147"/>
      <c r="H34" s="14"/>
      <c r="I34" s="11"/>
      <c r="J34" s="11"/>
      <c r="K34" s="14"/>
      <c r="L34" s="14"/>
      <c r="M34" s="14"/>
      <c r="N34" s="232"/>
      <c r="O34" s="232"/>
    </row>
    <row r="35" spans="1:15">
      <c r="A35" s="318" t="s">
        <v>55</v>
      </c>
      <c r="B35" s="318"/>
      <c r="C35" s="318"/>
      <c r="D35" s="318"/>
      <c r="E35" s="318"/>
      <c r="F35" s="318"/>
      <c r="G35" s="319" t="s">
        <v>56</v>
      </c>
      <c r="H35" s="335"/>
      <c r="I35" s="335" t="s">
        <v>57</v>
      </c>
      <c r="J35" s="16"/>
      <c r="K35" s="14"/>
      <c r="L35" s="14"/>
      <c r="M35" s="14"/>
      <c r="N35" s="232"/>
      <c r="O35" s="232"/>
    </row>
    <row r="36" spans="1:15">
      <c r="A36" s="11" t="s">
        <v>58</v>
      </c>
      <c r="B36" s="11"/>
      <c r="C36" s="11"/>
      <c r="D36" s="11"/>
      <c r="E36" s="11"/>
      <c r="F36" s="11"/>
      <c r="G36" s="342">
        <v>4470</v>
      </c>
      <c r="H36" s="14"/>
      <c r="I36" s="16">
        <v>11045</v>
      </c>
      <c r="J36" s="14"/>
      <c r="K36" s="14"/>
      <c r="L36" s="14"/>
      <c r="M36" s="14"/>
      <c r="N36" s="232"/>
      <c r="O36" s="232"/>
    </row>
    <row r="37" spans="1:15">
      <c r="A37" s="11" t="s">
        <v>60</v>
      </c>
      <c r="B37" s="11"/>
      <c r="C37" s="11"/>
      <c r="D37" s="11"/>
      <c r="E37" s="11"/>
      <c r="F37" s="11"/>
      <c r="G37" s="343">
        <v>87</v>
      </c>
      <c r="H37" s="14"/>
      <c r="I37" s="16"/>
      <c r="J37" s="14"/>
      <c r="K37" s="14"/>
      <c r="L37" s="14"/>
      <c r="M37" s="14"/>
      <c r="N37" s="232"/>
      <c r="O37" s="232"/>
    </row>
    <row r="38" spans="1:15">
      <c r="A38" s="11" t="s">
        <v>61</v>
      </c>
      <c r="B38" s="11"/>
      <c r="C38" s="11"/>
      <c r="D38" s="11"/>
      <c r="E38" s="11"/>
      <c r="F38" s="11"/>
      <c r="G38" s="343">
        <v>388890</v>
      </c>
      <c r="H38" s="14"/>
      <c r="I38" s="16">
        <f>G38*2.471</f>
        <v>960947.19000000006</v>
      </c>
      <c r="J38" s="14"/>
      <c r="K38" s="14"/>
      <c r="L38" s="14"/>
      <c r="M38" s="14"/>
      <c r="N38" s="232"/>
      <c r="O38" s="232"/>
    </row>
    <row r="39" spans="1:15">
      <c r="A39" s="11" t="s">
        <v>62</v>
      </c>
      <c r="B39" s="11"/>
      <c r="C39" s="11"/>
      <c r="D39" s="11"/>
      <c r="E39" s="11"/>
      <c r="F39" s="11"/>
      <c r="G39" s="343">
        <v>161295</v>
      </c>
      <c r="H39" s="458"/>
      <c r="I39" s="16">
        <v>398560</v>
      </c>
      <c r="J39" s="14"/>
      <c r="K39" s="14"/>
      <c r="L39" s="14"/>
      <c r="M39" s="14"/>
      <c r="N39" s="232"/>
      <c r="O39" s="232"/>
    </row>
    <row r="40" spans="1:15">
      <c r="A40" s="11" t="s">
        <v>63</v>
      </c>
      <c r="B40" s="11"/>
      <c r="C40" s="11"/>
      <c r="D40" s="11"/>
      <c r="E40" s="11"/>
      <c r="F40" s="147"/>
      <c r="G40" s="343">
        <v>276159</v>
      </c>
      <c r="H40" s="14"/>
      <c r="I40" s="16">
        <f>G40*2.471</f>
        <v>682388.88899999997</v>
      </c>
      <c r="J40" s="14"/>
      <c r="K40" s="14"/>
      <c r="L40" s="14"/>
      <c r="M40" s="14"/>
      <c r="N40" s="232"/>
      <c r="O40" s="232"/>
    </row>
    <row r="41" spans="1:15">
      <c r="A41" s="11" t="s">
        <v>64</v>
      </c>
      <c r="B41" s="11"/>
      <c r="C41" s="11"/>
      <c r="D41" s="11"/>
      <c r="E41" s="11"/>
      <c r="F41" s="11"/>
      <c r="G41" s="343">
        <v>50.92</v>
      </c>
      <c r="H41" s="14"/>
      <c r="I41" s="14"/>
      <c r="J41" s="14"/>
      <c r="K41" s="14"/>
      <c r="L41" s="14"/>
      <c r="M41" s="14"/>
      <c r="N41" s="232"/>
      <c r="O41" s="232"/>
    </row>
    <row r="42" spans="1:15">
      <c r="A42" s="324" t="s">
        <v>65</v>
      </c>
      <c r="B42" s="324"/>
      <c r="C42" s="324"/>
      <c r="D42" s="324"/>
      <c r="E42" s="324"/>
      <c r="F42" s="324"/>
      <c r="G42" s="344">
        <v>25.22</v>
      </c>
      <c r="H42" s="14"/>
      <c r="I42" s="14"/>
      <c r="J42" s="14"/>
      <c r="K42" s="14"/>
      <c r="L42" s="14"/>
      <c r="M42" s="14"/>
      <c r="N42" s="232"/>
      <c r="O42" s="232"/>
    </row>
    <row r="43" spans="1: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232"/>
      <c r="O43" s="232"/>
    </row>
    <row r="44" spans="1:15" ht="13.5">
      <c r="A44" s="459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</row>
    <row r="45" spans="1:15">
      <c r="A45" s="231"/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2"/>
      <c r="O45" s="231"/>
    </row>
    <row r="46" spans="1:15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2"/>
      <c r="O46" s="231"/>
    </row>
    <row r="47" spans="1:15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2"/>
      <c r="O47" s="231"/>
    </row>
  </sheetData>
  <mergeCells count="1">
    <mergeCell ref="A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workbookViewId="0">
      <selection activeCell="H48" sqref="H48"/>
    </sheetView>
  </sheetViews>
  <sheetFormatPr defaultColWidth="8.7109375" defaultRowHeight="12.75"/>
  <cols>
    <col min="1" max="2" width="8.7109375" style="1"/>
    <col min="3" max="3" width="5" style="1" customWidth="1"/>
    <col min="4" max="4" width="5.5703125" style="1" customWidth="1"/>
    <col min="5" max="5" width="5.42578125" style="1" customWidth="1"/>
    <col min="6" max="6" width="5.85546875" style="1" customWidth="1"/>
    <col min="7" max="7" width="10" style="1" customWidth="1"/>
    <col min="8" max="8" width="7.5703125" style="1" customWidth="1"/>
    <col min="9" max="10" width="8.7109375" style="1"/>
    <col min="11" max="11" width="8.85546875" style="1" customWidth="1"/>
    <col min="12" max="16384" width="8.7109375" style="1"/>
  </cols>
  <sheetData>
    <row r="1" spans="1:14" ht="15.75">
      <c r="A1" s="231" t="s">
        <v>0</v>
      </c>
      <c r="B1" s="109" t="s">
        <v>305</v>
      </c>
      <c r="C1" s="109"/>
      <c r="D1" s="109"/>
      <c r="E1" s="109"/>
      <c r="F1" s="109"/>
      <c r="G1" s="231"/>
      <c r="H1" s="231"/>
      <c r="I1" s="231"/>
      <c r="J1" s="231"/>
      <c r="K1" s="231"/>
      <c r="L1" s="231"/>
      <c r="M1" s="231"/>
      <c r="N1" s="231"/>
    </row>
    <row r="2" spans="1:14" ht="15.75">
      <c r="A2" s="109"/>
      <c r="B2" s="109" t="s">
        <v>306</v>
      </c>
      <c r="C2" s="109"/>
      <c r="E2" s="109"/>
      <c r="F2" s="109" t="s">
        <v>307</v>
      </c>
      <c r="G2" s="109"/>
      <c r="I2" s="109"/>
      <c r="J2" s="109" t="s">
        <v>308</v>
      </c>
      <c r="K2" s="1" t="s">
        <v>309</v>
      </c>
      <c r="L2" s="231"/>
      <c r="M2" s="231"/>
      <c r="N2" s="231"/>
    </row>
    <row r="3" spans="1:14">
      <c r="A3" s="233" t="s">
        <v>6</v>
      </c>
      <c r="B3" s="233"/>
      <c r="C3" s="233"/>
      <c r="D3" s="234" t="s">
        <v>7</v>
      </c>
      <c r="E3" s="234" t="s">
        <v>8</v>
      </c>
      <c r="F3" s="234" t="s">
        <v>9</v>
      </c>
      <c r="G3" s="234" t="s">
        <v>10</v>
      </c>
      <c r="H3" s="234" t="s">
        <v>11</v>
      </c>
      <c r="I3" s="234" t="s">
        <v>12</v>
      </c>
      <c r="J3" s="234" t="s">
        <v>13</v>
      </c>
      <c r="K3" s="234" t="s">
        <v>14</v>
      </c>
      <c r="L3" s="407" t="s">
        <v>71</v>
      </c>
      <c r="M3" s="234"/>
      <c r="N3" s="236"/>
    </row>
    <row r="4" spans="1:14">
      <c r="A4" s="235"/>
      <c r="B4" s="235"/>
      <c r="C4" s="235"/>
      <c r="D4" s="236" t="s">
        <v>16</v>
      </c>
      <c r="E4" s="236" t="s">
        <v>17</v>
      </c>
      <c r="F4" s="236" t="s">
        <v>17</v>
      </c>
      <c r="G4" s="236" t="s">
        <v>18</v>
      </c>
      <c r="H4" s="236" t="s">
        <v>19</v>
      </c>
      <c r="I4" s="236" t="s">
        <v>20</v>
      </c>
      <c r="J4" s="236" t="s">
        <v>19</v>
      </c>
      <c r="K4" s="236" t="s">
        <v>19</v>
      </c>
      <c r="L4" s="236" t="s">
        <v>12</v>
      </c>
      <c r="M4" s="236" t="s">
        <v>13</v>
      </c>
      <c r="N4" s="236"/>
    </row>
    <row r="5" spans="1:14">
      <c r="A5" s="235"/>
      <c r="B5" s="235"/>
      <c r="C5" s="235"/>
      <c r="D5" s="236" t="s">
        <v>22</v>
      </c>
      <c r="E5" s="236"/>
      <c r="F5" s="236"/>
      <c r="G5" s="236"/>
      <c r="H5" s="236" t="s">
        <v>23</v>
      </c>
      <c r="I5" s="236" t="s">
        <v>19</v>
      </c>
      <c r="J5" s="236" t="s">
        <v>23</v>
      </c>
      <c r="K5" s="236" t="s">
        <v>23</v>
      </c>
      <c r="L5" s="236"/>
      <c r="M5" s="236"/>
      <c r="N5" s="236"/>
    </row>
    <row r="6" spans="1:14">
      <c r="A6" s="238"/>
      <c r="B6" s="238"/>
      <c r="C6" s="238"/>
      <c r="D6" s="239"/>
      <c r="E6" s="239"/>
      <c r="F6" s="239"/>
      <c r="G6" s="239"/>
      <c r="H6" s="239"/>
      <c r="I6" s="239" t="s">
        <v>23</v>
      </c>
      <c r="J6" s="239"/>
      <c r="K6" s="239"/>
      <c r="L6" s="239"/>
      <c r="M6" s="239"/>
      <c r="N6" s="236"/>
    </row>
    <row r="7" spans="1:14" s="14" customFormat="1" ht="23.25" customHeight="1">
      <c r="A7" s="240" t="s">
        <v>24</v>
      </c>
      <c r="B7" s="240"/>
      <c r="C7" s="240"/>
      <c r="D7" s="241">
        <v>100</v>
      </c>
      <c r="E7" s="241">
        <v>20.440000000000001</v>
      </c>
      <c r="F7" s="241">
        <v>14.69</v>
      </c>
      <c r="G7" s="241">
        <v>1290</v>
      </c>
      <c r="H7" s="242">
        <v>15000</v>
      </c>
      <c r="I7" s="241"/>
      <c r="J7" s="241"/>
      <c r="K7" s="242">
        <f>+H7+I7+J7</f>
        <v>15000</v>
      </c>
      <c r="L7" s="241"/>
      <c r="M7" s="241"/>
      <c r="N7" s="241"/>
    </row>
    <row r="8" spans="1:14" s="14" customFormat="1" ht="23.25" customHeight="1">
      <c r="A8" s="240" t="s">
        <v>420</v>
      </c>
      <c r="B8" s="240"/>
      <c r="C8" s="240"/>
      <c r="D8" s="564">
        <v>73</v>
      </c>
      <c r="E8" s="460">
        <v>14.78</v>
      </c>
      <c r="F8" s="460">
        <v>12.95</v>
      </c>
      <c r="G8" s="565">
        <v>1222</v>
      </c>
      <c r="H8" s="460">
        <v>14053</v>
      </c>
      <c r="I8" s="460"/>
      <c r="J8" s="460"/>
      <c r="K8" s="242">
        <f t="shared" ref="K8:K16" si="0">+H8+I8+J8</f>
        <v>14053</v>
      </c>
      <c r="L8" s="460"/>
      <c r="M8" s="460"/>
      <c r="N8" s="460"/>
    </row>
    <row r="9" spans="1:14" s="14" customFormat="1" ht="23.25" customHeight="1">
      <c r="A9" s="240" t="s">
        <v>310</v>
      </c>
      <c r="B9" s="240"/>
      <c r="C9" s="240"/>
      <c r="D9" s="566" t="s">
        <v>311</v>
      </c>
      <c r="E9" s="242"/>
      <c r="F9" s="242"/>
      <c r="G9" s="567"/>
      <c r="H9" s="242"/>
      <c r="I9" s="568" t="s">
        <v>312</v>
      </c>
      <c r="J9" s="460"/>
      <c r="K9" s="242"/>
      <c r="L9" s="460"/>
      <c r="M9" s="460"/>
      <c r="N9" s="460"/>
    </row>
    <row r="10" spans="1:14" s="14" customFormat="1" ht="23.25" customHeight="1">
      <c r="A10" s="249" t="s">
        <v>184</v>
      </c>
      <c r="B10" s="249"/>
      <c r="C10" s="249"/>
      <c r="D10" s="564">
        <v>100</v>
      </c>
      <c r="E10" s="460">
        <v>6.55</v>
      </c>
      <c r="F10" s="460">
        <v>5.49</v>
      </c>
      <c r="G10" s="565">
        <v>1357</v>
      </c>
      <c r="H10" s="460">
        <v>12251</v>
      </c>
      <c r="I10" s="460"/>
      <c r="J10" s="460"/>
      <c r="K10" s="242">
        <f t="shared" si="0"/>
        <v>12251</v>
      </c>
      <c r="L10" s="460"/>
      <c r="M10" s="460"/>
      <c r="N10" s="460"/>
    </row>
    <row r="11" spans="1:14" s="14" customFormat="1" ht="23.25" customHeight="1">
      <c r="A11" s="240" t="s">
        <v>235</v>
      </c>
      <c r="B11" s="240"/>
      <c r="C11" s="240"/>
      <c r="D11" s="564">
        <v>100</v>
      </c>
      <c r="E11" s="460">
        <v>9.56</v>
      </c>
      <c r="F11" s="460">
        <v>7.31</v>
      </c>
      <c r="G11" s="565">
        <v>1258</v>
      </c>
      <c r="H11" s="460">
        <v>11294</v>
      </c>
      <c r="I11" s="460"/>
      <c r="J11" s="460">
        <v>11951</v>
      </c>
      <c r="K11" s="242">
        <f t="shared" si="0"/>
        <v>23245</v>
      </c>
      <c r="L11" s="460"/>
      <c r="M11" s="460"/>
      <c r="N11" s="460"/>
    </row>
    <row r="12" spans="1:14" s="14" customFormat="1" ht="23.25" customHeight="1">
      <c r="A12" s="240" t="s">
        <v>186</v>
      </c>
      <c r="B12" s="240"/>
      <c r="C12" s="240"/>
      <c r="D12" s="564">
        <v>100</v>
      </c>
      <c r="E12" s="460">
        <v>7.71</v>
      </c>
      <c r="F12" s="460">
        <v>6.61</v>
      </c>
      <c r="G12" s="565">
        <v>1344</v>
      </c>
      <c r="H12" s="460">
        <v>10279</v>
      </c>
      <c r="I12" s="460"/>
      <c r="J12" s="460">
        <v>9646</v>
      </c>
      <c r="K12" s="242">
        <f t="shared" si="0"/>
        <v>19925</v>
      </c>
      <c r="L12" s="460"/>
      <c r="M12" s="460"/>
      <c r="N12" s="460"/>
    </row>
    <row r="13" spans="1:14" s="14" customFormat="1" ht="23.25" customHeight="1">
      <c r="A13" s="240" t="s">
        <v>313</v>
      </c>
      <c r="B13" s="240"/>
      <c r="C13" s="240"/>
      <c r="D13" s="569">
        <v>100</v>
      </c>
      <c r="E13" s="460">
        <v>10.24</v>
      </c>
      <c r="F13" s="460">
        <v>7.43</v>
      </c>
      <c r="G13" s="565">
        <v>1223</v>
      </c>
      <c r="H13" s="460">
        <v>17844</v>
      </c>
      <c r="I13" s="460"/>
      <c r="J13" s="460"/>
      <c r="K13" s="242">
        <f t="shared" si="0"/>
        <v>17844</v>
      </c>
      <c r="L13" s="460"/>
      <c r="M13" s="460"/>
      <c r="N13" s="460"/>
    </row>
    <row r="14" spans="1:14" s="14" customFormat="1" ht="23.25" customHeight="1">
      <c r="A14" s="240" t="s">
        <v>28</v>
      </c>
      <c r="B14" s="240"/>
      <c r="C14" s="240"/>
      <c r="D14" s="564">
        <v>100</v>
      </c>
      <c r="E14" s="460">
        <v>3.75</v>
      </c>
      <c r="F14" s="460">
        <v>2.91</v>
      </c>
      <c r="G14" s="565">
        <v>1500</v>
      </c>
      <c r="H14" s="460">
        <v>13950</v>
      </c>
      <c r="I14" s="460"/>
      <c r="J14" s="460">
        <v>12240</v>
      </c>
      <c r="K14" s="242">
        <f t="shared" si="0"/>
        <v>26190</v>
      </c>
      <c r="L14" s="460"/>
      <c r="M14" s="460"/>
      <c r="N14" s="460"/>
    </row>
    <row r="15" spans="1:14" s="14" customFormat="1" ht="23.25" customHeight="1">
      <c r="A15" s="240" t="s">
        <v>314</v>
      </c>
      <c r="B15" s="240"/>
      <c r="C15" s="240"/>
      <c r="D15" s="564">
        <v>100</v>
      </c>
      <c r="E15" s="460">
        <v>18.57</v>
      </c>
      <c r="F15" s="460">
        <v>14.8</v>
      </c>
      <c r="G15" s="565">
        <v>1458</v>
      </c>
      <c r="H15" s="460">
        <v>17385</v>
      </c>
      <c r="I15" s="460"/>
      <c r="J15" s="460">
        <v>29636</v>
      </c>
      <c r="K15" s="242">
        <f t="shared" si="0"/>
        <v>47021</v>
      </c>
      <c r="L15" s="460"/>
      <c r="M15" s="460"/>
      <c r="N15" s="460"/>
    </row>
    <row r="16" spans="1:14" s="14" customFormat="1" ht="23.25" customHeight="1">
      <c r="A16" s="240" t="s">
        <v>29</v>
      </c>
      <c r="B16" s="240"/>
      <c r="C16" s="240"/>
      <c r="D16" s="564">
        <v>100</v>
      </c>
      <c r="E16" s="460">
        <v>38.69</v>
      </c>
      <c r="F16" s="460">
        <v>24.53</v>
      </c>
      <c r="G16" s="565">
        <v>1028</v>
      </c>
      <c r="H16" s="460">
        <v>29310</v>
      </c>
      <c r="I16" s="460"/>
      <c r="J16" s="460"/>
      <c r="K16" s="242">
        <f t="shared" si="0"/>
        <v>29310</v>
      </c>
      <c r="L16" s="460"/>
      <c r="M16" s="460"/>
      <c r="N16" s="460"/>
    </row>
    <row r="17" spans="1:14">
      <c r="A17" s="233" t="s">
        <v>34</v>
      </c>
      <c r="B17" s="233"/>
      <c r="C17" s="233"/>
      <c r="D17" s="412"/>
      <c r="E17" s="413">
        <v>113</v>
      </c>
      <c r="F17" s="413">
        <v>87</v>
      </c>
      <c r="G17" s="413"/>
      <c r="H17" s="461">
        <f>SUM(H7:H16)</f>
        <v>141366</v>
      </c>
      <c r="I17" s="461">
        <f t="shared" ref="I17:K17" si="1">SUM(I7:I16)</f>
        <v>0</v>
      </c>
      <c r="J17" s="461">
        <f t="shared" si="1"/>
        <v>63473</v>
      </c>
      <c r="K17" s="461">
        <f t="shared" si="1"/>
        <v>204839</v>
      </c>
      <c r="L17" s="413">
        <v>0</v>
      </c>
      <c r="M17" s="413">
        <f>+J17-J18</f>
        <v>24542</v>
      </c>
      <c r="N17" s="264"/>
    </row>
    <row r="18" spans="1:14">
      <c r="A18" s="238" t="s">
        <v>35</v>
      </c>
      <c r="B18" s="238"/>
      <c r="C18" s="238"/>
      <c r="D18" s="414"/>
      <c r="E18" s="415">
        <v>26</v>
      </c>
      <c r="F18" s="415"/>
      <c r="G18" s="415"/>
      <c r="H18" s="462">
        <v>32526</v>
      </c>
      <c r="I18" s="462">
        <v>0</v>
      </c>
      <c r="J18" s="415">
        <v>38931</v>
      </c>
      <c r="K18" s="415">
        <f>SUM(H18:J18)</f>
        <v>71457</v>
      </c>
      <c r="L18" s="238"/>
      <c r="M18" s="238"/>
      <c r="N18" s="235"/>
    </row>
    <row r="19" spans="1:14">
      <c r="A19" s="231"/>
      <c r="B19" s="231"/>
      <c r="C19" s="231" t="s">
        <v>36</v>
      </c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>
      <c r="A20" s="231" t="s">
        <v>37</v>
      </c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>
      <c r="A21" s="258" t="s">
        <v>38</v>
      </c>
      <c r="B21" s="258"/>
      <c r="C21" s="258"/>
      <c r="D21" s="258" t="s">
        <v>39</v>
      </c>
      <c r="E21" s="258" t="s">
        <v>40</v>
      </c>
      <c r="F21" s="258"/>
      <c r="G21" s="258" t="s">
        <v>41</v>
      </c>
      <c r="H21" s="231"/>
      <c r="I21" s="231"/>
      <c r="J21" s="231"/>
      <c r="K21" s="231"/>
      <c r="L21" s="231"/>
      <c r="M21" s="231"/>
      <c r="N21" s="231"/>
    </row>
    <row r="22" spans="1:14">
      <c r="A22" s="231" t="s">
        <v>42</v>
      </c>
      <c r="B22" s="231"/>
      <c r="C22" s="231"/>
      <c r="D22" s="231"/>
      <c r="E22" s="231"/>
      <c r="F22" s="231"/>
      <c r="G22" s="231"/>
      <c r="H22" s="231"/>
      <c r="I22" s="231"/>
      <c r="J22" s="463" t="s">
        <v>43</v>
      </c>
      <c r="K22" s="441" t="s">
        <v>44</v>
      </c>
      <c r="L22" s="231"/>
      <c r="M22" s="231"/>
      <c r="N22" s="231"/>
    </row>
    <row r="23" spans="1:14" ht="21" customHeight="1">
      <c r="A23" s="231" t="s">
        <v>45</v>
      </c>
      <c r="B23" s="231"/>
      <c r="C23" s="231"/>
      <c r="D23" s="231" t="s">
        <v>46</v>
      </c>
      <c r="E23" s="264">
        <v>8.5</v>
      </c>
      <c r="F23" s="235"/>
      <c r="G23" s="264">
        <v>1406</v>
      </c>
      <c r="H23" s="235"/>
      <c r="I23" s="231"/>
      <c r="J23" s="463" t="s">
        <v>315</v>
      </c>
      <c r="K23" s="441">
        <v>93</v>
      </c>
      <c r="L23" s="231"/>
      <c r="M23" s="231"/>
      <c r="N23" s="231"/>
    </row>
    <row r="24" spans="1:14">
      <c r="A24" s="231" t="s">
        <v>48</v>
      </c>
      <c r="B24" s="231"/>
      <c r="C24" s="231"/>
      <c r="D24" s="231"/>
      <c r="E24" s="231"/>
      <c r="F24" s="231"/>
      <c r="G24" s="231"/>
      <c r="H24" s="231"/>
      <c r="I24" s="231"/>
      <c r="J24" s="31" t="s">
        <v>154</v>
      </c>
      <c r="K24" s="31">
        <v>7</v>
      </c>
      <c r="L24" s="231"/>
      <c r="M24" s="231"/>
      <c r="N24" s="231"/>
    </row>
    <row r="25" spans="1:14">
      <c r="A25" s="231" t="s">
        <v>50</v>
      </c>
      <c r="B25" s="231"/>
      <c r="C25" s="231"/>
      <c r="D25" s="231" t="s">
        <v>51</v>
      </c>
      <c r="E25" s="261">
        <v>26</v>
      </c>
      <c r="F25" s="231"/>
      <c r="G25" s="261">
        <v>1251</v>
      </c>
      <c r="H25" s="231"/>
      <c r="I25" s="6"/>
      <c r="J25" s="6"/>
      <c r="K25" s="6"/>
      <c r="L25" s="231"/>
      <c r="M25" s="231"/>
      <c r="N25" s="231"/>
    </row>
    <row r="26" spans="1:14">
      <c r="A26" s="231" t="s">
        <v>52</v>
      </c>
      <c r="B26" s="231"/>
      <c r="C26" s="231"/>
      <c r="D26" s="231" t="s">
        <v>51</v>
      </c>
      <c r="E26" s="231">
        <v>87</v>
      </c>
      <c r="F26" s="231"/>
      <c r="G26" s="231"/>
      <c r="H26" s="231"/>
      <c r="I26" s="6"/>
      <c r="J26" s="6" t="s">
        <v>53</v>
      </c>
      <c r="K26" s="31">
        <v>0.5</v>
      </c>
      <c r="L26" s="231"/>
      <c r="M26" s="231"/>
      <c r="N26" s="231"/>
    </row>
    <row r="27" spans="1:14">
      <c r="A27" s="231" t="s">
        <v>8</v>
      </c>
      <c r="B27" s="231"/>
      <c r="C27" s="231"/>
      <c r="D27" s="231" t="s">
        <v>51</v>
      </c>
      <c r="E27" s="231">
        <v>113</v>
      </c>
      <c r="F27" s="231"/>
      <c r="G27" s="231"/>
      <c r="H27" s="231"/>
      <c r="I27" s="6"/>
      <c r="J27" s="6" t="s">
        <v>54</v>
      </c>
      <c r="K27" s="31">
        <v>0.5</v>
      </c>
      <c r="L27" s="231"/>
      <c r="M27" s="231"/>
      <c r="N27" s="231"/>
    </row>
    <row r="28" spans="1:14">
      <c r="A28" s="233" t="s">
        <v>191</v>
      </c>
      <c r="B28" s="233"/>
      <c r="C28" s="233" t="s">
        <v>116</v>
      </c>
      <c r="D28" s="233"/>
      <c r="E28" s="233"/>
      <c r="F28" s="233"/>
      <c r="G28" s="233"/>
      <c r="H28" s="231"/>
      <c r="I28" s="6"/>
      <c r="J28" s="6"/>
      <c r="K28" s="231"/>
      <c r="L28" s="231"/>
      <c r="M28" s="231"/>
      <c r="N28" s="231"/>
    </row>
    <row r="29" spans="1:14" ht="20.25" customHeight="1">
      <c r="A29" s="235"/>
      <c r="B29" s="235" t="s">
        <v>119</v>
      </c>
      <c r="C29" s="263">
        <v>43</v>
      </c>
      <c r="D29" s="235" t="s">
        <v>46</v>
      </c>
      <c r="E29" s="264">
        <v>61</v>
      </c>
      <c r="F29" s="264"/>
      <c r="G29" s="264">
        <v>30</v>
      </c>
      <c r="H29" s="231"/>
      <c r="I29" s="6"/>
      <c r="J29" s="6"/>
      <c r="K29" s="231"/>
      <c r="L29" s="231"/>
      <c r="M29" s="231"/>
      <c r="N29" s="231"/>
    </row>
    <row r="30" spans="1:14" ht="20.25" customHeight="1">
      <c r="A30" s="235"/>
      <c r="B30" s="235" t="s">
        <v>118</v>
      </c>
      <c r="C30" s="263">
        <v>60</v>
      </c>
      <c r="D30" s="235" t="s">
        <v>46</v>
      </c>
      <c r="E30" s="265">
        <v>108</v>
      </c>
      <c r="F30" s="264"/>
      <c r="G30" s="265">
        <v>32</v>
      </c>
      <c r="H30" s="231"/>
      <c r="I30" s="6"/>
      <c r="J30" s="266"/>
      <c r="K30" s="231"/>
      <c r="L30" s="231"/>
      <c r="M30" s="231"/>
      <c r="N30" s="231"/>
    </row>
    <row r="31" spans="1:14" ht="20.25" customHeight="1">
      <c r="A31" s="235"/>
      <c r="B31" s="235" t="s">
        <v>316</v>
      </c>
      <c r="C31" s="263">
        <v>43</v>
      </c>
      <c r="D31" s="235" t="s">
        <v>46</v>
      </c>
      <c r="E31" s="265">
        <v>109</v>
      </c>
      <c r="F31" s="264"/>
      <c r="G31" s="265">
        <v>40</v>
      </c>
      <c r="H31" s="231"/>
      <c r="I31" s="6"/>
      <c r="J31" s="266"/>
      <c r="K31" s="231"/>
      <c r="L31" s="231"/>
      <c r="M31" s="231"/>
      <c r="N31" s="231"/>
    </row>
    <row r="32" spans="1:14" ht="20.25" customHeight="1">
      <c r="A32" s="235"/>
      <c r="B32" s="235"/>
      <c r="C32" s="263"/>
      <c r="D32" s="235"/>
      <c r="E32" s="264"/>
      <c r="F32" s="264"/>
      <c r="G32" s="265"/>
      <c r="H32" s="231"/>
      <c r="I32" s="6"/>
      <c r="J32" s="266"/>
      <c r="K32" s="231"/>
      <c r="L32" s="231"/>
      <c r="M32" s="231"/>
      <c r="N32" s="231"/>
    </row>
    <row r="33" spans="1:14">
      <c r="A33" s="235"/>
      <c r="B33" s="235"/>
      <c r="C33" s="263"/>
      <c r="D33" s="235"/>
      <c r="E33" s="264"/>
      <c r="F33" s="264"/>
      <c r="G33" s="264"/>
      <c r="H33" s="231"/>
      <c r="I33" s="6"/>
      <c r="J33" s="6"/>
      <c r="K33" s="231"/>
      <c r="L33" s="231"/>
      <c r="M33" s="231"/>
      <c r="N33" s="231"/>
    </row>
    <row r="34" spans="1:14">
      <c r="A34" s="258" t="s">
        <v>55</v>
      </c>
      <c r="B34" s="258"/>
      <c r="C34" s="258"/>
      <c r="D34" s="258"/>
      <c r="E34" s="258"/>
      <c r="F34" s="258"/>
      <c r="G34" s="267" t="s">
        <v>56</v>
      </c>
      <c r="H34" s="268"/>
      <c r="I34" s="464" t="s">
        <v>57</v>
      </c>
      <c r="J34" s="261"/>
      <c r="K34" s="231"/>
      <c r="L34" s="231"/>
      <c r="M34" s="231"/>
      <c r="N34" s="231"/>
    </row>
    <row r="35" spans="1:14" ht="7.5" customHeight="1">
      <c r="A35" s="235"/>
      <c r="B35" s="235"/>
      <c r="C35" s="235"/>
      <c r="D35" s="235"/>
      <c r="E35" s="235"/>
      <c r="F35" s="235"/>
      <c r="G35" s="235"/>
      <c r="H35" s="231"/>
      <c r="I35" s="231"/>
      <c r="J35" s="261"/>
      <c r="K35" s="231"/>
      <c r="L35" s="231"/>
      <c r="M35" s="231"/>
      <c r="N35" s="231"/>
    </row>
    <row r="36" spans="1:14">
      <c r="A36" s="235" t="s">
        <v>58</v>
      </c>
      <c r="B36" s="235"/>
      <c r="C36" s="235"/>
      <c r="D36" s="235"/>
      <c r="E36" s="235"/>
      <c r="F36" s="235"/>
      <c r="G36" s="269">
        <v>2488</v>
      </c>
      <c r="H36" s="270"/>
      <c r="I36" s="262">
        <f>+G36*2.471</f>
        <v>6147.848</v>
      </c>
      <c r="J36" s="231"/>
      <c r="K36" s="231"/>
      <c r="L36" s="231"/>
      <c r="M36" s="231"/>
      <c r="N36" s="231"/>
    </row>
    <row r="37" spans="1:14">
      <c r="A37" s="235" t="s">
        <v>60</v>
      </c>
      <c r="B37" s="235"/>
      <c r="C37" s="235"/>
      <c r="D37" s="235"/>
      <c r="E37" s="235"/>
      <c r="F37" s="235"/>
      <c r="G37" s="271">
        <v>115.3</v>
      </c>
      <c r="H37" s="231"/>
      <c r="I37" s="262"/>
      <c r="J37" s="231"/>
      <c r="K37" s="231"/>
      <c r="L37" s="231"/>
      <c r="M37" s="231"/>
      <c r="N37" s="231"/>
    </row>
    <row r="38" spans="1:14">
      <c r="A38" s="235" t="s">
        <v>61</v>
      </c>
      <c r="B38" s="235"/>
      <c r="C38" s="235"/>
      <c r="D38" s="235"/>
      <c r="E38" s="235"/>
      <c r="F38" s="235"/>
      <c r="G38" s="231">
        <v>286866</v>
      </c>
      <c r="H38" s="231"/>
      <c r="I38" s="262">
        <f>+G38*2.471</f>
        <v>708845.88600000006</v>
      </c>
      <c r="J38" s="231"/>
      <c r="K38" s="231"/>
      <c r="L38" s="231"/>
      <c r="M38" s="231"/>
      <c r="N38" s="231"/>
    </row>
    <row r="39" spans="1:14">
      <c r="A39" s="235" t="s">
        <v>62</v>
      </c>
      <c r="B39" s="235"/>
      <c r="C39" s="235"/>
      <c r="D39" s="235"/>
      <c r="E39" s="235"/>
      <c r="F39" s="235"/>
      <c r="G39" s="271">
        <f>+G38-K17</f>
        <v>82027</v>
      </c>
      <c r="H39" s="231"/>
      <c r="I39" s="262">
        <f t="shared" ref="I37:I40" si="2">+G39*2.471</f>
        <v>202688.717</v>
      </c>
      <c r="J39" s="231"/>
      <c r="K39" s="231"/>
      <c r="L39" s="231"/>
      <c r="M39" s="231"/>
      <c r="N39" s="231"/>
    </row>
    <row r="40" spans="1:14">
      <c r="A40" s="235" t="s">
        <v>63</v>
      </c>
      <c r="B40" s="235"/>
      <c r="C40" s="235"/>
      <c r="D40" s="235"/>
      <c r="E40" s="235"/>
      <c r="F40" s="235"/>
      <c r="G40" s="271">
        <f>+G38-K18</f>
        <v>215409</v>
      </c>
      <c r="I40" s="262">
        <f t="shared" si="2"/>
        <v>532275.63899999997</v>
      </c>
      <c r="J40" s="231"/>
      <c r="K40" s="231"/>
      <c r="L40" s="231"/>
      <c r="M40" s="231"/>
      <c r="N40" s="231"/>
    </row>
    <row r="41" spans="1:14">
      <c r="A41" s="235" t="s">
        <v>64</v>
      </c>
      <c r="B41" s="235"/>
      <c r="C41" s="235"/>
      <c r="D41" s="235"/>
      <c r="E41" s="235"/>
      <c r="F41" s="235"/>
      <c r="G41" s="271">
        <f>+K17/G36</f>
        <v>82.33078778135048</v>
      </c>
      <c r="H41" s="231"/>
      <c r="I41" s="231"/>
      <c r="J41" s="231"/>
      <c r="K41" s="231"/>
      <c r="L41" s="231"/>
      <c r="M41" s="231"/>
      <c r="N41" s="231"/>
    </row>
    <row r="42" spans="1:14">
      <c r="A42" s="238" t="s">
        <v>65</v>
      </c>
      <c r="B42" s="238"/>
      <c r="C42" s="238"/>
      <c r="D42" s="238"/>
      <c r="E42" s="238"/>
      <c r="F42" s="238"/>
      <c r="G42" s="272">
        <f>+K18/G36</f>
        <v>28.72065916398714</v>
      </c>
      <c r="H42" s="231"/>
      <c r="I42" s="231"/>
      <c r="J42" s="231"/>
      <c r="K42" s="231"/>
      <c r="L42" s="231"/>
      <c r="M42" s="231"/>
      <c r="N42" s="231"/>
    </row>
    <row r="43" spans="1:14">
      <c r="A43" s="231"/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</row>
    <row r="44" spans="1:14" ht="13.5">
      <c r="A44" s="37" t="s">
        <v>317</v>
      </c>
      <c r="B44" s="465" t="s">
        <v>318</v>
      </c>
      <c r="C44" s="231"/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</row>
    <row r="45" spans="1:14">
      <c r="A45" s="231"/>
      <c r="B45" s="465" t="s">
        <v>319</v>
      </c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</row>
    <row r="46" spans="1:14">
      <c r="A46" s="231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</row>
    <row r="47" spans="1:14">
      <c r="A47" s="231"/>
      <c r="B47" s="231"/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231"/>
      <c r="N47" s="2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opLeftCell="A40" workbookViewId="0">
      <selection activeCell="I48" sqref="I48"/>
    </sheetView>
  </sheetViews>
  <sheetFormatPr defaultColWidth="9.140625" defaultRowHeight="15"/>
  <cols>
    <col min="1" max="1" width="10.85546875" style="38" customWidth="1"/>
    <col min="2" max="2" width="7.28515625" style="38" customWidth="1"/>
    <col min="3" max="3" width="4.28515625" style="38" customWidth="1"/>
    <col min="4" max="4" width="5" style="38" customWidth="1"/>
    <col min="5" max="5" width="6.7109375" style="38" customWidth="1"/>
    <col min="6" max="6" width="6.5703125" style="38" customWidth="1"/>
    <col min="7" max="7" width="11" style="38" customWidth="1"/>
    <col min="8" max="9" width="9.85546875" style="38" customWidth="1"/>
    <col min="10" max="11" width="10.140625" style="38" customWidth="1"/>
    <col min="12" max="12" width="6" style="38" customWidth="1"/>
    <col min="13" max="13" width="7.42578125" style="38" customWidth="1"/>
    <col min="14" max="16384" width="9.140625" style="38"/>
  </cols>
  <sheetData>
    <row r="1" spans="1:14">
      <c r="A1" s="1" t="s">
        <v>0</v>
      </c>
      <c r="B1" s="1" t="s">
        <v>320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66"/>
    </row>
    <row r="2" spans="1:14">
      <c r="A2" s="1"/>
      <c r="B2" s="1" t="s">
        <v>321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66"/>
    </row>
    <row r="3" spans="1:14">
      <c r="A3" s="1"/>
      <c r="B3" s="1" t="s">
        <v>161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66"/>
    </row>
    <row r="4" spans="1:14">
      <c r="A4" s="3" t="s">
        <v>6</v>
      </c>
      <c r="B4" s="3"/>
      <c r="C4" s="3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307" t="s">
        <v>71</v>
      </c>
      <c r="M4" s="4"/>
      <c r="N4" s="466"/>
    </row>
    <row r="5" spans="1:14">
      <c r="A5" s="6"/>
      <c r="B5" s="6"/>
      <c r="C5" s="6"/>
      <c r="D5" s="7" t="s">
        <v>16</v>
      </c>
      <c r="E5" s="7" t="s">
        <v>17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19</v>
      </c>
      <c r="K5" s="7" t="s">
        <v>19</v>
      </c>
      <c r="L5" s="8" t="s">
        <v>12</v>
      </c>
      <c r="M5" s="7" t="s">
        <v>13</v>
      </c>
      <c r="N5" s="466"/>
    </row>
    <row r="6" spans="1:14">
      <c r="A6" s="6"/>
      <c r="B6" s="6"/>
      <c r="C6" s="6"/>
      <c r="D6" s="7" t="s">
        <v>22</v>
      </c>
      <c r="E6" s="7"/>
      <c r="F6" s="7"/>
      <c r="G6" s="7"/>
      <c r="H6" s="7" t="s">
        <v>23</v>
      </c>
      <c r="I6" s="7" t="s">
        <v>19</v>
      </c>
      <c r="J6" s="7" t="s">
        <v>23</v>
      </c>
      <c r="K6" s="7" t="s">
        <v>23</v>
      </c>
      <c r="L6" s="7"/>
      <c r="M6" s="7"/>
      <c r="N6" s="466"/>
    </row>
    <row r="7" spans="1:14">
      <c r="A7" s="9"/>
      <c r="B7" s="9"/>
      <c r="C7" s="9"/>
      <c r="D7" s="10"/>
      <c r="E7" s="10"/>
      <c r="F7" s="10"/>
      <c r="G7" s="10"/>
      <c r="H7" s="10"/>
      <c r="I7" s="10" t="s">
        <v>23</v>
      </c>
      <c r="J7" s="10"/>
      <c r="K7" s="10"/>
      <c r="L7" s="10"/>
      <c r="M7" s="10"/>
      <c r="N7" s="466"/>
    </row>
    <row r="8" spans="1:14">
      <c r="A8" s="1" t="s">
        <v>73</v>
      </c>
      <c r="B8" s="1"/>
      <c r="C8" s="1"/>
      <c r="D8" s="308">
        <v>90</v>
      </c>
      <c r="E8" s="27">
        <v>9.33</v>
      </c>
      <c r="F8" s="27">
        <v>3.9</v>
      </c>
      <c r="G8" s="309">
        <v>1100</v>
      </c>
      <c r="H8" s="27">
        <v>11196</v>
      </c>
      <c r="I8" s="1"/>
      <c r="J8" s="27"/>
      <c r="K8" s="27">
        <f>+H8+I8+J8</f>
        <v>11196</v>
      </c>
      <c r="L8" s="1"/>
      <c r="M8" s="1"/>
      <c r="N8" s="466"/>
    </row>
    <row r="9" spans="1:14">
      <c r="A9" s="1" t="s">
        <v>164</v>
      </c>
      <c r="B9" s="1"/>
      <c r="C9" s="1"/>
      <c r="D9" s="308">
        <v>93</v>
      </c>
      <c r="E9" s="27">
        <v>1.87</v>
      </c>
      <c r="F9" s="27">
        <v>1.57</v>
      </c>
      <c r="G9" s="309">
        <v>1250</v>
      </c>
      <c r="H9" s="27">
        <v>2470</v>
      </c>
      <c r="I9" s="27">
        <v>10197</v>
      </c>
      <c r="J9" s="27"/>
      <c r="K9" s="27">
        <f t="shared" ref="K9:K17" si="0">+H9+I9+J9</f>
        <v>12667</v>
      </c>
      <c r="L9" s="467">
        <v>3519</v>
      </c>
      <c r="M9" s="1"/>
      <c r="N9" s="466"/>
    </row>
    <row r="10" spans="1:14">
      <c r="A10" s="1" t="s">
        <v>165</v>
      </c>
      <c r="B10" s="1"/>
      <c r="C10" s="1"/>
      <c r="D10" s="308">
        <v>93</v>
      </c>
      <c r="E10" s="27">
        <v>10.130000000000001</v>
      </c>
      <c r="F10" s="27">
        <v>3.1</v>
      </c>
      <c r="G10" s="309">
        <v>1399</v>
      </c>
      <c r="H10" s="27">
        <v>13266</v>
      </c>
      <c r="I10" s="1"/>
      <c r="J10" s="27">
        <v>3043</v>
      </c>
      <c r="K10" s="27">
        <f t="shared" si="0"/>
        <v>16309</v>
      </c>
      <c r="L10" s="27"/>
      <c r="M10" s="1"/>
      <c r="N10" s="466"/>
    </row>
    <row r="11" spans="1:14">
      <c r="A11" s="1" t="s">
        <v>322</v>
      </c>
      <c r="B11" s="1"/>
      <c r="C11" s="1"/>
      <c r="D11" s="308">
        <v>100</v>
      </c>
      <c r="E11" s="27">
        <v>15.6</v>
      </c>
      <c r="F11" s="27">
        <v>7.6</v>
      </c>
      <c r="G11" s="309">
        <v>1202</v>
      </c>
      <c r="H11" s="27">
        <v>19921</v>
      </c>
      <c r="I11" s="1"/>
      <c r="J11" s="27">
        <v>168492</v>
      </c>
      <c r="K11" s="27">
        <f t="shared" si="0"/>
        <v>188413</v>
      </c>
      <c r="M11" s="467">
        <v>32910</v>
      </c>
      <c r="N11" s="466"/>
    </row>
    <row r="12" spans="1:14">
      <c r="A12" s="1" t="s">
        <v>104</v>
      </c>
      <c r="B12" s="1"/>
      <c r="C12" s="1"/>
      <c r="D12" s="308">
        <v>100</v>
      </c>
      <c r="E12" s="27">
        <v>4.2</v>
      </c>
      <c r="F12" s="27">
        <v>3.7</v>
      </c>
      <c r="G12" s="309">
        <v>1200</v>
      </c>
      <c r="H12" s="27">
        <v>7150</v>
      </c>
      <c r="I12" s="1"/>
      <c r="J12" s="27">
        <v>20418</v>
      </c>
      <c r="K12" s="27">
        <f t="shared" si="0"/>
        <v>27568</v>
      </c>
      <c r="L12" s="1"/>
      <c r="M12" s="1"/>
      <c r="N12" s="466"/>
    </row>
    <row r="13" spans="1:14">
      <c r="A13" s="1" t="s">
        <v>167</v>
      </c>
      <c r="B13" s="1"/>
      <c r="C13" s="1"/>
      <c r="D13" s="308">
        <v>100</v>
      </c>
      <c r="E13" s="27">
        <v>11</v>
      </c>
      <c r="F13" s="27">
        <v>5.8</v>
      </c>
      <c r="G13" s="309">
        <v>1302</v>
      </c>
      <c r="H13" s="27">
        <v>14651</v>
      </c>
      <c r="I13" s="1"/>
      <c r="J13" s="27"/>
      <c r="K13" s="27">
        <f t="shared" si="0"/>
        <v>14651</v>
      </c>
      <c r="L13" s="1"/>
      <c r="M13" s="1"/>
      <c r="N13" s="466"/>
    </row>
    <row r="14" spans="1:14">
      <c r="A14" s="1" t="s">
        <v>77</v>
      </c>
      <c r="B14" s="1"/>
      <c r="C14" s="1"/>
      <c r="D14" s="308">
        <v>100</v>
      </c>
      <c r="E14" s="27">
        <v>12.65</v>
      </c>
      <c r="F14" s="27">
        <v>11.5</v>
      </c>
      <c r="G14" s="309">
        <v>1200</v>
      </c>
      <c r="H14" s="27">
        <v>17352</v>
      </c>
      <c r="I14" s="1"/>
      <c r="J14" s="27">
        <v>17247</v>
      </c>
      <c r="K14" s="27">
        <f t="shared" si="0"/>
        <v>34599</v>
      </c>
      <c r="L14" s="1"/>
      <c r="M14" s="1"/>
      <c r="N14" s="466"/>
    </row>
    <row r="15" spans="1:14">
      <c r="A15" s="1" t="s">
        <v>168</v>
      </c>
      <c r="B15" s="1"/>
      <c r="C15" s="1"/>
      <c r="D15" s="308">
        <v>83</v>
      </c>
      <c r="E15" s="27">
        <v>15.9</v>
      </c>
      <c r="F15" s="27">
        <v>15.8</v>
      </c>
      <c r="G15" s="309">
        <v>950</v>
      </c>
      <c r="H15" s="27">
        <v>21976</v>
      </c>
      <c r="I15" s="27">
        <v>5882</v>
      </c>
      <c r="J15" s="27"/>
      <c r="K15" s="27">
        <f t="shared" si="0"/>
        <v>27858</v>
      </c>
      <c r="L15" s="1"/>
      <c r="M15" s="1"/>
      <c r="N15" s="466"/>
    </row>
    <row r="16" spans="1:14">
      <c r="A16" s="1" t="s">
        <v>323</v>
      </c>
      <c r="B16" s="1"/>
      <c r="C16" s="1"/>
      <c r="D16" s="308">
        <v>100</v>
      </c>
      <c r="E16" s="27">
        <v>21.59</v>
      </c>
      <c r="F16" s="27">
        <v>6.5</v>
      </c>
      <c r="G16" s="309">
        <v>1229</v>
      </c>
      <c r="H16" s="27">
        <v>30935</v>
      </c>
      <c r="I16" s="1"/>
      <c r="J16" s="27"/>
      <c r="K16" s="27">
        <f t="shared" si="0"/>
        <v>30935</v>
      </c>
      <c r="L16" s="1"/>
      <c r="M16" s="1"/>
      <c r="N16" s="466"/>
    </row>
    <row r="17" spans="1:14">
      <c r="A17" s="1" t="s">
        <v>421</v>
      </c>
      <c r="B17" s="1"/>
      <c r="C17" s="1"/>
      <c r="D17" s="308">
        <v>63</v>
      </c>
      <c r="E17" s="27"/>
      <c r="F17" s="27"/>
      <c r="G17" s="309"/>
      <c r="H17" s="27">
        <v>2470</v>
      </c>
      <c r="I17" s="1">
        <v>4400</v>
      </c>
      <c r="J17" s="27"/>
      <c r="K17" s="27">
        <f t="shared" si="0"/>
        <v>6870</v>
      </c>
      <c r="L17" s="1"/>
      <c r="M17" s="1"/>
      <c r="N17" s="466"/>
    </row>
    <row r="18" spans="1:14">
      <c r="A18" s="3" t="s">
        <v>81</v>
      </c>
      <c r="B18" s="3"/>
      <c r="C18" s="3"/>
      <c r="D18" s="20"/>
      <c r="E18" s="21">
        <v>102.27000000000001</v>
      </c>
      <c r="F18" s="21">
        <v>59.47</v>
      </c>
      <c r="G18" s="21"/>
      <c r="H18" s="21">
        <f>SUM(H8:H17)</f>
        <v>141387</v>
      </c>
      <c r="I18" s="21">
        <f t="shared" ref="I18:K18" si="1">SUM(I8:I17)</f>
        <v>20479</v>
      </c>
      <c r="J18" s="21">
        <f t="shared" si="1"/>
        <v>209200</v>
      </c>
      <c r="K18" s="21">
        <f>SUM(K8:K17)</f>
        <v>371066</v>
      </c>
      <c r="L18" s="468">
        <f>+I18-I19</f>
        <v>3519</v>
      </c>
      <c r="M18" s="21">
        <f>+J18-J19</f>
        <v>32910</v>
      </c>
      <c r="N18" s="466"/>
    </row>
    <row r="19" spans="1:14">
      <c r="A19" s="9" t="s">
        <v>82</v>
      </c>
      <c r="B19" s="9"/>
      <c r="C19" s="9"/>
      <c r="D19" s="22"/>
      <c r="E19" s="23">
        <v>42.800000000000011</v>
      </c>
      <c r="F19" s="23"/>
      <c r="G19" s="23"/>
      <c r="H19" s="23">
        <f>+E30*G30</f>
        <v>58365</v>
      </c>
      <c r="I19" s="23">
        <v>16960</v>
      </c>
      <c r="J19" s="23">
        <v>176290</v>
      </c>
      <c r="K19" s="23">
        <f>+J19+I19+H19</f>
        <v>251615</v>
      </c>
      <c r="L19" s="9"/>
      <c r="M19" s="9"/>
      <c r="N19" s="466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66"/>
    </row>
    <row r="21" spans="1:14">
      <c r="A21" s="1"/>
      <c r="B21" s="1"/>
      <c r="C21" s="1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466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66"/>
    </row>
    <row r="23" spans="1:14">
      <c r="A23" s="1" t="s">
        <v>37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66"/>
    </row>
    <row r="24" spans="1:14">
      <c r="A24" s="24" t="s">
        <v>38</v>
      </c>
      <c r="B24" s="24"/>
      <c r="C24" s="24"/>
      <c r="D24" s="24" t="s">
        <v>39</v>
      </c>
      <c r="E24" s="24" t="s">
        <v>40</v>
      </c>
      <c r="F24" s="24"/>
      <c r="G24" s="24" t="s">
        <v>41</v>
      </c>
      <c r="H24" s="1"/>
      <c r="I24" s="1"/>
      <c r="J24" s="1"/>
      <c r="K24" s="469"/>
      <c r="L24" s="1"/>
      <c r="M24" s="1"/>
      <c r="N24" s="466"/>
    </row>
    <row r="25" spans="1:14">
      <c r="A25" s="1" t="s">
        <v>42</v>
      </c>
      <c r="B25" s="1"/>
      <c r="C25" s="1"/>
      <c r="D25" s="1" t="s">
        <v>84</v>
      </c>
      <c r="E25" s="1"/>
      <c r="F25" s="1"/>
      <c r="G25" s="1"/>
      <c r="H25" s="1"/>
      <c r="I25" s="1"/>
      <c r="J25" s="1"/>
      <c r="K25" s="469"/>
      <c r="L25" s="1"/>
      <c r="M25" s="1"/>
      <c r="N25" s="466"/>
    </row>
    <row r="26" spans="1:14">
      <c r="A26" s="1" t="s">
        <v>83</v>
      </c>
      <c r="B26" s="1"/>
      <c r="C26" s="1"/>
      <c r="D26" s="1" t="s">
        <v>84</v>
      </c>
      <c r="E26" s="27">
        <v>739</v>
      </c>
      <c r="F26" s="1"/>
      <c r="G26" s="27">
        <v>228</v>
      </c>
      <c r="H26" s="1"/>
      <c r="I26" s="1"/>
      <c r="J26" s="1" t="s">
        <v>324</v>
      </c>
      <c r="K26" s="469">
        <v>0.9</v>
      </c>
      <c r="L26" s="1"/>
      <c r="M26" s="1"/>
      <c r="N26" s="466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 t="s">
        <v>117</v>
      </c>
      <c r="K27" s="469">
        <v>0.1</v>
      </c>
      <c r="L27" s="1"/>
      <c r="M27" s="1"/>
      <c r="N27" s="466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66"/>
    </row>
    <row r="29" spans="1:14">
      <c r="A29" s="1" t="s">
        <v>48</v>
      </c>
      <c r="B29" s="1"/>
      <c r="C29" s="1"/>
      <c r="D29" s="1"/>
      <c r="E29" s="1"/>
      <c r="F29" s="1"/>
      <c r="G29" s="1"/>
      <c r="H29" s="1"/>
      <c r="I29" s="1"/>
      <c r="J29" s="1" t="s">
        <v>53</v>
      </c>
      <c r="K29" s="1">
        <v>0.45</v>
      </c>
      <c r="L29" s="1"/>
      <c r="M29" s="1"/>
      <c r="N29" s="466"/>
    </row>
    <row r="30" spans="1:14">
      <c r="A30" s="1" t="s">
        <v>50</v>
      </c>
      <c r="B30" s="1"/>
      <c r="C30" s="1"/>
      <c r="D30" s="1" t="s">
        <v>51</v>
      </c>
      <c r="E30" s="467">
        <v>45</v>
      </c>
      <c r="F30" s="1"/>
      <c r="G30" s="27">
        <v>1297</v>
      </c>
      <c r="H30" s="1"/>
      <c r="I30" s="1"/>
      <c r="J30" s="1" t="s">
        <v>54</v>
      </c>
      <c r="K30" s="1">
        <v>0.25</v>
      </c>
      <c r="L30" s="1"/>
      <c r="M30" s="1"/>
      <c r="N30" s="466"/>
    </row>
    <row r="31" spans="1:14">
      <c r="A31" s="1" t="s">
        <v>52</v>
      </c>
      <c r="B31" s="1"/>
      <c r="C31" s="1"/>
      <c r="D31" s="1" t="s">
        <v>51</v>
      </c>
      <c r="E31" s="467">
        <v>64</v>
      </c>
      <c r="F31" s="1"/>
      <c r="G31" s="1"/>
      <c r="H31" s="1"/>
      <c r="I31" s="1"/>
      <c r="J31" s="1"/>
      <c r="K31" s="1"/>
      <c r="L31" s="1"/>
      <c r="M31" s="1"/>
      <c r="N31" s="466"/>
    </row>
    <row r="32" spans="1:14">
      <c r="A32" s="1" t="s">
        <v>8</v>
      </c>
      <c r="B32" s="1"/>
      <c r="C32" s="1"/>
      <c r="D32" s="1"/>
      <c r="E32" s="467">
        <f>SUM(E30:E31)</f>
        <v>109</v>
      </c>
      <c r="F32" s="1"/>
      <c r="G32" s="1"/>
      <c r="H32" s="1"/>
      <c r="I32" s="1"/>
      <c r="J32" s="1"/>
      <c r="K32" s="470"/>
      <c r="L32" s="1"/>
      <c r="M32" s="1"/>
      <c r="N32" s="466"/>
    </row>
    <row r="33" spans="1:14">
      <c r="A33" s="3" t="s">
        <v>115</v>
      </c>
      <c r="B33" s="3"/>
      <c r="C33" s="3" t="s">
        <v>116</v>
      </c>
      <c r="D33" s="3"/>
      <c r="E33" s="3"/>
      <c r="F33" s="3"/>
      <c r="G33" s="3"/>
      <c r="H33" s="1"/>
      <c r="I33" s="1"/>
      <c r="J33" s="1"/>
      <c r="K33" s="1"/>
      <c r="L33" s="1"/>
      <c r="M33" s="1"/>
      <c r="N33" s="466"/>
    </row>
    <row r="34" spans="1:14">
      <c r="A34" s="6"/>
      <c r="B34" s="8" t="s">
        <v>325</v>
      </c>
      <c r="C34" s="403"/>
      <c r="D34" s="6" t="s">
        <v>46</v>
      </c>
      <c r="E34" s="6"/>
      <c r="F34" s="6"/>
      <c r="G34" s="266"/>
      <c r="H34" s="1"/>
      <c r="I34" s="1"/>
      <c r="J34" s="1"/>
      <c r="K34" s="1"/>
      <c r="L34" s="1"/>
      <c r="M34" s="1"/>
      <c r="N34" s="466"/>
    </row>
    <row r="35" spans="1:14">
      <c r="A35" s="6" t="s">
        <v>172</v>
      </c>
      <c r="B35" s="8" t="s">
        <v>173</v>
      </c>
      <c r="C35" s="403">
        <v>40</v>
      </c>
      <c r="D35" s="6" t="s">
        <v>46</v>
      </c>
      <c r="E35" s="266">
        <v>768</v>
      </c>
      <c r="F35" s="266"/>
      <c r="G35" s="266">
        <v>6</v>
      </c>
      <c r="H35" s="1"/>
      <c r="I35" s="1"/>
      <c r="J35" s="1"/>
      <c r="K35" s="1"/>
      <c r="L35" s="1"/>
      <c r="M35" s="1"/>
      <c r="N35" s="466"/>
    </row>
    <row r="36" spans="1:14">
      <c r="A36" s="6" t="s">
        <v>326</v>
      </c>
      <c r="B36" s="8" t="s">
        <v>175</v>
      </c>
      <c r="C36" s="403">
        <v>97</v>
      </c>
      <c r="D36" s="6" t="s">
        <v>46</v>
      </c>
      <c r="E36" s="266">
        <v>527</v>
      </c>
      <c r="F36" s="266"/>
      <c r="G36" s="266">
        <v>30</v>
      </c>
      <c r="H36" s="1"/>
      <c r="I36" s="1"/>
      <c r="J36" s="1"/>
      <c r="K36" s="1"/>
      <c r="L36" s="1"/>
      <c r="M36" s="1"/>
      <c r="N36" s="466"/>
    </row>
    <row r="37" spans="1:14">
      <c r="A37" s="6"/>
      <c r="B37" s="8" t="s">
        <v>177</v>
      </c>
      <c r="C37" s="403"/>
      <c r="D37" s="6" t="s">
        <v>46</v>
      </c>
      <c r="E37" s="6"/>
      <c r="F37" s="6"/>
      <c r="G37" s="6"/>
      <c r="H37" s="1"/>
      <c r="I37" s="1"/>
      <c r="J37" s="1"/>
      <c r="K37" s="1"/>
      <c r="L37" s="1"/>
      <c r="M37" s="1"/>
      <c r="N37" s="466"/>
    </row>
    <row r="38" spans="1:14">
      <c r="A38" s="1"/>
      <c r="B38" s="8" t="s">
        <v>327</v>
      </c>
      <c r="C38" s="403"/>
      <c r="D38" s="6" t="s">
        <v>46</v>
      </c>
      <c r="E38" s="6"/>
      <c r="F38" s="6"/>
      <c r="G38" s="6"/>
      <c r="H38" s="1"/>
      <c r="I38" s="1"/>
      <c r="J38" s="1"/>
      <c r="K38" s="1"/>
      <c r="L38" s="1"/>
      <c r="M38" s="1"/>
      <c r="N38" s="466"/>
    </row>
    <row r="39" spans="1:14" ht="14.25" customHeight="1">
      <c r="A39" s="1"/>
      <c r="B39" s="8"/>
      <c r="C39" s="403"/>
      <c r="D39" s="6"/>
      <c r="E39" s="6"/>
      <c r="F39" s="6"/>
      <c r="G39" s="6"/>
      <c r="H39" s="1"/>
      <c r="I39" s="1"/>
      <c r="J39" s="1"/>
      <c r="K39" s="1"/>
      <c r="L39" s="1"/>
      <c r="M39" s="1"/>
      <c r="N39" s="466"/>
    </row>
    <row r="40" spans="1:14">
      <c r="A40" s="3" t="s">
        <v>55</v>
      </c>
      <c r="B40" s="3"/>
      <c r="C40" s="3"/>
      <c r="D40" s="3"/>
      <c r="E40" s="3"/>
      <c r="F40" s="3"/>
      <c r="G40" s="3" t="s">
        <v>56</v>
      </c>
      <c r="H40" s="1" t="s">
        <v>178</v>
      </c>
      <c r="I40" s="1"/>
      <c r="K40" s="1"/>
      <c r="L40" s="1"/>
      <c r="M40" s="1"/>
      <c r="N40" s="466"/>
    </row>
    <row r="41" spans="1:14">
      <c r="A41" s="6" t="s">
        <v>85</v>
      </c>
      <c r="B41" s="6"/>
      <c r="C41" s="6"/>
      <c r="D41" s="6"/>
      <c r="E41" s="6"/>
      <c r="F41" s="6"/>
      <c r="G41" s="34">
        <v>5834</v>
      </c>
      <c r="H41" s="467">
        <v>14416</v>
      </c>
      <c r="I41" s="1"/>
      <c r="K41" s="1"/>
      <c r="L41" s="467"/>
      <c r="M41" s="1"/>
      <c r="N41" s="466"/>
    </row>
    <row r="42" spans="1:14">
      <c r="A42" s="6" t="s">
        <v>60</v>
      </c>
      <c r="B42" s="6"/>
      <c r="C42" s="6"/>
      <c r="D42" s="6"/>
      <c r="E42" s="6"/>
      <c r="F42" s="6"/>
      <c r="G42" s="35">
        <v>94</v>
      </c>
      <c r="H42" s="467"/>
      <c r="I42" s="1"/>
      <c r="K42" s="1"/>
      <c r="L42" s="467"/>
      <c r="M42" s="1"/>
      <c r="N42" s="466"/>
    </row>
    <row r="43" spans="1:14">
      <c r="A43" s="6" t="s">
        <v>86</v>
      </c>
      <c r="B43" s="6"/>
      <c r="C43" s="6"/>
      <c r="D43" s="6"/>
      <c r="E43" s="6"/>
      <c r="F43" s="6"/>
      <c r="G43" s="35">
        <v>548396</v>
      </c>
      <c r="H43" s="467">
        <v>1355087</v>
      </c>
      <c r="I43" s="1"/>
      <c r="K43" s="1"/>
      <c r="L43" s="467"/>
      <c r="M43" s="1"/>
      <c r="N43" s="466"/>
    </row>
    <row r="44" spans="1:14">
      <c r="A44" s="6" t="s">
        <v>87</v>
      </c>
      <c r="B44" s="6"/>
      <c r="C44" s="6"/>
      <c r="D44" s="6"/>
      <c r="E44" s="6"/>
      <c r="F44" s="6"/>
      <c r="G44" s="35">
        <v>177330</v>
      </c>
      <c r="H44" s="467">
        <v>438182</v>
      </c>
      <c r="I44" s="1"/>
      <c r="K44" s="1"/>
      <c r="L44" s="467"/>
      <c r="M44" s="1"/>
      <c r="N44" s="466"/>
    </row>
    <row r="45" spans="1:14">
      <c r="A45" s="6" t="s">
        <v>88</v>
      </c>
      <c r="B45" s="6"/>
      <c r="C45" s="6"/>
      <c r="D45" s="6"/>
      <c r="E45" s="6"/>
      <c r="F45" s="6"/>
      <c r="G45" s="35">
        <v>296781</v>
      </c>
      <c r="H45" s="467">
        <v>733346</v>
      </c>
      <c r="I45" s="1"/>
      <c r="K45" s="1"/>
      <c r="L45" s="467"/>
      <c r="M45" s="1"/>
      <c r="N45" s="466"/>
    </row>
    <row r="46" spans="1:14">
      <c r="A46" s="6"/>
      <c r="B46" s="6"/>
      <c r="C46" s="6"/>
      <c r="D46" s="6"/>
      <c r="E46" s="6"/>
      <c r="F46" s="6"/>
      <c r="G46" s="35"/>
      <c r="H46" s="1"/>
      <c r="I46" s="1"/>
      <c r="K46" s="1"/>
      <c r="L46" s="1"/>
      <c r="M46" s="1"/>
      <c r="N46" s="466"/>
    </row>
    <row r="47" spans="1:14">
      <c r="A47" s="6" t="s">
        <v>89</v>
      </c>
      <c r="B47" s="6"/>
      <c r="C47" s="6"/>
      <c r="D47" s="6"/>
      <c r="E47" s="6"/>
      <c r="F47" s="6"/>
      <c r="G47" s="35">
        <v>63.6</v>
      </c>
      <c r="H47" s="1"/>
      <c r="I47" s="1"/>
      <c r="K47" s="1"/>
      <c r="L47" s="1"/>
      <c r="M47" s="1"/>
      <c r="N47" s="466"/>
    </row>
    <row r="48" spans="1:14">
      <c r="A48" s="9" t="s">
        <v>90</v>
      </c>
      <c r="B48" s="9"/>
      <c r="C48" s="9"/>
      <c r="D48" s="9"/>
      <c r="E48" s="9"/>
      <c r="F48" s="9"/>
      <c r="G48" s="36">
        <v>43.13</v>
      </c>
      <c r="H48" s="1"/>
      <c r="I48" s="1"/>
      <c r="K48" s="1"/>
      <c r="L48" s="1"/>
      <c r="M48" s="1"/>
      <c r="N48" s="466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66"/>
    </row>
    <row r="50" spans="1:14">
      <c r="A50" s="1" t="s">
        <v>91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66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66"/>
    </row>
    <row r="52" spans="1:14">
      <c r="A52" s="466"/>
      <c r="B52" s="466"/>
      <c r="C52" s="466"/>
      <c r="D52" s="466"/>
      <c r="E52" s="466"/>
      <c r="F52" s="466"/>
      <c r="G52" s="466"/>
      <c r="H52" s="466"/>
      <c r="I52" s="466"/>
      <c r="J52" s="466"/>
      <c r="K52" s="466"/>
      <c r="L52" s="466"/>
      <c r="M52" s="466"/>
      <c r="N52" s="466"/>
    </row>
    <row r="53" spans="1:14">
      <c r="A53" s="466"/>
      <c r="B53" s="466"/>
      <c r="C53" s="466"/>
      <c r="D53" s="466"/>
      <c r="E53" s="466"/>
      <c r="F53" s="466"/>
      <c r="G53" s="466"/>
      <c r="H53" s="466"/>
      <c r="I53" s="466"/>
      <c r="J53" s="466"/>
      <c r="K53" s="466"/>
      <c r="L53" s="466"/>
      <c r="M53" s="466"/>
      <c r="N53" s="466"/>
    </row>
    <row r="77" spans="7:7">
      <c r="G77" s="38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28" workbookViewId="0">
      <selection activeCell="L44" sqref="L44"/>
    </sheetView>
  </sheetViews>
  <sheetFormatPr defaultColWidth="9.140625" defaultRowHeight="15"/>
  <cols>
    <col min="1" max="1" width="6.85546875" style="38" customWidth="1"/>
    <col min="2" max="2" width="7.7109375" style="38" customWidth="1"/>
    <col min="3" max="3" width="4.85546875" style="38" customWidth="1"/>
    <col min="4" max="4" width="7" style="38" customWidth="1"/>
    <col min="5" max="5" width="8.42578125" style="38" customWidth="1"/>
    <col min="6" max="6" width="5.85546875" style="38" customWidth="1"/>
    <col min="7" max="7" width="11.28515625" style="38" customWidth="1"/>
    <col min="8" max="8" width="9.85546875" style="38" customWidth="1"/>
    <col min="9" max="9" width="9" style="38" customWidth="1"/>
    <col min="10" max="10" width="12" style="38" customWidth="1"/>
    <col min="11" max="11" width="10.28515625" style="38" customWidth="1"/>
    <col min="12" max="12" width="5.5703125" style="38" customWidth="1"/>
    <col min="13" max="13" width="5.7109375" style="38" customWidth="1"/>
    <col min="14" max="16384" width="9.140625" style="38"/>
  </cols>
  <sheetData>
    <row r="1" spans="1:13">
      <c r="A1" s="1" t="s">
        <v>0</v>
      </c>
      <c r="B1" s="1" t="s">
        <v>320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328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 t="s">
        <v>161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6</v>
      </c>
      <c r="B4" s="3"/>
      <c r="C4" s="3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307" t="s">
        <v>71</v>
      </c>
      <c r="M4" s="4"/>
    </row>
    <row r="5" spans="1:13">
      <c r="A5" s="6"/>
      <c r="B5" s="6"/>
      <c r="C5" s="6"/>
      <c r="D5" s="7" t="s">
        <v>16</v>
      </c>
      <c r="E5" s="7" t="s">
        <v>17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19</v>
      </c>
      <c r="K5" s="7" t="s">
        <v>19</v>
      </c>
      <c r="L5" s="8" t="s">
        <v>12</v>
      </c>
      <c r="M5" s="7" t="s">
        <v>13</v>
      </c>
    </row>
    <row r="6" spans="1:13">
      <c r="A6" s="6"/>
      <c r="B6" s="6"/>
      <c r="C6" s="6"/>
      <c r="D6" s="7" t="s">
        <v>22</v>
      </c>
      <c r="E6" s="7"/>
      <c r="F6" s="7"/>
      <c r="G6" s="7"/>
      <c r="H6" s="7" t="s">
        <v>23</v>
      </c>
      <c r="I6" s="7" t="s">
        <v>19</v>
      </c>
      <c r="J6" s="7" t="s">
        <v>23</v>
      </c>
      <c r="K6" s="7" t="s">
        <v>23</v>
      </c>
      <c r="L6" s="7"/>
      <c r="M6" s="7"/>
    </row>
    <row r="7" spans="1:13">
      <c r="A7" s="9"/>
      <c r="B7" s="9"/>
      <c r="C7" s="9"/>
      <c r="D7" s="10"/>
      <c r="E7" s="10"/>
      <c r="F7" s="10"/>
      <c r="G7" s="10"/>
      <c r="H7" s="10"/>
      <c r="I7" s="10" t="s">
        <v>23</v>
      </c>
      <c r="J7" s="10"/>
      <c r="K7" s="10"/>
      <c r="L7" s="10"/>
      <c r="M7" s="10"/>
    </row>
    <row r="8" spans="1:13">
      <c r="A8" s="1" t="s">
        <v>73</v>
      </c>
      <c r="B8" s="1"/>
      <c r="C8" s="1"/>
      <c r="D8" s="308">
        <v>90</v>
      </c>
      <c r="E8" s="27">
        <v>7.76</v>
      </c>
      <c r="F8" s="27">
        <v>2.04</v>
      </c>
      <c r="G8" s="309">
        <v>1500</v>
      </c>
      <c r="H8" s="27">
        <v>11616</v>
      </c>
      <c r="I8" s="1"/>
      <c r="J8" s="27"/>
      <c r="K8" s="27">
        <v>11640</v>
      </c>
      <c r="L8" s="1"/>
      <c r="M8" s="1"/>
    </row>
    <row r="9" spans="1:13">
      <c r="A9" s="1" t="s">
        <v>164</v>
      </c>
      <c r="B9" s="1"/>
      <c r="C9" s="1"/>
      <c r="D9" s="308">
        <v>100</v>
      </c>
      <c r="E9" s="27">
        <v>1.5</v>
      </c>
      <c r="F9" s="27">
        <v>1.47</v>
      </c>
      <c r="G9" s="309">
        <v>1300</v>
      </c>
      <c r="H9" s="27">
        <v>1800</v>
      </c>
      <c r="I9" s="27">
        <v>8906</v>
      </c>
      <c r="J9" s="27"/>
      <c r="K9" s="27">
        <v>9346</v>
      </c>
      <c r="L9" s="467">
        <v>1296</v>
      </c>
      <c r="M9" s="27"/>
    </row>
    <row r="10" spans="1:13">
      <c r="A10" s="1" t="s">
        <v>165</v>
      </c>
      <c r="B10" s="1"/>
      <c r="C10" s="1"/>
      <c r="D10" s="308">
        <v>100</v>
      </c>
      <c r="E10" s="27">
        <v>12.3</v>
      </c>
      <c r="F10" s="27">
        <v>2.2999999999999998</v>
      </c>
      <c r="G10" s="309">
        <v>1400</v>
      </c>
      <c r="H10" s="27">
        <v>20280</v>
      </c>
      <c r="I10" s="27"/>
      <c r="J10" s="27">
        <v>4041</v>
      </c>
      <c r="K10" s="27">
        <v>21260</v>
      </c>
      <c r="L10" s="467"/>
      <c r="M10" s="27"/>
    </row>
    <row r="11" spans="1:13">
      <c r="A11" s="1" t="s">
        <v>322</v>
      </c>
      <c r="B11" s="1"/>
      <c r="C11" s="1"/>
      <c r="D11" s="308">
        <v>100</v>
      </c>
      <c r="E11" s="27">
        <v>11.7</v>
      </c>
      <c r="F11" s="27">
        <v>3.31</v>
      </c>
      <c r="G11" s="309">
        <v>1384</v>
      </c>
      <c r="H11" s="27">
        <v>16368</v>
      </c>
      <c r="I11" s="27"/>
      <c r="J11" s="27">
        <v>190404</v>
      </c>
      <c r="K11" s="27">
        <v>206831</v>
      </c>
      <c r="L11" s="467"/>
      <c r="M11" s="467">
        <v>23911</v>
      </c>
    </row>
    <row r="12" spans="1:13">
      <c r="A12" s="1" t="s">
        <v>104</v>
      </c>
      <c r="B12" s="1"/>
      <c r="C12" s="1"/>
      <c r="D12" s="308">
        <v>100</v>
      </c>
      <c r="E12" s="27">
        <v>8.4</v>
      </c>
      <c r="F12" s="27">
        <v>2.65</v>
      </c>
      <c r="G12" s="309">
        <v>1472</v>
      </c>
      <c r="H12" s="27">
        <v>12330</v>
      </c>
      <c r="I12" s="27"/>
      <c r="J12" s="27">
        <v>60924</v>
      </c>
      <c r="K12" s="27">
        <v>59270</v>
      </c>
      <c r="L12" s="467"/>
      <c r="M12" s="467"/>
    </row>
    <row r="13" spans="1:13">
      <c r="A13" s="1" t="s">
        <v>167</v>
      </c>
      <c r="B13" s="1"/>
      <c r="C13" s="1"/>
      <c r="D13" s="308">
        <v>100</v>
      </c>
      <c r="E13" s="27">
        <v>12.2</v>
      </c>
      <c r="F13" s="27">
        <v>4.6999999999999993</v>
      </c>
      <c r="G13" s="309">
        <v>1426</v>
      </c>
      <c r="H13" s="27">
        <v>18235</v>
      </c>
      <c r="I13" s="27"/>
      <c r="J13" s="27"/>
      <c r="K13" s="27">
        <v>17397</v>
      </c>
      <c r="L13" s="467"/>
      <c r="M13" s="467"/>
    </row>
    <row r="14" spans="1:13">
      <c r="A14" s="1" t="s">
        <v>77</v>
      </c>
      <c r="B14" s="1"/>
      <c r="C14" s="1"/>
      <c r="D14" s="308">
        <v>97</v>
      </c>
      <c r="E14" s="27">
        <v>13</v>
      </c>
      <c r="F14" s="27">
        <v>10.33</v>
      </c>
      <c r="G14" s="309">
        <v>1300</v>
      </c>
      <c r="H14" s="27">
        <v>15450</v>
      </c>
      <c r="I14" s="27"/>
      <c r="J14" s="27">
        <v>23062</v>
      </c>
      <c r="K14" s="27">
        <v>39983</v>
      </c>
      <c r="L14" s="467"/>
      <c r="M14" s="467"/>
    </row>
    <row r="15" spans="1:13">
      <c r="A15" s="1" t="s">
        <v>329</v>
      </c>
      <c r="B15" s="1"/>
      <c r="C15" s="1"/>
      <c r="D15" s="308">
        <v>100</v>
      </c>
      <c r="E15" s="27">
        <v>16</v>
      </c>
      <c r="F15" s="27">
        <v>15.52</v>
      </c>
      <c r="G15" s="309">
        <v>1500</v>
      </c>
      <c r="H15" s="27">
        <v>18840</v>
      </c>
      <c r="I15" s="27">
        <v>11455</v>
      </c>
      <c r="J15" s="27"/>
      <c r="K15" s="27">
        <v>29941</v>
      </c>
      <c r="L15" s="467"/>
      <c r="M15" s="467"/>
    </row>
    <row r="16" spans="1:13">
      <c r="A16" s="1" t="s">
        <v>78</v>
      </c>
      <c r="B16" s="1"/>
      <c r="C16" s="1"/>
      <c r="D16" s="308">
        <v>100</v>
      </c>
      <c r="E16" s="27">
        <v>18</v>
      </c>
      <c r="F16" s="27">
        <v>4.3</v>
      </c>
      <c r="G16" s="309">
        <v>1365</v>
      </c>
      <c r="H16" s="27">
        <v>26208</v>
      </c>
      <c r="I16" s="27"/>
      <c r="J16" s="27"/>
      <c r="K16" s="27">
        <v>24570</v>
      </c>
      <c r="L16" s="467"/>
      <c r="M16" s="467"/>
    </row>
    <row r="17" spans="1:13">
      <c r="A17" s="3" t="s">
        <v>81</v>
      </c>
      <c r="B17" s="3"/>
      <c r="C17" s="3"/>
      <c r="D17" s="20"/>
      <c r="E17" s="21">
        <v>102</v>
      </c>
      <c r="F17" s="21">
        <v>44</v>
      </c>
      <c r="G17" s="21"/>
      <c r="H17" s="21">
        <f>SUM(H8:H16)</f>
        <v>141127</v>
      </c>
      <c r="I17" s="21">
        <f t="shared" ref="I17:K17" si="0">SUM(I8:I16)</f>
        <v>20361</v>
      </c>
      <c r="J17" s="21">
        <f t="shared" si="0"/>
        <v>278431</v>
      </c>
      <c r="K17" s="21">
        <f t="shared" si="0"/>
        <v>420238</v>
      </c>
      <c r="L17" s="468">
        <f>+I17-I18</f>
        <v>1296</v>
      </c>
      <c r="M17" s="468">
        <f>+J17-J18</f>
        <v>23911</v>
      </c>
    </row>
    <row r="18" spans="1:13">
      <c r="A18" s="9" t="s">
        <v>82</v>
      </c>
      <c r="B18" s="9"/>
      <c r="C18" s="9"/>
      <c r="D18" s="22"/>
      <c r="E18" s="23">
        <v>58</v>
      </c>
      <c r="F18" s="23"/>
      <c r="G18" s="23"/>
      <c r="H18" s="23">
        <v>80272</v>
      </c>
      <c r="I18" s="23">
        <v>19065</v>
      </c>
      <c r="J18" s="23">
        <v>254520</v>
      </c>
      <c r="K18" s="23">
        <v>353383</v>
      </c>
      <c r="L18" s="23"/>
      <c r="M18" s="471"/>
    </row>
    <row r="19" spans="1:13">
      <c r="A19" s="1"/>
      <c r="B19" s="1"/>
      <c r="C19" s="1"/>
      <c r="D19" s="308"/>
      <c r="E19" s="27"/>
      <c r="F19" s="27"/>
      <c r="G19" s="309"/>
      <c r="H19" s="27"/>
      <c r="I19" s="1"/>
      <c r="J19" s="27"/>
      <c r="K19" s="27"/>
      <c r="L19" s="1"/>
      <c r="M19" s="1"/>
    </row>
    <row r="20" spans="1:13">
      <c r="A20" s="1"/>
      <c r="B20" s="1"/>
      <c r="C20" s="1" t="s">
        <v>36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 t="s">
        <v>37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4" t="s">
        <v>38</v>
      </c>
      <c r="B23" s="24"/>
      <c r="C23" s="24"/>
      <c r="D23" s="24" t="s">
        <v>39</v>
      </c>
      <c r="E23" s="24" t="s">
        <v>40</v>
      </c>
      <c r="F23" s="24"/>
      <c r="G23" s="24" t="s">
        <v>41</v>
      </c>
      <c r="H23" s="1"/>
      <c r="I23" s="1"/>
      <c r="J23" s="1"/>
      <c r="K23" s="469"/>
      <c r="L23" s="1"/>
      <c r="M23" s="1"/>
    </row>
    <row r="24" spans="1:13">
      <c r="A24" s="1" t="s">
        <v>42</v>
      </c>
      <c r="B24" s="1"/>
      <c r="C24" s="1"/>
      <c r="D24" s="1" t="s">
        <v>84</v>
      </c>
      <c r="E24" s="1"/>
      <c r="F24" s="1"/>
      <c r="G24" s="1"/>
      <c r="H24" s="1"/>
      <c r="I24" s="1"/>
      <c r="J24" s="1"/>
      <c r="K24" s="469"/>
      <c r="L24" s="1"/>
      <c r="M24" s="1"/>
    </row>
    <row r="25" spans="1:13">
      <c r="A25" s="1" t="s">
        <v>83</v>
      </c>
      <c r="B25" s="1"/>
      <c r="C25" s="1"/>
      <c r="D25" s="1" t="s">
        <v>84</v>
      </c>
      <c r="E25" s="27">
        <v>738</v>
      </c>
      <c r="F25" s="27"/>
      <c r="G25" s="27">
        <v>258</v>
      </c>
      <c r="H25" s="1"/>
      <c r="I25" s="1"/>
      <c r="J25" s="1" t="s">
        <v>324</v>
      </c>
      <c r="K25" s="469">
        <v>0.97</v>
      </c>
      <c r="L25" s="1"/>
      <c r="M25" s="1"/>
    </row>
    <row r="26" spans="1:13">
      <c r="A26" s="1"/>
      <c r="B26" s="1"/>
      <c r="C26" s="1"/>
      <c r="D26" s="1"/>
      <c r="E26" s="27"/>
      <c r="F26" s="27"/>
      <c r="G26" s="27"/>
      <c r="H26" s="1"/>
      <c r="I26" s="1"/>
      <c r="J26" s="1" t="s">
        <v>117</v>
      </c>
      <c r="K26" s="469">
        <v>0.03</v>
      </c>
      <c r="L26" s="1"/>
      <c r="M26" s="1"/>
    </row>
    <row r="27" spans="1:13">
      <c r="A27" s="1"/>
      <c r="B27" s="1"/>
      <c r="C27" s="1"/>
      <c r="D27" s="1"/>
      <c r="E27" s="27"/>
      <c r="F27" s="27"/>
      <c r="G27" s="27"/>
      <c r="H27" s="1"/>
      <c r="I27" s="1"/>
      <c r="J27" s="1"/>
      <c r="K27" s="1"/>
      <c r="L27" s="1"/>
      <c r="M27" s="1"/>
    </row>
    <row r="28" spans="1:13">
      <c r="A28" s="1" t="s">
        <v>48</v>
      </c>
      <c r="B28" s="1"/>
      <c r="C28" s="1"/>
      <c r="D28" s="1"/>
      <c r="E28" s="27"/>
      <c r="F28" s="27"/>
      <c r="G28" s="27"/>
      <c r="H28" s="1"/>
      <c r="I28" s="1"/>
      <c r="J28" s="1" t="s">
        <v>53</v>
      </c>
      <c r="K28" s="1">
        <v>0.5</v>
      </c>
      <c r="L28" s="1"/>
      <c r="M28" s="1"/>
    </row>
    <row r="29" spans="1:13">
      <c r="A29" s="1" t="s">
        <v>50</v>
      </c>
      <c r="B29" s="1"/>
      <c r="C29" s="1"/>
      <c r="D29" s="1" t="s">
        <v>51</v>
      </c>
      <c r="E29" s="27">
        <v>58</v>
      </c>
      <c r="F29" s="27"/>
      <c r="G29" s="27">
        <v>1384</v>
      </c>
      <c r="H29" s="1"/>
      <c r="I29" s="1"/>
      <c r="J29" s="1" t="s">
        <v>54</v>
      </c>
      <c r="K29" s="1">
        <v>0.25</v>
      </c>
      <c r="L29" s="1"/>
      <c r="M29" s="1"/>
    </row>
    <row r="30" spans="1:13">
      <c r="A30" s="1" t="s">
        <v>52</v>
      </c>
      <c r="B30" s="1"/>
      <c r="C30" s="1"/>
      <c r="D30" s="1" t="s">
        <v>51</v>
      </c>
      <c r="E30" s="27">
        <v>44</v>
      </c>
      <c r="F30" s="27"/>
      <c r="G30" s="27"/>
      <c r="H30" s="1"/>
      <c r="I30" s="1"/>
      <c r="J30" s="1"/>
      <c r="K30" s="1"/>
      <c r="L30" s="1"/>
      <c r="M30" s="1"/>
    </row>
    <row r="31" spans="1:13">
      <c r="A31" s="1" t="s">
        <v>8</v>
      </c>
      <c r="B31" s="1"/>
      <c r="C31" s="1"/>
      <c r="D31" s="1"/>
      <c r="E31" s="27">
        <v>102</v>
      </c>
      <c r="F31" s="27"/>
      <c r="G31" s="27"/>
      <c r="H31" s="1"/>
      <c r="I31" s="1"/>
      <c r="J31" s="1"/>
      <c r="K31" s="470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3" t="s">
        <v>115</v>
      </c>
      <c r="B33" s="3"/>
      <c r="C33" s="3" t="s">
        <v>116</v>
      </c>
      <c r="D33" s="3"/>
      <c r="E33" s="3"/>
      <c r="F33" s="3"/>
      <c r="G33" s="3"/>
      <c r="H33" s="1"/>
      <c r="I33" s="1"/>
      <c r="J33" s="1"/>
      <c r="K33" s="1"/>
      <c r="L33" s="1"/>
      <c r="M33" s="1"/>
    </row>
    <row r="34" spans="1:13">
      <c r="A34" s="6" t="s">
        <v>229</v>
      </c>
      <c r="B34" s="8" t="s">
        <v>325</v>
      </c>
      <c r="C34" s="403"/>
      <c r="D34" s="6" t="s">
        <v>46</v>
      </c>
      <c r="E34" s="6"/>
      <c r="F34" s="6"/>
      <c r="G34" s="266"/>
      <c r="H34" s="1"/>
      <c r="I34" s="1"/>
      <c r="J34" s="1"/>
      <c r="K34" s="1"/>
      <c r="L34" s="1"/>
      <c r="M34" s="1"/>
    </row>
    <row r="35" spans="1:13">
      <c r="A35" s="6" t="s">
        <v>172</v>
      </c>
      <c r="B35" s="8" t="s">
        <v>173</v>
      </c>
      <c r="C35" s="403">
        <v>40</v>
      </c>
      <c r="D35" s="6" t="s">
        <v>46</v>
      </c>
      <c r="E35" s="266">
        <v>1247</v>
      </c>
      <c r="F35" s="6"/>
      <c r="G35" s="266">
        <v>6</v>
      </c>
      <c r="H35" s="1"/>
      <c r="I35" s="1"/>
      <c r="J35" s="1"/>
      <c r="K35" s="1"/>
      <c r="L35" s="1"/>
      <c r="M35" s="1"/>
    </row>
    <row r="36" spans="1:13">
      <c r="A36" s="6" t="s">
        <v>326</v>
      </c>
      <c r="B36" s="8" t="s">
        <v>175</v>
      </c>
      <c r="C36" s="403">
        <v>97</v>
      </c>
      <c r="D36" s="6" t="s">
        <v>46</v>
      </c>
      <c r="E36" s="266">
        <v>465</v>
      </c>
      <c r="F36" s="6"/>
      <c r="G36" s="266">
        <v>30</v>
      </c>
      <c r="H36" s="1"/>
      <c r="I36" s="1"/>
      <c r="J36" s="1"/>
      <c r="K36" s="1"/>
      <c r="L36" s="1"/>
      <c r="M36" s="1"/>
    </row>
    <row r="37" spans="1:13">
      <c r="A37" s="6" t="s">
        <v>330</v>
      </c>
      <c r="B37" s="8" t="s">
        <v>177</v>
      </c>
      <c r="C37" s="403">
        <v>40</v>
      </c>
      <c r="D37" s="6" t="s">
        <v>46</v>
      </c>
      <c r="E37" s="266">
        <v>6532</v>
      </c>
      <c r="F37" s="6"/>
      <c r="G37" s="266">
        <v>6</v>
      </c>
      <c r="H37" s="1"/>
      <c r="I37" s="1"/>
      <c r="J37" s="1"/>
      <c r="K37" s="1"/>
      <c r="L37" s="1"/>
      <c r="M37" s="1"/>
    </row>
    <row r="38" spans="1:13">
      <c r="A38" s="3" t="s">
        <v>55</v>
      </c>
      <c r="B38" s="3"/>
      <c r="C38" s="3"/>
      <c r="D38" s="3"/>
      <c r="E38" s="3"/>
      <c r="F38" s="3"/>
      <c r="G38" s="3"/>
      <c r="H38" s="1"/>
      <c r="I38" s="1"/>
      <c r="J38" s="1" t="s">
        <v>178</v>
      </c>
      <c r="K38" s="1"/>
      <c r="L38" s="1"/>
      <c r="M38" s="1"/>
    </row>
    <row r="39" spans="1:13">
      <c r="A39" s="6" t="s">
        <v>85</v>
      </c>
      <c r="B39" s="6"/>
      <c r="C39" s="6"/>
      <c r="D39" s="6"/>
      <c r="E39" s="6"/>
      <c r="F39" s="6"/>
      <c r="G39" s="34">
        <v>6555</v>
      </c>
      <c r="H39" s="1"/>
      <c r="I39" s="1"/>
      <c r="J39" s="27">
        <v>16197</v>
      </c>
      <c r="K39" s="27"/>
      <c r="L39" s="27"/>
      <c r="M39" s="1"/>
    </row>
    <row r="40" spans="1:13">
      <c r="A40" s="6" t="s">
        <v>60</v>
      </c>
      <c r="B40" s="6"/>
      <c r="C40" s="6"/>
      <c r="D40" s="6"/>
      <c r="E40" s="6"/>
      <c r="F40" s="6"/>
      <c r="G40" s="35">
        <v>124</v>
      </c>
      <c r="H40" s="1"/>
      <c r="I40" s="1"/>
      <c r="J40" s="27"/>
      <c r="K40" s="27"/>
      <c r="L40" s="27"/>
      <c r="M40" s="1"/>
    </row>
    <row r="41" spans="1:13">
      <c r="A41" s="6" t="s">
        <v>86</v>
      </c>
      <c r="B41" s="6"/>
      <c r="C41" s="6"/>
      <c r="D41" s="6"/>
      <c r="E41" s="6"/>
      <c r="F41" s="6"/>
      <c r="G41" s="35">
        <v>812820</v>
      </c>
      <c r="H41" s="1"/>
      <c r="I41" s="1"/>
      <c r="J41" s="467">
        <f>+G41*2.471</f>
        <v>2008478.22</v>
      </c>
      <c r="K41" s="27"/>
      <c r="L41" s="27"/>
      <c r="M41" s="1"/>
    </row>
    <row r="42" spans="1:13">
      <c r="A42" s="6" t="s">
        <v>87</v>
      </c>
      <c r="B42" s="6"/>
      <c r="C42" s="6"/>
      <c r="D42" s="6"/>
      <c r="E42" s="6"/>
      <c r="F42" s="6"/>
      <c r="G42" s="35">
        <v>372901</v>
      </c>
      <c r="H42" s="1"/>
      <c r="I42" s="1"/>
      <c r="J42" s="467">
        <f t="shared" ref="J42:J43" si="1">+G42*2.471</f>
        <v>921438.37100000004</v>
      </c>
      <c r="K42" s="27"/>
      <c r="L42" s="27"/>
      <c r="M42" s="1"/>
    </row>
    <row r="43" spans="1:13">
      <c r="A43" s="6" t="s">
        <v>88</v>
      </c>
      <c r="B43" s="6"/>
      <c r="C43" s="6"/>
      <c r="D43" s="6"/>
      <c r="E43" s="6"/>
      <c r="F43" s="6"/>
      <c r="G43" s="35">
        <v>458963</v>
      </c>
      <c r="H43" s="1"/>
      <c r="I43" s="1"/>
      <c r="J43" s="467">
        <f t="shared" si="1"/>
        <v>1134097.5730000001</v>
      </c>
      <c r="K43" s="27"/>
      <c r="L43" s="27"/>
      <c r="M43" s="1"/>
    </row>
    <row r="44" spans="1:13">
      <c r="A44" s="6"/>
      <c r="B44" s="6"/>
      <c r="C44" s="6"/>
      <c r="D44" s="6"/>
      <c r="E44" s="6"/>
      <c r="F44" s="6"/>
      <c r="G44" s="35"/>
      <c r="H44" s="1"/>
      <c r="I44" s="1"/>
      <c r="J44" s="27"/>
      <c r="K44" s="27"/>
      <c r="L44" s="27"/>
      <c r="M44" s="1"/>
    </row>
    <row r="45" spans="1:13">
      <c r="A45" s="6" t="s">
        <v>89</v>
      </c>
      <c r="B45" s="6"/>
      <c r="C45" s="6"/>
      <c r="D45" s="6"/>
      <c r="E45" s="6"/>
      <c r="F45" s="6"/>
      <c r="G45" s="35">
        <v>67.11</v>
      </c>
      <c r="H45" s="1"/>
      <c r="I45" s="1"/>
      <c r="J45" s="1"/>
      <c r="K45" s="1"/>
      <c r="L45" s="1"/>
      <c r="M45" s="1"/>
    </row>
    <row r="46" spans="1:13">
      <c r="A46" s="9" t="s">
        <v>90</v>
      </c>
      <c r="B46" s="9"/>
      <c r="C46" s="9"/>
      <c r="D46" s="9"/>
      <c r="E46" s="9"/>
      <c r="F46" s="9"/>
      <c r="G46" s="36">
        <v>53.98</v>
      </c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 t="s">
        <v>91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75" spans="7:7">
      <c r="G75" s="38" t="s">
        <v>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opLeftCell="A25" workbookViewId="0">
      <selection activeCell="I43" sqref="I43"/>
    </sheetView>
  </sheetViews>
  <sheetFormatPr defaultColWidth="11" defaultRowHeight="12.75"/>
  <cols>
    <col min="1" max="1" width="7.7109375" style="473" customWidth="1"/>
    <col min="2" max="2" width="5.28515625" style="473" customWidth="1"/>
    <col min="3" max="3" width="6.42578125" style="473" customWidth="1"/>
    <col min="4" max="4" width="4.7109375" style="473" customWidth="1"/>
    <col min="5" max="6" width="5.5703125" style="473" customWidth="1"/>
    <col min="7" max="7" width="9.42578125" style="473" customWidth="1"/>
    <col min="8" max="8" width="9.85546875" style="473" customWidth="1"/>
    <col min="9" max="9" width="9.140625" style="473" customWidth="1"/>
    <col min="10" max="10" width="9.42578125" style="473" customWidth="1"/>
    <col min="11" max="11" width="8.7109375" style="473" customWidth="1"/>
    <col min="12" max="13" width="7.28515625" style="473" customWidth="1"/>
    <col min="14" max="15" width="11" style="473"/>
    <col min="16" max="16" width="7" style="473" customWidth="1"/>
    <col min="17" max="17" width="6" style="473" customWidth="1"/>
    <col min="18" max="16384" width="11" style="473"/>
  </cols>
  <sheetData>
    <row r="1" spans="1:17" ht="14.25">
      <c r="A1" s="472" t="s">
        <v>0</v>
      </c>
      <c r="B1" s="472" t="s">
        <v>331</v>
      </c>
      <c r="C1" s="472"/>
      <c r="D1" s="472"/>
      <c r="E1" s="472"/>
      <c r="F1" s="472"/>
      <c r="G1" s="472"/>
    </row>
    <row r="2" spans="1:17" ht="14.25">
      <c r="A2" s="472"/>
      <c r="B2" s="472" t="s">
        <v>332</v>
      </c>
      <c r="C2" s="472"/>
      <c r="D2" s="472"/>
      <c r="E2" s="472"/>
      <c r="F2" s="472"/>
      <c r="G2" s="472"/>
      <c r="H2" s="473" t="s">
        <v>333</v>
      </c>
    </row>
    <row r="3" spans="1:17">
      <c r="A3" s="474" t="s">
        <v>6</v>
      </c>
      <c r="B3" s="474"/>
      <c r="C3" s="474"/>
      <c r="D3" s="475" t="s">
        <v>7</v>
      </c>
      <c r="E3" s="475" t="s">
        <v>8</v>
      </c>
      <c r="F3" s="475" t="s">
        <v>9</v>
      </c>
      <c r="G3" s="475" t="s">
        <v>10</v>
      </c>
      <c r="H3" s="475" t="s">
        <v>11</v>
      </c>
      <c r="I3" s="475" t="s">
        <v>12</v>
      </c>
      <c r="J3" s="475" t="s">
        <v>13</v>
      </c>
      <c r="K3" s="475" t="s">
        <v>14</v>
      </c>
      <c r="L3" s="476" t="s">
        <v>71</v>
      </c>
      <c r="M3" s="475"/>
    </row>
    <row r="4" spans="1:17">
      <c r="A4" s="477"/>
      <c r="B4" s="477"/>
      <c r="C4" s="477"/>
      <c r="D4" s="478" t="s">
        <v>16</v>
      </c>
      <c r="E4" s="478" t="s">
        <v>17</v>
      </c>
      <c r="F4" s="478" t="s">
        <v>17</v>
      </c>
      <c r="G4" s="478" t="s">
        <v>18</v>
      </c>
      <c r="H4" s="478" t="s">
        <v>19</v>
      </c>
      <c r="I4" s="478" t="s">
        <v>20</v>
      </c>
      <c r="J4" s="478" t="s">
        <v>19</v>
      </c>
      <c r="K4" s="478" t="s">
        <v>19</v>
      </c>
      <c r="L4" s="478" t="s">
        <v>12</v>
      </c>
      <c r="M4" s="478" t="s">
        <v>13</v>
      </c>
    </row>
    <row r="5" spans="1:17">
      <c r="A5" s="477"/>
      <c r="B5" s="477"/>
      <c r="C5" s="477"/>
      <c r="D5" s="478" t="s">
        <v>22</v>
      </c>
      <c r="E5" s="478"/>
      <c r="F5" s="478"/>
      <c r="G5" s="478"/>
      <c r="H5" s="478" t="s">
        <v>23</v>
      </c>
      <c r="I5" s="478" t="s">
        <v>19</v>
      </c>
      <c r="J5" s="478" t="s">
        <v>23</v>
      </c>
      <c r="K5" s="478" t="s">
        <v>23</v>
      </c>
      <c r="L5" s="478"/>
      <c r="M5" s="478"/>
    </row>
    <row r="6" spans="1:17">
      <c r="A6" s="479"/>
      <c r="B6" s="479"/>
      <c r="C6" s="479"/>
      <c r="D6" s="480"/>
      <c r="E6" s="480"/>
      <c r="F6" s="480"/>
      <c r="G6" s="480"/>
      <c r="H6" s="480"/>
      <c r="I6" s="480" t="s">
        <v>23</v>
      </c>
      <c r="J6" s="480"/>
      <c r="K6" s="480"/>
      <c r="L6" s="480"/>
      <c r="M6" s="480"/>
    </row>
    <row r="7" spans="1:17" ht="14.25">
      <c r="A7" s="473" t="s">
        <v>73</v>
      </c>
      <c r="D7" s="481">
        <v>77</v>
      </c>
      <c r="E7" s="482">
        <v>2.1</v>
      </c>
      <c r="F7" s="483">
        <v>1.8</v>
      </c>
      <c r="G7" s="484">
        <v>1433</v>
      </c>
      <c r="H7" s="482">
        <v>3840</v>
      </c>
      <c r="J7" s="483"/>
      <c r="K7" s="483">
        <f>+H7+I7+J7</f>
        <v>3840</v>
      </c>
      <c r="N7" s="485"/>
      <c r="O7" s="485"/>
      <c r="P7" s="486"/>
      <c r="Q7" s="486"/>
    </row>
    <row r="8" spans="1:17" ht="14.25">
      <c r="A8" s="473" t="s">
        <v>334</v>
      </c>
      <c r="D8" s="481">
        <v>100</v>
      </c>
      <c r="E8" s="483">
        <v>0.35</v>
      </c>
      <c r="F8" s="483">
        <v>0.35</v>
      </c>
      <c r="G8" s="484">
        <v>1500</v>
      </c>
      <c r="H8" s="483">
        <v>480</v>
      </c>
      <c r="I8" s="487">
        <v>6238</v>
      </c>
      <c r="J8" s="483"/>
      <c r="K8" s="483">
        <f t="shared" ref="K8:K15" si="0">+H8+I8+J8</f>
        <v>6718</v>
      </c>
      <c r="L8" s="487">
        <v>2960</v>
      </c>
      <c r="M8" s="483"/>
      <c r="N8" s="485"/>
      <c r="O8" s="485"/>
      <c r="P8" s="488"/>
      <c r="Q8" s="486"/>
    </row>
    <row r="9" spans="1:17" ht="14.25">
      <c r="A9" s="473" t="s">
        <v>235</v>
      </c>
      <c r="D9" s="481">
        <v>100</v>
      </c>
      <c r="E9" s="483">
        <v>2.06</v>
      </c>
      <c r="F9" s="483">
        <v>1.43</v>
      </c>
      <c r="G9" s="489">
        <v>1772</v>
      </c>
      <c r="H9" s="483">
        <v>5137</v>
      </c>
      <c r="I9" s="483"/>
      <c r="J9" s="487">
        <v>12475</v>
      </c>
      <c r="K9" s="483">
        <f t="shared" si="0"/>
        <v>17612</v>
      </c>
      <c r="L9" s="483"/>
      <c r="M9" s="483"/>
      <c r="N9" s="485"/>
      <c r="O9" s="485"/>
      <c r="P9" s="486"/>
      <c r="Q9" s="486"/>
    </row>
    <row r="10" spans="1:17" ht="14.25">
      <c r="A10" s="473" t="s">
        <v>104</v>
      </c>
      <c r="D10" s="481">
        <v>100</v>
      </c>
      <c r="E10" s="487">
        <v>1.67</v>
      </c>
      <c r="F10" s="483">
        <v>1.26</v>
      </c>
      <c r="G10" s="484">
        <v>1886</v>
      </c>
      <c r="H10" s="483">
        <v>2836</v>
      </c>
      <c r="I10" s="483"/>
      <c r="J10" s="487">
        <v>5823</v>
      </c>
      <c r="K10" s="483">
        <f t="shared" si="0"/>
        <v>8659</v>
      </c>
      <c r="L10" s="483"/>
      <c r="M10" s="483"/>
      <c r="N10" s="485"/>
      <c r="O10" s="485"/>
      <c r="P10" s="486"/>
      <c r="Q10" s="486"/>
    </row>
    <row r="11" spans="1:17" ht="14.25">
      <c r="A11" s="473" t="s">
        <v>335</v>
      </c>
      <c r="D11" s="481">
        <v>84</v>
      </c>
      <c r="E11" s="483">
        <v>4.5199999999999996</v>
      </c>
      <c r="F11" s="483">
        <v>2.97</v>
      </c>
      <c r="G11" s="484">
        <v>1276</v>
      </c>
      <c r="H11" s="483">
        <v>5097</v>
      </c>
      <c r="I11" s="483"/>
      <c r="J11" s="483"/>
      <c r="K11" s="483">
        <f t="shared" si="0"/>
        <v>5097</v>
      </c>
      <c r="L11" s="483"/>
      <c r="M11" s="483"/>
      <c r="N11" s="485"/>
      <c r="O11" s="485"/>
      <c r="P11" s="486"/>
      <c r="Q11" s="486"/>
    </row>
    <row r="12" spans="1:17" ht="14.25">
      <c r="A12" s="473" t="s">
        <v>105</v>
      </c>
      <c r="D12" s="481">
        <v>45</v>
      </c>
      <c r="E12" s="483">
        <v>0.53</v>
      </c>
      <c r="F12" s="483">
        <v>0.5</v>
      </c>
      <c r="G12" s="484">
        <v>1500</v>
      </c>
      <c r="H12" s="483">
        <v>1050</v>
      </c>
      <c r="I12" s="483"/>
      <c r="J12" s="483">
        <v>2105</v>
      </c>
      <c r="K12" s="483">
        <f t="shared" si="0"/>
        <v>3155</v>
      </c>
      <c r="L12" s="483"/>
      <c r="M12" s="483"/>
      <c r="N12" s="485"/>
      <c r="O12" s="485"/>
      <c r="P12" s="490"/>
      <c r="Q12" s="490"/>
    </row>
    <row r="13" spans="1:17" ht="14.25">
      <c r="A13" s="473" t="s">
        <v>336</v>
      </c>
      <c r="D13" s="481">
        <v>61</v>
      </c>
      <c r="E13" s="483">
        <v>0.5</v>
      </c>
      <c r="F13" s="483">
        <v>0.44</v>
      </c>
      <c r="G13" s="484">
        <v>1330</v>
      </c>
      <c r="H13" s="483">
        <v>931</v>
      </c>
      <c r="I13" s="483"/>
      <c r="J13" s="483">
        <v>1088</v>
      </c>
      <c r="K13" s="483">
        <f t="shared" si="0"/>
        <v>2019</v>
      </c>
      <c r="L13" s="483"/>
      <c r="M13" s="483"/>
      <c r="N13" s="485"/>
      <c r="O13" s="485"/>
      <c r="P13" s="486"/>
      <c r="Q13" s="486"/>
    </row>
    <row r="14" spans="1:17" ht="14.25">
      <c r="A14" s="473" t="s">
        <v>109</v>
      </c>
      <c r="D14" s="481">
        <v>100</v>
      </c>
      <c r="E14" s="483">
        <v>3.68</v>
      </c>
      <c r="F14" s="483">
        <v>2.81</v>
      </c>
      <c r="G14" s="484">
        <v>1060</v>
      </c>
      <c r="H14" s="483">
        <v>6968</v>
      </c>
      <c r="I14" s="483"/>
      <c r="J14" s="483"/>
      <c r="K14" s="483">
        <f t="shared" si="0"/>
        <v>6968</v>
      </c>
      <c r="L14" s="483"/>
      <c r="M14" s="483"/>
      <c r="N14" s="485"/>
      <c r="O14" s="485"/>
      <c r="P14" s="486"/>
      <c r="Q14" s="486"/>
    </row>
    <row r="15" spans="1:17" ht="14.25">
      <c r="A15" s="473" t="s">
        <v>80</v>
      </c>
      <c r="D15" s="481">
        <v>87</v>
      </c>
      <c r="E15" s="483">
        <v>0.41</v>
      </c>
      <c r="F15" s="483">
        <v>0.4</v>
      </c>
      <c r="G15" s="484">
        <v>1500</v>
      </c>
      <c r="H15" s="483">
        <v>480</v>
      </c>
      <c r="I15" s="483">
        <v>2135</v>
      </c>
      <c r="J15" s="483"/>
      <c r="K15" s="483">
        <f t="shared" si="0"/>
        <v>2615</v>
      </c>
      <c r="L15" s="483"/>
      <c r="M15" s="483"/>
      <c r="N15" s="485"/>
      <c r="O15" s="485"/>
      <c r="P15" s="486"/>
      <c r="Q15" s="486"/>
    </row>
    <row r="16" spans="1:17" ht="14.25">
      <c r="A16" s="474" t="s">
        <v>81</v>
      </c>
      <c r="B16" s="474"/>
      <c r="C16" s="474"/>
      <c r="D16" s="491"/>
      <c r="E16" s="492">
        <v>21</v>
      </c>
      <c r="F16" s="492">
        <v>16</v>
      </c>
      <c r="G16" s="492"/>
      <c r="H16" s="492">
        <f>SUM(H7:H15)</f>
        <v>26819</v>
      </c>
      <c r="I16" s="492">
        <f t="shared" ref="I16:K17" si="1">SUM(I7:I15)</f>
        <v>8373</v>
      </c>
      <c r="J16" s="492">
        <f t="shared" si="1"/>
        <v>21491</v>
      </c>
      <c r="K16" s="492">
        <f>SUM(K7:K15)</f>
        <v>56683</v>
      </c>
      <c r="L16" s="492">
        <f>+I16-I17</f>
        <v>2960</v>
      </c>
      <c r="M16" s="492">
        <v>0</v>
      </c>
      <c r="N16" s="485"/>
      <c r="O16" s="485"/>
      <c r="P16" s="490"/>
      <c r="Q16" s="490"/>
    </row>
    <row r="17" spans="1:16">
      <c r="A17" s="479" t="s">
        <v>82</v>
      </c>
      <c r="B17" s="479"/>
      <c r="C17" s="479"/>
      <c r="D17" s="493"/>
      <c r="E17" s="494">
        <v>5</v>
      </c>
      <c r="F17" s="494"/>
      <c r="G17" s="494"/>
      <c r="H17" s="494">
        <v>5387</v>
      </c>
      <c r="I17" s="494">
        <v>5413</v>
      </c>
      <c r="J17" s="492">
        <v>21491</v>
      </c>
      <c r="K17" s="494">
        <v>18314</v>
      </c>
      <c r="L17" s="479"/>
      <c r="M17" s="479"/>
    </row>
    <row r="19" spans="1:16" ht="14.25">
      <c r="C19" s="472" t="s">
        <v>36</v>
      </c>
      <c r="D19" s="472"/>
      <c r="E19" s="472"/>
    </row>
    <row r="21" spans="1:16" ht="14.25">
      <c r="A21" s="472" t="s">
        <v>37</v>
      </c>
      <c r="B21" s="472"/>
      <c r="C21" s="472"/>
    </row>
    <row r="22" spans="1:16">
      <c r="A22" s="495" t="s">
        <v>38</v>
      </c>
      <c r="B22" s="495"/>
      <c r="C22" s="495"/>
      <c r="D22" s="495" t="s">
        <v>39</v>
      </c>
      <c r="E22" s="495" t="s">
        <v>40</v>
      </c>
      <c r="F22" s="495"/>
      <c r="G22" s="495" t="s">
        <v>41</v>
      </c>
      <c r="H22" s="495"/>
      <c r="I22" s="495" t="s">
        <v>337</v>
      </c>
      <c r="J22" s="495"/>
    </row>
    <row r="23" spans="1:16" ht="14.25">
      <c r="A23" s="472" t="s">
        <v>42</v>
      </c>
      <c r="I23" s="496" t="s">
        <v>43</v>
      </c>
      <c r="J23" s="497"/>
    </row>
    <row r="24" spans="1:16">
      <c r="A24" s="473" t="s">
        <v>338</v>
      </c>
      <c r="D24" s="473" t="s">
        <v>46</v>
      </c>
      <c r="E24" s="483">
        <v>0.4</v>
      </c>
      <c r="G24" s="483">
        <v>31188</v>
      </c>
      <c r="I24" s="498" t="s">
        <v>339</v>
      </c>
      <c r="J24" s="499">
        <v>61.29</v>
      </c>
      <c r="O24" s="483"/>
      <c r="P24" s="500"/>
    </row>
    <row r="25" spans="1:16">
      <c r="I25" s="501" t="s">
        <v>117</v>
      </c>
      <c r="J25" s="499">
        <v>16.12</v>
      </c>
      <c r="O25" s="483"/>
      <c r="P25" s="483"/>
    </row>
    <row r="26" spans="1:16">
      <c r="I26" s="498" t="s">
        <v>340</v>
      </c>
      <c r="J26" s="499">
        <v>12.9</v>
      </c>
      <c r="O26" s="483"/>
      <c r="P26" s="483"/>
    </row>
    <row r="27" spans="1:16" ht="14.25">
      <c r="A27" s="472"/>
      <c r="I27" s="502" t="s">
        <v>341</v>
      </c>
      <c r="J27" s="503">
        <v>9.67</v>
      </c>
      <c r="K27" s="483"/>
      <c r="O27" s="483"/>
      <c r="P27" s="483"/>
    </row>
    <row r="28" spans="1:16" ht="15">
      <c r="A28" s="473" t="s">
        <v>48</v>
      </c>
      <c r="E28" s="38"/>
      <c r="G28" s="38"/>
      <c r="I28" s="504"/>
      <c r="J28" s="505"/>
      <c r="K28" s="391"/>
      <c r="O28" s="483"/>
      <c r="P28" s="506"/>
    </row>
    <row r="29" spans="1:16" ht="15">
      <c r="A29" s="473" t="s">
        <v>342</v>
      </c>
      <c r="D29" s="473" t="s">
        <v>51</v>
      </c>
      <c r="E29" s="49">
        <v>6</v>
      </c>
      <c r="G29" s="483">
        <v>1277</v>
      </c>
      <c r="I29" s="507" t="s">
        <v>53</v>
      </c>
      <c r="J29" s="502">
        <v>3.1</v>
      </c>
      <c r="K29" s="508"/>
    </row>
    <row r="30" spans="1:16" ht="15">
      <c r="A30" s="473" t="s">
        <v>343</v>
      </c>
      <c r="D30" s="473" t="s">
        <v>51</v>
      </c>
      <c r="E30" s="49">
        <v>16</v>
      </c>
      <c r="I30" s="509" t="s">
        <v>54</v>
      </c>
      <c r="J30" s="507">
        <v>2</v>
      </c>
      <c r="K30" s="391"/>
    </row>
    <row r="31" spans="1:16" ht="15">
      <c r="A31" s="473" t="s">
        <v>8</v>
      </c>
      <c r="D31" s="473" t="s">
        <v>51</v>
      </c>
      <c r="E31" s="483">
        <v>21</v>
      </c>
      <c r="I31" s="509" t="s">
        <v>54</v>
      </c>
      <c r="J31" s="507">
        <v>5</v>
      </c>
    </row>
    <row r="32" spans="1:16" ht="15.75">
      <c r="A32" s="510"/>
      <c r="B32" s="477"/>
      <c r="D32" s="477"/>
      <c r="E32" s="477"/>
      <c r="F32" s="477"/>
      <c r="G32" s="477"/>
      <c r="H32" s="477"/>
      <c r="I32" s="391"/>
      <c r="J32" s="391"/>
    </row>
    <row r="33" spans="1:14" ht="15">
      <c r="A33" s="477" t="s">
        <v>191</v>
      </c>
      <c r="B33" s="511" t="s">
        <v>116</v>
      </c>
      <c r="D33" s="477"/>
      <c r="E33" s="477"/>
      <c r="F33" s="477"/>
      <c r="H33" s="477"/>
      <c r="I33" s="477"/>
      <c r="J33" s="391"/>
    </row>
    <row r="34" spans="1:14" ht="15">
      <c r="A34" s="477" t="s">
        <v>119</v>
      </c>
      <c r="B34" s="512">
        <v>74</v>
      </c>
      <c r="C34" s="513"/>
      <c r="D34" s="514" t="s">
        <v>46</v>
      </c>
      <c r="E34" s="515">
        <v>86</v>
      </c>
      <c r="F34" s="516"/>
      <c r="G34" s="487">
        <v>30</v>
      </c>
      <c r="H34" s="477"/>
      <c r="I34" s="517"/>
      <c r="J34" s="391"/>
    </row>
    <row r="35" spans="1:14" ht="15">
      <c r="A35" s="477" t="s">
        <v>344</v>
      </c>
      <c r="B35" s="518">
        <v>77</v>
      </c>
      <c r="D35" s="477" t="s">
        <v>46</v>
      </c>
      <c r="E35" s="519">
        <v>60</v>
      </c>
      <c r="F35" s="517"/>
      <c r="G35" s="482">
        <v>37</v>
      </c>
      <c r="I35" s="517"/>
      <c r="J35" s="391"/>
    </row>
    <row r="36" spans="1:14" ht="15.75">
      <c r="A36" s="477" t="s">
        <v>118</v>
      </c>
      <c r="B36" s="477">
        <v>45</v>
      </c>
      <c r="C36" s="477"/>
      <c r="D36" s="477" t="s">
        <v>46</v>
      </c>
      <c r="E36" s="517">
        <v>33</v>
      </c>
      <c r="F36" s="517"/>
      <c r="G36" s="517">
        <v>31</v>
      </c>
      <c r="H36" s="510"/>
      <c r="I36" s="520"/>
      <c r="J36" s="391"/>
      <c r="K36" s="483"/>
    </row>
    <row r="37" spans="1:14" ht="15">
      <c r="A37" s="477" t="s">
        <v>55</v>
      </c>
      <c r="B37" s="477"/>
      <c r="C37" s="477"/>
      <c r="D37" s="477"/>
      <c r="E37" s="477"/>
      <c r="F37" s="477"/>
      <c r="G37" s="521" t="s">
        <v>345</v>
      </c>
      <c r="H37" s="477"/>
      <c r="I37" s="477" t="s">
        <v>124</v>
      </c>
      <c r="J37" s="391"/>
    </row>
    <row r="38" spans="1:14">
      <c r="A38" s="477" t="s">
        <v>85</v>
      </c>
      <c r="B38" s="477"/>
      <c r="C38" s="477"/>
      <c r="D38" s="477"/>
      <c r="E38" s="477"/>
      <c r="F38" s="477"/>
      <c r="G38" s="522">
        <v>4046</v>
      </c>
      <c r="H38" s="477"/>
      <c r="I38" s="517">
        <v>9998</v>
      </c>
      <c r="J38" s="477"/>
    </row>
    <row r="39" spans="1:14">
      <c r="A39" s="477" t="s">
        <v>60</v>
      </c>
      <c r="B39" s="477"/>
      <c r="C39" s="477"/>
      <c r="D39" s="477"/>
      <c r="E39" s="477"/>
      <c r="F39" s="477"/>
      <c r="G39" s="523">
        <v>9.8000000000000007</v>
      </c>
      <c r="H39" s="477"/>
      <c r="I39" s="483"/>
    </row>
    <row r="40" spans="1:14">
      <c r="A40" s="477" t="s">
        <v>86</v>
      </c>
      <c r="B40" s="477"/>
      <c r="C40" s="477"/>
      <c r="D40" s="477"/>
      <c r="E40" s="477"/>
      <c r="F40" s="477"/>
      <c r="G40" s="523">
        <v>39651</v>
      </c>
      <c r="H40" s="477"/>
      <c r="I40" s="483">
        <v>97978</v>
      </c>
    </row>
    <row r="41" spans="1:14">
      <c r="A41" s="477" t="s">
        <v>87</v>
      </c>
      <c r="B41" s="477"/>
      <c r="C41" s="477"/>
      <c r="D41" s="477"/>
      <c r="E41" s="477"/>
      <c r="F41" s="477"/>
      <c r="G41" s="523">
        <v>-17032</v>
      </c>
      <c r="H41" s="477"/>
      <c r="I41" s="483">
        <v>-42086</v>
      </c>
      <c r="N41" s="500"/>
    </row>
    <row r="42" spans="1:14">
      <c r="A42" s="477" t="s">
        <v>88</v>
      </c>
      <c r="B42" s="477"/>
      <c r="C42" s="477"/>
      <c r="D42" s="477"/>
      <c r="E42" s="477"/>
      <c r="F42" s="477"/>
      <c r="G42" s="524">
        <v>6362</v>
      </c>
      <c r="H42" s="477"/>
      <c r="I42" s="517">
        <v>15721</v>
      </c>
      <c r="J42" s="477"/>
    </row>
    <row r="43" spans="1:14">
      <c r="A43" s="477"/>
      <c r="B43" s="477"/>
      <c r="C43" s="477"/>
      <c r="D43" s="477"/>
      <c r="E43" s="477"/>
      <c r="F43" s="477"/>
      <c r="G43" s="524"/>
      <c r="H43" s="477"/>
      <c r="I43" s="477"/>
      <c r="J43" s="477"/>
      <c r="M43" s="483"/>
    </row>
    <row r="44" spans="1:14">
      <c r="A44" s="477" t="s">
        <v>89</v>
      </c>
      <c r="B44" s="477"/>
      <c r="C44" s="477"/>
      <c r="D44" s="477"/>
      <c r="E44" s="477"/>
      <c r="F44" s="477"/>
      <c r="G44" s="524">
        <v>14.01</v>
      </c>
      <c r="H44" s="477"/>
      <c r="I44" s="477"/>
      <c r="J44" s="477"/>
    </row>
    <row r="45" spans="1:14">
      <c r="A45" s="479" t="s">
        <v>90</v>
      </c>
      <c r="B45" s="479"/>
      <c r="C45" s="479"/>
      <c r="D45" s="479"/>
      <c r="E45" s="479"/>
      <c r="F45" s="479"/>
      <c r="G45" s="525">
        <v>8.23</v>
      </c>
      <c r="H45" s="479"/>
      <c r="I45" s="479"/>
      <c r="J45" s="479"/>
    </row>
    <row r="46" spans="1:14">
      <c r="A46" s="473" t="s">
        <v>346</v>
      </c>
      <c r="H46" s="526"/>
    </row>
    <row r="55" spans="1:1" ht="13.5">
      <c r="A55" s="527"/>
    </row>
    <row r="65" spans="7:7">
      <c r="G65" s="473" t="s">
        <v>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B26" workbookViewId="0">
      <selection activeCell="G44" sqref="G44"/>
    </sheetView>
  </sheetViews>
  <sheetFormatPr defaultRowHeight="15"/>
  <cols>
    <col min="5" max="6" width="10.28515625" customWidth="1"/>
    <col min="7" max="7" width="14.5703125" bestFit="1" customWidth="1"/>
    <col min="8" max="8" width="13" customWidth="1"/>
    <col min="9" max="9" width="11.42578125" customWidth="1"/>
    <col min="10" max="10" width="10.28515625" customWidth="1"/>
    <col min="11" max="11" width="11" customWidth="1"/>
  </cols>
  <sheetData>
    <row r="1" spans="1:13" s="38" customFormat="1">
      <c r="A1" s="38" t="s">
        <v>0</v>
      </c>
      <c r="B1" s="38" t="s">
        <v>347</v>
      </c>
    </row>
    <row r="2" spans="1:13" s="38" customFormat="1">
      <c r="B2" s="38" t="s">
        <v>95</v>
      </c>
    </row>
    <row r="3" spans="1:13" s="38" customFormat="1">
      <c r="B3" s="38" t="s">
        <v>96</v>
      </c>
    </row>
    <row r="4" spans="1:13" s="38" customFormat="1">
      <c r="A4" s="58" t="s">
        <v>6</v>
      </c>
      <c r="B4" s="58"/>
      <c r="C4" s="58"/>
      <c r="D4" s="321" t="s">
        <v>7</v>
      </c>
      <c r="E4" s="321" t="s">
        <v>8</v>
      </c>
      <c r="F4" s="321" t="s">
        <v>9</v>
      </c>
      <c r="G4" s="321" t="s">
        <v>10</v>
      </c>
      <c r="H4" s="321" t="s">
        <v>11</v>
      </c>
      <c r="I4" s="321" t="s">
        <v>12</v>
      </c>
      <c r="J4" s="321" t="s">
        <v>13</v>
      </c>
      <c r="K4" s="321" t="s">
        <v>14</v>
      </c>
      <c r="L4" s="345" t="s">
        <v>71</v>
      </c>
      <c r="M4" s="321"/>
    </row>
    <row r="5" spans="1:13" s="38" customFormat="1">
      <c r="A5" s="68"/>
      <c r="B5" s="68"/>
      <c r="C5" s="68"/>
      <c r="D5" s="323" t="s">
        <v>16</v>
      </c>
      <c r="E5" s="323" t="s">
        <v>17</v>
      </c>
      <c r="F5" s="323" t="s">
        <v>17</v>
      </c>
      <c r="G5" s="323" t="s">
        <v>18</v>
      </c>
      <c r="H5" s="323" t="s">
        <v>19</v>
      </c>
      <c r="I5" s="323" t="s">
        <v>20</v>
      </c>
      <c r="J5" s="323" t="s">
        <v>19</v>
      </c>
      <c r="K5" s="323" t="s">
        <v>19</v>
      </c>
      <c r="L5" s="346" t="s">
        <v>12</v>
      </c>
      <c r="M5" s="323" t="s">
        <v>13</v>
      </c>
    </row>
    <row r="6" spans="1:13" s="38" customFormat="1">
      <c r="A6" s="68"/>
      <c r="B6" s="68"/>
      <c r="C6" s="68"/>
      <c r="D6" s="323" t="s">
        <v>22</v>
      </c>
      <c r="E6" s="323"/>
      <c r="F6" s="323"/>
      <c r="G6" s="323"/>
      <c r="H6" s="323" t="s">
        <v>23</v>
      </c>
      <c r="I6" s="323" t="s">
        <v>19</v>
      </c>
      <c r="J6" s="323" t="s">
        <v>23</v>
      </c>
      <c r="K6" s="323" t="s">
        <v>23</v>
      </c>
      <c r="L6" s="323"/>
      <c r="M6" s="323"/>
    </row>
    <row r="7" spans="1:13" s="38" customFormat="1">
      <c r="A7" s="62"/>
      <c r="B7" s="62"/>
      <c r="C7" s="62"/>
      <c r="D7" s="326"/>
      <c r="E7" s="326"/>
      <c r="F7" s="326"/>
      <c r="G7" s="326"/>
      <c r="H7" s="326"/>
      <c r="I7" s="326" t="s">
        <v>23</v>
      </c>
      <c r="J7" s="326"/>
      <c r="K7" s="326"/>
      <c r="L7" s="326"/>
      <c r="M7" s="326"/>
    </row>
    <row r="8" spans="1:13" s="38" customFormat="1">
      <c r="D8" s="48"/>
      <c r="E8" s="49"/>
      <c r="F8" s="49"/>
      <c r="G8" s="50"/>
      <c r="H8" s="49">
        <f t="shared" ref="H8:H9" si="0">SUM(E8*G8)</f>
        <v>0</v>
      </c>
      <c r="J8" s="49"/>
      <c r="K8" s="49">
        <f t="shared" ref="K8:K16" si="1">SUM(H8:J8)</f>
        <v>0</v>
      </c>
    </row>
    <row r="9" spans="1:13" s="38" customFormat="1">
      <c r="A9" s="38" t="s">
        <v>97</v>
      </c>
      <c r="D9" s="48">
        <v>100</v>
      </c>
      <c r="E9" s="49">
        <v>4.5</v>
      </c>
      <c r="F9" s="49">
        <v>4.5</v>
      </c>
      <c r="G9" s="50">
        <v>1200</v>
      </c>
      <c r="H9" s="49">
        <f t="shared" si="0"/>
        <v>5400</v>
      </c>
      <c r="J9" s="49">
        <v>767</v>
      </c>
      <c r="K9" s="49">
        <f>+H9+I9+J9</f>
        <v>6167</v>
      </c>
    </row>
    <row r="10" spans="1:13" s="38" customFormat="1">
      <c r="A10" s="38" t="s">
        <v>73</v>
      </c>
      <c r="D10" s="48">
        <v>90</v>
      </c>
      <c r="E10" s="49">
        <v>9.15</v>
      </c>
      <c r="F10" s="49">
        <v>8.68</v>
      </c>
      <c r="G10" s="50">
        <v>1500</v>
      </c>
      <c r="H10" s="49">
        <v>13650</v>
      </c>
      <c r="J10" s="49"/>
      <c r="K10" s="49">
        <f t="shared" ref="K10:K16" si="2">+H10+I10+J10</f>
        <v>13650</v>
      </c>
    </row>
    <row r="11" spans="1:13" s="38" customFormat="1">
      <c r="A11" s="38" t="s">
        <v>98</v>
      </c>
      <c r="D11" s="48">
        <v>86.67</v>
      </c>
      <c r="E11" s="49">
        <v>0.46</v>
      </c>
      <c r="F11" s="49">
        <v>0.46</v>
      </c>
      <c r="G11" s="50">
        <v>1200</v>
      </c>
      <c r="H11" s="49">
        <v>600</v>
      </c>
      <c r="I11" s="49">
        <v>7337</v>
      </c>
      <c r="J11" s="49"/>
      <c r="K11" s="49">
        <f t="shared" si="2"/>
        <v>7937</v>
      </c>
    </row>
    <row r="12" spans="1:13" s="38" customFormat="1">
      <c r="A12" s="66" t="s">
        <v>348</v>
      </c>
      <c r="D12" s="48">
        <v>100</v>
      </c>
      <c r="E12" s="49">
        <v>10.4</v>
      </c>
      <c r="F12" s="49">
        <v>9.5</v>
      </c>
      <c r="G12" s="50">
        <v>1257</v>
      </c>
      <c r="H12" s="49">
        <v>13816</v>
      </c>
      <c r="I12" s="49"/>
      <c r="J12" s="55">
        <v>2960</v>
      </c>
      <c r="K12" s="49">
        <f t="shared" si="2"/>
        <v>16776</v>
      </c>
      <c r="L12" s="38">
        <v>0</v>
      </c>
      <c r="M12" s="49">
        <f>+M17</f>
        <v>464</v>
      </c>
    </row>
    <row r="13" spans="1:13" s="38" customFormat="1">
      <c r="A13" s="66" t="s">
        <v>104</v>
      </c>
      <c r="D13" s="48">
        <v>100</v>
      </c>
      <c r="E13" s="49">
        <v>6.77</v>
      </c>
      <c r="F13" s="49">
        <v>6.29</v>
      </c>
      <c r="G13" s="50">
        <v>1300</v>
      </c>
      <c r="H13" s="49">
        <v>8710</v>
      </c>
      <c r="I13" s="49"/>
      <c r="J13" s="55">
        <v>12863</v>
      </c>
      <c r="K13" s="49">
        <f t="shared" si="2"/>
        <v>21573</v>
      </c>
    </row>
    <row r="14" spans="1:13" s="38" customFormat="1">
      <c r="A14" s="38" t="s">
        <v>349</v>
      </c>
      <c r="D14" s="48">
        <v>100</v>
      </c>
      <c r="E14" s="49">
        <v>17.989999999999998</v>
      </c>
      <c r="F14" s="49">
        <v>16.260000000000002</v>
      </c>
      <c r="G14" s="50">
        <v>1251</v>
      </c>
      <c r="H14" s="49">
        <v>20473</v>
      </c>
      <c r="I14" s="49"/>
      <c r="J14" s="49"/>
      <c r="K14" s="49">
        <f t="shared" si="2"/>
        <v>20473</v>
      </c>
    </row>
    <row r="15" spans="1:13" s="38" customFormat="1">
      <c r="A15" s="38" t="s">
        <v>77</v>
      </c>
      <c r="D15" s="48">
        <v>100</v>
      </c>
      <c r="E15" s="49">
        <v>2.58</v>
      </c>
      <c r="F15" s="49">
        <v>2.58</v>
      </c>
      <c r="G15" s="50">
        <v>1200</v>
      </c>
      <c r="H15" s="49">
        <v>4160</v>
      </c>
      <c r="I15" s="49"/>
      <c r="J15" s="49">
        <v>10047</v>
      </c>
      <c r="K15" s="49">
        <f t="shared" si="2"/>
        <v>14207</v>
      </c>
    </row>
    <row r="16" spans="1:13" s="38" customFormat="1">
      <c r="A16" s="38" t="s">
        <v>350</v>
      </c>
      <c r="D16" s="48">
        <v>100</v>
      </c>
      <c r="E16" s="49">
        <v>20.96</v>
      </c>
      <c r="F16" s="49">
        <v>13.17</v>
      </c>
      <c r="G16" s="50">
        <v>1200</v>
      </c>
      <c r="H16" s="49">
        <v>25560</v>
      </c>
      <c r="I16" s="49"/>
      <c r="J16" s="49"/>
      <c r="K16" s="49">
        <f t="shared" si="2"/>
        <v>25560</v>
      </c>
    </row>
    <row r="17" spans="1:13" s="38" customFormat="1">
      <c r="A17" s="57" t="s">
        <v>81</v>
      </c>
      <c r="B17" s="58"/>
      <c r="C17" s="58"/>
      <c r="D17" s="59"/>
      <c r="E17" s="60">
        <f>SUM(E8:E16)</f>
        <v>72.81</v>
      </c>
      <c r="F17" s="60">
        <f>SUM(F8:F16)</f>
        <v>61.44</v>
      </c>
      <c r="G17" s="60"/>
      <c r="H17" s="60">
        <f>SUM(H8:H16)</f>
        <v>92369</v>
      </c>
      <c r="I17" s="60">
        <f t="shared" ref="I17:K17" si="3">SUM(I8:I16)</f>
        <v>7337</v>
      </c>
      <c r="J17" s="60">
        <f t="shared" si="3"/>
        <v>26637</v>
      </c>
      <c r="K17" s="60">
        <f t="shared" si="3"/>
        <v>126343</v>
      </c>
      <c r="L17" s="60">
        <f>SUM(L8:L16)</f>
        <v>0</v>
      </c>
      <c r="M17" s="60">
        <f>+J17-J18</f>
        <v>464</v>
      </c>
    </row>
    <row r="18" spans="1:13" s="38" customFormat="1">
      <c r="A18" s="61" t="s">
        <v>82</v>
      </c>
      <c r="B18" s="62"/>
      <c r="C18" s="62"/>
      <c r="D18" s="63"/>
      <c r="E18" s="64">
        <f>SUM(E17-F17)</f>
        <v>11.370000000000005</v>
      </c>
      <c r="F18" s="64"/>
      <c r="G18" s="64"/>
      <c r="H18" s="64">
        <f>SUM(E27*G27)</f>
        <v>13915</v>
      </c>
      <c r="I18" s="62">
        <f>I17-L17</f>
        <v>7337</v>
      </c>
      <c r="J18" s="64">
        <v>26173</v>
      </c>
      <c r="K18" s="64">
        <f>SUM(H18:J18)</f>
        <v>47425</v>
      </c>
      <c r="L18" s="62"/>
      <c r="M18" s="62"/>
    </row>
    <row r="19" spans="1:13" s="38" customFormat="1"/>
    <row r="20" spans="1:13" s="38" customFormat="1">
      <c r="C20" s="38" t="s">
        <v>36</v>
      </c>
    </row>
    <row r="21" spans="1:13" s="38" customFormat="1">
      <c r="L21" s="49"/>
    </row>
    <row r="22" spans="1:13" s="38" customFormat="1">
      <c r="A22" s="38" t="s">
        <v>37</v>
      </c>
    </row>
    <row r="23" spans="1:13" s="38" customFormat="1">
      <c r="A23" s="359" t="s">
        <v>38</v>
      </c>
      <c r="B23" s="359"/>
      <c r="C23" s="359"/>
      <c r="D23" s="359" t="s">
        <v>39</v>
      </c>
      <c r="E23" s="359" t="s">
        <v>40</v>
      </c>
      <c r="F23" s="359"/>
      <c r="G23" s="359" t="s">
        <v>41</v>
      </c>
      <c r="I23" s="38" t="s">
        <v>53</v>
      </c>
      <c r="J23" s="38">
        <v>0.69</v>
      </c>
    </row>
    <row r="24" spans="1:13" s="38" customFormat="1">
      <c r="A24" s="38" t="s">
        <v>42</v>
      </c>
      <c r="I24" s="38" t="s">
        <v>54</v>
      </c>
      <c r="J24" s="38">
        <v>0.5</v>
      </c>
    </row>
    <row r="25" spans="1:13" s="38" customFormat="1">
      <c r="A25" s="66" t="s">
        <v>83</v>
      </c>
      <c r="D25" s="38" t="s">
        <v>46</v>
      </c>
      <c r="E25" s="38">
        <v>0.6</v>
      </c>
      <c r="G25" s="373">
        <v>4934</v>
      </c>
      <c r="I25" s="38" t="s">
        <v>43</v>
      </c>
    </row>
    <row r="26" spans="1:13" s="38" customFormat="1">
      <c r="A26" s="38" t="s">
        <v>48</v>
      </c>
      <c r="I26" s="38" t="s">
        <v>351</v>
      </c>
      <c r="J26" s="528">
        <v>0.36670000000000003</v>
      </c>
      <c r="K26" s="528"/>
    </row>
    <row r="27" spans="1:13" s="38" customFormat="1">
      <c r="A27" s="38" t="s">
        <v>50</v>
      </c>
      <c r="D27" s="38" t="s">
        <v>51</v>
      </c>
      <c r="E27" s="38">
        <v>11</v>
      </c>
      <c r="G27" s="49">
        <v>1265</v>
      </c>
      <c r="I27" s="38" t="s">
        <v>352</v>
      </c>
      <c r="J27" s="528">
        <v>0.26669999999999999</v>
      </c>
      <c r="K27" s="528"/>
    </row>
    <row r="28" spans="1:13" s="38" customFormat="1">
      <c r="A28" s="38" t="s">
        <v>52</v>
      </c>
      <c r="D28" s="38" t="s">
        <v>51</v>
      </c>
      <c r="E28" s="38">
        <v>62</v>
      </c>
      <c r="I28" s="38" t="s">
        <v>353</v>
      </c>
      <c r="J28" s="528">
        <v>0.16669999999999999</v>
      </c>
    </row>
    <row r="29" spans="1:13" s="38" customFormat="1">
      <c r="A29" s="38" t="s">
        <v>8</v>
      </c>
      <c r="E29" s="38">
        <f>SUM(E27:E28)</f>
        <v>73</v>
      </c>
      <c r="I29" s="38" t="s">
        <v>354</v>
      </c>
      <c r="J29" s="528">
        <v>0.16669999999999999</v>
      </c>
    </row>
    <row r="30" spans="1:13" s="38" customFormat="1">
      <c r="I30" s="38" t="s">
        <v>117</v>
      </c>
      <c r="J30" s="528">
        <v>3.3300000000000003E-2</v>
      </c>
    </row>
    <row r="31" spans="1:13" s="38" customFormat="1">
      <c r="A31" s="58" t="s">
        <v>115</v>
      </c>
      <c r="B31" s="58"/>
      <c r="C31" s="58" t="s">
        <v>116</v>
      </c>
      <c r="D31" s="58"/>
      <c r="E31" s="58"/>
      <c r="F31" s="58"/>
      <c r="G31" s="58"/>
    </row>
    <row r="32" spans="1:13" s="38" customFormat="1">
      <c r="A32" s="67"/>
      <c r="B32" s="388" t="s">
        <v>119</v>
      </c>
      <c r="C32" s="389">
        <v>60</v>
      </c>
      <c r="D32" s="67" t="s">
        <v>46</v>
      </c>
      <c r="E32" s="379">
        <v>149</v>
      </c>
      <c r="F32" s="68"/>
      <c r="G32" s="379">
        <v>31</v>
      </c>
    </row>
    <row r="33" spans="1:13" s="38" customFormat="1">
      <c r="A33" s="67"/>
      <c r="B33" s="388" t="s">
        <v>355</v>
      </c>
      <c r="C33" s="389">
        <v>100</v>
      </c>
      <c r="D33" s="67" t="s">
        <v>121</v>
      </c>
      <c r="E33" s="68">
        <v>229</v>
      </c>
      <c r="F33" s="68"/>
      <c r="G33" s="379">
        <v>36</v>
      </c>
      <c r="I33" s="49"/>
    </row>
    <row r="34" spans="1:13" s="38" customFormat="1">
      <c r="A34" s="57" t="s">
        <v>55</v>
      </c>
      <c r="B34" s="58"/>
      <c r="C34" s="58"/>
      <c r="D34" s="58"/>
      <c r="E34" s="58"/>
      <c r="F34" s="58"/>
      <c r="G34" s="39" t="s">
        <v>123</v>
      </c>
      <c r="H34" s="42" t="s">
        <v>124</v>
      </c>
    </row>
    <row r="35" spans="1:13" s="38" customFormat="1">
      <c r="A35" s="67" t="s">
        <v>85</v>
      </c>
      <c r="B35" s="68"/>
      <c r="C35" s="68"/>
      <c r="D35" s="68"/>
      <c r="E35" s="68"/>
      <c r="F35" s="68"/>
      <c r="G35" s="69">
        <v>1880</v>
      </c>
      <c r="H35" s="49">
        <v>4645</v>
      </c>
    </row>
    <row r="36" spans="1:13" s="38" customFormat="1">
      <c r="A36" s="67" t="s">
        <v>60</v>
      </c>
      <c r="B36" s="68"/>
      <c r="C36" s="68"/>
      <c r="D36" s="68"/>
      <c r="E36" s="68"/>
      <c r="F36" s="68"/>
      <c r="G36" s="70">
        <v>295</v>
      </c>
      <c r="H36" s="49"/>
    </row>
    <row r="37" spans="1:13" s="38" customFormat="1">
      <c r="A37" s="67" t="s">
        <v>86</v>
      </c>
      <c r="B37" s="68"/>
      <c r="C37" s="68"/>
      <c r="D37" s="68"/>
      <c r="E37" s="68"/>
      <c r="F37" s="68"/>
      <c r="G37" s="70">
        <f>SUM(G35*G36)</f>
        <v>554600</v>
      </c>
      <c r="H37" s="351">
        <f>G37*2.471</f>
        <v>1370416.6</v>
      </c>
    </row>
    <row r="38" spans="1:13" s="38" customFormat="1">
      <c r="A38" s="67" t="s">
        <v>87</v>
      </c>
      <c r="B38" s="68"/>
      <c r="C38" s="68"/>
      <c r="D38" s="68"/>
      <c r="E38" s="68"/>
      <c r="F38" s="68"/>
      <c r="G38" s="70">
        <f>SUM(G37-K17)</f>
        <v>428257</v>
      </c>
      <c r="H38" s="351">
        <f>G38*2.471</f>
        <v>1058223.047</v>
      </c>
    </row>
    <row r="39" spans="1:13" s="38" customFormat="1">
      <c r="A39" s="67" t="s">
        <v>88</v>
      </c>
      <c r="B39" s="68"/>
      <c r="C39" s="68"/>
      <c r="D39" s="68"/>
      <c r="E39" s="68"/>
      <c r="F39" s="68"/>
      <c r="G39" s="70">
        <f>SUM(G37-K18)</f>
        <v>507175</v>
      </c>
      <c r="H39" s="351">
        <f>G39*2.471</f>
        <v>1253229.425</v>
      </c>
    </row>
    <row r="40" spans="1:13" s="38" customFormat="1">
      <c r="A40" s="67" t="s">
        <v>89</v>
      </c>
      <c r="B40" s="68"/>
      <c r="C40" s="68"/>
      <c r="D40" s="68"/>
      <c r="E40" s="68"/>
      <c r="F40" s="68"/>
      <c r="G40" s="70">
        <f>SUM(K17/G35)</f>
        <v>67.203723404255314</v>
      </c>
    </row>
    <row r="41" spans="1:13" s="38" customFormat="1">
      <c r="A41" s="61" t="s">
        <v>90</v>
      </c>
      <c r="B41" s="62"/>
      <c r="C41" s="62"/>
      <c r="D41" s="62"/>
      <c r="E41" s="62"/>
      <c r="F41" s="62"/>
      <c r="G41" s="71">
        <f>SUM(K18/G35)</f>
        <v>25.226063829787233</v>
      </c>
    </row>
    <row r="42" spans="1:13" s="38" customFormat="1"/>
    <row r="43" spans="1:13" s="38" customFormat="1">
      <c r="A43" s="38" t="s">
        <v>91</v>
      </c>
      <c r="C43" s="368" t="s">
        <v>356</v>
      </c>
      <c r="D43" s="368"/>
      <c r="E43" s="368"/>
    </row>
    <row r="44" spans="1:13" s="38" customFormat="1">
      <c r="A44" s="529"/>
      <c r="B44"/>
      <c r="C44" t="s">
        <v>357</v>
      </c>
      <c r="D44"/>
      <c r="E44"/>
    </row>
    <row r="45" spans="1:13" s="38" customFormat="1"/>
    <row r="46" spans="1:13" s="38" customFormat="1"/>
    <row r="47" spans="1:1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3">
      <c r="A49" s="38"/>
      <c r="B49" s="38"/>
      <c r="C49" s="368"/>
      <c r="D49" s="368"/>
      <c r="E49" s="368"/>
      <c r="F49" s="38"/>
      <c r="G49" s="38"/>
      <c r="H49" s="38"/>
      <c r="I49" s="38"/>
      <c r="J49" s="38"/>
      <c r="K49" s="38"/>
      <c r="L49" s="38"/>
      <c r="M49" s="38"/>
    </row>
    <row r="50" spans="1:13">
      <c r="A50" s="529"/>
      <c r="F50" s="38"/>
      <c r="G50" s="38"/>
      <c r="H50" s="38"/>
      <c r="I50" s="38"/>
      <c r="J50" s="38"/>
      <c r="K50" s="38"/>
      <c r="L50" s="38"/>
    </row>
    <row r="51" spans="1:1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</row>
    <row r="52" spans="1:13">
      <c r="A52" s="52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selection sqref="A1:XFD1048576"/>
    </sheetView>
  </sheetViews>
  <sheetFormatPr defaultRowHeight="15"/>
  <cols>
    <col min="1" max="1" width="9.5703125" customWidth="1"/>
    <col min="2" max="2" width="8.7109375" customWidth="1"/>
    <col min="3" max="3" width="8" customWidth="1"/>
    <col min="4" max="4" width="6.28515625" customWidth="1"/>
    <col min="5" max="5" width="7.140625" customWidth="1"/>
    <col min="6" max="6" width="5.5703125" customWidth="1"/>
    <col min="7" max="7" width="8.85546875" customWidth="1"/>
    <col min="8" max="8" width="9" customWidth="1"/>
    <col min="9" max="9" width="8.85546875" customWidth="1"/>
    <col min="10" max="10" width="9.85546875" customWidth="1"/>
    <col min="11" max="11" width="11.140625" customWidth="1"/>
  </cols>
  <sheetData>
    <row r="1" spans="1:15" s="38" customFormat="1">
      <c r="A1" s="38" t="s">
        <v>0</v>
      </c>
      <c r="B1" s="38" t="s">
        <v>358</v>
      </c>
    </row>
    <row r="2" spans="1:15" s="38" customFormat="1">
      <c r="B2" s="38" t="s">
        <v>359</v>
      </c>
      <c r="O2" s="38" t="s">
        <v>360</v>
      </c>
    </row>
    <row r="3" spans="1:15" s="38" customFormat="1">
      <c r="B3" s="38" t="s">
        <v>361</v>
      </c>
    </row>
    <row r="4" spans="1:15" s="38" customFormat="1">
      <c r="A4" s="58" t="s">
        <v>6</v>
      </c>
      <c r="B4" s="58"/>
      <c r="C4" s="58"/>
      <c r="D4" s="321" t="s">
        <v>7</v>
      </c>
      <c r="E4" s="321" t="s">
        <v>8</v>
      </c>
      <c r="F4" s="321" t="s">
        <v>9</v>
      </c>
      <c r="G4" s="321" t="s">
        <v>10</v>
      </c>
      <c r="H4" s="321" t="s">
        <v>11</v>
      </c>
      <c r="I4" s="321" t="s">
        <v>12</v>
      </c>
      <c r="J4" s="321" t="s">
        <v>13</v>
      </c>
      <c r="K4" s="321" t="s">
        <v>14</v>
      </c>
      <c r="L4" s="345" t="s">
        <v>71</v>
      </c>
      <c r="M4" s="321"/>
    </row>
    <row r="5" spans="1:15" s="38" customFormat="1">
      <c r="A5" s="68"/>
      <c r="B5" s="68"/>
      <c r="C5" s="68"/>
      <c r="D5" s="323" t="s">
        <v>16</v>
      </c>
      <c r="E5" s="323" t="s">
        <v>17</v>
      </c>
      <c r="F5" s="323" t="s">
        <v>17</v>
      </c>
      <c r="G5" s="323" t="s">
        <v>18</v>
      </c>
      <c r="H5" s="323" t="s">
        <v>19</v>
      </c>
      <c r="I5" s="323" t="s">
        <v>20</v>
      </c>
      <c r="J5" s="323" t="s">
        <v>19</v>
      </c>
      <c r="K5" s="323" t="s">
        <v>19</v>
      </c>
      <c r="L5" s="346" t="s">
        <v>12</v>
      </c>
      <c r="M5" s="323" t="s">
        <v>13</v>
      </c>
    </row>
    <row r="6" spans="1:15" s="38" customFormat="1">
      <c r="A6" s="68"/>
      <c r="B6" s="68"/>
      <c r="C6" s="68"/>
      <c r="D6" s="323" t="s">
        <v>22</v>
      </c>
      <c r="E6" s="323"/>
      <c r="F6" s="323"/>
      <c r="G6" s="323"/>
      <c r="H6" s="323" t="s">
        <v>23</v>
      </c>
      <c r="I6" s="323" t="s">
        <v>19</v>
      </c>
      <c r="J6" s="323" t="s">
        <v>23</v>
      </c>
      <c r="K6" s="323" t="s">
        <v>23</v>
      </c>
      <c r="L6" s="323"/>
      <c r="M6" s="323"/>
    </row>
    <row r="7" spans="1:15" s="38" customFormat="1">
      <c r="A7" s="62"/>
      <c r="B7" s="62"/>
      <c r="C7" s="62"/>
      <c r="D7" s="326"/>
      <c r="E7" s="326"/>
      <c r="F7" s="326"/>
      <c r="G7" s="326"/>
      <c r="H7" s="326"/>
      <c r="I7" s="326" t="s">
        <v>23</v>
      </c>
      <c r="J7" s="326"/>
      <c r="K7" s="326"/>
      <c r="L7" s="326"/>
      <c r="M7" s="326"/>
    </row>
    <row r="8" spans="1:15" s="38" customFormat="1">
      <c r="A8" s="38" t="s">
        <v>73</v>
      </c>
      <c r="D8" s="530">
        <v>40</v>
      </c>
      <c r="E8" s="53" t="s">
        <v>362</v>
      </c>
      <c r="F8" s="53" t="s">
        <v>363</v>
      </c>
      <c r="G8" s="54"/>
      <c r="H8" s="49">
        <v>2899</v>
      </c>
      <c r="J8" s="49"/>
      <c r="K8" s="49">
        <v>2899</v>
      </c>
    </row>
    <row r="9" spans="1:15" s="38" customFormat="1">
      <c r="A9" s="38" t="s">
        <v>98</v>
      </c>
      <c r="D9" s="48">
        <v>100</v>
      </c>
      <c r="E9" s="49">
        <v>0.18</v>
      </c>
      <c r="F9" s="49">
        <v>0.18</v>
      </c>
      <c r="G9" s="50">
        <v>1200</v>
      </c>
      <c r="H9" s="49">
        <v>240</v>
      </c>
      <c r="I9" s="49">
        <v>3125</v>
      </c>
      <c r="J9" s="49"/>
      <c r="K9" s="49">
        <f t="shared" ref="K9:K19" si="0">SUM(H9:J9)</f>
        <v>3365</v>
      </c>
      <c r="L9" s="49">
        <v>325</v>
      </c>
    </row>
    <row r="10" spans="1:15" s="38" customFormat="1">
      <c r="A10" s="531" t="s">
        <v>364</v>
      </c>
      <c r="B10" s="81"/>
      <c r="D10" s="48" t="s">
        <v>365</v>
      </c>
      <c r="E10" s="49">
        <v>6</v>
      </c>
      <c r="F10" s="49">
        <v>0.73</v>
      </c>
      <c r="G10" s="50">
        <v>682</v>
      </c>
      <c r="H10" s="49">
        <v>5162</v>
      </c>
      <c r="J10" s="49"/>
      <c r="K10" s="49">
        <f t="shared" si="0"/>
        <v>5162</v>
      </c>
    </row>
    <row r="11" spans="1:15" s="38" customFormat="1">
      <c r="A11" s="38" t="s">
        <v>45</v>
      </c>
      <c r="D11" s="48">
        <v>100</v>
      </c>
      <c r="E11" s="49">
        <v>11.19</v>
      </c>
      <c r="F11" s="49">
        <v>1.59</v>
      </c>
      <c r="G11" s="50">
        <v>678</v>
      </c>
      <c r="H11" s="49">
        <v>10104</v>
      </c>
      <c r="J11" s="49">
        <v>90948</v>
      </c>
      <c r="K11" s="49">
        <f t="shared" si="0"/>
        <v>101052</v>
      </c>
      <c r="M11" s="38">
        <v>1566</v>
      </c>
    </row>
    <row r="12" spans="1:15" s="38" customFormat="1">
      <c r="A12" s="38" t="s">
        <v>104</v>
      </c>
      <c r="D12" s="48">
        <v>100</v>
      </c>
      <c r="E12" s="49">
        <v>4.08</v>
      </c>
      <c r="F12" s="49">
        <v>2.33</v>
      </c>
      <c r="G12" s="50">
        <v>1300</v>
      </c>
      <c r="H12" s="49">
        <v>5249</v>
      </c>
      <c r="J12" s="49">
        <v>19513</v>
      </c>
      <c r="K12" s="49">
        <f>SUM(H12:J12)</f>
        <v>24762</v>
      </c>
    </row>
    <row r="13" spans="1:15" s="38" customFormat="1">
      <c r="A13" s="38" t="s">
        <v>105</v>
      </c>
      <c r="D13" s="48">
        <v>100</v>
      </c>
      <c r="E13" s="49">
        <v>0.69</v>
      </c>
      <c r="F13" s="49">
        <v>0.3</v>
      </c>
      <c r="G13" s="50">
        <v>1505</v>
      </c>
      <c r="H13" s="49">
        <v>1050</v>
      </c>
      <c r="J13" s="53">
        <v>1775</v>
      </c>
      <c r="K13" s="49">
        <f>SUM(H13:J13)</f>
        <v>2825</v>
      </c>
    </row>
    <row r="14" spans="1:15" s="38" customFormat="1">
      <c r="A14" s="38" t="s">
        <v>77</v>
      </c>
      <c r="D14" s="48">
        <v>83</v>
      </c>
      <c r="E14" s="49">
        <v>1.37</v>
      </c>
      <c r="F14" s="49">
        <v>0.57999999999999996</v>
      </c>
      <c r="G14" s="50">
        <v>1527</v>
      </c>
      <c r="H14" s="49">
        <v>1619</v>
      </c>
      <c r="J14" s="49">
        <v>2683</v>
      </c>
      <c r="K14" s="49">
        <f t="shared" si="0"/>
        <v>4302</v>
      </c>
    </row>
    <row r="15" spans="1:15" s="38" customFormat="1">
      <c r="A15" s="38" t="s">
        <v>139</v>
      </c>
      <c r="D15" s="48">
        <v>100</v>
      </c>
      <c r="E15" s="49">
        <v>23.79</v>
      </c>
      <c r="F15" s="49">
        <v>17.57</v>
      </c>
      <c r="G15" s="50">
        <v>1324</v>
      </c>
      <c r="H15" s="49">
        <v>33884</v>
      </c>
      <c r="I15" s="49">
        <v>6466</v>
      </c>
      <c r="J15" s="373"/>
      <c r="K15" s="49">
        <f>SUM(H15:J15)</f>
        <v>40350</v>
      </c>
    </row>
    <row r="16" spans="1:15" s="38" customFormat="1">
      <c r="A16" s="557" t="s">
        <v>367</v>
      </c>
      <c r="B16" s="557"/>
      <c r="C16" s="557"/>
      <c r="D16" s="530">
        <v>53</v>
      </c>
      <c r="E16" s="53">
        <v>2.11</v>
      </c>
      <c r="F16" s="53">
        <v>1.74</v>
      </c>
      <c r="G16" s="54">
        <v>1138</v>
      </c>
      <c r="H16" s="49">
        <v>910</v>
      </c>
      <c r="I16" s="53">
        <v>710</v>
      </c>
      <c r="J16" s="49"/>
      <c r="K16" s="49">
        <f>SUM(H16:J16)</f>
        <v>1620</v>
      </c>
    </row>
    <row r="17" spans="1:13" s="38" customFormat="1">
      <c r="A17" s="38" t="s">
        <v>109</v>
      </c>
      <c r="D17" s="48">
        <v>100</v>
      </c>
      <c r="E17" s="49">
        <v>11.99</v>
      </c>
      <c r="F17" s="49">
        <v>1.89</v>
      </c>
      <c r="G17" s="50">
        <v>694</v>
      </c>
      <c r="H17" s="49">
        <v>9914</v>
      </c>
      <c r="J17" s="49" t="s">
        <v>422</v>
      </c>
      <c r="K17" s="49">
        <v>13323</v>
      </c>
    </row>
    <row r="18" spans="1:13" s="38" customFormat="1">
      <c r="A18" s="38" t="s">
        <v>218</v>
      </c>
      <c r="D18" s="48">
        <v>100</v>
      </c>
      <c r="E18" s="49">
        <v>20.9</v>
      </c>
      <c r="F18" s="49"/>
      <c r="G18" s="50">
        <v>714</v>
      </c>
      <c r="H18" s="49">
        <v>16208</v>
      </c>
      <c r="J18" s="49"/>
      <c r="K18" s="49">
        <v>16208</v>
      </c>
    </row>
    <row r="19" spans="1:13" s="38" customFormat="1">
      <c r="A19" s="38" t="s">
        <v>80</v>
      </c>
      <c r="D19" s="48">
        <v>100</v>
      </c>
      <c r="E19" s="49">
        <v>0.49</v>
      </c>
      <c r="F19" s="49">
        <v>0</v>
      </c>
      <c r="G19" s="50">
        <v>1500</v>
      </c>
      <c r="H19" s="49">
        <v>960</v>
      </c>
      <c r="I19" s="49">
        <v>4184</v>
      </c>
      <c r="J19" s="49"/>
      <c r="K19" s="49">
        <f t="shared" si="0"/>
        <v>5144</v>
      </c>
      <c r="L19" s="49">
        <v>140</v>
      </c>
    </row>
    <row r="20" spans="1:13" s="38" customFormat="1">
      <c r="A20" s="58" t="s">
        <v>81</v>
      </c>
      <c r="B20" s="58"/>
      <c r="C20" s="58"/>
      <c r="D20" s="59"/>
      <c r="E20" s="60">
        <v>85</v>
      </c>
      <c r="F20" s="60">
        <v>29</v>
      </c>
      <c r="G20" s="60"/>
      <c r="H20" s="60">
        <f>SUM(H8:H19)</f>
        <v>88199</v>
      </c>
      <c r="I20" s="60">
        <f>SUM(I8:I19)</f>
        <v>14485</v>
      </c>
      <c r="J20" s="60">
        <v>118823</v>
      </c>
      <c r="K20" s="60">
        <f>SUM(K8:K19)</f>
        <v>221012</v>
      </c>
      <c r="L20" s="60">
        <f>+I20-I21</f>
        <v>481</v>
      </c>
      <c r="M20" s="60">
        <f ca="1">+J20-J21</f>
        <v>0</v>
      </c>
    </row>
    <row r="21" spans="1:13" s="38" customFormat="1">
      <c r="A21" s="62" t="s">
        <v>82</v>
      </c>
      <c r="B21" s="62"/>
      <c r="C21" s="62"/>
      <c r="D21" s="63"/>
      <c r="E21" s="64">
        <v>56</v>
      </c>
      <c r="F21" s="64"/>
      <c r="G21" s="64"/>
      <c r="H21" s="64">
        <f>SUM(E32*G32)</f>
        <v>58128</v>
      </c>
      <c r="I21" s="64">
        <v>14004</v>
      </c>
      <c r="J21" s="64">
        <f ca="1">J20-M20</f>
        <v>117257</v>
      </c>
      <c r="K21" s="64">
        <f t="shared" ref="K21" ca="1" si="1">SUM(H21:J21)</f>
        <v>184013</v>
      </c>
      <c r="L21" s="62"/>
      <c r="M21" s="62"/>
    </row>
    <row r="22" spans="1:13" s="38" customFormat="1">
      <c r="A22" s="38" t="s">
        <v>368</v>
      </c>
    </row>
    <row r="23" spans="1:13" s="38" customFormat="1">
      <c r="A23" s="38" t="s">
        <v>369</v>
      </c>
      <c r="J23" s="49"/>
    </row>
    <row r="24" spans="1:13" s="38" customFormat="1">
      <c r="A24" s="38" t="s">
        <v>370</v>
      </c>
    </row>
    <row r="25" spans="1:13" s="38" customFormat="1">
      <c r="C25" s="38" t="s">
        <v>36</v>
      </c>
    </row>
    <row r="26" spans="1:13" s="38" customFormat="1"/>
    <row r="27" spans="1:13" s="38" customFormat="1">
      <c r="A27" s="38" t="s">
        <v>37</v>
      </c>
    </row>
    <row r="28" spans="1:13" s="38" customFormat="1">
      <c r="A28" s="359" t="s">
        <v>38</v>
      </c>
      <c r="B28" s="359"/>
      <c r="C28" s="359"/>
      <c r="D28" s="359" t="s">
        <v>39</v>
      </c>
      <c r="E28" s="359" t="s">
        <v>40</v>
      </c>
      <c r="F28" s="359"/>
      <c r="G28" s="359" t="s">
        <v>41</v>
      </c>
    </row>
    <row r="29" spans="1:13" s="38" customFormat="1">
      <c r="A29" s="38" t="s">
        <v>42</v>
      </c>
      <c r="I29" s="532" t="s">
        <v>53</v>
      </c>
      <c r="J29" s="533">
        <v>1.96</v>
      </c>
    </row>
    <row r="30" spans="1:13" s="38" customFormat="1">
      <c r="A30" s="273" t="s">
        <v>371</v>
      </c>
      <c r="D30" s="38" t="s">
        <v>46</v>
      </c>
      <c r="E30" s="49">
        <v>572</v>
      </c>
      <c r="F30" s="49"/>
      <c r="G30" s="373">
        <v>159</v>
      </c>
      <c r="I30" s="534" t="s">
        <v>54</v>
      </c>
      <c r="J30" s="535">
        <v>2</v>
      </c>
    </row>
    <row r="31" spans="1:13" s="38" customFormat="1">
      <c r="A31" s="38" t="s">
        <v>48</v>
      </c>
    </row>
    <row r="32" spans="1:13" s="38" customFormat="1">
      <c r="A32" s="38" t="s">
        <v>50</v>
      </c>
      <c r="D32" s="38" t="s">
        <v>51</v>
      </c>
      <c r="E32" s="49">
        <v>56</v>
      </c>
      <c r="G32" s="49">
        <v>1038</v>
      </c>
      <c r="I32" s="532" t="s">
        <v>43</v>
      </c>
      <c r="J32" s="536" t="s">
        <v>110</v>
      </c>
    </row>
    <row r="33" spans="1:13" s="38" customFormat="1">
      <c r="A33" s="38" t="s">
        <v>52</v>
      </c>
      <c r="D33" s="38" t="s">
        <v>51</v>
      </c>
      <c r="E33" s="49">
        <v>29</v>
      </c>
      <c r="I33" s="537" t="s">
        <v>372</v>
      </c>
      <c r="J33" s="538">
        <v>93</v>
      </c>
    </row>
    <row r="34" spans="1:13" s="38" customFormat="1">
      <c r="A34" s="38" t="s">
        <v>8</v>
      </c>
      <c r="E34" s="49">
        <v>85</v>
      </c>
      <c r="I34" s="539" t="s">
        <v>373</v>
      </c>
      <c r="J34" s="540">
        <v>7</v>
      </c>
    </row>
    <row r="35" spans="1:13" s="38" customFormat="1">
      <c r="A35" s="58" t="s">
        <v>115</v>
      </c>
      <c r="B35" s="58"/>
      <c r="C35" s="58" t="s">
        <v>116</v>
      </c>
      <c r="D35" s="58"/>
      <c r="E35" s="58"/>
      <c r="F35" s="58"/>
      <c r="G35" s="58"/>
    </row>
    <row r="36" spans="1:13" s="38" customFormat="1">
      <c r="A36" s="68" t="s">
        <v>229</v>
      </c>
      <c r="B36" s="346" t="s">
        <v>118</v>
      </c>
      <c r="C36" s="384">
        <v>80</v>
      </c>
      <c r="D36" s="68" t="s">
        <v>46</v>
      </c>
      <c r="E36" s="379">
        <v>86</v>
      </c>
      <c r="F36" s="68"/>
      <c r="G36" s="379">
        <v>30</v>
      </c>
    </row>
    <row r="37" spans="1:13" s="38" customFormat="1">
      <c r="A37" s="68"/>
      <c r="B37" s="346" t="s">
        <v>374</v>
      </c>
      <c r="C37" s="384">
        <v>50</v>
      </c>
      <c r="D37" s="68" t="s">
        <v>46</v>
      </c>
      <c r="E37" s="379">
        <v>79</v>
      </c>
      <c r="F37" s="68"/>
      <c r="G37" s="379">
        <v>30</v>
      </c>
    </row>
    <row r="38" spans="1:13" s="38" customFormat="1">
      <c r="A38" s="68"/>
      <c r="B38" s="346" t="s">
        <v>375</v>
      </c>
      <c r="C38" s="384">
        <v>47</v>
      </c>
      <c r="D38" s="68" t="s">
        <v>46</v>
      </c>
      <c r="E38" s="68">
        <v>2703</v>
      </c>
      <c r="F38" s="68"/>
      <c r="G38" s="379">
        <v>4.3</v>
      </c>
    </row>
    <row r="39" spans="1:13" s="38" customFormat="1">
      <c r="B39" s="346" t="s">
        <v>376</v>
      </c>
      <c r="C39" s="384">
        <v>73</v>
      </c>
      <c r="D39" s="68" t="s">
        <v>46</v>
      </c>
      <c r="E39" s="379">
        <v>98</v>
      </c>
      <c r="F39" s="68"/>
      <c r="G39" s="379">
        <v>30</v>
      </c>
    </row>
    <row r="40" spans="1:13" s="38" customFormat="1">
      <c r="A40" s="58" t="s">
        <v>55</v>
      </c>
      <c r="B40" s="58"/>
      <c r="C40" s="58"/>
      <c r="D40" s="58"/>
      <c r="E40" s="58"/>
      <c r="F40" s="58"/>
      <c r="G40" s="39" t="s">
        <v>123</v>
      </c>
      <c r="H40" s="42" t="s">
        <v>124</v>
      </c>
    </row>
    <row r="41" spans="1:13" s="38" customFormat="1">
      <c r="A41" s="68" t="s">
        <v>377</v>
      </c>
      <c r="B41" s="68"/>
      <c r="C41" s="68"/>
      <c r="D41" s="68"/>
      <c r="E41" s="68"/>
      <c r="F41" s="68"/>
      <c r="G41" s="69">
        <v>3819</v>
      </c>
      <c r="H41" s="351">
        <f>G41*2.471</f>
        <v>9436.7489999999998</v>
      </c>
    </row>
    <row r="42" spans="1:13" s="38" customFormat="1">
      <c r="A42" s="68" t="s">
        <v>60</v>
      </c>
      <c r="B42" s="68"/>
      <c r="C42" s="68"/>
      <c r="D42" s="68"/>
      <c r="E42" s="68"/>
      <c r="F42" s="68"/>
      <c r="G42" s="70">
        <v>80</v>
      </c>
      <c r="H42" s="49"/>
    </row>
    <row r="43" spans="1:13" s="38" customFormat="1">
      <c r="A43" s="68" t="s">
        <v>378</v>
      </c>
      <c r="B43" s="68"/>
      <c r="C43" s="68"/>
      <c r="D43" s="68"/>
      <c r="E43" s="68"/>
      <c r="F43" s="68"/>
      <c r="G43" s="541">
        <f>SUM(G41*G42)</f>
        <v>305520</v>
      </c>
      <c r="H43" s="351">
        <f>G43*2.471</f>
        <v>754939.92</v>
      </c>
    </row>
    <row r="44" spans="1:13" s="38" customFormat="1">
      <c r="A44" s="68" t="s">
        <v>379</v>
      </c>
      <c r="B44" s="68"/>
      <c r="C44" s="68"/>
      <c r="D44" s="68"/>
      <c r="E44" s="68"/>
      <c r="F44" s="68"/>
      <c r="G44" s="541">
        <f>SUM(G43-K20)</f>
        <v>84508</v>
      </c>
      <c r="H44" s="351">
        <f>G44*2.471</f>
        <v>208819.26800000001</v>
      </c>
    </row>
    <row r="45" spans="1:13" s="38" customFormat="1">
      <c r="A45" s="68" t="s">
        <v>380</v>
      </c>
      <c r="B45" s="68"/>
      <c r="C45" s="68"/>
      <c r="D45" s="68"/>
      <c r="E45" s="68"/>
      <c r="F45" s="68"/>
      <c r="G45" s="541">
        <v>116613</v>
      </c>
      <c r="H45" s="351">
        <f>G45*2.471</f>
        <v>288150.723</v>
      </c>
    </row>
    <row r="46" spans="1:13" s="38" customFormat="1">
      <c r="A46" s="68" t="s">
        <v>89</v>
      </c>
      <c r="B46" s="68"/>
      <c r="C46" s="68"/>
      <c r="D46" s="68"/>
      <c r="E46" s="68"/>
      <c r="F46" s="68"/>
      <c r="G46" s="70">
        <f>SUM(K20/G41)</f>
        <v>57.871694160775071</v>
      </c>
      <c r="H46" s="49"/>
    </row>
    <row r="47" spans="1:13">
      <c r="A47" s="62" t="s">
        <v>90</v>
      </c>
      <c r="B47" s="62"/>
      <c r="C47" s="62"/>
      <c r="D47" s="62"/>
      <c r="E47" s="62"/>
      <c r="F47" s="62"/>
      <c r="G47" s="71">
        <v>49.47</v>
      </c>
      <c r="H47" s="49"/>
      <c r="I47" s="38"/>
      <c r="J47" s="38"/>
      <c r="K47" s="38"/>
      <c r="L47" s="38"/>
      <c r="M47" s="38"/>
    </row>
    <row r="48" spans="1:1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3">
      <c r="A49" s="38" t="s">
        <v>91</v>
      </c>
      <c r="B49" s="38"/>
      <c r="C49" s="542" t="s">
        <v>381</v>
      </c>
      <c r="D49" s="368"/>
      <c r="E49" s="368"/>
      <c r="F49" s="38"/>
      <c r="G49" s="38"/>
      <c r="H49" s="38"/>
      <c r="I49" s="38"/>
      <c r="J49" s="38"/>
      <c r="K49" s="38"/>
      <c r="L49" s="38"/>
      <c r="M49" s="38"/>
    </row>
    <row r="50" spans="1:13">
      <c r="A50" s="529"/>
      <c r="C50" s="2" t="s">
        <v>382</v>
      </c>
      <c r="F50" s="38"/>
      <c r="G50" s="38"/>
      <c r="H50" s="38"/>
      <c r="I50" s="38"/>
      <c r="J50" s="38"/>
      <c r="K50" s="38"/>
      <c r="L50" s="38"/>
      <c r="M50" s="38"/>
    </row>
    <row r="51" spans="1:1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>
      <c r="A52" s="110"/>
      <c r="B52" s="110"/>
      <c r="C52" s="110"/>
      <c r="D52" s="110"/>
      <c r="E52" s="110"/>
      <c r="F52" s="110"/>
      <c r="G52" s="110"/>
      <c r="H52" s="38"/>
      <c r="I52" s="38"/>
      <c r="J52" s="38"/>
      <c r="K52" s="38"/>
      <c r="L52" s="38"/>
      <c r="M52" s="38"/>
    </row>
    <row r="53" spans="1:13">
      <c r="A53" s="110"/>
      <c r="B53" s="110"/>
      <c r="C53" s="110"/>
      <c r="D53" s="110"/>
      <c r="E53" s="110"/>
      <c r="F53" s="110"/>
      <c r="G53" s="110"/>
      <c r="H53" s="38"/>
      <c r="I53" s="38"/>
      <c r="J53" s="38"/>
      <c r="K53" s="38"/>
      <c r="L53" s="38"/>
      <c r="M53" s="38"/>
    </row>
    <row r="54" spans="1:1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>
      <c r="A57" s="110"/>
      <c r="B57" s="38"/>
      <c r="C57" s="38"/>
      <c r="D57" s="42"/>
      <c r="E57" s="38"/>
      <c r="F57" s="38"/>
      <c r="G57" s="38"/>
      <c r="H57" s="38"/>
      <c r="I57" s="38"/>
      <c r="J57" s="38"/>
      <c r="K57" s="38"/>
      <c r="L57" s="38"/>
      <c r="M57" s="38"/>
    </row>
    <row r="58" spans="1:1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1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3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</sheetData>
  <mergeCells count="1">
    <mergeCell ref="A16:C16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opLeftCell="A39" workbookViewId="0">
      <selection activeCell="G53" sqref="G53"/>
    </sheetView>
  </sheetViews>
  <sheetFormatPr defaultColWidth="9.140625" defaultRowHeight="15"/>
  <cols>
    <col min="1" max="1" width="9.140625" style="38"/>
    <col min="2" max="2" width="4.140625" style="38" customWidth="1"/>
    <col min="3" max="3" width="6.140625" style="38" customWidth="1"/>
    <col min="4" max="4" width="8.28515625" style="38" customWidth="1"/>
    <col min="5" max="5" width="8" style="38" customWidth="1"/>
    <col min="6" max="6" width="9.140625" style="38"/>
    <col min="7" max="7" width="10.42578125" style="38" customWidth="1"/>
    <col min="8" max="8" width="10" style="38" customWidth="1"/>
    <col min="9" max="9" width="10.28515625" style="38" customWidth="1"/>
    <col min="10" max="10" width="8.7109375" style="38" customWidth="1"/>
    <col min="11" max="11" width="9.42578125" style="38" customWidth="1"/>
    <col min="12" max="12" width="7.140625" style="38" customWidth="1"/>
    <col min="13" max="13" width="5.5703125" style="38" customWidth="1"/>
    <col min="14" max="16384" width="9.140625" style="38"/>
  </cols>
  <sheetData>
    <row r="1" spans="1:15" ht="15.75">
      <c r="A1" s="38" t="s">
        <v>0</v>
      </c>
      <c r="B1" s="38" t="s">
        <v>383</v>
      </c>
      <c r="N1" s="543"/>
      <c r="O1" s="544"/>
    </row>
    <row r="2" spans="1:15">
      <c r="B2" s="38" t="s">
        <v>384</v>
      </c>
    </row>
    <row r="3" spans="1:15">
      <c r="B3" s="38" t="s">
        <v>385</v>
      </c>
    </row>
    <row r="4" spans="1:15">
      <c r="A4" s="58" t="s">
        <v>6</v>
      </c>
      <c r="B4" s="58"/>
      <c r="C4" s="58"/>
      <c r="D4" s="321" t="s">
        <v>7</v>
      </c>
      <c r="E4" s="321" t="s">
        <v>8</v>
      </c>
      <c r="F4" s="321" t="s">
        <v>9</v>
      </c>
      <c r="G4" s="321" t="s">
        <v>10</v>
      </c>
      <c r="H4" s="321" t="s">
        <v>11</v>
      </c>
      <c r="I4" s="321" t="s">
        <v>12</v>
      </c>
      <c r="J4" s="321" t="s">
        <v>13</v>
      </c>
      <c r="K4" s="321" t="s">
        <v>14</v>
      </c>
      <c r="L4" s="345" t="s">
        <v>71</v>
      </c>
      <c r="M4" s="321"/>
    </row>
    <row r="5" spans="1:15">
      <c r="A5" s="68"/>
      <c r="B5" s="68"/>
      <c r="C5" s="68"/>
      <c r="D5" s="323" t="s">
        <v>16</v>
      </c>
      <c r="E5" s="323" t="s">
        <v>17</v>
      </c>
      <c r="F5" s="323" t="s">
        <v>17</v>
      </c>
      <c r="G5" s="323" t="s">
        <v>18</v>
      </c>
      <c r="H5" s="323" t="s">
        <v>19</v>
      </c>
      <c r="I5" s="323" t="s">
        <v>20</v>
      </c>
      <c r="J5" s="323" t="s">
        <v>19</v>
      </c>
      <c r="K5" s="323" t="s">
        <v>19</v>
      </c>
      <c r="L5" s="346" t="s">
        <v>12</v>
      </c>
      <c r="M5" s="323" t="s">
        <v>13</v>
      </c>
    </row>
    <row r="6" spans="1:15">
      <c r="A6" s="68"/>
      <c r="B6" s="68"/>
      <c r="C6" s="68"/>
      <c r="D6" s="323" t="s">
        <v>22</v>
      </c>
      <c r="E6" s="323"/>
      <c r="F6" s="323"/>
      <c r="G6" s="323"/>
      <c r="H6" s="323" t="s">
        <v>23</v>
      </c>
      <c r="I6" s="323" t="s">
        <v>19</v>
      </c>
      <c r="J6" s="323" t="s">
        <v>23</v>
      </c>
      <c r="K6" s="323" t="s">
        <v>23</v>
      </c>
      <c r="L6" s="323"/>
      <c r="M6" s="323"/>
    </row>
    <row r="7" spans="1:15">
      <c r="A7" s="62"/>
      <c r="B7" s="62"/>
      <c r="C7" s="62"/>
      <c r="D7" s="326"/>
      <c r="E7" s="326"/>
      <c r="F7" s="326"/>
      <c r="G7" s="326"/>
      <c r="H7" s="326"/>
      <c r="I7" s="326" t="s">
        <v>23</v>
      </c>
      <c r="J7" s="326"/>
      <c r="K7" s="326"/>
      <c r="L7" s="326"/>
      <c r="M7" s="326"/>
    </row>
    <row r="8" spans="1:15">
      <c r="A8" s="38" t="s">
        <v>162</v>
      </c>
      <c r="D8" s="48">
        <v>100</v>
      </c>
      <c r="E8" s="49">
        <v>4.09</v>
      </c>
      <c r="F8" s="49">
        <v>4.09</v>
      </c>
      <c r="G8" s="50">
        <v>1100</v>
      </c>
      <c r="H8" s="49">
        <v>4510</v>
      </c>
      <c r="J8" s="49">
        <v>1503</v>
      </c>
      <c r="K8" s="49">
        <f>SUM(H8:J8)</f>
        <v>6013</v>
      </c>
    </row>
    <row r="9" spans="1:15">
      <c r="A9" s="38" t="s">
        <v>73</v>
      </c>
      <c r="D9" s="48">
        <v>73</v>
      </c>
      <c r="E9" s="49">
        <v>12.04</v>
      </c>
      <c r="F9" s="49">
        <v>5.25</v>
      </c>
      <c r="G9" s="50">
        <v>1320</v>
      </c>
      <c r="H9" s="49">
        <v>14580</v>
      </c>
      <c r="J9" s="49"/>
      <c r="K9" s="49">
        <f t="shared" ref="K9:K22" si="0">SUM(H9:J9)</f>
        <v>14580</v>
      </c>
    </row>
    <row r="10" spans="1:15">
      <c r="A10" s="38" t="s">
        <v>163</v>
      </c>
      <c r="D10" s="530" t="s">
        <v>386</v>
      </c>
      <c r="E10" s="53" t="s">
        <v>387</v>
      </c>
      <c r="F10" s="53" t="s">
        <v>388</v>
      </c>
      <c r="G10" s="50"/>
      <c r="H10" s="53" t="s">
        <v>423</v>
      </c>
      <c r="J10" s="49"/>
      <c r="K10" s="49"/>
    </row>
    <row r="11" spans="1:15">
      <c r="A11" s="38" t="s">
        <v>164</v>
      </c>
      <c r="D11" s="530" t="s">
        <v>386</v>
      </c>
      <c r="E11" s="53" t="s">
        <v>389</v>
      </c>
      <c r="F11" s="53" t="s">
        <v>390</v>
      </c>
      <c r="G11" s="50"/>
      <c r="H11" s="53" t="s">
        <v>424</v>
      </c>
      <c r="I11" s="56" t="s">
        <v>426</v>
      </c>
      <c r="J11" s="49"/>
      <c r="K11" s="49"/>
    </row>
    <row r="12" spans="1:15">
      <c r="A12" s="38" t="s">
        <v>165</v>
      </c>
      <c r="D12" s="48">
        <v>100</v>
      </c>
      <c r="E12" s="49">
        <v>11.29</v>
      </c>
      <c r="F12" s="49">
        <v>5.8</v>
      </c>
      <c r="G12" s="50">
        <v>1262</v>
      </c>
      <c r="H12" s="49">
        <v>14892</v>
      </c>
      <c r="J12" s="49">
        <v>3222</v>
      </c>
      <c r="K12" s="49">
        <f t="shared" si="0"/>
        <v>18114</v>
      </c>
    </row>
    <row r="13" spans="1:15">
      <c r="A13" s="38" t="s">
        <v>391</v>
      </c>
      <c r="D13" s="48">
        <v>100</v>
      </c>
      <c r="E13" s="49">
        <v>7.62</v>
      </c>
      <c r="F13" s="49">
        <v>4.43</v>
      </c>
      <c r="G13" s="50">
        <v>1311</v>
      </c>
      <c r="H13" s="49">
        <v>10608</v>
      </c>
      <c r="J13" s="49"/>
      <c r="K13" s="49">
        <f t="shared" si="0"/>
        <v>10608</v>
      </c>
    </row>
    <row r="14" spans="1:15">
      <c r="A14" s="38" t="s">
        <v>392</v>
      </c>
      <c r="D14" s="48">
        <v>100</v>
      </c>
      <c r="E14" s="49">
        <v>6.63</v>
      </c>
      <c r="F14" s="49">
        <v>4.72</v>
      </c>
      <c r="G14" s="50">
        <v>814</v>
      </c>
      <c r="H14" s="49">
        <v>6409</v>
      </c>
      <c r="J14" s="49">
        <v>12278</v>
      </c>
      <c r="K14" s="49">
        <f t="shared" si="0"/>
        <v>18687</v>
      </c>
    </row>
    <row r="15" spans="1:15">
      <c r="A15" s="38" t="s">
        <v>104</v>
      </c>
      <c r="D15" s="48">
        <v>100</v>
      </c>
      <c r="E15" s="49">
        <v>6.75</v>
      </c>
      <c r="F15" s="49">
        <v>5.73</v>
      </c>
      <c r="G15" s="50">
        <v>1244</v>
      </c>
      <c r="H15" s="49">
        <v>8459</v>
      </c>
      <c r="J15" s="49">
        <v>17655</v>
      </c>
      <c r="K15" s="49">
        <f t="shared" si="0"/>
        <v>26114</v>
      </c>
    </row>
    <row r="16" spans="1:15">
      <c r="A16" s="38" t="s">
        <v>167</v>
      </c>
      <c r="D16" s="48">
        <v>100</v>
      </c>
      <c r="E16" s="49">
        <v>13.19</v>
      </c>
      <c r="F16" s="49">
        <v>7.76</v>
      </c>
      <c r="G16" s="50">
        <v>1181</v>
      </c>
      <c r="H16" s="49">
        <v>17792</v>
      </c>
      <c r="J16" s="49"/>
      <c r="K16" s="49">
        <f t="shared" si="0"/>
        <v>17792</v>
      </c>
    </row>
    <row r="17" spans="1:13">
      <c r="A17" s="38" t="s">
        <v>77</v>
      </c>
      <c r="D17" s="48">
        <v>100</v>
      </c>
      <c r="E17" s="49">
        <v>13.17</v>
      </c>
      <c r="F17" s="49">
        <v>13.08</v>
      </c>
      <c r="G17" s="50">
        <v>1300</v>
      </c>
      <c r="H17" s="49">
        <v>23010</v>
      </c>
      <c r="J17" s="49">
        <v>22077</v>
      </c>
      <c r="K17" s="49">
        <f t="shared" si="0"/>
        <v>45087</v>
      </c>
    </row>
    <row r="18" spans="1:13">
      <c r="A18" s="38" t="s">
        <v>393</v>
      </c>
      <c r="D18" s="48">
        <v>100</v>
      </c>
      <c r="E18" s="49">
        <v>9.5500000000000007</v>
      </c>
      <c r="F18" s="49">
        <v>6.93</v>
      </c>
      <c r="G18" s="50">
        <v>1086</v>
      </c>
      <c r="H18" s="49">
        <v>10224</v>
      </c>
      <c r="J18" s="49">
        <v>18333</v>
      </c>
      <c r="K18" s="49">
        <f t="shared" si="0"/>
        <v>28557</v>
      </c>
    </row>
    <row r="19" spans="1:13">
      <c r="A19" s="38" t="s">
        <v>394</v>
      </c>
      <c r="D19" s="48">
        <v>100</v>
      </c>
      <c r="E19" s="49">
        <v>11.65</v>
      </c>
      <c r="F19" s="49">
        <v>7.95</v>
      </c>
      <c r="G19" s="50">
        <v>1108</v>
      </c>
      <c r="H19" s="49">
        <v>14880</v>
      </c>
      <c r="J19" s="49">
        <v>2777</v>
      </c>
      <c r="K19" s="49">
        <f t="shared" si="0"/>
        <v>17657</v>
      </c>
    </row>
    <row r="20" spans="1:13">
      <c r="A20" s="38" t="s">
        <v>395</v>
      </c>
      <c r="D20" s="48">
        <v>73</v>
      </c>
      <c r="E20" s="49">
        <v>12.61</v>
      </c>
      <c r="F20" s="49">
        <v>12.61</v>
      </c>
      <c r="G20" s="50">
        <v>1100</v>
      </c>
      <c r="H20" s="49">
        <v>18480</v>
      </c>
      <c r="I20" s="49"/>
      <c r="J20" s="49"/>
      <c r="K20" s="49">
        <f t="shared" si="0"/>
        <v>18480</v>
      </c>
    </row>
    <row r="21" spans="1:13">
      <c r="A21" s="38" t="s">
        <v>396</v>
      </c>
      <c r="D21" s="530" t="s">
        <v>311</v>
      </c>
      <c r="E21" s="53" t="s">
        <v>397</v>
      </c>
      <c r="F21" s="53" t="s">
        <v>397</v>
      </c>
      <c r="G21" s="50"/>
      <c r="H21" s="53" t="s">
        <v>425</v>
      </c>
      <c r="J21" s="49"/>
      <c r="K21" s="49"/>
    </row>
    <row r="22" spans="1:13">
      <c r="A22" s="38" t="s">
        <v>78</v>
      </c>
      <c r="D22" s="48">
        <v>100</v>
      </c>
      <c r="E22" s="49">
        <v>39</v>
      </c>
      <c r="F22" s="49">
        <v>28</v>
      </c>
      <c r="G22" s="50">
        <v>900</v>
      </c>
      <c r="H22" s="49">
        <v>45600</v>
      </c>
      <c r="J22" s="49"/>
      <c r="K22" s="49">
        <f t="shared" si="0"/>
        <v>45600</v>
      </c>
    </row>
    <row r="23" spans="1:13">
      <c r="A23" s="57" t="s">
        <v>81</v>
      </c>
      <c r="B23" s="58"/>
      <c r="C23" s="58"/>
      <c r="D23" s="59"/>
      <c r="E23" s="60">
        <v>158</v>
      </c>
      <c r="F23" s="60">
        <v>117</v>
      </c>
      <c r="G23" s="60"/>
      <c r="H23" s="60">
        <f>SUM(H8:H22)</f>
        <v>189444</v>
      </c>
      <c r="I23" s="60"/>
      <c r="J23" s="60">
        <f>SUM(J8:J22)</f>
        <v>77845</v>
      </c>
      <c r="K23" s="60">
        <f>SUM(H23:J23)</f>
        <v>267289</v>
      </c>
      <c r="L23" s="58">
        <f>SUM(L8:L22)</f>
        <v>0</v>
      </c>
      <c r="M23" s="58">
        <f>SUM(M8:M22)</f>
        <v>0</v>
      </c>
    </row>
    <row r="24" spans="1:13">
      <c r="A24" s="61" t="s">
        <v>82</v>
      </c>
      <c r="B24" s="62"/>
      <c r="C24" s="62"/>
      <c r="D24" s="63"/>
      <c r="E24" s="64">
        <f>SUM(E23-F23)</f>
        <v>41</v>
      </c>
      <c r="F24" s="64"/>
      <c r="G24" s="64"/>
      <c r="H24" s="64">
        <v>49159</v>
      </c>
      <c r="I24" s="64">
        <v>0</v>
      </c>
      <c r="J24" s="64">
        <v>69614</v>
      </c>
      <c r="K24" s="64">
        <f>SUM(H24:J24)</f>
        <v>118773</v>
      </c>
      <c r="L24" s="62"/>
      <c r="M24" s="62"/>
    </row>
    <row r="25" spans="1:13">
      <c r="A25" s="38" t="s">
        <v>398</v>
      </c>
    </row>
    <row r="26" spans="1:13">
      <c r="A26" s="38" t="s">
        <v>399</v>
      </c>
    </row>
    <row r="27" spans="1:13">
      <c r="C27" s="38" t="s">
        <v>36</v>
      </c>
    </row>
    <row r="29" spans="1:13">
      <c r="A29" s="38" t="s">
        <v>37</v>
      </c>
    </row>
    <row r="30" spans="1:13">
      <c r="A30" s="359" t="s">
        <v>38</v>
      </c>
      <c r="B30" s="359"/>
      <c r="C30" s="359"/>
      <c r="D30" s="359" t="s">
        <v>39</v>
      </c>
      <c r="E30" s="359" t="s">
        <v>40</v>
      </c>
      <c r="F30" s="359"/>
      <c r="G30" s="359" t="s">
        <v>41</v>
      </c>
      <c r="K30" s="528"/>
    </row>
    <row r="31" spans="1:13">
      <c r="A31" s="38" t="s">
        <v>42</v>
      </c>
      <c r="D31" s="38" t="s">
        <v>84</v>
      </c>
      <c r="K31" s="528"/>
    </row>
    <row r="32" spans="1:13">
      <c r="A32" s="66" t="s">
        <v>392</v>
      </c>
      <c r="D32" s="38" t="s">
        <v>46</v>
      </c>
      <c r="E32" s="38">
        <v>0.1</v>
      </c>
      <c r="G32" s="49">
        <v>122778</v>
      </c>
      <c r="K32" s="528"/>
    </row>
    <row r="33" spans="1:11">
      <c r="K33" s="528"/>
    </row>
    <row r="35" spans="1:11">
      <c r="A35" s="38" t="s">
        <v>48</v>
      </c>
      <c r="J35" s="532" t="s">
        <v>53</v>
      </c>
      <c r="K35" s="545">
        <v>0.38</v>
      </c>
    </row>
    <row r="36" spans="1:11">
      <c r="A36" s="38" t="s">
        <v>50</v>
      </c>
      <c r="D36" s="38" t="s">
        <v>51</v>
      </c>
      <c r="E36" s="49">
        <v>41</v>
      </c>
      <c r="G36" s="49">
        <v>1199</v>
      </c>
      <c r="J36" s="534" t="s">
        <v>54</v>
      </c>
      <c r="K36" s="546">
        <v>0.25</v>
      </c>
    </row>
    <row r="37" spans="1:11">
      <c r="A37" s="38" t="s">
        <v>52</v>
      </c>
      <c r="D37" s="38" t="s">
        <v>51</v>
      </c>
      <c r="E37" s="49">
        <v>117</v>
      </c>
    </row>
    <row r="38" spans="1:11">
      <c r="A38" s="38" t="s">
        <v>8</v>
      </c>
      <c r="D38" s="38" t="s">
        <v>51</v>
      </c>
      <c r="E38" s="49">
        <v>158</v>
      </c>
      <c r="J38" s="38" t="s">
        <v>400</v>
      </c>
      <c r="K38" s="305" t="s">
        <v>110</v>
      </c>
    </row>
    <row r="39" spans="1:11">
      <c r="J39" s="532" t="s">
        <v>401</v>
      </c>
      <c r="K39" s="547">
        <v>79</v>
      </c>
    </row>
    <row r="40" spans="1:11">
      <c r="A40" s="58" t="s">
        <v>115</v>
      </c>
      <c r="B40" s="58"/>
      <c r="C40" s="58" t="s">
        <v>116</v>
      </c>
      <c r="D40" s="58"/>
      <c r="E40" s="58"/>
      <c r="F40" s="58"/>
      <c r="G40" s="58"/>
      <c r="J40" s="548" t="s">
        <v>402</v>
      </c>
      <c r="K40" s="549">
        <v>13</v>
      </c>
    </row>
    <row r="41" spans="1:11">
      <c r="A41" s="67"/>
      <c r="B41" s="388"/>
      <c r="C41" s="389"/>
      <c r="D41" s="67"/>
      <c r="E41" s="68"/>
      <c r="F41" s="68"/>
      <c r="G41" s="379"/>
      <c r="J41" s="534" t="s">
        <v>117</v>
      </c>
      <c r="K41" s="550">
        <v>8</v>
      </c>
    </row>
    <row r="42" spans="1:11">
      <c r="A42" s="279" t="s">
        <v>172</v>
      </c>
      <c r="B42" s="551"/>
      <c r="C42" s="552">
        <v>53</v>
      </c>
      <c r="D42" s="279" t="s">
        <v>46</v>
      </c>
      <c r="E42" s="379">
        <v>987</v>
      </c>
      <c r="F42" s="68"/>
      <c r="G42" s="379">
        <v>6.2</v>
      </c>
    </row>
    <row r="43" spans="1:11">
      <c r="A43" s="66" t="s">
        <v>403</v>
      </c>
      <c r="B43" s="388"/>
      <c r="C43" s="389"/>
      <c r="D43" s="67"/>
      <c r="E43" s="379"/>
      <c r="F43" s="68"/>
      <c r="G43" s="379"/>
    </row>
    <row r="44" spans="1:11">
      <c r="A44" s="68" t="s">
        <v>404</v>
      </c>
      <c r="B44" s="346"/>
      <c r="C44" s="384">
        <v>77</v>
      </c>
      <c r="D44" s="68" t="s">
        <v>46</v>
      </c>
      <c r="E44" s="379">
        <v>226</v>
      </c>
      <c r="F44" s="68"/>
      <c r="G44" s="379">
        <v>31</v>
      </c>
    </row>
    <row r="45" spans="1:11">
      <c r="A45" s="68" t="s">
        <v>176</v>
      </c>
      <c r="B45" s="346"/>
      <c r="C45" s="384">
        <v>50</v>
      </c>
      <c r="D45" s="68" t="s">
        <v>46</v>
      </c>
      <c r="E45" s="379">
        <v>151</v>
      </c>
      <c r="F45" s="68"/>
      <c r="G45" s="379">
        <v>30</v>
      </c>
    </row>
    <row r="46" spans="1:11">
      <c r="A46" s="68" t="s">
        <v>405</v>
      </c>
      <c r="B46" s="346"/>
      <c r="C46" s="384" t="s">
        <v>406</v>
      </c>
      <c r="D46" s="68" t="s">
        <v>46</v>
      </c>
      <c r="E46" s="384" t="s">
        <v>214</v>
      </c>
      <c r="F46" s="68"/>
      <c r="G46" s="384" t="s">
        <v>407</v>
      </c>
    </row>
    <row r="47" spans="1:11">
      <c r="A47" s="58" t="s">
        <v>55</v>
      </c>
      <c r="B47" s="58"/>
      <c r="C47" s="58"/>
      <c r="D47" s="58"/>
      <c r="E47" s="58"/>
      <c r="F47" s="58"/>
      <c r="G47" s="58" t="s">
        <v>56</v>
      </c>
      <c r="I47" s="38" t="s">
        <v>178</v>
      </c>
    </row>
    <row r="48" spans="1:11">
      <c r="A48" s="68" t="s">
        <v>377</v>
      </c>
      <c r="B48" s="68"/>
      <c r="C48" s="68"/>
      <c r="D48" s="68"/>
      <c r="E48" s="68"/>
      <c r="F48" s="68"/>
      <c r="G48" s="69">
        <v>10008</v>
      </c>
      <c r="I48" s="351">
        <f>+G48*2.471</f>
        <v>24729.768</v>
      </c>
    </row>
    <row r="49" spans="1:9">
      <c r="A49" s="68" t="s">
        <v>60</v>
      </c>
      <c r="B49" s="68"/>
      <c r="C49" s="68"/>
      <c r="D49" s="68"/>
      <c r="E49" s="68"/>
      <c r="F49" s="68"/>
      <c r="G49" s="70">
        <v>45.8</v>
      </c>
      <c r="I49" s="351"/>
    </row>
    <row r="50" spans="1:9">
      <c r="A50" s="68" t="s">
        <v>408</v>
      </c>
      <c r="B50" s="68"/>
      <c r="C50" s="68"/>
      <c r="D50" s="68"/>
      <c r="E50" s="68"/>
      <c r="F50" s="68"/>
      <c r="G50" s="70">
        <v>458366</v>
      </c>
      <c r="I50" s="351">
        <f t="shared" ref="I49:I52" si="1">+G50*2.471</f>
        <v>1132622.3859999999</v>
      </c>
    </row>
    <row r="51" spans="1:9">
      <c r="A51" s="68" t="s">
        <v>379</v>
      </c>
      <c r="B51" s="68"/>
      <c r="C51" s="68"/>
      <c r="D51" s="68"/>
      <c r="E51" s="68"/>
      <c r="F51" s="68"/>
      <c r="G51" s="70">
        <v>191077</v>
      </c>
      <c r="I51" s="351">
        <f t="shared" si="1"/>
        <v>472151.26699999999</v>
      </c>
    </row>
    <row r="52" spans="1:9">
      <c r="A52" s="68" t="s">
        <v>380</v>
      </c>
      <c r="B52" s="68"/>
      <c r="C52" s="68"/>
      <c r="D52" s="68"/>
      <c r="E52" s="68"/>
      <c r="F52" s="68"/>
      <c r="G52" s="70">
        <v>339593</v>
      </c>
      <c r="I52" s="351">
        <f t="shared" si="1"/>
        <v>839134.30300000007</v>
      </c>
    </row>
    <row r="53" spans="1:9">
      <c r="A53" s="68"/>
      <c r="B53" s="68"/>
      <c r="C53" s="68"/>
      <c r="D53" s="68"/>
      <c r="E53" s="68"/>
      <c r="F53" s="68"/>
      <c r="G53" s="70"/>
    </row>
    <row r="54" spans="1:9">
      <c r="A54" s="68" t="s">
        <v>89</v>
      </c>
      <c r="B54" s="68"/>
      <c r="C54" s="68"/>
      <c r="D54" s="68"/>
      <c r="E54" s="68"/>
      <c r="F54" s="68"/>
      <c r="G54" s="70">
        <f>SUM(K23/G48)</f>
        <v>26.707533972821743</v>
      </c>
    </row>
    <row r="55" spans="1:9">
      <c r="A55" s="62" t="s">
        <v>90</v>
      </c>
      <c r="B55" s="62"/>
      <c r="C55" s="62"/>
      <c r="D55" s="62"/>
      <c r="E55" s="62"/>
      <c r="F55" s="62"/>
      <c r="G55" s="71">
        <f>SUM(K24/G48)</f>
        <v>11.867805755395683</v>
      </c>
    </row>
    <row r="57" spans="1:9">
      <c r="A57" s="38" t="s">
        <v>91</v>
      </c>
    </row>
    <row r="66" spans="7:7">
      <c r="G66" s="38" t="s">
        <v>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workbookViewId="0">
      <selection activeCell="N17" sqref="N17"/>
    </sheetView>
  </sheetViews>
  <sheetFormatPr defaultRowHeight="15"/>
  <cols>
    <col min="1" max="1" width="9.5703125" customWidth="1"/>
    <col min="2" max="2" width="8.7109375" customWidth="1"/>
    <col min="3" max="3" width="8" customWidth="1"/>
    <col min="4" max="4" width="6.28515625" customWidth="1"/>
    <col min="5" max="5" width="7.140625" customWidth="1"/>
    <col min="6" max="6" width="5.5703125" customWidth="1"/>
    <col min="7" max="7" width="8.85546875" customWidth="1"/>
    <col min="8" max="8" width="10.28515625" customWidth="1"/>
    <col min="9" max="9" width="8.85546875" customWidth="1"/>
    <col min="10" max="10" width="9.85546875" customWidth="1"/>
    <col min="11" max="11" width="11.140625" customWidth="1"/>
  </cols>
  <sheetData>
    <row r="1" spans="1:15" s="38" customFormat="1">
      <c r="A1" s="38" t="s">
        <v>0</v>
      </c>
      <c r="B1" s="38" t="s">
        <v>358</v>
      </c>
    </row>
    <row r="2" spans="1:15" s="38" customFormat="1">
      <c r="B2" s="38" t="s">
        <v>448</v>
      </c>
      <c r="O2" s="38" t="s">
        <v>360</v>
      </c>
    </row>
    <row r="3" spans="1:15" s="38" customFormat="1"/>
    <row r="4" spans="1:15" s="38" customFormat="1">
      <c r="A4" s="58" t="s">
        <v>6</v>
      </c>
      <c r="B4" s="58"/>
      <c r="C4" s="58"/>
      <c r="D4" s="321" t="s">
        <v>7</v>
      </c>
      <c r="E4" s="321" t="s">
        <v>8</v>
      </c>
      <c r="F4" s="321" t="s">
        <v>9</v>
      </c>
      <c r="G4" s="321" t="s">
        <v>10</v>
      </c>
      <c r="H4" s="321" t="s">
        <v>11</v>
      </c>
      <c r="I4" s="321" t="s">
        <v>12</v>
      </c>
      <c r="J4" s="321" t="s">
        <v>13</v>
      </c>
      <c r="K4" s="321" t="s">
        <v>14</v>
      </c>
      <c r="L4" s="345" t="s">
        <v>71</v>
      </c>
      <c r="M4" s="321"/>
    </row>
    <row r="5" spans="1:15" s="38" customFormat="1">
      <c r="A5" s="68"/>
      <c r="B5" s="68"/>
      <c r="C5" s="68"/>
      <c r="D5" s="323" t="s">
        <v>16</v>
      </c>
      <c r="E5" s="323" t="s">
        <v>17</v>
      </c>
      <c r="F5" s="323" t="s">
        <v>17</v>
      </c>
      <c r="G5" s="323" t="s">
        <v>18</v>
      </c>
      <c r="H5" s="323" t="s">
        <v>19</v>
      </c>
      <c r="I5" s="323" t="s">
        <v>20</v>
      </c>
      <c r="J5" s="323" t="s">
        <v>19</v>
      </c>
      <c r="K5" s="323" t="s">
        <v>19</v>
      </c>
      <c r="L5" s="346" t="s">
        <v>12</v>
      </c>
      <c r="M5" s="323" t="s">
        <v>13</v>
      </c>
    </row>
    <row r="6" spans="1:15" s="38" customFormat="1">
      <c r="A6" s="68"/>
      <c r="B6" s="68"/>
      <c r="C6" s="68"/>
      <c r="D6" s="323" t="s">
        <v>22</v>
      </c>
      <c r="E6" s="323"/>
      <c r="F6" s="323"/>
      <c r="G6" s="323"/>
      <c r="H6" s="323" t="s">
        <v>23</v>
      </c>
      <c r="I6" s="323" t="s">
        <v>19</v>
      </c>
      <c r="J6" s="323" t="s">
        <v>23</v>
      </c>
      <c r="K6" s="323" t="s">
        <v>23</v>
      </c>
      <c r="L6" s="323"/>
      <c r="M6" s="323"/>
    </row>
    <row r="7" spans="1:15" s="38" customFormat="1">
      <c r="A7" s="62"/>
      <c r="B7" s="62"/>
      <c r="C7" s="62"/>
      <c r="D7" s="326"/>
      <c r="E7" s="326"/>
      <c r="F7" s="326"/>
      <c r="G7" s="326"/>
      <c r="H7" s="326"/>
      <c r="I7" s="326" t="s">
        <v>23</v>
      </c>
      <c r="J7" s="326"/>
      <c r="K7" s="326"/>
      <c r="L7" s="326"/>
      <c r="M7" s="326"/>
    </row>
    <row r="8" spans="1:15" s="38" customFormat="1">
      <c r="A8" s="38" t="s">
        <v>73</v>
      </c>
      <c r="D8" s="530"/>
      <c r="E8" s="53"/>
      <c r="F8" s="53"/>
      <c r="G8" s="54"/>
      <c r="H8" s="49"/>
      <c r="J8" s="49"/>
      <c r="K8" s="49">
        <f>+H8+I8+J8</f>
        <v>0</v>
      </c>
    </row>
    <row r="9" spans="1:15" s="38" customFormat="1">
      <c r="A9" s="38" t="s">
        <v>98</v>
      </c>
      <c r="D9" s="48">
        <v>60</v>
      </c>
      <c r="E9" s="49"/>
      <c r="F9" s="49"/>
      <c r="G9" s="50"/>
      <c r="H9" s="49">
        <v>1126</v>
      </c>
      <c r="I9" s="49">
        <v>13678</v>
      </c>
      <c r="J9" s="49"/>
      <c r="K9" s="49">
        <f t="shared" ref="K9:K22" si="0">+H9+I9+J9</f>
        <v>14804</v>
      </c>
      <c r="L9" s="49"/>
    </row>
    <row r="10" spans="1:15" s="38" customFormat="1">
      <c r="A10" s="38" t="s">
        <v>449</v>
      </c>
      <c r="D10" s="530" t="s">
        <v>450</v>
      </c>
      <c r="E10" s="49"/>
      <c r="F10" s="49"/>
      <c r="G10" s="50"/>
      <c r="H10" s="49"/>
      <c r="I10" s="53" t="s">
        <v>454</v>
      </c>
      <c r="J10" s="49"/>
      <c r="K10" s="49"/>
      <c r="L10" s="49"/>
    </row>
    <row r="11" spans="1:15" s="38" customFormat="1">
      <c r="A11" s="531" t="s">
        <v>364</v>
      </c>
      <c r="B11" s="81"/>
      <c r="D11" s="48">
        <v>73</v>
      </c>
      <c r="E11" s="49"/>
      <c r="F11" s="49"/>
      <c r="G11" s="50"/>
      <c r="H11" s="49">
        <v>6524</v>
      </c>
      <c r="J11" s="49"/>
      <c r="K11" s="49">
        <f t="shared" si="0"/>
        <v>6524</v>
      </c>
    </row>
    <row r="12" spans="1:15" s="38" customFormat="1">
      <c r="A12" s="575" t="s">
        <v>451</v>
      </c>
      <c r="B12" s="81"/>
      <c r="D12" s="530" t="s">
        <v>311</v>
      </c>
      <c r="E12" s="49"/>
      <c r="F12" s="49"/>
      <c r="G12" s="50"/>
      <c r="H12" s="49"/>
      <c r="J12" s="49"/>
      <c r="K12" s="49">
        <f t="shared" si="0"/>
        <v>0</v>
      </c>
    </row>
    <row r="13" spans="1:15" s="38" customFormat="1">
      <c r="A13" s="575" t="s">
        <v>452</v>
      </c>
      <c r="B13" s="81"/>
      <c r="D13" s="530">
        <v>100</v>
      </c>
      <c r="E13" s="49"/>
      <c r="F13" s="49"/>
      <c r="G13" s="50"/>
      <c r="H13" s="49">
        <v>20642</v>
      </c>
      <c r="J13" s="49"/>
      <c r="K13" s="49">
        <f t="shared" si="0"/>
        <v>20642</v>
      </c>
    </row>
    <row r="14" spans="1:15" s="38" customFormat="1">
      <c r="A14" s="38" t="s">
        <v>45</v>
      </c>
      <c r="D14" s="48">
        <v>100</v>
      </c>
      <c r="E14" s="49"/>
      <c r="F14" s="49"/>
      <c r="G14" s="50"/>
      <c r="H14" s="49">
        <v>12062</v>
      </c>
      <c r="J14" s="49">
        <v>112000</v>
      </c>
      <c r="K14" s="49">
        <f t="shared" si="0"/>
        <v>124062</v>
      </c>
    </row>
    <row r="15" spans="1:15" s="38" customFormat="1">
      <c r="A15" s="38" t="s">
        <v>104</v>
      </c>
      <c r="D15" s="48">
        <v>100</v>
      </c>
      <c r="E15" s="49"/>
      <c r="F15" s="49"/>
      <c r="G15" s="50"/>
      <c r="H15" s="49">
        <v>8650</v>
      </c>
      <c r="J15" s="49">
        <v>45713</v>
      </c>
      <c r="K15" s="49">
        <f t="shared" si="0"/>
        <v>54363</v>
      </c>
    </row>
    <row r="16" spans="1:15" s="38" customFormat="1">
      <c r="A16" s="38" t="s">
        <v>105</v>
      </c>
      <c r="D16" s="48">
        <v>100</v>
      </c>
      <c r="E16" s="49"/>
      <c r="F16" s="49"/>
      <c r="G16" s="50"/>
      <c r="H16" s="49">
        <v>1188</v>
      </c>
      <c r="J16" s="53">
        <v>2471</v>
      </c>
      <c r="K16" s="49">
        <f>+H16+I16+J16</f>
        <v>3659</v>
      </c>
    </row>
    <row r="17" spans="1:13" s="38" customFormat="1">
      <c r="A17" s="38" t="s">
        <v>453</v>
      </c>
      <c r="D17" s="48">
        <v>100</v>
      </c>
      <c r="E17" s="49"/>
      <c r="F17" s="49"/>
      <c r="G17" s="50"/>
      <c r="H17" s="49">
        <v>16802</v>
      </c>
      <c r="J17" s="53"/>
      <c r="K17" s="49">
        <f t="shared" si="0"/>
        <v>16802</v>
      </c>
    </row>
    <row r="18" spans="1:13" s="38" customFormat="1">
      <c r="A18" s="38" t="s">
        <v>77</v>
      </c>
      <c r="D18" s="48">
        <v>100</v>
      </c>
      <c r="E18" s="49"/>
      <c r="F18" s="49"/>
      <c r="G18" s="50"/>
      <c r="H18" s="49">
        <v>4835</v>
      </c>
      <c r="J18" s="49">
        <v>7949</v>
      </c>
      <c r="K18" s="49">
        <f t="shared" si="0"/>
        <v>12784</v>
      </c>
    </row>
    <row r="19" spans="1:13" s="38" customFormat="1">
      <c r="A19" s="38" t="s">
        <v>139</v>
      </c>
      <c r="D19" s="48">
        <v>100</v>
      </c>
      <c r="E19" s="49"/>
      <c r="F19" s="49"/>
      <c r="G19" s="50"/>
      <c r="H19" s="49">
        <v>25529</v>
      </c>
      <c r="I19" s="49">
        <v>5994</v>
      </c>
      <c r="J19" s="373"/>
      <c r="K19" s="49">
        <f t="shared" si="0"/>
        <v>31523</v>
      </c>
    </row>
    <row r="20" spans="1:13" s="38" customFormat="1">
      <c r="A20" s="38" t="s">
        <v>109</v>
      </c>
      <c r="D20" s="48">
        <v>100</v>
      </c>
      <c r="E20" s="49"/>
      <c r="F20" s="49"/>
      <c r="G20" s="50"/>
      <c r="H20" s="49">
        <v>18662</v>
      </c>
      <c r="J20" s="49"/>
      <c r="K20" s="49">
        <f t="shared" si="0"/>
        <v>18662</v>
      </c>
    </row>
    <row r="21" spans="1:13" s="38" customFormat="1">
      <c r="A21" s="38" t="s">
        <v>218</v>
      </c>
      <c r="D21" s="48">
        <v>100</v>
      </c>
      <c r="E21" s="49"/>
      <c r="F21" s="49"/>
      <c r="G21" s="50"/>
      <c r="H21" s="49">
        <v>22326</v>
      </c>
      <c r="J21" s="49"/>
      <c r="K21" s="49">
        <f t="shared" si="0"/>
        <v>22326</v>
      </c>
    </row>
    <row r="22" spans="1:13" s="38" customFormat="1">
      <c r="A22" s="38" t="s">
        <v>80</v>
      </c>
      <c r="D22" s="48">
        <v>57</v>
      </c>
      <c r="E22" s="49"/>
      <c r="F22" s="49"/>
      <c r="G22" s="50"/>
      <c r="H22" s="49">
        <v>976</v>
      </c>
      <c r="I22" s="49">
        <v>3317</v>
      </c>
      <c r="J22" s="49"/>
      <c r="K22" s="49">
        <f t="shared" si="0"/>
        <v>4293</v>
      </c>
      <c r="L22" s="49"/>
    </row>
    <row r="23" spans="1:13" s="38" customFormat="1">
      <c r="A23" s="58" t="s">
        <v>81</v>
      </c>
      <c r="B23" s="58"/>
      <c r="C23" s="58"/>
      <c r="D23" s="59"/>
      <c r="E23" s="60"/>
      <c r="F23" s="60"/>
      <c r="G23" s="60"/>
      <c r="H23" s="60">
        <f>SUM(H8:H22)</f>
        <v>139322</v>
      </c>
      <c r="I23" s="60">
        <f t="shared" ref="I23:K23" si="1">SUM(I8:I22)</f>
        <v>22989</v>
      </c>
      <c r="J23" s="60">
        <f t="shared" si="1"/>
        <v>168133</v>
      </c>
      <c r="K23" s="60">
        <f>SUM(K8:K22)</f>
        <v>330444</v>
      </c>
      <c r="L23" s="60"/>
      <c r="M23" s="60"/>
    </row>
    <row r="24" spans="1:13" s="38" customFormat="1">
      <c r="A24" s="62" t="s">
        <v>82</v>
      </c>
      <c r="B24" s="62"/>
      <c r="C24" s="62"/>
      <c r="D24" s="63"/>
      <c r="E24" s="64"/>
      <c r="F24" s="64"/>
      <c r="G24" s="64"/>
      <c r="H24" s="64">
        <v>75082</v>
      </c>
      <c r="I24" s="64">
        <v>21917</v>
      </c>
      <c r="J24" s="64">
        <v>168133</v>
      </c>
      <c r="K24" s="64">
        <v>265132</v>
      </c>
      <c r="L24" s="62"/>
      <c r="M24" s="62"/>
    </row>
    <row r="25" spans="1:13" s="38" customFormat="1">
      <c r="A25" s="38" t="s">
        <v>368</v>
      </c>
    </row>
    <row r="26" spans="1:13" s="38" customFormat="1">
      <c r="A26" s="38" t="s">
        <v>369</v>
      </c>
      <c r="J26" s="49"/>
    </row>
    <row r="27" spans="1:13" s="38" customFormat="1">
      <c r="A27" s="38" t="s">
        <v>370</v>
      </c>
    </row>
    <row r="28" spans="1:13" s="38" customFormat="1">
      <c r="C28" s="38" t="s">
        <v>36</v>
      </c>
    </row>
    <row r="29" spans="1:13" s="38" customFormat="1"/>
    <row r="30" spans="1:13" s="38" customFormat="1">
      <c r="A30" s="38" t="s">
        <v>37</v>
      </c>
    </row>
    <row r="31" spans="1:13" s="38" customFormat="1">
      <c r="A31" s="359" t="s">
        <v>38</v>
      </c>
      <c r="B31" s="359"/>
      <c r="C31" s="359"/>
      <c r="D31" s="359" t="s">
        <v>39</v>
      </c>
      <c r="E31" s="359" t="s">
        <v>40</v>
      </c>
      <c r="F31" s="359"/>
      <c r="G31" s="359" t="s">
        <v>41</v>
      </c>
    </row>
    <row r="32" spans="1:13" s="38" customFormat="1">
      <c r="A32" s="38" t="s">
        <v>42</v>
      </c>
      <c r="I32" s="532" t="s">
        <v>53</v>
      </c>
      <c r="J32" s="533">
        <v>1.96</v>
      </c>
    </row>
    <row r="33" spans="1:10" s="38" customFormat="1">
      <c r="A33" s="273" t="s">
        <v>371</v>
      </c>
      <c r="D33" s="38" t="s">
        <v>46</v>
      </c>
      <c r="E33" s="49">
        <v>875</v>
      </c>
      <c r="F33" s="49"/>
      <c r="G33" s="373">
        <v>128</v>
      </c>
      <c r="I33" s="534" t="s">
        <v>54</v>
      </c>
      <c r="J33" s="535">
        <v>2</v>
      </c>
    </row>
    <row r="34" spans="1:10" s="38" customFormat="1">
      <c r="A34" s="38" t="s">
        <v>48</v>
      </c>
    </row>
    <row r="35" spans="1:10" s="38" customFormat="1">
      <c r="A35" s="38" t="s">
        <v>50</v>
      </c>
      <c r="D35" s="38" t="s">
        <v>51</v>
      </c>
      <c r="E35" s="49">
        <v>62</v>
      </c>
      <c r="G35" s="49">
        <v>1211</v>
      </c>
      <c r="I35" s="532" t="s">
        <v>43</v>
      </c>
      <c r="J35" s="536" t="s">
        <v>110</v>
      </c>
    </row>
    <row r="36" spans="1:10" s="38" customFormat="1">
      <c r="A36" s="38" t="s">
        <v>52</v>
      </c>
      <c r="D36" s="38" t="s">
        <v>51</v>
      </c>
      <c r="E36" s="49">
        <v>53</v>
      </c>
      <c r="I36" s="537" t="s">
        <v>372</v>
      </c>
      <c r="J36" s="538">
        <v>100</v>
      </c>
    </row>
    <row r="37" spans="1:10" s="38" customFormat="1">
      <c r="A37" s="38" t="s">
        <v>8</v>
      </c>
      <c r="E37" s="49">
        <v>115</v>
      </c>
      <c r="I37" s="539" t="s">
        <v>373</v>
      </c>
      <c r="J37" s="540"/>
    </row>
    <row r="38" spans="1:10" s="38" customFormat="1">
      <c r="A38" s="58" t="s">
        <v>115</v>
      </c>
      <c r="B38" s="58"/>
      <c r="C38" s="58" t="s">
        <v>116</v>
      </c>
      <c r="D38" s="58"/>
      <c r="E38" s="58"/>
      <c r="F38" s="58"/>
      <c r="G38" s="58"/>
    </row>
    <row r="39" spans="1:10" s="38" customFormat="1">
      <c r="A39" s="68" t="s">
        <v>229</v>
      </c>
      <c r="B39" s="346" t="s">
        <v>118</v>
      </c>
      <c r="C39" s="384"/>
      <c r="D39" s="68" t="s">
        <v>46</v>
      </c>
      <c r="E39" s="379">
        <v>58</v>
      </c>
      <c r="F39" s="68"/>
      <c r="G39" s="379">
        <v>30</v>
      </c>
    </row>
    <row r="40" spans="1:10" s="38" customFormat="1">
      <c r="A40" s="68"/>
      <c r="B40" s="346" t="s">
        <v>119</v>
      </c>
      <c r="C40" s="384"/>
      <c r="D40" s="68" t="s">
        <v>46</v>
      </c>
      <c r="E40" s="379">
        <v>74</v>
      </c>
      <c r="F40" s="68"/>
      <c r="G40" s="379">
        <v>30</v>
      </c>
    </row>
    <row r="41" spans="1:10" s="38" customFormat="1">
      <c r="A41" s="68"/>
      <c r="B41" s="346" t="s">
        <v>375</v>
      </c>
      <c r="C41" s="384"/>
      <c r="D41" s="68" t="s">
        <v>456</v>
      </c>
      <c r="E41" s="68">
        <v>1.2</v>
      </c>
      <c r="F41" s="68"/>
      <c r="G41" s="379">
        <v>33344</v>
      </c>
    </row>
    <row r="42" spans="1:10" s="38" customFormat="1">
      <c r="B42" s="346" t="s">
        <v>455</v>
      </c>
      <c r="C42" s="384"/>
      <c r="D42" s="68" t="s">
        <v>46</v>
      </c>
      <c r="E42" s="379">
        <v>58</v>
      </c>
      <c r="F42" s="68"/>
      <c r="G42" s="379">
        <v>30</v>
      </c>
    </row>
    <row r="43" spans="1:10" s="38" customFormat="1">
      <c r="A43" s="58" t="s">
        <v>55</v>
      </c>
      <c r="B43" s="58"/>
      <c r="C43" s="58"/>
      <c r="D43" s="58"/>
      <c r="E43" s="58"/>
      <c r="F43" s="58"/>
      <c r="G43" s="39" t="s">
        <v>123</v>
      </c>
      <c r="H43" s="42" t="s">
        <v>124</v>
      </c>
    </row>
    <row r="44" spans="1:10" s="38" customFormat="1">
      <c r="A44" s="68" t="s">
        <v>377</v>
      </c>
      <c r="B44" s="68"/>
      <c r="C44" s="68"/>
      <c r="D44" s="68"/>
      <c r="E44" s="68"/>
      <c r="F44" s="68"/>
      <c r="G44" s="69">
        <v>6399</v>
      </c>
      <c r="H44" s="351">
        <f>G44*2.471</f>
        <v>15811.929</v>
      </c>
    </row>
    <row r="45" spans="1:10" s="38" customFormat="1">
      <c r="A45" s="68" t="s">
        <v>60</v>
      </c>
      <c r="B45" s="68"/>
      <c r="C45" s="68"/>
      <c r="D45" s="68"/>
      <c r="E45" s="68"/>
      <c r="F45" s="68"/>
      <c r="G45" s="70">
        <v>96.9</v>
      </c>
      <c r="H45" s="49"/>
    </row>
    <row r="46" spans="1:10" s="38" customFormat="1">
      <c r="A46" s="68" t="s">
        <v>378</v>
      </c>
      <c r="B46" s="68"/>
      <c r="C46" s="68"/>
      <c r="D46" s="68"/>
      <c r="E46" s="68"/>
      <c r="F46" s="68"/>
      <c r="G46" s="541">
        <f>SUM(G44*G45)</f>
        <v>620063.10000000009</v>
      </c>
      <c r="H46" s="351">
        <f>G46*2.471</f>
        <v>1532175.9201000002</v>
      </c>
    </row>
    <row r="47" spans="1:10" s="38" customFormat="1">
      <c r="A47" s="68" t="s">
        <v>379</v>
      </c>
      <c r="B47" s="68"/>
      <c r="C47" s="68"/>
      <c r="D47" s="68"/>
      <c r="E47" s="68"/>
      <c r="F47" s="68"/>
      <c r="G47" s="541">
        <f>SUM(G46-K23)</f>
        <v>289619.10000000009</v>
      </c>
      <c r="H47" s="351">
        <f>G47*2.471</f>
        <v>715648.79610000027</v>
      </c>
    </row>
    <row r="48" spans="1:10" s="38" customFormat="1">
      <c r="A48" s="68" t="s">
        <v>380</v>
      </c>
      <c r="B48" s="68"/>
      <c r="C48" s="68"/>
      <c r="D48" s="68"/>
      <c r="E48" s="68"/>
      <c r="F48" s="68"/>
      <c r="G48" s="541">
        <f>+G46-K24</f>
        <v>354931.10000000009</v>
      </c>
      <c r="H48" s="351">
        <f>G48*2.471</f>
        <v>877034.74810000032</v>
      </c>
    </row>
    <row r="49" spans="1:13" s="38" customFormat="1">
      <c r="A49" s="68" t="s">
        <v>89</v>
      </c>
      <c r="B49" s="68"/>
      <c r="C49" s="68"/>
      <c r="D49" s="68"/>
      <c r="E49" s="68"/>
      <c r="F49" s="68"/>
      <c r="G49" s="70">
        <f>SUM(K23/G44)</f>
        <v>51.639943741209564</v>
      </c>
      <c r="H49" s="49"/>
    </row>
    <row r="50" spans="1:13">
      <c r="A50" s="62" t="s">
        <v>90</v>
      </c>
      <c r="B50" s="62"/>
      <c r="C50" s="62"/>
      <c r="D50" s="62"/>
      <c r="E50" s="62"/>
      <c r="F50" s="62"/>
      <c r="G50" s="71">
        <v>49.47</v>
      </c>
      <c r="H50" s="49"/>
      <c r="I50" s="38"/>
      <c r="J50" s="38"/>
      <c r="K50" s="38"/>
      <c r="L50" s="38"/>
      <c r="M50" s="38"/>
    </row>
    <row r="51" spans="1:1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3">
      <c r="A52" s="38" t="s">
        <v>91</v>
      </c>
      <c r="B52" s="38"/>
      <c r="C52" s="542" t="s">
        <v>381</v>
      </c>
      <c r="D52" s="368"/>
      <c r="E52" s="368"/>
      <c r="F52" s="38"/>
      <c r="G52" s="38"/>
      <c r="H52" s="38"/>
      <c r="I52" s="38"/>
      <c r="J52" s="38"/>
      <c r="K52" s="38"/>
      <c r="L52" s="38"/>
      <c r="M52" s="38"/>
    </row>
    <row r="53" spans="1:13">
      <c r="A53" s="529"/>
      <c r="C53" s="2" t="s">
        <v>382</v>
      </c>
      <c r="F53" s="38"/>
      <c r="G53" s="38"/>
      <c r="H53" s="38"/>
      <c r="I53" s="38"/>
      <c r="J53" s="38"/>
      <c r="K53" s="38"/>
      <c r="L53" s="38"/>
      <c r="M53" s="38"/>
    </row>
    <row r="54" spans="1:1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>
      <c r="A55" s="110"/>
      <c r="B55" s="110"/>
      <c r="C55" s="110"/>
      <c r="D55" s="110"/>
      <c r="E55" s="110"/>
      <c r="F55" s="110"/>
      <c r="G55" s="110"/>
      <c r="H55" s="38"/>
      <c r="I55" s="38"/>
      <c r="J55" s="38"/>
      <c r="K55" s="38"/>
      <c r="L55" s="38"/>
      <c r="M55" s="38"/>
    </row>
    <row r="56" spans="1:13">
      <c r="A56" s="110"/>
      <c r="B56" s="110"/>
      <c r="C56" s="110"/>
      <c r="D56" s="110"/>
      <c r="E56" s="110"/>
      <c r="F56" s="110"/>
      <c r="G56" s="110"/>
      <c r="H56" s="38"/>
      <c r="I56" s="38"/>
      <c r="J56" s="38"/>
      <c r="K56" s="38"/>
      <c r="L56" s="38"/>
      <c r="M56" s="38"/>
    </row>
    <row r="57" spans="1:1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1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1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3">
      <c r="A60" s="110"/>
      <c r="B60" s="38"/>
      <c r="C60" s="38"/>
      <c r="D60" s="42"/>
      <c r="E60" s="38"/>
      <c r="F60" s="38"/>
      <c r="G60" s="38"/>
      <c r="H60" s="38"/>
      <c r="I60" s="38"/>
      <c r="J60" s="38"/>
      <c r="K60" s="38"/>
      <c r="L60" s="38"/>
      <c r="M60" s="38"/>
    </row>
    <row r="61" spans="1:13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1:1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spans="1:1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Black gram -Vavuniya</vt:lpstr>
      <vt:lpstr>B'gram -A'pura</vt:lpstr>
      <vt:lpstr>Brinal-A'pura</vt:lpstr>
      <vt:lpstr>CAbbage-NÉliya</vt:lpstr>
      <vt:lpstr>Capsi-Badulla</vt:lpstr>
      <vt:lpstr>Carrot-Néliya</vt:lpstr>
      <vt:lpstr>Cowpea-Ampara</vt:lpstr>
      <vt:lpstr>Gingelly-H'tota</vt:lpstr>
      <vt:lpstr>G.gram-Htota</vt:lpstr>
      <vt:lpstr>Groundnut-Monaragala</vt:lpstr>
      <vt:lpstr>Kurakkan-A'pura</vt:lpstr>
      <vt:lpstr>Maize-A'pura</vt:lpstr>
      <vt:lpstr>Maize-Ampara</vt:lpstr>
      <vt:lpstr>Maize-Monaragala</vt:lpstr>
      <vt:lpstr>Pole bean-Badulla</vt:lpstr>
      <vt:lpstr>Pole Baen-Matale</vt:lpstr>
      <vt:lpstr>Potato-Badulla</vt:lpstr>
      <vt:lpstr>Potato-NÉliya</vt:lpstr>
      <vt:lpstr>Pumpkin-A'pura</vt:lpstr>
      <vt:lpstr>Chilli -(A'pura)</vt:lpstr>
      <vt:lpstr>Red Onion-Puttalam</vt:lpstr>
      <vt:lpstr>Tomato-Badulla</vt:lpstr>
      <vt:lpstr>Red Onion -Jaffna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2020-07-06T09:45:32Z</dcterms:created>
  <dcterms:modified xsi:type="dcterms:W3CDTF">2022-06-16T09:02:41Z</dcterms:modified>
</cp:coreProperties>
</file>