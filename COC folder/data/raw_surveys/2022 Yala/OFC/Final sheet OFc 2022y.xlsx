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210" windowWidth="15315" windowHeight="11760" firstSheet="4" activeTab="4"/>
  </bookViews>
  <sheets>
    <sheet name="Summery" sheetId="12" r:id="rId1"/>
    <sheet name="Maize, Bdl" sheetId="4" r:id="rId2"/>
    <sheet name="Cowpea (Amp)" sheetId="15" r:id="rId3"/>
    <sheet name="Black g- Sys H" sheetId="16" r:id="rId4"/>
    <sheet name="Red onio(Put)" sheetId="13" r:id="rId5"/>
    <sheet name="Chilli (Ap)" sheetId="14" r:id="rId6"/>
    <sheet name="Big Onion, Matale" sheetId="8" r:id="rId7"/>
    <sheet name="SOya, SYS H" sheetId="5" r:id="rId8"/>
    <sheet name="Gingelly, AP" sheetId="11" r:id="rId9"/>
    <sheet name="Manioc Gampaha" sheetId="1" r:id="rId10"/>
    <sheet name="Potato, NE" sheetId="3" r:id="rId11"/>
    <sheet name="POtoto-Bdl" sheetId="10" r:id="rId12"/>
    <sheet name="Bittergourd" sheetId="2" r:id="rId13"/>
    <sheet name="Brinjal , Htt" sheetId="6" r:id="rId14"/>
    <sheet name="Carrot, NE" sheetId="7" r:id="rId15"/>
    <sheet name="pole bean, Bdl" sheetId="18" r:id="rId16"/>
    <sheet name="Tomato -Kandy" sheetId="17" r:id="rId17"/>
  </sheets>
  <externalReferences>
    <externalReference r:id="rId18"/>
    <externalReference r:id="rId19"/>
    <externalReference r:id="rId20"/>
  </externalReferences>
  <calcPr calcId="144525"/>
</workbook>
</file>

<file path=xl/calcChain.xml><?xml version="1.0" encoding="utf-8"?>
<calcChain xmlns="http://schemas.openxmlformats.org/spreadsheetml/2006/main">
  <c r="C47" i="8" l="1"/>
  <c r="E47" i="8" s="1"/>
  <c r="P34" i="8"/>
  <c r="H24" i="8"/>
  <c r="J23" i="8"/>
  <c r="J24" i="8" s="1"/>
  <c r="I23" i="8"/>
  <c r="I24" i="8" s="1"/>
  <c r="H23" i="8"/>
  <c r="G23" i="8"/>
  <c r="F23" i="8"/>
  <c r="E23" i="8"/>
  <c r="E24" i="8" s="1"/>
  <c r="K20" i="8"/>
  <c r="K23" i="8" s="1"/>
  <c r="H20" i="8"/>
  <c r="C50" i="8" l="1"/>
  <c r="C48" i="8"/>
  <c r="E48" i="8" s="1"/>
  <c r="K24" i="8"/>
  <c r="C51" i="8" s="1"/>
  <c r="C49" i="8"/>
  <c r="E49" i="8" s="1"/>
  <c r="R43" i="14"/>
  <c r="R42" i="14"/>
  <c r="R41" i="14"/>
  <c r="R40" i="14"/>
  <c r="R39" i="14"/>
  <c r="Q40" i="14"/>
  <c r="Q39" i="14"/>
  <c r="J13" i="13"/>
  <c r="R43" i="4"/>
  <c r="R41" i="4"/>
  <c r="R42" i="4"/>
  <c r="Q42" i="4"/>
  <c r="Q41" i="4"/>
  <c r="K19" i="2" l="1"/>
  <c r="K18" i="2"/>
  <c r="G40" i="18" l="1"/>
  <c r="D40" i="18"/>
  <c r="G38" i="18"/>
  <c r="K30" i="18"/>
  <c r="M21" i="18"/>
  <c r="L21" i="18"/>
  <c r="I22" i="18" s="1"/>
  <c r="I21" i="18"/>
  <c r="F21" i="18"/>
  <c r="E32" i="18" s="1"/>
  <c r="E21" i="18"/>
  <c r="H19" i="18"/>
  <c r="K19" i="18" s="1"/>
  <c r="H18" i="18"/>
  <c r="K18" i="18" s="1"/>
  <c r="H17" i="18"/>
  <c r="K17" i="18" s="1"/>
  <c r="H16" i="18"/>
  <c r="K16" i="18" s="1"/>
  <c r="H15" i="18"/>
  <c r="K15" i="18" s="1"/>
  <c r="H14" i="18"/>
  <c r="K14" i="18" s="1"/>
  <c r="J13" i="18"/>
  <c r="H13" i="18"/>
  <c r="J12" i="18"/>
  <c r="H12" i="18"/>
  <c r="H11" i="18"/>
  <c r="K11" i="18" s="1"/>
  <c r="K10" i="18"/>
  <c r="K9" i="18"/>
  <c r="H9" i="18"/>
  <c r="K8" i="18"/>
  <c r="H8" i="18"/>
  <c r="J21" i="18" l="1"/>
  <c r="J22" i="18" s="1"/>
  <c r="K12" i="18"/>
  <c r="H21" i="18"/>
  <c r="K13" i="18"/>
  <c r="E31" i="18"/>
  <c r="E33" i="18" s="1"/>
  <c r="G31" i="18" s="1"/>
  <c r="H22" i="18" s="1"/>
  <c r="K22" i="18" s="1"/>
  <c r="K21" i="18"/>
  <c r="D44" i="18" s="1"/>
  <c r="E22" i="18"/>
  <c r="D41" i="18" l="1"/>
  <c r="G41" i="18" s="1"/>
  <c r="D45" i="18"/>
  <c r="D42" i="18"/>
  <c r="G42" i="18" s="1"/>
  <c r="L8" i="12" l="1"/>
  <c r="D29" i="11"/>
  <c r="D30" i="11"/>
  <c r="K13" i="11"/>
  <c r="K11" i="11"/>
  <c r="K10" i="11"/>
  <c r="K9" i="11"/>
  <c r="K8" i="11"/>
  <c r="L4" i="12"/>
  <c r="L5" i="12"/>
  <c r="L6" i="12"/>
  <c r="L7" i="12"/>
  <c r="L9" i="12"/>
  <c r="L10" i="12"/>
  <c r="L11" i="12"/>
  <c r="L12" i="12"/>
  <c r="L13" i="12"/>
  <c r="L14" i="12"/>
  <c r="L15" i="12"/>
  <c r="L16" i="12"/>
  <c r="L17" i="12"/>
  <c r="L3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4" i="12"/>
  <c r="H3" i="12"/>
  <c r="F46" i="4"/>
  <c r="D46" i="4"/>
  <c r="F44" i="4"/>
  <c r="E33" i="4"/>
  <c r="F24" i="4"/>
  <c r="J23" i="4"/>
  <c r="G23" i="4"/>
  <c r="G24" i="4" s="1"/>
  <c r="C23" i="4"/>
  <c r="C24" i="4" s="1"/>
  <c r="P21" i="4"/>
  <c r="O21" i="4"/>
  <c r="F21" i="4"/>
  <c r="I21" i="4" s="1"/>
  <c r="D21" i="4"/>
  <c r="P20" i="4"/>
  <c r="O20" i="4"/>
  <c r="F20" i="4"/>
  <c r="I20" i="4" s="1"/>
  <c r="D20" i="4"/>
  <c r="P19" i="4"/>
  <c r="O19" i="4"/>
  <c r="F19" i="4"/>
  <c r="I19" i="4" s="1"/>
  <c r="P18" i="4"/>
  <c r="O18" i="4"/>
  <c r="F18" i="4"/>
  <c r="I18" i="4" s="1"/>
  <c r="P17" i="4"/>
  <c r="O17" i="4"/>
  <c r="F17" i="4"/>
  <c r="I17" i="4" s="1"/>
  <c r="P16" i="4"/>
  <c r="O16" i="4"/>
  <c r="F16" i="4"/>
  <c r="I16" i="4" s="1"/>
  <c r="P15" i="4"/>
  <c r="O15" i="4"/>
  <c r="B15" i="4"/>
  <c r="P14" i="4"/>
  <c r="O14" i="4"/>
  <c r="I14" i="4"/>
  <c r="F14" i="4"/>
  <c r="D14" i="4"/>
  <c r="P13" i="4"/>
  <c r="O13" i="4"/>
  <c r="H12" i="4"/>
  <c r="F12" i="4"/>
  <c r="I12" i="4" s="1"/>
  <c r="D12" i="4"/>
  <c r="D23" i="4" s="1"/>
  <c r="B12" i="4"/>
  <c r="P11" i="4"/>
  <c r="O11" i="4"/>
  <c r="H11" i="4"/>
  <c r="F11" i="4"/>
  <c r="P9" i="4"/>
  <c r="P23" i="4" s="1"/>
  <c r="O9" i="4"/>
  <c r="F9" i="4"/>
  <c r="I9" i="4" s="1"/>
  <c r="O8" i="4"/>
  <c r="O23" i="4" s="1"/>
  <c r="F8" i="4"/>
  <c r="I8" i="4" s="1"/>
  <c r="C8" i="4"/>
  <c r="I11" i="4" l="1"/>
  <c r="I23" i="4"/>
  <c r="D49" i="4" s="1"/>
  <c r="H23" i="4"/>
  <c r="H24" i="4" s="1"/>
  <c r="I24" i="4" s="1"/>
  <c r="D50" i="4" s="1"/>
  <c r="D48" i="4"/>
  <c r="F48" i="4" s="1"/>
  <c r="F23" i="4"/>
  <c r="N29" i="4" s="1"/>
  <c r="D47" i="4" l="1"/>
  <c r="F47" i="4" s="1"/>
  <c r="D36" i="15" l="1"/>
  <c r="G34" i="15"/>
  <c r="E31" i="15"/>
  <c r="E29" i="15"/>
  <c r="K28" i="15"/>
  <c r="K27" i="15"/>
  <c r="J24" i="15"/>
  <c r="J23" i="15"/>
  <c r="H20" i="15"/>
  <c r="I19" i="15"/>
  <c r="I20" i="15" s="1"/>
  <c r="K18" i="15"/>
  <c r="K17" i="15"/>
  <c r="G17" i="15"/>
  <c r="F17" i="15"/>
  <c r="E17" i="15"/>
  <c r="D17" i="15"/>
  <c r="K16" i="15"/>
  <c r="F16" i="15"/>
  <c r="K15" i="15"/>
  <c r="F15" i="15"/>
  <c r="D15" i="15"/>
  <c r="K14" i="15"/>
  <c r="F14" i="15"/>
  <c r="E14" i="15"/>
  <c r="K13" i="15"/>
  <c r="F13" i="15"/>
  <c r="E13" i="15"/>
  <c r="D13" i="15"/>
  <c r="K12" i="15"/>
  <c r="G12" i="15"/>
  <c r="F12" i="15"/>
  <c r="E12" i="15"/>
  <c r="E19" i="15" s="1"/>
  <c r="D12" i="15"/>
  <c r="J11" i="15"/>
  <c r="J19" i="15" s="1"/>
  <c r="J20" i="15" s="1"/>
  <c r="H11" i="15"/>
  <c r="K11" i="15" s="1"/>
  <c r="F11" i="15"/>
  <c r="F19" i="15" s="1"/>
  <c r="D11" i="15"/>
  <c r="H10" i="15"/>
  <c r="H19" i="15" s="1"/>
  <c r="K9" i="15"/>
  <c r="K8" i="15"/>
  <c r="K19" i="15" s="1"/>
  <c r="D39" i="15" s="1"/>
  <c r="H8" i="15"/>
  <c r="D47" i="13"/>
  <c r="G47" i="13" s="1"/>
  <c r="G45" i="13"/>
  <c r="L23" i="13"/>
  <c r="I23" i="13"/>
  <c r="I24" i="13" s="1"/>
  <c r="F23" i="13"/>
  <c r="E23" i="13"/>
  <c r="E24" i="13" s="1"/>
  <c r="H21" i="13"/>
  <c r="K21" i="13" s="1"/>
  <c r="H20" i="13"/>
  <c r="K20" i="13" s="1"/>
  <c r="H19" i="13"/>
  <c r="K19" i="13" s="1"/>
  <c r="H18" i="13"/>
  <c r="K18" i="13" s="1"/>
  <c r="H17" i="13"/>
  <c r="K17" i="13" s="1"/>
  <c r="H16" i="13"/>
  <c r="K16" i="13" s="1"/>
  <c r="H15" i="13"/>
  <c r="K15" i="13" s="1"/>
  <c r="H14" i="13"/>
  <c r="K14" i="13" s="1"/>
  <c r="J12" i="13"/>
  <c r="J23" i="13" s="1"/>
  <c r="J24" i="13" s="1"/>
  <c r="H12" i="13"/>
  <c r="J11" i="13"/>
  <c r="H11" i="13"/>
  <c r="K11" i="13" s="1"/>
  <c r="K10" i="13"/>
  <c r="H10" i="13"/>
  <c r="H9" i="13"/>
  <c r="H8" i="13"/>
  <c r="K8" i="13" s="1"/>
  <c r="H23" i="13" l="1"/>
  <c r="K23" i="13" s="1"/>
  <c r="K12" i="13"/>
  <c r="E20" i="15"/>
  <c r="K20" i="15"/>
  <c r="D40" i="15" s="1"/>
  <c r="D38" i="15"/>
  <c r="G38" i="15" s="1"/>
  <c r="G36" i="15"/>
  <c r="D37" i="15"/>
  <c r="G37" i="15" s="1"/>
  <c r="G33" i="13"/>
  <c r="H24" i="13" s="1"/>
  <c r="K24" i="13" s="1"/>
  <c r="D51" i="13" s="1"/>
  <c r="K9" i="13"/>
  <c r="D50" i="13" l="1"/>
  <c r="D48" i="13"/>
  <c r="G48" i="13" s="1"/>
  <c r="D49" i="13"/>
  <c r="G49" i="13" s="1"/>
  <c r="H20" i="1" l="1"/>
  <c r="G48" i="17" l="1"/>
  <c r="D48" i="17"/>
  <c r="G46" i="17"/>
  <c r="E36" i="17"/>
  <c r="H23" i="17"/>
  <c r="E23" i="17"/>
  <c r="I22" i="17"/>
  <c r="I23" i="17" s="1"/>
  <c r="F22" i="17"/>
  <c r="E22" i="17"/>
  <c r="K21" i="17"/>
  <c r="O20" i="17"/>
  <c r="H20" i="17"/>
  <c r="K20" i="17" s="1"/>
  <c r="H19" i="17"/>
  <c r="K19" i="17" s="1"/>
  <c r="O18" i="17"/>
  <c r="H18" i="17"/>
  <c r="K18" i="17" s="1"/>
  <c r="K17" i="17"/>
  <c r="H17" i="17"/>
  <c r="O16" i="17"/>
  <c r="H16" i="17"/>
  <c r="H22" i="17" s="1"/>
  <c r="J15" i="17"/>
  <c r="H15" i="17"/>
  <c r="K15" i="17" s="1"/>
  <c r="O14" i="17"/>
  <c r="J14" i="17"/>
  <c r="J22" i="17" s="1"/>
  <c r="J23" i="17" s="1"/>
  <c r="H14" i="17"/>
  <c r="K14" i="17" s="1"/>
  <c r="K13" i="17"/>
  <c r="H13" i="17"/>
  <c r="H9" i="17"/>
  <c r="K9" i="17" s="1"/>
  <c r="K8" i="17"/>
  <c r="H8" i="17"/>
  <c r="K23" i="17" l="1"/>
  <c r="D52" i="17" s="1"/>
  <c r="D50" i="17"/>
  <c r="G50" i="17" s="1"/>
  <c r="K22" i="17"/>
  <c r="K16" i="17"/>
  <c r="D51" i="17" l="1"/>
  <c r="D49" i="17"/>
  <c r="G49" i="17" s="1"/>
  <c r="G35" i="16" l="1"/>
  <c r="D35" i="16"/>
  <c r="G33" i="16"/>
  <c r="K29" i="16"/>
  <c r="K28" i="16"/>
  <c r="J28" i="16"/>
  <c r="K27" i="16"/>
  <c r="J27" i="16"/>
  <c r="K26" i="16"/>
  <c r="J26" i="16"/>
  <c r="H18" i="16"/>
  <c r="M17" i="16"/>
  <c r="J18" i="16" s="1"/>
  <c r="L17" i="16"/>
  <c r="J17" i="16"/>
  <c r="I17" i="16"/>
  <c r="I18" i="16" s="1"/>
  <c r="K18" i="16" s="1"/>
  <c r="D39" i="16" s="1"/>
  <c r="K16" i="16"/>
  <c r="K15" i="16"/>
  <c r="F15" i="16"/>
  <c r="E15" i="16"/>
  <c r="D15" i="16"/>
  <c r="K14" i="16"/>
  <c r="F14" i="16"/>
  <c r="E14" i="16"/>
  <c r="D14" i="16"/>
  <c r="K13" i="16"/>
  <c r="F13" i="16"/>
  <c r="D13" i="16"/>
  <c r="K12" i="16"/>
  <c r="F12" i="16"/>
  <c r="E12" i="16"/>
  <c r="D12" i="16"/>
  <c r="K11" i="16"/>
  <c r="G11" i="16"/>
  <c r="F11" i="16"/>
  <c r="E11" i="16"/>
  <c r="K10" i="16"/>
  <c r="K9" i="16"/>
  <c r="F9" i="16"/>
  <c r="E9" i="16"/>
  <c r="K8" i="16"/>
  <c r="K17" i="16" s="1"/>
  <c r="H8" i="16"/>
  <c r="H17" i="16" s="1"/>
  <c r="F8" i="16"/>
  <c r="F17" i="16" s="1"/>
  <c r="E17" i="16" l="1"/>
  <c r="E18" i="16" s="1"/>
  <c r="K30" i="16"/>
  <c r="D37" i="16"/>
  <c r="G37" i="16" s="1"/>
  <c r="D36" i="16"/>
  <c r="G36" i="16" s="1"/>
  <c r="D38" i="16"/>
  <c r="G45" i="14" l="1"/>
  <c r="D45" i="14"/>
  <c r="G43" i="14"/>
  <c r="E35" i="14"/>
  <c r="H24" i="14"/>
  <c r="M23" i="14"/>
  <c r="L23" i="14"/>
  <c r="I24" i="14" s="1"/>
  <c r="I23" i="14"/>
  <c r="E23" i="14"/>
  <c r="H21" i="14"/>
  <c r="K21" i="14" s="1"/>
  <c r="O20" i="14"/>
  <c r="K20" i="14"/>
  <c r="H20" i="14"/>
  <c r="H18" i="14"/>
  <c r="K18" i="14" s="1"/>
  <c r="F18" i="14"/>
  <c r="F23" i="14" s="1"/>
  <c r="H17" i="14"/>
  <c r="K17" i="14" s="1"/>
  <c r="O16" i="14"/>
  <c r="K16" i="14"/>
  <c r="H16" i="14"/>
  <c r="F16" i="14"/>
  <c r="K14" i="14"/>
  <c r="J14" i="14"/>
  <c r="F14" i="14"/>
  <c r="J13" i="14"/>
  <c r="K13" i="14" s="1"/>
  <c r="H13" i="14"/>
  <c r="K12" i="14"/>
  <c r="K10" i="14"/>
  <c r="K8" i="14"/>
  <c r="H8" i="14"/>
  <c r="K23" i="14" l="1"/>
  <c r="E24" i="14"/>
  <c r="J23" i="14"/>
  <c r="J24" i="14" s="1"/>
  <c r="K24" i="14" s="1"/>
  <c r="H23" i="14"/>
  <c r="D49" i="14" l="1"/>
  <c r="D47" i="14"/>
  <c r="G47" i="14" s="1"/>
  <c r="D48" i="14"/>
  <c r="D46" i="14"/>
  <c r="G46" i="14" s="1"/>
  <c r="H16" i="1"/>
  <c r="H13" i="1"/>
  <c r="H12" i="1"/>
  <c r="H9" i="1"/>
  <c r="K8" i="1"/>
  <c r="H8" i="1"/>
  <c r="I20" i="10" l="1"/>
  <c r="K12" i="3"/>
  <c r="K20" i="3"/>
  <c r="G42" i="3" l="1"/>
  <c r="D42" i="3"/>
  <c r="G40" i="3"/>
  <c r="E33" i="3"/>
  <c r="H21" i="3"/>
  <c r="K21" i="3" s="1"/>
  <c r="D46" i="3" s="1"/>
  <c r="M20" i="3"/>
  <c r="L20" i="3"/>
  <c r="I21" i="3" s="1"/>
  <c r="I20" i="3"/>
  <c r="F20" i="3"/>
  <c r="E20" i="3"/>
  <c r="E21" i="3" s="1"/>
  <c r="K19" i="3"/>
  <c r="H18" i="3"/>
  <c r="K18" i="3" s="1"/>
  <c r="H17" i="3"/>
  <c r="K17" i="3" s="1"/>
  <c r="H16" i="3"/>
  <c r="K16" i="3" s="1"/>
  <c r="H15" i="3"/>
  <c r="K15" i="3" s="1"/>
  <c r="J13" i="3"/>
  <c r="J12" i="3"/>
  <c r="H12" i="3"/>
  <c r="J11" i="3"/>
  <c r="J20" i="3" s="1"/>
  <c r="J21" i="3" s="1"/>
  <c r="H11" i="3"/>
  <c r="H10" i="3"/>
  <c r="K10" i="3" s="1"/>
  <c r="K9" i="3"/>
  <c r="H9" i="3"/>
  <c r="H8" i="3"/>
  <c r="K8" i="3" s="1"/>
  <c r="C42" i="10"/>
  <c r="F40" i="10"/>
  <c r="I28" i="10"/>
  <c r="I27" i="10"/>
  <c r="F21" i="10"/>
  <c r="K20" i="10"/>
  <c r="J20" i="10"/>
  <c r="G21" i="10" s="1"/>
  <c r="G20" i="10"/>
  <c r="E20" i="10"/>
  <c r="C20" i="10"/>
  <c r="F18" i="10"/>
  <c r="I18" i="10" s="1"/>
  <c r="F17" i="10"/>
  <c r="I17" i="10" s="1"/>
  <c r="F16" i="10"/>
  <c r="I16" i="10" s="1"/>
  <c r="F15" i="10"/>
  <c r="I15" i="10" s="1"/>
  <c r="F14" i="10"/>
  <c r="I14" i="10" s="1"/>
  <c r="D14" i="10"/>
  <c r="H13" i="10"/>
  <c r="H12" i="10"/>
  <c r="I12" i="10" s="1"/>
  <c r="F12" i="10"/>
  <c r="D12" i="10"/>
  <c r="H11" i="10"/>
  <c r="H20" i="10" s="1"/>
  <c r="H21" i="10" s="1"/>
  <c r="F11" i="10"/>
  <c r="D11" i="10"/>
  <c r="F10" i="10"/>
  <c r="I10" i="10" s="1"/>
  <c r="D10" i="10"/>
  <c r="F9" i="10"/>
  <c r="I9" i="10" s="1"/>
  <c r="D9" i="10"/>
  <c r="F8" i="10"/>
  <c r="I8" i="10" s="1"/>
  <c r="D8" i="10"/>
  <c r="D20" i="10" s="1"/>
  <c r="D44" i="3" l="1"/>
  <c r="G44" i="3" s="1"/>
  <c r="K11" i="3"/>
  <c r="H20" i="3"/>
  <c r="C21" i="10"/>
  <c r="I21" i="10"/>
  <c r="C47" i="10" s="1"/>
  <c r="I11" i="10"/>
  <c r="F20" i="10"/>
  <c r="F42" i="10"/>
  <c r="G27" i="11"/>
  <c r="M13" i="11"/>
  <c r="L13" i="11"/>
  <c r="I14" i="11" s="1"/>
  <c r="I13" i="11"/>
  <c r="F13" i="11"/>
  <c r="E24" i="11" s="1"/>
  <c r="E13" i="11"/>
  <c r="E14" i="11" s="1"/>
  <c r="H11" i="11"/>
  <c r="H10" i="11"/>
  <c r="J9" i="11"/>
  <c r="J13" i="11" s="1"/>
  <c r="J14" i="11" s="1"/>
  <c r="H9" i="11"/>
  <c r="H8" i="11"/>
  <c r="D45" i="3" l="1"/>
  <c r="D43" i="3"/>
  <c r="G43" i="3" s="1"/>
  <c r="C46" i="10"/>
  <c r="C43" i="10"/>
  <c r="F43" i="10" s="1"/>
  <c r="C44" i="10"/>
  <c r="F44" i="10" s="1"/>
  <c r="E23" i="11"/>
  <c r="H13" i="11"/>
  <c r="G29" i="11"/>
  <c r="E25" i="11" l="1"/>
  <c r="G23" i="11" s="1"/>
  <c r="H14" i="11" s="1"/>
  <c r="K14" i="11" s="1"/>
  <c r="D34" i="11" l="1"/>
  <c r="D31" i="11"/>
  <c r="G31" i="11" s="1"/>
  <c r="D33" i="11"/>
  <c r="G30" i="11"/>
  <c r="D47" i="7" l="1"/>
  <c r="G47" i="7" s="1"/>
  <c r="G45" i="7"/>
  <c r="E35" i="7"/>
  <c r="M22" i="7"/>
  <c r="J23" i="7" s="1"/>
  <c r="L22" i="7"/>
  <c r="J22" i="7"/>
  <c r="I22" i="7"/>
  <c r="I23" i="7" s="1"/>
  <c r="F22" i="7"/>
  <c r="E22" i="7"/>
  <c r="E34" i="7" s="1"/>
  <c r="K18" i="7"/>
  <c r="H18" i="7"/>
  <c r="H17" i="7"/>
  <c r="K17" i="7" s="1"/>
  <c r="K16" i="7"/>
  <c r="H16" i="7"/>
  <c r="H15" i="7"/>
  <c r="K15" i="7" s="1"/>
  <c r="K14" i="7"/>
  <c r="J14" i="7"/>
  <c r="J13" i="7"/>
  <c r="H13" i="7"/>
  <c r="K12" i="7"/>
  <c r="J12" i="7"/>
  <c r="H12" i="7"/>
  <c r="H11" i="7"/>
  <c r="K11" i="7" s="1"/>
  <c r="H9" i="7"/>
  <c r="K9" i="7" s="1"/>
  <c r="H8" i="7"/>
  <c r="H22" i="7" s="1"/>
  <c r="G34" i="7" l="1"/>
  <c r="K22" i="7"/>
  <c r="D48" i="7" s="1"/>
  <c r="H23" i="7"/>
  <c r="K23" i="7" s="1"/>
  <c r="D52" i="7" s="1"/>
  <c r="E36" i="7"/>
  <c r="K8" i="7"/>
  <c r="E23" i="7"/>
  <c r="D51" i="7" l="1"/>
  <c r="G48" i="7"/>
  <c r="D49" i="7"/>
  <c r="G49" i="7" s="1"/>
  <c r="G39" i="6" l="1"/>
  <c r="D39" i="6"/>
  <c r="G37" i="6"/>
  <c r="E30" i="6"/>
  <c r="H18" i="6"/>
  <c r="M17" i="6"/>
  <c r="L17" i="6"/>
  <c r="I18" i="6" s="1"/>
  <c r="K18" i="6" s="1"/>
  <c r="D44" i="6" s="1"/>
  <c r="J17" i="6"/>
  <c r="J18" i="6" s="1"/>
  <c r="I17" i="6"/>
  <c r="F17" i="6"/>
  <c r="E17" i="6"/>
  <c r="E18" i="6" s="1"/>
  <c r="H16" i="6"/>
  <c r="K16" i="6" s="1"/>
  <c r="H15" i="6"/>
  <c r="K15" i="6" s="1"/>
  <c r="H14" i="6"/>
  <c r="K14" i="6" s="1"/>
  <c r="H13" i="6"/>
  <c r="K13" i="6" s="1"/>
  <c r="J12" i="6"/>
  <c r="K12" i="6" s="1"/>
  <c r="H12" i="6"/>
  <c r="K11" i="6"/>
  <c r="J11" i="6"/>
  <c r="H11" i="6"/>
  <c r="H9" i="6"/>
  <c r="K9" i="6" s="1"/>
  <c r="H8" i="6"/>
  <c r="K8" i="6" s="1"/>
  <c r="D41" i="6" l="1"/>
  <c r="G41" i="6" s="1"/>
  <c r="H17" i="6"/>
  <c r="K17" i="6" s="1"/>
  <c r="D43" i="6" l="1"/>
  <c r="D40" i="6"/>
  <c r="G40" i="6" s="1"/>
  <c r="I23" i="5" l="1"/>
  <c r="G40" i="5"/>
  <c r="D42" i="5"/>
  <c r="G42" i="5" s="1"/>
  <c r="G37" i="5"/>
  <c r="J14" i="5" s="1"/>
  <c r="C37" i="5"/>
  <c r="K29" i="5"/>
  <c r="K28" i="5"/>
  <c r="M23" i="5"/>
  <c r="L23" i="5"/>
  <c r="Q21" i="5"/>
  <c r="H21" i="5"/>
  <c r="K21" i="5" s="1"/>
  <c r="Q20" i="5"/>
  <c r="H20" i="5"/>
  <c r="K20" i="5" s="1"/>
  <c r="D20" i="5"/>
  <c r="Q19" i="5"/>
  <c r="F19" i="5"/>
  <c r="E19" i="5"/>
  <c r="H19" i="5" s="1"/>
  <c r="K19" i="5" s="1"/>
  <c r="D19" i="5"/>
  <c r="Q18" i="5"/>
  <c r="H18" i="5"/>
  <c r="K18" i="5" s="1"/>
  <c r="D18" i="5"/>
  <c r="H17" i="5"/>
  <c r="K17" i="5" s="1"/>
  <c r="D17" i="5"/>
  <c r="Q16" i="5"/>
  <c r="G16" i="5"/>
  <c r="F16" i="5"/>
  <c r="E16" i="5"/>
  <c r="D16" i="5"/>
  <c r="Q15" i="5"/>
  <c r="H15" i="5"/>
  <c r="K15" i="5" s="1"/>
  <c r="D15" i="5"/>
  <c r="Q14" i="5"/>
  <c r="G14" i="5"/>
  <c r="F14" i="5"/>
  <c r="E14" i="5"/>
  <c r="D14" i="5"/>
  <c r="Q13" i="5"/>
  <c r="J13" i="5"/>
  <c r="F13" i="5"/>
  <c r="E13" i="5"/>
  <c r="H13" i="5" s="1"/>
  <c r="D13" i="5"/>
  <c r="K12" i="5"/>
  <c r="Q11" i="5"/>
  <c r="F11" i="5"/>
  <c r="E11" i="5"/>
  <c r="H11" i="5" s="1"/>
  <c r="D11" i="5"/>
  <c r="K10" i="5"/>
  <c r="Q9" i="5"/>
  <c r="F9" i="5"/>
  <c r="E9" i="5"/>
  <c r="H9" i="5" s="1"/>
  <c r="K9" i="5" s="1"/>
  <c r="D9" i="5"/>
  <c r="Q8" i="5"/>
  <c r="K8" i="5"/>
  <c r="I24" i="5" l="1"/>
  <c r="H14" i="5"/>
  <c r="K13" i="5"/>
  <c r="F23" i="5"/>
  <c r="E33" i="5" s="1"/>
  <c r="E23" i="5"/>
  <c r="J23" i="5"/>
  <c r="J24" i="5" s="1"/>
  <c r="H16" i="5"/>
  <c r="K16" i="5" s="1"/>
  <c r="K11" i="5"/>
  <c r="H23" i="5" l="1"/>
  <c r="K14" i="5"/>
  <c r="K23" i="5" s="1"/>
  <c r="D45" i="5" s="1"/>
  <c r="E24" i="5"/>
  <c r="E32" i="5"/>
  <c r="H24" i="5" s="1"/>
  <c r="D43" i="5" l="1"/>
  <c r="G43" i="5" s="1"/>
  <c r="K24" i="5"/>
  <c r="D46" i="5" s="1"/>
  <c r="D44" i="5" l="1"/>
  <c r="G44" i="5" s="1"/>
  <c r="G39" i="2" l="1"/>
  <c r="H39" i="2" s="1"/>
  <c r="H37" i="2"/>
  <c r="M18" i="2"/>
  <c r="L18" i="2"/>
  <c r="I19" i="2" s="1"/>
  <c r="J18" i="2"/>
  <c r="J19" i="2" s="1"/>
  <c r="I18" i="2"/>
  <c r="F18" i="2"/>
  <c r="E31" i="2" s="1"/>
  <c r="E18" i="2"/>
  <c r="E30" i="2" s="1"/>
  <c r="H17" i="2"/>
  <c r="K17" i="2" s="1"/>
  <c r="H16" i="2"/>
  <c r="K16" i="2" s="1"/>
  <c r="H15" i="2"/>
  <c r="K15" i="2" s="1"/>
  <c r="H14" i="2"/>
  <c r="K14" i="2" s="1"/>
  <c r="H13" i="2"/>
  <c r="K13" i="2" s="1"/>
  <c r="H12" i="2"/>
  <c r="K12" i="2" s="1"/>
  <c r="J11" i="2"/>
  <c r="H11" i="2"/>
  <c r="K11" i="2" s="1"/>
  <c r="K10" i="2"/>
  <c r="J10" i="2"/>
  <c r="H10" i="2"/>
  <c r="H18" i="2" s="1"/>
  <c r="K9" i="2"/>
  <c r="K8" i="2"/>
  <c r="H8" i="2"/>
  <c r="H19" i="2" l="1"/>
  <c r="G44" i="2" s="1"/>
  <c r="E32" i="2"/>
  <c r="G30" i="2"/>
  <c r="E19" i="2"/>
  <c r="G43" i="2" l="1"/>
  <c r="G40" i="2"/>
  <c r="H40" i="2" s="1"/>
  <c r="G41" i="2"/>
  <c r="H41" i="2" s="1"/>
  <c r="G37" i="1" l="1"/>
  <c r="D37" i="1"/>
  <c r="G35" i="1"/>
  <c r="H21" i="1"/>
  <c r="M20" i="1"/>
  <c r="L20" i="1"/>
  <c r="I20" i="1"/>
  <c r="I21" i="1" s="1"/>
  <c r="F20" i="1"/>
  <c r="E20" i="1"/>
  <c r="K16" i="1"/>
  <c r="J15" i="1"/>
  <c r="K14" i="1" s="1"/>
  <c r="K13" i="1"/>
  <c r="K12" i="1"/>
  <c r="K9" i="1"/>
  <c r="J21" i="1" l="1"/>
  <c r="J20" i="1"/>
  <c r="E21" i="1"/>
  <c r="K21" i="1"/>
  <c r="D41" i="1" s="1"/>
  <c r="K20" i="1"/>
  <c r="D40" i="1" l="1"/>
  <c r="D38" i="1"/>
  <c r="G38" i="1" s="1"/>
  <c r="D39" i="1"/>
  <c r="G39" i="1" s="1"/>
</calcChain>
</file>

<file path=xl/sharedStrings.xml><?xml version="1.0" encoding="utf-8"?>
<sst xmlns="http://schemas.openxmlformats.org/spreadsheetml/2006/main" count="1521" uniqueCount="452">
  <si>
    <t>Table:</t>
  </si>
  <si>
    <r>
      <t xml:space="preserve">COST OF CULTIVATION PER ACRE OF </t>
    </r>
    <r>
      <rPr>
        <sz val="11"/>
        <color rgb="FFFF0000"/>
        <rFont val="Calibri"/>
        <family val="2"/>
        <scheme val="minor"/>
      </rPr>
      <t xml:space="preserve"> GAMPAHA </t>
    </r>
    <r>
      <rPr>
        <sz val="11"/>
        <rFont val="Calibri"/>
        <family val="2"/>
        <scheme val="minor"/>
      </rPr>
      <t xml:space="preserve"> IRR  </t>
    </r>
    <r>
      <rPr>
        <sz val="11"/>
        <color rgb="FFFF0000"/>
        <rFont val="Calibri"/>
        <family val="2"/>
        <scheme val="minor"/>
      </rPr>
      <t>MANIOC</t>
    </r>
    <r>
      <rPr>
        <sz val="11"/>
        <rFont val="Calibri"/>
        <family val="2"/>
        <scheme val="minor"/>
      </rPr>
      <t xml:space="preserve">  (RAINFED )</t>
    </r>
  </si>
  <si>
    <r>
      <t>DISTRICT: --</t>
    </r>
    <r>
      <rPr>
        <sz val="11"/>
        <color rgb="FFC00000"/>
        <rFont val="Calibri"/>
        <family val="2"/>
        <scheme val="minor"/>
      </rPr>
      <t>GAMPAHA       2022  YALA  SEASON</t>
    </r>
  </si>
  <si>
    <t>Tabulated &amp; analyzed by : R.A. K. KALYANI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</si>
  <si>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</si>
  <si>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</si>
  <si>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</si>
  <si>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</si>
  <si>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</si>
  <si>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</si>
  <si>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</si>
  <si>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</si>
  <si>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</si>
  <si>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</si>
  <si>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</si>
  <si>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</si>
  <si>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</si>
  <si>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</si>
  <si>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</si>
  <si>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</si>
  <si>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</si>
  <si>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General land preparation</t>
  </si>
  <si>
    <t>1  Plough with 4wt</t>
  </si>
  <si>
    <t>(1  Plough with escavator)</t>
  </si>
  <si>
    <t>(13)</t>
  </si>
  <si>
    <t>(2400.00)</t>
  </si>
  <si>
    <t>(37600)</t>
  </si>
  <si>
    <t>(1  Plough with Backhoe)</t>
  </si>
  <si>
    <t>(7)</t>
  </si>
  <si>
    <t>(1000.00)</t>
  </si>
  <si>
    <t>(24000)</t>
  </si>
  <si>
    <t xml:space="preserve">Planting materials Processing  </t>
  </si>
  <si>
    <t>1.64</t>
  </si>
  <si>
    <t>0.65</t>
  </si>
  <si>
    <t>Digging holes and planting</t>
  </si>
  <si>
    <t>Fertilizer application (organic)</t>
  </si>
  <si>
    <t>(27)</t>
  </si>
  <si>
    <t>(4995.00)</t>
  </si>
  <si>
    <t>Fertilizer application (inorganic)</t>
  </si>
  <si>
    <t>Weeding &amp; earthing up</t>
  </si>
  <si>
    <t>(Weed ctrl. with weedicide)</t>
  </si>
  <si>
    <t>(9067.00)</t>
  </si>
  <si>
    <t>Harvesting  &amp; drawing by buyer</t>
  </si>
  <si>
    <t>Other cost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</si>
  <si>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</si>
  <si>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</si>
  <si>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</si>
  <si>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</si>
  <si>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</si>
  <si>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</si>
  <si>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</si>
  <si>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</si>
  <si>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variety %</t>
  </si>
  <si>
    <t>SEED</t>
  </si>
  <si>
    <t>Kalu Peradeni -100%</t>
  </si>
  <si>
    <t xml:space="preserve">Planting </t>
  </si>
  <si>
    <t>sticks</t>
  </si>
  <si>
    <t>LABOUR</t>
  </si>
  <si>
    <t>Mean</t>
  </si>
  <si>
    <t xml:space="preserve">Hired </t>
  </si>
  <si>
    <t>md</t>
  </si>
  <si>
    <t>Mode</t>
  </si>
  <si>
    <t>Family</t>
  </si>
  <si>
    <t>FIELD FERTILIZER</t>
  </si>
  <si>
    <t>% Reporting</t>
  </si>
  <si>
    <t xml:space="preserve">Basal </t>
  </si>
  <si>
    <t>Organic</t>
  </si>
  <si>
    <t>Poultry</t>
  </si>
  <si>
    <t>Kg</t>
  </si>
  <si>
    <t>(1427)</t>
  </si>
  <si>
    <t>(3.5)</t>
  </si>
  <si>
    <t>All Top D.</t>
  </si>
  <si>
    <t>Coconut</t>
  </si>
  <si>
    <t>YIELD AND RETURNS</t>
  </si>
  <si>
    <t>per ac</t>
  </si>
  <si>
    <t>per ha</t>
  </si>
  <si>
    <t>Average yield (kg)</t>
  </si>
  <si>
    <t>Price of produce (Rs/kg)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</si>
  <si>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</si>
  <si>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</si>
  <si>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</si>
  <si>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</si>
  <si>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</si>
  <si>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t xml:space="preserve">    </t>
  </si>
  <si>
    <t>Analized by- Kumudu</t>
  </si>
  <si>
    <t>Checked by- chandi</t>
  </si>
  <si>
    <t>COST OF CULTIVATION PER ACRE OF BITTER GOURD  (IRRIGATED)</t>
  </si>
  <si>
    <t>DISTRICT:  Hambantota       2022  YALA SEASON</t>
  </si>
  <si>
    <t>Tabulated &amp; analyzed by :J.W.L. Surangi</t>
  </si>
  <si>
    <t>do with 2wt</t>
  </si>
  <si>
    <t>(10)</t>
  </si>
  <si>
    <t>`(1.13)</t>
  </si>
  <si>
    <t>`(2000.00)</t>
  </si>
  <si>
    <t>`(2260.00)</t>
  </si>
  <si>
    <t>(10000)</t>
  </si>
  <si>
    <t>Digging holes &amp; Seeding</t>
  </si>
  <si>
    <t>Fertilizer Application</t>
  </si>
  <si>
    <t>Weeding &amp; Earthing up</t>
  </si>
  <si>
    <t>Pest &amp; Disease Control</t>
  </si>
  <si>
    <t xml:space="preserve">Trelising &amp; Training </t>
  </si>
  <si>
    <t>Water Management</t>
  </si>
  <si>
    <t>Harvesting &amp; Drawing</t>
  </si>
  <si>
    <t>Transport Produce to Stores</t>
  </si>
  <si>
    <t>Total Including Imputed Cost</t>
  </si>
  <si>
    <t xml:space="preserve">Total Excluding Imputed Cost </t>
  </si>
  <si>
    <t>Variety destribution %</t>
  </si>
  <si>
    <t>Local</t>
  </si>
  <si>
    <t>Seed</t>
  </si>
  <si>
    <t>kg</t>
  </si>
  <si>
    <t>Hybrid</t>
  </si>
  <si>
    <t>`(1.00)</t>
  </si>
  <si>
    <t>`(45238.00)</t>
  </si>
  <si>
    <t>Hired Labour</t>
  </si>
  <si>
    <t>Family Labour</t>
  </si>
  <si>
    <t>FERTILIZER</t>
  </si>
  <si>
    <t>Yaramila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</si>
  <si>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</si>
  <si>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</si>
  <si>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</si>
  <si>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</si>
  <si>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</si>
  <si>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</si>
  <si>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</si>
  <si>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</si>
  <si>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Special remarks-</t>
  </si>
  <si>
    <t>Low yeild due to disease &amp; Lack of chemical  fertilizer &amp; agro chemicals.</t>
  </si>
  <si>
    <t>COST OF CULTIVATION PER ACRE OF Potato (IRR. )</t>
  </si>
  <si>
    <r>
      <t>DISTRICT: --Nuwaraeliya</t>
    </r>
    <r>
      <rPr>
        <sz val="10"/>
        <color rgb="FFC00000"/>
        <rFont val="Times New Roman"/>
        <family val="1"/>
      </rPr>
      <t xml:space="preserve">  </t>
    </r>
  </si>
  <si>
    <t>Season -2022 yala</t>
  </si>
  <si>
    <t>General Land Preparation</t>
  </si>
  <si>
    <t>1  Plough with 2wt</t>
  </si>
  <si>
    <t>Prperation beds &amp; ridges</t>
  </si>
  <si>
    <t>Digging holes &amp; seeding</t>
  </si>
  <si>
    <t>Fertilizer Application (organic)</t>
  </si>
  <si>
    <t>Fertilizer Application (inorganic)</t>
  </si>
  <si>
    <t>Weed controle Weedicide</t>
  </si>
  <si>
    <t>(33)</t>
  </si>
  <si>
    <t>(820.00)</t>
  </si>
  <si>
    <t>(6306.00)</t>
  </si>
  <si>
    <t xml:space="preserve">Water Management </t>
  </si>
  <si>
    <t xml:space="preserve">Harvesting </t>
  </si>
  <si>
    <t>variety</t>
  </si>
  <si>
    <t>Granola  - 97%</t>
  </si>
  <si>
    <t xml:space="preserve">Seeding </t>
  </si>
  <si>
    <t>Other     - 3%</t>
  </si>
  <si>
    <t xml:space="preserve">Family </t>
  </si>
  <si>
    <t>inorganic</t>
  </si>
  <si>
    <t>Potato Mixture</t>
  </si>
  <si>
    <t>other</t>
  </si>
  <si>
    <t>(26)</t>
  </si>
  <si>
    <t>(105.)</t>
  </si>
  <si>
    <t>(175)</t>
  </si>
  <si>
    <t>Per ac</t>
  </si>
  <si>
    <t>Gross Income (Rs)</t>
  </si>
  <si>
    <t>Profit Incl. Imputed Cost (Rs)</t>
  </si>
  <si>
    <t>Profit Excl. Imputed Cost (Rs)</t>
  </si>
  <si>
    <t>Unit Cost (Incl.Imputed Cost) (Rs/kg)</t>
  </si>
  <si>
    <t>Unit Cost (Excl. Imputed Cost (Rs/kg)</t>
  </si>
  <si>
    <r>
      <t>COST OF CULTIVATION PER ACRE OF  Maize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(IRRIGATED )</t>
    </r>
  </si>
  <si>
    <r>
      <t>DISTRICT: --</t>
    </r>
    <r>
      <rPr>
        <sz val="11"/>
        <color rgb="FFC00000"/>
        <rFont val="Calibri"/>
        <family val="2"/>
        <scheme val="minor"/>
      </rPr>
      <t>Badulla      2022 yala  Season</t>
    </r>
  </si>
  <si>
    <t>Tabulated &amp; analyzed by : Sunethra</t>
  </si>
  <si>
    <t>Genaral land preparation</t>
  </si>
  <si>
    <r>
      <t>1</t>
    </r>
    <r>
      <rPr>
        <vertAlign val="superscript"/>
        <sz val="9"/>
        <rFont val="Times New Roman"/>
        <family val="1"/>
      </rPr>
      <t>st</t>
    </r>
    <r>
      <rPr>
        <sz val="9"/>
        <rFont val="Times New Roman"/>
        <family val="1"/>
      </rPr>
      <t xml:space="preserve"> Plough with tractor</t>
    </r>
  </si>
  <si>
    <t>(do manually)</t>
  </si>
  <si>
    <t>(17000.00)</t>
  </si>
  <si>
    <t>Fertilizer application (oganic)</t>
  </si>
  <si>
    <t>Fertilizer application (inoganic)</t>
  </si>
  <si>
    <t>Weeding control with weedicide</t>
  </si>
  <si>
    <t>(743.00)</t>
  </si>
  <si>
    <t>(4045.00)</t>
  </si>
  <si>
    <t>Pest &amp; disease control</t>
  </si>
  <si>
    <t>Water management</t>
  </si>
  <si>
    <t xml:space="preserve">Harvesting and drawing </t>
  </si>
  <si>
    <t xml:space="preserve">Thresing &amp; processing with Maize thresher </t>
  </si>
  <si>
    <t>Drying</t>
  </si>
  <si>
    <t>Transport produce to store</t>
  </si>
  <si>
    <t>Variety (%  of ext)</t>
  </si>
  <si>
    <t xml:space="preserve">Pacific -35 </t>
  </si>
  <si>
    <t>Jet - 29</t>
  </si>
  <si>
    <t>Other -26</t>
  </si>
  <si>
    <t>Hired</t>
  </si>
  <si>
    <t>Basal -Compost</t>
  </si>
  <si>
    <t xml:space="preserve">           TSP</t>
  </si>
  <si>
    <t>(32)</t>
  </si>
  <si>
    <t>(29)</t>
  </si>
  <si>
    <t>(523)</t>
  </si>
  <si>
    <t>All Top Dress.</t>
  </si>
  <si>
    <t>Urea (high price)</t>
  </si>
  <si>
    <t>Urea (Other)</t>
  </si>
  <si>
    <t>MOP</t>
  </si>
  <si>
    <t>(20)</t>
  </si>
  <si>
    <t>(375.00)</t>
  </si>
  <si>
    <t>Veg mix</t>
  </si>
  <si>
    <t>(46)</t>
  </si>
  <si>
    <t>(453.00)</t>
  </si>
  <si>
    <t>TDM</t>
  </si>
  <si>
    <t>(6)</t>
  </si>
  <si>
    <t>(67)</t>
  </si>
  <si>
    <t>(780.00)</t>
  </si>
  <si>
    <t>Unit cost (incl.imputed cost) (Rs/kg)</t>
  </si>
  <si>
    <t>Unit cost (excl. imputed cost (Rs/kg)</t>
  </si>
  <si>
    <t xml:space="preserve">Lower yield due to shortage of fertilizer </t>
  </si>
  <si>
    <t>High labour cost due to increasing wage rate</t>
  </si>
  <si>
    <t>Yield need to disscuss with relavent officer</t>
  </si>
  <si>
    <t>COST OF CULTIVATION PER ACRE OF  Soya Bean (IRRIGATED )</t>
  </si>
  <si>
    <t xml:space="preserve">DISTRICT: --System H       </t>
  </si>
  <si>
    <t>Season</t>
  </si>
  <si>
    <t>2022 yala</t>
  </si>
  <si>
    <t>(3892.00)</t>
  </si>
  <si>
    <t>(23)</t>
  </si>
  <si>
    <t>(1005.00)</t>
  </si>
  <si>
    <t>(18333.00)</t>
  </si>
  <si>
    <t>Prperation beds &amp; ridges (By manual)</t>
  </si>
  <si>
    <t>Prperation beds &amp; ridges (by machinery)</t>
  </si>
  <si>
    <t>(2200.00)</t>
  </si>
  <si>
    <t>(6000)</t>
  </si>
  <si>
    <t>seeding</t>
  </si>
  <si>
    <t>Weed control with weedcide</t>
  </si>
  <si>
    <t xml:space="preserve">                                                                               +1632/1150</t>
  </si>
  <si>
    <t>Water Management (manu)</t>
  </si>
  <si>
    <t>Processing with thresher</t>
  </si>
  <si>
    <t xml:space="preserve">Transport Produce to Stores </t>
  </si>
  <si>
    <t xml:space="preserve">PB 1-100 </t>
  </si>
  <si>
    <t>Urea</t>
  </si>
  <si>
    <t xml:space="preserve">        Liquid </t>
  </si>
  <si>
    <t>COST OF CULTIVATION PER ACRE OF   BRINJAL   IRR    (IRRIGATED )</t>
  </si>
  <si>
    <r>
      <t>DISTRICT: -</t>
    </r>
    <r>
      <rPr>
        <sz val="11"/>
        <color rgb="FFC00000"/>
        <rFont val="Calibri"/>
        <family val="2"/>
        <scheme val="minor"/>
      </rPr>
      <t xml:space="preserve">   HAMBANTOTA 2022 YALA  SEASON</t>
    </r>
  </si>
  <si>
    <t xml:space="preserve"> season -2022 yala </t>
  </si>
  <si>
    <t>All Nursery Preperation</t>
  </si>
  <si>
    <t>1  Plough do manu</t>
  </si>
  <si>
    <t>(24425.00)</t>
  </si>
  <si>
    <t>Digging hoies &amp; Transplanting</t>
  </si>
  <si>
    <t>Transplanting</t>
  </si>
  <si>
    <t>Urea (High price)</t>
  </si>
  <si>
    <t>Other organic</t>
  </si>
  <si>
    <t>Low yield due to lack of  fertilizer  &amp; agro chemical</t>
  </si>
  <si>
    <t>COST OF CULTIVATION PER ACRE OF CARROT  (IRRIGATED )</t>
  </si>
  <si>
    <t>Analized by- Thishani</t>
  </si>
  <si>
    <t>DISTRICT: --Nuwara Eliya       2022 yala  SEASON</t>
  </si>
  <si>
    <t>Checked by- Chanika</t>
  </si>
  <si>
    <t>Tabulated &amp; analyzed by : K. T. I. Wijewardana</t>
  </si>
  <si>
    <t>(do with manual)</t>
  </si>
  <si>
    <t>`(3)</t>
  </si>
  <si>
    <t>Seeding</t>
  </si>
  <si>
    <t>Weeding &amp; thining out</t>
  </si>
  <si>
    <t>Weed control with weedicides</t>
  </si>
  <si>
    <t>Harvesting done by buyers</t>
  </si>
  <si>
    <t>Harvesting manual</t>
  </si>
  <si>
    <t>`(7)</t>
  </si>
  <si>
    <t>Takis</t>
  </si>
  <si>
    <t>Kuroda</t>
  </si>
  <si>
    <t>Other</t>
  </si>
  <si>
    <t>2019y</t>
  </si>
  <si>
    <t>All nursery preparation</t>
  </si>
  <si>
    <t>`(1200.00)</t>
  </si>
  <si>
    <t>`(1644.00)</t>
  </si>
  <si>
    <t>(20000.00)</t>
  </si>
  <si>
    <t>`(15319.00)</t>
  </si>
  <si>
    <t>Plough (other)</t>
  </si>
  <si>
    <t>`(924.00)</t>
  </si>
  <si>
    <t>(22143.00)</t>
  </si>
  <si>
    <t>`(8052.00)</t>
  </si>
  <si>
    <t>Preparation of beds &amp; ridges</t>
  </si>
  <si>
    <t xml:space="preserve">Transplanting </t>
  </si>
  <si>
    <t>Transport Produce to market</t>
  </si>
  <si>
    <t>mode</t>
  </si>
  <si>
    <t>mean</t>
  </si>
  <si>
    <t>Broadcasting</t>
  </si>
  <si>
    <t>Variety</t>
  </si>
  <si>
    <t>%</t>
  </si>
  <si>
    <t xml:space="preserve">Lanka </t>
  </si>
  <si>
    <t>Indian nasik</t>
  </si>
  <si>
    <t>1. Urea (High price)</t>
  </si>
  <si>
    <t>11. Urea (Subsidy price)</t>
  </si>
  <si>
    <t>111.Urea (other)</t>
  </si>
  <si>
    <t>4. TSP</t>
  </si>
  <si>
    <t>5. Nilketa</t>
  </si>
  <si>
    <t>6. Chilli mix</t>
  </si>
  <si>
    <t xml:space="preserve">1.   Crop was well grown but it has damaged, because of hevy rain </t>
  </si>
  <si>
    <t>Analized- Chanika</t>
  </si>
  <si>
    <t>Checekd-Palipana</t>
  </si>
  <si>
    <t>COST OF CULTIVATION PER ACRE OF Pole bean (IRR )</t>
  </si>
  <si>
    <t>DISTRICT: --Badulla       2022 yala  SEASON</t>
  </si>
  <si>
    <t>Tabulated &amp; analyzed by : MMT Dharmanayaka</t>
  </si>
  <si>
    <t>`(40)</t>
  </si>
  <si>
    <t>`(13.52)</t>
  </si>
  <si>
    <t>`(5.87)</t>
  </si>
  <si>
    <t>`(2155.00)</t>
  </si>
  <si>
    <t>`(29136.00)</t>
  </si>
  <si>
    <t>Fixing support</t>
  </si>
  <si>
    <t>other cost (for meals)</t>
  </si>
  <si>
    <t>Capri</t>
  </si>
  <si>
    <t>Vegitable mixture</t>
  </si>
  <si>
    <t>*</t>
  </si>
  <si>
    <t xml:space="preserve">* Low yield  because lack of fertilizer </t>
  </si>
  <si>
    <t>Granola</t>
  </si>
  <si>
    <t>Arnowa</t>
  </si>
  <si>
    <r>
      <t>COST OF CULTIVATION PER ACRE OF</t>
    </r>
    <r>
      <rPr>
        <sz val="11"/>
        <rFont val="Calibri"/>
        <family val="2"/>
        <scheme val="minor"/>
      </rPr>
      <t xml:space="preserve"> Gingelly  </t>
    </r>
  </si>
  <si>
    <t>Analized- Malinga</t>
  </si>
  <si>
    <r>
      <t>DISTRICT: --Anuradapura</t>
    </r>
    <r>
      <rPr>
        <sz val="11"/>
        <color rgb="FFC00000"/>
        <rFont val="Calibri"/>
        <family val="2"/>
        <scheme val="minor"/>
      </rPr>
      <t xml:space="preserve">       2022 yala  SEASON</t>
    </r>
  </si>
  <si>
    <t>Checked-chanika</t>
  </si>
  <si>
    <t>Tabulated &amp; analyzed by : A.G.S.M. Attanagoda</t>
  </si>
  <si>
    <t>1st Plough with 4wt</t>
  </si>
  <si>
    <t>Harvesting &amp; drawing</t>
  </si>
  <si>
    <t>Processing &amp; purifine</t>
  </si>
  <si>
    <t xml:space="preserve">Seed </t>
  </si>
  <si>
    <t>Black</t>
  </si>
  <si>
    <t>White</t>
  </si>
  <si>
    <t>low yield due to Insufficient rain</t>
  </si>
  <si>
    <t>Analized- A pelassa</t>
  </si>
  <si>
    <t>Checked -Chandi</t>
  </si>
  <si>
    <t>Checked -Chanika</t>
  </si>
  <si>
    <t>Analized by-Malinga (DO)</t>
  </si>
  <si>
    <r>
      <t>COST OF CULTIVATION PER ACRE OF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Potato</t>
    </r>
    <r>
      <rPr>
        <sz val="11"/>
        <rFont val="Calibri"/>
        <family val="2"/>
        <scheme val="minor"/>
      </rPr>
      <t xml:space="preserve">  (IRRIGATED )</t>
    </r>
  </si>
  <si>
    <r>
      <t>DISTRICT: --</t>
    </r>
    <r>
      <rPr>
        <sz val="11"/>
        <color rgb="FFC00000"/>
        <rFont val="Calibri"/>
        <family val="2"/>
        <scheme val="minor"/>
      </rPr>
      <t xml:space="preserve">Badulla      </t>
    </r>
  </si>
  <si>
    <t>Season-2022 yala</t>
  </si>
  <si>
    <t>Organic    -Paultry</t>
  </si>
  <si>
    <t>inorganic- Potato mixture</t>
  </si>
  <si>
    <t xml:space="preserve">                   -TDM</t>
  </si>
  <si>
    <t>Average Yield (kg)</t>
  </si>
  <si>
    <t>Maize</t>
  </si>
  <si>
    <t>Badulla</t>
  </si>
  <si>
    <t xml:space="preserve">Cowpea </t>
  </si>
  <si>
    <t>Ampara</t>
  </si>
  <si>
    <t xml:space="preserve">Big Onion </t>
  </si>
  <si>
    <t>Matale</t>
  </si>
  <si>
    <t>Green chilli</t>
  </si>
  <si>
    <t>Anuradhapura</t>
  </si>
  <si>
    <t xml:space="preserve">Red Onion </t>
  </si>
  <si>
    <t>Puttalam</t>
  </si>
  <si>
    <t xml:space="preserve">Gingelly </t>
  </si>
  <si>
    <t>Soya bean</t>
  </si>
  <si>
    <t>System H</t>
  </si>
  <si>
    <t>Potato</t>
  </si>
  <si>
    <t>Nuwaraeliya</t>
  </si>
  <si>
    <t>Bitter gourd</t>
  </si>
  <si>
    <t>Hamabantota</t>
  </si>
  <si>
    <t>Brinjal</t>
  </si>
  <si>
    <t>Carrot</t>
  </si>
  <si>
    <t>Pole bean</t>
  </si>
  <si>
    <t>Tomato</t>
  </si>
  <si>
    <t>Manioc</t>
  </si>
  <si>
    <t>Gampaha</t>
  </si>
  <si>
    <t>Crop</t>
  </si>
  <si>
    <t>District</t>
  </si>
  <si>
    <t>Kandy</t>
  </si>
  <si>
    <t>.2022 Yala (Provisional) Summery</t>
  </si>
  <si>
    <t>Unit cost (Rs/kg)</t>
  </si>
  <si>
    <t>Yield (RS/ac)</t>
  </si>
  <si>
    <t>Proffit  (RS/ac)</t>
  </si>
  <si>
    <t>Total cost (RS/ac)</t>
  </si>
  <si>
    <t>Farmgate-Price (Rs/kg)</t>
  </si>
  <si>
    <t>COST OF CULTIVATION PER ACRE OF Red onion (IRRIGATED )</t>
  </si>
  <si>
    <t>Tabulated &amp; analyzed by : N.P.S.A.Menike</t>
  </si>
  <si>
    <t>Seed processing</t>
  </si>
  <si>
    <t>Digging holes &amp; Seeeding</t>
  </si>
  <si>
    <t>Weeding &amp; loosing soil</t>
  </si>
  <si>
    <t>Weed control with weedicide</t>
  </si>
  <si>
    <t>New technology used</t>
  </si>
  <si>
    <t>Processing (Manu)</t>
  </si>
  <si>
    <t>* Cadjan cost</t>
  </si>
  <si>
    <t>Vedalan</t>
  </si>
  <si>
    <t xml:space="preserve"> Seeding </t>
  </si>
  <si>
    <t>Tambasetti</t>
  </si>
  <si>
    <t>Cowdung</t>
  </si>
  <si>
    <t xml:space="preserve">Veg mix </t>
  </si>
  <si>
    <t>Mix(Keta)</t>
  </si>
  <si>
    <t>Liquid</t>
  </si>
  <si>
    <t>COST OF CULTIVATION PER ACRE OF Anuradhapura   Chilli (IRRIGATED )</t>
  </si>
  <si>
    <t>Tabulated &amp; analyzed by : E.P.J.W.K.Gunasinghe</t>
  </si>
  <si>
    <t>`(4000.00)</t>
  </si>
  <si>
    <t>1st &amp;2nd Plough with 4wt</t>
  </si>
  <si>
    <t>2143</t>
  </si>
  <si>
    <t>1st,2nd Plough with 2wt</t>
  </si>
  <si>
    <t>`(10)</t>
  </si>
  <si>
    <t>`(964.00)</t>
  </si>
  <si>
    <t>`(11400.00)</t>
  </si>
  <si>
    <t>New technology adduption</t>
  </si>
  <si>
    <t>`(36160.00)</t>
  </si>
  <si>
    <t>`(5500.00)</t>
  </si>
  <si>
    <t>MICH1</t>
  </si>
  <si>
    <t>Rajina</t>
  </si>
  <si>
    <t>`(29%)</t>
  </si>
  <si>
    <t>`(0.37)</t>
  </si>
  <si>
    <t>`(10000.00)</t>
  </si>
  <si>
    <t>KA 2</t>
  </si>
  <si>
    <t>MI2</t>
  </si>
  <si>
    <t>Compost</t>
  </si>
  <si>
    <t>TSP</t>
  </si>
  <si>
    <t>`(16)</t>
  </si>
  <si>
    <t>Chilly mixture</t>
  </si>
  <si>
    <t>ha</t>
  </si>
  <si>
    <r>
      <t>COST OF CULTIVATION PER ACRE OF Ampara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IRR  Cowpea  (RF )</t>
    </r>
  </si>
  <si>
    <t>DISTRICT: --Ampra       2022 yala  SEASON</t>
  </si>
  <si>
    <t>Season-2022 Yala</t>
  </si>
  <si>
    <t>,(29)</t>
  </si>
  <si>
    <t>1 st  Plough with 4wt</t>
  </si>
  <si>
    <t>1st, 2nd, 3rd Plough with 4wt</t>
  </si>
  <si>
    <t>,(17)</t>
  </si>
  <si>
    <t xml:space="preserve"> (0.8)</t>
  </si>
  <si>
    <t>,(11619.00)</t>
  </si>
  <si>
    <t>Digging holel &amp;seeding</t>
  </si>
  <si>
    <t xml:space="preserve">Weeding &amp; earthing up </t>
  </si>
  <si>
    <t>processing manually</t>
  </si>
  <si>
    <t>Additional drying</t>
  </si>
  <si>
    <t>Liquid fertilizer</t>
  </si>
  <si>
    <t>l</t>
  </si>
  <si>
    <t>Low yield due to drought and fertilizer scarcity</t>
  </si>
  <si>
    <t>1 &amp; 2   Plough with 4wt</t>
  </si>
  <si>
    <t>1 &amp; 2   Plough with 2wt</t>
  </si>
  <si>
    <t>,(13)</t>
  </si>
  <si>
    <t>,(7550.00)</t>
  </si>
  <si>
    <t xml:space="preserve"> Processing &amp;Transporting</t>
  </si>
  <si>
    <t xml:space="preserve">Broadcasting </t>
  </si>
  <si>
    <t>liquid</t>
  </si>
  <si>
    <t xml:space="preserve">cost </t>
  </si>
  <si>
    <t>(2248)</t>
  </si>
  <si>
    <t>(14364.00)</t>
  </si>
  <si>
    <t>1&amp;2  Plough do manu</t>
  </si>
  <si>
    <t>,(60000.00)</t>
  </si>
  <si>
    <t>1&amp;2  Plough with 2wt</t>
  </si>
  <si>
    <t>(19889)</t>
  </si>
  <si>
    <t xml:space="preserve">Fixing support Training </t>
  </si>
  <si>
    <t>Other costs</t>
  </si>
  <si>
    <t>Ansal</t>
  </si>
  <si>
    <t>Abhiman</t>
  </si>
  <si>
    <t>g</t>
  </si>
  <si>
    <t>Pathma</t>
  </si>
  <si>
    <t>veg mix</t>
  </si>
  <si>
    <t>Nilkata</t>
  </si>
  <si>
    <t xml:space="preserve">(783) </t>
  </si>
  <si>
    <t>(17)</t>
  </si>
  <si>
    <t>urea</t>
  </si>
  <si>
    <t>(160)</t>
  </si>
  <si>
    <t>(428)</t>
  </si>
  <si>
    <t xml:space="preserve">DISTRICT: --Kandy </t>
  </si>
  <si>
    <t>COST OF CULTIVATION PER ACRE OF Kandy Tomato  (IRRIGATED )</t>
  </si>
  <si>
    <t>seed cost</t>
  </si>
  <si>
    <r>
      <t>COST OF CULTIVATION PER ACRE OF</t>
    </r>
    <r>
      <rPr>
        <sz val="11"/>
        <color theme="1"/>
        <rFont val="Calibri"/>
        <family val="2"/>
        <scheme val="minor"/>
      </rPr>
      <t xml:space="preserve">   Blak gram  (IRRIGATED )</t>
    </r>
  </si>
  <si>
    <t xml:space="preserve">DISTRICT: -System H      </t>
  </si>
  <si>
    <t xml:space="preserve">DISTRICT: --Anuradhapura      </t>
  </si>
  <si>
    <t>DISTRICT: --Puttalam      2022 yala  SEASON</t>
  </si>
  <si>
    <t>Fertilizer application (liqued)</t>
  </si>
  <si>
    <t>Potato mixture</t>
  </si>
  <si>
    <t>(408)</t>
  </si>
  <si>
    <t>(56)</t>
  </si>
  <si>
    <t xml:space="preserve"> Table 03: COST OF CULTIVATION PER ACRE OF  Big Onion    (Irrigated) ) - Matale</t>
  </si>
  <si>
    <t>General land preperation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</si>
  <si>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&amp; 2</t>
    </r>
    <r>
      <rPr>
        <vertAlign val="superscript"/>
        <sz val="10"/>
        <rFont val="Times New Roman"/>
        <family val="1"/>
      </rPr>
      <t>nd</t>
    </r>
    <r>
      <rPr>
        <sz val="10"/>
        <rFont val="Times New Roman"/>
        <family val="1"/>
      </rPr>
      <t xml:space="preserve">  Plough with 4wt</t>
    </r>
  </si>
  <si>
    <r>
      <t>1</t>
    </r>
    <r>
      <rPr>
        <vertAlign val="superscript"/>
        <sz val="10"/>
        <rFont val="Times New Roman"/>
        <family val="1"/>
      </rPr>
      <t xml:space="preserve">st </t>
    </r>
    <r>
      <rPr>
        <sz val="10"/>
        <rFont val="Times New Roman"/>
        <family val="1"/>
      </rPr>
      <t xml:space="preserve">  Plough with 2wt</t>
    </r>
  </si>
  <si>
    <t>Harvesting  &amp; drawing</t>
  </si>
  <si>
    <t>Processing mannual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</si>
</sst>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_-;\-* #,##0.00_-;_-* &quot;-&quot;??_-;_-@_-"/>
    <numFmt numFmtId="165" formatCode="0_)"/>
    <numFmt numFmtId="166" formatCode="0.0"/>
    <numFmt numFmtId="167" formatCode="0.000"/>
    <numFmt numFmtId="168" formatCode="0.00_)"/>
    <numFmt numFmtId="169" formatCode="0.00_);\(0.00\)"/>
    <numFmt numFmtId="170" formatCode="_(* #,##0_);_(* \(#,##0\);_(* &quot;-&quot;??_);_(@_)"/>
    <numFmt numFmtId="171" formatCode="0.000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10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1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165" fontId="4" fillId="0" borderId="0" xfId="0" applyNumberFormat="1" applyFont="1" applyAlignment="1" applyProtection="1">
      <alignment horizontal="center"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 applyProtection="1">
      <alignment horizontal="right"/>
    </xf>
    <xf numFmtId="1" fontId="4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/>
    <xf numFmtId="1" fontId="4" fillId="0" borderId="0" xfId="0" applyNumberFormat="1" applyFont="1" applyFill="1" applyAlignment="1">
      <alignment horizontal="right"/>
    </xf>
    <xf numFmtId="49" fontId="4" fillId="0" borderId="0" xfId="0" quotePrefix="1" applyNumberFormat="1" applyFont="1" applyAlignment="1" applyProtection="1">
      <alignment horizontal="center" vertical="center"/>
    </xf>
    <xf numFmtId="49" fontId="4" fillId="0" borderId="0" xfId="0" quotePrefix="1" applyNumberFormat="1" applyFont="1" applyAlignment="1">
      <alignment horizontal="right" vertical="center"/>
    </xf>
    <xf numFmtId="49" fontId="4" fillId="0" borderId="0" xfId="0" quotePrefix="1" applyNumberFormat="1" applyFont="1" applyAlignment="1" applyProtection="1">
      <alignment horizontal="right"/>
    </xf>
    <xf numFmtId="1" fontId="4" fillId="0" borderId="0" xfId="0" quotePrefix="1" applyNumberFormat="1" applyFont="1" applyFill="1" applyAlignment="1">
      <alignment horizontal="right"/>
    </xf>
    <xf numFmtId="49" fontId="4" fillId="0" borderId="0" xfId="0" quotePrefix="1" applyNumberFormat="1" applyFont="1" applyFill="1" applyAlignment="1">
      <alignment horizontal="right"/>
    </xf>
    <xf numFmtId="49" fontId="4" fillId="0" borderId="0" xfId="0" applyNumberFormat="1" applyFont="1"/>
    <xf numFmtId="165" fontId="4" fillId="0" borderId="0" xfId="0" quotePrefix="1" applyNumberFormat="1" applyFont="1" applyAlignment="1" applyProtection="1">
      <alignment horizontal="center" vertical="center"/>
    </xf>
    <xf numFmtId="1" fontId="4" fillId="0" borderId="0" xfId="0" quotePrefix="1" applyNumberFormat="1" applyFont="1" applyFill="1"/>
    <xf numFmtId="0" fontId="0" fillId="0" borderId="0" xfId="0" applyBorder="1"/>
    <xf numFmtId="49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 applyProtection="1">
      <alignment horizontal="right"/>
    </xf>
    <xf numFmtId="49" fontId="4" fillId="0" borderId="0" xfId="0" quotePrefix="1" applyNumberFormat="1" applyFont="1" applyFill="1"/>
    <xf numFmtId="0" fontId="0" fillId="0" borderId="0" xfId="0" applyFont="1"/>
    <xf numFmtId="2" fontId="0" fillId="0" borderId="0" xfId="0" quotePrefix="1" applyNumberFormat="1" applyFill="1" applyAlignment="1">
      <alignment horizontal="right"/>
    </xf>
    <xf numFmtId="2" fontId="0" fillId="0" borderId="0" xfId="0" applyNumberFormat="1" applyFont="1" applyFill="1"/>
    <xf numFmtId="0" fontId="0" fillId="0" borderId="0" xfId="0" applyFill="1" applyBorder="1"/>
    <xf numFmtId="2" fontId="4" fillId="0" borderId="0" xfId="0" quotePrefix="1" applyNumberFormat="1" applyFont="1" applyAlignment="1">
      <alignment horizontal="right"/>
    </xf>
    <xf numFmtId="2" fontId="4" fillId="0" borderId="0" xfId="0" quotePrefix="1" applyNumberFormat="1" applyFont="1" applyAlignment="1" applyProtection="1">
      <alignment horizontal="right"/>
    </xf>
    <xf numFmtId="2" fontId="4" fillId="0" borderId="0" xfId="0" quotePrefix="1" applyNumberFormat="1" applyFont="1" applyFill="1" applyAlignment="1">
      <alignment horizontal="right"/>
    </xf>
    <xf numFmtId="165" fontId="4" fillId="0" borderId="0" xfId="0" applyNumberFormat="1" applyFont="1" applyAlignment="1" applyProtection="1">
      <alignment horizontal="center"/>
    </xf>
    <xf numFmtId="2" fontId="4" fillId="0" borderId="0" xfId="0" applyNumberFormat="1" applyFont="1"/>
    <xf numFmtId="2" fontId="4" fillId="0" borderId="0" xfId="0" applyNumberFormat="1" applyFont="1" applyProtection="1"/>
    <xf numFmtId="165" fontId="4" fillId="0" borderId="0" xfId="0" applyNumberFormat="1" applyFont="1" applyFill="1" applyProtection="1"/>
    <xf numFmtId="2" fontId="4" fillId="0" borderId="0" xfId="0" applyNumberFormat="1" applyFont="1" applyFill="1" applyProtection="1"/>
    <xf numFmtId="1" fontId="5" fillId="0" borderId="0" xfId="0" applyNumberFormat="1" applyFont="1" applyFill="1" applyAlignment="1">
      <alignment horizontal="right"/>
    </xf>
    <xf numFmtId="0" fontId="0" fillId="0" borderId="1" xfId="0" applyFont="1" applyBorder="1"/>
    <xf numFmtId="165" fontId="4" fillId="0" borderId="1" xfId="0" applyNumberFormat="1" applyFont="1" applyBorder="1" applyProtection="1"/>
    <xf numFmtId="2" fontId="4" fillId="0" borderId="1" xfId="0" applyNumberFormat="1" applyFont="1" applyBorder="1"/>
    <xf numFmtId="1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0" fontId="0" fillId="0" borderId="2" xfId="0" applyFont="1" applyBorder="1"/>
    <xf numFmtId="165" fontId="4" fillId="0" borderId="2" xfId="0" applyNumberFormat="1" applyFont="1" applyBorder="1" applyProtection="1"/>
    <xf numFmtId="2" fontId="4" fillId="0" borderId="2" xfId="0" applyNumberFormat="1" applyFont="1" applyBorder="1"/>
    <xf numFmtId="1" fontId="4" fillId="0" borderId="2" xfId="0" applyNumberFormat="1" applyFont="1" applyBorder="1"/>
    <xf numFmtId="2" fontId="4" fillId="0" borderId="2" xfId="0" applyNumberFormat="1" applyFont="1" applyBorder="1" applyAlignment="1">
      <alignment horizontal="right"/>
    </xf>
    <xf numFmtId="0" fontId="4" fillId="0" borderId="3" xfId="0" applyFont="1" applyBorder="1"/>
    <xf numFmtId="9" fontId="4" fillId="0" borderId="0" xfId="0" applyNumberFormat="1" applyFont="1"/>
    <xf numFmtId="167" fontId="4" fillId="0" borderId="0" xfId="0" applyNumberFormat="1" applyFont="1"/>
    <xf numFmtId="9" fontId="4" fillId="0" borderId="0" xfId="0" applyNumberFormat="1" applyFont="1" applyBorder="1"/>
    <xf numFmtId="0" fontId="4" fillId="0" borderId="4" xfId="0" applyFont="1" applyBorder="1"/>
    <xf numFmtId="0" fontId="4" fillId="0" borderId="0" xfId="0" applyFont="1" applyAlignment="1">
      <alignment horizontal="center"/>
    </xf>
    <xf numFmtId="0" fontId="4" fillId="0" borderId="1" xfId="0" applyFont="1" applyFill="1" applyBorder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quotePrefix="1" applyFont="1" applyBorder="1"/>
    <xf numFmtId="0" fontId="4" fillId="0" borderId="0" xfId="0" applyFont="1" applyFill="1" applyBorder="1"/>
    <xf numFmtId="2" fontId="4" fillId="0" borderId="0" xfId="0" applyNumberFormat="1" applyFont="1" applyFill="1" applyBorder="1"/>
    <xf numFmtId="0" fontId="0" fillId="0" borderId="0" xfId="0" quotePrefix="1" applyBorder="1" applyAlignment="1">
      <alignment horizontal="right"/>
    </xf>
    <xf numFmtId="0" fontId="4" fillId="0" borderId="0" xfId="0" quotePrefix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" fontId="4" fillId="0" borderId="0" xfId="0" applyNumberFormat="1" applyFont="1"/>
    <xf numFmtId="0" fontId="4" fillId="0" borderId="1" xfId="0" applyFont="1" applyFill="1" applyBorder="1" applyAlignment="1">
      <alignment horizontal="center"/>
    </xf>
    <xf numFmtId="165" fontId="4" fillId="0" borderId="0" xfId="0" applyNumberFormat="1" applyFont="1" applyFill="1" applyBorder="1" applyAlignment="1" applyProtection="1">
      <alignment horizontal="right"/>
    </xf>
    <xf numFmtId="165" fontId="4" fillId="0" borderId="0" xfId="0" applyNumberFormat="1" applyFont="1" applyFill="1" applyBorder="1" applyAlignment="1">
      <alignment horizontal="right"/>
    </xf>
    <xf numFmtId="168" fontId="4" fillId="0" borderId="0" xfId="0" applyNumberFormat="1" applyFont="1" applyFill="1" applyBorder="1"/>
    <xf numFmtId="2" fontId="4" fillId="0" borderId="2" xfId="0" applyNumberFormat="1" applyFont="1" applyFill="1" applyBorder="1"/>
    <xf numFmtId="0" fontId="4" fillId="0" borderId="2" xfId="0" applyFont="1" applyFill="1" applyBorder="1"/>
    <xf numFmtId="168" fontId="4" fillId="0" borderId="2" xfId="0" applyNumberFormat="1" applyFont="1" applyFill="1" applyBorder="1"/>
    <xf numFmtId="0" fontId="4" fillId="2" borderId="0" xfId="0" applyFont="1" applyFill="1"/>
    <xf numFmtId="167" fontId="4" fillId="2" borderId="0" xfId="0" applyNumberFormat="1" applyFont="1" applyFill="1"/>
    <xf numFmtId="2" fontId="4" fillId="2" borderId="0" xfId="0" applyNumberFormat="1" applyFont="1" applyFill="1"/>
    <xf numFmtId="165" fontId="4" fillId="0" borderId="0" xfId="0" applyNumberFormat="1" applyFont="1" applyProtection="1"/>
    <xf numFmtId="49" fontId="4" fillId="0" borderId="0" xfId="0" applyNumberFormat="1" applyFont="1" applyProtection="1"/>
    <xf numFmtId="0" fontId="4" fillId="0" borderId="0" xfId="0" applyNumberFormat="1" applyFont="1"/>
    <xf numFmtId="0" fontId="4" fillId="0" borderId="0" xfId="0" applyNumberFormat="1" applyFont="1" applyProtection="1"/>
    <xf numFmtId="169" fontId="4" fillId="0" borderId="0" xfId="0" applyNumberFormat="1" applyFont="1"/>
    <xf numFmtId="2" fontId="4" fillId="0" borderId="2" xfId="0" applyNumberFormat="1" applyFont="1" applyBorder="1" applyAlignment="1"/>
    <xf numFmtId="0" fontId="0" fillId="0" borderId="4" xfId="0" applyBorder="1" applyAlignment="1">
      <alignment horizontal="left" vertical="top"/>
    </xf>
    <xf numFmtId="0" fontId="4" fillId="0" borderId="0" xfId="0" applyFont="1" applyAlignment="1">
      <alignment horizontal="left"/>
    </xf>
    <xf numFmtId="166" fontId="4" fillId="0" borderId="4" xfId="0" applyNumberFormat="1" applyFont="1" applyBorder="1"/>
    <xf numFmtId="2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/>
    <xf numFmtId="0" fontId="6" fillId="0" borderId="0" xfId="0" applyFont="1"/>
    <xf numFmtId="168" fontId="4" fillId="0" borderId="0" xfId="0" applyNumberFormat="1" applyFont="1" applyBorder="1" applyProtection="1"/>
    <xf numFmtId="168" fontId="4" fillId="0" borderId="0" xfId="0" applyNumberFormat="1" applyFont="1" applyBorder="1"/>
    <xf numFmtId="168" fontId="4" fillId="0" borderId="2" xfId="0" applyNumberFormat="1" applyFont="1" applyBorder="1"/>
    <xf numFmtId="0" fontId="0" fillId="0" borderId="0" xfId="0" applyFill="1" applyAlignment="1">
      <alignment horizontal="left" vertical="top"/>
    </xf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165" fontId="7" fillId="0" borderId="0" xfId="0" applyNumberFormat="1" applyFont="1" applyProtection="1"/>
    <xf numFmtId="2" fontId="7" fillId="0" borderId="0" xfId="0" applyNumberFormat="1" applyFont="1"/>
    <xf numFmtId="2" fontId="7" fillId="0" borderId="0" xfId="0" applyNumberFormat="1" applyFont="1" applyProtection="1"/>
    <xf numFmtId="1" fontId="7" fillId="0" borderId="0" xfId="0" applyNumberFormat="1" applyFont="1" applyFill="1"/>
    <xf numFmtId="0" fontId="7" fillId="0" borderId="0" xfId="0" applyFont="1" applyFill="1"/>
    <xf numFmtId="2" fontId="7" fillId="0" borderId="0" xfId="0" applyNumberFormat="1" applyFont="1" applyFill="1"/>
    <xf numFmtId="0" fontId="9" fillId="0" borderId="0" xfId="0" applyFont="1"/>
    <xf numFmtId="2" fontId="9" fillId="0" borderId="0" xfId="0" applyNumberFormat="1" applyFont="1" applyFill="1"/>
    <xf numFmtId="165" fontId="7" fillId="0" borderId="0" xfId="0" quotePrefix="1" applyNumberFormat="1" applyFont="1" applyProtection="1"/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 applyProtection="1">
      <alignment horizontal="center"/>
    </xf>
    <xf numFmtId="1" fontId="7" fillId="0" borderId="0" xfId="0" quotePrefix="1" applyNumberFormat="1" applyFont="1" applyFill="1"/>
    <xf numFmtId="0" fontId="7" fillId="0" borderId="0" xfId="0" quotePrefix="1" applyFont="1" applyFill="1"/>
    <xf numFmtId="1" fontId="7" fillId="0" borderId="0" xfId="0" applyNumberFormat="1" applyFont="1" applyFill="1" applyAlignment="1">
      <alignment horizontal="center"/>
    </xf>
    <xf numFmtId="1" fontId="8" fillId="0" borderId="0" xfId="0" applyNumberFormat="1" applyFont="1" applyFill="1"/>
    <xf numFmtId="0" fontId="9" fillId="0" borderId="1" xfId="0" applyFont="1" applyBorder="1"/>
    <xf numFmtId="165" fontId="7" fillId="0" borderId="1" xfId="0" applyNumberFormat="1" applyFont="1" applyBorder="1" applyProtection="1"/>
    <xf numFmtId="2" fontId="7" fillId="0" borderId="1" xfId="0" applyNumberFormat="1" applyFont="1" applyBorder="1"/>
    <xf numFmtId="1" fontId="7" fillId="0" borderId="1" xfId="0" applyNumberFormat="1" applyFont="1" applyBorder="1"/>
    <xf numFmtId="0" fontId="9" fillId="0" borderId="2" xfId="0" applyFont="1" applyBorder="1"/>
    <xf numFmtId="165" fontId="7" fillId="0" borderId="2" xfId="0" applyNumberFormat="1" applyFont="1" applyBorder="1" applyProtection="1"/>
    <xf numFmtId="2" fontId="7" fillId="0" borderId="2" xfId="0" applyNumberFormat="1" applyFont="1" applyBorder="1"/>
    <xf numFmtId="1" fontId="7" fillId="0" borderId="2" xfId="0" applyNumberFormat="1" applyFont="1" applyBorder="1"/>
    <xf numFmtId="0" fontId="7" fillId="0" borderId="3" xfId="0" applyFont="1" applyBorder="1"/>
    <xf numFmtId="9" fontId="7" fillId="0" borderId="0" xfId="0" applyNumberFormat="1" applyFont="1"/>
    <xf numFmtId="0" fontId="7" fillId="0" borderId="4" xfId="0" applyFont="1" applyBorder="1"/>
    <xf numFmtId="2" fontId="7" fillId="0" borderId="4" xfId="0" applyNumberFormat="1" applyFont="1" applyBorder="1"/>
    <xf numFmtId="9" fontId="7" fillId="0" borderId="0" xfId="0" applyNumberFormat="1" applyFont="1" applyBorder="1"/>
    <xf numFmtId="0" fontId="9" fillId="3" borderId="0" xfId="0" applyFont="1" applyFill="1"/>
    <xf numFmtId="1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quotePrefix="1" applyFont="1" applyBorder="1"/>
    <xf numFmtId="2" fontId="7" fillId="0" borderId="0" xfId="0" applyNumberFormat="1" applyFont="1" applyBorder="1"/>
    <xf numFmtId="0" fontId="7" fillId="0" borderId="0" xfId="0" applyFont="1" applyFill="1" applyBorder="1"/>
    <xf numFmtId="0" fontId="7" fillId="0" borderId="1" xfId="0" applyFont="1" applyBorder="1" applyAlignment="1">
      <alignment horizontal="center"/>
    </xf>
    <xf numFmtId="168" fontId="7" fillId="0" borderId="0" xfId="0" applyNumberFormat="1" applyFont="1" applyFill="1" applyBorder="1" applyProtection="1"/>
    <xf numFmtId="168" fontId="7" fillId="0" borderId="0" xfId="0" applyNumberFormat="1" applyFont="1" applyFill="1" applyBorder="1"/>
    <xf numFmtId="1" fontId="7" fillId="0" borderId="0" xfId="0" applyNumberFormat="1" applyFont="1" applyFill="1" applyBorder="1"/>
    <xf numFmtId="2" fontId="7" fillId="0" borderId="0" xfId="0" applyNumberFormat="1" applyFont="1" applyFill="1" applyBorder="1"/>
    <xf numFmtId="168" fontId="7" fillId="0" borderId="0" xfId="0" applyNumberFormat="1" applyFont="1" applyBorder="1"/>
    <xf numFmtId="2" fontId="7" fillId="0" borderId="2" xfId="0" applyNumberFormat="1" applyFont="1" applyFill="1" applyBorder="1"/>
    <xf numFmtId="168" fontId="7" fillId="0" borderId="2" xfId="0" applyNumberFormat="1" applyFont="1" applyBorder="1"/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10" fillId="0" borderId="0" xfId="0" applyFont="1" applyFill="1"/>
    <xf numFmtId="165" fontId="10" fillId="0" borderId="0" xfId="0" applyNumberFormat="1" applyFont="1" applyFill="1" applyProtection="1"/>
    <xf numFmtId="2" fontId="10" fillId="0" borderId="0" xfId="0" applyNumberFormat="1" applyFont="1" applyFill="1"/>
    <xf numFmtId="2" fontId="10" fillId="0" borderId="0" xfId="0" applyNumberFormat="1" applyFont="1" applyFill="1" applyProtection="1"/>
    <xf numFmtId="0" fontId="10" fillId="0" borderId="0" xfId="0" applyFont="1" applyFill="1" applyAlignment="1">
      <alignment horizontal="left"/>
    </xf>
    <xf numFmtId="170" fontId="10" fillId="0" borderId="0" xfId="1" quotePrefix="1" applyNumberFormat="1" applyFont="1" applyFill="1" applyAlignment="1" applyProtection="1">
      <alignment horizontal="right"/>
    </xf>
    <xf numFmtId="164" fontId="10" fillId="0" borderId="0" xfId="1" applyFont="1" applyFill="1"/>
    <xf numFmtId="164" fontId="10" fillId="0" borderId="0" xfId="1" applyFont="1" applyFill="1" applyProtection="1"/>
    <xf numFmtId="2" fontId="10" fillId="0" borderId="0" xfId="0" quotePrefix="1" applyNumberFormat="1" applyFont="1" applyFill="1" applyAlignment="1">
      <alignment horizontal="right"/>
    </xf>
    <xf numFmtId="2" fontId="10" fillId="0" borderId="0" xfId="0" quotePrefix="1" applyNumberFormat="1" applyFont="1" applyFill="1"/>
    <xf numFmtId="170" fontId="10" fillId="0" borderId="0" xfId="1" applyNumberFormat="1" applyFont="1" applyFill="1" applyProtection="1"/>
    <xf numFmtId="0" fontId="10" fillId="0" borderId="0" xfId="0" applyFont="1" applyAlignment="1">
      <alignment horizontal="left"/>
    </xf>
    <xf numFmtId="0" fontId="10" fillId="0" borderId="0" xfId="0" applyFont="1" applyFill="1" applyAlignment="1">
      <alignment vertical="top" wrapText="1"/>
    </xf>
    <xf numFmtId="0" fontId="10" fillId="0" borderId="2" xfId="0" applyFont="1" applyFill="1" applyBorder="1" applyAlignment="1">
      <alignment horizontal="left"/>
    </xf>
    <xf numFmtId="165" fontId="10" fillId="0" borderId="1" xfId="0" applyNumberFormat="1" applyFont="1" applyFill="1" applyBorder="1" applyProtection="1"/>
    <xf numFmtId="2" fontId="10" fillId="0" borderId="1" xfId="0" applyNumberFormat="1" applyFont="1" applyFill="1" applyBorder="1"/>
    <xf numFmtId="165" fontId="10" fillId="0" borderId="2" xfId="0" applyNumberFormat="1" applyFont="1" applyFill="1" applyBorder="1" applyProtection="1"/>
    <xf numFmtId="2" fontId="10" fillId="0" borderId="2" xfId="0" applyNumberFormat="1" applyFont="1" applyFill="1" applyBorder="1"/>
    <xf numFmtId="0" fontId="10" fillId="0" borderId="2" xfId="0" applyFont="1" applyFill="1" applyBorder="1"/>
    <xf numFmtId="0" fontId="10" fillId="0" borderId="0" xfId="0" applyFont="1" applyFill="1" applyBorder="1"/>
    <xf numFmtId="1" fontId="10" fillId="0" borderId="0" xfId="0" applyNumberFormat="1" applyFont="1" applyFill="1" applyBorder="1"/>
    <xf numFmtId="0" fontId="10" fillId="0" borderId="3" xfId="0" applyFont="1" applyBorder="1"/>
    <xf numFmtId="0" fontId="0" fillId="0" borderId="3" xfId="0" applyBorder="1"/>
    <xf numFmtId="0" fontId="10" fillId="0" borderId="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right"/>
    </xf>
    <xf numFmtId="0" fontId="10" fillId="0" borderId="3" xfId="0" applyFont="1" applyFill="1" applyBorder="1"/>
    <xf numFmtId="0" fontId="10" fillId="0" borderId="3" xfId="0" applyFont="1" applyFill="1" applyBorder="1" applyAlignment="1"/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right"/>
    </xf>
    <xf numFmtId="0" fontId="0" fillId="0" borderId="0" xfId="0" applyFill="1"/>
    <xf numFmtId="0" fontId="0" fillId="0" borderId="1" xfId="0" applyBorder="1"/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1" fontId="10" fillId="0" borderId="0" xfId="0" quotePrefix="1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2" fontId="10" fillId="0" borderId="0" xfId="0" applyNumberFormat="1" applyFont="1" applyFill="1" applyBorder="1"/>
    <xf numFmtId="0" fontId="10" fillId="0" borderId="0" xfId="0" quotePrefix="1" applyFont="1" applyFill="1" applyBorder="1" applyAlignment="1">
      <alignment horizontal="right"/>
    </xf>
    <xf numFmtId="2" fontId="10" fillId="0" borderId="0" xfId="0" quotePrefix="1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indent="3"/>
    </xf>
    <xf numFmtId="0" fontId="0" fillId="0" borderId="0" xfId="0" applyAlignment="1">
      <alignment horizontal="center"/>
    </xf>
    <xf numFmtId="2" fontId="10" fillId="0" borderId="0" xfId="0" applyNumberFormat="1" applyFont="1" applyBorder="1"/>
    <xf numFmtId="0" fontId="10" fillId="0" borderId="0" xfId="0" quotePrefix="1" applyFont="1" applyBorder="1" applyAlignment="1">
      <alignment horizontal="right"/>
    </xf>
    <xf numFmtId="2" fontId="10" fillId="0" borderId="0" xfId="0" quotePrefix="1" applyNumberFormat="1" applyFont="1" applyBorder="1" applyAlignment="1">
      <alignment horizontal="right"/>
    </xf>
    <xf numFmtId="0" fontId="10" fillId="0" borderId="2" xfId="0" applyFont="1" applyBorder="1" applyAlignment="1">
      <alignment horizontal="left" indent="3"/>
    </xf>
    <xf numFmtId="1" fontId="10" fillId="0" borderId="2" xfId="0" quotePrefix="1" applyNumberFormat="1" applyFont="1" applyBorder="1" applyAlignment="1">
      <alignment horizontal="center"/>
    </xf>
    <xf numFmtId="0" fontId="10" fillId="0" borderId="2" xfId="0" quotePrefix="1" applyFont="1" applyBorder="1" applyAlignment="1">
      <alignment horizontal="right"/>
    </xf>
    <xf numFmtId="2" fontId="10" fillId="0" borderId="2" xfId="0" quotePrefix="1" applyNumberFormat="1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168" fontId="10" fillId="0" borderId="0" xfId="0" applyNumberFormat="1" applyFont="1" applyBorder="1" applyProtection="1"/>
    <xf numFmtId="2" fontId="10" fillId="0" borderId="0" xfId="0" applyNumberFormat="1" applyFont="1"/>
    <xf numFmtId="168" fontId="10" fillId="0" borderId="0" xfId="0" applyNumberFormat="1" applyFont="1" applyBorder="1"/>
    <xf numFmtId="0" fontId="0" fillId="0" borderId="2" xfId="0" applyBorder="1"/>
    <xf numFmtId="168" fontId="10" fillId="0" borderId="2" xfId="0" applyNumberFormat="1" applyFont="1" applyBorder="1"/>
    <xf numFmtId="0" fontId="13" fillId="0" borderId="0" xfId="0" applyFont="1"/>
    <xf numFmtId="0" fontId="10" fillId="0" borderId="0" xfId="0" applyFont="1" applyAlignment="1">
      <alignment horizontal="left" vertical="top"/>
    </xf>
    <xf numFmtId="0" fontId="14" fillId="0" borderId="0" xfId="0" applyFont="1" applyBorder="1"/>
    <xf numFmtId="0" fontId="4" fillId="4" borderId="0" xfId="0" applyFont="1" applyFill="1"/>
    <xf numFmtId="165" fontId="4" fillId="0" borderId="0" xfId="0" quotePrefix="1" applyNumberFormat="1" applyFont="1" applyProtection="1"/>
    <xf numFmtId="2" fontId="4" fillId="0" borderId="0" xfId="0" applyNumberFormat="1" applyFont="1" applyAlignment="1"/>
    <xf numFmtId="2" fontId="4" fillId="0" borderId="0" xfId="0" applyNumberFormat="1" applyFont="1" applyAlignment="1" applyProtection="1"/>
    <xf numFmtId="1" fontId="0" fillId="0" borderId="0" xfId="0" applyNumberFormat="1" applyFont="1" applyFill="1"/>
    <xf numFmtId="0" fontId="4" fillId="0" borderId="0" xfId="0" applyFont="1" applyAlignment="1"/>
    <xf numFmtId="2" fontId="4" fillId="0" borderId="4" xfId="0" applyNumberFormat="1" applyFont="1" applyBorder="1"/>
    <xf numFmtId="0" fontId="0" fillId="3" borderId="0" xfId="0" applyFont="1" applyFill="1"/>
    <xf numFmtId="0" fontId="0" fillId="0" borderId="0" xfId="0" applyFont="1" applyFill="1" applyBorder="1" applyAlignment="1">
      <alignment horizontal="left"/>
    </xf>
    <xf numFmtId="1" fontId="0" fillId="0" borderId="0" xfId="0" quotePrefix="1" applyNumberFormat="1" applyFont="1" applyBorder="1"/>
    <xf numFmtId="1" fontId="0" fillId="0" borderId="0" xfId="0" applyNumberFormat="1" applyFont="1" applyBorder="1"/>
    <xf numFmtId="1" fontId="4" fillId="0" borderId="0" xfId="0" applyNumberFormat="1" applyFont="1" applyBorder="1"/>
    <xf numFmtId="0" fontId="3" fillId="0" borderId="1" xfId="0" applyFont="1" applyBorder="1"/>
    <xf numFmtId="0" fontId="6" fillId="0" borderId="1" xfId="0" applyFont="1" applyBorder="1"/>
    <xf numFmtId="165" fontId="4" fillId="0" borderId="0" xfId="0" applyNumberFormat="1" applyFont="1" applyFill="1" applyBorder="1" applyProtection="1"/>
    <xf numFmtId="165" fontId="4" fillId="0" borderId="0" xfId="0" applyNumberFormat="1" applyFont="1" applyFill="1" applyBorder="1"/>
    <xf numFmtId="1" fontId="4" fillId="0" borderId="0" xfId="0" applyNumberFormat="1" applyFont="1" applyFill="1" applyBorder="1"/>
    <xf numFmtId="2" fontId="4" fillId="0" borderId="0" xfId="0" applyNumberFormat="1" applyFont="1" applyAlignment="1">
      <alignment horizontal="right"/>
    </xf>
    <xf numFmtId="49" fontId="4" fillId="0" borderId="0" xfId="0" applyNumberFormat="1" applyFont="1" applyAlignment="1" applyProtection="1">
      <alignment horizontal="right"/>
    </xf>
    <xf numFmtId="49" fontId="4" fillId="0" borderId="0" xfId="0" applyNumberFormat="1" applyFont="1" applyAlignment="1">
      <alignment horizontal="right"/>
    </xf>
    <xf numFmtId="2" fontId="4" fillId="0" borderId="0" xfId="0" quotePrefix="1" applyNumberFormat="1" applyFont="1" applyFill="1"/>
    <xf numFmtId="49" fontId="4" fillId="0" borderId="0" xfId="0" applyNumberFormat="1" applyFont="1" applyFill="1"/>
    <xf numFmtId="2" fontId="4" fillId="0" borderId="0" xfId="0" applyNumberFormat="1" applyFont="1" applyFill="1" applyAlignment="1"/>
    <xf numFmtId="9" fontId="4" fillId="0" borderId="4" xfId="0" applyNumberFormat="1" applyFont="1" applyBorder="1"/>
    <xf numFmtId="0" fontId="0" fillId="0" borderId="0" xfId="0" quotePrefix="1" applyFont="1" applyBorder="1" applyAlignment="1"/>
    <xf numFmtId="0" fontId="0" fillId="0" borderId="2" xfId="0" quotePrefix="1" applyFont="1" applyBorder="1" applyAlignment="1"/>
    <xf numFmtId="0" fontId="4" fillId="0" borderId="0" xfId="0" applyFont="1" applyAlignment="1">
      <alignment horizontal="right"/>
    </xf>
    <xf numFmtId="165" fontId="4" fillId="0" borderId="0" xfId="0" applyNumberFormat="1" applyFont="1"/>
    <xf numFmtId="2" fontId="0" fillId="0" borderId="0" xfId="0" applyNumberFormat="1" applyFill="1"/>
    <xf numFmtId="2" fontId="4" fillId="0" borderId="0" xfId="0" applyNumberFormat="1" applyFont="1" applyFill="1" applyAlignment="1">
      <alignment horizontal="right"/>
    </xf>
    <xf numFmtId="2" fontId="5" fillId="0" borderId="0" xfId="0" applyNumberFormat="1" applyFont="1" applyFill="1"/>
    <xf numFmtId="165" fontId="4" fillId="0" borderId="1" xfId="0" applyNumberFormat="1" applyFont="1" applyBorder="1"/>
    <xf numFmtId="2" fontId="4" fillId="0" borderId="1" xfId="0" applyNumberFormat="1" applyFont="1" applyFill="1" applyBorder="1"/>
    <xf numFmtId="165" fontId="4" fillId="0" borderId="2" xfId="0" applyNumberFormat="1" applyFont="1" applyBorder="1"/>
    <xf numFmtId="0" fontId="0" fillId="3" borderId="0" xfId="0" applyFill="1"/>
    <xf numFmtId="9" fontId="0" fillId="0" borderId="4" xfId="2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NumberFormat="1"/>
    <xf numFmtId="1" fontId="4" fillId="6" borderId="0" xfId="0" applyNumberFormat="1" applyFont="1" applyFill="1"/>
    <xf numFmtId="2" fontId="4" fillId="6" borderId="0" xfId="0" applyNumberFormat="1" applyFont="1" applyFill="1"/>
    <xf numFmtId="0" fontId="4" fillId="6" borderId="0" xfId="0" applyFont="1" applyFill="1"/>
    <xf numFmtId="0" fontId="0" fillId="0" borderId="2" xfId="0" quotePrefix="1" applyBorder="1"/>
    <xf numFmtId="168" fontId="4" fillId="5" borderId="0" xfId="0" applyNumberFormat="1" applyFont="1" applyFill="1"/>
    <xf numFmtId="2" fontId="4" fillId="5" borderId="0" xfId="0" applyNumberFormat="1" applyFont="1" applyFill="1"/>
    <xf numFmtId="168" fontId="4" fillId="0" borderId="0" xfId="0" applyNumberFormat="1" applyFont="1"/>
    <xf numFmtId="2" fontId="4" fillId="5" borderId="2" xfId="0" applyNumberFormat="1" applyFont="1" applyFill="1" applyBorder="1"/>
    <xf numFmtId="0" fontId="15" fillId="0" borderId="0" xfId="0" applyFont="1"/>
    <xf numFmtId="0" fontId="15" fillId="0" borderId="0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5" fillId="0" borderId="0" xfId="0" applyFont="1" applyBorder="1" applyAlignment="1">
      <alignment horizontal="right"/>
    </xf>
    <xf numFmtId="0" fontId="15" fillId="0" borderId="2" xfId="0" applyFont="1" applyBorder="1"/>
    <xf numFmtId="0" fontId="15" fillId="0" borderId="2" xfId="0" applyFont="1" applyBorder="1" applyAlignment="1">
      <alignment horizontal="right"/>
    </xf>
    <xf numFmtId="2" fontId="15" fillId="0" borderId="0" xfId="0" applyNumberFormat="1" applyFont="1" applyFill="1"/>
    <xf numFmtId="2" fontId="15" fillId="0" borderId="0" xfId="0" applyNumberFormat="1" applyFont="1"/>
    <xf numFmtId="165" fontId="15" fillId="0" borderId="1" xfId="0" applyNumberFormat="1" applyFont="1" applyBorder="1" applyProtection="1"/>
    <xf numFmtId="2" fontId="15" fillId="0" borderId="1" xfId="0" applyNumberFormat="1" applyFont="1" applyBorder="1"/>
    <xf numFmtId="165" fontId="15" fillId="0" borderId="2" xfId="0" applyNumberFormat="1" applyFont="1" applyBorder="1" applyProtection="1"/>
    <xf numFmtId="2" fontId="15" fillId="0" borderId="2" xfId="0" applyNumberFormat="1" applyFont="1" applyBorder="1"/>
    <xf numFmtId="0" fontId="15" fillId="0" borderId="3" xfId="0" applyFont="1" applyBorder="1"/>
    <xf numFmtId="2" fontId="15" fillId="0" borderId="0" xfId="0" applyNumberFormat="1" applyFont="1" applyBorder="1"/>
    <xf numFmtId="0" fontId="15" fillId="0" borderId="0" xfId="0" applyFont="1" applyFill="1"/>
    <xf numFmtId="0" fontId="17" fillId="0" borderId="0" xfId="0" applyFont="1" applyFill="1" applyBorder="1"/>
    <xf numFmtId="1" fontId="0" fillId="0" borderId="0" xfId="0" applyNumberFormat="1"/>
    <xf numFmtId="168" fontId="4" fillId="0" borderId="0" xfId="0" applyNumberFormat="1" applyFont="1" applyFill="1"/>
    <xf numFmtId="167" fontId="7" fillId="0" borderId="0" xfId="0" applyNumberFormat="1" applyFont="1"/>
    <xf numFmtId="1" fontId="9" fillId="0" borderId="0" xfId="0" quotePrefix="1" applyNumberFormat="1" applyFont="1" applyBorder="1" applyAlignment="1">
      <alignment horizontal="right"/>
    </xf>
    <xf numFmtId="0" fontId="7" fillId="0" borderId="0" xfId="0" quotePrefix="1" applyFont="1" applyBorder="1" applyAlignment="1">
      <alignment horizontal="right"/>
    </xf>
    <xf numFmtId="1" fontId="4" fillId="0" borderId="0" xfId="0" applyNumberFormat="1" applyFont="1" applyProtection="1"/>
    <xf numFmtId="2" fontId="2" fillId="0" borderId="0" xfId="0" applyNumberFormat="1" applyFont="1"/>
    <xf numFmtId="1" fontId="5" fillId="0" borderId="0" xfId="0" applyNumberFormat="1" applyFont="1" applyFill="1"/>
    <xf numFmtId="167" fontId="4" fillId="0" borderId="0" xfId="0" applyNumberFormat="1" applyFont="1" applyFill="1"/>
    <xf numFmtId="0" fontId="4" fillId="6" borderId="0" xfId="0" applyFont="1" applyFill="1" applyBorder="1"/>
    <xf numFmtId="0" fontId="0" fillId="0" borderId="2" xfId="0" quotePrefix="1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17" fillId="0" borderId="0" xfId="0" applyFont="1"/>
    <xf numFmtId="0" fontId="15" fillId="0" borderId="0" xfId="0" applyFont="1" applyBorder="1" applyAlignment="1">
      <alignment horizontal="left"/>
    </xf>
    <xf numFmtId="165" fontId="15" fillId="0" borderId="0" xfId="0" applyNumberFormat="1" applyFont="1" applyProtection="1"/>
    <xf numFmtId="2" fontId="15" fillId="0" borderId="0" xfId="0" applyNumberFormat="1" applyFont="1" applyProtection="1"/>
    <xf numFmtId="0" fontId="17" fillId="0" borderId="1" xfId="0" applyFont="1" applyBorder="1"/>
    <xf numFmtId="0" fontId="17" fillId="0" borderId="2" xfId="0" applyFont="1" applyBorder="1"/>
    <xf numFmtId="2" fontId="17" fillId="0" borderId="0" xfId="0" applyNumberFormat="1" applyFont="1"/>
    <xf numFmtId="9" fontId="15" fillId="0" borderId="0" xfId="0" applyNumberFormat="1" applyFont="1"/>
    <xf numFmtId="0" fontId="15" fillId="0" borderId="4" xfId="0" applyFont="1" applyBorder="1"/>
    <xf numFmtId="9" fontId="15" fillId="0" borderId="4" xfId="0" applyNumberFormat="1" applyFont="1" applyBorder="1"/>
    <xf numFmtId="0" fontId="17" fillId="3" borderId="0" xfId="0" applyFont="1" applyFill="1"/>
    <xf numFmtId="0" fontId="15" fillId="0" borderId="0" xfId="0" applyFont="1" applyAlignment="1">
      <alignment horizontal="center"/>
    </xf>
    <xf numFmtId="2" fontId="15" fillId="0" borderId="4" xfId="0" applyNumberFormat="1" applyFont="1" applyBorder="1"/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7" fillId="0" borderId="0" xfId="0" quotePrefix="1" applyFont="1" applyBorder="1"/>
    <xf numFmtId="0" fontId="15" fillId="0" borderId="0" xfId="0" applyFont="1" applyFill="1" applyBorder="1"/>
    <xf numFmtId="0" fontId="17" fillId="0" borderId="0" xfId="0" quotePrefix="1" applyFont="1" applyBorder="1" applyAlignment="1">
      <alignment horizontal="center"/>
    </xf>
    <xf numFmtId="2" fontId="15" fillId="0" borderId="0" xfId="0" applyNumberFormat="1" applyFont="1" applyFill="1" applyBorder="1"/>
    <xf numFmtId="0" fontId="17" fillId="0" borderId="0" xfId="0" quotePrefix="1" applyFont="1" applyFill="1" applyBorder="1" applyAlignment="1">
      <alignment horizontal="center"/>
    </xf>
    <xf numFmtId="0" fontId="19" fillId="0" borderId="0" xfId="0" applyFont="1" applyFill="1"/>
    <xf numFmtId="0" fontId="19" fillId="0" borderId="1" xfId="0" applyFont="1" applyFill="1" applyBorder="1"/>
    <xf numFmtId="0" fontId="19" fillId="0" borderId="1" xfId="0" applyFont="1" applyFill="1" applyBorder="1" applyAlignment="1">
      <alignment horizontal="right"/>
    </xf>
    <xf numFmtId="0" fontId="19" fillId="0" borderId="1" xfId="0" applyFont="1" applyFill="1" applyBorder="1" applyAlignment="1">
      <alignment horizontal="left"/>
    </xf>
    <xf numFmtId="0" fontId="19" fillId="0" borderId="0" xfId="0" applyFont="1" applyFill="1" applyBorder="1"/>
    <xf numFmtId="0" fontId="19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left"/>
    </xf>
    <xf numFmtId="0" fontId="19" fillId="0" borderId="2" xfId="0" applyFont="1" applyFill="1" applyBorder="1"/>
    <xf numFmtId="0" fontId="19" fillId="0" borderId="2" xfId="0" applyFont="1" applyFill="1" applyBorder="1" applyAlignment="1">
      <alignment horizontal="right"/>
    </xf>
    <xf numFmtId="165" fontId="19" fillId="0" borderId="0" xfId="0" applyNumberFormat="1" applyFont="1" applyFill="1" applyProtection="1"/>
    <xf numFmtId="2" fontId="19" fillId="0" borderId="0" xfId="0" applyNumberFormat="1" applyFont="1" applyFill="1"/>
    <xf numFmtId="2" fontId="19" fillId="0" borderId="0" xfId="0" applyNumberFormat="1" applyFont="1" applyFill="1" applyProtection="1"/>
    <xf numFmtId="165" fontId="19" fillId="0" borderId="0" xfId="0" quotePrefix="1" applyNumberFormat="1" applyFont="1" applyFill="1" applyAlignment="1" applyProtection="1">
      <alignment horizontal="right"/>
    </xf>
    <xf numFmtId="2" fontId="19" fillId="0" borderId="0" xfId="0" quotePrefix="1" applyNumberFormat="1" applyFont="1" applyFill="1" applyAlignment="1">
      <alignment horizontal="right"/>
    </xf>
    <xf numFmtId="2" fontId="19" fillId="0" borderId="0" xfId="0" quotePrefix="1" applyNumberFormat="1" applyFont="1" applyFill="1" applyAlignment="1" applyProtection="1">
      <alignment horizontal="right"/>
    </xf>
    <xf numFmtId="49" fontId="19" fillId="0" borderId="0" xfId="0" quotePrefix="1" applyNumberFormat="1" applyFont="1" applyFill="1" applyAlignment="1" applyProtection="1">
      <alignment horizontal="right"/>
    </xf>
    <xf numFmtId="2" fontId="19" fillId="0" borderId="0" xfId="0" quotePrefix="1" applyNumberFormat="1" applyFont="1" applyFill="1"/>
    <xf numFmtId="1" fontId="19" fillId="0" borderId="0" xfId="0" quotePrefix="1" applyNumberFormat="1" applyFont="1" applyFill="1" applyAlignment="1">
      <alignment horizontal="right"/>
    </xf>
    <xf numFmtId="49" fontId="19" fillId="0" borderId="0" xfId="0" quotePrefix="1" applyNumberFormat="1" applyFont="1" applyFill="1" applyAlignment="1">
      <alignment horizontal="right"/>
    </xf>
    <xf numFmtId="1" fontId="19" fillId="0" borderId="0" xfId="0" applyNumberFormat="1" applyFont="1" applyFill="1"/>
    <xf numFmtId="2" fontId="19" fillId="8" borderId="0" xfId="0" applyNumberFormat="1" applyFont="1" applyFill="1"/>
    <xf numFmtId="165" fontId="19" fillId="0" borderId="1" xfId="0" applyNumberFormat="1" applyFont="1" applyFill="1" applyBorder="1" applyProtection="1"/>
    <xf numFmtId="2" fontId="19" fillId="0" borderId="1" xfId="0" applyNumberFormat="1" applyFont="1" applyFill="1" applyBorder="1"/>
    <xf numFmtId="1" fontId="19" fillId="0" borderId="1" xfId="0" applyNumberFormat="1" applyFont="1" applyFill="1" applyBorder="1"/>
    <xf numFmtId="165" fontId="19" fillId="0" borderId="2" xfId="0" applyNumberFormat="1" applyFont="1" applyFill="1" applyBorder="1" applyProtection="1"/>
    <xf numFmtId="2" fontId="19" fillId="0" borderId="2" xfId="0" applyNumberFormat="1" applyFont="1" applyFill="1" applyBorder="1"/>
    <xf numFmtId="0" fontId="19" fillId="0" borderId="3" xfId="0" applyFont="1" applyFill="1" applyBorder="1"/>
    <xf numFmtId="9" fontId="19" fillId="0" borderId="0" xfId="0" applyNumberFormat="1" applyFont="1" applyFill="1"/>
    <xf numFmtId="167" fontId="19" fillId="0" borderId="0" xfId="0" applyNumberFormat="1" applyFont="1" applyFill="1"/>
    <xf numFmtId="0" fontId="19" fillId="0" borderId="4" xfId="0" applyFont="1" applyFill="1" applyBorder="1"/>
    <xf numFmtId="9" fontId="19" fillId="0" borderId="4" xfId="0" applyNumberFormat="1" applyFont="1" applyFill="1" applyBorder="1"/>
    <xf numFmtId="2" fontId="19" fillId="0" borderId="0" xfId="0" applyNumberFormat="1" applyFont="1" applyFill="1" applyBorder="1"/>
    <xf numFmtId="0" fontId="19" fillId="0" borderId="4" xfId="0" applyNumberFormat="1" applyFont="1" applyFill="1" applyBorder="1"/>
    <xf numFmtId="9" fontId="19" fillId="0" borderId="0" xfId="0" applyNumberFormat="1" applyFont="1" applyFill="1" applyAlignment="1">
      <alignment horizontal="right"/>
    </xf>
    <xf numFmtId="171" fontId="19" fillId="0" borderId="0" xfId="0" applyNumberFormat="1" applyFont="1" applyFill="1"/>
    <xf numFmtId="2" fontId="19" fillId="0" borderId="4" xfId="0" applyNumberFormat="1" applyFont="1" applyFill="1" applyBorder="1"/>
    <xf numFmtId="0" fontId="19" fillId="0" borderId="0" xfId="0" quotePrefix="1" applyFont="1" applyFill="1" applyBorder="1"/>
    <xf numFmtId="2" fontId="19" fillId="0" borderId="0" xfId="0" quotePrefix="1" applyNumberFormat="1" applyFont="1" applyFill="1" applyBorder="1"/>
    <xf numFmtId="0" fontId="19" fillId="0" borderId="0" xfId="0" quotePrefix="1" applyFont="1" applyFill="1" applyBorder="1" applyAlignment="1">
      <alignment horizontal="right"/>
    </xf>
    <xf numFmtId="165" fontId="19" fillId="0" borderId="0" xfId="0" applyNumberFormat="1" applyFont="1" applyFill="1" applyBorder="1" applyProtection="1"/>
    <xf numFmtId="168" fontId="19" fillId="0" borderId="0" xfId="0" applyNumberFormat="1" applyFont="1" applyFill="1" applyBorder="1"/>
    <xf numFmtId="168" fontId="19" fillId="0" borderId="2" xfId="0" applyNumberFormat="1" applyFont="1" applyFill="1" applyBorder="1"/>
    <xf numFmtId="0" fontId="5" fillId="0" borderId="0" xfId="0" applyFont="1" applyFill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right"/>
    </xf>
    <xf numFmtId="165" fontId="4" fillId="0" borderId="0" xfId="0" applyNumberFormat="1" applyFont="1" applyFill="1" applyAlignment="1" applyProtection="1">
      <alignment horizontal="right"/>
    </xf>
    <xf numFmtId="0" fontId="0" fillId="0" borderId="0" xfId="0" applyFont="1" applyFill="1"/>
    <xf numFmtId="2" fontId="4" fillId="0" borderId="0" xfId="0" applyNumberFormat="1" applyFont="1" applyFill="1" applyAlignment="1" applyProtection="1">
      <alignment horizontal="right"/>
    </xf>
    <xf numFmtId="0" fontId="0" fillId="0" borderId="1" xfId="0" applyFont="1" applyFill="1" applyBorder="1"/>
    <xf numFmtId="165" fontId="4" fillId="0" borderId="1" xfId="0" applyNumberFormat="1" applyFont="1" applyFill="1" applyBorder="1" applyProtection="1"/>
    <xf numFmtId="0" fontId="0" fillId="0" borderId="2" xfId="0" applyFont="1" applyFill="1" applyBorder="1"/>
    <xf numFmtId="165" fontId="4" fillId="0" borderId="2" xfId="0" applyNumberFormat="1" applyFont="1" applyFill="1" applyBorder="1" applyProtection="1"/>
    <xf numFmtId="9" fontId="4" fillId="0" borderId="0" xfId="0" applyNumberFormat="1" applyFont="1" applyFill="1"/>
    <xf numFmtId="0" fontId="4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/>
    <xf numFmtId="10" fontId="4" fillId="0" borderId="4" xfId="0" applyNumberFormat="1" applyFont="1" applyFill="1" applyBorder="1"/>
    <xf numFmtId="0" fontId="4" fillId="0" borderId="0" xfId="0" applyFont="1" applyFill="1" applyAlignment="1">
      <alignment horizontal="center" vertical="center"/>
    </xf>
    <xf numFmtId="2" fontId="4" fillId="0" borderId="4" xfId="0" applyNumberFormat="1" applyFont="1" applyFill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Fill="1" applyBorder="1" applyAlignment="1">
      <alignment horizontal="center" vertical="center"/>
    </xf>
    <xf numFmtId="0" fontId="0" fillId="0" borderId="2" xfId="0" quotePrefix="1" applyFont="1" applyFill="1" applyBorder="1"/>
    <xf numFmtId="0" fontId="4" fillId="0" borderId="1" xfId="0" applyFont="1" applyFill="1" applyBorder="1" applyAlignment="1">
      <alignment vertical="center"/>
    </xf>
    <xf numFmtId="0" fontId="15" fillId="0" borderId="0" xfId="0" applyFont="1" applyFill="1" applyAlignment="1">
      <alignment horizontal="left" vertical="top"/>
    </xf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0" xfId="0" applyNumberFormat="1" applyFont="1" applyFill="1" applyProtection="1"/>
    <xf numFmtId="2" fontId="0" fillId="0" borderId="0" xfId="0" applyNumberFormat="1" applyFont="1" applyFill="1" applyProtection="1"/>
    <xf numFmtId="165" fontId="0" fillId="0" borderId="0" xfId="0" applyNumberFormat="1" applyFont="1" applyFill="1" applyProtection="1"/>
    <xf numFmtId="49" fontId="0" fillId="0" borderId="0" xfId="0" applyNumberFormat="1" applyFont="1" applyFill="1" applyAlignment="1">
      <alignment horizontal="right"/>
    </xf>
    <xf numFmtId="49" fontId="0" fillId="0" borderId="0" xfId="0" applyNumberFormat="1" applyFont="1" applyFill="1"/>
    <xf numFmtId="165" fontId="0" fillId="0" borderId="1" xfId="0" applyNumberFormat="1" applyFont="1" applyFill="1" applyBorder="1" applyProtection="1"/>
    <xf numFmtId="2" fontId="0" fillId="0" borderId="1" xfId="0" applyNumberFormat="1" applyFont="1" applyFill="1" applyBorder="1"/>
    <xf numFmtId="1" fontId="0" fillId="0" borderId="1" xfId="0" applyNumberFormat="1" applyFont="1" applyFill="1" applyBorder="1"/>
    <xf numFmtId="165" fontId="0" fillId="0" borderId="2" xfId="0" applyNumberFormat="1" applyFont="1" applyFill="1" applyBorder="1" applyProtection="1"/>
    <xf numFmtId="2" fontId="0" fillId="0" borderId="2" xfId="0" applyNumberFormat="1" applyFont="1" applyFill="1" applyBorder="1"/>
    <xf numFmtId="1" fontId="0" fillId="0" borderId="2" xfId="0" applyNumberFormat="1" applyFont="1" applyFill="1" applyBorder="1"/>
    <xf numFmtId="9" fontId="0" fillId="0" borderId="4" xfId="0" applyNumberFormat="1" applyFont="1" applyFill="1" applyBorder="1"/>
    <xf numFmtId="0" fontId="0" fillId="0" borderId="4" xfId="0" applyFont="1" applyFill="1" applyBorder="1"/>
    <xf numFmtId="0" fontId="0" fillId="0" borderId="3" xfId="0" applyFont="1" applyFill="1" applyBorder="1"/>
    <xf numFmtId="167" fontId="0" fillId="0" borderId="0" xfId="0" applyNumberFormat="1" applyFont="1" applyFill="1"/>
    <xf numFmtId="9" fontId="0" fillId="0" borderId="0" xfId="0" applyNumberFormat="1" applyFont="1" applyFill="1"/>
    <xf numFmtId="2" fontId="0" fillId="0" borderId="4" xfId="0" applyNumberFormat="1" applyFont="1" applyFill="1" applyBorder="1"/>
    <xf numFmtId="1" fontId="0" fillId="0" borderId="0" xfId="0" applyNumberFormat="1" applyFont="1" applyFill="1" applyBorder="1"/>
    <xf numFmtId="2" fontId="0" fillId="0" borderId="0" xfId="0" quotePrefix="1" applyNumberFormat="1" applyFont="1" applyFill="1" applyBorder="1"/>
    <xf numFmtId="2" fontId="0" fillId="0" borderId="0" xfId="0" applyNumberFormat="1" applyFont="1" applyFill="1" applyBorder="1"/>
    <xf numFmtId="168" fontId="0" fillId="0" borderId="0" xfId="0" applyNumberFormat="1" applyFont="1" applyFill="1" applyBorder="1" applyProtection="1"/>
    <xf numFmtId="168" fontId="0" fillId="0" borderId="0" xfId="0" applyNumberFormat="1" applyFont="1" applyFill="1" applyBorder="1"/>
    <xf numFmtId="168" fontId="0" fillId="0" borderId="2" xfId="0" applyNumberFormat="1" applyFont="1" applyFill="1" applyBorder="1"/>
    <xf numFmtId="9" fontId="4" fillId="0" borderId="0" xfId="2" applyFont="1" applyFill="1"/>
    <xf numFmtId="1" fontId="4" fillId="0" borderId="0" xfId="2" applyNumberFormat="1" applyFont="1" applyFill="1"/>
    <xf numFmtId="1" fontId="4" fillId="0" borderId="0" xfId="0" quotePrefix="1" applyNumberFormat="1" applyFont="1" applyFill="1" applyAlignment="1" applyProtection="1">
      <alignment horizontal="right"/>
    </xf>
    <xf numFmtId="49" fontId="4" fillId="0" borderId="0" xfId="0" quotePrefix="1" applyNumberFormat="1" applyFont="1" applyFill="1" applyAlignment="1" applyProtection="1">
      <alignment horizontal="right"/>
    </xf>
    <xf numFmtId="0" fontId="4" fillId="0" borderId="0" xfId="0" quotePrefix="1" applyFont="1" applyFill="1"/>
    <xf numFmtId="9" fontId="4" fillId="0" borderId="4" xfId="0" applyNumberFormat="1" applyFont="1" applyFill="1" applyBorder="1"/>
    <xf numFmtId="0" fontId="4" fillId="0" borderId="0" xfId="0" quotePrefix="1" applyFont="1" applyFill="1" applyBorder="1"/>
    <xf numFmtId="9" fontId="4" fillId="0" borderId="0" xfId="2" quotePrefix="1" applyFont="1" applyFill="1" applyAlignment="1">
      <alignment horizontal="right"/>
    </xf>
    <xf numFmtId="1" fontId="4" fillId="0" borderId="0" xfId="0" applyNumberFormat="1" applyFont="1" applyFill="1" applyBorder="1" applyAlignment="1">
      <alignment horizontal="right"/>
    </xf>
    <xf numFmtId="9" fontId="4" fillId="0" borderId="0" xfId="2" quotePrefix="1" applyFont="1" applyFill="1" applyBorder="1" applyAlignment="1">
      <alignment horizontal="right"/>
    </xf>
    <xf numFmtId="1" fontId="4" fillId="0" borderId="0" xfId="0" quotePrefix="1" applyNumberFormat="1" applyFont="1" applyFill="1" applyBorder="1" applyAlignment="1">
      <alignment horizontal="right"/>
    </xf>
    <xf numFmtId="2" fontId="4" fillId="0" borderId="0" xfId="0" quotePrefix="1" applyNumberFormat="1" applyFont="1" applyFill="1" applyBorder="1" applyAlignment="1">
      <alignment horizontal="right"/>
    </xf>
    <xf numFmtId="0" fontId="4" fillId="0" borderId="2" xfId="0" quotePrefix="1" applyFont="1" applyFill="1" applyBorder="1"/>
    <xf numFmtId="2" fontId="16" fillId="0" borderId="0" xfId="0" applyNumberFormat="1" applyFont="1" applyFill="1" applyAlignment="1">
      <alignment horizontal="left" vertical="top"/>
    </xf>
    <xf numFmtId="2" fontId="15" fillId="3" borderId="0" xfId="0" applyNumberFormat="1" applyFont="1" applyFill="1"/>
    <xf numFmtId="2" fontId="18" fillId="3" borderId="0" xfId="0" applyNumberFormat="1" applyFont="1" applyFill="1"/>
    <xf numFmtId="168" fontId="15" fillId="0" borderId="0" xfId="0" applyNumberFormat="1" applyFont="1" applyFill="1" applyBorder="1" applyProtection="1"/>
    <xf numFmtId="168" fontId="15" fillId="0" borderId="0" xfId="0" applyNumberFormat="1" applyFont="1" applyFill="1" applyBorder="1"/>
    <xf numFmtId="2" fontId="15" fillId="0" borderId="2" xfId="0" applyNumberFormat="1" applyFont="1" applyFill="1" applyBorder="1"/>
    <xf numFmtId="0" fontId="15" fillId="0" borderId="2" xfId="0" applyFont="1" applyFill="1" applyBorder="1"/>
    <xf numFmtId="168" fontId="15" fillId="0" borderId="2" xfId="0" applyNumberFormat="1" applyFont="1" applyFill="1" applyBorder="1"/>
    <xf numFmtId="0" fontId="15" fillId="0" borderId="1" xfId="0" applyFont="1" applyFill="1" applyBorder="1"/>
    <xf numFmtId="2" fontId="15" fillId="0" borderId="1" xfId="0" applyNumberFormat="1" applyFont="1" applyFill="1" applyBorder="1"/>
    <xf numFmtId="49" fontId="15" fillId="0" borderId="0" xfId="0" applyNumberFormat="1" applyFont="1" applyFill="1" applyBorder="1"/>
    <xf numFmtId="2" fontId="17" fillId="0" borderId="0" xfId="0" applyNumberFormat="1" applyFont="1" applyFill="1" applyBorder="1"/>
    <xf numFmtId="2" fontId="0" fillId="0" borderId="4" xfId="0" applyNumberFormat="1" applyBorder="1"/>
    <xf numFmtId="2" fontId="4" fillId="7" borderId="0" xfId="0" applyNumberFormat="1" applyFont="1" applyFill="1"/>
    <xf numFmtId="168" fontId="4" fillId="7" borderId="0" xfId="0" applyNumberFormat="1" applyFont="1" applyFill="1" applyBorder="1" applyProtection="1"/>
    <xf numFmtId="0" fontId="0" fillId="7" borderId="0" xfId="0" applyFill="1" applyAlignment="1">
      <alignment horizontal="left"/>
    </xf>
    <xf numFmtId="0" fontId="20" fillId="0" borderId="0" xfId="0" applyFont="1"/>
    <xf numFmtId="2" fontId="20" fillId="0" borderId="0" xfId="0" applyNumberFormat="1" applyFont="1"/>
    <xf numFmtId="49" fontId="4" fillId="5" borderId="0" xfId="0" applyNumberFormat="1" applyFont="1" applyFill="1" applyAlignment="1">
      <alignment horizontal="right"/>
    </xf>
    <xf numFmtId="167" fontId="20" fillId="0" borderId="0" xfId="0" applyNumberFormat="1" applyFont="1"/>
    <xf numFmtId="2" fontId="4" fillId="7" borderId="0" xfId="0" applyNumberFormat="1" applyFont="1" applyFill="1" applyBorder="1"/>
    <xf numFmtId="168" fontId="4" fillId="0" borderId="0" xfId="0" applyNumberFormat="1" applyFont="1" applyFill="1" applyBorder="1" applyProtection="1"/>
    <xf numFmtId="0" fontId="0" fillId="2" borderId="0" xfId="0" applyFill="1"/>
    <xf numFmtId="0" fontId="19" fillId="0" borderId="5" xfId="0" quotePrefix="1" applyFont="1" applyFill="1" applyBorder="1"/>
    <xf numFmtId="0" fontId="19" fillId="0" borderId="6" xfId="0" applyFont="1" applyFill="1" applyBorder="1"/>
    <xf numFmtId="0" fontId="19" fillId="0" borderId="9" xfId="0" quotePrefix="1" applyFont="1" applyFill="1" applyBorder="1" applyAlignment="1">
      <alignment horizontal="right"/>
    </xf>
    <xf numFmtId="0" fontId="19" fillId="0" borderId="10" xfId="0" applyFont="1" applyFill="1" applyBorder="1"/>
    <xf numFmtId="0" fontId="19" fillId="0" borderId="9" xfId="0" applyFont="1" applyFill="1" applyBorder="1"/>
    <xf numFmtId="0" fontId="19" fillId="2" borderId="10" xfId="0" applyFont="1" applyFill="1" applyBorder="1"/>
    <xf numFmtId="0" fontId="19" fillId="0" borderId="7" xfId="0" applyFont="1" applyFill="1" applyBorder="1"/>
    <xf numFmtId="0" fontId="19" fillId="2" borderId="8" xfId="0" applyFont="1" applyFill="1" applyBorder="1"/>
    <xf numFmtId="0" fontId="21" fillId="0" borderId="0" xfId="0" applyFont="1"/>
    <xf numFmtId="0" fontId="7" fillId="2" borderId="0" xfId="0" applyFont="1" applyFill="1"/>
    <xf numFmtId="0" fontId="7" fillId="2" borderId="0" xfId="0" applyFont="1" applyFill="1" applyBorder="1" applyAlignment="1">
      <alignment horizontal="right"/>
    </xf>
    <xf numFmtId="0" fontId="7" fillId="7" borderId="0" xfId="0" applyFont="1" applyFill="1"/>
    <xf numFmtId="165" fontId="7" fillId="0" borderId="0" xfId="0" quotePrefix="1" applyNumberFormat="1" applyFont="1" applyFill="1" applyProtection="1"/>
    <xf numFmtId="4" fontId="7" fillId="0" borderId="0" xfId="0" applyNumberFormat="1" applyFont="1" applyFill="1" applyProtection="1"/>
    <xf numFmtId="4" fontId="7" fillId="0" borderId="0" xfId="0" applyNumberFormat="1" applyFont="1" applyFill="1"/>
    <xf numFmtId="4" fontId="7" fillId="0" borderId="0" xfId="0" applyNumberFormat="1" applyFont="1"/>
    <xf numFmtId="4" fontId="7" fillId="2" borderId="0" xfId="0" applyNumberFormat="1" applyFont="1" applyFill="1"/>
    <xf numFmtId="2" fontId="7" fillId="0" borderId="0" xfId="0" quotePrefix="1" applyNumberFormat="1" applyFont="1" applyFill="1"/>
    <xf numFmtId="165" fontId="7" fillId="0" borderId="0" xfId="0" quotePrefix="1" applyNumberFormat="1" applyFont="1" applyFill="1" applyAlignment="1" applyProtection="1">
      <alignment horizontal="right"/>
    </xf>
    <xf numFmtId="4" fontId="7" fillId="7" borderId="0" xfId="0" applyNumberFormat="1" applyFont="1" applyFill="1"/>
    <xf numFmtId="4" fontId="7" fillId="0" borderId="0" xfId="0" applyNumberFormat="1" applyFont="1" applyProtection="1"/>
    <xf numFmtId="2" fontId="7" fillId="2" borderId="0" xfId="0" applyNumberFormat="1" applyFont="1" applyFill="1" applyBorder="1"/>
    <xf numFmtId="164" fontId="7" fillId="0" borderId="0" xfId="0" applyNumberFormat="1" applyFont="1"/>
    <xf numFmtId="4" fontId="7" fillId="0" borderId="2" xfId="0" applyNumberFormat="1" applyFont="1" applyBorder="1"/>
    <xf numFmtId="3" fontId="7" fillId="0" borderId="2" xfId="0" applyNumberFormat="1" applyFont="1" applyBorder="1"/>
    <xf numFmtId="164" fontId="7" fillId="0" borderId="2" xfId="1" applyFont="1" applyBorder="1"/>
    <xf numFmtId="0" fontId="7" fillId="2" borderId="0" xfId="0" applyFont="1" applyFill="1" applyBorder="1"/>
    <xf numFmtId="0" fontId="7" fillId="0" borderId="5" xfId="0" applyFont="1" applyBorder="1"/>
    <xf numFmtId="2" fontId="7" fillId="0" borderId="6" xfId="0" applyNumberFormat="1" applyFont="1" applyBorder="1"/>
    <xf numFmtId="0" fontId="7" fillId="0" borderId="7" xfId="0" applyFont="1" applyBorder="1"/>
    <xf numFmtId="2" fontId="7" fillId="0" borderId="8" xfId="0" applyNumberFormat="1" applyFont="1" applyBorder="1"/>
    <xf numFmtId="2" fontId="7" fillId="0" borderId="4" xfId="0" applyNumberFormat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168" fontId="7" fillId="0" borderId="4" xfId="0" applyNumberFormat="1" applyFont="1" applyFill="1" applyBorder="1" applyProtection="1"/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/>
    <xf numFmtId="0" fontId="7" fillId="0" borderId="0" xfId="0" quotePrefix="1" applyFont="1" applyBorder="1" applyAlignment="1">
      <alignment horizontal="center"/>
    </xf>
    <xf numFmtId="4" fontId="7" fillId="0" borderId="0" xfId="0" applyNumberFormat="1" applyFont="1" applyBorder="1"/>
    <xf numFmtId="2" fontId="7" fillId="0" borderId="0" xfId="0" quotePrefix="1" applyNumberFormat="1" applyFont="1" applyBorder="1"/>
    <xf numFmtId="0" fontId="7" fillId="0" borderId="0" xfId="0" quotePrefix="1" applyFont="1" applyBorder="1"/>
    <xf numFmtId="0" fontId="7" fillId="0" borderId="0" xfId="0" quotePrefix="1" applyFont="1"/>
    <xf numFmtId="1" fontId="7" fillId="2" borderId="0" xfId="0" applyNumberFormat="1" applyFont="1" applyFill="1"/>
    <xf numFmtId="0" fontId="23" fillId="0" borderId="1" xfId="0" applyFont="1" applyBorder="1"/>
    <xf numFmtId="4" fontId="7" fillId="0" borderId="0" xfId="0" applyNumberFormat="1" applyFont="1" applyFill="1" applyBorder="1" applyProtection="1"/>
    <xf numFmtId="3" fontId="7" fillId="0" borderId="0" xfId="0" applyNumberFormat="1" applyFont="1"/>
    <xf numFmtId="0" fontId="7" fillId="4" borderId="0" xfId="0" applyFont="1" applyFill="1"/>
    <xf numFmtId="4" fontId="7" fillId="0" borderId="0" xfId="0" applyNumberFormat="1" applyFont="1" applyFill="1" applyBorder="1"/>
    <xf numFmtId="4" fontId="7" fillId="0" borderId="0" xfId="0" quotePrefix="1" applyNumberFormat="1" applyFont="1" applyAlignment="1">
      <alignment horizontal="right"/>
    </xf>
    <xf numFmtId="0" fontId="0" fillId="0" borderId="4" xfId="0" applyBorder="1" applyAlignment="1">
      <alignment horizontal="center"/>
    </xf>
    <xf numFmtId="2" fontId="10" fillId="0" borderId="0" xfId="0" applyNumberFormat="1" applyFont="1" applyFill="1" applyAlignment="1">
      <alignment horizontal="right" vertical="center"/>
    </xf>
    <xf numFmtId="2" fontId="10" fillId="0" borderId="0" xfId="0" applyNumberFormat="1" applyFont="1" applyFill="1" applyAlignment="1" applyProtection="1">
      <alignment horizontal="right" vertical="center"/>
    </xf>
    <xf numFmtId="2" fontId="10" fillId="0" borderId="0" xfId="0" applyNumberFormat="1" applyFont="1" applyFill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 applyProtection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right"/>
    </xf>
    <xf numFmtId="2" fontId="19" fillId="0" borderId="0" xfId="0" applyNumberFormat="1" applyFont="1" applyFill="1" applyAlignment="1">
      <alignment horizontal="center"/>
    </xf>
    <xf numFmtId="2" fontId="19" fillId="0" borderId="0" xfId="0" applyNumberFormat="1" applyFont="1" applyFill="1" applyAlignment="1" applyProtection="1">
      <alignment horizontal="center"/>
    </xf>
    <xf numFmtId="2" fontId="19" fillId="0" borderId="0" xfId="0" applyNumberFormat="1" applyFont="1" applyFill="1" applyAlignment="1">
      <alignment horizontal="right" vertical="center"/>
    </xf>
    <xf numFmtId="0" fontId="0" fillId="0" borderId="0" xfId="0" applyBorder="1" applyAlignment="1">
      <alignment horizontal="center"/>
    </xf>
    <xf numFmtId="1" fontId="4" fillId="0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 applyProtection="1">
      <alignment horizontal="right" vertical="center"/>
    </xf>
    <xf numFmtId="1" fontId="4" fillId="0" borderId="0" xfId="0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 applyProtection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right" vertical="center"/>
    </xf>
    <xf numFmtId="1" fontId="4" fillId="0" borderId="0" xfId="0" applyNumberFormat="1" applyFont="1" applyAlignment="1" applyProtection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2022%20yala/2022%20yala/Checked/JAP%20COC%202022%20Yala%20-%20new/COC%20Cawpea-Ampara%20%202022%20yal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2022%20yala/2022%20yala/Checked/JAP%20COC%202022%20Yala%20-%20new/COC%20Blackgram-Mahaweli%20H%202022yal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SHANIE/Downloads/COC%20%20SOYA%20-%20MAhaweli%20H%20-%202022%20Yal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"/>
      <sheetName val="Analysis "/>
      <sheetName val="Formula"/>
      <sheetName val="jap edited"/>
      <sheetName val="jap final"/>
      <sheetName val="COC"/>
    </sheetNames>
    <sheetDataSet>
      <sheetData sheetId="0"/>
      <sheetData sheetId="1">
        <row r="49">
          <cell r="GD49">
            <v>100</v>
          </cell>
          <cell r="JV49">
            <v>80</v>
          </cell>
          <cell r="LL49">
            <v>97.142857142857139</v>
          </cell>
          <cell r="TK49">
            <v>100</v>
          </cell>
        </row>
        <row r="50">
          <cell r="X50">
            <v>2</v>
          </cell>
          <cell r="JV50">
            <v>0.84778761061946928</v>
          </cell>
        </row>
        <row r="51">
          <cell r="X51">
            <v>2.0142857142857142</v>
          </cell>
          <cell r="KN51">
            <v>0.49358407079646016</v>
          </cell>
          <cell r="LL51">
            <v>6.1514598540145986</v>
          </cell>
          <cell r="MX51">
            <v>0.56035380843166838</v>
          </cell>
          <cell r="TK51">
            <v>1.1207446808510637</v>
          </cell>
        </row>
        <row r="53">
          <cell r="W53" t="str">
            <v>Red</v>
          </cell>
          <cell r="GD53">
            <v>0.87411347517730498</v>
          </cell>
          <cell r="KN53">
            <v>0.29756637168141592</v>
          </cell>
          <cell r="LL53">
            <v>3.7718978102189782</v>
          </cell>
          <cell r="MX53">
            <v>0.34689922480620156</v>
          </cell>
          <cell r="QN53">
            <v>4.205673758865248</v>
          </cell>
          <cell r="SM53">
            <v>1.2443430656934307</v>
          </cell>
          <cell r="TK53">
            <v>1.0909574468085106</v>
          </cell>
        </row>
        <row r="54">
          <cell r="W54" t="str">
            <v>Malysia</v>
          </cell>
          <cell r="KN54">
            <v>2016.0599571734474</v>
          </cell>
          <cell r="TK54">
            <v>1500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Analysis"/>
      <sheetName val="Analy"/>
      <sheetName val="Formula"/>
      <sheetName val="jap tabu"/>
      <sheetName val="jap final"/>
    </sheetNames>
    <sheetDataSet>
      <sheetData sheetId="0"/>
      <sheetData sheetId="1">
        <row r="45">
          <cell r="LJ45">
            <v>90</v>
          </cell>
        </row>
        <row r="46">
          <cell r="QJ46">
            <v>100</v>
          </cell>
          <cell r="SJ46">
            <v>96.666666666666671</v>
          </cell>
        </row>
        <row r="47">
          <cell r="GC47">
            <v>100</v>
          </cell>
        </row>
        <row r="48">
          <cell r="L48" t="str">
            <v>kalu udu</v>
          </cell>
          <cell r="M48">
            <v>0.26666666666666666</v>
          </cell>
        </row>
        <row r="49">
          <cell r="M49">
            <v>3.3333333333333333E-2</v>
          </cell>
        </row>
        <row r="50">
          <cell r="L50" t="str">
            <v>MI 01</v>
          </cell>
          <cell r="M50">
            <v>0.5</v>
          </cell>
          <cell r="QJ50">
            <v>1.2088888888888889</v>
          </cell>
          <cell r="SJ50">
            <v>0.37833333333333335</v>
          </cell>
        </row>
        <row r="51">
          <cell r="L51" t="str">
            <v>Anurada</v>
          </cell>
          <cell r="M51">
            <v>0.2</v>
          </cell>
          <cell r="BD51">
            <v>1.8461538461538463</v>
          </cell>
          <cell r="EA51">
            <v>0.74576271186440679</v>
          </cell>
          <cell r="GC51">
            <v>0.96888888888888891</v>
          </cell>
        </row>
        <row r="52">
          <cell r="CN52">
            <v>0.36633663366336633</v>
          </cell>
        </row>
        <row r="54">
          <cell r="QJ54">
            <v>6.4177777777777774</v>
          </cell>
          <cell r="SJ54">
            <v>0.69833333333333336</v>
          </cell>
        </row>
        <row r="55">
          <cell r="EA55">
            <v>3.9096045197740112</v>
          </cell>
          <cell r="GC55">
            <v>3.8488888888888888</v>
          </cell>
        </row>
        <row r="56">
          <cell r="CN56">
            <v>0.36633663366336633</v>
          </cell>
          <cell r="EA56">
            <v>1774.2857142857144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Analysis"/>
      <sheetName val="Analy"/>
      <sheetName val="Formula"/>
      <sheetName val="COC edited"/>
    </sheetNames>
    <sheetDataSet>
      <sheetData sheetId="0" refreshError="1"/>
      <sheetData sheetId="1">
        <row r="46">
          <cell r="K46">
            <v>1.6416666666666666</v>
          </cell>
          <cell r="GD46">
            <v>100</v>
          </cell>
          <cell r="LN46">
            <v>93.333333333333329</v>
          </cell>
          <cell r="MN46">
            <v>70</v>
          </cell>
          <cell r="NA46">
            <v>100</v>
          </cell>
          <cell r="QO46">
            <v>100</v>
          </cell>
          <cell r="SN46">
            <v>100</v>
          </cell>
        </row>
        <row r="47">
          <cell r="K47">
            <v>1</v>
          </cell>
          <cell r="BM47">
            <v>76.666666666666671</v>
          </cell>
          <cell r="JU47">
            <v>53.333333333333336</v>
          </cell>
          <cell r="KQ47">
            <v>60</v>
          </cell>
          <cell r="OY47">
            <v>100</v>
          </cell>
        </row>
        <row r="48">
          <cell r="EA48">
            <v>93.333333333333329</v>
          </cell>
        </row>
        <row r="50">
          <cell r="GD50">
            <v>2.7005076142131981</v>
          </cell>
          <cell r="JU50">
            <v>2646.1538461538462</v>
          </cell>
          <cell r="MN50">
            <v>0.35374149659863946</v>
          </cell>
          <cell r="QO50">
            <v>2.2741116751269033</v>
          </cell>
        </row>
        <row r="51">
          <cell r="KQ51">
            <v>0.48478260869565215</v>
          </cell>
        </row>
        <row r="52">
          <cell r="EA52">
            <v>2.1242937853107344</v>
          </cell>
        </row>
        <row r="54">
          <cell r="GD54">
            <v>6.7715736040609134</v>
          </cell>
          <cell r="MN54">
            <v>0.50476190476190474</v>
          </cell>
          <cell r="QO54">
            <v>8.3553299492385786</v>
          </cell>
        </row>
        <row r="55">
          <cell r="BM55">
            <v>0.42880794701986757</v>
          </cell>
          <cell r="KQ55">
            <v>0.86043478260869555</v>
          </cell>
          <cell r="MN55">
            <v>2000</v>
          </cell>
        </row>
        <row r="56">
          <cell r="EA56">
            <v>6.3502824858757059</v>
          </cell>
          <cell r="KQ56">
            <v>2000.0000000000002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7"/>
  <sheetViews>
    <sheetView workbookViewId="0">
      <selection activeCell="O2" sqref="O2"/>
    </sheetView>
  </sheetViews>
  <sheetFormatPr defaultRowHeight="15" x14ac:dyDescent="0.25"/>
  <cols>
    <col min="2" max="2" width="13.5703125" customWidth="1"/>
    <col min="3" max="3" width="17.7109375" customWidth="1"/>
    <col min="4" max="4" width="11.7109375" customWidth="1"/>
    <col min="5" max="6" width="9.42578125" customWidth="1"/>
    <col min="7" max="7" width="10.85546875" customWidth="1"/>
  </cols>
  <sheetData>
    <row r="1" spans="2:12" x14ac:dyDescent="0.25">
      <c r="B1" s="496" t="s">
        <v>346</v>
      </c>
      <c r="C1" s="496"/>
      <c r="D1" s="496"/>
      <c r="E1" s="496"/>
      <c r="F1" s="496"/>
      <c r="G1" s="496"/>
      <c r="H1" s="496"/>
    </row>
    <row r="2" spans="2:12" ht="45" x14ac:dyDescent="0.25">
      <c r="B2" s="294" t="s">
        <v>343</v>
      </c>
      <c r="C2" s="294" t="s">
        <v>344</v>
      </c>
      <c r="D2" s="295" t="s">
        <v>350</v>
      </c>
      <c r="E2" s="295" t="s">
        <v>348</v>
      </c>
      <c r="F2" s="295" t="s">
        <v>351</v>
      </c>
      <c r="G2" s="295" t="s">
        <v>349</v>
      </c>
      <c r="H2" s="295" t="s">
        <v>347</v>
      </c>
    </row>
    <row r="3" spans="2:12" ht="25.5" customHeight="1" x14ac:dyDescent="0.25">
      <c r="B3" s="294" t="s">
        <v>320</v>
      </c>
      <c r="C3" s="294" t="s">
        <v>321</v>
      </c>
      <c r="D3" s="294">
        <v>157604</v>
      </c>
      <c r="E3" s="294">
        <v>1070</v>
      </c>
      <c r="F3" s="294">
        <v>200</v>
      </c>
      <c r="G3" s="294">
        <v>56396</v>
      </c>
      <c r="H3" s="437">
        <f>+D3/E3</f>
        <v>147.29345794392523</v>
      </c>
      <c r="L3">
        <f>+(E3*F3)-D3</f>
        <v>56396</v>
      </c>
    </row>
    <row r="4" spans="2:12" ht="25.5" customHeight="1" x14ac:dyDescent="0.25">
      <c r="B4" s="294" t="s">
        <v>322</v>
      </c>
      <c r="C4" s="294" t="s">
        <v>323</v>
      </c>
      <c r="D4" s="294">
        <v>60237</v>
      </c>
      <c r="E4" s="294">
        <v>112</v>
      </c>
      <c r="F4" s="294">
        <v>382</v>
      </c>
      <c r="G4" s="294">
        <v>-17453</v>
      </c>
      <c r="H4" s="437">
        <f>+D4/E4</f>
        <v>537.83035714285711</v>
      </c>
      <c r="L4">
        <f t="shared" ref="L4:L17" si="0">+(E4*F4)-D4</f>
        <v>-17453</v>
      </c>
    </row>
    <row r="5" spans="2:12" ht="25.5" customHeight="1" x14ac:dyDescent="0.25">
      <c r="B5" s="294" t="s">
        <v>324</v>
      </c>
      <c r="C5" s="294" t="s">
        <v>325</v>
      </c>
      <c r="D5" s="294">
        <v>627083</v>
      </c>
      <c r="E5" s="294">
        <v>5535</v>
      </c>
      <c r="F5" s="294">
        <v>125</v>
      </c>
      <c r="G5" s="294">
        <v>64792</v>
      </c>
      <c r="H5" s="437">
        <f t="shared" ref="H5:H17" si="1">+D5/E5</f>
        <v>113.29412827461609</v>
      </c>
      <c r="L5">
        <f t="shared" si="0"/>
        <v>64792</v>
      </c>
    </row>
    <row r="6" spans="2:12" ht="25.5" customHeight="1" x14ac:dyDescent="0.25">
      <c r="B6" s="294" t="s">
        <v>326</v>
      </c>
      <c r="C6" s="294" t="s">
        <v>327</v>
      </c>
      <c r="D6" s="294">
        <v>724944</v>
      </c>
      <c r="E6" s="294">
        <v>7127</v>
      </c>
      <c r="F6" s="294">
        <v>250</v>
      </c>
      <c r="G6" s="294">
        <v>1056806</v>
      </c>
      <c r="H6" s="437">
        <f t="shared" si="1"/>
        <v>101.71797390206258</v>
      </c>
      <c r="L6">
        <f t="shared" si="0"/>
        <v>1056806</v>
      </c>
    </row>
    <row r="7" spans="2:12" ht="25.5" customHeight="1" x14ac:dyDescent="0.25">
      <c r="B7" s="294" t="s">
        <v>328</v>
      </c>
      <c r="C7" s="294" t="s">
        <v>329</v>
      </c>
      <c r="D7" s="294">
        <v>648656</v>
      </c>
      <c r="E7" s="294">
        <v>4193</v>
      </c>
      <c r="F7">
        <v>262</v>
      </c>
      <c r="G7" s="294">
        <v>449910</v>
      </c>
      <c r="H7" s="437">
        <f t="shared" si="1"/>
        <v>154.69973765800142</v>
      </c>
      <c r="L7" s="1">
        <f t="shared" si="0"/>
        <v>449910</v>
      </c>
    </row>
    <row r="8" spans="2:12" ht="25.5" customHeight="1" x14ac:dyDescent="0.25">
      <c r="B8" s="294" t="s">
        <v>330</v>
      </c>
      <c r="C8" s="294" t="s">
        <v>327</v>
      </c>
      <c r="D8" s="294">
        <v>30109</v>
      </c>
      <c r="E8" s="294">
        <v>157</v>
      </c>
      <c r="F8" s="294">
        <v>352</v>
      </c>
      <c r="G8" s="294">
        <v>25170</v>
      </c>
      <c r="H8" s="437">
        <f t="shared" si="1"/>
        <v>191.77707006369425</v>
      </c>
      <c r="L8" s="15">
        <f>+(E8*F8)-D8</f>
        <v>25155</v>
      </c>
    </row>
    <row r="9" spans="2:12" ht="25.5" customHeight="1" x14ac:dyDescent="0.25">
      <c r="B9" s="294" t="s">
        <v>331</v>
      </c>
      <c r="C9" s="294" t="s">
        <v>332</v>
      </c>
      <c r="D9" s="294">
        <v>147498</v>
      </c>
      <c r="E9" s="294">
        <v>922</v>
      </c>
      <c r="F9" s="294">
        <v>317</v>
      </c>
      <c r="G9" s="294">
        <v>144776</v>
      </c>
      <c r="H9" s="437">
        <f t="shared" si="1"/>
        <v>159.9761388286334</v>
      </c>
      <c r="L9">
        <f t="shared" si="0"/>
        <v>144776</v>
      </c>
    </row>
    <row r="10" spans="2:12" ht="25.5" customHeight="1" x14ac:dyDescent="0.25">
      <c r="B10" s="294" t="s">
        <v>333</v>
      </c>
      <c r="C10" s="294" t="s">
        <v>321</v>
      </c>
      <c r="D10" s="294">
        <v>790530</v>
      </c>
      <c r="E10" s="294">
        <v>4412</v>
      </c>
      <c r="F10" s="294">
        <v>269</v>
      </c>
      <c r="G10" s="294">
        <v>396298</v>
      </c>
      <c r="H10" s="437">
        <f t="shared" si="1"/>
        <v>179.17724388032639</v>
      </c>
      <c r="L10">
        <f t="shared" si="0"/>
        <v>396298</v>
      </c>
    </row>
    <row r="11" spans="2:12" ht="25.5" customHeight="1" x14ac:dyDescent="0.25">
      <c r="B11" s="294" t="s">
        <v>333</v>
      </c>
      <c r="C11" s="294" t="s">
        <v>334</v>
      </c>
      <c r="D11" s="294">
        <v>752040</v>
      </c>
      <c r="E11" s="294">
        <v>4982</v>
      </c>
      <c r="F11" s="294">
        <v>206</v>
      </c>
      <c r="G11" s="294">
        <v>274252</v>
      </c>
      <c r="H11" s="437">
        <f t="shared" si="1"/>
        <v>150.95142513046969</v>
      </c>
      <c r="L11">
        <f t="shared" si="0"/>
        <v>274252</v>
      </c>
    </row>
    <row r="12" spans="2:12" ht="25.5" customHeight="1" x14ac:dyDescent="0.25">
      <c r="B12" s="294" t="s">
        <v>341</v>
      </c>
      <c r="C12" s="294" t="s">
        <v>342</v>
      </c>
      <c r="D12" s="294">
        <v>127826</v>
      </c>
      <c r="E12" s="294">
        <v>5730</v>
      </c>
      <c r="F12" s="294">
        <v>116</v>
      </c>
      <c r="G12" s="294">
        <v>536854</v>
      </c>
      <c r="H12" s="437">
        <f t="shared" si="1"/>
        <v>22.308202443280976</v>
      </c>
      <c r="L12">
        <f t="shared" si="0"/>
        <v>536854</v>
      </c>
    </row>
    <row r="13" spans="2:12" ht="25.5" customHeight="1" x14ac:dyDescent="0.25">
      <c r="B13" s="294" t="s">
        <v>335</v>
      </c>
      <c r="C13" s="294" t="s">
        <v>336</v>
      </c>
      <c r="D13" s="294">
        <v>315465</v>
      </c>
      <c r="E13" s="294">
        <v>3881</v>
      </c>
      <c r="F13" s="294">
        <v>158</v>
      </c>
      <c r="G13" s="294">
        <v>297732</v>
      </c>
      <c r="H13" s="437">
        <f t="shared" si="1"/>
        <v>81.284462767328009</v>
      </c>
      <c r="L13">
        <f t="shared" si="0"/>
        <v>297733</v>
      </c>
    </row>
    <row r="14" spans="2:12" ht="25.5" customHeight="1" x14ac:dyDescent="0.25">
      <c r="B14" s="294" t="s">
        <v>337</v>
      </c>
      <c r="C14" s="294" t="s">
        <v>336</v>
      </c>
      <c r="D14" s="294">
        <v>609019</v>
      </c>
      <c r="E14" s="294">
        <v>5825</v>
      </c>
      <c r="F14" s="294">
        <v>222</v>
      </c>
      <c r="G14" s="294">
        <v>684131</v>
      </c>
      <c r="H14" s="437">
        <f t="shared" si="1"/>
        <v>104.55261802575107</v>
      </c>
      <c r="L14">
        <f t="shared" si="0"/>
        <v>684131</v>
      </c>
    </row>
    <row r="15" spans="2:12" ht="25.5" customHeight="1" x14ac:dyDescent="0.25">
      <c r="B15" s="294" t="s">
        <v>338</v>
      </c>
      <c r="C15" s="294" t="s">
        <v>334</v>
      </c>
      <c r="D15" s="294">
        <v>634355</v>
      </c>
      <c r="E15" s="294">
        <v>4031</v>
      </c>
      <c r="F15" s="294">
        <v>254</v>
      </c>
      <c r="G15" s="294">
        <v>389642</v>
      </c>
      <c r="H15" s="437">
        <f t="shared" si="1"/>
        <v>157.36913917142149</v>
      </c>
      <c r="L15" s="1">
        <f t="shared" si="0"/>
        <v>389519</v>
      </c>
    </row>
    <row r="16" spans="2:12" ht="25.5" customHeight="1" x14ac:dyDescent="0.25">
      <c r="B16" s="294" t="s">
        <v>339</v>
      </c>
      <c r="C16" s="294" t="s">
        <v>321</v>
      </c>
      <c r="D16" s="294">
        <v>500174</v>
      </c>
      <c r="E16" s="294">
        <v>2517</v>
      </c>
      <c r="F16" s="294">
        <v>235</v>
      </c>
      <c r="G16" s="294">
        <v>91321</v>
      </c>
      <c r="H16" s="437">
        <f t="shared" si="1"/>
        <v>198.71831545490664</v>
      </c>
      <c r="L16">
        <f t="shared" si="0"/>
        <v>91321</v>
      </c>
    </row>
    <row r="17" spans="2:12" ht="25.5" customHeight="1" x14ac:dyDescent="0.25">
      <c r="B17" s="294" t="s">
        <v>340</v>
      </c>
      <c r="C17" s="294" t="s">
        <v>345</v>
      </c>
      <c r="D17" s="294">
        <v>533856</v>
      </c>
      <c r="E17" s="294">
        <v>8041</v>
      </c>
      <c r="F17" s="294">
        <v>185</v>
      </c>
      <c r="G17" s="294">
        <v>953729</v>
      </c>
      <c r="H17" s="437">
        <f t="shared" si="1"/>
        <v>66.391742320606895</v>
      </c>
      <c r="L17">
        <f t="shared" si="0"/>
        <v>953729</v>
      </c>
    </row>
  </sheetData>
  <mergeCells count="1">
    <mergeCell ref="B1:H1"/>
  </mergeCells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9"/>
  <sheetViews>
    <sheetView workbookViewId="0">
      <selection activeCell="J31" sqref="J31"/>
    </sheetView>
  </sheetViews>
  <sheetFormatPr defaultRowHeight="15" x14ac:dyDescent="0.25"/>
  <cols>
    <col min="1" max="1" width="22.85546875" customWidth="1"/>
    <col min="5" max="5" width="9.42578125" bestFit="1" customWidth="1"/>
    <col min="6" max="6" width="11.85546875" customWidth="1"/>
    <col min="7" max="7" width="10.7109375" customWidth="1"/>
    <col min="8" max="8" width="9.5703125" bestFit="1" customWidth="1"/>
    <col min="10" max="10" width="8.28515625" customWidth="1"/>
    <col min="11" max="11" width="6.5703125" customWidth="1"/>
    <col min="13" max="13" width="11.28515625" customWidth="1"/>
  </cols>
  <sheetData>
    <row r="1" spans="1:16" x14ac:dyDescent="0.25">
      <c r="A1" s="1" t="s">
        <v>158</v>
      </c>
      <c r="B1" s="1"/>
      <c r="C1" s="1"/>
      <c r="D1" s="1"/>
      <c r="E1" s="1"/>
      <c r="F1" s="152"/>
      <c r="G1" s="152"/>
      <c r="H1" s="152"/>
      <c r="I1" s="152"/>
      <c r="J1" s="152"/>
      <c r="K1" s="152"/>
      <c r="L1" s="152"/>
    </row>
    <row r="2" spans="1:16" x14ac:dyDescent="0.25">
      <c r="A2" s="1" t="s">
        <v>159</v>
      </c>
      <c r="B2" s="1"/>
      <c r="C2" s="1"/>
      <c r="D2" s="1"/>
      <c r="E2" s="1"/>
      <c r="F2" s="152"/>
      <c r="G2" s="152"/>
      <c r="H2" s="152"/>
      <c r="I2" s="152"/>
      <c r="J2" s="152"/>
      <c r="K2" s="152"/>
      <c r="L2" s="152"/>
    </row>
    <row r="3" spans="1:16" x14ac:dyDescent="0.25">
      <c r="A3" s="1" t="s">
        <v>160</v>
      </c>
      <c r="B3" s="1"/>
      <c r="C3" s="1"/>
      <c r="D3" s="1"/>
      <c r="E3" s="1"/>
      <c r="F3" s="152"/>
      <c r="G3" s="152"/>
      <c r="H3" s="152"/>
      <c r="I3" s="152"/>
      <c r="J3" s="152"/>
      <c r="K3" s="152"/>
      <c r="L3" s="152"/>
    </row>
    <row r="4" spans="1:16" x14ac:dyDescent="0.25">
      <c r="A4" s="153" t="s">
        <v>4</v>
      </c>
      <c r="B4" s="154" t="s">
        <v>5</v>
      </c>
      <c r="C4" s="154" t="s">
        <v>6</v>
      </c>
      <c r="D4" s="154" t="s">
        <v>7</v>
      </c>
      <c r="E4" s="154" t="s">
        <v>8</v>
      </c>
      <c r="F4" s="154" t="s">
        <v>9</v>
      </c>
      <c r="G4" s="154" t="s">
        <v>10</v>
      </c>
      <c r="H4" s="154" t="s">
        <v>11</v>
      </c>
      <c r="I4" s="154" t="s">
        <v>12</v>
      </c>
      <c r="J4" s="155" t="s">
        <v>13</v>
      </c>
      <c r="K4" s="154"/>
      <c r="N4" s="152"/>
    </row>
    <row r="5" spans="1:16" x14ac:dyDescent="0.25">
      <c r="A5" s="156"/>
      <c r="B5" s="157" t="s">
        <v>14</v>
      </c>
      <c r="C5" s="157" t="s">
        <v>15</v>
      </c>
      <c r="D5" s="157" t="s">
        <v>15</v>
      </c>
      <c r="E5" s="157" t="s">
        <v>16</v>
      </c>
      <c r="F5" s="157" t="s">
        <v>17</v>
      </c>
      <c r="G5" s="157" t="s">
        <v>18</v>
      </c>
      <c r="H5" s="157" t="s">
        <v>17</v>
      </c>
      <c r="I5" s="157" t="s">
        <v>17</v>
      </c>
      <c r="J5" s="158" t="s">
        <v>10</v>
      </c>
      <c r="K5" s="157" t="s">
        <v>11</v>
      </c>
      <c r="N5" s="152"/>
    </row>
    <row r="6" spans="1:16" x14ac:dyDescent="0.25">
      <c r="A6" s="156"/>
      <c r="B6" s="157" t="s">
        <v>19</v>
      </c>
      <c r="C6" s="157"/>
      <c r="D6" s="157"/>
      <c r="E6" s="157"/>
      <c r="F6" s="157" t="s">
        <v>20</v>
      </c>
      <c r="G6" s="157" t="s">
        <v>17</v>
      </c>
      <c r="H6" s="157" t="s">
        <v>20</v>
      </c>
      <c r="I6" s="157" t="s">
        <v>20</v>
      </c>
      <c r="J6" s="157"/>
      <c r="K6" s="157"/>
      <c r="N6" s="152"/>
    </row>
    <row r="7" spans="1:16" x14ac:dyDescent="0.25">
      <c r="A7" s="159"/>
      <c r="B7" s="160"/>
      <c r="C7" s="160"/>
      <c r="D7" s="160"/>
      <c r="E7" s="160"/>
      <c r="F7" s="160"/>
      <c r="G7" s="160" t="s">
        <v>20</v>
      </c>
      <c r="H7" s="160"/>
      <c r="I7" s="160"/>
      <c r="J7" s="160"/>
      <c r="K7" s="160"/>
      <c r="N7" s="152"/>
      <c r="O7">
        <v>2019</v>
      </c>
      <c r="P7">
        <v>2018</v>
      </c>
    </row>
    <row r="8" spans="1:16" x14ac:dyDescent="0.25">
      <c r="A8" s="161" t="s">
        <v>161</v>
      </c>
      <c r="B8" s="162">
        <v>51</v>
      </c>
      <c r="C8" s="163">
        <f>2.087718+1</f>
        <v>3.0877180000000002</v>
      </c>
      <c r="D8" s="163">
        <v>2.0877189999999999</v>
      </c>
      <c r="E8" s="164">
        <v>2000</v>
      </c>
      <c r="F8" s="163">
        <f>+E8*C8</f>
        <v>6175.4360000000006</v>
      </c>
      <c r="G8" s="161"/>
      <c r="H8" s="163"/>
      <c r="I8" s="163">
        <f>SUM(F8:H8)</f>
        <v>6175.4360000000006</v>
      </c>
      <c r="J8" s="161"/>
      <c r="K8" s="152"/>
      <c r="N8" s="152"/>
      <c r="O8">
        <f>893/1198</f>
        <v>0.74540901502504175</v>
      </c>
    </row>
    <row r="9" spans="1:16" x14ac:dyDescent="0.25">
      <c r="A9" s="161" t="s">
        <v>162</v>
      </c>
      <c r="B9" s="162">
        <v>45.16</v>
      </c>
      <c r="C9" s="163">
        <v>0.49</v>
      </c>
      <c r="D9" s="163">
        <v>0.49</v>
      </c>
      <c r="E9" s="164">
        <v>1500</v>
      </c>
      <c r="F9" s="163">
        <f>+E9*C9</f>
        <v>735</v>
      </c>
      <c r="G9" s="163">
        <v>9182</v>
      </c>
      <c r="H9" s="163"/>
      <c r="I9" s="163">
        <f>SUM(F9:H9)</f>
        <v>9917</v>
      </c>
      <c r="J9" s="163">
        <v>536</v>
      </c>
      <c r="K9" s="152"/>
      <c r="N9" s="152"/>
      <c r="O9">
        <f>638/1198</f>
        <v>0.53255425709515858</v>
      </c>
      <c r="P9">
        <f>1232/1084</f>
        <v>1.1365313653136531</v>
      </c>
    </row>
    <row r="10" spans="1:16" x14ac:dyDescent="0.25">
      <c r="A10" s="165" t="s">
        <v>163</v>
      </c>
      <c r="B10" s="166" t="s">
        <v>24</v>
      </c>
      <c r="C10" s="167"/>
      <c r="D10" s="167"/>
      <c r="E10" s="168"/>
      <c r="F10" s="169" t="s">
        <v>164</v>
      </c>
      <c r="G10" s="167"/>
      <c r="H10" s="163"/>
      <c r="I10" s="163"/>
      <c r="J10" s="167"/>
      <c r="K10" s="152"/>
      <c r="N10" s="152"/>
    </row>
    <row r="11" spans="1:16" x14ac:dyDescent="0.25">
      <c r="A11" s="161" t="s">
        <v>132</v>
      </c>
      <c r="B11" s="162">
        <v>100</v>
      </c>
      <c r="C11" s="163">
        <v>6.27</v>
      </c>
      <c r="D11" s="163">
        <v>1.64</v>
      </c>
      <c r="E11" s="164">
        <v>1638</v>
      </c>
      <c r="F11" s="163">
        <f>+E11*C11</f>
        <v>10270.259999999998</v>
      </c>
      <c r="G11" s="170"/>
      <c r="H11" s="163">
        <f>E29*F29</f>
        <v>10550</v>
      </c>
      <c r="I11" s="163">
        <f>SUM(F11:H11)</f>
        <v>20820.259999999998</v>
      </c>
      <c r="J11" s="161"/>
      <c r="K11" s="152"/>
      <c r="N11" s="152"/>
      <c r="O11" s="190">
        <f>8709/1198</f>
        <v>7.2696160267111853</v>
      </c>
      <c r="P11" s="190">
        <f>8378/1084</f>
        <v>7.7287822878228782</v>
      </c>
    </row>
    <row r="12" spans="1:16" x14ac:dyDescent="0.25">
      <c r="A12" s="152" t="s">
        <v>165</v>
      </c>
      <c r="B12" s="171">
        <f>-37</f>
        <v>-37</v>
      </c>
      <c r="C12" s="497">
        <v>3.1675</v>
      </c>
      <c r="D12" s="497">
        <f>2.4375</f>
        <v>2.4375</v>
      </c>
      <c r="E12" s="498">
        <v>1890</v>
      </c>
      <c r="F12" s="497">
        <f>+E12*C12</f>
        <v>5986.5749999999998</v>
      </c>
      <c r="G12" s="170"/>
      <c r="H12" s="167">
        <f>+E35*F35</f>
        <v>4360</v>
      </c>
      <c r="I12" s="499">
        <f>+F12+H12+H13</f>
        <v>38909.574999999997</v>
      </c>
      <c r="J12" s="161"/>
      <c r="K12" s="152"/>
      <c r="N12" s="152"/>
      <c r="O12" s="190"/>
      <c r="P12" s="190"/>
    </row>
    <row r="13" spans="1:16" x14ac:dyDescent="0.25">
      <c r="A13" s="152" t="s">
        <v>166</v>
      </c>
      <c r="B13" s="162">
        <v>100</v>
      </c>
      <c r="C13" s="497"/>
      <c r="D13" s="497"/>
      <c r="E13" s="498"/>
      <c r="F13" s="497"/>
      <c r="G13" s="161"/>
      <c r="H13" s="163">
        <v>28563</v>
      </c>
      <c r="I13" s="499"/>
      <c r="J13" s="161"/>
      <c r="K13" s="152"/>
      <c r="N13" s="152"/>
      <c r="O13">
        <f>4176/1198</f>
        <v>3.4858096828046743</v>
      </c>
      <c r="P13" s="190">
        <f>4763/1084</f>
        <v>4.3939114391143912</v>
      </c>
    </row>
    <row r="14" spans="1:16" x14ac:dyDescent="0.25">
      <c r="A14" s="152" t="s">
        <v>39</v>
      </c>
      <c r="B14" s="162">
        <v>90.322000000000003</v>
      </c>
      <c r="C14" s="163">
        <v>6.9651100000000001</v>
      </c>
      <c r="D14" s="163">
        <f>2.290698</f>
        <v>2.2906979999999999</v>
      </c>
      <c r="E14" s="164">
        <v>1647.761</v>
      </c>
      <c r="F14" s="163">
        <f>+E14*C14</f>
        <v>11476.83661871</v>
      </c>
      <c r="G14" s="161"/>
      <c r="H14" s="163"/>
      <c r="I14" s="163">
        <f>SUM(F14:H14)</f>
        <v>11476.83661871</v>
      </c>
      <c r="J14" s="161"/>
      <c r="K14" s="152"/>
      <c r="N14" s="152"/>
      <c r="O14" s="190">
        <f>9544/1198</f>
        <v>7.96661101836394</v>
      </c>
      <c r="P14" s="190">
        <f>6253/1084</f>
        <v>5.7684501845018454</v>
      </c>
    </row>
    <row r="15" spans="1:16" x14ac:dyDescent="0.25">
      <c r="A15" s="152" t="s">
        <v>167</v>
      </c>
      <c r="B15" s="171">
        <f>-38.709</f>
        <v>-38.709000000000003</v>
      </c>
      <c r="C15" s="167"/>
      <c r="D15" s="167"/>
      <c r="E15" s="168"/>
      <c r="F15" s="169" t="s">
        <v>168</v>
      </c>
      <c r="G15" s="161"/>
      <c r="H15" s="169" t="s">
        <v>169</v>
      </c>
      <c r="I15" s="163"/>
      <c r="J15" s="161"/>
      <c r="K15" s="152"/>
      <c r="N15" s="152"/>
      <c r="O15" s="190">
        <f>893/1198</f>
        <v>0.74540901502504175</v>
      </c>
      <c r="P15" s="190">
        <f>815/1084</f>
        <v>0.75184501845018448</v>
      </c>
    </row>
    <row r="16" spans="1:16" x14ac:dyDescent="0.25">
      <c r="A16" s="152" t="s">
        <v>170</v>
      </c>
      <c r="B16" s="162">
        <v>80.650000000000006</v>
      </c>
      <c r="C16" s="163">
        <v>0.63</v>
      </c>
      <c r="D16" s="163">
        <v>0.42</v>
      </c>
      <c r="E16" s="164">
        <v>2017</v>
      </c>
      <c r="F16" s="163">
        <f t="shared" ref="F16:F21" si="0">+E16*C16</f>
        <v>1270.71</v>
      </c>
      <c r="G16" s="161"/>
      <c r="H16" s="163">
        <v>3900</v>
      </c>
      <c r="I16" s="163">
        <f t="shared" ref="I16:I21" si="1">SUM(F16:H16)</f>
        <v>5170.71</v>
      </c>
      <c r="J16" s="161"/>
      <c r="K16" s="152"/>
      <c r="N16" s="152"/>
      <c r="O16" s="190">
        <f>765/1198</f>
        <v>0.63856427378964942</v>
      </c>
      <c r="P16" s="190">
        <f>1305/1084</f>
        <v>1.2038745387453875</v>
      </c>
    </row>
    <row r="17" spans="1:19" x14ac:dyDescent="0.25">
      <c r="A17" s="172" t="s">
        <v>171</v>
      </c>
      <c r="B17" s="162">
        <v>100</v>
      </c>
      <c r="C17" s="163">
        <v>4.54</v>
      </c>
      <c r="D17" s="163">
        <v>4.54</v>
      </c>
      <c r="E17" s="164">
        <v>1500</v>
      </c>
      <c r="F17" s="163">
        <f t="shared" si="0"/>
        <v>6810</v>
      </c>
      <c r="G17" s="161"/>
      <c r="H17" s="163"/>
      <c r="I17" s="163">
        <f t="shared" si="1"/>
        <v>6810</v>
      </c>
      <c r="J17" s="161"/>
      <c r="K17" s="152"/>
      <c r="N17" s="152"/>
      <c r="O17" s="190">
        <f>6545/1198</f>
        <v>5.463272120200334</v>
      </c>
      <c r="P17" s="190">
        <f>6528/1084</f>
        <v>6.0221402214022142</v>
      </c>
    </row>
    <row r="18" spans="1:19" x14ac:dyDescent="0.25">
      <c r="A18" s="161" t="s">
        <v>172</v>
      </c>
      <c r="B18" s="162">
        <v>100</v>
      </c>
      <c r="C18" s="163">
        <v>6.36</v>
      </c>
      <c r="D18" s="163">
        <v>1.79</v>
      </c>
      <c r="E18" s="164">
        <v>1528</v>
      </c>
      <c r="F18" s="163">
        <f t="shared" si="0"/>
        <v>9718.08</v>
      </c>
      <c r="G18" s="163"/>
      <c r="H18" s="163"/>
      <c r="I18" s="163">
        <f t="shared" si="1"/>
        <v>9718.08</v>
      </c>
      <c r="J18" s="161"/>
      <c r="K18" s="152"/>
      <c r="N18" s="152"/>
      <c r="O18" s="190">
        <f>10353/1198</f>
        <v>8.6419031719532562</v>
      </c>
      <c r="P18" s="190">
        <f>11750/1084</f>
        <v>10.839483394833948</v>
      </c>
    </row>
    <row r="19" spans="1:19" ht="29.25" customHeight="1" x14ac:dyDescent="0.25">
      <c r="A19" s="173" t="s">
        <v>173</v>
      </c>
      <c r="B19" s="162">
        <v>100</v>
      </c>
      <c r="C19" s="163">
        <v>2.2999999999999998</v>
      </c>
      <c r="D19" s="163">
        <v>2.2799999999999998</v>
      </c>
      <c r="E19" s="164">
        <v>1897</v>
      </c>
      <c r="F19" s="163">
        <f t="shared" si="0"/>
        <v>4363.0999999999995</v>
      </c>
      <c r="G19" s="163">
        <v>2750</v>
      </c>
      <c r="H19" s="163"/>
      <c r="I19" s="163">
        <f t="shared" si="1"/>
        <v>7113.0999999999995</v>
      </c>
      <c r="J19" s="163">
        <v>785</v>
      </c>
      <c r="K19" s="152"/>
      <c r="N19" s="152"/>
      <c r="O19" s="190">
        <f>1309/1198</f>
        <v>1.0926544240400669</v>
      </c>
      <c r="P19" s="190">
        <f>2880/1084</f>
        <v>2.6568265682656826</v>
      </c>
    </row>
    <row r="20" spans="1:19" x14ac:dyDescent="0.25">
      <c r="A20" s="161" t="s">
        <v>174</v>
      </c>
      <c r="B20" s="162">
        <v>74.192999999999998</v>
      </c>
      <c r="C20" s="163">
        <v>1.94</v>
      </c>
      <c r="D20" s="163">
        <f>1.94</f>
        <v>1.94</v>
      </c>
      <c r="E20" s="164">
        <v>1500</v>
      </c>
      <c r="F20" s="163">
        <f t="shared" si="0"/>
        <v>2910</v>
      </c>
      <c r="G20" s="163"/>
      <c r="H20" s="163"/>
      <c r="I20" s="163">
        <f t="shared" si="1"/>
        <v>2910</v>
      </c>
      <c r="J20" s="161"/>
      <c r="K20" s="152"/>
      <c r="N20" s="152"/>
      <c r="O20" s="190">
        <f>3332/1198</f>
        <v>2.7813021702838063</v>
      </c>
      <c r="P20" s="190">
        <f>2640/1084</f>
        <v>2.4354243542435423</v>
      </c>
    </row>
    <row r="21" spans="1:19" x14ac:dyDescent="0.25">
      <c r="A21" s="161" t="s">
        <v>175</v>
      </c>
      <c r="B21" s="162">
        <v>54.838000000000001</v>
      </c>
      <c r="C21" s="163">
        <v>0.43230000000000002</v>
      </c>
      <c r="D21" s="163">
        <f>0.2356</f>
        <v>0.2356</v>
      </c>
      <c r="E21" s="164">
        <v>1625</v>
      </c>
      <c r="F21" s="163">
        <f t="shared" si="0"/>
        <v>702.48750000000007</v>
      </c>
      <c r="G21" s="163">
        <v>1240</v>
      </c>
      <c r="H21" s="163"/>
      <c r="I21" s="163">
        <f t="shared" si="1"/>
        <v>1942.4875000000002</v>
      </c>
      <c r="J21" s="163">
        <v>93</v>
      </c>
      <c r="K21" s="152"/>
      <c r="N21" s="152"/>
      <c r="O21" s="190">
        <f>765/1198</f>
        <v>0.63856427378964942</v>
      </c>
      <c r="P21" s="190">
        <f>1131/1084</f>
        <v>1.0433579335793357</v>
      </c>
    </row>
    <row r="22" spans="1:19" x14ac:dyDescent="0.25">
      <c r="A22" s="174" t="s">
        <v>43</v>
      </c>
      <c r="B22" s="162">
        <v>51.61</v>
      </c>
      <c r="C22" s="163"/>
      <c r="D22" s="163"/>
      <c r="E22" s="164"/>
      <c r="F22" s="163"/>
      <c r="G22" s="163"/>
      <c r="H22" s="163"/>
      <c r="I22" s="163">
        <v>6400</v>
      </c>
      <c r="J22" s="163"/>
      <c r="K22" s="152"/>
      <c r="N22" s="152"/>
      <c r="O22" s="190"/>
      <c r="P22" s="190"/>
    </row>
    <row r="23" spans="1:19" x14ac:dyDescent="0.25">
      <c r="A23" s="153" t="s">
        <v>103</v>
      </c>
      <c r="B23" s="175"/>
      <c r="C23" s="176">
        <f>C8+C9+C11+C12+C14+C16+C17+C18+C19+C20+C21</f>
        <v>36.182627999999994</v>
      </c>
      <c r="D23" s="176">
        <f>D8+D9+D11+D12+D14+D16+D17+D18+D19+D20+D21</f>
        <v>20.151517000000002</v>
      </c>
      <c r="E23" s="176"/>
      <c r="F23" s="176">
        <f>SUM(F8:F22)</f>
        <v>60418.485118709999</v>
      </c>
      <c r="G23" s="176">
        <f>SUM(G8:G22)</f>
        <v>13172</v>
      </c>
      <c r="H23" s="176">
        <f>SUM(H8:H22)</f>
        <v>47373</v>
      </c>
      <c r="I23" s="176">
        <f>SUM(I8:I22)</f>
        <v>127363.48511871001</v>
      </c>
      <c r="J23" s="176">
        <f>SUM(J8:J22)</f>
        <v>1414</v>
      </c>
      <c r="K23" s="153"/>
      <c r="N23" s="152"/>
      <c r="O23" s="190">
        <f>SUM(O8:O21)</f>
        <v>40.00166944908181</v>
      </c>
      <c r="P23" s="190">
        <f>SUM(P8:P22)</f>
        <v>43.980627306273064</v>
      </c>
    </row>
    <row r="24" spans="1:19" x14ac:dyDescent="0.25">
      <c r="A24" s="159" t="s">
        <v>104</v>
      </c>
      <c r="B24" s="177"/>
      <c r="C24" s="178">
        <f>SUM(C23-D23)</f>
        <v>16.031110999999992</v>
      </c>
      <c r="D24" s="178"/>
      <c r="E24" s="178"/>
      <c r="F24" s="178">
        <f>SUM(E31*F31)</f>
        <v>26848</v>
      </c>
      <c r="G24" s="178">
        <f>G23-J23</f>
        <v>11758</v>
      </c>
      <c r="H24" s="178">
        <f>H23-K23</f>
        <v>47373</v>
      </c>
      <c r="I24" s="178">
        <f>+H24+G24+F24</f>
        <v>85979</v>
      </c>
      <c r="J24" s="179"/>
      <c r="K24" s="159"/>
      <c r="N24" s="152"/>
      <c r="O24" s="190"/>
      <c r="P24" s="190"/>
    </row>
    <row r="25" spans="1:19" ht="18.75" x14ac:dyDescent="0.25">
      <c r="A25" s="152"/>
      <c r="B25" s="152" t="s">
        <v>46</v>
      </c>
      <c r="C25" s="161"/>
      <c r="D25" s="161"/>
      <c r="E25" s="161"/>
      <c r="F25" s="161"/>
      <c r="G25" s="161"/>
      <c r="H25" s="180"/>
      <c r="I25" s="180"/>
      <c r="J25" s="161"/>
      <c r="K25" s="180"/>
      <c r="L25" s="180"/>
      <c r="M25" s="425"/>
      <c r="R25" t="s">
        <v>437</v>
      </c>
      <c r="S25">
        <v>2118.3333333333335</v>
      </c>
    </row>
    <row r="26" spans="1:19" ht="18.75" x14ac:dyDescent="0.25">
      <c r="A26" s="152" t="s">
        <v>47</v>
      </c>
      <c r="B26" s="161"/>
      <c r="C26" s="161"/>
      <c r="D26" s="161"/>
      <c r="E26" s="161"/>
      <c r="F26" s="161"/>
      <c r="G26" s="161"/>
      <c r="H26" s="26"/>
      <c r="I26" s="181"/>
      <c r="J26" s="163"/>
      <c r="K26" s="26"/>
      <c r="L26" s="26"/>
      <c r="M26" s="425"/>
    </row>
    <row r="27" spans="1:19" ht="18.75" x14ac:dyDescent="0.25">
      <c r="A27" s="182" t="s">
        <v>48</v>
      </c>
      <c r="B27" s="183"/>
      <c r="C27" s="183"/>
      <c r="D27" s="184" t="s">
        <v>49</v>
      </c>
      <c r="E27" s="185" t="s">
        <v>50</v>
      </c>
      <c r="F27" s="186" t="s">
        <v>51</v>
      </c>
      <c r="G27" s="187" t="s">
        <v>176</v>
      </c>
      <c r="J27" s="161"/>
      <c r="K27" s="26"/>
      <c r="L27" s="26"/>
      <c r="M27" s="425"/>
      <c r="N27" s="190"/>
    </row>
    <row r="28" spans="1:19" ht="18.75" x14ac:dyDescent="0.25">
      <c r="A28" s="152" t="s">
        <v>53</v>
      </c>
      <c r="D28" s="188"/>
      <c r="E28" s="161"/>
      <c r="F28" s="161"/>
      <c r="G28" s="189" t="s">
        <v>177</v>
      </c>
      <c r="J28" s="161"/>
      <c r="K28" s="189"/>
      <c r="L28" s="181"/>
      <c r="M28" s="425"/>
      <c r="N28" s="246"/>
    </row>
    <row r="29" spans="1:19" ht="18.75" x14ac:dyDescent="0.25">
      <c r="A29" s="152" t="s">
        <v>107</v>
      </c>
      <c r="D29" s="188" t="s">
        <v>108</v>
      </c>
      <c r="E29" s="161">
        <v>5</v>
      </c>
      <c r="F29" s="163">
        <v>2110</v>
      </c>
      <c r="G29" s="189" t="s">
        <v>178</v>
      </c>
      <c r="J29" s="161"/>
      <c r="K29" s="189"/>
      <c r="M29" s="425"/>
      <c r="N29" s="181">
        <f>+F23/E33</f>
        <v>1678.2912532974999</v>
      </c>
    </row>
    <row r="30" spans="1:19" ht="18.75" x14ac:dyDescent="0.25">
      <c r="A30" s="152" t="s">
        <v>57</v>
      </c>
      <c r="D30" s="188"/>
      <c r="E30" s="161"/>
      <c r="F30" s="161"/>
      <c r="G30" s="189" t="s">
        <v>179</v>
      </c>
      <c r="J30" s="190"/>
      <c r="K30" s="189"/>
      <c r="L30" s="181"/>
      <c r="M30" s="425"/>
      <c r="N30" s="246"/>
    </row>
    <row r="31" spans="1:19" ht="18.75" x14ac:dyDescent="0.25">
      <c r="A31" s="152" t="s">
        <v>180</v>
      </c>
      <c r="D31" s="188" t="s">
        <v>60</v>
      </c>
      <c r="E31" s="163">
        <v>16</v>
      </c>
      <c r="F31" s="163">
        <v>1678</v>
      </c>
      <c r="G31" s="161"/>
      <c r="J31" s="161"/>
      <c r="K31" s="189"/>
      <c r="L31" s="181"/>
      <c r="M31" s="425"/>
      <c r="N31" s="246"/>
    </row>
    <row r="32" spans="1:19" ht="18.75" x14ac:dyDescent="0.25">
      <c r="A32" s="152" t="s">
        <v>62</v>
      </c>
      <c r="D32" s="188" t="s">
        <v>60</v>
      </c>
      <c r="E32" s="163">
        <v>20</v>
      </c>
      <c r="F32" s="161"/>
      <c r="G32" s="161"/>
      <c r="H32" s="161"/>
      <c r="J32" s="161"/>
      <c r="K32" s="189"/>
      <c r="L32" s="181"/>
      <c r="M32" s="425"/>
      <c r="N32" s="190"/>
    </row>
    <row r="33" spans="1:18" x14ac:dyDescent="0.25">
      <c r="A33" s="152" t="s">
        <v>6</v>
      </c>
      <c r="D33" s="188" t="s">
        <v>60</v>
      </c>
      <c r="E33" s="163">
        <f>SUM(E31:E32)</f>
        <v>36</v>
      </c>
      <c r="F33" s="161"/>
      <c r="G33" s="179"/>
      <c r="H33" s="161"/>
      <c r="J33" s="161"/>
      <c r="K33" s="189"/>
      <c r="L33" s="181"/>
      <c r="M33" s="190"/>
      <c r="N33" s="190"/>
    </row>
    <row r="34" spans="1:18" x14ac:dyDescent="0.25">
      <c r="A34" s="153" t="s">
        <v>114</v>
      </c>
      <c r="B34" s="153" t="s">
        <v>64</v>
      </c>
      <c r="C34" s="191"/>
      <c r="D34" s="192"/>
      <c r="E34" s="193"/>
      <c r="F34" s="193"/>
      <c r="H34" s="189"/>
      <c r="I34" s="181"/>
      <c r="J34" s="161"/>
      <c r="K34" s="189"/>
      <c r="L34" s="181"/>
      <c r="M34" s="190"/>
      <c r="N34" s="190"/>
    </row>
    <row r="35" spans="1:18" x14ac:dyDescent="0.25">
      <c r="A35" s="152" t="s">
        <v>181</v>
      </c>
      <c r="B35" s="194">
        <v>41.94</v>
      </c>
      <c r="D35" s="195" t="s">
        <v>108</v>
      </c>
      <c r="E35" s="180">
        <v>218</v>
      </c>
      <c r="F35" s="196">
        <v>20</v>
      </c>
      <c r="I35" s="161"/>
      <c r="J35" s="161"/>
      <c r="K35" s="189"/>
      <c r="L35" s="181"/>
      <c r="M35" s="190"/>
      <c r="N35" s="190"/>
    </row>
    <row r="36" spans="1:18" x14ac:dyDescent="0.25">
      <c r="A36" s="152" t="s">
        <v>182</v>
      </c>
      <c r="B36" s="194" t="s">
        <v>183</v>
      </c>
      <c r="D36" s="195" t="s">
        <v>108</v>
      </c>
      <c r="E36" s="197" t="s">
        <v>184</v>
      </c>
      <c r="F36" s="198" t="s">
        <v>185</v>
      </c>
      <c r="I36" s="161"/>
      <c r="J36" s="161"/>
      <c r="K36" s="156"/>
      <c r="L36" s="156"/>
      <c r="M36" s="190"/>
      <c r="N36" s="190"/>
    </row>
    <row r="37" spans="1:18" x14ac:dyDescent="0.25">
      <c r="A37" s="152" t="s">
        <v>186</v>
      </c>
      <c r="H37" s="152"/>
      <c r="I37" s="152"/>
      <c r="J37" s="152"/>
      <c r="K37" s="152"/>
      <c r="L37" s="152"/>
      <c r="M37" s="190"/>
      <c r="N37" s="190"/>
    </row>
    <row r="38" spans="1:18" x14ac:dyDescent="0.25">
      <c r="A38" s="199" t="s">
        <v>187</v>
      </c>
      <c r="B38" s="194">
        <v>29.03</v>
      </c>
      <c r="D38" s="200" t="s">
        <v>108</v>
      </c>
      <c r="E38" s="156">
        <v>41</v>
      </c>
      <c r="F38" s="201">
        <v>800</v>
      </c>
      <c r="H38" s="152"/>
      <c r="I38" s="152"/>
      <c r="J38" s="152"/>
      <c r="K38" s="152"/>
      <c r="L38" s="152"/>
      <c r="M38" s="199" t="s">
        <v>187</v>
      </c>
      <c r="N38" s="194">
        <v>29.03</v>
      </c>
      <c r="P38" s="200" t="s">
        <v>108</v>
      </c>
      <c r="Q38" s="156">
        <v>41</v>
      </c>
      <c r="R38" s="201">
        <v>800</v>
      </c>
    </row>
    <row r="39" spans="1:18" x14ac:dyDescent="0.25">
      <c r="A39" s="199" t="s">
        <v>188</v>
      </c>
      <c r="B39" s="194">
        <v>48.39</v>
      </c>
      <c r="D39" s="200" t="s">
        <v>108</v>
      </c>
      <c r="E39" s="156">
        <v>66</v>
      </c>
      <c r="F39" s="201">
        <v>394</v>
      </c>
      <c r="H39" s="152"/>
      <c r="I39" s="152"/>
      <c r="J39" s="152"/>
      <c r="K39" s="152"/>
      <c r="L39" s="152"/>
      <c r="M39" s="199" t="s">
        <v>188</v>
      </c>
      <c r="N39" s="194">
        <v>48.39</v>
      </c>
      <c r="P39" s="200" t="s">
        <v>108</v>
      </c>
      <c r="Q39" s="156">
        <v>66</v>
      </c>
      <c r="R39" s="201">
        <v>394</v>
      </c>
    </row>
    <row r="40" spans="1:18" x14ac:dyDescent="0.25">
      <c r="A40" s="199" t="s">
        <v>189</v>
      </c>
      <c r="B40" s="194" t="s">
        <v>149</v>
      </c>
      <c r="D40" s="200"/>
      <c r="E40" s="202" t="s">
        <v>190</v>
      </c>
      <c r="F40" s="203" t="s">
        <v>191</v>
      </c>
      <c r="H40" s="152"/>
      <c r="I40" s="152"/>
      <c r="J40" s="152"/>
      <c r="K40" s="152"/>
      <c r="L40" s="152"/>
      <c r="M40" s="190"/>
      <c r="N40" s="190"/>
    </row>
    <row r="41" spans="1:18" x14ac:dyDescent="0.25">
      <c r="A41" s="199" t="s">
        <v>192</v>
      </c>
      <c r="B41" s="194" t="s">
        <v>24</v>
      </c>
      <c r="D41" s="200"/>
      <c r="E41" s="202" t="s">
        <v>193</v>
      </c>
      <c r="F41" s="203" t="s">
        <v>194</v>
      </c>
      <c r="H41" s="152"/>
      <c r="I41" s="152"/>
      <c r="J41" s="152"/>
      <c r="K41" s="152"/>
      <c r="L41" s="152"/>
      <c r="M41" s="190"/>
      <c r="N41" s="190"/>
      <c r="Q41">
        <f>+Q38*R38</f>
        <v>32800</v>
      </c>
      <c r="R41">
        <f>+Q41*29/77</f>
        <v>12353.246753246753</v>
      </c>
    </row>
    <row r="42" spans="1:18" x14ac:dyDescent="0.25">
      <c r="A42" s="204" t="s">
        <v>195</v>
      </c>
      <c r="B42" s="205" t="s">
        <v>196</v>
      </c>
      <c r="C42" s="200"/>
      <c r="E42" s="206" t="s">
        <v>197</v>
      </c>
      <c r="F42" s="207" t="s">
        <v>198</v>
      </c>
      <c r="H42" s="152"/>
      <c r="I42" s="152"/>
      <c r="J42" s="152"/>
      <c r="K42" s="152"/>
      <c r="L42" s="152"/>
      <c r="M42" s="190"/>
      <c r="N42" s="190"/>
      <c r="Q42">
        <f>+Q39*R39</f>
        <v>26004</v>
      </c>
      <c r="R42">
        <f>+Q42*48/77</f>
        <v>16210.285714285714</v>
      </c>
    </row>
    <row r="43" spans="1:18" x14ac:dyDescent="0.25">
      <c r="A43" s="153" t="s">
        <v>73</v>
      </c>
      <c r="C43" s="153"/>
      <c r="D43" s="208" t="s">
        <v>152</v>
      </c>
      <c r="E43" s="200"/>
      <c r="F43" s="209" t="s">
        <v>116</v>
      </c>
      <c r="G43" s="152"/>
      <c r="H43" s="152"/>
      <c r="I43" s="152"/>
      <c r="J43" s="152"/>
      <c r="K43" s="152"/>
      <c r="L43" s="152"/>
      <c r="M43" s="190"/>
      <c r="N43" s="190"/>
      <c r="R43" s="447">
        <f>SUM(R41:R42)</f>
        <v>28563.532467532466</v>
      </c>
    </row>
    <row r="44" spans="1:18" x14ac:dyDescent="0.25">
      <c r="A44" s="156" t="s">
        <v>76</v>
      </c>
      <c r="C44" s="156"/>
      <c r="D44" s="210">
        <v>1070</v>
      </c>
      <c r="F44" s="211">
        <f>D44*2.471</f>
        <v>2643.9700000000003</v>
      </c>
      <c r="G44" s="152"/>
      <c r="H44" s="152"/>
      <c r="I44" s="152"/>
      <c r="J44" s="152"/>
      <c r="K44" s="152"/>
      <c r="L44" s="152"/>
      <c r="M44" s="190"/>
      <c r="N44" s="190"/>
    </row>
    <row r="45" spans="1:18" x14ac:dyDescent="0.25">
      <c r="A45" s="156" t="s">
        <v>77</v>
      </c>
      <c r="C45" s="156"/>
      <c r="D45" s="212">
        <v>200</v>
      </c>
      <c r="F45" s="211"/>
      <c r="G45" s="152"/>
      <c r="H45" s="152"/>
      <c r="I45" s="152"/>
      <c r="J45" s="152"/>
      <c r="K45" s="152"/>
      <c r="L45" s="152"/>
      <c r="M45" s="190"/>
      <c r="N45" s="190"/>
    </row>
    <row r="46" spans="1:18" x14ac:dyDescent="0.25">
      <c r="A46" s="156" t="s">
        <v>78</v>
      </c>
      <c r="C46" s="156"/>
      <c r="D46" s="212">
        <f>SUM(D44*D45)</f>
        <v>214000</v>
      </c>
      <c r="F46" s="211">
        <f>D46*2.471</f>
        <v>528794</v>
      </c>
      <c r="G46" s="152"/>
      <c r="H46" s="152"/>
      <c r="I46" s="152"/>
      <c r="J46" s="152"/>
      <c r="K46" s="152"/>
      <c r="L46" s="152"/>
      <c r="M46" s="190"/>
      <c r="N46" s="190"/>
    </row>
    <row r="47" spans="1:18" x14ac:dyDescent="0.25">
      <c r="A47" s="156" t="s">
        <v>79</v>
      </c>
      <c r="C47" s="156"/>
      <c r="D47" s="212">
        <f>SUM(D46-I23)</f>
        <v>86636.514881289986</v>
      </c>
      <c r="F47" s="211">
        <f>D47*2.471</f>
        <v>214078.82827166756</v>
      </c>
      <c r="G47" s="152"/>
      <c r="H47" s="152"/>
      <c r="I47" s="152"/>
      <c r="J47" s="152"/>
      <c r="K47" s="152"/>
      <c r="L47" s="152"/>
      <c r="M47" s="190"/>
      <c r="N47" s="190"/>
    </row>
    <row r="48" spans="1:18" x14ac:dyDescent="0.25">
      <c r="A48" s="156" t="s">
        <v>80</v>
      </c>
      <c r="C48" s="156"/>
      <c r="D48" s="212">
        <f>SUM(D46-I24)</f>
        <v>128021</v>
      </c>
      <c r="F48" s="211">
        <f>D48*2.471</f>
        <v>316339.891</v>
      </c>
      <c r="G48" s="152"/>
      <c r="H48" s="152"/>
      <c r="I48" s="152"/>
      <c r="J48" s="152"/>
      <c r="K48" s="152"/>
      <c r="L48" s="152"/>
      <c r="M48" s="190"/>
      <c r="N48" s="190"/>
    </row>
    <row r="49" spans="1:14" x14ac:dyDescent="0.25">
      <c r="A49" s="156" t="s">
        <v>199</v>
      </c>
      <c r="C49" s="156"/>
      <c r="D49" s="212">
        <f>SUM(I23/D44)</f>
        <v>119.03129450346731</v>
      </c>
      <c r="F49" s="152"/>
      <c r="G49" s="152"/>
      <c r="H49" s="152"/>
      <c r="I49" s="152"/>
      <c r="J49" s="152"/>
      <c r="K49" s="152"/>
      <c r="L49" s="152"/>
      <c r="M49" s="190"/>
      <c r="N49" s="190"/>
    </row>
    <row r="50" spans="1:14" x14ac:dyDescent="0.25">
      <c r="A50" s="159" t="s">
        <v>200</v>
      </c>
      <c r="B50" s="213"/>
      <c r="C50" s="159"/>
      <c r="D50" s="214">
        <f>SUM(I24/D44)</f>
        <v>80.354205607476629</v>
      </c>
      <c r="E50" s="213"/>
      <c r="F50" s="159"/>
      <c r="G50" s="159"/>
      <c r="H50" s="152"/>
      <c r="I50" s="152"/>
      <c r="J50" s="152"/>
      <c r="K50" s="152"/>
      <c r="L50" s="152"/>
    </row>
    <row r="51" spans="1:14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</row>
    <row r="52" spans="1:14" x14ac:dyDescent="0.25">
      <c r="A52" s="152" t="s">
        <v>124</v>
      </c>
      <c r="B52" s="215" t="s">
        <v>201</v>
      </c>
      <c r="C52" s="216"/>
      <c r="D52" s="216"/>
      <c r="E52" s="152"/>
      <c r="F52" s="152"/>
      <c r="G52" s="152"/>
      <c r="H52" s="152"/>
      <c r="I52" s="152"/>
      <c r="J52" s="152"/>
      <c r="K52" s="152"/>
      <c r="L52" s="152"/>
    </row>
    <row r="53" spans="1:14" x14ac:dyDescent="0.25">
      <c r="A53" s="152"/>
      <c r="B53" s="216" t="s">
        <v>202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</row>
    <row r="54" spans="1:14" x14ac:dyDescent="0.25">
      <c r="A54" s="217"/>
      <c r="B54" s="217" t="s">
        <v>203</v>
      </c>
      <c r="C54" s="156"/>
      <c r="D54" s="156"/>
      <c r="E54" s="156"/>
      <c r="F54" s="152"/>
      <c r="G54" s="152"/>
      <c r="H54" s="152"/>
      <c r="I54" s="152"/>
      <c r="J54" s="152"/>
      <c r="K54" s="152"/>
      <c r="L54" s="152"/>
    </row>
    <row r="55" spans="1:14" x14ac:dyDescent="0.25">
      <c r="A55" s="217"/>
      <c r="B55" s="156"/>
      <c r="C55" s="156"/>
      <c r="D55" s="156"/>
      <c r="E55" s="212"/>
      <c r="F55" s="152"/>
      <c r="G55" s="152"/>
      <c r="H55" s="152"/>
      <c r="I55" s="152"/>
      <c r="J55" s="152"/>
      <c r="K55" s="152"/>
      <c r="L55" s="152"/>
    </row>
    <row r="56" spans="1:14" x14ac:dyDescent="0.25">
      <c r="A56" s="152"/>
      <c r="B56" s="156"/>
      <c r="C56" s="152"/>
      <c r="D56" s="152"/>
      <c r="E56" s="152"/>
      <c r="F56" s="152"/>
      <c r="G56" s="152"/>
      <c r="H56" s="152"/>
      <c r="I56" s="152"/>
      <c r="J56" s="152"/>
      <c r="K56" s="152"/>
      <c r="L56" s="152"/>
    </row>
    <row r="57" spans="1:14" x14ac:dyDescent="0.25">
      <c r="A57" s="152"/>
      <c r="B57" s="216"/>
      <c r="C57" s="216"/>
      <c r="D57" s="152"/>
      <c r="E57" s="152"/>
      <c r="F57" s="152"/>
      <c r="G57" s="152"/>
      <c r="H57" s="152"/>
      <c r="I57" s="152"/>
      <c r="J57" s="152"/>
      <c r="K57" s="152"/>
      <c r="L57" s="152"/>
    </row>
    <row r="58" spans="1:14" x14ac:dyDescent="0.25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</row>
    <row r="59" spans="1:14" x14ac:dyDescent="0.25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</row>
  </sheetData>
  <mergeCells count="5">
    <mergeCell ref="C12:C13"/>
    <mergeCell ref="D12:D13"/>
    <mergeCell ref="E12:E13"/>
    <mergeCell ref="F12:F13"/>
    <mergeCell ref="I12:I13"/>
  </mergeCells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1"/>
  <sheetViews>
    <sheetView topLeftCell="A4" workbookViewId="0">
      <selection activeCell="H40" sqref="H40"/>
    </sheetView>
  </sheetViews>
  <sheetFormatPr defaultColWidth="9.140625" defaultRowHeight="15" x14ac:dyDescent="0.25"/>
  <cols>
    <col min="1" max="2" width="9.140625" style="15"/>
    <col min="3" max="4" width="10.85546875" style="15" customWidth="1"/>
    <col min="5" max="5" width="7.5703125" style="15" customWidth="1"/>
    <col min="6" max="6" width="6.85546875" style="15" customWidth="1"/>
    <col min="7" max="7" width="9.85546875" style="15" customWidth="1"/>
    <col min="8" max="8" width="10.140625" style="15" customWidth="1"/>
    <col min="9" max="9" width="10.42578125" style="15" customWidth="1"/>
    <col min="10" max="10" width="9" style="15" customWidth="1"/>
    <col min="11" max="11" width="10.85546875" style="15" customWidth="1"/>
    <col min="12" max="12" width="11.5703125" style="15" customWidth="1"/>
    <col min="13" max="16384" width="9.140625" style="15"/>
  </cols>
  <sheetData>
    <row r="1" spans="1:30" x14ac:dyDescent="0.25">
      <c r="A1" s="15" t="s">
        <v>0</v>
      </c>
      <c r="B1" s="15" t="s">
        <v>392</v>
      </c>
    </row>
    <row r="2" spans="1:30" x14ac:dyDescent="0.25">
      <c r="B2" s="15" t="s">
        <v>393</v>
      </c>
      <c r="C2" s="358"/>
    </row>
    <row r="3" spans="1:30" x14ac:dyDescent="0.25">
      <c r="B3" s="15" t="s">
        <v>394</v>
      </c>
    </row>
    <row r="4" spans="1:30" x14ac:dyDescent="0.25">
      <c r="A4" s="59" t="s">
        <v>4</v>
      </c>
      <c r="B4" s="59"/>
      <c r="C4" s="59"/>
      <c r="D4" s="359" t="s">
        <v>5</v>
      </c>
      <c r="E4" s="359" t="s">
        <v>6</v>
      </c>
      <c r="F4" s="359" t="s">
        <v>7</v>
      </c>
      <c r="G4" s="359" t="s">
        <v>8</v>
      </c>
      <c r="H4" s="359" t="s">
        <v>9</v>
      </c>
      <c r="I4" s="359" t="s">
        <v>10</v>
      </c>
      <c r="J4" s="359" t="s">
        <v>11</v>
      </c>
      <c r="K4" s="359" t="s">
        <v>12</v>
      </c>
      <c r="L4" s="360" t="s">
        <v>13</v>
      </c>
      <c r="M4" s="359"/>
    </row>
    <row r="5" spans="1:30" x14ac:dyDescent="0.25">
      <c r="A5" s="63"/>
      <c r="B5" s="63"/>
      <c r="C5" s="63"/>
      <c r="D5" s="67" t="s">
        <v>14</v>
      </c>
      <c r="E5" s="67" t="s">
        <v>15</v>
      </c>
      <c r="F5" s="67" t="s">
        <v>15</v>
      </c>
      <c r="G5" s="67" t="s">
        <v>16</v>
      </c>
      <c r="H5" s="67" t="s">
        <v>17</v>
      </c>
      <c r="I5" s="67" t="s">
        <v>18</v>
      </c>
      <c r="J5" s="67" t="s">
        <v>17</v>
      </c>
      <c r="K5" s="67" t="s">
        <v>17</v>
      </c>
      <c r="L5" s="361" t="s">
        <v>10</v>
      </c>
      <c r="M5" s="67" t="s">
        <v>11</v>
      </c>
    </row>
    <row r="6" spans="1:30" x14ac:dyDescent="0.25">
      <c r="A6" s="63"/>
      <c r="B6" s="63"/>
      <c r="C6" s="63"/>
      <c r="D6" s="67" t="s">
        <v>19</v>
      </c>
      <c r="E6" s="67"/>
      <c r="F6" s="67"/>
      <c r="G6" s="67"/>
      <c r="H6" s="67" t="s">
        <v>20</v>
      </c>
      <c r="I6" s="67" t="s">
        <v>17</v>
      </c>
      <c r="J6" s="67" t="s">
        <v>20</v>
      </c>
      <c r="K6" s="67" t="s">
        <v>20</v>
      </c>
      <c r="L6" s="67"/>
      <c r="M6" s="67"/>
    </row>
    <row r="7" spans="1:30" x14ac:dyDescent="0.25">
      <c r="A7" s="74"/>
      <c r="B7" s="74"/>
      <c r="C7" s="74"/>
      <c r="D7" s="362"/>
      <c r="E7" s="362"/>
      <c r="F7" s="362"/>
      <c r="G7" s="362"/>
      <c r="H7" s="362"/>
      <c r="I7" s="362" t="s">
        <v>20</v>
      </c>
      <c r="J7" s="362"/>
      <c r="K7" s="362"/>
      <c r="L7" s="362"/>
      <c r="M7" s="362"/>
    </row>
    <row r="8" spans="1:30" x14ac:dyDescent="0.25">
      <c r="A8" s="63" t="s">
        <v>21</v>
      </c>
      <c r="B8" s="63"/>
      <c r="C8" s="63"/>
      <c r="D8" s="67" t="s">
        <v>395</v>
      </c>
      <c r="E8" s="67"/>
      <c r="F8" s="67"/>
      <c r="G8" s="67"/>
      <c r="H8" s="67">
        <f>SUM(G8*E8)</f>
        <v>0</v>
      </c>
      <c r="I8" s="67"/>
      <c r="J8" s="67"/>
      <c r="K8" s="67">
        <f>SUM(H8:J8)</f>
        <v>0</v>
      </c>
      <c r="L8" s="67"/>
      <c r="M8" s="67"/>
    </row>
    <row r="9" spans="1:30" x14ac:dyDescent="0.25">
      <c r="A9" s="15" t="s">
        <v>396</v>
      </c>
      <c r="D9" s="40">
        <v>83</v>
      </c>
      <c r="E9" s="16">
        <v>0.55000000000000004</v>
      </c>
      <c r="F9" s="16">
        <v>0.55000000000000004</v>
      </c>
      <c r="G9" s="41">
        <v>1500</v>
      </c>
      <c r="H9" s="16">
        <v>609</v>
      </c>
      <c r="I9" s="15">
        <v>6638</v>
      </c>
      <c r="J9" s="16"/>
      <c r="K9" s="16">
        <f>SUM(H9:J9)</f>
        <v>7247</v>
      </c>
    </row>
    <row r="10" spans="1:30" x14ac:dyDescent="0.25">
      <c r="A10" s="15" t="s">
        <v>397</v>
      </c>
      <c r="D10" s="363" t="s">
        <v>398</v>
      </c>
      <c r="E10" s="238" t="s">
        <v>399</v>
      </c>
      <c r="F10" s="16"/>
      <c r="G10" s="41"/>
      <c r="H10" s="16">
        <f>SUM(E10*G10)</f>
        <v>0</v>
      </c>
      <c r="I10" s="15" t="s">
        <v>400</v>
      </c>
      <c r="J10" s="16"/>
      <c r="K10" s="16"/>
    </row>
    <row r="11" spans="1:30" x14ac:dyDescent="0.25">
      <c r="A11" s="15" t="s">
        <v>401</v>
      </c>
      <c r="D11" s="40">
        <f>'[1]Analysis '!GD49</f>
        <v>100</v>
      </c>
      <c r="E11" s="16">
        <v>1.89</v>
      </c>
      <c r="F11" s="16">
        <f>'[1]Analysis '!GD53</f>
        <v>0.87411347517730498</v>
      </c>
      <c r="G11" s="41">
        <v>1500</v>
      </c>
      <c r="H11" s="16">
        <f>SUM(E11*G11)</f>
        <v>2835</v>
      </c>
      <c r="J11" s="16">
        <f>+E25*G25</f>
        <v>6006</v>
      </c>
      <c r="K11" s="16">
        <f t="shared" ref="K11:K17" si="0">SUM(H11:J11)</f>
        <v>8841</v>
      </c>
    </row>
    <row r="12" spans="1:30" x14ac:dyDescent="0.25">
      <c r="A12" s="364" t="s">
        <v>442</v>
      </c>
      <c r="D12" s="40">
        <f>'[1]Analysis '!JV49</f>
        <v>80</v>
      </c>
      <c r="E12" s="247">
        <f>'[1]Analysis '!KN51</f>
        <v>0.49358407079646016</v>
      </c>
      <c r="F12" s="247">
        <f>'[1]Analysis '!KN53</f>
        <v>0.29756637168141592</v>
      </c>
      <c r="G12" s="365">
        <f>'[1]Analysis '!KN54</f>
        <v>2016.0599571734474</v>
      </c>
      <c r="H12" s="16">
        <v>995</v>
      </c>
      <c r="J12" s="32">
        <v>2264</v>
      </c>
      <c r="K12" s="16">
        <f t="shared" si="0"/>
        <v>3259</v>
      </c>
    </row>
    <row r="13" spans="1:30" x14ac:dyDescent="0.25">
      <c r="A13" s="15" t="s">
        <v>402</v>
      </c>
      <c r="D13" s="40">
        <f>'[1]Analysis '!LL49</f>
        <v>97.142857142857139</v>
      </c>
      <c r="E13" s="16">
        <f>'[1]Analysis '!LL51</f>
        <v>6.1514598540145986</v>
      </c>
      <c r="F13" s="16">
        <f>'[1]Analysis '!LL53</f>
        <v>3.7718978102189782</v>
      </c>
      <c r="G13" s="41">
        <v>2016</v>
      </c>
      <c r="H13" s="16">
        <v>12401</v>
      </c>
      <c r="J13" s="16"/>
      <c r="K13" s="16">
        <f t="shared" si="0"/>
        <v>12401</v>
      </c>
    </row>
    <row r="14" spans="1:30" x14ac:dyDescent="0.25">
      <c r="A14" s="15" t="s">
        <v>170</v>
      </c>
      <c r="D14" s="40">
        <v>91</v>
      </c>
      <c r="E14" s="16">
        <f>'[1]Analysis '!MX51</f>
        <v>0.56035380843166838</v>
      </c>
      <c r="F14" s="16">
        <f>'[1]Analysis '!MX53</f>
        <v>0.34689922480620156</v>
      </c>
      <c r="G14" s="41">
        <v>2000</v>
      </c>
      <c r="H14" s="16">
        <v>1121</v>
      </c>
      <c r="J14" s="16">
        <v>2730</v>
      </c>
      <c r="K14" s="16">
        <f t="shared" si="0"/>
        <v>3851</v>
      </c>
    </row>
    <row r="15" spans="1:30" x14ac:dyDescent="0.25">
      <c r="A15" s="15" t="s">
        <v>140</v>
      </c>
      <c r="D15" s="40">
        <f>100</f>
        <v>100</v>
      </c>
      <c r="E15" s="16">
        <v>7.92</v>
      </c>
      <c r="F15" s="16">
        <f>'[1]Analysis '!QN53</f>
        <v>4.205673758865248</v>
      </c>
      <c r="G15" s="41">
        <v>1985</v>
      </c>
      <c r="H15" s="16">
        <v>15721</v>
      </c>
      <c r="J15" s="16"/>
      <c r="K15" s="16">
        <f t="shared" si="0"/>
        <v>15721</v>
      </c>
      <c r="W15" s="363"/>
      <c r="X15" s="16"/>
      <c r="Y15" s="16"/>
      <c r="Z15" s="41"/>
      <c r="AA15" s="16"/>
      <c r="AC15" s="16"/>
      <c r="AD15" s="16"/>
    </row>
    <row r="16" spans="1:30" x14ac:dyDescent="0.25">
      <c r="A16" s="15" t="s">
        <v>403</v>
      </c>
      <c r="D16" s="40">
        <v>100</v>
      </c>
      <c r="E16" s="16">
        <v>1.56</v>
      </c>
      <c r="F16" s="16">
        <f>'[1]Analysis '!SM53</f>
        <v>1.2443430656934307</v>
      </c>
      <c r="G16" s="41">
        <v>1985</v>
      </c>
      <c r="H16" s="16">
        <v>3091</v>
      </c>
      <c r="J16" s="16"/>
      <c r="K16" s="16">
        <f t="shared" si="0"/>
        <v>3091</v>
      </c>
    </row>
    <row r="17" spans="1:14" x14ac:dyDescent="0.25">
      <c r="A17" s="15" t="s">
        <v>404</v>
      </c>
      <c r="D17" s="363">
        <f>'[1]Analysis '!TK49</f>
        <v>100</v>
      </c>
      <c r="E17" s="16">
        <f>'[1]Analysis '!TK51</f>
        <v>1.1207446808510637</v>
      </c>
      <c r="F17" s="16">
        <f>'[1]Analysis '!TK53</f>
        <v>1.0909574468085106</v>
      </c>
      <c r="G17" s="41">
        <f>'[1]Analysis '!TK54</f>
        <v>1500</v>
      </c>
      <c r="H17" s="16">
        <v>1681</v>
      </c>
      <c r="J17" s="16"/>
      <c r="K17" s="16">
        <f t="shared" si="0"/>
        <v>1681</v>
      </c>
    </row>
    <row r="18" spans="1:14" x14ac:dyDescent="0.25">
      <c r="A18" s="358" t="s">
        <v>43</v>
      </c>
      <c r="D18" s="40"/>
      <c r="E18" s="16"/>
      <c r="F18" s="16"/>
      <c r="G18" s="41"/>
      <c r="H18" s="16"/>
      <c r="J18" s="16"/>
      <c r="K18" s="248">
        <f>400*8</f>
        <v>3200</v>
      </c>
    </row>
    <row r="19" spans="1:14" x14ac:dyDescent="0.25">
      <c r="A19" s="366" t="s">
        <v>44</v>
      </c>
      <c r="B19" s="59"/>
      <c r="C19" s="59"/>
      <c r="D19" s="367"/>
      <c r="E19" s="250">
        <f>SUM(E9:E17)</f>
        <v>20.246142414093789</v>
      </c>
      <c r="F19" s="250">
        <f>SUM(F9:F17)</f>
        <v>12.381451153251088</v>
      </c>
      <c r="G19" s="250"/>
      <c r="H19" s="250">
        <f>SUM(H8:H18)</f>
        <v>38454</v>
      </c>
      <c r="I19" s="59">
        <f>SUM(I9:I17)</f>
        <v>6638</v>
      </c>
      <c r="J19" s="250">
        <f>SUM(J9:J17)</f>
        <v>11000</v>
      </c>
      <c r="K19" s="250">
        <f>SUM(K8:K18)</f>
        <v>59292</v>
      </c>
      <c r="L19" s="59"/>
      <c r="M19" s="59"/>
    </row>
    <row r="20" spans="1:14" x14ac:dyDescent="0.25">
      <c r="A20" s="368" t="s">
        <v>45</v>
      </c>
      <c r="B20" s="74"/>
      <c r="C20" s="74"/>
      <c r="D20" s="369"/>
      <c r="E20" s="73">
        <f>SUM(E19-F19)</f>
        <v>7.8646912608427009</v>
      </c>
      <c r="F20" s="73"/>
      <c r="G20" s="73"/>
      <c r="H20" s="73">
        <f>SUM(E27*G27)</f>
        <v>15936</v>
      </c>
      <c r="I20" s="74">
        <f>I19-L19</f>
        <v>6638</v>
      </c>
      <c r="J20" s="73">
        <f>J19-M19</f>
        <v>11000</v>
      </c>
      <c r="K20" s="73">
        <f>SUM(H20:J20)</f>
        <v>33574</v>
      </c>
      <c r="L20" s="74"/>
      <c r="M20" s="74"/>
    </row>
    <row r="21" spans="1:14" x14ac:dyDescent="0.25">
      <c r="C21" s="15" t="s">
        <v>46</v>
      </c>
    </row>
    <row r="22" spans="1:14" x14ac:dyDescent="0.25">
      <c r="A22" s="15" t="s">
        <v>47</v>
      </c>
      <c r="J22" s="15" t="s">
        <v>141</v>
      </c>
      <c r="K22" s="370"/>
    </row>
    <row r="23" spans="1:14" x14ac:dyDescent="0.25">
      <c r="A23" s="371" t="s">
        <v>48</v>
      </c>
      <c r="B23" s="371"/>
      <c r="C23" s="371"/>
      <c r="D23" s="372" t="s">
        <v>49</v>
      </c>
      <c r="E23" s="371" t="s">
        <v>50</v>
      </c>
      <c r="F23" s="371"/>
      <c r="G23" s="371" t="s">
        <v>51</v>
      </c>
      <c r="J23" s="373" t="str">
        <f>'[1]Analysis '!W53</f>
        <v>Red</v>
      </c>
      <c r="K23" s="374">
        <v>0.97140000000000004</v>
      </c>
    </row>
    <row r="24" spans="1:14" x14ac:dyDescent="0.25">
      <c r="A24" s="15" t="s">
        <v>53</v>
      </c>
      <c r="D24" s="375"/>
      <c r="J24" s="376" t="str">
        <f>'[1]Analysis '!W54</f>
        <v>Malysia</v>
      </c>
      <c r="K24" s="374">
        <v>2.86E-2</v>
      </c>
      <c r="N24" s="291"/>
    </row>
    <row r="25" spans="1:14" x14ac:dyDescent="0.25">
      <c r="A25" s="364" t="s">
        <v>143</v>
      </c>
      <c r="D25" s="375" t="s">
        <v>108</v>
      </c>
      <c r="E25" s="16">
        <v>10.5</v>
      </c>
      <c r="G25" s="16">
        <v>572</v>
      </c>
      <c r="N25" s="16"/>
    </row>
    <row r="26" spans="1:14" x14ac:dyDescent="0.25">
      <c r="A26" s="15" t="s">
        <v>57</v>
      </c>
      <c r="D26" s="375"/>
    </row>
    <row r="27" spans="1:14" x14ac:dyDescent="0.25">
      <c r="A27" s="15" t="s">
        <v>59</v>
      </c>
      <c r="D27" s="375" t="s">
        <v>60</v>
      </c>
      <c r="E27" s="14">
        <v>8</v>
      </c>
      <c r="G27" s="16">
        <v>1992</v>
      </c>
      <c r="J27" s="373" t="s">
        <v>58</v>
      </c>
      <c r="K27" s="376">
        <f>'[1]Analysis '!X51</f>
        <v>2.0142857142857142</v>
      </c>
    </row>
    <row r="28" spans="1:14" x14ac:dyDescent="0.25">
      <c r="A28" s="15" t="s">
        <v>145</v>
      </c>
      <c r="D28" s="375" t="s">
        <v>60</v>
      </c>
      <c r="E28" s="14">
        <v>12</v>
      </c>
      <c r="J28" s="373" t="s">
        <v>61</v>
      </c>
      <c r="K28" s="376">
        <f>'[1]Analysis '!X50</f>
        <v>2</v>
      </c>
    </row>
    <row r="29" spans="1:14" x14ac:dyDescent="0.25">
      <c r="A29" s="15" t="s">
        <v>6</v>
      </c>
      <c r="D29" s="375" t="s">
        <v>60</v>
      </c>
      <c r="E29" s="14">
        <f>SUM(E27:E28)</f>
        <v>20</v>
      </c>
      <c r="K29" s="377"/>
    </row>
    <row r="30" spans="1:14" x14ac:dyDescent="0.25">
      <c r="A30" s="59" t="s">
        <v>63</v>
      </c>
      <c r="B30" s="59"/>
      <c r="C30" s="59" t="s">
        <v>64</v>
      </c>
      <c r="D30" s="378"/>
      <c r="E30" s="59"/>
      <c r="F30" s="59"/>
      <c r="G30" s="59"/>
    </row>
    <row r="31" spans="1:14" x14ac:dyDescent="0.25">
      <c r="A31" s="15" t="s">
        <v>405</v>
      </c>
      <c r="B31" s="379"/>
      <c r="C31" s="380">
        <v>91</v>
      </c>
      <c r="D31" s="381" t="s">
        <v>406</v>
      </c>
      <c r="E31" s="64">
        <f>'[1]Analysis '!JV50</f>
        <v>0.84778761061946928</v>
      </c>
      <c r="F31" s="63"/>
      <c r="G31" s="64">
        <v>2664</v>
      </c>
    </row>
    <row r="32" spans="1:14" x14ac:dyDescent="0.25">
      <c r="A32" s="368"/>
      <c r="B32" s="226"/>
      <c r="C32" s="382"/>
      <c r="D32" s="368"/>
      <c r="E32" s="74"/>
      <c r="F32" s="74"/>
      <c r="G32" s="74"/>
    </row>
    <row r="33" spans="1:7" x14ac:dyDescent="0.25">
      <c r="A33" s="366" t="s">
        <v>73</v>
      </c>
      <c r="B33" s="366"/>
      <c r="C33" s="59"/>
      <c r="D33" s="383" t="s">
        <v>152</v>
      </c>
      <c r="E33" s="59"/>
      <c r="F33" s="59"/>
      <c r="G33" s="59" t="s">
        <v>116</v>
      </c>
    </row>
    <row r="34" spans="1:7" x14ac:dyDescent="0.25">
      <c r="A34" s="379" t="s">
        <v>319</v>
      </c>
      <c r="B34" s="379"/>
      <c r="C34" s="63"/>
      <c r="D34" s="234">
        <v>149</v>
      </c>
      <c r="E34" s="63"/>
      <c r="F34" s="63"/>
      <c r="G34" s="232">
        <f>+D34*2.471</f>
        <v>368.17900000000003</v>
      </c>
    </row>
    <row r="35" spans="1:7" x14ac:dyDescent="0.25">
      <c r="A35" s="379" t="s">
        <v>118</v>
      </c>
      <c r="B35" s="379"/>
      <c r="C35" s="63"/>
      <c r="D35" s="64">
        <v>382</v>
      </c>
      <c r="E35" s="63"/>
      <c r="F35" s="63"/>
      <c r="G35" s="232"/>
    </row>
    <row r="36" spans="1:7" x14ac:dyDescent="0.25">
      <c r="A36" s="379" t="s">
        <v>78</v>
      </c>
      <c r="B36" s="379"/>
      <c r="C36" s="63"/>
      <c r="D36" s="64">
        <f>D34*D35</f>
        <v>56918</v>
      </c>
      <c r="E36" s="63"/>
      <c r="F36" s="63"/>
      <c r="G36" s="232">
        <f>+D36*2.471</f>
        <v>140644.378</v>
      </c>
    </row>
    <row r="37" spans="1:7" x14ac:dyDescent="0.25">
      <c r="A37" s="379" t="s">
        <v>79</v>
      </c>
      <c r="B37" s="379"/>
      <c r="C37" s="63"/>
      <c r="D37" s="64">
        <f>D36-K19</f>
        <v>-2374</v>
      </c>
      <c r="E37" s="63"/>
      <c r="F37" s="63"/>
      <c r="G37" s="232">
        <f>+D37*2.471</f>
        <v>-5866.1540000000005</v>
      </c>
    </row>
    <row r="38" spans="1:7" x14ac:dyDescent="0.25">
      <c r="A38" s="379" t="s">
        <v>80</v>
      </c>
      <c r="B38" s="379"/>
      <c r="C38" s="63"/>
      <c r="D38" s="64">
        <f>D36-K20</f>
        <v>23344</v>
      </c>
      <c r="E38" s="63"/>
      <c r="F38" s="63"/>
      <c r="G38" s="232">
        <f>+D38*2.471</f>
        <v>57683.024000000005</v>
      </c>
    </row>
    <row r="39" spans="1:7" x14ac:dyDescent="0.25">
      <c r="A39" s="379" t="s">
        <v>199</v>
      </c>
      <c r="B39" s="379"/>
      <c r="C39" s="63"/>
      <c r="D39" s="64">
        <f>K19/D34</f>
        <v>397.93288590604027</v>
      </c>
      <c r="E39" s="63"/>
      <c r="F39" s="63"/>
      <c r="G39" s="232"/>
    </row>
    <row r="40" spans="1:7" x14ac:dyDescent="0.25">
      <c r="A40" s="368" t="s">
        <v>200</v>
      </c>
      <c r="B40" s="368"/>
      <c r="C40" s="74"/>
      <c r="D40" s="73">
        <f>K20/D34</f>
        <v>225.32885906040269</v>
      </c>
      <c r="E40" s="74"/>
      <c r="F40" s="74"/>
      <c r="G40" s="369"/>
    </row>
    <row r="41" spans="1:7" x14ac:dyDescent="0.25">
      <c r="A41" s="384" t="s">
        <v>407</v>
      </c>
    </row>
    <row r="51" spans="7:7" x14ac:dyDescent="0.25">
      <c r="G51" s="15" t="s">
        <v>83</v>
      </c>
    </row>
  </sheetData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0"/>
  <sheetViews>
    <sheetView workbookViewId="0">
      <selection activeCell="H42" sqref="H42"/>
    </sheetView>
  </sheetViews>
  <sheetFormatPr defaultColWidth="10.85546875" defaultRowHeight="15" x14ac:dyDescent="0.25"/>
  <cols>
    <col min="1" max="2" width="10.85546875" style="364"/>
    <col min="3" max="3" width="7.140625" style="364" customWidth="1"/>
    <col min="4" max="4" width="10.85546875" style="364"/>
    <col min="5" max="5" width="8.28515625" style="364" customWidth="1"/>
    <col min="6" max="6" width="6.42578125" style="364" customWidth="1"/>
    <col min="7" max="7" width="11.5703125" style="364" customWidth="1"/>
    <col min="8" max="8" width="10.85546875" style="364"/>
    <col min="9" max="9" width="9.28515625" style="364" customWidth="1"/>
    <col min="10" max="10" width="8.5703125" style="364" customWidth="1"/>
    <col min="11" max="11" width="13.85546875" style="364" customWidth="1"/>
    <col min="12" max="12" width="8.140625" style="364" customWidth="1"/>
    <col min="13" max="16384" width="10.85546875" style="364"/>
  </cols>
  <sheetData>
    <row r="1" spans="1:16" x14ac:dyDescent="0.25">
      <c r="A1" s="364" t="s">
        <v>0</v>
      </c>
      <c r="B1" s="364" t="s">
        <v>438</v>
      </c>
    </row>
    <row r="2" spans="1:16" x14ac:dyDescent="0.25">
      <c r="B2" s="364" t="s">
        <v>439</v>
      </c>
    </row>
    <row r="3" spans="1:16" x14ac:dyDescent="0.25">
      <c r="B3" s="364" t="s">
        <v>128</v>
      </c>
    </row>
    <row r="4" spans="1:16" x14ac:dyDescent="0.25">
      <c r="A4" s="366" t="s">
        <v>4</v>
      </c>
      <c r="B4" s="366"/>
      <c r="C4" s="366"/>
      <c r="D4" s="385" t="s">
        <v>5</v>
      </c>
      <c r="E4" s="385" t="s">
        <v>6</v>
      </c>
      <c r="F4" s="385" t="s">
        <v>7</v>
      </c>
      <c r="G4" s="385" t="s">
        <v>8</v>
      </c>
      <c r="H4" s="385" t="s">
        <v>9</v>
      </c>
      <c r="I4" s="385" t="s">
        <v>10</v>
      </c>
      <c r="J4" s="385" t="s">
        <v>11</v>
      </c>
      <c r="K4" s="385" t="s">
        <v>12</v>
      </c>
      <c r="L4" s="386" t="s">
        <v>13</v>
      </c>
      <c r="M4" s="385"/>
    </row>
    <row r="5" spans="1:16" x14ac:dyDescent="0.25">
      <c r="A5" s="379"/>
      <c r="B5" s="379"/>
      <c r="C5" s="379"/>
      <c r="D5" s="387" t="s">
        <v>14</v>
      </c>
      <c r="E5" s="387" t="s">
        <v>15</v>
      </c>
      <c r="F5" s="387" t="s">
        <v>15</v>
      </c>
      <c r="G5" s="387" t="s">
        <v>16</v>
      </c>
      <c r="H5" s="387" t="s">
        <v>17</v>
      </c>
      <c r="I5" s="387" t="s">
        <v>18</v>
      </c>
      <c r="J5" s="387" t="s">
        <v>17</v>
      </c>
      <c r="K5" s="387" t="s">
        <v>17</v>
      </c>
      <c r="L5" s="226" t="s">
        <v>10</v>
      </c>
      <c r="M5" s="387" t="s">
        <v>11</v>
      </c>
    </row>
    <row r="6" spans="1:16" x14ac:dyDescent="0.25">
      <c r="A6" s="379"/>
      <c r="B6" s="379"/>
      <c r="C6" s="379"/>
      <c r="D6" s="387" t="s">
        <v>19</v>
      </c>
      <c r="E6" s="387"/>
      <c r="F6" s="387"/>
      <c r="G6" s="387"/>
      <c r="H6" s="387" t="s">
        <v>20</v>
      </c>
      <c r="I6" s="387" t="s">
        <v>17</v>
      </c>
      <c r="J6" s="387" t="s">
        <v>20</v>
      </c>
      <c r="K6" s="387" t="s">
        <v>20</v>
      </c>
      <c r="L6" s="387"/>
      <c r="M6" s="387"/>
    </row>
    <row r="7" spans="1:16" x14ac:dyDescent="0.25">
      <c r="A7" s="368"/>
      <c r="B7" s="368"/>
      <c r="C7" s="368"/>
      <c r="D7" s="388"/>
      <c r="E7" s="388"/>
      <c r="F7" s="388"/>
      <c r="G7" s="388"/>
      <c r="H7" s="388"/>
      <c r="I7" s="388" t="s">
        <v>20</v>
      </c>
      <c r="J7" s="388"/>
      <c r="K7" s="388"/>
      <c r="L7" s="388"/>
      <c r="M7" s="388"/>
    </row>
    <row r="8" spans="1:16" x14ac:dyDescent="0.25">
      <c r="A8" s="364" t="s">
        <v>129</v>
      </c>
      <c r="D8" s="389">
        <v>40</v>
      </c>
      <c r="E8" s="32">
        <v>1.85</v>
      </c>
      <c r="F8" s="32">
        <f>[2]Analysis!BD51</f>
        <v>1.8461538461538463</v>
      </c>
      <c r="G8" s="390">
        <v>2000</v>
      </c>
      <c r="H8" s="32">
        <f>SUM(E8*G8)</f>
        <v>3700</v>
      </c>
      <c r="J8" s="32"/>
      <c r="K8" s="32">
        <f t="shared" ref="K8:K15" si="0">SUM(H8:J8)</f>
        <v>3700</v>
      </c>
    </row>
    <row r="9" spans="1:16" x14ac:dyDescent="0.25">
      <c r="A9" s="364" t="s">
        <v>408</v>
      </c>
      <c r="D9" s="391">
        <v>80</v>
      </c>
      <c r="E9" s="32">
        <f>[2]Analysis!CN56</f>
        <v>0.36633663366336633</v>
      </c>
      <c r="F9" s="32">
        <f>[2]Analysis!CN52</f>
        <v>0.36633663366336633</v>
      </c>
      <c r="G9" s="390">
        <v>2000</v>
      </c>
      <c r="H9" s="32">
        <v>733</v>
      </c>
      <c r="I9" s="32">
        <v>12059</v>
      </c>
      <c r="J9" s="32"/>
      <c r="K9" s="32">
        <f t="shared" si="0"/>
        <v>12792</v>
      </c>
      <c r="L9" s="32"/>
    </row>
    <row r="10" spans="1:16" x14ac:dyDescent="0.25">
      <c r="A10" s="364" t="s">
        <v>409</v>
      </c>
      <c r="D10" s="391" t="s">
        <v>410</v>
      </c>
      <c r="E10" s="32"/>
      <c r="F10" s="32"/>
      <c r="G10" s="390"/>
      <c r="H10" s="392"/>
      <c r="I10" s="32" t="s">
        <v>411</v>
      </c>
      <c r="J10" s="32"/>
      <c r="K10" s="32">
        <f t="shared" si="0"/>
        <v>0</v>
      </c>
      <c r="L10" s="32"/>
      <c r="P10" s="393"/>
    </row>
    <row r="11" spans="1:16" x14ac:dyDescent="0.25">
      <c r="A11" s="364" t="s">
        <v>131</v>
      </c>
      <c r="D11" s="391">
        <v>100</v>
      </c>
      <c r="E11" s="32">
        <f>[2]Analysis!EA55</f>
        <v>3.9096045197740112</v>
      </c>
      <c r="F11" s="32">
        <f>[2]Analysis!EA51</f>
        <v>0.74576271186440679</v>
      </c>
      <c r="G11" s="390">
        <f>[2]Analysis!EA56</f>
        <v>1774.2857142857144</v>
      </c>
      <c r="H11" s="32">
        <v>6937</v>
      </c>
      <c r="J11" s="32"/>
      <c r="K11" s="32">
        <f t="shared" si="0"/>
        <v>6937</v>
      </c>
    </row>
    <row r="12" spans="1:16" x14ac:dyDescent="0.25">
      <c r="A12" s="364" t="s">
        <v>216</v>
      </c>
      <c r="D12" s="391">
        <f>[2]Analysis!GC47</f>
        <v>100</v>
      </c>
      <c r="E12" s="32">
        <f>[2]Analysis!GC55</f>
        <v>3.8488888888888888</v>
      </c>
      <c r="F12" s="32">
        <f>[2]Analysis!GC51</f>
        <v>0.96888888888888891</v>
      </c>
      <c r="G12" s="390">
        <v>1750</v>
      </c>
      <c r="H12" s="32">
        <v>6736</v>
      </c>
      <c r="J12" s="32">
        <v>6400</v>
      </c>
      <c r="K12" s="32">
        <f t="shared" si="0"/>
        <v>13136</v>
      </c>
    </row>
    <row r="13" spans="1:16" x14ac:dyDescent="0.25">
      <c r="A13" s="364" t="s">
        <v>39</v>
      </c>
      <c r="D13" s="391">
        <f>[2]Analysis!LJ45</f>
        <v>90</v>
      </c>
      <c r="E13" s="32">
        <v>4.4000000000000004</v>
      </c>
      <c r="F13" s="32">
        <f>0.77+0.88</f>
        <v>1.65</v>
      </c>
      <c r="G13" s="390">
        <v>1786</v>
      </c>
      <c r="H13" s="32">
        <v>7858</v>
      </c>
      <c r="J13" s="32"/>
      <c r="K13" s="32">
        <f t="shared" si="0"/>
        <v>7858</v>
      </c>
    </row>
    <row r="14" spans="1:16" x14ac:dyDescent="0.25">
      <c r="A14" s="364" t="s">
        <v>140</v>
      </c>
      <c r="D14" s="391">
        <f>[2]Analysis!QJ46</f>
        <v>100</v>
      </c>
      <c r="E14" s="32">
        <f>[2]Analysis!QJ54</f>
        <v>6.4177777777777774</v>
      </c>
      <c r="F14" s="32">
        <f>[2]Analysis!QJ50</f>
        <v>1.2088888888888889</v>
      </c>
      <c r="G14" s="390">
        <v>1527</v>
      </c>
      <c r="H14" s="32">
        <v>9800</v>
      </c>
      <c r="J14" s="32"/>
      <c r="K14" s="32">
        <f t="shared" si="0"/>
        <v>9800</v>
      </c>
    </row>
    <row r="15" spans="1:16" x14ac:dyDescent="0.25">
      <c r="A15" s="364" t="s">
        <v>412</v>
      </c>
      <c r="D15" s="391">
        <f>[2]Analysis!SJ46</f>
        <v>96.666666666666671</v>
      </c>
      <c r="E15" s="32">
        <f>[2]Analysis!SJ54</f>
        <v>0.69833333333333336</v>
      </c>
      <c r="F15" s="32">
        <f>[2]Analysis!SJ50</f>
        <v>0.37833333333333335</v>
      </c>
      <c r="G15" s="390">
        <v>2000</v>
      </c>
      <c r="H15" s="32">
        <v>1397</v>
      </c>
      <c r="I15" s="32">
        <v>4746</v>
      </c>
      <c r="J15" s="32"/>
      <c r="K15" s="32">
        <f t="shared" si="0"/>
        <v>6143</v>
      </c>
      <c r="L15" s="32"/>
    </row>
    <row r="16" spans="1:16" x14ac:dyDescent="0.25">
      <c r="A16" s="364" t="s">
        <v>43</v>
      </c>
      <c r="D16" s="391"/>
      <c r="E16" s="32"/>
      <c r="F16" s="32"/>
      <c r="G16" s="390"/>
      <c r="H16" s="32"/>
      <c r="J16" s="32"/>
      <c r="K16" s="32">
        <f>400*14</f>
        <v>5600</v>
      </c>
    </row>
    <row r="17" spans="1:14" x14ac:dyDescent="0.25">
      <c r="A17" s="366" t="s">
        <v>103</v>
      </c>
      <c r="B17" s="366"/>
      <c r="C17" s="366"/>
      <c r="D17" s="394"/>
      <c r="E17" s="395">
        <f>SUM(E8:E16)</f>
        <v>21.49094115343738</v>
      </c>
      <c r="F17" s="395">
        <f>SUM(F8:F15)</f>
        <v>7.1643643027927295</v>
      </c>
      <c r="G17" s="395"/>
      <c r="H17" s="395">
        <f>SUM(H8:H15)</f>
        <v>37161</v>
      </c>
      <c r="I17" s="396">
        <f>SUM(I8:I15)</f>
        <v>16805</v>
      </c>
      <c r="J17" s="395">
        <f>SUM(J8:J15)</f>
        <v>6400</v>
      </c>
      <c r="K17" s="395">
        <f>SUM(K8:K16)</f>
        <v>65966</v>
      </c>
      <c r="L17" s="366">
        <f>SUM(L8:L15)</f>
        <v>0</v>
      </c>
      <c r="M17" s="366">
        <f>SUM(M8:M15)</f>
        <v>0</v>
      </c>
    </row>
    <row r="18" spans="1:14" x14ac:dyDescent="0.25">
      <c r="A18" s="368" t="s">
        <v>104</v>
      </c>
      <c r="B18" s="368"/>
      <c r="C18" s="368"/>
      <c r="D18" s="397"/>
      <c r="E18" s="398">
        <f>SUM(E17-F17)</f>
        <v>14.326576850644649</v>
      </c>
      <c r="F18" s="398"/>
      <c r="G18" s="398"/>
      <c r="H18" s="398">
        <f>SUM(E26*G26)</f>
        <v>24780</v>
      </c>
      <c r="I18" s="399">
        <f>I17-L17</f>
        <v>16805</v>
      </c>
      <c r="J18" s="398">
        <f>J17-M17</f>
        <v>6400</v>
      </c>
      <c r="K18" s="398">
        <f>SUM(H18:J18)</f>
        <v>47985</v>
      </c>
      <c r="L18" s="368"/>
      <c r="M18" s="368"/>
    </row>
    <row r="20" spans="1:14" x14ac:dyDescent="0.25">
      <c r="C20" s="364" t="s">
        <v>46</v>
      </c>
    </row>
    <row r="21" spans="1:14" x14ac:dyDescent="0.25">
      <c r="A21" s="364" t="s">
        <v>47</v>
      </c>
      <c r="J21" s="400" t="s">
        <v>266</v>
      </c>
      <c r="K21" s="401">
        <v>1.88</v>
      </c>
    </row>
    <row r="22" spans="1:14" x14ac:dyDescent="0.25">
      <c r="A22" s="402" t="s">
        <v>48</v>
      </c>
      <c r="B22" s="402"/>
      <c r="C22" s="402"/>
      <c r="D22" s="402" t="s">
        <v>49</v>
      </c>
      <c r="E22" s="402" t="s">
        <v>50</v>
      </c>
      <c r="F22" s="402"/>
      <c r="G22" s="402" t="s">
        <v>51</v>
      </c>
      <c r="J22" s="401" t="s">
        <v>265</v>
      </c>
      <c r="K22" s="401">
        <v>1</v>
      </c>
      <c r="N22" s="403"/>
    </row>
    <row r="23" spans="1:14" x14ac:dyDescent="0.25">
      <c r="A23" s="364" t="s">
        <v>53</v>
      </c>
      <c r="J23" s="401"/>
      <c r="K23" s="401"/>
      <c r="N23" s="32"/>
    </row>
    <row r="24" spans="1:14" x14ac:dyDescent="0.25">
      <c r="A24" s="364" t="s">
        <v>413</v>
      </c>
      <c r="D24" s="364" t="s">
        <v>108</v>
      </c>
      <c r="E24" s="32">
        <v>10</v>
      </c>
      <c r="G24" s="32">
        <v>640</v>
      </c>
    </row>
    <row r="25" spans="1:14" x14ac:dyDescent="0.25">
      <c r="A25" s="364" t="s">
        <v>57</v>
      </c>
      <c r="J25" s="364" t="s">
        <v>141</v>
      </c>
      <c r="K25" s="404"/>
    </row>
    <row r="26" spans="1:14" x14ac:dyDescent="0.25">
      <c r="A26" s="364" t="s">
        <v>112</v>
      </c>
      <c r="D26" s="364" t="s">
        <v>60</v>
      </c>
      <c r="E26" s="222">
        <v>14</v>
      </c>
      <c r="G26" s="222">
        <v>1770</v>
      </c>
      <c r="J26" s="405" t="str">
        <f>[2]Analysis!$L$50</f>
        <v>MI 01</v>
      </c>
      <c r="K26" s="400">
        <f>[2]Analysis!$M$50</f>
        <v>0.5</v>
      </c>
    </row>
    <row r="27" spans="1:14" x14ac:dyDescent="0.25">
      <c r="A27" s="364" t="s">
        <v>113</v>
      </c>
      <c r="D27" s="364" t="s">
        <v>60</v>
      </c>
      <c r="E27" s="222">
        <v>7</v>
      </c>
      <c r="J27" s="405" t="str">
        <f>[2]Analysis!$L$48</f>
        <v>kalu udu</v>
      </c>
      <c r="K27" s="400">
        <f>[2]Analysis!$M$48</f>
        <v>0.26666666666666666</v>
      </c>
    </row>
    <row r="28" spans="1:14" x14ac:dyDescent="0.25">
      <c r="A28" s="364" t="s">
        <v>6</v>
      </c>
      <c r="E28" s="222">
        <v>21</v>
      </c>
      <c r="J28" s="405" t="str">
        <f>[2]Analysis!$L$51</f>
        <v>Anurada</v>
      </c>
      <c r="K28" s="400">
        <f>[2]Analysis!$M$51</f>
        <v>0.2</v>
      </c>
    </row>
    <row r="29" spans="1:14" x14ac:dyDescent="0.25">
      <c r="J29" s="405" t="s">
        <v>251</v>
      </c>
      <c r="K29" s="400">
        <f>[2]Analysis!$M$49</f>
        <v>3.3333333333333333E-2</v>
      </c>
    </row>
    <row r="30" spans="1:14" x14ac:dyDescent="0.25">
      <c r="A30" s="366" t="s">
        <v>63</v>
      </c>
      <c r="B30" s="366"/>
      <c r="C30" s="366" t="s">
        <v>64</v>
      </c>
      <c r="D30" s="366"/>
      <c r="E30" s="366"/>
      <c r="F30" s="366"/>
      <c r="G30" s="366"/>
      <c r="J30" s="401"/>
      <c r="K30" s="400">
        <f>SUM(K26:K29)</f>
        <v>0.99999999999999989</v>
      </c>
    </row>
    <row r="31" spans="1:14" x14ac:dyDescent="0.25">
      <c r="A31" s="379"/>
      <c r="B31" s="226"/>
      <c r="C31" s="380" t="s">
        <v>136</v>
      </c>
      <c r="D31" s="379" t="s">
        <v>414</v>
      </c>
      <c r="E31" s="406" t="s">
        <v>415</v>
      </c>
      <c r="F31" s="379"/>
      <c r="G31" s="407" t="s">
        <v>416</v>
      </c>
    </row>
    <row r="32" spans="1:14" x14ac:dyDescent="0.25">
      <c r="A32" s="366" t="s">
        <v>73</v>
      </c>
      <c r="B32" s="366"/>
      <c r="C32" s="366"/>
      <c r="D32" s="366" t="s">
        <v>74</v>
      </c>
      <c r="E32" s="366"/>
      <c r="F32" s="366"/>
      <c r="G32" s="366" t="s">
        <v>75</v>
      </c>
    </row>
    <row r="33" spans="1:7" x14ac:dyDescent="0.25">
      <c r="A33" s="379" t="s">
        <v>117</v>
      </c>
      <c r="B33" s="379"/>
      <c r="C33" s="379"/>
      <c r="D33" s="408">
        <v>501</v>
      </c>
      <c r="E33" s="379"/>
      <c r="F33" s="379"/>
      <c r="G33" s="409">
        <f>D33*2.471</f>
        <v>1237.971</v>
      </c>
    </row>
    <row r="34" spans="1:7" x14ac:dyDescent="0.25">
      <c r="A34" s="379" t="s">
        <v>118</v>
      </c>
      <c r="B34" s="379"/>
      <c r="C34" s="379"/>
      <c r="D34" s="408">
        <v>585</v>
      </c>
      <c r="E34" s="379"/>
      <c r="F34" s="379"/>
      <c r="G34" s="410"/>
    </row>
    <row r="35" spans="1:7" x14ac:dyDescent="0.25">
      <c r="A35" s="379" t="s">
        <v>119</v>
      </c>
      <c r="B35" s="379"/>
      <c r="C35" s="379"/>
      <c r="D35" s="379">
        <f>+D33*D34</f>
        <v>293085</v>
      </c>
      <c r="E35" s="379"/>
      <c r="F35" s="379"/>
      <c r="G35" s="410">
        <f>D35*2.471</f>
        <v>724213.03500000003</v>
      </c>
    </row>
    <row r="36" spans="1:7" x14ac:dyDescent="0.25">
      <c r="A36" s="379" t="s">
        <v>120</v>
      </c>
      <c r="B36" s="379"/>
      <c r="C36" s="379"/>
      <c r="D36" s="408">
        <f>D35-K17</f>
        <v>227119</v>
      </c>
      <c r="E36" s="379"/>
      <c r="F36" s="379"/>
      <c r="G36" s="410">
        <f>D36*2.471</f>
        <v>561211.049</v>
      </c>
    </row>
    <row r="37" spans="1:7" x14ac:dyDescent="0.25">
      <c r="A37" s="379" t="s">
        <v>121</v>
      </c>
      <c r="B37" s="379"/>
      <c r="C37" s="379"/>
      <c r="D37" s="408">
        <f>D35-K18</f>
        <v>245100</v>
      </c>
      <c r="E37" s="379"/>
      <c r="F37" s="379"/>
      <c r="G37" s="410">
        <f>D37*2.471</f>
        <v>605642.1</v>
      </c>
    </row>
    <row r="38" spans="1:7" x14ac:dyDescent="0.25">
      <c r="A38" s="379" t="s">
        <v>156</v>
      </c>
      <c r="B38" s="379"/>
      <c r="C38" s="379"/>
      <c r="D38" s="408">
        <f>K17/D33</f>
        <v>131.6686626746507</v>
      </c>
      <c r="E38" s="379"/>
      <c r="F38" s="379"/>
      <c r="G38" s="410"/>
    </row>
    <row r="39" spans="1:7" x14ac:dyDescent="0.25">
      <c r="A39" s="368" t="s">
        <v>157</v>
      </c>
      <c r="B39" s="368"/>
      <c r="C39" s="368"/>
      <c r="D39" s="398">
        <f>K18/D33</f>
        <v>95.778443113772454</v>
      </c>
      <c r="E39" s="368"/>
      <c r="F39" s="368"/>
      <c r="G39" s="411"/>
    </row>
    <row r="50" spans="7:7" x14ac:dyDescent="0.25">
      <c r="G50" s="364" t="s">
        <v>83</v>
      </c>
    </row>
  </sheetData>
  <pageMargins left="0.7" right="0.7" top="0.75" bottom="0.75" header="0.3" footer="0.3"/>
  <pageSetup paperSize="9"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1"/>
  <sheetViews>
    <sheetView tabSelected="1" workbookViewId="0">
      <selection activeCell="M17" sqref="M17"/>
    </sheetView>
  </sheetViews>
  <sheetFormatPr defaultRowHeight="15" x14ac:dyDescent="0.25"/>
  <cols>
    <col min="1" max="1" width="9.140625" style="296"/>
    <col min="2" max="2" width="17.5703125" style="296" customWidth="1"/>
    <col min="3" max="3" width="11.28515625" style="296" customWidth="1"/>
    <col min="4" max="4" width="12.28515625" style="296" customWidth="1"/>
    <col min="5" max="5" width="8" style="296" customWidth="1"/>
    <col min="6" max="6" width="5.5703125" style="296" customWidth="1"/>
    <col min="7" max="7" width="11.7109375" style="296" customWidth="1"/>
    <col min="8" max="8" width="10.85546875" style="296" customWidth="1"/>
    <col min="9" max="9" width="10.5703125" style="296" customWidth="1"/>
    <col min="10" max="10" width="11.85546875" style="296" customWidth="1"/>
    <col min="11" max="11" width="10.7109375" style="296" customWidth="1"/>
    <col min="12" max="12" width="11.42578125" style="296" customWidth="1"/>
    <col min="13" max="13" width="7.7109375" style="296" customWidth="1"/>
    <col min="14" max="14" width="9.140625" style="296"/>
    <col min="15" max="15" width="9.5703125" style="296" bestFit="1" customWidth="1"/>
    <col min="16" max="16384" width="9.140625" style="296"/>
  </cols>
  <sheetData>
    <row r="1" spans="1:13" x14ac:dyDescent="0.25">
      <c r="A1" s="265" t="s">
        <v>0</v>
      </c>
      <c r="B1" s="265" t="s">
        <v>352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</row>
    <row r="2" spans="1:13" x14ac:dyDescent="0.25">
      <c r="A2" s="265"/>
      <c r="B2" s="265" t="s">
        <v>441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</row>
    <row r="3" spans="1:13" x14ac:dyDescent="0.25">
      <c r="A3" s="265"/>
      <c r="B3" s="265" t="s">
        <v>353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4" spans="1:13" x14ac:dyDescent="0.25">
      <c r="A4" s="267" t="s">
        <v>4</v>
      </c>
      <c r="B4" s="267"/>
      <c r="C4" s="267"/>
      <c r="D4" s="268" t="s">
        <v>5</v>
      </c>
      <c r="E4" s="268" t="s">
        <v>6</v>
      </c>
      <c r="F4" s="268" t="s">
        <v>7</v>
      </c>
      <c r="G4" s="268" t="s">
        <v>8</v>
      </c>
      <c r="H4" s="268" t="s">
        <v>9</v>
      </c>
      <c r="I4" s="268" t="s">
        <v>10</v>
      </c>
      <c r="J4" s="268" t="s">
        <v>11</v>
      </c>
      <c r="K4" s="268" t="s">
        <v>12</v>
      </c>
      <c r="L4" s="269" t="s">
        <v>13</v>
      </c>
      <c r="M4" s="268"/>
    </row>
    <row r="5" spans="1:13" x14ac:dyDescent="0.25">
      <c r="A5" s="266"/>
      <c r="B5" s="266"/>
      <c r="C5" s="266"/>
      <c r="D5" s="270" t="s">
        <v>14</v>
      </c>
      <c r="E5" s="270" t="s">
        <v>15</v>
      </c>
      <c r="F5" s="270" t="s">
        <v>15</v>
      </c>
      <c r="G5" s="270" t="s">
        <v>16</v>
      </c>
      <c r="H5" s="270" t="s">
        <v>17</v>
      </c>
      <c r="I5" s="270" t="s">
        <v>18</v>
      </c>
      <c r="J5" s="270" t="s">
        <v>17</v>
      </c>
      <c r="K5" s="270" t="s">
        <v>17</v>
      </c>
      <c r="L5" s="297" t="s">
        <v>10</v>
      </c>
      <c r="M5" s="270" t="s">
        <v>11</v>
      </c>
    </row>
    <row r="6" spans="1:13" x14ac:dyDescent="0.25">
      <c r="A6" s="266"/>
      <c r="B6" s="266"/>
      <c r="C6" s="266"/>
      <c r="D6" s="270" t="s">
        <v>19</v>
      </c>
      <c r="E6" s="270"/>
      <c r="F6" s="270"/>
      <c r="G6" s="270"/>
      <c r="H6" s="270" t="s">
        <v>20</v>
      </c>
      <c r="I6" s="270" t="s">
        <v>17</v>
      </c>
      <c r="J6" s="270" t="s">
        <v>20</v>
      </c>
      <c r="K6" s="270" t="s">
        <v>20</v>
      </c>
      <c r="L6" s="270"/>
      <c r="M6" s="270"/>
    </row>
    <row r="7" spans="1:13" x14ac:dyDescent="0.25">
      <c r="A7" s="271"/>
      <c r="B7" s="271"/>
      <c r="C7" s="271"/>
      <c r="D7" s="272"/>
      <c r="E7" s="272"/>
      <c r="F7" s="272"/>
      <c r="G7" s="272"/>
      <c r="H7" s="272"/>
      <c r="I7" s="272" t="s">
        <v>20</v>
      </c>
      <c r="J7" s="272"/>
      <c r="K7" s="272"/>
      <c r="L7" s="272"/>
      <c r="M7" s="272"/>
    </row>
    <row r="8" spans="1:13" x14ac:dyDescent="0.25">
      <c r="A8" s="265" t="s">
        <v>129</v>
      </c>
      <c r="B8" s="265"/>
      <c r="C8" s="265"/>
      <c r="D8" s="298">
        <v>77.33</v>
      </c>
      <c r="E8" s="274">
        <v>1.0900000000000001</v>
      </c>
      <c r="F8" s="274">
        <v>0.44</v>
      </c>
      <c r="G8" s="299">
        <v>1500</v>
      </c>
      <c r="H8" s="426">
        <f>E8*G8</f>
        <v>1635.0000000000002</v>
      </c>
      <c r="I8" s="433"/>
      <c r="J8" s="434"/>
      <c r="K8" s="426">
        <f>SUM(H8:J8)</f>
        <v>1635.0000000000002</v>
      </c>
      <c r="L8" s="265"/>
      <c r="M8" s="265"/>
    </row>
    <row r="9" spans="1:13" x14ac:dyDescent="0.25">
      <c r="A9" s="265" t="s">
        <v>22</v>
      </c>
      <c r="B9" s="265"/>
      <c r="C9" s="265"/>
      <c r="D9" s="298">
        <v>100</v>
      </c>
      <c r="E9" s="274">
        <v>0.38</v>
      </c>
      <c r="F9" s="274">
        <v>0.36</v>
      </c>
      <c r="G9" s="299">
        <v>1500</v>
      </c>
      <c r="H9" s="426">
        <f>E9*G9</f>
        <v>570</v>
      </c>
      <c r="I9" s="314">
        <v>6121</v>
      </c>
      <c r="J9" s="314"/>
      <c r="K9" s="426">
        <f>SUM(H9:J9)</f>
        <v>6691</v>
      </c>
      <c r="L9" s="265"/>
      <c r="M9" s="265"/>
    </row>
    <row r="10" spans="1:13" x14ac:dyDescent="0.25">
      <c r="A10" s="265" t="s">
        <v>354</v>
      </c>
      <c r="B10" s="265"/>
      <c r="C10" s="265"/>
      <c r="D10" s="298">
        <v>100</v>
      </c>
      <c r="E10" s="274">
        <v>5.89</v>
      </c>
      <c r="F10" s="274">
        <v>0.04</v>
      </c>
      <c r="G10" s="299">
        <v>1034</v>
      </c>
      <c r="H10" s="426">
        <f t="shared" ref="H10:H21" si="0">E10*G10</f>
        <v>6090.2599999999993</v>
      </c>
      <c r="I10" s="435"/>
      <c r="J10" s="314"/>
      <c r="K10" s="426">
        <f>SUM(H10:J10)</f>
        <v>6090.2599999999993</v>
      </c>
      <c r="L10" s="265"/>
      <c r="M10" s="265"/>
    </row>
    <row r="11" spans="1:13" x14ac:dyDescent="0.25">
      <c r="A11" s="265" t="s">
        <v>355</v>
      </c>
      <c r="B11" s="265"/>
      <c r="C11" s="265"/>
      <c r="D11" s="298">
        <v>100</v>
      </c>
      <c r="E11" s="274">
        <v>10.37</v>
      </c>
      <c r="F11" s="274">
        <v>0.63</v>
      </c>
      <c r="G11" s="299">
        <v>1156</v>
      </c>
      <c r="H11" s="426">
        <f t="shared" si="0"/>
        <v>11987.72</v>
      </c>
      <c r="I11" s="312"/>
      <c r="J11" s="314">
        <f>E31*G31</f>
        <v>332038</v>
      </c>
      <c r="K11" s="426">
        <f>SUM(H11:J11)</f>
        <v>344025.72</v>
      </c>
      <c r="L11" s="265"/>
      <c r="M11" s="265"/>
    </row>
    <row r="12" spans="1:13" x14ac:dyDescent="0.25">
      <c r="A12" s="296" t="s">
        <v>133</v>
      </c>
      <c r="B12" s="265"/>
      <c r="C12" s="265"/>
      <c r="D12" s="298">
        <v>57</v>
      </c>
      <c r="E12" s="500">
        <v>3.03</v>
      </c>
      <c r="F12" s="500">
        <v>0.74</v>
      </c>
      <c r="G12" s="501">
        <v>1909</v>
      </c>
      <c r="H12" s="502">
        <f>E12*G12</f>
        <v>5784.2699999999995</v>
      </c>
      <c r="I12" s="312"/>
      <c r="J12" s="436">
        <f>E38*G38+E39*G39</f>
        <v>61420</v>
      </c>
      <c r="K12" s="503">
        <f>SUM(H12+J12+J13)</f>
        <v>148555.27000000002</v>
      </c>
      <c r="L12" s="265"/>
      <c r="M12" s="265"/>
    </row>
    <row r="13" spans="1:13" x14ac:dyDescent="0.25">
      <c r="A13" s="296" t="s">
        <v>134</v>
      </c>
      <c r="B13" s="265"/>
      <c r="C13" s="265"/>
      <c r="D13" s="298">
        <v>100</v>
      </c>
      <c r="E13" s="500"/>
      <c r="F13" s="500"/>
      <c r="G13" s="501"/>
      <c r="H13" s="502"/>
      <c r="I13" s="312"/>
      <c r="J13" s="436">
        <f>+E40*G40+E41*G41+G42</f>
        <v>81351</v>
      </c>
      <c r="K13" s="503"/>
      <c r="L13" s="274"/>
      <c r="M13" s="265"/>
    </row>
    <row r="14" spans="1:13" x14ac:dyDescent="0.25">
      <c r="A14" s="265" t="s">
        <v>356</v>
      </c>
      <c r="B14" s="265"/>
      <c r="C14" s="265"/>
      <c r="D14" s="298">
        <v>86.67</v>
      </c>
      <c r="E14" s="274">
        <v>9.76</v>
      </c>
      <c r="F14" s="274">
        <v>0.55000000000000004</v>
      </c>
      <c r="G14" s="299">
        <v>1028</v>
      </c>
      <c r="H14" s="426">
        <f t="shared" si="0"/>
        <v>10033.280000000001</v>
      </c>
      <c r="I14" s="312"/>
      <c r="J14" s="314"/>
      <c r="K14" s="426">
        <f t="shared" ref="K14:K21" si="1">SUM(H14:J14)</f>
        <v>10033.280000000001</v>
      </c>
      <c r="L14" s="265"/>
      <c r="M14" s="265"/>
    </row>
    <row r="15" spans="1:13" x14ac:dyDescent="0.25">
      <c r="A15" s="265" t="s">
        <v>357</v>
      </c>
      <c r="B15" s="265"/>
      <c r="C15" s="265"/>
      <c r="D15" s="298">
        <v>73.33</v>
      </c>
      <c r="E15" s="274">
        <v>0.37</v>
      </c>
      <c r="F15" s="274">
        <v>0.184</v>
      </c>
      <c r="G15" s="299">
        <v>1896</v>
      </c>
      <c r="H15" s="426">
        <f>E15*G15</f>
        <v>701.52</v>
      </c>
      <c r="I15" s="312"/>
      <c r="J15" s="314">
        <v>6618</v>
      </c>
      <c r="K15" s="426">
        <f t="shared" si="1"/>
        <v>7319.52</v>
      </c>
      <c r="L15" s="265"/>
      <c r="M15" s="265"/>
    </row>
    <row r="16" spans="1:13" x14ac:dyDescent="0.25">
      <c r="A16" s="265" t="s">
        <v>98</v>
      </c>
      <c r="B16" s="265"/>
      <c r="C16" s="265"/>
      <c r="D16" s="298">
        <v>83.33</v>
      </c>
      <c r="E16" s="274">
        <v>1.19</v>
      </c>
      <c r="F16" s="274">
        <v>0.33</v>
      </c>
      <c r="G16" s="299">
        <v>1940</v>
      </c>
      <c r="H16" s="426">
        <f t="shared" si="0"/>
        <v>2308.6</v>
      </c>
      <c r="I16" s="312"/>
      <c r="J16" s="314">
        <v>4762</v>
      </c>
      <c r="K16" s="426">
        <f>SUM(H16:J16)</f>
        <v>7070.6</v>
      </c>
      <c r="L16" s="265"/>
      <c r="M16" s="265"/>
    </row>
    <row r="17" spans="1:15" x14ac:dyDescent="0.25">
      <c r="A17" s="265" t="s">
        <v>219</v>
      </c>
      <c r="B17" s="265"/>
      <c r="C17" s="265"/>
      <c r="D17" s="298">
        <v>100</v>
      </c>
      <c r="E17" s="274">
        <v>20.23</v>
      </c>
      <c r="F17" s="274">
        <v>8.64</v>
      </c>
      <c r="G17" s="299">
        <v>1850</v>
      </c>
      <c r="H17" s="426">
        <f>E17*G17</f>
        <v>37425.5</v>
      </c>
      <c r="I17" s="314">
        <v>10387</v>
      </c>
      <c r="J17" s="314"/>
      <c r="K17" s="426">
        <f>SUM(H17:J17)</f>
        <v>47812.5</v>
      </c>
      <c r="L17" s="265"/>
      <c r="M17" s="265"/>
    </row>
    <row r="18" spans="1:15" x14ac:dyDescent="0.25">
      <c r="A18" s="265" t="s">
        <v>358</v>
      </c>
      <c r="B18" s="265"/>
      <c r="C18" s="265"/>
      <c r="D18" s="298">
        <v>83.33</v>
      </c>
      <c r="E18" s="274">
        <v>1.8</v>
      </c>
      <c r="F18" s="274">
        <v>1.56</v>
      </c>
      <c r="G18" s="299">
        <v>1677</v>
      </c>
      <c r="H18" s="426">
        <f t="shared" si="0"/>
        <v>3018.6</v>
      </c>
      <c r="I18" s="314">
        <v>1478</v>
      </c>
      <c r="J18" s="314"/>
      <c r="K18" s="426">
        <f t="shared" si="1"/>
        <v>4496.6000000000004</v>
      </c>
      <c r="L18" s="265"/>
      <c r="M18" s="265"/>
    </row>
    <row r="19" spans="1:15" x14ac:dyDescent="0.25">
      <c r="A19" s="265" t="s">
        <v>140</v>
      </c>
      <c r="B19" s="265"/>
      <c r="C19" s="265"/>
      <c r="D19" s="298">
        <v>100</v>
      </c>
      <c r="E19" s="274">
        <v>12.58</v>
      </c>
      <c r="F19" s="274">
        <v>0.41</v>
      </c>
      <c r="G19" s="299">
        <v>1274</v>
      </c>
      <c r="H19" s="426">
        <f t="shared" si="0"/>
        <v>16026.92</v>
      </c>
      <c r="I19" s="312"/>
      <c r="J19" s="314">
        <v>4411</v>
      </c>
      <c r="K19" s="426">
        <f t="shared" si="1"/>
        <v>20437.919999999998</v>
      </c>
      <c r="L19" s="265"/>
      <c r="M19" s="274">
        <v>101</v>
      </c>
    </row>
    <row r="20" spans="1:15" x14ac:dyDescent="0.25">
      <c r="A20" s="265" t="s">
        <v>359</v>
      </c>
      <c r="B20" s="265"/>
      <c r="C20" s="265"/>
      <c r="D20" s="298">
        <v>100</v>
      </c>
      <c r="E20" s="274">
        <v>19.690000000000001</v>
      </c>
      <c r="F20" s="274">
        <v>0.73</v>
      </c>
      <c r="G20" s="299">
        <v>1724</v>
      </c>
      <c r="H20" s="426">
        <f t="shared" si="0"/>
        <v>33945.560000000005</v>
      </c>
      <c r="I20" s="312"/>
      <c r="J20" s="314"/>
      <c r="K20" s="426">
        <f t="shared" si="1"/>
        <v>33945.560000000005</v>
      </c>
      <c r="L20" s="265"/>
      <c r="M20" s="265"/>
    </row>
    <row r="21" spans="1:15" x14ac:dyDescent="0.25">
      <c r="A21" s="265" t="s">
        <v>102</v>
      </c>
      <c r="B21" s="265"/>
      <c r="C21" s="265"/>
      <c r="D21" s="298">
        <v>63.33</v>
      </c>
      <c r="E21" s="274">
        <v>0.38</v>
      </c>
      <c r="F21" s="274">
        <v>0.38</v>
      </c>
      <c r="G21" s="299">
        <v>2000</v>
      </c>
      <c r="H21" s="426">
        <f t="shared" si="0"/>
        <v>760</v>
      </c>
      <c r="I21" s="314">
        <v>3997</v>
      </c>
      <c r="J21" s="314"/>
      <c r="K21" s="426">
        <f t="shared" si="1"/>
        <v>4757</v>
      </c>
      <c r="L21" s="274">
        <v>1430</v>
      </c>
      <c r="M21" s="265"/>
    </row>
    <row r="22" spans="1:15" x14ac:dyDescent="0.25">
      <c r="A22" s="265" t="s">
        <v>43</v>
      </c>
      <c r="B22" s="265"/>
      <c r="C22" s="265"/>
      <c r="D22" s="298"/>
      <c r="E22" s="274"/>
      <c r="F22" s="274"/>
      <c r="G22" s="299"/>
      <c r="H22" s="426"/>
      <c r="I22" s="431"/>
      <c r="J22" s="430"/>
      <c r="K22" s="427">
        <v>5786</v>
      </c>
      <c r="L22" s="265"/>
      <c r="M22" s="274"/>
    </row>
    <row r="23" spans="1:15" x14ac:dyDescent="0.25">
      <c r="A23" s="300" t="s">
        <v>103</v>
      </c>
      <c r="B23" s="267"/>
      <c r="C23" s="267"/>
      <c r="D23" s="275"/>
      <c r="E23" s="276">
        <f>SUM(E8:E21)</f>
        <v>86.759999999999991</v>
      </c>
      <c r="F23" s="276">
        <f>SUM(F8:F21)</f>
        <v>14.994000000000003</v>
      </c>
      <c r="G23" s="276"/>
      <c r="H23" s="276">
        <f>SUM(H8:H21)</f>
        <v>130287.23000000001</v>
      </c>
      <c r="I23" s="276">
        <f>SUM(I8:I21)</f>
        <v>21983</v>
      </c>
      <c r="J23" s="276">
        <f>SUM(J8:J22)</f>
        <v>490600</v>
      </c>
      <c r="K23" s="276">
        <f>SUM(H23:J23)+K22</f>
        <v>648656.23</v>
      </c>
      <c r="L23" s="276">
        <f>SUM(L8:L21)</f>
        <v>1430</v>
      </c>
      <c r="M23" s="276">
        <v>101</v>
      </c>
    </row>
    <row r="24" spans="1:15" x14ac:dyDescent="0.25">
      <c r="A24" s="301" t="s">
        <v>104</v>
      </c>
      <c r="B24" s="271"/>
      <c r="C24" s="271"/>
      <c r="D24" s="277"/>
      <c r="E24" s="278">
        <f>SUM(E23-F23)</f>
        <v>71.765999999999991</v>
      </c>
      <c r="F24" s="278"/>
      <c r="G24" s="278"/>
      <c r="H24" s="278">
        <f>SUM(E33*G33)</f>
        <v>107823.91448275863</v>
      </c>
      <c r="I24" s="278">
        <f>I23-L23</f>
        <v>20553</v>
      </c>
      <c r="J24" s="278">
        <f>J23-M23</f>
        <v>490499</v>
      </c>
      <c r="K24" s="278">
        <f>SUM(H24:J24)</f>
        <v>618875.91448275861</v>
      </c>
      <c r="L24" s="271"/>
      <c r="M24" s="271"/>
    </row>
    <row r="25" spans="1:15" x14ac:dyDescent="0.25">
      <c r="A25" s="281" t="s">
        <v>360</v>
      </c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O25" s="302"/>
    </row>
    <row r="26" spans="1:15" x14ac:dyDescent="0.25">
      <c r="A26" s="265"/>
      <c r="B26" s="265"/>
      <c r="C26" s="265" t="s">
        <v>46</v>
      </c>
      <c r="D26" s="265"/>
      <c r="E26" s="265"/>
      <c r="F26" s="265"/>
      <c r="G26" s="265"/>
      <c r="H26" s="265"/>
      <c r="I26" s="265"/>
      <c r="J26" s="265"/>
      <c r="K26" s="265"/>
      <c r="L26" s="265"/>
      <c r="M26" s="265"/>
    </row>
    <row r="27" spans="1:15" x14ac:dyDescent="0.25">
      <c r="A27" s="265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6"/>
    </row>
    <row r="28" spans="1:15" x14ac:dyDescent="0.25">
      <c r="A28" s="265" t="s">
        <v>47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6"/>
    </row>
    <row r="29" spans="1:15" x14ac:dyDescent="0.25">
      <c r="A29" s="279" t="s">
        <v>48</v>
      </c>
      <c r="B29" s="279"/>
      <c r="C29" s="279"/>
      <c r="D29" s="279" t="s">
        <v>49</v>
      </c>
      <c r="E29" s="279" t="s">
        <v>50</v>
      </c>
      <c r="F29" s="279"/>
      <c r="G29" s="279" t="s">
        <v>51</v>
      </c>
      <c r="H29" s="265"/>
      <c r="I29" s="265"/>
      <c r="J29" s="265"/>
      <c r="K29" s="303"/>
      <c r="L29" s="265"/>
    </row>
    <row r="30" spans="1:15" x14ac:dyDescent="0.25">
      <c r="A30" s="265" t="s">
        <v>53</v>
      </c>
      <c r="B30" s="265"/>
      <c r="C30" s="265"/>
      <c r="D30" s="265"/>
      <c r="E30" s="265"/>
      <c r="F30" s="265"/>
      <c r="G30" s="265"/>
      <c r="H30" s="265"/>
      <c r="I30" s="304" t="s">
        <v>361</v>
      </c>
      <c r="J30" s="305">
        <v>0.73329999999999995</v>
      </c>
      <c r="K30" s="303"/>
      <c r="L30" s="265"/>
    </row>
    <row r="31" spans="1:15" x14ac:dyDescent="0.25">
      <c r="A31" s="306" t="s">
        <v>362</v>
      </c>
      <c r="B31" s="265"/>
      <c r="C31" s="265"/>
      <c r="D31" s="265" t="s">
        <v>108</v>
      </c>
      <c r="E31" s="273">
        <v>641</v>
      </c>
      <c r="F31" s="265"/>
      <c r="G31" s="273">
        <v>518</v>
      </c>
      <c r="H31" s="265"/>
      <c r="I31" s="304" t="s">
        <v>363</v>
      </c>
      <c r="J31" s="305">
        <v>0.26669999999999999</v>
      </c>
      <c r="L31" s="265"/>
    </row>
    <row r="32" spans="1:15" x14ac:dyDescent="0.25">
      <c r="A32" s="265" t="s">
        <v>57</v>
      </c>
      <c r="B32" s="265"/>
      <c r="C32" s="265"/>
      <c r="D32" s="265"/>
      <c r="E32" s="265"/>
      <c r="F32" s="265"/>
      <c r="G32" s="265"/>
      <c r="H32" s="265"/>
      <c r="L32" s="265"/>
    </row>
    <row r="33" spans="1:12" x14ac:dyDescent="0.25">
      <c r="A33" s="265" t="s">
        <v>112</v>
      </c>
      <c r="B33" s="265"/>
      <c r="C33" s="265"/>
      <c r="D33" s="265" t="s">
        <v>60</v>
      </c>
      <c r="E33" s="274">
        <v>72</v>
      </c>
      <c r="F33" s="265"/>
      <c r="G33" s="274">
        <f>H23/E35</f>
        <v>1497.5543678160921</v>
      </c>
      <c r="H33" s="265"/>
      <c r="L33" s="265"/>
    </row>
    <row r="34" spans="1:12" x14ac:dyDescent="0.25">
      <c r="A34" s="265" t="s">
        <v>113</v>
      </c>
      <c r="B34" s="265"/>
      <c r="C34" s="265"/>
      <c r="D34" s="265" t="s">
        <v>60</v>
      </c>
      <c r="E34" s="274">
        <v>15</v>
      </c>
      <c r="F34" s="265"/>
      <c r="G34" s="265"/>
      <c r="H34" s="265"/>
      <c r="I34" s="265"/>
      <c r="J34" s="265"/>
      <c r="K34" s="265"/>
      <c r="L34" s="265"/>
    </row>
    <row r="35" spans="1:12" x14ac:dyDescent="0.25">
      <c r="A35" s="265" t="s">
        <v>6</v>
      </c>
      <c r="B35" s="265"/>
      <c r="C35" s="265"/>
      <c r="D35" s="265"/>
      <c r="E35" s="274">
        <v>87</v>
      </c>
      <c r="F35" s="265"/>
      <c r="G35" s="265"/>
      <c r="H35" s="265"/>
      <c r="I35" s="304" t="s">
        <v>58</v>
      </c>
      <c r="J35" s="304">
        <v>1.88</v>
      </c>
      <c r="K35" s="307"/>
      <c r="L35" s="265"/>
    </row>
    <row r="36" spans="1:12" x14ac:dyDescent="0.25">
      <c r="A36" s="267" t="s">
        <v>63</v>
      </c>
      <c r="B36" s="267"/>
      <c r="C36" s="267" t="s">
        <v>64</v>
      </c>
      <c r="D36" s="267"/>
      <c r="E36" s="267"/>
      <c r="F36" s="267"/>
      <c r="G36" s="267"/>
      <c r="H36" s="265"/>
      <c r="I36" s="304" t="s">
        <v>61</v>
      </c>
      <c r="J36" s="308">
        <v>1</v>
      </c>
      <c r="K36" s="265"/>
      <c r="L36" s="265"/>
    </row>
    <row r="37" spans="1:12" x14ac:dyDescent="0.25">
      <c r="A37" s="309" t="s">
        <v>65</v>
      </c>
      <c r="B37" s="310"/>
      <c r="C37" s="311"/>
      <c r="D37" s="309"/>
      <c r="E37" s="266"/>
      <c r="F37" s="266"/>
      <c r="G37" s="280"/>
      <c r="H37" s="265"/>
      <c r="K37" s="265"/>
      <c r="L37" s="265"/>
    </row>
    <row r="38" spans="1:12" x14ac:dyDescent="0.25">
      <c r="A38" s="312"/>
      <c r="B38" s="310" t="s">
        <v>364</v>
      </c>
      <c r="C38" s="313">
        <v>57</v>
      </c>
      <c r="D38" s="309" t="s">
        <v>68</v>
      </c>
      <c r="E38" s="280">
        <v>2800</v>
      </c>
      <c r="F38" s="266"/>
      <c r="G38" s="280">
        <v>15</v>
      </c>
      <c r="H38" s="265"/>
      <c r="K38" s="265"/>
      <c r="L38" s="265"/>
    </row>
    <row r="39" spans="1:12" x14ac:dyDescent="0.25">
      <c r="A39" s="265"/>
      <c r="B39" s="309" t="s">
        <v>67</v>
      </c>
      <c r="C39" s="313">
        <v>37</v>
      </c>
      <c r="D39" s="309" t="s">
        <v>68</v>
      </c>
      <c r="E39" s="314">
        <v>1942</v>
      </c>
      <c r="F39" s="266"/>
      <c r="G39" s="314">
        <v>10</v>
      </c>
      <c r="H39" s="265"/>
      <c r="K39" s="265"/>
      <c r="L39" s="265"/>
    </row>
    <row r="40" spans="1:12" x14ac:dyDescent="0.25">
      <c r="A40" s="265"/>
      <c r="B40" s="309" t="s">
        <v>365</v>
      </c>
      <c r="C40" s="315">
        <v>53</v>
      </c>
      <c r="D40" s="282" t="s">
        <v>68</v>
      </c>
      <c r="E40" s="280">
        <v>60</v>
      </c>
      <c r="F40" s="266"/>
      <c r="G40" s="280">
        <v>402</v>
      </c>
      <c r="H40" s="265"/>
      <c r="I40" s="265"/>
      <c r="J40" s="265"/>
      <c r="K40" s="265"/>
      <c r="L40" s="265"/>
    </row>
    <row r="41" spans="1:12" x14ac:dyDescent="0.25">
      <c r="A41" s="265"/>
      <c r="B41" s="310" t="s">
        <v>366</v>
      </c>
      <c r="C41" s="315">
        <v>60</v>
      </c>
      <c r="D41" s="282" t="s">
        <v>68</v>
      </c>
      <c r="E41" s="314">
        <v>87</v>
      </c>
      <c r="F41" s="266"/>
      <c r="G41" s="314">
        <v>620</v>
      </c>
      <c r="H41" s="265"/>
      <c r="I41" s="265"/>
      <c r="J41" s="265"/>
      <c r="K41" s="265"/>
      <c r="L41" s="265"/>
    </row>
    <row r="42" spans="1:12" x14ac:dyDescent="0.25">
      <c r="B42" s="310" t="s">
        <v>367</v>
      </c>
      <c r="C42" s="315">
        <v>53.33</v>
      </c>
      <c r="D42" s="309"/>
      <c r="E42" s="312"/>
      <c r="F42" s="266"/>
      <c r="G42" s="314">
        <v>3291</v>
      </c>
      <c r="H42" s="265"/>
      <c r="I42" s="265"/>
      <c r="J42" s="265"/>
      <c r="K42" s="265"/>
      <c r="L42" s="265"/>
    </row>
    <row r="43" spans="1:12" x14ac:dyDescent="0.25">
      <c r="A43" s="265"/>
      <c r="H43" s="265"/>
      <c r="I43" s="265"/>
      <c r="J43" s="265"/>
      <c r="K43" s="265"/>
      <c r="L43" s="265"/>
    </row>
    <row r="44" spans="1:12" x14ac:dyDescent="0.25">
      <c r="A44" s="300" t="s">
        <v>73</v>
      </c>
      <c r="B44" s="300"/>
      <c r="C44" s="267"/>
      <c r="D44" s="267" t="s">
        <v>74</v>
      </c>
      <c r="E44" s="267"/>
      <c r="F44" s="267"/>
      <c r="G44" s="267" t="s">
        <v>75</v>
      </c>
      <c r="H44" s="265"/>
      <c r="I44" s="265"/>
      <c r="J44" s="265"/>
      <c r="K44" s="265"/>
      <c r="L44" s="265"/>
    </row>
    <row r="45" spans="1:12" x14ac:dyDescent="0.25">
      <c r="A45" s="309" t="s">
        <v>117</v>
      </c>
      <c r="B45" s="309"/>
      <c r="C45" s="266"/>
      <c r="D45" s="312">
        <v>4193</v>
      </c>
      <c r="E45" s="312"/>
      <c r="F45" s="312"/>
      <c r="G45" s="428">
        <f>D45*2.471</f>
        <v>10360.903</v>
      </c>
      <c r="H45" s="265"/>
      <c r="I45" s="265"/>
      <c r="J45" s="265"/>
      <c r="K45" s="265"/>
      <c r="L45" s="265"/>
    </row>
    <row r="46" spans="1:12" x14ac:dyDescent="0.25">
      <c r="A46" s="309" t="s">
        <v>118</v>
      </c>
      <c r="B46" s="309"/>
      <c r="C46" s="266"/>
      <c r="D46" s="312">
        <v>262</v>
      </c>
      <c r="E46" s="312"/>
      <c r="F46" s="312"/>
      <c r="G46" s="429"/>
      <c r="H46" s="265"/>
      <c r="I46" s="265"/>
      <c r="J46" s="265"/>
      <c r="K46" s="265"/>
      <c r="L46" s="265"/>
    </row>
    <row r="47" spans="1:12" x14ac:dyDescent="0.25">
      <c r="A47" s="309" t="s">
        <v>119</v>
      </c>
      <c r="B47" s="309"/>
      <c r="C47" s="266"/>
      <c r="D47" s="312">
        <f>D45*D46</f>
        <v>1098566</v>
      </c>
      <c r="E47" s="312"/>
      <c r="F47" s="312"/>
      <c r="G47" s="429">
        <f>D47*2.471</f>
        <v>2714556.5860000001</v>
      </c>
      <c r="H47" s="265"/>
      <c r="I47" s="265"/>
      <c r="J47" s="265"/>
      <c r="K47" s="265"/>
      <c r="L47" s="265"/>
    </row>
    <row r="48" spans="1:12" x14ac:dyDescent="0.25">
      <c r="A48" s="309" t="s">
        <v>120</v>
      </c>
      <c r="B48" s="309"/>
      <c r="C48" s="266"/>
      <c r="D48" s="314">
        <f>D47-K23</f>
        <v>449909.77</v>
      </c>
      <c r="E48" s="312"/>
      <c r="F48" s="312"/>
      <c r="G48" s="429">
        <f>D48*2.471</f>
        <v>1111727.0416700002</v>
      </c>
      <c r="H48" s="265"/>
      <c r="I48" s="265"/>
      <c r="J48" s="265"/>
      <c r="K48" s="265"/>
      <c r="L48" s="265"/>
    </row>
    <row r="49" spans="1:12" x14ac:dyDescent="0.25">
      <c r="A49" s="309" t="s">
        <v>121</v>
      </c>
      <c r="B49" s="309"/>
      <c r="C49" s="266"/>
      <c r="D49" s="314">
        <f>D47-K24</f>
        <v>479690.08551724139</v>
      </c>
      <c r="E49" s="312"/>
      <c r="F49" s="312"/>
      <c r="G49" s="429">
        <f>D49*2.471</f>
        <v>1185314.2013131035</v>
      </c>
      <c r="H49" s="265"/>
      <c r="I49" s="265"/>
      <c r="J49" s="265"/>
      <c r="K49" s="265"/>
      <c r="L49" s="265"/>
    </row>
    <row r="50" spans="1:12" x14ac:dyDescent="0.25">
      <c r="A50" s="309" t="s">
        <v>122</v>
      </c>
      <c r="B50" s="309"/>
      <c r="C50" s="266"/>
      <c r="D50" s="314">
        <f>K23/D45</f>
        <v>154.69979251132841</v>
      </c>
      <c r="E50" s="312"/>
      <c r="F50" s="312"/>
      <c r="G50" s="429"/>
      <c r="H50" s="265"/>
      <c r="I50" s="265"/>
      <c r="J50" s="265"/>
      <c r="K50" s="265"/>
      <c r="L50" s="265"/>
    </row>
    <row r="51" spans="1:12" x14ac:dyDescent="0.25">
      <c r="A51" s="301" t="s">
        <v>123</v>
      </c>
      <c r="B51" s="301"/>
      <c r="C51" s="271"/>
      <c r="D51" s="430">
        <f>K24/D45</f>
        <v>147.59740388331949</v>
      </c>
      <c r="E51" s="431"/>
      <c r="F51" s="431"/>
      <c r="G51" s="432"/>
      <c r="H51" s="265"/>
      <c r="I51" s="265"/>
      <c r="J51" s="265"/>
      <c r="K51" s="265"/>
      <c r="L51" s="265"/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K45" sqref="K45"/>
    </sheetView>
  </sheetViews>
  <sheetFormatPr defaultColWidth="9.140625" defaultRowHeight="12" x14ac:dyDescent="0.2"/>
  <cols>
    <col min="1" max="2" width="9.140625" style="316"/>
    <col min="3" max="3" width="7.7109375" style="316" customWidth="1"/>
    <col min="4" max="4" width="12.85546875" style="316" customWidth="1"/>
    <col min="5" max="5" width="6" style="316" customWidth="1"/>
    <col min="6" max="6" width="5.28515625" style="316" customWidth="1"/>
    <col min="7" max="8" width="9.85546875" style="316" customWidth="1"/>
    <col min="9" max="9" width="9.5703125" style="316" customWidth="1"/>
    <col min="10" max="10" width="11.28515625" style="316" customWidth="1"/>
    <col min="11" max="11" width="9.7109375" style="316" customWidth="1"/>
    <col min="12" max="12" width="5.7109375" style="316" customWidth="1"/>
    <col min="13" max="13" width="5.5703125" style="316" customWidth="1"/>
    <col min="14" max="14" width="9.140625" style="316"/>
    <col min="15" max="15" width="9.5703125" style="316" bestFit="1" customWidth="1"/>
    <col min="16" max="16384" width="9.140625" style="316"/>
  </cols>
  <sheetData>
    <row r="1" spans="1:16" x14ac:dyDescent="0.2">
      <c r="A1" s="316" t="s">
        <v>0</v>
      </c>
      <c r="B1" s="316" t="s">
        <v>368</v>
      </c>
      <c r="K1" s="316" t="s">
        <v>369</v>
      </c>
    </row>
    <row r="2" spans="1:16" x14ac:dyDescent="0.2">
      <c r="B2" s="316" t="s">
        <v>440</v>
      </c>
    </row>
    <row r="3" spans="1:16" x14ac:dyDescent="0.2">
      <c r="B3" s="316" t="s">
        <v>315</v>
      </c>
    </row>
    <row r="4" spans="1:16" x14ac:dyDescent="0.2">
      <c r="A4" s="317" t="s">
        <v>4</v>
      </c>
      <c r="B4" s="317"/>
      <c r="C4" s="317"/>
      <c r="D4" s="318" t="s">
        <v>5</v>
      </c>
      <c r="E4" s="318" t="s">
        <v>6</v>
      </c>
      <c r="F4" s="318" t="s">
        <v>7</v>
      </c>
      <c r="G4" s="318" t="s">
        <v>8</v>
      </c>
      <c r="H4" s="318" t="s">
        <v>9</v>
      </c>
      <c r="I4" s="318" t="s">
        <v>10</v>
      </c>
      <c r="J4" s="318" t="s">
        <v>11</v>
      </c>
      <c r="K4" s="318" t="s">
        <v>12</v>
      </c>
      <c r="L4" s="319" t="s">
        <v>13</v>
      </c>
      <c r="M4" s="318"/>
    </row>
    <row r="5" spans="1:16" x14ac:dyDescent="0.2">
      <c r="A5" s="320"/>
      <c r="B5" s="320"/>
      <c r="C5" s="320"/>
      <c r="D5" s="321" t="s">
        <v>14</v>
      </c>
      <c r="E5" s="321" t="s">
        <v>15</v>
      </c>
      <c r="F5" s="321" t="s">
        <v>15</v>
      </c>
      <c r="G5" s="321" t="s">
        <v>16</v>
      </c>
      <c r="H5" s="321" t="s">
        <v>17</v>
      </c>
      <c r="I5" s="321" t="s">
        <v>18</v>
      </c>
      <c r="J5" s="321" t="s">
        <v>17</v>
      </c>
      <c r="K5" s="321" t="s">
        <v>17</v>
      </c>
      <c r="L5" s="322" t="s">
        <v>10</v>
      </c>
      <c r="M5" s="321" t="s">
        <v>11</v>
      </c>
    </row>
    <row r="6" spans="1:16" x14ac:dyDescent="0.2">
      <c r="A6" s="320"/>
      <c r="B6" s="320"/>
      <c r="C6" s="320"/>
      <c r="D6" s="321" t="s">
        <v>19</v>
      </c>
      <c r="E6" s="321"/>
      <c r="F6" s="321"/>
      <c r="G6" s="321"/>
      <c r="H6" s="321" t="s">
        <v>20</v>
      </c>
      <c r="I6" s="321" t="s">
        <v>17</v>
      </c>
      <c r="J6" s="321" t="s">
        <v>20</v>
      </c>
      <c r="K6" s="321" t="s">
        <v>20</v>
      </c>
      <c r="L6" s="321"/>
      <c r="M6" s="321"/>
    </row>
    <row r="7" spans="1:16" x14ac:dyDescent="0.2">
      <c r="A7" s="323"/>
      <c r="B7" s="323"/>
      <c r="C7" s="323"/>
      <c r="D7" s="324"/>
      <c r="E7" s="324"/>
      <c r="F7" s="324"/>
      <c r="G7" s="324"/>
      <c r="H7" s="324"/>
      <c r="I7" s="324" t="s">
        <v>20</v>
      </c>
      <c r="J7" s="324"/>
      <c r="K7" s="324"/>
      <c r="L7" s="324"/>
      <c r="M7" s="324"/>
    </row>
    <row r="8" spans="1:16" x14ac:dyDescent="0.2">
      <c r="A8" s="316" t="s">
        <v>228</v>
      </c>
      <c r="D8" s="325">
        <v>100</v>
      </c>
      <c r="E8" s="326">
        <v>6.21</v>
      </c>
      <c r="F8" s="326">
        <v>5.92</v>
      </c>
      <c r="G8" s="327">
        <v>2000</v>
      </c>
      <c r="H8" s="326">
        <f>SUM(E8*G8)</f>
        <v>12420</v>
      </c>
      <c r="J8" s="326"/>
      <c r="K8" s="326">
        <f t="shared" ref="K8:K21" si="0">SUM(H8:J8)</f>
        <v>12420</v>
      </c>
      <c r="O8" s="326"/>
      <c r="P8" s="326"/>
    </row>
    <row r="9" spans="1:16" x14ac:dyDescent="0.2">
      <c r="A9" s="316" t="s">
        <v>129</v>
      </c>
      <c r="D9" s="328" t="s">
        <v>209</v>
      </c>
      <c r="E9" s="329"/>
      <c r="F9" s="329"/>
      <c r="G9" s="330"/>
      <c r="H9" s="326" t="s">
        <v>370</v>
      </c>
      <c r="J9" s="326"/>
      <c r="K9" s="326"/>
      <c r="O9" s="326"/>
      <c r="P9" s="326"/>
    </row>
    <row r="10" spans="1:16" x14ac:dyDescent="0.2">
      <c r="A10" s="316" t="s">
        <v>371</v>
      </c>
      <c r="D10" s="328">
        <v>90</v>
      </c>
      <c r="E10" s="329">
        <v>0.82</v>
      </c>
      <c r="F10" s="329">
        <v>0.82</v>
      </c>
      <c r="G10" s="331" t="s">
        <v>372</v>
      </c>
      <c r="H10" s="326">
        <v>1757</v>
      </c>
      <c r="I10" s="332">
        <v>18625</v>
      </c>
      <c r="J10" s="326"/>
      <c r="K10" s="326">
        <f t="shared" si="0"/>
        <v>20382</v>
      </c>
      <c r="L10" s="333">
        <v>3843</v>
      </c>
      <c r="O10" s="326"/>
      <c r="P10" s="326"/>
    </row>
    <row r="11" spans="1:16" x14ac:dyDescent="0.2">
      <c r="A11" s="316" t="s">
        <v>373</v>
      </c>
      <c r="D11" s="328" t="s">
        <v>374</v>
      </c>
      <c r="E11" s="329"/>
      <c r="F11" s="329"/>
      <c r="G11" s="331"/>
      <c r="H11" s="326" t="s">
        <v>375</v>
      </c>
      <c r="I11" s="334" t="s">
        <v>376</v>
      </c>
      <c r="J11" s="326"/>
      <c r="K11" s="326"/>
      <c r="L11" s="335"/>
      <c r="O11" s="326"/>
      <c r="P11" s="326"/>
    </row>
    <row r="12" spans="1:16" x14ac:dyDescent="0.2">
      <c r="A12" s="316" t="s">
        <v>131</v>
      </c>
      <c r="D12" s="325">
        <v>68</v>
      </c>
      <c r="E12" s="326">
        <v>12.37</v>
      </c>
      <c r="F12" s="326">
        <v>5.1100000000000003</v>
      </c>
      <c r="G12" s="327">
        <v>2039</v>
      </c>
      <c r="H12" s="326">
        <v>25222</v>
      </c>
      <c r="J12" s="326"/>
      <c r="K12" s="326">
        <f t="shared" si="0"/>
        <v>25222</v>
      </c>
      <c r="L12" s="335"/>
      <c r="O12" s="326">
        <v>18.337959183673469</v>
      </c>
      <c r="P12" s="326"/>
    </row>
    <row r="13" spans="1:16" x14ac:dyDescent="0.2">
      <c r="A13" s="316" t="s">
        <v>232</v>
      </c>
      <c r="D13" s="328">
        <v>100</v>
      </c>
      <c r="E13" s="329">
        <v>15.53</v>
      </c>
      <c r="F13" s="329">
        <v>8.26</v>
      </c>
      <c r="G13" s="330">
        <v>2000</v>
      </c>
      <c r="H13" s="326">
        <f t="shared" ref="H13:H21" si="1">SUM(E13*G13)</f>
        <v>31060</v>
      </c>
      <c r="J13" s="326">
        <f>E30*G30</f>
        <v>20922.84</v>
      </c>
      <c r="K13" s="326">
        <f t="shared" si="0"/>
        <v>51982.84</v>
      </c>
      <c r="L13" s="335"/>
      <c r="O13" s="326">
        <v>11.977142857142857</v>
      </c>
      <c r="P13" s="326"/>
    </row>
    <row r="14" spans="1:16" x14ac:dyDescent="0.2">
      <c r="A14" s="316" t="s">
        <v>133</v>
      </c>
      <c r="D14" s="325">
        <v>52</v>
      </c>
      <c r="E14" s="504">
        <v>9.0299999999999994</v>
      </c>
      <c r="F14" s="504">
        <f>4.87+2</f>
        <v>6.87</v>
      </c>
      <c r="G14" s="505">
        <v>2360</v>
      </c>
      <c r="H14" s="504">
        <v>21311</v>
      </c>
      <c r="J14" s="326">
        <f>+E37*G37</f>
        <v>15147</v>
      </c>
      <c r="K14" s="506">
        <f>J14+J15+H14</f>
        <v>236551</v>
      </c>
      <c r="L14" s="335"/>
      <c r="O14" s="326"/>
      <c r="P14" s="326"/>
    </row>
    <row r="15" spans="1:16" x14ac:dyDescent="0.2">
      <c r="A15" s="316" t="s">
        <v>134</v>
      </c>
      <c r="D15" s="325">
        <v>100</v>
      </c>
      <c r="E15" s="504"/>
      <c r="F15" s="504"/>
      <c r="G15" s="505"/>
      <c r="H15" s="504"/>
      <c r="J15" s="326">
        <v>200093</v>
      </c>
      <c r="K15" s="506"/>
      <c r="L15" s="335"/>
      <c r="O15" s="326"/>
      <c r="P15" s="326"/>
    </row>
    <row r="16" spans="1:16" x14ac:dyDescent="0.2">
      <c r="A16" s="316" t="s">
        <v>39</v>
      </c>
      <c r="D16" s="325">
        <v>97</v>
      </c>
      <c r="E16" s="326">
        <v>30.34</v>
      </c>
      <c r="F16" s="326">
        <f>8+3.4</f>
        <v>11.4</v>
      </c>
      <c r="G16" s="327">
        <v>1606</v>
      </c>
      <c r="H16" s="326">
        <f t="shared" si="1"/>
        <v>48726.04</v>
      </c>
      <c r="J16" s="326"/>
      <c r="K16" s="326">
        <f t="shared" si="0"/>
        <v>48726.04</v>
      </c>
      <c r="L16" s="335"/>
      <c r="O16" s="326">
        <f>35595/1225</f>
        <v>29.057142857142857</v>
      </c>
      <c r="P16" s="326"/>
    </row>
    <row r="17" spans="1:21" x14ac:dyDescent="0.2">
      <c r="A17" s="316" t="s">
        <v>98</v>
      </c>
      <c r="D17" s="325">
        <v>94</v>
      </c>
      <c r="E17" s="326">
        <v>5.08</v>
      </c>
      <c r="F17" s="326">
        <v>4.87</v>
      </c>
      <c r="G17" s="327">
        <v>2200</v>
      </c>
      <c r="H17" s="326">
        <f t="shared" si="1"/>
        <v>11176</v>
      </c>
      <c r="J17" s="326">
        <v>78337</v>
      </c>
      <c r="K17" s="326">
        <f t="shared" si="0"/>
        <v>89513</v>
      </c>
      <c r="L17" s="335"/>
      <c r="O17" s="326"/>
      <c r="P17" s="326"/>
    </row>
    <row r="18" spans="1:21" x14ac:dyDescent="0.2">
      <c r="A18" s="316" t="s">
        <v>219</v>
      </c>
      <c r="D18" s="325">
        <v>81</v>
      </c>
      <c r="E18" s="326">
        <v>25.15</v>
      </c>
      <c r="F18" s="326">
        <f>23.88+1.27</f>
        <v>25.15</v>
      </c>
      <c r="G18" s="327">
        <v>2000</v>
      </c>
      <c r="H18" s="326">
        <f t="shared" si="1"/>
        <v>50300</v>
      </c>
      <c r="I18" s="326">
        <v>28647</v>
      </c>
      <c r="J18" s="326"/>
      <c r="K18" s="326">
        <f t="shared" si="0"/>
        <v>78947</v>
      </c>
      <c r="L18" s="335"/>
      <c r="O18" s="326">
        <v>24.685714285714287</v>
      </c>
      <c r="P18" s="326"/>
    </row>
    <row r="19" spans="1:21" x14ac:dyDescent="0.2">
      <c r="A19" s="316" t="s">
        <v>377</v>
      </c>
      <c r="D19" s="328" t="s">
        <v>184</v>
      </c>
      <c r="E19" s="329"/>
      <c r="F19" s="329"/>
      <c r="G19" s="330"/>
      <c r="H19" s="326" t="s">
        <v>378</v>
      </c>
      <c r="I19" s="316" t="s">
        <v>379</v>
      </c>
      <c r="J19" s="326"/>
      <c r="K19" s="326"/>
      <c r="L19" s="335"/>
      <c r="O19" s="326"/>
      <c r="P19" s="326"/>
    </row>
    <row r="20" spans="1:21" x14ac:dyDescent="0.2">
      <c r="A20" s="316" t="s">
        <v>303</v>
      </c>
      <c r="D20" s="325">
        <v>100</v>
      </c>
      <c r="E20" s="326">
        <v>56.5</v>
      </c>
      <c r="F20" s="326">
        <v>14</v>
      </c>
      <c r="G20" s="327">
        <v>1456</v>
      </c>
      <c r="H20" s="326">
        <f t="shared" si="1"/>
        <v>82264</v>
      </c>
      <c r="J20" s="326"/>
      <c r="K20" s="326">
        <f t="shared" si="0"/>
        <v>82264</v>
      </c>
      <c r="L20" s="335"/>
      <c r="O20" s="326">
        <f>44990/1225</f>
        <v>36.7265306122449</v>
      </c>
      <c r="P20" s="326"/>
    </row>
    <row r="21" spans="1:21" x14ac:dyDescent="0.2">
      <c r="A21" s="316" t="s">
        <v>102</v>
      </c>
      <c r="D21" s="325">
        <v>74</v>
      </c>
      <c r="E21" s="326">
        <v>3.8</v>
      </c>
      <c r="F21" s="326">
        <v>3.8</v>
      </c>
      <c r="G21" s="327">
        <v>2000</v>
      </c>
      <c r="H21" s="326">
        <f t="shared" si="1"/>
        <v>7600</v>
      </c>
      <c r="J21" s="326"/>
      <c r="K21" s="326">
        <f t="shared" si="0"/>
        <v>7600</v>
      </c>
      <c r="L21" s="335"/>
      <c r="O21" s="326"/>
      <c r="P21" s="326"/>
    </row>
    <row r="22" spans="1:21" x14ac:dyDescent="0.2">
      <c r="A22" s="316" t="s">
        <v>43</v>
      </c>
      <c r="D22" s="325"/>
      <c r="E22" s="326"/>
      <c r="F22" s="326"/>
      <c r="G22" s="327"/>
      <c r="H22" s="326"/>
      <c r="J22" s="326"/>
      <c r="K22" s="336">
        <v>30000</v>
      </c>
      <c r="L22" s="335"/>
    </row>
    <row r="23" spans="1:21" x14ac:dyDescent="0.2">
      <c r="A23" s="317" t="s">
        <v>103</v>
      </c>
      <c r="B23" s="317"/>
      <c r="C23" s="317"/>
      <c r="D23" s="337"/>
      <c r="E23" s="338">
        <f>SUM(E8:E21)</f>
        <v>164.83</v>
      </c>
      <c r="F23" s="338">
        <f>SUM(F8:F21)</f>
        <v>86.2</v>
      </c>
      <c r="G23" s="338"/>
      <c r="H23" s="338">
        <f>SUM(H8:H21)</f>
        <v>291836.04000000004</v>
      </c>
      <c r="I23" s="317">
        <f>SUM(I8:I21)</f>
        <v>47272</v>
      </c>
      <c r="J23" s="338">
        <f>SUM(J8:J21)</f>
        <v>314499.83999999997</v>
      </c>
      <c r="K23" s="338">
        <f>SUM(K8:K22)</f>
        <v>683607.87999999989</v>
      </c>
      <c r="L23" s="339">
        <f>SUM(L8:L21)</f>
        <v>3843</v>
      </c>
      <c r="M23" s="317">
        <f>SUM(M8:M21)</f>
        <v>0</v>
      </c>
    </row>
    <row r="24" spans="1:21" x14ac:dyDescent="0.2">
      <c r="A24" s="323" t="s">
        <v>104</v>
      </c>
      <c r="B24" s="323"/>
      <c r="C24" s="323"/>
      <c r="D24" s="340"/>
      <c r="E24" s="341">
        <f>SUM(E23-F23)</f>
        <v>78.63000000000001</v>
      </c>
      <c r="F24" s="341"/>
      <c r="G24" s="341"/>
      <c r="H24" s="341">
        <f>SUM(E33*G33)</f>
        <v>139751</v>
      </c>
      <c r="I24" s="323">
        <f>I23-L23</f>
        <v>43429</v>
      </c>
      <c r="J24" s="341">
        <f>J23-M23</f>
        <v>314499.83999999997</v>
      </c>
      <c r="K24" s="341">
        <f>SUM(H24:J24)</f>
        <v>497679.83999999997</v>
      </c>
      <c r="L24" s="341"/>
      <c r="M24" s="323"/>
    </row>
    <row r="26" spans="1:21" x14ac:dyDescent="0.2">
      <c r="C26" s="316" t="s">
        <v>46</v>
      </c>
      <c r="O26" s="320"/>
      <c r="P26" s="320"/>
      <c r="Q26" s="320"/>
      <c r="R26" s="320"/>
      <c r="S26" s="320"/>
      <c r="T26" s="320"/>
      <c r="U26" s="320"/>
    </row>
    <row r="27" spans="1:21" x14ac:dyDescent="0.2">
      <c r="A27" s="342" t="s">
        <v>48</v>
      </c>
      <c r="B27" s="342"/>
      <c r="C27" s="342"/>
      <c r="D27" s="342" t="s">
        <v>49</v>
      </c>
      <c r="E27" s="342" t="s">
        <v>50</v>
      </c>
      <c r="F27" s="342"/>
      <c r="G27" s="342" t="s">
        <v>51</v>
      </c>
      <c r="K27" s="343"/>
      <c r="N27" s="344"/>
    </row>
    <row r="28" spans="1:21" x14ac:dyDescent="0.2">
      <c r="A28" s="316" t="s">
        <v>53</v>
      </c>
      <c r="J28" s="345" t="s">
        <v>141</v>
      </c>
      <c r="K28" s="346" t="s">
        <v>269</v>
      </c>
      <c r="M28" s="320"/>
      <c r="N28" s="347"/>
      <c r="O28" s="320"/>
    </row>
    <row r="29" spans="1:21" x14ac:dyDescent="0.2">
      <c r="A29" s="316" t="s">
        <v>107</v>
      </c>
      <c r="E29" s="326"/>
      <c r="G29" s="326"/>
      <c r="J29" s="345" t="s">
        <v>380</v>
      </c>
      <c r="K29" s="348">
        <v>49</v>
      </c>
      <c r="M29" s="320"/>
      <c r="N29" s="347"/>
      <c r="O29" s="326"/>
    </row>
    <row r="30" spans="1:21" x14ac:dyDescent="0.2">
      <c r="B30" s="316" t="s">
        <v>109</v>
      </c>
      <c r="C30" s="343">
        <v>0.71</v>
      </c>
      <c r="D30" s="316" t="s">
        <v>68</v>
      </c>
      <c r="E30" s="326">
        <v>0.18</v>
      </c>
      <c r="G30" s="326">
        <v>116238</v>
      </c>
      <c r="J30" s="345" t="s">
        <v>381</v>
      </c>
      <c r="K30" s="348">
        <v>28</v>
      </c>
      <c r="M30" s="320"/>
      <c r="N30" s="347"/>
      <c r="O30" s="320"/>
    </row>
    <row r="31" spans="1:21" x14ac:dyDescent="0.2">
      <c r="B31" s="316" t="s">
        <v>106</v>
      </c>
      <c r="C31" s="349" t="s">
        <v>382</v>
      </c>
      <c r="D31" s="316" t="s">
        <v>108</v>
      </c>
      <c r="E31" s="316" t="s">
        <v>383</v>
      </c>
      <c r="G31" s="326" t="s">
        <v>384</v>
      </c>
      <c r="J31" s="345" t="s">
        <v>385</v>
      </c>
      <c r="K31" s="348">
        <v>11</v>
      </c>
      <c r="L31" s="350"/>
      <c r="M31" s="320"/>
      <c r="N31" s="347"/>
      <c r="O31" s="320"/>
    </row>
    <row r="32" spans="1:21" x14ac:dyDescent="0.2">
      <c r="A32" s="316" t="s">
        <v>57</v>
      </c>
      <c r="J32" s="345" t="s">
        <v>386</v>
      </c>
      <c r="K32" s="345">
        <v>11</v>
      </c>
    </row>
    <row r="33" spans="1:18" x14ac:dyDescent="0.2">
      <c r="A33" s="316" t="s">
        <v>112</v>
      </c>
      <c r="D33" s="316" t="s">
        <v>60</v>
      </c>
      <c r="E33" s="326">
        <v>79</v>
      </c>
      <c r="G33" s="326">
        <v>1769</v>
      </c>
    </row>
    <row r="34" spans="1:18" x14ac:dyDescent="0.2">
      <c r="A34" s="316" t="s">
        <v>113</v>
      </c>
      <c r="D34" s="316" t="s">
        <v>60</v>
      </c>
      <c r="E34" s="326">
        <v>86</v>
      </c>
      <c r="J34" s="345" t="s">
        <v>58</v>
      </c>
      <c r="K34" s="351">
        <v>0.5</v>
      </c>
    </row>
    <row r="35" spans="1:18" x14ac:dyDescent="0.2">
      <c r="A35" s="316" t="s">
        <v>6</v>
      </c>
      <c r="E35" s="326">
        <f>SUM(E33:E34)</f>
        <v>165</v>
      </c>
      <c r="J35" s="345" t="s">
        <v>61</v>
      </c>
      <c r="K35" s="345">
        <v>0.51</v>
      </c>
    </row>
    <row r="36" spans="1:18" x14ac:dyDescent="0.2">
      <c r="A36" s="317" t="s">
        <v>63</v>
      </c>
      <c r="B36" s="317"/>
      <c r="C36" s="317" t="s">
        <v>64</v>
      </c>
      <c r="D36" s="317"/>
      <c r="E36" s="317"/>
      <c r="F36" s="317"/>
      <c r="G36" s="317"/>
    </row>
    <row r="37" spans="1:18" x14ac:dyDescent="0.2">
      <c r="B37" s="320" t="s">
        <v>387</v>
      </c>
      <c r="C37" s="352">
        <v>46</v>
      </c>
      <c r="D37" s="320" t="s">
        <v>68</v>
      </c>
      <c r="E37" s="353">
        <v>561</v>
      </c>
      <c r="F37" s="347"/>
      <c r="G37" s="353">
        <v>27</v>
      </c>
    </row>
    <row r="38" spans="1:18" x14ac:dyDescent="0.2">
      <c r="B38" s="322" t="s">
        <v>388</v>
      </c>
      <c r="C38" s="352">
        <v>35</v>
      </c>
      <c r="D38" s="320" t="s">
        <v>68</v>
      </c>
      <c r="E38" s="353" t="s">
        <v>445</v>
      </c>
      <c r="F38" s="347"/>
      <c r="G38" s="353" t="s">
        <v>444</v>
      </c>
    </row>
    <row r="39" spans="1:18" x14ac:dyDescent="0.2">
      <c r="B39" s="322" t="s">
        <v>233</v>
      </c>
      <c r="C39" s="352">
        <v>39</v>
      </c>
      <c r="D39" s="320" t="s">
        <v>68</v>
      </c>
      <c r="E39" s="347">
        <v>96</v>
      </c>
      <c r="F39" s="347"/>
      <c r="G39" s="347">
        <v>800</v>
      </c>
      <c r="N39" s="448">
        <v>39</v>
      </c>
      <c r="O39" s="338">
        <v>96</v>
      </c>
      <c r="P39" s="338">
        <v>800</v>
      </c>
      <c r="Q39" s="338">
        <f>+O39*P39</f>
        <v>76800</v>
      </c>
      <c r="R39" s="449">
        <f>+Q39*39/55</f>
        <v>54458.181818181816</v>
      </c>
    </row>
    <row r="40" spans="1:18" x14ac:dyDescent="0.2">
      <c r="B40" s="322" t="s">
        <v>188</v>
      </c>
      <c r="C40" s="354" t="s">
        <v>389</v>
      </c>
      <c r="D40" s="320" t="s">
        <v>68</v>
      </c>
      <c r="E40" s="320">
        <v>118</v>
      </c>
      <c r="F40" s="320"/>
      <c r="G40" s="321">
        <v>227</v>
      </c>
      <c r="N40" s="450" t="s">
        <v>389</v>
      </c>
      <c r="O40" s="320">
        <v>118</v>
      </c>
      <c r="P40" s="321">
        <v>227</v>
      </c>
      <c r="Q40" s="321">
        <f>+O40*P40</f>
        <v>26786</v>
      </c>
      <c r="R40" s="451">
        <f>+Q40*16/55</f>
        <v>7792.2909090909088</v>
      </c>
    </row>
    <row r="41" spans="1:18" x14ac:dyDescent="0.2">
      <c r="A41" s="320"/>
      <c r="B41" s="322" t="s">
        <v>390</v>
      </c>
      <c r="C41" s="352">
        <v>63</v>
      </c>
      <c r="D41" s="320" t="s">
        <v>108</v>
      </c>
      <c r="E41" s="347">
        <v>307</v>
      </c>
      <c r="F41" s="347"/>
      <c r="G41" s="347">
        <v>449</v>
      </c>
      <c r="N41" s="452"/>
      <c r="O41" s="320"/>
      <c r="P41" s="320"/>
      <c r="Q41" s="320"/>
      <c r="R41" s="453">
        <f>SUM(R39:R40)</f>
        <v>62250.472727272725</v>
      </c>
    </row>
    <row r="42" spans="1:18" x14ac:dyDescent="0.2">
      <c r="A42" s="317" t="s">
        <v>73</v>
      </c>
      <c r="B42" s="317"/>
      <c r="C42" s="317"/>
      <c r="D42" s="317"/>
      <c r="E42" s="317"/>
      <c r="F42" s="317"/>
      <c r="G42" s="317" t="s">
        <v>391</v>
      </c>
      <c r="N42" s="452"/>
      <c r="O42" s="320">
        <v>307</v>
      </c>
      <c r="P42" s="320">
        <v>449</v>
      </c>
      <c r="Q42" s="320"/>
      <c r="R42" s="451">
        <f>+O42*P42</f>
        <v>137843</v>
      </c>
    </row>
    <row r="43" spans="1:18" x14ac:dyDescent="0.2">
      <c r="A43" s="320" t="s">
        <v>117</v>
      </c>
      <c r="B43" s="320"/>
      <c r="C43" s="320"/>
      <c r="D43" s="347">
        <v>7127</v>
      </c>
      <c r="E43" s="320"/>
      <c r="F43" s="320"/>
      <c r="G43" s="355">
        <f>D43*2.471</f>
        <v>17610.816999999999</v>
      </c>
      <c r="N43" s="454"/>
      <c r="O43" s="323"/>
      <c r="P43" s="323"/>
      <c r="Q43" s="323"/>
      <c r="R43" s="455">
        <f>SUM(R41:R42)</f>
        <v>200093.47272727272</v>
      </c>
    </row>
    <row r="44" spans="1:18" x14ac:dyDescent="0.2">
      <c r="A44" s="320" t="s">
        <v>118</v>
      </c>
      <c r="B44" s="320"/>
      <c r="C44" s="320"/>
      <c r="D44" s="347">
        <v>250</v>
      </c>
      <c r="E44" s="320"/>
      <c r="F44" s="320"/>
      <c r="G44" s="355"/>
    </row>
    <row r="45" spans="1:18" x14ac:dyDescent="0.2">
      <c r="A45" s="320" t="s">
        <v>119</v>
      </c>
      <c r="B45" s="320"/>
      <c r="C45" s="320"/>
      <c r="D45" s="347">
        <f>D43*D44</f>
        <v>1781750</v>
      </c>
      <c r="E45" s="320"/>
      <c r="F45" s="320"/>
      <c r="G45" s="355">
        <f>D45*2.471</f>
        <v>4402704.25</v>
      </c>
    </row>
    <row r="46" spans="1:18" x14ac:dyDescent="0.2">
      <c r="A46" s="320" t="s">
        <v>120</v>
      </c>
      <c r="B46" s="320"/>
      <c r="C46" s="320"/>
      <c r="D46" s="347">
        <f>D45-K23</f>
        <v>1098142.1200000001</v>
      </c>
      <c r="E46" s="320"/>
      <c r="F46" s="320"/>
      <c r="G46" s="355">
        <f>D46*2.471</f>
        <v>2713509.1785200005</v>
      </c>
    </row>
    <row r="47" spans="1:18" x14ac:dyDescent="0.2">
      <c r="A47" s="320" t="s">
        <v>121</v>
      </c>
      <c r="B47" s="320"/>
      <c r="C47" s="320"/>
      <c r="D47" s="347">
        <f>D45-K24</f>
        <v>1284070.1600000001</v>
      </c>
      <c r="E47" s="320"/>
      <c r="F47" s="320"/>
      <c r="G47" s="355">
        <f>D47*2.471</f>
        <v>3172937.3653600006</v>
      </c>
    </row>
    <row r="48" spans="1:18" x14ac:dyDescent="0.2">
      <c r="A48" s="320" t="s">
        <v>122</v>
      </c>
      <c r="B48" s="320"/>
      <c r="C48" s="320"/>
      <c r="D48" s="347">
        <f>K23/D43</f>
        <v>95.918041251578487</v>
      </c>
      <c r="E48" s="320"/>
      <c r="F48" s="320"/>
      <c r="G48" s="356"/>
    </row>
    <row r="49" spans="1:7" x14ac:dyDescent="0.2">
      <c r="A49" s="323" t="s">
        <v>123</v>
      </c>
      <c r="B49" s="323"/>
      <c r="C49" s="323"/>
      <c r="D49" s="341">
        <f>K24/D43</f>
        <v>69.830200645432853</v>
      </c>
      <c r="E49" s="323"/>
      <c r="F49" s="323"/>
      <c r="G49" s="357"/>
    </row>
    <row r="60" spans="1:7" x14ac:dyDescent="0.2">
      <c r="G60" s="316" t="s">
        <v>83</v>
      </c>
    </row>
  </sheetData>
  <mergeCells count="5">
    <mergeCell ref="E14:E15"/>
    <mergeCell ref="F14:F15"/>
    <mergeCell ref="G14:G15"/>
    <mergeCell ref="H14:H15"/>
    <mergeCell ref="K14:K15"/>
  </mergeCells>
  <pageMargins left="0.7" right="0.7" top="0.75" bottom="0.75" header="0.3" footer="0.3"/>
  <pageSetup paperSize="9"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5"/>
  <sheetViews>
    <sheetView workbookViewId="0">
      <selection activeCell="M33" sqref="M33"/>
    </sheetView>
  </sheetViews>
  <sheetFormatPr defaultColWidth="16.28515625" defaultRowHeight="12.75" x14ac:dyDescent="0.2"/>
  <cols>
    <col min="1" max="1" width="16.28515625" style="98" customWidth="1"/>
    <col min="2" max="2" width="16.85546875" style="98" customWidth="1"/>
    <col min="3" max="3" width="10" style="103" customWidth="1"/>
    <col min="4" max="4" width="7.28515625" style="98" customWidth="1"/>
    <col min="5" max="5" width="10.85546875" style="98" customWidth="1"/>
    <col min="6" max="6" width="8.5703125" style="98" customWidth="1"/>
    <col min="7" max="7" width="11.85546875" style="98" customWidth="1"/>
    <col min="8" max="8" width="12.7109375" style="98" customWidth="1"/>
    <col min="9" max="9" width="11.42578125" style="98" customWidth="1"/>
    <col min="10" max="10" width="9.7109375" style="98" customWidth="1"/>
    <col min="11" max="11" width="11.5703125" style="98" customWidth="1"/>
    <col min="12" max="12" width="12.7109375" style="98" customWidth="1"/>
    <col min="13" max="13" width="11.85546875" style="98" customWidth="1"/>
    <col min="14" max="14" width="6.28515625" style="457" customWidth="1"/>
    <col min="15" max="16" width="11.85546875" style="98" customWidth="1"/>
    <col min="17" max="16384" width="16.28515625" style="98"/>
  </cols>
  <sheetData>
    <row r="1" spans="1:19" x14ac:dyDescent="0.2">
      <c r="A1" s="98" t="s">
        <v>0</v>
      </c>
      <c r="B1" s="456" t="s">
        <v>446</v>
      </c>
      <c r="O1" s="98" t="s">
        <v>279</v>
      </c>
    </row>
    <row r="2" spans="1:19" x14ac:dyDescent="0.2">
      <c r="O2" s="98" t="s">
        <v>280</v>
      </c>
    </row>
    <row r="3" spans="1:19" x14ac:dyDescent="0.2">
      <c r="A3" s="100" t="s">
        <v>4</v>
      </c>
      <c r="B3" s="100"/>
      <c r="C3" s="100"/>
      <c r="D3" s="101" t="s">
        <v>5</v>
      </c>
      <c r="E3" s="101" t="s">
        <v>6</v>
      </c>
      <c r="F3" s="101" t="s">
        <v>7</v>
      </c>
      <c r="G3" s="101" t="s">
        <v>8</v>
      </c>
      <c r="H3" s="101" t="s">
        <v>9</v>
      </c>
      <c r="I3" s="101" t="s">
        <v>10</v>
      </c>
      <c r="J3" s="101" t="s">
        <v>11</v>
      </c>
      <c r="K3" s="101" t="s">
        <v>12</v>
      </c>
      <c r="L3" s="102" t="s">
        <v>13</v>
      </c>
      <c r="M3" s="101"/>
      <c r="N3" s="458"/>
      <c r="O3" s="104"/>
      <c r="P3" s="104"/>
    </row>
    <row r="4" spans="1:19" x14ac:dyDescent="0.2">
      <c r="A4" s="103"/>
      <c r="B4" s="103"/>
      <c r="D4" s="104" t="s">
        <v>14</v>
      </c>
      <c r="E4" s="104" t="s">
        <v>15</v>
      </c>
      <c r="F4" s="104" t="s">
        <v>15</v>
      </c>
      <c r="G4" s="104" t="s">
        <v>16</v>
      </c>
      <c r="H4" s="104" t="s">
        <v>17</v>
      </c>
      <c r="I4" s="104" t="s">
        <v>18</v>
      </c>
      <c r="J4" s="104" t="s">
        <v>17</v>
      </c>
      <c r="K4" s="104" t="s">
        <v>17</v>
      </c>
      <c r="L4" s="104" t="s">
        <v>10</v>
      </c>
      <c r="M4" s="104" t="s">
        <v>11</v>
      </c>
      <c r="N4" s="458"/>
      <c r="O4" s="104"/>
      <c r="P4" s="104"/>
    </row>
    <row r="5" spans="1:19" x14ac:dyDescent="0.2">
      <c r="A5" s="103"/>
      <c r="B5" s="103"/>
      <c r="D5" s="104" t="s">
        <v>19</v>
      </c>
      <c r="E5" s="104"/>
      <c r="F5" s="104"/>
      <c r="G5" s="104"/>
      <c r="H5" s="104" t="s">
        <v>20</v>
      </c>
      <c r="I5" s="104" t="s">
        <v>17</v>
      </c>
      <c r="J5" s="104" t="s">
        <v>20</v>
      </c>
      <c r="K5" s="104" t="s">
        <v>20</v>
      </c>
      <c r="L5" s="104"/>
      <c r="M5" s="104"/>
      <c r="N5" s="458"/>
      <c r="O5" s="104"/>
      <c r="P5" s="104"/>
    </row>
    <row r="6" spans="1:19" x14ac:dyDescent="0.2">
      <c r="A6" s="106"/>
      <c r="B6" s="106"/>
      <c r="C6" s="106"/>
      <c r="D6" s="107"/>
      <c r="E6" s="107"/>
      <c r="F6" s="107"/>
      <c r="G6" s="107"/>
      <c r="H6" s="107"/>
      <c r="I6" s="107" t="s">
        <v>20</v>
      </c>
      <c r="J6" s="107"/>
      <c r="K6" s="107"/>
      <c r="L6" s="107"/>
      <c r="M6" s="107"/>
      <c r="N6" s="458"/>
      <c r="O6" s="104"/>
      <c r="P6" s="104"/>
      <c r="Q6" s="459" t="s">
        <v>252</v>
      </c>
    </row>
    <row r="7" spans="1:19" x14ac:dyDescent="0.2">
      <c r="A7" s="98" t="s">
        <v>253</v>
      </c>
      <c r="D7" s="460">
        <v>100</v>
      </c>
      <c r="E7" s="113">
        <v>10</v>
      </c>
      <c r="F7" s="113">
        <v>8.4</v>
      </c>
      <c r="G7" s="461">
        <v>1595</v>
      </c>
      <c r="H7" s="462">
        <v>15950</v>
      </c>
      <c r="I7" s="463"/>
      <c r="J7" s="462">
        <v>8733</v>
      </c>
      <c r="K7" s="463">
        <v>24683</v>
      </c>
      <c r="L7" s="463"/>
      <c r="M7" s="463"/>
      <c r="N7" s="464"/>
      <c r="O7" s="463"/>
      <c r="P7" s="463"/>
      <c r="Q7" s="459">
        <v>9330</v>
      </c>
      <c r="R7" s="462">
        <v>7.8800675675675675</v>
      </c>
      <c r="S7" s="463">
        <v>-2.1199324324324325</v>
      </c>
    </row>
    <row r="8" spans="1:19" x14ac:dyDescent="0.2">
      <c r="A8" s="98" t="s">
        <v>447</v>
      </c>
      <c r="D8" s="460">
        <v>40</v>
      </c>
      <c r="E8" s="465">
        <v>2.86</v>
      </c>
      <c r="F8" s="113">
        <v>0.78</v>
      </c>
      <c r="G8" s="461">
        <v>1950</v>
      </c>
      <c r="H8" s="462">
        <v>5577</v>
      </c>
      <c r="I8" s="463"/>
      <c r="J8" s="463"/>
      <c r="K8" s="463">
        <v>5577</v>
      </c>
      <c r="L8" s="463"/>
      <c r="M8" s="463"/>
      <c r="N8" s="464"/>
      <c r="O8" s="463"/>
      <c r="P8" s="463"/>
      <c r="Q8" s="459">
        <v>3530</v>
      </c>
      <c r="R8" s="462">
        <v>2.9814189189189189</v>
      </c>
      <c r="S8" s="463">
        <v>0.12141891891891898</v>
      </c>
    </row>
    <row r="9" spans="1:19" ht="15.75" x14ac:dyDescent="0.2">
      <c r="A9" s="112" t="s">
        <v>448</v>
      </c>
      <c r="B9" s="112"/>
      <c r="D9" s="460">
        <v>44</v>
      </c>
      <c r="E9" s="113">
        <v>0.94</v>
      </c>
      <c r="F9" s="113">
        <v>0.94</v>
      </c>
      <c r="G9" s="461">
        <v>1200</v>
      </c>
      <c r="H9" s="462">
        <v>1128</v>
      </c>
      <c r="I9" s="463">
        <v>40610</v>
      </c>
      <c r="J9" s="463"/>
      <c r="K9" s="463">
        <v>41738</v>
      </c>
      <c r="L9" s="463">
        <v>4849</v>
      </c>
      <c r="M9" s="463"/>
      <c r="N9" s="464"/>
      <c r="O9" s="463"/>
      <c r="P9" s="463"/>
      <c r="Q9" s="459">
        <v>1417</v>
      </c>
      <c r="R9" s="462">
        <v>1.1967905405405406</v>
      </c>
      <c r="S9" s="463">
        <v>0.25679054054054062</v>
      </c>
    </row>
    <row r="10" spans="1:19" ht="15.75" x14ac:dyDescent="0.2">
      <c r="A10" s="112" t="s">
        <v>449</v>
      </c>
      <c r="B10" s="112"/>
      <c r="D10" s="466" t="s">
        <v>36</v>
      </c>
      <c r="E10" s="465"/>
      <c r="F10" s="465"/>
      <c r="G10" s="461" t="s">
        <v>254</v>
      </c>
      <c r="H10" s="462" t="s">
        <v>255</v>
      </c>
      <c r="I10" s="495" t="s">
        <v>256</v>
      </c>
      <c r="J10" s="463"/>
      <c r="K10" s="463"/>
      <c r="L10" s="463" t="s">
        <v>257</v>
      </c>
      <c r="M10" s="463"/>
      <c r="N10" s="464"/>
      <c r="O10" s="463"/>
      <c r="P10" s="463"/>
      <c r="Q10" s="459"/>
      <c r="R10" s="462"/>
      <c r="S10" s="463"/>
    </row>
    <row r="11" spans="1:19" x14ac:dyDescent="0.2">
      <c r="A11" s="112" t="s">
        <v>258</v>
      </c>
      <c r="B11" s="112"/>
      <c r="D11" s="466" t="s">
        <v>184</v>
      </c>
      <c r="E11" s="465"/>
      <c r="F11" s="465"/>
      <c r="G11" s="461" t="s">
        <v>254</v>
      </c>
      <c r="H11" s="462" t="s">
        <v>259</v>
      </c>
      <c r="I11" s="495" t="s">
        <v>260</v>
      </c>
      <c r="J11" s="463"/>
      <c r="K11" s="463"/>
      <c r="L11" s="463" t="s">
        <v>261</v>
      </c>
      <c r="M11" s="463"/>
      <c r="N11" s="464"/>
      <c r="O11" s="463"/>
      <c r="P11" s="463"/>
      <c r="Q11" s="459"/>
      <c r="R11" s="462"/>
      <c r="S11" s="463"/>
    </row>
    <row r="12" spans="1:19" x14ac:dyDescent="0.2">
      <c r="A12" s="98" t="s">
        <v>262</v>
      </c>
      <c r="D12" s="466">
        <v>100</v>
      </c>
      <c r="E12" s="113">
        <v>14.15</v>
      </c>
      <c r="F12" s="113">
        <v>2.73</v>
      </c>
      <c r="G12" s="461">
        <v>1894</v>
      </c>
      <c r="H12" s="462">
        <v>26800.100000000002</v>
      </c>
      <c r="I12" s="463"/>
      <c r="J12" s="463"/>
      <c r="K12" s="463">
        <v>26800.100000000002</v>
      </c>
      <c r="L12" s="463"/>
      <c r="M12" s="463"/>
      <c r="N12" s="464"/>
      <c r="O12" s="463"/>
      <c r="P12" s="463"/>
      <c r="Q12" s="459">
        <v>24184</v>
      </c>
      <c r="R12" s="462">
        <v>20.425675675675677</v>
      </c>
      <c r="S12" s="467">
        <v>6.2756756756756769</v>
      </c>
    </row>
    <row r="13" spans="1:19" x14ac:dyDescent="0.2">
      <c r="A13" s="98" t="s">
        <v>263</v>
      </c>
      <c r="D13" s="460">
        <v>100</v>
      </c>
      <c r="E13" s="113">
        <v>25.01</v>
      </c>
      <c r="F13" s="113">
        <v>1.84</v>
      </c>
      <c r="G13" s="461">
        <v>1348</v>
      </c>
      <c r="H13" s="462">
        <v>33713.480000000003</v>
      </c>
      <c r="I13" s="463"/>
      <c r="J13" s="462">
        <v>38088</v>
      </c>
      <c r="K13" s="463">
        <v>71801.48000000001</v>
      </c>
      <c r="L13" s="463"/>
      <c r="M13" s="463">
        <v>4441</v>
      </c>
      <c r="N13" s="464"/>
      <c r="O13" s="463"/>
      <c r="P13" s="463"/>
      <c r="Q13" s="459">
        <v>25619</v>
      </c>
      <c r="R13" s="462">
        <v>21.637668918918919</v>
      </c>
      <c r="S13" s="463">
        <v>-3.3723310810810823</v>
      </c>
    </row>
    <row r="14" spans="1:19" x14ac:dyDescent="0.2">
      <c r="A14" s="98" t="s">
        <v>38</v>
      </c>
      <c r="D14" s="460">
        <v>100</v>
      </c>
      <c r="E14" s="113">
        <v>3.83</v>
      </c>
      <c r="F14" s="113">
        <v>3.21</v>
      </c>
      <c r="G14" s="461">
        <v>1717</v>
      </c>
      <c r="H14" s="462">
        <v>6576.11</v>
      </c>
      <c r="I14" s="463"/>
      <c r="J14" s="462">
        <v>165476</v>
      </c>
      <c r="K14" s="463">
        <v>172052.11</v>
      </c>
      <c r="L14" s="463"/>
      <c r="M14" s="463"/>
      <c r="N14" s="464"/>
      <c r="O14" s="463"/>
      <c r="P14" s="463"/>
      <c r="Q14" s="459">
        <v>6480</v>
      </c>
      <c r="R14" s="462">
        <v>5.4729729729729728</v>
      </c>
      <c r="S14" s="463">
        <v>1.6429729729729727</v>
      </c>
    </row>
    <row r="15" spans="1:19" x14ac:dyDescent="0.2">
      <c r="A15" s="98" t="s">
        <v>245</v>
      </c>
      <c r="D15" s="460">
        <v>87</v>
      </c>
      <c r="E15" s="113">
        <v>1.27</v>
      </c>
      <c r="F15" s="113">
        <v>1.08</v>
      </c>
      <c r="G15" s="461">
        <v>1714</v>
      </c>
      <c r="H15" s="462">
        <v>2176.7800000000002</v>
      </c>
      <c r="I15" s="463"/>
      <c r="J15" s="463">
        <v>28589</v>
      </c>
      <c r="K15" s="463">
        <v>30765.78</v>
      </c>
      <c r="L15" s="463"/>
      <c r="M15" s="463"/>
      <c r="N15" s="464"/>
      <c r="O15" s="463"/>
      <c r="P15" s="463"/>
      <c r="Q15" s="459">
        <v>1901</v>
      </c>
      <c r="R15" s="462">
        <v>1.6055743243243243</v>
      </c>
      <c r="S15" s="463">
        <v>0.33557432432432432</v>
      </c>
    </row>
    <row r="16" spans="1:19" x14ac:dyDescent="0.2">
      <c r="A16" s="98" t="s">
        <v>39</v>
      </c>
      <c r="D16" s="460">
        <v>83</v>
      </c>
      <c r="E16" s="113">
        <v>20.49</v>
      </c>
      <c r="F16" s="113">
        <v>3.44</v>
      </c>
      <c r="G16" s="461">
        <v>1262</v>
      </c>
      <c r="H16" s="462">
        <v>25858.379999999997</v>
      </c>
      <c r="I16" s="463"/>
      <c r="J16" s="463"/>
      <c r="K16" s="463">
        <v>25858.379999999997</v>
      </c>
      <c r="L16" s="463"/>
      <c r="M16" s="463"/>
      <c r="N16" s="464"/>
      <c r="O16" s="463"/>
      <c r="P16" s="463"/>
      <c r="Q16" s="459">
        <v>10150</v>
      </c>
      <c r="R16" s="462">
        <v>8.5726351351351351</v>
      </c>
      <c r="S16" s="467">
        <v>-11.917364864864863</v>
      </c>
    </row>
    <row r="17" spans="1:19" x14ac:dyDescent="0.2">
      <c r="A17" s="98" t="s">
        <v>170</v>
      </c>
      <c r="D17" s="116">
        <v>100</v>
      </c>
      <c r="E17" s="113">
        <v>8.08</v>
      </c>
      <c r="F17" s="109">
        <v>6.31</v>
      </c>
      <c r="G17" s="468">
        <v>1800</v>
      </c>
      <c r="H17" s="462">
        <v>14544</v>
      </c>
      <c r="I17" s="463"/>
      <c r="J17" s="463">
        <v>59080</v>
      </c>
      <c r="K17" s="463">
        <v>73624</v>
      </c>
      <c r="L17" s="463"/>
      <c r="M17" s="463"/>
      <c r="N17" s="464"/>
      <c r="O17" s="463"/>
      <c r="P17" s="463"/>
      <c r="Q17" s="459">
        <v>8626</v>
      </c>
      <c r="R17" s="462">
        <v>7.2854729729729728</v>
      </c>
      <c r="S17" s="463">
        <v>-0.79452702702702727</v>
      </c>
    </row>
    <row r="18" spans="1:19" x14ac:dyDescent="0.2">
      <c r="A18" s="98" t="s">
        <v>171</v>
      </c>
      <c r="D18" s="116">
        <v>100</v>
      </c>
      <c r="E18" s="109">
        <v>16.510000000000002</v>
      </c>
      <c r="F18" s="109">
        <v>15.66</v>
      </c>
      <c r="G18" s="468">
        <v>1838</v>
      </c>
      <c r="H18" s="462">
        <v>30345.380000000005</v>
      </c>
      <c r="I18" s="463">
        <v>14073</v>
      </c>
      <c r="J18" s="463"/>
      <c r="K18" s="463">
        <v>44418.380000000005</v>
      </c>
      <c r="L18" s="463"/>
      <c r="M18" s="463"/>
      <c r="N18" s="464"/>
      <c r="O18" s="463"/>
      <c r="P18" s="463"/>
      <c r="Q18" s="459">
        <v>20640</v>
      </c>
      <c r="R18" s="462">
        <v>17.432432432432432</v>
      </c>
      <c r="S18" s="463">
        <v>0.92243243243243001</v>
      </c>
    </row>
    <row r="19" spans="1:19" x14ac:dyDescent="0.2">
      <c r="A19" s="98" t="s">
        <v>450</v>
      </c>
      <c r="D19" s="116">
        <v>100</v>
      </c>
      <c r="E19" s="109">
        <v>18.86</v>
      </c>
      <c r="F19" s="109">
        <v>3.28</v>
      </c>
      <c r="G19" s="468">
        <v>1433</v>
      </c>
      <c r="H19" s="462">
        <v>27026.379999999997</v>
      </c>
      <c r="I19" s="463"/>
      <c r="J19" s="463"/>
      <c r="K19" s="463">
        <v>27026.379999999997</v>
      </c>
      <c r="L19" s="463"/>
      <c r="M19" s="463"/>
      <c r="N19" s="464"/>
      <c r="O19" s="463"/>
      <c r="P19" s="463"/>
      <c r="Q19" s="459">
        <v>20633</v>
      </c>
      <c r="R19" s="462">
        <v>17.42652027027027</v>
      </c>
      <c r="S19" s="463">
        <v>-1.4334797297297293</v>
      </c>
    </row>
    <row r="20" spans="1:19" x14ac:dyDescent="0.2">
      <c r="A20" s="98" t="s">
        <v>451</v>
      </c>
      <c r="D20" s="116">
        <v>100</v>
      </c>
      <c r="E20" s="109">
        <v>21.18</v>
      </c>
      <c r="F20" s="109">
        <v>2.94</v>
      </c>
      <c r="G20" s="468">
        <v>1406</v>
      </c>
      <c r="H20" s="462">
        <f>+E20*G20</f>
        <v>29779.079999999998</v>
      </c>
      <c r="I20" s="463"/>
      <c r="J20" s="463"/>
      <c r="K20" s="463">
        <f>+H20+I20+J20</f>
        <v>29779.079999999998</v>
      </c>
      <c r="L20" s="463"/>
      <c r="M20" s="463"/>
      <c r="N20" s="464"/>
      <c r="O20" s="463"/>
      <c r="P20" s="463"/>
      <c r="Q20" s="459">
        <v>14384</v>
      </c>
      <c r="R20" s="462">
        <v>12.148648648648649</v>
      </c>
      <c r="S20" s="463">
        <v>-3.881351351351352</v>
      </c>
    </row>
    <row r="21" spans="1:19" x14ac:dyDescent="0.2">
      <c r="A21" s="98" t="s">
        <v>264</v>
      </c>
      <c r="D21" s="116">
        <v>93</v>
      </c>
      <c r="E21" s="109">
        <v>0.76</v>
      </c>
      <c r="F21" s="109">
        <v>0.76</v>
      </c>
      <c r="G21" s="468">
        <v>1200</v>
      </c>
      <c r="H21" s="462">
        <v>912</v>
      </c>
      <c r="I21" s="463">
        <v>5273</v>
      </c>
      <c r="J21" s="463"/>
      <c r="K21" s="463">
        <v>6185</v>
      </c>
      <c r="L21" s="463">
        <v>1402</v>
      </c>
      <c r="M21" s="463"/>
      <c r="N21" s="464"/>
      <c r="O21" s="463"/>
      <c r="P21" s="463"/>
      <c r="Q21" s="459">
        <v>2280</v>
      </c>
      <c r="R21" s="462">
        <v>1.9256756756756757</v>
      </c>
      <c r="S21" s="463">
        <v>1.1656756756756756</v>
      </c>
    </row>
    <row r="22" spans="1:19" x14ac:dyDescent="0.2">
      <c r="A22" s="98" t="s">
        <v>43</v>
      </c>
      <c r="D22" s="116"/>
      <c r="E22" s="109"/>
      <c r="F22" s="109"/>
      <c r="G22" s="468"/>
      <c r="H22" s="462"/>
      <c r="I22" s="463"/>
      <c r="J22" s="463"/>
      <c r="K22" s="463">
        <v>22703</v>
      </c>
      <c r="L22" s="463"/>
      <c r="M22" s="463"/>
      <c r="N22" s="464"/>
      <c r="O22" s="463"/>
      <c r="P22" s="463"/>
      <c r="Q22" s="459"/>
      <c r="R22" s="462"/>
    </row>
    <row r="23" spans="1:19" x14ac:dyDescent="0.2">
      <c r="A23" s="100" t="s">
        <v>44</v>
      </c>
      <c r="B23" s="100"/>
      <c r="C23" s="100"/>
      <c r="D23" s="124"/>
      <c r="E23" s="125">
        <f>SUM(E7:E22)</f>
        <v>143.94</v>
      </c>
      <c r="F23" s="125">
        <f t="shared" ref="F23:G23" si="0">SUM(F7:F22)</f>
        <v>51.37</v>
      </c>
      <c r="G23" s="125">
        <f t="shared" si="0"/>
        <v>20357</v>
      </c>
      <c r="H23" s="125">
        <f>SUM(H7:H22)</f>
        <v>220386.69</v>
      </c>
      <c r="I23" s="125">
        <f t="shared" ref="I23:K23" si="1">SUM(I7:I22)</f>
        <v>59956</v>
      </c>
      <c r="J23" s="125">
        <f t="shared" si="1"/>
        <v>299966</v>
      </c>
      <c r="K23" s="125">
        <f t="shared" si="1"/>
        <v>603011.68999999994</v>
      </c>
      <c r="L23" s="125">
        <v>6251</v>
      </c>
      <c r="M23" s="125">
        <v>4441</v>
      </c>
      <c r="N23" s="469"/>
      <c r="O23" s="142"/>
      <c r="P23" s="142"/>
      <c r="Q23" s="459"/>
      <c r="R23" s="470"/>
    </row>
    <row r="24" spans="1:19" x14ac:dyDescent="0.2">
      <c r="A24" s="106" t="s">
        <v>45</v>
      </c>
      <c r="B24" s="106"/>
      <c r="C24" s="106"/>
      <c r="D24" s="128"/>
      <c r="E24" s="129">
        <f>+E23-F23</f>
        <v>92.57</v>
      </c>
      <c r="F24" s="129"/>
      <c r="G24" s="471"/>
      <c r="H24" s="472">
        <f>+E33*G33</f>
        <v>142290</v>
      </c>
      <c r="I24" s="472">
        <f>+I23-L23</f>
        <v>53705</v>
      </c>
      <c r="J24" s="472">
        <f>+J23-M23</f>
        <v>295525</v>
      </c>
      <c r="K24" s="473">
        <f>+H24+I24+J24</f>
        <v>491520</v>
      </c>
      <c r="L24" s="106"/>
      <c r="M24" s="106"/>
      <c r="N24" s="474"/>
      <c r="O24" s="103"/>
      <c r="P24" s="103"/>
      <c r="Q24" s="459"/>
    </row>
    <row r="26" spans="1:19" x14ac:dyDescent="0.2">
      <c r="C26" s="103" t="s">
        <v>46</v>
      </c>
    </row>
    <row r="27" spans="1:19" x14ac:dyDescent="0.2">
      <c r="A27" s="98" t="s">
        <v>47</v>
      </c>
    </row>
    <row r="28" spans="1:19" x14ac:dyDescent="0.2">
      <c r="A28" s="131" t="s">
        <v>48</v>
      </c>
      <c r="B28" s="131"/>
      <c r="C28" s="131"/>
      <c r="D28" s="131" t="s">
        <v>49</v>
      </c>
      <c r="E28" s="131" t="s">
        <v>50</v>
      </c>
      <c r="F28" s="131"/>
      <c r="G28" s="131" t="s">
        <v>51</v>
      </c>
      <c r="J28" s="475" t="s">
        <v>265</v>
      </c>
      <c r="K28" s="476">
        <v>1.45</v>
      </c>
    </row>
    <row r="29" spans="1:19" x14ac:dyDescent="0.2">
      <c r="A29" s="98" t="s">
        <v>53</v>
      </c>
      <c r="J29" s="477" t="s">
        <v>266</v>
      </c>
      <c r="K29" s="478">
        <v>2</v>
      </c>
    </row>
    <row r="30" spans="1:19" x14ac:dyDescent="0.2">
      <c r="A30" s="98" t="s">
        <v>267</v>
      </c>
      <c r="D30" s="98" t="s">
        <v>108</v>
      </c>
      <c r="E30" s="109">
        <v>2.76</v>
      </c>
      <c r="G30" s="109">
        <v>13800</v>
      </c>
    </row>
    <row r="31" spans="1:19" x14ac:dyDescent="0.2">
      <c r="J31" s="479" t="s">
        <v>268</v>
      </c>
      <c r="K31" s="480" t="s">
        <v>269</v>
      </c>
    </row>
    <row r="32" spans="1:19" x14ac:dyDescent="0.2">
      <c r="A32" s="98" t="s">
        <v>57</v>
      </c>
      <c r="J32" s="481" t="s">
        <v>270</v>
      </c>
      <c r="K32" s="482">
        <v>97</v>
      </c>
    </row>
    <row r="33" spans="1:21" x14ac:dyDescent="0.2">
      <c r="A33" s="98" t="s">
        <v>112</v>
      </c>
      <c r="D33" s="98" t="s">
        <v>60</v>
      </c>
      <c r="E33" s="109">
        <v>93</v>
      </c>
      <c r="F33" s="109"/>
      <c r="G33" s="113">
        <v>1530</v>
      </c>
      <c r="I33" s="103"/>
      <c r="J33" s="483" t="s">
        <v>271</v>
      </c>
      <c r="K33" s="482">
        <v>3</v>
      </c>
    </row>
    <row r="34" spans="1:21" x14ac:dyDescent="0.2">
      <c r="A34" s="98" t="s">
        <v>113</v>
      </c>
      <c r="D34" s="98" t="s">
        <v>60</v>
      </c>
      <c r="E34" s="109">
        <v>51</v>
      </c>
      <c r="F34" s="109"/>
      <c r="G34" s="109"/>
      <c r="I34" s="103"/>
      <c r="P34" s="109">
        <f>+E30*G30</f>
        <v>38088</v>
      </c>
    </row>
    <row r="35" spans="1:21" x14ac:dyDescent="0.2">
      <c r="A35" s="98" t="s">
        <v>6</v>
      </c>
      <c r="D35" s="98" t="s">
        <v>60</v>
      </c>
      <c r="E35" s="109">
        <v>144</v>
      </c>
      <c r="F35" s="109"/>
      <c r="G35" s="109"/>
      <c r="I35" s="103"/>
    </row>
    <row r="36" spans="1:21" x14ac:dyDescent="0.2">
      <c r="I36" s="103"/>
      <c r="J36" s="103"/>
      <c r="K36" s="103"/>
    </row>
    <row r="37" spans="1:21" x14ac:dyDescent="0.2">
      <c r="A37" s="100" t="s">
        <v>63</v>
      </c>
      <c r="B37" s="100"/>
      <c r="C37" s="100" t="s">
        <v>64</v>
      </c>
      <c r="D37" s="100"/>
      <c r="E37" s="100"/>
      <c r="F37" s="100"/>
      <c r="G37" s="100"/>
      <c r="I37" s="103"/>
      <c r="J37" s="103"/>
      <c r="L37" s="463"/>
      <c r="M37" s="463"/>
    </row>
    <row r="38" spans="1:21" x14ac:dyDescent="0.2">
      <c r="A38" s="103"/>
      <c r="B38" s="103" t="s">
        <v>272</v>
      </c>
      <c r="C38" s="484">
        <v>37</v>
      </c>
      <c r="D38" s="103" t="s">
        <v>108</v>
      </c>
      <c r="E38" s="98">
        <v>48</v>
      </c>
      <c r="F38" s="142"/>
      <c r="G38" s="142">
        <v>800</v>
      </c>
      <c r="I38" s="142"/>
      <c r="J38" s="485"/>
      <c r="M38" s="463"/>
      <c r="O38" s="103" t="s">
        <v>272</v>
      </c>
      <c r="P38" s="484">
        <v>37</v>
      </c>
      <c r="Q38" s="103" t="s">
        <v>108</v>
      </c>
      <c r="R38" s="98">
        <v>48</v>
      </c>
      <c r="S38" s="142">
        <v>800</v>
      </c>
      <c r="T38" s="98">
        <v>38400</v>
      </c>
      <c r="U38" s="137">
        <v>26311.111111111109</v>
      </c>
    </row>
    <row r="39" spans="1:21" x14ac:dyDescent="0.2">
      <c r="A39" s="103"/>
      <c r="B39" s="103" t="s">
        <v>273</v>
      </c>
      <c r="C39" s="484">
        <v>7</v>
      </c>
      <c r="D39" s="103" t="s">
        <v>108</v>
      </c>
      <c r="E39" s="98">
        <v>29</v>
      </c>
      <c r="F39" s="142"/>
      <c r="G39" s="486">
        <v>28</v>
      </c>
      <c r="I39" s="486"/>
      <c r="J39" s="103"/>
      <c r="O39" s="103" t="s">
        <v>273</v>
      </c>
      <c r="P39" s="484">
        <v>7</v>
      </c>
      <c r="Q39" s="103" t="s">
        <v>108</v>
      </c>
      <c r="R39" s="98">
        <v>29</v>
      </c>
      <c r="S39" s="486">
        <v>28</v>
      </c>
      <c r="T39" s="98">
        <v>812</v>
      </c>
      <c r="U39" s="137">
        <v>105.25925925925925</v>
      </c>
    </row>
    <row r="40" spans="1:21" x14ac:dyDescent="0.2">
      <c r="A40" s="103"/>
      <c r="B40" s="103" t="s">
        <v>274</v>
      </c>
      <c r="C40" s="484">
        <v>10</v>
      </c>
      <c r="D40" s="103" t="s">
        <v>108</v>
      </c>
      <c r="E40" s="112">
        <v>75</v>
      </c>
      <c r="F40" s="142"/>
      <c r="G40" s="142">
        <v>303</v>
      </c>
      <c r="I40" s="142"/>
      <c r="J40" s="103"/>
      <c r="O40" s="103" t="s">
        <v>274</v>
      </c>
      <c r="P40" s="484">
        <v>10</v>
      </c>
      <c r="Q40" s="103" t="s">
        <v>108</v>
      </c>
      <c r="R40" s="112">
        <v>75</v>
      </c>
      <c r="S40" s="142">
        <v>303</v>
      </c>
      <c r="T40" s="98">
        <v>22725</v>
      </c>
      <c r="U40" s="137">
        <v>4208.333333333333</v>
      </c>
    </row>
    <row r="41" spans="1:21" x14ac:dyDescent="0.2">
      <c r="A41" s="103"/>
      <c r="B41" s="487" t="s">
        <v>275</v>
      </c>
      <c r="C41" s="484">
        <v>63</v>
      </c>
      <c r="D41" s="103" t="s">
        <v>108</v>
      </c>
      <c r="E41" s="488">
        <v>78</v>
      </c>
      <c r="F41" s="142"/>
      <c r="G41" s="486">
        <v>420</v>
      </c>
      <c r="I41" s="142"/>
      <c r="J41" s="103"/>
      <c r="U41" s="489">
        <v>30624.703703703701</v>
      </c>
    </row>
    <row r="42" spans="1:21" x14ac:dyDescent="0.2">
      <c r="A42" s="103"/>
      <c r="B42" s="103" t="s">
        <v>276</v>
      </c>
      <c r="C42" s="487">
        <v>40</v>
      </c>
      <c r="D42" s="103" t="s">
        <v>108</v>
      </c>
      <c r="E42" s="142">
        <v>25</v>
      </c>
      <c r="F42" s="142"/>
      <c r="G42" s="142">
        <v>908</v>
      </c>
      <c r="O42" s="487" t="s">
        <v>275</v>
      </c>
      <c r="P42" s="484">
        <v>63</v>
      </c>
      <c r="Q42" s="103" t="s">
        <v>108</v>
      </c>
      <c r="R42" s="488">
        <v>78</v>
      </c>
      <c r="S42" s="142"/>
      <c r="T42" s="486">
        <v>420</v>
      </c>
      <c r="U42" s="98">
        <v>32760</v>
      </c>
    </row>
    <row r="43" spans="1:21" x14ac:dyDescent="0.2">
      <c r="A43" s="103"/>
      <c r="B43" s="103" t="s">
        <v>277</v>
      </c>
      <c r="C43" s="487">
        <v>43</v>
      </c>
      <c r="D43" s="103" t="s">
        <v>108</v>
      </c>
      <c r="E43" s="142">
        <v>197</v>
      </c>
      <c r="F43" s="142"/>
      <c r="G43" s="142">
        <v>403</v>
      </c>
      <c r="O43" s="103" t="s">
        <v>276</v>
      </c>
      <c r="P43" s="487">
        <v>40</v>
      </c>
      <c r="Q43" s="103" t="s">
        <v>108</v>
      </c>
      <c r="R43" s="142">
        <v>25</v>
      </c>
      <c r="S43" s="142"/>
      <c r="T43" s="142">
        <v>908</v>
      </c>
      <c r="U43" s="98">
        <v>22700</v>
      </c>
    </row>
    <row r="44" spans="1:21" x14ac:dyDescent="0.2">
      <c r="A44" s="490" t="s">
        <v>73</v>
      </c>
      <c r="B44" s="100"/>
      <c r="C44" s="100" t="s">
        <v>152</v>
      </c>
      <c r="E44" s="98" t="s">
        <v>116</v>
      </c>
      <c r="F44" s="100"/>
      <c r="O44" s="103" t="s">
        <v>277</v>
      </c>
      <c r="P44" s="487">
        <v>43</v>
      </c>
      <c r="Q44" s="103" t="s">
        <v>108</v>
      </c>
      <c r="R44" s="142">
        <v>197</v>
      </c>
      <c r="S44" s="142"/>
      <c r="T44" s="142">
        <v>403</v>
      </c>
      <c r="U44" s="98">
        <v>79391</v>
      </c>
    </row>
    <row r="45" spans="1:21" x14ac:dyDescent="0.2">
      <c r="A45" s="103" t="s">
        <v>76</v>
      </c>
      <c r="B45" s="103"/>
      <c r="C45" s="491">
        <v>5535</v>
      </c>
      <c r="D45" s="462"/>
      <c r="E45" s="492">
        <v>13676.985000000001</v>
      </c>
      <c r="F45" s="103"/>
      <c r="U45" s="493">
        <v>134851</v>
      </c>
    </row>
    <row r="46" spans="1:21" x14ac:dyDescent="0.2">
      <c r="A46" s="103" t="s">
        <v>77</v>
      </c>
      <c r="B46" s="103"/>
      <c r="C46" s="494">
        <v>125</v>
      </c>
      <c r="D46" s="463"/>
      <c r="E46" s="492"/>
      <c r="F46" s="103"/>
      <c r="U46" s="137">
        <v>165475.70370370371</v>
      </c>
    </row>
    <row r="47" spans="1:21" x14ac:dyDescent="0.2">
      <c r="A47" s="103" t="s">
        <v>78</v>
      </c>
      <c r="B47" s="103"/>
      <c r="C47" s="485">
        <f>+C45*C46</f>
        <v>691875</v>
      </c>
      <c r="D47" s="492"/>
      <c r="E47" s="492">
        <f>+C47*2.471</f>
        <v>1709623.125</v>
      </c>
      <c r="F47" s="103"/>
    </row>
    <row r="48" spans="1:21" x14ac:dyDescent="0.2">
      <c r="A48" s="103" t="s">
        <v>79</v>
      </c>
      <c r="B48" s="103"/>
      <c r="C48" s="485">
        <f>+C47-K23</f>
        <v>88863.310000000056</v>
      </c>
      <c r="D48" s="492"/>
      <c r="E48" s="492">
        <f t="shared" ref="E48:E49" si="2">+C48*2.471</f>
        <v>219581.23901000014</v>
      </c>
      <c r="F48" s="103"/>
    </row>
    <row r="49" spans="1:7" s="98" customFormat="1" x14ac:dyDescent="0.2">
      <c r="A49" s="103" t="s">
        <v>80</v>
      </c>
      <c r="B49" s="103"/>
      <c r="C49" s="485">
        <f>+C47-K24</f>
        <v>200355</v>
      </c>
      <c r="D49" s="492"/>
      <c r="E49" s="492">
        <f t="shared" si="2"/>
        <v>495077.20500000002</v>
      </c>
      <c r="F49" s="103"/>
    </row>
    <row r="50" spans="1:7" s="98" customFormat="1" x14ac:dyDescent="0.2">
      <c r="A50" s="103" t="s">
        <v>199</v>
      </c>
      <c r="B50" s="103"/>
      <c r="C50" s="149">
        <f>+K23/C45</f>
        <v>108.94520144534778</v>
      </c>
      <c r="F50" s="103"/>
    </row>
    <row r="51" spans="1:7" s="98" customFormat="1" x14ac:dyDescent="0.2">
      <c r="A51" s="106" t="s">
        <v>200</v>
      </c>
      <c r="B51" s="106"/>
      <c r="C51" s="151">
        <f>+K24/C45</f>
        <v>88.802168021680217</v>
      </c>
      <c r="F51" s="106"/>
    </row>
    <row r="53" spans="1:7" s="98" customFormat="1" x14ac:dyDescent="0.2">
      <c r="A53" s="98" t="s">
        <v>278</v>
      </c>
      <c r="C53" s="103"/>
    </row>
    <row r="62" spans="1:7" s="98" customFormat="1" x14ac:dyDescent="0.2">
      <c r="G62" s="98" t="s">
        <v>83</v>
      </c>
    </row>
    <row r="65" s="98" customFormat="1" x14ac:dyDescent="0.2"/>
  </sheetData>
  <pageMargins left="0.7" right="0.7" top="0.75" bottom="0.75" header="0.3" footer="0.3"/>
  <pageSetup paperSize="9" scale="3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7"/>
  <sheetViews>
    <sheetView topLeftCell="A10" workbookViewId="0">
      <selection activeCell="J42" sqref="J42"/>
    </sheetView>
  </sheetViews>
  <sheetFormatPr defaultColWidth="9.140625" defaultRowHeight="15" x14ac:dyDescent="0.25"/>
  <cols>
    <col min="1" max="1" width="9.140625" style="1"/>
    <col min="2" max="2" width="11.7109375" style="1" customWidth="1"/>
    <col min="3" max="3" width="10" style="1" customWidth="1"/>
    <col min="4" max="4" width="10.85546875" style="1" customWidth="1"/>
    <col min="5" max="5" width="7.5703125" style="1" customWidth="1"/>
    <col min="6" max="6" width="6.85546875" style="1" customWidth="1"/>
    <col min="7" max="7" width="14" style="1" customWidth="1"/>
    <col min="8" max="8" width="9.7109375" style="1" customWidth="1"/>
    <col min="9" max="9" width="10" style="1" customWidth="1"/>
    <col min="10" max="10" width="7.7109375" style="1" customWidth="1"/>
    <col min="11" max="11" width="10.85546875" style="1" customWidth="1"/>
    <col min="12" max="12" width="9" style="1" customWidth="1"/>
    <col min="13" max="13" width="7.140625" style="1" customWidth="1"/>
    <col min="14" max="14" width="6" style="76" customWidth="1"/>
    <col min="15" max="16" width="9.140625" style="1"/>
    <col min="17" max="17" width="9.140625" style="218"/>
    <col min="18" max="16384" width="9.140625" style="1"/>
  </cols>
  <sheetData>
    <row r="1" spans="1:17" x14ac:dyDescent="0.25">
      <c r="A1" s="1" t="s">
        <v>0</v>
      </c>
      <c r="B1" s="1" t="s">
        <v>204</v>
      </c>
      <c r="O1" s="1" t="s">
        <v>312</v>
      </c>
    </row>
    <row r="2" spans="1:17" x14ac:dyDescent="0.25">
      <c r="B2" s="1" t="s">
        <v>205</v>
      </c>
      <c r="C2" s="2"/>
      <c r="O2" s="1" t="s">
        <v>85</v>
      </c>
    </row>
    <row r="3" spans="1:17" x14ac:dyDescent="0.25">
      <c r="B3" s="1" t="s">
        <v>206</v>
      </c>
      <c r="C3" s="1" t="s">
        <v>207</v>
      </c>
    </row>
    <row r="4" spans="1:17" x14ac:dyDescent="0.25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7" x14ac:dyDescent="0.25">
      <c r="A5" s="6"/>
      <c r="B5" s="6"/>
      <c r="C5" s="6"/>
      <c r="D5" s="7" t="s">
        <v>14</v>
      </c>
      <c r="E5" s="7" t="s">
        <v>15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17</v>
      </c>
      <c r="K5" s="7" t="s">
        <v>17</v>
      </c>
      <c r="L5" s="8" t="s">
        <v>10</v>
      </c>
      <c r="M5" s="7" t="s">
        <v>11</v>
      </c>
    </row>
    <row r="6" spans="1:17" x14ac:dyDescent="0.25">
      <c r="A6" s="6"/>
      <c r="B6" s="6"/>
      <c r="C6" s="6"/>
      <c r="D6" s="7" t="s">
        <v>19</v>
      </c>
      <c r="E6" s="7"/>
      <c r="F6" s="7"/>
      <c r="G6" s="7"/>
      <c r="H6" s="7" t="s">
        <v>20</v>
      </c>
      <c r="I6" s="7" t="s">
        <v>17</v>
      </c>
      <c r="J6" s="7" t="s">
        <v>20</v>
      </c>
      <c r="K6" s="7" t="s">
        <v>20</v>
      </c>
      <c r="L6" s="7"/>
      <c r="M6" s="7"/>
    </row>
    <row r="7" spans="1:17" x14ac:dyDescent="0.25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7" x14ac:dyDescent="0.25">
      <c r="A8" s="1" t="s">
        <v>129</v>
      </c>
      <c r="D8" s="219" t="s">
        <v>136</v>
      </c>
      <c r="E8" s="38"/>
      <c r="F8" s="38"/>
      <c r="G8" s="39"/>
      <c r="H8" s="36" t="s">
        <v>208</v>
      </c>
      <c r="I8" s="15"/>
      <c r="J8" s="16"/>
      <c r="K8" s="14">
        <f t="shared" ref="K8:K21" si="0">SUM(H8:J8)</f>
        <v>0</v>
      </c>
      <c r="Q8" s="218">
        <f>1500/1150</f>
        <v>1.3043478260869565</v>
      </c>
    </row>
    <row r="9" spans="1:17" x14ac:dyDescent="0.25">
      <c r="A9" s="1" t="s">
        <v>22</v>
      </c>
      <c r="D9" s="79">
        <f>[3]Analysis!BM47</f>
        <v>76.666666666666671</v>
      </c>
      <c r="E9" s="38">
        <f>[3]Analysis!BM55</f>
        <v>0.42880794701986757</v>
      </c>
      <c r="F9" s="38">
        <f>[3]Analysis!BM55</f>
        <v>0.42880794701986757</v>
      </c>
      <c r="G9" s="39">
        <v>1600</v>
      </c>
      <c r="H9" s="17">
        <f>SUM(E9*G9)</f>
        <v>686.09271523178813</v>
      </c>
      <c r="I9" s="14">
        <v>20170</v>
      </c>
      <c r="J9" s="16"/>
      <c r="K9" s="14">
        <f t="shared" si="0"/>
        <v>20856.092715231789</v>
      </c>
      <c r="L9" s="68">
        <v>2671</v>
      </c>
      <c r="Q9" s="218">
        <f>650/1150</f>
        <v>0.56521739130434778</v>
      </c>
    </row>
    <row r="10" spans="1:17" x14ac:dyDescent="0.25">
      <c r="A10" s="1" t="s">
        <v>130</v>
      </c>
      <c r="D10" s="219" t="s">
        <v>209</v>
      </c>
      <c r="E10" s="38"/>
      <c r="F10" s="38"/>
      <c r="G10" s="39"/>
      <c r="H10" s="21" t="s">
        <v>210</v>
      </c>
      <c r="I10" s="21" t="s">
        <v>211</v>
      </c>
      <c r="J10" s="16"/>
      <c r="K10" s="14">
        <f t="shared" si="0"/>
        <v>0</v>
      </c>
      <c r="L10" s="68"/>
    </row>
    <row r="11" spans="1:17" x14ac:dyDescent="0.25">
      <c r="A11" s="1" t="s">
        <v>212</v>
      </c>
      <c r="D11" s="79">
        <f>[3]Analysis!EA48</f>
        <v>93.333333333333329</v>
      </c>
      <c r="E11" s="38">
        <f>[3]Analysis!EA56</f>
        <v>6.3502824858757059</v>
      </c>
      <c r="F11" s="38">
        <f>[3]Analysis!EA52</f>
        <v>2.1242937853107344</v>
      </c>
      <c r="G11" s="39">
        <v>1849</v>
      </c>
      <c r="H11" s="17">
        <f>SUM(E11*G11)</f>
        <v>11741.67231638418</v>
      </c>
      <c r="I11" s="14"/>
      <c r="J11" s="16"/>
      <c r="K11" s="14">
        <f t="shared" si="0"/>
        <v>11741.67231638418</v>
      </c>
      <c r="L11" s="68"/>
      <c r="Q11" s="218">
        <f>7375/1150</f>
        <v>6.4130434782608692</v>
      </c>
    </row>
    <row r="12" spans="1:17" x14ac:dyDescent="0.25">
      <c r="A12" s="1" t="s">
        <v>213</v>
      </c>
      <c r="D12" s="219" t="s">
        <v>28</v>
      </c>
      <c r="E12" s="38"/>
      <c r="F12" s="38"/>
      <c r="G12" s="39"/>
      <c r="H12" s="21" t="s">
        <v>214</v>
      </c>
      <c r="I12" s="25" t="s">
        <v>215</v>
      </c>
      <c r="J12" s="16"/>
      <c r="K12" s="14">
        <f t="shared" si="0"/>
        <v>0</v>
      </c>
      <c r="L12" s="68"/>
    </row>
    <row r="13" spans="1:17" x14ac:dyDescent="0.25">
      <c r="A13" s="1" t="s">
        <v>216</v>
      </c>
      <c r="D13" s="79">
        <f>[3]Analysis!GD46</f>
        <v>100</v>
      </c>
      <c r="E13" s="38">
        <f>[3]Analysis!GD54</f>
        <v>6.7715736040609134</v>
      </c>
      <c r="F13" s="38">
        <f>[3]Analysis!GD50</f>
        <v>2.7005076142131981</v>
      </c>
      <c r="G13" s="39">
        <v>1650</v>
      </c>
      <c r="H13" s="17">
        <f t="shared" ref="H13:H21" si="1">SUM(E13*G13)</f>
        <v>11173.096446700507</v>
      </c>
      <c r="I13" s="14"/>
      <c r="J13" s="14">
        <f>+E30*G30</f>
        <v>8558</v>
      </c>
      <c r="K13" s="14">
        <f t="shared" si="0"/>
        <v>19731.096446700507</v>
      </c>
      <c r="L13" s="68"/>
      <c r="M13" s="1">
        <v>434</v>
      </c>
      <c r="Q13" s="218">
        <f>7592/1150</f>
        <v>6.6017391304347823</v>
      </c>
    </row>
    <row r="14" spans="1:17" x14ac:dyDescent="0.25">
      <c r="A14" s="30" t="s">
        <v>134</v>
      </c>
      <c r="D14" s="79">
        <f>[3]Analysis!KQ47</f>
        <v>60</v>
      </c>
      <c r="E14" s="220">
        <f>[3]Analysis!KQ55</f>
        <v>0.86043478260869555</v>
      </c>
      <c r="F14" s="220">
        <f>[3]Analysis!KQ51</f>
        <v>0.48478260869565215</v>
      </c>
      <c r="G14" s="221">
        <f>[3]Analysis!KQ56</f>
        <v>2000.0000000000002</v>
      </c>
      <c r="H14" s="17">
        <f t="shared" si="1"/>
        <v>1720.8695652173913</v>
      </c>
      <c r="I14" s="14"/>
      <c r="J14" s="222">
        <f>+E36*G36+G37</f>
        <v>16124.153846153846</v>
      </c>
      <c r="K14" s="14">
        <f t="shared" si="0"/>
        <v>17845.023411371236</v>
      </c>
      <c r="L14" s="68"/>
      <c r="Q14" s="218">
        <f>600/1150</f>
        <v>0.52173913043478259</v>
      </c>
    </row>
    <row r="15" spans="1:17" x14ac:dyDescent="0.25">
      <c r="A15" s="1" t="s">
        <v>39</v>
      </c>
      <c r="D15" s="79">
        <f>[3]Analysis!LN46</f>
        <v>93.333333333333329</v>
      </c>
      <c r="E15" s="38">
        <v>7.45</v>
      </c>
      <c r="F15" s="38">
        <v>2.59</v>
      </c>
      <c r="G15" s="39">
        <v>1553</v>
      </c>
      <c r="H15" s="17">
        <f t="shared" si="1"/>
        <v>11569.85</v>
      </c>
      <c r="I15" s="14"/>
      <c r="J15" s="14"/>
      <c r="K15" s="14">
        <f t="shared" si="0"/>
        <v>11569.85</v>
      </c>
      <c r="L15" s="68"/>
      <c r="Q15" s="218">
        <f>8500/1150</f>
        <v>7.3913043478260869</v>
      </c>
    </row>
    <row r="16" spans="1:17" x14ac:dyDescent="0.25">
      <c r="A16" s="1" t="s">
        <v>217</v>
      </c>
      <c r="D16" s="79">
        <f>[3]Analysis!MN46</f>
        <v>70</v>
      </c>
      <c r="E16" s="38">
        <f>[3]Analysis!MN54</f>
        <v>0.50476190476190474</v>
      </c>
      <c r="F16" s="38">
        <f>[3]Analysis!MN50</f>
        <v>0.35374149659863946</v>
      </c>
      <c r="G16" s="39">
        <f>[3]Analysis!MN55</f>
        <v>2000</v>
      </c>
      <c r="H16" s="17">
        <f t="shared" si="1"/>
        <v>1009.5238095238095</v>
      </c>
      <c r="I16" s="14"/>
      <c r="J16" s="14">
        <v>4680</v>
      </c>
      <c r="K16" s="14">
        <f t="shared" si="0"/>
        <v>5689.5238095238092</v>
      </c>
      <c r="L16" s="68"/>
      <c r="Q16" s="218">
        <f>1632/1150</f>
        <v>1.4191304347826086</v>
      </c>
    </row>
    <row r="17" spans="1:18" x14ac:dyDescent="0.25">
      <c r="A17" s="1" t="s">
        <v>98</v>
      </c>
      <c r="D17" s="79">
        <f>[3]Analysis!NA46</f>
        <v>100</v>
      </c>
      <c r="E17" s="38">
        <v>1.1499999999999999</v>
      </c>
      <c r="F17" s="38">
        <v>0.77</v>
      </c>
      <c r="G17" s="39">
        <v>2469</v>
      </c>
      <c r="H17" s="17">
        <f t="shared" si="1"/>
        <v>2839.35</v>
      </c>
      <c r="I17" s="14"/>
      <c r="J17" s="14">
        <v>7817</v>
      </c>
      <c r="K17" s="14">
        <f t="shared" si="0"/>
        <v>10656.35</v>
      </c>
      <c r="L17" s="68"/>
      <c r="Q17" s="218" t="s">
        <v>218</v>
      </c>
    </row>
    <row r="18" spans="1:18" x14ac:dyDescent="0.25">
      <c r="A18" s="1" t="s">
        <v>219</v>
      </c>
      <c r="D18" s="79">
        <f>[3]Analysis!OY47</f>
        <v>100</v>
      </c>
      <c r="E18" s="38">
        <v>4.01</v>
      </c>
      <c r="F18" s="38">
        <v>4.01</v>
      </c>
      <c r="G18" s="39">
        <v>1650</v>
      </c>
      <c r="H18" s="17">
        <f t="shared" si="1"/>
        <v>6616.5</v>
      </c>
      <c r="I18" s="14"/>
      <c r="J18" s="14"/>
      <c r="K18" s="14">
        <f t="shared" si="0"/>
        <v>6616.5</v>
      </c>
      <c r="L18" s="68"/>
      <c r="Q18" s="218">
        <f>4875/1150</f>
        <v>4.2391304347826084</v>
      </c>
    </row>
    <row r="19" spans="1:18" x14ac:dyDescent="0.25">
      <c r="A19" s="1" t="s">
        <v>140</v>
      </c>
      <c r="D19" s="79">
        <f>[3]Analysis!QO46</f>
        <v>100</v>
      </c>
      <c r="E19" s="38">
        <f>[3]Analysis!QO54</f>
        <v>8.3553299492385786</v>
      </c>
      <c r="F19" s="38">
        <f>[3]Analysis!QO50</f>
        <v>2.2741116751269033</v>
      </c>
      <c r="G19" s="39">
        <v>1695</v>
      </c>
      <c r="H19" s="17">
        <f t="shared" si="1"/>
        <v>14162.284263959391</v>
      </c>
      <c r="I19" s="14"/>
      <c r="J19" s="14"/>
      <c r="K19" s="14">
        <f t="shared" si="0"/>
        <v>14162.284263959391</v>
      </c>
      <c r="L19" s="68"/>
      <c r="Q19" s="218">
        <f>10125/1150</f>
        <v>8.804347826086957</v>
      </c>
    </row>
    <row r="20" spans="1:18" x14ac:dyDescent="0.25">
      <c r="A20" s="223" t="s">
        <v>220</v>
      </c>
      <c r="D20" s="79">
        <f>[3]Analysis!SN46</f>
        <v>100</v>
      </c>
      <c r="E20" s="38">
        <v>0.69</v>
      </c>
      <c r="F20" s="38">
        <v>0.24</v>
      </c>
      <c r="G20" s="39">
        <v>1945</v>
      </c>
      <c r="H20" s="17">
        <f t="shared" si="1"/>
        <v>1342.05</v>
      </c>
      <c r="I20" s="14">
        <v>6091</v>
      </c>
      <c r="J20" s="14"/>
      <c r="K20" s="14">
        <f t="shared" si="0"/>
        <v>7433.05</v>
      </c>
      <c r="L20" s="68">
        <v>928</v>
      </c>
      <c r="Q20" s="218">
        <f>2000/1150</f>
        <v>1.7391304347826086</v>
      </c>
    </row>
    <row r="21" spans="1:18" ht="14.25" customHeight="1" x14ac:dyDescent="0.25">
      <c r="A21" s="1" t="s">
        <v>221</v>
      </c>
      <c r="D21" s="79">
        <v>40</v>
      </c>
      <c r="E21" s="38">
        <v>0.16</v>
      </c>
      <c r="F21" s="38">
        <v>0.16</v>
      </c>
      <c r="G21" s="39">
        <v>1600</v>
      </c>
      <c r="H21" s="17">
        <f t="shared" si="1"/>
        <v>256</v>
      </c>
      <c r="I21" s="14">
        <v>941</v>
      </c>
      <c r="J21" s="14"/>
      <c r="K21" s="14">
        <f t="shared" si="0"/>
        <v>1197</v>
      </c>
      <c r="L21" s="68">
        <v>192</v>
      </c>
      <c r="Q21" s="218">
        <f>375/1150</f>
        <v>0.32608695652173914</v>
      </c>
    </row>
    <row r="22" spans="1:18" x14ac:dyDescent="0.25">
      <c r="A22" s="2" t="s">
        <v>43</v>
      </c>
      <c r="D22" s="79"/>
      <c r="E22" s="38"/>
      <c r="F22" s="38"/>
      <c r="G22" s="39"/>
      <c r="H22" s="17"/>
      <c r="I22" s="14"/>
      <c r="J22" s="14"/>
      <c r="K22" s="14">
        <v>20000</v>
      </c>
      <c r="L22" s="68"/>
    </row>
    <row r="23" spans="1:18" x14ac:dyDescent="0.25">
      <c r="A23" s="43" t="s">
        <v>103</v>
      </c>
      <c r="B23" s="3"/>
      <c r="C23" s="3"/>
      <c r="D23" s="44"/>
      <c r="E23" s="45">
        <f>SUM(E8:E21)</f>
        <v>36.731190673565656</v>
      </c>
      <c r="F23" s="45">
        <f>SUM(F8:F21)</f>
        <v>16.136245126964994</v>
      </c>
      <c r="G23" s="45"/>
      <c r="H23" s="46">
        <f>SUM(H8:H22)</f>
        <v>63117.289117017062</v>
      </c>
      <c r="I23" s="46">
        <f>SUM(I8:I22)</f>
        <v>27202</v>
      </c>
      <c r="J23" s="46">
        <f>SUM(J8:J22)</f>
        <v>37179.153846153844</v>
      </c>
      <c r="K23" s="46">
        <f>SUM(K8:K22)</f>
        <v>147498.44296317094</v>
      </c>
      <c r="L23" s="46">
        <f>SUM(L8:L21)</f>
        <v>3791</v>
      </c>
      <c r="M23" s="3">
        <f>SUM(M8:M21)</f>
        <v>434</v>
      </c>
      <c r="Q23" s="218">
        <v>69225</v>
      </c>
    </row>
    <row r="24" spans="1:18" x14ac:dyDescent="0.25">
      <c r="A24" s="48" t="s">
        <v>104</v>
      </c>
      <c r="B24" s="9"/>
      <c r="C24" s="9"/>
      <c r="D24" s="49"/>
      <c r="E24" s="50">
        <f>SUM(E23-F23)</f>
        <v>20.594945546600663</v>
      </c>
      <c r="F24" s="50"/>
      <c r="G24" s="50"/>
      <c r="H24" s="51">
        <f>SUM(E32*G32)</f>
        <v>35134.977102500729</v>
      </c>
      <c r="I24" s="51">
        <f>I23-L23</f>
        <v>23411</v>
      </c>
      <c r="J24" s="51">
        <f>J23-M23</f>
        <v>36745.153846153844</v>
      </c>
      <c r="K24" s="51">
        <f>SUM(H24:J24)</f>
        <v>95291.13094865458</v>
      </c>
      <c r="L24" s="51"/>
      <c r="M24" s="9"/>
    </row>
    <row r="26" spans="1:18" x14ac:dyDescent="0.25">
      <c r="C26" s="1" t="s">
        <v>46</v>
      </c>
    </row>
    <row r="27" spans="1:18" x14ac:dyDescent="0.25">
      <c r="A27" s="1" t="s">
        <v>47</v>
      </c>
    </row>
    <row r="28" spans="1:18" x14ac:dyDescent="0.25">
      <c r="A28" s="53" t="s">
        <v>48</v>
      </c>
      <c r="B28" s="53"/>
      <c r="C28" s="53"/>
      <c r="D28" s="53" t="s">
        <v>49</v>
      </c>
      <c r="E28" s="53" t="s">
        <v>50</v>
      </c>
      <c r="F28" s="53"/>
      <c r="G28" s="53" t="s">
        <v>51</v>
      </c>
      <c r="H28" s="53" t="s">
        <v>52</v>
      </c>
      <c r="I28" s="56"/>
      <c r="J28" s="57" t="s">
        <v>58</v>
      </c>
      <c r="K28" s="224">
        <f>[3]Analysis!K46</f>
        <v>1.6416666666666666</v>
      </c>
      <c r="N28" s="77"/>
      <c r="O28" s="55"/>
      <c r="P28" s="55"/>
    </row>
    <row r="29" spans="1:18" x14ac:dyDescent="0.25">
      <c r="A29" s="1" t="s">
        <v>53</v>
      </c>
      <c r="H29" s="6" t="s">
        <v>222</v>
      </c>
      <c r="I29" s="56"/>
      <c r="J29" s="57" t="s">
        <v>61</v>
      </c>
      <c r="K29" s="57">
        <f>[3]Analysis!K47</f>
        <v>1</v>
      </c>
      <c r="N29" s="78"/>
      <c r="O29" s="38"/>
      <c r="P29" s="38"/>
    </row>
    <row r="30" spans="1:18" x14ac:dyDescent="0.25">
      <c r="A30" s="225" t="s">
        <v>143</v>
      </c>
      <c r="D30" s="1" t="s">
        <v>108</v>
      </c>
      <c r="E30" s="16">
        <v>22</v>
      </c>
      <c r="F30" s="15"/>
      <c r="G30" s="16">
        <v>389</v>
      </c>
      <c r="I30" s="6"/>
      <c r="Q30" s="218">
        <v>21</v>
      </c>
      <c r="R30" s="1">
        <v>167</v>
      </c>
    </row>
    <row r="31" spans="1:18" x14ac:dyDescent="0.25">
      <c r="A31" s="1" t="s">
        <v>57</v>
      </c>
    </row>
    <row r="32" spans="1:18" x14ac:dyDescent="0.25">
      <c r="A32" s="1" t="s">
        <v>180</v>
      </c>
      <c r="D32" s="1" t="s">
        <v>60</v>
      </c>
      <c r="E32" s="68">
        <f>SUM(E23-F23)</f>
        <v>20.594945546600663</v>
      </c>
      <c r="G32" s="38">
        <v>1706</v>
      </c>
    </row>
    <row r="33" spans="1:17" x14ac:dyDescent="0.25">
      <c r="A33" s="1" t="s">
        <v>145</v>
      </c>
      <c r="D33" s="1" t="s">
        <v>60</v>
      </c>
      <c r="E33" s="68">
        <f>SUM(F23)</f>
        <v>16.136245126964994</v>
      </c>
    </row>
    <row r="34" spans="1:17" x14ac:dyDescent="0.25">
      <c r="A34" s="1" t="s">
        <v>6</v>
      </c>
      <c r="D34" s="1" t="s">
        <v>60</v>
      </c>
      <c r="E34" s="68">
        <v>37</v>
      </c>
      <c r="K34" s="58"/>
    </row>
    <row r="35" spans="1:17" x14ac:dyDescent="0.25">
      <c r="A35" s="3" t="s">
        <v>63</v>
      </c>
      <c r="B35" s="3"/>
      <c r="C35" s="3" t="s">
        <v>64</v>
      </c>
      <c r="D35" s="3"/>
      <c r="E35" s="3"/>
      <c r="F35" s="3"/>
      <c r="G35" s="3"/>
    </row>
    <row r="36" spans="1:17" x14ac:dyDescent="0.25">
      <c r="A36" s="30"/>
      <c r="B36" s="226" t="s">
        <v>223</v>
      </c>
      <c r="C36" s="227">
        <v>40</v>
      </c>
      <c r="D36" s="228" t="s">
        <v>68</v>
      </c>
      <c r="E36" s="229">
        <v>23</v>
      </c>
      <c r="F36" s="6"/>
      <c r="G36" s="229">
        <v>586</v>
      </c>
    </row>
    <row r="37" spans="1:17" x14ac:dyDescent="0.25">
      <c r="A37" s="507" t="s">
        <v>224</v>
      </c>
      <c r="B37" s="507"/>
      <c r="C37" s="227">
        <f>[3]Analysis!JU47</f>
        <v>53.333333333333336</v>
      </c>
      <c r="D37" s="60"/>
      <c r="E37" s="63"/>
      <c r="F37" s="6"/>
      <c r="G37" s="229">
        <f>[3]Analysis!JU50</f>
        <v>2646.1538461538462</v>
      </c>
    </row>
    <row r="38" spans="1:17" x14ac:dyDescent="0.25">
      <c r="A38" s="48"/>
      <c r="B38" s="61"/>
      <c r="D38" s="48"/>
      <c r="E38" s="9"/>
      <c r="F38" s="9"/>
    </row>
    <row r="39" spans="1:17" x14ac:dyDescent="0.25">
      <c r="A39" s="230" t="s">
        <v>73</v>
      </c>
      <c r="B39" s="230"/>
      <c r="C39" s="231"/>
      <c r="D39" s="231" t="s">
        <v>74</v>
      </c>
      <c r="E39" s="231"/>
      <c r="F39" s="231"/>
      <c r="G39" s="231" t="s">
        <v>75</v>
      </c>
    </row>
    <row r="40" spans="1:17" x14ac:dyDescent="0.25">
      <c r="A40" s="60" t="s">
        <v>117</v>
      </c>
      <c r="B40" s="60"/>
      <c r="C40" s="6"/>
      <c r="D40" s="92">
        <v>922</v>
      </c>
      <c r="E40" s="6"/>
      <c r="F40" s="6"/>
      <c r="G40" s="232">
        <f>D40*2.471</f>
        <v>2278.2620000000002</v>
      </c>
    </row>
    <row r="41" spans="1:17" x14ac:dyDescent="0.25">
      <c r="A41" s="60" t="s">
        <v>118</v>
      </c>
      <c r="B41" s="60"/>
      <c r="C41" s="6"/>
      <c r="D41" s="92">
        <v>317</v>
      </c>
      <c r="E41" s="6"/>
      <c r="F41" s="6"/>
      <c r="G41" s="233"/>
      <c r="Q41" s="218">
        <v>1121</v>
      </c>
    </row>
    <row r="42" spans="1:17" x14ac:dyDescent="0.25">
      <c r="A42" s="60" t="s">
        <v>119</v>
      </c>
      <c r="B42" s="60"/>
      <c r="C42" s="6"/>
      <c r="D42" s="63">
        <f>D40*D41</f>
        <v>292274</v>
      </c>
      <c r="E42" s="6"/>
      <c r="F42" s="6"/>
      <c r="G42" s="233">
        <f>D42*2.471</f>
        <v>722209.054</v>
      </c>
      <c r="Q42" s="218">
        <v>141</v>
      </c>
    </row>
    <row r="43" spans="1:17" x14ac:dyDescent="0.25">
      <c r="A43" s="60" t="s">
        <v>120</v>
      </c>
      <c r="B43" s="60"/>
      <c r="C43" s="6"/>
      <c r="D43" s="234">
        <f>D42-K23</f>
        <v>144775.55703682906</v>
      </c>
      <c r="E43" s="6"/>
      <c r="F43" s="6"/>
      <c r="G43" s="233">
        <f>D43*2.471</f>
        <v>357740.40143800463</v>
      </c>
    </row>
    <row r="44" spans="1:17" x14ac:dyDescent="0.25">
      <c r="A44" s="60" t="s">
        <v>121</v>
      </c>
      <c r="B44" s="60"/>
      <c r="C44" s="6"/>
      <c r="D44" s="234">
        <f>D42-K24</f>
        <v>196982.86905134542</v>
      </c>
      <c r="E44" s="6"/>
      <c r="F44" s="6"/>
      <c r="G44" s="233">
        <f>D44*2.471</f>
        <v>486744.66942587454</v>
      </c>
    </row>
    <row r="45" spans="1:17" x14ac:dyDescent="0.25">
      <c r="A45" s="60" t="s">
        <v>156</v>
      </c>
      <c r="B45" s="60"/>
      <c r="C45" s="6"/>
      <c r="D45" s="64">
        <f>K23/D40</f>
        <v>159.97661926591206</v>
      </c>
      <c r="E45" s="6"/>
      <c r="F45" s="6"/>
      <c r="G45" s="95"/>
      <c r="Q45" s="1"/>
    </row>
    <row r="46" spans="1:17" x14ac:dyDescent="0.25">
      <c r="A46" s="48" t="s">
        <v>157</v>
      </c>
      <c r="B46" s="48"/>
      <c r="C46" s="9"/>
      <c r="D46" s="73">
        <f>K24/D40</f>
        <v>103.35263660374683</v>
      </c>
      <c r="E46" s="9"/>
      <c r="F46" s="9"/>
      <c r="G46" s="96"/>
      <c r="Q46" s="1"/>
    </row>
    <row r="57" spans="7:17" x14ac:dyDescent="0.25">
      <c r="G57" s="1" t="s">
        <v>83</v>
      </c>
      <c r="Q57" s="1"/>
    </row>
  </sheetData>
  <mergeCells count="1">
    <mergeCell ref="A37:B37"/>
  </mergeCells>
  <pageMargins left="0.7" right="0.7" top="0.75" bottom="0.75" header="0.3" footer="0.3"/>
  <pageSetup paperSize="9"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orkbookViewId="0">
      <selection activeCell="O10" sqref="O10"/>
    </sheetView>
  </sheetViews>
  <sheetFormatPr defaultColWidth="9.140625" defaultRowHeight="15" x14ac:dyDescent="0.25"/>
  <cols>
    <col min="1" max="2" width="9.140625" style="1"/>
    <col min="3" max="3" width="12" style="1" customWidth="1"/>
    <col min="4" max="4" width="10.85546875" style="1" customWidth="1"/>
    <col min="5" max="5" width="7.5703125" style="1" customWidth="1"/>
    <col min="6" max="6" width="6.85546875" style="1" customWidth="1"/>
    <col min="7" max="7" width="11.7109375" style="1" customWidth="1"/>
    <col min="8" max="8" width="10.140625" style="1" customWidth="1"/>
    <col min="9" max="9" width="10.5703125" style="1" customWidth="1"/>
    <col min="10" max="10" width="10.42578125" style="1" customWidth="1"/>
    <col min="11" max="11" width="10.85546875" style="1" customWidth="1"/>
    <col min="12" max="12" width="11.5703125" style="1" customWidth="1"/>
    <col min="13" max="13" width="7.7109375" style="1" customWidth="1"/>
    <col min="14" max="14" width="5.85546875" style="76" customWidth="1"/>
    <col min="15" max="16384" width="9.140625" style="1"/>
  </cols>
  <sheetData>
    <row r="1" spans="1:15" x14ac:dyDescent="0.25">
      <c r="A1" s="1" t="s">
        <v>0</v>
      </c>
      <c r="B1" s="1" t="s">
        <v>297</v>
      </c>
      <c r="O1" s="1" t="s">
        <v>298</v>
      </c>
    </row>
    <row r="2" spans="1:15" x14ac:dyDescent="0.25">
      <c r="B2" s="1" t="s">
        <v>299</v>
      </c>
      <c r="C2" s="2"/>
      <c r="O2" s="1" t="s">
        <v>300</v>
      </c>
    </row>
    <row r="3" spans="1:15" x14ac:dyDescent="0.25">
      <c r="B3" s="1" t="s">
        <v>301</v>
      </c>
    </row>
    <row r="4" spans="1:15" x14ac:dyDescent="0.25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5" x14ac:dyDescent="0.25">
      <c r="D5" s="244" t="s">
        <v>14</v>
      </c>
      <c r="E5" s="244" t="s">
        <v>15</v>
      </c>
      <c r="F5" s="244" t="s">
        <v>15</v>
      </c>
      <c r="G5" s="244" t="s">
        <v>16</v>
      </c>
      <c r="H5" s="244" t="s">
        <v>17</v>
      </c>
      <c r="I5" s="244" t="s">
        <v>18</v>
      </c>
      <c r="J5" s="244" t="s">
        <v>17</v>
      </c>
      <c r="K5" s="244" t="s">
        <v>17</v>
      </c>
      <c r="L5" s="86" t="s">
        <v>10</v>
      </c>
      <c r="M5" s="244" t="s">
        <v>11</v>
      </c>
    </row>
    <row r="6" spans="1:15" x14ac:dyDescent="0.25">
      <c r="D6" s="244" t="s">
        <v>19</v>
      </c>
      <c r="E6" s="244"/>
      <c r="F6" s="244"/>
      <c r="G6" s="244"/>
      <c r="H6" s="244" t="s">
        <v>20</v>
      </c>
      <c r="I6" s="244" t="s">
        <v>17</v>
      </c>
      <c r="J6" s="244" t="s">
        <v>20</v>
      </c>
      <c r="K6" s="244" t="s">
        <v>20</v>
      </c>
      <c r="L6" s="244"/>
      <c r="M6" s="244"/>
    </row>
    <row r="7" spans="1:15" x14ac:dyDescent="0.25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5" x14ac:dyDescent="0.25">
      <c r="A8" s="1" t="s">
        <v>302</v>
      </c>
      <c r="D8" s="245">
        <v>100</v>
      </c>
      <c r="E8" s="38">
        <v>0.35499999999999998</v>
      </c>
      <c r="F8" s="38">
        <v>0.34399999999999997</v>
      </c>
      <c r="G8" s="38">
        <v>2500</v>
      </c>
      <c r="H8" s="16">
        <f>SUM(E8*G8)</f>
        <v>887.5</v>
      </c>
      <c r="I8" s="16">
        <v>10010</v>
      </c>
      <c r="J8" s="16"/>
      <c r="K8" s="16">
        <f>SUM(H8:J8)</f>
        <v>10897.5</v>
      </c>
    </row>
    <row r="9" spans="1:15" x14ac:dyDescent="0.25">
      <c r="A9" s="1" t="s">
        <v>267</v>
      </c>
      <c r="D9" s="245">
        <v>100</v>
      </c>
      <c r="E9" s="38">
        <v>0.34599999999999997</v>
      </c>
      <c r="F9" s="38">
        <v>0.29699999999999999</v>
      </c>
      <c r="G9" s="38">
        <v>2222</v>
      </c>
      <c r="H9" s="16">
        <f>SUM(E9*G9)</f>
        <v>768.8119999999999</v>
      </c>
      <c r="I9" s="15"/>
      <c r="J9" s="16">
        <f>E20*G20</f>
        <v>3492.7200000000003</v>
      </c>
      <c r="K9" s="16">
        <f>SUM(H9:J9)</f>
        <v>4261.5320000000002</v>
      </c>
    </row>
    <row r="10" spans="1:15" x14ac:dyDescent="0.25">
      <c r="A10" s="1" t="s">
        <v>303</v>
      </c>
      <c r="D10" s="245">
        <v>100</v>
      </c>
      <c r="E10" s="38">
        <v>3.395</v>
      </c>
      <c r="F10" s="38">
        <v>1.4550000000000001</v>
      </c>
      <c r="G10" s="38">
        <v>2004</v>
      </c>
      <c r="H10" s="16">
        <f>SUM(E10*G10)</f>
        <v>6803.58</v>
      </c>
      <c r="I10" s="15"/>
      <c r="J10" s="16"/>
      <c r="K10" s="16">
        <f>SUM(H10:J10)</f>
        <v>6803.58</v>
      </c>
    </row>
    <row r="11" spans="1:15" x14ac:dyDescent="0.25">
      <c r="A11" s="6" t="s">
        <v>304</v>
      </c>
      <c r="D11" s="245">
        <v>100</v>
      </c>
      <c r="E11" s="38">
        <v>2.4900000000000002</v>
      </c>
      <c r="F11" s="38">
        <v>1.67</v>
      </c>
      <c r="G11" s="38">
        <v>1866</v>
      </c>
      <c r="H11" s="16">
        <f>SUM(E11*G11)</f>
        <v>4646.34</v>
      </c>
      <c r="I11" s="15"/>
      <c r="J11" s="16"/>
      <c r="K11" s="16">
        <f>SUM(H11:J11)</f>
        <v>4646.34</v>
      </c>
    </row>
    <row r="12" spans="1:15" x14ac:dyDescent="0.25">
      <c r="A12" s="1" t="s">
        <v>43</v>
      </c>
      <c r="D12" s="245"/>
      <c r="E12" s="38"/>
      <c r="F12" s="38"/>
      <c r="G12" s="38"/>
      <c r="H12" s="16"/>
      <c r="I12" s="15"/>
      <c r="J12" s="16"/>
      <c r="K12" s="16">
        <v>3500</v>
      </c>
    </row>
    <row r="13" spans="1:15" x14ac:dyDescent="0.25">
      <c r="A13" s="191" t="s">
        <v>103</v>
      </c>
      <c r="B13" s="3"/>
      <c r="C13" s="3"/>
      <c r="D13" s="249"/>
      <c r="E13" s="45">
        <f>SUM(E8:E11)</f>
        <v>6.5860000000000003</v>
      </c>
      <c r="F13" s="45">
        <f>SUM(F8:F11)</f>
        <v>3.766</v>
      </c>
      <c r="G13" s="45"/>
      <c r="H13" s="45">
        <f>SUM(H8:H11)</f>
        <v>13106.232</v>
      </c>
      <c r="I13" s="45">
        <f>SUM(I8:I11)</f>
        <v>10010</v>
      </c>
      <c r="J13" s="45">
        <f>SUM(J8:J11)</f>
        <v>3492.7200000000003</v>
      </c>
      <c r="K13" s="45">
        <f>SUM(K8:K12)</f>
        <v>30108.952000000001</v>
      </c>
      <c r="L13" s="3">
        <f>SUM(L8:L11)</f>
        <v>0</v>
      </c>
      <c r="M13" s="3">
        <f>SUM(M8:M11)</f>
        <v>0</v>
      </c>
    </row>
    <row r="14" spans="1:15" x14ac:dyDescent="0.25">
      <c r="A14" s="213" t="s">
        <v>104</v>
      </c>
      <c r="B14" s="9"/>
      <c r="C14" s="9"/>
      <c r="D14" s="251"/>
      <c r="E14" s="50">
        <f>SUM(E13-F13)</f>
        <v>2.8200000000000003</v>
      </c>
      <c r="F14" s="50"/>
      <c r="G14" s="50"/>
      <c r="H14" s="50">
        <f>SUM(E23*G23)</f>
        <v>5611.839392651078</v>
      </c>
      <c r="I14" s="50">
        <f>I13-L13</f>
        <v>10010</v>
      </c>
      <c r="J14" s="50">
        <f>J13-M13</f>
        <v>3492.7200000000003</v>
      </c>
      <c r="K14" s="50">
        <f>SUM(H14:J14)</f>
        <v>19114.559392651077</v>
      </c>
      <c r="L14" s="9"/>
      <c r="M14" s="9"/>
    </row>
    <row r="15" spans="1:15" x14ac:dyDescent="0.25">
      <c r="C15" s="1" t="s">
        <v>46</v>
      </c>
    </row>
    <row r="17" spans="1:14" x14ac:dyDescent="0.25">
      <c r="A17" s="1" t="s">
        <v>47</v>
      </c>
    </row>
    <row r="18" spans="1:14" x14ac:dyDescent="0.25">
      <c r="A18" s="53" t="s">
        <v>48</v>
      </c>
      <c r="B18" s="53"/>
      <c r="C18" s="53"/>
      <c r="D18" s="53" t="s">
        <v>49</v>
      </c>
      <c r="E18" s="53" t="s">
        <v>50</v>
      </c>
      <c r="F18" s="53"/>
      <c r="G18" s="53" t="s">
        <v>51</v>
      </c>
      <c r="J18" s="57" t="s">
        <v>58</v>
      </c>
      <c r="K18" s="57">
        <v>2.77</v>
      </c>
      <c r="N18" s="77"/>
    </row>
    <row r="19" spans="1:14" x14ac:dyDescent="0.25">
      <c r="A19" s="1" t="s">
        <v>53</v>
      </c>
      <c r="J19" s="57" t="s">
        <v>61</v>
      </c>
      <c r="K19" s="57">
        <v>2</v>
      </c>
      <c r="N19" s="78"/>
    </row>
    <row r="20" spans="1:14" x14ac:dyDescent="0.25">
      <c r="A20" s="252" t="s">
        <v>305</v>
      </c>
      <c r="D20" s="1" t="s">
        <v>108</v>
      </c>
      <c r="E20" s="1">
        <v>6.48</v>
      </c>
      <c r="G20" s="38">
        <v>539</v>
      </c>
      <c r="J20" s="6"/>
      <c r="K20" s="56"/>
    </row>
    <row r="22" spans="1:14" x14ac:dyDescent="0.25">
      <c r="A22" s="1" t="s">
        <v>57</v>
      </c>
      <c r="J22" t="s">
        <v>306</v>
      </c>
      <c r="K22" s="283">
        <v>70</v>
      </c>
    </row>
    <row r="23" spans="1:14" x14ac:dyDescent="0.25">
      <c r="A23" s="1" t="s">
        <v>112</v>
      </c>
      <c r="D23" s="1" t="s">
        <v>60</v>
      </c>
      <c r="E23" s="38">
        <f>SUM(E13-F13)</f>
        <v>2.8200000000000003</v>
      </c>
      <c r="G23" s="38">
        <f>SUM(H13/E25)</f>
        <v>1990.0139690252049</v>
      </c>
      <c r="J23" t="s">
        <v>307</v>
      </c>
      <c r="K23" s="283">
        <v>30</v>
      </c>
    </row>
    <row r="24" spans="1:14" x14ac:dyDescent="0.25">
      <c r="A24" s="1" t="s">
        <v>113</v>
      </c>
      <c r="D24" s="1" t="s">
        <v>60</v>
      </c>
      <c r="E24" s="38">
        <f>SUM(F13)</f>
        <v>3.766</v>
      </c>
    </row>
    <row r="25" spans="1:14" x14ac:dyDescent="0.25">
      <c r="A25" s="1" t="s">
        <v>6</v>
      </c>
      <c r="E25" s="38">
        <f>SUM(E23:E24)</f>
        <v>6.5860000000000003</v>
      </c>
      <c r="K25" s="58"/>
    </row>
    <row r="26" spans="1:14" x14ac:dyDescent="0.25">
      <c r="A26" s="191" t="s">
        <v>73</v>
      </c>
      <c r="B26" s="191"/>
      <c r="C26" s="3"/>
      <c r="D26" s="3"/>
      <c r="E26" s="3"/>
      <c r="F26" s="3"/>
      <c r="G26" s="3"/>
    </row>
    <row r="27" spans="1:14" x14ac:dyDescent="0.25">
      <c r="A27" t="s">
        <v>117</v>
      </c>
      <c r="B27"/>
      <c r="D27" s="15">
        <v>157</v>
      </c>
      <c r="E27" s="15"/>
      <c r="F27" s="15"/>
      <c r="G27" s="284">
        <f>D27*2.471</f>
        <v>387.947</v>
      </c>
    </row>
    <row r="28" spans="1:14" x14ac:dyDescent="0.25">
      <c r="A28" t="s">
        <v>118</v>
      </c>
      <c r="B28"/>
      <c r="D28" s="15">
        <v>352.1</v>
      </c>
      <c r="E28" s="15"/>
      <c r="F28" s="15"/>
      <c r="G28" s="284"/>
    </row>
    <row r="29" spans="1:14" x14ac:dyDescent="0.25">
      <c r="A29" t="s">
        <v>119</v>
      </c>
      <c r="B29"/>
      <c r="D29" s="16">
        <f>D27*D28</f>
        <v>55279.700000000004</v>
      </c>
      <c r="E29" s="15"/>
      <c r="F29" s="15"/>
      <c r="G29" s="284">
        <f>D29*2.471</f>
        <v>136596.13870000001</v>
      </c>
    </row>
    <row r="30" spans="1:14" x14ac:dyDescent="0.25">
      <c r="A30" t="s">
        <v>120</v>
      </c>
      <c r="B30"/>
      <c r="D30" s="16">
        <f>D29-K13</f>
        <v>25170.748000000003</v>
      </c>
      <c r="E30" s="15"/>
      <c r="F30" s="15"/>
      <c r="G30" s="284">
        <f>D30*2.471</f>
        <v>62196.918308000008</v>
      </c>
    </row>
    <row r="31" spans="1:14" x14ac:dyDescent="0.25">
      <c r="A31" t="s">
        <v>121</v>
      </c>
      <c r="B31"/>
      <c r="D31" s="16">
        <f>D29-K14</f>
        <v>36165.140607348927</v>
      </c>
      <c r="E31" s="15"/>
      <c r="F31" s="15"/>
      <c r="G31" s="284">
        <f>D31*2.471</f>
        <v>89364.062440759197</v>
      </c>
    </row>
    <row r="32" spans="1:14" x14ac:dyDescent="0.25">
      <c r="A32"/>
      <c r="B32"/>
      <c r="D32" s="16"/>
      <c r="E32" s="15"/>
      <c r="F32" s="15"/>
      <c r="G32" s="284"/>
    </row>
    <row r="33" spans="1:7" s="1" customFormat="1" x14ac:dyDescent="0.25">
      <c r="A33" t="s">
        <v>122</v>
      </c>
      <c r="B33"/>
      <c r="D33" s="16">
        <f>K13/D27</f>
        <v>191.77676433121019</v>
      </c>
      <c r="E33" s="15"/>
      <c r="F33" s="15"/>
      <c r="G33" s="284"/>
    </row>
    <row r="34" spans="1:7" s="1" customFormat="1" x14ac:dyDescent="0.25">
      <c r="A34" s="213" t="s">
        <v>123</v>
      </c>
      <c r="B34" s="213"/>
      <c r="C34" s="9"/>
      <c r="D34" s="73">
        <f>K14/D27</f>
        <v>121.74878594045272</v>
      </c>
      <c r="E34" s="74"/>
      <c r="F34" s="74"/>
      <c r="G34" s="75"/>
    </row>
    <row r="36" spans="1:7" s="1" customFormat="1" x14ac:dyDescent="0.25">
      <c r="A36" t="s">
        <v>308</v>
      </c>
    </row>
    <row r="45" spans="1:7" s="1" customFormat="1" x14ac:dyDescent="0.25">
      <c r="G45" s="1" t="s">
        <v>83</v>
      </c>
    </row>
  </sheetData>
  <pageMargins left="0.7" right="0.7" top="0.75" bottom="0.75" header="0.3" footer="0.3"/>
  <pageSetup paperSize="9" scale="5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workbookViewId="0">
      <selection activeCell="J34" sqref="J34"/>
    </sheetView>
  </sheetViews>
  <sheetFormatPr defaultColWidth="9.140625" defaultRowHeight="15" x14ac:dyDescent="0.25"/>
  <cols>
    <col min="1" max="2" width="9.140625" style="1"/>
    <col min="3" max="3" width="17.85546875" style="1" customWidth="1"/>
    <col min="4" max="4" width="9.85546875" style="1" customWidth="1"/>
    <col min="5" max="5" width="7.7109375" style="1" customWidth="1"/>
    <col min="6" max="6" width="6" style="1" customWidth="1"/>
    <col min="7" max="7" width="11.140625" style="1" customWidth="1"/>
    <col min="8" max="8" width="8" style="1" customWidth="1"/>
    <col min="9" max="9" width="9.7109375" style="1" customWidth="1"/>
    <col min="10" max="10" width="10.28515625" style="1" customWidth="1"/>
    <col min="11" max="11" width="9.85546875" style="1" customWidth="1"/>
    <col min="12" max="12" width="10.7109375" style="1" customWidth="1"/>
    <col min="13" max="13" width="7" style="1" customWidth="1"/>
    <col min="14" max="14" width="9.140625" style="76"/>
    <col min="15" max="16384" width="9.140625" style="1"/>
  </cols>
  <sheetData>
    <row r="1" spans="1:16" x14ac:dyDescent="0.25">
      <c r="A1" s="1" t="s">
        <v>0</v>
      </c>
      <c r="B1" s="1" t="s">
        <v>1</v>
      </c>
      <c r="O1" s="1" t="s">
        <v>84</v>
      </c>
    </row>
    <row r="2" spans="1:16" x14ac:dyDescent="0.25">
      <c r="B2" s="1" t="s">
        <v>2</v>
      </c>
      <c r="C2" s="2"/>
      <c r="O2" s="1" t="s">
        <v>85</v>
      </c>
    </row>
    <row r="3" spans="1:16" x14ac:dyDescent="0.25">
      <c r="B3" s="1" t="s">
        <v>3</v>
      </c>
    </row>
    <row r="4" spans="1:16" x14ac:dyDescent="0.25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6" x14ac:dyDescent="0.25">
      <c r="A5" s="6"/>
      <c r="B5" s="6"/>
      <c r="C5" s="6"/>
      <c r="D5" s="7" t="s">
        <v>14</v>
      </c>
      <c r="E5" s="7" t="s">
        <v>15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17</v>
      </c>
      <c r="K5" s="7" t="s">
        <v>17</v>
      </c>
      <c r="L5" s="8" t="s">
        <v>10</v>
      </c>
      <c r="M5" s="7" t="s">
        <v>11</v>
      </c>
    </row>
    <row r="6" spans="1:16" x14ac:dyDescent="0.25">
      <c r="A6" s="6"/>
      <c r="B6" s="6"/>
      <c r="C6" s="6"/>
      <c r="D6" s="7" t="s">
        <v>19</v>
      </c>
      <c r="E6" s="7"/>
      <c r="F6" s="7"/>
      <c r="G6" s="7"/>
      <c r="H6" s="7" t="s">
        <v>20</v>
      </c>
      <c r="I6" s="7" t="s">
        <v>17</v>
      </c>
      <c r="J6" s="7" t="s">
        <v>20</v>
      </c>
      <c r="K6" s="7" t="s">
        <v>20</v>
      </c>
      <c r="L6" s="7"/>
      <c r="M6" s="7"/>
    </row>
    <row r="7" spans="1:16" x14ac:dyDescent="0.25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6" x14ac:dyDescent="0.25">
      <c r="A8" s="1" t="s">
        <v>21</v>
      </c>
      <c r="D8" s="11">
        <v>47</v>
      </c>
      <c r="E8" s="12">
        <v>3.72</v>
      </c>
      <c r="F8" s="12">
        <v>1.65</v>
      </c>
      <c r="G8" s="13">
        <v>2157</v>
      </c>
      <c r="H8" s="14">
        <f>+E8*G8</f>
        <v>8024.0400000000009</v>
      </c>
      <c r="I8" s="15"/>
      <c r="J8" s="16"/>
      <c r="K8" s="17">
        <f>SUM(H8:J8)</f>
        <v>8024.0400000000009</v>
      </c>
    </row>
    <row r="9" spans="1:16" x14ac:dyDescent="0.25">
      <c r="A9" s="1" t="s">
        <v>22</v>
      </c>
      <c r="D9" s="11">
        <v>80</v>
      </c>
      <c r="E9" s="12">
        <v>0.48</v>
      </c>
      <c r="F9" s="12">
        <v>0.42</v>
      </c>
      <c r="G9" s="13">
        <v>2000</v>
      </c>
      <c r="H9" s="14">
        <f>+E9*G9</f>
        <v>960</v>
      </c>
      <c r="I9" s="15">
        <v>24698</v>
      </c>
      <c r="J9" s="16"/>
      <c r="K9" s="17">
        <f>SUM(H9:J9)</f>
        <v>25658</v>
      </c>
    </row>
    <row r="10" spans="1:16" x14ac:dyDescent="0.25">
      <c r="A10" s="1" t="s">
        <v>23</v>
      </c>
      <c r="D10" s="18" t="s">
        <v>24</v>
      </c>
      <c r="E10" s="19"/>
      <c r="F10" s="19"/>
      <c r="G10" s="20"/>
      <c r="H10" s="21" t="s">
        <v>25</v>
      </c>
      <c r="I10" s="22" t="s">
        <v>26</v>
      </c>
      <c r="J10" s="16"/>
      <c r="K10" s="17"/>
      <c r="P10" s="23"/>
    </row>
    <row r="11" spans="1:16" x14ac:dyDescent="0.25">
      <c r="A11" s="1" t="s">
        <v>27</v>
      </c>
      <c r="D11" s="24" t="s">
        <v>28</v>
      </c>
      <c r="E11" s="19"/>
      <c r="F11" s="19"/>
      <c r="G11" s="20"/>
      <c r="H11" s="25" t="s">
        <v>29</v>
      </c>
      <c r="I11" s="22" t="s">
        <v>30</v>
      </c>
      <c r="J11" s="16"/>
      <c r="K11" s="17"/>
    </row>
    <row r="12" spans="1:16" x14ac:dyDescent="0.25">
      <c r="A12" s="26" t="s">
        <v>31</v>
      </c>
      <c r="D12" s="24">
        <v>100</v>
      </c>
      <c r="E12" s="27" t="s">
        <v>32</v>
      </c>
      <c r="F12" s="27" t="s">
        <v>33</v>
      </c>
      <c r="G12" s="28">
        <v>1960</v>
      </c>
      <c r="H12" s="14">
        <f>+E12*G12</f>
        <v>3214.3999999999996</v>
      </c>
      <c r="I12" s="29"/>
      <c r="J12" s="16"/>
      <c r="K12" s="17">
        <f>SUM(H12:J12)</f>
        <v>3214.3999999999996</v>
      </c>
    </row>
    <row r="13" spans="1:16" x14ac:dyDescent="0.25">
      <c r="A13" s="1" t="s">
        <v>34</v>
      </c>
      <c r="D13" s="11">
        <v>100</v>
      </c>
      <c r="E13" s="12">
        <v>5.49</v>
      </c>
      <c r="F13" s="12">
        <v>1.0900000000000001</v>
      </c>
      <c r="G13" s="13">
        <v>2042</v>
      </c>
      <c r="H13" s="14">
        <f>+E13*G13</f>
        <v>11210.58</v>
      </c>
      <c r="I13" s="15"/>
      <c r="J13" s="16"/>
      <c r="K13" s="17">
        <f>SUM(H13:J13)</f>
        <v>11210.58</v>
      </c>
    </row>
    <row r="14" spans="1:16" x14ac:dyDescent="0.25">
      <c r="A14" s="30" t="s">
        <v>35</v>
      </c>
      <c r="D14" s="24" t="s">
        <v>36</v>
      </c>
      <c r="E14" s="510">
        <v>3.78</v>
      </c>
      <c r="F14" s="510">
        <v>0.83</v>
      </c>
      <c r="G14" s="511">
        <v>1917</v>
      </c>
      <c r="H14" s="512">
        <v>8024.04</v>
      </c>
      <c r="I14" s="15"/>
      <c r="J14" s="31" t="s">
        <v>37</v>
      </c>
      <c r="K14" s="508">
        <f>+H14+J15</f>
        <v>52128.04</v>
      </c>
    </row>
    <row r="15" spans="1:16" x14ac:dyDescent="0.25">
      <c r="A15" s="30" t="s">
        <v>38</v>
      </c>
      <c r="D15" s="11">
        <v>80</v>
      </c>
      <c r="E15" s="510"/>
      <c r="F15" s="510"/>
      <c r="G15" s="511"/>
      <c r="H15" s="512"/>
      <c r="I15" s="15"/>
      <c r="J15" s="32">
        <f>+E33*G33</f>
        <v>44104</v>
      </c>
      <c r="K15" s="508"/>
    </row>
    <row r="16" spans="1:16" x14ac:dyDescent="0.25">
      <c r="A16" s="1" t="s">
        <v>39</v>
      </c>
      <c r="D16" s="11">
        <v>87</v>
      </c>
      <c r="E16" s="12">
        <v>9.34</v>
      </c>
      <c r="F16" s="12">
        <v>1.87</v>
      </c>
      <c r="G16" s="13">
        <v>2044</v>
      </c>
      <c r="H16" s="14">
        <f>+E16*G16</f>
        <v>19090.96</v>
      </c>
      <c r="I16" s="15"/>
      <c r="J16" s="16"/>
      <c r="K16" s="17">
        <f>SUM(H16:J16)</f>
        <v>19090.96</v>
      </c>
    </row>
    <row r="17" spans="1:14" x14ac:dyDescent="0.25">
      <c r="A17" s="33" t="s">
        <v>40</v>
      </c>
      <c r="D17" s="24" t="s">
        <v>24</v>
      </c>
      <c r="E17" s="34"/>
      <c r="F17" s="34"/>
      <c r="G17" s="35"/>
      <c r="H17" s="14">
        <v>2979</v>
      </c>
      <c r="I17" s="15"/>
      <c r="J17" s="36" t="s">
        <v>41</v>
      </c>
      <c r="K17" s="17"/>
    </row>
    <row r="18" spans="1:14" x14ac:dyDescent="0.25">
      <c r="A18" s="1" t="s">
        <v>42</v>
      </c>
      <c r="D18" s="37">
        <v>100</v>
      </c>
      <c r="E18" s="38"/>
      <c r="F18" s="38"/>
      <c r="G18" s="39"/>
      <c r="H18" s="14"/>
      <c r="I18" s="15"/>
      <c r="J18" s="16"/>
      <c r="K18" s="17"/>
    </row>
    <row r="19" spans="1:14" x14ac:dyDescent="0.25">
      <c r="A19" s="15" t="s">
        <v>43</v>
      </c>
      <c r="B19" s="15"/>
      <c r="C19" s="15"/>
      <c r="D19" s="40"/>
      <c r="E19" s="16"/>
      <c r="F19" s="16"/>
      <c r="G19" s="41"/>
      <c r="H19" s="14"/>
      <c r="I19" s="15"/>
      <c r="J19" s="16"/>
      <c r="K19" s="42">
        <v>8500</v>
      </c>
    </row>
    <row r="20" spans="1:14" x14ac:dyDescent="0.25">
      <c r="A20" s="43" t="s">
        <v>44</v>
      </c>
      <c r="B20" s="3"/>
      <c r="C20" s="3"/>
      <c r="D20" s="44"/>
      <c r="E20" s="45">
        <f>SUM(E8:E18)</f>
        <v>22.810000000000002</v>
      </c>
      <c r="F20" s="45">
        <f>SUM(F8:F18)</f>
        <v>5.86</v>
      </c>
      <c r="G20" s="45"/>
      <c r="H20" s="46">
        <f>SUM(H8:H18)</f>
        <v>53503.020000000004</v>
      </c>
      <c r="I20" s="3">
        <f>SUM(I8:I18)</f>
        <v>24698</v>
      </c>
      <c r="J20" s="45">
        <f>SUM(J8:J18)</f>
        <v>44104</v>
      </c>
      <c r="K20" s="47">
        <f>SUM(K8:K19)</f>
        <v>127826.01999999999</v>
      </c>
      <c r="L20" s="3">
        <f>SUM(L8:L18)</f>
        <v>0</v>
      </c>
      <c r="M20" s="3">
        <f>SUM(M8:M18)</f>
        <v>0</v>
      </c>
    </row>
    <row r="21" spans="1:14" x14ac:dyDescent="0.25">
      <c r="A21" s="48" t="s">
        <v>45</v>
      </c>
      <c r="B21" s="9"/>
      <c r="C21" s="9"/>
      <c r="D21" s="49"/>
      <c r="E21" s="50">
        <f>SUM(E20-F20)</f>
        <v>16.950000000000003</v>
      </c>
      <c r="F21" s="50"/>
      <c r="G21" s="50"/>
      <c r="H21" s="51">
        <f>+E28*G28</f>
        <v>39542</v>
      </c>
      <c r="I21" s="9">
        <f>I20-L20</f>
        <v>24698</v>
      </c>
      <c r="J21" s="50">
        <f>J20-M20</f>
        <v>44104</v>
      </c>
      <c r="K21" s="52">
        <f>SUM(H21:J21)</f>
        <v>108344</v>
      </c>
      <c r="L21" s="9"/>
      <c r="M21" s="9"/>
    </row>
    <row r="22" spans="1:14" x14ac:dyDescent="0.25">
      <c r="C22" s="1" t="s">
        <v>46</v>
      </c>
    </row>
    <row r="23" spans="1:14" x14ac:dyDescent="0.25">
      <c r="A23" s="1" t="s">
        <v>47</v>
      </c>
    </row>
    <row r="24" spans="1:14" x14ac:dyDescent="0.25">
      <c r="A24" s="53" t="s">
        <v>48</v>
      </c>
      <c r="B24" s="53"/>
      <c r="C24" s="53"/>
      <c r="D24" s="53" t="s">
        <v>49</v>
      </c>
      <c r="E24" s="53" t="s">
        <v>50</v>
      </c>
      <c r="F24" s="53"/>
      <c r="G24" s="53" t="s">
        <v>51</v>
      </c>
      <c r="H24" s="53" t="s">
        <v>52</v>
      </c>
      <c r="I24" s="54"/>
      <c r="K24" s="54"/>
      <c r="N24" s="77"/>
    </row>
    <row r="25" spans="1:14" x14ac:dyDescent="0.25">
      <c r="A25" s="1" t="s">
        <v>53</v>
      </c>
      <c r="D25" s="15"/>
      <c r="E25" s="15"/>
      <c r="F25" s="15"/>
      <c r="G25" s="15"/>
      <c r="H25" s="6" t="s">
        <v>54</v>
      </c>
      <c r="I25" s="56"/>
      <c r="N25" s="78"/>
    </row>
    <row r="26" spans="1:14" x14ac:dyDescent="0.25">
      <c r="A26" s="1" t="s">
        <v>55</v>
      </c>
      <c r="D26" s="15" t="s">
        <v>56</v>
      </c>
      <c r="E26" s="14">
        <v>3970</v>
      </c>
      <c r="F26" s="15"/>
      <c r="G26" s="16">
        <v>0</v>
      </c>
    </row>
    <row r="27" spans="1:14" x14ac:dyDescent="0.25">
      <c r="A27" s="1" t="s">
        <v>57</v>
      </c>
      <c r="D27" s="15"/>
      <c r="E27" s="15"/>
      <c r="F27" s="15"/>
      <c r="G27" s="15"/>
      <c r="J27" s="57" t="s">
        <v>58</v>
      </c>
      <c r="K27" s="57">
        <v>1.49</v>
      </c>
    </row>
    <row r="28" spans="1:14" x14ac:dyDescent="0.25">
      <c r="A28" s="1" t="s">
        <v>59</v>
      </c>
      <c r="D28" s="15" t="s">
        <v>60</v>
      </c>
      <c r="E28" s="15">
        <v>17</v>
      </c>
      <c r="F28" s="15"/>
      <c r="G28" s="16">
        <v>2326</v>
      </c>
      <c r="J28" s="57" t="s">
        <v>61</v>
      </c>
      <c r="K28" s="57">
        <v>1</v>
      </c>
    </row>
    <row r="29" spans="1:14" x14ac:dyDescent="0.25">
      <c r="A29" s="1" t="s">
        <v>62</v>
      </c>
      <c r="D29" s="15" t="s">
        <v>60</v>
      </c>
      <c r="E29" s="15">
        <v>6</v>
      </c>
      <c r="F29" s="15"/>
      <c r="G29" s="15"/>
    </row>
    <row r="30" spans="1:14" x14ac:dyDescent="0.25">
      <c r="A30" s="1" t="s">
        <v>6</v>
      </c>
      <c r="D30" s="15" t="s">
        <v>60</v>
      </c>
      <c r="E30" s="15">
        <v>23</v>
      </c>
      <c r="F30" s="15"/>
      <c r="G30" s="15"/>
      <c r="K30" s="58"/>
    </row>
    <row r="31" spans="1:14" x14ac:dyDescent="0.25">
      <c r="A31" s="3" t="s">
        <v>63</v>
      </c>
      <c r="B31" s="3"/>
      <c r="C31" s="3" t="s">
        <v>64</v>
      </c>
      <c r="D31" s="59"/>
      <c r="E31" s="59"/>
      <c r="F31" s="59"/>
      <c r="G31" s="59"/>
    </row>
    <row r="32" spans="1:14" x14ac:dyDescent="0.25">
      <c r="A32" s="1" t="s">
        <v>66</v>
      </c>
      <c r="B32" s="60" t="s">
        <v>67</v>
      </c>
      <c r="C32" s="65" t="s">
        <v>36</v>
      </c>
      <c r="D32" s="33" t="s">
        <v>68</v>
      </c>
      <c r="E32" s="66" t="s">
        <v>69</v>
      </c>
      <c r="F32" s="67"/>
      <c r="G32" s="66" t="s">
        <v>70</v>
      </c>
      <c r="K32" s="68"/>
    </row>
    <row r="33" spans="1:8" x14ac:dyDescent="0.25">
      <c r="A33" s="30" t="s">
        <v>71</v>
      </c>
      <c r="B33" t="s">
        <v>72</v>
      </c>
      <c r="C33" s="62">
        <v>80</v>
      </c>
      <c r="D33" s="33" t="s">
        <v>68</v>
      </c>
      <c r="E33" s="67">
        <v>298</v>
      </c>
      <c r="F33" s="67"/>
      <c r="G33" s="67">
        <v>148</v>
      </c>
    </row>
    <row r="34" spans="1:8" x14ac:dyDescent="0.25">
      <c r="A34" s="43" t="s">
        <v>73</v>
      </c>
      <c r="B34" s="43"/>
      <c r="C34" s="3"/>
      <c r="D34" s="69" t="s">
        <v>74</v>
      </c>
      <c r="E34" s="69"/>
      <c r="F34" s="69"/>
      <c r="G34" s="69" t="s">
        <v>75</v>
      </c>
    </row>
    <row r="35" spans="1:8" x14ac:dyDescent="0.25">
      <c r="A35" s="60" t="s">
        <v>76</v>
      </c>
      <c r="B35" s="60"/>
      <c r="C35" s="6"/>
      <c r="D35" s="63">
        <v>5730</v>
      </c>
      <c r="E35" s="63"/>
      <c r="F35" s="63"/>
      <c r="G35" s="70">
        <f>D35*2.471</f>
        <v>14158.83</v>
      </c>
    </row>
    <row r="36" spans="1:8" x14ac:dyDescent="0.25">
      <c r="A36" s="60" t="s">
        <v>77</v>
      </c>
      <c r="B36" s="60"/>
      <c r="C36" s="6"/>
      <c r="D36" s="63">
        <v>116</v>
      </c>
      <c r="E36" s="63"/>
      <c r="F36" s="63"/>
      <c r="G36" s="71"/>
    </row>
    <row r="37" spans="1:8" x14ac:dyDescent="0.25">
      <c r="A37" s="60" t="s">
        <v>78</v>
      </c>
      <c r="B37" s="60"/>
      <c r="C37" s="6"/>
      <c r="D37" s="64">
        <f>D35*D36</f>
        <v>664680</v>
      </c>
      <c r="E37" s="63"/>
      <c r="F37" s="63"/>
      <c r="G37" s="71">
        <f>D37*2.471</f>
        <v>1642424.28</v>
      </c>
    </row>
    <row r="38" spans="1:8" x14ac:dyDescent="0.25">
      <c r="A38" s="60" t="s">
        <v>79</v>
      </c>
      <c r="B38" s="60"/>
      <c r="C38" s="6"/>
      <c r="D38" s="64">
        <f>D37-K20</f>
        <v>536853.98</v>
      </c>
      <c r="E38" s="63"/>
      <c r="F38" s="63"/>
      <c r="G38" s="71">
        <f>D38*2.471</f>
        <v>1326566.1845799999</v>
      </c>
    </row>
    <row r="39" spans="1:8" x14ac:dyDescent="0.25">
      <c r="A39" s="60" t="s">
        <v>80</v>
      </c>
      <c r="B39" s="60"/>
      <c r="C39" s="6"/>
      <c r="D39" s="64">
        <f>D37-K21</f>
        <v>556336</v>
      </c>
      <c r="E39" s="63"/>
      <c r="F39" s="63"/>
      <c r="G39" s="71">
        <f>D39*2.471</f>
        <v>1374706.2560000001</v>
      </c>
    </row>
    <row r="40" spans="1:8" x14ac:dyDescent="0.25">
      <c r="A40" s="60" t="s">
        <v>81</v>
      </c>
      <c r="B40" s="60"/>
      <c r="C40" s="6"/>
      <c r="D40" s="64">
        <f>K20/D35</f>
        <v>22.308205933682373</v>
      </c>
      <c r="E40" s="63"/>
      <c r="F40" s="63"/>
      <c r="G40" s="72"/>
    </row>
    <row r="41" spans="1:8" x14ac:dyDescent="0.25">
      <c r="A41" s="48" t="s">
        <v>82</v>
      </c>
      <c r="B41" s="48"/>
      <c r="C41" s="9"/>
      <c r="D41" s="73">
        <f>K21/D35</f>
        <v>18.908202443280977</v>
      </c>
      <c r="E41" s="74"/>
      <c r="F41" s="74"/>
      <c r="G41" s="75"/>
    </row>
    <row r="43" spans="1:8" x14ac:dyDescent="0.25">
      <c r="A43" s="509"/>
      <c r="B43" s="509"/>
      <c r="C43" s="509"/>
      <c r="D43" s="509"/>
      <c r="E43" s="509"/>
      <c r="F43" s="509"/>
      <c r="G43" s="509"/>
      <c r="H43" s="509"/>
    </row>
    <row r="44" spans="1:8" x14ac:dyDescent="0.25">
      <c r="A44" s="509"/>
      <c r="B44" s="509"/>
      <c r="C44" s="509"/>
      <c r="D44" s="509"/>
      <c r="E44" s="509"/>
      <c r="F44" s="509"/>
      <c r="G44" s="509"/>
      <c r="H44" s="509"/>
    </row>
    <row r="45" spans="1:8" x14ac:dyDescent="0.25">
      <c r="A45" s="509"/>
      <c r="B45" s="509"/>
      <c r="C45" s="509"/>
      <c r="D45" s="509"/>
      <c r="E45" s="509"/>
      <c r="F45" s="509"/>
      <c r="G45" s="509"/>
      <c r="H45" s="509"/>
    </row>
    <row r="46" spans="1:8" x14ac:dyDescent="0.25">
      <c r="A46" s="509"/>
      <c r="B46" s="509"/>
      <c r="C46" s="509"/>
      <c r="D46" s="509"/>
      <c r="E46" s="509"/>
      <c r="F46" s="509"/>
      <c r="G46" s="509"/>
      <c r="H46" s="509"/>
    </row>
    <row r="47" spans="1:8" x14ac:dyDescent="0.25">
      <c r="A47" s="509"/>
      <c r="B47" s="509"/>
      <c r="C47" s="509"/>
      <c r="D47" s="509"/>
      <c r="E47" s="509"/>
      <c r="F47" s="509"/>
      <c r="G47" s="509"/>
      <c r="H47" s="509"/>
    </row>
    <row r="52" spans="7:7" x14ac:dyDescent="0.25">
      <c r="G52" s="1" t="s">
        <v>83</v>
      </c>
    </row>
  </sheetData>
  <mergeCells count="6">
    <mergeCell ref="K14:K15"/>
    <mergeCell ref="A43:H47"/>
    <mergeCell ref="E14:E15"/>
    <mergeCell ref="F14:F15"/>
    <mergeCell ref="G14:G15"/>
    <mergeCell ref="H14:H15"/>
  </mergeCells>
  <pageMargins left="0.7" right="0.7" top="0.75" bottom="0.75" header="0.3" footer="0.3"/>
  <pageSetup paperSize="9" scale="5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selection sqref="A1:M46"/>
    </sheetView>
  </sheetViews>
  <sheetFormatPr defaultColWidth="9.140625" defaultRowHeight="12.75" x14ac:dyDescent="0.2"/>
  <cols>
    <col min="1" max="1" width="5.5703125" style="98" customWidth="1"/>
    <col min="2" max="2" width="12.7109375" style="98" customWidth="1"/>
    <col min="3" max="3" width="11" style="98" customWidth="1"/>
    <col min="4" max="4" width="10.85546875" style="98" customWidth="1"/>
    <col min="5" max="5" width="7.5703125" style="98" customWidth="1"/>
    <col min="6" max="6" width="6.85546875" style="98" customWidth="1"/>
    <col min="7" max="7" width="11.7109375" style="98" customWidth="1"/>
    <col min="8" max="8" width="10" style="98" customWidth="1"/>
    <col min="9" max="9" width="8.5703125" style="98" customWidth="1"/>
    <col min="10" max="10" width="8.85546875" style="98" customWidth="1"/>
    <col min="11" max="11" width="9.28515625" style="98" customWidth="1"/>
    <col min="12" max="12" width="8.28515625" style="98" customWidth="1"/>
    <col min="13" max="14" width="9.140625" style="98"/>
    <col min="15" max="15" width="9.5703125" style="98" bestFit="1" customWidth="1"/>
    <col min="16" max="16" width="9.140625" style="98"/>
    <col min="17" max="17" width="10" style="98" bestFit="1" customWidth="1"/>
    <col min="18" max="16384" width="9.140625" style="98"/>
  </cols>
  <sheetData>
    <row r="1" spans="1:15" x14ac:dyDescent="0.2">
      <c r="A1" s="98" t="s">
        <v>0</v>
      </c>
      <c r="B1" s="98" t="s">
        <v>126</v>
      </c>
    </row>
    <row r="2" spans="1:15" x14ac:dyDescent="0.2">
      <c r="B2" s="98" t="s">
        <v>127</v>
      </c>
      <c r="C2" s="99"/>
    </row>
    <row r="3" spans="1:15" x14ac:dyDescent="0.2">
      <c r="B3" s="98" t="s">
        <v>128</v>
      </c>
    </row>
    <row r="4" spans="1:15" x14ac:dyDescent="0.2">
      <c r="A4" s="100" t="s">
        <v>4</v>
      </c>
      <c r="B4" s="100"/>
      <c r="C4" s="100"/>
      <c r="D4" s="101" t="s">
        <v>5</v>
      </c>
      <c r="E4" s="101" t="s">
        <v>6</v>
      </c>
      <c r="F4" s="101" t="s">
        <v>7</v>
      </c>
      <c r="G4" s="101" t="s">
        <v>8</v>
      </c>
      <c r="H4" s="101" t="s">
        <v>9</v>
      </c>
      <c r="I4" s="101" t="s">
        <v>10</v>
      </c>
      <c r="J4" s="101" t="s">
        <v>11</v>
      </c>
      <c r="K4" s="101" t="s">
        <v>12</v>
      </c>
      <c r="L4" s="102" t="s">
        <v>13</v>
      </c>
      <c r="M4" s="101"/>
    </row>
    <row r="5" spans="1:15" x14ac:dyDescent="0.2">
      <c r="A5" s="103"/>
      <c r="B5" s="103"/>
      <c r="C5" s="103"/>
      <c r="D5" s="104" t="s">
        <v>14</v>
      </c>
      <c r="E5" s="104" t="s">
        <v>15</v>
      </c>
      <c r="F5" s="104" t="s">
        <v>15</v>
      </c>
      <c r="G5" s="104" t="s">
        <v>16</v>
      </c>
      <c r="H5" s="104" t="s">
        <v>17</v>
      </c>
      <c r="I5" s="104" t="s">
        <v>18</v>
      </c>
      <c r="J5" s="104" t="s">
        <v>17</v>
      </c>
      <c r="K5" s="104" t="s">
        <v>17</v>
      </c>
      <c r="L5" s="105" t="s">
        <v>10</v>
      </c>
      <c r="M5" s="104" t="s">
        <v>11</v>
      </c>
    </row>
    <row r="6" spans="1:15" x14ac:dyDescent="0.2">
      <c r="A6" s="103"/>
      <c r="B6" s="103"/>
      <c r="C6" s="103"/>
      <c r="D6" s="104" t="s">
        <v>19</v>
      </c>
      <c r="E6" s="104"/>
      <c r="F6" s="104"/>
      <c r="G6" s="104"/>
      <c r="H6" s="104" t="s">
        <v>20</v>
      </c>
      <c r="I6" s="104" t="s">
        <v>17</v>
      </c>
      <c r="J6" s="104" t="s">
        <v>20</v>
      </c>
      <c r="K6" s="104" t="s">
        <v>20</v>
      </c>
      <c r="L6" s="104"/>
      <c r="M6" s="104"/>
    </row>
    <row r="7" spans="1:15" x14ac:dyDescent="0.2">
      <c r="A7" s="106"/>
      <c r="B7" s="106"/>
      <c r="C7" s="106"/>
      <c r="D7" s="107"/>
      <c r="E7" s="107"/>
      <c r="F7" s="107"/>
      <c r="G7" s="107"/>
      <c r="H7" s="107"/>
      <c r="I7" s="107" t="s">
        <v>20</v>
      </c>
      <c r="J7" s="107"/>
      <c r="K7" s="107"/>
      <c r="L7" s="107"/>
      <c r="M7" s="107"/>
    </row>
    <row r="8" spans="1:15" x14ac:dyDescent="0.2">
      <c r="A8" s="98" t="s">
        <v>129</v>
      </c>
      <c r="D8" s="108">
        <v>100</v>
      </c>
      <c r="E8" s="109">
        <v>10.9</v>
      </c>
      <c r="F8" s="109">
        <v>1.37</v>
      </c>
      <c r="G8" s="110">
        <v>2125</v>
      </c>
      <c r="H8" s="111">
        <f t="shared" ref="H8:H16" si="0">SUM(E8*G8)</f>
        <v>23162.5</v>
      </c>
      <c r="J8" s="109"/>
      <c r="K8" s="111">
        <f>SUM(H8:J8)</f>
        <v>23162.5</v>
      </c>
    </row>
    <row r="9" spans="1:15" x14ac:dyDescent="0.2">
      <c r="A9" s="98" t="s">
        <v>130</v>
      </c>
      <c r="D9" s="108">
        <v>100</v>
      </c>
      <c r="E9" s="109">
        <v>1.5967</v>
      </c>
      <c r="F9" s="109">
        <v>0.57669999999999999</v>
      </c>
      <c r="G9" s="110">
        <v>2311</v>
      </c>
      <c r="H9" s="111">
        <f t="shared" si="0"/>
        <v>3689.9737</v>
      </c>
      <c r="I9" s="98">
        <v>10710</v>
      </c>
      <c r="J9" s="109"/>
      <c r="K9" s="111">
        <f>SUM(H9:J9)</f>
        <v>14399.9737</v>
      </c>
      <c r="L9" s="98">
        <v>4872</v>
      </c>
    </row>
    <row r="10" spans="1:15" x14ac:dyDescent="0.2">
      <c r="A10" s="98" t="s">
        <v>131</v>
      </c>
      <c r="D10" s="108">
        <v>100</v>
      </c>
      <c r="E10" s="109">
        <v>13.95</v>
      </c>
      <c r="F10" s="109">
        <v>1.75</v>
      </c>
      <c r="G10" s="110">
        <v>2043</v>
      </c>
      <c r="H10" s="111">
        <f t="shared" si="0"/>
        <v>28499.85</v>
      </c>
      <c r="J10" s="109">
        <v>5625</v>
      </c>
      <c r="K10" s="111">
        <f>SUM(H10:J10)</f>
        <v>34124.85</v>
      </c>
    </row>
    <row r="11" spans="1:15" x14ac:dyDescent="0.2">
      <c r="A11" s="98" t="s">
        <v>132</v>
      </c>
      <c r="D11" s="108">
        <v>100</v>
      </c>
      <c r="E11" s="109">
        <v>15.048299999999999</v>
      </c>
      <c r="F11" s="109">
        <v>1.9410000000000001</v>
      </c>
      <c r="G11" s="110">
        <v>1923</v>
      </c>
      <c r="H11" s="111">
        <f t="shared" si="0"/>
        <v>28937.8809</v>
      </c>
      <c r="I11" s="112"/>
      <c r="J11" s="113">
        <f>+E28*G28</f>
        <v>270465</v>
      </c>
      <c r="K11" s="111">
        <f>SUM(H11:J11)</f>
        <v>299402.88089999999</v>
      </c>
      <c r="M11" s="98">
        <v>7613</v>
      </c>
    </row>
    <row r="12" spans="1:15" x14ac:dyDescent="0.2">
      <c r="A12" s="114" t="s">
        <v>133</v>
      </c>
      <c r="D12" s="108">
        <v>65</v>
      </c>
      <c r="E12" s="513">
        <v>10.8</v>
      </c>
      <c r="F12" s="513">
        <v>2.78</v>
      </c>
      <c r="G12" s="514">
        <v>2033</v>
      </c>
      <c r="H12" s="515">
        <f>SUM(E12*G12)</f>
        <v>21956.400000000001</v>
      </c>
      <c r="I12" s="112"/>
      <c r="J12" s="115">
        <f>E36*G36</f>
        <v>20608</v>
      </c>
      <c r="K12" s="516">
        <f>+J13+J12+H12</f>
        <v>188463.4</v>
      </c>
    </row>
    <row r="13" spans="1:15" x14ac:dyDescent="0.2">
      <c r="A13" s="114" t="s">
        <v>134</v>
      </c>
      <c r="D13" s="108">
        <v>100</v>
      </c>
      <c r="E13" s="513"/>
      <c r="F13" s="513"/>
      <c r="G13" s="514"/>
      <c r="H13" s="515"/>
      <c r="I13" s="112"/>
      <c r="J13" s="115">
        <f>(E37*G37)</f>
        <v>145899</v>
      </c>
      <c r="K13" s="516"/>
      <c r="L13" s="109"/>
      <c r="O13" s="109"/>
    </row>
    <row r="14" spans="1:15" x14ac:dyDescent="0.2">
      <c r="A14" s="98" t="s">
        <v>135</v>
      </c>
      <c r="D14" s="116" t="s">
        <v>136</v>
      </c>
      <c r="E14" s="117"/>
      <c r="F14" s="117"/>
      <c r="G14" s="118"/>
      <c r="H14" s="119" t="s">
        <v>137</v>
      </c>
      <c r="I14" s="120" t="s">
        <v>138</v>
      </c>
      <c r="J14" s="115"/>
      <c r="K14" s="121"/>
      <c r="L14" s="109"/>
      <c r="O14" s="109"/>
    </row>
    <row r="15" spans="1:15" x14ac:dyDescent="0.2">
      <c r="A15" s="98" t="s">
        <v>39</v>
      </c>
      <c r="D15" s="108">
        <v>100</v>
      </c>
      <c r="E15" s="109">
        <v>12.07</v>
      </c>
      <c r="F15" s="109">
        <v>1.75</v>
      </c>
      <c r="G15" s="110">
        <v>1862</v>
      </c>
      <c r="H15" s="111">
        <f t="shared" si="0"/>
        <v>22474.34</v>
      </c>
      <c r="J15" s="109"/>
      <c r="K15" s="111">
        <f>+J15+I15+H15</f>
        <v>22474.34</v>
      </c>
      <c r="L15" s="109"/>
    </row>
    <row r="16" spans="1:15" x14ac:dyDescent="0.2">
      <c r="A16" s="98" t="s">
        <v>98</v>
      </c>
      <c r="D16" s="108">
        <v>100</v>
      </c>
      <c r="E16" s="109">
        <v>9.5</v>
      </c>
      <c r="F16" s="109">
        <v>2.5299999999999998</v>
      </c>
      <c r="G16" s="110">
        <v>2093</v>
      </c>
      <c r="H16" s="111">
        <f t="shared" si="0"/>
        <v>19883.5</v>
      </c>
      <c r="J16" s="109">
        <v>53836</v>
      </c>
      <c r="K16" s="111">
        <f>+J16+I16+H16</f>
        <v>73719.5</v>
      </c>
    </row>
    <row r="17" spans="1:14" x14ac:dyDescent="0.2">
      <c r="A17" s="98" t="s">
        <v>139</v>
      </c>
      <c r="D17" s="108">
        <v>100</v>
      </c>
      <c r="E17" s="109">
        <v>11.35</v>
      </c>
      <c r="F17" s="109">
        <v>10.53</v>
      </c>
      <c r="G17" s="110">
        <v>2000</v>
      </c>
      <c r="H17" s="111">
        <f>SUM(E17*G17)</f>
        <v>22700</v>
      </c>
      <c r="I17" s="98">
        <v>8922</v>
      </c>
      <c r="J17" s="109"/>
      <c r="K17" s="111">
        <f>+J17+I17+H17</f>
        <v>31622</v>
      </c>
    </row>
    <row r="18" spans="1:14" x14ac:dyDescent="0.2">
      <c r="A18" s="98" t="s">
        <v>140</v>
      </c>
      <c r="D18" s="108">
        <v>100</v>
      </c>
      <c r="E18" s="109">
        <v>15.97</v>
      </c>
      <c r="F18" s="109">
        <v>2.16</v>
      </c>
      <c r="G18" s="110">
        <v>1908</v>
      </c>
      <c r="H18" s="111">
        <f>G18*E18</f>
        <v>30470.760000000002</v>
      </c>
      <c r="J18" s="109"/>
      <c r="K18" s="111">
        <f>+J18+I18+H18</f>
        <v>30470.760000000002</v>
      </c>
    </row>
    <row r="19" spans="1:14" x14ac:dyDescent="0.2">
      <c r="A19" s="99" t="s">
        <v>43</v>
      </c>
      <c r="D19" s="108"/>
      <c r="E19" s="109"/>
      <c r="F19" s="109"/>
      <c r="G19" s="110"/>
      <c r="H19" s="113"/>
      <c r="J19" s="109"/>
      <c r="K19" s="122">
        <f>76*450</f>
        <v>34200</v>
      </c>
    </row>
    <row r="20" spans="1:14" x14ac:dyDescent="0.2">
      <c r="A20" s="123" t="s">
        <v>103</v>
      </c>
      <c r="B20" s="100"/>
      <c r="C20" s="100"/>
      <c r="D20" s="124"/>
      <c r="E20" s="125">
        <f>SUM(E8:E18)</f>
        <v>101.185</v>
      </c>
      <c r="F20" s="125">
        <f>SUM(F8:F18)</f>
        <v>25.387699999999999</v>
      </c>
      <c r="G20" s="125"/>
      <c r="H20" s="126">
        <f>SUM(H8:H18)</f>
        <v>201775.2046</v>
      </c>
      <c r="I20" s="126">
        <f>SUM(I8:I18)</f>
        <v>19632</v>
      </c>
      <c r="J20" s="126">
        <f>SUM(J8:J18)</f>
        <v>496433</v>
      </c>
      <c r="K20" s="126">
        <f>SUM(K8:K19)</f>
        <v>752040.20459999994</v>
      </c>
      <c r="L20" s="100">
        <f>SUM(L8:L18)</f>
        <v>4872</v>
      </c>
      <c r="M20" s="100">
        <f>SUM(M8:M18)</f>
        <v>7613</v>
      </c>
    </row>
    <row r="21" spans="1:14" x14ac:dyDescent="0.2">
      <c r="A21" s="127" t="s">
        <v>104</v>
      </c>
      <c r="B21" s="106"/>
      <c r="C21" s="106"/>
      <c r="D21" s="128"/>
      <c r="E21" s="129">
        <f>SUM(E20-F20)</f>
        <v>75.797300000000007</v>
      </c>
      <c r="F21" s="129"/>
      <c r="G21" s="129"/>
      <c r="H21" s="130">
        <f>SUM(E31*G31)</f>
        <v>154356</v>
      </c>
      <c r="I21" s="130">
        <f>I20-L20</f>
        <v>14760</v>
      </c>
      <c r="J21" s="130">
        <f>J20-M20</f>
        <v>488820</v>
      </c>
      <c r="K21" s="130">
        <f>SUM(H21:J21)</f>
        <v>657936</v>
      </c>
      <c r="L21" s="106"/>
      <c r="M21" s="106"/>
    </row>
    <row r="23" spans="1:14" x14ac:dyDescent="0.2">
      <c r="C23" s="98" t="s">
        <v>46</v>
      </c>
    </row>
    <row r="25" spans="1:14" x14ac:dyDescent="0.2">
      <c r="A25" s="98" t="s">
        <v>47</v>
      </c>
    </row>
    <row r="26" spans="1:14" x14ac:dyDescent="0.2">
      <c r="A26" s="131" t="s">
        <v>48</v>
      </c>
      <c r="B26" s="131"/>
      <c r="C26" s="131"/>
      <c r="D26" s="131" t="s">
        <v>49</v>
      </c>
      <c r="E26" s="131" t="s">
        <v>50</v>
      </c>
      <c r="F26" s="131"/>
      <c r="G26" s="131" t="s">
        <v>51</v>
      </c>
      <c r="H26" s="131" t="s">
        <v>141</v>
      </c>
      <c r="I26" s="132"/>
      <c r="K26" s="132"/>
      <c r="L26" s="133" t="s">
        <v>58</v>
      </c>
      <c r="M26" s="134">
        <v>0.87232500000000002</v>
      </c>
      <c r="N26" s="285"/>
    </row>
    <row r="27" spans="1:14" x14ac:dyDescent="0.2">
      <c r="A27" s="98" t="s">
        <v>53</v>
      </c>
      <c r="H27" s="103" t="s">
        <v>142</v>
      </c>
      <c r="I27" s="135"/>
      <c r="L27" s="133" t="s">
        <v>61</v>
      </c>
      <c r="M27" s="133">
        <v>0.25</v>
      </c>
      <c r="N27" s="109"/>
    </row>
    <row r="28" spans="1:14" x14ac:dyDescent="0.2">
      <c r="A28" s="136" t="s">
        <v>143</v>
      </c>
      <c r="D28" s="98" t="s">
        <v>108</v>
      </c>
      <c r="E28" s="113">
        <v>741</v>
      </c>
      <c r="F28" s="112"/>
      <c r="G28" s="113">
        <v>365</v>
      </c>
      <c r="H28" s="103" t="s">
        <v>144</v>
      </c>
      <c r="I28" s="135"/>
    </row>
    <row r="29" spans="1:14" x14ac:dyDescent="0.2">
      <c r="E29" s="109"/>
      <c r="G29" s="137"/>
    </row>
    <row r="30" spans="1:14" x14ac:dyDescent="0.2">
      <c r="A30" s="98" t="s">
        <v>57</v>
      </c>
    </row>
    <row r="31" spans="1:14" x14ac:dyDescent="0.2">
      <c r="A31" s="98" t="s">
        <v>59</v>
      </c>
      <c r="D31" s="98" t="s">
        <v>60</v>
      </c>
      <c r="E31" s="109">
        <v>76</v>
      </c>
      <c r="G31" s="109">
        <v>2031</v>
      </c>
    </row>
    <row r="32" spans="1:14" x14ac:dyDescent="0.2">
      <c r="A32" s="98" t="s">
        <v>145</v>
      </c>
      <c r="D32" s="98" t="s">
        <v>60</v>
      </c>
      <c r="E32" s="109">
        <v>25</v>
      </c>
    </row>
    <row r="33" spans="1:11" x14ac:dyDescent="0.2">
      <c r="A33" s="98" t="s">
        <v>6</v>
      </c>
      <c r="D33" s="98" t="s">
        <v>60</v>
      </c>
      <c r="E33" s="109">
        <f>SUM(E31:E32)</f>
        <v>101</v>
      </c>
      <c r="K33" s="138"/>
    </row>
    <row r="34" spans="1:11" x14ac:dyDescent="0.2">
      <c r="A34" s="100" t="s">
        <v>114</v>
      </c>
      <c r="B34" s="100"/>
      <c r="C34" s="100" t="s">
        <v>64</v>
      </c>
      <c r="D34" s="100"/>
      <c r="E34" s="100"/>
      <c r="F34" s="100"/>
      <c r="G34" s="100"/>
    </row>
    <row r="35" spans="1:11" x14ac:dyDescent="0.2">
      <c r="A35" s="139"/>
      <c r="B35" s="140"/>
      <c r="C35" s="141"/>
      <c r="D35" s="139"/>
      <c r="E35" s="103"/>
      <c r="F35" s="103"/>
      <c r="G35" s="142"/>
    </row>
    <row r="36" spans="1:11" x14ac:dyDescent="0.2">
      <c r="A36" s="98" t="s">
        <v>66</v>
      </c>
      <c r="B36" s="139" t="s">
        <v>67</v>
      </c>
      <c r="C36" s="141">
        <v>65</v>
      </c>
      <c r="D36" s="139" t="s">
        <v>68</v>
      </c>
      <c r="E36" s="143">
        <v>1472</v>
      </c>
      <c r="F36" s="143"/>
      <c r="G36" s="143">
        <v>14</v>
      </c>
    </row>
    <row r="37" spans="1:11" x14ac:dyDescent="0.2">
      <c r="A37" s="98" t="s">
        <v>146</v>
      </c>
      <c r="B37" s="140" t="s">
        <v>147</v>
      </c>
      <c r="C37" s="141">
        <v>100</v>
      </c>
      <c r="D37" s="139" t="s">
        <v>68</v>
      </c>
      <c r="E37" s="103">
        <v>377</v>
      </c>
      <c r="F37" s="103"/>
      <c r="G37" s="103">
        <v>387</v>
      </c>
    </row>
    <row r="38" spans="1:11" x14ac:dyDescent="0.2">
      <c r="B38" s="140" t="s">
        <v>148</v>
      </c>
      <c r="C38" s="286" t="s">
        <v>149</v>
      </c>
      <c r="D38" s="139"/>
      <c r="E38" s="287" t="s">
        <v>150</v>
      </c>
      <c r="F38" s="104"/>
      <c r="G38" s="287" t="s">
        <v>151</v>
      </c>
    </row>
    <row r="39" spans="1:11" x14ac:dyDescent="0.2">
      <c r="A39" s="123" t="s">
        <v>73</v>
      </c>
      <c r="B39" s="123"/>
      <c r="C39" s="100"/>
      <c r="D39" s="144" t="s">
        <v>152</v>
      </c>
      <c r="E39" s="144"/>
      <c r="F39" s="144"/>
      <c r="G39" s="144" t="s">
        <v>116</v>
      </c>
    </row>
    <row r="40" spans="1:11" x14ac:dyDescent="0.2">
      <c r="A40" s="139" t="s">
        <v>76</v>
      </c>
      <c r="B40" s="139"/>
      <c r="C40" s="103"/>
      <c r="D40" s="145">
        <v>4982</v>
      </c>
      <c r="E40" s="103"/>
      <c r="F40" s="103"/>
      <c r="G40" s="137">
        <f>+D40*2.471</f>
        <v>12310.522000000001</v>
      </c>
    </row>
    <row r="41" spans="1:11" x14ac:dyDescent="0.2">
      <c r="A41" s="139" t="s">
        <v>77</v>
      </c>
      <c r="B41" s="139"/>
      <c r="C41" s="103"/>
      <c r="D41" s="146">
        <v>206</v>
      </c>
      <c r="E41" s="103"/>
      <c r="F41" s="103"/>
      <c r="G41" s="137"/>
    </row>
    <row r="42" spans="1:11" x14ac:dyDescent="0.2">
      <c r="A42" s="139" t="s">
        <v>78</v>
      </c>
      <c r="B42" s="139"/>
      <c r="C42" s="103"/>
      <c r="D42" s="143">
        <f>D40*D41</f>
        <v>1026292</v>
      </c>
      <c r="E42" s="103"/>
      <c r="F42" s="103"/>
      <c r="G42" s="137">
        <f>+D42*2.471</f>
        <v>2535967.5320000001</v>
      </c>
    </row>
    <row r="43" spans="1:11" x14ac:dyDescent="0.2">
      <c r="A43" s="139" t="s">
        <v>79</v>
      </c>
      <c r="B43" s="139"/>
      <c r="C43" s="103"/>
      <c r="D43" s="147">
        <f>D42-K20</f>
        <v>274251.79540000006</v>
      </c>
      <c r="E43" s="103"/>
      <c r="F43" s="103"/>
      <c r="G43" s="137">
        <f>+D43*2.471</f>
        <v>677676.18643340014</v>
      </c>
    </row>
    <row r="44" spans="1:11" x14ac:dyDescent="0.2">
      <c r="A44" s="139" t="s">
        <v>80</v>
      </c>
      <c r="B44" s="139"/>
      <c r="C44" s="103"/>
      <c r="D44" s="147">
        <f>D42-K21</f>
        <v>368356</v>
      </c>
      <c r="E44" s="103"/>
      <c r="F44" s="103"/>
      <c r="G44" s="137">
        <f>+D44*2.471</f>
        <v>910207.67599999998</v>
      </c>
    </row>
    <row r="45" spans="1:11" x14ac:dyDescent="0.2">
      <c r="A45" s="139" t="s">
        <v>199</v>
      </c>
      <c r="B45" s="139"/>
      <c r="C45" s="103"/>
      <c r="D45" s="148">
        <f>K20/D40</f>
        <v>150.95146619831391</v>
      </c>
      <c r="E45" s="103"/>
      <c r="F45" s="103"/>
      <c r="G45" s="149"/>
    </row>
    <row r="46" spans="1:11" x14ac:dyDescent="0.2">
      <c r="A46" s="127" t="s">
        <v>200</v>
      </c>
      <c r="B46" s="127"/>
      <c r="C46" s="106"/>
      <c r="D46" s="150">
        <f>K21/D40</f>
        <v>132.06262545162585</v>
      </c>
      <c r="E46" s="106"/>
      <c r="F46" s="106"/>
      <c r="G46" s="151"/>
    </row>
    <row r="57" spans="7:7" x14ac:dyDescent="0.2">
      <c r="G57" s="98" t="s">
        <v>83</v>
      </c>
    </row>
  </sheetData>
  <mergeCells count="5">
    <mergeCell ref="E12:E13"/>
    <mergeCell ref="F12:F13"/>
    <mergeCell ref="G12:G13"/>
    <mergeCell ref="H12:H13"/>
    <mergeCell ref="K12:K13"/>
  </mergeCells>
  <pageMargins left="0.7" right="0.7" top="0.75" bottom="0.75" header="0.3" footer="0.3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topLeftCell="A4" workbookViewId="0">
      <selection sqref="A1:K47"/>
    </sheetView>
  </sheetViews>
  <sheetFormatPr defaultColWidth="9.140625" defaultRowHeight="15" x14ac:dyDescent="0.25"/>
  <cols>
    <col min="1" max="1" width="28.42578125" style="1" customWidth="1"/>
    <col min="2" max="2" width="7.140625" style="1" customWidth="1"/>
    <col min="3" max="3" width="10.85546875" style="1" customWidth="1"/>
    <col min="4" max="4" width="7.5703125" style="1" customWidth="1"/>
    <col min="5" max="5" width="8.5703125" style="1" bestFit="1" customWidth="1"/>
    <col min="6" max="6" width="11.7109375" style="1" customWidth="1"/>
    <col min="7" max="7" width="10.140625" style="1" customWidth="1"/>
    <col min="8" max="8" width="9.5703125" style="1" bestFit="1" customWidth="1"/>
    <col min="9" max="9" width="10.42578125" style="1" customWidth="1"/>
    <col min="10" max="10" width="8.85546875" style="1" customWidth="1"/>
    <col min="11" max="11" width="8.42578125" style="1" customWidth="1"/>
    <col min="12" max="13" width="9.140625" style="1"/>
    <col min="14" max="14" width="10" style="1" bestFit="1" customWidth="1"/>
    <col min="15" max="16384" width="9.140625" style="1"/>
  </cols>
  <sheetData>
    <row r="1" spans="1:15" x14ac:dyDescent="0.25">
      <c r="A1" s="15" t="s">
        <v>313</v>
      </c>
    </row>
    <row r="2" spans="1:15" x14ac:dyDescent="0.25">
      <c r="A2" s="15" t="s">
        <v>314</v>
      </c>
      <c r="B2" s="2"/>
    </row>
    <row r="3" spans="1:15" x14ac:dyDescent="0.25">
      <c r="A3" s="15" t="s">
        <v>315</v>
      </c>
    </row>
    <row r="4" spans="1:15" x14ac:dyDescent="0.25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5" t="s">
        <v>13</v>
      </c>
      <c r="K4" s="4"/>
    </row>
    <row r="5" spans="1:15" x14ac:dyDescent="0.25">
      <c r="A5" s="6"/>
      <c r="B5" s="7" t="s">
        <v>14</v>
      </c>
      <c r="C5" s="7" t="s">
        <v>15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17</v>
      </c>
      <c r="I5" s="7" t="s">
        <v>17</v>
      </c>
      <c r="J5" s="8" t="s">
        <v>10</v>
      </c>
      <c r="K5" s="7" t="s">
        <v>11</v>
      </c>
    </row>
    <row r="6" spans="1:15" x14ac:dyDescent="0.25">
      <c r="A6" s="6"/>
      <c r="B6" s="7" t="s">
        <v>19</v>
      </c>
      <c r="C6" s="7"/>
      <c r="D6" s="7"/>
      <c r="E6" s="7"/>
      <c r="F6" s="7" t="s">
        <v>20</v>
      </c>
      <c r="G6" s="7" t="s">
        <v>17</v>
      </c>
      <c r="H6" s="7" t="s">
        <v>20</v>
      </c>
      <c r="I6" s="7" t="s">
        <v>20</v>
      </c>
      <c r="J6" s="7"/>
      <c r="K6" s="7"/>
    </row>
    <row r="7" spans="1:15" x14ac:dyDescent="0.25">
      <c r="A7" s="9"/>
      <c r="B7" s="10"/>
      <c r="C7" s="10"/>
      <c r="D7" s="10"/>
      <c r="E7" s="10"/>
      <c r="F7" s="10"/>
      <c r="G7" s="10" t="s">
        <v>20</v>
      </c>
      <c r="H7" s="10"/>
      <c r="I7" s="10"/>
      <c r="J7" s="10"/>
      <c r="K7" s="10"/>
    </row>
    <row r="8" spans="1:15" x14ac:dyDescent="0.25">
      <c r="A8" s="1" t="s">
        <v>129</v>
      </c>
      <c r="B8" s="79">
        <v>60</v>
      </c>
      <c r="C8" s="38">
        <v>5.3</v>
      </c>
      <c r="D8" s="38">
        <f>1.12+0.28</f>
        <v>1.4000000000000001</v>
      </c>
      <c r="E8" s="288">
        <v>1776</v>
      </c>
      <c r="F8" s="14">
        <f>SUM(C8*E8)</f>
        <v>9412.7999999999993</v>
      </c>
      <c r="G8" s="15"/>
      <c r="H8" s="16"/>
      <c r="I8" s="14">
        <f t="shared" ref="I8:I18" si="0">SUM(F8:H8)</f>
        <v>9412.7999999999993</v>
      </c>
      <c r="N8" s="38"/>
      <c r="O8" s="289"/>
    </row>
    <row r="9" spans="1:15" x14ac:dyDescent="0.25">
      <c r="A9" s="1" t="s">
        <v>130</v>
      </c>
      <c r="B9" s="79">
        <v>100</v>
      </c>
      <c r="C9" s="38">
        <v>1.32</v>
      </c>
      <c r="D9" s="38">
        <f>1.1+0.03</f>
        <v>1.1300000000000001</v>
      </c>
      <c r="E9" s="288">
        <v>2000</v>
      </c>
      <c r="F9" s="14">
        <f>SUM(C9*E9)</f>
        <v>2640</v>
      </c>
      <c r="G9" s="15">
        <v>17409</v>
      </c>
      <c r="H9" s="14"/>
      <c r="I9" s="14">
        <f t="shared" si="0"/>
        <v>20049</v>
      </c>
      <c r="J9" s="1">
        <v>7015</v>
      </c>
      <c r="N9" s="38"/>
      <c r="O9" s="289"/>
    </row>
    <row r="10" spans="1:15" x14ac:dyDescent="0.25">
      <c r="A10" s="1" t="s">
        <v>131</v>
      </c>
      <c r="B10" s="79">
        <v>100</v>
      </c>
      <c r="C10" s="38">
        <v>10.9</v>
      </c>
      <c r="D10" s="38">
        <f>2.1+0.2</f>
        <v>2.3000000000000003</v>
      </c>
      <c r="E10" s="288">
        <v>1800</v>
      </c>
      <c r="F10" s="14">
        <f>SUM(C10*E10)</f>
        <v>19620</v>
      </c>
      <c r="G10" s="15"/>
      <c r="H10" s="14">
        <v>7269</v>
      </c>
      <c r="I10" s="14">
        <f t="shared" si="0"/>
        <v>26889</v>
      </c>
      <c r="K10" s="38"/>
      <c r="N10" s="38"/>
      <c r="O10" s="289"/>
    </row>
    <row r="11" spans="1:15" x14ac:dyDescent="0.25">
      <c r="A11" s="1" t="s">
        <v>231</v>
      </c>
      <c r="B11" s="79">
        <v>100</v>
      </c>
      <c r="C11" s="38">
        <v>14.37</v>
      </c>
      <c r="D11" s="38">
        <f>2.5+1.04</f>
        <v>3.54</v>
      </c>
      <c r="E11" s="288">
        <v>1508</v>
      </c>
      <c r="F11" s="14">
        <f>SUM(C11*E11)</f>
        <v>21669.96</v>
      </c>
      <c r="G11" s="15"/>
      <c r="H11" s="14">
        <f>D28*F28</f>
        <v>222888</v>
      </c>
      <c r="I11" s="14">
        <f t="shared" si="0"/>
        <v>244557.96</v>
      </c>
      <c r="J11" s="38"/>
      <c r="K11" s="1">
        <v>13764</v>
      </c>
      <c r="N11" s="38"/>
      <c r="O11" s="289"/>
    </row>
    <row r="12" spans="1:15" x14ac:dyDescent="0.25">
      <c r="A12" s="30" t="s">
        <v>133</v>
      </c>
      <c r="B12" s="79">
        <v>76</v>
      </c>
      <c r="C12" s="518">
        <v>6.4</v>
      </c>
      <c r="D12" s="518">
        <f>2.7+1</f>
        <v>3.7</v>
      </c>
      <c r="E12" s="517">
        <v>1483</v>
      </c>
      <c r="F12" s="508">
        <f>SUM(C12*E12)</f>
        <v>9491.2000000000007</v>
      </c>
      <c r="G12" s="15"/>
      <c r="H12" s="222">
        <f>D36*F36</f>
        <v>16055</v>
      </c>
      <c r="I12" s="508">
        <f>SUM(F12:H12:H13)</f>
        <v>281300.2</v>
      </c>
      <c r="J12" s="38"/>
      <c r="N12" s="38"/>
      <c r="O12" s="289"/>
    </row>
    <row r="13" spans="1:15" x14ac:dyDescent="0.25">
      <c r="A13" s="30" t="s">
        <v>134</v>
      </c>
      <c r="B13" s="79">
        <v>86</v>
      </c>
      <c r="C13" s="518"/>
      <c r="D13" s="518"/>
      <c r="E13" s="517"/>
      <c r="F13" s="508"/>
      <c r="G13" s="15"/>
      <c r="H13" s="222">
        <f>D37*F37+D38*F38</f>
        <v>255754</v>
      </c>
      <c r="I13" s="508"/>
      <c r="N13" s="38"/>
      <c r="O13" s="289"/>
    </row>
    <row r="14" spans="1:15" x14ac:dyDescent="0.25">
      <c r="A14" s="1" t="s">
        <v>39</v>
      </c>
      <c r="B14" s="79">
        <v>100</v>
      </c>
      <c r="C14" s="38">
        <v>10.7</v>
      </c>
      <c r="D14" s="38">
        <f>2.45+0.98</f>
        <v>3.43</v>
      </c>
      <c r="E14" s="288">
        <v>1583</v>
      </c>
      <c r="F14" s="14">
        <f>SUM(C14*E14)</f>
        <v>16938.099999999999</v>
      </c>
      <c r="G14" s="15"/>
      <c r="H14" s="16"/>
      <c r="I14" s="14">
        <f t="shared" si="0"/>
        <v>16938.099999999999</v>
      </c>
      <c r="N14" s="38"/>
      <c r="O14" s="289"/>
    </row>
    <row r="15" spans="1:15" x14ac:dyDescent="0.25">
      <c r="A15" s="1" t="s">
        <v>98</v>
      </c>
      <c r="B15" s="79">
        <v>90</v>
      </c>
      <c r="C15" s="38">
        <v>11.5</v>
      </c>
      <c r="D15" s="38">
        <v>8</v>
      </c>
      <c r="E15" s="288">
        <v>2000</v>
      </c>
      <c r="F15" s="14">
        <f>SUM(C15*E15)</f>
        <v>23000</v>
      </c>
      <c r="G15" s="15"/>
      <c r="H15" s="14">
        <v>67244</v>
      </c>
      <c r="I15" s="14">
        <f t="shared" si="0"/>
        <v>90244</v>
      </c>
      <c r="N15" s="38"/>
      <c r="O15" s="289"/>
    </row>
    <row r="16" spans="1:15" x14ac:dyDescent="0.25">
      <c r="A16" s="1" t="s">
        <v>219</v>
      </c>
      <c r="B16" s="79">
        <v>73</v>
      </c>
      <c r="C16" s="38">
        <v>15.91</v>
      </c>
      <c r="D16" s="38">
        <v>15.08</v>
      </c>
      <c r="E16" s="288">
        <v>1680</v>
      </c>
      <c r="F16" s="14">
        <f>SUM(C16*E16)</f>
        <v>26728.799999999999</v>
      </c>
      <c r="G16" s="15"/>
      <c r="H16" s="16"/>
      <c r="I16" s="14">
        <f t="shared" si="0"/>
        <v>26728.799999999999</v>
      </c>
      <c r="N16" s="38"/>
      <c r="O16" s="289"/>
    </row>
    <row r="17" spans="1:15" x14ac:dyDescent="0.25">
      <c r="A17" s="1" t="s">
        <v>140</v>
      </c>
      <c r="B17" s="79">
        <v>100</v>
      </c>
      <c r="C17" s="16">
        <v>24.98</v>
      </c>
      <c r="D17" s="38">
        <v>5.0999999999999996</v>
      </c>
      <c r="E17" s="288">
        <v>1567</v>
      </c>
      <c r="F17" s="14">
        <f>SUM(C17*E17)</f>
        <v>39143.660000000003</v>
      </c>
      <c r="G17" s="15"/>
      <c r="H17" s="16"/>
      <c r="I17" s="14">
        <f t="shared" si="0"/>
        <v>39143.660000000003</v>
      </c>
      <c r="N17" s="16"/>
      <c r="O17" s="289"/>
    </row>
    <row r="18" spans="1:15" x14ac:dyDescent="0.25">
      <c r="A18" s="1" t="s">
        <v>102</v>
      </c>
      <c r="B18" s="79">
        <v>90</v>
      </c>
      <c r="C18" s="38">
        <v>1.6</v>
      </c>
      <c r="D18" s="38">
        <v>1.5</v>
      </c>
      <c r="E18" s="288">
        <v>1800</v>
      </c>
      <c r="F18" s="14">
        <f>SUM(C18*E18)</f>
        <v>2880</v>
      </c>
      <c r="G18" s="15">
        <v>5386</v>
      </c>
      <c r="H18" s="16"/>
      <c r="I18" s="14">
        <f t="shared" si="0"/>
        <v>8266</v>
      </c>
      <c r="N18" s="38"/>
    </row>
    <row r="19" spans="1:15" x14ac:dyDescent="0.25">
      <c r="A19" s="2" t="s">
        <v>43</v>
      </c>
      <c r="B19" s="79"/>
      <c r="C19" s="38"/>
      <c r="D19" s="38"/>
      <c r="E19" s="288"/>
      <c r="F19" s="14"/>
      <c r="G19" s="15"/>
      <c r="H19" s="16"/>
      <c r="I19" s="290">
        <v>27000</v>
      </c>
    </row>
    <row r="20" spans="1:15" x14ac:dyDescent="0.25">
      <c r="A20" s="43" t="s">
        <v>103</v>
      </c>
      <c r="B20" s="44"/>
      <c r="C20" s="45">
        <f t="shared" ref="C20:J20" si="1">SUM(C8:C19)</f>
        <v>102.97999999999999</v>
      </c>
      <c r="D20" s="45">
        <f t="shared" si="1"/>
        <v>45.18</v>
      </c>
      <c r="E20" s="46">
        <f t="shared" si="1"/>
        <v>17197</v>
      </c>
      <c r="F20" s="46">
        <f t="shared" si="1"/>
        <v>171524.52000000002</v>
      </c>
      <c r="G20" s="46">
        <f t="shared" si="1"/>
        <v>22795</v>
      </c>
      <c r="H20" s="46">
        <f t="shared" si="1"/>
        <v>569210</v>
      </c>
      <c r="I20" s="46">
        <f>SUM(I8:I19)</f>
        <v>790529.52</v>
      </c>
      <c r="J20" s="45">
        <f t="shared" si="1"/>
        <v>7015</v>
      </c>
      <c r="K20" s="45">
        <f>SUM(K8:K19)</f>
        <v>13764</v>
      </c>
    </row>
    <row r="21" spans="1:15" x14ac:dyDescent="0.25">
      <c r="A21" s="48" t="s">
        <v>104</v>
      </c>
      <c r="B21" s="49"/>
      <c r="C21" s="50">
        <f>SUM(C20-D20)</f>
        <v>57.79999999999999</v>
      </c>
      <c r="D21" s="50"/>
      <c r="E21" s="51"/>
      <c r="F21" s="51">
        <f>SUM(D30*F30)</f>
        <v>96570</v>
      </c>
      <c r="G21" s="9">
        <f>G20-J20</f>
        <v>15780</v>
      </c>
      <c r="H21" s="51">
        <f>H20-K20</f>
        <v>555446</v>
      </c>
      <c r="I21" s="51">
        <f>SUM(F21:H21)</f>
        <v>667796</v>
      </c>
      <c r="J21" s="9"/>
      <c r="K21" s="9"/>
    </row>
    <row r="23" spans="1:15" x14ac:dyDescent="0.25">
      <c r="B23" s="1" t="s">
        <v>46</v>
      </c>
    </row>
    <row r="25" spans="1:15" x14ac:dyDescent="0.25">
      <c r="A25" s="1" t="s">
        <v>47</v>
      </c>
    </row>
    <row r="26" spans="1:15" x14ac:dyDescent="0.25">
      <c r="A26" s="53" t="s">
        <v>48</v>
      </c>
      <c r="B26" s="53"/>
      <c r="C26" s="53" t="s">
        <v>49</v>
      </c>
      <c r="D26" s="53" t="s">
        <v>50</v>
      </c>
      <c r="E26" s="53"/>
      <c r="F26" s="53" t="s">
        <v>51</v>
      </c>
      <c r="H26" s="1" t="s">
        <v>141</v>
      </c>
      <c r="I26" s="54"/>
      <c r="J26" s="54"/>
      <c r="M26" s="55"/>
    </row>
    <row r="27" spans="1:15" x14ac:dyDescent="0.25">
      <c r="A27" s="1" t="s">
        <v>53</v>
      </c>
      <c r="H27" s="57" t="s">
        <v>295</v>
      </c>
      <c r="I27" s="241">
        <f>0.966666666666667*100%</f>
        <v>0.96666666666666701</v>
      </c>
      <c r="M27" s="38"/>
    </row>
    <row r="28" spans="1:15" x14ac:dyDescent="0.25">
      <c r="A28" s="225" t="s">
        <v>143</v>
      </c>
      <c r="C28" s="1" t="s">
        <v>108</v>
      </c>
      <c r="D28" s="291">
        <v>753</v>
      </c>
      <c r="E28" s="15"/>
      <c r="F28" s="16">
        <v>296</v>
      </c>
      <c r="H28" s="57" t="s">
        <v>296</v>
      </c>
      <c r="I28" s="241">
        <f>0.0333333333333333*100%</f>
        <v>3.3333333333333298E-2</v>
      </c>
    </row>
    <row r="29" spans="1:15" x14ac:dyDescent="0.25">
      <c r="A29" s="1" t="s">
        <v>57</v>
      </c>
    </row>
    <row r="30" spans="1:15" x14ac:dyDescent="0.25">
      <c r="A30" s="1" t="s">
        <v>180</v>
      </c>
      <c r="C30" s="1" t="s">
        <v>60</v>
      </c>
      <c r="D30" s="1">
        <v>58</v>
      </c>
      <c r="F30" s="38">
        <v>1665</v>
      </c>
      <c r="H30" s="57" t="s">
        <v>58</v>
      </c>
      <c r="I30" s="57">
        <v>0.47</v>
      </c>
    </row>
    <row r="31" spans="1:15" x14ac:dyDescent="0.25">
      <c r="A31" s="1" t="s">
        <v>62</v>
      </c>
      <c r="C31" s="1" t="s">
        <v>60</v>
      </c>
      <c r="D31" s="1">
        <v>45</v>
      </c>
      <c r="H31" s="57" t="s">
        <v>61</v>
      </c>
      <c r="I31" s="57">
        <v>0.5</v>
      </c>
    </row>
    <row r="32" spans="1:15" x14ac:dyDescent="0.25">
      <c r="A32" s="1" t="s">
        <v>6</v>
      </c>
      <c r="C32" s="1" t="s">
        <v>60</v>
      </c>
      <c r="D32" s="1">
        <v>103</v>
      </c>
      <c r="J32" s="58"/>
    </row>
    <row r="34" spans="1:6" x14ac:dyDescent="0.25">
      <c r="A34" s="3" t="s">
        <v>63</v>
      </c>
      <c r="B34" s="3" t="s">
        <v>64</v>
      </c>
      <c r="C34" s="3"/>
      <c r="D34" s="3"/>
      <c r="E34" s="3"/>
      <c r="F34" s="3"/>
    </row>
    <row r="35" spans="1:6" x14ac:dyDescent="0.25">
      <c r="A35" s="60" t="s">
        <v>65</v>
      </c>
      <c r="B35" s="62"/>
      <c r="C35" s="60"/>
      <c r="D35" s="6"/>
      <c r="E35" s="6"/>
      <c r="F35" s="92"/>
    </row>
    <row r="36" spans="1:6" x14ac:dyDescent="0.25">
      <c r="A36" s="1" t="s">
        <v>316</v>
      </c>
      <c r="B36" s="62">
        <v>77</v>
      </c>
      <c r="C36" s="26" t="s">
        <v>68</v>
      </c>
      <c r="D36" s="63">
        <v>845</v>
      </c>
      <c r="E36" s="6"/>
      <c r="F36" s="292">
        <v>19</v>
      </c>
    </row>
    <row r="37" spans="1:6" x14ac:dyDescent="0.25">
      <c r="A37" s="1" t="s">
        <v>317</v>
      </c>
      <c r="B37" s="62">
        <v>56</v>
      </c>
      <c r="C37" s="60" t="s">
        <v>68</v>
      </c>
      <c r="D37" s="63">
        <v>342</v>
      </c>
      <c r="E37" s="6"/>
      <c r="F37" s="6">
        <v>391</v>
      </c>
    </row>
    <row r="38" spans="1:6" x14ac:dyDescent="0.25">
      <c r="A38" s="1" t="s">
        <v>318</v>
      </c>
      <c r="B38" s="293">
        <v>40</v>
      </c>
      <c r="C38" s="48" t="s">
        <v>108</v>
      </c>
      <c r="D38" s="9">
        <v>232</v>
      </c>
      <c r="E38" s="9"/>
      <c r="F38" s="9">
        <v>526</v>
      </c>
    </row>
    <row r="39" spans="1:6" x14ac:dyDescent="0.25">
      <c r="A39" s="43" t="s">
        <v>73</v>
      </c>
      <c r="B39" s="3"/>
      <c r="C39" s="89" t="s">
        <v>74</v>
      </c>
      <c r="D39" s="89"/>
      <c r="E39" s="89"/>
      <c r="F39" s="89" t="s">
        <v>75</v>
      </c>
    </row>
    <row r="40" spans="1:6" x14ac:dyDescent="0.25">
      <c r="A40" s="60" t="s">
        <v>319</v>
      </c>
      <c r="B40" s="6"/>
      <c r="C40" s="234">
        <v>4412</v>
      </c>
      <c r="D40" s="6"/>
      <c r="E40" s="6"/>
      <c r="F40" s="232">
        <f>C40*2.471</f>
        <v>10902.052</v>
      </c>
    </row>
    <row r="41" spans="1:6" x14ac:dyDescent="0.25">
      <c r="A41" s="60" t="s">
        <v>118</v>
      </c>
      <c r="B41" s="6"/>
      <c r="C41" s="229">
        <v>269</v>
      </c>
      <c r="D41" s="6"/>
      <c r="E41" s="6"/>
      <c r="F41" s="233"/>
    </row>
    <row r="42" spans="1:6" x14ac:dyDescent="0.25">
      <c r="A42" s="60" t="s">
        <v>153</v>
      </c>
      <c r="B42" s="6"/>
      <c r="C42" s="63">
        <f>C40*C41</f>
        <v>1186828</v>
      </c>
      <c r="D42" s="6"/>
      <c r="E42" s="6"/>
      <c r="F42" s="233">
        <f>C42*2.471</f>
        <v>2932651.9879999999</v>
      </c>
    </row>
    <row r="43" spans="1:6" x14ac:dyDescent="0.25">
      <c r="A43" s="60" t="s">
        <v>154</v>
      </c>
      <c r="B43" s="6"/>
      <c r="C43" s="64">
        <f>C42-I20</f>
        <v>396298.48</v>
      </c>
      <c r="D43" s="6"/>
      <c r="E43" s="6"/>
      <c r="F43" s="233">
        <f>C43*2.471</f>
        <v>979253.54408000002</v>
      </c>
    </row>
    <row r="44" spans="1:6" x14ac:dyDescent="0.25">
      <c r="A44" s="60" t="s">
        <v>155</v>
      </c>
      <c r="B44" s="6"/>
      <c r="C44" s="64">
        <f>C42-I21</f>
        <v>519032</v>
      </c>
      <c r="D44" s="6"/>
      <c r="E44" s="6"/>
      <c r="F44" s="233">
        <f>C44*2.471</f>
        <v>1282528.0720000002</v>
      </c>
    </row>
    <row r="45" spans="1:6" x14ac:dyDescent="0.25">
      <c r="A45" s="60"/>
      <c r="B45" s="6"/>
      <c r="C45" s="63"/>
      <c r="D45" s="6"/>
      <c r="E45" s="6"/>
      <c r="F45" s="95"/>
    </row>
    <row r="46" spans="1:6" x14ac:dyDescent="0.25">
      <c r="A46" s="60" t="s">
        <v>156</v>
      </c>
      <c r="B46" s="6"/>
      <c r="C46" s="64">
        <f>I20/C40</f>
        <v>179.17713508612874</v>
      </c>
      <c r="D46" s="6"/>
      <c r="E46" s="6"/>
      <c r="F46" s="95"/>
    </row>
    <row r="47" spans="1:6" x14ac:dyDescent="0.25">
      <c r="A47" s="48" t="s">
        <v>157</v>
      </c>
      <c r="B47" s="9"/>
      <c r="C47" s="73">
        <f>I21/C40</f>
        <v>151.35902085222122</v>
      </c>
      <c r="D47" s="9"/>
      <c r="E47" s="9"/>
      <c r="F47" s="96"/>
    </row>
    <row r="58" spans="6:6" x14ac:dyDescent="0.25">
      <c r="F58" s="1" t="s">
        <v>83</v>
      </c>
    </row>
  </sheetData>
  <mergeCells count="5">
    <mergeCell ref="E12:E13"/>
    <mergeCell ref="F12:F13"/>
    <mergeCell ref="C12:C13"/>
    <mergeCell ref="D12:D13"/>
    <mergeCell ref="I12:I13"/>
  </mergeCells>
  <pageMargins left="0.7" right="0.7" top="0.75" bottom="0.75" header="0.3" footer="0.3"/>
  <pageSetup paperSize="9"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topLeftCell="A16" workbookViewId="0">
      <selection activeCell="R10" sqref="R10"/>
    </sheetView>
  </sheetViews>
  <sheetFormatPr defaultColWidth="9.140625" defaultRowHeight="15" x14ac:dyDescent="0.25"/>
  <cols>
    <col min="1" max="1" width="16.85546875" style="1" customWidth="1"/>
    <col min="2" max="2" width="4.28515625" style="1" customWidth="1"/>
    <col min="3" max="3" width="9" style="1" customWidth="1"/>
    <col min="4" max="4" width="11.140625" style="1" bestFit="1" customWidth="1"/>
    <col min="5" max="5" width="9.42578125" style="1" customWidth="1"/>
    <col min="6" max="6" width="8.28515625" style="1" customWidth="1"/>
    <col min="7" max="7" width="10.42578125" style="1" customWidth="1"/>
    <col min="8" max="8" width="13.42578125" style="1" customWidth="1"/>
    <col min="9" max="9" width="10.85546875" style="1" customWidth="1"/>
    <col min="10" max="10" width="9.5703125" style="1" bestFit="1" customWidth="1"/>
    <col min="11" max="11" width="10.28515625" style="1" customWidth="1"/>
    <col min="12" max="12" width="10" style="1" customWidth="1"/>
    <col min="13" max="13" width="9.28515625" style="1" bestFit="1" customWidth="1"/>
    <col min="14" max="14" width="6.140625" style="76" customWidth="1"/>
    <col min="15" max="16384" width="9.140625" style="1"/>
  </cols>
  <sheetData>
    <row r="1" spans="1:15" x14ac:dyDescent="0.25">
      <c r="A1" s="1" t="s">
        <v>0</v>
      </c>
      <c r="B1" s="1" t="s">
        <v>86</v>
      </c>
      <c r="O1" s="1" t="s">
        <v>309</v>
      </c>
    </row>
    <row r="2" spans="1:15" x14ac:dyDescent="0.25">
      <c r="B2" s="1" t="s">
        <v>87</v>
      </c>
      <c r="O2" s="1" t="s">
        <v>311</v>
      </c>
    </row>
    <row r="3" spans="1:15" x14ac:dyDescent="0.25">
      <c r="B3" s="1" t="s">
        <v>88</v>
      </c>
    </row>
    <row r="4" spans="1:15" x14ac:dyDescent="0.25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5" x14ac:dyDescent="0.25">
      <c r="A5" s="6"/>
      <c r="B5" s="6"/>
      <c r="C5" s="6"/>
      <c r="D5" s="7" t="s">
        <v>14</v>
      </c>
      <c r="E5" s="7" t="s">
        <v>15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17</v>
      </c>
      <c r="K5" s="7" t="s">
        <v>17</v>
      </c>
      <c r="L5" s="8" t="s">
        <v>10</v>
      </c>
      <c r="M5" s="7" t="s">
        <v>11</v>
      </c>
    </row>
    <row r="6" spans="1:15" x14ac:dyDescent="0.25">
      <c r="A6" s="6"/>
      <c r="B6" s="6"/>
      <c r="C6" s="6"/>
      <c r="D6" s="7" t="s">
        <v>19</v>
      </c>
      <c r="E6" s="7"/>
      <c r="F6" s="7"/>
      <c r="G6" s="7"/>
      <c r="H6" s="7" t="s">
        <v>20</v>
      </c>
      <c r="I6" s="7" t="s">
        <v>17</v>
      </c>
      <c r="J6" s="7" t="s">
        <v>20</v>
      </c>
      <c r="K6" s="7" t="s">
        <v>20</v>
      </c>
      <c r="L6" s="7"/>
      <c r="M6" s="7"/>
    </row>
    <row r="7" spans="1:15" x14ac:dyDescent="0.25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5" x14ac:dyDescent="0.25">
      <c r="A8" s="1" t="s">
        <v>22</v>
      </c>
      <c r="D8" s="79">
        <v>90</v>
      </c>
      <c r="E8" s="38">
        <v>0.74</v>
      </c>
      <c r="F8" s="38">
        <v>0.68</v>
      </c>
      <c r="G8" s="39">
        <v>2000</v>
      </c>
      <c r="H8" s="38">
        <f>SUM(E8*G8)</f>
        <v>1480</v>
      </c>
      <c r="I8" s="16">
        <v>9438</v>
      </c>
      <c r="J8" s="38"/>
      <c r="K8" s="38">
        <f t="shared" ref="K8:K17" si="0">SUM(H8:J8)</f>
        <v>10918</v>
      </c>
    </row>
    <row r="9" spans="1:15" x14ac:dyDescent="0.25">
      <c r="A9" s="1" t="s">
        <v>89</v>
      </c>
      <c r="D9" s="80" t="s">
        <v>90</v>
      </c>
      <c r="E9" s="81" t="s">
        <v>91</v>
      </c>
      <c r="F9" s="81" t="s">
        <v>91</v>
      </c>
      <c r="G9" s="82" t="s">
        <v>92</v>
      </c>
      <c r="H9" s="23" t="s">
        <v>93</v>
      </c>
      <c r="I9" s="239" t="s">
        <v>94</v>
      </c>
      <c r="J9" s="38"/>
      <c r="K9" s="83">
        <f t="shared" si="0"/>
        <v>0</v>
      </c>
    </row>
    <row r="10" spans="1:15" x14ac:dyDescent="0.25">
      <c r="A10" s="1" t="s">
        <v>95</v>
      </c>
      <c r="D10" s="79">
        <v>100</v>
      </c>
      <c r="E10" s="38">
        <v>8.1999999999999993</v>
      </c>
      <c r="F10" s="38">
        <v>1.5</v>
      </c>
      <c r="G10" s="39">
        <v>1771</v>
      </c>
      <c r="H10" s="38">
        <f>SUM(E10*G10)</f>
        <v>14522.199999999999</v>
      </c>
      <c r="J10" s="38">
        <f>SUM(E26*G26)</f>
        <v>9672.5999999999985</v>
      </c>
      <c r="K10" s="38">
        <f>SUM(H10:J10)</f>
        <v>24194.799999999996</v>
      </c>
    </row>
    <row r="11" spans="1:15" x14ac:dyDescent="0.25">
      <c r="A11" s="1" t="s">
        <v>96</v>
      </c>
      <c r="D11" s="79">
        <v>100</v>
      </c>
      <c r="E11" s="38">
        <v>5.5</v>
      </c>
      <c r="F11" s="38">
        <v>3.5</v>
      </c>
      <c r="G11" s="39">
        <v>2011</v>
      </c>
      <c r="H11" s="38">
        <f t="shared" ref="H11:H17" si="1">SUM(E11*G11)</f>
        <v>11060.5</v>
      </c>
      <c r="J11" s="38">
        <f>SUM(E35*G35)</f>
        <v>29355</v>
      </c>
      <c r="K11" s="38">
        <f>SUM(H11:J11)</f>
        <v>40415.5</v>
      </c>
    </row>
    <row r="12" spans="1:15" x14ac:dyDescent="0.25">
      <c r="A12" s="1" t="s">
        <v>97</v>
      </c>
      <c r="D12" s="79">
        <v>100</v>
      </c>
      <c r="E12" s="38">
        <v>5.6</v>
      </c>
      <c r="F12" s="38">
        <v>1.4</v>
      </c>
      <c r="G12" s="39">
        <v>2033</v>
      </c>
      <c r="H12" s="38">
        <f t="shared" si="1"/>
        <v>11384.8</v>
      </c>
      <c r="J12" s="38"/>
      <c r="K12" s="38">
        <f t="shared" si="0"/>
        <v>11384.8</v>
      </c>
    </row>
    <row r="13" spans="1:15" x14ac:dyDescent="0.25">
      <c r="A13" s="1" t="s">
        <v>98</v>
      </c>
      <c r="D13" s="79">
        <v>100</v>
      </c>
      <c r="E13" s="38">
        <v>6.09</v>
      </c>
      <c r="F13" s="38">
        <v>4.22</v>
      </c>
      <c r="G13" s="39">
        <v>2000</v>
      </c>
      <c r="H13" s="38">
        <f>SUM(E13*G13)</f>
        <v>12180</v>
      </c>
      <c r="J13" s="38">
        <v>65394</v>
      </c>
      <c r="K13" s="38">
        <f>SUM(H13:J13)</f>
        <v>77574</v>
      </c>
    </row>
    <row r="14" spans="1:15" x14ac:dyDescent="0.25">
      <c r="A14" s="1" t="s">
        <v>99</v>
      </c>
      <c r="D14" s="79">
        <v>100</v>
      </c>
      <c r="E14" s="38">
        <v>23.1</v>
      </c>
      <c r="F14" s="38">
        <v>6.7</v>
      </c>
      <c r="G14" s="39">
        <v>1785</v>
      </c>
      <c r="H14" s="38">
        <f t="shared" si="1"/>
        <v>41233.5</v>
      </c>
      <c r="J14" s="38">
        <v>22936</v>
      </c>
      <c r="K14" s="38">
        <f t="shared" si="0"/>
        <v>64169.5</v>
      </c>
    </row>
    <row r="15" spans="1:15" x14ac:dyDescent="0.25">
      <c r="A15" s="1" t="s">
        <v>100</v>
      </c>
      <c r="D15" s="79">
        <v>97</v>
      </c>
      <c r="E15" s="38">
        <v>12.3</v>
      </c>
      <c r="F15" s="38">
        <v>9.1</v>
      </c>
      <c r="G15" s="39">
        <v>2000</v>
      </c>
      <c r="H15" s="38">
        <f t="shared" si="1"/>
        <v>24600</v>
      </c>
      <c r="I15" s="38">
        <v>20235</v>
      </c>
      <c r="J15" s="38"/>
      <c r="K15" s="38">
        <f t="shared" si="0"/>
        <v>44835</v>
      </c>
    </row>
    <row r="16" spans="1:15" x14ac:dyDescent="0.25">
      <c r="A16" s="1" t="s">
        <v>101</v>
      </c>
      <c r="D16" s="79">
        <v>100</v>
      </c>
      <c r="E16" s="38">
        <v>14.6</v>
      </c>
      <c r="F16" s="38">
        <v>8.5</v>
      </c>
      <c r="G16" s="39">
        <v>2005</v>
      </c>
      <c r="H16" s="38">
        <f t="shared" si="1"/>
        <v>29273</v>
      </c>
      <c r="J16" s="38"/>
      <c r="K16" s="38">
        <f t="shared" si="0"/>
        <v>29273</v>
      </c>
    </row>
    <row r="17" spans="1:13" x14ac:dyDescent="0.25">
      <c r="A17" s="1" t="s">
        <v>102</v>
      </c>
      <c r="D17" s="79">
        <v>70</v>
      </c>
      <c r="E17" s="38">
        <v>5.2</v>
      </c>
      <c r="F17" s="38">
        <v>5.2</v>
      </c>
      <c r="G17" s="39">
        <v>2005</v>
      </c>
      <c r="H17" s="38">
        <f t="shared" si="1"/>
        <v>10426</v>
      </c>
      <c r="I17" s="38">
        <v>2275</v>
      </c>
      <c r="J17" s="38"/>
      <c r="K17" s="38">
        <f t="shared" si="0"/>
        <v>12701</v>
      </c>
    </row>
    <row r="18" spans="1:13" x14ac:dyDescent="0.25">
      <c r="A18" s="3" t="s">
        <v>103</v>
      </c>
      <c r="B18" s="3"/>
      <c r="C18" s="3"/>
      <c r="D18" s="44"/>
      <c r="E18" s="45">
        <f>SUM(E8:E17)</f>
        <v>81.33</v>
      </c>
      <c r="F18" s="45">
        <f>SUM(F8:F17)</f>
        <v>40.800000000000004</v>
      </c>
      <c r="G18" s="45"/>
      <c r="H18" s="45">
        <f>SUM(H8:H17)</f>
        <v>156160</v>
      </c>
      <c r="I18" s="45">
        <f>SUM(I8:I17)</f>
        <v>31948</v>
      </c>
      <c r="J18" s="45">
        <f>SUM(J8:J17)</f>
        <v>127357.6</v>
      </c>
      <c r="K18" s="45">
        <f>SUM(H18:J18)</f>
        <v>315465.59999999998</v>
      </c>
      <c r="L18" s="3">
        <f>SUM(L8:L17)</f>
        <v>0</v>
      </c>
      <c r="M18" s="3">
        <f>SUM(M8:M17)</f>
        <v>0</v>
      </c>
    </row>
    <row r="19" spans="1:13" x14ac:dyDescent="0.25">
      <c r="A19" s="9" t="s">
        <v>104</v>
      </c>
      <c r="B19" s="9"/>
      <c r="C19" s="9"/>
      <c r="D19" s="49"/>
      <c r="E19" s="50">
        <f>SUM(E18-F18)</f>
        <v>40.529999999999994</v>
      </c>
      <c r="F19" s="50"/>
      <c r="G19" s="50"/>
      <c r="H19" s="50">
        <f>SUM(E30*G30)</f>
        <v>77820.789376613786</v>
      </c>
      <c r="I19" s="50">
        <f>I18-L18</f>
        <v>31948</v>
      </c>
      <c r="J19" s="50">
        <f>J18-M18</f>
        <v>127357.6</v>
      </c>
      <c r="K19" s="84">
        <f>SUM(H19:J19)</f>
        <v>237126.38937661378</v>
      </c>
      <c r="L19" s="9"/>
      <c r="M19" s="9"/>
    </row>
    <row r="21" spans="1:13" x14ac:dyDescent="0.25">
      <c r="C21" s="1" t="s">
        <v>46</v>
      </c>
    </row>
    <row r="23" spans="1:13" x14ac:dyDescent="0.25">
      <c r="A23" s="1" t="s">
        <v>47</v>
      </c>
    </row>
    <row r="24" spans="1:13" x14ac:dyDescent="0.25">
      <c r="A24" s="53" t="s">
        <v>48</v>
      </c>
      <c r="B24" s="53"/>
      <c r="C24" s="53"/>
      <c r="D24" s="53" t="s">
        <v>49</v>
      </c>
      <c r="E24" s="53" t="s">
        <v>50</v>
      </c>
      <c r="F24" s="53"/>
      <c r="G24" s="53" t="s">
        <v>51</v>
      </c>
      <c r="I24" s="85" t="s">
        <v>105</v>
      </c>
      <c r="J24" s="85"/>
    </row>
    <row r="25" spans="1:13" x14ac:dyDescent="0.25">
      <c r="A25" s="1" t="s">
        <v>53</v>
      </c>
      <c r="I25" s="85" t="s">
        <v>106</v>
      </c>
      <c r="J25" s="57">
        <v>77</v>
      </c>
    </row>
    <row r="26" spans="1:13" x14ac:dyDescent="0.25">
      <c r="A26" s="1" t="s">
        <v>107</v>
      </c>
      <c r="B26" s="1" t="s">
        <v>106</v>
      </c>
      <c r="D26" s="86" t="s">
        <v>108</v>
      </c>
      <c r="E26" s="58">
        <v>1.4</v>
      </c>
      <c r="G26" s="38">
        <v>6909</v>
      </c>
      <c r="I26" s="85" t="s">
        <v>109</v>
      </c>
      <c r="J26" s="57">
        <v>23</v>
      </c>
    </row>
    <row r="27" spans="1:13" x14ac:dyDescent="0.25">
      <c r="B27" s="1" t="s">
        <v>109</v>
      </c>
      <c r="D27" s="1" t="s">
        <v>108</v>
      </c>
      <c r="E27" s="1" t="s">
        <v>110</v>
      </c>
      <c r="G27" s="1" t="s">
        <v>111</v>
      </c>
    </row>
    <row r="28" spans="1:13" x14ac:dyDescent="0.25">
      <c r="I28" s="85" t="s">
        <v>58</v>
      </c>
      <c r="J28" s="57">
        <v>1.2</v>
      </c>
    </row>
    <row r="29" spans="1:13" x14ac:dyDescent="0.25">
      <c r="A29" s="1" t="s">
        <v>57</v>
      </c>
      <c r="I29" s="85" t="s">
        <v>61</v>
      </c>
      <c r="J29" s="87">
        <v>1</v>
      </c>
    </row>
    <row r="30" spans="1:13" x14ac:dyDescent="0.25">
      <c r="A30" s="1" t="s">
        <v>112</v>
      </c>
      <c r="D30" s="58" t="s">
        <v>60</v>
      </c>
      <c r="E30" s="88">
        <f>SUM(E18-F18)</f>
        <v>40.529999999999994</v>
      </c>
      <c r="G30" s="38">
        <f>SUM(H18/E32)</f>
        <v>1920.0786917496619</v>
      </c>
    </row>
    <row r="31" spans="1:13" x14ac:dyDescent="0.25">
      <c r="A31" s="1" t="s">
        <v>113</v>
      </c>
      <c r="D31" s="58" t="s">
        <v>60</v>
      </c>
      <c r="E31" s="58">
        <f>SUM(F18)</f>
        <v>40.800000000000004</v>
      </c>
    </row>
    <row r="32" spans="1:13" x14ac:dyDescent="0.25">
      <c r="A32" s="1" t="s">
        <v>6</v>
      </c>
      <c r="E32" s="58">
        <f>SUM(E30:E31)</f>
        <v>81.33</v>
      </c>
    </row>
    <row r="33" spans="1:8" x14ac:dyDescent="0.25">
      <c r="E33" s="58"/>
    </row>
    <row r="34" spans="1:8" x14ac:dyDescent="0.25">
      <c r="A34" s="3" t="s">
        <v>114</v>
      </c>
      <c r="B34" s="3"/>
      <c r="C34" s="3" t="s">
        <v>64</v>
      </c>
      <c r="D34" s="3"/>
      <c r="E34" s="89"/>
      <c r="F34" s="3"/>
      <c r="G34" s="3"/>
    </row>
    <row r="35" spans="1:8" x14ac:dyDescent="0.25">
      <c r="A35" s="90"/>
      <c r="B35" s="8" t="s">
        <v>115</v>
      </c>
      <c r="C35" s="91">
        <v>43</v>
      </c>
      <c r="D35" s="91" t="s">
        <v>108</v>
      </c>
      <c r="E35" s="91">
        <v>103</v>
      </c>
      <c r="F35" s="6"/>
      <c r="G35" s="92">
        <v>285</v>
      </c>
    </row>
    <row r="36" spans="1:8" x14ac:dyDescent="0.25">
      <c r="A36" s="3" t="s">
        <v>73</v>
      </c>
      <c r="B36" s="3"/>
      <c r="C36" s="3"/>
      <c r="D36" s="3"/>
      <c r="E36" s="3"/>
      <c r="F36" s="3"/>
      <c r="G36" s="3"/>
      <c r="H36" s="93" t="s">
        <v>116</v>
      </c>
    </row>
    <row r="37" spans="1:8" x14ac:dyDescent="0.25">
      <c r="A37" s="6" t="s">
        <v>117</v>
      </c>
      <c r="B37" s="6"/>
      <c r="C37" s="6"/>
      <c r="D37" s="6"/>
      <c r="E37" s="6"/>
      <c r="F37" s="94"/>
      <c r="G37" s="439">
        <v>4451</v>
      </c>
      <c r="H37" s="38">
        <f>G37*2.471</f>
        <v>10998.421</v>
      </c>
    </row>
    <row r="38" spans="1:8" x14ac:dyDescent="0.25">
      <c r="A38" s="6" t="s">
        <v>118</v>
      </c>
      <c r="B38" s="6"/>
      <c r="C38" s="6"/>
      <c r="D38" s="6"/>
      <c r="E38" s="6"/>
      <c r="F38" s="95"/>
      <c r="G38" s="95">
        <v>158</v>
      </c>
      <c r="H38" s="38"/>
    </row>
    <row r="39" spans="1:8" x14ac:dyDescent="0.25">
      <c r="A39" s="6" t="s">
        <v>119</v>
      </c>
      <c r="B39" s="6"/>
      <c r="C39" s="6"/>
      <c r="D39" s="6"/>
      <c r="E39" s="6"/>
      <c r="F39" s="95"/>
      <c r="G39" s="95">
        <f>SUM(G37*G38)</f>
        <v>703258</v>
      </c>
      <c r="H39" s="38">
        <f>G39*2.471</f>
        <v>1737750.5180000002</v>
      </c>
    </row>
    <row r="40" spans="1:8" x14ac:dyDescent="0.25">
      <c r="A40" s="6" t="s">
        <v>120</v>
      </c>
      <c r="B40" s="6"/>
      <c r="C40" s="6"/>
      <c r="D40" s="6"/>
      <c r="E40" s="6"/>
      <c r="F40" s="95"/>
      <c r="G40" s="95">
        <f>SUM(G39-K18)</f>
        <v>387792.4</v>
      </c>
      <c r="H40" s="38">
        <f>G40*2.471</f>
        <v>958235.02040000004</v>
      </c>
    </row>
    <row r="41" spans="1:8" x14ac:dyDescent="0.25">
      <c r="A41" s="6" t="s">
        <v>121</v>
      </c>
      <c r="B41" s="6"/>
      <c r="C41" s="6"/>
      <c r="D41" s="6"/>
      <c r="E41" s="6"/>
      <c r="F41" s="95"/>
      <c r="G41" s="95">
        <f>SUM(G39-K19)</f>
        <v>466131.61062338622</v>
      </c>
      <c r="H41" s="38">
        <f>G41*2.471</f>
        <v>1151811.2098503874</v>
      </c>
    </row>
    <row r="42" spans="1:8" x14ac:dyDescent="0.25">
      <c r="A42" s="6"/>
      <c r="B42" s="6"/>
      <c r="C42" s="6"/>
      <c r="D42" s="6"/>
      <c r="E42" s="6"/>
      <c r="F42" s="95"/>
      <c r="G42" s="95"/>
    </row>
    <row r="43" spans="1:8" x14ac:dyDescent="0.25">
      <c r="A43" s="6" t="s">
        <v>122</v>
      </c>
      <c r="B43" s="6"/>
      <c r="C43" s="6"/>
      <c r="D43" s="6"/>
      <c r="E43" s="6"/>
      <c r="F43" s="95"/>
      <c r="G43" s="95">
        <f>SUM(K18/G37)</f>
        <v>70.875219051898441</v>
      </c>
    </row>
    <row r="44" spans="1:8" x14ac:dyDescent="0.25">
      <c r="A44" s="9" t="s">
        <v>123</v>
      </c>
      <c r="B44" s="9"/>
      <c r="C44" s="9"/>
      <c r="D44" s="9"/>
      <c r="E44" s="9"/>
      <c r="F44" s="96"/>
      <c r="G44" s="96">
        <f>SUM(K19/G37)</f>
        <v>53.274857195374921</v>
      </c>
    </row>
    <row r="46" spans="1:8" x14ac:dyDescent="0.25">
      <c r="A46" s="1" t="s">
        <v>124</v>
      </c>
      <c r="B46" s="97" t="s">
        <v>125</v>
      </c>
      <c r="C46" s="97"/>
      <c r="D46" s="97"/>
      <c r="E46" s="97"/>
      <c r="F46" s="97"/>
      <c r="G46" s="97"/>
      <c r="H46" s="97"/>
    </row>
  </sheetData>
  <pageMargins left="0.7" right="0.7" top="0.75" bottom="0.75" header="0.3" footer="0.3"/>
  <pageSetup paperSize="9"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opLeftCell="B10" workbookViewId="0">
      <selection activeCell="B1" sqref="B1:M46"/>
    </sheetView>
  </sheetViews>
  <sheetFormatPr defaultColWidth="9.140625" defaultRowHeight="15" x14ac:dyDescent="0.25"/>
  <cols>
    <col min="1" max="1" width="9.140625" style="1"/>
    <col min="2" max="2" width="20.5703125" style="1" customWidth="1"/>
    <col min="3" max="3" width="9.85546875" style="1" customWidth="1"/>
    <col min="4" max="4" width="9.42578125" style="1" customWidth="1"/>
    <col min="5" max="5" width="7.5703125" style="1" customWidth="1"/>
    <col min="6" max="6" width="6.85546875" style="1" customWidth="1"/>
    <col min="7" max="7" width="11.7109375" style="1" customWidth="1"/>
    <col min="8" max="8" width="9.7109375" style="1" customWidth="1"/>
    <col min="9" max="9" width="11.42578125" style="1" customWidth="1"/>
    <col min="10" max="10" width="10" style="1" customWidth="1"/>
    <col min="11" max="11" width="9.85546875" style="1" customWidth="1"/>
    <col min="12" max="12" width="10.140625" style="1" customWidth="1"/>
    <col min="13" max="16384" width="9.140625" style="1"/>
  </cols>
  <sheetData>
    <row r="1" spans="1:16" x14ac:dyDescent="0.25">
      <c r="A1" s="1" t="s">
        <v>0</v>
      </c>
      <c r="B1" s="1" t="s">
        <v>225</v>
      </c>
      <c r="N1" s="1" t="s">
        <v>309</v>
      </c>
    </row>
    <row r="2" spans="1:16" x14ac:dyDescent="0.25">
      <c r="B2" s="1" t="s">
        <v>226</v>
      </c>
      <c r="C2" s="2"/>
      <c r="N2" s="1" t="s">
        <v>310</v>
      </c>
    </row>
    <row r="3" spans="1:16" x14ac:dyDescent="0.25">
      <c r="B3" s="1" t="s">
        <v>227</v>
      </c>
    </row>
    <row r="4" spans="1:16" x14ac:dyDescent="0.25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6" x14ac:dyDescent="0.25">
      <c r="A5" s="6"/>
      <c r="B5" s="6"/>
      <c r="C5" s="6"/>
      <c r="D5" s="7" t="s">
        <v>14</v>
      </c>
      <c r="E5" s="7" t="s">
        <v>15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17</v>
      </c>
      <c r="K5" s="7" t="s">
        <v>17</v>
      </c>
      <c r="L5" s="8" t="s">
        <v>10</v>
      </c>
      <c r="M5" s="7" t="s">
        <v>11</v>
      </c>
    </row>
    <row r="6" spans="1:16" x14ac:dyDescent="0.25">
      <c r="A6" s="6"/>
      <c r="B6" s="6"/>
      <c r="C6" s="6"/>
      <c r="D6" s="7" t="s">
        <v>19</v>
      </c>
      <c r="E6" s="7"/>
      <c r="F6" s="7"/>
      <c r="G6" s="7"/>
      <c r="H6" s="7" t="s">
        <v>20</v>
      </c>
      <c r="I6" s="7" t="s">
        <v>17</v>
      </c>
      <c r="J6" s="7" t="s">
        <v>20</v>
      </c>
      <c r="K6" s="7" t="s">
        <v>20</v>
      </c>
      <c r="L6" s="7"/>
      <c r="M6" s="7"/>
    </row>
    <row r="7" spans="1:16" x14ac:dyDescent="0.25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6" x14ac:dyDescent="0.25">
      <c r="A8" s="1" t="s">
        <v>228</v>
      </c>
      <c r="D8" s="79">
        <v>100</v>
      </c>
      <c r="E8" s="235">
        <v>0.8</v>
      </c>
      <c r="F8" s="235">
        <v>0.8</v>
      </c>
      <c r="G8" s="13">
        <v>2250</v>
      </c>
      <c r="H8" s="16">
        <f>+E8*G8</f>
        <v>1800</v>
      </c>
      <c r="I8" s="15"/>
      <c r="J8" s="16">
        <v>1306</v>
      </c>
      <c r="K8" s="16">
        <f>SUM(H8:J8)</f>
        <v>3106</v>
      </c>
      <c r="P8" s="55">
        <v>0.71272727272727276</v>
      </c>
    </row>
    <row r="9" spans="1:16" x14ac:dyDescent="0.25">
      <c r="A9" s="1" t="s">
        <v>22</v>
      </c>
      <c r="D9" s="79">
        <v>77</v>
      </c>
      <c r="E9" s="235">
        <v>0.8</v>
      </c>
      <c r="F9" s="235">
        <v>0.8</v>
      </c>
      <c r="G9" s="13">
        <v>2250</v>
      </c>
      <c r="H9" s="16">
        <f>+E9*G9</f>
        <v>1800</v>
      </c>
      <c r="I9" s="16">
        <v>14509</v>
      </c>
      <c r="J9" s="16"/>
      <c r="K9" s="16">
        <f>SUM(H9:J9)</f>
        <v>16309</v>
      </c>
      <c r="P9" s="55"/>
    </row>
    <row r="10" spans="1:16" x14ac:dyDescent="0.25">
      <c r="A10" s="1" t="s">
        <v>229</v>
      </c>
      <c r="D10" s="236" t="s">
        <v>209</v>
      </c>
      <c r="E10" s="237"/>
      <c r="F10" s="237"/>
      <c r="G10" s="236"/>
      <c r="H10" s="238" t="s">
        <v>230</v>
      </c>
      <c r="I10" s="239"/>
      <c r="J10" s="16"/>
      <c r="K10" s="16"/>
      <c r="P10" s="55"/>
    </row>
    <row r="11" spans="1:16" x14ac:dyDescent="0.25">
      <c r="A11" s="1" t="s">
        <v>231</v>
      </c>
      <c r="D11" s="79">
        <v>100</v>
      </c>
      <c r="E11" s="235">
        <v>6.6</v>
      </c>
      <c r="F11" s="235">
        <v>3.2</v>
      </c>
      <c r="G11" s="13">
        <v>2274</v>
      </c>
      <c r="H11" s="16">
        <f t="shared" ref="H11:H16" si="0">+E11*G11</f>
        <v>15008.4</v>
      </c>
      <c r="I11" s="15"/>
      <c r="J11" s="16">
        <f>+E25*G25</f>
        <v>11489.94</v>
      </c>
      <c r="K11" s="16">
        <f>SUM(H11:J11)</f>
        <v>26498.34</v>
      </c>
      <c r="M11" s="1">
        <v>110</v>
      </c>
      <c r="P11" s="55"/>
    </row>
    <row r="12" spans="1:16" x14ac:dyDescent="0.25">
      <c r="A12" s="30" t="s">
        <v>134</v>
      </c>
      <c r="D12" s="79">
        <v>97</v>
      </c>
      <c r="E12" s="220">
        <v>8.4</v>
      </c>
      <c r="F12" s="220">
        <v>4.5999999999999996</v>
      </c>
      <c r="G12" s="221">
        <v>2221</v>
      </c>
      <c r="H12" s="240">
        <f t="shared" si="0"/>
        <v>18656.400000000001</v>
      </c>
      <c r="I12" s="15"/>
      <c r="J12" s="32">
        <f>+E34*G34+E35*G35</f>
        <v>171825</v>
      </c>
      <c r="K12" s="240">
        <f>+J12+I12+H12</f>
        <v>190481.4</v>
      </c>
      <c r="P12" s="55"/>
    </row>
    <row r="13" spans="1:16" x14ac:dyDescent="0.25">
      <c r="A13" s="1" t="s">
        <v>39</v>
      </c>
      <c r="D13" s="79">
        <v>100</v>
      </c>
      <c r="E13" s="235">
        <v>13.5</v>
      </c>
      <c r="F13" s="235">
        <v>6.5</v>
      </c>
      <c r="G13" s="13">
        <v>2247</v>
      </c>
      <c r="H13" s="16">
        <f t="shared" si="0"/>
        <v>30334.5</v>
      </c>
      <c r="I13" s="15"/>
      <c r="J13" s="16"/>
      <c r="K13" s="16">
        <f t="shared" ref="K13:K18" si="1">SUM(H13:J13)</f>
        <v>30334.5</v>
      </c>
      <c r="P13" s="55"/>
    </row>
    <row r="14" spans="1:16" x14ac:dyDescent="0.25">
      <c r="A14" s="1" t="s">
        <v>98</v>
      </c>
      <c r="D14" s="79">
        <v>100</v>
      </c>
      <c r="E14" s="235">
        <v>8.32</v>
      </c>
      <c r="F14" s="235">
        <v>5.66</v>
      </c>
      <c r="G14" s="13">
        <v>2261</v>
      </c>
      <c r="H14" s="16">
        <f t="shared" si="0"/>
        <v>18811.52</v>
      </c>
      <c r="I14" s="15"/>
      <c r="J14" s="16">
        <v>165120</v>
      </c>
      <c r="K14" s="16">
        <f t="shared" si="1"/>
        <v>183931.51999999999</v>
      </c>
      <c r="P14" s="55"/>
    </row>
    <row r="15" spans="1:16" x14ac:dyDescent="0.25">
      <c r="A15" s="1" t="s">
        <v>219</v>
      </c>
      <c r="D15" s="79">
        <v>90</v>
      </c>
      <c r="E15" s="235">
        <v>18</v>
      </c>
      <c r="F15" s="235">
        <v>18</v>
      </c>
      <c r="G15" s="13">
        <v>2247</v>
      </c>
      <c r="H15" s="16">
        <f t="shared" si="0"/>
        <v>40446</v>
      </c>
      <c r="I15" s="16">
        <v>44157</v>
      </c>
      <c r="J15" s="16"/>
      <c r="K15" s="16">
        <f t="shared" si="1"/>
        <v>84603</v>
      </c>
      <c r="P15" s="55"/>
    </row>
    <row r="16" spans="1:16" x14ac:dyDescent="0.25">
      <c r="A16" s="1" t="s">
        <v>140</v>
      </c>
      <c r="D16" s="79">
        <v>100</v>
      </c>
      <c r="E16" s="235">
        <v>33</v>
      </c>
      <c r="F16" s="235">
        <v>23</v>
      </c>
      <c r="G16" s="13">
        <v>2235</v>
      </c>
      <c r="H16" s="16">
        <f t="shared" si="0"/>
        <v>73755</v>
      </c>
      <c r="I16" s="15"/>
      <c r="J16" s="16"/>
      <c r="K16" s="16">
        <f t="shared" si="1"/>
        <v>73755</v>
      </c>
      <c r="P16" s="55"/>
    </row>
    <row r="17" spans="1:16" x14ac:dyDescent="0.25">
      <c r="A17" s="43" t="s">
        <v>103</v>
      </c>
      <c r="B17" s="3"/>
      <c r="C17" s="3"/>
      <c r="D17" s="44"/>
      <c r="E17" s="45">
        <f>SUM(E8:E16)</f>
        <v>89.42</v>
      </c>
      <c r="F17" s="45">
        <f>SUM(F8:F16)</f>
        <v>62.56</v>
      </c>
      <c r="G17" s="45"/>
      <c r="H17" s="45">
        <f>SUM(H8:H16)</f>
        <v>200611.82</v>
      </c>
      <c r="I17" s="45">
        <f>SUM(I8:I16)</f>
        <v>58666</v>
      </c>
      <c r="J17" s="45">
        <f>SUM(J8:J16)</f>
        <v>349740.94</v>
      </c>
      <c r="K17" s="45">
        <f t="shared" si="1"/>
        <v>609018.76</v>
      </c>
      <c r="L17" s="3">
        <f>SUM(L8:L16)</f>
        <v>0</v>
      </c>
      <c r="M17" s="3">
        <f>SUM(M8:M16)</f>
        <v>110</v>
      </c>
      <c r="P17" s="55"/>
    </row>
    <row r="18" spans="1:16" x14ac:dyDescent="0.25">
      <c r="A18" s="48" t="s">
        <v>104</v>
      </c>
      <c r="B18" s="9"/>
      <c r="C18" s="9"/>
      <c r="D18" s="49"/>
      <c r="E18" s="50">
        <f>SUM(E17-F17)</f>
        <v>26.86</v>
      </c>
      <c r="F18" s="50"/>
      <c r="G18" s="50"/>
      <c r="H18" s="50">
        <f>+E28*G28</f>
        <v>60858</v>
      </c>
      <c r="I18" s="50">
        <f>I17-L17</f>
        <v>58666</v>
      </c>
      <c r="J18" s="50">
        <f>+J17-M17</f>
        <v>349630.94</v>
      </c>
      <c r="K18" s="50">
        <f t="shared" si="1"/>
        <v>469154.94</v>
      </c>
      <c r="L18" s="9"/>
      <c r="M18" s="9"/>
    </row>
    <row r="20" spans="1:16" x14ac:dyDescent="0.25">
      <c r="C20" s="1" t="s">
        <v>46</v>
      </c>
    </row>
    <row r="21" spans="1:16" x14ac:dyDescent="0.25">
      <c r="I21" s="1" t="s">
        <v>141</v>
      </c>
      <c r="J21" s="54"/>
    </row>
    <row r="22" spans="1:16" x14ac:dyDescent="0.25">
      <c r="A22" s="1" t="s">
        <v>47</v>
      </c>
      <c r="I22" s="85" t="s">
        <v>109</v>
      </c>
      <c r="J22" s="241">
        <v>0.97</v>
      </c>
    </row>
    <row r="23" spans="1:16" x14ac:dyDescent="0.25">
      <c r="A23" s="53" t="s">
        <v>48</v>
      </c>
      <c r="B23" s="53"/>
      <c r="C23" s="53"/>
      <c r="D23" s="53" t="s">
        <v>49</v>
      </c>
      <c r="E23" s="53" t="s">
        <v>50</v>
      </c>
      <c r="F23" s="53"/>
      <c r="G23" s="53" t="s">
        <v>51</v>
      </c>
      <c r="I23" s="85" t="s">
        <v>106</v>
      </c>
      <c r="J23" s="241">
        <v>0.03</v>
      </c>
      <c r="K23" s="54"/>
      <c r="N23" s="55"/>
    </row>
    <row r="24" spans="1:16" x14ac:dyDescent="0.25">
      <c r="A24" s="1" t="s">
        <v>53</v>
      </c>
      <c r="N24" s="38"/>
    </row>
    <row r="25" spans="1:16" x14ac:dyDescent="0.25">
      <c r="A25" s="225" t="s">
        <v>232</v>
      </c>
      <c r="D25" s="1" t="s">
        <v>108</v>
      </c>
      <c r="E25" s="16">
        <v>7.0000000000000007E-2</v>
      </c>
      <c r="F25" s="15"/>
      <c r="G25" s="16">
        <v>164142</v>
      </c>
      <c r="I25" s="57" t="s">
        <v>58</v>
      </c>
      <c r="J25" s="57">
        <v>0.6</v>
      </c>
    </row>
    <row r="26" spans="1:16" x14ac:dyDescent="0.25">
      <c r="E26" s="38"/>
      <c r="G26" s="68"/>
      <c r="I26" s="57" t="s">
        <v>61</v>
      </c>
      <c r="J26" s="57">
        <v>0.5</v>
      </c>
    </row>
    <row r="27" spans="1:16" x14ac:dyDescent="0.25">
      <c r="A27" s="1" t="s">
        <v>57</v>
      </c>
    </row>
    <row r="28" spans="1:16" x14ac:dyDescent="0.25">
      <c r="A28" s="1" t="s">
        <v>59</v>
      </c>
      <c r="D28" s="1" t="s">
        <v>60</v>
      </c>
      <c r="E28" s="1">
        <v>27</v>
      </c>
      <c r="G28" s="38">
        <v>2254</v>
      </c>
    </row>
    <row r="29" spans="1:16" x14ac:dyDescent="0.25">
      <c r="A29" s="1" t="s">
        <v>145</v>
      </c>
      <c r="D29" s="1" t="s">
        <v>60</v>
      </c>
      <c r="E29" s="1">
        <v>62</v>
      </c>
    </row>
    <row r="30" spans="1:16" x14ac:dyDescent="0.25">
      <c r="A30" s="1" t="s">
        <v>6</v>
      </c>
      <c r="D30" s="1" t="s">
        <v>60</v>
      </c>
      <c r="E30" s="1">
        <f>+E28+E29</f>
        <v>89</v>
      </c>
      <c r="K30" s="58"/>
    </row>
    <row r="32" spans="1:16" x14ac:dyDescent="0.25">
      <c r="A32" s="3" t="s">
        <v>63</v>
      </c>
      <c r="B32" s="3"/>
      <c r="C32" s="3" t="s">
        <v>64</v>
      </c>
      <c r="D32" s="3"/>
      <c r="E32" s="3"/>
      <c r="F32" s="3"/>
      <c r="G32" s="3"/>
    </row>
    <row r="33" spans="1:7" x14ac:dyDescent="0.25">
      <c r="A33" s="30" t="s">
        <v>71</v>
      </c>
      <c r="B33" s="61"/>
      <c r="C33" s="62"/>
      <c r="D33" s="60"/>
      <c r="E33" s="6"/>
      <c r="F33" s="6"/>
      <c r="G33" s="6"/>
    </row>
    <row r="34" spans="1:7" x14ac:dyDescent="0.25">
      <c r="A34" s="30"/>
      <c r="B34" s="226" t="s">
        <v>233</v>
      </c>
      <c r="C34" s="242">
        <v>53</v>
      </c>
      <c r="D34" s="60"/>
      <c r="E34" s="6">
        <v>124</v>
      </c>
      <c r="F34" s="6"/>
      <c r="G34" s="6">
        <v>800</v>
      </c>
    </row>
    <row r="35" spans="1:7" x14ac:dyDescent="0.25">
      <c r="A35" s="48"/>
      <c r="B35" s="61" t="s">
        <v>234</v>
      </c>
      <c r="C35" s="243">
        <v>57</v>
      </c>
      <c r="D35" s="48"/>
      <c r="E35" s="9">
        <v>175</v>
      </c>
      <c r="F35" s="9"/>
      <c r="G35" s="9">
        <v>415</v>
      </c>
    </row>
    <row r="36" spans="1:7" x14ac:dyDescent="0.25">
      <c r="A36" s="43" t="s">
        <v>73</v>
      </c>
      <c r="B36" s="43"/>
      <c r="C36" s="3"/>
      <c r="D36" s="3" t="s">
        <v>74</v>
      </c>
      <c r="E36" s="3"/>
      <c r="F36" s="3"/>
      <c r="G36" s="3" t="s">
        <v>75</v>
      </c>
    </row>
    <row r="37" spans="1:7" x14ac:dyDescent="0.25">
      <c r="A37" s="60" t="s">
        <v>117</v>
      </c>
      <c r="B37" s="60"/>
      <c r="C37" s="6"/>
      <c r="D37" s="63">
        <v>5825</v>
      </c>
      <c r="E37" s="63"/>
      <c r="F37" s="63"/>
      <c r="G37" s="232">
        <f>+D37*2.471</f>
        <v>14393.575000000001</v>
      </c>
    </row>
    <row r="38" spans="1:7" x14ac:dyDescent="0.25">
      <c r="A38" s="60" t="s">
        <v>118</v>
      </c>
      <c r="B38" s="60"/>
      <c r="C38" s="6"/>
      <c r="D38" s="63">
        <v>222</v>
      </c>
      <c r="E38" s="63"/>
      <c r="F38" s="63"/>
      <c r="G38" s="72"/>
    </row>
    <row r="39" spans="1:7" x14ac:dyDescent="0.25">
      <c r="A39" s="60" t="s">
        <v>119</v>
      </c>
      <c r="B39" s="60"/>
      <c r="C39" s="6"/>
      <c r="D39" s="63">
        <f>D37*D38</f>
        <v>1293150</v>
      </c>
      <c r="E39" s="63"/>
      <c r="F39" s="63"/>
      <c r="G39" s="233">
        <f>+D39*2.471</f>
        <v>3195373.65</v>
      </c>
    </row>
    <row r="40" spans="1:7" x14ac:dyDescent="0.25">
      <c r="A40" s="60" t="s">
        <v>120</v>
      </c>
      <c r="B40" s="60"/>
      <c r="C40" s="6"/>
      <c r="D40" s="64">
        <f>D39-K17</f>
        <v>684131.24</v>
      </c>
      <c r="E40" s="63"/>
      <c r="F40" s="63"/>
      <c r="G40" s="233">
        <f>+D40*2.471</f>
        <v>1690488.2940400001</v>
      </c>
    </row>
    <row r="41" spans="1:7" x14ac:dyDescent="0.25">
      <c r="A41" s="60" t="s">
        <v>121</v>
      </c>
      <c r="B41" s="60"/>
      <c r="C41" s="6"/>
      <c r="D41" s="64">
        <f>D39-K18</f>
        <v>823995.06</v>
      </c>
      <c r="E41" s="63"/>
      <c r="F41" s="63"/>
      <c r="G41" s="233">
        <f>+D41*2.471</f>
        <v>2036091.7932600002</v>
      </c>
    </row>
    <row r="42" spans="1:7" x14ac:dyDescent="0.25">
      <c r="A42" s="60"/>
      <c r="B42" s="60"/>
      <c r="C42" s="6"/>
      <c r="D42" s="63"/>
      <c r="E42" s="63"/>
      <c r="F42" s="63"/>
      <c r="G42" s="72"/>
    </row>
    <row r="43" spans="1:7" x14ac:dyDescent="0.25">
      <c r="A43" s="60" t="s">
        <v>122</v>
      </c>
      <c r="B43" s="60"/>
      <c r="C43" s="6"/>
      <c r="D43" s="64">
        <f>K17/D37</f>
        <v>104.55257682403433</v>
      </c>
      <c r="E43" s="63"/>
      <c r="F43" s="63"/>
      <c r="G43" s="72"/>
    </row>
    <row r="44" spans="1:7" x14ac:dyDescent="0.25">
      <c r="A44" s="48" t="s">
        <v>123</v>
      </c>
      <c r="B44" s="48"/>
      <c r="C44" s="9"/>
      <c r="D44" s="73">
        <f>K18/D37</f>
        <v>80.541620600858366</v>
      </c>
      <c r="E44" s="74"/>
      <c r="F44" s="74"/>
      <c r="G44" s="75"/>
    </row>
    <row r="46" spans="1:7" x14ac:dyDescent="0.25">
      <c r="A46" s="15" t="s">
        <v>235</v>
      </c>
      <c r="B46" s="15"/>
      <c r="C46" s="15"/>
      <c r="D46" s="15"/>
    </row>
    <row r="55" spans="7:7" x14ac:dyDescent="0.25">
      <c r="G55" s="1" t="s">
        <v>83</v>
      </c>
    </row>
  </sheetData>
  <pageMargins left="0.7" right="0.7" top="0.75" bottom="0.75" header="0.3" footer="0.3"/>
  <pageSetup paperSize="9"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topLeftCell="A29" workbookViewId="0">
      <selection activeCell="D45" sqref="D45"/>
    </sheetView>
  </sheetViews>
  <sheetFormatPr defaultColWidth="9.140625" defaultRowHeight="15" x14ac:dyDescent="0.25"/>
  <cols>
    <col min="1" max="1" width="9.140625" style="1"/>
    <col min="2" max="2" width="15" style="1" customWidth="1"/>
    <col min="3" max="3" width="12" style="1" customWidth="1"/>
    <col min="4" max="4" width="10.85546875" style="1" customWidth="1"/>
    <col min="5" max="5" width="7.5703125" style="1" customWidth="1"/>
    <col min="6" max="6" width="6.85546875" style="1" customWidth="1"/>
    <col min="7" max="7" width="11.7109375" style="1" customWidth="1"/>
    <col min="8" max="8" width="10.140625" style="1" customWidth="1"/>
    <col min="9" max="9" width="11.140625" style="1" customWidth="1"/>
    <col min="10" max="10" width="10.42578125" style="1" customWidth="1"/>
    <col min="11" max="11" width="10.85546875" style="1" customWidth="1"/>
    <col min="12" max="12" width="11.5703125" style="1" customWidth="1"/>
    <col min="13" max="13" width="9.140625" style="1"/>
    <col min="14" max="14" width="4.85546875" style="76" customWidth="1"/>
    <col min="15" max="16384" width="9.140625" style="1"/>
  </cols>
  <sheetData>
    <row r="1" spans="1:15" x14ac:dyDescent="0.25">
      <c r="A1" s="1" t="s">
        <v>0</v>
      </c>
      <c r="B1" s="1" t="s">
        <v>236</v>
      </c>
      <c r="O1" s="1" t="s">
        <v>237</v>
      </c>
    </row>
    <row r="2" spans="1:15" x14ac:dyDescent="0.25">
      <c r="B2" s="1" t="s">
        <v>238</v>
      </c>
      <c r="C2" s="2"/>
      <c r="O2" s="1" t="s">
        <v>239</v>
      </c>
    </row>
    <row r="3" spans="1:15" x14ac:dyDescent="0.25">
      <c r="B3" s="1" t="s">
        <v>240</v>
      </c>
    </row>
    <row r="4" spans="1:15" x14ac:dyDescent="0.25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5" x14ac:dyDescent="0.25">
      <c r="D5" s="244" t="s">
        <v>14</v>
      </c>
      <c r="E5" s="244" t="s">
        <v>15</v>
      </c>
      <c r="F5" s="244" t="s">
        <v>15</v>
      </c>
      <c r="G5" s="244" t="s">
        <v>16</v>
      </c>
      <c r="H5" s="244" t="s">
        <v>17</v>
      </c>
      <c r="I5" s="244" t="s">
        <v>18</v>
      </c>
      <c r="J5" s="244" t="s">
        <v>17</v>
      </c>
      <c r="K5" s="244" t="s">
        <v>17</v>
      </c>
      <c r="L5" s="86" t="s">
        <v>10</v>
      </c>
      <c r="M5" s="244" t="s">
        <v>11</v>
      </c>
    </row>
    <row r="6" spans="1:15" x14ac:dyDescent="0.25">
      <c r="D6" s="244" t="s">
        <v>19</v>
      </c>
      <c r="E6" s="244"/>
      <c r="F6" s="244"/>
      <c r="G6" s="244"/>
      <c r="H6" s="244" t="s">
        <v>20</v>
      </c>
      <c r="I6" s="244" t="s">
        <v>17</v>
      </c>
      <c r="J6" s="244" t="s">
        <v>20</v>
      </c>
      <c r="K6" s="244" t="s">
        <v>20</v>
      </c>
      <c r="L6" s="244"/>
      <c r="M6" s="244"/>
    </row>
    <row r="7" spans="1:15" x14ac:dyDescent="0.25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5" x14ac:dyDescent="0.25">
      <c r="A8" s="15" t="s">
        <v>129</v>
      </c>
      <c r="D8" s="245">
        <v>100</v>
      </c>
      <c r="E8" s="38">
        <v>12</v>
      </c>
      <c r="F8" s="38">
        <v>3.19</v>
      </c>
      <c r="G8" s="16">
        <v>2395</v>
      </c>
      <c r="H8" s="16">
        <f>SUM(E8*G8)</f>
        <v>28740</v>
      </c>
      <c r="I8" s="15"/>
      <c r="J8" s="16"/>
      <c r="K8" s="16">
        <f>SUM(H8:J8)</f>
        <v>28740</v>
      </c>
    </row>
    <row r="9" spans="1:15" x14ac:dyDescent="0.25">
      <c r="A9" s="15" t="s">
        <v>130</v>
      </c>
      <c r="D9" s="245">
        <v>97</v>
      </c>
      <c r="E9" s="38">
        <v>1.3</v>
      </c>
      <c r="F9" s="38">
        <v>0.74</v>
      </c>
      <c r="G9" s="16">
        <v>2389</v>
      </c>
      <c r="H9" s="16">
        <f t="shared" ref="H9:H17" si="0">SUM(E9*G9)</f>
        <v>3105.7000000000003</v>
      </c>
      <c r="I9" s="16">
        <v>7811</v>
      </c>
      <c r="J9" s="16"/>
      <c r="K9" s="16">
        <f>SUM(H9:J9)</f>
        <v>10916.7</v>
      </c>
      <c r="L9" s="38">
        <v>206</v>
      </c>
    </row>
    <row r="10" spans="1:15" x14ac:dyDescent="0.25">
      <c r="A10" s="15" t="s">
        <v>241</v>
      </c>
      <c r="D10" s="245" t="s">
        <v>242</v>
      </c>
      <c r="E10" s="38"/>
      <c r="F10" s="38"/>
      <c r="G10" s="16"/>
      <c r="H10" s="16"/>
      <c r="I10" s="15"/>
      <c r="J10" s="16"/>
      <c r="K10" s="16"/>
      <c r="L10" s="38"/>
    </row>
    <row r="11" spans="1:15" x14ac:dyDescent="0.25">
      <c r="A11" s="15" t="s">
        <v>131</v>
      </c>
      <c r="D11" s="245">
        <v>100</v>
      </c>
      <c r="E11" s="38">
        <v>17.09</v>
      </c>
      <c r="F11" s="38">
        <v>2.97</v>
      </c>
      <c r="G11" s="16">
        <v>2372</v>
      </c>
      <c r="H11" s="16">
        <f t="shared" si="0"/>
        <v>40537.480000000003</v>
      </c>
      <c r="I11" s="15"/>
      <c r="J11" s="16">
        <v>9131</v>
      </c>
      <c r="K11" s="16">
        <f t="shared" ref="K11:K18" si="1">SUM(H11:J11)</f>
        <v>49668.480000000003</v>
      </c>
    </row>
    <row r="12" spans="1:15" x14ac:dyDescent="0.25">
      <c r="A12" s="15" t="s">
        <v>243</v>
      </c>
      <c r="D12" s="245">
        <v>100</v>
      </c>
      <c r="E12" s="38">
        <v>11.72</v>
      </c>
      <c r="F12" s="38">
        <v>2.3199999999999998</v>
      </c>
      <c r="G12" s="16">
        <v>2300</v>
      </c>
      <c r="H12" s="16">
        <f t="shared" si="0"/>
        <v>26956</v>
      </c>
      <c r="I12" s="15"/>
      <c r="J12" s="16">
        <f>E30*G30</f>
        <v>59486.180335296791</v>
      </c>
      <c r="K12" s="16">
        <f>SUM(H12:J12)</f>
        <v>86442.180335296784</v>
      </c>
    </row>
    <row r="13" spans="1:15" x14ac:dyDescent="0.25">
      <c r="A13" s="190" t="s">
        <v>133</v>
      </c>
      <c r="D13" s="245">
        <v>57</v>
      </c>
      <c r="E13" s="518">
        <v>16.95</v>
      </c>
      <c r="F13" s="518">
        <v>4.51</v>
      </c>
      <c r="G13" s="519">
        <v>2498</v>
      </c>
      <c r="H13" s="520">
        <f>SUM(E13*G13)</f>
        <v>42341.1</v>
      </c>
      <c r="I13" s="15"/>
      <c r="J13" s="16">
        <f>E40*G40</f>
        <v>37515.394912985277</v>
      </c>
      <c r="K13" s="16"/>
    </row>
    <row r="14" spans="1:15" x14ac:dyDescent="0.25">
      <c r="A14" s="190" t="s">
        <v>134</v>
      </c>
      <c r="D14" s="245">
        <v>67</v>
      </c>
      <c r="E14" s="518"/>
      <c r="F14" s="518"/>
      <c r="G14" s="519"/>
      <c r="H14" s="520"/>
      <c r="I14" s="15"/>
      <c r="J14" s="246">
        <f>E42*G42</f>
        <v>95707.27784479293</v>
      </c>
      <c r="K14" s="247">
        <f>SUM(H13+J13+J14)</f>
        <v>175563.77275777821</v>
      </c>
    </row>
    <row r="15" spans="1:15" x14ac:dyDescent="0.25">
      <c r="A15" s="15" t="s">
        <v>244</v>
      </c>
      <c r="D15" s="245">
        <v>100</v>
      </c>
      <c r="E15" s="38">
        <v>21.45</v>
      </c>
      <c r="F15" s="38">
        <v>3.13</v>
      </c>
      <c r="G15" s="16">
        <v>1564</v>
      </c>
      <c r="H15" s="16">
        <f t="shared" si="0"/>
        <v>33547.799999999996</v>
      </c>
      <c r="I15" s="15"/>
      <c r="J15" s="16"/>
      <c r="K15" s="16">
        <f t="shared" si="1"/>
        <v>33547.799999999996</v>
      </c>
    </row>
    <row r="16" spans="1:15" x14ac:dyDescent="0.25">
      <c r="A16" t="s">
        <v>245</v>
      </c>
      <c r="D16" s="245">
        <v>40</v>
      </c>
      <c r="E16" s="38">
        <v>10.33</v>
      </c>
      <c r="F16" s="38">
        <v>0.65</v>
      </c>
      <c r="G16" s="16">
        <v>1192</v>
      </c>
      <c r="H16" s="16">
        <f t="shared" si="0"/>
        <v>12313.36</v>
      </c>
      <c r="I16" s="15"/>
      <c r="J16" s="16">
        <v>23223</v>
      </c>
      <c r="K16" s="16">
        <f t="shared" si="1"/>
        <v>35536.36</v>
      </c>
    </row>
    <row r="17" spans="1:14" x14ac:dyDescent="0.25">
      <c r="A17" s="15" t="s">
        <v>98</v>
      </c>
      <c r="D17" s="245">
        <v>100</v>
      </c>
      <c r="E17" s="38">
        <v>5.96</v>
      </c>
      <c r="F17" s="38">
        <v>4.58</v>
      </c>
      <c r="G17" s="16">
        <v>2516</v>
      </c>
      <c r="H17" s="16">
        <f t="shared" si="0"/>
        <v>14995.36</v>
      </c>
      <c r="I17" s="15"/>
      <c r="J17" s="16">
        <v>35542</v>
      </c>
      <c r="K17" s="16">
        <f t="shared" si="1"/>
        <v>50537.36</v>
      </c>
    </row>
    <row r="18" spans="1:14" x14ac:dyDescent="0.25">
      <c r="A18" s="15" t="s">
        <v>100</v>
      </c>
      <c r="D18" s="245">
        <v>100</v>
      </c>
      <c r="E18" s="38">
        <v>24.35</v>
      </c>
      <c r="F18" s="38">
        <v>24.35</v>
      </c>
      <c r="G18" s="16">
        <v>1100</v>
      </c>
      <c r="H18" s="16">
        <f>SUM(E18*G18)</f>
        <v>26785</v>
      </c>
      <c r="I18" s="15"/>
      <c r="J18" s="16"/>
      <c r="K18" s="16">
        <f t="shared" si="1"/>
        <v>26785</v>
      </c>
    </row>
    <row r="19" spans="1:14" x14ac:dyDescent="0.25">
      <c r="A19" s="15" t="s">
        <v>246</v>
      </c>
      <c r="D19" s="245">
        <v>93</v>
      </c>
      <c r="E19" s="38"/>
      <c r="F19" s="38"/>
      <c r="G19" s="16"/>
      <c r="H19" s="16"/>
      <c r="I19" s="15"/>
      <c r="J19" s="16"/>
      <c r="K19" s="16"/>
    </row>
    <row r="20" spans="1:14" x14ac:dyDescent="0.25">
      <c r="A20" s="15" t="s">
        <v>247</v>
      </c>
      <c r="D20" s="245" t="s">
        <v>248</v>
      </c>
      <c r="E20" s="38"/>
      <c r="F20" s="38"/>
      <c r="G20" s="16"/>
      <c r="H20" s="16"/>
      <c r="I20" s="15"/>
      <c r="J20" s="16"/>
      <c r="K20" s="16"/>
    </row>
    <row r="21" spans="1:14" x14ac:dyDescent="0.25">
      <c r="A21" s="1" t="s">
        <v>43</v>
      </c>
      <c r="D21" s="245"/>
      <c r="E21" s="38"/>
      <c r="F21" s="38"/>
      <c r="G21" s="16"/>
      <c r="H21" s="16"/>
      <c r="I21" s="15"/>
      <c r="J21" s="16"/>
      <c r="K21" s="438">
        <v>30000</v>
      </c>
    </row>
    <row r="22" spans="1:14" x14ac:dyDescent="0.25">
      <c r="A22" s="191" t="s">
        <v>103</v>
      </c>
      <c r="B22" s="3"/>
      <c r="C22" s="3"/>
      <c r="D22" s="249"/>
      <c r="E22" s="45">
        <f>SUM(E8:E19)</f>
        <v>121.15</v>
      </c>
      <c r="F22" s="45">
        <f>SUM(F8:F19)</f>
        <v>46.44</v>
      </c>
      <c r="G22" s="250"/>
      <c r="H22" s="250">
        <f>SUM(H8:H19)</f>
        <v>229321.8</v>
      </c>
      <c r="I22" s="250">
        <f>SUM(I8:I19)</f>
        <v>7811</v>
      </c>
      <c r="J22" s="250">
        <f>SUM(J8:J19)</f>
        <v>260604.85309307498</v>
      </c>
      <c r="K22" s="250">
        <f>SUM(H22:J22)+K21</f>
        <v>527737.65309307491</v>
      </c>
      <c r="L22" s="45">
        <f>SUM(L8:L19)</f>
        <v>206</v>
      </c>
      <c r="M22" s="3">
        <f>SUM(M8:M19)</f>
        <v>0</v>
      </c>
    </row>
    <row r="23" spans="1:14" x14ac:dyDescent="0.25">
      <c r="A23" s="213" t="s">
        <v>104</v>
      </c>
      <c r="B23" s="9"/>
      <c r="C23" s="9"/>
      <c r="D23" s="251"/>
      <c r="E23" s="50">
        <f>SUM(E22-F22)</f>
        <v>74.710000000000008</v>
      </c>
      <c r="F23" s="50"/>
      <c r="G23" s="73"/>
      <c r="H23" s="73">
        <f>SUM(E34*G34)</f>
        <v>141416.68739579036</v>
      </c>
      <c r="I23" s="73">
        <f>I22-L22</f>
        <v>7605</v>
      </c>
      <c r="J23" s="73">
        <f>J22-M22</f>
        <v>260604.85309307498</v>
      </c>
      <c r="K23" s="73">
        <f>SUM(H23:J23)</f>
        <v>409626.54048886534</v>
      </c>
      <c r="L23" s="9"/>
      <c r="M23" s="9"/>
    </row>
    <row r="24" spans="1:14" x14ac:dyDescent="0.25">
      <c r="G24" s="15"/>
      <c r="H24" s="15"/>
      <c r="I24" s="15"/>
      <c r="J24" s="15"/>
      <c r="K24" s="15"/>
    </row>
    <row r="25" spans="1:14" x14ac:dyDescent="0.25">
      <c r="C25" s="1" t="s">
        <v>46</v>
      </c>
      <c r="G25" s="15"/>
      <c r="H25" s="15"/>
      <c r="I25" s="15"/>
      <c r="J25" s="15"/>
      <c r="K25" s="15"/>
    </row>
    <row r="27" spans="1:14" x14ac:dyDescent="0.25">
      <c r="A27" s="1" t="s">
        <v>47</v>
      </c>
    </row>
    <row r="28" spans="1:14" x14ac:dyDescent="0.25">
      <c r="A28" s="53" t="s">
        <v>48</v>
      </c>
      <c r="B28" s="53"/>
      <c r="C28" s="53"/>
      <c r="D28" s="53" t="s">
        <v>49</v>
      </c>
      <c r="E28" s="53" t="s">
        <v>50</v>
      </c>
      <c r="F28" s="53"/>
      <c r="G28" s="53" t="s">
        <v>51</v>
      </c>
      <c r="K28" s="54"/>
      <c r="N28" s="77"/>
    </row>
    <row r="29" spans="1:14" x14ac:dyDescent="0.25">
      <c r="A29" s="1" t="s">
        <v>53</v>
      </c>
      <c r="J29" s="1" t="s">
        <v>141</v>
      </c>
      <c r="K29" s="54"/>
      <c r="N29" s="78"/>
    </row>
    <row r="30" spans="1:14" x14ac:dyDescent="0.25">
      <c r="A30" s="252" t="s">
        <v>143</v>
      </c>
      <c r="D30" s="1" t="s">
        <v>108</v>
      </c>
      <c r="E30" s="16">
        <v>1.7254191209787038</v>
      </c>
      <c r="F30" s="15"/>
      <c r="G30" s="16">
        <v>34476.365546218498</v>
      </c>
      <c r="J30" s="57" t="s">
        <v>249</v>
      </c>
      <c r="K30" s="253">
        <v>0.5</v>
      </c>
    </row>
    <row r="31" spans="1:14" x14ac:dyDescent="0.25">
      <c r="E31" s="38"/>
      <c r="G31" s="68"/>
      <c r="J31" s="57" t="s">
        <v>250</v>
      </c>
      <c r="K31" s="253">
        <v>0.1</v>
      </c>
    </row>
    <row r="32" spans="1:14" x14ac:dyDescent="0.25">
      <c r="J32" s="57" t="s">
        <v>251</v>
      </c>
      <c r="K32" s="253">
        <v>0.4</v>
      </c>
    </row>
    <row r="33" spans="1:11" x14ac:dyDescent="0.25">
      <c r="A33" s="1" t="s">
        <v>57</v>
      </c>
    </row>
    <row r="34" spans="1:11" x14ac:dyDescent="0.25">
      <c r="A34" s="1" t="s">
        <v>112</v>
      </c>
      <c r="D34" s="1" t="s">
        <v>60</v>
      </c>
      <c r="E34" s="38">
        <f>SUM(E22-F22)</f>
        <v>74.710000000000008</v>
      </c>
      <c r="G34" s="38">
        <f>SUM(H22/E36)</f>
        <v>1892.8749484110606</v>
      </c>
      <c r="J34" s="57" t="s">
        <v>58</v>
      </c>
      <c r="K34" s="224">
        <v>0.45979166666666665</v>
      </c>
    </row>
    <row r="35" spans="1:11" x14ac:dyDescent="0.25">
      <c r="A35" s="1" t="s">
        <v>113</v>
      </c>
      <c r="D35" s="1" t="s">
        <v>60</v>
      </c>
      <c r="E35" s="38">
        <f>SUM(F22)</f>
        <v>46.44</v>
      </c>
      <c r="J35" s="57" t="s">
        <v>61</v>
      </c>
      <c r="K35" s="57">
        <v>0.25</v>
      </c>
    </row>
    <row r="36" spans="1:11" x14ac:dyDescent="0.25">
      <c r="A36" s="1" t="s">
        <v>6</v>
      </c>
      <c r="E36" s="1">
        <f>SUM(E34:E35)</f>
        <v>121.15</v>
      </c>
      <c r="K36" s="58"/>
    </row>
    <row r="38" spans="1:11" x14ac:dyDescent="0.25">
      <c r="A38" s="3" t="s">
        <v>63</v>
      </c>
      <c r="B38" s="3"/>
      <c r="C38" s="3" t="s">
        <v>64</v>
      </c>
      <c r="D38" s="3"/>
      <c r="E38" s="3"/>
      <c r="F38" s="3"/>
      <c r="G38" s="3"/>
    </row>
    <row r="39" spans="1:11" x14ac:dyDescent="0.25">
      <c r="A39" t="s">
        <v>65</v>
      </c>
      <c r="B39" s="254"/>
      <c r="C39" s="255"/>
      <c r="D39"/>
      <c r="G39" s="38"/>
    </row>
    <row r="40" spans="1:11" x14ac:dyDescent="0.25">
      <c r="B40" t="s">
        <v>67</v>
      </c>
      <c r="C40" s="256">
        <v>57</v>
      </c>
      <c r="D40" t="s">
        <v>108</v>
      </c>
      <c r="E40" s="257">
        <v>2585.2744310575636</v>
      </c>
      <c r="G40" s="258">
        <v>14.511184755592378</v>
      </c>
    </row>
    <row r="41" spans="1:11" x14ac:dyDescent="0.25">
      <c r="A41" t="s">
        <v>71</v>
      </c>
      <c r="B41" s="254"/>
      <c r="C41" s="255"/>
      <c r="D41"/>
    </row>
    <row r="42" spans="1:11" x14ac:dyDescent="0.25">
      <c r="A42"/>
      <c r="B42" s="440" t="s">
        <v>443</v>
      </c>
      <c r="C42" s="255">
        <v>67</v>
      </c>
      <c r="D42" t="s">
        <v>108</v>
      </c>
      <c r="E42" s="259">
        <v>330.42219541616407</v>
      </c>
      <c r="G42" s="258">
        <v>289.65147975077883</v>
      </c>
    </row>
    <row r="43" spans="1:11" x14ac:dyDescent="0.25">
      <c r="A43" s="213"/>
      <c r="B43" s="254"/>
      <c r="C43" s="260"/>
      <c r="D43" s="213"/>
      <c r="E43" s="9"/>
      <c r="F43" s="9"/>
      <c r="G43" s="9"/>
    </row>
    <row r="44" spans="1:11" x14ac:dyDescent="0.25">
      <c r="A44" s="191" t="s">
        <v>73</v>
      </c>
      <c r="B44" s="191"/>
      <c r="C44" s="3"/>
      <c r="D44" s="3"/>
      <c r="E44" s="3"/>
      <c r="F44" s="3"/>
      <c r="G44" s="3"/>
    </row>
    <row r="45" spans="1:11" x14ac:dyDescent="0.25">
      <c r="A45" t="s">
        <v>117</v>
      </c>
      <c r="B45"/>
      <c r="D45" s="438">
        <v>4758</v>
      </c>
      <c r="G45" s="261">
        <f>D45*2.471</f>
        <v>11757.018</v>
      </c>
    </row>
    <row r="46" spans="1:11" x14ac:dyDescent="0.25">
      <c r="A46" t="s">
        <v>118</v>
      </c>
      <c r="B46"/>
      <c r="D46" s="38">
        <v>254.06059910736781</v>
      </c>
      <c r="G46" s="261"/>
    </row>
    <row r="47" spans="1:11" x14ac:dyDescent="0.25">
      <c r="A47" t="s">
        <v>119</v>
      </c>
      <c r="B47"/>
      <c r="D47" s="262">
        <f>D45*D46</f>
        <v>1208820.330552856</v>
      </c>
      <c r="G47" s="261">
        <f>D47*2.471</f>
        <v>2986995.0367961074</v>
      </c>
    </row>
    <row r="48" spans="1:11" x14ac:dyDescent="0.25">
      <c r="A48" t="s">
        <v>120</v>
      </c>
      <c r="B48"/>
      <c r="D48" s="262">
        <f>D47-K22</f>
        <v>681082.67745978106</v>
      </c>
      <c r="G48" s="261">
        <f>D48*2.471</f>
        <v>1682955.2960031191</v>
      </c>
    </row>
    <row r="49" spans="1:7" x14ac:dyDescent="0.25">
      <c r="A49" t="s">
        <v>121</v>
      </c>
      <c r="B49"/>
      <c r="D49" s="262">
        <f>D47-K23</f>
        <v>799193.79006399063</v>
      </c>
      <c r="G49" s="261">
        <f>D49*2.471</f>
        <v>1974807.8552481208</v>
      </c>
    </row>
    <row r="50" spans="1:7" x14ac:dyDescent="0.25">
      <c r="A50"/>
      <c r="B50"/>
      <c r="D50" s="38"/>
      <c r="G50" s="263"/>
    </row>
    <row r="51" spans="1:7" x14ac:dyDescent="0.25">
      <c r="A51" t="s">
        <v>122</v>
      </c>
      <c r="B51"/>
      <c r="D51" s="262">
        <f>K22/D45</f>
        <v>110.91585815323138</v>
      </c>
      <c r="G51" s="263"/>
    </row>
    <row r="52" spans="1:7" x14ac:dyDescent="0.25">
      <c r="A52" s="213" t="s">
        <v>123</v>
      </c>
      <c r="B52" s="213"/>
      <c r="C52" s="9"/>
      <c r="D52" s="264">
        <f>K23/D45</f>
        <v>86.092169081308398</v>
      </c>
      <c r="E52" s="9"/>
      <c r="F52" s="9"/>
      <c r="G52" s="96"/>
    </row>
    <row r="63" spans="1:7" x14ac:dyDescent="0.25">
      <c r="G63" s="1" t="s">
        <v>83</v>
      </c>
    </row>
  </sheetData>
  <mergeCells count="4">
    <mergeCell ref="E13:E14"/>
    <mergeCell ref="F13:F14"/>
    <mergeCell ref="G13:G14"/>
    <mergeCell ref="H13:H14"/>
  </mergeCells>
  <pageMargins left="0.7" right="0.7" top="0.75" bottom="0.75" header="0.3" footer="0.3"/>
  <pageSetup paperSize="9" scale="5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opLeftCell="A22" workbookViewId="0">
      <selection activeCell="D38" sqref="D38"/>
    </sheetView>
  </sheetViews>
  <sheetFormatPr defaultColWidth="9.140625" defaultRowHeight="18.75" x14ac:dyDescent="0.3"/>
  <cols>
    <col min="1" max="2" width="9.140625" style="441"/>
    <col min="3" max="3" width="9" style="441" customWidth="1"/>
    <col min="4" max="4" width="14.28515625" style="441" customWidth="1"/>
    <col min="5" max="5" width="10.28515625" style="441" customWidth="1"/>
    <col min="6" max="6" width="7.85546875" style="441" customWidth="1"/>
    <col min="7" max="7" width="15.5703125" style="441" customWidth="1"/>
    <col min="8" max="8" width="13.5703125" style="441" customWidth="1"/>
    <col min="9" max="9" width="14.5703125" style="441" customWidth="1"/>
    <col min="10" max="10" width="14.140625" style="441" customWidth="1"/>
    <col min="11" max="11" width="13.140625" style="441" customWidth="1"/>
    <col min="12" max="12" width="10.28515625" style="441" customWidth="1"/>
    <col min="13" max="13" width="11" style="441" bestFit="1" customWidth="1"/>
    <col min="14" max="16384" width="9.140625" style="441"/>
  </cols>
  <sheetData>
    <row r="1" spans="1:13" ht="18.75" customHeight="1" x14ac:dyDescent="0.3">
      <c r="A1" s="1" t="s">
        <v>0</v>
      </c>
      <c r="B1" s="1" t="s">
        <v>281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 t="s">
        <v>282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/>
      <c r="B3" s="1" t="s">
        <v>283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4</v>
      </c>
      <c r="B4" s="3"/>
      <c r="C4" s="3"/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4" t="s">
        <v>10</v>
      </c>
      <c r="J4" s="4" t="s">
        <v>11</v>
      </c>
      <c r="K4" s="4" t="s">
        <v>12</v>
      </c>
      <c r="L4" s="5" t="s">
        <v>13</v>
      </c>
      <c r="M4" s="4"/>
    </row>
    <row r="5" spans="1:13" x14ac:dyDescent="0.3">
      <c r="A5" s="6"/>
      <c r="B5" s="6"/>
      <c r="C5" s="6"/>
      <c r="D5" s="7" t="s">
        <v>14</v>
      </c>
      <c r="E5" s="7" t="s">
        <v>15</v>
      </c>
      <c r="F5" s="7" t="s">
        <v>15</v>
      </c>
      <c r="G5" s="7" t="s">
        <v>16</v>
      </c>
      <c r="H5" s="8" t="s">
        <v>17</v>
      </c>
      <c r="I5" s="7" t="s">
        <v>18</v>
      </c>
      <c r="J5" s="7" t="s">
        <v>17</v>
      </c>
      <c r="K5" s="7" t="s">
        <v>17</v>
      </c>
      <c r="L5" s="8" t="s">
        <v>10</v>
      </c>
      <c r="M5" s="7" t="s">
        <v>11</v>
      </c>
    </row>
    <row r="6" spans="1:13" x14ac:dyDescent="0.3">
      <c r="A6" s="6"/>
      <c r="B6" s="6"/>
      <c r="C6" s="6"/>
      <c r="D6" s="7" t="s">
        <v>19</v>
      </c>
      <c r="E6" s="7"/>
      <c r="F6" s="7"/>
      <c r="G6" s="7"/>
      <c r="H6" s="8" t="s">
        <v>20</v>
      </c>
      <c r="I6" s="7" t="s">
        <v>17</v>
      </c>
      <c r="J6" s="7" t="s">
        <v>20</v>
      </c>
      <c r="K6" s="7" t="s">
        <v>20</v>
      </c>
      <c r="L6" s="7"/>
      <c r="M6" s="7"/>
    </row>
    <row r="7" spans="1:13" x14ac:dyDescent="0.3">
      <c r="A7" s="9"/>
      <c r="B7" s="9"/>
      <c r="C7" s="9"/>
      <c r="D7" s="10"/>
      <c r="E7" s="10"/>
      <c r="F7" s="10"/>
      <c r="G7" s="10"/>
      <c r="H7" s="10"/>
      <c r="I7" s="10" t="s">
        <v>20</v>
      </c>
      <c r="J7" s="10"/>
      <c r="K7" s="10"/>
      <c r="L7" s="10"/>
      <c r="M7" s="10"/>
    </row>
    <row r="8" spans="1:13" x14ac:dyDescent="0.3">
      <c r="A8" s="1" t="s">
        <v>129</v>
      </c>
      <c r="B8" s="1"/>
      <c r="C8" s="1"/>
      <c r="D8" s="79">
        <v>47</v>
      </c>
      <c r="E8" s="38">
        <v>7.31</v>
      </c>
      <c r="F8" s="38">
        <v>3.16</v>
      </c>
      <c r="G8" s="39">
        <v>1629</v>
      </c>
      <c r="H8" s="262">
        <f>SUM(E8*G8)</f>
        <v>11907.99</v>
      </c>
      <c r="I8" s="1"/>
      <c r="J8" s="38"/>
      <c r="K8" s="262">
        <f t="shared" ref="K8:K19" si="0">SUM(H8:J8)</f>
        <v>11907.99</v>
      </c>
      <c r="L8" s="1"/>
      <c r="M8" s="1"/>
    </row>
    <row r="9" spans="1:13" x14ac:dyDescent="0.3">
      <c r="A9" s="1" t="s">
        <v>130</v>
      </c>
      <c r="B9" s="1"/>
      <c r="C9" s="1"/>
      <c r="D9" s="79">
        <v>60</v>
      </c>
      <c r="E9" s="38">
        <v>1.49</v>
      </c>
      <c r="F9" s="38">
        <v>1.26</v>
      </c>
      <c r="G9" s="39">
        <v>1629</v>
      </c>
      <c r="H9" s="262">
        <f t="shared" ref="H9:H17" si="1">SUM(E9*G9)</f>
        <v>2427.21</v>
      </c>
      <c r="I9" s="38">
        <v>19504</v>
      </c>
      <c r="J9" s="38"/>
      <c r="K9" s="262">
        <f t="shared" si="0"/>
        <v>21931.21</v>
      </c>
      <c r="L9" s="38">
        <v>5703</v>
      </c>
      <c r="M9" s="1"/>
    </row>
    <row r="10" spans="1:13" x14ac:dyDescent="0.3">
      <c r="A10" s="1" t="s">
        <v>163</v>
      </c>
      <c r="B10" s="1"/>
      <c r="C10" s="1"/>
      <c r="D10" s="236" t="s">
        <v>284</v>
      </c>
      <c r="E10" s="237" t="s">
        <v>285</v>
      </c>
      <c r="F10" s="237" t="s">
        <v>286</v>
      </c>
      <c r="G10" s="39" t="s">
        <v>287</v>
      </c>
      <c r="H10" s="443" t="s">
        <v>288</v>
      </c>
      <c r="I10" s="23"/>
      <c r="J10" s="38"/>
      <c r="K10" s="262">
        <f t="shared" si="0"/>
        <v>0</v>
      </c>
      <c r="L10" s="1"/>
      <c r="M10" s="1"/>
    </row>
    <row r="11" spans="1:13" x14ac:dyDescent="0.3">
      <c r="A11" s="1" t="s">
        <v>131</v>
      </c>
      <c r="B11" s="1"/>
      <c r="C11" s="1"/>
      <c r="D11" s="79">
        <v>100</v>
      </c>
      <c r="E11" s="38">
        <v>8.89</v>
      </c>
      <c r="F11" s="38">
        <v>3.92</v>
      </c>
      <c r="G11" s="39">
        <v>2146</v>
      </c>
      <c r="H11" s="262">
        <f t="shared" si="1"/>
        <v>19077.940000000002</v>
      </c>
      <c r="I11" s="1"/>
      <c r="J11" s="38"/>
      <c r="K11" s="262">
        <f t="shared" si="0"/>
        <v>19077.940000000002</v>
      </c>
      <c r="L11" s="1"/>
      <c r="M11" s="1"/>
    </row>
    <row r="12" spans="1:13" x14ac:dyDescent="0.3">
      <c r="A12" s="1" t="s">
        <v>132</v>
      </c>
      <c r="B12" s="1"/>
      <c r="C12" s="1"/>
      <c r="D12" s="79">
        <v>100</v>
      </c>
      <c r="E12" s="38">
        <v>11.33</v>
      </c>
      <c r="F12" s="38">
        <v>5.63</v>
      </c>
      <c r="G12" s="39">
        <v>1616</v>
      </c>
      <c r="H12" s="262">
        <f t="shared" si="1"/>
        <v>18309.28</v>
      </c>
      <c r="I12" s="1"/>
      <c r="J12" s="16">
        <f>E29*G29</f>
        <v>37626.120000000003</v>
      </c>
      <c r="K12" s="262">
        <f t="shared" si="0"/>
        <v>55935.4</v>
      </c>
      <c r="L12" s="1"/>
      <c r="M12" s="1"/>
    </row>
    <row r="13" spans="1:13" x14ac:dyDescent="0.3">
      <c r="A13" s="30" t="s">
        <v>96</v>
      </c>
      <c r="B13" s="1"/>
      <c r="C13" s="1"/>
      <c r="D13" s="79">
        <v>100</v>
      </c>
      <c r="E13" s="38">
        <v>4.97</v>
      </c>
      <c r="F13" s="38">
        <v>3.86</v>
      </c>
      <c r="G13" s="39">
        <v>1616</v>
      </c>
      <c r="H13" s="262">
        <f t="shared" si="1"/>
        <v>8031.5199999999995</v>
      </c>
      <c r="I13" s="1"/>
      <c r="J13" s="32">
        <f>E35*G35+E36*G36</f>
        <v>76229</v>
      </c>
      <c r="K13" s="262">
        <f t="shared" si="0"/>
        <v>84260.52</v>
      </c>
      <c r="L13" s="1"/>
      <c r="M13" s="1"/>
    </row>
    <row r="14" spans="1:13" x14ac:dyDescent="0.3">
      <c r="A14" s="1" t="s">
        <v>39</v>
      </c>
      <c r="B14" s="1"/>
      <c r="C14" s="1"/>
      <c r="D14" s="79">
        <v>100</v>
      </c>
      <c r="E14" s="38">
        <v>9.6199999999999992</v>
      </c>
      <c r="F14" s="38">
        <v>4.8899999999999997</v>
      </c>
      <c r="G14" s="39">
        <v>2015</v>
      </c>
      <c r="H14" s="262">
        <f t="shared" si="1"/>
        <v>19384.3</v>
      </c>
      <c r="I14" s="1"/>
      <c r="J14" s="38"/>
      <c r="K14" s="262">
        <f t="shared" si="0"/>
        <v>19384.3</v>
      </c>
      <c r="L14" s="1"/>
      <c r="M14" s="1"/>
    </row>
    <row r="15" spans="1:13" x14ac:dyDescent="0.3">
      <c r="A15" s="1" t="s">
        <v>98</v>
      </c>
      <c r="B15" s="1"/>
      <c r="C15" s="1"/>
      <c r="D15" s="79">
        <v>87</v>
      </c>
      <c r="E15" s="38">
        <v>10.35</v>
      </c>
      <c r="F15" s="38">
        <v>9.4600000000000009</v>
      </c>
      <c r="G15" s="39">
        <v>2175</v>
      </c>
      <c r="H15" s="262">
        <f t="shared" si="1"/>
        <v>22511.25</v>
      </c>
      <c r="I15" s="1"/>
      <c r="J15" s="38">
        <v>47010</v>
      </c>
      <c r="K15" s="262">
        <f t="shared" si="0"/>
        <v>69521.25</v>
      </c>
      <c r="L15" s="1"/>
      <c r="M15" s="1"/>
    </row>
    <row r="16" spans="1:13" x14ac:dyDescent="0.3">
      <c r="A16" s="1" t="s">
        <v>289</v>
      </c>
      <c r="B16" s="1"/>
      <c r="C16" s="1"/>
      <c r="D16" s="79">
        <v>100</v>
      </c>
      <c r="E16" s="38">
        <v>9.32</v>
      </c>
      <c r="F16" s="38">
        <v>6.11</v>
      </c>
      <c r="G16" s="39">
        <v>2131</v>
      </c>
      <c r="H16" s="262">
        <f t="shared" si="1"/>
        <v>19860.920000000002</v>
      </c>
      <c r="I16" s="1"/>
      <c r="J16" s="38">
        <v>84193</v>
      </c>
      <c r="K16" s="262">
        <f t="shared" si="0"/>
        <v>104053.92</v>
      </c>
      <c r="L16" s="1"/>
      <c r="M16" s="38">
        <v>12623</v>
      </c>
    </row>
    <row r="17" spans="1:14" x14ac:dyDescent="0.3">
      <c r="A17" s="1" t="s">
        <v>219</v>
      </c>
      <c r="B17" s="1"/>
      <c r="C17" s="1"/>
      <c r="D17" s="79">
        <v>100</v>
      </c>
      <c r="E17" s="38">
        <v>13.96</v>
      </c>
      <c r="F17" s="38">
        <v>12.54</v>
      </c>
      <c r="G17" s="39">
        <v>1567</v>
      </c>
      <c r="H17" s="262">
        <f t="shared" si="1"/>
        <v>21875.32</v>
      </c>
      <c r="I17" s="1"/>
      <c r="J17" s="38"/>
      <c r="K17" s="262">
        <f t="shared" si="0"/>
        <v>21875.32</v>
      </c>
      <c r="L17" s="1"/>
      <c r="M17" s="1"/>
    </row>
    <row r="18" spans="1:14" x14ac:dyDescent="0.3">
      <c r="A18" s="1" t="s">
        <v>140</v>
      </c>
      <c r="B18" s="1"/>
      <c r="C18" s="1"/>
      <c r="D18" s="79">
        <v>100</v>
      </c>
      <c r="E18" s="38">
        <v>28.77</v>
      </c>
      <c r="F18" s="38">
        <v>15.41</v>
      </c>
      <c r="G18" s="39">
        <v>1642</v>
      </c>
      <c r="H18" s="262">
        <f>SUM(E18*G18)</f>
        <v>47240.34</v>
      </c>
      <c r="I18" s="1"/>
      <c r="J18" s="38"/>
      <c r="K18" s="262">
        <f t="shared" si="0"/>
        <v>47240.34</v>
      </c>
      <c r="L18" s="1"/>
      <c r="M18" s="1"/>
    </row>
    <row r="19" spans="1:14" x14ac:dyDescent="0.3">
      <c r="A19" s="1" t="s">
        <v>102</v>
      </c>
      <c r="B19" s="1"/>
      <c r="C19" s="1"/>
      <c r="D19" s="79">
        <v>93</v>
      </c>
      <c r="E19" s="38">
        <v>6.84</v>
      </c>
      <c r="F19" s="38">
        <v>6.84</v>
      </c>
      <c r="G19" s="39">
        <v>1600</v>
      </c>
      <c r="H19" s="262">
        <f>SUM(E19*G19)</f>
        <v>10944</v>
      </c>
      <c r="I19" s="38">
        <v>14042</v>
      </c>
      <c r="J19" s="38"/>
      <c r="K19" s="262">
        <f t="shared" si="0"/>
        <v>24986</v>
      </c>
      <c r="L19" s="38">
        <v>2669</v>
      </c>
      <c r="M19" s="1"/>
    </row>
    <row r="20" spans="1:14" x14ac:dyDescent="0.3">
      <c r="A20" s="1" t="s">
        <v>290</v>
      </c>
      <c r="B20" s="1"/>
      <c r="C20" s="1"/>
      <c r="D20" s="79"/>
      <c r="E20" s="38"/>
      <c r="F20" s="38"/>
      <c r="G20" s="39"/>
      <c r="H20" s="262"/>
      <c r="I20" s="38"/>
      <c r="J20" s="38"/>
      <c r="K20" s="16">
        <v>14000</v>
      </c>
      <c r="L20" s="38"/>
      <c r="M20" s="1"/>
    </row>
    <row r="21" spans="1:14" x14ac:dyDescent="0.3">
      <c r="A21" s="43" t="s">
        <v>103</v>
      </c>
      <c r="B21" s="43"/>
      <c r="C21" s="43"/>
      <c r="D21" s="44"/>
      <c r="E21" s="45">
        <f>SUM(E8:E19)</f>
        <v>112.85</v>
      </c>
      <c r="F21" s="45">
        <f>SUM(F8:F19)</f>
        <v>73.08</v>
      </c>
      <c r="G21" s="45"/>
      <c r="H21" s="45">
        <f>SUM(H8:H19)</f>
        <v>201570.06999999998</v>
      </c>
      <c r="I21" s="45">
        <f>SUM(I8:I19)</f>
        <v>33546</v>
      </c>
      <c r="J21" s="45">
        <f>SUM(J8:J19)</f>
        <v>245058.12</v>
      </c>
      <c r="K21" s="45">
        <f>SUM(H21:J21)+K20</f>
        <v>494174.18999999994</v>
      </c>
      <c r="L21" s="45">
        <f>SUM(L8:L19)</f>
        <v>8372</v>
      </c>
      <c r="M21" s="45">
        <f>SUM(M8:M19)</f>
        <v>12623</v>
      </c>
    </row>
    <row r="22" spans="1:14" x14ac:dyDescent="0.3">
      <c r="A22" s="48" t="s">
        <v>104</v>
      </c>
      <c r="B22" s="48"/>
      <c r="C22" s="48"/>
      <c r="D22" s="49"/>
      <c r="E22" s="50">
        <f>SUM(E21-F21)</f>
        <v>39.769999999999996</v>
      </c>
      <c r="F22" s="50"/>
      <c r="G22" s="50"/>
      <c r="H22" s="50">
        <f>SUM(E31*G31)</f>
        <v>71036.257721754533</v>
      </c>
      <c r="I22" s="50">
        <f>I21-L21</f>
        <v>25174</v>
      </c>
      <c r="J22" s="50">
        <f>J21-M21</f>
        <v>232435.12</v>
      </c>
      <c r="K22" s="50">
        <f>SUM(H22:J22)</f>
        <v>328645.37772175454</v>
      </c>
      <c r="L22" s="50"/>
      <c r="M22" s="50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4" x14ac:dyDescent="0.3">
      <c r="A24" s="1"/>
      <c r="B24" s="1"/>
      <c r="C24" s="1" t="s">
        <v>46</v>
      </c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4" x14ac:dyDescent="0.3">
      <c r="A26" s="1" t="s">
        <v>47</v>
      </c>
      <c r="B26" s="1"/>
      <c r="C26" s="1"/>
      <c r="D26" s="1"/>
      <c r="E26" s="1"/>
      <c r="F26" s="1"/>
      <c r="G26" s="1"/>
      <c r="H26" s="1"/>
      <c r="I26" s="1"/>
      <c r="J26" s="57" t="s">
        <v>291</v>
      </c>
      <c r="K26" s="241">
        <v>0.73</v>
      </c>
      <c r="L26" s="1"/>
      <c r="M26" s="1"/>
    </row>
    <row r="27" spans="1:14" x14ac:dyDescent="0.3">
      <c r="A27" s="53" t="s">
        <v>48</v>
      </c>
      <c r="B27" s="53"/>
      <c r="C27" s="53"/>
      <c r="D27" s="53" t="s">
        <v>49</v>
      </c>
      <c r="E27" s="53" t="s">
        <v>50</v>
      </c>
      <c r="F27" s="53"/>
      <c r="G27" s="53" t="s">
        <v>51</v>
      </c>
      <c r="H27" s="1"/>
      <c r="I27" s="1"/>
      <c r="J27" s="57" t="s">
        <v>251</v>
      </c>
      <c r="K27" s="241">
        <v>0.27</v>
      </c>
      <c r="L27" s="1"/>
      <c r="M27" s="1"/>
      <c r="N27" s="444"/>
    </row>
    <row r="28" spans="1:14" x14ac:dyDescent="0.3">
      <c r="A28" s="1" t="s">
        <v>53</v>
      </c>
      <c r="B28" s="1"/>
      <c r="C28" s="1"/>
      <c r="D28" s="1"/>
      <c r="E28" s="1"/>
      <c r="F28" s="1"/>
      <c r="G28" s="1"/>
      <c r="H28" s="1"/>
      <c r="I28" s="1"/>
      <c r="J28" s="1"/>
      <c r="K28" s="54"/>
      <c r="L28" s="1"/>
      <c r="M28" s="1"/>
      <c r="N28" s="442"/>
    </row>
    <row r="29" spans="1:14" x14ac:dyDescent="0.3">
      <c r="A29" s="225" t="s">
        <v>107</v>
      </c>
      <c r="B29" s="1"/>
      <c r="C29" s="1"/>
      <c r="D29" s="1" t="s">
        <v>108</v>
      </c>
      <c r="E29" s="16">
        <v>13.23</v>
      </c>
      <c r="F29" s="15"/>
      <c r="G29" s="16">
        <v>2844</v>
      </c>
      <c r="H29" s="1"/>
      <c r="I29" s="1"/>
      <c r="J29" s="1"/>
      <c r="K29" s="1"/>
      <c r="L29" s="1"/>
      <c r="M29" s="1"/>
    </row>
    <row r="30" spans="1:14" x14ac:dyDescent="0.3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57" t="s">
        <v>58</v>
      </c>
      <c r="K30" s="224">
        <f>12.47/30</f>
        <v>0.41566666666666668</v>
      </c>
      <c r="L30" s="1"/>
      <c r="M30" s="1"/>
    </row>
    <row r="31" spans="1:14" x14ac:dyDescent="0.3">
      <c r="A31" s="1" t="s">
        <v>112</v>
      </c>
      <c r="B31" s="1"/>
      <c r="C31" s="1"/>
      <c r="D31" s="1" t="s">
        <v>60</v>
      </c>
      <c r="E31" s="1">
        <f>SUM(E21-F21)</f>
        <v>39.769999999999996</v>
      </c>
      <c r="F31" s="1"/>
      <c r="G31" s="38">
        <f>SUM(H21/E33)</f>
        <v>1786.1769605671243</v>
      </c>
      <c r="H31" s="1"/>
      <c r="I31" s="1"/>
      <c r="J31" s="57" t="s">
        <v>61</v>
      </c>
      <c r="K31" s="57">
        <v>0.25</v>
      </c>
      <c r="L31" s="1"/>
      <c r="M31" s="1"/>
    </row>
    <row r="32" spans="1:14" x14ac:dyDescent="0.3">
      <c r="A32" s="1" t="s">
        <v>113</v>
      </c>
      <c r="B32" s="1"/>
      <c r="C32" s="1"/>
      <c r="D32" s="1" t="s">
        <v>60</v>
      </c>
      <c r="E32" s="1">
        <f>SUM(F21)</f>
        <v>73.08</v>
      </c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" t="s">
        <v>6</v>
      </c>
      <c r="B33" s="1"/>
      <c r="C33" s="1"/>
      <c r="D33" s="1"/>
      <c r="E33" s="1">
        <f>SUM(E31:E32)</f>
        <v>112.85</v>
      </c>
      <c r="F33" s="1"/>
      <c r="G33" s="1"/>
      <c r="H33" s="1"/>
      <c r="I33" s="1"/>
      <c r="J33" s="1"/>
      <c r="K33" s="58"/>
      <c r="L33" s="1"/>
      <c r="M33" s="1"/>
    </row>
    <row r="34" spans="1:13" x14ac:dyDescent="0.3">
      <c r="A34" s="3" t="s">
        <v>63</v>
      </c>
      <c r="B34" s="3"/>
      <c r="C34" s="3" t="s">
        <v>64</v>
      </c>
      <c r="D34" s="3"/>
      <c r="E34" s="3"/>
      <c r="F34" s="3"/>
      <c r="G34" s="3"/>
      <c r="H34" s="1"/>
      <c r="I34" s="1"/>
      <c r="J34" s="1"/>
      <c r="K34" s="1"/>
      <c r="L34" s="1"/>
      <c r="M34" s="1"/>
    </row>
    <row r="35" spans="1:13" x14ac:dyDescent="0.3">
      <c r="A35" s="60" t="s">
        <v>67</v>
      </c>
      <c r="B35" s="61"/>
      <c r="C35" s="62">
        <v>97</v>
      </c>
      <c r="D35" s="60" t="s">
        <v>68</v>
      </c>
      <c r="E35" s="63">
        <v>795</v>
      </c>
      <c r="F35" s="63"/>
      <c r="G35" s="64">
        <v>22</v>
      </c>
      <c r="H35" s="1"/>
      <c r="I35" s="1"/>
      <c r="J35" s="1"/>
      <c r="K35" s="1"/>
      <c r="L35" s="1"/>
      <c r="M35" s="1"/>
    </row>
    <row r="36" spans="1:13" x14ac:dyDescent="0.3">
      <c r="A36" s="60" t="s">
        <v>292</v>
      </c>
      <c r="B36" s="61"/>
      <c r="C36" s="62">
        <v>60</v>
      </c>
      <c r="D36" s="60" t="s">
        <v>108</v>
      </c>
      <c r="E36" s="63">
        <v>151</v>
      </c>
      <c r="F36" s="63"/>
      <c r="G36" s="64">
        <v>389</v>
      </c>
      <c r="H36" s="1"/>
      <c r="I36" s="1"/>
      <c r="J36" s="1"/>
      <c r="K36" s="1"/>
      <c r="L36" s="1"/>
      <c r="M36" s="1"/>
    </row>
    <row r="37" spans="1:13" x14ac:dyDescent="0.3">
      <c r="A37" s="43" t="s">
        <v>73</v>
      </c>
      <c r="B37" s="43"/>
      <c r="C37" s="43"/>
      <c r="D37" s="3"/>
      <c r="E37" s="3"/>
      <c r="F37" s="3"/>
      <c r="G37" s="3" t="s">
        <v>75</v>
      </c>
      <c r="H37" s="1"/>
      <c r="I37" s="1"/>
      <c r="J37" s="1"/>
      <c r="K37" s="1"/>
      <c r="L37" s="1"/>
      <c r="M37" s="1"/>
    </row>
    <row r="38" spans="1:13" x14ac:dyDescent="0.3">
      <c r="A38" s="60" t="s">
        <v>117</v>
      </c>
      <c r="B38" s="60"/>
      <c r="C38" s="60"/>
      <c r="D38" s="445">
        <v>2595</v>
      </c>
      <c r="E38" s="63" t="s">
        <v>293</v>
      </c>
      <c r="F38" s="63"/>
      <c r="G38" s="446">
        <f>D38*2.471</f>
        <v>6412.2449999999999</v>
      </c>
      <c r="H38" s="1"/>
      <c r="I38" s="1"/>
      <c r="J38" s="1"/>
      <c r="K38" s="1"/>
      <c r="L38" s="1"/>
      <c r="M38" s="1"/>
    </row>
    <row r="39" spans="1:13" x14ac:dyDescent="0.3">
      <c r="A39" s="60" t="s">
        <v>118</v>
      </c>
      <c r="B39" s="60"/>
      <c r="C39" s="60"/>
      <c r="D39" s="64">
        <v>235</v>
      </c>
      <c r="E39" s="63"/>
      <c r="F39" s="63"/>
      <c r="G39" s="72"/>
      <c r="H39" s="1"/>
      <c r="I39" s="1"/>
      <c r="J39" s="1"/>
      <c r="K39" s="1"/>
      <c r="L39" s="1"/>
      <c r="M39" s="1"/>
    </row>
    <row r="40" spans="1:13" x14ac:dyDescent="0.3">
      <c r="A40" s="60" t="s">
        <v>119</v>
      </c>
      <c r="B40" s="60"/>
      <c r="C40" s="60"/>
      <c r="D40" s="64">
        <f>D38*D39</f>
        <v>609825</v>
      </c>
      <c r="E40" s="63"/>
      <c r="F40" s="63"/>
      <c r="G40" s="72">
        <f>D40*2.471</f>
        <v>1506877.575</v>
      </c>
      <c r="H40" s="1"/>
      <c r="I40" s="1"/>
      <c r="J40" s="1"/>
      <c r="K40" s="1"/>
      <c r="L40" s="1"/>
      <c r="M40" s="1"/>
    </row>
    <row r="41" spans="1:13" x14ac:dyDescent="0.3">
      <c r="A41" s="60" t="s">
        <v>120</v>
      </c>
      <c r="B41" s="60"/>
      <c r="C41" s="60"/>
      <c r="D41" s="64">
        <f>D40-K21</f>
        <v>115650.81000000006</v>
      </c>
      <c r="E41" s="63"/>
      <c r="F41" s="63"/>
      <c r="G41" s="72">
        <f>D41*2.471</f>
        <v>285773.15151000017</v>
      </c>
      <c r="H41" s="1"/>
      <c r="I41" s="1"/>
      <c r="J41" s="1"/>
      <c r="K41" s="1"/>
      <c r="L41" s="1"/>
      <c r="M41" s="1"/>
    </row>
    <row r="42" spans="1:13" x14ac:dyDescent="0.3">
      <c r="A42" s="60" t="s">
        <v>121</v>
      </c>
      <c r="B42" s="60"/>
      <c r="C42" s="60"/>
      <c r="D42" s="64">
        <f>D40-K22</f>
        <v>281179.62227824546</v>
      </c>
      <c r="E42" s="63"/>
      <c r="F42" s="63"/>
      <c r="G42" s="72">
        <f>D42*2.471</f>
        <v>694794.84664954455</v>
      </c>
      <c r="H42" s="1"/>
      <c r="I42" s="1"/>
      <c r="J42" s="1"/>
      <c r="K42" s="1"/>
      <c r="L42" s="1"/>
      <c r="M42" s="1"/>
    </row>
    <row r="43" spans="1:13" x14ac:dyDescent="0.3">
      <c r="A43" s="60"/>
      <c r="B43" s="60"/>
      <c r="C43" s="60"/>
      <c r="D43" s="63"/>
      <c r="E43" s="63"/>
      <c r="F43" s="63"/>
      <c r="G43" s="72"/>
      <c r="H43" s="1"/>
      <c r="I43" s="1"/>
      <c r="J43" s="1"/>
      <c r="K43" s="1"/>
      <c r="L43" s="1"/>
      <c r="M43" s="1"/>
    </row>
    <row r="44" spans="1:13" x14ac:dyDescent="0.3">
      <c r="A44" s="60" t="s">
        <v>122</v>
      </c>
      <c r="B44" s="60"/>
      <c r="C44" s="60"/>
      <c r="D44" s="64">
        <f>K21/D38</f>
        <v>190.43321387283234</v>
      </c>
      <c r="E44" s="63"/>
      <c r="F44" s="63"/>
      <c r="G44" s="72"/>
      <c r="H44" s="1"/>
      <c r="I44" s="1"/>
      <c r="J44" s="1"/>
      <c r="K44" s="1"/>
      <c r="L44" s="1"/>
      <c r="M44" s="1"/>
    </row>
    <row r="45" spans="1:13" x14ac:dyDescent="0.3">
      <c r="A45" s="48" t="s">
        <v>123</v>
      </c>
      <c r="B45" s="48"/>
      <c r="C45" s="48"/>
      <c r="D45" s="73">
        <f>K22/D38</f>
        <v>126.64561761917324</v>
      </c>
      <c r="E45" s="74"/>
      <c r="F45" s="74"/>
      <c r="G45" s="75"/>
      <c r="H45" s="1"/>
      <c r="I45" s="1"/>
      <c r="J45" s="1"/>
      <c r="K45" s="1"/>
      <c r="L45" s="1"/>
      <c r="M45" s="1"/>
    </row>
    <row r="46" spans="1:13" x14ac:dyDescent="0.3">
      <c r="A46" s="30"/>
      <c r="B46" s="30"/>
      <c r="C46" s="30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379" t="s">
        <v>294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56" spans="7:7" x14ac:dyDescent="0.3">
      <c r="G56" s="441" t="s">
        <v>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3"/>
  <sheetViews>
    <sheetView topLeftCell="F10" workbookViewId="0">
      <selection activeCell="I43" sqref="I43"/>
    </sheetView>
  </sheetViews>
  <sheetFormatPr defaultColWidth="9.140625" defaultRowHeight="15" x14ac:dyDescent="0.25"/>
  <cols>
    <col min="1" max="2" width="9.140625" style="15"/>
    <col min="3" max="3" width="13.42578125" style="15" customWidth="1"/>
    <col min="4" max="4" width="10.7109375" style="15" customWidth="1"/>
    <col min="5" max="5" width="10.5703125" style="15" customWidth="1"/>
    <col min="6" max="6" width="6.85546875" style="15" customWidth="1"/>
    <col min="7" max="7" width="12.7109375" style="15" customWidth="1"/>
    <col min="8" max="8" width="10.85546875" style="15" customWidth="1"/>
    <col min="9" max="9" width="10.7109375" style="15" customWidth="1"/>
    <col min="10" max="10" width="9.5703125" style="15" customWidth="1"/>
    <col min="11" max="11" width="10.85546875" style="15" customWidth="1"/>
    <col min="12" max="12" width="11.5703125" style="15" customWidth="1"/>
    <col min="13" max="13" width="9.5703125" style="15" bestFit="1" customWidth="1"/>
    <col min="14" max="15" width="9.140625" style="15"/>
    <col min="16" max="16" width="10.5703125" style="15" bestFit="1" customWidth="1"/>
    <col min="17" max="16384" width="9.140625" style="15"/>
  </cols>
  <sheetData>
    <row r="1" spans="1:19" x14ac:dyDescent="0.25">
      <c r="A1" s="15" t="s">
        <v>0</v>
      </c>
      <c r="B1" s="15" t="s">
        <v>436</v>
      </c>
    </row>
    <row r="2" spans="1:19" x14ac:dyDescent="0.25">
      <c r="B2" s="15" t="s">
        <v>435</v>
      </c>
    </row>
    <row r="3" spans="1:19" x14ac:dyDescent="0.25">
      <c r="B3" s="15" t="s">
        <v>315</v>
      </c>
    </row>
    <row r="4" spans="1:19" x14ac:dyDescent="0.25">
      <c r="A4" s="59" t="s">
        <v>4</v>
      </c>
      <c r="B4" s="59"/>
      <c r="C4" s="59"/>
      <c r="D4" s="359" t="s">
        <v>5</v>
      </c>
      <c r="E4" s="359" t="s">
        <v>6</v>
      </c>
      <c r="F4" s="359" t="s">
        <v>7</v>
      </c>
      <c r="G4" s="359" t="s">
        <v>8</v>
      </c>
      <c r="H4" s="359" t="s">
        <v>9</v>
      </c>
      <c r="I4" s="359" t="s">
        <v>10</v>
      </c>
      <c r="J4" s="359" t="s">
        <v>11</v>
      </c>
      <c r="K4" s="359" t="s">
        <v>12</v>
      </c>
      <c r="L4" s="360" t="s">
        <v>13</v>
      </c>
      <c r="M4" s="359"/>
    </row>
    <row r="5" spans="1:19" x14ac:dyDescent="0.25">
      <c r="A5" s="63"/>
      <c r="B5" s="63"/>
      <c r="C5" s="63"/>
      <c r="D5" s="67" t="s">
        <v>14</v>
      </c>
      <c r="E5" s="67" t="s">
        <v>15</v>
      </c>
      <c r="F5" s="67" t="s">
        <v>15</v>
      </c>
      <c r="G5" s="67" t="s">
        <v>16</v>
      </c>
      <c r="H5" s="67" t="s">
        <v>17</v>
      </c>
      <c r="I5" s="67" t="s">
        <v>18</v>
      </c>
      <c r="J5" s="67" t="s">
        <v>17</v>
      </c>
      <c r="K5" s="67" t="s">
        <v>17</v>
      </c>
      <c r="L5" s="361" t="s">
        <v>10</v>
      </c>
      <c r="M5" s="67" t="s">
        <v>11</v>
      </c>
    </row>
    <row r="6" spans="1:19" x14ac:dyDescent="0.25">
      <c r="A6" s="63"/>
      <c r="B6" s="63"/>
      <c r="C6" s="63"/>
      <c r="D6" s="67" t="s">
        <v>19</v>
      </c>
      <c r="E6" s="67"/>
      <c r="F6" s="67"/>
      <c r="G6" s="67"/>
      <c r="H6" s="67" t="s">
        <v>20</v>
      </c>
      <c r="I6" s="67" t="s">
        <v>17</v>
      </c>
      <c r="J6" s="67" t="s">
        <v>20</v>
      </c>
      <c r="K6" s="67" t="s">
        <v>20</v>
      </c>
      <c r="L6" s="67"/>
      <c r="M6" s="67"/>
    </row>
    <row r="7" spans="1:19" x14ac:dyDescent="0.25">
      <c r="A7" s="74"/>
      <c r="B7" s="74"/>
      <c r="C7" s="74"/>
      <c r="D7" s="362"/>
      <c r="E7" s="362"/>
      <c r="F7" s="362"/>
      <c r="G7" s="362"/>
      <c r="H7" s="362"/>
      <c r="I7" s="362" t="s">
        <v>20</v>
      </c>
      <c r="J7" s="362"/>
      <c r="K7" s="362"/>
      <c r="L7" s="362"/>
      <c r="M7" s="362"/>
    </row>
    <row r="8" spans="1:19" x14ac:dyDescent="0.25">
      <c r="A8" s="15" t="s">
        <v>228</v>
      </c>
      <c r="D8" s="40">
        <v>100</v>
      </c>
      <c r="E8" s="16">
        <v>9.83</v>
      </c>
      <c r="F8" s="16">
        <v>7.04</v>
      </c>
      <c r="G8" s="41">
        <v>1586</v>
      </c>
      <c r="H8" s="14">
        <f>+E8*G8</f>
        <v>15590.380000000001</v>
      </c>
      <c r="J8" s="16">
        <v>3747</v>
      </c>
      <c r="K8" s="16">
        <f>SUM(H8:J8)</f>
        <v>19337.38</v>
      </c>
      <c r="O8" s="412"/>
    </row>
    <row r="9" spans="1:19" x14ac:dyDescent="0.25">
      <c r="A9" s="15" t="s">
        <v>229</v>
      </c>
      <c r="D9" s="40">
        <v>47</v>
      </c>
      <c r="E9" s="16">
        <v>12.61</v>
      </c>
      <c r="F9" s="16">
        <v>2.11</v>
      </c>
      <c r="G9" s="41">
        <v>1875</v>
      </c>
      <c r="H9" s="14">
        <f>+E9*G9</f>
        <v>23643.75</v>
      </c>
      <c r="J9" s="16"/>
      <c r="K9" s="16">
        <f t="shared" ref="K9:K20" si="0">SUM(H9:J9)</f>
        <v>23643.75</v>
      </c>
      <c r="O9" s="412"/>
      <c r="P9" s="16"/>
      <c r="Q9" s="413"/>
      <c r="R9" s="16"/>
      <c r="S9" s="16"/>
    </row>
    <row r="10" spans="1:19" x14ac:dyDescent="0.25">
      <c r="A10" s="15" t="s">
        <v>130</v>
      </c>
      <c r="D10" s="414" t="s">
        <v>190</v>
      </c>
      <c r="E10" s="29"/>
      <c r="F10" s="29"/>
      <c r="G10" s="415"/>
      <c r="H10" s="14"/>
      <c r="I10" s="29" t="s">
        <v>417</v>
      </c>
      <c r="J10" s="16"/>
      <c r="K10" s="16"/>
      <c r="L10" s="416"/>
      <c r="P10" s="16"/>
    </row>
    <row r="11" spans="1:19" x14ac:dyDescent="0.25">
      <c r="A11" s="15" t="s">
        <v>418</v>
      </c>
      <c r="D11" s="415" t="s">
        <v>190</v>
      </c>
      <c r="E11" s="29"/>
      <c r="F11" s="29"/>
      <c r="G11" s="415"/>
      <c r="H11" s="14" t="s">
        <v>419</v>
      </c>
      <c r="I11" s="239"/>
      <c r="J11" s="16"/>
      <c r="K11" s="16"/>
      <c r="O11" s="412"/>
      <c r="P11" s="16"/>
    </row>
    <row r="12" spans="1:19" x14ac:dyDescent="0.25">
      <c r="A12" s="15" t="s">
        <v>420</v>
      </c>
      <c r="D12" s="415" t="s">
        <v>24</v>
      </c>
      <c r="E12" s="29"/>
      <c r="F12" s="29"/>
      <c r="G12" s="415"/>
      <c r="H12" s="14"/>
      <c r="I12" s="29" t="s">
        <v>421</v>
      </c>
      <c r="J12" s="16"/>
      <c r="K12" s="16"/>
      <c r="L12" s="416"/>
      <c r="P12" s="16"/>
    </row>
    <row r="13" spans="1:19" x14ac:dyDescent="0.25">
      <c r="A13" s="15" t="s">
        <v>131</v>
      </c>
      <c r="D13" s="40">
        <v>53</v>
      </c>
      <c r="E13" s="16">
        <v>9.08</v>
      </c>
      <c r="F13" s="16">
        <v>2.95</v>
      </c>
      <c r="G13" s="41">
        <v>1730.43</v>
      </c>
      <c r="H13" s="14">
        <f>+E13*G13</f>
        <v>15712.304400000001</v>
      </c>
      <c r="J13" s="16"/>
      <c r="K13" s="16">
        <f t="shared" si="0"/>
        <v>15712.304400000001</v>
      </c>
      <c r="P13" s="16"/>
    </row>
    <row r="14" spans="1:19" x14ac:dyDescent="0.25">
      <c r="A14" s="15" t="s">
        <v>231</v>
      </c>
      <c r="D14" s="40">
        <v>100</v>
      </c>
      <c r="E14" s="16">
        <v>14.88</v>
      </c>
      <c r="F14" s="16">
        <v>1.7</v>
      </c>
      <c r="G14" s="41">
        <v>1449.07</v>
      </c>
      <c r="H14" s="14">
        <f t="shared" ref="H14:H20" si="1">+E14*G14</f>
        <v>21562.161599999999</v>
      </c>
      <c r="J14" s="16">
        <f>+E30*G30</f>
        <v>22260</v>
      </c>
      <c r="K14" s="16">
        <f t="shared" si="0"/>
        <v>43822.161599999999</v>
      </c>
      <c r="O14" s="15">
        <f>11824/1243</f>
        <v>9.5124698310539024</v>
      </c>
      <c r="P14" s="412"/>
      <c r="Q14" s="16"/>
      <c r="R14" s="16"/>
      <c r="S14" s="16"/>
    </row>
    <row r="15" spans="1:19" x14ac:dyDescent="0.25">
      <c r="A15" s="15" t="s">
        <v>96</v>
      </c>
      <c r="D15" s="40">
        <v>100</v>
      </c>
      <c r="E15" s="16">
        <v>8.14</v>
      </c>
      <c r="F15" s="16">
        <v>4.03</v>
      </c>
      <c r="G15" s="41">
        <v>1505.4</v>
      </c>
      <c r="H15" s="14">
        <f t="shared" si="1"/>
        <v>12253.956000000002</v>
      </c>
      <c r="J15" s="16">
        <f>+E40*G40+E41*G41</f>
        <v>183018</v>
      </c>
      <c r="K15" s="16">
        <f t="shared" si="0"/>
        <v>195271.95600000001</v>
      </c>
      <c r="P15" s="412"/>
      <c r="Q15" s="16"/>
      <c r="R15" s="16"/>
      <c r="S15" s="16"/>
    </row>
    <row r="16" spans="1:19" x14ac:dyDescent="0.25">
      <c r="A16" s="15" t="s">
        <v>39</v>
      </c>
      <c r="D16" s="40">
        <v>100</v>
      </c>
      <c r="E16" s="16">
        <v>14.45</v>
      </c>
      <c r="F16" s="16">
        <v>3.51</v>
      </c>
      <c r="G16" s="41">
        <v>1202.92</v>
      </c>
      <c r="H16" s="14">
        <f t="shared" si="1"/>
        <v>17382.194</v>
      </c>
      <c r="J16" s="16"/>
      <c r="K16" s="16">
        <f t="shared" si="0"/>
        <v>17382.194</v>
      </c>
      <c r="O16" s="15">
        <f>18446/1243</f>
        <v>14.839903459372486</v>
      </c>
      <c r="P16" s="412"/>
      <c r="Q16" s="16"/>
      <c r="R16" s="16"/>
    </row>
    <row r="17" spans="1:15" x14ac:dyDescent="0.25">
      <c r="A17" s="15" t="s">
        <v>98</v>
      </c>
      <c r="D17" s="40">
        <v>97</v>
      </c>
      <c r="E17" s="16">
        <v>8.17</v>
      </c>
      <c r="F17" s="16">
        <v>3.92</v>
      </c>
      <c r="G17" s="41">
        <v>2109.92</v>
      </c>
      <c r="H17" s="14">
        <f t="shared" si="1"/>
        <v>17238.046399999999</v>
      </c>
      <c r="J17" s="16">
        <v>43249</v>
      </c>
      <c r="K17" s="16">
        <f t="shared" si="0"/>
        <v>60487.046399999999</v>
      </c>
    </row>
    <row r="18" spans="1:15" x14ac:dyDescent="0.25">
      <c r="A18" s="15" t="s">
        <v>422</v>
      </c>
      <c r="D18" s="40">
        <v>100</v>
      </c>
      <c r="E18" s="16">
        <v>15.65</v>
      </c>
      <c r="F18" s="16">
        <v>28.78</v>
      </c>
      <c r="G18" s="41">
        <v>1286.83</v>
      </c>
      <c r="H18" s="14">
        <f t="shared" si="1"/>
        <v>20138.889500000001</v>
      </c>
      <c r="J18" s="16">
        <v>41532</v>
      </c>
      <c r="K18" s="16">
        <f t="shared" si="0"/>
        <v>61670.889500000005</v>
      </c>
      <c r="O18" s="15">
        <f>20429/1243</f>
        <v>16.435237329042639</v>
      </c>
    </row>
    <row r="19" spans="1:15" x14ac:dyDescent="0.25">
      <c r="A19" s="15" t="s">
        <v>219</v>
      </c>
      <c r="D19" s="40">
        <v>93</v>
      </c>
      <c r="E19" s="16">
        <v>8.67</v>
      </c>
      <c r="F19" s="16">
        <v>7.47</v>
      </c>
      <c r="G19" s="41">
        <v>2000</v>
      </c>
      <c r="H19" s="14">
        <f t="shared" si="1"/>
        <v>17340</v>
      </c>
      <c r="J19" s="16"/>
      <c r="K19" s="16">
        <f t="shared" si="0"/>
        <v>17340</v>
      </c>
    </row>
    <row r="20" spans="1:15" x14ac:dyDescent="0.25">
      <c r="A20" s="15" t="s">
        <v>140</v>
      </c>
      <c r="D20" s="40">
        <v>100</v>
      </c>
      <c r="E20" s="16">
        <v>38.5</v>
      </c>
      <c r="F20" s="16">
        <v>14.82</v>
      </c>
      <c r="G20" s="41">
        <v>1475.01</v>
      </c>
      <c r="H20" s="14">
        <f t="shared" si="1"/>
        <v>56787.885000000002</v>
      </c>
      <c r="J20" s="16"/>
      <c r="K20" s="16">
        <f t="shared" si="0"/>
        <v>56787.885000000002</v>
      </c>
      <c r="O20" s="15">
        <f>42438/1243</f>
        <v>34.141592920353979</v>
      </c>
    </row>
    <row r="21" spans="1:15" x14ac:dyDescent="0.25">
      <c r="A21" s="15" t="s">
        <v>423</v>
      </c>
      <c r="D21" s="40"/>
      <c r="E21" s="16"/>
      <c r="F21" s="16"/>
      <c r="G21" s="41"/>
      <c r="H21" s="14"/>
      <c r="J21" s="16"/>
      <c r="K21" s="16">
        <f>64*350</f>
        <v>22400</v>
      </c>
    </row>
    <row r="22" spans="1:15" x14ac:dyDescent="0.25">
      <c r="A22" s="59" t="s">
        <v>103</v>
      </c>
      <c r="B22" s="59"/>
      <c r="C22" s="59"/>
      <c r="D22" s="367"/>
      <c r="E22" s="250">
        <f>SUM(E8:E21)</f>
        <v>139.98000000000002</v>
      </c>
      <c r="F22" s="250">
        <f>SUM(F8:F21)</f>
        <v>76.330000000000013</v>
      </c>
      <c r="G22" s="250"/>
      <c r="H22" s="250">
        <f>SUM(H8:H21)</f>
        <v>217649.56690000001</v>
      </c>
      <c r="I22" s="59">
        <f>SUM(I8:I21)</f>
        <v>0</v>
      </c>
      <c r="J22" s="250">
        <f>SUM(J8:J21)</f>
        <v>293806</v>
      </c>
      <c r="K22" s="250">
        <f>SUM(K8:K21)</f>
        <v>533855.56689999998</v>
      </c>
      <c r="L22" s="59"/>
      <c r="M22" s="59"/>
    </row>
    <row r="23" spans="1:15" x14ac:dyDescent="0.25">
      <c r="A23" s="74" t="s">
        <v>104</v>
      </c>
      <c r="B23" s="74"/>
      <c r="C23" s="74"/>
      <c r="D23" s="369"/>
      <c r="E23" s="73">
        <f>SUM(E22-F22)</f>
        <v>63.650000000000006</v>
      </c>
      <c r="F23" s="73"/>
      <c r="G23" s="73"/>
      <c r="H23" s="73">
        <f>SUM(E34*G34)</f>
        <v>99520</v>
      </c>
      <c r="I23" s="74">
        <f>I22-L22</f>
        <v>0</v>
      </c>
      <c r="J23" s="73">
        <f>J22-M22</f>
        <v>293806</v>
      </c>
      <c r="K23" s="73">
        <f>SUM(H23:J23)</f>
        <v>393326</v>
      </c>
      <c r="L23" s="74"/>
      <c r="M23" s="74"/>
    </row>
    <row r="25" spans="1:15" x14ac:dyDescent="0.25">
      <c r="C25" s="15" t="s">
        <v>46</v>
      </c>
    </row>
    <row r="27" spans="1:15" x14ac:dyDescent="0.25">
      <c r="A27" s="15" t="s">
        <v>47</v>
      </c>
    </row>
    <row r="28" spans="1:15" x14ac:dyDescent="0.25">
      <c r="A28" s="371" t="s">
        <v>48</v>
      </c>
      <c r="B28" s="371"/>
      <c r="C28" s="371"/>
      <c r="D28" s="371" t="s">
        <v>49</v>
      </c>
      <c r="E28" s="371" t="s">
        <v>50</v>
      </c>
      <c r="F28" s="371"/>
      <c r="G28" s="371" t="s">
        <v>51</v>
      </c>
      <c r="J28" s="373" t="s">
        <v>424</v>
      </c>
      <c r="K28" s="417">
        <v>0.4</v>
      </c>
      <c r="N28" s="291"/>
    </row>
    <row r="29" spans="1:15" x14ac:dyDescent="0.25">
      <c r="A29" s="15" t="s">
        <v>53</v>
      </c>
      <c r="J29" s="373" t="s">
        <v>425</v>
      </c>
      <c r="K29" s="417">
        <v>0.28999999999999998</v>
      </c>
      <c r="N29" s="16"/>
    </row>
    <row r="30" spans="1:15" x14ac:dyDescent="0.25">
      <c r="A30" s="15" t="s">
        <v>107</v>
      </c>
      <c r="D30" s="15" t="s">
        <v>426</v>
      </c>
      <c r="E30" s="16">
        <v>42</v>
      </c>
      <c r="G30" s="16">
        <v>530</v>
      </c>
      <c r="J30" s="373" t="s">
        <v>427</v>
      </c>
      <c r="K30" s="417">
        <v>0.12</v>
      </c>
      <c r="O30" s="412"/>
    </row>
    <row r="31" spans="1:15" x14ac:dyDescent="0.25">
      <c r="D31" s="15" t="s">
        <v>108</v>
      </c>
      <c r="E31" s="16">
        <v>0.04</v>
      </c>
      <c r="G31" s="14">
        <v>529946</v>
      </c>
      <c r="J31" s="373" t="s">
        <v>251</v>
      </c>
      <c r="K31" s="417">
        <v>0.19</v>
      </c>
      <c r="O31" s="412"/>
    </row>
    <row r="32" spans="1:15" x14ac:dyDescent="0.25">
      <c r="O32" s="412"/>
    </row>
    <row r="33" spans="1:15" x14ac:dyDescent="0.25">
      <c r="A33" s="15" t="s">
        <v>57</v>
      </c>
      <c r="J33" s="373" t="s">
        <v>58</v>
      </c>
      <c r="K33" s="373">
        <v>0.52</v>
      </c>
      <c r="O33" s="412"/>
    </row>
    <row r="34" spans="1:15" x14ac:dyDescent="0.25">
      <c r="A34" s="15" t="s">
        <v>112</v>
      </c>
      <c r="D34" s="15" t="s">
        <v>60</v>
      </c>
      <c r="E34" s="14">
        <v>64</v>
      </c>
      <c r="G34" s="16">
        <v>1555</v>
      </c>
      <c r="J34" s="373" t="s">
        <v>61</v>
      </c>
      <c r="K34" s="373">
        <v>0.5</v>
      </c>
    </row>
    <row r="35" spans="1:15" x14ac:dyDescent="0.25">
      <c r="A35" s="15" t="s">
        <v>113</v>
      </c>
      <c r="D35" s="15" t="s">
        <v>60</v>
      </c>
      <c r="E35" s="14">
        <v>76</v>
      </c>
    </row>
    <row r="36" spans="1:15" x14ac:dyDescent="0.25">
      <c r="A36" s="15" t="s">
        <v>6</v>
      </c>
      <c r="D36" s="15" t="s">
        <v>60</v>
      </c>
      <c r="E36" s="14">
        <f>SUM(E34:E35)</f>
        <v>140</v>
      </c>
      <c r="K36" s="377"/>
    </row>
    <row r="38" spans="1:15" x14ac:dyDescent="0.25">
      <c r="A38" s="59" t="s">
        <v>63</v>
      </c>
      <c r="B38" s="59"/>
      <c r="C38" s="59" t="s">
        <v>64</v>
      </c>
      <c r="D38" s="59"/>
      <c r="E38" s="59"/>
      <c r="F38" s="59"/>
      <c r="G38" s="59"/>
    </row>
    <row r="39" spans="1:15" x14ac:dyDescent="0.25">
      <c r="A39" s="63"/>
      <c r="B39" s="361"/>
      <c r="C39" s="418"/>
      <c r="D39" s="63"/>
      <c r="E39" s="63"/>
      <c r="F39" s="63"/>
      <c r="G39" s="64"/>
    </row>
    <row r="40" spans="1:15" x14ac:dyDescent="0.25">
      <c r="A40" s="15" t="s">
        <v>428</v>
      </c>
      <c r="B40" s="361"/>
      <c r="C40" s="412">
        <v>0.76666666666666672</v>
      </c>
      <c r="D40" s="63" t="s">
        <v>68</v>
      </c>
      <c r="E40" s="14">
        <v>476</v>
      </c>
      <c r="F40" s="234"/>
      <c r="G40" s="16">
        <v>333</v>
      </c>
    </row>
    <row r="41" spans="1:15" x14ac:dyDescent="0.25">
      <c r="A41" s="15" t="s">
        <v>429</v>
      </c>
      <c r="B41" s="361"/>
      <c r="C41" s="412">
        <v>0.56666666666666665</v>
      </c>
      <c r="D41" s="63" t="s">
        <v>108</v>
      </c>
      <c r="E41" s="14">
        <v>38</v>
      </c>
      <c r="F41" s="234"/>
      <c r="G41" s="16">
        <v>645</v>
      </c>
    </row>
    <row r="42" spans="1:15" x14ac:dyDescent="0.25">
      <c r="A42" s="15" t="s">
        <v>387</v>
      </c>
      <c r="B42" s="361"/>
      <c r="C42" s="419" t="s">
        <v>136</v>
      </c>
      <c r="D42" s="63" t="s">
        <v>108</v>
      </c>
      <c r="E42" s="21" t="s">
        <v>430</v>
      </c>
      <c r="F42" s="420"/>
      <c r="G42" s="36" t="s">
        <v>431</v>
      </c>
    </row>
    <row r="43" spans="1:15" x14ac:dyDescent="0.25">
      <c r="A43" s="63" t="s">
        <v>432</v>
      </c>
      <c r="B43" s="361"/>
      <c r="C43" s="421" t="s">
        <v>431</v>
      </c>
      <c r="D43" s="15" t="s">
        <v>108</v>
      </c>
      <c r="E43" s="422" t="s">
        <v>433</v>
      </c>
      <c r="F43" s="420"/>
      <c r="G43" s="423" t="s">
        <v>434</v>
      </c>
    </row>
    <row r="44" spans="1:15" x14ac:dyDescent="0.25">
      <c r="A44" s="74"/>
      <c r="B44" s="361"/>
      <c r="C44" s="424"/>
      <c r="D44" s="74"/>
      <c r="E44" s="74"/>
      <c r="F44" s="74"/>
      <c r="G44" s="74"/>
    </row>
    <row r="45" spans="1:15" x14ac:dyDescent="0.25">
      <c r="A45" s="59" t="s">
        <v>73</v>
      </c>
      <c r="B45" s="59"/>
      <c r="C45" s="59"/>
      <c r="D45" s="59" t="s">
        <v>74</v>
      </c>
      <c r="E45" s="59"/>
      <c r="F45" s="59"/>
      <c r="G45" s="59" t="s">
        <v>75</v>
      </c>
    </row>
    <row r="46" spans="1:15" x14ac:dyDescent="0.25">
      <c r="A46" s="63" t="s">
        <v>117</v>
      </c>
      <c r="B46" s="63"/>
      <c r="C46" s="63"/>
      <c r="D46" s="64">
        <v>8041</v>
      </c>
      <c r="E46" s="63"/>
      <c r="F46" s="63"/>
      <c r="G46" s="232">
        <f>+D46*2.471</f>
        <v>19869.311000000002</v>
      </c>
    </row>
    <row r="47" spans="1:15" x14ac:dyDescent="0.25">
      <c r="A47" s="63" t="s">
        <v>118</v>
      </c>
      <c r="B47" s="63"/>
      <c r="C47" s="63"/>
      <c r="D47" s="64">
        <v>185</v>
      </c>
      <c r="E47" s="63"/>
      <c r="F47" s="63"/>
      <c r="G47" s="232"/>
    </row>
    <row r="48" spans="1:15" x14ac:dyDescent="0.25">
      <c r="A48" s="63" t="s">
        <v>119</v>
      </c>
      <c r="B48" s="63"/>
      <c r="C48" s="63"/>
      <c r="D48" s="64">
        <f>D46*D47</f>
        <v>1487585</v>
      </c>
      <c r="E48" s="63"/>
      <c r="F48" s="63"/>
      <c r="G48" s="232">
        <f>+D48*2.471</f>
        <v>3675822.5350000001</v>
      </c>
    </row>
    <row r="49" spans="1:7" x14ac:dyDescent="0.25">
      <c r="A49" s="63" t="s">
        <v>120</v>
      </c>
      <c r="B49" s="63"/>
      <c r="C49" s="63"/>
      <c r="D49" s="64">
        <f>D48-K22</f>
        <v>953729.43310000002</v>
      </c>
      <c r="E49" s="64"/>
      <c r="F49" s="63"/>
      <c r="G49" s="232">
        <f>+D49*2.471</f>
        <v>2356665.4291901002</v>
      </c>
    </row>
    <row r="50" spans="1:7" x14ac:dyDescent="0.25">
      <c r="A50" s="63" t="s">
        <v>121</v>
      </c>
      <c r="B50" s="63"/>
      <c r="C50" s="63"/>
      <c r="D50" s="64">
        <f>D48-K23</f>
        <v>1094259</v>
      </c>
      <c r="E50" s="64"/>
      <c r="F50" s="63"/>
      <c r="G50" s="232">
        <f>+D50*2.471</f>
        <v>2703913.9890000001</v>
      </c>
    </row>
    <row r="51" spans="1:7" x14ac:dyDescent="0.25">
      <c r="A51" s="63" t="s">
        <v>122</v>
      </c>
      <c r="B51" s="63"/>
      <c r="C51" s="63"/>
      <c r="D51" s="64">
        <f>K22/D46</f>
        <v>66.391688459146863</v>
      </c>
      <c r="E51" s="63"/>
      <c r="F51" s="63"/>
      <c r="G51" s="233"/>
    </row>
    <row r="52" spans="1:7" x14ac:dyDescent="0.25">
      <c r="A52" s="74" t="s">
        <v>123</v>
      </c>
      <c r="B52" s="74"/>
      <c r="C52" s="74"/>
      <c r="D52" s="73">
        <f>K23/D46</f>
        <v>48.915060315881107</v>
      </c>
      <c r="E52" s="74"/>
      <c r="F52" s="74"/>
      <c r="G52" s="75"/>
    </row>
    <row r="63" spans="1:7" x14ac:dyDescent="0.25">
      <c r="G63" s="15" t="s">
        <v>83</v>
      </c>
    </row>
  </sheetData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Summery</vt:lpstr>
      <vt:lpstr>Maize, Bdl</vt:lpstr>
      <vt:lpstr>Cowpea (Amp)</vt:lpstr>
      <vt:lpstr>Black g- Sys H</vt:lpstr>
      <vt:lpstr>Red onio(Put)</vt:lpstr>
      <vt:lpstr>Chilli (Ap)</vt:lpstr>
      <vt:lpstr>Big Onion, Matale</vt:lpstr>
      <vt:lpstr>SOya, SYS H</vt:lpstr>
      <vt:lpstr>Gingelly, AP</vt:lpstr>
      <vt:lpstr>Manioc Gampaha</vt:lpstr>
      <vt:lpstr>Potato, NE</vt:lpstr>
      <vt:lpstr>POtoto-Bdl</vt:lpstr>
      <vt:lpstr>Bittergourd</vt:lpstr>
      <vt:lpstr>Brinjal , Htt</vt:lpstr>
      <vt:lpstr>Carrot, NE</vt:lpstr>
      <vt:lpstr>pole bean, Bdl</vt:lpstr>
      <vt:lpstr>Tomato -Kandy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</cp:lastModifiedBy>
  <cp:lastPrinted>2023-04-17T05:08:18Z</cp:lastPrinted>
  <dcterms:created xsi:type="dcterms:W3CDTF">2023-03-08T05:35:25Z</dcterms:created>
  <dcterms:modified xsi:type="dcterms:W3CDTF">2024-03-19T03:28:27Z</dcterms:modified>
</cp:coreProperties>
</file>