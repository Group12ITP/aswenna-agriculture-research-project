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40" windowHeight="11760" activeTab="12"/>
  </bookViews>
  <sheets>
    <sheet name="Annexes 1-10 Paddy " sheetId="26" r:id="rId1"/>
    <sheet name="Amp East edited 2022 y" sheetId="25" r:id="rId2"/>
    <sheet name="Amp west" sheetId="1" r:id="rId3"/>
    <sheet name="Anuradhapura" sheetId="14" r:id="rId4"/>
    <sheet name="Hambantota" sheetId="2" r:id="rId5"/>
    <sheet name="Polonnaruwa" sheetId="8" r:id="rId6"/>
    <sheet name="Kuru (Irr)" sheetId="3" r:id="rId7"/>
    <sheet name="SYS B" sheetId="9" r:id="rId8"/>
    <sheet name="SYS C" sheetId="12" r:id="rId9"/>
    <sheet name="SYS H" sheetId="4" r:id="rId10"/>
    <sheet name="TRinco" sheetId="10" r:id="rId11"/>
    <sheet name="GAmpaha" sheetId="7" r:id="rId12"/>
    <sheet name="Kandy" sheetId="6" r:id="rId13"/>
    <sheet name="KAlutara" sheetId="5" r:id="rId14"/>
    <sheet name="Kuru (Rf)" sheetId="13" r:id="rId15"/>
    <sheet name="WI (IRR)" sheetId="17" r:id="rId16"/>
    <sheet name="Whole island (Rf)" sheetId="16" r:id="rId17"/>
    <sheet name="Sheet1" sheetId="27" r:id="rId18"/>
  </sheets>
  <externalReferences>
    <externalReference r:id="rId19"/>
    <externalReference r:id="rId20"/>
  </externalReferences>
  <definedNames>
    <definedName name="_Toc123093069" localSheetId="17">Sheet1!$A$65</definedName>
  </definedNames>
  <calcPr calcId="144525"/>
</workbook>
</file>

<file path=xl/calcChain.xml><?xml version="1.0" encoding="utf-8"?>
<calcChain xmlns="http://schemas.openxmlformats.org/spreadsheetml/2006/main">
  <c r="O63" i="27" l="1"/>
  <c r="O62" i="27"/>
  <c r="O60" i="27"/>
  <c r="O59" i="27"/>
  <c r="O58" i="27"/>
  <c r="O57" i="27"/>
  <c r="O55" i="27"/>
  <c r="O54" i="27"/>
  <c r="O53" i="27"/>
  <c r="O52" i="27"/>
  <c r="O51" i="27"/>
  <c r="O50" i="27"/>
  <c r="O49" i="27"/>
  <c r="O48" i="27"/>
  <c r="O47" i="27"/>
  <c r="O46" i="27"/>
  <c r="Q39" i="27" l="1"/>
  <c r="S39" i="27" s="1"/>
  <c r="T39" i="27" s="1"/>
  <c r="Q38" i="27"/>
  <c r="S38" i="27" s="1"/>
  <c r="T38" i="27" s="1"/>
  <c r="S37" i="27"/>
  <c r="T37" i="27" s="1"/>
  <c r="Q37" i="27"/>
  <c r="Q36" i="27"/>
  <c r="S36" i="27" s="1"/>
  <c r="T36" i="27" s="1"/>
  <c r="Q34" i="27"/>
  <c r="S34" i="27" s="1"/>
  <c r="T34" i="27" s="1"/>
  <c r="Q33" i="27"/>
  <c r="S33" i="27" s="1"/>
  <c r="T33" i="27" s="1"/>
  <c r="S32" i="27"/>
  <c r="T32" i="27" s="1"/>
  <c r="Q32" i="27"/>
  <c r="Q31" i="27"/>
  <c r="S31" i="27" s="1"/>
  <c r="T31" i="27" s="1"/>
  <c r="Q30" i="27"/>
  <c r="S30" i="27" s="1"/>
  <c r="T30" i="27" s="1"/>
  <c r="Q29" i="27"/>
  <c r="S29" i="27" s="1"/>
  <c r="T29" i="27" s="1"/>
  <c r="S28" i="27"/>
  <c r="T28" i="27" s="1"/>
  <c r="Q28" i="27"/>
  <c r="Q27" i="27"/>
  <c r="S27" i="27" s="1"/>
  <c r="T27" i="27" s="1"/>
  <c r="Q26" i="27"/>
  <c r="S26" i="27" s="1"/>
  <c r="T26" i="27" s="1"/>
  <c r="D53" i="8" l="1"/>
  <c r="E52" i="17" l="1"/>
  <c r="E42" i="14"/>
  <c r="G20" i="26" l="1"/>
  <c r="F19" i="14" l="1"/>
  <c r="G19" i="14"/>
  <c r="F35" i="2"/>
  <c r="D37" i="2"/>
  <c r="D51" i="3"/>
  <c r="D50" i="3"/>
  <c r="D47" i="3"/>
  <c r="D49" i="3" s="1"/>
  <c r="F22" i="3"/>
  <c r="D48" i="3" l="1"/>
  <c r="F37" i="2"/>
  <c r="F44" i="12"/>
  <c r="G42" i="4"/>
  <c r="F47" i="6"/>
  <c r="D49" i="6"/>
  <c r="E24" i="6"/>
  <c r="F24" i="6"/>
  <c r="F42" i="5"/>
  <c r="F46" i="5"/>
  <c r="F45" i="5"/>
  <c r="F44" i="5"/>
  <c r="D48" i="5"/>
  <c r="D47" i="5"/>
  <c r="D46" i="5"/>
  <c r="D45" i="5"/>
  <c r="D44" i="5"/>
  <c r="D26" i="5"/>
  <c r="D25" i="5"/>
  <c r="E25" i="5"/>
  <c r="F25" i="5"/>
  <c r="G25" i="5"/>
  <c r="E23" i="13"/>
  <c r="F23" i="13"/>
  <c r="E51" i="16"/>
  <c r="E50" i="16"/>
  <c r="E49" i="16"/>
  <c r="C53" i="16"/>
  <c r="C52" i="16"/>
  <c r="C51" i="16"/>
  <c r="C50" i="16"/>
  <c r="C49" i="16"/>
  <c r="C27" i="16"/>
  <c r="C26" i="16"/>
  <c r="D26" i="16"/>
  <c r="E26" i="16"/>
  <c r="F26" i="16"/>
  <c r="G51" i="17"/>
  <c r="G50" i="17"/>
  <c r="G49" i="17"/>
  <c r="E53" i="17"/>
  <c r="E51" i="17"/>
  <c r="E50" i="17"/>
  <c r="E49" i="17"/>
  <c r="D26" i="17"/>
  <c r="D25" i="17"/>
  <c r="E25" i="17"/>
  <c r="F25" i="17"/>
  <c r="G25" i="17"/>
  <c r="F21" i="1"/>
  <c r="G22" i="1"/>
  <c r="D21" i="1"/>
  <c r="E21" i="1"/>
  <c r="G6" i="1"/>
  <c r="G41" i="25"/>
  <c r="E47" i="25"/>
  <c r="E43" i="25"/>
  <c r="E45" i="25" s="1"/>
  <c r="G45" i="25" s="1"/>
  <c r="E20" i="25"/>
  <c r="E19" i="25"/>
  <c r="F19" i="25"/>
  <c r="G19" i="25"/>
  <c r="H19" i="25"/>
  <c r="E46" i="25" s="1"/>
  <c r="H287" i="26"/>
  <c r="F274" i="26"/>
  <c r="E274" i="26"/>
  <c r="D274" i="26"/>
  <c r="C274" i="26"/>
  <c r="X57" i="26"/>
  <c r="X56" i="26"/>
  <c r="X54" i="26"/>
  <c r="X53" i="26"/>
  <c r="X52" i="26"/>
  <c r="X51" i="26"/>
  <c r="X50" i="26"/>
  <c r="X49" i="26"/>
  <c r="X48" i="26"/>
  <c r="X47" i="26"/>
  <c r="X46" i="26"/>
  <c r="X45" i="26"/>
  <c r="X44" i="26"/>
  <c r="X43" i="26"/>
  <c r="X42" i="26"/>
  <c r="X41" i="26"/>
  <c r="F201" i="26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I178" i="26"/>
  <c r="F178" i="26"/>
  <c r="J178" i="26" s="1"/>
  <c r="I177" i="26"/>
  <c r="F177" i="26"/>
  <c r="J177" i="26" s="1"/>
  <c r="F176" i="26"/>
  <c r="J176" i="26" s="1"/>
  <c r="J175" i="26"/>
  <c r="F174" i="26"/>
  <c r="J174" i="26" s="1"/>
  <c r="F173" i="26"/>
  <c r="J173" i="26" s="1"/>
  <c r="F172" i="26"/>
  <c r="J172" i="26" s="1"/>
  <c r="F171" i="26"/>
  <c r="E171" i="26"/>
  <c r="F170" i="26"/>
  <c r="J170" i="26" s="1"/>
  <c r="F169" i="26"/>
  <c r="J169" i="26" s="1"/>
  <c r="F168" i="26"/>
  <c r="E168" i="26"/>
  <c r="F167" i="26"/>
  <c r="E167" i="26"/>
  <c r="J166" i="26"/>
  <c r="F165" i="26"/>
  <c r="J165" i="26" s="1"/>
  <c r="J164" i="26"/>
  <c r="I164" i="26"/>
  <c r="F164" i="26"/>
  <c r="J163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G43" i="25" l="1"/>
  <c r="E44" i="25"/>
  <c r="G44" i="25" s="1"/>
  <c r="J167" i="26"/>
  <c r="J171" i="26"/>
  <c r="J168" i="26"/>
  <c r="F27" i="16" l="1"/>
  <c r="F16" i="16"/>
  <c r="G26" i="17"/>
  <c r="G14" i="17"/>
  <c r="E43" i="13"/>
  <c r="D24" i="13"/>
  <c r="G24" i="13" s="1"/>
  <c r="E47" i="13" s="1"/>
  <c r="G12" i="13"/>
  <c r="G26" i="5"/>
  <c r="G16" i="5"/>
  <c r="G25" i="6"/>
  <c r="G14" i="6"/>
  <c r="G24" i="6" s="1"/>
  <c r="E43" i="7"/>
  <c r="D21" i="7"/>
  <c r="G21" i="7" s="1"/>
  <c r="E47" i="7" s="1"/>
  <c r="F20" i="7"/>
  <c r="E20" i="7"/>
  <c r="G13" i="7"/>
  <c r="E48" i="10"/>
  <c r="G48" i="10" s="1"/>
  <c r="D23" i="10"/>
  <c r="G23" i="10" s="1"/>
  <c r="F22" i="10"/>
  <c r="E22" i="10"/>
  <c r="G13" i="10"/>
  <c r="G22" i="10" s="1"/>
  <c r="G46" i="4"/>
  <c r="E46" i="4"/>
  <c r="E44" i="4"/>
  <c r="G23" i="4"/>
  <c r="E48" i="4" s="1"/>
  <c r="D23" i="4"/>
  <c r="F22" i="4"/>
  <c r="G11" i="4"/>
  <c r="G22" i="4" s="1"/>
  <c r="E47" i="4" s="1"/>
  <c r="D48" i="12"/>
  <c r="F48" i="12" s="1"/>
  <c r="D46" i="12"/>
  <c r="G25" i="12"/>
  <c r="D50" i="12" s="1"/>
  <c r="D25" i="12"/>
  <c r="F24" i="12"/>
  <c r="G13" i="12"/>
  <c r="D43" i="9"/>
  <c r="D44" i="9" s="1"/>
  <c r="F44" i="9" s="1"/>
  <c r="F41" i="9"/>
  <c r="D20" i="9"/>
  <c r="G20" i="9" s="1"/>
  <c r="G19" i="9"/>
  <c r="D46" i="9" s="1"/>
  <c r="F19" i="9"/>
  <c r="E19" i="9"/>
  <c r="G11" i="9"/>
  <c r="F47" i="3"/>
  <c r="F45" i="3"/>
  <c r="G23" i="3"/>
  <c r="F49" i="3" s="1"/>
  <c r="D23" i="3"/>
  <c r="G22" i="3"/>
  <c r="F48" i="3" s="1"/>
  <c r="G11" i="3"/>
  <c r="F10" i="3"/>
  <c r="D49" i="8"/>
  <c r="F49" i="8" s="1"/>
  <c r="G24" i="8"/>
  <c r="D24" i="8"/>
  <c r="F23" i="8"/>
  <c r="E23" i="8"/>
  <c r="G14" i="8"/>
  <c r="G23" i="8" s="1"/>
  <c r="D52" i="8" s="1"/>
  <c r="D20" i="2"/>
  <c r="G20" i="2" s="1"/>
  <c r="F19" i="2"/>
  <c r="E19" i="2"/>
  <c r="D19" i="2"/>
  <c r="G10" i="2"/>
  <c r="G19" i="2" s="1"/>
  <c r="F42" i="14"/>
  <c r="D20" i="14"/>
  <c r="G20" i="14" s="1"/>
  <c r="E45" i="14"/>
  <c r="G11" i="14"/>
  <c r="E42" i="1"/>
  <c r="D42" i="1"/>
  <c r="E31" i="1"/>
  <c r="D22" i="1"/>
  <c r="G10" i="1"/>
  <c r="G23" i="13" l="1"/>
  <c r="E44" i="13" s="1"/>
  <c r="G44" i="13" s="1"/>
  <c r="E45" i="13"/>
  <c r="G45" i="13" s="1"/>
  <c r="D51" i="6"/>
  <c r="F51" i="6" s="1"/>
  <c r="D53" i="6"/>
  <c r="D52" i="6"/>
  <c r="D50" i="6"/>
  <c r="F50" i="6" s="1"/>
  <c r="D41" i="2"/>
  <c r="D39" i="2"/>
  <c r="F39" i="2" s="1"/>
  <c r="D40" i="2"/>
  <c r="D38" i="2"/>
  <c r="F38" i="2" s="1"/>
  <c r="E45" i="7"/>
  <c r="G45" i="7" s="1"/>
  <c r="G43" i="7"/>
  <c r="G21" i="1"/>
  <c r="E43" i="14"/>
  <c r="F43" i="14" s="1"/>
  <c r="E52" i="10"/>
  <c r="E50" i="10"/>
  <c r="G50" i="10" s="1"/>
  <c r="E45" i="4"/>
  <c r="G45" i="4" s="1"/>
  <c r="E49" i="10"/>
  <c r="G49" i="10" s="1"/>
  <c r="E51" i="10"/>
  <c r="D47" i="12"/>
  <c r="F47" i="12" s="1"/>
  <c r="D46" i="1"/>
  <c r="D44" i="1"/>
  <c r="E44" i="1" s="1"/>
  <c r="E46" i="14"/>
  <c r="E44" i="14"/>
  <c r="F44" i="14" s="1"/>
  <c r="D45" i="9"/>
  <c r="F45" i="9" s="1"/>
  <c r="D47" i="9"/>
  <c r="D50" i="8"/>
  <c r="F50" i="8" s="1"/>
  <c r="G43" i="13"/>
  <c r="G20" i="7"/>
  <c r="E46" i="7" s="1"/>
  <c r="F49" i="6"/>
  <c r="D51" i="8"/>
  <c r="F51" i="8" s="1"/>
  <c r="G24" i="12"/>
  <c r="D49" i="12" s="1"/>
  <c r="F43" i="9"/>
  <c r="F46" i="12"/>
  <c r="G44" i="4"/>
  <c r="E46" i="13" l="1"/>
  <c r="E44" i="7"/>
  <c r="G44" i="7" s="1"/>
  <c r="D43" i="1"/>
  <c r="E43" i="1" s="1"/>
  <c r="D45" i="1"/>
</calcChain>
</file>

<file path=xl/comments1.xml><?xml version="1.0" encoding="utf-8"?>
<comments xmlns="http://schemas.openxmlformats.org/spreadsheetml/2006/main">
  <authors>
    <author>ADMIN</author>
  </authors>
  <commentList>
    <comment ref="G18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other cost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E1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fertilizer transport cost</t>
        </r>
      </text>
    </comment>
    <comment ref="G2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other cost
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G2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other cost
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G2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other cost
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other cost
</t>
        </r>
      </text>
    </comment>
  </commentList>
</comments>
</file>

<file path=xl/comments6.xml><?xml version="1.0" encoding="utf-8"?>
<comments xmlns="http://schemas.openxmlformats.org/spreadsheetml/2006/main">
  <authors>
    <author>ADMIN</author>
  </authors>
  <commentList>
    <comment ref="G2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other cost
</t>
        </r>
      </text>
    </comment>
  </commentList>
</comments>
</file>

<file path=xl/sharedStrings.xml><?xml version="1.0" encoding="utf-8"?>
<sst xmlns="http://schemas.openxmlformats.org/spreadsheetml/2006/main" count="2207" uniqueCount="781">
  <si>
    <t>Table:</t>
  </si>
  <si>
    <t>Operation</t>
  </si>
  <si>
    <t>Total</t>
  </si>
  <si>
    <t>General land preparation</t>
  </si>
  <si>
    <t>(18)</t>
  </si>
  <si>
    <t>Plastering bunds</t>
  </si>
  <si>
    <t>Broadcasting</t>
  </si>
  <si>
    <t>Fertilizer application (organic)</t>
  </si>
  <si>
    <t>Fertilizer application (inorganic)</t>
  </si>
  <si>
    <t>Weed control with weedicides</t>
  </si>
  <si>
    <t xml:space="preserve"> (Harvesing &amp; drawing manually)</t>
  </si>
  <si>
    <t>.(10)</t>
  </si>
  <si>
    <t xml:space="preserve">Other cost </t>
  </si>
  <si>
    <t>RELATED INFORMATION</t>
  </si>
  <si>
    <t>Quantity and Price of Inputs</t>
  </si>
  <si>
    <t>Input</t>
  </si>
  <si>
    <t>Unit</t>
  </si>
  <si>
    <t>Quantity</t>
  </si>
  <si>
    <t>Unit Price (Rs)</t>
  </si>
  <si>
    <t>SEED</t>
  </si>
  <si>
    <t>kg</t>
  </si>
  <si>
    <t>LABOUR</t>
  </si>
  <si>
    <t>md</t>
  </si>
  <si>
    <t>Variety</t>
  </si>
  <si>
    <t>FIELD FERTILIZER</t>
  </si>
  <si>
    <t xml:space="preserve">Basal </t>
  </si>
  <si>
    <t>All Top Dress.</t>
  </si>
  <si>
    <t>Urea (high price)</t>
  </si>
  <si>
    <t>Urea (other price)</t>
  </si>
  <si>
    <t xml:space="preserve">Other </t>
  </si>
  <si>
    <t>Other organic</t>
  </si>
  <si>
    <t>YIELD AND RETURNS</t>
  </si>
  <si>
    <t>Per ac</t>
  </si>
  <si>
    <t>Per ha</t>
  </si>
  <si>
    <t>Hired</t>
  </si>
  <si>
    <t xml:space="preserve">Family </t>
  </si>
  <si>
    <t>Compost</t>
  </si>
  <si>
    <t>Other inorganic</t>
  </si>
  <si>
    <t>(13)</t>
  </si>
  <si>
    <t>(36)</t>
  </si>
  <si>
    <t>(10)</t>
  </si>
  <si>
    <t>(7)</t>
  </si>
  <si>
    <t>Transport Produce to stores</t>
  </si>
  <si>
    <t xml:space="preserve">Hired </t>
  </si>
  <si>
    <t>Urea other</t>
  </si>
  <si>
    <t>l</t>
  </si>
  <si>
    <t>**</t>
  </si>
  <si>
    <t>lack of yield as fertilizer deficit</t>
  </si>
  <si>
    <t>Labour</t>
  </si>
  <si>
    <t>Urea (Other)</t>
  </si>
  <si>
    <t>(30)</t>
  </si>
  <si>
    <t>(3)</t>
  </si>
  <si>
    <t>(47)</t>
  </si>
  <si>
    <t>Family</t>
  </si>
  <si>
    <t>FERTILIZER</t>
  </si>
  <si>
    <t>(16)</t>
  </si>
  <si>
    <t>(Plough- other)</t>
  </si>
  <si>
    <t>(Transplanting-mannual)</t>
  </si>
  <si>
    <t>(29)</t>
  </si>
  <si>
    <t>(32)</t>
  </si>
  <si>
    <t>(27)</t>
  </si>
  <si>
    <t>(19)</t>
  </si>
  <si>
    <t>(31)</t>
  </si>
  <si>
    <t>Liquid</t>
  </si>
  <si>
    <t>(35)</t>
  </si>
  <si>
    <t>(5.22)</t>
  </si>
  <si>
    <t>Per ha.</t>
  </si>
  <si>
    <t>Remarks-</t>
  </si>
  <si>
    <t>(540)</t>
  </si>
  <si>
    <t>per ha</t>
  </si>
  <si>
    <t>*</t>
  </si>
  <si>
    <t>* Low yield due to lack of fertilizer &amp; pesticides</t>
  </si>
  <si>
    <t>(do with 2wt)</t>
  </si>
  <si>
    <t>(26)</t>
  </si>
  <si>
    <t>(9)</t>
  </si>
  <si>
    <t>Urea (subsidy price)</t>
  </si>
  <si>
    <t>TSP</t>
  </si>
  <si>
    <t>MOP</t>
  </si>
  <si>
    <t>(23)</t>
  </si>
  <si>
    <t>Urea (low price)</t>
  </si>
  <si>
    <t xml:space="preserve">     (Contract)</t>
  </si>
  <si>
    <t>(6)</t>
  </si>
  <si>
    <t xml:space="preserve">compost </t>
  </si>
  <si>
    <t>Urea (high price )</t>
  </si>
  <si>
    <t xml:space="preserve">(16) </t>
  </si>
  <si>
    <t>Mannual weeding</t>
  </si>
  <si>
    <t>Liquid fertilizer</t>
  </si>
  <si>
    <t>(22)</t>
  </si>
  <si>
    <t>Levelling &amp; broadcasting</t>
  </si>
  <si>
    <t>Pest control with pesticide</t>
  </si>
  <si>
    <t>Water management</t>
  </si>
  <si>
    <t>Additional drying</t>
  </si>
  <si>
    <t>Total including imputed cost</t>
  </si>
  <si>
    <t xml:space="preserve">Total excluding imputed cost </t>
  </si>
  <si>
    <t>Average yield (kg)</t>
  </si>
  <si>
    <t>Price of produce (Rs/kg)</t>
  </si>
  <si>
    <t>Anuradhapura</t>
  </si>
  <si>
    <t>Hambantota</t>
  </si>
  <si>
    <t>Polonnaruwa</t>
  </si>
  <si>
    <t>District</t>
  </si>
  <si>
    <t>All nursery preparation</t>
  </si>
  <si>
    <t>100</t>
  </si>
  <si>
    <t>(Transplanting)</t>
  </si>
  <si>
    <t>(do with contract)</t>
  </si>
  <si>
    <t>Transport produce to stores</t>
  </si>
  <si>
    <t>Other cost</t>
  </si>
  <si>
    <t xml:space="preserve"> Quantity</t>
  </si>
  <si>
    <t>Basal</t>
  </si>
  <si>
    <t>Top dressing</t>
  </si>
  <si>
    <t>Urea- other</t>
  </si>
  <si>
    <t>Urea (sub.price)</t>
  </si>
  <si>
    <t>(11)</t>
  </si>
  <si>
    <t>(25)</t>
  </si>
  <si>
    <t>(800)</t>
  </si>
  <si>
    <t>(52)</t>
  </si>
  <si>
    <t>(200)</t>
  </si>
  <si>
    <t>Other fertilizer</t>
  </si>
  <si>
    <t>(15)</t>
  </si>
  <si>
    <t>(432)</t>
  </si>
  <si>
    <t>(20)</t>
  </si>
  <si>
    <t xml:space="preserve"> (Harvesting  &amp; drawing manually)</t>
  </si>
  <si>
    <t>(Threshing &amp; winnowing by 4w thresher)</t>
  </si>
  <si>
    <t xml:space="preserve"> Levelling &amp; broadcasting</t>
  </si>
  <si>
    <t>Transport produce to store</t>
  </si>
  <si>
    <t>(40)</t>
  </si>
  <si>
    <t>(836)</t>
  </si>
  <si>
    <t>(400)</t>
  </si>
  <si>
    <t>Trincomalee</t>
  </si>
  <si>
    <t>Machinary</t>
  </si>
  <si>
    <t>Organic (compost)</t>
  </si>
  <si>
    <t>Cost (Rs/ac)</t>
  </si>
  <si>
    <t>Material</t>
  </si>
  <si>
    <t>Ext % variety</t>
  </si>
  <si>
    <t>Bg 366   -  28</t>
  </si>
  <si>
    <t>Bg 357   -  30</t>
  </si>
  <si>
    <t>Bg 94/1  -  10</t>
  </si>
  <si>
    <t>Bw367    -  07</t>
  </si>
  <si>
    <t>At 362  -  100</t>
  </si>
  <si>
    <t>Discovery</t>
  </si>
  <si>
    <t>(518)</t>
  </si>
  <si>
    <t>(21)</t>
  </si>
  <si>
    <t>(465)</t>
  </si>
  <si>
    <t>(28)</t>
  </si>
  <si>
    <t>(675)</t>
  </si>
  <si>
    <t>(376)</t>
  </si>
  <si>
    <t>(4)</t>
  </si>
  <si>
    <t>'(23)</t>
  </si>
  <si>
    <t xml:space="preserve"> Ext % variety</t>
  </si>
  <si>
    <t>Bg 352  - 53</t>
  </si>
  <si>
    <t>Bg 367  - 13</t>
  </si>
  <si>
    <t>Other  - 24</t>
  </si>
  <si>
    <t>Bg 374 - 10</t>
  </si>
  <si>
    <t>Total excluding imputed cost</t>
  </si>
  <si>
    <t xml:space="preserve"> Ext % variety </t>
  </si>
  <si>
    <t>Other  -26</t>
  </si>
  <si>
    <t>Harvesting &amp; drawing manually</t>
  </si>
  <si>
    <t>Additional  drying</t>
  </si>
  <si>
    <t>Fertilizer application (organic )</t>
  </si>
  <si>
    <t>Bg 359             -  24</t>
  </si>
  <si>
    <t>Bg 94-1             - 22</t>
  </si>
  <si>
    <t>Bg 358               - 15</t>
  </si>
  <si>
    <t>Yakadamaran  - 12</t>
  </si>
  <si>
    <t>Bg 360                - 9</t>
  </si>
  <si>
    <t>other                - 18</t>
  </si>
  <si>
    <t>Bg 354  - 14</t>
  </si>
  <si>
    <t>Bw 367  - 25</t>
  </si>
  <si>
    <t>Bg 366   - 25</t>
  </si>
  <si>
    <t>Other    - 22</t>
  </si>
  <si>
    <t>Average yield (kg/ac)</t>
  </si>
  <si>
    <t>(668)</t>
  </si>
  <si>
    <t>Bg 360 - 10</t>
  </si>
  <si>
    <t>Bg 352 - 35</t>
  </si>
  <si>
    <t>Bg 366 - 35</t>
  </si>
  <si>
    <t>Total including imputedcost</t>
  </si>
  <si>
    <t>Harvesting  &amp; Processing with combine harvester</t>
  </si>
  <si>
    <t>Bg 360  -  42</t>
  </si>
  <si>
    <t>Bg 366  -  23</t>
  </si>
  <si>
    <t>Other    -  35</t>
  </si>
  <si>
    <t>Ext. % variety</t>
  </si>
  <si>
    <t xml:space="preserve">Bg 360  - 32 </t>
  </si>
  <si>
    <t>Bg 366  - 47</t>
  </si>
  <si>
    <t>Bg 352  -10</t>
  </si>
  <si>
    <t>Other    -11</t>
  </si>
  <si>
    <t>Bg 360 -26</t>
  </si>
  <si>
    <t>Bg 366 -22</t>
  </si>
  <si>
    <t>bg 352 -18</t>
  </si>
  <si>
    <t>Bg 403 -11</t>
  </si>
  <si>
    <t>Bg 374 -10</t>
  </si>
  <si>
    <t>other  -13</t>
  </si>
  <si>
    <t xml:space="preserve"> Ext. %  variety</t>
  </si>
  <si>
    <t xml:space="preserve"> (do manually)</t>
  </si>
  <si>
    <t>Average yield (kg.)</t>
  </si>
  <si>
    <t>Gross income (Rs.)</t>
  </si>
  <si>
    <t xml:space="preserve"> FERTILIZER</t>
  </si>
  <si>
    <t xml:space="preserve">Bg 366  - 18 </t>
  </si>
  <si>
    <t xml:space="preserve">Bg360   - 10 </t>
  </si>
  <si>
    <t>At 362  - 36</t>
  </si>
  <si>
    <t xml:space="preserve">  ( do manually)</t>
  </si>
  <si>
    <t>(5)</t>
  </si>
  <si>
    <t xml:space="preserve"> Levelling  &amp; broadcasting</t>
  </si>
  <si>
    <t>Harvesting &amp; processing with combine harvester</t>
  </si>
  <si>
    <t>-</t>
  </si>
  <si>
    <t xml:space="preserve"> Ext % Variety</t>
  </si>
  <si>
    <t xml:space="preserve">   (Threshing &amp; processing with   4w thresher)</t>
  </si>
  <si>
    <t xml:space="preserve">Bg 94/1  - 5 </t>
  </si>
  <si>
    <t xml:space="preserve">Bg 352  -  9 </t>
  </si>
  <si>
    <t>Other     -22</t>
  </si>
  <si>
    <t>Harvesting &amp; processing  with combine harvester</t>
  </si>
  <si>
    <t>( do contract)</t>
  </si>
  <si>
    <t>Harvesting  &amp; processing with combine harvester</t>
  </si>
  <si>
    <r>
      <t>1</t>
    </r>
    <r>
      <rPr>
        <vertAlign val="superscript"/>
        <sz val="10"/>
        <color theme="1"/>
        <rFont val="Times New Roman"/>
        <family val="1"/>
      </rPr>
      <t>st</t>
    </r>
    <r>
      <rPr>
        <sz val="10"/>
        <color theme="1"/>
        <rFont val="Times New Roman"/>
        <family val="1"/>
      </rPr>
      <t xml:space="preserve"> 2</t>
    </r>
    <r>
      <rPr>
        <vertAlign val="superscript"/>
        <sz val="10"/>
        <color theme="1"/>
        <rFont val="Times New Roman"/>
        <family val="1"/>
      </rPr>
      <t>nd</t>
    </r>
    <r>
      <rPr>
        <sz val="10"/>
        <color theme="1"/>
        <rFont val="Times New Roman"/>
        <family val="1"/>
      </rPr>
      <t xml:space="preserve"> &amp; 3</t>
    </r>
    <r>
      <rPr>
        <vertAlign val="superscript"/>
        <sz val="10"/>
        <color theme="1"/>
        <rFont val="Times New Roman"/>
        <family val="1"/>
      </rPr>
      <t>rd</t>
    </r>
    <r>
      <rPr>
        <sz val="10"/>
        <color theme="1"/>
        <rFont val="Times New Roman"/>
        <family val="1"/>
      </rPr>
      <t xml:space="preserve"> plough with 4wt</t>
    </r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</si>
  <si>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 &amp;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 plough with 2wt</t>
    </r>
  </si>
  <si>
    <t>Bw 372 -16</t>
  </si>
  <si>
    <t>Bw 272/6B-15</t>
  </si>
  <si>
    <t>Bw 367  -15</t>
  </si>
  <si>
    <t>Ld 368  -15</t>
  </si>
  <si>
    <t>Bg 300  -13</t>
  </si>
  <si>
    <t>Harvesting   &amp; processing with combine harvester</t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</si>
  <si>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&amp;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plough with 4wt</t>
    </r>
  </si>
  <si>
    <r>
      <t>(1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,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plough with 2wt)</t>
    </r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</si>
  <si>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>,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plough with 4wt</t>
    </r>
  </si>
  <si>
    <r>
      <t>(1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&amp;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plough with 2wt)</t>
    </r>
  </si>
  <si>
    <t>Cost of cultivation of Paddy (irr ) -whole island</t>
  </si>
  <si>
    <t>(do with 4wt)</t>
  </si>
  <si>
    <t>(do  with 2wt)</t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</si>
  <si>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>, 2</t>
    </r>
    <r>
      <rPr>
        <vertAlign val="superscript"/>
        <sz val="10"/>
        <rFont val="Times New Roman"/>
        <family val="1"/>
      </rPr>
      <t xml:space="preserve">nd </t>
    </r>
    <r>
      <rPr>
        <sz val="10"/>
        <rFont val="Times New Roman"/>
        <family val="1"/>
      </rPr>
      <t>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plough with 4wt</t>
    </r>
  </si>
  <si>
    <r>
      <t>(1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&amp;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plough with 4wt)</t>
    </r>
  </si>
  <si>
    <r>
      <t>1</t>
    </r>
    <r>
      <rPr>
        <vertAlign val="superscript"/>
        <sz val="10"/>
        <rFont val="Times New Roman"/>
        <family val="1"/>
      </rPr>
      <t xml:space="preserve">st </t>
    </r>
    <r>
      <rPr>
        <sz val="10"/>
        <rFont val="Times New Roman"/>
        <family val="1"/>
      </rPr>
      <t>&amp;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 plough with 4wt</t>
    </r>
  </si>
  <si>
    <r>
      <t>(1</t>
    </r>
    <r>
      <rPr>
        <vertAlign val="superscript"/>
        <sz val="10"/>
        <rFont val="Times New Roman"/>
        <family val="1"/>
      </rPr>
      <t xml:space="preserve">st </t>
    </r>
    <r>
      <rPr>
        <sz val="10"/>
        <rFont val="Times New Roman"/>
        <family val="1"/>
      </rPr>
      <t xml:space="preserve"> plough with 4wt)</t>
    </r>
  </si>
  <si>
    <t xml:space="preserve">  (do with 2wt)</t>
  </si>
  <si>
    <t>(Harvesting &amp; processing combine harvester)</t>
  </si>
  <si>
    <t>Ext %  Variety</t>
  </si>
  <si>
    <t>Bg 352  - 47</t>
  </si>
  <si>
    <t>Bg 300  - 25</t>
  </si>
  <si>
    <t>Bg 360  - 13</t>
  </si>
  <si>
    <t>Other    - 15</t>
  </si>
  <si>
    <t>(4,657)</t>
  </si>
  <si>
    <t>Harvesting &amp; Processing  with combine harvester</t>
  </si>
  <si>
    <t xml:space="preserve"> (do  with 2wt)</t>
  </si>
  <si>
    <t>(do manually )</t>
  </si>
  <si>
    <t>(Threshing &amp; winnowing)</t>
  </si>
  <si>
    <t>COC 2022 yala</t>
  </si>
  <si>
    <t>whole island</t>
  </si>
  <si>
    <t>Reported percentage</t>
  </si>
  <si>
    <t xml:space="preserve"> Table 03: Cost of cultivation of Paddy  (irrigated )  Anuradhapura </t>
  </si>
  <si>
    <t xml:space="preserve">* Low yield due to lack of  fertilizer </t>
  </si>
  <si>
    <t>Per hec.</t>
  </si>
  <si>
    <t>Kandy</t>
  </si>
  <si>
    <t xml:space="preserve">                 and return to capital</t>
  </si>
  <si>
    <t>Water regime</t>
  </si>
  <si>
    <t>Yield( kg/ac)</t>
  </si>
  <si>
    <t>Gross return (Rs/ac)</t>
  </si>
  <si>
    <t>Net return (Rs/ac)</t>
  </si>
  <si>
    <t xml:space="preserve">  Return to</t>
  </si>
  <si>
    <t>Including family labour</t>
  </si>
  <si>
    <t>Excluding family labour</t>
  </si>
  <si>
    <t>Labour (Rs.)</t>
  </si>
  <si>
    <t>Capital (Rs.)</t>
  </si>
  <si>
    <t xml:space="preserve"> Irrigated</t>
  </si>
  <si>
    <t>District/</t>
  </si>
  <si>
    <t>Cost (Rs./ac)</t>
  </si>
  <si>
    <t xml:space="preserve">Irrigation            </t>
  </si>
  <si>
    <t xml:space="preserve"> Labour  </t>
  </si>
  <si>
    <t xml:space="preserve">Power      </t>
  </si>
  <si>
    <t xml:space="preserve">   Material           </t>
  </si>
  <si>
    <t xml:space="preserve"> Total</t>
  </si>
  <si>
    <t xml:space="preserve">Ampara-East </t>
  </si>
  <si>
    <t>IR</t>
  </si>
  <si>
    <t>Ampara-West</t>
  </si>
  <si>
    <t>Kurunegala</t>
  </si>
  <si>
    <t>Mahaweli B</t>
  </si>
  <si>
    <t>Mahaweli C</t>
  </si>
  <si>
    <t>Mahaweli H</t>
  </si>
  <si>
    <t>Gampaha</t>
  </si>
  <si>
    <t>RF</t>
  </si>
  <si>
    <t>Kalutara</t>
  </si>
  <si>
    <t xml:space="preserve">Whole island            </t>
  </si>
  <si>
    <t xml:space="preserve">Irrigation    </t>
  </si>
  <si>
    <t xml:space="preserve">Labor         </t>
  </si>
  <si>
    <t xml:space="preserve"> Material            </t>
  </si>
  <si>
    <t xml:space="preserve">  IR            </t>
  </si>
  <si>
    <t>% Cost</t>
  </si>
  <si>
    <t>Irrigation</t>
  </si>
  <si>
    <t xml:space="preserve">            Labour</t>
  </si>
  <si>
    <t xml:space="preserve">       Power</t>
  </si>
  <si>
    <t xml:space="preserve">            Material        Total</t>
  </si>
  <si>
    <t>Whole island</t>
  </si>
  <si>
    <t xml:space="preserve">Whole island       </t>
  </si>
  <si>
    <t>Labour (md/ac)</t>
  </si>
  <si>
    <t>Wage rate</t>
  </si>
  <si>
    <t>(Rs./ md)</t>
  </si>
  <si>
    <t xml:space="preserve">Ampara-West </t>
  </si>
  <si>
    <t xml:space="preserve">Anuradhapura </t>
  </si>
  <si>
    <t xml:space="preserve"> </t>
  </si>
  <si>
    <t xml:space="preserve">Whole island          </t>
  </si>
  <si>
    <t xml:space="preserve">  IR   </t>
  </si>
  <si>
    <t>Values within parentheses denote as a percentage of the total labour</t>
  </si>
  <si>
    <t xml:space="preserve">Irrigation          </t>
  </si>
  <si>
    <t xml:space="preserve">               Quantity  (kg/ac)           </t>
  </si>
  <si>
    <t xml:space="preserve">      %  of cost share </t>
  </si>
  <si>
    <t xml:space="preserve">   Basal</t>
  </si>
  <si>
    <t xml:space="preserve">Top dressing </t>
  </si>
  <si>
    <t>Organic</t>
  </si>
  <si>
    <t>inorganic</t>
  </si>
  <si>
    <t xml:space="preserve">    Urea</t>
  </si>
  <si>
    <t>Total (organic)</t>
  </si>
  <si>
    <t>Total ( inorganic)</t>
  </si>
  <si>
    <t>Inorganic</t>
  </si>
  <si>
    <t xml:space="preserve">IR   </t>
  </si>
  <si>
    <t xml:space="preserve">Irrigation </t>
  </si>
  <si>
    <t xml:space="preserve">Yield (kg)  </t>
  </si>
  <si>
    <t xml:space="preserve">  Farm-gate   Price (Rs./kg)          </t>
  </si>
  <si>
    <t xml:space="preserve">Return (Rs./ac)         </t>
  </si>
  <si>
    <t xml:space="preserve">Return to </t>
  </si>
  <si>
    <t xml:space="preserve">          Gross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</si>
  <si>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Net     </t>
  </si>
  <si>
    <t xml:space="preserve">Labour   (Rs.)        </t>
  </si>
  <si>
    <t xml:space="preserve">Capital   (Rs.)     </t>
  </si>
  <si>
    <t>Mahaweli  B</t>
  </si>
  <si>
    <t>Mahaweli  C</t>
  </si>
  <si>
    <t>Mahaweli  H</t>
  </si>
  <si>
    <t xml:space="preserve">   Irrigation         </t>
  </si>
  <si>
    <t xml:space="preserve">         Unit cost (Rs./kg)</t>
  </si>
  <si>
    <t xml:space="preserve">                     2                       1</t>
  </si>
  <si>
    <t xml:space="preserve">Ampara- East  </t>
  </si>
  <si>
    <t xml:space="preserve">Ampara-West  </t>
  </si>
  <si>
    <t xml:space="preserve">Anuradhapura  </t>
  </si>
  <si>
    <t xml:space="preserve">1. Including cost of farmer owned input </t>
  </si>
  <si>
    <t>2. Excluding cost of farmer owned inputs</t>
  </si>
  <si>
    <t>Cost</t>
  </si>
  <si>
    <t>Ampara -East</t>
  </si>
  <si>
    <t>Irrigated</t>
  </si>
  <si>
    <t>Rainfed</t>
  </si>
  <si>
    <t xml:space="preserve">Gampaha </t>
  </si>
  <si>
    <t xml:space="preserve">Kalutara </t>
  </si>
  <si>
    <t xml:space="preserve">Kandy </t>
  </si>
  <si>
    <t>Kurunegala (Irr)</t>
  </si>
  <si>
    <t>Kurunegala (Rf)</t>
  </si>
  <si>
    <t xml:space="preserve">2022 yala </t>
  </si>
  <si>
    <t>OK</t>
  </si>
  <si>
    <t xml:space="preserve"> Irrigation</t>
  </si>
  <si>
    <t>At 362 -82</t>
  </si>
  <si>
    <t>Bg 94/1-14</t>
  </si>
  <si>
    <t>Bg 357-04</t>
  </si>
  <si>
    <t>Urea</t>
  </si>
  <si>
    <t>(17)</t>
  </si>
  <si>
    <t>(81)</t>
  </si>
  <si>
    <t>(814)</t>
  </si>
  <si>
    <t>Note :</t>
  </si>
  <si>
    <t>* 55% Low yield due to lack of Fertilizer</t>
  </si>
  <si>
    <t>.(16,000)</t>
  </si>
  <si>
    <t>.(19,218)</t>
  </si>
  <si>
    <t>(2,580)</t>
  </si>
  <si>
    <t>(1,920)</t>
  </si>
  <si>
    <t>(12,000)</t>
  </si>
  <si>
    <t>(16,571)</t>
  </si>
  <si>
    <t>(17,846)</t>
  </si>
  <si>
    <t>(20,182)</t>
  </si>
  <si>
    <t>(17,692)</t>
  </si>
  <si>
    <t>(2,567)</t>
  </si>
  <si>
    <t>(615)</t>
  </si>
  <si>
    <t>(9,737)</t>
  </si>
  <si>
    <t>(5,175)</t>
  </si>
  <si>
    <t>'(7,000)</t>
  </si>
  <si>
    <t>(18,000)</t>
  </si>
  <si>
    <t>(2,400)</t>
  </si>
  <si>
    <t>(10,200)</t>
  </si>
  <si>
    <t>(19,000)</t>
  </si>
  <si>
    <t>(2,000)</t>
  </si>
  <si>
    <t>(6,400)</t>
  </si>
  <si>
    <t>(15,000)</t>
  </si>
  <si>
    <t>(2,600)</t>
  </si>
  <si>
    <t>(22,260)</t>
  </si>
  <si>
    <t>(6,305)</t>
  </si>
  <si>
    <t>(3,975)</t>
  </si>
  <si>
    <t>(26,000)</t>
  </si>
  <si>
    <t>(2,660)</t>
  </si>
  <si>
    <t>(1,020)</t>
  </si>
  <si>
    <t>(27,250)</t>
  </si>
  <si>
    <t>(21,219)</t>
  </si>
  <si>
    <t>(657)</t>
  </si>
  <si>
    <t>(600)</t>
  </si>
  <si>
    <t>(19,600)</t>
  </si>
  <si>
    <t>(21,724)</t>
  </si>
  <si>
    <t>(22,500)</t>
  </si>
  <si>
    <t>(8,500)</t>
  </si>
  <si>
    <t>(17,266)</t>
  </si>
  <si>
    <t>(3,580)</t>
  </si>
  <si>
    <t>(8,528)</t>
  </si>
  <si>
    <t>(5,000)</t>
  </si>
  <si>
    <t>(11,800)</t>
  </si>
  <si>
    <t>(2,342)</t>
  </si>
  <si>
    <t>(22,600)</t>
  </si>
  <si>
    <t>(4,800)</t>
  </si>
  <si>
    <t>(1,798)</t>
  </si>
  <si>
    <t>(17,000)</t>
  </si>
  <si>
    <t>(17,534)</t>
  </si>
  <si>
    <t>(15,385)</t>
  </si>
  <si>
    <t>.(30,000)</t>
  </si>
  <si>
    <t>(6,064)</t>
  </si>
  <si>
    <t>(8,457)</t>
  </si>
  <si>
    <t>(12,425)</t>
  </si>
  <si>
    <t>(12,553)</t>
  </si>
  <si>
    <t>(293)</t>
  </si>
  <si>
    <t>(2,610)</t>
  </si>
  <si>
    <t>(3,398)</t>
  </si>
  <si>
    <t>(6,760)</t>
  </si>
  <si>
    <t>(2,954)</t>
  </si>
  <si>
    <t>(6,622)</t>
  </si>
  <si>
    <t>(6,633)</t>
  </si>
  <si>
    <t>(25,368)</t>
  </si>
  <si>
    <t>(9,388)</t>
  </si>
  <si>
    <t>Bg 300</t>
  </si>
  <si>
    <t>Bg 352</t>
  </si>
  <si>
    <t>Bg 357</t>
  </si>
  <si>
    <t>Bg 358</t>
  </si>
  <si>
    <t>Bg 359</t>
  </si>
  <si>
    <t>Bg 360</t>
  </si>
  <si>
    <t>Bg 366</t>
  </si>
  <si>
    <t>Bg 374</t>
  </si>
  <si>
    <t>Bw 367</t>
  </si>
  <si>
    <t>At 362</t>
  </si>
  <si>
    <t>Kurunegala (irr)</t>
  </si>
  <si>
    <t>Table 1.3 sub sample size distribution of irrigated and rainfed paddy among districts</t>
  </si>
  <si>
    <t>District/ region</t>
  </si>
  <si>
    <t>Extent harvested</t>
  </si>
  <si>
    <t xml:space="preserve"> Sub sample size</t>
  </si>
  <si>
    <t>Sub sample size</t>
  </si>
  <si>
    <t>for irrigated</t>
  </si>
  <si>
    <t>for rain-fed</t>
  </si>
  <si>
    <t xml:space="preserve">   for  irrigated</t>
  </si>
  <si>
    <t xml:space="preserve">for  rain-fed </t>
  </si>
  <si>
    <t>paddy during</t>
  </si>
  <si>
    <t xml:space="preserve">paddy during </t>
  </si>
  <si>
    <t xml:space="preserve">   whole island</t>
  </si>
  <si>
    <t xml:space="preserve">   sample</t>
  </si>
  <si>
    <t>sample</t>
  </si>
  <si>
    <t>Ampara-East</t>
  </si>
  <si>
    <t>Nr</t>
  </si>
  <si>
    <t xml:space="preserve"> (Ampara district)</t>
  </si>
  <si>
    <t>Mahawelisystems</t>
  </si>
  <si>
    <t xml:space="preserve"> System B</t>
  </si>
  <si>
    <t xml:space="preserve"> System C</t>
  </si>
  <si>
    <t xml:space="preserve"> System H</t>
  </si>
  <si>
    <t xml:space="preserve"> Kandy</t>
  </si>
  <si>
    <t>Table 2.1 Cost for land preparation and harvesting</t>
  </si>
  <si>
    <t>Tractor</t>
  </si>
  <si>
    <t xml:space="preserve">% </t>
  </si>
  <si>
    <t xml:space="preserve">Cost </t>
  </si>
  <si>
    <t xml:space="preserve">Manual Harvesting, </t>
  </si>
  <si>
    <t>Combine</t>
  </si>
  <si>
    <t>reporting</t>
  </si>
  <si>
    <t>(Rs/ac)</t>
  </si>
  <si>
    <t>Threshing , Winnowing</t>
  </si>
  <si>
    <t>Harvester</t>
  </si>
  <si>
    <t xml:space="preserve"> (Rs/ac)</t>
  </si>
  <si>
    <t>irrigated</t>
  </si>
  <si>
    <t>Rain fed</t>
  </si>
  <si>
    <t>* Buffaloes</t>
  </si>
  <si>
    <t># 2wt</t>
  </si>
  <si>
    <t>** Combine harvester</t>
  </si>
  <si>
    <t>+ manually</t>
  </si>
  <si>
    <t># # 4wt</t>
  </si>
  <si>
    <t>*** Reeper</t>
  </si>
  <si>
    <t>+++2w thresher</t>
  </si>
  <si>
    <t>**** 4w thresher</t>
  </si>
  <si>
    <t>Other      - 25</t>
  </si>
  <si>
    <t>Bg 409</t>
  </si>
  <si>
    <t>Bg 403</t>
  </si>
  <si>
    <t>Bw 364</t>
  </si>
  <si>
    <t>Bg 354</t>
  </si>
  <si>
    <t>Bw 372</t>
  </si>
  <si>
    <t>At 307</t>
  </si>
  <si>
    <t>Bw 272/6B</t>
  </si>
  <si>
    <t>(53351)</t>
  </si>
  <si>
    <t>2022 updated</t>
  </si>
  <si>
    <t xml:space="preserve">2022Yala  (ha)   </t>
  </si>
  <si>
    <t xml:space="preserve"> 2022Yala  (ha)</t>
  </si>
  <si>
    <t>Bw 367  -14</t>
  </si>
  <si>
    <t>At 307 - 14</t>
  </si>
  <si>
    <t>Bg 352 - 12</t>
  </si>
  <si>
    <t>Bg 300 - 09</t>
  </si>
  <si>
    <t>Bg 366 - 07</t>
  </si>
  <si>
    <t>Bw 372- 04</t>
  </si>
  <si>
    <t>Bg 359-   04</t>
  </si>
  <si>
    <t>Bg 360 -  04</t>
  </si>
  <si>
    <t>Other-   32</t>
  </si>
  <si>
    <t>Table2.1 :  Cost of cultivation of Paddy (irrigated) -Ampara -East</t>
  </si>
  <si>
    <t>Table 2.3 :</t>
  </si>
  <si>
    <t>Table 2.4 :  Cost of cultivation of Paddy (irrigated) -Hambantota</t>
  </si>
  <si>
    <t>Table 2.6 :  Cost of cultivation of Paddy (irrigated) -Polonnaruwa</t>
  </si>
  <si>
    <t>Table2. 7: Cost of cultivation of Paddy (irrigated) -Mahaweli B</t>
  </si>
  <si>
    <t>Table 2.8 :  Cost of cultivation of Paddy (irrigated) -Mahaweli C</t>
  </si>
  <si>
    <t>Table 2.10:  Cost of cultivation of Paddy (irrigated) -Trincomalee</t>
  </si>
  <si>
    <t>Table 2.11 :  Cost of cultivation of Paddy (Rain fed) -Gampaha</t>
  </si>
  <si>
    <t>Table 2.12 :  Cost of cultivation of Paddy (Rain fed) -Kalutara</t>
  </si>
  <si>
    <t>Table 2.13 :  Cost of cultivation of Paddy (Rain fed) -Kandy</t>
  </si>
  <si>
    <t>Table 2.14 :  Cost of cultivation of Paddy (rain-fed) -Kurunagala</t>
  </si>
  <si>
    <t>Table 2.15 :</t>
  </si>
  <si>
    <t xml:space="preserve"> Table 2.16 :          Cost of cultivation of Paddy (Rf )  -Whole island</t>
  </si>
  <si>
    <t>4wt</t>
  </si>
  <si>
    <t>82(#)</t>
  </si>
  <si>
    <t>10 (****)</t>
  </si>
  <si>
    <t>94(#)</t>
  </si>
  <si>
    <t>87(#)</t>
  </si>
  <si>
    <t>10(+,++)</t>
  </si>
  <si>
    <t>65(#)</t>
  </si>
  <si>
    <t>77(#)</t>
  </si>
  <si>
    <t>84(#)</t>
  </si>
  <si>
    <t>6(+.****)</t>
  </si>
  <si>
    <t>80(#)</t>
  </si>
  <si>
    <t>20(****)</t>
  </si>
  <si>
    <t>83(#)</t>
  </si>
  <si>
    <t>90(#)</t>
  </si>
  <si>
    <t>60(##)</t>
  </si>
  <si>
    <t>(26667</t>
  </si>
  <si>
    <t>2wt</t>
  </si>
  <si>
    <t>65(+'*)</t>
  </si>
  <si>
    <t>47(+'++)</t>
  </si>
  <si>
    <t>81(#)</t>
  </si>
  <si>
    <t>6(+,****)</t>
  </si>
  <si>
    <t>5(+,****)</t>
  </si>
  <si>
    <t>63(#)</t>
  </si>
  <si>
    <t>19(+,+++)</t>
  </si>
  <si>
    <t>(4000)</t>
  </si>
  <si>
    <t>% reporting</t>
  </si>
  <si>
    <t>Land preparation</t>
  </si>
  <si>
    <t>Combine Harvester</t>
  </si>
  <si>
    <t>Table 2.2 Cultivated Extent by Varieties (%)</t>
  </si>
  <si>
    <t xml:space="preserve">Table 2.3.Yield,  farm-gate price,  gross return,  net return, return to a labour </t>
  </si>
  <si>
    <t>Table 2.4: Cost of cultivation (including cost of farmer owned input) : Paddy</t>
  </si>
  <si>
    <t>Table 2.5: Cash cost of cultivation (excluding cost of farmer owned input ) : Paddy</t>
  </si>
  <si>
    <t>Table 2.6:  Cash cost as a percentage of  total cost : Paddy</t>
  </si>
  <si>
    <t>Table 2.7:  Labour use and wage rates :  Paddy</t>
  </si>
  <si>
    <t>Table 2.8:  Type, quantity  and cost of fertilizer : Paddy</t>
  </si>
  <si>
    <t>Table 2.9: Yield, Farm-gate price &amp; returns-Paddy</t>
  </si>
  <si>
    <t>24,432 (17)</t>
  </si>
  <si>
    <t>36,665 (30)</t>
  </si>
  <si>
    <t>36,948 (29)</t>
  </si>
  <si>
    <t>41,295 (27)</t>
  </si>
  <si>
    <t>40,275 (27)</t>
  </si>
  <si>
    <t>32,665 (26)</t>
  </si>
  <si>
    <t>41,977 (38)</t>
  </si>
  <si>
    <t>36,114 (33)</t>
  </si>
  <si>
    <t>34,227 (23)</t>
  </si>
  <si>
    <t>32,301 (27)</t>
  </si>
  <si>
    <t>33,842 (35)</t>
  </si>
  <si>
    <t>37,709 (37)</t>
  </si>
  <si>
    <t>62,174 (56)</t>
  </si>
  <si>
    <t>37,770 (36)</t>
  </si>
  <si>
    <t>32,834 (26)</t>
  </si>
  <si>
    <t>32,517 (37)</t>
  </si>
  <si>
    <t>40,175 (28)</t>
  </si>
  <si>
    <t>38,397 (32)</t>
  </si>
  <si>
    <t>38,620 (31)</t>
  </si>
  <si>
    <t>51,402 (33)</t>
  </si>
  <si>
    <t>40,749 (28)</t>
  </si>
  <si>
    <t>42,972 (33)</t>
  </si>
  <si>
    <t>38,174 (35)</t>
  </si>
  <si>
    <t>39,451 (36)</t>
  </si>
  <si>
    <t>45,278 (30)</t>
  </si>
  <si>
    <t>41,636 (35)</t>
  </si>
  <si>
    <t>38,602 (40)</t>
  </si>
  <si>
    <t>42,425 (41)</t>
  </si>
  <si>
    <t>27,257 (24)</t>
  </si>
  <si>
    <t>43,930 (42)</t>
  </si>
  <si>
    <t>40,184 (32)</t>
  </si>
  <si>
    <t>36,588 (42)</t>
  </si>
  <si>
    <t>77,264 (53)</t>
  </si>
  <si>
    <t>43,127 (36)</t>
  </si>
  <si>
    <t>46,936 (37)</t>
  </si>
  <si>
    <t>56,706 (37)</t>
  </si>
  <si>
    <t>60,792 (42)</t>
  </si>
  <si>
    <t>49,088 (38)</t>
  </si>
  <si>
    <t>27,040 (24)</t>
  </si>
  <si>
    <t>31,449 (28)</t>
  </si>
  <si>
    <t>65,855 (44)</t>
  </si>
  <si>
    <t>41,608 (35)</t>
  </si>
  <si>
    <t>20,338 (21)</t>
  </si>
  <si>
    <t>21,100 (20)</t>
  </si>
  <si>
    <t>18,464 (17)</t>
  </si>
  <si>
    <t>18,868 (18)</t>
  </si>
  <si>
    <t>49,554 (40)</t>
  </si>
  <si>
    <t>17,181 (19)</t>
  </si>
  <si>
    <t>2,800 (2)</t>
  </si>
  <si>
    <t>1,820 (2)</t>
  </si>
  <si>
    <t>3,000(3)</t>
  </si>
  <si>
    <t>4,640 (3)</t>
  </si>
  <si>
    <t>4,000 (3)</t>
  </si>
  <si>
    <t>3,150 (3)</t>
  </si>
  <si>
    <t>3,000 (3)</t>
  </si>
  <si>
    <t>3,500 (3)</t>
  </si>
  <si>
    <t>4,000 (4)</t>
  </si>
  <si>
    <t>2,000 (2)</t>
  </si>
  <si>
    <t>3,765(4)</t>
  </si>
  <si>
    <t>2,250 (2)</t>
  </si>
  <si>
    <t>13,872 (10)</t>
  </si>
  <si>
    <t>8,148 (10)</t>
  </si>
  <si>
    <t>12,929 (14)</t>
  </si>
  <si>
    <t>19,432 (16)</t>
  </si>
  <si>
    <t>14,648 (13)</t>
  </si>
  <si>
    <t>16,336 (18)</t>
  </si>
  <si>
    <t>15,463 (20)</t>
  </si>
  <si>
    <t>12,744 (16)</t>
  </si>
  <si>
    <t>13,307 (10)</t>
  </si>
  <si>
    <t>14,910 (16)</t>
  </si>
  <si>
    <t>16,920 (22)</t>
  </si>
  <si>
    <t>9,428 (15)</t>
  </si>
  <si>
    <t>19,430 (31)</t>
  </si>
  <si>
    <t>11,928 (17)</t>
  </si>
  <si>
    <t>10,260 (20)</t>
  </si>
  <si>
    <t>8,128 (21)</t>
  </si>
  <si>
    <t>40,175 (31)</t>
  </si>
  <si>
    <t>32,396 (39)</t>
  </si>
  <si>
    <t>37,019 (40)</t>
  </si>
  <si>
    <t>51,402 (42)</t>
  </si>
  <si>
    <t>38,629 (35)</t>
  </si>
  <si>
    <t>31,587 (34)</t>
  </si>
  <si>
    <t>36,512 (47)</t>
  </si>
  <si>
    <t>39,184 (48)</t>
  </si>
  <si>
    <t>41,978 (43)</t>
  </si>
  <si>
    <t>37,262 (41)</t>
  </si>
  <si>
    <t>38,602 (51)</t>
  </si>
  <si>
    <t>35,582 (67)</t>
  </si>
  <si>
    <t>26,803 (43)</t>
  </si>
  <si>
    <t>40,134 (58)</t>
  </si>
  <si>
    <t>37,769 (34)</t>
  </si>
  <si>
    <t>34,444 (52)</t>
  </si>
  <si>
    <t>77,264 (59)</t>
  </si>
  <si>
    <t>42,951 (51)</t>
  </si>
  <si>
    <t>42,945 (46)</t>
  </si>
  <si>
    <t>50,869 (42)</t>
  </si>
  <si>
    <t>58,646 (52)</t>
  </si>
  <si>
    <t>44,593 (48)</t>
  </si>
  <si>
    <t>25,085 (33)</t>
  </si>
  <si>
    <t>29,443 (36)</t>
  </si>
  <si>
    <t>62,572 (47)</t>
  </si>
  <si>
    <t>39,591 (43)</t>
  </si>
  <si>
    <t>20,273 (27)</t>
  </si>
  <si>
    <t>16,086 (18)</t>
  </si>
  <si>
    <t>16,302 (26)</t>
  </si>
  <si>
    <t>16,931 (25)</t>
  </si>
  <si>
    <t>47,378 (46)</t>
  </si>
  <si>
    <t>14,630 (27)</t>
  </si>
  <si>
    <r>
      <t>1</t>
    </r>
    <r>
      <rPr>
        <vertAlign val="superscript"/>
        <sz val="11"/>
        <rFont val="Times New Roman"/>
        <family val="1"/>
      </rPr>
      <t>st</t>
    </r>
    <r>
      <rPr>
        <sz val="11"/>
        <rFont val="Times New Roman"/>
        <family val="1"/>
      </rPr>
      <t xml:space="preserve"> &amp; 2</t>
    </r>
    <r>
      <rPr>
        <vertAlign val="superscript"/>
        <sz val="11"/>
        <rFont val="Times New Roman"/>
        <family val="1"/>
      </rPr>
      <t>nd</t>
    </r>
    <r>
      <rPr>
        <sz val="11"/>
        <rFont val="Times New Roman"/>
        <family val="1"/>
      </rPr>
      <t xml:space="preserve">  plough with 4wt</t>
    </r>
  </si>
  <si>
    <t>Profit including imputed cost (Rs.)</t>
  </si>
  <si>
    <t>Profit excluding imputed cost (Rs.)</t>
  </si>
  <si>
    <t>Unit cost (excluding imputed cost (Rs/kg)</t>
  </si>
  <si>
    <t>Unit cost (including imputed cost) (Rs/kg)</t>
  </si>
  <si>
    <t>Harvesting with combine harvester</t>
  </si>
  <si>
    <t xml:space="preserve"> Ext. % of  Variety </t>
  </si>
  <si>
    <t>Unit Price (Rs.)</t>
  </si>
  <si>
    <t>(6,500)</t>
  </si>
  <si>
    <t>Levelling &amp; Broadcasting</t>
  </si>
  <si>
    <t>Puddling and levelling with buffaloes</t>
  </si>
  <si>
    <t>Table 2.2 :  Cost of cultivation of Paddy (irrigated) -Ampara -West</t>
  </si>
  <si>
    <t>(Threshing and winnowing with 4w thresher)</t>
  </si>
  <si>
    <t xml:space="preserve">Pest  &amp; disease control </t>
  </si>
  <si>
    <r>
      <t>(1</t>
    </r>
    <r>
      <rPr>
        <vertAlign val="superscript"/>
        <sz val="11"/>
        <rFont val="Times New Roman"/>
        <family val="1"/>
      </rPr>
      <t>st</t>
    </r>
    <r>
      <rPr>
        <sz val="11"/>
        <rFont val="Times New Roman"/>
        <family val="1"/>
      </rPr>
      <t xml:space="preserve"> , 2</t>
    </r>
    <r>
      <rPr>
        <vertAlign val="superscript"/>
        <sz val="11"/>
        <rFont val="Times New Roman"/>
        <family val="1"/>
      </rPr>
      <t>nd</t>
    </r>
    <r>
      <rPr>
        <sz val="11"/>
        <rFont val="Times New Roman"/>
        <family val="1"/>
      </rPr>
      <t xml:space="preserve"> &amp; 3</t>
    </r>
    <r>
      <rPr>
        <vertAlign val="superscript"/>
        <sz val="11"/>
        <rFont val="Times New Roman"/>
        <family val="1"/>
      </rPr>
      <t>rd</t>
    </r>
    <r>
      <rPr>
        <sz val="11"/>
        <rFont val="Times New Roman"/>
        <family val="1"/>
      </rPr>
      <t xml:space="preserve"> plough with 2wt)</t>
    </r>
  </si>
  <si>
    <t>Harvesting &amp; processing with     combine harvester</t>
  </si>
  <si>
    <t>Fertilizer application</t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</si>
  <si>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>,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&amp; 3</t>
    </r>
    <r>
      <rPr>
        <vertAlign val="superscript"/>
        <sz val="10"/>
        <rFont val="Times New Roman"/>
        <family val="1"/>
      </rPr>
      <t xml:space="preserve">rd </t>
    </r>
    <r>
      <rPr>
        <sz val="10"/>
        <rFont val="Times New Roman"/>
        <family val="1"/>
      </rPr>
      <t>plough with 4wt</t>
    </r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</si>
  <si>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,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plough with 4wt</t>
    </r>
  </si>
  <si>
    <r>
      <t>1</t>
    </r>
    <r>
      <rPr>
        <vertAlign val="superscript"/>
        <sz val="10"/>
        <rFont val="Times New Roman"/>
        <family val="1"/>
      </rPr>
      <t xml:space="preserve">st </t>
    </r>
    <r>
      <rPr>
        <sz val="10"/>
        <rFont val="Times New Roman"/>
        <family val="1"/>
      </rPr>
      <t>&amp;</t>
    </r>
    <r>
      <rPr>
        <vertAlign val="superscript"/>
        <sz val="10"/>
        <rFont val="Times New Roman"/>
        <family val="1"/>
      </rPr>
      <t xml:space="preserve"> </t>
    </r>
    <r>
      <rPr>
        <sz val="10"/>
        <rFont val="Times New Roman"/>
        <family val="1"/>
      </rPr>
      <t>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 plough with 4wt</t>
    </r>
  </si>
  <si>
    <t>(Pest &amp; disease control )</t>
  </si>
  <si>
    <t xml:space="preserve">All Top Dressing </t>
  </si>
  <si>
    <t>Other   - 20</t>
  </si>
  <si>
    <r>
      <t>1</t>
    </r>
    <r>
      <rPr>
        <vertAlign val="superscript"/>
        <sz val="10"/>
        <color theme="1"/>
        <rFont val="Times New Roman"/>
        <family val="1"/>
      </rPr>
      <t>st</t>
    </r>
    <r>
      <rPr>
        <sz val="10"/>
        <color theme="1"/>
        <rFont val="Times New Roman"/>
        <family val="1"/>
      </rPr>
      <t xml:space="preserve"> , 2</t>
    </r>
    <r>
      <rPr>
        <vertAlign val="superscript"/>
        <sz val="10"/>
        <color theme="1"/>
        <rFont val="Times New Roman"/>
        <family val="1"/>
      </rPr>
      <t>nd</t>
    </r>
    <r>
      <rPr>
        <sz val="10"/>
        <color theme="1"/>
        <rFont val="Times New Roman"/>
        <family val="1"/>
      </rPr>
      <t xml:space="preserve"> &amp; 3</t>
    </r>
    <r>
      <rPr>
        <vertAlign val="superscript"/>
        <sz val="10"/>
        <color theme="1"/>
        <rFont val="Times New Roman"/>
        <family val="1"/>
      </rPr>
      <t>rd</t>
    </r>
    <r>
      <rPr>
        <sz val="10"/>
        <color theme="1"/>
        <rFont val="Times New Roman"/>
        <family val="1"/>
      </rPr>
      <t xml:space="preserve"> plough with 4wt</t>
    </r>
  </si>
  <si>
    <t>Table 2.5 :  Cost of cultivation of Paddy (irrigated) -Kurunagala</t>
  </si>
  <si>
    <t>(do  manually )</t>
  </si>
  <si>
    <t>Urea(high price)</t>
  </si>
  <si>
    <t>Urea (other)</t>
  </si>
  <si>
    <t>Bg 352   - 27</t>
  </si>
  <si>
    <t>Bg 366   - 17</t>
  </si>
  <si>
    <t>Bg 409   - 10</t>
  </si>
  <si>
    <t>Other     - 25</t>
  </si>
  <si>
    <t>Bg 360   - 07</t>
  </si>
  <si>
    <t>Bw 367  - 07</t>
  </si>
  <si>
    <t>Bg 374   -07</t>
  </si>
  <si>
    <r>
      <t>1</t>
    </r>
    <r>
      <rPr>
        <vertAlign val="superscript"/>
        <sz val="10"/>
        <rFont val="Times New Roman"/>
        <family val="1"/>
      </rPr>
      <t xml:space="preserve">st </t>
    </r>
    <r>
      <rPr>
        <sz val="10"/>
        <rFont val="Times New Roman"/>
        <family val="1"/>
      </rPr>
      <t>,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plough with 4wt</t>
    </r>
  </si>
  <si>
    <t>(do with with 2wt)</t>
  </si>
  <si>
    <t>(2,200)</t>
  </si>
  <si>
    <t>(1,200)</t>
  </si>
  <si>
    <t>All top dressing.</t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</si>
  <si>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&amp;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 plough with 4wt</t>
    </r>
  </si>
  <si>
    <t>(Threshing &amp; Winnowing with 4w thresher)</t>
  </si>
  <si>
    <t>Urea (subsidy price )</t>
  </si>
  <si>
    <t>(24)</t>
  </si>
  <si>
    <t>(243)</t>
  </si>
  <si>
    <t>Table 2.9 :  Cost of cultivation of Paddy (irrigated) -Mahaweli H</t>
  </si>
  <si>
    <t>Levelling broadcasting</t>
  </si>
  <si>
    <t>(03)</t>
  </si>
  <si>
    <t>(16,875)</t>
  </si>
  <si>
    <t>(17,600)</t>
  </si>
  <si>
    <t>(6,207)</t>
  </si>
  <si>
    <t>(1,700)</t>
  </si>
  <si>
    <r>
      <t>(1</t>
    </r>
    <r>
      <rPr>
        <vertAlign val="superscript"/>
        <sz val="10"/>
        <rFont val="Times New Roman"/>
        <family val="1"/>
      </rPr>
      <t xml:space="preserve">st </t>
    </r>
    <r>
      <rPr>
        <sz val="10"/>
        <rFont val="Times New Roman"/>
        <family val="1"/>
      </rPr>
      <t>&amp;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plough with 4wt)</t>
    </r>
  </si>
  <si>
    <r>
      <t>1</t>
    </r>
    <r>
      <rPr>
        <vertAlign val="superscript"/>
        <sz val="10"/>
        <rFont val="Times New Roman"/>
        <family val="1"/>
      </rPr>
      <t xml:space="preserve">st </t>
    </r>
    <r>
      <rPr>
        <sz val="10"/>
        <rFont val="Times New Roman"/>
        <family val="1"/>
      </rPr>
      <t>, 2</t>
    </r>
    <r>
      <rPr>
        <vertAlign val="superscript"/>
        <sz val="10"/>
        <rFont val="Times New Roman"/>
        <family val="1"/>
      </rPr>
      <t xml:space="preserve">nd </t>
    </r>
    <r>
      <rPr>
        <sz val="10"/>
        <rFont val="Times New Roman"/>
        <family val="1"/>
      </rPr>
      <t>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plough with 4wt</t>
    </r>
  </si>
  <si>
    <t>(50)</t>
  </si>
  <si>
    <t>(820)</t>
  </si>
  <si>
    <t>(227)</t>
  </si>
  <si>
    <t>All top dressing</t>
  </si>
  <si>
    <t>Urea (other )</t>
  </si>
  <si>
    <t>Liquid fertlizer</t>
  </si>
  <si>
    <t>Bg 374  - 08</t>
  </si>
  <si>
    <t xml:space="preserve">Bw 364  - 06 </t>
  </si>
  <si>
    <r>
      <t>(1</t>
    </r>
    <r>
      <rPr>
        <vertAlign val="superscript"/>
        <sz val="10"/>
        <rFont val="Times New Roman"/>
        <family val="1"/>
      </rPr>
      <t xml:space="preserve">st </t>
    </r>
    <r>
      <rPr>
        <sz val="10"/>
        <rFont val="Times New Roman"/>
        <family val="1"/>
      </rPr>
      <t>,</t>
    </r>
    <r>
      <rPr>
        <vertAlign val="superscript"/>
        <sz val="10"/>
        <rFont val="Times New Roman"/>
        <family val="1"/>
      </rPr>
      <t xml:space="preserve"> </t>
    </r>
    <r>
      <rPr>
        <sz val="10"/>
        <rFont val="Times New Roman"/>
        <family val="1"/>
      </rPr>
      <t>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&amp; 3</t>
    </r>
    <r>
      <rPr>
        <vertAlign val="superscript"/>
        <sz val="10"/>
        <rFont val="Times New Roman"/>
        <family val="1"/>
      </rPr>
      <t xml:space="preserve">rd </t>
    </r>
    <r>
      <rPr>
        <sz val="10"/>
        <rFont val="Times New Roman"/>
        <family val="1"/>
      </rPr>
      <t>plough with 4wt)</t>
    </r>
  </si>
  <si>
    <r>
      <t>1</t>
    </r>
    <r>
      <rPr>
        <vertAlign val="superscript"/>
        <sz val="10"/>
        <rFont val="Times New Roman"/>
        <family val="1"/>
      </rPr>
      <t xml:space="preserve">st </t>
    </r>
    <r>
      <rPr>
        <sz val="10"/>
        <rFont val="Times New Roman"/>
        <family val="1"/>
      </rPr>
      <t>&amp;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plough with 2wt</t>
    </r>
  </si>
  <si>
    <r>
      <t>(1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>,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&amp; 3</t>
    </r>
    <r>
      <rPr>
        <vertAlign val="superscript"/>
        <sz val="10"/>
        <rFont val="Times New Roman"/>
        <family val="1"/>
      </rPr>
      <t>rd</t>
    </r>
    <r>
      <rPr>
        <sz val="10"/>
        <rFont val="Times New Roman"/>
        <family val="1"/>
      </rPr>
      <t xml:space="preserve"> plough with  2wt)</t>
    </r>
  </si>
  <si>
    <t>(5,569)</t>
  </si>
  <si>
    <t>(26,667)</t>
  </si>
  <si>
    <r>
      <t>(Transplanting-</t>
    </r>
    <r>
      <rPr>
        <sz val="10"/>
        <color rgb="FFC00000"/>
        <rFont val="Times New Roman"/>
        <family val="1"/>
      </rPr>
      <t>dapok+parachute)</t>
    </r>
  </si>
  <si>
    <t>Threshing &amp; processing with  EPPT</t>
  </si>
  <si>
    <t>(Threshing &amp; winnowing with EPPT)</t>
  </si>
  <si>
    <t>(do  manually)</t>
  </si>
  <si>
    <t>(do  with buffaloes)</t>
  </si>
  <si>
    <t>(Harvesting &amp; drawing  manually)</t>
  </si>
  <si>
    <t>(Threshing &amp; processing  with 4w thresher)</t>
  </si>
  <si>
    <t>Bg 300    -11</t>
  </si>
  <si>
    <t>Bg 352    -24</t>
  </si>
  <si>
    <t>At 307     -26</t>
  </si>
  <si>
    <t>Other     -33</t>
  </si>
  <si>
    <t>Bg 360    -06</t>
  </si>
  <si>
    <t xml:space="preserve">Compost </t>
  </si>
  <si>
    <t>(08)</t>
  </si>
  <si>
    <t xml:space="preserve">Liquid fertilizer   </t>
  </si>
  <si>
    <t>(14)</t>
  </si>
  <si>
    <t>(05)</t>
  </si>
  <si>
    <t>(Harvesting &amp; drawing manually)</t>
  </si>
  <si>
    <t>Avereage yield (kg)</t>
  </si>
  <si>
    <t>47(+,++)</t>
  </si>
  <si>
    <t>Kurunegala (rf)</t>
  </si>
  <si>
    <t>10 (+,++)</t>
  </si>
  <si>
    <t>6 (+,****)</t>
  </si>
  <si>
    <t>20 (****)</t>
  </si>
  <si>
    <t>5 (+,****)</t>
  </si>
  <si>
    <t>19 (+,+++)</t>
  </si>
  <si>
    <t>+ Manually</t>
  </si>
  <si>
    <t>Other</t>
  </si>
  <si>
    <t>Ld 368</t>
  </si>
  <si>
    <t>Bg 94/1</t>
  </si>
  <si>
    <t>1,800 (2)</t>
  </si>
  <si>
    <t>Mahaweli system</t>
  </si>
  <si>
    <t>Cost/ac (Rs.)</t>
  </si>
  <si>
    <t>Farm gate price (Rs./kg)</t>
  </si>
  <si>
    <t xml:space="preserve"> Rain fed</t>
  </si>
  <si>
    <t xml:space="preserve">        Breakeven yield (kg/ac)</t>
  </si>
  <si>
    <t>Table 2.10 : Unit cost  and breakeven yield:  Paddy</t>
  </si>
  <si>
    <t>Figure 2.1 Labour usage of paddy</t>
  </si>
  <si>
    <t>System</t>
  </si>
  <si>
    <t>Avarage</t>
  </si>
  <si>
    <t>2022yala</t>
  </si>
  <si>
    <t>Yeild reduction</t>
  </si>
  <si>
    <t>reduction%</t>
  </si>
  <si>
    <t>Ampara -West</t>
  </si>
  <si>
    <t>Figure 2.3: Difference of yield &amp; break even yield of paddy</t>
  </si>
  <si>
    <t xml:space="preserve">Cash cost </t>
  </si>
  <si>
    <t xml:space="preserve"> Own cost </t>
  </si>
  <si>
    <t>Ampara-East  (Irr)</t>
  </si>
  <si>
    <t>Ampara-West  (Irr)</t>
  </si>
  <si>
    <t>Anuradhapura  (Irr)</t>
  </si>
  <si>
    <t>Hambantota (Irr)</t>
  </si>
  <si>
    <t>Polonnaruwa (Irr)</t>
  </si>
  <si>
    <t>Mahaweli  B (Irr)</t>
  </si>
  <si>
    <t>Mahaweli  C (Irr)</t>
  </si>
  <si>
    <t>Mahaweli  H (Irr)</t>
  </si>
  <si>
    <t>Trincomalee (Irr)</t>
  </si>
  <si>
    <t>Gampaha (Rf)</t>
  </si>
  <si>
    <t>Kalutara (Rf)</t>
  </si>
  <si>
    <t>Kandy (Rf)</t>
  </si>
  <si>
    <r>
      <t xml:space="preserve">Figure 2.4. Cost of </t>
    </r>
    <r>
      <rPr>
        <u/>
        <sz val="12"/>
        <color rgb="FF008080"/>
        <rFont val="Times New Roman"/>
        <family val="1"/>
      </rPr>
      <t>c</t>
    </r>
    <r>
      <rPr>
        <strike/>
        <sz val="12"/>
        <color rgb="FFFF0000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ultivation of </t>
    </r>
    <r>
      <rPr>
        <u/>
        <sz val="12"/>
        <color rgb="FF008080"/>
        <rFont val="Times New Roman"/>
        <family val="1"/>
      </rPr>
      <t>p</t>
    </r>
    <r>
      <rPr>
        <strike/>
        <sz val="12"/>
        <color rgb="FFFF0000"/>
        <rFont val="Times New Roman"/>
        <family val="1"/>
      </rPr>
      <t>P</t>
    </r>
    <r>
      <rPr>
        <sz val="12"/>
        <color theme="1"/>
        <rFont val="Times New Roman"/>
        <family val="1"/>
      </rPr>
      <t>addy</t>
    </r>
  </si>
  <si>
    <t xml:space="preserve">  Farm-gate  price(Rs./kg)          </t>
  </si>
  <si>
    <t>Unit cost (inc)</t>
  </si>
  <si>
    <r>
      <t>Figure 2.6</t>
    </r>
    <r>
      <rPr>
        <sz val="10"/>
        <color theme="1"/>
        <rFont val="Times New Roman"/>
        <family val="1"/>
      </rPr>
      <t>.</t>
    </r>
  </si>
  <si>
    <r>
      <t xml:space="preserve">Unit cost of production and </t>
    </r>
    <r>
      <rPr>
        <strike/>
        <sz val="10"/>
        <color rgb="FFFF0000"/>
        <rFont val="Times New Roman"/>
        <family val="1"/>
      </rPr>
      <t>farm-gate</t>
    </r>
    <r>
      <rPr>
        <u/>
        <sz val="10"/>
        <color rgb="FF008080"/>
        <rFont val="Times New Roman"/>
        <family val="1"/>
      </rPr>
      <t>farm gate</t>
    </r>
    <r>
      <rPr>
        <sz val="10"/>
        <color theme="1"/>
        <rFont val="Times New Roman"/>
        <family val="1"/>
      </rPr>
      <t xml:space="preserve"> price</t>
    </r>
  </si>
  <si>
    <t>Figure 2.7. Returns of the paddy cultivation</t>
  </si>
  <si>
    <t xml:space="preserve"> Gross return                                                                                                                                                                                                                                                    </t>
  </si>
  <si>
    <t>Net return</t>
  </si>
  <si>
    <t>Whole island (irr)</t>
  </si>
  <si>
    <t>Whole island (Rf)</t>
  </si>
  <si>
    <r>
      <t xml:space="preserve">Figure 2.5. Cost structure of </t>
    </r>
    <r>
      <rPr>
        <u/>
        <sz val="12"/>
        <color rgb="FF008080"/>
        <rFont val="Times New Roman"/>
        <family val="1"/>
      </rPr>
      <t>p</t>
    </r>
    <r>
      <rPr>
        <strike/>
        <sz val="12"/>
        <color rgb="FFFF0000"/>
        <rFont val="Times New Roman"/>
        <family val="1"/>
      </rPr>
      <t>P</t>
    </r>
    <r>
      <rPr>
        <sz val="12"/>
        <color theme="1"/>
        <rFont val="Times New Roman"/>
        <family val="1"/>
      </rPr>
      <t xml:space="preserve">addy </t>
    </r>
    <r>
      <rPr>
        <u/>
        <sz val="12"/>
        <color rgb="FF008080"/>
        <rFont val="Times New Roman"/>
        <family val="1"/>
      </rPr>
      <t>c</t>
    </r>
    <r>
      <rPr>
        <strike/>
        <sz val="12"/>
        <color rgb="FFFF0000"/>
        <rFont val="Times New Roman"/>
        <family val="1"/>
      </rPr>
      <t>C</t>
    </r>
    <r>
      <rPr>
        <sz val="12"/>
        <color theme="1"/>
        <rFont val="Times New Roman"/>
        <family val="1"/>
      </rPr>
      <t>ultivation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</si>
</sst>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-* #,##0.00_-;\-* #,##0.00_-;_-* &quot;-&quot;??_-;_-@_-"/>
    <numFmt numFmtId="165" formatCode="0_)"/>
    <numFmt numFmtId="166" formatCode="0.00_)"/>
    <numFmt numFmtId="167" formatCode="0.0_)"/>
    <numFmt numFmtId="168" formatCode="_-* #,##0_-;\-* #,##0_-;_-* &quot;-&quot;??_-;_-@_-"/>
    <numFmt numFmtId="169" formatCode="0.0"/>
    <numFmt numFmtId="170" formatCode="_(* #,##0_);_(* \(#,##0\);_(* &quot;-&quot;??_);_(@_)"/>
  </numFmts>
  <fonts count="42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C00000"/>
      <name val="Times New Roman"/>
      <family val="1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C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FF0000"/>
      <name val="Times New Roman"/>
      <family val="1"/>
    </font>
    <font>
      <i/>
      <sz val="11"/>
      <color theme="1"/>
      <name val="Times New Roman"/>
      <family val="1"/>
    </font>
    <font>
      <sz val="10"/>
      <color rgb="FFFF0000"/>
      <name val="Times New Roman"/>
      <family val="1"/>
    </font>
    <font>
      <vertAlign val="superscript"/>
      <sz val="10"/>
      <name val="Times New Roman"/>
      <family val="1"/>
    </font>
    <font>
      <b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i/>
      <sz val="10"/>
      <color theme="1"/>
      <name val="Times New Roman"/>
      <family val="1"/>
    </font>
    <font>
      <b/>
      <i/>
      <sz val="9"/>
      <color theme="1"/>
      <name val="Times New Roman"/>
      <family val="1"/>
    </font>
    <font>
      <vertAlign val="superscript"/>
      <sz val="11"/>
      <name val="Times New Roman"/>
      <family val="1"/>
    </font>
    <font>
      <b/>
      <i/>
      <sz val="11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u/>
      <sz val="12"/>
      <color rgb="FF008080"/>
      <name val="Times New Roman"/>
      <family val="1"/>
    </font>
    <font>
      <strike/>
      <sz val="12"/>
      <color rgb="FFFF0000"/>
      <name val="Times New Roman"/>
      <family val="1"/>
    </font>
    <font>
      <sz val="12"/>
      <name val="Times New Roman"/>
      <family val="1"/>
    </font>
    <font>
      <strike/>
      <sz val="10"/>
      <color rgb="FFFF0000"/>
      <name val="Times New Roman"/>
      <family val="1"/>
    </font>
    <font>
      <u/>
      <sz val="10"/>
      <color rgb="FF00808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164" fontId="11" fillId="0" borderId="0" applyFont="0" applyFill="0" applyBorder="0" applyAlignment="0" applyProtection="0"/>
  </cellStyleXfs>
  <cellXfs count="6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2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2" fontId="3" fillId="0" borderId="0" xfId="0" applyNumberFormat="1" applyFont="1"/>
    <xf numFmtId="0" fontId="4" fillId="0" borderId="0" xfId="0" applyFont="1"/>
    <xf numFmtId="2" fontId="4" fillId="0" borderId="0" xfId="0" applyNumberFormat="1" applyFont="1"/>
    <xf numFmtId="166" fontId="3" fillId="0" borderId="0" xfId="0" quotePrefix="1" applyNumberFormat="1" applyFont="1"/>
    <xf numFmtId="166" fontId="3" fillId="0" borderId="0" xfId="0" applyNumberFormat="1" applyFont="1"/>
    <xf numFmtId="165" fontId="3" fillId="0" borderId="2" xfId="0" applyNumberFormat="1" applyFont="1" applyBorder="1"/>
    <xf numFmtId="2" fontId="3" fillId="0" borderId="2" xfId="0" applyNumberFormat="1" applyFont="1" applyBorder="1"/>
    <xf numFmtId="165" fontId="3" fillId="0" borderId="1" xfId="0" applyNumberFormat="1" applyFont="1" applyBorder="1"/>
    <xf numFmtId="2" fontId="3" fillId="0" borderId="1" xfId="0" applyNumberFormat="1" applyFont="1" applyBorder="1"/>
    <xf numFmtId="0" fontId="3" fillId="0" borderId="0" xfId="1" applyFont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right"/>
    </xf>
    <xf numFmtId="1" fontId="3" fillId="0" borderId="0" xfId="0" applyNumberFormat="1" applyFont="1"/>
    <xf numFmtId="14" fontId="2" fillId="0" borderId="0" xfId="0" applyNumberFormat="1" applyFont="1"/>
    <xf numFmtId="166" fontId="1" fillId="0" borderId="1" xfId="1" applyNumberFormat="1" applyFont="1" applyBorder="1" applyAlignment="1">
      <alignment horizontal="left"/>
    </xf>
    <xf numFmtId="166" fontId="1" fillId="0" borderId="0" xfId="1" applyNumberFormat="1" applyFont="1" applyAlignment="1">
      <alignment horizontal="left"/>
    </xf>
    <xf numFmtId="0" fontId="8" fillId="0" borderId="0" xfId="0" applyFont="1"/>
    <xf numFmtId="0" fontId="3" fillId="0" borderId="2" xfId="0" applyFont="1" applyBorder="1" applyAlignment="1">
      <alignment horizontal="right"/>
    </xf>
    <xf numFmtId="165" fontId="3" fillId="0" borderId="0" xfId="0" quotePrefix="1" applyNumberFormat="1" applyFont="1" applyAlignment="1">
      <alignment horizontal="center" vertical="center"/>
    </xf>
    <xf numFmtId="2" fontId="3" fillId="0" borderId="0" xfId="0" quotePrefix="1" applyNumberFormat="1" applyFont="1" applyAlignment="1">
      <alignment horizontal="right"/>
    </xf>
    <xf numFmtId="2" fontId="2" fillId="0" borderId="0" xfId="0" applyNumberFormat="1" applyFont="1"/>
    <xf numFmtId="165" fontId="3" fillId="0" borderId="0" xfId="0" quotePrefix="1" applyNumberFormat="1" applyFont="1" applyAlignment="1">
      <alignment horizontal="center"/>
    </xf>
    <xf numFmtId="2" fontId="3" fillId="0" borderId="0" xfId="0" quotePrefix="1" applyNumberFormat="1" applyFont="1"/>
    <xf numFmtId="165" fontId="3" fillId="0" borderId="0" xfId="0" quotePrefix="1" applyNumberFormat="1" applyFont="1"/>
    <xf numFmtId="0" fontId="1" fillId="0" borderId="2" xfId="0" applyFont="1" applyBorder="1"/>
    <xf numFmtId="1" fontId="3" fillId="0" borderId="0" xfId="0" quotePrefix="1" applyNumberFormat="1" applyFont="1" applyAlignment="1">
      <alignment horizontal="center" vertical="center"/>
    </xf>
    <xf numFmtId="0" fontId="1" fillId="0" borderId="0" xfId="0" applyFont="1" applyAlignment="1">
      <alignment horizontal="right"/>
    </xf>
    <xf numFmtId="166" fontId="3" fillId="0" borderId="1" xfId="0" applyNumberFormat="1" applyFont="1" applyBorder="1"/>
    <xf numFmtId="0" fontId="10" fillId="0" borderId="0" xfId="0" applyFont="1"/>
    <xf numFmtId="14" fontId="10" fillId="0" borderId="0" xfId="0" applyNumberFormat="1" applyFont="1"/>
    <xf numFmtId="0" fontId="13" fillId="0" borderId="0" xfId="0" applyFont="1"/>
    <xf numFmtId="0" fontId="13" fillId="0" borderId="0" xfId="0" applyFont="1" applyAlignment="1">
      <alignment horizontal="left"/>
    </xf>
    <xf numFmtId="0" fontId="14" fillId="0" borderId="2" xfId="0" applyFont="1" applyBorder="1"/>
    <xf numFmtId="0" fontId="14" fillId="0" borderId="0" xfId="0" applyFont="1"/>
    <xf numFmtId="0" fontId="14" fillId="0" borderId="0" xfId="0" applyFont="1" applyAlignment="1">
      <alignment horizontal="right"/>
    </xf>
    <xf numFmtId="0" fontId="14" fillId="0" borderId="1" xfId="0" applyFont="1" applyBorder="1"/>
    <xf numFmtId="165" fontId="14" fillId="0" borderId="0" xfId="0" quotePrefix="1" applyNumberFormat="1" applyFont="1" applyAlignment="1">
      <alignment horizontal="right"/>
    </xf>
    <xf numFmtId="0" fontId="15" fillId="0" borderId="0" xfId="0" applyFont="1"/>
    <xf numFmtId="2" fontId="14" fillId="0" borderId="0" xfId="0" applyNumberFormat="1" applyFont="1"/>
    <xf numFmtId="0" fontId="14" fillId="0" borderId="0" xfId="0" quotePrefix="1" applyFont="1" applyAlignment="1">
      <alignment horizontal="right"/>
    </xf>
    <xf numFmtId="165" fontId="15" fillId="0" borderId="0" xfId="0" applyNumberFormat="1" applyFont="1"/>
    <xf numFmtId="2" fontId="14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1" fontId="14" fillId="0" borderId="0" xfId="0" quotePrefix="1" applyNumberFormat="1" applyFont="1"/>
    <xf numFmtId="166" fontId="14" fillId="0" borderId="0" xfId="0" applyNumberFormat="1" applyFont="1" applyAlignment="1">
      <alignment horizontal="right"/>
    </xf>
    <xf numFmtId="2" fontId="14" fillId="0" borderId="1" xfId="0" applyNumberFormat="1" applyFont="1" applyBorder="1" applyAlignment="1">
      <alignment horizontal="right"/>
    </xf>
    <xf numFmtId="166" fontId="14" fillId="0" borderId="1" xfId="0" applyNumberFormat="1" applyFont="1" applyBorder="1" applyAlignment="1">
      <alignment horizontal="right"/>
    </xf>
    <xf numFmtId="0" fontId="18" fillId="0" borderId="0" xfId="0" applyFont="1"/>
    <xf numFmtId="0" fontId="18" fillId="0" borderId="2" xfId="1" applyFont="1" applyBorder="1"/>
    <xf numFmtId="0" fontId="19" fillId="0" borderId="0" xfId="0" applyFont="1"/>
    <xf numFmtId="14" fontId="8" fillId="0" borderId="0" xfId="0" applyNumberFormat="1" applyFont="1"/>
    <xf numFmtId="0" fontId="12" fillId="0" borderId="0" xfId="0" applyFont="1"/>
    <xf numFmtId="0" fontId="20" fillId="0" borderId="0" xfId="0" applyFont="1"/>
    <xf numFmtId="165" fontId="3" fillId="0" borderId="0" xfId="0" quotePrefix="1" applyNumberFormat="1" applyFont="1" applyAlignment="1">
      <alignment horizontal="right"/>
    </xf>
    <xf numFmtId="165" fontId="4" fillId="0" borderId="0" xfId="0" applyNumberFormat="1" applyFont="1"/>
    <xf numFmtId="1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0" borderId="1" xfId="0" applyFont="1" applyBorder="1"/>
    <xf numFmtId="2" fontId="3" fillId="0" borderId="0" xfId="0" applyNumberFormat="1" applyFont="1" applyAlignment="1">
      <alignment horizontal="center"/>
    </xf>
    <xf numFmtId="3" fontId="3" fillId="0" borderId="0" xfId="0" applyNumberFormat="1" applyFont="1"/>
    <xf numFmtId="1" fontId="3" fillId="0" borderId="1" xfId="0" applyNumberFormat="1" applyFont="1" applyBorder="1"/>
    <xf numFmtId="0" fontId="3" fillId="0" borderId="3" xfId="0" applyFont="1" applyBorder="1" applyAlignment="1">
      <alignment horizontal="right"/>
    </xf>
    <xf numFmtId="0" fontId="2" fillId="0" borderId="0" xfId="0" applyFont="1" applyAlignment="1">
      <alignment horizontal="center"/>
    </xf>
    <xf numFmtId="1" fontId="3" fillId="0" borderId="0" xfId="0" quotePrefix="1" applyNumberFormat="1" applyFont="1" applyAlignment="1">
      <alignment horizontal="center"/>
    </xf>
    <xf numFmtId="49" fontId="3" fillId="0" borderId="0" xfId="0" quotePrefix="1" applyNumberFormat="1" applyFont="1" applyAlignment="1">
      <alignment horizontal="center"/>
    </xf>
    <xf numFmtId="1" fontId="3" fillId="0" borderId="0" xfId="0" applyNumberFormat="1" applyFont="1" applyAlignment="1">
      <alignment horizontal="right"/>
    </xf>
    <xf numFmtId="0" fontId="2" fillId="0" borderId="3" xfId="0" applyFont="1" applyBorder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3" fillId="0" borderId="1" xfId="0" applyFont="1" applyBorder="1" applyAlignment="1">
      <alignment horizontal="center"/>
    </xf>
    <xf numFmtId="1" fontId="3" fillId="0" borderId="2" xfId="0" applyNumberFormat="1" applyFont="1" applyBorder="1"/>
    <xf numFmtId="3" fontId="3" fillId="0" borderId="0" xfId="0" applyNumberFormat="1" applyFont="1" applyAlignment="1">
      <alignment horizontal="right"/>
    </xf>
    <xf numFmtId="3" fontId="2" fillId="0" borderId="0" xfId="0" applyNumberFormat="1" applyFont="1"/>
    <xf numFmtId="3" fontId="3" fillId="0" borderId="0" xfId="0" quotePrefix="1" applyNumberFormat="1" applyFont="1"/>
    <xf numFmtId="3" fontId="4" fillId="0" borderId="0" xfId="0" applyNumberFormat="1" applyFont="1"/>
    <xf numFmtId="3" fontId="3" fillId="0" borderId="2" xfId="0" applyNumberFormat="1" applyFont="1" applyBorder="1"/>
    <xf numFmtId="3" fontId="3" fillId="0" borderId="1" xfId="0" applyNumberFormat="1" applyFont="1" applyBorder="1"/>
    <xf numFmtId="3" fontId="2" fillId="0" borderId="1" xfId="0" applyNumberFormat="1" applyFont="1" applyBorder="1"/>
    <xf numFmtId="168" fontId="3" fillId="0" borderId="0" xfId="2" applyNumberFormat="1" applyFont="1"/>
    <xf numFmtId="0" fontId="3" fillId="3" borderId="0" xfId="0" applyFont="1" applyFill="1" applyAlignment="1">
      <alignment horizontal="right"/>
    </xf>
    <xf numFmtId="0" fontId="3" fillId="3" borderId="1" xfId="0" applyFont="1" applyFill="1" applyBorder="1" applyAlignment="1">
      <alignment horizontal="right"/>
    </xf>
    <xf numFmtId="2" fontId="3" fillId="3" borderId="0" xfId="0" applyNumberFormat="1" applyFont="1" applyFill="1"/>
    <xf numFmtId="168" fontId="3" fillId="0" borderId="0" xfId="2" applyNumberFormat="1" applyFont="1" applyBorder="1"/>
    <xf numFmtId="168" fontId="3" fillId="0" borderId="0" xfId="2" applyNumberFormat="1" applyFont="1" applyFill="1" applyBorder="1"/>
    <xf numFmtId="168" fontId="3" fillId="0" borderId="0" xfId="2" quotePrefix="1" applyNumberFormat="1" applyFont="1" applyBorder="1" applyAlignment="1">
      <alignment horizontal="right"/>
    </xf>
    <xf numFmtId="168" fontId="3" fillId="0" borderId="0" xfId="2" quotePrefix="1" applyNumberFormat="1" applyFont="1" applyFill="1" applyBorder="1" applyAlignment="1">
      <alignment horizontal="right"/>
    </xf>
    <xf numFmtId="168" fontId="2" fillId="0" borderId="0" xfId="2" applyNumberFormat="1" applyFont="1" applyFill="1" applyBorder="1"/>
    <xf numFmtId="168" fontId="3" fillId="0" borderId="0" xfId="2" quotePrefix="1" applyNumberFormat="1" applyFont="1" applyFill="1" applyBorder="1"/>
    <xf numFmtId="168" fontId="4" fillId="0" borderId="0" xfId="2" applyNumberFormat="1" applyFont="1" applyFill="1" applyBorder="1"/>
    <xf numFmtId="168" fontId="3" fillId="0" borderId="2" xfId="2" applyNumberFormat="1" applyFont="1" applyBorder="1"/>
    <xf numFmtId="168" fontId="3" fillId="0" borderId="2" xfId="2" applyNumberFormat="1" applyFont="1" applyFill="1" applyBorder="1"/>
    <xf numFmtId="168" fontId="3" fillId="0" borderId="1" xfId="2" applyNumberFormat="1" applyFont="1" applyBorder="1"/>
    <xf numFmtId="168" fontId="2" fillId="0" borderId="1" xfId="2" applyNumberFormat="1" applyFont="1" applyFill="1" applyBorder="1"/>
    <xf numFmtId="168" fontId="3" fillId="0" borderId="1" xfId="2" applyNumberFormat="1" applyFont="1" applyFill="1" applyBorder="1"/>
    <xf numFmtId="2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left" indent="3"/>
    </xf>
    <xf numFmtId="0" fontId="1" fillId="0" borderId="3" xfId="0" applyFont="1" applyBorder="1"/>
    <xf numFmtId="0" fontId="1" fillId="0" borderId="3" xfId="0" applyFont="1" applyBorder="1" applyAlignment="1">
      <alignment horizontal="right"/>
    </xf>
    <xf numFmtId="0" fontId="2" fillId="4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3" fillId="4" borderId="0" xfId="0" applyFont="1" applyFill="1"/>
    <xf numFmtId="166" fontId="3" fillId="4" borderId="0" xfId="0" applyNumberFormat="1" applyFont="1" applyFill="1"/>
    <xf numFmtId="168" fontId="3" fillId="0" borderId="0" xfId="2" applyNumberFormat="1" applyFont="1" applyFill="1"/>
    <xf numFmtId="168" fontId="3" fillId="0" borderId="0" xfId="2" quotePrefix="1" applyNumberFormat="1" applyFont="1" applyAlignment="1">
      <alignment horizontal="right"/>
    </xf>
    <xf numFmtId="168" fontId="3" fillId="0" borderId="0" xfId="2" quotePrefix="1" applyNumberFormat="1" applyFont="1" applyFill="1" applyAlignment="1">
      <alignment horizontal="right"/>
    </xf>
    <xf numFmtId="168" fontId="3" fillId="0" borderId="0" xfId="2" quotePrefix="1" applyNumberFormat="1" applyFont="1" applyFill="1"/>
    <xf numFmtId="168" fontId="2" fillId="0" borderId="0" xfId="2" applyNumberFormat="1" applyFont="1" applyFill="1"/>
    <xf numFmtId="168" fontId="3" fillId="0" borderId="0" xfId="2" quotePrefix="1" applyNumberFormat="1" applyFont="1"/>
    <xf numFmtId="168" fontId="3" fillId="0" borderId="0" xfId="2" quotePrefix="1" applyNumberFormat="1" applyFont="1" applyFill="1" applyProtection="1"/>
    <xf numFmtId="168" fontId="3" fillId="0" borderId="0" xfId="2" applyNumberFormat="1" applyFont="1" applyBorder="1" applyProtection="1"/>
    <xf numFmtId="164" fontId="3" fillId="0" borderId="0" xfId="2" applyFont="1" applyBorder="1"/>
    <xf numFmtId="164" fontId="3" fillId="0" borderId="1" xfId="2" applyFont="1" applyBorder="1"/>
    <xf numFmtId="0" fontId="3" fillId="0" borderId="0" xfId="1" applyFont="1" applyAlignment="1">
      <alignment horizontal="right"/>
    </xf>
    <xf numFmtId="0" fontId="3" fillId="0" borderId="0" xfId="0" applyFont="1" applyAlignment="1">
      <alignment horizontal="left"/>
    </xf>
    <xf numFmtId="1" fontId="14" fillId="0" borderId="0" xfId="0" quotePrefix="1" applyNumberFormat="1" applyFont="1" applyAlignment="1">
      <alignment horizontal="right"/>
    </xf>
    <xf numFmtId="1" fontId="14" fillId="0" borderId="0" xfId="0" applyNumberFormat="1" applyFont="1"/>
    <xf numFmtId="1" fontId="14" fillId="0" borderId="0" xfId="2" quotePrefix="1" applyNumberFormat="1" applyFont="1" applyFill="1" applyAlignment="1">
      <alignment horizontal="right"/>
    </xf>
    <xf numFmtId="168" fontId="14" fillId="0" borderId="0" xfId="2" applyNumberFormat="1" applyFont="1" applyFill="1"/>
    <xf numFmtId="168" fontId="14" fillId="0" borderId="0" xfId="2" quotePrefix="1" applyNumberFormat="1" applyFont="1" applyFill="1" applyAlignment="1">
      <alignment horizontal="right"/>
    </xf>
    <xf numFmtId="168" fontId="8" fillId="0" borderId="0" xfId="2" applyNumberFormat="1" applyFont="1" applyFill="1"/>
    <xf numFmtId="168" fontId="14" fillId="0" borderId="0" xfId="2" applyNumberFormat="1" applyFont="1" applyFill="1" applyAlignment="1"/>
    <xf numFmtId="168" fontId="14" fillId="0" borderId="0" xfId="2" quotePrefix="1" applyNumberFormat="1" applyFont="1" applyFill="1" applyProtection="1"/>
    <xf numFmtId="168" fontId="14" fillId="0" borderId="0" xfId="2" applyNumberFormat="1" applyFont="1"/>
    <xf numFmtId="168" fontId="15" fillId="0" borderId="0" xfId="2" applyNumberFormat="1" applyFont="1" applyFill="1"/>
    <xf numFmtId="168" fontId="14" fillId="0" borderId="2" xfId="2" applyNumberFormat="1" applyFont="1" applyBorder="1"/>
    <xf numFmtId="168" fontId="14" fillId="0" borderId="2" xfId="2" applyNumberFormat="1" applyFont="1" applyFill="1" applyBorder="1"/>
    <xf numFmtId="168" fontId="14" fillId="0" borderId="1" xfId="2" applyNumberFormat="1" applyFont="1" applyBorder="1"/>
    <xf numFmtId="168" fontId="8" fillId="0" borderId="1" xfId="2" applyNumberFormat="1" applyFont="1" applyFill="1" applyBorder="1"/>
    <xf numFmtId="168" fontId="14" fillId="0" borderId="1" xfId="2" applyNumberFormat="1" applyFont="1" applyFill="1" applyBorder="1"/>
    <xf numFmtId="168" fontId="14" fillId="0" borderId="0" xfId="2" applyNumberFormat="1" applyFont="1" applyBorder="1" applyAlignment="1">
      <alignment horizontal="right"/>
    </xf>
    <xf numFmtId="168" fontId="14" fillId="0" borderId="0" xfId="2" applyNumberFormat="1" applyFont="1" applyBorder="1" applyAlignment="1" applyProtection="1">
      <alignment horizontal="right"/>
    </xf>
    <xf numFmtId="2" fontId="8" fillId="0" borderId="0" xfId="0" applyNumberFormat="1" applyFont="1"/>
    <xf numFmtId="2" fontId="8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left"/>
    </xf>
    <xf numFmtId="0" fontId="3" fillId="0" borderId="0" xfId="0" quotePrefix="1" applyFont="1"/>
    <xf numFmtId="0" fontId="3" fillId="0" borderId="0" xfId="0" quotePrefix="1" applyFont="1" applyAlignment="1">
      <alignment horizontal="right"/>
    </xf>
    <xf numFmtId="1" fontId="3" fillId="0" borderId="0" xfId="0" quotePrefix="1" applyNumberFormat="1" applyFont="1"/>
    <xf numFmtId="0" fontId="2" fillId="0" borderId="0" xfId="0" quotePrefix="1" applyFont="1"/>
    <xf numFmtId="0" fontId="3" fillId="3" borderId="0" xfId="0" applyFont="1" applyFill="1" applyAlignment="1">
      <alignment horizontal="center"/>
    </xf>
    <xf numFmtId="2" fontId="3" fillId="3" borderId="0" xfId="0" quotePrefix="1" applyNumberFormat="1" applyFont="1" applyFill="1"/>
    <xf numFmtId="0" fontId="1" fillId="0" borderId="3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8" fontId="3" fillId="0" borderId="0" xfId="2" applyNumberFormat="1" applyFont="1" applyFill="1" applyAlignment="1">
      <alignment horizontal="right"/>
    </xf>
    <xf numFmtId="168" fontId="2" fillId="0" borderId="0" xfId="2" applyNumberFormat="1" applyFont="1" applyFill="1" applyAlignment="1">
      <alignment horizontal="right"/>
    </xf>
    <xf numFmtId="168" fontId="3" fillId="0" borderId="0" xfId="2" quotePrefix="1" applyNumberFormat="1" applyFont="1" applyFill="1" applyAlignment="1" applyProtection="1">
      <alignment horizontal="right"/>
    </xf>
    <xf numFmtId="168" fontId="4" fillId="0" borderId="0" xfId="2" applyNumberFormat="1" applyFont="1" applyFill="1" applyAlignment="1">
      <alignment horizontal="right"/>
    </xf>
    <xf numFmtId="168" fontId="3" fillId="0" borderId="2" xfId="2" applyNumberFormat="1" applyFont="1" applyFill="1" applyBorder="1" applyAlignment="1">
      <alignment horizontal="right"/>
    </xf>
    <xf numFmtId="168" fontId="3" fillId="0" borderId="1" xfId="2" applyNumberFormat="1" applyFont="1" applyFill="1" applyBorder="1" applyAlignment="1">
      <alignment horizontal="right"/>
    </xf>
    <xf numFmtId="168" fontId="2" fillId="0" borderId="1" xfId="2" applyNumberFormat="1" applyFont="1" applyFill="1" applyBorder="1" applyAlignment="1">
      <alignment horizontal="right"/>
    </xf>
    <xf numFmtId="1" fontId="1" fillId="0" borderId="2" xfId="0" applyNumberFormat="1" applyFont="1" applyBorder="1" applyAlignment="1">
      <alignment horizontal="right"/>
    </xf>
    <xf numFmtId="1" fontId="1" fillId="0" borderId="2" xfId="0" applyNumberFormat="1" applyFont="1" applyBorder="1"/>
    <xf numFmtId="168" fontId="3" fillId="0" borderId="0" xfId="2" applyNumberFormat="1" applyFont="1" applyFill="1" applyBorder="1" applyProtection="1"/>
    <xf numFmtId="164" fontId="3" fillId="0" borderId="0" xfId="2" applyFont="1" applyFill="1" applyBorder="1"/>
    <xf numFmtId="164" fontId="3" fillId="0" borderId="1" xfId="2" applyFont="1" applyFill="1" applyBorder="1"/>
    <xf numFmtId="168" fontId="3" fillId="0" borderId="0" xfId="2" applyNumberFormat="1" applyFont="1" applyAlignment="1">
      <alignment horizontal="right"/>
    </xf>
    <xf numFmtId="168" fontId="3" fillId="0" borderId="1" xfId="2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168" fontId="3" fillId="0" borderId="0" xfId="2" applyNumberFormat="1" applyFont="1" applyFill="1" applyBorder="1" applyAlignment="1">
      <alignment horizontal="center"/>
    </xf>
    <xf numFmtId="168" fontId="3" fillId="0" borderId="0" xfId="2" applyNumberFormat="1" applyFont="1" applyFill="1" applyBorder="1" applyAlignment="1"/>
    <xf numFmtId="168" fontId="3" fillId="0" borderId="0" xfId="2" applyNumberFormat="1" applyFont="1" applyFill="1" applyBorder="1" applyAlignment="1">
      <alignment horizontal="right"/>
    </xf>
    <xf numFmtId="168" fontId="3" fillId="0" borderId="0" xfId="2" quotePrefix="1" applyNumberFormat="1" applyFont="1" applyFill="1" applyBorder="1" applyProtection="1"/>
    <xf numFmtId="0" fontId="1" fillId="0" borderId="1" xfId="0" applyFont="1" applyBorder="1" applyAlignment="1">
      <alignment horizontal="left"/>
    </xf>
    <xf numFmtId="49" fontId="3" fillId="0" borderId="0" xfId="0" quotePrefix="1" applyNumberFormat="1" applyFont="1" applyAlignment="1">
      <alignment horizontal="right"/>
    </xf>
    <xf numFmtId="0" fontId="1" fillId="0" borderId="2" xfId="0" applyFont="1" applyBorder="1" applyAlignment="1">
      <alignment horizontal="right"/>
    </xf>
    <xf numFmtId="0" fontId="22" fillId="0" borderId="2" xfId="0" applyFont="1" applyBorder="1"/>
    <xf numFmtId="2" fontId="3" fillId="0" borderId="0" xfId="0" quotePrefix="1" applyNumberFormat="1" applyFont="1" applyAlignment="1">
      <alignment horizontal="center"/>
    </xf>
    <xf numFmtId="168" fontId="4" fillId="0" borderId="0" xfId="2" applyNumberFormat="1" applyFont="1" applyFill="1"/>
    <xf numFmtId="0" fontId="3" fillId="3" borderId="2" xfId="0" applyFont="1" applyFill="1" applyBorder="1" applyAlignment="1">
      <alignment horizontal="right"/>
    </xf>
    <xf numFmtId="0" fontId="3" fillId="3" borderId="1" xfId="0" applyFont="1" applyFill="1" applyBorder="1"/>
    <xf numFmtId="168" fontId="3" fillId="0" borderId="0" xfId="2" quotePrefix="1" applyNumberFormat="1" applyFont="1" applyProtection="1"/>
    <xf numFmtId="168" fontId="4" fillId="0" borderId="0" xfId="2" applyNumberFormat="1" applyFont="1"/>
    <xf numFmtId="2" fontId="1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1" applyFont="1" applyAlignment="1">
      <alignment horizontal="left" indent="2"/>
    </xf>
    <xf numFmtId="0" fontId="22" fillId="0" borderId="0" xfId="0" applyFont="1"/>
    <xf numFmtId="0" fontId="2" fillId="2" borderId="0" xfId="0" applyFont="1" applyFill="1"/>
    <xf numFmtId="14" fontId="2" fillId="2" borderId="0" xfId="0" applyNumberFormat="1" applyFont="1" applyFill="1"/>
    <xf numFmtId="166" fontId="3" fillId="0" borderId="0" xfId="0" applyNumberFormat="1" applyFont="1" applyAlignment="1">
      <alignment horizontal="center"/>
    </xf>
    <xf numFmtId="166" fontId="3" fillId="0" borderId="2" xfId="0" applyNumberFormat="1" applyFont="1" applyBorder="1"/>
    <xf numFmtId="165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wrapText="1"/>
    </xf>
    <xf numFmtId="165" fontId="3" fillId="0" borderId="0" xfId="0" applyNumberFormat="1" applyFont="1"/>
    <xf numFmtId="166" fontId="3" fillId="0" borderId="0" xfId="0" applyNumberFormat="1" applyFont="1" applyAlignment="1">
      <alignment horizontal="fill"/>
    </xf>
    <xf numFmtId="166" fontId="3" fillId="0" borderId="2" xfId="0" applyNumberFormat="1" applyFont="1" applyBorder="1" applyAlignment="1">
      <alignment horizontal="center"/>
    </xf>
    <xf numFmtId="166" fontId="1" fillId="0" borderId="0" xfId="0" applyNumberFormat="1" applyFont="1"/>
    <xf numFmtId="166" fontId="1" fillId="0" borderId="1" xfId="0" applyNumberFormat="1" applyFont="1" applyBorder="1"/>
    <xf numFmtId="166" fontId="1" fillId="0" borderId="2" xfId="0" applyNumberFormat="1" applyFont="1" applyBorder="1"/>
    <xf numFmtId="166" fontId="3" fillId="0" borderId="2" xfId="0" applyNumberFormat="1" applyFont="1" applyBorder="1" applyAlignment="1">
      <alignment horizontal="fill"/>
    </xf>
    <xf numFmtId="0" fontId="3" fillId="0" borderId="0" xfId="0" quotePrefix="1" applyFont="1" applyAlignment="1">
      <alignment horizontal="center"/>
    </xf>
    <xf numFmtId="167" fontId="3" fillId="0" borderId="0" xfId="0" applyNumberFormat="1" applyFont="1"/>
    <xf numFmtId="2" fontId="3" fillId="0" borderId="1" xfId="0" applyNumberFormat="1" applyFont="1" applyBorder="1" applyAlignment="1">
      <alignment horizontal="right"/>
    </xf>
    <xf numFmtId="168" fontId="20" fillId="0" borderId="0" xfId="2" applyNumberFormat="1" applyFont="1" applyFill="1"/>
    <xf numFmtId="168" fontId="2" fillId="0" borderId="0" xfId="2" applyNumberFormat="1" applyFont="1"/>
    <xf numFmtId="168" fontId="3" fillId="0" borderId="0" xfId="2" applyNumberFormat="1" applyFont="1" applyFill="1" applyAlignment="1"/>
    <xf numFmtId="1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/>
    </xf>
    <xf numFmtId="1" fontId="2" fillId="0" borderId="0" xfId="0" quotePrefix="1" applyNumberFormat="1" applyFont="1" applyAlignment="1">
      <alignment horizontal="right"/>
    </xf>
    <xf numFmtId="2" fontId="2" fillId="0" borderId="0" xfId="0" quotePrefix="1" applyNumberFormat="1" applyFont="1" applyAlignment="1">
      <alignment horizontal="right"/>
    </xf>
    <xf numFmtId="0" fontId="2" fillId="0" borderId="2" xfId="0" applyFont="1" applyBorder="1"/>
    <xf numFmtId="2" fontId="2" fillId="0" borderId="2" xfId="0" applyNumberFormat="1" applyFont="1" applyBorder="1"/>
    <xf numFmtId="2" fontId="2" fillId="0" borderId="1" xfId="0" applyNumberFormat="1" applyFont="1" applyBorder="1"/>
    <xf numFmtId="2" fontId="2" fillId="0" borderId="3" xfId="0" applyNumberFormat="1" applyFont="1" applyBorder="1" applyAlignment="1">
      <alignment horizontal="center"/>
    </xf>
    <xf numFmtId="2" fontId="2" fillId="0" borderId="3" xfId="0" applyNumberFormat="1" applyFont="1" applyBorder="1"/>
    <xf numFmtId="1" fontId="2" fillId="0" borderId="0" xfId="0" quotePrefix="1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22" fillId="0" borderId="3" xfId="0" applyFont="1" applyBorder="1"/>
    <xf numFmtId="0" fontId="20" fillId="0" borderId="0" xfId="0" applyFont="1" applyAlignment="1">
      <alignment horizontal="right"/>
    </xf>
    <xf numFmtId="2" fontId="20" fillId="0" borderId="0" xfId="0" applyNumberFormat="1" applyFont="1"/>
    <xf numFmtId="0" fontId="25" fillId="0" borderId="0" xfId="0" applyFont="1"/>
    <xf numFmtId="2" fontId="25" fillId="0" borderId="0" xfId="0" applyNumberFormat="1" applyFont="1"/>
    <xf numFmtId="14" fontId="25" fillId="0" borderId="0" xfId="0" applyNumberFormat="1" applyFont="1"/>
    <xf numFmtId="0" fontId="3" fillId="0" borderId="2" xfId="0" applyFont="1" applyBorder="1" applyAlignment="1">
      <alignment horizontal="left" indent="1"/>
    </xf>
    <xf numFmtId="2" fontId="3" fillId="0" borderId="0" xfId="0" applyNumberFormat="1" applyFont="1" applyAlignment="1">
      <alignment horizontal="left" indent="1"/>
    </xf>
    <xf numFmtId="0" fontId="3" fillId="0" borderId="0" xfId="1" applyFont="1" applyAlignment="1">
      <alignment horizontal="left" indent="1"/>
    </xf>
    <xf numFmtId="0" fontId="3" fillId="0" borderId="0" xfId="0" applyFont="1" applyAlignment="1">
      <alignment horizontal="left" indent="1"/>
    </xf>
    <xf numFmtId="168" fontId="3" fillId="0" borderId="0" xfId="2" applyNumberFormat="1" applyFont="1" applyProtection="1"/>
    <xf numFmtId="168" fontId="3" fillId="0" borderId="0" xfId="2" applyNumberFormat="1" applyFont="1" applyFill="1" applyProtection="1"/>
    <xf numFmtId="168" fontId="3" fillId="0" borderId="0" xfId="2" applyNumberFormat="1" applyFont="1" applyAlignment="1" applyProtection="1">
      <alignment horizontal="center"/>
    </xf>
    <xf numFmtId="168" fontId="3" fillId="0" borderId="0" xfId="2" applyNumberFormat="1" applyFont="1" applyAlignment="1" applyProtection="1">
      <alignment horizontal="center" wrapText="1"/>
    </xf>
    <xf numFmtId="168" fontId="3" fillId="0" borderId="2" xfId="2" applyNumberFormat="1" applyFont="1" applyBorder="1" applyProtection="1"/>
    <xf numFmtId="168" fontId="3" fillId="0" borderId="1" xfId="2" applyNumberFormat="1" applyFont="1" applyBorder="1" applyProtection="1"/>
    <xf numFmtId="168" fontId="3" fillId="0" borderId="0" xfId="2" applyNumberFormat="1" applyFont="1" applyFill="1" applyAlignment="1">
      <alignment horizontal="center" vertical="center"/>
    </xf>
    <xf numFmtId="168" fontId="2" fillId="0" borderId="0" xfId="2" applyNumberFormat="1" applyFont="1" applyAlignment="1">
      <alignment horizontal="right"/>
    </xf>
    <xf numFmtId="168" fontId="2" fillId="0" borderId="0" xfId="2" applyNumberFormat="1" applyFont="1" applyAlignment="1">
      <alignment horizontal="center"/>
    </xf>
    <xf numFmtId="168" fontId="2" fillId="0" borderId="0" xfId="2" quotePrefix="1" applyNumberFormat="1" applyFont="1" applyAlignment="1">
      <alignment horizontal="right"/>
    </xf>
    <xf numFmtId="168" fontId="2" fillId="0" borderId="0" xfId="2" applyNumberFormat="1" applyFont="1" applyAlignment="1"/>
    <xf numFmtId="168" fontId="2" fillId="0" borderId="2" xfId="2" applyNumberFormat="1" applyFont="1" applyBorder="1" applyAlignment="1">
      <alignment horizontal="right"/>
    </xf>
    <xf numFmtId="168" fontId="2" fillId="0" borderId="1" xfId="2" applyNumberFormat="1" applyFont="1" applyBorder="1" applyAlignment="1">
      <alignment horizontal="right"/>
    </xf>
    <xf numFmtId="168" fontId="2" fillId="0" borderId="1" xfId="2" applyNumberFormat="1" applyFont="1" applyBorder="1"/>
    <xf numFmtId="166" fontId="3" fillId="3" borderId="0" xfId="0" applyNumberFormat="1" applyFont="1" applyFill="1"/>
    <xf numFmtId="0" fontId="0" fillId="3" borderId="0" xfId="0" applyFill="1"/>
    <xf numFmtId="0" fontId="3" fillId="3" borderId="2" xfId="0" applyFont="1" applyFill="1" applyBorder="1"/>
    <xf numFmtId="0" fontId="13" fillId="3" borderId="0" xfId="0" applyFont="1" applyFill="1" applyAlignment="1">
      <alignment horizontal="left"/>
    </xf>
    <xf numFmtId="0" fontId="13" fillId="3" borderId="0" xfId="0" applyFont="1" applyFill="1"/>
    <xf numFmtId="0" fontId="14" fillId="3" borderId="0" xfId="0" applyFont="1" applyFill="1" applyAlignment="1">
      <alignment horizontal="right"/>
    </xf>
    <xf numFmtId="0" fontId="14" fillId="3" borderId="1" xfId="0" applyFont="1" applyFill="1" applyBorder="1" applyAlignment="1">
      <alignment horizontal="right"/>
    </xf>
    <xf numFmtId="0" fontId="8" fillId="3" borderId="0" xfId="0" applyFont="1" applyFill="1"/>
    <xf numFmtId="0" fontId="14" fillId="3" borderId="0" xfId="0" applyFont="1" applyFill="1"/>
    <xf numFmtId="2" fontId="14" fillId="3" borderId="0" xfId="0" applyNumberFormat="1" applyFont="1" applyFill="1"/>
    <xf numFmtId="166" fontId="14" fillId="3" borderId="0" xfId="0" applyNumberFormat="1" applyFont="1" applyFill="1"/>
    <xf numFmtId="166" fontId="14" fillId="3" borderId="1" xfId="0" applyNumberFormat="1" applyFont="1" applyFill="1" applyBorder="1"/>
    <xf numFmtId="166" fontId="3" fillId="3" borderId="1" xfId="0" applyNumberFormat="1" applyFont="1" applyFill="1" applyBorder="1"/>
    <xf numFmtId="166" fontId="3" fillId="3" borderId="0" xfId="0" applyNumberFormat="1" applyFont="1" applyFill="1" applyAlignment="1">
      <alignment horizontal="fill"/>
    </xf>
    <xf numFmtId="0" fontId="9" fillId="3" borderId="2" xfId="0" applyFont="1" applyFill="1" applyBorder="1" applyAlignment="1">
      <alignment horizontal="right"/>
    </xf>
    <xf numFmtId="0" fontId="9" fillId="3" borderId="0" xfId="0" applyFont="1" applyFill="1" applyAlignment="1">
      <alignment horizontal="right"/>
    </xf>
    <xf numFmtId="0" fontId="9" fillId="3" borderId="1" xfId="0" applyFont="1" applyFill="1" applyBorder="1" applyAlignment="1">
      <alignment horizontal="right"/>
    </xf>
    <xf numFmtId="0" fontId="8" fillId="3" borderId="0" xfId="0" applyFont="1" applyFill="1" applyAlignment="1">
      <alignment horizontal="left"/>
    </xf>
    <xf numFmtId="0" fontId="9" fillId="3" borderId="0" xfId="0" applyFont="1" applyFill="1"/>
    <xf numFmtId="0" fontId="13" fillId="0" borderId="3" xfId="0" applyFont="1" applyBorder="1" applyAlignment="1">
      <alignment horizontal="right"/>
    </xf>
    <xf numFmtId="0" fontId="2" fillId="0" borderId="0" xfId="0" applyFont="1" applyAlignment="1">
      <alignment horizontal="left"/>
    </xf>
    <xf numFmtId="168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26" fillId="0" borderId="0" xfId="0" applyFont="1" applyAlignment="1">
      <alignment horizontal="center"/>
    </xf>
    <xf numFmtId="0" fontId="8" fillId="0" borderId="0" xfId="0" applyFont="1" applyAlignment="1">
      <alignment horizontal="left" indent="2"/>
    </xf>
    <xf numFmtId="166" fontId="26" fillId="0" borderId="0" xfId="0" applyNumberFormat="1" applyFont="1" applyAlignment="1">
      <alignment horizontal="center"/>
    </xf>
    <xf numFmtId="166" fontId="3" fillId="0" borderId="0" xfId="0" quotePrefix="1" applyNumberFormat="1" applyFont="1" applyAlignment="1">
      <alignment horizontal="right"/>
    </xf>
    <xf numFmtId="166" fontId="1" fillId="0" borderId="0" xfId="0" applyNumberFormat="1" applyFont="1" applyAlignment="1">
      <alignment horizontal="center"/>
    </xf>
    <xf numFmtId="166" fontId="1" fillId="0" borderId="1" xfId="0" applyNumberFormat="1" applyFont="1" applyBorder="1" applyAlignment="1">
      <alignment horizontal="fill"/>
    </xf>
    <xf numFmtId="166" fontId="1" fillId="0" borderId="3" xfId="0" applyNumberFormat="1" applyFont="1" applyBorder="1"/>
    <xf numFmtId="166" fontId="1" fillId="0" borderId="3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left"/>
    </xf>
    <xf numFmtId="2" fontId="1" fillId="0" borderId="5" xfId="0" applyNumberFormat="1" applyFont="1" applyBorder="1" applyAlignment="1">
      <alignment horizontal="center"/>
    </xf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0" fontId="16" fillId="0" borderId="9" xfId="0" applyFont="1" applyBorder="1" applyAlignment="1">
      <alignment horizontal="left" indent="2"/>
    </xf>
    <xf numFmtId="0" fontId="13" fillId="0" borderId="2" xfId="0" applyFont="1" applyBorder="1"/>
    <xf numFmtId="0" fontId="13" fillId="0" borderId="2" xfId="0" applyFont="1" applyBorder="1" applyAlignment="1">
      <alignment horizontal="right"/>
    </xf>
    <xf numFmtId="0" fontId="27" fillId="0" borderId="0" xfId="0" applyFont="1" applyAlignment="1">
      <alignment horizontal="right" wrapText="1"/>
    </xf>
    <xf numFmtId="0" fontId="28" fillId="0" borderId="0" xfId="0" applyFont="1" applyAlignment="1">
      <alignment horizontal="right" wrapText="1"/>
    </xf>
    <xf numFmtId="166" fontId="1" fillId="0" borderId="0" xfId="0" applyNumberFormat="1" applyFont="1" applyAlignment="1">
      <alignment horizontal="fill"/>
    </xf>
    <xf numFmtId="168" fontId="2" fillId="0" borderId="0" xfId="0" applyNumberFormat="1" applyFont="1"/>
    <xf numFmtId="164" fontId="2" fillId="0" borderId="0" xfId="0" applyNumberFormat="1" applyFont="1"/>
    <xf numFmtId="168" fontId="8" fillId="0" borderId="0" xfId="0" applyNumberFormat="1" applyFont="1"/>
    <xf numFmtId="168" fontId="0" fillId="0" borderId="0" xfId="0" applyNumberFormat="1"/>
    <xf numFmtId="164" fontId="0" fillId="0" borderId="0" xfId="0" applyNumberFormat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5" borderId="2" xfId="0" applyFont="1" applyFill="1" applyBorder="1"/>
    <xf numFmtId="1" fontId="3" fillId="5" borderId="2" xfId="0" applyNumberFormat="1" applyFont="1" applyFill="1" applyBorder="1" applyAlignment="1">
      <alignment horizontal="center"/>
    </xf>
    <xf numFmtId="3" fontId="2" fillId="5" borderId="2" xfId="0" applyNumberFormat="1" applyFont="1" applyFill="1" applyBorder="1" applyAlignment="1">
      <alignment horizontal="center"/>
    </xf>
    <xf numFmtId="0" fontId="2" fillId="5" borderId="1" xfId="0" applyFont="1" applyFill="1" applyBorder="1"/>
    <xf numFmtId="1" fontId="3" fillId="5" borderId="1" xfId="0" applyNumberFormat="1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0" fontId="22" fillId="0" borderId="1" xfId="0" applyFont="1" applyBorder="1"/>
    <xf numFmtId="0" fontId="2" fillId="0" borderId="0" xfId="0" applyFont="1" applyFill="1" applyAlignment="1">
      <alignment horizontal="center"/>
    </xf>
    <xf numFmtId="0" fontId="2" fillId="0" borderId="0" xfId="0" applyFont="1" applyBorder="1" applyAlignment="1">
      <alignment horizontal="left"/>
    </xf>
    <xf numFmtId="1" fontId="3" fillId="0" borderId="2" xfId="0" applyNumberFormat="1" applyFont="1" applyFill="1" applyBorder="1" applyAlignment="1" applyProtection="1">
      <alignment horizontal="center"/>
    </xf>
    <xf numFmtId="1" fontId="3" fillId="0" borderId="0" xfId="0" applyNumberFormat="1" applyFont="1" applyFill="1" applyBorder="1" applyAlignment="1" applyProtection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3" fillId="5" borderId="2" xfId="0" applyNumberFormat="1" applyFont="1" applyFill="1" applyBorder="1" applyAlignment="1" applyProtection="1">
      <alignment horizontal="center"/>
    </xf>
    <xf numFmtId="1" fontId="3" fillId="5" borderId="1" xfId="0" applyNumberFormat="1" applyFont="1" applyFill="1" applyBorder="1" applyAlignment="1" applyProtection="1">
      <alignment horizont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/>
    <xf numFmtId="2" fontId="3" fillId="0" borderId="1" xfId="0" quotePrefix="1" applyNumberFormat="1" applyFont="1" applyBorder="1" applyAlignment="1">
      <alignment horizontal="right"/>
    </xf>
    <xf numFmtId="168" fontId="3" fillId="0" borderId="0" xfId="2" quotePrefix="1" applyNumberFormat="1" applyFont="1" applyAlignment="1" applyProtection="1">
      <alignment horizontal="right"/>
    </xf>
    <xf numFmtId="168" fontId="3" fillId="0" borderId="0" xfId="2" quotePrefix="1" applyNumberFormat="1" applyFont="1" applyBorder="1" applyProtection="1"/>
    <xf numFmtId="168" fontId="3" fillId="0" borderId="0" xfId="2" quotePrefix="1" applyNumberFormat="1" applyFont="1" applyBorder="1" applyAlignment="1" applyProtection="1">
      <alignment horizontal="right"/>
    </xf>
    <xf numFmtId="168" fontId="3" fillId="0" borderId="0" xfId="2" applyNumberFormat="1" applyFont="1" applyBorder="1" applyAlignment="1" applyProtection="1">
      <alignment horizontal="right"/>
    </xf>
    <xf numFmtId="168" fontId="3" fillId="0" borderId="0" xfId="2" applyNumberFormat="1" applyFont="1" applyAlignment="1" applyProtection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Fill="1" applyBorder="1"/>
    <xf numFmtId="3" fontId="2" fillId="0" borderId="0" xfId="0" applyNumberFormat="1" applyFont="1" applyFill="1" applyBorder="1" applyAlignment="1">
      <alignment horizontal="center"/>
    </xf>
    <xf numFmtId="0" fontId="22" fillId="0" borderId="2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168" fontId="3" fillId="0" borderId="4" xfId="2" applyNumberFormat="1" applyFont="1" applyBorder="1"/>
    <xf numFmtId="168" fontId="3" fillId="5" borderId="4" xfId="2" applyNumberFormat="1" applyFont="1" applyFill="1" applyBorder="1"/>
    <xf numFmtId="0" fontId="22" fillId="0" borderId="0" xfId="0" applyFont="1" applyBorder="1" applyAlignment="1">
      <alignment wrapText="1"/>
    </xf>
    <xf numFmtId="0" fontId="22" fillId="0" borderId="0" xfId="0" applyFont="1" applyBorder="1" applyAlignment="1">
      <alignment vertical="center"/>
    </xf>
    <xf numFmtId="0" fontId="22" fillId="8" borderId="0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8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 wrapText="1"/>
    </xf>
    <xf numFmtId="0" fontId="2" fillId="8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right" wrapText="1"/>
    </xf>
    <xf numFmtId="0" fontId="2" fillId="0" borderId="0" xfId="0" applyFont="1" applyBorder="1" applyAlignment="1">
      <alignment wrapText="1"/>
    </xf>
    <xf numFmtId="0" fontId="2" fillId="0" borderId="0" xfId="0" quotePrefix="1" applyFont="1" applyBorder="1" applyAlignment="1">
      <alignment horizontal="right" wrapText="1"/>
    </xf>
    <xf numFmtId="0" fontId="2" fillId="0" borderId="0" xfId="0" applyFont="1" applyFill="1" applyBorder="1" applyAlignment="1">
      <alignment wrapText="1"/>
    </xf>
    <xf numFmtId="169" fontId="2" fillId="0" borderId="0" xfId="0" applyNumberFormat="1" applyFont="1" applyFill="1" applyBorder="1" applyAlignment="1">
      <alignment horizontal="right" wrapText="1"/>
    </xf>
    <xf numFmtId="0" fontId="12" fillId="8" borderId="0" xfId="0" applyFont="1" applyFill="1"/>
    <xf numFmtId="0" fontId="2" fillId="0" borderId="0" xfId="0" applyFont="1" applyBorder="1" applyAlignment="1">
      <alignment horizontal="right" wrapText="1"/>
    </xf>
    <xf numFmtId="168" fontId="2" fillId="0" borderId="0" xfId="2" applyNumberFormat="1" applyFont="1" applyBorder="1" applyAlignment="1">
      <alignment horizontal="right" wrapText="1"/>
    </xf>
    <xf numFmtId="168" fontId="2" fillId="0" borderId="0" xfId="2" applyNumberFormat="1" applyFont="1" applyFill="1" applyBorder="1" applyAlignment="1">
      <alignment horizontal="right" wrapText="1"/>
    </xf>
    <xf numFmtId="168" fontId="2" fillId="0" borderId="0" xfId="2" applyNumberFormat="1" applyFont="1" applyFill="1" applyBorder="1" applyAlignment="1">
      <alignment wrapText="1"/>
    </xf>
    <xf numFmtId="168" fontId="2" fillId="0" borderId="0" xfId="2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68" fontId="2" fillId="0" borderId="2" xfId="2" applyNumberFormat="1" applyFont="1" applyBorder="1" applyAlignment="1">
      <alignment horizontal="right" wrapText="1"/>
    </xf>
    <xf numFmtId="0" fontId="12" fillId="8" borderId="0" xfId="0" applyFont="1" applyFill="1" applyBorder="1"/>
    <xf numFmtId="0" fontId="12" fillId="0" borderId="0" xfId="0" applyFont="1" applyBorder="1"/>
    <xf numFmtId="0" fontId="2" fillId="0" borderId="1" xfId="0" applyFont="1" applyBorder="1" applyAlignment="1">
      <alignment vertical="center"/>
    </xf>
    <xf numFmtId="168" fontId="2" fillId="0" borderId="1" xfId="2" applyNumberFormat="1" applyFont="1" applyBorder="1" applyAlignment="1">
      <alignment horizontal="right" wrapText="1"/>
    </xf>
    <xf numFmtId="168" fontId="2" fillId="0" borderId="1" xfId="2" applyNumberFormat="1" applyFont="1" applyFill="1" applyBorder="1" applyAlignment="1">
      <alignment horizontal="right" wrapText="1"/>
    </xf>
    <xf numFmtId="0" fontId="2" fillId="8" borderId="0" xfId="0" applyFont="1" applyFill="1" applyBorder="1" applyAlignment="1">
      <alignment wrapText="1"/>
    </xf>
    <xf numFmtId="0" fontId="22" fillId="0" borderId="2" xfId="0" applyFont="1" applyBorder="1" applyAlignment="1">
      <alignment vertical="center"/>
    </xf>
    <xf numFmtId="0" fontId="2" fillId="0" borderId="0" xfId="0" applyFont="1" applyBorder="1"/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right" wrapText="1"/>
    </xf>
    <xf numFmtId="0" fontId="2" fillId="0" borderId="3" xfId="0" applyFont="1" applyBorder="1" applyAlignment="1">
      <alignment vertical="center"/>
    </xf>
    <xf numFmtId="0" fontId="2" fillId="0" borderId="0" xfId="0" applyFont="1" applyFill="1" applyBorder="1" applyAlignment="1">
      <alignment horizontal="center" wrapText="1"/>
    </xf>
    <xf numFmtId="0" fontId="2" fillId="0" borderId="0" xfId="0" quotePrefix="1" applyFont="1" applyFill="1" applyBorder="1" applyAlignment="1">
      <alignment horizontal="right" wrapText="1"/>
    </xf>
    <xf numFmtId="0" fontId="22" fillId="0" borderId="2" xfId="0" applyFont="1" applyBorder="1" applyAlignment="1">
      <alignment wrapText="1"/>
    </xf>
    <xf numFmtId="0" fontId="22" fillId="0" borderId="2" xfId="0" applyFont="1" applyBorder="1" applyAlignment="1">
      <alignment horizontal="center" wrapText="1"/>
    </xf>
    <xf numFmtId="168" fontId="2" fillId="0" borderId="0" xfId="2" applyNumberFormat="1" applyFont="1" applyBorder="1" applyAlignment="1">
      <alignment wrapText="1"/>
    </xf>
    <xf numFmtId="2" fontId="2" fillId="0" borderId="0" xfId="0" applyNumberFormat="1" applyFont="1" applyBorder="1" applyAlignment="1">
      <alignment horizontal="right" wrapText="1"/>
    </xf>
    <xf numFmtId="2" fontId="2" fillId="0" borderId="1" xfId="0" applyNumberFormat="1" applyFont="1" applyBorder="1" applyAlignment="1">
      <alignment horizontal="right" wrapText="1"/>
    </xf>
    <xf numFmtId="0" fontId="2" fillId="0" borderId="0" xfId="0" quotePrefix="1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vertical="center"/>
    </xf>
    <xf numFmtId="0" fontId="30" fillId="0" borderId="0" xfId="0" applyFont="1" applyAlignment="1">
      <alignment horizontal="right" wrapText="1"/>
    </xf>
    <xf numFmtId="1" fontId="8" fillId="0" borderId="0" xfId="0" applyNumberFormat="1" applyFont="1"/>
    <xf numFmtId="1" fontId="14" fillId="0" borderId="0" xfId="0" applyNumberFormat="1" applyFont="1" applyAlignment="1">
      <alignment horizontal="right"/>
    </xf>
    <xf numFmtId="1" fontId="14" fillId="0" borderId="1" xfId="0" applyNumberFormat="1" applyFont="1" applyBorder="1"/>
    <xf numFmtId="0" fontId="22" fillId="0" borderId="3" xfId="0" applyFont="1" applyBorder="1" applyAlignment="1">
      <alignment horizontal="right"/>
    </xf>
    <xf numFmtId="0" fontId="3" fillId="0" borderId="0" xfId="0" applyFont="1" applyBorder="1"/>
    <xf numFmtId="1" fontId="3" fillId="0" borderId="0" xfId="0" applyNumberFormat="1" applyFont="1" applyBorder="1" applyAlignment="1">
      <alignment horizontal="right"/>
    </xf>
    <xf numFmtId="1" fontId="3" fillId="0" borderId="0" xfId="0" applyNumberFormat="1" applyFont="1" applyBorder="1"/>
    <xf numFmtId="2" fontId="2" fillId="0" borderId="2" xfId="0" applyNumberFormat="1" applyFont="1" applyBorder="1" applyAlignment="1">
      <alignment horizontal="right"/>
    </xf>
    <xf numFmtId="1" fontId="2" fillId="0" borderId="0" xfId="0" applyNumberFormat="1" applyFont="1" applyBorder="1"/>
    <xf numFmtId="165" fontId="4" fillId="0" borderId="0" xfId="0" applyNumberFormat="1" applyFont="1" applyAlignment="1">
      <alignment horizontal="right"/>
    </xf>
    <xf numFmtId="1" fontId="3" fillId="0" borderId="0" xfId="0" quotePrefix="1" applyNumberFormat="1" applyFont="1" applyAlignment="1">
      <alignment horizontal="right"/>
    </xf>
    <xf numFmtId="0" fontId="3" fillId="0" borderId="0" xfId="0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26" fillId="0" borderId="0" xfId="0" applyFont="1" applyAlignment="1">
      <alignment horizontal="center" vertical="center"/>
    </xf>
    <xf numFmtId="168" fontId="3" fillId="0" borderId="0" xfId="2" applyNumberFormat="1" applyFont="1" applyBorder="1" applyAlignment="1"/>
    <xf numFmtId="0" fontId="26" fillId="0" borderId="1" xfId="0" applyFont="1" applyBorder="1" applyAlignment="1">
      <alignment horizontal="center"/>
    </xf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right"/>
    </xf>
    <xf numFmtId="166" fontId="1" fillId="0" borderId="2" xfId="0" applyNumberFormat="1" applyFont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" fillId="0" borderId="12" xfId="0" applyFont="1" applyFill="1" applyBorder="1"/>
    <xf numFmtId="0" fontId="2" fillId="0" borderId="3" xfId="0" applyFont="1" applyBorder="1" applyAlignment="1">
      <alignment horizontal="center"/>
    </xf>
    <xf numFmtId="0" fontId="1" fillId="0" borderId="6" xfId="0" applyFont="1" applyFill="1" applyBorder="1"/>
    <xf numFmtId="0" fontId="1" fillId="0" borderId="14" xfId="0" applyFont="1" applyFill="1" applyBorder="1"/>
    <xf numFmtId="0" fontId="1" fillId="0" borderId="6" xfId="0" applyFont="1" applyFill="1" applyBorder="1" applyAlignment="1">
      <alignment horizontal="left"/>
    </xf>
    <xf numFmtId="0" fontId="1" fillId="0" borderId="14" xfId="0" applyFont="1" applyFill="1" applyBorder="1" applyAlignment="1">
      <alignment horizontal="center"/>
    </xf>
    <xf numFmtId="0" fontId="1" fillId="0" borderId="7" xfId="0" applyFont="1" applyFill="1" applyBorder="1"/>
    <xf numFmtId="0" fontId="1" fillId="0" borderId="12" xfId="0" applyFont="1" applyFill="1" applyBorder="1" applyAlignment="1">
      <alignment horizontal="center"/>
    </xf>
    <xf numFmtId="0" fontId="1" fillId="0" borderId="10" xfId="0" applyFont="1" applyFill="1" applyBorder="1"/>
    <xf numFmtId="0" fontId="1" fillId="0" borderId="15" xfId="0" applyFont="1" applyFill="1" applyBorder="1"/>
    <xf numFmtId="0" fontId="1" fillId="0" borderId="11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13" xfId="0" applyFont="1" applyFill="1" applyBorder="1"/>
    <xf numFmtId="0" fontId="1" fillId="0" borderId="11" xfId="0" applyFont="1" applyFill="1" applyBorder="1"/>
    <xf numFmtId="0" fontId="1" fillId="0" borderId="16" xfId="0" applyFont="1" applyFill="1" applyBorder="1"/>
    <xf numFmtId="1" fontId="1" fillId="0" borderId="4" xfId="0" applyNumberFormat="1" applyFont="1" applyFill="1" applyBorder="1"/>
    <xf numFmtId="0" fontId="2" fillId="0" borderId="4" xfId="0" applyFont="1" applyFill="1" applyBorder="1"/>
    <xf numFmtId="0" fontId="2" fillId="0" borderId="4" xfId="0" applyFont="1" applyFill="1" applyBorder="1" applyAlignment="1">
      <alignment horizontal="left"/>
    </xf>
    <xf numFmtId="3" fontId="2" fillId="0" borderId="4" xfId="0" applyNumberFormat="1" applyFont="1" applyBorder="1"/>
    <xf numFmtId="0" fontId="2" fillId="0" borderId="4" xfId="0" applyFont="1" applyFill="1" applyBorder="1" applyAlignment="1">
      <alignment horizontal="center"/>
    </xf>
    <xf numFmtId="3" fontId="2" fillId="0" borderId="8" xfId="0" applyNumberFormat="1" applyFont="1" applyBorder="1"/>
    <xf numFmtId="0" fontId="3" fillId="0" borderId="4" xfId="0" applyFont="1" applyFill="1" applyBorder="1"/>
    <xf numFmtId="0" fontId="3" fillId="0" borderId="4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center"/>
    </xf>
    <xf numFmtId="0" fontId="3" fillId="0" borderId="4" xfId="0" quotePrefix="1" applyFont="1" applyFill="1" applyBorder="1"/>
    <xf numFmtId="3" fontId="2" fillId="0" borderId="15" xfId="0" applyNumberFormat="1" applyFont="1" applyFill="1" applyBorder="1"/>
    <xf numFmtId="0" fontId="3" fillId="0" borderId="4" xfId="0" quotePrefix="1" applyFont="1" applyFill="1" applyBorder="1" applyAlignment="1">
      <alignment horizontal="center"/>
    </xf>
    <xf numFmtId="3" fontId="2" fillId="0" borderId="8" xfId="0" quotePrefix="1" applyNumberFormat="1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8" xfId="0" applyFont="1" applyBorder="1"/>
    <xf numFmtId="1" fontId="3" fillId="0" borderId="0" xfId="0" applyNumberFormat="1" applyFont="1" applyFill="1" applyBorder="1"/>
    <xf numFmtId="0" fontId="2" fillId="0" borderId="0" xfId="0" applyFont="1" applyFill="1"/>
    <xf numFmtId="1" fontId="3" fillId="0" borderId="0" xfId="0" quotePrefix="1" applyNumberFormat="1" applyFont="1" applyFill="1" applyBorder="1"/>
    <xf numFmtId="0" fontId="2" fillId="0" borderId="0" xfId="0" quotePrefix="1" applyFont="1" applyFill="1"/>
    <xf numFmtId="0" fontId="3" fillId="0" borderId="0" xfId="0" quotePrefix="1" applyFont="1" applyFill="1"/>
    <xf numFmtId="0" fontId="3" fillId="0" borderId="0" xfId="0" applyFont="1" applyFill="1"/>
    <xf numFmtId="0" fontId="1" fillId="0" borderId="4" xfId="0" applyFont="1" applyBorder="1"/>
    <xf numFmtId="0" fontId="1" fillId="0" borderId="4" xfId="0" applyFont="1" applyBorder="1" applyAlignment="1">
      <alignment textRotation="90" wrapText="1"/>
    </xf>
    <xf numFmtId="0" fontId="1" fillId="0" borderId="4" xfId="0" applyFont="1" applyBorder="1" applyAlignment="1">
      <alignment textRotation="90"/>
    </xf>
    <xf numFmtId="0" fontId="1" fillId="0" borderId="4" xfId="0" applyFont="1" applyFill="1" applyBorder="1" applyAlignment="1">
      <alignment textRotation="90"/>
    </xf>
    <xf numFmtId="0" fontId="1" fillId="0" borderId="5" xfId="0" applyFont="1" applyBorder="1" applyAlignment="1">
      <alignment textRotation="90"/>
    </xf>
    <xf numFmtId="0" fontId="1" fillId="0" borderId="8" xfId="0" applyFont="1" applyBorder="1" applyAlignment="1">
      <alignment textRotation="90"/>
    </xf>
    <xf numFmtId="0" fontId="2" fillId="0" borderId="5" xfId="0" applyFont="1" applyBorder="1"/>
    <xf numFmtId="1" fontId="2" fillId="0" borderId="4" xfId="0" applyNumberFormat="1" applyFont="1" applyBorder="1"/>
    <xf numFmtId="1" fontId="1" fillId="0" borderId="7" xfId="0" applyNumberFormat="1" applyFont="1" applyFill="1" applyBorder="1"/>
    <xf numFmtId="0" fontId="2" fillId="0" borderId="13" xfId="0" applyFont="1" applyBorder="1"/>
    <xf numFmtId="0" fontId="2" fillId="0" borderId="13" xfId="0" applyFont="1" applyFill="1" applyBorder="1"/>
    <xf numFmtId="0" fontId="2" fillId="0" borderId="11" xfId="0" applyFont="1" applyBorder="1"/>
    <xf numFmtId="0" fontId="2" fillId="0" borderId="16" xfId="0" applyFont="1" applyBorder="1"/>
    <xf numFmtId="1" fontId="2" fillId="0" borderId="13" xfId="0" applyNumberFormat="1" applyFont="1" applyBorder="1"/>
    <xf numFmtId="1" fontId="2" fillId="0" borderId="8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8" xfId="0" applyFont="1" applyBorder="1"/>
    <xf numFmtId="1" fontId="3" fillId="0" borderId="4" xfId="0" applyNumberFormat="1" applyFont="1" applyBorder="1"/>
    <xf numFmtId="0" fontId="2" fillId="0" borderId="5" xfId="0" applyFont="1" applyFill="1" applyBorder="1"/>
    <xf numFmtId="0" fontId="2" fillId="0" borderId="12" xfId="0" applyFont="1" applyBorder="1"/>
    <xf numFmtId="0" fontId="2" fillId="0" borderId="12" xfId="0" applyFont="1" applyFill="1" applyBorder="1"/>
    <xf numFmtId="0" fontId="2" fillId="0" borderId="6" xfId="0" applyFont="1" applyBorder="1"/>
    <xf numFmtId="0" fontId="2" fillId="0" borderId="14" xfId="0" applyFont="1" applyBorder="1"/>
    <xf numFmtId="1" fontId="2" fillId="0" borderId="12" xfId="0" applyNumberFormat="1" applyFont="1" applyBorder="1"/>
    <xf numFmtId="1" fontId="1" fillId="0" borderId="5" xfId="0" applyNumberFormat="1" applyFont="1" applyFill="1" applyBorder="1"/>
    <xf numFmtId="1" fontId="1" fillId="0" borderId="13" xfId="0" applyNumberFormat="1" applyFont="1" applyFill="1" applyBorder="1"/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2" fontId="2" fillId="0" borderId="4" xfId="0" applyNumberFormat="1" applyFont="1" applyBorder="1"/>
    <xf numFmtId="4" fontId="2" fillId="0" borderId="4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1" fontId="3" fillId="0" borderId="2" xfId="0" applyNumberFormat="1" applyFont="1" applyFill="1" applyBorder="1" applyAlignment="1" applyProtection="1">
      <alignment horizontal="right"/>
    </xf>
    <xf numFmtId="1" fontId="3" fillId="0" borderId="2" xfId="0" applyNumberFormat="1" applyFont="1" applyFill="1" applyBorder="1" applyAlignment="1">
      <alignment horizontal="right"/>
    </xf>
    <xf numFmtId="1" fontId="3" fillId="0" borderId="0" xfId="0" applyNumberFormat="1" applyFont="1" applyFill="1" applyBorder="1" applyAlignment="1" applyProtection="1">
      <alignment horizontal="right"/>
    </xf>
    <xf numFmtId="168" fontId="3" fillId="0" borderId="0" xfId="2" applyNumberFormat="1" applyFont="1" applyFill="1" applyBorder="1" applyAlignment="1" applyProtection="1">
      <alignment horizontal="right"/>
    </xf>
    <xf numFmtId="0" fontId="2" fillId="0" borderId="0" xfId="0" applyFont="1" applyFill="1" applyAlignment="1">
      <alignment horizontal="left"/>
    </xf>
    <xf numFmtId="1" fontId="3" fillId="0" borderId="0" xfId="0" applyNumberFormat="1" applyFont="1" applyFill="1" applyBorder="1" applyAlignment="1">
      <alignment horizontal="right"/>
    </xf>
    <xf numFmtId="1" fontId="3" fillId="0" borderId="0" xfId="0" applyNumberFormat="1" applyFont="1" applyFill="1" applyAlignment="1">
      <alignment horizontal="right"/>
    </xf>
    <xf numFmtId="1" fontId="3" fillId="5" borderId="2" xfId="0" applyNumberFormat="1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168" fontId="3" fillId="5" borderId="2" xfId="2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1" fontId="3" fillId="5" borderId="1" xfId="0" applyNumberFormat="1" applyFont="1" applyFill="1" applyBorder="1" applyAlignment="1">
      <alignment horizontal="right"/>
    </xf>
    <xf numFmtId="168" fontId="3" fillId="5" borderId="1" xfId="2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1" fontId="20" fillId="0" borderId="0" xfId="0" applyNumberFormat="1" applyFont="1" applyAlignment="1">
      <alignment horizontal="right"/>
    </xf>
    <xf numFmtId="3" fontId="2" fillId="2" borderId="2" xfId="0" applyNumberFormat="1" applyFont="1" applyFill="1" applyBorder="1"/>
    <xf numFmtId="3" fontId="2" fillId="5" borderId="1" xfId="0" applyNumberFormat="1" applyFont="1" applyFill="1" applyBorder="1"/>
    <xf numFmtId="0" fontId="2" fillId="0" borderId="1" xfId="0" applyFont="1" applyBorder="1" applyAlignment="1">
      <alignment horizontal="center"/>
    </xf>
    <xf numFmtId="0" fontId="2" fillId="7" borderId="0" xfId="0" applyFont="1" applyFill="1" applyAlignment="1">
      <alignment horizontal="center" wrapText="1"/>
    </xf>
    <xf numFmtId="168" fontId="2" fillId="0" borderId="4" xfId="2" applyNumberFormat="1" applyFont="1" applyBorder="1"/>
    <xf numFmtId="168" fontId="2" fillId="7" borderId="0" xfId="2" applyNumberFormat="1" applyFont="1" applyFill="1"/>
    <xf numFmtId="1" fontId="2" fillId="0" borderId="0" xfId="0" applyNumberFormat="1" applyFont="1" applyFill="1" applyBorder="1"/>
    <xf numFmtId="168" fontId="2" fillId="5" borderId="4" xfId="2" applyNumberFormat="1" applyFont="1" applyFill="1" applyBorder="1"/>
    <xf numFmtId="0" fontId="2" fillId="0" borderId="2" xfId="0" applyFont="1" applyBorder="1" applyAlignment="1"/>
    <xf numFmtId="164" fontId="3" fillId="0" borderId="4" xfId="2" applyNumberFormat="1" applyFont="1" applyBorder="1"/>
    <xf numFmtId="1" fontId="3" fillId="0" borderId="0" xfId="0" applyNumberFormat="1" applyFont="1" applyAlignment="1">
      <alignment horizontal="left"/>
    </xf>
    <xf numFmtId="0" fontId="2" fillId="5" borderId="4" xfId="0" applyFont="1" applyFill="1" applyBorder="1"/>
    <xf numFmtId="0" fontId="2" fillId="5" borderId="4" xfId="0" applyFont="1" applyFill="1" applyBorder="1" applyAlignment="1">
      <alignment horizontal="center"/>
    </xf>
    <xf numFmtId="164" fontId="3" fillId="5" borderId="4" xfId="2" applyNumberFormat="1" applyFont="1" applyFill="1" applyBorder="1"/>
    <xf numFmtId="3" fontId="3" fillId="5" borderId="2" xfId="0" applyNumberFormat="1" applyFont="1" applyFill="1" applyBorder="1"/>
    <xf numFmtId="4" fontId="3" fillId="5" borderId="2" xfId="0" applyNumberFormat="1" applyFont="1" applyFill="1" applyBorder="1"/>
    <xf numFmtId="3" fontId="3" fillId="5" borderId="1" xfId="0" applyNumberFormat="1" applyFont="1" applyFill="1" applyBorder="1"/>
    <xf numFmtId="4" fontId="3" fillId="5" borderId="1" xfId="0" applyNumberFormat="1" applyFont="1" applyFill="1" applyBorder="1"/>
    <xf numFmtId="0" fontId="22" fillId="0" borderId="0" xfId="0" applyFont="1" applyBorder="1"/>
    <xf numFmtId="0" fontId="31" fillId="0" borderId="6" xfId="0" applyFont="1" applyBorder="1"/>
    <xf numFmtId="0" fontId="31" fillId="0" borderId="2" xfId="0" applyFont="1" applyBorder="1"/>
    <xf numFmtId="0" fontId="2" fillId="0" borderId="10" xfId="0" applyFont="1" applyBorder="1"/>
    <xf numFmtId="0" fontId="31" fillId="0" borderId="0" xfId="0" applyFont="1" applyBorder="1"/>
    <xf numFmtId="0" fontId="31" fillId="0" borderId="1" xfId="0" applyFont="1" applyBorder="1"/>
    <xf numFmtId="0" fontId="31" fillId="0" borderId="10" xfId="0" applyFont="1" applyBorder="1"/>
    <xf numFmtId="0" fontId="31" fillId="0" borderId="0" xfId="0" applyFont="1" applyBorder="1" applyAlignment="1">
      <alignment horizontal="center"/>
    </xf>
    <xf numFmtId="0" fontId="32" fillId="0" borderId="10" xfId="0" applyFont="1" applyBorder="1"/>
    <xf numFmtId="0" fontId="32" fillId="0" borderId="0" xfId="0" quotePrefix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5" xfId="0" applyFont="1" applyBorder="1"/>
    <xf numFmtId="3" fontId="31" fillId="0" borderId="3" xfId="0" applyNumberFormat="1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2" fillId="0" borderId="7" xfId="0" applyFont="1" applyFill="1" applyBorder="1" applyAlignment="1">
      <alignment horizontal="left"/>
    </xf>
    <xf numFmtId="0" fontId="2" fillId="0" borderId="10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left"/>
    </xf>
    <xf numFmtId="0" fontId="3" fillId="0" borderId="7" xfId="0" applyFont="1" applyFill="1" applyBorder="1"/>
    <xf numFmtId="0" fontId="3" fillId="0" borderId="7" xfId="0" applyFont="1" applyFill="1" applyBorder="1" applyAlignment="1">
      <alignment horizontal="left"/>
    </xf>
    <xf numFmtId="0" fontId="2" fillId="0" borderId="10" xfId="0" applyFont="1" applyFill="1" applyBorder="1"/>
    <xf numFmtId="0" fontId="3" fillId="0" borderId="10" xfId="0" applyFont="1" applyFill="1" applyBorder="1"/>
    <xf numFmtId="0" fontId="3" fillId="0" borderId="0" xfId="0" applyFont="1" applyFill="1" applyBorder="1" applyAlignment="1">
      <alignment horizontal="left"/>
    </xf>
    <xf numFmtId="0" fontId="3" fillId="0" borderId="10" xfId="0" applyFont="1" applyFill="1" applyBorder="1" applyAlignment="1">
      <alignment horizontal="left"/>
    </xf>
    <xf numFmtId="0" fontId="2" fillId="0" borderId="7" xfId="0" applyFont="1" applyFill="1" applyBorder="1"/>
    <xf numFmtId="0" fontId="3" fillId="0" borderId="10" xfId="0" quotePrefix="1" applyFont="1" applyFill="1" applyBorder="1"/>
    <xf numFmtId="3" fontId="2" fillId="0" borderId="7" xfId="0" applyNumberFormat="1" applyFont="1" applyFill="1" applyBorder="1"/>
    <xf numFmtId="0" fontId="3" fillId="0" borderId="10" xfId="0" quotePrefix="1" applyFont="1" applyFill="1" applyBorder="1" applyAlignment="1">
      <alignment horizontal="left"/>
    </xf>
    <xf numFmtId="3" fontId="2" fillId="0" borderId="4" xfId="0" quotePrefix="1" applyNumberFormat="1" applyFont="1" applyBorder="1"/>
    <xf numFmtId="0" fontId="3" fillId="0" borderId="13" xfId="0" applyFont="1" applyFill="1" applyBorder="1"/>
    <xf numFmtId="0" fontId="3" fillId="0" borderId="13" xfId="0" applyFont="1" applyFill="1" applyBorder="1" applyAlignment="1">
      <alignment horizontal="left"/>
    </xf>
    <xf numFmtId="0" fontId="3" fillId="0" borderId="11" xfId="0" applyFont="1" applyFill="1" applyBorder="1"/>
    <xf numFmtId="0" fontId="3" fillId="0" borderId="11" xfId="0" applyFont="1" applyFill="1" applyBorder="1" applyAlignment="1">
      <alignment horizontal="left"/>
    </xf>
    <xf numFmtId="0" fontId="2" fillId="7" borderId="0" xfId="0" applyFont="1" applyFill="1"/>
    <xf numFmtId="3" fontId="2" fillId="0" borderId="0" xfId="0" applyNumberFormat="1" applyFont="1" applyFill="1"/>
    <xf numFmtId="1" fontId="2" fillId="0" borderId="0" xfId="0" applyNumberFormat="1" applyFont="1" applyFill="1"/>
    <xf numFmtId="0" fontId="20" fillId="0" borderId="0" xfId="0" applyFont="1" applyFill="1"/>
    <xf numFmtId="0" fontId="2" fillId="6" borderId="0" xfId="0" applyFont="1" applyFill="1"/>
    <xf numFmtId="3" fontId="2" fillId="7" borderId="0" xfId="0" applyNumberFormat="1" applyFont="1" applyFill="1"/>
    <xf numFmtId="2" fontId="2" fillId="0" borderId="0" xfId="0" applyNumberFormat="1" applyFont="1" applyFill="1"/>
    <xf numFmtId="1" fontId="2" fillId="7" borderId="0" xfId="0" applyNumberFormat="1" applyFont="1" applyFill="1"/>
    <xf numFmtId="168" fontId="3" fillId="0" borderId="4" xfId="2" applyNumberFormat="1" applyFont="1" applyBorder="1" applyAlignment="1">
      <alignment horizontal="center"/>
    </xf>
    <xf numFmtId="168" fontId="3" fillId="5" borderId="4" xfId="2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16" fillId="0" borderId="0" xfId="0" applyFont="1"/>
    <xf numFmtId="1" fontId="33" fillId="0" borderId="0" xfId="0" applyNumberFormat="1" applyFont="1" applyFill="1" applyBorder="1" applyAlignment="1" applyProtection="1">
      <alignment horizontal="right"/>
    </xf>
    <xf numFmtId="1" fontId="0" fillId="0" borderId="0" xfId="0" applyNumberFormat="1"/>
    <xf numFmtId="0" fontId="34" fillId="0" borderId="1" xfId="0" applyFont="1" applyBorder="1"/>
    <xf numFmtId="0" fontId="0" fillId="0" borderId="1" xfId="0" applyBorder="1"/>
    <xf numFmtId="0" fontId="0" fillId="0" borderId="2" xfId="0" applyBorder="1"/>
    <xf numFmtId="166" fontId="3" fillId="0" borderId="2" xfId="0" applyNumberFormat="1" applyFont="1" applyFill="1" applyBorder="1" applyProtection="1"/>
    <xf numFmtId="1" fontId="0" fillId="5" borderId="0" xfId="0" applyNumberFormat="1" applyFill="1"/>
    <xf numFmtId="168" fontId="34" fillId="9" borderId="4" xfId="2" applyNumberFormat="1" applyFont="1" applyFill="1" applyBorder="1"/>
    <xf numFmtId="43" fontId="0" fillId="0" borderId="0" xfId="0" applyNumberFormat="1"/>
    <xf numFmtId="170" fontId="0" fillId="0" borderId="0" xfId="0" applyNumberFormat="1"/>
    <xf numFmtId="0" fontId="0" fillId="0" borderId="0" xfId="0" applyBorder="1"/>
    <xf numFmtId="166" fontId="3" fillId="0" borderId="0" xfId="0" applyNumberFormat="1" applyFont="1" applyFill="1" applyBorder="1" applyProtection="1"/>
    <xf numFmtId="0" fontId="0" fillId="0" borderId="0" xfId="0" quotePrefix="1"/>
    <xf numFmtId="0" fontId="2" fillId="0" borderId="0" xfId="0" applyFont="1" applyAlignment="1">
      <alignment horizontal="center" vertical="center"/>
    </xf>
    <xf numFmtId="0" fontId="36" fillId="0" borderId="0" xfId="0" applyFont="1"/>
    <xf numFmtId="0" fontId="34" fillId="0" borderId="2" xfId="0" applyFont="1" applyBorder="1"/>
    <xf numFmtId="0" fontId="34" fillId="0" borderId="3" xfId="0" applyFont="1" applyBorder="1" applyAlignment="1">
      <alignment horizontal="center"/>
    </xf>
    <xf numFmtId="0" fontId="34" fillId="0" borderId="4" xfId="0" applyFont="1" applyBorder="1"/>
    <xf numFmtId="3" fontId="34" fillId="0" borderId="0" xfId="0" applyNumberFormat="1" applyFont="1" applyBorder="1"/>
    <xf numFmtId="3" fontId="0" fillId="0" borderId="0" xfId="0" applyNumberFormat="1"/>
    <xf numFmtId="0" fontId="34" fillId="5" borderId="4" xfId="0" applyFont="1" applyFill="1" applyBorder="1"/>
    <xf numFmtId="3" fontId="34" fillId="2" borderId="2" xfId="0" applyNumberFormat="1" applyFont="1" applyFill="1" applyBorder="1"/>
    <xf numFmtId="0" fontId="34" fillId="5" borderId="1" xfId="0" applyFont="1" applyFill="1" applyBorder="1"/>
    <xf numFmtId="0" fontId="35" fillId="0" borderId="0" xfId="0" applyFont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0" borderId="2" xfId="0" applyFont="1" applyBorder="1" applyAlignment="1">
      <alignment wrapText="1"/>
    </xf>
    <xf numFmtId="2" fontId="39" fillId="0" borderId="4" xfId="0" applyNumberFormat="1" applyFont="1" applyFill="1" applyBorder="1" applyAlignment="1" applyProtection="1"/>
    <xf numFmtId="2" fontId="34" fillId="0" borderId="0" xfId="0" applyNumberFormat="1" applyFont="1"/>
    <xf numFmtId="2" fontId="39" fillId="5" borderId="4" xfId="0" applyNumberFormat="1" applyFont="1" applyFill="1" applyBorder="1" applyAlignment="1"/>
    <xf numFmtId="4" fontId="33" fillId="5" borderId="2" xfId="0" applyNumberFormat="1" applyFont="1" applyFill="1" applyBorder="1" applyAlignment="1"/>
    <xf numFmtId="4" fontId="33" fillId="5" borderId="1" xfId="0" applyNumberFormat="1" applyFont="1" applyFill="1" applyBorder="1" applyAlignment="1"/>
    <xf numFmtId="0" fontId="8" fillId="0" borderId="0" xfId="0" applyFont="1" applyAlignment="1">
      <alignment horizontal="center" vertical="center"/>
    </xf>
    <xf numFmtId="0" fontId="34" fillId="0" borderId="1" xfId="0" applyFont="1" applyBorder="1" applyAlignment="1"/>
    <xf numFmtId="0" fontId="34" fillId="0" borderId="3" xfId="0" applyFont="1" applyBorder="1" applyAlignment="1"/>
    <xf numFmtId="1" fontId="39" fillId="0" borderId="4" xfId="0" applyNumberFormat="1" applyFont="1" applyFill="1" applyBorder="1" applyAlignment="1"/>
    <xf numFmtId="1" fontId="39" fillId="5" borderId="4" xfId="0" applyNumberFormat="1" applyFont="1" applyFill="1" applyBorder="1" applyAlignment="1"/>
    <xf numFmtId="3" fontId="2" fillId="5" borderId="1" xfId="0" applyNumberFormat="1" applyFont="1" applyFill="1" applyBorder="1" applyAlignment="1">
      <alignment horizontal="right"/>
    </xf>
    <xf numFmtId="3" fontId="2" fillId="5" borderId="2" xfId="0" applyNumberFormat="1" applyFont="1" applyFill="1" applyBorder="1" applyAlignment="1">
      <alignment horizontal="right"/>
    </xf>
    <xf numFmtId="0" fontId="2" fillId="0" borderId="12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12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31" fillId="0" borderId="2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24" fillId="0" borderId="1" xfId="0" applyFont="1" applyBorder="1" applyAlignment="1">
      <alignment wrapText="1"/>
    </xf>
    <xf numFmtId="0" fontId="1" fillId="0" borderId="2" xfId="0" applyFont="1" applyBorder="1" applyAlignment="1">
      <alignment horizontal="center"/>
    </xf>
    <xf numFmtId="168" fontId="2" fillId="0" borderId="0" xfId="2" applyNumberFormat="1" applyFont="1" applyFill="1" applyBorder="1" applyAlignment="1">
      <alignment wrapText="1"/>
    </xf>
    <xf numFmtId="0" fontId="2" fillId="0" borderId="0" xfId="0" applyFont="1" applyBorder="1" applyAlignment="1">
      <alignment horizontal="left" wrapText="1"/>
    </xf>
    <xf numFmtId="0" fontId="22" fillId="0" borderId="2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left" wrapText="1"/>
    </xf>
    <xf numFmtId="168" fontId="3" fillId="0" borderId="0" xfId="2" applyNumberFormat="1" applyFont="1" applyFill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wrapText="1"/>
    </xf>
    <xf numFmtId="0" fontId="14" fillId="0" borderId="0" xfId="0" applyFont="1" applyAlignment="1">
      <alignment horizontal="left" wrapText="1"/>
    </xf>
    <xf numFmtId="0" fontId="16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3" fontId="3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168" fontId="3" fillId="0" borderId="0" xfId="2" applyNumberFormat="1" applyFont="1" applyFill="1" applyBorder="1" applyAlignment="1">
      <alignment horizontal="right" vertical="center"/>
    </xf>
    <xf numFmtId="168" fontId="3" fillId="0" borderId="0" xfId="2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wrapText="1"/>
    </xf>
    <xf numFmtId="0" fontId="22" fillId="0" borderId="2" xfId="0" applyFont="1" applyBorder="1" applyAlignment="1">
      <alignment horizontal="center"/>
    </xf>
    <xf numFmtId="168" fontId="2" fillId="0" borderId="0" xfId="2" applyNumberFormat="1" applyFont="1" applyFill="1" applyAlignment="1">
      <alignment horizontal="right" vertical="center"/>
    </xf>
    <xf numFmtId="0" fontId="2" fillId="0" borderId="0" xfId="0" applyFont="1" applyAlignment="1">
      <alignment horizontal="left" wrapText="1"/>
    </xf>
    <xf numFmtId="168" fontId="2" fillId="0" borderId="0" xfId="2" applyNumberFormat="1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22" fillId="0" borderId="1" xfId="0" applyFont="1" applyBorder="1" applyAlignment="1">
      <alignment wrapText="1"/>
    </xf>
    <xf numFmtId="168" fontId="3" fillId="0" borderId="0" xfId="2" applyNumberFormat="1" applyFont="1" applyAlignment="1">
      <alignment horizontal="right" vertical="center"/>
    </xf>
    <xf numFmtId="168" fontId="3" fillId="0" borderId="0" xfId="2" applyNumberFormat="1" applyFont="1" applyAlignment="1">
      <alignment horizontal="center" vertical="center"/>
    </xf>
    <xf numFmtId="0" fontId="22" fillId="0" borderId="0" xfId="0" applyFont="1" applyBorder="1" applyAlignment="1">
      <alignment horizontal="left" wrapText="1"/>
    </xf>
    <xf numFmtId="168" fontId="3" fillId="0" borderId="0" xfId="2" applyNumberFormat="1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12" fillId="0" borderId="0" xfId="0" applyFont="1" applyAlignment="1">
      <alignment wrapText="1"/>
    </xf>
    <xf numFmtId="168" fontId="3" fillId="0" borderId="0" xfId="2" applyNumberFormat="1" applyFont="1" applyFill="1" applyAlignment="1">
      <alignment horizontal="right"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7" fillId="0" borderId="0" xfId="0" applyFont="1" applyAlignment="1">
      <alignment horizontal="center" wrapText="1"/>
    </xf>
    <xf numFmtId="0" fontId="22" fillId="0" borderId="1" xfId="0" applyFont="1" applyBorder="1" applyAlignment="1">
      <alignment horizontal="left" wrapText="1"/>
    </xf>
    <xf numFmtId="168" fontId="3" fillId="0" borderId="0" xfId="2" applyNumberFormat="1" applyFont="1" applyAlignment="1" applyProtection="1">
      <alignment horizontal="right" vertical="center"/>
    </xf>
    <xf numFmtId="168" fontId="3" fillId="0" borderId="0" xfId="2" applyNumberFormat="1" applyFont="1" applyAlignment="1" applyProtection="1">
      <alignment horizontal="center" vertical="center"/>
    </xf>
  </cellXfs>
  <cellStyles count="3">
    <cellStyle name="Comma" xfId="2" builtinId="3"/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169277031649537E-2"/>
          <c:y val="2.938475665748393E-2"/>
          <c:w val="0.90666091788080505"/>
          <c:h val="0.61026933616768975"/>
        </c:manualLayout>
      </c:layout>
      <c:lineChart>
        <c:grouping val="standard"/>
        <c:varyColors val="0"/>
        <c:ser>
          <c:idx val="0"/>
          <c:order val="0"/>
          <c:tx>
            <c:strRef>
              <c:f>'[1]Extra tables'!$D$78</c:f>
              <c:strCache>
                <c:ptCount val="1"/>
                <c:pt idx="0">
                  <c:v>Family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cat>
            <c:strRef>
              <c:f>'[1]Extra tables'!$B$79:$B$92</c:f>
              <c:strCache>
                <c:ptCount val="14"/>
                <c:pt idx="0">
                  <c:v>Ampara-East </c:v>
                </c:pt>
                <c:pt idx="1">
                  <c:v>Ampara-West </c:v>
                </c:pt>
                <c:pt idx="2">
                  <c:v>Anuradhapura </c:v>
                </c:pt>
                <c:pt idx="3">
                  <c:v>Hambantota</c:v>
                </c:pt>
                <c:pt idx="4">
                  <c:v>Kurunegala</c:v>
                </c:pt>
                <c:pt idx="5">
                  <c:v>Polonnaruwa</c:v>
                </c:pt>
                <c:pt idx="6">
                  <c:v>Mahaweli B</c:v>
                </c:pt>
                <c:pt idx="7">
                  <c:v>Mahaweli C</c:v>
                </c:pt>
                <c:pt idx="8">
                  <c:v>Mahaweli H</c:v>
                </c:pt>
                <c:pt idx="9">
                  <c:v>Trincomalee</c:v>
                </c:pt>
                <c:pt idx="10">
                  <c:v>Gampaha </c:v>
                </c:pt>
                <c:pt idx="11">
                  <c:v>Kalutara </c:v>
                </c:pt>
                <c:pt idx="12">
                  <c:v>Kandy </c:v>
                </c:pt>
                <c:pt idx="13">
                  <c:v>Kurunegala</c:v>
                </c:pt>
              </c:strCache>
            </c:strRef>
          </c:cat>
          <c:val>
            <c:numRef>
              <c:f>'[1]Extra tables'!$D$79:$D$92</c:f>
              <c:numCache>
                <c:formatCode>General</c:formatCode>
                <c:ptCount val="14"/>
                <c:pt idx="0">
                  <c:v>2</c:v>
                </c:pt>
                <c:pt idx="1">
                  <c:v>14</c:v>
                </c:pt>
                <c:pt idx="2">
                  <c:v>13</c:v>
                </c:pt>
                <c:pt idx="3">
                  <c:v>9</c:v>
                </c:pt>
                <c:pt idx="4">
                  <c:v>14</c:v>
                </c:pt>
                <c:pt idx="5">
                  <c:v>8</c:v>
                </c:pt>
                <c:pt idx="6">
                  <c:v>12</c:v>
                </c:pt>
                <c:pt idx="7">
                  <c:v>11</c:v>
                </c:pt>
                <c:pt idx="8">
                  <c:v>11</c:v>
                </c:pt>
                <c:pt idx="9">
                  <c:v>7</c:v>
                </c:pt>
                <c:pt idx="10">
                  <c:v>8</c:v>
                </c:pt>
                <c:pt idx="11">
                  <c:v>12</c:v>
                </c:pt>
                <c:pt idx="12">
                  <c:v>22</c:v>
                </c:pt>
                <c:pt idx="13">
                  <c:v>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'[1]Extra tables'!$E$78</c:f>
              <c:strCache>
                <c:ptCount val="1"/>
                <c:pt idx="0">
                  <c:v>Hired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chemeClr val="bg1">
                  <a:lumMod val="65000"/>
                  <a:alpha val="60000"/>
                </a:schemeClr>
              </a:solidFill>
              <a:ln w="3175">
                <a:solidFill>
                  <a:schemeClr val="tx1"/>
                </a:solidFill>
              </a:ln>
            </c:spPr>
          </c:marker>
          <c:cat>
            <c:strRef>
              <c:f>'[1]Extra tables'!$B$79:$B$92</c:f>
              <c:strCache>
                <c:ptCount val="14"/>
                <c:pt idx="0">
                  <c:v>Ampara-East </c:v>
                </c:pt>
                <c:pt idx="1">
                  <c:v>Ampara-West </c:v>
                </c:pt>
                <c:pt idx="2">
                  <c:v>Anuradhapura </c:v>
                </c:pt>
                <c:pt idx="3">
                  <c:v>Hambantota</c:v>
                </c:pt>
                <c:pt idx="4">
                  <c:v>Kurunegala</c:v>
                </c:pt>
                <c:pt idx="5">
                  <c:v>Polonnaruwa</c:v>
                </c:pt>
                <c:pt idx="6">
                  <c:v>Mahaweli B</c:v>
                </c:pt>
                <c:pt idx="7">
                  <c:v>Mahaweli C</c:v>
                </c:pt>
                <c:pt idx="8">
                  <c:v>Mahaweli H</c:v>
                </c:pt>
                <c:pt idx="9">
                  <c:v>Trincomalee</c:v>
                </c:pt>
                <c:pt idx="10">
                  <c:v>Gampaha </c:v>
                </c:pt>
                <c:pt idx="11">
                  <c:v>Kalutara </c:v>
                </c:pt>
                <c:pt idx="12">
                  <c:v>Kandy </c:v>
                </c:pt>
                <c:pt idx="13">
                  <c:v>Kurunegala</c:v>
                </c:pt>
              </c:strCache>
            </c:strRef>
          </c:cat>
          <c:val>
            <c:numRef>
              <c:f>'[1]Extra tables'!$E$79:$E$92</c:f>
              <c:numCache>
                <c:formatCode>General</c:formatCode>
                <c:ptCount val="14"/>
                <c:pt idx="0">
                  <c:v>6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7</c:v>
                </c:pt>
                <c:pt idx="9">
                  <c:v>6</c:v>
                </c:pt>
                <c:pt idx="10">
                  <c:v>8</c:v>
                </c:pt>
                <c:pt idx="11">
                  <c:v>4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'[1]Extra tables'!$F$78</c:f>
              <c:strCache>
                <c:ptCount val="1"/>
                <c:pt idx="0">
                  <c:v>Total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'[1]Extra tables'!$B$79:$B$92</c:f>
              <c:strCache>
                <c:ptCount val="14"/>
                <c:pt idx="0">
                  <c:v>Ampara-East </c:v>
                </c:pt>
                <c:pt idx="1">
                  <c:v>Ampara-West </c:v>
                </c:pt>
                <c:pt idx="2">
                  <c:v>Anuradhapura </c:v>
                </c:pt>
                <c:pt idx="3">
                  <c:v>Hambantota</c:v>
                </c:pt>
                <c:pt idx="4">
                  <c:v>Kurunegala</c:v>
                </c:pt>
                <c:pt idx="5">
                  <c:v>Polonnaruwa</c:v>
                </c:pt>
                <c:pt idx="6">
                  <c:v>Mahaweli B</c:v>
                </c:pt>
                <c:pt idx="7">
                  <c:v>Mahaweli C</c:v>
                </c:pt>
                <c:pt idx="8">
                  <c:v>Mahaweli H</c:v>
                </c:pt>
                <c:pt idx="9">
                  <c:v>Trincomalee</c:v>
                </c:pt>
                <c:pt idx="10">
                  <c:v>Gampaha </c:v>
                </c:pt>
                <c:pt idx="11">
                  <c:v>Kalutara </c:v>
                </c:pt>
                <c:pt idx="12">
                  <c:v>Kandy </c:v>
                </c:pt>
                <c:pt idx="13">
                  <c:v>Kurunegala</c:v>
                </c:pt>
              </c:strCache>
            </c:strRef>
          </c:cat>
          <c:val>
            <c:numRef>
              <c:f>'[1]Extra tables'!$F$79:$F$92</c:f>
              <c:numCache>
                <c:formatCode>General</c:formatCode>
                <c:ptCount val="14"/>
                <c:pt idx="0">
                  <c:v>8</c:v>
                </c:pt>
                <c:pt idx="1">
                  <c:v>18</c:v>
                </c:pt>
                <c:pt idx="2">
                  <c:v>20</c:v>
                </c:pt>
                <c:pt idx="3">
                  <c:v>17</c:v>
                </c:pt>
                <c:pt idx="4">
                  <c:v>22</c:v>
                </c:pt>
                <c:pt idx="5">
                  <c:v>16</c:v>
                </c:pt>
                <c:pt idx="6">
                  <c:v>19</c:v>
                </c:pt>
                <c:pt idx="7">
                  <c:v>17</c:v>
                </c:pt>
                <c:pt idx="8">
                  <c:v>18</c:v>
                </c:pt>
                <c:pt idx="9">
                  <c:v>13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038720"/>
        <c:axId val="305149440"/>
      </c:lineChart>
      <c:catAx>
        <c:axId val="27303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58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5149440"/>
        <c:crosses val="autoZero"/>
        <c:auto val="1"/>
        <c:lblAlgn val="ctr"/>
        <c:lblOffset val="100"/>
        <c:noMultiLvlLbl val="0"/>
      </c:catAx>
      <c:valAx>
        <c:axId val="3051494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#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mandays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0980028880472992E-3"/>
              <c:y val="0.238894116893924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3038720"/>
        <c:crosses val="autoZero"/>
        <c:crossBetween val="between"/>
      </c:valAx>
      <c:spPr>
        <a:noFill/>
        <a:ln w="6350">
          <a:solidFill>
            <a:schemeClr val="accent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[2]Sheet2!$G$4</c:f>
              <c:strCache>
                <c:ptCount val="1"/>
                <c:pt idx="0">
                  <c:v>2022yala</c:v>
                </c:pt>
              </c:strCache>
            </c:strRef>
          </c:tx>
          <c:invertIfNegative val="0"/>
          <c:cat>
            <c:strRef>
              <c:f>[2]Sheet2!$B$5:$B$18</c:f>
              <c:strCache>
                <c:ptCount val="14"/>
                <c:pt idx="0">
                  <c:v>Ampara-East</c:v>
                </c:pt>
                <c:pt idx="1">
                  <c:v>Ampara -West</c:v>
                </c:pt>
                <c:pt idx="2">
                  <c:v>Anuradhapura</c:v>
                </c:pt>
                <c:pt idx="3">
                  <c:v>Hambantota</c:v>
                </c:pt>
                <c:pt idx="4">
                  <c:v>Kurunegala</c:v>
                </c:pt>
                <c:pt idx="5">
                  <c:v>Polonnaruwa</c:v>
                </c:pt>
                <c:pt idx="6">
                  <c:v>Mahaweli B</c:v>
                </c:pt>
                <c:pt idx="7">
                  <c:v>Mahaweli H</c:v>
                </c:pt>
                <c:pt idx="8">
                  <c:v>Trincomalee</c:v>
                </c:pt>
                <c:pt idx="9">
                  <c:v>Gampaha</c:v>
                </c:pt>
                <c:pt idx="10">
                  <c:v>Kalutara</c:v>
                </c:pt>
                <c:pt idx="11">
                  <c:v>Kandy</c:v>
                </c:pt>
                <c:pt idx="12">
                  <c:v>Kurunegala</c:v>
                </c:pt>
              </c:strCache>
            </c:strRef>
          </c:cat>
          <c:val>
            <c:numRef>
              <c:f>[2]Sheet2!$G$5:$G$18</c:f>
              <c:numCache>
                <c:formatCode>General</c:formatCode>
                <c:ptCount val="14"/>
                <c:pt idx="0">
                  <c:v>1851</c:v>
                </c:pt>
                <c:pt idx="1">
                  <c:v>1388</c:v>
                </c:pt>
                <c:pt idx="2">
                  <c:v>1578</c:v>
                </c:pt>
                <c:pt idx="3">
                  <c:v>2000</c:v>
                </c:pt>
                <c:pt idx="4">
                  <c:v>1678</c:v>
                </c:pt>
                <c:pt idx="5">
                  <c:v>1835</c:v>
                </c:pt>
                <c:pt idx="6">
                  <c:v>1540</c:v>
                </c:pt>
                <c:pt idx="7">
                  <c:v>1790</c:v>
                </c:pt>
                <c:pt idx="8">
                  <c:v>1600</c:v>
                </c:pt>
                <c:pt idx="9">
                  <c:v>1067</c:v>
                </c:pt>
                <c:pt idx="10">
                  <c:v>938</c:v>
                </c:pt>
                <c:pt idx="11">
                  <c:v>959</c:v>
                </c:pt>
                <c:pt idx="12">
                  <c:v>1300</c:v>
                </c:pt>
              </c:numCache>
            </c:numRef>
          </c:val>
        </c:ser>
        <c:ser>
          <c:idx val="1"/>
          <c:order val="1"/>
          <c:tx>
            <c:strRef>
              <c:f>[2]Sheet2!$H$4</c:f>
              <c:strCache>
                <c:ptCount val="1"/>
                <c:pt idx="0">
                  <c:v>Yeild reduction</c:v>
                </c:pt>
              </c:strCache>
            </c:strRef>
          </c:tx>
          <c:invertIfNegative val="0"/>
          <c:cat>
            <c:strRef>
              <c:f>[2]Sheet2!$B$5:$B$18</c:f>
              <c:strCache>
                <c:ptCount val="14"/>
                <c:pt idx="0">
                  <c:v>Ampara-East</c:v>
                </c:pt>
                <c:pt idx="1">
                  <c:v>Ampara -West</c:v>
                </c:pt>
                <c:pt idx="2">
                  <c:v>Anuradhapura</c:v>
                </c:pt>
                <c:pt idx="3">
                  <c:v>Hambantota</c:v>
                </c:pt>
                <c:pt idx="4">
                  <c:v>Kurunegala</c:v>
                </c:pt>
                <c:pt idx="5">
                  <c:v>Polonnaruwa</c:v>
                </c:pt>
                <c:pt idx="6">
                  <c:v>Mahaweli B</c:v>
                </c:pt>
                <c:pt idx="7">
                  <c:v>Mahaweli H</c:v>
                </c:pt>
                <c:pt idx="8">
                  <c:v>Trincomalee</c:v>
                </c:pt>
                <c:pt idx="9">
                  <c:v>Gampaha</c:v>
                </c:pt>
                <c:pt idx="10">
                  <c:v>Kalutara</c:v>
                </c:pt>
                <c:pt idx="11">
                  <c:v>Kandy</c:v>
                </c:pt>
                <c:pt idx="12">
                  <c:v>Kurunegala</c:v>
                </c:pt>
              </c:strCache>
            </c:strRef>
          </c:cat>
          <c:val>
            <c:numRef>
              <c:f>[2]Sheet2!$H$5:$H$18</c:f>
              <c:numCache>
                <c:formatCode>General</c:formatCode>
                <c:ptCount val="14"/>
                <c:pt idx="0">
                  <c:v>455.33333333333348</c:v>
                </c:pt>
                <c:pt idx="1">
                  <c:v>571</c:v>
                </c:pt>
                <c:pt idx="2">
                  <c:v>481</c:v>
                </c:pt>
                <c:pt idx="3">
                  <c:v>338.66666666666652</c:v>
                </c:pt>
                <c:pt idx="4">
                  <c:v>425.66666666666652</c:v>
                </c:pt>
                <c:pt idx="5">
                  <c:v>457.66666666666652</c:v>
                </c:pt>
                <c:pt idx="6">
                  <c:v>569.66666666666652</c:v>
                </c:pt>
                <c:pt idx="7">
                  <c:v>126.33333333333326</c:v>
                </c:pt>
                <c:pt idx="8">
                  <c:v>713.33333333333348</c:v>
                </c:pt>
                <c:pt idx="9">
                  <c:v>198.66666666666674</c:v>
                </c:pt>
                <c:pt idx="10">
                  <c:v>176.66666666666674</c:v>
                </c:pt>
                <c:pt idx="11">
                  <c:v>-13.5</c:v>
                </c:pt>
                <c:pt idx="12">
                  <c:v>-43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305174784"/>
        <c:axId val="305180672"/>
      </c:barChart>
      <c:catAx>
        <c:axId val="30517478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305180672"/>
        <c:crosses val="autoZero"/>
        <c:auto val="1"/>
        <c:lblAlgn val="ctr"/>
        <c:lblOffset val="100"/>
        <c:noMultiLvlLbl val="0"/>
      </c:catAx>
      <c:valAx>
        <c:axId val="3051806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b="0"/>
                </a:pPr>
                <a:endParaRPr lang="en-US" b="0"/>
              </a:p>
              <a:p>
                <a:pPr>
                  <a:defRPr b="0"/>
                </a:pPr>
                <a:r>
                  <a:rPr lang="en-US" b="0"/>
                  <a:t>Yield (kg/ac)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0517478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5.1400554097404488E-2"/>
          <c:w val="0.82169203849518813"/>
          <c:h val="0.4687153689122193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[1]graph!$K$14</c:f>
              <c:strCache>
                <c:ptCount val="1"/>
                <c:pt idx="0">
                  <c:v>Cash cost 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[1]graph!$J$15:$J$32</c:f>
              <c:strCache>
                <c:ptCount val="18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Gampaha (Rf)</c:v>
                </c:pt>
                <c:pt idx="12">
                  <c:v>Kalutara (Rf)</c:v>
                </c:pt>
                <c:pt idx="13">
                  <c:v>Kandy (Rf)</c:v>
                </c:pt>
                <c:pt idx="14">
                  <c:v>Kurunegala (Rf)</c:v>
                </c:pt>
                <c:pt idx="16">
                  <c:v>Whole island</c:v>
                </c:pt>
                <c:pt idx="17">
                  <c:v>Whole island</c:v>
                </c:pt>
              </c:strCache>
            </c:strRef>
          </c:cat>
          <c:val>
            <c:numRef>
              <c:f>[1]graph!$K$15:$K$32</c:f>
              <c:numCache>
                <c:formatCode>General</c:formatCode>
                <c:ptCount val="18"/>
                <c:pt idx="0">
                  <c:v>131311</c:v>
                </c:pt>
                <c:pt idx="1">
                  <c:v>83495</c:v>
                </c:pt>
                <c:pt idx="2">
                  <c:v>92893</c:v>
                </c:pt>
                <c:pt idx="3">
                  <c:v>121703</c:v>
                </c:pt>
                <c:pt idx="4">
                  <c:v>111923</c:v>
                </c:pt>
                <c:pt idx="5">
                  <c:v>92516</c:v>
                </c:pt>
                <c:pt idx="6">
                  <c:v>77060</c:v>
                </c:pt>
                <c:pt idx="7">
                  <c:v>81371</c:v>
                </c:pt>
                <c:pt idx="8">
                  <c:v>117857</c:v>
                </c:pt>
                <c:pt idx="9">
                  <c:v>91763</c:v>
                </c:pt>
                <c:pt idx="11">
                  <c:v>75795</c:v>
                </c:pt>
                <c:pt idx="12">
                  <c:v>61096</c:v>
                </c:pt>
                <c:pt idx="13">
                  <c:v>62535</c:v>
                </c:pt>
                <c:pt idx="14">
                  <c:v>68993</c:v>
                </c:pt>
                <c:pt idx="16">
                  <c:v>95407</c:v>
                </c:pt>
                <c:pt idx="17">
                  <c:v>57202</c:v>
                </c:pt>
              </c:numCache>
            </c:numRef>
          </c:val>
        </c:ser>
        <c:ser>
          <c:idx val="1"/>
          <c:order val="1"/>
          <c:tx>
            <c:strRef>
              <c:f>[1]graph!$L$14</c:f>
              <c:strCache>
                <c:ptCount val="1"/>
                <c:pt idx="0">
                  <c:v> Own cost 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</c:spPr>
          <c:invertIfNegative val="0"/>
          <c:cat>
            <c:strRef>
              <c:f>[1]graph!$J$15:$J$32</c:f>
              <c:strCache>
                <c:ptCount val="18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Gampaha (Rf)</c:v>
                </c:pt>
                <c:pt idx="12">
                  <c:v>Kalutara (Rf)</c:v>
                </c:pt>
                <c:pt idx="13">
                  <c:v>Kandy (Rf)</c:v>
                </c:pt>
                <c:pt idx="14">
                  <c:v>Kurunegala (Rf)</c:v>
                </c:pt>
                <c:pt idx="16">
                  <c:v>Whole island</c:v>
                </c:pt>
                <c:pt idx="17">
                  <c:v>Whole island</c:v>
                </c:pt>
              </c:strCache>
            </c:strRef>
          </c:cat>
          <c:val>
            <c:numRef>
              <c:f>[1]graph!$L$15:$L$32</c:f>
              <c:numCache>
                <c:formatCode>General</c:formatCode>
                <c:ptCount val="18"/>
                <c:pt idx="0">
                  <c:v>7627</c:v>
                </c:pt>
                <c:pt idx="1">
                  <c:v>36514</c:v>
                </c:pt>
                <c:pt idx="2">
                  <c:v>32611</c:v>
                </c:pt>
                <c:pt idx="3">
                  <c:v>32340</c:v>
                </c:pt>
                <c:pt idx="4">
                  <c:v>33893</c:v>
                </c:pt>
                <c:pt idx="5">
                  <c:v>36209</c:v>
                </c:pt>
                <c:pt idx="6">
                  <c:v>33281</c:v>
                </c:pt>
                <c:pt idx="7">
                  <c:v>28643</c:v>
                </c:pt>
                <c:pt idx="8">
                  <c:v>31003</c:v>
                </c:pt>
                <c:pt idx="9">
                  <c:v>26782</c:v>
                </c:pt>
                <c:pt idx="11">
                  <c:v>20987</c:v>
                </c:pt>
                <c:pt idx="12">
                  <c:v>42138</c:v>
                </c:pt>
                <c:pt idx="13">
                  <c:v>48860</c:v>
                </c:pt>
                <c:pt idx="14">
                  <c:v>39340</c:v>
                </c:pt>
                <c:pt idx="16">
                  <c:v>29415</c:v>
                </c:pt>
                <c:pt idx="17">
                  <c:v>30884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305705728"/>
        <c:axId val="305707264"/>
      </c:barChart>
      <c:catAx>
        <c:axId val="30570572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5400000" vert="horz"/>
          <a:lstStyle/>
          <a:p>
            <a:pPr>
              <a:defRPr sz="8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305707264"/>
        <c:crosses val="autoZero"/>
        <c:auto val="1"/>
        <c:lblAlgn val="ctr"/>
        <c:lblOffset val="100"/>
        <c:noMultiLvlLbl val="0"/>
      </c:catAx>
      <c:valAx>
        <c:axId val="305707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 sz="900" b="0"/>
                  <a:t>(Rs'000/ac)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305705728"/>
        <c:crosses val="autoZero"/>
        <c:crossBetween val="between"/>
        <c:dispUnits>
          <c:builtInUnit val="thousands"/>
        </c:dispUnits>
      </c:valAx>
    </c:plotArea>
    <c:legend>
      <c:legendPos val="b"/>
      <c:layout/>
      <c:overlay val="0"/>
      <c:txPr>
        <a:bodyPr/>
        <a:lstStyle/>
        <a:p>
          <a:pPr>
            <a:defRPr sz="9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[1]graph!$N$124</c:f>
              <c:strCache>
                <c:ptCount val="1"/>
                <c:pt idx="0">
                  <c:v>  Farm-gate  price(Rs./kg)          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strRef>
              <c:f>[1]graph!$M$125:$M$138</c:f>
              <c:strCache>
                <c:ptCount val="14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0">
                  <c:v>Gampaha (Rf)</c:v>
                </c:pt>
                <c:pt idx="11">
                  <c:v>Kalutara (Rf)</c:v>
                </c:pt>
                <c:pt idx="12">
                  <c:v>Kandy (Rf)</c:v>
                </c:pt>
                <c:pt idx="13">
                  <c:v>Kurunegala (Rf)</c:v>
                </c:pt>
              </c:strCache>
            </c:strRef>
          </c:cat>
          <c:val>
            <c:numRef>
              <c:f>[1]graph!$N$125:$N$138</c:f>
              <c:numCache>
                <c:formatCode>General</c:formatCode>
                <c:ptCount val="14"/>
                <c:pt idx="0">
                  <c:v>119</c:v>
                </c:pt>
                <c:pt idx="1">
                  <c:v>115</c:v>
                </c:pt>
                <c:pt idx="2">
                  <c:v>118</c:v>
                </c:pt>
                <c:pt idx="3">
                  <c:v>117</c:v>
                </c:pt>
                <c:pt idx="4">
                  <c:v>125</c:v>
                </c:pt>
                <c:pt idx="5">
                  <c:v>102</c:v>
                </c:pt>
                <c:pt idx="6">
                  <c:v>103</c:v>
                </c:pt>
                <c:pt idx="7">
                  <c:v>111</c:v>
                </c:pt>
                <c:pt idx="8">
                  <c:v>115</c:v>
                </c:pt>
                <c:pt idx="9">
                  <c:v>103</c:v>
                </c:pt>
                <c:pt idx="10">
                  <c:v>100</c:v>
                </c:pt>
                <c:pt idx="11">
                  <c:v>125</c:v>
                </c:pt>
                <c:pt idx="12">
                  <c:v>112</c:v>
                </c:pt>
                <c:pt idx="13">
                  <c:v>103</c:v>
                </c:pt>
              </c:numCache>
            </c:numRef>
          </c:val>
        </c:ser>
        <c:ser>
          <c:idx val="1"/>
          <c:order val="1"/>
          <c:tx>
            <c:strRef>
              <c:f>[1]graph!$O$124</c:f>
              <c:strCache>
                <c:ptCount val="1"/>
                <c:pt idx="0">
                  <c:v>Unit cost (inc)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</c:spPr>
          <c:invertIfNegative val="0"/>
          <c:cat>
            <c:strRef>
              <c:f>[1]graph!$M$125:$M$138</c:f>
              <c:strCache>
                <c:ptCount val="14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0">
                  <c:v>Gampaha (Rf)</c:v>
                </c:pt>
                <c:pt idx="11">
                  <c:v>Kalutara (Rf)</c:v>
                </c:pt>
                <c:pt idx="12">
                  <c:v>Kandy (Rf)</c:v>
                </c:pt>
                <c:pt idx="13">
                  <c:v>Kurunegala (Rf)</c:v>
                </c:pt>
              </c:strCache>
            </c:strRef>
          </c:cat>
          <c:val>
            <c:numRef>
              <c:f>[1]graph!$O$125:$O$138</c:f>
              <c:numCache>
                <c:formatCode>General</c:formatCode>
                <c:ptCount val="14"/>
                <c:pt idx="0">
                  <c:v>75.061048082117779</c:v>
                </c:pt>
                <c:pt idx="1">
                  <c:v>86.461815561959654</c:v>
                </c:pt>
                <c:pt idx="2">
                  <c:v>67.950189496480775</c:v>
                </c:pt>
                <c:pt idx="3">
                  <c:v>77.021500000000003</c:v>
                </c:pt>
                <c:pt idx="4">
                  <c:v>86.898688915375445</c:v>
                </c:pt>
                <c:pt idx="5">
                  <c:v>70.149863760217983</c:v>
                </c:pt>
                <c:pt idx="6">
                  <c:v>71.650000000000006</c:v>
                </c:pt>
                <c:pt idx="7">
                  <c:v>85.348332040341347</c:v>
                </c:pt>
                <c:pt idx="8">
                  <c:v>83.162011173184354</c:v>
                </c:pt>
                <c:pt idx="9">
                  <c:v>74.090625000000003</c:v>
                </c:pt>
                <c:pt idx="10">
                  <c:v>90.704779756326147</c:v>
                </c:pt>
                <c:pt idx="11">
                  <c:v>110.05756929637526</c:v>
                </c:pt>
                <c:pt idx="12">
                  <c:v>116.15745568300312</c:v>
                </c:pt>
                <c:pt idx="13">
                  <c:v>83.333076923076916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305737088"/>
        <c:axId val="305747072"/>
      </c:barChart>
      <c:catAx>
        <c:axId val="30573708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5400000" vert="horz"/>
          <a:lstStyle/>
          <a:p>
            <a:pPr>
              <a:defRPr sz="10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305747072"/>
        <c:crosses val="autoZero"/>
        <c:auto val="1"/>
        <c:lblAlgn val="ctr"/>
        <c:lblOffset val="100"/>
        <c:noMultiLvlLbl val="0"/>
      </c:catAx>
      <c:valAx>
        <c:axId val="305747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000" b="0">
                    <a:latin typeface="Times New Roman" pitchFamily="18" charset="0"/>
                    <a:cs typeface="Times New Roman" pitchFamily="18" charset="0"/>
                  </a:rPr>
                  <a:t>Farmgate Price/Unit</a:t>
                </a:r>
                <a:r>
                  <a:rPr lang="en-US" sz="1000" b="0" baseline="0">
                    <a:latin typeface="Times New Roman" pitchFamily="18" charset="0"/>
                    <a:cs typeface="Times New Roman" pitchFamily="18" charset="0"/>
                  </a:rPr>
                  <a:t> cost </a:t>
                </a:r>
              </a:p>
              <a:p>
                <a:pPr>
                  <a:defRPr sz="1000" b="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000" b="0" baseline="0">
                    <a:latin typeface="Times New Roman" pitchFamily="18" charset="0"/>
                    <a:cs typeface="Times New Roman" pitchFamily="18" charset="0"/>
                  </a:rPr>
                  <a:t>(Rs/kg)</a:t>
                </a:r>
                <a:endParaRPr lang="en-US" sz="1000" b="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30573708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88472148223906"/>
          <c:y val="0.13732360131239404"/>
          <c:w val="0.71699121744397332"/>
          <c:h val="0.459863777262407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[1]graph!$D$204</c:f>
              <c:strCache>
                <c:ptCount val="1"/>
                <c:pt idx="0">
                  <c:v> Gross return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[1]graph!$C$205:$C$222</c:f>
              <c:strCache>
                <c:ptCount val="18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Gampaha (Rf)</c:v>
                </c:pt>
                <c:pt idx="12">
                  <c:v>Kalutara (Rf)</c:v>
                </c:pt>
                <c:pt idx="13">
                  <c:v>Kandy (Rf)</c:v>
                </c:pt>
                <c:pt idx="14">
                  <c:v>Kurunegala (Rf)</c:v>
                </c:pt>
                <c:pt idx="16">
                  <c:v>Whole island (irr)</c:v>
                </c:pt>
                <c:pt idx="17">
                  <c:v>Whole island (Rf)</c:v>
                </c:pt>
              </c:strCache>
            </c:strRef>
          </c:cat>
          <c:val>
            <c:numRef>
              <c:f>[1]graph!$D$205:$D$222</c:f>
              <c:numCache>
                <c:formatCode>General</c:formatCode>
                <c:ptCount val="18"/>
                <c:pt idx="0">
                  <c:v>220269</c:v>
                </c:pt>
                <c:pt idx="1">
                  <c:v>159620</c:v>
                </c:pt>
                <c:pt idx="2">
                  <c:v>186204</c:v>
                </c:pt>
                <c:pt idx="3">
                  <c:v>234000</c:v>
                </c:pt>
                <c:pt idx="4">
                  <c:v>209750</c:v>
                </c:pt>
                <c:pt idx="5">
                  <c:v>187170</c:v>
                </c:pt>
                <c:pt idx="6">
                  <c:v>158620</c:v>
                </c:pt>
                <c:pt idx="7">
                  <c:v>143079</c:v>
                </c:pt>
                <c:pt idx="8">
                  <c:v>205850</c:v>
                </c:pt>
                <c:pt idx="9">
                  <c:v>164800</c:v>
                </c:pt>
                <c:pt idx="11">
                  <c:v>106700</c:v>
                </c:pt>
                <c:pt idx="12">
                  <c:v>117250</c:v>
                </c:pt>
                <c:pt idx="13">
                  <c:v>107408</c:v>
                </c:pt>
                <c:pt idx="14">
                  <c:v>133900</c:v>
                </c:pt>
                <c:pt idx="16">
                  <c:v>201480</c:v>
                </c:pt>
                <c:pt idx="17">
                  <c:v>109492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1C-4392-848A-C66A712DFE4B}"/>
            </c:ext>
          </c:extLst>
        </c:ser>
        <c:ser>
          <c:idx val="1"/>
          <c:order val="1"/>
          <c:tx>
            <c:strRef>
              <c:f>[1]graph!$E$204</c:f>
              <c:strCache>
                <c:ptCount val="1"/>
                <c:pt idx="0">
                  <c:v>Net return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</c:spPr>
          <c:invertIfNegative val="0"/>
          <c:cat>
            <c:strRef>
              <c:f>[1]graph!$C$205:$C$222</c:f>
              <c:strCache>
                <c:ptCount val="18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Gampaha (Rf)</c:v>
                </c:pt>
                <c:pt idx="12">
                  <c:v>Kalutara (Rf)</c:v>
                </c:pt>
                <c:pt idx="13">
                  <c:v>Kandy (Rf)</c:v>
                </c:pt>
                <c:pt idx="14">
                  <c:v>Kurunegala (Rf)</c:v>
                </c:pt>
                <c:pt idx="16">
                  <c:v>Whole island (irr)</c:v>
                </c:pt>
                <c:pt idx="17">
                  <c:v>Whole island (Rf)</c:v>
                </c:pt>
              </c:strCache>
            </c:strRef>
          </c:cat>
          <c:val>
            <c:numRef>
              <c:f>[1]graph!$E$205:$E$222</c:f>
              <c:numCache>
                <c:formatCode>General</c:formatCode>
                <c:ptCount val="18"/>
                <c:pt idx="0">
                  <c:v>81331</c:v>
                </c:pt>
                <c:pt idx="1">
                  <c:v>39611</c:v>
                </c:pt>
                <c:pt idx="2">
                  <c:v>60700</c:v>
                </c:pt>
                <c:pt idx="3">
                  <c:v>79957</c:v>
                </c:pt>
                <c:pt idx="4">
                  <c:v>63934</c:v>
                </c:pt>
                <c:pt idx="5">
                  <c:v>58445</c:v>
                </c:pt>
                <c:pt idx="6">
                  <c:v>48279</c:v>
                </c:pt>
                <c:pt idx="7">
                  <c:v>33065</c:v>
                </c:pt>
                <c:pt idx="8">
                  <c:v>56990</c:v>
                </c:pt>
                <c:pt idx="9">
                  <c:v>46255</c:v>
                </c:pt>
                <c:pt idx="11">
                  <c:v>9918</c:v>
                </c:pt>
                <c:pt idx="12">
                  <c:v>14016</c:v>
                </c:pt>
                <c:pt idx="13">
                  <c:v>-3987</c:v>
                </c:pt>
                <c:pt idx="14">
                  <c:v>25567</c:v>
                </c:pt>
                <c:pt idx="16">
                  <c:v>76658</c:v>
                </c:pt>
                <c:pt idx="17">
                  <c:v>21406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A1C-4392-848A-C66A712DF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305777664"/>
        <c:axId val="305779456"/>
      </c:barChart>
      <c:catAx>
        <c:axId val="305777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305779456"/>
        <c:crosses val="autoZero"/>
        <c:auto val="1"/>
        <c:lblAlgn val="ctr"/>
        <c:lblOffset val="100"/>
        <c:noMultiLvlLbl val="0"/>
      </c:catAx>
      <c:valAx>
        <c:axId val="305779456"/>
        <c:scaling>
          <c:orientation val="minMax"/>
          <c:max val="250000"/>
        </c:scaling>
        <c:delete val="0"/>
        <c:axPos val="l"/>
        <c:title>
          <c:tx>
            <c:rich>
              <a:bodyPr/>
              <a:lstStyle/>
              <a:p>
                <a:pPr>
                  <a:defRPr sz="900" b="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900" b="0">
                    <a:latin typeface="Times New Roman" pitchFamily="18" charset="0"/>
                    <a:cs typeface="Times New Roman" pitchFamily="18" charset="0"/>
                  </a:rPr>
                  <a:t>(Rs'000/ac)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305777664"/>
        <c:crosses val="autoZero"/>
        <c:crossBetween val="between"/>
        <c:dispUnits>
          <c:builtInUnit val="thousands"/>
        </c:dispUnits>
      </c:valAx>
    </c:plotArea>
    <c:legend>
      <c:legendPos val="r"/>
      <c:layout>
        <c:manualLayout>
          <c:xMode val="edge"/>
          <c:yMode val="edge"/>
          <c:x val="0.64743589743589747"/>
          <c:y val="0.84979326134797439"/>
          <c:w val="0.20085470085470086"/>
          <c:h val="0.1501586477392915"/>
        </c:manualLayout>
      </c:layout>
      <c:overlay val="0"/>
      <c:txPr>
        <a:bodyPr/>
        <a:lstStyle/>
        <a:p>
          <a:pPr>
            <a:defRPr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Sheet1!$M$110</c:f>
              <c:strCache>
                <c:ptCount val="1"/>
                <c:pt idx="0">
                  <c:v> Labour  </c:v>
                </c:pt>
              </c:strCache>
            </c:strRef>
          </c:tx>
          <c:invertIfNegative val="0"/>
          <c:cat>
            <c:strRef>
              <c:f>Sheet1!$L$111:$L$128</c:f>
              <c:strCache>
                <c:ptCount val="18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Gampaha (Rf)</c:v>
                </c:pt>
                <c:pt idx="12">
                  <c:v>Kalutara (Rf)</c:v>
                </c:pt>
                <c:pt idx="13">
                  <c:v>Kandy (Rf)</c:v>
                </c:pt>
                <c:pt idx="14">
                  <c:v>Kurunegala (Rf)</c:v>
                </c:pt>
                <c:pt idx="16">
                  <c:v>Whole island (irr)</c:v>
                </c:pt>
                <c:pt idx="17">
                  <c:v>Whole island (Rf)</c:v>
                </c:pt>
              </c:strCache>
            </c:strRef>
          </c:cat>
          <c:val>
            <c:numRef>
              <c:f>Sheet1!$M$111:$M$128</c:f>
              <c:numCache>
                <c:formatCode>0</c:formatCode>
                <c:ptCount val="18"/>
                <c:pt idx="0">
                  <c:v>24432</c:v>
                </c:pt>
                <c:pt idx="1">
                  <c:v>36665</c:v>
                </c:pt>
                <c:pt idx="2">
                  <c:v>36948</c:v>
                </c:pt>
                <c:pt idx="3">
                  <c:v>41295</c:v>
                </c:pt>
                <c:pt idx="4">
                  <c:v>40275</c:v>
                </c:pt>
                <c:pt idx="5">
                  <c:v>32665</c:v>
                </c:pt>
                <c:pt idx="6">
                  <c:v>41977</c:v>
                </c:pt>
                <c:pt idx="7">
                  <c:v>36114</c:v>
                </c:pt>
                <c:pt idx="8">
                  <c:v>34227</c:v>
                </c:pt>
                <c:pt idx="9">
                  <c:v>32301</c:v>
                </c:pt>
                <c:pt idx="11">
                  <c:v>33842</c:v>
                </c:pt>
                <c:pt idx="12">
                  <c:v>37709</c:v>
                </c:pt>
                <c:pt idx="13">
                  <c:v>62174</c:v>
                </c:pt>
                <c:pt idx="14">
                  <c:v>37770</c:v>
                </c:pt>
                <c:pt idx="16">
                  <c:v>32834</c:v>
                </c:pt>
                <c:pt idx="17" formatCode="#,##0">
                  <c:v>32517</c:v>
                </c:pt>
              </c:numCache>
            </c:numRef>
          </c:val>
        </c:ser>
        <c:ser>
          <c:idx val="1"/>
          <c:order val="1"/>
          <c:tx>
            <c:strRef>
              <c:f>Sheet1!$N$110</c:f>
              <c:strCache>
                <c:ptCount val="1"/>
                <c:pt idx="0">
                  <c:v>Power      </c:v>
                </c:pt>
              </c:strCache>
            </c:strRef>
          </c:tx>
          <c:invertIfNegative val="0"/>
          <c:cat>
            <c:strRef>
              <c:f>Sheet1!$L$111:$L$128</c:f>
              <c:strCache>
                <c:ptCount val="18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Gampaha (Rf)</c:v>
                </c:pt>
                <c:pt idx="12">
                  <c:v>Kalutara (Rf)</c:v>
                </c:pt>
                <c:pt idx="13">
                  <c:v>Kandy (Rf)</c:v>
                </c:pt>
                <c:pt idx="14">
                  <c:v>Kurunegala (Rf)</c:v>
                </c:pt>
                <c:pt idx="16">
                  <c:v>Whole island (irr)</c:v>
                </c:pt>
                <c:pt idx="17">
                  <c:v>Whole island (Rf)</c:v>
                </c:pt>
              </c:strCache>
            </c:strRef>
          </c:cat>
          <c:val>
            <c:numRef>
              <c:f>Sheet1!$N$111:$N$128</c:f>
              <c:numCache>
                <c:formatCode>0</c:formatCode>
                <c:ptCount val="18"/>
                <c:pt idx="0">
                  <c:v>40175</c:v>
                </c:pt>
                <c:pt idx="1">
                  <c:v>38397</c:v>
                </c:pt>
                <c:pt idx="2">
                  <c:v>38620</c:v>
                </c:pt>
                <c:pt idx="3">
                  <c:v>51402</c:v>
                </c:pt>
                <c:pt idx="4">
                  <c:v>40749</c:v>
                </c:pt>
                <c:pt idx="5">
                  <c:v>42972</c:v>
                </c:pt>
                <c:pt idx="6">
                  <c:v>38174</c:v>
                </c:pt>
                <c:pt idx="7">
                  <c:v>39451</c:v>
                </c:pt>
                <c:pt idx="8">
                  <c:v>45278</c:v>
                </c:pt>
                <c:pt idx="9">
                  <c:v>41636</c:v>
                </c:pt>
                <c:pt idx="11">
                  <c:v>38602</c:v>
                </c:pt>
                <c:pt idx="12">
                  <c:v>42425</c:v>
                </c:pt>
                <c:pt idx="13">
                  <c:v>27257</c:v>
                </c:pt>
                <c:pt idx="14">
                  <c:v>43930</c:v>
                </c:pt>
                <c:pt idx="16" formatCode="#,##0">
                  <c:v>40184</c:v>
                </c:pt>
                <c:pt idx="17" formatCode="#,##0">
                  <c:v>36588</c:v>
                </c:pt>
              </c:numCache>
            </c:numRef>
          </c:val>
        </c:ser>
        <c:ser>
          <c:idx val="2"/>
          <c:order val="2"/>
          <c:tx>
            <c:strRef>
              <c:f>Sheet1!$O$110</c:f>
              <c:strCache>
                <c:ptCount val="1"/>
                <c:pt idx="0">
                  <c:v>   Material           </c:v>
                </c:pt>
              </c:strCache>
            </c:strRef>
          </c:tx>
          <c:invertIfNegative val="0"/>
          <c:cat>
            <c:strRef>
              <c:f>Sheet1!$L$111:$L$128</c:f>
              <c:strCache>
                <c:ptCount val="18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Gampaha (Rf)</c:v>
                </c:pt>
                <c:pt idx="12">
                  <c:v>Kalutara (Rf)</c:v>
                </c:pt>
                <c:pt idx="13">
                  <c:v>Kandy (Rf)</c:v>
                </c:pt>
                <c:pt idx="14">
                  <c:v>Kurunegala (Rf)</c:v>
                </c:pt>
                <c:pt idx="16">
                  <c:v>Whole island (irr)</c:v>
                </c:pt>
                <c:pt idx="17">
                  <c:v>Whole island (Rf)</c:v>
                </c:pt>
              </c:strCache>
            </c:strRef>
          </c:cat>
          <c:val>
            <c:numRef>
              <c:f>Sheet1!$O$111:$O$128</c:f>
              <c:numCache>
                <c:formatCode>0</c:formatCode>
                <c:ptCount val="18"/>
                <c:pt idx="0">
                  <c:v>77264</c:v>
                </c:pt>
                <c:pt idx="1">
                  <c:v>43127</c:v>
                </c:pt>
                <c:pt idx="2">
                  <c:v>46936</c:v>
                </c:pt>
                <c:pt idx="3">
                  <c:v>56706</c:v>
                </c:pt>
                <c:pt idx="4">
                  <c:v>60792</c:v>
                </c:pt>
                <c:pt idx="5">
                  <c:v>49088</c:v>
                </c:pt>
                <c:pt idx="6">
                  <c:v>27040</c:v>
                </c:pt>
                <c:pt idx="7">
                  <c:v>31449</c:v>
                </c:pt>
                <c:pt idx="8">
                  <c:v>65855</c:v>
                </c:pt>
                <c:pt idx="9">
                  <c:v>41608</c:v>
                </c:pt>
                <c:pt idx="11">
                  <c:v>20338</c:v>
                </c:pt>
                <c:pt idx="12">
                  <c:v>21100</c:v>
                </c:pt>
                <c:pt idx="13">
                  <c:v>18464</c:v>
                </c:pt>
                <c:pt idx="14">
                  <c:v>18868</c:v>
                </c:pt>
                <c:pt idx="16">
                  <c:v>49554</c:v>
                </c:pt>
                <c:pt idx="17" formatCode="#,##0">
                  <c:v>17181</c:v>
                </c:pt>
              </c:numCache>
            </c:numRef>
          </c:val>
        </c:ser>
        <c:ser>
          <c:idx val="3"/>
          <c:order val="3"/>
          <c:tx>
            <c:strRef>
              <c:f>Sheet1!$P$110</c:f>
              <c:strCache>
                <c:ptCount val="1"/>
                <c:pt idx="0">
                  <c:v>Other cost</c:v>
                </c:pt>
              </c:strCache>
            </c:strRef>
          </c:tx>
          <c:invertIfNegative val="0"/>
          <c:cat>
            <c:strRef>
              <c:f>Sheet1!$L$111:$L$128</c:f>
              <c:strCache>
                <c:ptCount val="18"/>
                <c:pt idx="0">
                  <c:v>Ampara-East  (Irr)</c:v>
                </c:pt>
                <c:pt idx="1">
                  <c:v>Ampara-West  (Irr)</c:v>
                </c:pt>
                <c:pt idx="2">
                  <c:v>Anuradhapura  (Irr)</c:v>
                </c:pt>
                <c:pt idx="3">
                  <c:v>Hambantota (Irr)</c:v>
                </c:pt>
                <c:pt idx="4">
                  <c:v>Kurunegala (Irr)</c:v>
                </c:pt>
                <c:pt idx="5">
                  <c:v>Polonnaruwa (Irr)</c:v>
                </c:pt>
                <c:pt idx="6">
                  <c:v>Mahaweli  B (Irr)</c:v>
                </c:pt>
                <c:pt idx="7">
                  <c:v>Mahaweli  C (Irr)</c:v>
                </c:pt>
                <c:pt idx="8">
                  <c:v>Mahaweli  H (Irr)</c:v>
                </c:pt>
                <c:pt idx="9">
                  <c:v>Trincomalee (Irr)</c:v>
                </c:pt>
                <c:pt idx="11">
                  <c:v>Gampaha (Rf)</c:v>
                </c:pt>
                <c:pt idx="12">
                  <c:v>Kalutara (Rf)</c:v>
                </c:pt>
                <c:pt idx="13">
                  <c:v>Kandy (Rf)</c:v>
                </c:pt>
                <c:pt idx="14">
                  <c:v>Kurunegala (Rf)</c:v>
                </c:pt>
                <c:pt idx="16">
                  <c:v>Whole island (irr)</c:v>
                </c:pt>
                <c:pt idx="17">
                  <c:v>Whole island (Rf)</c:v>
                </c:pt>
              </c:strCache>
            </c:strRef>
          </c:cat>
          <c:val>
            <c:numRef>
              <c:f>Sheet1!$P$111:$P$128</c:f>
              <c:numCache>
                <c:formatCode>0</c:formatCode>
                <c:ptCount val="18"/>
                <c:pt idx="0">
                  <c:v>2800</c:v>
                </c:pt>
                <c:pt idx="1">
                  <c:v>1820</c:v>
                </c:pt>
                <c:pt idx="2">
                  <c:v>3000</c:v>
                </c:pt>
                <c:pt idx="3">
                  <c:v>4640</c:v>
                </c:pt>
                <c:pt idx="4">
                  <c:v>4000</c:v>
                </c:pt>
                <c:pt idx="5">
                  <c:v>4000</c:v>
                </c:pt>
                <c:pt idx="6">
                  <c:v>3150</c:v>
                </c:pt>
                <c:pt idx="7">
                  <c:v>3000</c:v>
                </c:pt>
                <c:pt idx="8">
                  <c:v>3500</c:v>
                </c:pt>
                <c:pt idx="9">
                  <c:v>3000</c:v>
                </c:pt>
                <c:pt idx="11">
                  <c:v>4000</c:v>
                </c:pt>
                <c:pt idx="12">
                  <c:v>2000</c:v>
                </c:pt>
                <c:pt idx="13">
                  <c:v>3500</c:v>
                </c:pt>
                <c:pt idx="14">
                  <c:v>3765</c:v>
                </c:pt>
                <c:pt idx="16">
                  <c:v>2250</c:v>
                </c:pt>
                <c:pt idx="17">
                  <c:v>1800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8247936"/>
        <c:axId val="308257920"/>
      </c:barChart>
      <c:catAx>
        <c:axId val="30824793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308257920"/>
        <c:crosses val="autoZero"/>
        <c:auto val="1"/>
        <c:lblAlgn val="ctr"/>
        <c:lblOffset val="100"/>
        <c:noMultiLvlLbl val="0"/>
      </c:catAx>
      <c:valAx>
        <c:axId val="3082579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08247936"/>
        <c:crosses val="autoZero"/>
        <c:crossBetween val="between"/>
        <c:majorUnit val="0.2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628651</xdr:colOff>
      <xdr:row>1</xdr:row>
      <xdr:rowOff>171451</xdr:rowOff>
    </xdr:from>
    <xdr:to>
      <xdr:col>8</xdr:col>
      <xdr:colOff>276226</xdr:colOff>
      <xdr:row>18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10</xdr:col>
      <xdr:colOff>145806</xdr:colOff>
      <xdr:row>39</xdr:row>
      <xdr:rowOff>135304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9</xdr:col>
      <xdr:colOff>552450</xdr:colOff>
      <xdr:row>57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66</xdr:row>
      <xdr:rowOff>0</xdr:rowOff>
    </xdr:from>
    <xdr:to>
      <xdr:col>9</xdr:col>
      <xdr:colOff>544020</xdr:colOff>
      <xdr:row>82</xdr:row>
      <xdr:rowOff>128862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87</xdr:row>
      <xdr:rowOff>0</xdr:rowOff>
    </xdr:from>
    <xdr:to>
      <xdr:col>10</xdr:col>
      <xdr:colOff>457200</xdr:colOff>
      <xdr:row>102</xdr:row>
      <xdr:rowOff>12065</xdr:rowOff>
    </xdr:to>
    <xdr:graphicFrame macro="">
      <xdr:nvGraphicFramePr>
        <xdr:cNvPr id="8" name="Chart 7">
          <a:extLst>
            <a:ext uri="{FF2B5EF4-FFF2-40B4-BE49-F238E27FC236}">
              <a16:creationId xmlns:lc="http://schemas.openxmlformats.org/drawingml/2006/lockedCanvas" xmlns="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aink="http://schemas.microsoft.com/office/drawing/2016/ink" xmlns:am3d="http://schemas.microsoft.com/office/drawing/2017/model3d" xmlns:o="urn:schemas-microsoft-com:office:office" xmlns:oel="http://schemas.microsoft.com/office/2019/extlst" xmlns:v="urn:schemas-microsoft-com:vml" xmlns:w10="urn:schemas-microsoft-com:office:word" xmlns:w="http://schemas.openxmlformats.org/wordprocessingml/2006/main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a16="http://schemas.microsoft.com/office/drawing/2014/main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wpc="http://schemas.microsoft.com/office/word/2010/wordprocessingCanvas" id="{CF9A73FE-82F5-4B61-A513-C77B9C196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</xdr:colOff>
      <xdr:row>110</xdr:row>
      <xdr:rowOff>114300</xdr:rowOff>
    </xdr:from>
    <xdr:to>
      <xdr:col>8</xdr:col>
      <xdr:colOff>85726</xdr:colOff>
      <xdr:row>125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2/2022%20yala/2022%20yala/To%20publication/2022%20%20Garphs%20-(Paddy)%20Final%20sheet%201_Eds_Nirusha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2/2022%20yala/2022%20yala/To%20publication/Yield%20reduction%20compare%20graph%202022%20y%20%20pad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2"/>
      <sheetName val="Extra tables"/>
      <sheetName val="Stat table"/>
      <sheetName val="Summery"/>
      <sheetName val="Amp East"/>
      <sheetName val="Amp west"/>
      <sheetName val="Anuradhapura"/>
      <sheetName val="Hambantota"/>
      <sheetName val="Polonnaruwa"/>
      <sheetName val="Kuru (Irr)"/>
      <sheetName val="SYS B"/>
      <sheetName val="SYS C"/>
      <sheetName val="SYS H"/>
      <sheetName val="TRinco"/>
      <sheetName val="GAmpaha"/>
      <sheetName val="Kandy"/>
      <sheetName val="KAlutara"/>
      <sheetName val="Kuru (Rf)"/>
      <sheetName val="WI (IRR)"/>
      <sheetName val="Whole island (Rf)"/>
      <sheetName val="graph"/>
    </sheetNames>
    <sheetDataSet>
      <sheetData sheetId="0"/>
      <sheetData sheetId="1">
        <row r="78">
          <cell r="D78" t="str">
            <v>Family</v>
          </cell>
          <cell r="E78" t="str">
            <v>Hired</v>
          </cell>
          <cell r="F78" t="str">
            <v>Total</v>
          </cell>
        </row>
        <row r="79">
          <cell r="B79" t="str">
            <v xml:space="preserve">Ampara-East </v>
          </cell>
          <cell r="D79">
            <v>2</v>
          </cell>
          <cell r="E79">
            <v>6</v>
          </cell>
          <cell r="F79">
            <v>8</v>
          </cell>
        </row>
        <row r="80">
          <cell r="B80" t="str">
            <v xml:space="preserve">Ampara-West </v>
          </cell>
          <cell r="D80">
            <v>14</v>
          </cell>
          <cell r="E80">
            <v>4</v>
          </cell>
          <cell r="F80">
            <v>18</v>
          </cell>
        </row>
        <row r="81">
          <cell r="B81" t="str">
            <v xml:space="preserve">Anuradhapura </v>
          </cell>
          <cell r="D81">
            <v>13</v>
          </cell>
          <cell r="E81">
            <v>7</v>
          </cell>
          <cell r="F81">
            <v>20</v>
          </cell>
        </row>
        <row r="82">
          <cell r="B82" t="str">
            <v>Hambantota</v>
          </cell>
          <cell r="D82">
            <v>9</v>
          </cell>
          <cell r="E82">
            <v>8</v>
          </cell>
          <cell r="F82">
            <v>17</v>
          </cell>
        </row>
        <row r="83">
          <cell r="B83" t="str">
            <v>Kurunegala</v>
          </cell>
          <cell r="D83">
            <v>14</v>
          </cell>
          <cell r="E83">
            <v>8</v>
          </cell>
          <cell r="F83">
            <v>22</v>
          </cell>
        </row>
        <row r="84">
          <cell r="B84" t="str">
            <v>Polonnaruwa</v>
          </cell>
          <cell r="D84">
            <v>8</v>
          </cell>
          <cell r="E84">
            <v>8</v>
          </cell>
          <cell r="F84">
            <v>16</v>
          </cell>
        </row>
        <row r="85">
          <cell r="B85" t="str">
            <v>Mahaweli B</v>
          </cell>
          <cell r="D85">
            <v>12</v>
          </cell>
          <cell r="E85">
            <v>7</v>
          </cell>
          <cell r="F85">
            <v>19</v>
          </cell>
        </row>
        <row r="86">
          <cell r="B86" t="str">
            <v>Mahaweli C</v>
          </cell>
          <cell r="D86">
            <v>11</v>
          </cell>
          <cell r="E86">
            <v>6</v>
          </cell>
          <cell r="F86">
            <v>17</v>
          </cell>
        </row>
        <row r="87">
          <cell r="B87" t="str">
            <v>Mahaweli H</v>
          </cell>
          <cell r="D87">
            <v>11</v>
          </cell>
          <cell r="E87">
            <v>7</v>
          </cell>
          <cell r="F87">
            <v>18</v>
          </cell>
        </row>
        <row r="88">
          <cell r="B88" t="str">
            <v>Trincomalee</v>
          </cell>
          <cell r="D88">
            <v>7</v>
          </cell>
          <cell r="E88">
            <v>6</v>
          </cell>
          <cell r="F88">
            <v>13</v>
          </cell>
        </row>
        <row r="89">
          <cell r="B89" t="str">
            <v xml:space="preserve">Gampaha </v>
          </cell>
          <cell r="D89">
            <v>8</v>
          </cell>
          <cell r="E89">
            <v>8</v>
          </cell>
          <cell r="F89">
            <v>16</v>
          </cell>
        </row>
        <row r="90">
          <cell r="B90" t="str">
            <v xml:space="preserve">Kalutara </v>
          </cell>
          <cell r="D90">
            <v>12</v>
          </cell>
          <cell r="E90">
            <v>4</v>
          </cell>
          <cell r="F90">
            <v>16</v>
          </cell>
        </row>
        <row r="91">
          <cell r="B91" t="str">
            <v xml:space="preserve">Kandy </v>
          </cell>
          <cell r="D91">
            <v>22</v>
          </cell>
          <cell r="E91">
            <v>10</v>
          </cell>
          <cell r="F91">
            <v>32</v>
          </cell>
        </row>
        <row r="92">
          <cell r="B92" t="str">
            <v>Kurunegala</v>
          </cell>
          <cell r="D92">
            <v>13</v>
          </cell>
          <cell r="E92">
            <v>6</v>
          </cell>
          <cell r="F92">
            <v>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4">
          <cell r="K14" t="str">
            <v xml:space="preserve">Cash cost </v>
          </cell>
          <cell r="L14" t="str">
            <v xml:space="preserve"> Own cost </v>
          </cell>
        </row>
        <row r="15">
          <cell r="J15" t="str">
            <v>Ampara-East  (Irr)</v>
          </cell>
          <cell r="K15">
            <v>131311</v>
          </cell>
          <cell r="L15">
            <v>7627</v>
          </cell>
        </row>
        <row r="16">
          <cell r="J16" t="str">
            <v>Ampara-West  (Irr)</v>
          </cell>
          <cell r="K16">
            <v>83495</v>
          </cell>
          <cell r="L16">
            <v>36514</v>
          </cell>
        </row>
        <row r="17">
          <cell r="J17" t="str">
            <v>Anuradhapura  (Irr)</v>
          </cell>
          <cell r="K17">
            <v>92893</v>
          </cell>
          <cell r="L17">
            <v>32611</v>
          </cell>
        </row>
        <row r="18">
          <cell r="J18" t="str">
            <v>Hambantota (Irr)</v>
          </cell>
          <cell r="K18">
            <v>121703</v>
          </cell>
          <cell r="L18">
            <v>32340</v>
          </cell>
        </row>
        <row r="19">
          <cell r="J19" t="str">
            <v>Kurunegala (Irr)</v>
          </cell>
          <cell r="K19">
            <v>111923</v>
          </cell>
          <cell r="L19">
            <v>33893</v>
          </cell>
        </row>
        <row r="20">
          <cell r="J20" t="str">
            <v>Polonnaruwa (Irr)</v>
          </cell>
          <cell r="K20">
            <v>92516</v>
          </cell>
          <cell r="L20">
            <v>36209</v>
          </cell>
        </row>
        <row r="21">
          <cell r="J21" t="str">
            <v>Mahaweli  B (Irr)</v>
          </cell>
          <cell r="K21">
            <v>77060</v>
          </cell>
          <cell r="L21">
            <v>33281</v>
          </cell>
        </row>
        <row r="22">
          <cell r="J22" t="str">
            <v>Mahaweli  C (Irr)</v>
          </cell>
          <cell r="K22">
            <v>81371</v>
          </cell>
          <cell r="L22">
            <v>28643</v>
          </cell>
        </row>
        <row r="23">
          <cell r="J23" t="str">
            <v>Mahaweli  H (Irr)</v>
          </cell>
          <cell r="K23">
            <v>117857</v>
          </cell>
          <cell r="L23">
            <v>31003</v>
          </cell>
        </row>
        <row r="24">
          <cell r="J24" t="str">
            <v>Trincomalee (Irr)</v>
          </cell>
          <cell r="K24">
            <v>91763</v>
          </cell>
          <cell r="L24">
            <v>26782</v>
          </cell>
        </row>
        <row r="26">
          <cell r="J26" t="str">
            <v>Gampaha (Rf)</v>
          </cell>
          <cell r="K26">
            <v>75795</v>
          </cell>
          <cell r="L26">
            <v>20987</v>
          </cell>
        </row>
        <row r="27">
          <cell r="J27" t="str">
            <v>Kalutara (Rf)</v>
          </cell>
          <cell r="K27">
            <v>61096</v>
          </cell>
          <cell r="L27">
            <v>42138</v>
          </cell>
        </row>
        <row r="28">
          <cell r="J28" t="str">
            <v>Kandy (Rf)</v>
          </cell>
          <cell r="K28">
            <v>62535</v>
          </cell>
          <cell r="L28">
            <v>48860</v>
          </cell>
        </row>
        <row r="29">
          <cell r="J29" t="str">
            <v>Kurunegala (Rf)</v>
          </cell>
          <cell r="K29">
            <v>68993</v>
          </cell>
          <cell r="L29">
            <v>39340</v>
          </cell>
        </row>
        <row r="31">
          <cell r="J31" t="str">
            <v>Whole island</v>
          </cell>
          <cell r="K31">
            <v>95407</v>
          </cell>
          <cell r="L31">
            <v>29415</v>
          </cell>
        </row>
        <row r="32">
          <cell r="J32" t="str">
            <v>Whole island</v>
          </cell>
          <cell r="K32">
            <v>57202</v>
          </cell>
          <cell r="L32">
            <v>30884</v>
          </cell>
        </row>
        <row r="124">
          <cell r="N124" t="str">
            <v xml:space="preserve">  Farm-gate  price(Rs./kg)          </v>
          </cell>
          <cell r="O124" t="str">
            <v>Unit cost (inc)</v>
          </cell>
        </row>
        <row r="125">
          <cell r="M125" t="str">
            <v>Ampara-East  (Irr)</v>
          </cell>
          <cell r="N125">
            <v>119</v>
          </cell>
          <cell r="O125">
            <v>75.061048082117779</v>
          </cell>
        </row>
        <row r="126">
          <cell r="M126" t="str">
            <v>Ampara-West  (Irr)</v>
          </cell>
          <cell r="N126">
            <v>115</v>
          </cell>
          <cell r="O126">
            <v>86.461815561959654</v>
          </cell>
        </row>
        <row r="127">
          <cell r="M127" t="str">
            <v>Anuradhapura  (Irr)</v>
          </cell>
          <cell r="N127">
            <v>118</v>
          </cell>
          <cell r="O127">
            <v>67.950189496480775</v>
          </cell>
        </row>
        <row r="128">
          <cell r="M128" t="str">
            <v>Hambantota (Irr)</v>
          </cell>
          <cell r="N128">
            <v>117</v>
          </cell>
          <cell r="O128">
            <v>77.021500000000003</v>
          </cell>
        </row>
        <row r="129">
          <cell r="M129" t="str">
            <v>Kurunegala (Irr)</v>
          </cell>
          <cell r="N129">
            <v>125</v>
          </cell>
          <cell r="O129">
            <v>86.898688915375445</v>
          </cell>
        </row>
        <row r="130">
          <cell r="M130" t="str">
            <v>Polonnaruwa (Irr)</v>
          </cell>
          <cell r="N130">
            <v>102</v>
          </cell>
          <cell r="O130">
            <v>70.149863760217983</v>
          </cell>
        </row>
        <row r="131">
          <cell r="M131" t="str">
            <v>Mahaweli  B (Irr)</v>
          </cell>
          <cell r="N131">
            <v>103</v>
          </cell>
          <cell r="O131">
            <v>71.650000000000006</v>
          </cell>
        </row>
        <row r="132">
          <cell r="M132" t="str">
            <v>Mahaweli  C (Irr)</v>
          </cell>
          <cell r="N132">
            <v>111</v>
          </cell>
          <cell r="O132">
            <v>85.348332040341347</v>
          </cell>
        </row>
        <row r="133">
          <cell r="M133" t="str">
            <v>Mahaweli  H (Irr)</v>
          </cell>
          <cell r="N133">
            <v>115</v>
          </cell>
          <cell r="O133">
            <v>83.162011173184354</v>
          </cell>
        </row>
        <row r="134">
          <cell r="M134" t="str">
            <v>Trincomalee (Irr)</v>
          </cell>
          <cell r="N134">
            <v>103</v>
          </cell>
          <cell r="O134">
            <v>74.090625000000003</v>
          </cell>
        </row>
        <row r="135">
          <cell r="M135" t="str">
            <v>Gampaha (Rf)</v>
          </cell>
          <cell r="N135">
            <v>100</v>
          </cell>
          <cell r="O135">
            <v>90.704779756326147</v>
          </cell>
        </row>
        <row r="136">
          <cell r="M136" t="str">
            <v>Kalutara (Rf)</v>
          </cell>
          <cell r="N136">
            <v>125</v>
          </cell>
          <cell r="O136">
            <v>110.05756929637526</v>
          </cell>
        </row>
        <row r="137">
          <cell r="M137" t="str">
            <v>Kandy (Rf)</v>
          </cell>
          <cell r="N137">
            <v>112</v>
          </cell>
          <cell r="O137">
            <v>116.15745568300312</v>
          </cell>
        </row>
        <row r="138">
          <cell r="M138" t="str">
            <v>Kurunegala (Rf)</v>
          </cell>
          <cell r="N138">
            <v>103</v>
          </cell>
          <cell r="O138">
            <v>83.333076923076916</v>
          </cell>
        </row>
        <row r="204">
          <cell r="D204" t="str">
            <v xml:space="preserve"> Gross return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E204" t="str">
            <v>Net return</v>
          </cell>
        </row>
        <row r="205">
          <cell r="C205" t="str">
            <v>Ampara-East  (Irr)</v>
          </cell>
          <cell r="D205">
            <v>220269</v>
          </cell>
          <cell r="E205">
            <v>81331</v>
          </cell>
        </row>
        <row r="206">
          <cell r="C206" t="str">
            <v>Ampara-West  (Irr)</v>
          </cell>
          <cell r="D206">
            <v>159620</v>
          </cell>
          <cell r="E206">
            <v>39611</v>
          </cell>
        </row>
        <row r="207">
          <cell r="C207" t="str">
            <v>Anuradhapura  (Irr)</v>
          </cell>
          <cell r="D207">
            <v>186204</v>
          </cell>
          <cell r="E207">
            <v>60700</v>
          </cell>
        </row>
        <row r="208">
          <cell r="C208" t="str">
            <v>Hambantota (Irr)</v>
          </cell>
          <cell r="D208">
            <v>234000</v>
          </cell>
          <cell r="E208">
            <v>79957</v>
          </cell>
        </row>
        <row r="209">
          <cell r="C209" t="str">
            <v>Kurunegala (Irr)</v>
          </cell>
          <cell r="D209">
            <v>209750</v>
          </cell>
          <cell r="E209">
            <v>63934</v>
          </cell>
        </row>
        <row r="210">
          <cell r="C210" t="str">
            <v>Polonnaruwa (Irr)</v>
          </cell>
          <cell r="D210">
            <v>187170</v>
          </cell>
          <cell r="E210">
            <v>58445</v>
          </cell>
        </row>
        <row r="211">
          <cell r="C211" t="str">
            <v>Mahaweli  B (Irr)</v>
          </cell>
          <cell r="D211">
            <v>158620</v>
          </cell>
          <cell r="E211">
            <v>48279</v>
          </cell>
        </row>
        <row r="212">
          <cell r="C212" t="str">
            <v>Mahaweli  C (Irr)</v>
          </cell>
          <cell r="D212">
            <v>143079</v>
          </cell>
          <cell r="E212">
            <v>33065</v>
          </cell>
        </row>
        <row r="213">
          <cell r="C213" t="str">
            <v>Mahaweli  H (Irr)</v>
          </cell>
          <cell r="D213">
            <v>205850</v>
          </cell>
          <cell r="E213">
            <v>56990</v>
          </cell>
        </row>
        <row r="214">
          <cell r="C214" t="str">
            <v>Trincomalee (Irr)</v>
          </cell>
          <cell r="D214">
            <v>164800</v>
          </cell>
          <cell r="E214">
            <v>46255</v>
          </cell>
        </row>
        <row r="216">
          <cell r="C216" t="str">
            <v>Gampaha (Rf)</v>
          </cell>
          <cell r="D216">
            <v>106700</v>
          </cell>
          <cell r="E216">
            <v>9918</v>
          </cell>
        </row>
        <row r="217">
          <cell r="C217" t="str">
            <v>Kalutara (Rf)</v>
          </cell>
          <cell r="D217">
            <v>117250</v>
          </cell>
          <cell r="E217">
            <v>14016</v>
          </cell>
        </row>
        <row r="218">
          <cell r="C218" t="str">
            <v>Kandy (Rf)</v>
          </cell>
          <cell r="D218">
            <v>107408</v>
          </cell>
          <cell r="E218">
            <v>-3987</v>
          </cell>
        </row>
        <row r="219">
          <cell r="C219" t="str">
            <v>Kurunegala (Rf)</v>
          </cell>
          <cell r="D219">
            <v>133900</v>
          </cell>
          <cell r="E219">
            <v>25567</v>
          </cell>
        </row>
        <row r="220">
          <cell r="C220"/>
        </row>
        <row r="221">
          <cell r="C221" t="str">
            <v>Whole island (irr)</v>
          </cell>
          <cell r="D221">
            <v>201480</v>
          </cell>
          <cell r="E221">
            <v>76658</v>
          </cell>
        </row>
        <row r="222">
          <cell r="C222" t="str">
            <v>Whole island (Rf)</v>
          </cell>
          <cell r="D222">
            <v>109492</v>
          </cell>
          <cell r="E222">
            <v>21406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>
        <row r="4">
          <cell r="G4" t="str">
            <v>2022yala</v>
          </cell>
          <cell r="H4" t="str">
            <v>Yeild reduction</v>
          </cell>
        </row>
        <row r="5">
          <cell r="B5" t="str">
            <v>Ampara-East</v>
          </cell>
          <cell r="G5">
            <v>1851</v>
          </cell>
          <cell r="H5">
            <v>455.33333333333348</v>
          </cell>
        </row>
        <row r="6">
          <cell r="B6" t="str">
            <v>Ampara -West</v>
          </cell>
          <cell r="G6">
            <v>1388</v>
          </cell>
          <cell r="H6">
            <v>571</v>
          </cell>
        </row>
        <row r="7">
          <cell r="B7" t="str">
            <v>Anuradhapura</v>
          </cell>
          <cell r="G7">
            <v>1578</v>
          </cell>
          <cell r="H7">
            <v>481</v>
          </cell>
        </row>
        <row r="8">
          <cell r="B8" t="str">
            <v>Hambantota</v>
          </cell>
          <cell r="G8">
            <v>2000</v>
          </cell>
          <cell r="H8">
            <v>338.66666666666652</v>
          </cell>
        </row>
        <row r="9">
          <cell r="B9" t="str">
            <v>Kurunegala</v>
          </cell>
          <cell r="G9">
            <v>1678</v>
          </cell>
          <cell r="H9">
            <v>425.66666666666652</v>
          </cell>
        </row>
        <row r="10">
          <cell r="B10" t="str">
            <v>Polonnaruwa</v>
          </cell>
          <cell r="G10">
            <v>1835</v>
          </cell>
          <cell r="H10">
            <v>457.66666666666652</v>
          </cell>
        </row>
        <row r="11">
          <cell r="B11" t="str">
            <v>Mahaweli B</v>
          </cell>
          <cell r="G11">
            <v>1540</v>
          </cell>
          <cell r="H11">
            <v>569.66666666666652</v>
          </cell>
        </row>
        <row r="12">
          <cell r="B12" t="str">
            <v>Mahaweli H</v>
          </cell>
          <cell r="G12">
            <v>1790</v>
          </cell>
          <cell r="H12">
            <v>126.33333333333326</v>
          </cell>
        </row>
        <row r="13">
          <cell r="B13" t="str">
            <v>Trincomalee</v>
          </cell>
          <cell r="G13">
            <v>1600</v>
          </cell>
          <cell r="H13">
            <v>713.33333333333348</v>
          </cell>
        </row>
        <row r="14">
          <cell r="B14" t="str">
            <v>Gampaha</v>
          </cell>
          <cell r="G14">
            <v>1067</v>
          </cell>
          <cell r="H14">
            <v>198.66666666666674</v>
          </cell>
        </row>
        <row r="15">
          <cell r="B15" t="str">
            <v>Kalutara</v>
          </cell>
          <cell r="G15">
            <v>938</v>
          </cell>
          <cell r="H15">
            <v>176.66666666666674</v>
          </cell>
        </row>
        <row r="16">
          <cell r="B16" t="str">
            <v>Kandy</v>
          </cell>
          <cell r="G16">
            <v>959</v>
          </cell>
          <cell r="H16">
            <v>-13.5</v>
          </cell>
        </row>
        <row r="17">
          <cell r="B17" t="str">
            <v>Kurunegala</v>
          </cell>
          <cell r="G17">
            <v>1300</v>
          </cell>
          <cell r="H17">
            <v>-43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L302"/>
  <sheetViews>
    <sheetView topLeftCell="A55" workbookViewId="0">
      <selection activeCell="D73" sqref="D73:H73"/>
    </sheetView>
  </sheetViews>
  <sheetFormatPr defaultRowHeight="12.75" x14ac:dyDescent="0.2"/>
  <cols>
    <col min="1" max="1" width="15" style="3" customWidth="1"/>
    <col min="2" max="2" width="19.28515625" style="3" customWidth="1"/>
    <col min="3" max="3" width="15.85546875" style="3" customWidth="1"/>
    <col min="4" max="4" width="13.42578125" style="3" customWidth="1"/>
    <col min="5" max="5" width="9.85546875" style="3" customWidth="1"/>
    <col min="6" max="6" width="12.140625" style="3" customWidth="1"/>
    <col min="7" max="7" width="9.140625" style="3" customWidth="1"/>
    <col min="8" max="8" width="8.7109375" style="3" customWidth="1"/>
    <col min="9" max="9" width="15.42578125" style="3" customWidth="1"/>
    <col min="10" max="10" width="17.140625" style="3" customWidth="1"/>
    <col min="11" max="11" width="7" style="3" customWidth="1"/>
    <col min="12" max="12" width="7.7109375" style="3" customWidth="1"/>
    <col min="13" max="13" width="10.140625" style="3" customWidth="1"/>
    <col min="14" max="14" width="8.5703125" style="3" customWidth="1"/>
    <col min="15" max="15" width="6.85546875" style="3" customWidth="1"/>
    <col min="16" max="16" width="6.7109375" style="3" customWidth="1"/>
    <col min="17" max="17" width="6.5703125" style="3" customWidth="1"/>
    <col min="18" max="18" width="6.28515625" style="3" customWidth="1"/>
    <col min="19" max="19" width="6.140625" style="3" customWidth="1"/>
    <col min="20" max="20" width="4.85546875" style="3" customWidth="1"/>
    <col min="21" max="21" width="5.42578125" style="3" customWidth="1"/>
    <col min="22" max="22" width="4.28515625" style="3" customWidth="1"/>
    <col min="23" max="24" width="7.42578125" style="3" customWidth="1"/>
    <col min="25" max="25" width="5" style="3" customWidth="1"/>
    <col min="26" max="26" width="3.42578125" style="3" customWidth="1"/>
    <col min="27" max="27" width="4" style="3" customWidth="1"/>
    <col min="28" max="28" width="4.5703125" style="3" customWidth="1"/>
    <col min="29" max="29" width="3.85546875" style="3" customWidth="1"/>
    <col min="30" max="30" width="4.140625" style="3" customWidth="1"/>
    <col min="31" max="31" width="13.140625" style="3" customWidth="1"/>
    <col min="32" max="32" width="12" style="3" bestFit="1" customWidth="1"/>
    <col min="33" max="34" width="3.5703125" style="3" customWidth="1"/>
    <col min="35" max="35" width="3.28515625" style="3" customWidth="1"/>
    <col min="36" max="36" width="4.5703125" style="3" customWidth="1"/>
    <col min="37" max="37" width="4" style="3" customWidth="1"/>
    <col min="38" max="16384" width="9.140625" style="3"/>
  </cols>
  <sheetData>
    <row r="5" spans="2:19" x14ac:dyDescent="0.2">
      <c r="S5" s="539"/>
    </row>
    <row r="6" spans="2:19" x14ac:dyDescent="0.2">
      <c r="S6" s="539"/>
    </row>
    <row r="7" spans="2:19" x14ac:dyDescent="0.2">
      <c r="S7" s="539"/>
    </row>
    <row r="8" spans="2:19" x14ac:dyDescent="0.2">
      <c r="S8" s="539"/>
    </row>
    <row r="10" spans="2:19" x14ac:dyDescent="0.2">
      <c r="B10" s="191" t="s">
        <v>445</v>
      </c>
      <c r="D10" s="72"/>
      <c r="E10" s="72"/>
      <c r="F10" s="72"/>
      <c r="G10" s="72"/>
      <c r="H10" s="72"/>
      <c r="I10" s="72"/>
    </row>
    <row r="12" spans="2:19" x14ac:dyDescent="0.2">
      <c r="B12" s="402"/>
      <c r="C12" s="592" t="s">
        <v>526</v>
      </c>
      <c r="D12" s="596"/>
      <c r="E12" s="593"/>
      <c r="F12" s="404" t="s">
        <v>449</v>
      </c>
      <c r="G12" s="405"/>
      <c r="H12" s="406" t="s">
        <v>527</v>
      </c>
      <c r="I12" s="407"/>
    </row>
    <row r="13" spans="2:19" x14ac:dyDescent="0.2">
      <c r="B13" s="408" t="s">
        <v>99</v>
      </c>
      <c r="C13" s="409" t="s">
        <v>446</v>
      </c>
      <c r="D13" s="408" t="s">
        <v>525</v>
      </c>
      <c r="E13" s="408" t="s">
        <v>448</v>
      </c>
      <c r="F13" s="410" t="s">
        <v>453</v>
      </c>
      <c r="G13" s="411"/>
      <c r="H13" s="412"/>
      <c r="I13" s="413"/>
    </row>
    <row r="14" spans="2:19" x14ac:dyDescent="0.2">
      <c r="B14" s="408"/>
      <c r="C14" s="414"/>
      <c r="D14" s="408"/>
      <c r="E14" s="408" t="s">
        <v>452</v>
      </c>
      <c r="F14" s="404"/>
      <c r="G14" s="405"/>
      <c r="H14" s="410" t="s">
        <v>447</v>
      </c>
      <c r="I14" s="411" t="s">
        <v>329</v>
      </c>
    </row>
    <row r="15" spans="2:19" x14ac:dyDescent="0.2">
      <c r="B15" s="415"/>
      <c r="C15" s="415"/>
      <c r="D15" s="415"/>
      <c r="E15" s="415"/>
      <c r="F15" s="416" t="s">
        <v>525</v>
      </c>
      <c r="G15" s="417" t="s">
        <v>130</v>
      </c>
      <c r="H15" s="416" t="s">
        <v>451</v>
      </c>
      <c r="I15" s="417" t="s">
        <v>455</v>
      </c>
    </row>
    <row r="16" spans="2:19" x14ac:dyDescent="0.2">
      <c r="B16" s="418" t="s">
        <v>330</v>
      </c>
      <c r="C16" s="419" t="s">
        <v>500</v>
      </c>
      <c r="D16" s="420">
        <v>100</v>
      </c>
      <c r="E16" s="421">
        <v>14919</v>
      </c>
      <c r="F16" s="422"/>
      <c r="G16" s="421"/>
      <c r="H16" s="422">
        <v>100</v>
      </c>
      <c r="I16" s="423">
        <v>18149</v>
      </c>
    </row>
    <row r="17" spans="2:11" x14ac:dyDescent="0.2">
      <c r="B17" s="418" t="s">
        <v>268</v>
      </c>
      <c r="C17" s="424" t="s">
        <v>500</v>
      </c>
      <c r="D17" s="425" t="s">
        <v>501</v>
      </c>
      <c r="E17" s="421">
        <v>18387</v>
      </c>
      <c r="F17" s="419" t="s">
        <v>502</v>
      </c>
      <c r="G17" s="421">
        <v>19218</v>
      </c>
      <c r="H17" s="422">
        <v>90</v>
      </c>
      <c r="I17" s="423">
        <v>18496</v>
      </c>
    </row>
    <row r="18" spans="2:11" x14ac:dyDescent="0.2">
      <c r="B18" s="418" t="s">
        <v>96</v>
      </c>
      <c r="C18" s="424" t="s">
        <v>500</v>
      </c>
      <c r="D18" s="425" t="s">
        <v>503</v>
      </c>
      <c r="E18" s="421">
        <v>18610</v>
      </c>
      <c r="F18" s="424"/>
      <c r="G18" s="421"/>
      <c r="H18" s="426">
        <v>100</v>
      </c>
      <c r="I18" s="423">
        <v>18514</v>
      </c>
    </row>
    <row r="19" spans="2:11" x14ac:dyDescent="0.2">
      <c r="B19" s="418" t="s">
        <v>97</v>
      </c>
      <c r="C19" s="424" t="s">
        <v>500</v>
      </c>
      <c r="D19" s="425">
        <v>100</v>
      </c>
      <c r="E19" s="421">
        <v>27106</v>
      </c>
      <c r="F19" s="422"/>
      <c r="G19" s="421"/>
      <c r="H19" s="422">
        <v>100</v>
      </c>
      <c r="I19" s="423">
        <v>21177</v>
      </c>
    </row>
    <row r="20" spans="2:11" x14ac:dyDescent="0.2">
      <c r="B20" s="418" t="s">
        <v>422</v>
      </c>
      <c r="C20" s="424" t="s">
        <v>500</v>
      </c>
      <c r="D20" s="425" t="s">
        <v>504</v>
      </c>
      <c r="E20" s="421">
        <v>18312</v>
      </c>
      <c r="F20" s="424" t="s">
        <v>732</v>
      </c>
      <c r="G20" s="421">
        <f>9737+5175+7000</f>
        <v>21912</v>
      </c>
      <c r="H20" s="426">
        <v>90</v>
      </c>
      <c r="I20" s="423">
        <v>20187</v>
      </c>
    </row>
    <row r="21" spans="2:11" x14ac:dyDescent="0.2">
      <c r="B21" s="418" t="s">
        <v>98</v>
      </c>
      <c r="C21" s="419" t="s">
        <v>500</v>
      </c>
      <c r="D21" s="425" t="s">
        <v>506</v>
      </c>
      <c r="E21" s="421">
        <v>22698</v>
      </c>
      <c r="F21" s="419"/>
      <c r="G21" s="421"/>
      <c r="H21" s="422">
        <v>100</v>
      </c>
      <c r="I21" s="423">
        <v>18325</v>
      </c>
    </row>
    <row r="22" spans="2:11" x14ac:dyDescent="0.2">
      <c r="B22" s="418" t="s">
        <v>270</v>
      </c>
      <c r="C22" s="424" t="s">
        <v>500</v>
      </c>
      <c r="D22" s="425" t="s">
        <v>507</v>
      </c>
      <c r="E22" s="421">
        <v>19406</v>
      </c>
      <c r="F22" s="424"/>
      <c r="G22" s="421"/>
      <c r="H22" s="426">
        <v>100</v>
      </c>
      <c r="I22" s="423">
        <v>16555</v>
      </c>
      <c r="K22" s="3" t="s">
        <v>475</v>
      </c>
    </row>
    <row r="23" spans="2:11" x14ac:dyDescent="0.2">
      <c r="B23" s="418" t="s">
        <v>319</v>
      </c>
      <c r="C23" s="424" t="s">
        <v>500</v>
      </c>
      <c r="D23" s="425" t="s">
        <v>508</v>
      </c>
      <c r="E23" s="421">
        <v>18500</v>
      </c>
      <c r="F23" s="424" t="s">
        <v>733</v>
      </c>
      <c r="G23" s="421">
        <v>27400</v>
      </c>
      <c r="H23" s="422">
        <v>94</v>
      </c>
      <c r="I23" s="423">
        <v>18500</v>
      </c>
    </row>
    <row r="24" spans="2:11" x14ac:dyDescent="0.2">
      <c r="B24" s="418" t="s">
        <v>320</v>
      </c>
      <c r="C24" s="419" t="s">
        <v>500</v>
      </c>
      <c r="D24" s="425" t="s">
        <v>510</v>
      </c>
      <c r="E24" s="421">
        <v>22185</v>
      </c>
      <c r="F24" s="424" t="s">
        <v>734</v>
      </c>
      <c r="G24" s="421">
        <v>32270</v>
      </c>
      <c r="H24" s="426">
        <v>80</v>
      </c>
      <c r="I24" s="423">
        <v>21193</v>
      </c>
    </row>
    <row r="25" spans="2:11" x14ac:dyDescent="0.2">
      <c r="B25" s="418" t="s">
        <v>127</v>
      </c>
      <c r="C25" s="424" t="s">
        <v>500</v>
      </c>
      <c r="D25" s="425" t="s">
        <v>512</v>
      </c>
      <c r="E25" s="421">
        <v>19916</v>
      </c>
      <c r="F25" s="427"/>
      <c r="G25" s="421"/>
      <c r="H25" s="426">
        <v>100</v>
      </c>
      <c r="I25" s="423">
        <v>19273</v>
      </c>
    </row>
    <row r="26" spans="2:11" x14ac:dyDescent="0.2">
      <c r="B26" s="418" t="s">
        <v>273</v>
      </c>
      <c r="C26" s="424" t="s">
        <v>500</v>
      </c>
      <c r="D26" s="425" t="s">
        <v>513</v>
      </c>
      <c r="E26" s="421">
        <v>18195</v>
      </c>
      <c r="F26" s="424"/>
      <c r="G26" s="421"/>
      <c r="H26" s="426">
        <v>100</v>
      </c>
      <c r="I26" s="423">
        <v>18864</v>
      </c>
    </row>
    <row r="27" spans="2:11" x14ac:dyDescent="0.2">
      <c r="B27" s="418" t="s">
        <v>275</v>
      </c>
      <c r="C27" s="424" t="s">
        <v>516</v>
      </c>
      <c r="D27" s="425" t="s">
        <v>514</v>
      </c>
      <c r="E27" s="421">
        <v>18598</v>
      </c>
      <c r="F27" s="431" t="s">
        <v>730</v>
      </c>
      <c r="G27" s="431">
        <v>29374</v>
      </c>
      <c r="H27" s="426">
        <v>53</v>
      </c>
      <c r="I27" s="428">
        <v>24276</v>
      </c>
    </row>
    <row r="28" spans="2:11" x14ac:dyDescent="0.2">
      <c r="B28" s="418" t="s">
        <v>247</v>
      </c>
      <c r="C28" s="424" t="s">
        <v>516</v>
      </c>
      <c r="D28" s="425" t="s">
        <v>517</v>
      </c>
      <c r="E28" s="421">
        <v>18598</v>
      </c>
      <c r="F28" s="424">
        <v>90</v>
      </c>
      <c r="G28" s="421">
        <v>31326</v>
      </c>
      <c r="H28" s="429" t="s">
        <v>40</v>
      </c>
      <c r="I28" s="430" t="s">
        <v>710</v>
      </c>
    </row>
    <row r="29" spans="2:11" x14ac:dyDescent="0.2">
      <c r="B29" s="418" t="s">
        <v>731</v>
      </c>
      <c r="C29" s="424" t="s">
        <v>500</v>
      </c>
      <c r="D29" s="425" t="s">
        <v>519</v>
      </c>
      <c r="E29" s="421">
        <v>20511</v>
      </c>
      <c r="F29" s="424" t="s">
        <v>733</v>
      </c>
      <c r="G29" s="421">
        <v>27600</v>
      </c>
      <c r="H29" s="426">
        <v>94</v>
      </c>
      <c r="I29" s="423">
        <v>21965</v>
      </c>
    </row>
    <row r="30" spans="2:11" x14ac:dyDescent="0.2">
      <c r="B30" s="418" t="s">
        <v>286</v>
      </c>
      <c r="C30" s="431"/>
      <c r="D30" s="431"/>
      <c r="E30" s="421"/>
      <c r="F30" s="431"/>
      <c r="G30" s="421"/>
      <c r="H30" s="432"/>
      <c r="I30" s="433"/>
    </row>
    <row r="31" spans="2:11" x14ac:dyDescent="0.2">
      <c r="B31" s="418" t="s">
        <v>331</v>
      </c>
      <c r="C31" s="431" t="s">
        <v>500</v>
      </c>
      <c r="D31" s="431" t="s">
        <v>519</v>
      </c>
      <c r="E31" s="421">
        <v>19813</v>
      </c>
      <c r="F31" s="431" t="s">
        <v>735</v>
      </c>
      <c r="G31" s="421">
        <v>36064</v>
      </c>
      <c r="H31" s="432">
        <v>95</v>
      </c>
      <c r="I31" s="423">
        <v>17962</v>
      </c>
    </row>
    <row r="32" spans="2:11" x14ac:dyDescent="0.2">
      <c r="B32" s="418" t="s">
        <v>457</v>
      </c>
      <c r="C32" s="431" t="s">
        <v>500</v>
      </c>
      <c r="D32" s="431" t="s">
        <v>522</v>
      </c>
      <c r="E32" s="421">
        <v>13503</v>
      </c>
      <c r="F32" s="431" t="s">
        <v>736</v>
      </c>
      <c r="G32" s="421">
        <v>38623</v>
      </c>
      <c r="H32" s="432">
        <v>81</v>
      </c>
      <c r="I32" s="423">
        <v>21975</v>
      </c>
    </row>
    <row r="33" spans="2:24" x14ac:dyDescent="0.2">
      <c r="C33" s="434" t="s">
        <v>458</v>
      </c>
      <c r="D33" s="435"/>
      <c r="E33" s="435"/>
      <c r="F33" s="435" t="s">
        <v>459</v>
      </c>
      <c r="G33" s="435"/>
      <c r="H33" s="435" t="s">
        <v>460</v>
      </c>
      <c r="I33" s="435"/>
    </row>
    <row r="34" spans="2:24" x14ac:dyDescent="0.2">
      <c r="C34" s="436" t="s">
        <v>737</v>
      </c>
      <c r="D34" s="435"/>
      <c r="E34" s="435"/>
      <c r="F34" s="435" t="s">
        <v>462</v>
      </c>
      <c r="G34" s="435"/>
      <c r="H34" s="435" t="s">
        <v>463</v>
      </c>
      <c r="I34" s="435"/>
    </row>
    <row r="35" spans="2:24" x14ac:dyDescent="0.2">
      <c r="C35" s="437"/>
      <c r="D35" s="435"/>
      <c r="E35" s="435"/>
      <c r="F35" s="438" t="s">
        <v>464</v>
      </c>
      <c r="G35" s="435"/>
      <c r="H35" s="439" t="s">
        <v>465</v>
      </c>
      <c r="I35" s="435"/>
    </row>
    <row r="38" spans="2:24" x14ac:dyDescent="0.2">
      <c r="B38" s="3" t="s">
        <v>528</v>
      </c>
      <c r="C38" s="1"/>
      <c r="D38" s="1"/>
      <c r="E38" s="1"/>
      <c r="F38" s="1"/>
      <c r="G38" s="1"/>
    </row>
    <row r="39" spans="2:24" x14ac:dyDescent="0.2">
      <c r="B39" s="1"/>
      <c r="D39" s="1"/>
    </row>
    <row r="40" spans="2:24" ht="51" x14ac:dyDescent="0.2">
      <c r="B40" s="440"/>
      <c r="C40" s="441" t="s">
        <v>421</v>
      </c>
      <c r="D40" s="442" t="s">
        <v>740</v>
      </c>
      <c r="E40" s="442" t="s">
        <v>414</v>
      </c>
      <c r="F40" s="442" t="s">
        <v>418</v>
      </c>
      <c r="G40" s="442" t="s">
        <v>420</v>
      </c>
      <c r="H40" s="442" t="s">
        <v>413</v>
      </c>
      <c r="I40" s="442" t="s">
        <v>412</v>
      </c>
      <c r="J40" s="442" t="s">
        <v>417</v>
      </c>
      <c r="K40" s="442" t="s">
        <v>467</v>
      </c>
      <c r="L40" s="442" t="s">
        <v>419</v>
      </c>
      <c r="M40" s="443" t="s">
        <v>467</v>
      </c>
      <c r="N40" s="442" t="s">
        <v>468</v>
      </c>
      <c r="O40" s="442" t="s">
        <v>469</v>
      </c>
      <c r="P40" s="442" t="s">
        <v>470</v>
      </c>
      <c r="Q40" s="442" t="s">
        <v>416</v>
      </c>
      <c r="R40" s="442" t="s">
        <v>415</v>
      </c>
      <c r="S40" s="442" t="s">
        <v>471</v>
      </c>
      <c r="T40" s="444" t="s">
        <v>739</v>
      </c>
      <c r="U40" s="443" t="s">
        <v>472</v>
      </c>
      <c r="V40" s="443" t="s">
        <v>473</v>
      </c>
      <c r="W40" s="445" t="s">
        <v>738</v>
      </c>
      <c r="X40" s="442"/>
    </row>
    <row r="41" spans="2:24" x14ac:dyDescent="0.2">
      <c r="B41" s="418" t="s">
        <v>330</v>
      </c>
      <c r="C41" s="431">
        <v>82</v>
      </c>
      <c r="D41" s="431">
        <v>14</v>
      </c>
      <c r="E41" s="431">
        <v>4</v>
      </c>
      <c r="F41" s="431"/>
      <c r="G41" s="431"/>
      <c r="H41" s="431"/>
      <c r="I41" s="431"/>
      <c r="J41" s="431"/>
      <c r="K41" s="431"/>
      <c r="L41" s="431"/>
      <c r="M41" s="431"/>
      <c r="N41" s="431"/>
      <c r="O41" s="431"/>
      <c r="P41" s="431"/>
      <c r="Q41" s="431"/>
      <c r="R41" s="431"/>
      <c r="S41" s="431"/>
      <c r="T41" s="446"/>
      <c r="U41" s="431"/>
      <c r="V41" s="431"/>
      <c r="W41" s="433"/>
      <c r="X41" s="447">
        <f t="shared" ref="X41:X54" si="0">SUM(C41:W41)</f>
        <v>100</v>
      </c>
    </row>
    <row r="42" spans="2:24" x14ac:dyDescent="0.2">
      <c r="B42" s="448" t="s">
        <v>268</v>
      </c>
      <c r="C42" s="449"/>
      <c r="D42" s="449">
        <v>10</v>
      </c>
      <c r="E42" s="449">
        <v>30</v>
      </c>
      <c r="F42" s="449">
        <v>28</v>
      </c>
      <c r="G42" s="449">
        <v>7</v>
      </c>
      <c r="H42" s="449"/>
      <c r="I42" s="450"/>
      <c r="J42" s="325"/>
      <c r="L42" s="449"/>
      <c r="M42" s="431"/>
      <c r="N42" s="449"/>
      <c r="O42" s="449"/>
      <c r="P42" s="449"/>
      <c r="Q42" s="449"/>
      <c r="R42" s="449"/>
      <c r="S42" s="449"/>
      <c r="T42" s="451"/>
      <c r="U42" s="431"/>
      <c r="V42" s="431"/>
      <c r="W42" s="452">
        <v>25</v>
      </c>
      <c r="X42" s="453">
        <f t="shared" si="0"/>
        <v>100</v>
      </c>
    </row>
    <row r="43" spans="2:24" x14ac:dyDescent="0.2">
      <c r="B43" s="418" t="s">
        <v>96</v>
      </c>
      <c r="C43" s="431"/>
      <c r="D43" s="431"/>
      <c r="E43" s="431"/>
      <c r="F43" s="431"/>
      <c r="G43" s="431"/>
      <c r="H43" s="431">
        <v>47</v>
      </c>
      <c r="I43" s="431">
        <v>25</v>
      </c>
      <c r="J43" s="431">
        <v>13</v>
      </c>
      <c r="K43" s="431"/>
      <c r="L43" s="431"/>
      <c r="M43" s="431"/>
      <c r="N43" s="431"/>
      <c r="O43" s="431"/>
      <c r="P43" s="431"/>
      <c r="Q43" s="431"/>
      <c r="R43" s="431"/>
      <c r="S43" s="431"/>
      <c r="T43" s="446"/>
      <c r="U43" s="431"/>
      <c r="V43" s="431"/>
      <c r="W43" s="433">
        <v>15</v>
      </c>
      <c r="X43" s="447">
        <f t="shared" si="0"/>
        <v>100</v>
      </c>
    </row>
    <row r="44" spans="2:24" x14ac:dyDescent="0.2">
      <c r="B44" s="448" t="s">
        <v>97</v>
      </c>
      <c r="C44" s="431">
        <v>100</v>
      </c>
      <c r="D44" s="431"/>
      <c r="E44" s="431"/>
      <c r="F44" s="431"/>
      <c r="G44" s="431"/>
      <c r="H44" s="431"/>
      <c r="I44" s="431"/>
      <c r="J44" s="431"/>
      <c r="K44" s="431"/>
      <c r="L44" s="431"/>
      <c r="M44" s="431"/>
      <c r="N44" s="431"/>
      <c r="O44" s="419"/>
      <c r="P44" s="419"/>
      <c r="Q44" s="431"/>
      <c r="R44" s="431"/>
      <c r="S44" s="431"/>
      <c r="T44" s="446"/>
      <c r="U44" s="431"/>
      <c r="V44" s="431"/>
      <c r="W44" s="433"/>
      <c r="X44" s="447">
        <f t="shared" si="0"/>
        <v>100</v>
      </c>
    </row>
    <row r="45" spans="2:24" x14ac:dyDescent="0.2">
      <c r="B45" s="418" t="s">
        <v>422</v>
      </c>
      <c r="C45" s="431"/>
      <c r="D45" s="431"/>
      <c r="E45" s="431"/>
      <c r="F45" s="431">
        <v>17</v>
      </c>
      <c r="G45" s="431">
        <v>7</v>
      </c>
      <c r="H45" s="431">
        <v>27</v>
      </c>
      <c r="I45" s="431"/>
      <c r="J45" s="431">
        <v>7</v>
      </c>
      <c r="K45" s="431">
        <v>10</v>
      </c>
      <c r="L45" s="431">
        <v>7</v>
      </c>
      <c r="M45" s="431"/>
      <c r="N45" s="431"/>
      <c r="O45" s="431"/>
      <c r="P45" s="431"/>
      <c r="Q45" s="431"/>
      <c r="R45" s="431"/>
      <c r="S45" s="431"/>
      <c r="T45" s="446"/>
      <c r="U45" s="431"/>
      <c r="V45" s="431"/>
      <c r="W45" s="454">
        <v>25</v>
      </c>
      <c r="X45" s="447">
        <f t="shared" si="0"/>
        <v>100</v>
      </c>
    </row>
    <row r="46" spans="2:24" x14ac:dyDescent="0.2">
      <c r="B46" s="448" t="s">
        <v>98</v>
      </c>
      <c r="C46" s="455"/>
      <c r="D46" s="455"/>
      <c r="E46" s="455"/>
      <c r="F46" s="455">
        <v>35</v>
      </c>
      <c r="G46" s="455"/>
      <c r="H46" s="455">
        <v>35</v>
      </c>
      <c r="I46" s="455"/>
      <c r="J46" s="455">
        <v>10</v>
      </c>
      <c r="K46" s="455"/>
      <c r="L46" s="455"/>
      <c r="M46" s="431"/>
      <c r="N46" s="455"/>
      <c r="O46" s="455"/>
      <c r="P46" s="455"/>
      <c r="Q46" s="455"/>
      <c r="R46" s="455"/>
      <c r="S46" s="455"/>
      <c r="T46" s="456"/>
      <c r="U46" s="431"/>
      <c r="V46" s="431"/>
      <c r="W46" s="457">
        <v>20</v>
      </c>
      <c r="X46" s="458">
        <f t="shared" si="0"/>
        <v>100</v>
      </c>
    </row>
    <row r="47" spans="2:24" x14ac:dyDescent="0.2">
      <c r="B47" s="418" t="s">
        <v>270</v>
      </c>
      <c r="C47" s="431"/>
      <c r="D47" s="419"/>
      <c r="E47" s="431"/>
      <c r="F47" s="419">
        <v>24</v>
      </c>
      <c r="G47" s="419"/>
      <c r="H47" s="431"/>
      <c r="I47" s="431"/>
      <c r="J47" s="431">
        <v>45</v>
      </c>
      <c r="K47" s="419"/>
      <c r="L47" s="419"/>
      <c r="M47" s="431"/>
      <c r="N47" s="431"/>
      <c r="O47" s="431"/>
      <c r="P47" s="431"/>
      <c r="Q47" s="431"/>
      <c r="R47" s="431">
        <v>8</v>
      </c>
      <c r="S47" s="431"/>
      <c r="T47" s="459">
        <v>7</v>
      </c>
      <c r="U47" s="431"/>
      <c r="V47" s="431"/>
      <c r="W47" s="433">
        <v>16</v>
      </c>
      <c r="X47" s="447">
        <f t="shared" si="0"/>
        <v>100</v>
      </c>
    </row>
    <row r="48" spans="2:24" x14ac:dyDescent="0.2">
      <c r="B48" s="418" t="s">
        <v>271</v>
      </c>
      <c r="C48" s="431"/>
      <c r="D48" s="431"/>
      <c r="E48" s="431"/>
      <c r="F48" s="431">
        <v>22</v>
      </c>
      <c r="G48" s="431"/>
      <c r="H48" s="431">
        <v>18</v>
      </c>
      <c r="I48" s="431"/>
      <c r="J48" s="431">
        <v>26</v>
      </c>
      <c r="K48" s="431"/>
      <c r="L48" s="431"/>
      <c r="M48" s="431">
        <v>10</v>
      </c>
      <c r="N48" s="431">
        <v>11</v>
      </c>
      <c r="O48" s="431"/>
      <c r="P48" s="431"/>
      <c r="Q48" s="431"/>
      <c r="R48" s="431"/>
      <c r="S48" s="431"/>
      <c r="T48" s="446"/>
      <c r="U48" s="431"/>
      <c r="V48" s="431"/>
      <c r="W48" s="433">
        <v>13</v>
      </c>
      <c r="X48" s="447">
        <f t="shared" si="0"/>
        <v>100</v>
      </c>
    </row>
    <row r="49" spans="2:24" x14ac:dyDescent="0.2">
      <c r="B49" s="418" t="s">
        <v>320</v>
      </c>
      <c r="C49" s="431"/>
      <c r="D49" s="419"/>
      <c r="E49" s="431"/>
      <c r="F49" s="419"/>
      <c r="G49" s="419">
        <v>13</v>
      </c>
      <c r="H49" s="431">
        <v>53</v>
      </c>
      <c r="I49" s="431"/>
      <c r="J49" s="431"/>
      <c r="K49" s="419"/>
      <c r="L49" s="419">
        <v>10</v>
      </c>
      <c r="M49" s="431"/>
      <c r="N49" s="431"/>
      <c r="O49" s="431"/>
      <c r="P49" s="431"/>
      <c r="Q49" s="431"/>
      <c r="R49" s="431"/>
      <c r="S49" s="431"/>
      <c r="T49" s="459"/>
      <c r="U49" s="431"/>
      <c r="V49" s="431"/>
      <c r="W49" s="433">
        <v>24</v>
      </c>
      <c r="X49" s="447">
        <f t="shared" si="0"/>
        <v>100</v>
      </c>
    </row>
    <row r="50" spans="2:24" x14ac:dyDescent="0.2">
      <c r="B50" s="418" t="s">
        <v>127</v>
      </c>
      <c r="C50" s="431"/>
      <c r="D50" s="431"/>
      <c r="E50" s="431"/>
      <c r="F50" s="431">
        <v>47</v>
      </c>
      <c r="G50" s="431"/>
      <c r="H50" s="431">
        <v>10</v>
      </c>
      <c r="I50" s="431"/>
      <c r="J50" s="431">
        <v>32</v>
      </c>
      <c r="K50" s="431"/>
      <c r="L50" s="431"/>
      <c r="M50" s="431"/>
      <c r="N50" s="431"/>
      <c r="O50" s="431"/>
      <c r="P50" s="431"/>
      <c r="Q50" s="431"/>
      <c r="R50" s="431"/>
      <c r="S50" s="431"/>
      <c r="T50" s="446"/>
      <c r="U50" s="431"/>
      <c r="V50" s="431"/>
      <c r="W50" s="433">
        <v>11</v>
      </c>
      <c r="X50" s="447">
        <f t="shared" si="0"/>
        <v>100</v>
      </c>
    </row>
    <row r="51" spans="2:24" x14ac:dyDescent="0.2">
      <c r="B51" s="418" t="s">
        <v>273</v>
      </c>
      <c r="C51" s="455"/>
      <c r="D51" s="455"/>
      <c r="E51" s="455"/>
      <c r="F51" s="455">
        <v>25</v>
      </c>
      <c r="G51" s="455">
        <v>25</v>
      </c>
      <c r="H51" s="455"/>
      <c r="I51" s="455"/>
      <c r="J51" s="455"/>
      <c r="K51" s="455"/>
      <c r="L51" s="455">
        <v>8</v>
      </c>
      <c r="M51" s="431"/>
      <c r="N51" s="455"/>
      <c r="O51" s="455">
        <v>6</v>
      </c>
      <c r="P51" s="455">
        <v>14</v>
      </c>
      <c r="Q51" s="455"/>
      <c r="R51" s="455"/>
      <c r="S51" s="455"/>
      <c r="T51" s="456"/>
      <c r="U51" s="431"/>
      <c r="V51" s="431"/>
      <c r="W51" s="457">
        <v>22</v>
      </c>
      <c r="X51" s="458">
        <f t="shared" si="0"/>
        <v>100</v>
      </c>
    </row>
    <row r="52" spans="2:24" x14ac:dyDescent="0.2">
      <c r="B52" s="418" t="s">
        <v>275</v>
      </c>
      <c r="C52" s="431"/>
      <c r="D52" s="431"/>
      <c r="E52" s="431"/>
      <c r="F52" s="431"/>
      <c r="G52" s="431">
        <v>15</v>
      </c>
      <c r="H52" s="431"/>
      <c r="I52" s="431">
        <v>13</v>
      </c>
      <c r="J52" s="431"/>
      <c r="K52" s="431"/>
      <c r="L52" s="431"/>
      <c r="M52" s="431"/>
      <c r="N52" s="431"/>
      <c r="O52" s="431"/>
      <c r="P52" s="431"/>
      <c r="Q52" s="431"/>
      <c r="R52" s="431"/>
      <c r="S52" s="431">
        <v>16</v>
      </c>
      <c r="T52" s="446">
        <v>15</v>
      </c>
      <c r="U52" s="431"/>
      <c r="V52" s="431">
        <v>15</v>
      </c>
      <c r="W52" s="433">
        <v>26</v>
      </c>
      <c r="X52" s="447">
        <f t="shared" si="0"/>
        <v>100</v>
      </c>
    </row>
    <row r="53" spans="2:24" x14ac:dyDescent="0.2">
      <c r="B53" s="418" t="s">
        <v>247</v>
      </c>
      <c r="C53" s="431"/>
      <c r="D53" s="419">
        <v>22</v>
      </c>
      <c r="E53" s="431"/>
      <c r="F53" s="419"/>
      <c r="G53" s="419"/>
      <c r="H53" s="431"/>
      <c r="I53" s="431"/>
      <c r="J53" s="431">
        <v>9</v>
      </c>
      <c r="K53" s="419"/>
      <c r="L53" s="419"/>
      <c r="M53" s="431"/>
      <c r="N53" s="431"/>
      <c r="O53" s="431"/>
      <c r="P53" s="431"/>
      <c r="Q53" s="431">
        <v>24</v>
      </c>
      <c r="R53" s="431">
        <v>15</v>
      </c>
      <c r="S53" s="431"/>
      <c r="T53" s="446"/>
      <c r="U53" s="431"/>
      <c r="V53" s="431"/>
      <c r="W53" s="433">
        <v>30</v>
      </c>
      <c r="X53" s="447">
        <f t="shared" si="0"/>
        <v>100</v>
      </c>
    </row>
    <row r="54" spans="2:24" x14ac:dyDescent="0.2">
      <c r="B54" s="418" t="s">
        <v>731</v>
      </c>
      <c r="C54" s="460"/>
      <c r="D54" s="461"/>
      <c r="E54" s="460"/>
      <c r="F54" s="461"/>
      <c r="G54" s="461"/>
      <c r="H54" s="460">
        <v>24</v>
      </c>
      <c r="I54" s="460">
        <v>11</v>
      </c>
      <c r="J54" s="460">
        <v>6</v>
      </c>
      <c r="K54" s="461"/>
      <c r="L54" s="461"/>
      <c r="M54" s="431"/>
      <c r="N54" s="460"/>
      <c r="O54" s="460"/>
      <c r="P54" s="460"/>
      <c r="Q54" s="460"/>
      <c r="R54" s="460"/>
      <c r="S54" s="460"/>
      <c r="T54" s="462"/>
      <c r="U54" s="431">
        <v>26</v>
      </c>
      <c r="V54" s="431"/>
      <c r="W54" s="463">
        <v>33</v>
      </c>
      <c r="X54" s="464">
        <f t="shared" si="0"/>
        <v>100</v>
      </c>
    </row>
    <row r="55" spans="2:24" x14ac:dyDescent="0.2">
      <c r="B55" s="465" t="s">
        <v>286</v>
      </c>
      <c r="C55" s="446"/>
      <c r="D55" s="76"/>
      <c r="E55" s="76"/>
      <c r="F55" s="76"/>
      <c r="G55" s="76"/>
      <c r="H55" s="76"/>
      <c r="I55" s="76"/>
      <c r="J55" s="76"/>
      <c r="K55" s="76"/>
      <c r="L55" s="76"/>
      <c r="N55" s="76"/>
      <c r="O55" s="76"/>
      <c r="P55" s="76"/>
      <c r="Q55" s="76"/>
      <c r="R55" s="76"/>
      <c r="S55" s="76"/>
      <c r="T55" s="76"/>
      <c r="U55" s="431"/>
      <c r="V55" s="431"/>
      <c r="W55" s="76"/>
      <c r="X55" s="464"/>
    </row>
    <row r="56" spans="2:24" x14ac:dyDescent="0.2">
      <c r="B56" s="418" t="s">
        <v>331</v>
      </c>
      <c r="C56" s="449">
        <v>36</v>
      </c>
      <c r="D56" s="449">
        <v>5</v>
      </c>
      <c r="E56" s="449"/>
      <c r="F56" s="449">
        <v>18</v>
      </c>
      <c r="G56" s="449"/>
      <c r="H56" s="449">
        <v>9</v>
      </c>
      <c r="I56" s="449"/>
      <c r="J56" s="449">
        <v>10</v>
      </c>
      <c r="K56" s="449"/>
      <c r="L56" s="449"/>
      <c r="M56" s="431"/>
      <c r="N56" s="449"/>
      <c r="O56" s="449"/>
      <c r="P56" s="449"/>
      <c r="Q56" s="449"/>
      <c r="R56" s="449"/>
      <c r="S56" s="449"/>
      <c r="T56" s="451"/>
      <c r="U56" s="431"/>
      <c r="V56" s="431"/>
      <c r="W56" s="452">
        <v>22</v>
      </c>
      <c r="X56" s="464">
        <f>SUM(C56:W56)</f>
        <v>100</v>
      </c>
    </row>
    <row r="57" spans="2:24" x14ac:dyDescent="0.2">
      <c r="B57" s="466" t="s">
        <v>332</v>
      </c>
      <c r="C57" s="431"/>
      <c r="D57" s="431"/>
      <c r="E57" s="431"/>
      <c r="F57" s="431">
        <v>7</v>
      </c>
      <c r="G57" s="431">
        <v>14</v>
      </c>
      <c r="H57" s="431">
        <v>12</v>
      </c>
      <c r="I57" s="431">
        <v>9</v>
      </c>
      <c r="J57" s="431">
        <v>4</v>
      </c>
      <c r="K57" s="431"/>
      <c r="L57" s="431"/>
      <c r="M57" s="431"/>
      <c r="N57" s="431"/>
      <c r="O57" s="431"/>
      <c r="P57" s="431"/>
      <c r="Q57" s="431">
        <v>4</v>
      </c>
      <c r="R57" s="431"/>
      <c r="S57" s="431">
        <v>4</v>
      </c>
      <c r="T57" s="446"/>
      <c r="U57" s="431">
        <v>14</v>
      </c>
      <c r="V57" s="431"/>
      <c r="W57" s="433">
        <v>32</v>
      </c>
      <c r="X57" s="447">
        <f>SUM(C57:W57)</f>
        <v>100</v>
      </c>
    </row>
    <row r="61" spans="2:24" ht="15" customHeight="1" x14ac:dyDescent="0.2">
      <c r="B61" s="191" t="s">
        <v>529</v>
      </c>
      <c r="C61" s="191"/>
      <c r="D61" s="191"/>
      <c r="E61" s="191"/>
      <c r="F61" s="191"/>
      <c r="G61" s="191"/>
      <c r="H61" s="191"/>
      <c r="I61" s="191"/>
    </row>
    <row r="62" spans="2:24" x14ac:dyDescent="0.2">
      <c r="B62" s="191" t="s">
        <v>248</v>
      </c>
      <c r="C62" s="191"/>
      <c r="D62" s="191"/>
      <c r="E62" s="191"/>
      <c r="F62" s="191"/>
      <c r="G62" s="191"/>
      <c r="H62" s="191"/>
      <c r="I62" s="191"/>
    </row>
    <row r="63" spans="2:24" ht="38.25" x14ac:dyDescent="0.2">
      <c r="B63" s="595" t="s">
        <v>249</v>
      </c>
      <c r="C63" s="467" t="s">
        <v>250</v>
      </c>
      <c r="D63" s="467" t="s">
        <v>744</v>
      </c>
      <c r="E63" s="467" t="s">
        <v>251</v>
      </c>
      <c r="F63" s="604" t="s">
        <v>252</v>
      </c>
      <c r="G63" s="605"/>
      <c r="H63" s="592" t="s">
        <v>253</v>
      </c>
      <c r="I63" s="593"/>
    </row>
    <row r="64" spans="2:24" ht="38.25" x14ac:dyDescent="0.2">
      <c r="B64" s="595"/>
      <c r="C64" s="467"/>
      <c r="D64" s="467"/>
      <c r="E64" s="467"/>
      <c r="F64" s="467" t="s">
        <v>254</v>
      </c>
      <c r="G64" s="467" t="s">
        <v>255</v>
      </c>
      <c r="H64" s="468" t="s">
        <v>256</v>
      </c>
      <c r="I64" s="468" t="s">
        <v>257</v>
      </c>
    </row>
    <row r="65" spans="2:29" x14ac:dyDescent="0.2">
      <c r="B65" s="431" t="s">
        <v>258</v>
      </c>
      <c r="C65" s="421">
        <v>1752</v>
      </c>
      <c r="D65" s="469">
        <v>115</v>
      </c>
      <c r="E65" s="421">
        <v>201480</v>
      </c>
      <c r="F65" s="421">
        <v>76658</v>
      </c>
      <c r="G65" s="421">
        <v>106073</v>
      </c>
      <c r="H65" s="421">
        <v>7271</v>
      </c>
      <c r="I65" s="470">
        <v>2.11</v>
      </c>
    </row>
    <row r="66" spans="2:29" x14ac:dyDescent="0.2">
      <c r="B66" s="431" t="s">
        <v>745</v>
      </c>
      <c r="C66" s="421">
        <v>883</v>
      </c>
      <c r="D66" s="469">
        <v>124</v>
      </c>
      <c r="E66" s="421">
        <v>109492</v>
      </c>
      <c r="F66" s="421">
        <v>21406</v>
      </c>
      <c r="G66" s="421">
        <v>52290</v>
      </c>
      <c r="H66" s="421">
        <v>3776</v>
      </c>
      <c r="I66" s="431">
        <v>1.91</v>
      </c>
    </row>
    <row r="70" spans="2:29" x14ac:dyDescent="0.2">
      <c r="B70" s="191" t="s">
        <v>530</v>
      </c>
    </row>
    <row r="72" spans="2:29" x14ac:dyDescent="0.2">
      <c r="B72" s="217" t="s">
        <v>259</v>
      </c>
      <c r="C72" s="217"/>
      <c r="D72" s="596" t="s">
        <v>260</v>
      </c>
      <c r="E72" s="596"/>
      <c r="F72" s="596"/>
      <c r="G72" s="596"/>
      <c r="J72" s="435"/>
      <c r="K72" s="435"/>
      <c r="L72" s="435"/>
      <c r="M72" s="435"/>
      <c r="N72" s="435"/>
      <c r="O72" s="435"/>
      <c r="P72" s="435"/>
      <c r="Q72" s="435"/>
      <c r="R72" s="435"/>
      <c r="S72" s="435"/>
      <c r="T72" s="435"/>
      <c r="U72" s="435"/>
      <c r="V72" s="435"/>
      <c r="W72" s="435"/>
      <c r="X72" s="435"/>
      <c r="Y72" s="435"/>
      <c r="Z72" s="435"/>
      <c r="AA72" s="435"/>
      <c r="AB72" s="435"/>
      <c r="AC72" s="435"/>
    </row>
    <row r="73" spans="2:29" x14ac:dyDescent="0.2">
      <c r="B73" s="67" t="s">
        <v>742</v>
      </c>
      <c r="C73" s="67" t="s">
        <v>261</v>
      </c>
      <c r="D73" s="472" t="s">
        <v>262</v>
      </c>
      <c r="E73" s="472" t="s">
        <v>263</v>
      </c>
      <c r="F73" s="472" t="s">
        <v>264</v>
      </c>
      <c r="G73" s="473" t="s">
        <v>105</v>
      </c>
      <c r="H73" s="403" t="s">
        <v>265</v>
      </c>
      <c r="I73" s="539"/>
      <c r="J73" s="435"/>
      <c r="K73" s="435"/>
      <c r="L73" s="435"/>
      <c r="M73" s="435"/>
      <c r="N73" s="435"/>
      <c r="O73" s="309"/>
      <c r="P73" s="309"/>
      <c r="Q73" s="309"/>
      <c r="R73" s="309"/>
      <c r="S73" s="435"/>
      <c r="T73" s="435"/>
      <c r="U73" s="435"/>
      <c r="V73" s="435"/>
      <c r="W73" s="435"/>
      <c r="X73" s="435"/>
      <c r="Y73" s="435"/>
      <c r="Z73" s="435"/>
      <c r="AA73" s="435"/>
      <c r="AB73" s="435"/>
      <c r="AC73" s="435"/>
    </row>
    <row r="74" spans="2:29" x14ac:dyDescent="0.2">
      <c r="B74" s="268" t="s">
        <v>266</v>
      </c>
      <c r="C74" s="72" t="s">
        <v>267</v>
      </c>
      <c r="D74" s="474" t="s">
        <v>536</v>
      </c>
      <c r="E74" s="475" t="s">
        <v>552</v>
      </c>
      <c r="F74" s="474" t="s">
        <v>568</v>
      </c>
      <c r="G74" s="476" t="s">
        <v>584</v>
      </c>
      <c r="H74" s="477">
        <v>144671</v>
      </c>
      <c r="I74" s="539"/>
      <c r="J74" s="435"/>
      <c r="K74" s="435"/>
      <c r="L74" s="435"/>
      <c r="M74" s="540"/>
      <c r="N74" s="435"/>
      <c r="O74" s="478"/>
      <c r="P74" s="541"/>
      <c r="Q74" s="541"/>
      <c r="R74" s="541"/>
      <c r="S74" s="541"/>
      <c r="T74" s="541"/>
      <c r="U74" s="435"/>
      <c r="V74" s="435"/>
      <c r="W74" s="435"/>
      <c r="X74" s="435"/>
      <c r="Y74" s="435"/>
      <c r="Z74" s="435"/>
      <c r="AA74" s="435"/>
      <c r="AB74" s="435"/>
      <c r="AC74" s="435"/>
    </row>
    <row r="75" spans="2:29" x14ac:dyDescent="0.2">
      <c r="B75" s="268" t="s">
        <v>268</v>
      </c>
      <c r="C75" s="72" t="s">
        <v>267</v>
      </c>
      <c r="D75" s="476" t="s">
        <v>537</v>
      </c>
      <c r="E75" s="479" t="s">
        <v>553</v>
      </c>
      <c r="F75" s="476" t="s">
        <v>569</v>
      </c>
      <c r="G75" s="476" t="s">
        <v>585</v>
      </c>
      <c r="H75" s="477">
        <v>120009</v>
      </c>
      <c r="I75" s="539"/>
      <c r="J75" s="435"/>
      <c r="K75" s="435"/>
      <c r="L75" s="435"/>
      <c r="M75" s="540"/>
      <c r="N75" s="435"/>
      <c r="O75" s="478"/>
      <c r="P75" s="541"/>
      <c r="Q75" s="541"/>
      <c r="R75" s="541"/>
      <c r="S75" s="541"/>
      <c r="T75" s="541"/>
      <c r="U75" s="435"/>
      <c r="V75" s="435"/>
      <c r="W75" s="435"/>
      <c r="X75" s="435"/>
      <c r="Y75" s="435"/>
      <c r="Z75" s="435"/>
      <c r="AA75" s="435"/>
      <c r="AB75" s="435"/>
      <c r="AC75" s="435"/>
    </row>
    <row r="76" spans="2:29" x14ac:dyDescent="0.2">
      <c r="B76" s="268" t="s">
        <v>96</v>
      </c>
      <c r="C76" s="72" t="s">
        <v>267</v>
      </c>
      <c r="D76" s="476" t="s">
        <v>538</v>
      </c>
      <c r="E76" s="479" t="s">
        <v>554</v>
      </c>
      <c r="F76" s="476" t="s">
        <v>570</v>
      </c>
      <c r="G76" s="476" t="s">
        <v>586</v>
      </c>
      <c r="H76" s="477">
        <v>125504</v>
      </c>
      <c r="I76" s="539"/>
      <c r="J76" s="435"/>
      <c r="K76" s="435"/>
      <c r="L76" s="435"/>
      <c r="M76" s="540"/>
      <c r="N76" s="435"/>
      <c r="O76" s="478"/>
      <c r="P76" s="541"/>
      <c r="Q76" s="541"/>
      <c r="R76" s="541"/>
      <c r="S76" s="541"/>
      <c r="T76" s="541"/>
      <c r="U76" s="435"/>
      <c r="V76" s="435"/>
      <c r="W76" s="435"/>
      <c r="X76" s="435"/>
      <c r="Y76" s="435"/>
      <c r="Z76" s="435"/>
      <c r="AA76" s="435"/>
      <c r="AB76" s="435"/>
      <c r="AC76" s="435"/>
    </row>
    <row r="77" spans="2:29" x14ac:dyDescent="0.2">
      <c r="B77" s="268" t="s">
        <v>97</v>
      </c>
      <c r="C77" s="72" t="s">
        <v>267</v>
      </c>
      <c r="D77" s="476" t="s">
        <v>539</v>
      </c>
      <c r="E77" s="479" t="s">
        <v>555</v>
      </c>
      <c r="F77" s="476" t="s">
        <v>571</v>
      </c>
      <c r="G77" s="476" t="s">
        <v>587</v>
      </c>
      <c r="H77" s="477">
        <v>154043</v>
      </c>
      <c r="I77" s="539"/>
      <c r="J77" s="435"/>
      <c r="K77" s="435"/>
      <c r="L77" s="435"/>
      <c r="M77" s="540"/>
      <c r="N77" s="435"/>
      <c r="O77" s="478"/>
      <c r="P77" s="541"/>
      <c r="Q77" s="541"/>
      <c r="R77" s="541"/>
      <c r="S77" s="541"/>
      <c r="T77" s="541"/>
      <c r="U77" s="435"/>
      <c r="V77" s="435"/>
      <c r="W77" s="435"/>
      <c r="X77" s="435"/>
      <c r="Y77" s="435"/>
      <c r="Z77" s="435"/>
      <c r="AA77" s="435"/>
      <c r="AB77" s="435"/>
      <c r="AC77" s="435"/>
    </row>
    <row r="78" spans="2:29" x14ac:dyDescent="0.2">
      <c r="B78" s="268" t="s">
        <v>269</v>
      </c>
      <c r="C78" s="72" t="s">
        <v>267</v>
      </c>
      <c r="D78" s="476" t="s">
        <v>540</v>
      </c>
      <c r="E78" s="479" t="s">
        <v>556</v>
      </c>
      <c r="F78" s="476" t="s">
        <v>572</v>
      </c>
      <c r="G78" s="476" t="s">
        <v>588</v>
      </c>
      <c r="H78" s="477">
        <v>145816</v>
      </c>
      <c r="I78" s="539"/>
      <c r="J78" s="542"/>
      <c r="K78" s="480"/>
      <c r="L78" s="435"/>
      <c r="M78" s="540"/>
      <c r="N78" s="435"/>
      <c r="O78" s="478"/>
      <c r="P78" s="541"/>
      <c r="Q78" s="541"/>
      <c r="R78" s="541"/>
      <c r="S78" s="541"/>
      <c r="T78" s="541"/>
      <c r="U78" s="435"/>
      <c r="V78" s="435"/>
      <c r="W78" s="435"/>
      <c r="X78" s="435"/>
      <c r="Y78" s="435"/>
      <c r="Z78" s="435"/>
      <c r="AA78" s="435"/>
      <c r="AB78" s="435"/>
      <c r="AC78" s="435"/>
    </row>
    <row r="79" spans="2:29" x14ac:dyDescent="0.2">
      <c r="B79" s="268" t="s">
        <v>98</v>
      </c>
      <c r="C79" s="72" t="s">
        <v>267</v>
      </c>
      <c r="D79" s="476" t="s">
        <v>541</v>
      </c>
      <c r="E79" s="479" t="s">
        <v>557</v>
      </c>
      <c r="F79" s="476" t="s">
        <v>573</v>
      </c>
      <c r="G79" s="476" t="s">
        <v>588</v>
      </c>
      <c r="H79" s="477">
        <v>128725</v>
      </c>
      <c r="I79" s="539"/>
      <c r="J79" s="435"/>
      <c r="K79" s="435"/>
      <c r="L79" s="435"/>
      <c r="M79" s="540"/>
      <c r="N79" s="435"/>
      <c r="O79" s="478"/>
      <c r="P79" s="541"/>
      <c r="Q79" s="541"/>
      <c r="R79" s="541"/>
      <c r="S79" s="541"/>
      <c r="T79" s="541"/>
      <c r="U79" s="435"/>
      <c r="V79" s="435"/>
      <c r="W79" s="435"/>
      <c r="X79" s="435"/>
      <c r="Y79" s="435"/>
      <c r="Z79" s="435"/>
      <c r="AA79" s="435"/>
      <c r="AB79" s="435"/>
      <c r="AC79" s="435"/>
    </row>
    <row r="80" spans="2:29" x14ac:dyDescent="0.2">
      <c r="B80" s="268" t="s">
        <v>270</v>
      </c>
      <c r="C80" s="72" t="s">
        <v>267</v>
      </c>
      <c r="D80" s="476" t="s">
        <v>542</v>
      </c>
      <c r="E80" s="479" t="s">
        <v>558</v>
      </c>
      <c r="F80" s="476" t="s">
        <v>574</v>
      </c>
      <c r="G80" s="476" t="s">
        <v>589</v>
      </c>
      <c r="H80" s="477">
        <v>110341</v>
      </c>
      <c r="I80" s="539"/>
      <c r="J80" s="435"/>
      <c r="K80" s="435"/>
      <c r="L80" s="435"/>
      <c r="M80" s="540"/>
      <c r="N80" s="435"/>
      <c r="O80" s="478"/>
      <c r="P80" s="541"/>
      <c r="Q80" s="541"/>
      <c r="R80" s="541"/>
      <c r="S80" s="541"/>
      <c r="T80" s="541"/>
      <c r="U80" s="435"/>
      <c r="V80" s="435"/>
      <c r="W80" s="435"/>
      <c r="X80" s="435"/>
      <c r="Y80" s="435"/>
      <c r="Z80" s="435"/>
      <c r="AA80" s="435"/>
      <c r="AB80" s="435"/>
      <c r="AC80" s="435"/>
    </row>
    <row r="81" spans="1:29" x14ac:dyDescent="0.2">
      <c r="B81" s="268" t="s">
        <v>271</v>
      </c>
      <c r="C81" s="72" t="s">
        <v>267</v>
      </c>
      <c r="D81" s="476" t="s">
        <v>543</v>
      </c>
      <c r="E81" s="479" t="s">
        <v>559</v>
      </c>
      <c r="F81" s="476" t="s">
        <v>575</v>
      </c>
      <c r="G81" s="476" t="s">
        <v>590</v>
      </c>
      <c r="H81" s="477">
        <v>110014</v>
      </c>
      <c r="I81" s="539"/>
      <c r="J81" s="435"/>
      <c r="K81" s="435"/>
      <c r="L81" s="435"/>
      <c r="M81" s="540"/>
      <c r="N81" s="435"/>
      <c r="O81" s="478"/>
      <c r="P81" s="541"/>
      <c r="Q81" s="541"/>
      <c r="R81" s="541"/>
      <c r="S81" s="541"/>
      <c r="T81" s="541"/>
      <c r="U81" s="435"/>
      <c r="V81" s="435"/>
      <c r="W81" s="435"/>
      <c r="X81" s="435"/>
      <c r="Y81" s="435"/>
      <c r="Z81" s="435"/>
      <c r="AA81" s="435"/>
      <c r="AB81" s="435"/>
      <c r="AC81" s="435"/>
    </row>
    <row r="82" spans="1:29" x14ac:dyDescent="0.2">
      <c r="A82" s="543" t="s">
        <v>339</v>
      </c>
      <c r="B82" s="268" t="s">
        <v>272</v>
      </c>
      <c r="C82" s="72" t="s">
        <v>267</v>
      </c>
      <c r="D82" s="476" t="s">
        <v>544</v>
      </c>
      <c r="E82" s="479" t="s">
        <v>560</v>
      </c>
      <c r="F82" s="476" t="s">
        <v>576</v>
      </c>
      <c r="G82" s="476" t="s">
        <v>591</v>
      </c>
      <c r="H82" s="477">
        <v>148860</v>
      </c>
      <c r="I82" s="539"/>
      <c r="J82" s="435"/>
      <c r="K82" s="435"/>
      <c r="L82" s="435"/>
      <c r="M82" s="540"/>
      <c r="N82" s="435"/>
      <c r="O82" s="478"/>
      <c r="P82" s="541"/>
      <c r="Q82" s="541"/>
      <c r="R82" s="541"/>
      <c r="S82" s="541"/>
      <c r="T82" s="541"/>
      <c r="U82" s="435"/>
      <c r="V82" s="435"/>
      <c r="W82" s="435"/>
      <c r="X82" s="435"/>
      <c r="Y82" s="435"/>
      <c r="Z82" s="435"/>
      <c r="AA82" s="435"/>
      <c r="AB82" s="435"/>
      <c r="AC82" s="435"/>
    </row>
    <row r="83" spans="1:29" x14ac:dyDescent="0.2">
      <c r="B83" s="268" t="s">
        <v>127</v>
      </c>
      <c r="C83" s="72" t="s">
        <v>267</v>
      </c>
      <c r="D83" s="476" t="s">
        <v>545</v>
      </c>
      <c r="E83" s="479" t="s">
        <v>561</v>
      </c>
      <c r="F83" s="476" t="s">
        <v>577</v>
      </c>
      <c r="G83" s="476" t="s">
        <v>590</v>
      </c>
      <c r="H83" s="477">
        <v>118545</v>
      </c>
      <c r="I83" s="539"/>
      <c r="J83" s="435"/>
      <c r="K83" s="435"/>
      <c r="L83" s="435"/>
      <c r="M83" s="540"/>
      <c r="N83" s="435"/>
      <c r="O83" s="478"/>
      <c r="P83" s="541"/>
      <c r="Q83" s="541"/>
      <c r="R83" s="541"/>
      <c r="S83" s="541"/>
      <c r="T83" s="541"/>
      <c r="U83" s="435"/>
      <c r="V83" s="435"/>
      <c r="W83" s="435"/>
      <c r="X83" s="435"/>
      <c r="Y83" s="435"/>
      <c r="Z83" s="435"/>
      <c r="AA83" s="435"/>
      <c r="AB83" s="435"/>
      <c r="AC83" s="435"/>
    </row>
    <row r="84" spans="1:29" s="543" customFormat="1" x14ac:dyDescent="0.2">
      <c r="A84" s="3"/>
      <c r="B84" s="268" t="s">
        <v>273</v>
      </c>
      <c r="C84" s="309" t="s">
        <v>274</v>
      </c>
      <c r="D84" s="476" t="s">
        <v>546</v>
      </c>
      <c r="E84" s="479" t="s">
        <v>562</v>
      </c>
      <c r="F84" s="476" t="s">
        <v>578</v>
      </c>
      <c r="G84" s="476" t="s">
        <v>592</v>
      </c>
      <c r="H84" s="477">
        <v>96782</v>
      </c>
      <c r="I84" s="539"/>
      <c r="J84" s="435"/>
      <c r="K84" s="435"/>
      <c r="L84" s="435"/>
      <c r="M84" s="540"/>
      <c r="N84" s="435"/>
      <c r="O84" s="478"/>
      <c r="P84" s="541"/>
      <c r="Q84" s="541"/>
      <c r="R84" s="541"/>
      <c r="S84" s="435"/>
      <c r="T84" s="541"/>
      <c r="U84" s="435"/>
      <c r="V84" s="435"/>
      <c r="W84" s="435"/>
      <c r="X84" s="435"/>
      <c r="Y84" s="435"/>
      <c r="Z84" s="435"/>
      <c r="AA84" s="435"/>
      <c r="AB84" s="435"/>
      <c r="AC84" s="435"/>
    </row>
    <row r="85" spans="1:29" s="543" customFormat="1" x14ac:dyDescent="0.2">
      <c r="A85" s="3"/>
      <c r="B85" s="268" t="s">
        <v>275</v>
      </c>
      <c r="C85" s="309" t="s">
        <v>274</v>
      </c>
      <c r="D85" s="476" t="s">
        <v>547</v>
      </c>
      <c r="E85" s="479" t="s">
        <v>563</v>
      </c>
      <c r="F85" s="476" t="s">
        <v>579</v>
      </c>
      <c r="G85" s="476" t="s">
        <v>593</v>
      </c>
      <c r="H85" s="477">
        <v>103234</v>
      </c>
      <c r="I85" s="539"/>
      <c r="J85" s="435"/>
      <c r="K85" s="435"/>
      <c r="L85" s="435"/>
      <c r="M85" s="540"/>
      <c r="N85" s="435"/>
      <c r="O85" s="478"/>
      <c r="P85" s="541"/>
      <c r="Q85" s="541"/>
      <c r="R85" s="541"/>
      <c r="S85" s="435"/>
      <c r="T85" s="541"/>
      <c r="U85" s="435"/>
      <c r="V85" s="435"/>
      <c r="W85" s="435"/>
      <c r="X85" s="435"/>
      <c r="Y85" s="435"/>
      <c r="Z85" s="435"/>
      <c r="AA85" s="435"/>
      <c r="AB85" s="435"/>
      <c r="AC85" s="435"/>
    </row>
    <row r="86" spans="1:29" s="543" customFormat="1" x14ac:dyDescent="0.2">
      <c r="A86" s="3"/>
      <c r="B86" s="268" t="s">
        <v>247</v>
      </c>
      <c r="C86" s="309" t="s">
        <v>274</v>
      </c>
      <c r="D86" s="476" t="s">
        <v>548</v>
      </c>
      <c r="E86" s="479" t="s">
        <v>564</v>
      </c>
      <c r="F86" s="476" t="s">
        <v>580</v>
      </c>
      <c r="G86" s="476" t="s">
        <v>591</v>
      </c>
      <c r="H86" s="477">
        <v>111395</v>
      </c>
      <c r="I86" s="539"/>
      <c r="J86" s="435"/>
      <c r="K86" s="435"/>
      <c r="L86" s="435"/>
      <c r="M86" s="540"/>
      <c r="N86" s="435"/>
      <c r="O86" s="478"/>
      <c r="P86" s="541"/>
      <c r="Q86" s="541"/>
      <c r="R86" s="541"/>
      <c r="S86" s="435"/>
      <c r="T86" s="541"/>
      <c r="U86" s="435"/>
      <c r="V86" s="435"/>
      <c r="W86" s="435"/>
      <c r="X86" s="435"/>
      <c r="Y86" s="435"/>
      <c r="Z86" s="435"/>
      <c r="AA86" s="435"/>
      <c r="AB86" s="435"/>
      <c r="AC86" s="435"/>
    </row>
    <row r="87" spans="1:29" s="543" customFormat="1" x14ac:dyDescent="0.2">
      <c r="A87" s="3"/>
      <c r="B87" s="310" t="s">
        <v>269</v>
      </c>
      <c r="C87" s="309" t="s">
        <v>274</v>
      </c>
      <c r="D87" s="479" t="s">
        <v>549</v>
      </c>
      <c r="E87" s="479" t="s">
        <v>565</v>
      </c>
      <c r="F87" s="479" t="s">
        <v>581</v>
      </c>
      <c r="G87" s="476" t="s">
        <v>594</v>
      </c>
      <c r="H87" s="477">
        <v>104333</v>
      </c>
      <c r="I87" s="539"/>
      <c r="J87" s="435"/>
      <c r="K87" s="435"/>
      <c r="L87" s="435"/>
      <c r="M87" s="435"/>
      <c r="N87" s="435"/>
      <c r="O87" s="435"/>
      <c r="P87" s="435"/>
      <c r="Q87" s="435"/>
      <c r="R87" s="435"/>
      <c r="S87" s="435"/>
      <c r="T87" s="435"/>
      <c r="U87" s="435"/>
      <c r="V87" s="435"/>
      <c r="W87" s="435"/>
      <c r="X87" s="435"/>
      <c r="Y87" s="435"/>
      <c r="Z87" s="435"/>
      <c r="AA87" s="435"/>
      <c r="AB87" s="435"/>
      <c r="AC87" s="435"/>
    </row>
    <row r="88" spans="1:29" x14ac:dyDescent="0.2">
      <c r="B88" s="302" t="s">
        <v>276</v>
      </c>
      <c r="C88" s="401" t="s">
        <v>267</v>
      </c>
      <c r="D88" s="481" t="s">
        <v>550</v>
      </c>
      <c r="E88" s="482" t="s">
        <v>566</v>
      </c>
      <c r="F88" s="481" t="s">
        <v>582</v>
      </c>
      <c r="G88" s="481" t="s">
        <v>595</v>
      </c>
      <c r="H88" s="483">
        <v>124822</v>
      </c>
      <c r="I88" s="539"/>
      <c r="J88" s="435"/>
      <c r="K88" s="435"/>
      <c r="L88" s="435"/>
      <c r="M88" s="435"/>
      <c r="N88" s="435"/>
      <c r="O88" s="435"/>
      <c r="P88" s="435"/>
      <c r="Q88" s="435"/>
      <c r="R88" s="435"/>
      <c r="S88" s="435"/>
      <c r="T88" s="435"/>
      <c r="U88" s="435"/>
      <c r="V88" s="435"/>
      <c r="W88" s="435"/>
      <c r="X88" s="435"/>
      <c r="Y88" s="435"/>
      <c r="Z88" s="435"/>
      <c r="AA88" s="435"/>
      <c r="AB88" s="435"/>
      <c r="AC88" s="435"/>
    </row>
    <row r="89" spans="1:29" x14ac:dyDescent="0.2">
      <c r="B89" s="305" t="s">
        <v>276</v>
      </c>
      <c r="C89" s="400" t="s">
        <v>274</v>
      </c>
      <c r="D89" s="484" t="s">
        <v>551</v>
      </c>
      <c r="E89" s="484" t="s">
        <v>567</v>
      </c>
      <c r="F89" s="484" t="s">
        <v>583</v>
      </c>
      <c r="G89" s="485" t="s">
        <v>741</v>
      </c>
      <c r="H89" s="486">
        <v>88086</v>
      </c>
      <c r="I89" s="539"/>
      <c r="J89" s="435"/>
      <c r="K89" s="435"/>
      <c r="L89" s="435"/>
      <c r="M89" s="435"/>
      <c r="N89" s="435"/>
      <c r="O89" s="435"/>
      <c r="P89" s="435"/>
      <c r="Q89" s="435"/>
      <c r="R89" s="435"/>
      <c r="S89" s="435"/>
      <c r="T89" s="435"/>
      <c r="U89" s="435"/>
      <c r="V89" s="435"/>
      <c r="W89" s="435"/>
      <c r="X89" s="435"/>
      <c r="Y89" s="435"/>
      <c r="Z89" s="435"/>
      <c r="AA89" s="435"/>
      <c r="AB89" s="435"/>
      <c r="AC89" s="435"/>
    </row>
    <row r="90" spans="1:29" x14ac:dyDescent="0.2">
      <c r="J90" s="435"/>
      <c r="K90" s="435"/>
      <c r="L90" s="435"/>
      <c r="M90" s="540"/>
      <c r="N90" s="435"/>
      <c r="O90" s="487"/>
      <c r="P90" s="541"/>
      <c r="Q90" s="541"/>
      <c r="R90" s="541"/>
      <c r="S90" s="435"/>
      <c r="T90" s="541"/>
      <c r="U90" s="435"/>
      <c r="V90" s="435"/>
      <c r="W90" s="435"/>
      <c r="X90" s="435"/>
      <c r="Y90" s="435"/>
      <c r="Z90" s="435"/>
      <c r="AA90" s="435"/>
      <c r="AB90" s="435"/>
      <c r="AC90" s="435"/>
    </row>
    <row r="91" spans="1:29" x14ac:dyDescent="0.2">
      <c r="J91" s="435"/>
      <c r="K91" s="435"/>
      <c r="L91" s="435"/>
      <c r="M91" s="540"/>
      <c r="N91" s="435"/>
      <c r="O91" s="325"/>
      <c r="P91" s="541"/>
      <c r="Q91" s="541"/>
      <c r="R91" s="541"/>
      <c r="S91" s="435"/>
      <c r="T91" s="541"/>
      <c r="U91" s="435"/>
      <c r="V91" s="435"/>
      <c r="W91" s="435"/>
      <c r="X91" s="435"/>
      <c r="Y91" s="435"/>
      <c r="Z91" s="435"/>
      <c r="AA91" s="435"/>
      <c r="AB91" s="435"/>
      <c r="AC91" s="435"/>
    </row>
    <row r="92" spans="1:29" x14ac:dyDescent="0.2">
      <c r="B92" s="191" t="s">
        <v>531</v>
      </c>
      <c r="J92" s="435"/>
      <c r="K92" s="435"/>
      <c r="L92" s="435"/>
      <c r="M92" s="540"/>
      <c r="N92" s="435"/>
      <c r="O92" s="325"/>
      <c r="P92" s="541"/>
      <c r="Q92" s="541"/>
      <c r="R92" s="541"/>
      <c r="S92" s="435"/>
      <c r="T92" s="541"/>
      <c r="U92" s="435"/>
      <c r="V92" s="435"/>
      <c r="W92" s="435"/>
    </row>
    <row r="93" spans="1:29" x14ac:dyDescent="0.2">
      <c r="J93" s="435"/>
      <c r="K93" s="435"/>
      <c r="L93" s="435"/>
      <c r="M93" s="435"/>
      <c r="N93" s="435"/>
      <c r="O93" s="435"/>
      <c r="P93" s="435"/>
      <c r="Q93" s="435"/>
      <c r="R93" s="435"/>
      <c r="S93" s="435"/>
      <c r="T93" s="435"/>
      <c r="U93" s="435"/>
      <c r="V93" s="435"/>
      <c r="W93" s="435"/>
    </row>
    <row r="94" spans="1:29" x14ac:dyDescent="0.2">
      <c r="B94" s="217" t="s">
        <v>259</v>
      </c>
      <c r="C94" s="217"/>
      <c r="D94" s="596" t="s">
        <v>260</v>
      </c>
      <c r="E94" s="596"/>
      <c r="F94" s="596"/>
      <c r="G94" s="596"/>
      <c r="J94" s="435"/>
      <c r="K94" s="435"/>
      <c r="L94" s="435"/>
      <c r="M94" s="435"/>
      <c r="N94" s="435"/>
      <c r="O94" s="541"/>
      <c r="P94" s="541"/>
      <c r="Q94" s="541"/>
      <c r="R94" s="435"/>
      <c r="S94" s="435"/>
      <c r="T94" s="435"/>
      <c r="U94" s="435"/>
      <c r="V94" s="435"/>
      <c r="W94" s="435"/>
    </row>
    <row r="95" spans="1:29" x14ac:dyDescent="0.2">
      <c r="B95" s="67" t="s">
        <v>742</v>
      </c>
      <c r="C95" s="67" t="s">
        <v>277</v>
      </c>
      <c r="D95" s="403" t="s">
        <v>278</v>
      </c>
      <c r="E95" s="403" t="s">
        <v>263</v>
      </c>
      <c r="F95" s="403" t="s">
        <v>279</v>
      </c>
      <c r="G95" s="403" t="s">
        <v>2</v>
      </c>
      <c r="H95" s="539"/>
      <c r="J95" s="435"/>
      <c r="K95" s="435"/>
      <c r="L95" s="435"/>
      <c r="M95" s="435"/>
      <c r="N95" s="435"/>
      <c r="O95" s="541"/>
      <c r="P95" s="541"/>
      <c r="Q95" s="541"/>
      <c r="R95" s="435"/>
      <c r="S95" s="435"/>
      <c r="T95" s="435"/>
      <c r="U95" s="435"/>
      <c r="V95" s="435"/>
      <c r="W95" s="435"/>
    </row>
    <row r="96" spans="1:29" x14ac:dyDescent="0.2">
      <c r="B96" s="268" t="s">
        <v>266</v>
      </c>
      <c r="C96" s="72" t="s">
        <v>267</v>
      </c>
      <c r="D96" s="75" t="s">
        <v>596</v>
      </c>
      <c r="E96" s="75" t="s">
        <v>612</v>
      </c>
      <c r="F96" s="212" t="s">
        <v>628</v>
      </c>
      <c r="G96" s="84">
        <v>131311</v>
      </c>
      <c r="H96" s="544"/>
      <c r="J96" s="435"/>
      <c r="K96" s="435"/>
      <c r="L96" s="435"/>
      <c r="M96" s="435"/>
      <c r="N96" s="435"/>
      <c r="O96" s="541"/>
      <c r="P96" s="541"/>
      <c r="Q96" s="541"/>
      <c r="R96" s="435"/>
      <c r="S96" s="435"/>
      <c r="T96" s="435"/>
      <c r="U96" s="435"/>
      <c r="V96" s="435"/>
      <c r="W96" s="435"/>
    </row>
    <row r="97" spans="1:23" x14ac:dyDescent="0.2">
      <c r="B97" s="268" t="s">
        <v>268</v>
      </c>
      <c r="C97" s="72" t="s">
        <v>267</v>
      </c>
      <c r="D97" s="75" t="s">
        <v>597</v>
      </c>
      <c r="E97" s="75" t="s">
        <v>613</v>
      </c>
      <c r="F97" s="212" t="s">
        <v>629</v>
      </c>
      <c r="G97" s="84">
        <v>83495</v>
      </c>
      <c r="H97" s="544"/>
      <c r="J97" s="435"/>
      <c r="K97" s="435"/>
      <c r="L97" s="435"/>
      <c r="M97" s="435"/>
      <c r="N97" s="435"/>
      <c r="O97" s="435"/>
      <c r="P97" s="435"/>
      <c r="Q97" s="435"/>
      <c r="R97" s="435"/>
      <c r="S97" s="435"/>
      <c r="T97" s="435"/>
      <c r="U97" s="435"/>
      <c r="V97" s="435"/>
      <c r="W97" s="435"/>
    </row>
    <row r="98" spans="1:23" x14ac:dyDescent="0.2">
      <c r="B98" s="268" t="s">
        <v>96</v>
      </c>
      <c r="C98" s="72" t="s">
        <v>267</v>
      </c>
      <c r="D98" s="75" t="s">
        <v>598</v>
      </c>
      <c r="E98" s="75" t="s">
        <v>614</v>
      </c>
      <c r="F98" s="212" t="s">
        <v>630</v>
      </c>
      <c r="G98" s="84">
        <v>92893</v>
      </c>
      <c r="H98" s="544"/>
      <c r="J98" s="435"/>
      <c r="K98" s="435"/>
      <c r="L98" s="435"/>
      <c r="M98" s="435"/>
      <c r="N98" s="435"/>
      <c r="O98" s="435"/>
      <c r="P98" s="435"/>
      <c r="Q98" s="435"/>
      <c r="R98" s="435"/>
      <c r="S98" s="435"/>
      <c r="T98" s="435"/>
      <c r="U98" s="435"/>
      <c r="V98" s="435"/>
      <c r="W98" s="435"/>
    </row>
    <row r="99" spans="1:23" x14ac:dyDescent="0.2">
      <c r="B99" s="268" t="s">
        <v>97</v>
      </c>
      <c r="C99" s="72" t="s">
        <v>267</v>
      </c>
      <c r="D99" s="75" t="s">
        <v>599</v>
      </c>
      <c r="E99" s="75" t="s">
        <v>615</v>
      </c>
      <c r="F99" s="212" t="s">
        <v>631</v>
      </c>
      <c r="G99" s="84">
        <v>121703</v>
      </c>
      <c r="H99" s="539"/>
      <c r="J99" s="435"/>
      <c r="K99" s="435"/>
      <c r="L99" s="435"/>
      <c r="M99" s="435"/>
      <c r="N99" s="435"/>
      <c r="O99" s="435"/>
      <c r="P99" s="435"/>
      <c r="Q99" s="435"/>
      <c r="R99" s="435"/>
      <c r="S99" s="435"/>
      <c r="T99" s="435"/>
      <c r="U99" s="435"/>
      <c r="V99" s="435"/>
      <c r="W99" s="435"/>
    </row>
    <row r="100" spans="1:23" x14ac:dyDescent="0.2">
      <c r="B100" s="268" t="s">
        <v>269</v>
      </c>
      <c r="C100" s="72" t="s">
        <v>267</v>
      </c>
      <c r="D100" s="75" t="s">
        <v>600</v>
      </c>
      <c r="E100" s="75" t="s">
        <v>616</v>
      </c>
      <c r="F100" s="212" t="s">
        <v>632</v>
      </c>
      <c r="G100" s="84">
        <v>111923</v>
      </c>
      <c r="H100" s="544"/>
      <c r="J100" s="435"/>
      <c r="K100" s="435"/>
      <c r="L100" s="435"/>
      <c r="M100" s="435"/>
      <c r="N100" s="435"/>
      <c r="O100" s="435"/>
      <c r="P100" s="435"/>
      <c r="Q100" s="435"/>
      <c r="R100" s="435"/>
      <c r="S100" s="435"/>
      <c r="T100" s="435"/>
      <c r="U100" s="435"/>
      <c r="V100" s="435"/>
      <c r="W100" s="435"/>
    </row>
    <row r="101" spans="1:23" x14ac:dyDescent="0.2">
      <c r="A101" s="543" t="s">
        <v>339</v>
      </c>
      <c r="B101" s="268" t="s">
        <v>98</v>
      </c>
      <c r="C101" s="72" t="s">
        <v>267</v>
      </c>
      <c r="D101" s="75" t="s">
        <v>601</v>
      </c>
      <c r="E101" s="75" t="s">
        <v>617</v>
      </c>
      <c r="F101" s="212" t="s">
        <v>633</v>
      </c>
      <c r="G101" s="84">
        <v>92516</v>
      </c>
      <c r="H101" s="544"/>
      <c r="J101" s="435"/>
      <c r="K101" s="435"/>
      <c r="L101" s="435"/>
      <c r="M101" s="435"/>
      <c r="N101" s="435"/>
      <c r="O101" s="435"/>
      <c r="P101" s="435"/>
      <c r="Q101" s="435"/>
      <c r="R101" s="435"/>
      <c r="S101" s="435"/>
      <c r="T101" s="435"/>
      <c r="U101" s="435"/>
      <c r="V101" s="435"/>
      <c r="W101" s="435"/>
    </row>
    <row r="102" spans="1:23" x14ac:dyDescent="0.2">
      <c r="B102" s="268" t="s">
        <v>270</v>
      </c>
      <c r="C102" s="72" t="s">
        <v>267</v>
      </c>
      <c r="D102" s="75" t="s">
        <v>602</v>
      </c>
      <c r="E102" s="75" t="s">
        <v>618</v>
      </c>
      <c r="F102" s="212" t="s">
        <v>634</v>
      </c>
      <c r="G102" s="84">
        <v>77060</v>
      </c>
      <c r="H102" s="539"/>
      <c r="I102" s="488"/>
      <c r="J102" s="435"/>
      <c r="K102" s="435"/>
      <c r="L102" s="435"/>
      <c r="M102" s="435"/>
      <c r="N102" s="435"/>
      <c r="O102" s="435"/>
      <c r="P102" s="435"/>
      <c r="Q102" s="435"/>
      <c r="R102" s="435"/>
      <c r="S102" s="435"/>
      <c r="T102" s="435"/>
      <c r="U102" s="435"/>
      <c r="V102" s="435"/>
      <c r="W102" s="435"/>
    </row>
    <row r="103" spans="1:23" x14ac:dyDescent="0.2">
      <c r="B103" s="268" t="s">
        <v>271</v>
      </c>
      <c r="C103" s="72" t="s">
        <v>267</v>
      </c>
      <c r="D103" s="75" t="s">
        <v>603</v>
      </c>
      <c r="E103" s="75" t="s">
        <v>619</v>
      </c>
      <c r="F103" s="212" t="s">
        <v>635</v>
      </c>
      <c r="G103" s="84">
        <v>81371</v>
      </c>
      <c r="H103" s="539"/>
      <c r="K103" s="435"/>
      <c r="L103" s="435"/>
      <c r="M103" s="435"/>
      <c r="N103" s="435"/>
      <c r="O103" s="435"/>
      <c r="P103" s="435"/>
      <c r="Q103" s="435"/>
      <c r="R103" s="435"/>
      <c r="S103" s="435"/>
      <c r="T103" s="435"/>
      <c r="U103" s="435"/>
      <c r="V103" s="435"/>
      <c r="W103" s="435"/>
    </row>
    <row r="104" spans="1:23" x14ac:dyDescent="0.2">
      <c r="B104" s="268" t="s">
        <v>272</v>
      </c>
      <c r="C104" s="72" t="s">
        <v>267</v>
      </c>
      <c r="D104" s="75" t="s">
        <v>604</v>
      </c>
      <c r="E104" s="75" t="s">
        <v>620</v>
      </c>
      <c r="F104" s="212" t="s">
        <v>636</v>
      </c>
      <c r="G104" s="84">
        <v>117857</v>
      </c>
      <c r="H104" s="539"/>
      <c r="K104" s="435"/>
      <c r="L104" s="435"/>
      <c r="M104" s="435"/>
      <c r="N104" s="435"/>
      <c r="O104" s="435"/>
      <c r="P104" s="435"/>
      <c r="Q104" s="435"/>
      <c r="R104" s="435"/>
      <c r="S104" s="435"/>
      <c r="T104" s="435"/>
      <c r="U104" s="435"/>
      <c r="V104" s="435"/>
      <c r="W104" s="435"/>
    </row>
    <row r="105" spans="1:23" x14ac:dyDescent="0.2">
      <c r="B105" s="268" t="s">
        <v>127</v>
      </c>
      <c r="C105" s="72" t="s">
        <v>267</v>
      </c>
      <c r="D105" s="75" t="s">
        <v>605</v>
      </c>
      <c r="E105" s="75" t="s">
        <v>621</v>
      </c>
      <c r="F105" s="212" t="s">
        <v>637</v>
      </c>
      <c r="G105" s="84">
        <v>91763</v>
      </c>
      <c r="H105" s="539"/>
      <c r="K105" s="435"/>
      <c r="L105" s="435"/>
      <c r="M105" s="435"/>
      <c r="N105" s="435"/>
      <c r="O105" s="435"/>
      <c r="P105" s="435"/>
      <c r="Q105" s="435"/>
      <c r="R105" s="435"/>
      <c r="S105" s="435"/>
      <c r="T105" s="435"/>
      <c r="U105" s="435"/>
      <c r="V105" s="435"/>
      <c r="W105" s="435"/>
    </row>
    <row r="106" spans="1:23" x14ac:dyDescent="0.2">
      <c r="B106" s="268" t="s">
        <v>273</v>
      </c>
      <c r="C106" s="72" t="s">
        <v>274</v>
      </c>
      <c r="D106" s="75" t="s">
        <v>606</v>
      </c>
      <c r="E106" s="75" t="s">
        <v>622</v>
      </c>
      <c r="F106" s="212" t="s">
        <v>638</v>
      </c>
      <c r="G106" s="84">
        <v>75795</v>
      </c>
      <c r="H106" s="539"/>
      <c r="I106" s="65"/>
      <c r="J106" s="65"/>
      <c r="K106" s="435"/>
      <c r="L106" s="435"/>
      <c r="M106" s="435"/>
      <c r="N106" s="435"/>
      <c r="O106" s="435"/>
      <c r="P106" s="435"/>
      <c r="Q106" s="435"/>
      <c r="R106" s="435"/>
      <c r="S106" s="435"/>
      <c r="T106" s="435"/>
      <c r="U106" s="435"/>
      <c r="V106" s="435"/>
      <c r="W106" s="435"/>
    </row>
    <row r="107" spans="1:23" x14ac:dyDescent="0.2">
      <c r="B107" s="268" t="s">
        <v>275</v>
      </c>
      <c r="C107" s="72" t="s">
        <v>274</v>
      </c>
      <c r="D107" s="75" t="s">
        <v>607</v>
      </c>
      <c r="E107" s="75" t="s">
        <v>623</v>
      </c>
      <c r="F107" s="212" t="s">
        <v>639</v>
      </c>
      <c r="G107" s="84">
        <v>61096</v>
      </c>
      <c r="H107" s="539"/>
      <c r="K107" s="435"/>
      <c r="L107" s="435"/>
      <c r="M107" s="435"/>
      <c r="N107" s="435"/>
      <c r="O107" s="435"/>
      <c r="P107" s="435"/>
      <c r="Q107" s="435"/>
      <c r="R107" s="435"/>
      <c r="S107" s="435"/>
      <c r="T107" s="435"/>
      <c r="U107" s="435"/>
      <c r="V107" s="435"/>
      <c r="W107" s="435"/>
    </row>
    <row r="108" spans="1:23" x14ac:dyDescent="0.2">
      <c r="B108" s="268" t="s">
        <v>247</v>
      </c>
      <c r="C108" s="72" t="s">
        <v>274</v>
      </c>
      <c r="D108" s="75" t="s">
        <v>608</v>
      </c>
      <c r="E108" s="75" t="s">
        <v>624</v>
      </c>
      <c r="F108" s="212" t="s">
        <v>640</v>
      </c>
      <c r="G108" s="84">
        <v>62535</v>
      </c>
      <c r="H108" s="539"/>
      <c r="I108" s="65"/>
      <c r="J108" s="65"/>
      <c r="K108" s="435"/>
      <c r="L108" s="435"/>
      <c r="M108" s="435"/>
      <c r="N108" s="435"/>
      <c r="O108" s="435"/>
      <c r="P108" s="435"/>
      <c r="Q108" s="435"/>
      <c r="R108" s="435"/>
      <c r="S108" s="435"/>
      <c r="T108" s="435"/>
      <c r="U108" s="435"/>
      <c r="V108" s="435"/>
      <c r="W108" s="435"/>
    </row>
    <row r="109" spans="1:23" x14ac:dyDescent="0.2">
      <c r="B109" s="268" t="s">
        <v>269</v>
      </c>
      <c r="C109" s="72" t="s">
        <v>274</v>
      </c>
      <c r="D109" s="75" t="s">
        <v>609</v>
      </c>
      <c r="E109" s="75" t="s">
        <v>625</v>
      </c>
      <c r="F109" s="212" t="s">
        <v>641</v>
      </c>
      <c r="G109" s="84">
        <v>68993</v>
      </c>
      <c r="H109" s="539"/>
      <c r="K109" s="545"/>
      <c r="L109" s="541"/>
      <c r="M109" s="435"/>
      <c r="N109" s="435"/>
      <c r="O109" s="435"/>
      <c r="P109" s="435"/>
      <c r="Q109" s="435"/>
      <c r="R109" s="435"/>
      <c r="S109" s="435"/>
      <c r="T109" s="435"/>
      <c r="U109" s="435"/>
      <c r="V109" s="435"/>
      <c r="W109" s="435"/>
    </row>
    <row r="110" spans="1:23" x14ac:dyDescent="0.2">
      <c r="B110" s="302" t="s">
        <v>276</v>
      </c>
      <c r="C110" s="549" t="s">
        <v>280</v>
      </c>
      <c r="D110" s="482" t="s">
        <v>610</v>
      </c>
      <c r="E110" s="482" t="s">
        <v>626</v>
      </c>
      <c r="F110" s="482" t="s">
        <v>642</v>
      </c>
      <c r="G110" s="489">
        <v>95407</v>
      </c>
      <c r="H110" s="539"/>
      <c r="K110" s="435"/>
      <c r="L110" s="435"/>
      <c r="M110" s="435"/>
      <c r="N110" s="435"/>
      <c r="O110" s="435"/>
      <c r="P110" s="435"/>
      <c r="Q110" s="435"/>
      <c r="R110" s="435"/>
      <c r="S110" s="435"/>
      <c r="T110" s="435"/>
      <c r="U110" s="435"/>
      <c r="V110" s="435"/>
      <c r="W110" s="435"/>
    </row>
    <row r="111" spans="1:23" x14ac:dyDescent="0.2">
      <c r="B111" s="305" t="s">
        <v>276</v>
      </c>
      <c r="C111" s="400" t="s">
        <v>274</v>
      </c>
      <c r="D111" s="484" t="s">
        <v>611</v>
      </c>
      <c r="E111" s="484" t="s">
        <v>627</v>
      </c>
      <c r="F111" s="484" t="s">
        <v>643</v>
      </c>
      <c r="G111" s="490">
        <v>57202</v>
      </c>
      <c r="H111" s="539"/>
      <c r="K111" s="541"/>
      <c r="L111" s="541"/>
      <c r="M111" s="435"/>
      <c r="N111" s="435"/>
      <c r="O111" s="435"/>
      <c r="P111" s="435"/>
      <c r="Q111" s="435"/>
      <c r="R111" s="435"/>
      <c r="S111" s="435"/>
      <c r="T111" s="435"/>
      <c r="U111" s="435"/>
      <c r="V111" s="435"/>
      <c r="W111" s="435"/>
    </row>
    <row r="112" spans="1:23" x14ac:dyDescent="0.2">
      <c r="K112" s="435"/>
      <c r="L112" s="435"/>
      <c r="M112" s="435"/>
      <c r="N112" s="435"/>
      <c r="O112" s="435"/>
      <c r="P112" s="435"/>
      <c r="Q112" s="435"/>
      <c r="R112" s="435"/>
      <c r="S112" s="435"/>
      <c r="T112" s="435"/>
      <c r="U112" s="435"/>
      <c r="V112" s="435"/>
      <c r="W112" s="435"/>
    </row>
    <row r="113" spans="1:23" x14ac:dyDescent="0.2">
      <c r="K113" s="435"/>
      <c r="L113" s="435"/>
      <c r="M113" s="435"/>
      <c r="N113" s="435"/>
      <c r="O113" s="435"/>
      <c r="P113" s="435"/>
      <c r="Q113" s="435"/>
      <c r="R113" s="435"/>
      <c r="S113" s="435"/>
      <c r="T113" s="435"/>
      <c r="U113" s="435"/>
      <c r="V113" s="435"/>
      <c r="W113" s="435"/>
    </row>
    <row r="114" spans="1:23" x14ac:dyDescent="0.2">
      <c r="B114" s="191" t="s">
        <v>532</v>
      </c>
      <c r="K114" s="435"/>
      <c r="L114" s="435"/>
      <c r="M114" s="435"/>
      <c r="N114" s="435"/>
      <c r="O114" s="435"/>
      <c r="P114" s="435"/>
      <c r="Q114" s="435"/>
      <c r="R114" s="435"/>
      <c r="S114" s="435"/>
      <c r="T114" s="435"/>
      <c r="U114" s="435"/>
      <c r="V114" s="435"/>
      <c r="W114" s="435"/>
    </row>
    <row r="115" spans="1:23" x14ac:dyDescent="0.2">
      <c r="K115" s="435"/>
      <c r="L115" s="435"/>
      <c r="M115" s="435"/>
      <c r="N115" s="435"/>
      <c r="O115" s="435"/>
      <c r="P115" s="435"/>
      <c r="Q115" s="435"/>
      <c r="R115" s="435"/>
      <c r="S115" s="435"/>
      <c r="T115" s="435"/>
      <c r="U115" s="435"/>
      <c r="V115" s="435"/>
      <c r="W115" s="435"/>
    </row>
    <row r="116" spans="1:23" x14ac:dyDescent="0.2">
      <c r="B116" s="217" t="s">
        <v>259</v>
      </c>
      <c r="C116" s="217"/>
      <c r="D116" s="596" t="s">
        <v>281</v>
      </c>
      <c r="E116" s="596"/>
      <c r="F116" s="596"/>
      <c r="G116" s="596"/>
      <c r="H116" s="539"/>
    </row>
    <row r="117" spans="1:23" x14ac:dyDescent="0.2">
      <c r="B117" s="67" t="s">
        <v>742</v>
      </c>
      <c r="C117" s="491" t="s">
        <v>282</v>
      </c>
      <c r="D117" s="491" t="s">
        <v>283</v>
      </c>
      <c r="E117" s="491" t="s">
        <v>284</v>
      </c>
      <c r="F117" s="491" t="s">
        <v>285</v>
      </c>
      <c r="G117" s="491"/>
      <c r="H117" s="539"/>
    </row>
    <row r="118" spans="1:23" x14ac:dyDescent="0.2">
      <c r="B118" s="268" t="s">
        <v>266</v>
      </c>
      <c r="C118" s="72" t="s">
        <v>267</v>
      </c>
      <c r="D118" s="66">
        <v>64</v>
      </c>
      <c r="E118" s="66">
        <v>100</v>
      </c>
      <c r="F118" s="66">
        <v>100</v>
      </c>
      <c r="G118" s="66">
        <v>92</v>
      </c>
      <c r="H118" s="539"/>
    </row>
    <row r="119" spans="1:23" x14ac:dyDescent="0.2">
      <c r="B119" s="268" t="s">
        <v>268</v>
      </c>
      <c r="C119" s="72" t="s">
        <v>267</v>
      </c>
      <c r="D119" s="66">
        <v>22</v>
      </c>
      <c r="E119" s="66">
        <v>84</v>
      </c>
      <c r="F119" s="66">
        <v>100</v>
      </c>
      <c r="G119" s="66">
        <v>70</v>
      </c>
      <c r="H119" s="539"/>
    </row>
    <row r="120" spans="1:23" x14ac:dyDescent="0.2">
      <c r="B120" s="268" t="s">
        <v>96</v>
      </c>
      <c r="C120" s="72" t="s">
        <v>267</v>
      </c>
      <c r="D120" s="66">
        <v>35</v>
      </c>
      <c r="E120" s="66">
        <v>96</v>
      </c>
      <c r="F120" s="66">
        <v>91</v>
      </c>
      <c r="G120" s="66">
        <v>74</v>
      </c>
      <c r="H120" s="539"/>
    </row>
    <row r="121" spans="1:23" x14ac:dyDescent="0.2">
      <c r="B121" s="268" t="s">
        <v>97</v>
      </c>
      <c r="C121" s="72" t="s">
        <v>267</v>
      </c>
      <c r="D121" s="66">
        <v>47</v>
      </c>
      <c r="E121" s="66">
        <v>100</v>
      </c>
      <c r="F121" s="66">
        <v>90</v>
      </c>
      <c r="G121" s="66">
        <v>79</v>
      </c>
      <c r="H121" s="539"/>
    </row>
    <row r="122" spans="1:23" x14ac:dyDescent="0.2">
      <c r="B122" s="268" t="s">
        <v>269</v>
      </c>
      <c r="C122" s="72" t="s">
        <v>267</v>
      </c>
      <c r="D122" s="66">
        <v>36</v>
      </c>
      <c r="E122" s="66">
        <v>95</v>
      </c>
      <c r="F122" s="66">
        <v>96</v>
      </c>
      <c r="G122" s="66">
        <v>77</v>
      </c>
      <c r="H122" s="539"/>
    </row>
    <row r="123" spans="1:23" x14ac:dyDescent="0.2">
      <c r="B123" s="268" t="s">
        <v>98</v>
      </c>
      <c r="C123" s="72" t="s">
        <v>267</v>
      </c>
      <c r="D123" s="66">
        <v>50</v>
      </c>
      <c r="E123" s="66">
        <v>74</v>
      </c>
      <c r="F123" s="66">
        <v>91</v>
      </c>
      <c r="G123" s="66">
        <v>72</v>
      </c>
      <c r="H123" s="539"/>
      <c r="J123" s="75"/>
    </row>
    <row r="124" spans="1:23" x14ac:dyDescent="0.2">
      <c r="A124" s="543" t="s">
        <v>339</v>
      </c>
      <c r="B124" s="268" t="s">
        <v>270</v>
      </c>
      <c r="C124" s="72" t="s">
        <v>267</v>
      </c>
      <c r="D124" s="66">
        <v>37</v>
      </c>
      <c r="E124" s="66">
        <v>96</v>
      </c>
      <c r="F124" s="66">
        <v>93</v>
      </c>
      <c r="G124" s="66">
        <v>70</v>
      </c>
      <c r="H124" s="539"/>
    </row>
    <row r="125" spans="1:23" x14ac:dyDescent="0.2">
      <c r="B125" s="268" t="s">
        <v>271</v>
      </c>
      <c r="C125" s="72" t="s">
        <v>267</v>
      </c>
      <c r="D125" s="66">
        <v>35</v>
      </c>
      <c r="E125" s="66">
        <v>99</v>
      </c>
      <c r="F125" s="66">
        <v>94</v>
      </c>
      <c r="G125" s="66">
        <v>74</v>
      </c>
      <c r="H125" s="539"/>
    </row>
    <row r="126" spans="1:23" x14ac:dyDescent="0.2">
      <c r="B126" s="268" t="s">
        <v>272</v>
      </c>
      <c r="C126" s="72" t="s">
        <v>267</v>
      </c>
      <c r="D126" s="66">
        <v>39</v>
      </c>
      <c r="E126" s="66">
        <v>93</v>
      </c>
      <c r="F126" s="66">
        <v>95</v>
      </c>
      <c r="G126" s="66">
        <v>79</v>
      </c>
      <c r="H126" s="539"/>
    </row>
    <row r="127" spans="1:23" x14ac:dyDescent="0.2">
      <c r="B127" s="268" t="s">
        <v>127</v>
      </c>
      <c r="C127" s="72" t="s">
        <v>267</v>
      </c>
      <c r="D127" s="66">
        <v>46</v>
      </c>
      <c r="E127" s="66">
        <v>89</v>
      </c>
      <c r="F127" s="66">
        <v>95</v>
      </c>
      <c r="G127" s="66">
        <v>77</v>
      </c>
      <c r="H127" s="539"/>
    </row>
    <row r="128" spans="1:23" x14ac:dyDescent="0.2">
      <c r="B128" s="268" t="s">
        <v>273</v>
      </c>
      <c r="C128" s="309" t="s">
        <v>274</v>
      </c>
      <c r="D128" s="66">
        <v>50</v>
      </c>
      <c r="E128" s="66">
        <v>100</v>
      </c>
      <c r="F128" s="66">
        <v>100</v>
      </c>
      <c r="G128" s="66">
        <v>78</v>
      </c>
      <c r="H128" s="539"/>
    </row>
    <row r="129" spans="1:16" x14ac:dyDescent="0.2">
      <c r="B129" s="268" t="s">
        <v>275</v>
      </c>
      <c r="C129" s="309" t="s">
        <v>274</v>
      </c>
      <c r="D129" s="66">
        <v>25</v>
      </c>
      <c r="E129" s="66">
        <v>84</v>
      </c>
      <c r="F129" s="66">
        <v>76</v>
      </c>
      <c r="G129" s="66">
        <v>59</v>
      </c>
      <c r="H129" s="539"/>
    </row>
    <row r="130" spans="1:16" x14ac:dyDescent="0.2">
      <c r="B130" s="268" t="s">
        <v>247</v>
      </c>
      <c r="C130" s="309" t="s">
        <v>274</v>
      </c>
      <c r="D130" s="66">
        <v>31</v>
      </c>
      <c r="E130" s="66">
        <v>98</v>
      </c>
      <c r="F130" s="66">
        <v>88</v>
      </c>
      <c r="G130" s="66">
        <v>56</v>
      </c>
      <c r="H130" s="539"/>
    </row>
    <row r="131" spans="1:16" x14ac:dyDescent="0.2">
      <c r="B131" s="310" t="s">
        <v>269</v>
      </c>
      <c r="C131" s="309" t="s">
        <v>274</v>
      </c>
      <c r="D131" s="66">
        <v>32</v>
      </c>
      <c r="E131" s="66">
        <v>91</v>
      </c>
      <c r="F131" s="66">
        <v>90</v>
      </c>
      <c r="G131" s="66">
        <v>66</v>
      </c>
      <c r="H131" s="539"/>
    </row>
    <row r="132" spans="1:16" x14ac:dyDescent="0.2">
      <c r="B132" s="295" t="s">
        <v>286</v>
      </c>
      <c r="C132" s="296" t="s">
        <v>267</v>
      </c>
      <c r="D132" s="297">
        <v>31</v>
      </c>
      <c r="E132" s="297">
        <v>94</v>
      </c>
      <c r="F132" s="297">
        <v>96</v>
      </c>
      <c r="G132" s="297">
        <v>76</v>
      </c>
      <c r="H132" s="539"/>
      <c r="I132" s="325"/>
      <c r="J132" s="325"/>
      <c r="K132" s="325"/>
      <c r="L132" s="325"/>
      <c r="M132" s="325"/>
      <c r="N132" s="325"/>
      <c r="O132" s="325"/>
      <c r="P132" s="325"/>
    </row>
    <row r="133" spans="1:16" x14ac:dyDescent="0.2">
      <c r="B133" s="298" t="s">
        <v>287</v>
      </c>
      <c r="C133" s="299" t="s">
        <v>274</v>
      </c>
      <c r="D133" s="300">
        <v>25</v>
      </c>
      <c r="E133" s="300">
        <v>94</v>
      </c>
      <c r="F133" s="300">
        <v>85</v>
      </c>
      <c r="G133" s="300">
        <v>65</v>
      </c>
      <c r="H133" s="539"/>
      <c r="I133" s="325"/>
      <c r="J133" s="325"/>
      <c r="K133" s="325"/>
      <c r="L133" s="325"/>
      <c r="M133" s="325"/>
      <c r="N133" s="325"/>
      <c r="O133" s="325"/>
      <c r="P133" s="325"/>
    </row>
    <row r="134" spans="1:16" x14ac:dyDescent="0.2">
      <c r="I134" s="325"/>
      <c r="J134" s="325"/>
      <c r="K134" s="325"/>
      <c r="L134" s="325"/>
      <c r="M134" s="325"/>
      <c r="N134" s="325"/>
      <c r="O134" s="325"/>
      <c r="P134" s="325"/>
    </row>
    <row r="135" spans="1:16" x14ac:dyDescent="0.2">
      <c r="B135" s="191" t="s">
        <v>533</v>
      </c>
      <c r="I135" s="325"/>
      <c r="J135" s="325"/>
      <c r="K135" s="325"/>
      <c r="L135" s="325"/>
      <c r="M135" s="325"/>
      <c r="N135" s="325"/>
      <c r="O135" s="325"/>
      <c r="P135" s="325"/>
    </row>
    <row r="136" spans="1:16" x14ac:dyDescent="0.2">
      <c r="B136" s="217" t="s">
        <v>259</v>
      </c>
      <c r="C136" s="217"/>
      <c r="D136" s="596" t="s">
        <v>288</v>
      </c>
      <c r="E136" s="596"/>
      <c r="F136" s="596"/>
      <c r="G136" s="217" t="s">
        <v>289</v>
      </c>
      <c r="H136" s="539"/>
      <c r="I136" s="325"/>
      <c r="J136" s="325"/>
      <c r="K136" s="597"/>
      <c r="L136" s="597"/>
      <c r="M136" s="597"/>
      <c r="N136" s="325"/>
      <c r="O136" s="325"/>
      <c r="P136" s="325"/>
    </row>
    <row r="137" spans="1:16" x14ac:dyDescent="0.2">
      <c r="B137" s="67" t="s">
        <v>742</v>
      </c>
      <c r="C137" s="67" t="s">
        <v>340</v>
      </c>
      <c r="D137" s="358" t="s">
        <v>53</v>
      </c>
      <c r="E137" s="358" t="s">
        <v>34</v>
      </c>
      <c r="F137" s="76" t="s">
        <v>2</v>
      </c>
      <c r="G137" s="67" t="s">
        <v>290</v>
      </c>
      <c r="H137" s="539"/>
      <c r="I137" s="325"/>
      <c r="J137" s="325"/>
      <c r="K137" s="325"/>
      <c r="L137" s="325"/>
      <c r="M137" s="325"/>
      <c r="N137" s="325"/>
      <c r="O137" s="325"/>
      <c r="P137" s="325"/>
    </row>
    <row r="138" spans="1:16" x14ac:dyDescent="0.2">
      <c r="B138" s="3" t="s">
        <v>266</v>
      </c>
      <c r="C138" s="72" t="s">
        <v>267</v>
      </c>
      <c r="D138" s="311">
        <v>4</v>
      </c>
      <c r="E138" s="311">
        <v>7</v>
      </c>
      <c r="F138" s="312">
        <f>+D138+E138</f>
        <v>11</v>
      </c>
      <c r="G138" s="301">
        <v>2221</v>
      </c>
      <c r="H138" s="539"/>
      <c r="I138" s="325"/>
      <c r="J138" s="325"/>
      <c r="K138" s="313"/>
      <c r="L138" s="313"/>
      <c r="M138" s="313"/>
      <c r="N138" s="326"/>
      <c r="O138" s="325"/>
      <c r="P138" s="325"/>
    </row>
    <row r="139" spans="1:16" x14ac:dyDescent="0.2">
      <c r="B139" s="3" t="s">
        <v>291</v>
      </c>
      <c r="C139" s="72" t="s">
        <v>267</v>
      </c>
      <c r="D139" s="312">
        <v>14</v>
      </c>
      <c r="E139" s="312">
        <v>4</v>
      </c>
      <c r="F139" s="312">
        <f t="shared" ref="F139:F148" si="1">+D139+E139</f>
        <v>18</v>
      </c>
      <c r="G139" s="301">
        <v>2037</v>
      </c>
      <c r="H139" s="539"/>
      <c r="I139" s="325"/>
      <c r="J139" s="325"/>
      <c r="K139" s="313"/>
      <c r="L139" s="313"/>
      <c r="M139" s="313"/>
      <c r="N139" s="326"/>
      <c r="O139" s="325"/>
      <c r="P139" s="325"/>
    </row>
    <row r="140" spans="1:16" x14ac:dyDescent="0.2">
      <c r="B140" s="3" t="s">
        <v>292</v>
      </c>
      <c r="C140" s="72" t="s">
        <v>267</v>
      </c>
      <c r="D140" s="312">
        <v>13</v>
      </c>
      <c r="E140" s="312">
        <v>7</v>
      </c>
      <c r="F140" s="312">
        <f t="shared" si="1"/>
        <v>20</v>
      </c>
      <c r="G140" s="301">
        <v>1847</v>
      </c>
      <c r="H140" s="539"/>
      <c r="I140" s="325"/>
      <c r="J140" s="325"/>
      <c r="K140" s="313"/>
      <c r="L140" s="313"/>
      <c r="M140" s="313"/>
      <c r="N140" s="326"/>
      <c r="O140" s="325"/>
      <c r="P140" s="325"/>
    </row>
    <row r="141" spans="1:16" x14ac:dyDescent="0.2">
      <c r="B141" s="3" t="s">
        <v>97</v>
      </c>
      <c r="C141" s="72" t="s">
        <v>267</v>
      </c>
      <c r="D141" s="312">
        <v>9</v>
      </c>
      <c r="E141" s="312">
        <v>8</v>
      </c>
      <c r="F141" s="312">
        <f t="shared" si="1"/>
        <v>17</v>
      </c>
      <c r="G141" s="312">
        <v>2429</v>
      </c>
      <c r="H141" s="539"/>
      <c r="I141" s="325"/>
      <c r="J141" s="325"/>
      <c r="K141" s="313"/>
      <c r="L141" s="313"/>
      <c r="M141" s="313"/>
      <c r="N141" s="326"/>
      <c r="O141" s="325"/>
      <c r="P141" s="325"/>
    </row>
    <row r="142" spans="1:16" x14ac:dyDescent="0.2">
      <c r="B142" s="3" t="s">
        <v>269</v>
      </c>
      <c r="C142" s="72" t="s">
        <v>267</v>
      </c>
      <c r="D142" s="312">
        <v>14</v>
      </c>
      <c r="E142" s="312">
        <v>8</v>
      </c>
      <c r="F142" s="312">
        <f t="shared" si="1"/>
        <v>22</v>
      </c>
      <c r="G142" s="301">
        <v>1831</v>
      </c>
      <c r="H142" s="539"/>
      <c r="I142" s="325"/>
      <c r="J142" s="325"/>
      <c r="K142" s="313"/>
      <c r="L142" s="313"/>
      <c r="M142" s="313"/>
      <c r="N142" s="326"/>
      <c r="O142" s="325"/>
      <c r="P142" s="325"/>
    </row>
    <row r="143" spans="1:16" x14ac:dyDescent="0.2">
      <c r="B143" s="3" t="s">
        <v>98</v>
      </c>
      <c r="C143" s="72" t="s">
        <v>267</v>
      </c>
      <c r="D143" s="312">
        <v>8</v>
      </c>
      <c r="E143" s="312">
        <v>8</v>
      </c>
      <c r="F143" s="312">
        <f t="shared" si="1"/>
        <v>16</v>
      </c>
      <c r="G143" s="301">
        <v>2042</v>
      </c>
      <c r="H143" s="539"/>
      <c r="I143" s="325"/>
      <c r="J143" s="325"/>
      <c r="K143" s="313"/>
      <c r="L143" s="313"/>
      <c r="M143" s="313"/>
      <c r="N143" s="313"/>
      <c r="O143" s="325"/>
      <c r="P143" s="325"/>
    </row>
    <row r="144" spans="1:16" x14ac:dyDescent="0.2">
      <c r="A144" s="543" t="s">
        <v>339</v>
      </c>
      <c r="B144" s="3" t="s">
        <v>270</v>
      </c>
      <c r="C144" s="72" t="s">
        <v>267</v>
      </c>
      <c r="D144" s="312">
        <v>12</v>
      </c>
      <c r="E144" s="312">
        <v>7</v>
      </c>
      <c r="F144" s="312">
        <f t="shared" si="1"/>
        <v>19</v>
      </c>
      <c r="G144" s="301">
        <v>2209</v>
      </c>
      <c r="H144" s="539"/>
      <c r="I144" s="325"/>
      <c r="J144" s="325"/>
      <c r="K144" s="313"/>
      <c r="L144" s="313"/>
      <c r="M144" s="313"/>
      <c r="N144" s="326"/>
      <c r="O144" s="325"/>
      <c r="P144" s="479"/>
    </row>
    <row r="145" spans="2:38" x14ac:dyDescent="0.2">
      <c r="B145" s="3" t="s">
        <v>271</v>
      </c>
      <c r="C145" s="72" t="s">
        <v>267</v>
      </c>
      <c r="D145" s="312">
        <v>11</v>
      </c>
      <c r="E145" s="312">
        <v>6</v>
      </c>
      <c r="F145" s="312">
        <f t="shared" si="1"/>
        <v>17</v>
      </c>
      <c r="G145" s="301">
        <v>2124</v>
      </c>
      <c r="H145" s="539"/>
      <c r="I145" s="325"/>
      <c r="J145" s="325"/>
      <c r="K145" s="313"/>
      <c r="L145" s="313"/>
      <c r="M145" s="313"/>
      <c r="N145" s="326"/>
      <c r="O145" s="325"/>
      <c r="P145" s="325"/>
    </row>
    <row r="146" spans="2:38" x14ac:dyDescent="0.2">
      <c r="B146" s="3" t="s">
        <v>272</v>
      </c>
      <c r="C146" s="72" t="s">
        <v>267</v>
      </c>
      <c r="D146" s="312">
        <v>11</v>
      </c>
      <c r="E146" s="312">
        <v>7</v>
      </c>
      <c r="F146" s="312">
        <f t="shared" si="1"/>
        <v>18</v>
      </c>
      <c r="G146" s="301">
        <v>1901</v>
      </c>
      <c r="H146" s="539"/>
      <c r="I146" s="325"/>
      <c r="J146" s="325"/>
      <c r="K146" s="313"/>
      <c r="L146" s="313"/>
      <c r="M146" s="313"/>
      <c r="N146" s="326"/>
      <c r="O146" s="325"/>
      <c r="P146" s="325"/>
    </row>
    <row r="147" spans="2:38" x14ac:dyDescent="0.2">
      <c r="B147" s="3" t="s">
        <v>127</v>
      </c>
      <c r="C147" s="72" t="s">
        <v>267</v>
      </c>
      <c r="D147" s="312">
        <v>7</v>
      </c>
      <c r="E147" s="312">
        <v>6</v>
      </c>
      <c r="F147" s="312">
        <f t="shared" si="1"/>
        <v>13</v>
      </c>
      <c r="G147" s="301">
        <v>2485</v>
      </c>
      <c r="H147" s="539"/>
      <c r="I147" s="325"/>
      <c r="J147" s="325"/>
      <c r="K147" s="313"/>
      <c r="L147" s="313"/>
      <c r="M147" s="313"/>
      <c r="N147" s="326"/>
      <c r="O147" s="495"/>
      <c r="P147" s="495"/>
    </row>
    <row r="148" spans="2:38" x14ac:dyDescent="0.2">
      <c r="B148" s="3" t="s">
        <v>333</v>
      </c>
      <c r="C148" s="72" t="s">
        <v>274</v>
      </c>
      <c r="D148" s="312">
        <v>8</v>
      </c>
      <c r="E148" s="312">
        <v>8</v>
      </c>
      <c r="F148" s="312">
        <f t="shared" si="1"/>
        <v>16</v>
      </c>
      <c r="G148" s="301">
        <v>2115</v>
      </c>
      <c r="H148" s="539"/>
      <c r="I148" s="325"/>
      <c r="J148" s="325"/>
      <c r="K148" s="313"/>
      <c r="L148" s="313"/>
      <c r="M148" s="313"/>
      <c r="N148" s="326"/>
      <c r="O148" s="495"/>
      <c r="P148" s="495"/>
    </row>
    <row r="149" spans="2:38" x14ac:dyDescent="0.2">
      <c r="B149" s="3" t="s">
        <v>334</v>
      </c>
      <c r="C149" s="72" t="s">
        <v>274</v>
      </c>
      <c r="D149" s="312">
        <v>12</v>
      </c>
      <c r="E149" s="312">
        <v>4</v>
      </c>
      <c r="F149" s="312">
        <f>+D149+E149</f>
        <v>16</v>
      </c>
      <c r="G149" s="301">
        <v>2357</v>
      </c>
      <c r="H149" s="546"/>
      <c r="I149" s="325"/>
      <c r="J149" s="325"/>
      <c r="K149" s="313"/>
      <c r="L149" s="313"/>
      <c r="M149" s="313"/>
      <c r="N149" s="326"/>
      <c r="O149" s="325"/>
      <c r="P149" s="325"/>
    </row>
    <row r="150" spans="2:38" x14ac:dyDescent="0.2">
      <c r="B150" s="3" t="s">
        <v>335</v>
      </c>
      <c r="C150" s="72" t="s">
        <v>274</v>
      </c>
      <c r="D150" s="312">
        <v>22</v>
      </c>
      <c r="E150" s="313">
        <v>10</v>
      </c>
      <c r="F150" s="312">
        <f>+D150+E150</f>
        <v>32</v>
      </c>
      <c r="G150" s="301">
        <v>1943</v>
      </c>
      <c r="H150" s="546"/>
      <c r="I150" s="325"/>
      <c r="J150" s="325"/>
      <c r="K150" s="313"/>
      <c r="L150" s="313"/>
      <c r="M150" s="313"/>
      <c r="N150" s="326"/>
      <c r="O150" s="325"/>
      <c r="P150" s="325"/>
    </row>
    <row r="151" spans="2:38" x14ac:dyDescent="0.2">
      <c r="B151" s="3" t="s">
        <v>269</v>
      </c>
      <c r="C151" s="72" t="s">
        <v>274</v>
      </c>
      <c r="D151" s="312">
        <v>13</v>
      </c>
      <c r="E151" s="313">
        <v>6</v>
      </c>
      <c r="F151" s="312">
        <f>+D151+E151</f>
        <v>19</v>
      </c>
      <c r="G151" s="301">
        <v>1988</v>
      </c>
      <c r="H151" s="539"/>
      <c r="I151" s="325"/>
      <c r="J151" s="325"/>
      <c r="K151" s="313"/>
      <c r="L151" s="313"/>
      <c r="M151" s="313"/>
      <c r="N151" s="326"/>
      <c r="O151" s="325"/>
      <c r="P151" s="325"/>
    </row>
    <row r="152" spans="2:38" x14ac:dyDescent="0.2">
      <c r="B152" s="302" t="s">
        <v>294</v>
      </c>
      <c r="C152" s="401" t="s">
        <v>295</v>
      </c>
      <c r="D152" s="303">
        <v>11</v>
      </c>
      <c r="E152" s="303">
        <v>5</v>
      </c>
      <c r="F152" s="314">
        <f>+D152+E152</f>
        <v>16</v>
      </c>
      <c r="G152" s="304">
        <v>2052</v>
      </c>
      <c r="H152" s="539"/>
      <c r="I152" s="325"/>
      <c r="J152" s="325"/>
      <c r="K152" s="313"/>
      <c r="L152" s="313"/>
      <c r="M152" s="313"/>
      <c r="N152" s="326"/>
      <c r="O152" s="325"/>
      <c r="P152" s="325"/>
    </row>
    <row r="153" spans="2:38" x14ac:dyDescent="0.2">
      <c r="B153" s="305" t="s">
        <v>286</v>
      </c>
      <c r="C153" s="400" t="s">
        <v>274</v>
      </c>
      <c r="D153" s="306">
        <v>12</v>
      </c>
      <c r="E153" s="306">
        <v>4</v>
      </c>
      <c r="F153" s="315">
        <f>+D153+E153</f>
        <v>16</v>
      </c>
      <c r="G153" s="307">
        <v>2032</v>
      </c>
      <c r="H153" s="539"/>
      <c r="I153" s="325"/>
      <c r="J153" s="325"/>
      <c r="K153" s="313"/>
      <c r="L153" s="313"/>
      <c r="M153" s="313"/>
      <c r="N153" s="326"/>
      <c r="O153" s="325"/>
      <c r="P153" s="325"/>
    </row>
    <row r="154" spans="2:38" x14ac:dyDescent="0.2">
      <c r="B154" s="3" t="s">
        <v>296</v>
      </c>
      <c r="I154" s="325"/>
      <c r="J154" s="325"/>
      <c r="K154" s="313"/>
      <c r="L154" s="313"/>
      <c r="M154" s="313"/>
      <c r="N154" s="326"/>
      <c r="O154" s="325"/>
      <c r="P154" s="325"/>
    </row>
    <row r="155" spans="2:38" x14ac:dyDescent="0.2">
      <c r="I155" s="325"/>
      <c r="J155" s="325"/>
      <c r="K155" s="313"/>
      <c r="L155" s="313"/>
      <c r="M155" s="313"/>
      <c r="N155" s="326"/>
      <c r="O155" s="325"/>
      <c r="P155" s="325"/>
    </row>
    <row r="156" spans="2:38" x14ac:dyDescent="0.2">
      <c r="I156" s="325"/>
      <c r="J156" s="325"/>
      <c r="K156" s="325"/>
      <c r="L156" s="325"/>
      <c r="M156" s="325"/>
      <c r="N156" s="325"/>
      <c r="O156" s="325"/>
      <c r="P156" s="325"/>
      <c r="Q156" s="325"/>
      <c r="R156" s="325"/>
      <c r="S156" s="325"/>
      <c r="T156" s="325"/>
      <c r="U156" s="325"/>
      <c r="V156" s="325"/>
      <c r="W156" s="325"/>
      <c r="X156" s="325"/>
      <c r="Y156" s="325"/>
      <c r="Z156" s="325"/>
      <c r="AA156" s="325"/>
      <c r="AB156" s="325"/>
      <c r="AC156" s="325"/>
      <c r="AD156" s="325"/>
      <c r="AE156" s="325"/>
      <c r="AF156" s="325"/>
      <c r="AG156" s="325"/>
      <c r="AH156" s="325"/>
      <c r="AI156" s="325"/>
      <c r="AJ156" s="325"/>
      <c r="AK156" s="325"/>
      <c r="AL156" s="325"/>
    </row>
    <row r="157" spans="2:38" x14ac:dyDescent="0.2">
      <c r="O157" s="325"/>
      <c r="P157" s="325"/>
      <c r="Q157" s="325"/>
      <c r="R157" s="325"/>
      <c r="S157" s="325"/>
      <c r="T157" s="325"/>
      <c r="U157" s="325"/>
      <c r="V157" s="325"/>
      <c r="W157" s="325"/>
      <c r="X157" s="325"/>
      <c r="Y157" s="325"/>
      <c r="Z157" s="325"/>
      <c r="AA157" s="325"/>
      <c r="AB157" s="325"/>
      <c r="AC157" s="325"/>
      <c r="AD157" s="325"/>
      <c r="AE157" s="325"/>
      <c r="AF157" s="325"/>
      <c r="AG157" s="325"/>
      <c r="AH157" s="325"/>
      <c r="AI157" s="325"/>
      <c r="AJ157" s="325"/>
      <c r="AK157" s="325"/>
      <c r="AL157" s="325"/>
    </row>
    <row r="158" spans="2:38" x14ac:dyDescent="0.2">
      <c r="B158" s="67" t="s">
        <v>534</v>
      </c>
      <c r="O158" s="325"/>
      <c r="P158" s="325"/>
      <c r="Q158" s="325"/>
      <c r="R158" s="325"/>
      <c r="S158" s="325"/>
      <c r="T158" s="325"/>
      <c r="U158" s="325"/>
      <c r="V158" s="325"/>
      <c r="W158" s="325"/>
      <c r="X158" s="325"/>
      <c r="Y158" s="325"/>
      <c r="Z158" s="325"/>
      <c r="AA158" s="325"/>
      <c r="AB158" s="325"/>
      <c r="AC158" s="325"/>
      <c r="AD158" s="325"/>
      <c r="AE158" s="325"/>
      <c r="AF158" s="325"/>
      <c r="AG158" s="325"/>
      <c r="AH158" s="325"/>
      <c r="AI158" s="325"/>
      <c r="AJ158" s="325"/>
      <c r="AK158" s="325"/>
      <c r="AL158" s="325"/>
    </row>
    <row r="159" spans="2:38" x14ac:dyDescent="0.2">
      <c r="F159" s="3" t="s">
        <v>293</v>
      </c>
      <c r="O159" s="325"/>
      <c r="P159" s="325"/>
      <c r="Q159" s="325"/>
      <c r="R159" s="325"/>
      <c r="S159" s="325"/>
      <c r="T159" s="325"/>
      <c r="U159" s="325"/>
      <c r="V159" s="325"/>
      <c r="W159" s="325"/>
      <c r="X159" s="325"/>
      <c r="Y159" s="325"/>
      <c r="Z159" s="325"/>
      <c r="AA159" s="325"/>
      <c r="AB159" s="325"/>
      <c r="AC159" s="325"/>
      <c r="AD159" s="325"/>
      <c r="AE159" s="325"/>
      <c r="AF159" s="325"/>
      <c r="AG159" s="325"/>
      <c r="AH159" s="325"/>
      <c r="AI159" s="325"/>
      <c r="AJ159" s="325"/>
      <c r="AK159" s="325"/>
      <c r="AL159" s="325"/>
    </row>
    <row r="160" spans="2:38" x14ac:dyDescent="0.2">
      <c r="B160" s="606" t="s">
        <v>259</v>
      </c>
      <c r="C160" s="600" t="s">
        <v>297</v>
      </c>
      <c r="D160" s="603" t="s">
        <v>298</v>
      </c>
      <c r="E160" s="603"/>
      <c r="F160" s="603"/>
      <c r="G160" s="603"/>
      <c r="H160" s="603"/>
      <c r="I160" s="603"/>
      <c r="J160" s="603"/>
      <c r="K160" s="462"/>
      <c r="L160" s="217"/>
      <c r="M160" s="589" t="s">
        <v>299</v>
      </c>
      <c r="N160" s="492"/>
      <c r="O160" s="366"/>
      <c r="P160" s="325"/>
      <c r="Q160" s="325"/>
      <c r="R160" s="325"/>
      <c r="S160" s="325"/>
      <c r="T160" s="325"/>
      <c r="U160" s="325"/>
      <c r="V160" s="325"/>
      <c r="W160" s="325"/>
      <c r="X160" s="325"/>
      <c r="Y160" s="325"/>
      <c r="Z160" s="325"/>
      <c r="AA160" s="325"/>
      <c r="AB160" s="325"/>
      <c r="AC160" s="325"/>
      <c r="AD160" s="325"/>
      <c r="AE160" s="325"/>
      <c r="AF160" s="325"/>
      <c r="AG160" s="325"/>
      <c r="AH160" s="325"/>
      <c r="AI160" s="325"/>
      <c r="AJ160" s="325"/>
      <c r="AK160" s="325"/>
      <c r="AL160" s="325"/>
    </row>
    <row r="161" spans="1:38" x14ac:dyDescent="0.2">
      <c r="B161" s="607"/>
      <c r="C161" s="601"/>
      <c r="D161" s="592" t="s">
        <v>300</v>
      </c>
      <c r="E161" s="593"/>
      <c r="F161" s="594" t="s">
        <v>301</v>
      </c>
      <c r="G161" s="594"/>
      <c r="H161" s="594"/>
      <c r="I161" s="594"/>
      <c r="J161" s="594"/>
      <c r="K161" s="598" t="s">
        <v>743</v>
      </c>
      <c r="L161" s="599"/>
      <c r="M161" s="590"/>
      <c r="N161" s="492"/>
      <c r="O161" s="366"/>
      <c r="P161" s="325"/>
      <c r="Q161" s="325"/>
      <c r="R161" s="325"/>
      <c r="S161" s="325"/>
      <c r="T161" s="325"/>
      <c r="U161" s="325"/>
      <c r="V161" s="325"/>
      <c r="W161" s="325"/>
      <c r="X161" s="325"/>
      <c r="Y161" s="325"/>
      <c r="Z161" s="325"/>
      <c r="AA161" s="325"/>
      <c r="AB161" s="325"/>
      <c r="AC161" s="325"/>
      <c r="AD161" s="325"/>
      <c r="AE161" s="325"/>
      <c r="AF161" s="325"/>
      <c r="AG161" s="325"/>
      <c r="AH161" s="325"/>
      <c r="AI161" s="325"/>
      <c r="AJ161" s="325"/>
      <c r="AK161" s="325"/>
      <c r="AL161" s="325"/>
    </row>
    <row r="162" spans="1:38" x14ac:dyDescent="0.2">
      <c r="B162" s="449" t="s">
        <v>742</v>
      </c>
      <c r="C162" s="602"/>
      <c r="D162" s="432" t="s">
        <v>302</v>
      </c>
      <c r="E162" s="432" t="s">
        <v>303</v>
      </c>
      <c r="F162" s="432" t="s">
        <v>304</v>
      </c>
      <c r="G162" s="432" t="s">
        <v>77</v>
      </c>
      <c r="H162" s="432" t="s">
        <v>29</v>
      </c>
      <c r="I162" s="432" t="s">
        <v>305</v>
      </c>
      <c r="J162" s="432" t="s">
        <v>306</v>
      </c>
      <c r="K162" s="432" t="s">
        <v>302</v>
      </c>
      <c r="L162" s="432" t="s">
        <v>307</v>
      </c>
      <c r="M162" s="591"/>
      <c r="N162" s="492"/>
      <c r="O162" s="366"/>
      <c r="P162" s="325"/>
      <c r="Q162" s="325"/>
      <c r="R162" s="325"/>
      <c r="S162" s="325"/>
      <c r="T162" s="325"/>
      <c r="U162" s="325"/>
      <c r="V162" s="325"/>
      <c r="W162" s="325"/>
      <c r="X162" s="325"/>
      <c r="Y162" s="325"/>
      <c r="Z162" s="325"/>
      <c r="AA162" s="325"/>
      <c r="AB162" s="325"/>
      <c r="AC162" s="325"/>
      <c r="AD162" s="325"/>
      <c r="AE162" s="325"/>
      <c r="AF162" s="325"/>
      <c r="AG162" s="325"/>
      <c r="AH162" s="325"/>
      <c r="AI162" s="325"/>
      <c r="AJ162" s="325"/>
      <c r="AK162" s="325"/>
      <c r="AL162" s="325"/>
    </row>
    <row r="163" spans="1:38" x14ac:dyDescent="0.2">
      <c r="B163" s="493" t="s">
        <v>266</v>
      </c>
      <c r="C163" s="493" t="s">
        <v>267</v>
      </c>
      <c r="D163" s="329">
        <v>147</v>
      </c>
      <c r="E163" s="329"/>
      <c r="F163" s="329">
        <v>51</v>
      </c>
      <c r="G163" s="329">
        <v>24</v>
      </c>
      <c r="H163" s="329">
        <v>4</v>
      </c>
      <c r="I163" s="493">
        <v>147</v>
      </c>
      <c r="J163" s="493">
        <f t="shared" ref="J163:J178" si="2">+E163+F163+G163+H163</f>
        <v>79</v>
      </c>
      <c r="K163" s="493">
        <v>735</v>
      </c>
      <c r="L163" s="493">
        <v>52242</v>
      </c>
      <c r="M163" s="493">
        <v>69</v>
      </c>
      <c r="N163" s="494"/>
      <c r="O163" s="495"/>
      <c r="P163" s="325"/>
      <c r="Q163" s="325"/>
      <c r="R163" s="495"/>
      <c r="S163" s="325"/>
      <c r="T163" s="495"/>
      <c r="U163" s="325"/>
      <c r="V163" s="325"/>
      <c r="W163" s="325"/>
      <c r="X163" s="325"/>
      <c r="Y163" s="495"/>
      <c r="Z163" s="325"/>
      <c r="AA163" s="495"/>
      <c r="AB163" s="495"/>
      <c r="AC163" s="325"/>
      <c r="AD163" s="325"/>
      <c r="AE163" s="325"/>
      <c r="AF163" s="325"/>
      <c r="AG163" s="325"/>
      <c r="AH163" s="325"/>
      <c r="AI163" s="325"/>
      <c r="AJ163" s="325"/>
      <c r="AK163" s="325"/>
      <c r="AL163" s="325"/>
    </row>
    <row r="164" spans="1:38" x14ac:dyDescent="0.2">
      <c r="B164" s="493" t="s">
        <v>291</v>
      </c>
      <c r="C164" s="493" t="s">
        <v>267</v>
      </c>
      <c r="D164" s="329">
        <v>168</v>
      </c>
      <c r="E164" s="329"/>
      <c r="F164" s="329">
        <f>23+30+10</f>
        <v>63</v>
      </c>
      <c r="G164" s="329"/>
      <c r="H164" s="329"/>
      <c r="I164" s="493">
        <f>168+14</f>
        <v>182</v>
      </c>
      <c r="J164" s="493">
        <f t="shared" si="2"/>
        <v>63</v>
      </c>
      <c r="K164" s="493">
        <v>4368</v>
      </c>
      <c r="L164" s="493">
        <v>19094</v>
      </c>
      <c r="M164" s="493">
        <v>54</v>
      </c>
      <c r="N164" s="494"/>
      <c r="O164" s="495"/>
      <c r="P164" s="325"/>
      <c r="Q164" s="325"/>
      <c r="R164" s="495"/>
      <c r="S164" s="325"/>
      <c r="T164" s="325"/>
      <c r="U164" s="325"/>
      <c r="V164" s="325"/>
      <c r="W164" s="325"/>
      <c r="X164" s="325"/>
      <c r="Y164" s="495"/>
      <c r="Z164" s="325"/>
      <c r="AA164" s="495"/>
      <c r="AB164" s="495"/>
      <c r="AC164" s="325"/>
      <c r="AD164" s="325"/>
      <c r="AE164" s="325"/>
      <c r="AF164" s="325"/>
      <c r="AG164" s="325"/>
      <c r="AH164" s="325"/>
      <c r="AI164" s="325"/>
      <c r="AJ164" s="325"/>
      <c r="AK164" s="325"/>
      <c r="AL164" s="325"/>
    </row>
    <row r="165" spans="1:38" x14ac:dyDescent="0.2">
      <c r="B165" s="493" t="s">
        <v>292</v>
      </c>
      <c r="C165" s="493" t="s">
        <v>267</v>
      </c>
      <c r="D165" s="329"/>
      <c r="E165" s="329"/>
      <c r="F165" s="329">
        <f>52+52+36+29</f>
        <v>169</v>
      </c>
      <c r="G165" s="329"/>
      <c r="H165" s="329"/>
      <c r="I165" s="493"/>
      <c r="J165" s="493">
        <f t="shared" si="2"/>
        <v>169</v>
      </c>
      <c r="K165" s="493"/>
      <c r="L165" s="493">
        <v>29445</v>
      </c>
      <c r="M165" s="493">
        <v>63</v>
      </c>
      <c r="N165" s="494"/>
      <c r="O165" s="495"/>
      <c r="P165" s="325"/>
      <c r="Q165" s="325"/>
      <c r="R165" s="495"/>
      <c r="S165" s="325"/>
      <c r="T165" s="325"/>
      <c r="U165" s="325"/>
      <c r="V165" s="325"/>
      <c r="W165" s="325"/>
      <c r="X165" s="325"/>
      <c r="Y165" s="495"/>
      <c r="Z165" s="325"/>
      <c r="AA165" s="495"/>
      <c r="AB165" s="495"/>
      <c r="AC165" s="325"/>
      <c r="AD165" s="325"/>
      <c r="AE165" s="325"/>
      <c r="AF165" s="325"/>
      <c r="AG165" s="325"/>
      <c r="AH165" s="325"/>
      <c r="AI165" s="325"/>
      <c r="AJ165" s="325"/>
      <c r="AK165" s="325"/>
      <c r="AL165" s="325"/>
    </row>
    <row r="166" spans="1:38" x14ac:dyDescent="0.2">
      <c r="B166" s="493" t="s">
        <v>97</v>
      </c>
      <c r="C166" s="493" t="s">
        <v>267</v>
      </c>
      <c r="D166" s="329">
        <v>290</v>
      </c>
      <c r="E166" s="329"/>
      <c r="F166" s="329">
        <v>90</v>
      </c>
      <c r="G166" s="329"/>
      <c r="H166" s="329"/>
      <c r="I166" s="493">
        <v>290</v>
      </c>
      <c r="J166" s="493">
        <f t="shared" si="2"/>
        <v>90</v>
      </c>
      <c r="K166" s="493">
        <v>4060</v>
      </c>
      <c r="L166" s="493">
        <v>23608</v>
      </c>
      <c r="M166" s="493">
        <v>48</v>
      </c>
      <c r="N166" s="494"/>
      <c r="O166" s="495"/>
      <c r="P166" s="325"/>
      <c r="Q166" s="325"/>
      <c r="R166" s="495"/>
      <c r="S166" s="325"/>
      <c r="T166" s="325"/>
      <c r="U166" s="325"/>
      <c r="V166" s="325"/>
      <c r="W166" s="325"/>
      <c r="X166" s="325"/>
      <c r="Y166" s="495"/>
      <c r="Z166" s="325"/>
      <c r="AA166" s="495"/>
      <c r="AB166" s="495"/>
      <c r="AC166" s="325"/>
      <c r="AD166" s="325"/>
      <c r="AE166" s="325"/>
      <c r="AF166" s="325"/>
      <c r="AG166" s="325"/>
      <c r="AH166" s="325"/>
      <c r="AI166" s="325"/>
      <c r="AJ166" s="325"/>
      <c r="AK166" s="325"/>
      <c r="AL166" s="325"/>
    </row>
    <row r="167" spans="1:38" x14ac:dyDescent="0.2">
      <c r="B167" s="493" t="s">
        <v>269</v>
      </c>
      <c r="C167" s="493" t="s">
        <v>267</v>
      </c>
      <c r="D167" s="329"/>
      <c r="E167" s="329">
        <f>75+34</f>
        <v>109</v>
      </c>
      <c r="F167" s="329">
        <f>17+24</f>
        <v>41</v>
      </c>
      <c r="G167" s="329"/>
      <c r="H167" s="329"/>
      <c r="I167" s="493"/>
      <c r="J167" s="493">
        <f t="shared" si="2"/>
        <v>150</v>
      </c>
      <c r="K167" s="493"/>
      <c r="L167" s="493">
        <v>44564</v>
      </c>
      <c r="M167" s="493">
        <v>73</v>
      </c>
      <c r="N167" s="494"/>
      <c r="O167" s="495"/>
      <c r="P167" s="325"/>
      <c r="Q167" s="325"/>
      <c r="R167" s="495"/>
      <c r="S167" s="325"/>
      <c r="T167" s="325"/>
      <c r="U167" s="325"/>
      <c r="V167" s="325"/>
      <c r="W167" s="325"/>
      <c r="X167" s="325"/>
      <c r="Y167" s="495"/>
      <c r="Z167" s="325"/>
      <c r="AA167" s="495"/>
      <c r="AB167" s="495"/>
      <c r="AC167" s="325"/>
      <c r="AD167" s="325"/>
      <c r="AE167" s="325"/>
      <c r="AF167" s="325"/>
      <c r="AG167" s="325"/>
      <c r="AH167" s="325"/>
      <c r="AI167" s="325"/>
      <c r="AJ167" s="325"/>
      <c r="AK167" s="325"/>
      <c r="AL167" s="325"/>
    </row>
    <row r="168" spans="1:38" x14ac:dyDescent="0.2">
      <c r="A168" s="543" t="s">
        <v>339</v>
      </c>
      <c r="B168" s="493" t="s">
        <v>98</v>
      </c>
      <c r="C168" s="493" t="s">
        <v>267</v>
      </c>
      <c r="D168" s="329">
        <v>208</v>
      </c>
      <c r="E168" s="329">
        <f>37+45</f>
        <v>82</v>
      </c>
      <c r="F168" s="329">
        <f>28+39</f>
        <v>67</v>
      </c>
      <c r="G168" s="329"/>
      <c r="H168" s="329"/>
      <c r="I168" s="493">
        <v>208</v>
      </c>
      <c r="J168" s="493">
        <f t="shared" si="2"/>
        <v>149</v>
      </c>
      <c r="K168" s="493"/>
      <c r="L168" s="493">
        <v>30263</v>
      </c>
      <c r="M168" s="493">
        <v>62</v>
      </c>
      <c r="N168" s="494"/>
      <c r="O168" s="495"/>
      <c r="P168" s="325"/>
      <c r="Q168" s="325"/>
      <c r="R168" s="495"/>
      <c r="S168" s="325"/>
      <c r="T168" s="325"/>
      <c r="U168" s="325"/>
      <c r="V168" s="325"/>
      <c r="W168" s="325"/>
      <c r="X168" s="325"/>
      <c r="Y168" s="495"/>
      <c r="Z168" s="325"/>
      <c r="AA168" s="495"/>
      <c r="AB168" s="495"/>
      <c r="AC168" s="325"/>
      <c r="AD168" s="325"/>
      <c r="AE168" s="325"/>
      <c r="AF168" s="325"/>
      <c r="AG168" s="325"/>
      <c r="AH168" s="325"/>
      <c r="AI168" s="325"/>
      <c r="AJ168" s="325"/>
      <c r="AK168" s="325"/>
      <c r="AL168" s="325"/>
    </row>
    <row r="169" spans="1:38" x14ac:dyDescent="0.2">
      <c r="B169" s="493" t="s">
        <v>270</v>
      </c>
      <c r="C169" s="493" t="s">
        <v>267</v>
      </c>
      <c r="D169" s="329">
        <v>174</v>
      </c>
      <c r="E169" s="329"/>
      <c r="F169" s="329">
        <f>27+38</f>
        <v>65</v>
      </c>
      <c r="G169" s="329"/>
      <c r="H169" s="329"/>
      <c r="I169" s="493">
        <v>174</v>
      </c>
      <c r="J169" s="493">
        <f t="shared" si="2"/>
        <v>65</v>
      </c>
      <c r="K169" s="493"/>
      <c r="L169" s="493">
        <v>9528</v>
      </c>
      <c r="M169" s="493">
        <v>35</v>
      </c>
      <c r="N169" s="494"/>
      <c r="O169" s="495"/>
      <c r="P169" s="325"/>
      <c r="Q169" s="325"/>
      <c r="R169" s="495"/>
      <c r="S169" s="325"/>
      <c r="T169" s="325"/>
      <c r="U169" s="325"/>
      <c r="V169" s="325"/>
      <c r="W169" s="325"/>
      <c r="X169" s="325"/>
      <c r="Y169" s="495"/>
      <c r="Z169" s="325"/>
      <c r="AA169" s="495"/>
      <c r="AB169" s="495"/>
      <c r="AC169" s="325"/>
      <c r="AD169" s="325"/>
      <c r="AE169" s="325"/>
      <c r="AF169" s="325"/>
      <c r="AG169" s="325"/>
      <c r="AH169" s="325"/>
      <c r="AI169" s="325"/>
      <c r="AJ169" s="325"/>
      <c r="AK169" s="325"/>
      <c r="AL169" s="325"/>
    </row>
    <row r="170" spans="1:38" x14ac:dyDescent="0.2">
      <c r="B170" s="493" t="s">
        <v>271</v>
      </c>
      <c r="C170" s="493" t="s">
        <v>267</v>
      </c>
      <c r="D170" s="329">
        <v>130</v>
      </c>
      <c r="E170" s="329"/>
      <c r="F170" s="329">
        <f>29+44</f>
        <v>73</v>
      </c>
      <c r="G170" s="329"/>
      <c r="H170" s="329"/>
      <c r="I170" s="493">
        <v>130</v>
      </c>
      <c r="J170" s="493">
        <f t="shared" si="2"/>
        <v>73</v>
      </c>
      <c r="K170" s="493"/>
      <c r="L170" s="493">
        <v>12411</v>
      </c>
      <c r="M170" s="493">
        <v>39</v>
      </c>
      <c r="N170" s="494"/>
      <c r="O170" s="495"/>
      <c r="P170" s="325"/>
      <c r="Q170" s="325"/>
      <c r="R170" s="495"/>
      <c r="S170" s="325"/>
      <c r="T170" s="325"/>
      <c r="U170" s="325"/>
      <c r="V170" s="325"/>
      <c r="W170" s="325"/>
      <c r="X170" s="325"/>
      <c r="Y170" s="495"/>
      <c r="Z170" s="325"/>
      <c r="AA170" s="495"/>
      <c r="AB170" s="495"/>
      <c r="AC170" s="325"/>
      <c r="AD170" s="325"/>
      <c r="AE170" s="325"/>
      <c r="AF170" s="325"/>
      <c r="AG170" s="325"/>
      <c r="AH170" s="325"/>
      <c r="AI170" s="325"/>
      <c r="AJ170" s="325"/>
      <c r="AK170" s="325"/>
      <c r="AL170" s="325"/>
    </row>
    <row r="171" spans="1:38" x14ac:dyDescent="0.2">
      <c r="B171" s="493" t="s">
        <v>272</v>
      </c>
      <c r="C171" s="493" t="s">
        <v>267</v>
      </c>
      <c r="D171" s="329">
        <v>169</v>
      </c>
      <c r="E171" s="329">
        <f>34+33</f>
        <v>67</v>
      </c>
      <c r="F171" s="329">
        <f>35+37.5+78</f>
        <v>150.5</v>
      </c>
      <c r="G171" s="329"/>
      <c r="H171" s="329"/>
      <c r="I171" s="493">
        <v>169</v>
      </c>
      <c r="J171" s="493">
        <f t="shared" si="2"/>
        <v>217.5</v>
      </c>
      <c r="K171" s="493">
        <v>4394</v>
      </c>
      <c r="L171" s="493">
        <v>46940</v>
      </c>
      <c r="M171" s="493">
        <v>78</v>
      </c>
      <c r="N171" s="494"/>
      <c r="O171" s="495"/>
      <c r="P171" s="325"/>
      <c r="Q171" s="325"/>
      <c r="R171" s="495"/>
      <c r="S171" s="325"/>
      <c r="T171" s="325"/>
      <c r="U171" s="325"/>
      <c r="V171" s="325"/>
      <c r="W171" s="325"/>
      <c r="X171" s="325"/>
      <c r="Y171" s="495"/>
      <c r="Z171" s="325"/>
      <c r="AA171" s="495"/>
      <c r="AB171" s="495"/>
      <c r="AC171" s="325"/>
      <c r="AD171" s="325"/>
      <c r="AE171" s="325"/>
      <c r="AF171" s="325"/>
      <c r="AG171" s="325"/>
      <c r="AH171" s="325"/>
      <c r="AI171" s="325"/>
      <c r="AJ171" s="325"/>
      <c r="AK171" s="325"/>
      <c r="AL171" s="325"/>
    </row>
    <row r="172" spans="1:38" x14ac:dyDescent="0.2">
      <c r="B172" s="493" t="s">
        <v>127</v>
      </c>
      <c r="C172" s="493" t="s">
        <v>267</v>
      </c>
      <c r="D172" s="329">
        <v>167</v>
      </c>
      <c r="E172" s="329"/>
      <c r="F172" s="329">
        <f>32+35+47</f>
        <v>114</v>
      </c>
      <c r="G172" s="329"/>
      <c r="H172" s="329"/>
      <c r="I172" s="493">
        <v>167</v>
      </c>
      <c r="J172" s="493">
        <f t="shared" si="2"/>
        <v>114</v>
      </c>
      <c r="K172" s="493"/>
      <c r="L172" s="493">
        <v>20577</v>
      </c>
      <c r="M172" s="493">
        <v>49</v>
      </c>
      <c r="N172" s="494"/>
      <c r="O172" s="495"/>
      <c r="P172" s="325"/>
      <c r="Q172" s="325"/>
      <c r="R172" s="495"/>
      <c r="S172" s="325"/>
      <c r="T172" s="325"/>
      <c r="U172" s="325"/>
      <c r="V172" s="325"/>
      <c r="W172" s="325"/>
      <c r="X172" s="325"/>
      <c r="Y172" s="495"/>
      <c r="Z172" s="325"/>
      <c r="AA172" s="495"/>
      <c r="AB172" s="495"/>
      <c r="AC172" s="325"/>
      <c r="AD172" s="325"/>
      <c r="AE172" s="325"/>
      <c r="AF172" s="325"/>
      <c r="AG172" s="325"/>
      <c r="AH172" s="325"/>
      <c r="AI172" s="325"/>
      <c r="AJ172" s="325"/>
      <c r="AK172" s="325"/>
      <c r="AL172" s="325"/>
    </row>
    <row r="173" spans="1:38" x14ac:dyDescent="0.2">
      <c r="B173" s="493" t="s">
        <v>273</v>
      </c>
      <c r="C173" s="493" t="s">
        <v>274</v>
      </c>
      <c r="D173" s="329">
        <v>177</v>
      </c>
      <c r="E173" s="329"/>
      <c r="F173" s="329">
        <f>12+10+27</f>
        <v>49</v>
      </c>
      <c r="G173" s="329"/>
      <c r="H173" s="329"/>
      <c r="I173" s="493">
        <v>177</v>
      </c>
      <c r="J173" s="493">
        <f t="shared" si="2"/>
        <v>49</v>
      </c>
      <c r="K173" s="493"/>
      <c r="L173" s="493">
        <v>6953</v>
      </c>
      <c r="M173" s="493">
        <v>32</v>
      </c>
      <c r="N173" s="494"/>
      <c r="O173" s="495"/>
      <c r="P173" s="325"/>
      <c r="Q173" s="325"/>
      <c r="R173" s="325"/>
      <c r="S173" s="325"/>
      <c r="T173" s="325"/>
      <c r="U173" s="325"/>
      <c r="V173" s="325"/>
      <c r="W173" s="325"/>
      <c r="X173" s="325"/>
      <c r="Y173" s="495"/>
      <c r="Z173" s="325"/>
      <c r="AA173" s="495"/>
      <c r="AB173" s="495"/>
      <c r="AC173" s="325"/>
      <c r="AD173" s="325"/>
      <c r="AE173" s="325"/>
      <c r="AF173" s="325"/>
      <c r="AG173" s="325"/>
      <c r="AH173" s="325"/>
      <c r="AI173" s="325"/>
      <c r="AJ173" s="325"/>
      <c r="AK173" s="325"/>
      <c r="AL173" s="325"/>
    </row>
    <row r="174" spans="1:38" x14ac:dyDescent="0.2">
      <c r="B174" s="493" t="s">
        <v>275</v>
      </c>
      <c r="C174" s="493" t="s">
        <v>274</v>
      </c>
      <c r="D174" s="329">
        <v>191</v>
      </c>
      <c r="E174" s="329"/>
      <c r="F174" s="329">
        <f>18+17+22</f>
        <v>57</v>
      </c>
      <c r="G174" s="329"/>
      <c r="H174" s="329"/>
      <c r="I174" s="493">
        <v>191</v>
      </c>
      <c r="J174" s="493">
        <f t="shared" si="2"/>
        <v>57</v>
      </c>
      <c r="K174" s="493">
        <v>3400</v>
      </c>
      <c r="L174" s="493">
        <v>6961</v>
      </c>
      <c r="M174" s="493">
        <v>34</v>
      </c>
      <c r="N174" s="494"/>
      <c r="O174" s="495"/>
      <c r="P174" s="325"/>
      <c r="Q174" s="325"/>
      <c r="R174" s="325"/>
      <c r="S174" s="325"/>
      <c r="T174" s="325"/>
      <c r="U174" s="325"/>
      <c r="V174" s="325"/>
      <c r="W174" s="325"/>
      <c r="X174" s="325"/>
      <c r="Y174" s="495"/>
      <c r="Z174" s="325"/>
      <c r="AA174" s="495"/>
      <c r="AB174" s="495"/>
      <c r="AC174" s="325"/>
      <c r="AD174" s="325"/>
      <c r="AE174" s="325"/>
      <c r="AF174" s="325"/>
      <c r="AG174" s="325"/>
      <c r="AH174" s="325"/>
      <c r="AI174" s="325"/>
      <c r="AJ174" s="325"/>
      <c r="AK174" s="325"/>
      <c r="AL174" s="325"/>
    </row>
    <row r="175" spans="1:38" x14ac:dyDescent="0.2">
      <c r="B175" s="493" t="s">
        <v>247</v>
      </c>
      <c r="C175" s="493" t="s">
        <v>274</v>
      </c>
      <c r="D175" s="329">
        <v>263</v>
      </c>
      <c r="E175" s="329"/>
      <c r="F175" s="329">
        <v>39</v>
      </c>
      <c r="G175" s="329"/>
      <c r="H175" s="329"/>
      <c r="I175" s="493">
        <v>263</v>
      </c>
      <c r="J175" s="493">
        <f t="shared" si="2"/>
        <v>39</v>
      </c>
      <c r="K175" s="493">
        <v>5260</v>
      </c>
      <c r="L175" s="493">
        <v>5983</v>
      </c>
      <c r="M175" s="493">
        <v>61</v>
      </c>
      <c r="N175" s="494"/>
      <c r="O175" s="495"/>
      <c r="P175" s="325"/>
      <c r="Q175" s="325"/>
      <c r="R175" s="325"/>
      <c r="S175" s="325"/>
      <c r="T175" s="325"/>
      <c r="U175" s="325"/>
      <c r="V175" s="325"/>
      <c r="W175" s="325"/>
      <c r="X175" s="325"/>
      <c r="Y175" s="495"/>
      <c r="Z175" s="325"/>
      <c r="AA175" s="495"/>
      <c r="AB175" s="495"/>
      <c r="AC175" s="325"/>
      <c r="AD175" s="325"/>
      <c r="AE175" s="325"/>
      <c r="AF175" s="325"/>
      <c r="AG175" s="325"/>
      <c r="AH175" s="325"/>
      <c r="AI175" s="325"/>
      <c r="AJ175" s="325"/>
      <c r="AK175" s="325"/>
      <c r="AL175" s="325"/>
    </row>
    <row r="176" spans="1:38" x14ac:dyDescent="0.2">
      <c r="B176" s="493" t="s">
        <v>269</v>
      </c>
      <c r="C176" s="493" t="s">
        <v>274</v>
      </c>
      <c r="D176" s="329">
        <v>193</v>
      </c>
      <c r="E176" s="329"/>
      <c r="F176" s="329">
        <f>19+16+26</f>
        <v>61</v>
      </c>
      <c r="G176" s="329"/>
      <c r="H176" s="329"/>
      <c r="I176" s="493">
        <v>193</v>
      </c>
      <c r="J176" s="493">
        <f t="shared" si="2"/>
        <v>61</v>
      </c>
      <c r="K176" s="493"/>
      <c r="L176" s="493">
        <v>10436</v>
      </c>
      <c r="M176" s="493">
        <v>55</v>
      </c>
      <c r="N176" s="494"/>
      <c r="O176" s="495"/>
      <c r="P176" s="325"/>
      <c r="Q176" s="325"/>
      <c r="R176" s="325"/>
      <c r="S176" s="325"/>
      <c r="T176" s="325"/>
      <c r="U176" s="325"/>
      <c r="V176" s="325"/>
      <c r="W176" s="325"/>
      <c r="X176" s="325"/>
      <c r="Y176" s="495"/>
      <c r="Z176" s="325"/>
      <c r="AA176" s="495"/>
      <c r="AB176" s="495"/>
      <c r="AC176" s="325"/>
      <c r="AD176" s="325"/>
      <c r="AE176" s="325"/>
      <c r="AF176" s="325"/>
      <c r="AG176" s="325"/>
      <c r="AH176" s="325"/>
      <c r="AI176" s="325"/>
      <c r="AJ176" s="325"/>
      <c r="AK176" s="325"/>
      <c r="AL176" s="325"/>
    </row>
    <row r="177" spans="2:38" x14ac:dyDescent="0.2">
      <c r="B177" s="496" t="s">
        <v>294</v>
      </c>
      <c r="C177" s="496" t="s">
        <v>308</v>
      </c>
      <c r="D177" s="330">
        <v>142</v>
      </c>
      <c r="E177" s="330">
        <v>0</v>
      </c>
      <c r="F177" s="330">
        <f>37+89</f>
        <v>126</v>
      </c>
      <c r="G177" s="330">
        <v>0</v>
      </c>
      <c r="H177" s="330">
        <v>0</v>
      </c>
      <c r="I177" s="496">
        <f>+D177</f>
        <v>142</v>
      </c>
      <c r="J177" s="496">
        <f t="shared" si="2"/>
        <v>126</v>
      </c>
      <c r="K177" s="496">
        <v>5056</v>
      </c>
      <c r="L177" s="496">
        <v>23503</v>
      </c>
      <c r="M177" s="496">
        <v>58</v>
      </c>
      <c r="N177" s="494"/>
      <c r="O177" s="495"/>
      <c r="P177" s="325"/>
      <c r="Q177" s="325"/>
      <c r="R177" s="325"/>
      <c r="S177" s="325"/>
      <c r="T177" s="325"/>
      <c r="U177" s="325"/>
      <c r="V177" s="325"/>
      <c r="W177" s="325"/>
      <c r="X177" s="325"/>
      <c r="Y177" s="495"/>
      <c r="Z177" s="325"/>
      <c r="AA177" s="495"/>
      <c r="AB177" s="495"/>
      <c r="AC177" s="325"/>
      <c r="AD177" s="325"/>
      <c r="AE177" s="325"/>
      <c r="AF177" s="325"/>
      <c r="AG177" s="325"/>
      <c r="AH177" s="325"/>
      <c r="AI177" s="325"/>
      <c r="AJ177" s="325"/>
      <c r="AK177" s="325"/>
      <c r="AL177" s="325"/>
    </row>
    <row r="178" spans="2:38" x14ac:dyDescent="0.2">
      <c r="B178" s="496" t="s">
        <v>286</v>
      </c>
      <c r="C178" s="496" t="s">
        <v>274</v>
      </c>
      <c r="D178" s="330">
        <v>213</v>
      </c>
      <c r="E178" s="330">
        <v>0</v>
      </c>
      <c r="F178" s="330">
        <f>18+16+24</f>
        <v>58</v>
      </c>
      <c r="G178" s="330">
        <v>0</v>
      </c>
      <c r="H178" s="330">
        <v>0</v>
      </c>
      <c r="I178" s="496">
        <f>+D178</f>
        <v>213</v>
      </c>
      <c r="J178" s="496">
        <f t="shared" si="2"/>
        <v>58</v>
      </c>
      <c r="K178" s="496"/>
      <c r="L178" s="496">
        <v>7813</v>
      </c>
      <c r="M178" s="496">
        <v>45</v>
      </c>
      <c r="N178" s="494"/>
      <c r="O178" s="495"/>
      <c r="P178" s="325"/>
      <c r="Q178" s="325"/>
      <c r="R178" s="325"/>
      <c r="S178" s="325"/>
      <c r="T178" s="325"/>
      <c r="U178" s="325"/>
      <c r="V178" s="325"/>
      <c r="W178" s="325"/>
      <c r="X178" s="325"/>
      <c r="Y178" s="495"/>
      <c r="Z178" s="325"/>
      <c r="AA178" s="495"/>
      <c r="AB178" s="495"/>
      <c r="AC178" s="325"/>
      <c r="AD178" s="325"/>
      <c r="AE178" s="325"/>
      <c r="AF178" s="325"/>
      <c r="AG178" s="325"/>
      <c r="AH178" s="325"/>
      <c r="AI178" s="325"/>
      <c r="AJ178" s="325"/>
      <c r="AK178" s="325"/>
      <c r="AL178" s="325"/>
    </row>
    <row r="179" spans="2:38" x14ac:dyDescent="0.2">
      <c r="F179" s="65"/>
      <c r="M179" s="65"/>
      <c r="N179" s="65"/>
      <c r="O179" s="495"/>
      <c r="P179" s="325"/>
      <c r="Q179" s="325"/>
      <c r="R179" s="325"/>
      <c r="S179" s="325"/>
      <c r="T179" s="325"/>
      <c r="U179" s="325"/>
      <c r="V179" s="325"/>
      <c r="W179" s="325"/>
      <c r="X179" s="325"/>
      <c r="Y179" s="325"/>
      <c r="Z179" s="325"/>
      <c r="AA179" s="325"/>
      <c r="AB179" s="325"/>
      <c r="AC179" s="325"/>
      <c r="AD179" s="325"/>
      <c r="AE179" s="325"/>
      <c r="AF179" s="325"/>
      <c r="AG179" s="325"/>
      <c r="AH179" s="325"/>
      <c r="AI179" s="325"/>
      <c r="AJ179" s="325"/>
      <c r="AK179" s="325"/>
      <c r="AL179" s="325"/>
    </row>
    <row r="180" spans="2:38" x14ac:dyDescent="0.2">
      <c r="D180" s="65"/>
      <c r="G180" s="65"/>
      <c r="O180" s="325"/>
      <c r="P180" s="325"/>
      <c r="Q180" s="325"/>
      <c r="R180" s="325"/>
      <c r="S180" s="325"/>
      <c r="T180" s="325"/>
      <c r="U180" s="325"/>
      <c r="V180" s="325"/>
      <c r="W180" s="325"/>
      <c r="X180" s="325"/>
      <c r="Y180" s="325"/>
      <c r="Z180" s="325"/>
      <c r="AA180" s="325"/>
      <c r="AB180" s="325"/>
      <c r="AC180" s="325"/>
      <c r="AD180" s="325"/>
      <c r="AE180" s="325"/>
      <c r="AF180" s="325"/>
      <c r="AG180" s="325"/>
      <c r="AH180" s="325"/>
      <c r="AI180" s="325"/>
      <c r="AJ180" s="325"/>
      <c r="AK180" s="325"/>
      <c r="AL180" s="325"/>
    </row>
    <row r="181" spans="2:38" x14ac:dyDescent="0.2">
      <c r="F181" s="65"/>
      <c r="G181" s="65"/>
      <c r="I181" s="65"/>
      <c r="O181" s="325"/>
      <c r="P181" s="325"/>
      <c r="Q181" s="325"/>
      <c r="R181" s="325"/>
      <c r="S181" s="325"/>
      <c r="T181" s="325"/>
      <c r="U181" s="325"/>
      <c r="V181" s="325"/>
      <c r="W181" s="325"/>
      <c r="X181" s="325"/>
      <c r="Y181" s="325"/>
      <c r="Z181" s="325"/>
      <c r="AA181" s="325"/>
      <c r="AB181" s="325"/>
      <c r="AC181" s="325"/>
      <c r="AD181" s="325"/>
      <c r="AE181" s="325"/>
      <c r="AF181" s="325"/>
      <c r="AG181" s="325"/>
      <c r="AH181" s="325"/>
      <c r="AI181" s="325"/>
      <c r="AJ181" s="325"/>
      <c r="AK181" s="325"/>
      <c r="AL181" s="325"/>
    </row>
    <row r="182" spans="2:38" x14ac:dyDescent="0.2">
      <c r="B182" s="308" t="s">
        <v>535</v>
      </c>
      <c r="O182" s="325"/>
      <c r="P182" s="325"/>
      <c r="Q182" s="325"/>
      <c r="R182" s="325"/>
      <c r="S182" s="325"/>
      <c r="T182" s="325"/>
      <c r="U182" s="325"/>
      <c r="V182" s="325"/>
      <c r="W182" s="325"/>
      <c r="X182" s="325"/>
      <c r="Y182" s="325"/>
      <c r="Z182" s="325"/>
      <c r="AA182" s="325"/>
      <c r="AB182" s="325"/>
      <c r="AC182" s="325"/>
      <c r="AD182" s="325"/>
      <c r="AE182" s="325"/>
      <c r="AF182" s="325"/>
      <c r="AG182" s="325"/>
      <c r="AH182" s="325"/>
      <c r="AI182" s="325"/>
      <c r="AJ182" s="325"/>
      <c r="AK182" s="325"/>
      <c r="AL182" s="325"/>
    </row>
    <row r="183" spans="2:38" x14ac:dyDescent="0.2">
      <c r="B183" s="497"/>
      <c r="C183" s="603" t="s">
        <v>309</v>
      </c>
      <c r="D183" s="603" t="s">
        <v>310</v>
      </c>
      <c r="E183" s="613" t="s">
        <v>311</v>
      </c>
      <c r="F183" s="596" t="s">
        <v>312</v>
      </c>
      <c r="G183" s="596"/>
      <c r="H183" s="596"/>
      <c r="I183" s="596" t="s">
        <v>313</v>
      </c>
      <c r="J183" s="596"/>
      <c r="K183" s="539"/>
      <c r="O183" s="325"/>
      <c r="P183" s="325"/>
      <c r="Q183" s="325"/>
      <c r="R183" s="325"/>
      <c r="S183" s="325"/>
      <c r="T183" s="325"/>
      <c r="U183" s="325"/>
      <c r="V183" s="325"/>
      <c r="W183" s="325"/>
      <c r="X183" s="325"/>
      <c r="Y183" s="325"/>
      <c r="Z183" s="325"/>
      <c r="AA183" s="325"/>
      <c r="AB183" s="325"/>
      <c r="AC183" s="325"/>
      <c r="AD183" s="325"/>
      <c r="AE183" s="325"/>
      <c r="AF183" s="325"/>
      <c r="AG183" s="325"/>
      <c r="AH183" s="325"/>
      <c r="AI183" s="325"/>
      <c r="AJ183" s="325"/>
      <c r="AK183" s="325"/>
      <c r="AL183" s="325"/>
    </row>
    <row r="184" spans="2:38" x14ac:dyDescent="0.2">
      <c r="B184" s="358" t="s">
        <v>259</v>
      </c>
      <c r="C184" s="608"/>
      <c r="D184" s="608"/>
      <c r="E184" s="609"/>
      <c r="F184" s="609" t="s">
        <v>314</v>
      </c>
      <c r="G184" s="596" t="s">
        <v>315</v>
      </c>
      <c r="H184" s="596"/>
      <c r="I184" s="609" t="s">
        <v>316</v>
      </c>
      <c r="J184" s="609" t="s">
        <v>317</v>
      </c>
      <c r="K184" s="539"/>
      <c r="O184" s="325"/>
      <c r="P184" s="325"/>
      <c r="Q184" s="325"/>
      <c r="R184" s="325"/>
      <c r="S184" s="325"/>
      <c r="T184" s="325"/>
      <c r="U184" s="325"/>
      <c r="V184" s="325"/>
      <c r="W184" s="325"/>
      <c r="X184" s="325"/>
      <c r="Y184" s="325"/>
      <c r="Z184" s="325"/>
      <c r="AA184" s="325"/>
      <c r="AB184" s="325"/>
      <c r="AC184" s="325"/>
      <c r="AD184" s="325"/>
      <c r="AE184" s="325"/>
      <c r="AF184" s="325"/>
      <c r="AG184" s="325"/>
      <c r="AH184" s="325"/>
      <c r="AI184" s="325"/>
      <c r="AJ184" s="325"/>
      <c r="AK184" s="325"/>
      <c r="AL184" s="325"/>
    </row>
    <row r="185" spans="2:38" x14ac:dyDescent="0.2">
      <c r="B185" s="67" t="s">
        <v>742</v>
      </c>
      <c r="C185" s="599"/>
      <c r="D185" s="599"/>
      <c r="E185" s="610"/>
      <c r="F185" s="610"/>
      <c r="G185" s="491">
        <v>1</v>
      </c>
      <c r="H185" s="491">
        <v>2</v>
      </c>
      <c r="I185" s="610"/>
      <c r="J185" s="610"/>
      <c r="K185" s="539"/>
    </row>
    <row r="186" spans="2:38" x14ac:dyDescent="0.2">
      <c r="B186" s="431" t="s">
        <v>266</v>
      </c>
      <c r="C186" s="432" t="s">
        <v>267</v>
      </c>
      <c r="D186" s="329">
        <v>2031</v>
      </c>
      <c r="E186" s="547">
        <v>117</v>
      </c>
      <c r="F186" s="329">
        <f>+D186*E186</f>
        <v>237627</v>
      </c>
      <c r="G186" s="329">
        <v>92956</v>
      </c>
      <c r="H186" s="329">
        <v>104641</v>
      </c>
      <c r="I186" s="329">
        <v>10926</v>
      </c>
      <c r="J186" s="498">
        <v>1.79</v>
      </c>
      <c r="K186" s="539"/>
    </row>
    <row r="187" spans="2:38" x14ac:dyDescent="0.2">
      <c r="B187" s="431" t="s">
        <v>291</v>
      </c>
      <c r="C187" s="432" t="s">
        <v>267</v>
      </c>
      <c r="D187" s="329">
        <v>1388</v>
      </c>
      <c r="E187" s="547">
        <v>115</v>
      </c>
      <c r="F187" s="329">
        <f t="shared" ref="F187:F201" si="3">+D187*E187</f>
        <v>159620</v>
      </c>
      <c r="G187" s="329">
        <v>39611</v>
      </c>
      <c r="H187" s="329">
        <v>76125</v>
      </c>
      <c r="I187" s="329">
        <v>4681.833333333333</v>
      </c>
      <c r="J187" s="498">
        <v>1.9117312413917</v>
      </c>
      <c r="K187" s="539"/>
    </row>
    <row r="188" spans="2:38" x14ac:dyDescent="0.2">
      <c r="B188" s="431" t="s">
        <v>292</v>
      </c>
      <c r="C188" s="432" t="s">
        <v>267</v>
      </c>
      <c r="D188" s="329">
        <v>1578</v>
      </c>
      <c r="E188" s="547">
        <v>118</v>
      </c>
      <c r="F188" s="329">
        <f t="shared" si="3"/>
        <v>186204</v>
      </c>
      <c r="G188" s="329">
        <v>60700</v>
      </c>
      <c r="H188" s="329">
        <v>93311</v>
      </c>
      <c r="I188" s="329">
        <v>5312</v>
      </c>
      <c r="J188" s="498">
        <v>2</v>
      </c>
      <c r="K188" s="539"/>
    </row>
    <row r="189" spans="2:38" x14ac:dyDescent="0.2">
      <c r="B189" s="431" t="s">
        <v>97</v>
      </c>
      <c r="C189" s="432" t="s">
        <v>267</v>
      </c>
      <c r="D189" s="329">
        <v>2000</v>
      </c>
      <c r="E189" s="547">
        <v>117</v>
      </c>
      <c r="F189" s="329">
        <f t="shared" si="3"/>
        <v>234000</v>
      </c>
      <c r="G189" s="329">
        <v>79957</v>
      </c>
      <c r="H189" s="329">
        <v>112297</v>
      </c>
      <c r="I189" s="329">
        <v>7748.7647058823532</v>
      </c>
      <c r="J189" s="498">
        <v>1.9227134910396622</v>
      </c>
      <c r="K189" s="539"/>
    </row>
    <row r="190" spans="2:38" x14ac:dyDescent="0.2">
      <c r="B190" s="431" t="s">
        <v>269</v>
      </c>
      <c r="C190" s="432" t="s">
        <v>267</v>
      </c>
      <c r="D190" s="329">
        <v>1678</v>
      </c>
      <c r="E190" s="547">
        <v>125</v>
      </c>
      <c r="F190" s="329">
        <f t="shared" si="3"/>
        <v>209750</v>
      </c>
      <c r="G190" s="329">
        <v>63934</v>
      </c>
      <c r="H190" s="329">
        <v>97827</v>
      </c>
      <c r="I190" s="329">
        <v>5112.5</v>
      </c>
      <c r="J190" s="498">
        <v>1.874056270829052</v>
      </c>
      <c r="K190" s="539"/>
    </row>
    <row r="191" spans="2:38" x14ac:dyDescent="0.2">
      <c r="B191" s="431" t="s">
        <v>98</v>
      </c>
      <c r="C191" s="432" t="s">
        <v>267</v>
      </c>
      <c r="D191" s="329">
        <v>1835</v>
      </c>
      <c r="E191" s="547">
        <v>102</v>
      </c>
      <c r="F191" s="329">
        <f t="shared" si="3"/>
        <v>187170</v>
      </c>
      <c r="G191" s="329">
        <v>58445</v>
      </c>
      <c r="H191" s="329">
        <v>94654</v>
      </c>
      <c r="I191" s="329">
        <v>6936.875</v>
      </c>
      <c r="J191" s="498">
        <v>2.023109516191794</v>
      </c>
      <c r="K191" s="539"/>
    </row>
    <row r="192" spans="2:38" x14ac:dyDescent="0.2">
      <c r="B192" s="431" t="s">
        <v>318</v>
      </c>
      <c r="C192" s="432" t="s">
        <v>267</v>
      </c>
      <c r="D192" s="329">
        <v>1540</v>
      </c>
      <c r="E192" s="547">
        <v>103</v>
      </c>
      <c r="F192" s="329">
        <f t="shared" si="3"/>
        <v>158620</v>
      </c>
      <c r="G192" s="329">
        <v>48279</v>
      </c>
      <c r="H192" s="329">
        <v>81560</v>
      </c>
      <c r="I192" s="329">
        <v>5106.4736842105267</v>
      </c>
      <c r="J192" s="498">
        <v>2.0583960550220608</v>
      </c>
      <c r="K192" s="539"/>
      <c r="L192" s="499"/>
    </row>
    <row r="193" spans="1:15" x14ac:dyDescent="0.2">
      <c r="A193" s="543" t="s">
        <v>339</v>
      </c>
      <c r="B193" s="431" t="s">
        <v>319</v>
      </c>
      <c r="C193" s="432" t="s">
        <v>267</v>
      </c>
      <c r="D193" s="329">
        <v>1289</v>
      </c>
      <c r="E193" s="547">
        <v>111</v>
      </c>
      <c r="F193" s="329">
        <f t="shared" si="3"/>
        <v>143079</v>
      </c>
      <c r="G193" s="329">
        <v>33065</v>
      </c>
      <c r="H193" s="329">
        <v>61708</v>
      </c>
      <c r="I193" s="329">
        <v>4379.5294117647063</v>
      </c>
      <c r="J193" s="498">
        <v>1.7583537132393605</v>
      </c>
      <c r="K193" s="539"/>
    </row>
    <row r="194" spans="1:15" x14ac:dyDescent="0.2">
      <c r="B194" s="431" t="s">
        <v>320</v>
      </c>
      <c r="C194" s="432" t="s">
        <v>267</v>
      </c>
      <c r="D194" s="329">
        <v>1790</v>
      </c>
      <c r="E194" s="547">
        <v>115</v>
      </c>
      <c r="F194" s="329">
        <f t="shared" si="3"/>
        <v>205850</v>
      </c>
      <c r="G194" s="329">
        <v>56990</v>
      </c>
      <c r="H194" s="329">
        <v>87993</v>
      </c>
      <c r="I194" s="329">
        <v>5627.7777777777774</v>
      </c>
      <c r="J194" s="498">
        <v>1.746608177706882</v>
      </c>
      <c r="K194" s="539"/>
    </row>
    <row r="195" spans="1:15" x14ac:dyDescent="0.2">
      <c r="B195" s="431" t="s">
        <v>127</v>
      </c>
      <c r="C195" s="432" t="s">
        <v>267</v>
      </c>
      <c r="D195" s="329">
        <v>1600</v>
      </c>
      <c r="E195" s="547">
        <v>103</v>
      </c>
      <c r="F195" s="329">
        <f t="shared" si="3"/>
        <v>164800</v>
      </c>
      <c r="G195" s="329">
        <v>46255</v>
      </c>
      <c r="H195" s="329">
        <v>73037</v>
      </c>
      <c r="I195" s="329">
        <v>6765.1538461538457</v>
      </c>
      <c r="J195" s="498">
        <v>1.795930821790918</v>
      </c>
      <c r="K195" s="539"/>
    </row>
    <row r="196" spans="1:15" x14ac:dyDescent="0.2">
      <c r="B196" s="431" t="s">
        <v>273</v>
      </c>
      <c r="C196" s="432" t="s">
        <v>274</v>
      </c>
      <c r="D196" s="329">
        <v>1067</v>
      </c>
      <c r="E196" s="547">
        <v>100</v>
      </c>
      <c r="F196" s="329">
        <f t="shared" si="3"/>
        <v>106700</v>
      </c>
      <c r="G196" s="329">
        <v>9918</v>
      </c>
      <c r="H196" s="329">
        <v>30905</v>
      </c>
      <c r="I196" s="329">
        <v>2989.0625</v>
      </c>
      <c r="J196" s="498">
        <v>1.4077445741803549</v>
      </c>
      <c r="K196" s="539"/>
    </row>
    <row r="197" spans="1:15" x14ac:dyDescent="0.2">
      <c r="B197" s="431" t="s">
        <v>275</v>
      </c>
      <c r="C197" s="432" t="s">
        <v>274</v>
      </c>
      <c r="D197" s="329">
        <v>938</v>
      </c>
      <c r="E197" s="547">
        <v>125</v>
      </c>
      <c r="F197" s="329">
        <f t="shared" si="3"/>
        <v>117250</v>
      </c>
      <c r="G197" s="329">
        <v>14016</v>
      </c>
      <c r="H197" s="329">
        <v>56154</v>
      </c>
      <c r="I197" s="329">
        <v>4098.875</v>
      </c>
      <c r="J197" s="498">
        <v>1.9191109074243813</v>
      </c>
      <c r="K197" s="539"/>
    </row>
    <row r="198" spans="1:15" x14ac:dyDescent="0.2">
      <c r="B198" s="431" t="s">
        <v>247</v>
      </c>
      <c r="C198" s="432" t="s">
        <v>274</v>
      </c>
      <c r="D198" s="329">
        <v>959</v>
      </c>
      <c r="E198" s="547">
        <v>112</v>
      </c>
      <c r="F198" s="329">
        <f t="shared" si="3"/>
        <v>107408</v>
      </c>
      <c r="G198" s="329">
        <v>-3987</v>
      </c>
      <c r="H198" s="329">
        <v>44873</v>
      </c>
      <c r="I198" s="329">
        <v>2009.46875</v>
      </c>
      <c r="J198" s="498">
        <v>1.7175661629487486</v>
      </c>
      <c r="K198" s="539"/>
    </row>
    <row r="199" spans="1:15" x14ac:dyDescent="0.2">
      <c r="B199" s="431" t="s">
        <v>269</v>
      </c>
      <c r="C199" s="432" t="s">
        <v>274</v>
      </c>
      <c r="D199" s="329">
        <v>1300</v>
      </c>
      <c r="E199" s="547">
        <v>103</v>
      </c>
      <c r="F199" s="329">
        <f t="shared" si="3"/>
        <v>133900</v>
      </c>
      <c r="G199" s="329">
        <v>29567</v>
      </c>
      <c r="H199" s="329">
        <v>64907</v>
      </c>
      <c r="I199" s="329">
        <v>4043.9473684210525</v>
      </c>
      <c r="J199" s="498">
        <v>1.9407766005246909</v>
      </c>
      <c r="K199" s="539"/>
    </row>
    <row r="200" spans="1:15" x14ac:dyDescent="0.2">
      <c r="B200" s="500" t="s">
        <v>286</v>
      </c>
      <c r="C200" s="501" t="s">
        <v>267</v>
      </c>
      <c r="D200" s="330">
        <v>1752</v>
      </c>
      <c r="E200" s="548">
        <v>115</v>
      </c>
      <c r="F200" s="330">
        <f t="shared" si="3"/>
        <v>201480</v>
      </c>
      <c r="G200" s="330">
        <v>76658</v>
      </c>
      <c r="H200" s="330">
        <v>106073</v>
      </c>
      <c r="I200" s="330">
        <v>7270.8125</v>
      </c>
      <c r="J200" s="502">
        <v>2.1117947320427222</v>
      </c>
      <c r="K200" s="539"/>
    </row>
    <row r="201" spans="1:15" x14ac:dyDescent="0.2">
      <c r="B201" s="500" t="s">
        <v>286</v>
      </c>
      <c r="C201" s="501" t="s">
        <v>274</v>
      </c>
      <c r="D201" s="330">
        <v>883</v>
      </c>
      <c r="E201" s="330">
        <v>124</v>
      </c>
      <c r="F201" s="330">
        <f t="shared" si="3"/>
        <v>109492</v>
      </c>
      <c r="G201" s="330">
        <v>21406</v>
      </c>
      <c r="H201" s="330">
        <v>52290</v>
      </c>
      <c r="I201" s="330">
        <v>3776.125</v>
      </c>
      <c r="J201" s="502">
        <v>1.9141288766127058</v>
      </c>
      <c r="K201" s="539"/>
    </row>
    <row r="202" spans="1:15" x14ac:dyDescent="0.2">
      <c r="K202" s="9"/>
      <c r="L202" s="9"/>
      <c r="M202" s="9"/>
      <c r="N202" s="9"/>
      <c r="O202" s="9"/>
    </row>
    <row r="204" spans="1:15" x14ac:dyDescent="0.2">
      <c r="B204" s="191" t="s">
        <v>747</v>
      </c>
      <c r="C204" s="191"/>
      <c r="D204" s="191"/>
    </row>
    <row r="205" spans="1:15" x14ac:dyDescent="0.2">
      <c r="B205" s="217" t="s">
        <v>259</v>
      </c>
      <c r="C205" s="611" t="s">
        <v>321</v>
      </c>
      <c r="D205" s="596" t="s">
        <v>322</v>
      </c>
      <c r="E205" s="596"/>
      <c r="F205" s="596" t="s">
        <v>746</v>
      </c>
      <c r="G205" s="596"/>
      <c r="H205" s="539"/>
    </row>
    <row r="206" spans="1:15" x14ac:dyDescent="0.2">
      <c r="B206" s="67" t="s">
        <v>742</v>
      </c>
      <c r="C206" s="612"/>
      <c r="D206" s="403">
        <v>1</v>
      </c>
      <c r="E206" s="403" t="s">
        <v>323</v>
      </c>
      <c r="F206" s="72">
        <v>1</v>
      </c>
      <c r="G206" s="72">
        <v>2</v>
      </c>
      <c r="H206" s="539"/>
    </row>
    <row r="207" spans="1:15" x14ac:dyDescent="0.2">
      <c r="B207" s="87" t="s">
        <v>324</v>
      </c>
      <c r="C207" s="87" t="s">
        <v>267</v>
      </c>
      <c r="D207" s="30">
        <v>71.23</v>
      </c>
      <c r="E207" s="30">
        <v>65.48</v>
      </c>
      <c r="F207" s="87">
        <v>1237</v>
      </c>
      <c r="G207" s="87">
        <v>1137</v>
      </c>
      <c r="H207" s="539"/>
    </row>
    <row r="208" spans="1:15" x14ac:dyDescent="0.2">
      <c r="B208" s="69" t="s">
        <v>325</v>
      </c>
      <c r="C208" s="69" t="s">
        <v>267</v>
      </c>
      <c r="D208" s="30">
        <v>86.461815561959654</v>
      </c>
      <c r="E208" s="30">
        <v>60.154899135446684</v>
      </c>
      <c r="F208" s="69">
        <v>1043.5565217391304</v>
      </c>
      <c r="G208" s="69">
        <v>726.04347826086962</v>
      </c>
      <c r="H208" s="539"/>
    </row>
    <row r="209" spans="1:9" x14ac:dyDescent="0.2">
      <c r="B209" s="69" t="s">
        <v>326</v>
      </c>
      <c r="C209" s="69" t="s">
        <v>267</v>
      </c>
      <c r="D209" s="30">
        <v>67.950189496480775</v>
      </c>
      <c r="E209" s="30">
        <v>50.293990254466699</v>
      </c>
      <c r="F209" s="69">
        <v>1063.593220338983</v>
      </c>
      <c r="G209" s="69">
        <v>787.22881355932202</v>
      </c>
      <c r="H209" s="539"/>
    </row>
    <row r="210" spans="1:9" x14ac:dyDescent="0.2">
      <c r="B210" s="69" t="s">
        <v>97</v>
      </c>
      <c r="C210" s="69" t="s">
        <v>267</v>
      </c>
      <c r="D210" s="30">
        <v>77.021500000000003</v>
      </c>
      <c r="E210" s="30">
        <v>60.851500000000001</v>
      </c>
      <c r="F210" s="69">
        <v>1316.6068376068376</v>
      </c>
      <c r="G210" s="69">
        <v>1040.1965811965813</v>
      </c>
      <c r="H210" s="539"/>
    </row>
    <row r="211" spans="1:9" x14ac:dyDescent="0.2">
      <c r="B211" s="69" t="s">
        <v>269</v>
      </c>
      <c r="C211" s="69" t="s">
        <v>267</v>
      </c>
      <c r="D211" s="30">
        <v>86.898688915375445</v>
      </c>
      <c r="E211" s="30">
        <v>66.70023837902265</v>
      </c>
      <c r="F211" s="69">
        <v>1166.528</v>
      </c>
      <c r="G211" s="69">
        <v>895.38400000000001</v>
      </c>
      <c r="H211" s="539"/>
    </row>
    <row r="212" spans="1:9" x14ac:dyDescent="0.2">
      <c r="B212" s="69" t="s">
        <v>98</v>
      </c>
      <c r="C212" s="69" t="s">
        <v>267</v>
      </c>
      <c r="D212" s="30">
        <v>70.149863760217983</v>
      </c>
      <c r="E212" s="30">
        <v>50.417438692098095</v>
      </c>
      <c r="F212" s="69">
        <v>1262.0098039215686</v>
      </c>
      <c r="G212" s="69">
        <v>907.01960784313724</v>
      </c>
      <c r="H212" s="539"/>
    </row>
    <row r="213" spans="1:9" x14ac:dyDescent="0.2">
      <c r="B213" s="69" t="s">
        <v>318</v>
      </c>
      <c r="C213" s="69" t="s">
        <v>267</v>
      </c>
      <c r="D213" s="30">
        <v>71.650000000000006</v>
      </c>
      <c r="E213" s="30">
        <v>50.038961038961041</v>
      </c>
      <c r="F213" s="69">
        <v>1071.2718446601941</v>
      </c>
      <c r="G213" s="69">
        <v>748.15533980582529</v>
      </c>
      <c r="H213" s="539"/>
    </row>
    <row r="214" spans="1:9" x14ac:dyDescent="0.2">
      <c r="A214" s="543" t="s">
        <v>339</v>
      </c>
      <c r="B214" s="69" t="s">
        <v>319</v>
      </c>
      <c r="C214" s="69" t="s">
        <v>267</v>
      </c>
      <c r="D214" s="30">
        <v>85.348332040341347</v>
      </c>
      <c r="E214" s="30">
        <v>63.127230411171453</v>
      </c>
      <c r="F214" s="69">
        <v>991.11711711711712</v>
      </c>
      <c r="G214" s="69">
        <v>733.07207207207205</v>
      </c>
      <c r="H214" s="539"/>
      <c r="I214" s="499"/>
    </row>
    <row r="215" spans="1:9" x14ac:dyDescent="0.2">
      <c r="B215" s="69" t="s">
        <v>320</v>
      </c>
      <c r="C215" s="69" t="s">
        <v>267</v>
      </c>
      <c r="D215" s="30">
        <v>83.162011173184354</v>
      </c>
      <c r="E215" s="30">
        <v>65.841899441340786</v>
      </c>
      <c r="F215" s="69">
        <v>1294.4347826086957</v>
      </c>
      <c r="G215" s="69">
        <v>1024.8434782608695</v>
      </c>
      <c r="H215" s="539"/>
    </row>
    <row r="216" spans="1:9" x14ac:dyDescent="0.2">
      <c r="B216" s="69" t="s">
        <v>127</v>
      </c>
      <c r="C216" s="69" t="s">
        <v>267</v>
      </c>
      <c r="D216" s="30">
        <v>74.090625000000003</v>
      </c>
      <c r="E216" s="30">
        <v>57.351875</v>
      </c>
      <c r="F216" s="69">
        <v>1150.9223300970873</v>
      </c>
      <c r="G216" s="69">
        <v>890.90291262135918</v>
      </c>
      <c r="H216" s="539"/>
    </row>
    <row r="217" spans="1:9" x14ac:dyDescent="0.2">
      <c r="B217" s="69" t="s">
        <v>273</v>
      </c>
      <c r="C217" s="69" t="s">
        <v>274</v>
      </c>
      <c r="D217" s="30">
        <v>90.704779756326147</v>
      </c>
      <c r="E217" s="30">
        <v>71.035613870665415</v>
      </c>
      <c r="F217" s="69">
        <v>967.82</v>
      </c>
      <c r="G217" s="69">
        <v>757.95</v>
      </c>
      <c r="H217" s="539"/>
    </row>
    <row r="218" spans="1:9" x14ac:dyDescent="0.2">
      <c r="B218" s="69" t="s">
        <v>275</v>
      </c>
      <c r="C218" s="69" t="s">
        <v>274</v>
      </c>
      <c r="D218" s="30">
        <v>110.05756929637526</v>
      </c>
      <c r="E218" s="30">
        <v>65.134328358208961</v>
      </c>
      <c r="F218" s="69">
        <v>825.87199999999996</v>
      </c>
      <c r="G218" s="69">
        <v>488.76799999999997</v>
      </c>
      <c r="H218" s="539"/>
    </row>
    <row r="219" spans="1:9" x14ac:dyDescent="0.2">
      <c r="B219" s="69" t="s">
        <v>247</v>
      </c>
      <c r="C219" s="69" t="s">
        <v>274</v>
      </c>
      <c r="D219" s="30">
        <v>116.15745568300312</v>
      </c>
      <c r="E219" s="30">
        <v>65.208550573514074</v>
      </c>
      <c r="F219" s="69">
        <v>994.59821428571433</v>
      </c>
      <c r="G219" s="69">
        <v>558.34821428571433</v>
      </c>
      <c r="H219" s="539"/>
    </row>
    <row r="220" spans="1:9" x14ac:dyDescent="0.2">
      <c r="B220" s="69" t="s">
        <v>269</v>
      </c>
      <c r="C220" s="69" t="s">
        <v>274</v>
      </c>
      <c r="D220" s="30">
        <v>80.260000000000005</v>
      </c>
      <c r="E220" s="30">
        <v>53.071538461538459</v>
      </c>
      <c r="F220" s="69">
        <v>1013</v>
      </c>
      <c r="G220" s="69">
        <v>669.8349514563107</v>
      </c>
      <c r="H220" s="539"/>
    </row>
    <row r="221" spans="1:9" x14ac:dyDescent="0.2">
      <c r="B221" s="503" t="s">
        <v>286</v>
      </c>
      <c r="C221" s="503" t="s">
        <v>267</v>
      </c>
      <c r="D221" s="504">
        <v>71.245433789954333</v>
      </c>
      <c r="E221" s="504">
        <v>54.456050228310502</v>
      </c>
      <c r="F221" s="503">
        <v>1085.4086956521739</v>
      </c>
      <c r="G221" s="503">
        <v>829.6260869565217</v>
      </c>
      <c r="H221" s="539"/>
    </row>
    <row r="222" spans="1:9" x14ac:dyDescent="0.2">
      <c r="B222" s="505" t="s">
        <v>286</v>
      </c>
      <c r="C222" s="505" t="s">
        <v>274</v>
      </c>
      <c r="D222" s="506">
        <v>99.757644394110983</v>
      </c>
      <c r="E222" s="506">
        <v>64.78142695356739</v>
      </c>
      <c r="F222" s="505">
        <v>710.37096774193549</v>
      </c>
      <c r="G222" s="505">
        <v>461.30645161290323</v>
      </c>
      <c r="H222" s="539"/>
    </row>
    <row r="224" spans="1:9" x14ac:dyDescent="0.2">
      <c r="B224" s="3" t="s">
        <v>327</v>
      </c>
      <c r="D224" s="3" t="s">
        <v>328</v>
      </c>
    </row>
    <row r="226" spans="5:5" x14ac:dyDescent="0.2">
      <c r="E226" s="62"/>
    </row>
    <row r="252" spans="2:18" x14ac:dyDescent="0.2">
      <c r="B252" s="507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</row>
    <row r="254" spans="2:18" x14ac:dyDescent="0.2">
      <c r="B254" s="3" t="s">
        <v>423</v>
      </c>
    </row>
    <row r="255" spans="2:18" x14ac:dyDescent="0.2">
      <c r="B255" s="508" t="s">
        <v>424</v>
      </c>
      <c r="C255" s="509" t="s">
        <v>425</v>
      </c>
      <c r="D255" s="509" t="s">
        <v>426</v>
      </c>
      <c r="E255" s="614" t="s">
        <v>427</v>
      </c>
      <c r="F255" s="614"/>
      <c r="G255" s="358"/>
    </row>
    <row r="256" spans="2:18" x14ac:dyDescent="0.2">
      <c r="B256" s="510"/>
      <c r="C256" s="511" t="s">
        <v>428</v>
      </c>
      <c r="D256" s="511" t="s">
        <v>429</v>
      </c>
      <c r="E256" s="511" t="s">
        <v>430</v>
      </c>
      <c r="F256" s="511" t="s">
        <v>431</v>
      </c>
      <c r="G256" s="358"/>
    </row>
    <row r="257" spans="2:8" x14ac:dyDescent="0.2">
      <c r="B257" s="510"/>
      <c r="C257" s="511" t="s">
        <v>432</v>
      </c>
      <c r="D257" s="511" t="s">
        <v>433</v>
      </c>
      <c r="E257" s="511" t="s">
        <v>434</v>
      </c>
      <c r="F257" s="511" t="s">
        <v>242</v>
      </c>
      <c r="G257" s="358"/>
    </row>
    <row r="258" spans="2:8" x14ac:dyDescent="0.2">
      <c r="B258" s="451"/>
      <c r="C258" s="512" t="s">
        <v>476</v>
      </c>
      <c r="D258" s="512" t="s">
        <v>477</v>
      </c>
      <c r="E258" s="512" t="s">
        <v>435</v>
      </c>
      <c r="F258" s="512" t="s">
        <v>436</v>
      </c>
      <c r="G258" s="358"/>
    </row>
    <row r="259" spans="2:8" x14ac:dyDescent="0.2">
      <c r="B259" s="513" t="s">
        <v>437</v>
      </c>
      <c r="C259" s="514">
        <v>35984</v>
      </c>
      <c r="D259" s="514" t="s">
        <v>438</v>
      </c>
      <c r="E259" s="514">
        <v>15</v>
      </c>
      <c r="F259" s="514" t="s">
        <v>201</v>
      </c>
      <c r="G259" s="358"/>
    </row>
    <row r="260" spans="2:8" x14ac:dyDescent="0.2">
      <c r="B260" s="513" t="s">
        <v>268</v>
      </c>
      <c r="C260" s="514">
        <v>17367</v>
      </c>
      <c r="D260" s="514" t="s">
        <v>438</v>
      </c>
      <c r="E260" s="514">
        <v>8</v>
      </c>
      <c r="F260" s="514" t="s">
        <v>201</v>
      </c>
      <c r="G260" s="358"/>
    </row>
    <row r="261" spans="2:8" x14ac:dyDescent="0.2">
      <c r="B261" s="515" t="s">
        <v>439</v>
      </c>
      <c r="C261" s="516" t="s">
        <v>474</v>
      </c>
      <c r="D261" s="517" t="s">
        <v>438</v>
      </c>
      <c r="E261" s="516" t="s">
        <v>78</v>
      </c>
      <c r="F261" s="514" t="s">
        <v>201</v>
      </c>
      <c r="G261" s="358"/>
    </row>
    <row r="262" spans="2:8" x14ac:dyDescent="0.2">
      <c r="B262" s="513" t="s">
        <v>98</v>
      </c>
      <c r="C262" s="514">
        <v>34000</v>
      </c>
      <c r="D262" s="514" t="s">
        <v>438</v>
      </c>
      <c r="E262" s="514">
        <v>30</v>
      </c>
      <c r="F262" s="514" t="s">
        <v>201</v>
      </c>
      <c r="G262" s="358"/>
    </row>
    <row r="263" spans="2:8" x14ac:dyDescent="0.2">
      <c r="B263" s="513" t="s">
        <v>96</v>
      </c>
      <c r="C263" s="514">
        <v>37249</v>
      </c>
      <c r="D263" s="514" t="s">
        <v>438</v>
      </c>
      <c r="E263" s="514">
        <v>16</v>
      </c>
      <c r="F263" s="514" t="s">
        <v>201</v>
      </c>
      <c r="G263" s="358"/>
      <c r="H263" s="3" t="s">
        <v>475</v>
      </c>
    </row>
    <row r="264" spans="2:8" x14ac:dyDescent="0.2">
      <c r="B264" s="513" t="s">
        <v>97</v>
      </c>
      <c r="C264" s="514">
        <v>28250</v>
      </c>
      <c r="D264" s="514" t="s">
        <v>438</v>
      </c>
      <c r="E264" s="514">
        <v>15</v>
      </c>
      <c r="F264" s="514" t="s">
        <v>201</v>
      </c>
      <c r="G264" s="358"/>
    </row>
    <row r="265" spans="2:8" x14ac:dyDescent="0.2">
      <c r="B265" s="515" t="s">
        <v>440</v>
      </c>
      <c r="C265" s="472"/>
      <c r="D265" s="472"/>
      <c r="E265" s="472"/>
      <c r="F265" s="472"/>
      <c r="G265" s="358"/>
    </row>
    <row r="266" spans="2:8" x14ac:dyDescent="0.2">
      <c r="B266" s="513" t="s">
        <v>441</v>
      </c>
      <c r="C266" s="514">
        <v>19088</v>
      </c>
      <c r="D266" s="514" t="s">
        <v>438</v>
      </c>
      <c r="E266" s="514">
        <v>10</v>
      </c>
      <c r="F266" s="514" t="s">
        <v>201</v>
      </c>
      <c r="G266" s="358"/>
    </row>
    <row r="267" spans="2:8" x14ac:dyDescent="0.2">
      <c r="B267" s="513" t="s">
        <v>442</v>
      </c>
      <c r="C267" s="514">
        <v>21237</v>
      </c>
      <c r="D267" s="514" t="s">
        <v>438</v>
      </c>
      <c r="E267" s="514">
        <v>11</v>
      </c>
      <c r="F267" s="514" t="s">
        <v>201</v>
      </c>
      <c r="G267" s="358"/>
    </row>
    <row r="268" spans="2:8" x14ac:dyDescent="0.2">
      <c r="B268" s="513" t="s">
        <v>443</v>
      </c>
      <c r="C268" s="514">
        <v>12918</v>
      </c>
      <c r="D268" s="514" t="s">
        <v>438</v>
      </c>
      <c r="E268" s="514">
        <v>1</v>
      </c>
      <c r="F268" s="514" t="s">
        <v>201</v>
      </c>
      <c r="G268" s="358"/>
    </row>
    <row r="269" spans="2:8" x14ac:dyDescent="0.2">
      <c r="B269" s="513" t="s">
        <v>127</v>
      </c>
      <c r="C269" s="514">
        <v>18099</v>
      </c>
      <c r="D269" s="514" t="s">
        <v>438</v>
      </c>
      <c r="E269" s="514">
        <v>9</v>
      </c>
      <c r="F269" s="514" t="s">
        <v>201</v>
      </c>
      <c r="G269" s="358"/>
    </row>
    <row r="270" spans="2:8" x14ac:dyDescent="0.2">
      <c r="B270" s="513" t="s">
        <v>269</v>
      </c>
      <c r="C270" s="514">
        <v>14183</v>
      </c>
      <c r="D270" s="392">
        <v>19728</v>
      </c>
      <c r="E270" s="514">
        <v>11</v>
      </c>
      <c r="F270" s="514">
        <v>30</v>
      </c>
      <c r="G270" s="358"/>
    </row>
    <row r="271" spans="2:8" x14ac:dyDescent="0.2">
      <c r="B271" s="513" t="s">
        <v>275</v>
      </c>
      <c r="C271" s="514" t="s">
        <v>438</v>
      </c>
      <c r="D271" s="392">
        <v>9023</v>
      </c>
      <c r="E271" s="514" t="s">
        <v>201</v>
      </c>
      <c r="F271" s="514">
        <v>14</v>
      </c>
      <c r="G271" s="358"/>
    </row>
    <row r="272" spans="2:8" x14ac:dyDescent="0.2">
      <c r="B272" s="513" t="s">
        <v>273</v>
      </c>
      <c r="C272" s="514" t="s">
        <v>438</v>
      </c>
      <c r="D272" s="392">
        <v>5205</v>
      </c>
      <c r="E272" s="514" t="s">
        <v>201</v>
      </c>
      <c r="F272" s="514">
        <v>8</v>
      </c>
      <c r="G272" s="358"/>
    </row>
    <row r="273" spans="2:10" x14ac:dyDescent="0.2">
      <c r="B273" s="513" t="s">
        <v>444</v>
      </c>
      <c r="C273" s="514" t="s">
        <v>438</v>
      </c>
      <c r="D273" s="392">
        <v>2517</v>
      </c>
      <c r="E273" s="514" t="s">
        <v>201</v>
      </c>
      <c r="F273" s="514">
        <v>4</v>
      </c>
      <c r="G273" s="358"/>
    </row>
    <row r="274" spans="2:10" x14ac:dyDescent="0.2">
      <c r="B274" s="518" t="s">
        <v>2</v>
      </c>
      <c r="C274" s="519">
        <f>SUM(C259:C270)</f>
        <v>238375</v>
      </c>
      <c r="D274" s="519">
        <f>SUM(D270:D273)</f>
        <v>36473</v>
      </c>
      <c r="E274" s="520">
        <f>SUM(E259:E270)</f>
        <v>126</v>
      </c>
      <c r="F274" s="520">
        <f>SUM(F270:F273)</f>
        <v>56</v>
      </c>
      <c r="G274" s="358"/>
    </row>
    <row r="277" spans="2:10" x14ac:dyDescent="0.2">
      <c r="C277" s="191" t="s">
        <v>445</v>
      </c>
      <c r="E277" s="608"/>
      <c r="F277" s="608"/>
      <c r="G277" s="608"/>
      <c r="H277" s="608"/>
      <c r="I277" s="608"/>
      <c r="J277" s="608"/>
    </row>
    <row r="279" spans="2:10" x14ac:dyDescent="0.2">
      <c r="C279" s="402"/>
      <c r="D279" s="402" t="s">
        <v>446</v>
      </c>
      <c r="E279" s="402" t="s">
        <v>447</v>
      </c>
      <c r="F279" s="402" t="s">
        <v>448</v>
      </c>
      <c r="G279" s="404" t="s">
        <v>449</v>
      </c>
      <c r="H279" s="405"/>
      <c r="I279" s="404" t="s">
        <v>450</v>
      </c>
      <c r="J279" s="405"/>
    </row>
    <row r="280" spans="2:10" x14ac:dyDescent="0.2">
      <c r="C280" s="408" t="s">
        <v>99</v>
      </c>
      <c r="D280" s="408"/>
      <c r="E280" s="408" t="s">
        <v>451</v>
      </c>
      <c r="F280" s="408" t="s">
        <v>452</v>
      </c>
      <c r="G280" s="410" t="s">
        <v>453</v>
      </c>
      <c r="H280" s="411"/>
      <c r="I280" s="410" t="s">
        <v>454</v>
      </c>
      <c r="J280" s="411"/>
    </row>
    <row r="281" spans="2:10" x14ac:dyDescent="0.2">
      <c r="C281" s="408"/>
      <c r="D281" s="408"/>
      <c r="E281" s="408"/>
      <c r="F281" s="408"/>
      <c r="G281" s="410" t="s">
        <v>447</v>
      </c>
      <c r="H281" s="411"/>
      <c r="I281" s="410" t="s">
        <v>447</v>
      </c>
      <c r="J281" s="411" t="s">
        <v>329</v>
      </c>
    </row>
    <row r="282" spans="2:10" x14ac:dyDescent="0.2">
      <c r="C282" s="415"/>
      <c r="D282" s="415"/>
      <c r="E282" s="415"/>
      <c r="F282" s="415"/>
      <c r="G282" s="416" t="s">
        <v>451</v>
      </c>
      <c r="H282" s="417" t="s">
        <v>130</v>
      </c>
      <c r="I282" s="416" t="s">
        <v>451</v>
      </c>
      <c r="J282" s="417" t="s">
        <v>455</v>
      </c>
    </row>
    <row r="283" spans="2:10" x14ac:dyDescent="0.2">
      <c r="C283" s="418" t="s">
        <v>330</v>
      </c>
      <c r="D283" s="461" t="s">
        <v>500</v>
      </c>
      <c r="E283" s="521">
        <v>100</v>
      </c>
      <c r="F283" s="421">
        <v>14919</v>
      </c>
      <c r="G283" s="522"/>
      <c r="H283" s="421"/>
      <c r="I283" s="523">
        <v>100</v>
      </c>
      <c r="J283" s="421">
        <v>18149</v>
      </c>
    </row>
    <row r="284" spans="2:10" x14ac:dyDescent="0.2">
      <c r="C284" s="448" t="s">
        <v>268</v>
      </c>
      <c r="D284" s="524" t="s">
        <v>500</v>
      </c>
      <c r="E284" s="525" t="s">
        <v>501</v>
      </c>
      <c r="F284" s="421">
        <v>18387</v>
      </c>
      <c r="G284" s="526" t="s">
        <v>502</v>
      </c>
      <c r="H284" s="421">
        <v>19218</v>
      </c>
      <c r="I284" s="523">
        <v>90</v>
      </c>
      <c r="J284" s="421">
        <v>18496</v>
      </c>
    </row>
    <row r="285" spans="2:10" x14ac:dyDescent="0.2">
      <c r="C285" s="418" t="s">
        <v>96</v>
      </c>
      <c r="D285" s="524" t="s">
        <v>500</v>
      </c>
      <c r="E285" s="525" t="s">
        <v>503</v>
      </c>
      <c r="F285" s="421">
        <v>18610</v>
      </c>
      <c r="G285" s="527"/>
      <c r="H285" s="421"/>
      <c r="I285" s="528">
        <v>100</v>
      </c>
      <c r="J285" s="421">
        <v>18514</v>
      </c>
    </row>
    <row r="286" spans="2:10" x14ac:dyDescent="0.2">
      <c r="C286" s="448" t="s">
        <v>97</v>
      </c>
      <c r="D286" s="524" t="s">
        <v>500</v>
      </c>
      <c r="E286" s="525">
        <v>100</v>
      </c>
      <c r="F286" s="421">
        <v>27106</v>
      </c>
      <c r="G286" s="522"/>
      <c r="H286" s="421"/>
      <c r="I286" s="523">
        <v>100</v>
      </c>
      <c r="J286" s="421">
        <v>21177</v>
      </c>
    </row>
    <row r="287" spans="2:10" x14ac:dyDescent="0.2">
      <c r="C287" s="418" t="s">
        <v>336</v>
      </c>
      <c r="D287" s="524" t="s">
        <v>500</v>
      </c>
      <c r="E287" s="525" t="s">
        <v>504</v>
      </c>
      <c r="F287" s="421">
        <v>18312</v>
      </c>
      <c r="G287" s="527" t="s">
        <v>505</v>
      </c>
      <c r="H287" s="421">
        <f>9737+5175+7000</f>
        <v>21912</v>
      </c>
      <c r="I287" s="529">
        <v>90</v>
      </c>
      <c r="J287" s="421">
        <v>20187</v>
      </c>
    </row>
    <row r="288" spans="2:10" x14ac:dyDescent="0.2">
      <c r="C288" s="448" t="s">
        <v>98</v>
      </c>
      <c r="D288" s="530" t="s">
        <v>500</v>
      </c>
      <c r="E288" s="525" t="s">
        <v>506</v>
      </c>
      <c r="F288" s="421">
        <v>22698</v>
      </c>
      <c r="G288" s="526"/>
      <c r="H288" s="421"/>
      <c r="I288" s="523">
        <v>100</v>
      </c>
      <c r="J288" s="421">
        <v>18325</v>
      </c>
    </row>
    <row r="289" spans="3:12" x14ac:dyDescent="0.2">
      <c r="C289" s="418" t="s">
        <v>270</v>
      </c>
      <c r="D289" s="524" t="s">
        <v>500</v>
      </c>
      <c r="E289" s="525" t="s">
        <v>507</v>
      </c>
      <c r="F289" s="421">
        <v>19406</v>
      </c>
      <c r="G289" s="527"/>
      <c r="H289" s="421"/>
      <c r="I289" s="529">
        <v>100</v>
      </c>
      <c r="J289" s="421">
        <v>16555</v>
      </c>
      <c r="L289" s="3" t="s">
        <v>475</v>
      </c>
    </row>
    <row r="290" spans="3:12" x14ac:dyDescent="0.2">
      <c r="C290" s="418" t="s">
        <v>319</v>
      </c>
      <c r="D290" s="524" t="s">
        <v>500</v>
      </c>
      <c r="E290" s="525" t="s">
        <v>508</v>
      </c>
      <c r="F290" s="421">
        <v>18500</v>
      </c>
      <c r="G290" s="527" t="s">
        <v>509</v>
      </c>
      <c r="H290" s="421">
        <v>27400</v>
      </c>
      <c r="I290" s="487">
        <v>94</v>
      </c>
      <c r="J290" s="421">
        <v>18500</v>
      </c>
    </row>
    <row r="291" spans="3:12" x14ac:dyDescent="0.2">
      <c r="C291" s="448" t="s">
        <v>320</v>
      </c>
      <c r="D291" s="530" t="s">
        <v>500</v>
      </c>
      <c r="E291" s="525" t="s">
        <v>510</v>
      </c>
      <c r="F291" s="421">
        <v>22185</v>
      </c>
      <c r="G291" s="527" t="s">
        <v>511</v>
      </c>
      <c r="H291" s="421">
        <v>32270</v>
      </c>
      <c r="I291" s="529">
        <v>80</v>
      </c>
      <c r="J291" s="421">
        <v>21193</v>
      </c>
    </row>
    <row r="292" spans="3:12" x14ac:dyDescent="0.2">
      <c r="C292" s="448" t="s">
        <v>127</v>
      </c>
      <c r="D292" s="524" t="s">
        <v>500</v>
      </c>
      <c r="E292" s="525" t="s">
        <v>512</v>
      </c>
      <c r="F292" s="421">
        <v>19916</v>
      </c>
      <c r="G292" s="531"/>
      <c r="H292" s="421"/>
      <c r="I292" s="529">
        <v>100</v>
      </c>
      <c r="J292" s="421">
        <v>19273</v>
      </c>
    </row>
    <row r="293" spans="3:12" x14ac:dyDescent="0.2">
      <c r="C293" s="466" t="s">
        <v>273</v>
      </c>
      <c r="D293" s="524" t="s">
        <v>500</v>
      </c>
      <c r="E293" s="525" t="s">
        <v>513</v>
      </c>
      <c r="F293" s="421">
        <v>18195</v>
      </c>
      <c r="G293" s="527"/>
      <c r="H293" s="421"/>
      <c r="I293" s="529">
        <v>100</v>
      </c>
      <c r="J293" s="421">
        <v>18864</v>
      </c>
    </row>
    <row r="294" spans="3:12" x14ac:dyDescent="0.2">
      <c r="C294" s="448" t="s">
        <v>275</v>
      </c>
      <c r="D294" s="524" t="s">
        <v>516</v>
      </c>
      <c r="E294" s="525" t="s">
        <v>514</v>
      </c>
      <c r="F294" s="421">
        <v>18598</v>
      </c>
      <c r="G294" s="3" t="s">
        <v>518</v>
      </c>
      <c r="H294" s="3">
        <v>29374</v>
      </c>
      <c r="I294" s="529">
        <v>53</v>
      </c>
      <c r="J294" s="532">
        <v>24276</v>
      </c>
    </row>
    <row r="295" spans="3:12" x14ac:dyDescent="0.2">
      <c r="C295" s="466" t="s">
        <v>247</v>
      </c>
      <c r="D295" s="524" t="s">
        <v>516</v>
      </c>
      <c r="E295" s="525" t="s">
        <v>517</v>
      </c>
      <c r="F295" s="421">
        <v>18598</v>
      </c>
      <c r="G295" s="527">
        <v>90</v>
      </c>
      <c r="H295" s="421">
        <v>31326</v>
      </c>
      <c r="I295" s="533" t="s">
        <v>40</v>
      </c>
      <c r="J295" s="534" t="s">
        <v>515</v>
      </c>
    </row>
    <row r="296" spans="3:12" x14ac:dyDescent="0.2">
      <c r="C296" s="418" t="s">
        <v>337</v>
      </c>
      <c r="D296" s="535" t="s">
        <v>500</v>
      </c>
      <c r="E296" s="536" t="s">
        <v>519</v>
      </c>
      <c r="F296" s="421">
        <v>20511</v>
      </c>
      <c r="G296" s="537" t="s">
        <v>520</v>
      </c>
      <c r="H296" s="421">
        <v>27600</v>
      </c>
      <c r="I296" s="538">
        <v>94</v>
      </c>
      <c r="J296" s="421">
        <v>21965</v>
      </c>
    </row>
    <row r="297" spans="3:12" x14ac:dyDescent="0.2">
      <c r="C297" s="448" t="s">
        <v>242</v>
      </c>
      <c r="F297" s="421"/>
      <c r="H297" s="421"/>
      <c r="J297" s="433"/>
    </row>
    <row r="298" spans="3:12" x14ac:dyDescent="0.2">
      <c r="C298" s="418" t="s">
        <v>456</v>
      </c>
      <c r="D298" s="431" t="s">
        <v>500</v>
      </c>
      <c r="E298" s="431" t="s">
        <v>519</v>
      </c>
      <c r="F298" s="421">
        <v>19813</v>
      </c>
      <c r="G298" s="431" t="s">
        <v>521</v>
      </c>
      <c r="H298" s="421">
        <v>36064</v>
      </c>
      <c r="I298" s="431">
        <v>95</v>
      </c>
      <c r="J298" s="421">
        <v>17962</v>
      </c>
    </row>
    <row r="299" spans="3:12" x14ac:dyDescent="0.2">
      <c r="C299" s="418" t="s">
        <v>457</v>
      </c>
      <c r="D299" s="431" t="s">
        <v>500</v>
      </c>
      <c r="E299" s="431" t="s">
        <v>522</v>
      </c>
      <c r="F299" s="421">
        <v>13503</v>
      </c>
      <c r="G299" s="431" t="s">
        <v>523</v>
      </c>
      <c r="H299" s="421">
        <v>38623</v>
      </c>
      <c r="I299" s="431">
        <v>81</v>
      </c>
      <c r="J299" s="421">
        <v>21975</v>
      </c>
    </row>
    <row r="300" spans="3:12" x14ac:dyDescent="0.2">
      <c r="D300" s="434" t="s">
        <v>458</v>
      </c>
      <c r="E300" s="435"/>
      <c r="F300" s="435"/>
      <c r="G300" s="435" t="s">
        <v>459</v>
      </c>
      <c r="H300" s="435"/>
      <c r="I300" s="435" t="s">
        <v>460</v>
      </c>
      <c r="J300" s="435"/>
    </row>
    <row r="301" spans="3:12" x14ac:dyDescent="0.2">
      <c r="D301" s="436" t="s">
        <v>461</v>
      </c>
      <c r="E301" s="435"/>
      <c r="F301" s="435"/>
      <c r="G301" s="435" t="s">
        <v>462</v>
      </c>
      <c r="H301" s="435"/>
      <c r="I301" s="435" t="s">
        <v>463</v>
      </c>
      <c r="J301" s="435"/>
    </row>
    <row r="302" spans="3:12" x14ac:dyDescent="0.2">
      <c r="D302" s="437"/>
      <c r="E302" s="435"/>
      <c r="F302" s="435"/>
      <c r="G302" s="438" t="s">
        <v>464</v>
      </c>
      <c r="H302" s="435"/>
      <c r="I302" s="439" t="s">
        <v>465</v>
      </c>
      <c r="J302" s="435"/>
    </row>
  </sheetData>
  <mergeCells count="30">
    <mergeCell ref="C12:E12"/>
    <mergeCell ref="E277:J277"/>
    <mergeCell ref="J184:J185"/>
    <mergeCell ref="C205:C206"/>
    <mergeCell ref="D205:E205"/>
    <mergeCell ref="F205:G205"/>
    <mergeCell ref="I183:J183"/>
    <mergeCell ref="F184:F185"/>
    <mergeCell ref="G184:H184"/>
    <mergeCell ref="I184:I185"/>
    <mergeCell ref="C183:C185"/>
    <mergeCell ref="D183:D185"/>
    <mergeCell ref="E183:E185"/>
    <mergeCell ref="F183:H183"/>
    <mergeCell ref="E255:F255"/>
    <mergeCell ref="M160:M162"/>
    <mergeCell ref="D161:E161"/>
    <mergeCell ref="F161:J161"/>
    <mergeCell ref="B63:B64"/>
    <mergeCell ref="D72:G72"/>
    <mergeCell ref="D94:G94"/>
    <mergeCell ref="D116:G116"/>
    <mergeCell ref="D136:F136"/>
    <mergeCell ref="K136:M136"/>
    <mergeCell ref="K161:L161"/>
    <mergeCell ref="C160:C162"/>
    <mergeCell ref="D160:J160"/>
    <mergeCell ref="F63:G63"/>
    <mergeCell ref="H63:I63"/>
    <mergeCell ref="B160:B16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opLeftCell="A25" workbookViewId="0">
      <selection activeCell="A14" sqref="A14"/>
    </sheetView>
  </sheetViews>
  <sheetFormatPr defaultRowHeight="12.75" x14ac:dyDescent="0.2"/>
  <cols>
    <col min="1" max="1" width="18.42578125" style="61" customWidth="1"/>
    <col min="2" max="2" width="15.42578125" style="61" customWidth="1"/>
    <col min="3" max="3" width="9.140625" style="61"/>
    <col min="4" max="4" width="10.85546875" style="61" customWidth="1"/>
    <col min="5" max="5" width="12.42578125" style="61" bestFit="1" customWidth="1"/>
    <col min="6" max="6" width="9.140625" style="61"/>
    <col min="7" max="7" width="15.85546875" style="61" customWidth="1"/>
    <col min="8" max="8" width="15.42578125" style="61" customWidth="1"/>
    <col min="9" max="9" width="11.28515625" style="61" bestFit="1" customWidth="1"/>
    <col min="10" max="10" width="11.7109375" style="61" customWidth="1"/>
    <col min="11" max="16384" width="9.140625" style="61"/>
  </cols>
  <sheetData>
    <row r="1" spans="1:10" x14ac:dyDescent="0.2">
      <c r="A1" s="331"/>
      <c r="C1" s="316"/>
      <c r="D1" s="316"/>
      <c r="E1" s="316"/>
      <c r="F1" s="316"/>
      <c r="G1" s="331"/>
      <c r="H1" s="331"/>
      <c r="I1" s="331" t="s">
        <v>338</v>
      </c>
    </row>
    <row r="2" spans="1:10" x14ac:dyDescent="0.2">
      <c r="A2" s="317" t="s">
        <v>487</v>
      </c>
      <c r="B2" s="332"/>
      <c r="C2" s="331"/>
      <c r="D2" s="331"/>
      <c r="E2" s="331"/>
      <c r="F2" s="331"/>
      <c r="G2" s="331"/>
      <c r="H2" s="331"/>
      <c r="I2" s="333"/>
      <c r="J2" s="331"/>
    </row>
    <row r="3" spans="1:10" x14ac:dyDescent="0.2">
      <c r="A3" s="331"/>
      <c r="B3" s="332"/>
      <c r="C3" s="331"/>
      <c r="D3" s="331"/>
      <c r="E3" s="331"/>
      <c r="F3" s="331"/>
      <c r="G3" s="331"/>
      <c r="H3" s="331"/>
      <c r="I3" s="333"/>
      <c r="J3" s="331"/>
    </row>
    <row r="4" spans="1:10" ht="26.25" customHeight="1" x14ac:dyDescent="0.2">
      <c r="A4" s="334" t="s">
        <v>1</v>
      </c>
      <c r="B4" s="334"/>
      <c r="C4" s="334"/>
      <c r="D4" s="615" t="s">
        <v>243</v>
      </c>
      <c r="E4" s="617" t="s">
        <v>130</v>
      </c>
      <c r="F4" s="617"/>
      <c r="G4" s="617"/>
      <c r="H4" s="617"/>
      <c r="I4" s="335"/>
      <c r="J4" s="336"/>
    </row>
    <row r="5" spans="1:10" x14ac:dyDescent="0.2">
      <c r="A5" s="328"/>
      <c r="B5" s="328"/>
      <c r="C5" s="328"/>
      <c r="D5" s="616"/>
      <c r="E5" s="109" t="s">
        <v>48</v>
      </c>
      <c r="F5" s="109" t="s">
        <v>128</v>
      </c>
      <c r="G5" s="109" t="s">
        <v>131</v>
      </c>
      <c r="H5" s="109" t="s">
        <v>2</v>
      </c>
      <c r="I5" s="337"/>
      <c r="J5" s="338"/>
    </row>
    <row r="6" spans="1:10" x14ac:dyDescent="0.2">
      <c r="A6" s="316" t="s">
        <v>3</v>
      </c>
      <c r="B6" s="339"/>
      <c r="C6" s="339"/>
      <c r="D6" s="373" t="s">
        <v>62</v>
      </c>
      <c r="E6" s="340" t="s">
        <v>139</v>
      </c>
      <c r="F6" s="341"/>
      <c r="G6" s="341"/>
      <c r="H6" s="342"/>
      <c r="I6" s="343"/>
    </row>
    <row r="7" spans="1:10" ht="15.75" x14ac:dyDescent="0.2">
      <c r="A7" s="316" t="s">
        <v>210</v>
      </c>
      <c r="B7" s="339"/>
      <c r="C7" s="339"/>
      <c r="D7" s="374">
        <v>100</v>
      </c>
      <c r="E7" s="345">
        <v>1148</v>
      </c>
      <c r="F7" s="346">
        <v>14919</v>
      </c>
      <c r="G7" s="347"/>
      <c r="H7" s="346">
        <v>16067</v>
      </c>
      <c r="I7" s="343"/>
    </row>
    <row r="8" spans="1:10" x14ac:dyDescent="0.2">
      <c r="A8" s="316" t="s">
        <v>654</v>
      </c>
      <c r="B8" s="339"/>
      <c r="C8" s="339"/>
      <c r="D8" s="374">
        <v>76</v>
      </c>
      <c r="E8" s="345">
        <v>1193</v>
      </c>
      <c r="F8" s="346">
        <v>2041</v>
      </c>
      <c r="G8" s="347"/>
      <c r="H8" s="346">
        <v>3234</v>
      </c>
      <c r="I8" s="343"/>
    </row>
    <row r="9" spans="1:10" x14ac:dyDescent="0.2">
      <c r="A9" s="316" t="s">
        <v>5</v>
      </c>
      <c r="B9" s="339"/>
      <c r="C9" s="339"/>
      <c r="D9" s="374">
        <v>100</v>
      </c>
      <c r="E9" s="345">
        <v>3798</v>
      </c>
      <c r="F9" s="347"/>
      <c r="G9" s="347"/>
      <c r="H9" s="346">
        <v>3798</v>
      </c>
      <c r="I9" s="343"/>
    </row>
    <row r="10" spans="1:10" x14ac:dyDescent="0.2">
      <c r="A10" s="316" t="s">
        <v>653</v>
      </c>
      <c r="B10" s="339"/>
      <c r="C10" s="339"/>
      <c r="D10" s="374">
        <v>100</v>
      </c>
      <c r="E10" s="345">
        <v>3552</v>
      </c>
      <c r="F10" s="347"/>
      <c r="G10" s="346">
        <v>8906</v>
      </c>
      <c r="H10" s="346">
        <v>12458</v>
      </c>
      <c r="I10" s="343"/>
    </row>
    <row r="11" spans="1:10" x14ac:dyDescent="0.2">
      <c r="A11" s="316" t="s">
        <v>7</v>
      </c>
      <c r="B11" s="339"/>
      <c r="C11" s="339"/>
      <c r="D11" s="374">
        <v>41</v>
      </c>
      <c r="E11" s="348">
        <v>1609</v>
      </c>
      <c r="F11" s="618"/>
      <c r="G11" s="346">
        <v>735</v>
      </c>
      <c r="H11" s="346">
        <v>2344</v>
      </c>
      <c r="I11" s="343"/>
    </row>
    <row r="12" spans="1:10" x14ac:dyDescent="0.2">
      <c r="A12" s="316" t="s">
        <v>8</v>
      </c>
      <c r="B12" s="339"/>
      <c r="C12" s="339"/>
      <c r="D12" s="374">
        <v>100</v>
      </c>
      <c r="E12" s="348"/>
      <c r="F12" s="618"/>
      <c r="G12" s="346">
        <v>52242</v>
      </c>
      <c r="H12" s="346">
        <v>52242</v>
      </c>
      <c r="I12" s="343"/>
    </row>
    <row r="13" spans="1:10" x14ac:dyDescent="0.2">
      <c r="A13" s="316" t="s">
        <v>9</v>
      </c>
      <c r="B13" s="339"/>
      <c r="C13" s="339"/>
      <c r="D13" s="374">
        <v>100</v>
      </c>
      <c r="E13" s="345">
        <v>1161</v>
      </c>
      <c r="F13" s="347"/>
      <c r="G13" s="346">
        <v>9970</v>
      </c>
      <c r="H13" s="346">
        <v>11131</v>
      </c>
      <c r="I13" s="343"/>
    </row>
    <row r="14" spans="1:10" x14ac:dyDescent="0.2">
      <c r="A14" s="5" t="s">
        <v>657</v>
      </c>
      <c r="B14" s="339"/>
      <c r="C14" s="339"/>
      <c r="D14" s="374">
        <v>72</v>
      </c>
      <c r="E14" s="345">
        <v>1353</v>
      </c>
      <c r="F14" s="347"/>
      <c r="G14" s="346">
        <v>5411</v>
      </c>
      <c r="H14" s="346">
        <v>6764</v>
      </c>
      <c r="I14" s="343"/>
    </row>
    <row r="15" spans="1:10" x14ac:dyDescent="0.2">
      <c r="A15" s="316" t="s">
        <v>90</v>
      </c>
      <c r="B15" s="339"/>
      <c r="C15" s="339"/>
      <c r="D15" s="374">
        <v>83</v>
      </c>
      <c r="E15" s="345">
        <v>4475</v>
      </c>
      <c r="F15" s="347"/>
      <c r="G15" s="347"/>
      <c r="H15" s="346">
        <v>4475</v>
      </c>
      <c r="I15" s="343"/>
    </row>
    <row r="16" spans="1:10" x14ac:dyDescent="0.2">
      <c r="A16" s="316" t="s">
        <v>649</v>
      </c>
      <c r="B16" s="339"/>
      <c r="C16" s="339"/>
      <c r="D16" s="374">
        <v>100</v>
      </c>
      <c r="E16" s="345">
        <v>4143</v>
      </c>
      <c r="F16" s="346">
        <v>18149</v>
      </c>
      <c r="G16" s="347"/>
      <c r="H16" s="346">
        <v>22292</v>
      </c>
      <c r="I16" s="343"/>
    </row>
    <row r="17" spans="1:10" x14ac:dyDescent="0.2">
      <c r="A17" s="316" t="s">
        <v>123</v>
      </c>
      <c r="B17" s="339"/>
      <c r="C17" s="339"/>
      <c r="D17" s="374">
        <v>52</v>
      </c>
      <c r="E17" s="345">
        <v>2000</v>
      </c>
      <c r="F17" s="346">
        <v>5066</v>
      </c>
      <c r="G17" s="347"/>
      <c r="H17" s="346">
        <v>7066</v>
      </c>
      <c r="I17" s="343"/>
    </row>
    <row r="18" spans="1:10" ht="16.5" customHeight="1" x14ac:dyDescent="0.2">
      <c r="A18" s="619" t="s">
        <v>105</v>
      </c>
      <c r="B18" s="619"/>
      <c r="C18" s="339"/>
      <c r="D18" s="339"/>
      <c r="E18" s="345"/>
      <c r="F18" s="347"/>
      <c r="G18" s="347"/>
      <c r="H18" s="346">
        <v>2800</v>
      </c>
      <c r="I18" s="343"/>
    </row>
    <row r="19" spans="1:10" x14ac:dyDescent="0.2">
      <c r="A19" s="349" t="s">
        <v>92</v>
      </c>
      <c r="B19" s="334"/>
      <c r="C19" s="334"/>
      <c r="D19" s="334"/>
      <c r="E19" s="350">
        <f t="shared" ref="E19:G19" si="0">SUM(E7:E18)</f>
        <v>24432</v>
      </c>
      <c r="F19" s="350">
        <f t="shared" si="0"/>
        <v>40175</v>
      </c>
      <c r="G19" s="350">
        <f t="shared" si="0"/>
        <v>77264</v>
      </c>
      <c r="H19" s="350">
        <f>SUM(H7:H18)</f>
        <v>144671</v>
      </c>
      <c r="I19" s="351"/>
      <c r="J19" s="352"/>
    </row>
    <row r="20" spans="1:10" x14ac:dyDescent="0.2">
      <c r="A20" s="353" t="s">
        <v>152</v>
      </c>
      <c r="B20" s="328"/>
      <c r="C20" s="328"/>
      <c r="D20" s="328"/>
      <c r="E20" s="354">
        <f>+G29*E29</f>
        <v>15547</v>
      </c>
      <c r="F20" s="355">
        <v>40175</v>
      </c>
      <c r="G20" s="354">
        <v>77264</v>
      </c>
      <c r="H20" s="355">
        <v>132986</v>
      </c>
      <c r="I20" s="351"/>
      <c r="J20" s="352"/>
    </row>
    <row r="21" spans="1:10" x14ac:dyDescent="0.2">
      <c r="A21" s="339"/>
      <c r="B21" s="339"/>
      <c r="C21" s="339"/>
      <c r="D21" s="339"/>
      <c r="E21" s="339"/>
      <c r="F21" s="339"/>
      <c r="G21" s="339"/>
      <c r="H21" s="339"/>
      <c r="I21" s="356"/>
      <c r="J21" s="339"/>
    </row>
    <row r="22" spans="1:10" x14ac:dyDescent="0.2">
      <c r="A22" s="334"/>
      <c r="B22" s="334"/>
      <c r="C22" s="357" t="s">
        <v>13</v>
      </c>
      <c r="D22" s="334"/>
      <c r="E22" s="334"/>
      <c r="F22" s="334"/>
      <c r="G22" s="334"/>
      <c r="H22" s="334"/>
      <c r="I22" s="356"/>
      <c r="J22" s="339"/>
    </row>
    <row r="23" spans="1:10" x14ac:dyDescent="0.2">
      <c r="A23" s="316" t="s">
        <v>14</v>
      </c>
      <c r="B23" s="339"/>
      <c r="C23" s="339"/>
      <c r="D23" s="339"/>
      <c r="E23" s="339"/>
      <c r="F23" s="339"/>
      <c r="G23" s="339"/>
      <c r="H23" s="339"/>
      <c r="I23" s="356"/>
      <c r="J23" s="358"/>
    </row>
    <row r="24" spans="1:10" ht="27" customHeight="1" x14ac:dyDescent="0.2">
      <c r="A24" s="359" t="s">
        <v>15</v>
      </c>
      <c r="B24" s="359"/>
      <c r="C24" s="359"/>
      <c r="D24" s="360" t="s">
        <v>16</v>
      </c>
      <c r="E24" s="361" t="s">
        <v>17</v>
      </c>
      <c r="F24" s="361"/>
      <c r="G24" s="361" t="s">
        <v>18</v>
      </c>
      <c r="H24" s="377" t="s">
        <v>650</v>
      </c>
      <c r="I24" s="356"/>
      <c r="J24" s="352"/>
    </row>
    <row r="25" spans="1:10" x14ac:dyDescent="0.2">
      <c r="A25" s="339" t="s">
        <v>19</v>
      </c>
      <c r="B25" s="339"/>
      <c r="C25" s="339"/>
      <c r="D25" s="362"/>
      <c r="E25" s="339"/>
      <c r="F25" s="339"/>
      <c r="G25" s="339"/>
      <c r="H25" s="341" t="s">
        <v>341</v>
      </c>
      <c r="I25" s="356"/>
    </row>
    <row r="26" spans="1:10" x14ac:dyDescent="0.2">
      <c r="A26" s="316" t="s">
        <v>6</v>
      </c>
      <c r="B26" s="339"/>
      <c r="C26" s="339"/>
      <c r="D26" s="363" t="s">
        <v>20</v>
      </c>
      <c r="E26" s="336">
        <v>61</v>
      </c>
      <c r="F26" s="341"/>
      <c r="G26" s="336">
        <v>146</v>
      </c>
      <c r="H26" s="341" t="s">
        <v>342</v>
      </c>
      <c r="I26" s="356"/>
    </row>
    <row r="27" spans="1:10" x14ac:dyDescent="0.2">
      <c r="A27" s="339"/>
      <c r="B27" s="339"/>
      <c r="C27" s="339"/>
      <c r="D27" s="363"/>
      <c r="E27" s="344"/>
      <c r="F27" s="339"/>
      <c r="G27" s="339"/>
      <c r="H27" s="341" t="s">
        <v>343</v>
      </c>
      <c r="I27" s="356"/>
    </row>
    <row r="28" spans="1:10" x14ac:dyDescent="0.2">
      <c r="A28" s="339" t="s">
        <v>21</v>
      </c>
      <c r="B28" s="339"/>
      <c r="C28" s="339"/>
      <c r="D28" s="363"/>
      <c r="E28" s="339"/>
      <c r="F28" s="339"/>
      <c r="G28" s="339"/>
      <c r="H28" s="339"/>
      <c r="I28" s="356"/>
    </row>
    <row r="29" spans="1:10" x14ac:dyDescent="0.2">
      <c r="A29" s="316" t="s">
        <v>43</v>
      </c>
      <c r="B29" s="339"/>
      <c r="C29" s="339"/>
      <c r="D29" s="363" t="s">
        <v>22</v>
      </c>
      <c r="E29" s="344">
        <v>7</v>
      </c>
      <c r="F29" s="339"/>
      <c r="G29" s="364">
        <v>2221</v>
      </c>
      <c r="H29" s="339"/>
      <c r="I29" s="356"/>
      <c r="J29" s="3"/>
    </row>
    <row r="30" spans="1:10" x14ac:dyDescent="0.2">
      <c r="A30" s="316" t="s">
        <v>35</v>
      </c>
      <c r="B30" s="339"/>
      <c r="C30" s="339"/>
      <c r="D30" s="363" t="s">
        <v>22</v>
      </c>
      <c r="E30" s="344">
        <v>4</v>
      </c>
      <c r="F30" s="339"/>
      <c r="G30" s="339"/>
      <c r="H30" s="339"/>
      <c r="I30" s="356"/>
      <c r="J30" s="339"/>
    </row>
    <row r="31" spans="1:10" x14ac:dyDescent="0.2">
      <c r="A31" s="339" t="s">
        <v>2</v>
      </c>
      <c r="B31" s="339"/>
      <c r="C31" s="339"/>
      <c r="D31" s="363" t="s">
        <v>22</v>
      </c>
      <c r="E31" s="344">
        <v>11</v>
      </c>
      <c r="F31" s="339"/>
      <c r="G31" s="339"/>
      <c r="H31" s="339"/>
      <c r="I31" s="356"/>
      <c r="J31" s="339"/>
    </row>
    <row r="32" spans="1:10" x14ac:dyDescent="0.2">
      <c r="A32" s="339"/>
      <c r="B32" s="339"/>
      <c r="C32" s="339"/>
      <c r="D32" s="339"/>
      <c r="E32" s="339"/>
      <c r="F32" s="339"/>
      <c r="G32" s="339"/>
      <c r="H32" s="339"/>
      <c r="I32" s="356"/>
      <c r="J32" s="339"/>
    </row>
    <row r="33" spans="1:10" ht="16.5" customHeight="1" x14ac:dyDescent="0.2">
      <c r="A33" s="365" t="s">
        <v>54</v>
      </c>
      <c r="B33" s="359"/>
      <c r="C33" s="620" t="s">
        <v>243</v>
      </c>
      <c r="D33" s="620"/>
      <c r="E33" s="359"/>
      <c r="F33" s="359"/>
      <c r="G33" s="359"/>
      <c r="H33" s="339"/>
      <c r="I33" s="356"/>
      <c r="J33" s="339"/>
    </row>
    <row r="34" spans="1:10" x14ac:dyDescent="0.2">
      <c r="A34" s="341" t="s">
        <v>107</v>
      </c>
      <c r="B34" s="341" t="s">
        <v>36</v>
      </c>
      <c r="C34" s="336">
        <v>41</v>
      </c>
      <c r="D34" s="366" t="s">
        <v>20</v>
      </c>
      <c r="E34" s="336">
        <v>147</v>
      </c>
      <c r="F34" s="341"/>
      <c r="G34" s="336">
        <v>5</v>
      </c>
      <c r="H34" s="341"/>
      <c r="I34" s="356"/>
      <c r="J34" s="339"/>
    </row>
    <row r="35" spans="1:10" ht="23.25" customHeight="1" x14ac:dyDescent="0.2">
      <c r="A35" s="341" t="s">
        <v>344</v>
      </c>
      <c r="B35" s="341" t="s">
        <v>27</v>
      </c>
      <c r="C35" s="367" t="s">
        <v>345</v>
      </c>
      <c r="D35" s="366" t="s">
        <v>20</v>
      </c>
      <c r="E35" s="367" t="s">
        <v>346</v>
      </c>
      <c r="F35" s="341"/>
      <c r="G35" s="367" t="s">
        <v>347</v>
      </c>
      <c r="H35" s="341"/>
      <c r="I35" s="356"/>
      <c r="J35" s="339"/>
    </row>
    <row r="36" spans="1:10" x14ac:dyDescent="0.2">
      <c r="A36" s="341"/>
      <c r="B36" s="341" t="s">
        <v>76</v>
      </c>
      <c r="C36" s="367" t="s">
        <v>142</v>
      </c>
      <c r="D36" s="366" t="s">
        <v>20</v>
      </c>
      <c r="E36" s="367" t="s">
        <v>140</v>
      </c>
      <c r="F36" s="341"/>
      <c r="G36" s="367" t="s">
        <v>141</v>
      </c>
      <c r="H36" s="341"/>
      <c r="I36" s="356"/>
      <c r="J36" s="339"/>
    </row>
    <row r="37" spans="1:10" ht="21" customHeight="1" x14ac:dyDescent="0.2">
      <c r="A37" s="341" t="s">
        <v>26</v>
      </c>
      <c r="B37" s="341" t="s">
        <v>27</v>
      </c>
      <c r="C37" s="336">
        <v>76</v>
      </c>
      <c r="D37" s="366" t="s">
        <v>20</v>
      </c>
      <c r="E37" s="336">
        <v>51</v>
      </c>
      <c r="F37" s="341"/>
      <c r="G37" s="336">
        <v>782</v>
      </c>
      <c r="H37" s="341"/>
      <c r="I37" s="356"/>
      <c r="J37" s="339"/>
    </row>
    <row r="38" spans="1:10" x14ac:dyDescent="0.2">
      <c r="A38" s="341"/>
      <c r="B38" s="341" t="s">
        <v>77</v>
      </c>
      <c r="C38" s="336">
        <v>41</v>
      </c>
      <c r="D38" s="366" t="s">
        <v>20</v>
      </c>
      <c r="E38" s="336">
        <v>24</v>
      </c>
      <c r="F38" s="341"/>
      <c r="G38" s="336">
        <v>464</v>
      </c>
      <c r="H38" s="341"/>
      <c r="I38" s="356"/>
      <c r="J38" s="339"/>
    </row>
    <row r="39" spans="1:10" ht="19.5" customHeight="1" x14ac:dyDescent="0.2">
      <c r="A39" s="341"/>
      <c r="B39" s="341" t="s">
        <v>138</v>
      </c>
      <c r="C39" s="336">
        <v>41</v>
      </c>
      <c r="D39" s="366" t="s">
        <v>20</v>
      </c>
      <c r="E39" s="336">
        <v>4</v>
      </c>
      <c r="F39" s="341"/>
      <c r="G39" s="336">
        <v>306</v>
      </c>
      <c r="H39" s="341"/>
      <c r="I39" s="356"/>
      <c r="J39" s="339"/>
    </row>
    <row r="40" spans="1:10" x14ac:dyDescent="0.2">
      <c r="A40" s="357" t="s">
        <v>31</v>
      </c>
      <c r="B40" s="368"/>
      <c r="C40" s="368"/>
      <c r="D40" s="368"/>
      <c r="E40" s="369" t="s">
        <v>32</v>
      </c>
      <c r="F40" s="369"/>
      <c r="G40" s="369" t="s">
        <v>33</v>
      </c>
      <c r="H40" s="352"/>
      <c r="I40" s="356"/>
      <c r="J40" s="339"/>
    </row>
    <row r="41" spans="1:10" x14ac:dyDescent="0.2">
      <c r="A41" s="316" t="s">
        <v>94</v>
      </c>
      <c r="B41" s="339"/>
      <c r="C41" s="339"/>
      <c r="D41" s="339"/>
      <c r="E41" s="345">
        <v>2031</v>
      </c>
      <c r="F41" s="370"/>
      <c r="G41" s="345">
        <f>+E41*2.471</f>
        <v>5018.6010000000006</v>
      </c>
      <c r="H41" s="352"/>
      <c r="I41" s="356"/>
      <c r="J41" s="339"/>
    </row>
    <row r="42" spans="1:10" x14ac:dyDescent="0.2">
      <c r="A42" s="316" t="s">
        <v>95</v>
      </c>
      <c r="B42" s="339"/>
      <c r="C42" s="339"/>
      <c r="D42" s="339"/>
      <c r="E42" s="345">
        <v>117</v>
      </c>
      <c r="F42" s="370"/>
      <c r="G42" s="345"/>
      <c r="H42" s="352"/>
      <c r="I42" s="356"/>
      <c r="J42" s="339"/>
    </row>
    <row r="43" spans="1:10" x14ac:dyDescent="0.2">
      <c r="A43" s="5" t="s">
        <v>192</v>
      </c>
      <c r="B43" s="339"/>
      <c r="C43" s="339"/>
      <c r="D43" s="339"/>
      <c r="E43" s="345">
        <f>+E41*E42</f>
        <v>237627</v>
      </c>
      <c r="F43" s="370"/>
      <c r="G43" s="345">
        <f t="shared" ref="G43:G45" si="1">+E43*2.471</f>
        <v>587176.31700000004</v>
      </c>
      <c r="H43" s="352"/>
      <c r="I43" s="356"/>
      <c r="J43" s="339"/>
    </row>
    <row r="44" spans="1:10" x14ac:dyDescent="0.2">
      <c r="A44" s="5" t="s">
        <v>645</v>
      </c>
      <c r="B44" s="339"/>
      <c r="C44" s="339"/>
      <c r="D44" s="339"/>
      <c r="E44" s="345">
        <f>+E43-H19</f>
        <v>92956</v>
      </c>
      <c r="F44" s="370"/>
      <c r="G44" s="345">
        <f t="shared" si="1"/>
        <v>229694.27600000001</v>
      </c>
      <c r="H44" s="352"/>
      <c r="I44" s="356"/>
      <c r="J44" s="339"/>
    </row>
    <row r="45" spans="1:10" x14ac:dyDescent="0.2">
      <c r="A45" s="5" t="s">
        <v>646</v>
      </c>
      <c r="B45" s="339"/>
      <c r="C45" s="339"/>
      <c r="D45" s="339"/>
      <c r="E45" s="345">
        <f>+E43-H20</f>
        <v>104641</v>
      </c>
      <c r="F45" s="370"/>
      <c r="G45" s="345">
        <f t="shared" si="1"/>
        <v>258567.91100000002</v>
      </c>
      <c r="H45" s="352"/>
      <c r="I45" s="356"/>
      <c r="J45" s="339"/>
    </row>
    <row r="46" spans="1:10" x14ac:dyDescent="0.2">
      <c r="A46" s="5" t="s">
        <v>648</v>
      </c>
      <c r="B46" s="339"/>
      <c r="C46" s="339"/>
      <c r="D46" s="339"/>
      <c r="E46" s="371">
        <f>+H19/E41</f>
        <v>71.231413096996548</v>
      </c>
      <c r="F46" s="339"/>
      <c r="G46" s="339"/>
      <c r="H46" s="352"/>
      <c r="I46" s="356"/>
      <c r="J46" s="339"/>
    </row>
    <row r="47" spans="1:10" x14ac:dyDescent="0.2">
      <c r="A47" s="7" t="s">
        <v>647</v>
      </c>
      <c r="B47" s="328"/>
      <c r="C47" s="328"/>
      <c r="D47" s="328"/>
      <c r="E47" s="372">
        <f>+H20/E41</f>
        <v>65.478089611029048</v>
      </c>
      <c r="F47" s="328"/>
      <c r="G47" s="328"/>
      <c r="H47" s="352"/>
      <c r="I47" s="356"/>
      <c r="J47" s="339"/>
    </row>
    <row r="48" spans="1:10" x14ac:dyDescent="0.2">
      <c r="A48" s="378" t="s">
        <v>348</v>
      </c>
      <c r="B48" s="379" t="s">
        <v>349</v>
      </c>
      <c r="C48" s="378"/>
      <c r="D48" s="339"/>
      <c r="E48" s="339"/>
      <c r="F48" s="339"/>
      <c r="G48" s="339"/>
      <c r="H48" s="339"/>
      <c r="I48" s="356"/>
      <c r="J48" s="339"/>
    </row>
  </sheetData>
  <mergeCells count="5">
    <mergeCell ref="D4:D5"/>
    <mergeCell ref="E4:H4"/>
    <mergeCell ref="F11:F12"/>
    <mergeCell ref="A18:B18"/>
    <mergeCell ref="C33:D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2"/>
  <sheetViews>
    <sheetView topLeftCell="A28" workbookViewId="0">
      <selection activeCell="F38" sqref="F38"/>
    </sheetView>
  </sheetViews>
  <sheetFormatPr defaultColWidth="10.85546875" defaultRowHeight="12.75" x14ac:dyDescent="0.2"/>
  <cols>
    <col min="1" max="1" width="15.7109375" style="3" customWidth="1"/>
    <col min="2" max="2" width="16.5703125" style="3" bestFit="1" customWidth="1"/>
    <col min="3" max="3" width="11.28515625" style="3" customWidth="1"/>
    <col min="4" max="4" width="10.7109375" style="3" customWidth="1"/>
    <col min="5" max="5" width="11.140625" style="3" customWidth="1"/>
    <col min="6" max="6" width="12.7109375" style="3" bestFit="1" customWidth="1"/>
    <col min="7" max="7" width="14.28515625" style="3" customWidth="1"/>
    <col min="8" max="8" width="11.140625" style="3" customWidth="1"/>
    <col min="9" max="9" width="20.28515625" style="3" customWidth="1"/>
    <col min="10" max="16384" width="10.85546875" style="3"/>
  </cols>
  <sheetData>
    <row r="1" spans="1:10" ht="40.5" x14ac:dyDescent="0.25">
      <c r="A1" s="1" t="s">
        <v>655</v>
      </c>
      <c r="B1" s="1"/>
      <c r="C1" s="2"/>
      <c r="D1" s="2"/>
      <c r="E1" s="2"/>
      <c r="F1" s="2"/>
      <c r="H1" s="287" t="s">
        <v>241</v>
      </c>
    </row>
    <row r="2" spans="1:10" ht="17.25" customHeight="1" x14ac:dyDescent="0.2">
      <c r="A2" s="1"/>
      <c r="B2" s="1"/>
      <c r="H2" s="78"/>
    </row>
    <row r="3" spans="1:10" ht="12.75" customHeight="1" x14ac:dyDescent="0.2">
      <c r="A3" s="617" t="s">
        <v>1</v>
      </c>
      <c r="B3" s="617"/>
      <c r="C3" s="615" t="s">
        <v>243</v>
      </c>
      <c r="D3" s="617" t="s">
        <v>130</v>
      </c>
      <c r="E3" s="617"/>
      <c r="F3" s="617"/>
      <c r="G3" s="617"/>
      <c r="H3" s="79"/>
    </row>
    <row r="4" spans="1:10" ht="12.75" customHeight="1" x14ac:dyDescent="0.2">
      <c r="A4" s="622"/>
      <c r="B4" s="622"/>
      <c r="C4" s="621"/>
      <c r="D4" s="109" t="s">
        <v>48</v>
      </c>
      <c r="E4" s="109" t="s">
        <v>128</v>
      </c>
      <c r="F4" s="109" t="s">
        <v>131</v>
      </c>
      <c r="G4" s="109" t="s">
        <v>2</v>
      </c>
      <c r="H4" s="79"/>
    </row>
    <row r="5" spans="1:10" x14ac:dyDescent="0.2">
      <c r="A5" s="5" t="s">
        <v>3</v>
      </c>
      <c r="B5" s="5"/>
      <c r="C5" s="31" t="s">
        <v>50</v>
      </c>
      <c r="D5" s="115"/>
      <c r="E5" s="115"/>
      <c r="F5" s="115"/>
      <c r="G5" s="115"/>
      <c r="H5" s="79"/>
    </row>
    <row r="6" spans="1:10" ht="15.75" x14ac:dyDescent="0.2">
      <c r="A6" s="5" t="s">
        <v>220</v>
      </c>
      <c r="B6" s="5"/>
      <c r="C6" s="31">
        <v>82</v>
      </c>
      <c r="D6" s="115">
        <v>2360</v>
      </c>
      <c r="E6" s="115">
        <v>18387</v>
      </c>
      <c r="F6" s="115"/>
      <c r="G6" s="115">
        <f>+D6+E6+F6</f>
        <v>20747</v>
      </c>
      <c r="H6" s="79"/>
    </row>
    <row r="7" spans="1:10" x14ac:dyDescent="0.2">
      <c r="A7" s="5" t="s">
        <v>229</v>
      </c>
      <c r="B7" s="5"/>
      <c r="C7" s="74" t="s">
        <v>4</v>
      </c>
      <c r="D7" s="117" t="s">
        <v>352</v>
      </c>
      <c r="E7" s="117" t="s">
        <v>350</v>
      </c>
      <c r="F7" s="115"/>
      <c r="G7" s="115"/>
      <c r="H7" s="79"/>
      <c r="J7" s="290"/>
    </row>
    <row r="8" spans="1:10" x14ac:dyDescent="0.2">
      <c r="A8" s="5" t="s">
        <v>5</v>
      </c>
      <c r="B8" s="5"/>
      <c r="C8" s="31">
        <v>100</v>
      </c>
      <c r="D8" s="115">
        <v>8887</v>
      </c>
      <c r="E8" s="115"/>
      <c r="F8" s="115"/>
      <c r="G8" s="115">
        <v>8887</v>
      </c>
      <c r="H8" s="79"/>
      <c r="J8" s="290"/>
    </row>
    <row r="9" spans="1:10" x14ac:dyDescent="0.2">
      <c r="A9" s="5" t="s">
        <v>122</v>
      </c>
      <c r="B9" s="5"/>
      <c r="C9" s="31">
        <v>100</v>
      </c>
      <c r="D9" s="115">
        <v>4701</v>
      </c>
      <c r="E9" s="115"/>
      <c r="F9" s="115">
        <v>8319</v>
      </c>
      <c r="G9" s="115">
        <v>13020</v>
      </c>
      <c r="H9" s="79"/>
      <c r="J9" s="290"/>
    </row>
    <row r="10" spans="1:10" ht="15" customHeight="1" x14ac:dyDescent="0.2">
      <c r="A10" s="5" t="s">
        <v>7</v>
      </c>
      <c r="B10" s="5"/>
      <c r="C10" s="31">
        <v>87</v>
      </c>
      <c r="D10" s="240">
        <v>1500</v>
      </c>
      <c r="E10" s="115"/>
      <c r="F10" s="119">
        <v>4368</v>
      </c>
      <c r="G10" s="624">
        <f>+F11+F10+D10</f>
        <v>24962</v>
      </c>
      <c r="H10" s="79"/>
      <c r="J10" s="290"/>
    </row>
    <row r="11" spans="1:10" x14ac:dyDescent="0.2">
      <c r="A11" s="5" t="s">
        <v>8</v>
      </c>
      <c r="B11" s="5"/>
      <c r="C11" s="31">
        <v>57</v>
      </c>
      <c r="D11" s="240"/>
      <c r="E11" s="115"/>
      <c r="F11" s="115">
        <v>19094</v>
      </c>
      <c r="G11" s="624"/>
      <c r="H11" s="79"/>
      <c r="J11" s="290"/>
    </row>
    <row r="12" spans="1:10" x14ac:dyDescent="0.2">
      <c r="A12" s="5" t="s">
        <v>9</v>
      </c>
      <c r="B12" s="5"/>
      <c r="C12" s="31">
        <v>100</v>
      </c>
      <c r="D12" s="115">
        <v>900</v>
      </c>
      <c r="E12" s="115"/>
      <c r="F12" s="115">
        <v>8255</v>
      </c>
      <c r="G12" s="115">
        <v>9155</v>
      </c>
      <c r="H12" s="79"/>
      <c r="J12" s="290"/>
    </row>
    <row r="13" spans="1:10" x14ac:dyDescent="0.2">
      <c r="A13" s="5" t="s">
        <v>657</v>
      </c>
      <c r="B13" s="5"/>
      <c r="C13" s="31">
        <v>50</v>
      </c>
      <c r="D13" s="115">
        <v>1900</v>
      </c>
      <c r="E13" s="115"/>
      <c r="F13" s="115">
        <v>3091</v>
      </c>
      <c r="G13" s="115">
        <v>4991</v>
      </c>
      <c r="H13" s="79"/>
      <c r="J13" s="290"/>
    </row>
    <row r="14" spans="1:10" x14ac:dyDescent="0.2">
      <c r="A14" s="5" t="s">
        <v>90</v>
      </c>
      <c r="B14" s="5"/>
      <c r="C14" s="31">
        <v>100</v>
      </c>
      <c r="D14" s="115">
        <v>8820</v>
      </c>
      <c r="E14" s="115"/>
      <c r="F14" s="115"/>
      <c r="G14" s="115">
        <v>8820</v>
      </c>
      <c r="H14" s="79"/>
      <c r="J14" s="290"/>
    </row>
    <row r="15" spans="1:10" ht="27" customHeight="1" x14ac:dyDescent="0.2">
      <c r="A15" s="623" t="s">
        <v>209</v>
      </c>
      <c r="B15" s="623"/>
      <c r="C15" s="31">
        <v>90</v>
      </c>
      <c r="D15" s="115">
        <v>2325</v>
      </c>
      <c r="E15" s="115">
        <v>18496</v>
      </c>
      <c r="F15" s="115"/>
      <c r="G15" s="115">
        <v>20821</v>
      </c>
      <c r="H15" s="79"/>
      <c r="J15" s="65"/>
    </row>
    <row r="16" spans="1:10" x14ac:dyDescent="0.2">
      <c r="A16" s="5" t="s">
        <v>10</v>
      </c>
      <c r="B16" s="5"/>
      <c r="C16" s="31" t="s">
        <v>11</v>
      </c>
      <c r="D16" s="158" t="s">
        <v>351</v>
      </c>
      <c r="E16" s="159"/>
      <c r="F16" s="115"/>
      <c r="G16" s="115"/>
      <c r="H16" s="79"/>
      <c r="J16" s="84"/>
    </row>
    <row r="17" spans="1:10" ht="26.25" customHeight="1" x14ac:dyDescent="0.2">
      <c r="A17" s="623" t="s">
        <v>656</v>
      </c>
      <c r="B17" s="623"/>
      <c r="C17" s="31" t="s">
        <v>11</v>
      </c>
      <c r="D17" s="115"/>
      <c r="E17" s="117" t="s">
        <v>652</v>
      </c>
      <c r="F17" s="115"/>
      <c r="G17" s="115"/>
      <c r="H17" s="79"/>
      <c r="J17" s="30"/>
    </row>
    <row r="18" spans="1:10" x14ac:dyDescent="0.2">
      <c r="A18" s="5" t="s">
        <v>91</v>
      </c>
      <c r="B18" s="5"/>
      <c r="C18" s="31">
        <v>90</v>
      </c>
      <c r="D18" s="115">
        <v>4497</v>
      </c>
      <c r="E18" s="115"/>
      <c r="F18" s="115"/>
      <c r="G18" s="115">
        <v>4497</v>
      </c>
      <c r="H18" s="79"/>
    </row>
    <row r="19" spans="1:10" x14ac:dyDescent="0.2">
      <c r="A19" s="5" t="s">
        <v>123</v>
      </c>
      <c r="B19" s="5"/>
      <c r="C19" s="31">
        <v>93</v>
      </c>
      <c r="D19" s="115">
        <v>775</v>
      </c>
      <c r="E19" s="121">
        <v>1514</v>
      </c>
      <c r="F19" s="121"/>
      <c r="G19" s="115">
        <v>2289</v>
      </c>
      <c r="H19" s="79"/>
    </row>
    <row r="20" spans="1:10" x14ac:dyDescent="0.2">
      <c r="A20" s="5" t="s">
        <v>12</v>
      </c>
      <c r="B20" s="5"/>
      <c r="C20" s="31"/>
      <c r="D20" s="115"/>
      <c r="E20" s="121"/>
      <c r="F20" s="121"/>
      <c r="G20" s="115">
        <v>1820</v>
      </c>
      <c r="H20" s="79"/>
    </row>
    <row r="21" spans="1:10" x14ac:dyDescent="0.2">
      <c r="A21" s="4" t="s">
        <v>92</v>
      </c>
      <c r="B21" s="4"/>
      <c r="C21" s="13"/>
      <c r="D21" s="102">
        <f t="shared" ref="D21:F21" si="0">SUM(D6:D20)</f>
        <v>36665</v>
      </c>
      <c r="E21" s="102">
        <f t="shared" si="0"/>
        <v>38397</v>
      </c>
      <c r="F21" s="102">
        <f t="shared" si="0"/>
        <v>43127</v>
      </c>
      <c r="G21" s="102">
        <f>SUM(G6:G20)</f>
        <v>120009</v>
      </c>
      <c r="H21" s="79"/>
    </row>
    <row r="22" spans="1:10" x14ac:dyDescent="0.2">
      <c r="A22" s="7" t="s">
        <v>93</v>
      </c>
      <c r="B22" s="7"/>
      <c r="C22" s="15"/>
      <c r="D22" s="105">
        <f>+E29*F29</f>
        <v>8148</v>
      </c>
      <c r="E22" s="104">
        <v>32396</v>
      </c>
      <c r="F22" s="104">
        <v>42951</v>
      </c>
      <c r="G22" s="105">
        <f>+D22+E22+F22</f>
        <v>83495</v>
      </c>
      <c r="H22" s="79"/>
    </row>
    <row r="23" spans="1:10" ht="15" customHeight="1" x14ac:dyDescent="0.2">
      <c r="A23" s="617" t="s">
        <v>13</v>
      </c>
      <c r="B23" s="617"/>
      <c r="C23" s="617"/>
      <c r="D23" s="617"/>
      <c r="E23" s="617"/>
      <c r="F23" s="617"/>
      <c r="G23" s="617"/>
      <c r="H23" s="80"/>
    </row>
    <row r="24" spans="1:10" x14ac:dyDescent="0.2">
      <c r="A24" s="1" t="s">
        <v>14</v>
      </c>
      <c r="B24" s="1"/>
      <c r="C24" s="1"/>
      <c r="D24" s="1"/>
      <c r="E24" s="1"/>
      <c r="F24" s="1"/>
      <c r="G24" s="1"/>
      <c r="H24" s="80"/>
    </row>
    <row r="25" spans="1:10" x14ac:dyDescent="0.2">
      <c r="A25" s="108" t="s">
        <v>15</v>
      </c>
      <c r="B25" s="108"/>
      <c r="C25" s="108"/>
      <c r="D25" s="153" t="s">
        <v>16</v>
      </c>
      <c r="E25" s="153" t="s">
        <v>17</v>
      </c>
      <c r="F25" s="153" t="s">
        <v>651</v>
      </c>
      <c r="G25" s="224" t="s">
        <v>132</v>
      </c>
      <c r="H25" s="79"/>
    </row>
    <row r="26" spans="1:10" ht="15" customHeight="1" x14ac:dyDescent="0.2">
      <c r="A26" s="1" t="s">
        <v>19</v>
      </c>
      <c r="B26" s="5"/>
      <c r="C26" s="5"/>
      <c r="D26" s="72"/>
      <c r="E26" s="5"/>
      <c r="F26" s="5"/>
      <c r="G26" s="271" t="s">
        <v>134</v>
      </c>
      <c r="H26" s="79"/>
    </row>
    <row r="27" spans="1:10" x14ac:dyDescent="0.2">
      <c r="A27" s="5" t="s">
        <v>6</v>
      </c>
      <c r="B27" s="5"/>
      <c r="C27" s="5"/>
      <c r="D27" s="20" t="s">
        <v>20</v>
      </c>
      <c r="E27" s="75">
        <v>57</v>
      </c>
      <c r="F27" s="22">
        <v>141</v>
      </c>
      <c r="G27" s="271" t="s">
        <v>133</v>
      </c>
      <c r="H27" s="79"/>
    </row>
    <row r="28" spans="1:10" ht="21" customHeight="1" x14ac:dyDescent="0.2">
      <c r="A28" s="1" t="s">
        <v>21</v>
      </c>
      <c r="B28" s="5"/>
      <c r="C28" s="5"/>
      <c r="D28" s="68"/>
      <c r="E28" s="5"/>
      <c r="F28" s="5"/>
      <c r="G28" s="271" t="s">
        <v>135</v>
      </c>
      <c r="H28" s="79"/>
    </row>
    <row r="29" spans="1:10" x14ac:dyDescent="0.2">
      <c r="A29" s="5" t="s">
        <v>43</v>
      </c>
      <c r="B29" s="5"/>
      <c r="C29" s="5"/>
      <c r="D29" s="20" t="s">
        <v>22</v>
      </c>
      <c r="E29" s="22">
        <v>4</v>
      </c>
      <c r="F29" s="22">
        <v>2037</v>
      </c>
      <c r="G29" s="271" t="s">
        <v>136</v>
      </c>
      <c r="H29" s="79"/>
    </row>
    <row r="30" spans="1:10" x14ac:dyDescent="0.2">
      <c r="A30" s="5" t="s">
        <v>35</v>
      </c>
      <c r="B30" s="5"/>
      <c r="C30" s="5"/>
      <c r="D30" s="20" t="s">
        <v>22</v>
      </c>
      <c r="E30" s="22">
        <v>14</v>
      </c>
      <c r="F30" s="5"/>
      <c r="G30" s="271" t="s">
        <v>466</v>
      </c>
      <c r="H30" s="79"/>
    </row>
    <row r="31" spans="1:10" x14ac:dyDescent="0.2">
      <c r="A31" s="5" t="s">
        <v>2</v>
      </c>
      <c r="B31" s="5"/>
      <c r="C31" s="5"/>
      <c r="D31" s="20" t="s">
        <v>22</v>
      </c>
      <c r="E31" s="22">
        <f>E29+14</f>
        <v>18</v>
      </c>
      <c r="F31" s="5"/>
      <c r="H31" s="79"/>
    </row>
    <row r="32" spans="1:10" x14ac:dyDescent="0.2">
      <c r="A32" s="34" t="s">
        <v>54</v>
      </c>
      <c r="B32" s="4"/>
      <c r="C32" s="620" t="s">
        <v>243</v>
      </c>
      <c r="D32" s="620"/>
      <c r="E32" s="4"/>
      <c r="F32" s="4"/>
      <c r="H32" s="79"/>
    </row>
    <row r="33" spans="1:8" ht="12.75" customHeight="1" x14ac:dyDescent="0.2">
      <c r="A33" s="5" t="s">
        <v>25</v>
      </c>
      <c r="B33" s="5" t="s">
        <v>129</v>
      </c>
      <c r="C33" s="73">
        <v>84</v>
      </c>
      <c r="D33" s="20" t="s">
        <v>20</v>
      </c>
      <c r="E33" s="22">
        <v>168</v>
      </c>
      <c r="F33" s="22">
        <v>26</v>
      </c>
      <c r="H33" s="79"/>
    </row>
    <row r="34" spans="1:8" ht="20.25" customHeight="1" x14ac:dyDescent="0.2">
      <c r="A34" s="5" t="s">
        <v>26</v>
      </c>
      <c r="B34" s="5" t="s">
        <v>27</v>
      </c>
      <c r="C34" s="73">
        <v>57</v>
      </c>
      <c r="D34" s="20" t="s">
        <v>20</v>
      </c>
      <c r="E34" s="22">
        <v>23</v>
      </c>
      <c r="F34" s="22">
        <v>816</v>
      </c>
      <c r="H34" s="79"/>
    </row>
    <row r="35" spans="1:8" ht="20.25" customHeight="1" x14ac:dyDescent="0.2">
      <c r="A35" s="5"/>
      <c r="B35" s="5" t="s">
        <v>75</v>
      </c>
      <c r="C35" s="73">
        <v>10</v>
      </c>
      <c r="D35" s="20" t="s">
        <v>20</v>
      </c>
      <c r="E35" s="22">
        <v>30</v>
      </c>
      <c r="F35" s="22">
        <v>200</v>
      </c>
      <c r="H35" s="79"/>
    </row>
    <row r="36" spans="1:8" ht="20.25" customHeight="1" x14ac:dyDescent="0.2">
      <c r="A36" s="5"/>
      <c r="B36" s="5" t="s">
        <v>28</v>
      </c>
      <c r="C36" s="73">
        <v>13</v>
      </c>
      <c r="D36" s="20" t="s">
        <v>20</v>
      </c>
      <c r="E36" s="22">
        <v>10</v>
      </c>
      <c r="F36" s="22">
        <v>458</v>
      </c>
      <c r="H36" s="79"/>
    </row>
    <row r="37" spans="1:8" ht="20.25" customHeight="1" x14ac:dyDescent="0.2">
      <c r="B37" s="5" t="s">
        <v>37</v>
      </c>
      <c r="C37" s="73">
        <v>40</v>
      </c>
      <c r="D37" s="20" t="s">
        <v>20</v>
      </c>
      <c r="E37" s="22">
        <v>14</v>
      </c>
      <c r="F37" s="22">
        <v>302</v>
      </c>
      <c r="H37" s="79"/>
    </row>
    <row r="38" spans="1:8" ht="20.25" customHeight="1" x14ac:dyDescent="0.2">
      <c r="A38" s="5"/>
      <c r="B38" s="5" t="s">
        <v>63</v>
      </c>
      <c r="C38" s="73">
        <v>50</v>
      </c>
      <c r="D38" s="272" t="s">
        <v>45</v>
      </c>
      <c r="E38" s="21">
        <v>1.7</v>
      </c>
      <c r="F38" s="208"/>
      <c r="H38" s="79"/>
    </row>
    <row r="39" spans="1:8" ht="18" customHeight="1" x14ac:dyDescent="0.2">
      <c r="A39" s="34" t="s">
        <v>31</v>
      </c>
      <c r="B39" s="34"/>
      <c r="C39" s="34"/>
      <c r="D39" s="180" t="s">
        <v>32</v>
      </c>
      <c r="E39" s="180" t="s">
        <v>33</v>
      </c>
      <c r="F39" s="5"/>
      <c r="H39" s="79"/>
    </row>
    <row r="40" spans="1:8" x14ac:dyDescent="0.2">
      <c r="A40" s="5" t="s">
        <v>94</v>
      </c>
      <c r="B40" s="5"/>
      <c r="C40" s="5"/>
      <c r="D40" s="69">
        <v>1388</v>
      </c>
      <c r="E40" s="69">
        <v>3429.748</v>
      </c>
      <c r="F40" s="5"/>
      <c r="H40" s="79"/>
    </row>
    <row r="41" spans="1:8" x14ac:dyDescent="0.2">
      <c r="A41" s="5" t="s">
        <v>95</v>
      </c>
      <c r="B41" s="5"/>
      <c r="C41" s="5"/>
      <c r="D41" s="22">
        <v>115</v>
      </c>
      <c r="E41" s="69"/>
      <c r="F41" s="5"/>
      <c r="H41" s="79"/>
    </row>
    <row r="42" spans="1:8" x14ac:dyDescent="0.2">
      <c r="A42" s="5" t="s">
        <v>192</v>
      </c>
      <c r="B42" s="5"/>
      <c r="C42" s="5"/>
      <c r="D42" s="69">
        <f>+D40*D41</f>
        <v>159620</v>
      </c>
      <c r="E42" s="69">
        <f>+D42*2.471</f>
        <v>394421.02</v>
      </c>
      <c r="F42" s="5"/>
      <c r="H42" s="79"/>
    </row>
    <row r="43" spans="1:8" x14ac:dyDescent="0.2">
      <c r="A43" s="5" t="s">
        <v>645</v>
      </c>
      <c r="B43" s="5"/>
      <c r="C43" s="5"/>
      <c r="D43" s="69">
        <f>+D42-G21</f>
        <v>39611</v>
      </c>
      <c r="E43" s="69">
        <f>+D43*2.471</f>
        <v>97878.781000000003</v>
      </c>
      <c r="F43" s="5"/>
      <c r="H43" s="79"/>
    </row>
    <row r="44" spans="1:8" x14ac:dyDescent="0.2">
      <c r="A44" s="5" t="s">
        <v>646</v>
      </c>
      <c r="B44" s="5"/>
      <c r="C44" s="5"/>
      <c r="D44" s="69">
        <f>+D42-G22</f>
        <v>76125</v>
      </c>
      <c r="E44" s="69">
        <f>+D44*2.471</f>
        <v>188104.875</v>
      </c>
      <c r="F44" s="5"/>
      <c r="H44" s="79"/>
    </row>
    <row r="45" spans="1:8" x14ac:dyDescent="0.2">
      <c r="A45" s="5" t="s">
        <v>648</v>
      </c>
      <c r="B45" s="5"/>
      <c r="C45" s="5"/>
      <c r="D45" s="8">
        <f>+G21/D40</f>
        <v>86.461815561959654</v>
      </c>
      <c r="E45" s="5"/>
      <c r="F45" s="5"/>
      <c r="H45" s="79"/>
    </row>
    <row r="46" spans="1:8" x14ac:dyDescent="0.2">
      <c r="A46" s="7" t="s">
        <v>647</v>
      </c>
      <c r="B46" s="7"/>
      <c r="C46" s="7"/>
      <c r="D46" s="16">
        <f>+G22/D40</f>
        <v>60.154899135446684</v>
      </c>
      <c r="E46" s="7"/>
      <c r="F46" s="5"/>
      <c r="H46" s="79"/>
    </row>
    <row r="51" spans="1:6" x14ac:dyDescent="0.2">
      <c r="A51" s="23"/>
      <c r="B51" s="23"/>
    </row>
    <row r="58" spans="1:6" x14ac:dyDescent="0.2">
      <c r="F58" s="3">
        <v>480</v>
      </c>
    </row>
    <row r="59" spans="1:6" x14ac:dyDescent="0.2">
      <c r="F59" s="3">
        <v>428</v>
      </c>
    </row>
    <row r="60" spans="1:6" x14ac:dyDescent="0.2">
      <c r="F60" s="3">
        <v>433</v>
      </c>
    </row>
    <row r="61" spans="1:6" x14ac:dyDescent="0.2">
      <c r="F61" s="3">
        <v>472</v>
      </c>
    </row>
    <row r="62" spans="1:6" x14ac:dyDescent="0.2">
      <c r="F62" s="3">
        <v>466</v>
      </c>
    </row>
  </sheetData>
  <mergeCells count="8">
    <mergeCell ref="D3:G3"/>
    <mergeCell ref="C3:C4"/>
    <mergeCell ref="A3:B4"/>
    <mergeCell ref="C32:D32"/>
    <mergeCell ref="A23:G23"/>
    <mergeCell ref="A15:B15"/>
    <mergeCell ref="G10:G11"/>
    <mergeCell ref="A17:B17"/>
  </mergeCells>
  <pageMargins left="0.7" right="0.7" top="0.75" bottom="0.75" header="0.3" footer="0.3"/>
  <pageSetup paperSize="9" scale="7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1"/>
  <sheetViews>
    <sheetView topLeftCell="A19" zoomScale="86" zoomScaleNormal="86" workbookViewId="0">
      <selection activeCell="F30" sqref="F30"/>
    </sheetView>
  </sheetViews>
  <sheetFormatPr defaultColWidth="9.140625" defaultRowHeight="15" x14ac:dyDescent="0.25"/>
  <cols>
    <col min="1" max="1" width="13" style="26" customWidth="1"/>
    <col min="2" max="2" width="21.85546875" style="26" customWidth="1"/>
    <col min="3" max="3" width="13.42578125" style="26" customWidth="1"/>
    <col min="4" max="4" width="12.42578125" style="26" customWidth="1"/>
    <col min="5" max="5" width="13.5703125" style="26" customWidth="1"/>
    <col min="6" max="6" width="13.42578125" style="26" customWidth="1"/>
    <col min="7" max="7" width="15.140625" style="26" customWidth="1"/>
    <col min="8" max="8" width="12.5703125" style="26" customWidth="1"/>
    <col min="9" max="16384" width="9.140625" style="26"/>
  </cols>
  <sheetData>
    <row r="1" spans="1:10" x14ac:dyDescent="0.25">
      <c r="A1" s="40" t="s">
        <v>488</v>
      </c>
      <c r="B1" s="41" t="s">
        <v>244</v>
      </c>
      <c r="C1" s="41"/>
      <c r="D1" s="41"/>
      <c r="E1" s="41"/>
      <c r="F1" s="41"/>
      <c r="G1" s="41"/>
      <c r="H1" s="251"/>
    </row>
    <row r="2" spans="1:10" ht="33" customHeight="1" x14ac:dyDescent="0.25">
      <c r="A2" s="40"/>
      <c r="B2" s="41"/>
      <c r="C2" s="41"/>
      <c r="D2" s="41"/>
      <c r="E2" s="41"/>
      <c r="F2" s="40"/>
      <c r="H2" s="252"/>
      <c r="I2" s="380" t="s">
        <v>241</v>
      </c>
    </row>
    <row r="3" spans="1:10" x14ac:dyDescent="0.25">
      <c r="A3" s="625" t="s">
        <v>1</v>
      </c>
      <c r="B3" s="625"/>
      <c r="C3" s="627" t="s">
        <v>243</v>
      </c>
      <c r="D3" s="625" t="s">
        <v>130</v>
      </c>
      <c r="E3" s="625"/>
      <c r="F3" s="625"/>
      <c r="G3" s="625"/>
      <c r="H3" s="253"/>
    </row>
    <row r="4" spans="1:10" ht="29.25" customHeight="1" x14ac:dyDescent="0.25">
      <c r="A4" s="626"/>
      <c r="B4" s="626"/>
      <c r="C4" s="621"/>
      <c r="D4" s="267" t="s">
        <v>48</v>
      </c>
      <c r="E4" s="267" t="s">
        <v>128</v>
      </c>
      <c r="F4" s="267" t="s">
        <v>131</v>
      </c>
      <c r="G4" s="267" t="s">
        <v>2</v>
      </c>
      <c r="H4" s="254"/>
    </row>
    <row r="5" spans="1:10" x14ac:dyDescent="0.25">
      <c r="A5" s="43" t="s">
        <v>3</v>
      </c>
      <c r="B5" s="43"/>
      <c r="C5" s="46" t="s">
        <v>87</v>
      </c>
      <c r="D5" s="127"/>
      <c r="E5" s="128"/>
      <c r="F5" s="128"/>
      <c r="G5" s="129"/>
      <c r="H5" s="255"/>
    </row>
    <row r="6" spans="1:10" ht="18" x14ac:dyDescent="0.25">
      <c r="A6" s="43" t="s">
        <v>644</v>
      </c>
      <c r="B6" s="47"/>
      <c r="C6" s="46">
        <v>72</v>
      </c>
      <c r="D6" s="130">
        <v>795.4</v>
      </c>
      <c r="E6" s="130">
        <v>18609.759999999998</v>
      </c>
      <c r="F6" s="130"/>
      <c r="G6" s="130">
        <v>19405.16</v>
      </c>
      <c r="H6" s="255"/>
    </row>
    <row r="7" spans="1:10" ht="18" x14ac:dyDescent="0.25">
      <c r="A7" s="43" t="s">
        <v>658</v>
      </c>
      <c r="B7" s="43"/>
      <c r="C7" s="49" t="s">
        <v>81</v>
      </c>
      <c r="D7" s="131" t="s">
        <v>353</v>
      </c>
      <c r="E7" s="131" t="s">
        <v>354</v>
      </c>
      <c r="F7" s="130"/>
      <c r="G7" s="131" t="s">
        <v>354</v>
      </c>
      <c r="H7" s="255"/>
    </row>
    <row r="8" spans="1:10" x14ac:dyDescent="0.25">
      <c r="A8" s="43" t="s">
        <v>223</v>
      </c>
      <c r="B8" s="43"/>
      <c r="C8" s="49" t="s">
        <v>87</v>
      </c>
      <c r="D8" s="130"/>
      <c r="E8" s="131" t="s">
        <v>355</v>
      </c>
      <c r="F8" s="130"/>
      <c r="G8" s="131" t="s">
        <v>355</v>
      </c>
      <c r="H8" s="255"/>
      <c r="J8" s="292"/>
    </row>
    <row r="9" spans="1:10" x14ac:dyDescent="0.25">
      <c r="A9" s="43" t="s">
        <v>5</v>
      </c>
      <c r="B9" s="43"/>
      <c r="C9" s="46">
        <v>100</v>
      </c>
      <c r="D9" s="130">
        <v>10992.62</v>
      </c>
      <c r="E9" s="130"/>
      <c r="F9" s="130"/>
      <c r="G9" s="130">
        <v>10992.62</v>
      </c>
      <c r="H9" s="255"/>
      <c r="J9" s="292"/>
    </row>
    <row r="10" spans="1:10" x14ac:dyDescent="0.25">
      <c r="A10" s="43" t="s">
        <v>88</v>
      </c>
      <c r="B10" s="43"/>
      <c r="C10" s="46">
        <v>100</v>
      </c>
      <c r="D10" s="130">
        <v>5941.3545870000007</v>
      </c>
      <c r="E10" s="130"/>
      <c r="F10" s="130">
        <v>7296</v>
      </c>
      <c r="G10" s="130">
        <v>13237.354587000002</v>
      </c>
      <c r="H10" s="255"/>
      <c r="J10" s="292"/>
    </row>
    <row r="11" spans="1:10" x14ac:dyDescent="0.25">
      <c r="A11" s="43" t="s">
        <v>660</v>
      </c>
      <c r="B11" s="43"/>
      <c r="C11" s="46">
        <v>100</v>
      </c>
      <c r="D11" s="130">
        <v>1420</v>
      </c>
      <c r="E11" s="132"/>
      <c r="F11" s="130">
        <v>29445</v>
      </c>
      <c r="G11" s="133">
        <f>+D11+E11+F11</f>
        <v>30865</v>
      </c>
      <c r="H11" s="255"/>
      <c r="J11" s="292"/>
    </row>
    <row r="12" spans="1:10" x14ac:dyDescent="0.25">
      <c r="A12" s="43" t="s">
        <v>9</v>
      </c>
      <c r="B12" s="43"/>
      <c r="C12" s="46">
        <v>84.38</v>
      </c>
      <c r="D12" s="130">
        <v>871.64</v>
      </c>
      <c r="E12" s="130"/>
      <c r="F12" s="130">
        <v>5735</v>
      </c>
      <c r="G12" s="130">
        <v>6606.64</v>
      </c>
      <c r="H12" s="255"/>
      <c r="J12" s="292"/>
    </row>
    <row r="13" spans="1:10" x14ac:dyDescent="0.25">
      <c r="A13" s="43" t="s">
        <v>657</v>
      </c>
      <c r="B13" s="43"/>
      <c r="C13" s="46">
        <v>50</v>
      </c>
      <c r="D13" s="130">
        <v>920</v>
      </c>
      <c r="E13" s="130"/>
      <c r="F13" s="130">
        <v>4460</v>
      </c>
      <c r="G13" s="130">
        <v>5380</v>
      </c>
      <c r="H13" s="255"/>
      <c r="J13" s="292"/>
    </row>
    <row r="14" spans="1:10" x14ac:dyDescent="0.25">
      <c r="A14" s="43" t="s">
        <v>90</v>
      </c>
      <c r="B14" s="43"/>
      <c r="C14" s="49">
        <v>100</v>
      </c>
      <c r="D14" s="130">
        <v>6994.2</v>
      </c>
      <c r="E14" s="130"/>
      <c r="F14" s="130"/>
      <c r="G14" s="130">
        <v>6994.2</v>
      </c>
      <c r="H14" s="255"/>
      <c r="J14" s="292"/>
    </row>
    <row r="15" spans="1:10" ht="31.5" customHeight="1" x14ac:dyDescent="0.25">
      <c r="A15" s="628" t="s">
        <v>659</v>
      </c>
      <c r="B15" s="628"/>
      <c r="C15" s="46">
        <v>100</v>
      </c>
      <c r="D15" s="130">
        <v>4029.9544999999998</v>
      </c>
      <c r="E15" s="130">
        <v>18514</v>
      </c>
      <c r="F15" s="132"/>
      <c r="G15" s="130">
        <v>22543.9545</v>
      </c>
      <c r="H15" s="255"/>
      <c r="J15" s="292"/>
    </row>
    <row r="16" spans="1:10" x14ac:dyDescent="0.25">
      <c r="A16" s="43" t="s">
        <v>91</v>
      </c>
      <c r="B16" s="43"/>
      <c r="C16" s="46">
        <v>84</v>
      </c>
      <c r="D16" s="130">
        <v>4608</v>
      </c>
      <c r="E16" s="130"/>
      <c r="F16" s="130"/>
      <c r="G16" s="130">
        <v>4608</v>
      </c>
      <c r="H16" s="255"/>
      <c r="J16" s="144"/>
    </row>
    <row r="17" spans="1:10" x14ac:dyDescent="0.25">
      <c r="A17" s="43" t="s">
        <v>104</v>
      </c>
      <c r="B17" s="43"/>
      <c r="C17" s="46">
        <v>84</v>
      </c>
      <c r="D17" s="130">
        <v>375</v>
      </c>
      <c r="E17" s="134">
        <v>1496.452</v>
      </c>
      <c r="F17" s="134"/>
      <c r="G17" s="130">
        <v>1871.452</v>
      </c>
      <c r="H17" s="255"/>
      <c r="J17" s="144"/>
    </row>
    <row r="18" spans="1:10" x14ac:dyDescent="0.25">
      <c r="A18" s="26" t="s">
        <v>12</v>
      </c>
      <c r="B18" s="47"/>
      <c r="C18" s="50"/>
      <c r="D18" s="135"/>
      <c r="E18" s="136"/>
      <c r="F18" s="136"/>
      <c r="G18" s="132">
        <v>3000</v>
      </c>
      <c r="H18" s="255"/>
      <c r="J18" s="144"/>
    </row>
    <row r="19" spans="1:10" x14ac:dyDescent="0.25">
      <c r="A19" s="42" t="s">
        <v>92</v>
      </c>
      <c r="B19" s="42"/>
      <c r="C19" s="42"/>
      <c r="D19" s="137">
        <v>36948.169087000002</v>
      </c>
      <c r="E19" s="138">
        <v>38620.212</v>
      </c>
      <c r="F19" s="138">
        <f>SUM(F5:F18)</f>
        <v>46936</v>
      </c>
      <c r="G19" s="138">
        <f>SUM(G5:G18)</f>
        <v>125504.381087</v>
      </c>
      <c r="H19" s="255"/>
    </row>
    <row r="20" spans="1:10" x14ac:dyDescent="0.25">
      <c r="A20" s="45" t="s">
        <v>93</v>
      </c>
      <c r="B20" s="45"/>
      <c r="C20" s="45"/>
      <c r="D20" s="139">
        <f>+E30*F30</f>
        <v>12929</v>
      </c>
      <c r="E20" s="140">
        <v>37018.667099999991</v>
      </c>
      <c r="F20" s="140">
        <v>42945</v>
      </c>
      <c r="G20" s="141">
        <f>+F20+D20+E20</f>
        <v>92892.667099999991</v>
      </c>
      <c r="H20" s="255"/>
    </row>
    <row r="21" spans="1:10" ht="6" customHeight="1" x14ac:dyDescent="0.25">
      <c r="A21" s="43"/>
      <c r="B21" s="43"/>
      <c r="C21" s="43"/>
      <c r="D21" s="43"/>
      <c r="E21" s="43"/>
      <c r="F21" s="43"/>
      <c r="G21" s="43"/>
      <c r="H21" s="256"/>
    </row>
    <row r="22" spans="1:10" x14ac:dyDescent="0.25">
      <c r="A22" s="43"/>
      <c r="B22" s="43"/>
      <c r="C22" s="40" t="s">
        <v>13</v>
      </c>
      <c r="D22" s="43"/>
      <c r="E22" s="43"/>
      <c r="F22" s="43"/>
      <c r="G22" s="43"/>
      <c r="H22" s="256"/>
    </row>
    <row r="23" spans="1:10" x14ac:dyDescent="0.25">
      <c r="A23" s="43"/>
      <c r="B23" s="43"/>
      <c r="C23" s="43"/>
      <c r="D23" s="43"/>
      <c r="E23" s="43"/>
      <c r="F23" s="43"/>
      <c r="G23" s="43"/>
      <c r="H23" s="256"/>
    </row>
    <row r="24" spans="1:10" ht="15.75" thickBot="1" x14ac:dyDescent="0.3">
      <c r="A24" s="40" t="s">
        <v>14</v>
      </c>
      <c r="B24" s="40"/>
      <c r="C24" s="40"/>
      <c r="D24" s="40"/>
      <c r="E24" s="40"/>
      <c r="F24" s="40"/>
      <c r="G24" s="40"/>
      <c r="H24" s="256"/>
    </row>
    <row r="25" spans="1:10" x14ac:dyDescent="0.25">
      <c r="A25" s="282" t="s">
        <v>15</v>
      </c>
      <c r="B25" s="282"/>
      <c r="C25" s="282"/>
      <c r="D25" s="267" t="s">
        <v>16</v>
      </c>
      <c r="E25" s="283" t="s">
        <v>17</v>
      </c>
      <c r="F25" s="283" t="s">
        <v>18</v>
      </c>
      <c r="G25" s="284" t="s">
        <v>231</v>
      </c>
      <c r="H25" s="255"/>
    </row>
    <row r="26" spans="1:10" x14ac:dyDescent="0.25">
      <c r="A26" s="40" t="s">
        <v>19</v>
      </c>
      <c r="B26" s="43"/>
      <c r="C26" s="43"/>
      <c r="D26" s="44"/>
      <c r="E26" s="43"/>
      <c r="F26" s="43"/>
      <c r="G26" s="273" t="s">
        <v>232</v>
      </c>
      <c r="H26" s="255"/>
    </row>
    <row r="27" spans="1:10" x14ac:dyDescent="0.25">
      <c r="A27" s="43" t="s">
        <v>6</v>
      </c>
      <c r="B27" s="43"/>
      <c r="C27" s="43"/>
      <c r="D27" s="44" t="s">
        <v>20</v>
      </c>
      <c r="E27" s="382">
        <v>48</v>
      </c>
      <c r="F27" s="128">
        <v>152</v>
      </c>
      <c r="G27" s="273" t="s">
        <v>233</v>
      </c>
      <c r="H27" s="255"/>
    </row>
    <row r="28" spans="1:10" x14ac:dyDescent="0.25">
      <c r="A28" s="43"/>
      <c r="B28" s="43"/>
      <c r="C28" s="43"/>
      <c r="D28" s="51"/>
      <c r="E28" s="128"/>
      <c r="F28" s="128"/>
      <c r="G28" s="273" t="s">
        <v>234</v>
      </c>
      <c r="H28" s="255"/>
    </row>
    <row r="29" spans="1:10" x14ac:dyDescent="0.25">
      <c r="A29" s="43" t="s">
        <v>21</v>
      </c>
      <c r="B29" s="43"/>
      <c r="C29" s="43"/>
      <c r="D29" s="51"/>
      <c r="E29" s="128"/>
      <c r="F29" s="128"/>
      <c r="G29" s="273" t="s">
        <v>235</v>
      </c>
      <c r="H29" s="255"/>
    </row>
    <row r="30" spans="1:10" x14ac:dyDescent="0.25">
      <c r="A30" s="43" t="s">
        <v>43</v>
      </c>
      <c r="B30" s="43"/>
      <c r="C30" s="43"/>
      <c r="D30" s="44" t="s">
        <v>22</v>
      </c>
      <c r="E30" s="128">
        <v>7</v>
      </c>
      <c r="F30" s="135">
        <v>1847</v>
      </c>
      <c r="H30" s="257"/>
    </row>
    <row r="31" spans="1:10" x14ac:dyDescent="0.25">
      <c r="A31" s="43" t="s">
        <v>35</v>
      </c>
      <c r="B31" s="43"/>
      <c r="C31" s="43"/>
      <c r="D31" s="44" t="s">
        <v>22</v>
      </c>
      <c r="E31" s="128">
        <v>13</v>
      </c>
      <c r="F31" s="128"/>
      <c r="H31" s="256"/>
    </row>
    <row r="32" spans="1:10" x14ac:dyDescent="0.25">
      <c r="A32" s="43" t="s">
        <v>2</v>
      </c>
      <c r="B32" s="43"/>
      <c r="C32" s="43"/>
      <c r="D32" s="44" t="s">
        <v>22</v>
      </c>
      <c r="E32" s="128">
        <v>20</v>
      </c>
      <c r="F32" s="383"/>
      <c r="H32" s="256"/>
    </row>
    <row r="33" spans="1:8" x14ac:dyDescent="0.25">
      <c r="A33" s="285" t="s">
        <v>24</v>
      </c>
      <c r="B33" s="285"/>
      <c r="C33" s="629" t="s">
        <v>243</v>
      </c>
      <c r="D33" s="629"/>
      <c r="E33" s="42"/>
      <c r="F33" s="43"/>
      <c r="H33" s="256"/>
    </row>
    <row r="34" spans="1:8" x14ac:dyDescent="0.25">
      <c r="A34" s="43" t="s">
        <v>25</v>
      </c>
      <c r="B34" s="43"/>
      <c r="C34" s="53"/>
      <c r="D34" s="44"/>
      <c r="E34" s="48"/>
      <c r="F34" s="48"/>
      <c r="H34" s="257"/>
    </row>
    <row r="35" spans="1:8" x14ac:dyDescent="0.25">
      <c r="A35" s="43"/>
      <c r="B35" s="43" t="s">
        <v>27</v>
      </c>
      <c r="C35" s="53">
        <v>12.5</v>
      </c>
      <c r="D35" s="44" t="s">
        <v>20</v>
      </c>
      <c r="E35" s="128">
        <v>29</v>
      </c>
      <c r="F35" s="128">
        <v>800</v>
      </c>
      <c r="H35" s="257"/>
    </row>
    <row r="36" spans="1:8" x14ac:dyDescent="0.25">
      <c r="A36" s="43" t="s">
        <v>26</v>
      </c>
      <c r="B36" s="43" t="s">
        <v>27</v>
      </c>
      <c r="C36" s="53">
        <v>41</v>
      </c>
      <c r="D36" s="44" t="s">
        <v>20</v>
      </c>
      <c r="E36" s="381">
        <v>52</v>
      </c>
      <c r="F36" s="128">
        <v>800</v>
      </c>
      <c r="H36" s="257"/>
    </row>
    <row r="37" spans="1:8" x14ac:dyDescent="0.25">
      <c r="A37" s="43"/>
      <c r="B37" s="43" t="s">
        <v>110</v>
      </c>
      <c r="C37" s="53">
        <v>6.25</v>
      </c>
      <c r="D37" s="44" t="s">
        <v>20</v>
      </c>
      <c r="E37" s="381">
        <v>52</v>
      </c>
      <c r="F37" s="128">
        <v>200</v>
      </c>
      <c r="H37" s="257"/>
    </row>
    <row r="38" spans="1:8" ht="17.25" customHeight="1" x14ac:dyDescent="0.25">
      <c r="A38" s="43"/>
      <c r="B38" s="43" t="s">
        <v>44</v>
      </c>
      <c r="C38" s="53">
        <v>18.75</v>
      </c>
      <c r="D38" s="44" t="s">
        <v>20</v>
      </c>
      <c r="E38" s="128">
        <v>36</v>
      </c>
      <c r="F38" s="128">
        <v>256</v>
      </c>
      <c r="H38" s="257"/>
    </row>
    <row r="39" spans="1:8" x14ac:dyDescent="0.25">
      <c r="A39" s="285" t="s">
        <v>31</v>
      </c>
      <c r="B39" s="285"/>
      <c r="C39" s="285"/>
      <c r="D39" s="285"/>
      <c r="E39" s="286" t="s">
        <v>32</v>
      </c>
      <c r="F39" s="286" t="s">
        <v>33</v>
      </c>
      <c r="H39" s="256"/>
    </row>
    <row r="40" spans="1:8" x14ac:dyDescent="0.25">
      <c r="A40" s="43" t="s">
        <v>94</v>
      </c>
      <c r="B40" s="43"/>
      <c r="C40" s="43"/>
      <c r="D40" s="43"/>
      <c r="E40" s="51">
        <v>1578</v>
      </c>
      <c r="F40" s="143">
        <v>3899.2380000000003</v>
      </c>
      <c r="H40" s="258"/>
    </row>
    <row r="41" spans="1:8" x14ac:dyDescent="0.25">
      <c r="A41" s="43" t="s">
        <v>95</v>
      </c>
      <c r="B41" s="43"/>
      <c r="C41" s="43"/>
      <c r="D41" s="43"/>
      <c r="E41" s="145">
        <v>118</v>
      </c>
      <c r="F41" s="142"/>
      <c r="H41" s="258"/>
    </row>
    <row r="42" spans="1:8" x14ac:dyDescent="0.25">
      <c r="A42" s="43" t="s">
        <v>192</v>
      </c>
      <c r="B42" s="43"/>
      <c r="C42" s="43"/>
      <c r="D42" s="43"/>
      <c r="E42" s="142">
        <f>+E40*E41</f>
        <v>186204</v>
      </c>
      <c r="F42" s="142">
        <f>+E42*2.471</f>
        <v>460110.08400000003</v>
      </c>
      <c r="H42" s="258"/>
    </row>
    <row r="43" spans="1:8" x14ac:dyDescent="0.25">
      <c r="A43" s="43" t="s">
        <v>645</v>
      </c>
      <c r="B43" s="43"/>
      <c r="C43" s="43"/>
      <c r="D43" s="43"/>
      <c r="E43" s="142">
        <f>+E42-G19</f>
        <v>60699.618912999998</v>
      </c>
      <c r="F43" s="142">
        <f>+E43*2.471</f>
        <v>149988.758334023</v>
      </c>
      <c r="H43" s="258"/>
    </row>
    <row r="44" spans="1:8" x14ac:dyDescent="0.25">
      <c r="A44" s="43" t="s">
        <v>646</v>
      </c>
      <c r="B44" s="43"/>
      <c r="C44" s="43"/>
      <c r="D44" s="43"/>
      <c r="E44" s="142">
        <f>+E42-G20</f>
        <v>93311.332900000009</v>
      </c>
      <c r="F44" s="142">
        <f>+E44*2.471</f>
        <v>230572.30359590004</v>
      </c>
      <c r="H44" s="258"/>
    </row>
    <row r="45" spans="1:8" x14ac:dyDescent="0.25">
      <c r="A45" s="43" t="s">
        <v>648</v>
      </c>
      <c r="B45" s="43"/>
      <c r="C45" s="43"/>
      <c r="D45" s="43"/>
      <c r="E45" s="51">
        <f>+G19/E40</f>
        <v>79.533828318757926</v>
      </c>
      <c r="F45" s="54"/>
      <c r="H45" s="258"/>
    </row>
    <row r="46" spans="1:8" x14ac:dyDescent="0.25">
      <c r="A46" s="45" t="s">
        <v>647</v>
      </c>
      <c r="B46" s="45"/>
      <c r="C46" s="45"/>
      <c r="D46" s="45"/>
      <c r="E46" s="55">
        <f>+G20/E40</f>
        <v>58.867342902408105</v>
      </c>
      <c r="F46" s="56"/>
      <c r="H46" s="259"/>
    </row>
    <row r="47" spans="1:8" x14ac:dyDescent="0.25">
      <c r="A47" s="57"/>
      <c r="B47" s="58"/>
      <c r="C47" s="57"/>
      <c r="D47" s="57"/>
      <c r="H47" s="255"/>
    </row>
    <row r="49" spans="1:4" x14ac:dyDescent="0.25">
      <c r="C49" s="59"/>
      <c r="D49" s="59"/>
    </row>
    <row r="50" spans="1:4" x14ac:dyDescent="0.25">
      <c r="C50" s="59"/>
      <c r="D50" s="59"/>
    </row>
    <row r="51" spans="1:4" x14ac:dyDescent="0.25">
      <c r="A51" s="60"/>
      <c r="C51" s="59"/>
      <c r="D51" s="59"/>
    </row>
  </sheetData>
  <mergeCells count="5">
    <mergeCell ref="A3:B4"/>
    <mergeCell ref="C3:C4"/>
    <mergeCell ref="D3:G3"/>
    <mergeCell ref="A15:B15"/>
    <mergeCell ref="C33:D33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2"/>
  <sheetViews>
    <sheetView topLeftCell="A19" workbookViewId="0">
      <selection activeCell="A36" sqref="A36"/>
    </sheetView>
  </sheetViews>
  <sheetFormatPr defaultColWidth="9.140625" defaultRowHeight="12.75" x14ac:dyDescent="0.2"/>
  <cols>
    <col min="1" max="1" width="11.5703125" style="3" customWidth="1"/>
    <col min="2" max="2" width="16" style="3" customWidth="1"/>
    <col min="3" max="3" width="9.28515625" style="3" customWidth="1"/>
    <col min="4" max="4" width="10.7109375" style="3" customWidth="1"/>
    <col min="5" max="5" width="11.5703125" style="3" customWidth="1"/>
    <col min="6" max="6" width="10.42578125" style="3" customWidth="1"/>
    <col min="7" max="7" width="18.28515625" style="3" customWidth="1"/>
    <col min="8" max="8" width="7.140625" style="3" customWidth="1"/>
    <col min="9" max="16384" width="9.140625" style="3"/>
  </cols>
  <sheetData>
    <row r="1" spans="1:10" x14ac:dyDescent="0.2">
      <c r="A1" s="1" t="s">
        <v>489</v>
      </c>
      <c r="B1" s="2"/>
      <c r="C1" s="2"/>
      <c r="D1" s="2"/>
      <c r="E1" s="2"/>
      <c r="F1" s="2"/>
      <c r="G1" s="2"/>
      <c r="H1" s="2"/>
    </row>
    <row r="2" spans="1:10" ht="16.5" customHeight="1" x14ac:dyDescent="0.25">
      <c r="A2" s="1"/>
      <c r="B2" s="2"/>
      <c r="C2" s="2"/>
      <c r="D2" s="2"/>
      <c r="E2" s="2"/>
      <c r="F2" s="1"/>
      <c r="H2" s="78"/>
      <c r="I2" s="287" t="s">
        <v>241</v>
      </c>
    </row>
    <row r="3" spans="1:10" x14ac:dyDescent="0.2">
      <c r="A3" s="1"/>
      <c r="B3" s="2"/>
      <c r="C3" s="2"/>
      <c r="D3" s="2"/>
      <c r="E3" s="2"/>
      <c r="F3" s="1"/>
      <c r="G3" s="1"/>
      <c r="H3" s="78"/>
    </row>
    <row r="4" spans="1:10" x14ac:dyDescent="0.2">
      <c r="A4" s="617" t="s">
        <v>1</v>
      </c>
      <c r="B4" s="617"/>
      <c r="C4" s="615" t="s">
        <v>243</v>
      </c>
      <c r="D4" s="630" t="s">
        <v>130</v>
      </c>
      <c r="E4" s="630"/>
      <c r="F4" s="630"/>
      <c r="G4" s="630"/>
      <c r="H4" s="91"/>
    </row>
    <row r="5" spans="1:10" x14ac:dyDescent="0.2">
      <c r="A5" s="622"/>
      <c r="B5" s="622"/>
      <c r="C5" s="616"/>
      <c r="D5" s="109" t="s">
        <v>48</v>
      </c>
      <c r="E5" s="109" t="s">
        <v>128</v>
      </c>
      <c r="F5" s="109" t="s">
        <v>131</v>
      </c>
      <c r="G5" s="109" t="s">
        <v>2</v>
      </c>
      <c r="H5" s="92"/>
    </row>
    <row r="6" spans="1:10" x14ac:dyDescent="0.2">
      <c r="A6" s="5" t="s">
        <v>3</v>
      </c>
      <c r="B6" s="5"/>
      <c r="C6" s="63">
        <v>100</v>
      </c>
      <c r="D6" s="83">
        <v>1478</v>
      </c>
      <c r="E6" s="69"/>
      <c r="F6" s="69"/>
      <c r="G6" s="69">
        <v>1478</v>
      </c>
      <c r="H6" s="79"/>
    </row>
    <row r="7" spans="1:10" ht="15.75" x14ac:dyDescent="0.2">
      <c r="A7" s="5" t="s">
        <v>661</v>
      </c>
      <c r="B7" s="9"/>
      <c r="C7" s="63">
        <v>100</v>
      </c>
      <c r="D7" s="83">
        <v>750</v>
      </c>
      <c r="E7" s="69">
        <v>27106</v>
      </c>
      <c r="F7" s="69"/>
      <c r="G7" s="69">
        <v>27856</v>
      </c>
      <c r="H7" s="79"/>
    </row>
    <row r="8" spans="1:10" x14ac:dyDescent="0.2">
      <c r="A8" s="5" t="s">
        <v>5</v>
      </c>
      <c r="B8" s="5"/>
      <c r="C8" s="63">
        <v>100</v>
      </c>
      <c r="D8" s="83">
        <v>11000</v>
      </c>
      <c r="E8" s="69"/>
      <c r="F8" s="69"/>
      <c r="G8" s="69">
        <v>11000</v>
      </c>
      <c r="H8" s="79"/>
    </row>
    <row r="9" spans="1:10" x14ac:dyDescent="0.2">
      <c r="A9" s="5" t="s">
        <v>122</v>
      </c>
      <c r="B9" s="5"/>
      <c r="C9" s="63">
        <v>100</v>
      </c>
      <c r="D9" s="83">
        <v>6000</v>
      </c>
      <c r="E9" s="69"/>
      <c r="F9" s="69">
        <v>11147</v>
      </c>
      <c r="G9" s="69">
        <v>17147</v>
      </c>
      <c r="H9" s="79"/>
      <c r="J9" s="84"/>
    </row>
    <row r="10" spans="1:10" x14ac:dyDescent="0.2">
      <c r="A10" s="5" t="s">
        <v>7</v>
      </c>
      <c r="B10" s="5"/>
      <c r="C10" s="63">
        <v>43</v>
      </c>
      <c r="D10" s="631">
        <v>2325</v>
      </c>
      <c r="E10" s="69">
        <v>315</v>
      </c>
      <c r="F10" s="69">
        <v>4060</v>
      </c>
      <c r="G10" s="631">
        <f>+F11+F10+E10+D10</f>
        <v>30308</v>
      </c>
      <c r="H10" s="79"/>
      <c r="J10" s="84"/>
    </row>
    <row r="11" spans="1:10" x14ac:dyDescent="0.2">
      <c r="A11" s="5" t="s">
        <v>8</v>
      </c>
      <c r="B11" s="5"/>
      <c r="C11" s="63">
        <v>100</v>
      </c>
      <c r="D11" s="631"/>
      <c r="E11" s="84"/>
      <c r="F11" s="69">
        <v>23608</v>
      </c>
      <c r="G11" s="631"/>
      <c r="H11" s="79"/>
      <c r="J11" s="84"/>
    </row>
    <row r="12" spans="1:10" x14ac:dyDescent="0.2">
      <c r="A12" s="5" t="s">
        <v>9</v>
      </c>
      <c r="B12" s="5"/>
      <c r="C12" s="63">
        <v>97</v>
      </c>
      <c r="D12" s="83">
        <v>1024</v>
      </c>
      <c r="E12" s="69"/>
      <c r="F12" s="69">
        <v>12495</v>
      </c>
      <c r="G12" s="69">
        <v>13519</v>
      </c>
      <c r="H12" s="79"/>
      <c r="J12" s="84"/>
    </row>
    <row r="13" spans="1:10" x14ac:dyDescent="0.2">
      <c r="A13" s="5" t="s">
        <v>657</v>
      </c>
      <c r="B13" s="5"/>
      <c r="C13" s="63">
        <v>70</v>
      </c>
      <c r="D13" s="83">
        <v>978</v>
      </c>
      <c r="E13" s="69"/>
      <c r="F13" s="69">
        <v>5396</v>
      </c>
      <c r="G13" s="69">
        <v>6374</v>
      </c>
      <c r="H13" s="79"/>
      <c r="J13" s="84"/>
    </row>
    <row r="14" spans="1:10" x14ac:dyDescent="0.2">
      <c r="A14" s="5" t="s">
        <v>90</v>
      </c>
      <c r="B14" s="5"/>
      <c r="C14" s="63">
        <v>100</v>
      </c>
      <c r="D14" s="83">
        <v>11702</v>
      </c>
      <c r="E14" s="69"/>
      <c r="F14" s="69"/>
      <c r="G14" s="69">
        <v>11702</v>
      </c>
      <c r="H14" s="79"/>
      <c r="J14" s="84"/>
    </row>
    <row r="15" spans="1:10" ht="27.75" customHeight="1" x14ac:dyDescent="0.2">
      <c r="A15" s="623" t="s">
        <v>209</v>
      </c>
      <c r="B15" s="623"/>
      <c r="C15" s="63">
        <v>100</v>
      </c>
      <c r="D15" s="83">
        <v>3413</v>
      </c>
      <c r="E15" s="69">
        <v>21177</v>
      </c>
      <c r="F15" s="69"/>
      <c r="G15" s="69">
        <v>24590</v>
      </c>
      <c r="H15" s="79"/>
      <c r="J15" s="84"/>
    </row>
    <row r="16" spans="1:10" x14ac:dyDescent="0.2">
      <c r="A16" s="5" t="s">
        <v>91</v>
      </c>
      <c r="B16" s="5"/>
      <c r="C16" s="63">
        <v>87</v>
      </c>
      <c r="D16" s="83">
        <v>2000</v>
      </c>
      <c r="E16" s="69"/>
      <c r="F16" s="69"/>
      <c r="G16" s="69">
        <v>2000</v>
      </c>
      <c r="H16" s="79"/>
      <c r="J16" s="84"/>
    </row>
    <row r="17" spans="1:12" x14ac:dyDescent="0.2">
      <c r="A17" s="5" t="s">
        <v>123</v>
      </c>
      <c r="B17" s="5"/>
      <c r="C17" s="63">
        <v>70</v>
      </c>
      <c r="D17" s="83">
        <v>625</v>
      </c>
      <c r="E17" s="85">
        <v>2804</v>
      </c>
      <c r="F17" s="85"/>
      <c r="G17" s="69">
        <v>3429</v>
      </c>
      <c r="H17" s="79"/>
      <c r="J17" s="290"/>
    </row>
    <row r="18" spans="1:12" x14ac:dyDescent="0.2">
      <c r="A18" s="5" t="s">
        <v>12</v>
      </c>
      <c r="B18" s="9"/>
      <c r="C18" s="9"/>
      <c r="D18" s="83"/>
      <c r="E18" s="86"/>
      <c r="F18" s="86"/>
      <c r="G18" s="69">
        <v>4640</v>
      </c>
      <c r="H18" s="79"/>
      <c r="J18" s="84"/>
    </row>
    <row r="19" spans="1:12" x14ac:dyDescent="0.2">
      <c r="A19" s="4" t="s">
        <v>92</v>
      </c>
      <c r="B19" s="4"/>
      <c r="C19" s="4"/>
      <c r="D19" s="87">
        <f>SUM(D6:D18)</f>
        <v>41295</v>
      </c>
      <c r="E19" s="87">
        <f>SUM(E6:E18)</f>
        <v>51402</v>
      </c>
      <c r="F19" s="87">
        <f>SUM(F6:F18)</f>
        <v>56706</v>
      </c>
      <c r="G19" s="87">
        <f>SUM(G6:G18)</f>
        <v>154043</v>
      </c>
      <c r="H19" s="79"/>
      <c r="J19" s="30"/>
    </row>
    <row r="20" spans="1:12" x14ac:dyDescent="0.2">
      <c r="A20" s="7" t="s">
        <v>93</v>
      </c>
      <c r="B20" s="7"/>
      <c r="C20" s="7"/>
      <c r="D20" s="88">
        <f>+E27*F27</f>
        <v>19432</v>
      </c>
      <c r="E20" s="89">
        <v>51402</v>
      </c>
      <c r="F20" s="89">
        <v>50869</v>
      </c>
      <c r="G20" s="88">
        <f>+D20+E20+F20</f>
        <v>121703</v>
      </c>
      <c r="H20" s="79"/>
    </row>
    <row r="21" spans="1:12" ht="25.5" customHeight="1" x14ac:dyDescent="0.2">
      <c r="A21" s="617" t="s">
        <v>13</v>
      </c>
      <c r="B21" s="617"/>
      <c r="C21" s="617"/>
      <c r="D21" s="617"/>
      <c r="E21" s="617"/>
      <c r="F21" s="617"/>
      <c r="G21" s="617"/>
      <c r="H21" s="80"/>
    </row>
    <row r="22" spans="1:12" x14ac:dyDescent="0.2">
      <c r="A22" s="1" t="s">
        <v>14</v>
      </c>
      <c r="B22" s="1"/>
      <c r="C22" s="1"/>
      <c r="D22" s="1"/>
      <c r="E22" s="1"/>
      <c r="F22" s="1"/>
      <c r="G22" s="1"/>
      <c r="H22" s="80"/>
    </row>
    <row r="23" spans="1:12" x14ac:dyDescent="0.2">
      <c r="A23" s="108" t="s">
        <v>15</v>
      </c>
      <c r="B23" s="108"/>
      <c r="C23" s="108"/>
      <c r="D23" s="375" t="s">
        <v>16</v>
      </c>
      <c r="E23" s="375" t="s">
        <v>17</v>
      </c>
      <c r="F23" s="375" t="s">
        <v>18</v>
      </c>
      <c r="G23" s="384" t="s">
        <v>132</v>
      </c>
      <c r="H23" s="79"/>
    </row>
    <row r="24" spans="1:12" x14ac:dyDescent="0.2">
      <c r="A24" s="1" t="s">
        <v>19</v>
      </c>
      <c r="B24" s="5"/>
      <c r="C24" s="5"/>
      <c r="E24" s="5"/>
      <c r="F24" s="5"/>
      <c r="G24" s="125" t="s">
        <v>137</v>
      </c>
      <c r="H24" s="79"/>
    </row>
    <row r="25" spans="1:12" x14ac:dyDescent="0.2">
      <c r="A25" s="5" t="s">
        <v>6</v>
      </c>
      <c r="B25" s="5"/>
      <c r="C25" s="5"/>
      <c r="D25" s="20" t="s">
        <v>20</v>
      </c>
      <c r="E25" s="75">
        <v>71</v>
      </c>
      <c r="F25" s="22">
        <v>157</v>
      </c>
      <c r="H25" s="93"/>
    </row>
    <row r="26" spans="1:12" ht="17.25" customHeight="1" x14ac:dyDescent="0.2">
      <c r="A26" s="1" t="s">
        <v>21</v>
      </c>
      <c r="B26" s="5"/>
      <c r="C26" s="5"/>
      <c r="D26" s="68"/>
      <c r="E26" s="22"/>
      <c r="F26" s="22"/>
      <c r="H26" s="80"/>
    </row>
    <row r="27" spans="1:12" x14ac:dyDescent="0.2">
      <c r="A27" s="5" t="s">
        <v>34</v>
      </c>
      <c r="B27" s="5"/>
      <c r="C27" s="5"/>
      <c r="D27" s="20" t="s">
        <v>22</v>
      </c>
      <c r="E27" s="22">
        <v>8</v>
      </c>
      <c r="F27" s="90">
        <v>2429</v>
      </c>
      <c r="H27" s="93"/>
      <c r="L27" s="290"/>
    </row>
    <row r="28" spans="1:12" x14ac:dyDescent="0.2">
      <c r="A28" s="5" t="s">
        <v>35</v>
      </c>
      <c r="B28" s="5"/>
      <c r="C28" s="5"/>
      <c r="D28" s="20" t="s">
        <v>22</v>
      </c>
      <c r="E28" s="22">
        <v>9</v>
      </c>
      <c r="F28" s="22"/>
      <c r="H28" s="80"/>
    </row>
    <row r="29" spans="1:12" x14ac:dyDescent="0.2">
      <c r="A29" s="5" t="s">
        <v>2</v>
      </c>
      <c r="B29" s="5"/>
      <c r="C29" s="5"/>
      <c r="D29" s="20" t="s">
        <v>22</v>
      </c>
      <c r="E29" s="22">
        <v>17</v>
      </c>
      <c r="F29" s="22"/>
      <c r="H29" s="80"/>
    </row>
    <row r="30" spans="1:12" x14ac:dyDescent="0.2">
      <c r="A30" s="34" t="s">
        <v>54</v>
      </c>
      <c r="B30" s="4"/>
      <c r="C30" s="620" t="s">
        <v>243</v>
      </c>
      <c r="D30" s="620"/>
      <c r="E30" s="82"/>
      <c r="F30" s="82"/>
      <c r="H30" s="80"/>
    </row>
    <row r="31" spans="1:12" x14ac:dyDescent="0.2">
      <c r="A31" s="5" t="s">
        <v>25</v>
      </c>
      <c r="B31" s="5" t="s">
        <v>36</v>
      </c>
      <c r="C31" s="73">
        <v>43</v>
      </c>
      <c r="D31" s="20" t="s">
        <v>20</v>
      </c>
      <c r="E31" s="22">
        <v>290</v>
      </c>
      <c r="F31" s="22">
        <v>14</v>
      </c>
      <c r="H31" s="93"/>
    </row>
    <row r="32" spans="1:12" x14ac:dyDescent="0.2">
      <c r="A32" s="5" t="s">
        <v>26</v>
      </c>
      <c r="B32" s="5" t="s">
        <v>27</v>
      </c>
      <c r="C32" s="73">
        <v>90</v>
      </c>
      <c r="D32" s="20" t="s">
        <v>20</v>
      </c>
      <c r="E32" s="22">
        <v>50</v>
      </c>
      <c r="F32" s="22">
        <v>819</v>
      </c>
      <c r="H32" s="93"/>
    </row>
    <row r="33" spans="1:8" x14ac:dyDescent="0.2">
      <c r="A33" s="5"/>
      <c r="B33" s="5" t="s">
        <v>75</v>
      </c>
      <c r="C33" s="73">
        <v>100</v>
      </c>
      <c r="D33" s="20" t="s">
        <v>20</v>
      </c>
      <c r="E33" s="22">
        <v>40</v>
      </c>
      <c r="F33" s="70">
        <v>200</v>
      </c>
      <c r="H33" s="93"/>
    </row>
    <row r="34" spans="1:8" x14ac:dyDescent="0.2">
      <c r="A34" s="34" t="s">
        <v>31</v>
      </c>
      <c r="B34" s="4"/>
      <c r="C34" s="4"/>
      <c r="D34" s="180" t="s">
        <v>32</v>
      </c>
      <c r="E34" s="34"/>
      <c r="F34" s="1" t="s">
        <v>246</v>
      </c>
      <c r="H34" s="79"/>
    </row>
    <row r="35" spans="1:8" x14ac:dyDescent="0.2">
      <c r="A35" s="5" t="s">
        <v>94</v>
      </c>
      <c r="B35" s="5"/>
      <c r="C35" s="5"/>
      <c r="D35" s="69">
        <v>2000</v>
      </c>
      <c r="E35" s="69" t="s">
        <v>70</v>
      </c>
      <c r="F35" s="69">
        <f>+D35*2.471</f>
        <v>4942</v>
      </c>
      <c r="H35" s="79"/>
    </row>
    <row r="36" spans="1:8" x14ac:dyDescent="0.2">
      <c r="A36" s="5" t="s">
        <v>95</v>
      </c>
      <c r="B36" s="5"/>
      <c r="C36" s="5"/>
      <c r="D36" s="69">
        <v>117</v>
      </c>
      <c r="E36" s="69"/>
      <c r="F36" s="69"/>
      <c r="H36" s="79"/>
    </row>
    <row r="37" spans="1:8" x14ac:dyDescent="0.2">
      <c r="A37" s="5" t="s">
        <v>192</v>
      </c>
      <c r="B37" s="5"/>
      <c r="C37" s="5"/>
      <c r="D37" s="69">
        <f>+D36*D35</f>
        <v>234000</v>
      </c>
      <c r="E37" s="69"/>
      <c r="F37" s="69">
        <f>+D37*2.471</f>
        <v>578214</v>
      </c>
      <c r="H37" s="79"/>
    </row>
    <row r="38" spans="1:8" x14ac:dyDescent="0.2">
      <c r="A38" s="5" t="s">
        <v>645</v>
      </c>
      <c r="B38" s="5"/>
      <c r="C38" s="5"/>
      <c r="D38" s="69">
        <f>+D37-G19</f>
        <v>79957</v>
      </c>
      <c r="E38" s="69"/>
      <c r="F38" s="69">
        <f>+D38*2.471</f>
        <v>197573.747</v>
      </c>
      <c r="H38" s="79"/>
    </row>
    <row r="39" spans="1:8" x14ac:dyDescent="0.2">
      <c r="A39" s="5" t="s">
        <v>646</v>
      </c>
      <c r="B39" s="5"/>
      <c r="C39" s="5"/>
      <c r="D39" s="69">
        <f>+D37-G20</f>
        <v>112297</v>
      </c>
      <c r="E39" s="69"/>
      <c r="F39" s="69">
        <f>+D39*2.471</f>
        <v>277485.88699999999</v>
      </c>
      <c r="H39" s="79"/>
    </row>
    <row r="40" spans="1:8" x14ac:dyDescent="0.2">
      <c r="A40" s="5" t="s">
        <v>648</v>
      </c>
      <c r="B40" s="5"/>
      <c r="C40" s="5"/>
      <c r="D40" s="8">
        <f>+G19/D35</f>
        <v>77.021500000000003</v>
      </c>
      <c r="E40" s="12"/>
      <c r="F40" s="12"/>
      <c r="H40" s="79"/>
    </row>
    <row r="41" spans="1:8" x14ac:dyDescent="0.2">
      <c r="A41" s="7" t="s">
        <v>647</v>
      </c>
      <c r="B41" s="7"/>
      <c r="C41" s="7"/>
      <c r="D41" s="16">
        <f>+G20/D35</f>
        <v>60.851500000000001</v>
      </c>
      <c r="E41" s="37"/>
      <c r="F41" s="37"/>
      <c r="H41" s="79"/>
    </row>
    <row r="42" spans="1:8" x14ac:dyDescent="0.2">
      <c r="A42" s="3" t="s">
        <v>245</v>
      </c>
      <c r="H42" s="79"/>
    </row>
  </sheetData>
  <mergeCells count="8">
    <mergeCell ref="C30:D30"/>
    <mergeCell ref="A15:B15"/>
    <mergeCell ref="A21:G21"/>
    <mergeCell ref="C4:C5"/>
    <mergeCell ref="D4:G4"/>
    <mergeCell ref="A4:B5"/>
    <mergeCell ref="D10:D11"/>
    <mergeCell ref="G10:G11"/>
  </mergeCells>
  <pageMargins left="0.7" right="0.7" top="0.75" bottom="0.75" header="0.3" footer="0.3"/>
  <pageSetup paperSize="9" scale="77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6"/>
  <sheetViews>
    <sheetView workbookViewId="0">
      <selection activeCell="G29" sqref="G29"/>
    </sheetView>
  </sheetViews>
  <sheetFormatPr defaultColWidth="9.140625" defaultRowHeight="12.75" x14ac:dyDescent="0.2"/>
  <cols>
    <col min="1" max="1" width="13.85546875" style="3" customWidth="1"/>
    <col min="2" max="2" width="15.28515625" style="3" customWidth="1"/>
    <col min="3" max="3" width="9.140625" style="3"/>
    <col min="4" max="4" width="9.85546875" style="3" bestFit="1" customWidth="1"/>
    <col min="5" max="5" width="9.140625" style="3"/>
    <col min="6" max="6" width="11.7109375" style="3" customWidth="1"/>
    <col min="7" max="7" width="20.7109375" style="3" customWidth="1"/>
    <col min="8" max="8" width="6" style="79" customWidth="1"/>
    <col min="9" max="9" width="11" style="3" customWidth="1"/>
    <col min="10" max="16384" width="9.140625" style="3"/>
  </cols>
  <sheetData>
    <row r="1" spans="1:10" x14ac:dyDescent="0.2">
      <c r="A1" s="5"/>
      <c r="B1" s="126"/>
      <c r="C1" s="126"/>
      <c r="D1" s="126"/>
      <c r="E1" s="126"/>
      <c r="F1" s="126"/>
      <c r="G1" s="126"/>
    </row>
    <row r="2" spans="1:10" ht="18" customHeight="1" x14ac:dyDescent="0.2">
      <c r="A2" s="1" t="s">
        <v>490</v>
      </c>
      <c r="B2" s="126"/>
      <c r="C2" s="126"/>
      <c r="D2" s="126"/>
      <c r="E2" s="126"/>
      <c r="F2" s="5"/>
      <c r="G2" s="5"/>
    </row>
    <row r="3" spans="1:10" ht="27" x14ac:dyDescent="0.25">
      <c r="A3" s="5"/>
      <c r="B3" s="6"/>
      <c r="C3" s="6"/>
      <c r="D3" s="6"/>
      <c r="E3" s="6"/>
      <c r="F3" s="6"/>
      <c r="I3" s="287" t="s">
        <v>241</v>
      </c>
    </row>
    <row r="4" spans="1:10" x14ac:dyDescent="0.2">
      <c r="A4" s="5"/>
      <c r="B4" s="6"/>
      <c r="C4" s="6"/>
      <c r="D4" s="6"/>
      <c r="E4" s="6"/>
      <c r="F4" s="6"/>
      <c r="G4" s="6"/>
    </row>
    <row r="5" spans="1:10" x14ac:dyDescent="0.2">
      <c r="A5" s="632" t="s">
        <v>1</v>
      </c>
      <c r="B5" s="632"/>
      <c r="C5" s="634" t="s">
        <v>243</v>
      </c>
      <c r="D5" s="632" t="s">
        <v>130</v>
      </c>
      <c r="E5" s="632"/>
      <c r="F5" s="632"/>
      <c r="G5" s="632"/>
    </row>
    <row r="6" spans="1:10" x14ac:dyDescent="0.2">
      <c r="A6" s="633"/>
      <c r="B6" s="633"/>
      <c r="C6" s="635"/>
      <c r="D6" s="71" t="s">
        <v>48</v>
      </c>
      <c r="E6" s="71" t="s">
        <v>128</v>
      </c>
      <c r="F6" s="71" t="s">
        <v>131</v>
      </c>
      <c r="G6" s="71" t="s">
        <v>2</v>
      </c>
    </row>
    <row r="7" spans="1:10" x14ac:dyDescent="0.2">
      <c r="A7" s="5" t="s">
        <v>3</v>
      </c>
      <c r="C7" s="63">
        <v>77</v>
      </c>
      <c r="D7" s="95">
        <v>1400</v>
      </c>
      <c r="E7" s="95"/>
      <c r="F7" s="95"/>
      <c r="G7" s="95">
        <v>1400</v>
      </c>
    </row>
    <row r="8" spans="1:10" ht="15.75" x14ac:dyDescent="0.2">
      <c r="A8" s="5" t="s">
        <v>662</v>
      </c>
      <c r="C8" s="63">
        <v>52</v>
      </c>
      <c r="D8" s="95">
        <v>900</v>
      </c>
      <c r="E8" s="99">
        <v>22698</v>
      </c>
      <c r="F8" s="95"/>
      <c r="G8" s="95">
        <v>23598</v>
      </c>
      <c r="J8" s="290"/>
    </row>
    <row r="9" spans="1:10" x14ac:dyDescent="0.2">
      <c r="A9" s="148" t="s">
        <v>72</v>
      </c>
      <c r="C9" s="63" t="s">
        <v>73</v>
      </c>
      <c r="D9" s="95">
        <v>0</v>
      </c>
      <c r="E9" s="97" t="s">
        <v>356</v>
      </c>
      <c r="F9" s="95"/>
      <c r="G9" s="95"/>
      <c r="J9" s="290"/>
    </row>
    <row r="10" spans="1:10" ht="15.75" x14ac:dyDescent="0.2">
      <c r="A10" s="5" t="s">
        <v>663</v>
      </c>
      <c r="C10" s="63" t="s">
        <v>38</v>
      </c>
      <c r="D10" s="95">
        <v>0</v>
      </c>
      <c r="E10" s="97" t="s">
        <v>357</v>
      </c>
      <c r="F10" s="95"/>
      <c r="G10" s="95"/>
      <c r="J10" s="290"/>
    </row>
    <row r="11" spans="1:10" x14ac:dyDescent="0.2">
      <c r="A11" s="148" t="s">
        <v>72</v>
      </c>
      <c r="C11" s="63" t="s">
        <v>74</v>
      </c>
      <c r="D11" s="95">
        <v>0</v>
      </c>
      <c r="E11" s="97" t="s">
        <v>358</v>
      </c>
      <c r="F11" s="95"/>
      <c r="G11" s="95"/>
    </row>
    <row r="12" spans="1:10" x14ac:dyDescent="0.2">
      <c r="A12" s="5" t="s">
        <v>5</v>
      </c>
      <c r="C12" s="63">
        <v>100</v>
      </c>
      <c r="D12" s="95">
        <v>8798.9</v>
      </c>
      <c r="E12" s="99"/>
      <c r="F12" s="95"/>
      <c r="G12" s="95">
        <v>8798.9</v>
      </c>
      <c r="J12" s="290"/>
    </row>
    <row r="13" spans="1:10" x14ac:dyDescent="0.2">
      <c r="A13" s="5" t="s">
        <v>122</v>
      </c>
      <c r="C13" s="63">
        <v>100</v>
      </c>
      <c r="D13" s="95">
        <v>4250.08</v>
      </c>
      <c r="E13" s="95"/>
      <c r="F13" s="95">
        <v>8112</v>
      </c>
      <c r="G13" s="95">
        <v>12362.08</v>
      </c>
      <c r="J13" s="290"/>
    </row>
    <row r="14" spans="1:10" x14ac:dyDescent="0.2">
      <c r="A14" s="5" t="s">
        <v>7</v>
      </c>
      <c r="C14" s="33">
        <v>71</v>
      </c>
      <c r="D14" s="637">
        <v>2730</v>
      </c>
      <c r="E14" s="174">
        <v>331</v>
      </c>
      <c r="F14" s="98">
        <v>0</v>
      </c>
      <c r="G14" s="636">
        <f>+F15+E14+D14</f>
        <v>33324</v>
      </c>
      <c r="J14" s="290"/>
    </row>
    <row r="15" spans="1:10" x14ac:dyDescent="0.2">
      <c r="A15" s="5" t="s">
        <v>8</v>
      </c>
      <c r="C15" s="33">
        <v>100</v>
      </c>
      <c r="D15" s="637"/>
      <c r="E15" s="174"/>
      <c r="F15" s="95">
        <v>30263</v>
      </c>
      <c r="G15" s="636"/>
      <c r="J15" s="290"/>
    </row>
    <row r="16" spans="1:10" x14ac:dyDescent="0.2">
      <c r="A16" s="5" t="s">
        <v>9</v>
      </c>
      <c r="C16" s="33">
        <v>100</v>
      </c>
      <c r="D16" s="175">
        <v>1072.68</v>
      </c>
      <c r="E16" s="95"/>
      <c r="F16" s="95">
        <v>10713</v>
      </c>
      <c r="G16" s="95">
        <v>11785.68</v>
      </c>
      <c r="J16" s="30"/>
    </row>
    <row r="17" spans="1:10" x14ac:dyDescent="0.2">
      <c r="A17" s="5" t="s">
        <v>664</v>
      </c>
      <c r="C17" s="63" t="s">
        <v>59</v>
      </c>
      <c r="D17" s="97" t="s">
        <v>169</v>
      </c>
      <c r="E17" s="176"/>
      <c r="F17" s="97" t="s">
        <v>359</v>
      </c>
      <c r="G17" s="95"/>
      <c r="J17" s="290"/>
    </row>
    <row r="18" spans="1:10" x14ac:dyDescent="0.2">
      <c r="A18" s="5" t="s">
        <v>90</v>
      </c>
      <c r="C18" s="33">
        <v>100</v>
      </c>
      <c r="D18" s="175">
        <v>7080</v>
      </c>
      <c r="E18" s="95"/>
      <c r="F18" s="95"/>
      <c r="G18" s="95">
        <v>7080</v>
      </c>
      <c r="J18" s="30"/>
    </row>
    <row r="19" spans="1:10" ht="27.75" customHeight="1" x14ac:dyDescent="0.2">
      <c r="A19" s="623" t="s">
        <v>200</v>
      </c>
      <c r="B19" s="623"/>
      <c r="C19" s="33">
        <v>100</v>
      </c>
      <c r="D19" s="175">
        <v>2308.9</v>
      </c>
      <c r="E19" s="95">
        <v>18325</v>
      </c>
      <c r="F19" s="95"/>
      <c r="G19" s="95">
        <v>20633.900000000001</v>
      </c>
    </row>
    <row r="20" spans="1:10" x14ac:dyDescent="0.2">
      <c r="A20" s="5" t="s">
        <v>91</v>
      </c>
      <c r="C20" s="33">
        <v>84</v>
      </c>
      <c r="D20" s="175">
        <v>3444.1200000000003</v>
      </c>
      <c r="E20" s="95"/>
      <c r="F20" s="95"/>
      <c r="G20" s="95">
        <v>3444.1200000000003</v>
      </c>
    </row>
    <row r="21" spans="1:10" x14ac:dyDescent="0.2">
      <c r="A21" s="5" t="s">
        <v>123</v>
      </c>
      <c r="C21" s="33">
        <v>87</v>
      </c>
      <c r="D21" s="175">
        <v>680</v>
      </c>
      <c r="E21" s="177">
        <v>1618</v>
      </c>
      <c r="F21" s="177"/>
      <c r="G21" s="95">
        <v>2298</v>
      </c>
    </row>
    <row r="22" spans="1:10" x14ac:dyDescent="0.2">
      <c r="A22" s="5" t="s">
        <v>12</v>
      </c>
      <c r="B22" s="64"/>
      <c r="C22" s="10"/>
      <c r="D22" s="95"/>
      <c r="E22" s="100"/>
      <c r="F22" s="100"/>
      <c r="G22" s="95">
        <v>4000</v>
      </c>
    </row>
    <row r="23" spans="1:10" x14ac:dyDescent="0.2">
      <c r="A23" s="4" t="s">
        <v>92</v>
      </c>
      <c r="B23" s="13"/>
      <c r="C23" s="14"/>
      <c r="D23" s="102">
        <v>32664.68</v>
      </c>
      <c r="E23" s="102">
        <f>SUM(E7:E22)</f>
        <v>42972</v>
      </c>
      <c r="F23" s="102">
        <f>SUM(F7:F22)</f>
        <v>49088</v>
      </c>
      <c r="G23" s="102">
        <f>SUM(G7:G22)</f>
        <v>128724.68</v>
      </c>
    </row>
    <row r="24" spans="1:10" x14ac:dyDescent="0.2">
      <c r="A24" s="7" t="s">
        <v>93</v>
      </c>
      <c r="B24" s="15"/>
      <c r="C24" s="16"/>
      <c r="D24" s="105">
        <f>+E34*F34</f>
        <v>16336</v>
      </c>
      <c r="E24" s="104">
        <v>31587</v>
      </c>
      <c r="F24" s="104">
        <v>44593</v>
      </c>
      <c r="G24" s="105">
        <f>SUM(D24:F24)</f>
        <v>92516</v>
      </c>
    </row>
    <row r="25" spans="1:10" x14ac:dyDescent="0.2">
      <c r="A25" s="5"/>
      <c r="B25" s="5"/>
      <c r="C25" s="5"/>
      <c r="D25" s="5"/>
      <c r="E25" s="5"/>
      <c r="F25" s="5"/>
      <c r="G25" s="5"/>
    </row>
    <row r="26" spans="1:10" x14ac:dyDescent="0.2">
      <c r="A26" s="5"/>
      <c r="B26" s="5"/>
      <c r="C26" s="5"/>
      <c r="D26" s="5"/>
      <c r="E26" s="5"/>
      <c r="F26" s="5"/>
      <c r="G26" s="5"/>
    </row>
    <row r="27" spans="1:10" x14ac:dyDescent="0.2">
      <c r="A27" s="5"/>
      <c r="B27" s="5"/>
      <c r="C27" s="5"/>
      <c r="D27" s="5"/>
      <c r="E27" s="5"/>
      <c r="F27" s="5"/>
      <c r="G27" s="5"/>
    </row>
    <row r="28" spans="1:10" x14ac:dyDescent="0.2">
      <c r="A28" s="5" t="s">
        <v>14</v>
      </c>
      <c r="B28" s="5"/>
      <c r="C28" s="5"/>
      <c r="D28" s="5"/>
      <c r="E28" s="5"/>
      <c r="F28" s="5"/>
      <c r="G28" s="5"/>
    </row>
    <row r="29" spans="1:10" x14ac:dyDescent="0.2">
      <c r="A29" s="18" t="s">
        <v>15</v>
      </c>
      <c r="B29" s="76"/>
      <c r="C29" s="76"/>
      <c r="D29" s="19" t="s">
        <v>16</v>
      </c>
      <c r="E29" s="19" t="s">
        <v>17</v>
      </c>
      <c r="F29" s="19" t="s">
        <v>18</v>
      </c>
      <c r="G29" s="172" t="s">
        <v>132</v>
      </c>
    </row>
    <row r="30" spans="1:10" x14ac:dyDescent="0.2">
      <c r="A30" s="5" t="s">
        <v>19</v>
      </c>
      <c r="E30" s="5"/>
      <c r="F30" s="5"/>
      <c r="G30" s="125" t="s">
        <v>171</v>
      </c>
    </row>
    <row r="31" spans="1:10" x14ac:dyDescent="0.2">
      <c r="A31" s="5" t="s">
        <v>6</v>
      </c>
      <c r="D31" s="156" t="s">
        <v>20</v>
      </c>
      <c r="E31" s="22">
        <v>52</v>
      </c>
      <c r="F31" s="22">
        <v>156</v>
      </c>
      <c r="G31" s="125" t="s">
        <v>172</v>
      </c>
    </row>
    <row r="32" spans="1:10" x14ac:dyDescent="0.2">
      <c r="A32" s="5"/>
      <c r="D32" s="157"/>
      <c r="E32" s="29"/>
      <c r="F32" s="32"/>
      <c r="G32" s="125" t="s">
        <v>170</v>
      </c>
    </row>
    <row r="33" spans="1:8" x14ac:dyDescent="0.2">
      <c r="A33" s="5" t="s">
        <v>21</v>
      </c>
      <c r="D33" s="157"/>
      <c r="E33" s="5"/>
      <c r="F33" s="5"/>
      <c r="G33" s="125" t="s">
        <v>666</v>
      </c>
    </row>
    <row r="34" spans="1:8" x14ac:dyDescent="0.2">
      <c r="A34" s="5" t="s">
        <v>43</v>
      </c>
      <c r="D34" s="156" t="s">
        <v>22</v>
      </c>
      <c r="E34" s="22">
        <v>8</v>
      </c>
      <c r="F34" s="90">
        <v>2042</v>
      </c>
    </row>
    <row r="35" spans="1:8" x14ac:dyDescent="0.2">
      <c r="A35" s="5" t="s">
        <v>35</v>
      </c>
      <c r="D35" s="156" t="s">
        <v>22</v>
      </c>
      <c r="E35" s="22">
        <v>8</v>
      </c>
      <c r="F35" s="5"/>
      <c r="G35" s="358"/>
      <c r="H35" s="80"/>
    </row>
    <row r="36" spans="1:8" x14ac:dyDescent="0.2">
      <c r="A36" s="5" t="s">
        <v>2</v>
      </c>
      <c r="D36" s="156" t="s">
        <v>22</v>
      </c>
      <c r="E36" s="22">
        <v>16</v>
      </c>
      <c r="F36" s="5"/>
      <c r="G36" s="358"/>
    </row>
    <row r="37" spans="1:8" x14ac:dyDescent="0.2">
      <c r="A37" s="5"/>
      <c r="B37" s="8"/>
      <c r="C37" s="5"/>
      <c r="D37" s="156"/>
      <c r="E37" s="5"/>
      <c r="G37" s="358"/>
    </row>
    <row r="38" spans="1:8" x14ac:dyDescent="0.2">
      <c r="A38" s="4" t="s">
        <v>24</v>
      </c>
      <c r="B38" s="4"/>
      <c r="C38" s="620" t="s">
        <v>243</v>
      </c>
      <c r="D38" s="620"/>
      <c r="E38" s="4"/>
      <c r="F38" s="4"/>
      <c r="G38" s="385"/>
    </row>
    <row r="39" spans="1:8" x14ac:dyDescent="0.2">
      <c r="A39" s="5" t="s">
        <v>25</v>
      </c>
      <c r="B39" s="5" t="s">
        <v>36</v>
      </c>
      <c r="C39" s="73">
        <v>71</v>
      </c>
      <c r="D39" s="156" t="s">
        <v>20</v>
      </c>
      <c r="E39" s="22">
        <v>208</v>
      </c>
      <c r="F39" s="29" t="s">
        <v>201</v>
      </c>
      <c r="G39" s="386"/>
    </row>
    <row r="40" spans="1:8" x14ac:dyDescent="0.2">
      <c r="B40" s="5" t="s">
        <v>27</v>
      </c>
      <c r="C40" s="73">
        <v>26</v>
      </c>
      <c r="D40" s="156" t="s">
        <v>20</v>
      </c>
      <c r="E40" s="22">
        <v>37</v>
      </c>
      <c r="F40" s="22">
        <v>803</v>
      </c>
      <c r="G40" s="387"/>
      <c r="H40" s="80"/>
    </row>
    <row r="41" spans="1:8" x14ac:dyDescent="0.2">
      <c r="B41" s="3" t="s">
        <v>75</v>
      </c>
      <c r="C41" s="72">
        <v>39</v>
      </c>
      <c r="D41" s="156" t="s">
        <v>20</v>
      </c>
      <c r="E41" s="22">
        <v>45</v>
      </c>
      <c r="F41" s="22">
        <v>200</v>
      </c>
      <c r="G41" s="387"/>
      <c r="H41" s="80"/>
    </row>
    <row r="42" spans="1:8" x14ac:dyDescent="0.2">
      <c r="A42" s="5"/>
      <c r="B42" s="5"/>
      <c r="C42" s="73"/>
      <c r="D42" s="156"/>
      <c r="E42" s="22"/>
      <c r="F42" s="22"/>
      <c r="G42" s="387"/>
      <c r="H42" s="80"/>
    </row>
    <row r="43" spans="1:8" x14ac:dyDescent="0.2">
      <c r="A43" s="5" t="s">
        <v>665</v>
      </c>
      <c r="B43" s="5" t="s">
        <v>27</v>
      </c>
      <c r="C43" s="73">
        <v>26</v>
      </c>
      <c r="D43" s="156" t="s">
        <v>20</v>
      </c>
      <c r="E43" s="22">
        <v>28</v>
      </c>
      <c r="F43" s="22">
        <v>805</v>
      </c>
      <c r="G43" s="387"/>
      <c r="H43" s="80"/>
    </row>
    <row r="44" spans="1:8" x14ac:dyDescent="0.2">
      <c r="A44" s="5"/>
      <c r="B44" s="5" t="s">
        <v>75</v>
      </c>
      <c r="C44" s="73">
        <v>48</v>
      </c>
      <c r="D44" s="156" t="s">
        <v>20</v>
      </c>
      <c r="E44" s="22">
        <v>39</v>
      </c>
      <c r="F44" s="22">
        <v>200</v>
      </c>
      <c r="G44" s="387"/>
      <c r="H44" s="80"/>
    </row>
    <row r="45" spans="1:8" x14ac:dyDescent="0.2">
      <c r="A45" s="5"/>
      <c r="B45" s="5"/>
      <c r="C45" s="149"/>
      <c r="D45" s="173"/>
      <c r="E45" s="67"/>
      <c r="F45" s="16"/>
      <c r="G45" s="387"/>
    </row>
    <row r="46" spans="1:8" x14ac:dyDescent="0.2">
      <c r="A46" s="4" t="s">
        <v>31</v>
      </c>
      <c r="B46" s="4"/>
      <c r="C46" s="4"/>
      <c r="D46" s="6" t="s">
        <v>32</v>
      </c>
      <c r="E46" s="5"/>
      <c r="F46" s="6" t="s">
        <v>33</v>
      </c>
      <c r="G46" s="385"/>
      <c r="H46" s="80"/>
    </row>
    <row r="47" spans="1:8" x14ac:dyDescent="0.2">
      <c r="A47" s="5" t="s">
        <v>94</v>
      </c>
      <c r="B47" s="5"/>
      <c r="C47" s="5"/>
      <c r="D47" s="95">
        <v>1835</v>
      </c>
      <c r="E47" s="167"/>
      <c r="F47" s="167">
        <v>4534.2849999999999</v>
      </c>
      <c r="G47" s="385"/>
      <c r="H47" s="80"/>
    </row>
    <row r="48" spans="1:8" x14ac:dyDescent="0.2">
      <c r="A48" s="5" t="s">
        <v>95</v>
      </c>
      <c r="B48" s="5"/>
      <c r="C48" s="5"/>
      <c r="D48" s="95">
        <v>102</v>
      </c>
      <c r="E48" s="95"/>
      <c r="F48" s="95"/>
      <c r="G48" s="385"/>
      <c r="H48" s="80"/>
    </row>
    <row r="49" spans="1:8" x14ac:dyDescent="0.2">
      <c r="A49" s="5" t="s">
        <v>192</v>
      </c>
      <c r="B49" s="5"/>
      <c r="C49" s="5"/>
      <c r="D49" s="95">
        <f>+D47*D48</f>
        <v>187170</v>
      </c>
      <c r="E49" s="95"/>
      <c r="F49" s="95">
        <f>+D49*2.471</f>
        <v>462497.07</v>
      </c>
      <c r="G49" s="385"/>
      <c r="H49" s="80"/>
    </row>
    <row r="50" spans="1:8" x14ac:dyDescent="0.2">
      <c r="A50" s="5" t="s">
        <v>645</v>
      </c>
      <c r="B50" s="5"/>
      <c r="C50" s="5"/>
      <c r="D50" s="95">
        <f>+D49-G23</f>
        <v>58445.320000000007</v>
      </c>
      <c r="E50" s="95"/>
      <c r="F50" s="95">
        <f>+D50*2.471</f>
        <v>144418.38572000002</v>
      </c>
      <c r="G50" s="385"/>
      <c r="H50" s="93"/>
    </row>
    <row r="51" spans="1:8" x14ac:dyDescent="0.2">
      <c r="A51" s="5" t="s">
        <v>646</v>
      </c>
      <c r="B51" s="5"/>
      <c r="C51" s="5"/>
      <c r="D51" s="95">
        <f>+D49-G24</f>
        <v>94654</v>
      </c>
      <c r="E51" s="95"/>
      <c r="F51" s="95">
        <f>+D51*2.471</f>
        <v>233890.03400000001</v>
      </c>
      <c r="G51" s="385"/>
      <c r="H51" s="93"/>
    </row>
    <row r="52" spans="1:8" x14ac:dyDescent="0.2">
      <c r="A52" s="5" t="s">
        <v>648</v>
      </c>
      <c r="B52" s="5"/>
      <c r="C52" s="5"/>
      <c r="D52" s="8">
        <f>+G23/D47</f>
        <v>70.149689373296994</v>
      </c>
      <c r="E52" s="12"/>
      <c r="F52" s="12"/>
      <c r="G52" s="385"/>
      <c r="H52" s="80"/>
    </row>
    <row r="53" spans="1:8" x14ac:dyDescent="0.2">
      <c r="A53" s="7" t="s">
        <v>647</v>
      </c>
      <c r="B53" s="7"/>
      <c r="C53" s="7"/>
      <c r="D53" s="16">
        <f>+G24/D47</f>
        <v>50.417438692098095</v>
      </c>
      <c r="E53" s="37"/>
      <c r="F53" s="37"/>
      <c r="G53" s="385"/>
      <c r="H53" s="80"/>
    </row>
    <row r="54" spans="1:8" x14ac:dyDescent="0.2">
      <c r="G54" s="358"/>
    </row>
    <row r="55" spans="1:8" x14ac:dyDescent="0.2">
      <c r="G55" s="358"/>
    </row>
    <row r="56" spans="1:8" x14ac:dyDescent="0.2">
      <c r="G56" s="358"/>
    </row>
  </sheetData>
  <mergeCells count="7">
    <mergeCell ref="C38:D38"/>
    <mergeCell ref="A19:B19"/>
    <mergeCell ref="A5:B6"/>
    <mergeCell ref="C5:C6"/>
    <mergeCell ref="D5:G5"/>
    <mergeCell ref="G14:G15"/>
    <mergeCell ref="D14:D15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7"/>
  <sheetViews>
    <sheetView workbookViewId="0">
      <selection activeCell="I16" sqref="I16"/>
    </sheetView>
  </sheetViews>
  <sheetFormatPr defaultColWidth="10.42578125" defaultRowHeight="12.75" x14ac:dyDescent="0.2"/>
  <cols>
    <col min="1" max="1" width="13.140625" style="3" customWidth="1"/>
    <col min="2" max="2" width="24.28515625" style="3" bestFit="1" customWidth="1"/>
    <col min="3" max="3" width="11" style="3" customWidth="1"/>
    <col min="4" max="4" width="11.42578125" style="30" customWidth="1"/>
    <col min="5" max="5" width="14.7109375" style="30" customWidth="1"/>
    <col min="6" max="6" width="12.85546875" style="30" customWidth="1"/>
    <col min="7" max="7" width="17.140625" style="30" customWidth="1"/>
    <col min="8" max="8" width="5.5703125" style="3" customWidth="1"/>
    <col min="9" max="9" width="18.140625" style="3" customWidth="1"/>
    <col min="10" max="16384" width="10.42578125" style="3"/>
  </cols>
  <sheetData>
    <row r="1" spans="1:10" x14ac:dyDescent="0.2">
      <c r="H1" s="79"/>
    </row>
    <row r="2" spans="1:10" ht="16.5" customHeight="1" x14ac:dyDescent="0.2">
      <c r="A2" s="1" t="s">
        <v>668</v>
      </c>
      <c r="H2" s="79"/>
    </row>
    <row r="3" spans="1:10" ht="15" customHeight="1" x14ac:dyDescent="0.25">
      <c r="H3" s="79"/>
      <c r="I3" s="287" t="s">
        <v>241</v>
      </c>
    </row>
    <row r="4" spans="1:10" x14ac:dyDescent="0.2">
      <c r="A4" s="632" t="s">
        <v>1</v>
      </c>
      <c r="B4" s="632"/>
      <c r="C4" s="634" t="s">
        <v>243</v>
      </c>
      <c r="D4" s="632" t="s">
        <v>130</v>
      </c>
      <c r="E4" s="632"/>
      <c r="F4" s="632"/>
      <c r="G4" s="632"/>
      <c r="H4" s="79"/>
    </row>
    <row r="5" spans="1:10" x14ac:dyDescent="0.2">
      <c r="A5" s="633"/>
      <c r="B5" s="633"/>
      <c r="C5" s="638"/>
      <c r="D5" s="71" t="s">
        <v>48</v>
      </c>
      <c r="E5" s="71" t="s">
        <v>128</v>
      </c>
      <c r="F5" s="71" t="s">
        <v>131</v>
      </c>
      <c r="G5" s="71" t="s">
        <v>2</v>
      </c>
      <c r="H5" s="79"/>
    </row>
    <row r="6" spans="1:10" x14ac:dyDescent="0.2">
      <c r="A6" s="3" t="s">
        <v>3</v>
      </c>
      <c r="C6" s="212">
        <v>77</v>
      </c>
      <c r="D6" s="241">
        <v>1776</v>
      </c>
      <c r="E6" s="242"/>
      <c r="F6" s="242"/>
      <c r="G6" s="241">
        <v>1776</v>
      </c>
      <c r="H6" s="79"/>
    </row>
    <row r="7" spans="1:10" ht="15.75" x14ac:dyDescent="0.2">
      <c r="A7" s="3" t="s">
        <v>667</v>
      </c>
      <c r="C7" s="212">
        <v>87</v>
      </c>
      <c r="D7" s="241">
        <v>799.2</v>
      </c>
      <c r="E7" s="241">
        <v>18312</v>
      </c>
      <c r="F7" s="242"/>
      <c r="G7" s="241">
        <v>19111.2</v>
      </c>
      <c r="H7" s="79"/>
      <c r="J7" s="290"/>
    </row>
    <row r="8" spans="1:10" x14ac:dyDescent="0.2">
      <c r="A8" s="3" t="s">
        <v>72</v>
      </c>
      <c r="C8" s="212" t="s">
        <v>38</v>
      </c>
      <c r="D8" s="243" t="s">
        <v>360</v>
      </c>
      <c r="E8" s="243" t="s">
        <v>524</v>
      </c>
      <c r="F8" s="242"/>
      <c r="G8" s="241"/>
      <c r="H8" s="79"/>
      <c r="J8" s="290"/>
    </row>
    <row r="9" spans="1:10" x14ac:dyDescent="0.2">
      <c r="A9" s="3" t="s">
        <v>5</v>
      </c>
      <c r="C9" s="212">
        <v>100</v>
      </c>
      <c r="D9" s="241">
        <v>13213.5</v>
      </c>
      <c r="E9" s="242"/>
      <c r="F9" s="242"/>
      <c r="G9" s="241">
        <v>13213.5</v>
      </c>
      <c r="H9" s="79"/>
      <c r="J9" s="290"/>
    </row>
    <row r="10" spans="1:10" x14ac:dyDescent="0.2">
      <c r="A10" s="3" t="s">
        <v>88</v>
      </c>
      <c r="C10" s="212">
        <v>100</v>
      </c>
      <c r="D10" s="241">
        <v>7019.46</v>
      </c>
      <c r="E10" s="242"/>
      <c r="F10" s="241">
        <f>+E28*F28</f>
        <v>5360</v>
      </c>
      <c r="G10" s="241">
        <v>12379.46</v>
      </c>
      <c r="H10" s="79"/>
      <c r="J10" s="290"/>
    </row>
    <row r="11" spans="1:10" ht="15" customHeight="1" x14ac:dyDescent="0.2">
      <c r="A11" s="3" t="s">
        <v>7</v>
      </c>
      <c r="C11" s="215" t="s">
        <v>39</v>
      </c>
      <c r="D11" s="642">
        <v>2441.88</v>
      </c>
      <c r="E11" s="642">
        <v>650</v>
      </c>
      <c r="F11" s="243" t="s">
        <v>236</v>
      </c>
      <c r="G11" s="640">
        <f>D11+E11+F12</f>
        <v>47655.88</v>
      </c>
      <c r="H11" s="79"/>
      <c r="J11" s="290"/>
    </row>
    <row r="12" spans="1:10" x14ac:dyDescent="0.2">
      <c r="A12" s="3" t="s">
        <v>8</v>
      </c>
      <c r="C12" s="212">
        <v>100</v>
      </c>
      <c r="D12" s="642"/>
      <c r="E12" s="642"/>
      <c r="F12" s="244">
        <v>44564</v>
      </c>
      <c r="G12" s="640"/>
      <c r="H12" s="79"/>
      <c r="J12" s="290"/>
    </row>
    <row r="13" spans="1:10" x14ac:dyDescent="0.2">
      <c r="A13" s="3" t="s">
        <v>9</v>
      </c>
      <c r="C13" s="212">
        <v>90</v>
      </c>
      <c r="D13" s="241">
        <v>1031.04</v>
      </c>
      <c r="E13" s="242"/>
      <c r="F13" s="241">
        <v>7776</v>
      </c>
      <c r="G13" s="241">
        <v>8807.0400000000009</v>
      </c>
      <c r="H13" s="79"/>
      <c r="J13" s="290"/>
    </row>
    <row r="14" spans="1:10" x14ac:dyDescent="0.2">
      <c r="A14" s="5" t="s">
        <v>657</v>
      </c>
      <c r="C14" s="212">
        <v>77</v>
      </c>
      <c r="D14" s="241">
        <v>976.95</v>
      </c>
      <c r="E14" s="242"/>
      <c r="F14" s="241">
        <v>3092</v>
      </c>
      <c r="G14" s="241">
        <v>4068.95</v>
      </c>
      <c r="H14" s="79"/>
      <c r="J14" s="290"/>
    </row>
    <row r="15" spans="1:10" x14ac:dyDescent="0.2">
      <c r="A15" s="3" t="s">
        <v>90</v>
      </c>
      <c r="C15" s="212">
        <v>90</v>
      </c>
      <c r="D15" s="241">
        <v>5610</v>
      </c>
      <c r="E15" s="242"/>
      <c r="F15" s="242"/>
      <c r="G15" s="241">
        <v>5610</v>
      </c>
      <c r="H15" s="79"/>
      <c r="J15" s="65"/>
    </row>
    <row r="16" spans="1:10" ht="25.5" customHeight="1" x14ac:dyDescent="0.2">
      <c r="A16" s="641" t="s">
        <v>209</v>
      </c>
      <c r="B16" s="641"/>
      <c r="C16" s="212">
        <v>90</v>
      </c>
      <c r="D16" s="241">
        <v>3504.68</v>
      </c>
      <c r="E16" s="241">
        <v>20187</v>
      </c>
      <c r="F16" s="242"/>
      <c r="G16" s="241">
        <v>23691.68</v>
      </c>
      <c r="H16" s="79"/>
      <c r="J16" s="65"/>
    </row>
    <row r="17" spans="1:11" x14ac:dyDescent="0.2">
      <c r="A17" s="3" t="s">
        <v>669</v>
      </c>
      <c r="C17" s="212" t="s">
        <v>40</v>
      </c>
      <c r="D17" s="243" t="s">
        <v>361</v>
      </c>
      <c r="E17" s="242"/>
      <c r="F17" s="242"/>
      <c r="G17" s="241"/>
      <c r="H17" s="79"/>
      <c r="J17" s="30"/>
    </row>
    <row r="18" spans="1:11" x14ac:dyDescent="0.2">
      <c r="A18" s="3" t="s">
        <v>240</v>
      </c>
      <c r="C18" s="215" t="s">
        <v>40</v>
      </c>
      <c r="D18" s="243" t="s">
        <v>362</v>
      </c>
      <c r="E18" s="243" t="s">
        <v>363</v>
      </c>
      <c r="F18" s="242"/>
      <c r="G18" s="241"/>
      <c r="H18" s="79"/>
    </row>
    <row r="19" spans="1:11" x14ac:dyDescent="0.2">
      <c r="A19" s="3" t="s">
        <v>91</v>
      </c>
      <c r="C19" s="212">
        <v>77</v>
      </c>
      <c r="D19" s="241">
        <v>3717.83</v>
      </c>
      <c r="E19" s="242"/>
      <c r="F19" s="242"/>
      <c r="G19" s="241">
        <v>3717.83</v>
      </c>
      <c r="H19" s="79"/>
    </row>
    <row r="20" spans="1:11" x14ac:dyDescent="0.2">
      <c r="A20" s="3" t="s">
        <v>104</v>
      </c>
      <c r="C20" s="65">
        <v>100</v>
      </c>
      <c r="D20" s="241">
        <v>184.11</v>
      </c>
      <c r="E20" s="241">
        <v>1600</v>
      </c>
      <c r="F20" s="242"/>
      <c r="G20" s="241">
        <v>1784.1100000000001</v>
      </c>
      <c r="H20" s="79"/>
    </row>
    <row r="21" spans="1:11" x14ac:dyDescent="0.2">
      <c r="A21" s="3" t="s">
        <v>12</v>
      </c>
      <c r="C21" s="214"/>
      <c r="D21" s="241"/>
      <c r="E21" s="242"/>
      <c r="F21" s="242"/>
      <c r="G21" s="241">
        <v>4000</v>
      </c>
      <c r="H21" s="79"/>
      <c r="K21" s="290"/>
    </row>
    <row r="22" spans="1:11" x14ac:dyDescent="0.2">
      <c r="A22" s="217" t="s">
        <v>92</v>
      </c>
      <c r="B22" s="217"/>
      <c r="C22" s="218"/>
      <c r="D22" s="245">
        <v>40274.65</v>
      </c>
      <c r="E22" s="245">
        <v>40749</v>
      </c>
      <c r="F22" s="245">
        <f>+F14+F13+F12+F10</f>
        <v>60792</v>
      </c>
      <c r="G22" s="245">
        <f>SUM(G6:G21)</f>
        <v>145815.64999999997</v>
      </c>
      <c r="H22" s="79"/>
    </row>
    <row r="23" spans="1:11" x14ac:dyDescent="0.2">
      <c r="A23" s="67" t="s">
        <v>93</v>
      </c>
      <c r="B23" s="67"/>
      <c r="C23" s="219"/>
      <c r="D23" s="246">
        <f>+F31*E31</f>
        <v>14648</v>
      </c>
      <c r="E23" s="247">
        <v>38629</v>
      </c>
      <c r="F23" s="246">
        <v>58646</v>
      </c>
      <c r="G23" s="247">
        <f>+F23+D23+E23</f>
        <v>111923</v>
      </c>
      <c r="H23" s="79"/>
    </row>
    <row r="24" spans="1:11" ht="21.75" customHeight="1" x14ac:dyDescent="0.2">
      <c r="A24" s="639" t="s">
        <v>13</v>
      </c>
      <c r="B24" s="639"/>
      <c r="C24" s="639"/>
      <c r="D24" s="639"/>
      <c r="E24" s="639"/>
      <c r="F24" s="639"/>
      <c r="G24" s="639"/>
      <c r="H24" s="79"/>
    </row>
    <row r="25" spans="1:11" x14ac:dyDescent="0.2">
      <c r="A25" s="191" t="s">
        <v>14</v>
      </c>
      <c r="B25" s="191"/>
      <c r="C25" s="191"/>
      <c r="H25" s="79"/>
    </row>
    <row r="26" spans="1:11" x14ac:dyDescent="0.2">
      <c r="A26" s="76" t="s">
        <v>15</v>
      </c>
      <c r="B26" s="76"/>
      <c r="C26" s="76"/>
      <c r="D26" s="220" t="s">
        <v>16</v>
      </c>
      <c r="E26" s="221" t="s">
        <v>17</v>
      </c>
      <c r="F26" s="221" t="s">
        <v>18</v>
      </c>
      <c r="G26" s="172" t="s">
        <v>132</v>
      </c>
      <c r="H26" s="79"/>
    </row>
    <row r="27" spans="1:11" x14ac:dyDescent="0.2">
      <c r="A27" s="191" t="s">
        <v>19</v>
      </c>
      <c r="D27" s="213"/>
      <c r="G27" s="214" t="s">
        <v>672</v>
      </c>
      <c r="H27" s="79"/>
    </row>
    <row r="28" spans="1:11" x14ac:dyDescent="0.2">
      <c r="A28" s="3" t="s">
        <v>6</v>
      </c>
      <c r="D28" s="213" t="s">
        <v>20</v>
      </c>
      <c r="E28" s="65">
        <v>40</v>
      </c>
      <c r="F28" s="389">
        <v>134</v>
      </c>
      <c r="G28" s="214" t="s">
        <v>673</v>
      </c>
      <c r="H28" s="79"/>
    </row>
    <row r="29" spans="1:11" x14ac:dyDescent="0.2">
      <c r="D29" s="213"/>
      <c r="G29" s="214" t="s">
        <v>674</v>
      </c>
      <c r="H29" s="79"/>
    </row>
    <row r="30" spans="1:11" x14ac:dyDescent="0.2">
      <c r="A30" s="191" t="s">
        <v>21</v>
      </c>
      <c r="D30" s="213"/>
      <c r="G30" s="214" t="s">
        <v>676</v>
      </c>
      <c r="H30" s="79"/>
    </row>
    <row r="31" spans="1:11" x14ac:dyDescent="0.2">
      <c r="A31" s="3" t="s">
        <v>43</v>
      </c>
      <c r="D31" s="213" t="s">
        <v>22</v>
      </c>
      <c r="E31" s="65">
        <v>8</v>
      </c>
      <c r="F31" s="65">
        <v>1831</v>
      </c>
      <c r="G31" s="214" t="s">
        <v>677</v>
      </c>
      <c r="H31" s="79"/>
    </row>
    <row r="32" spans="1:11" x14ac:dyDescent="0.2">
      <c r="A32" s="3" t="s">
        <v>35</v>
      </c>
      <c r="D32" s="213" t="s">
        <v>22</v>
      </c>
      <c r="E32" s="65">
        <v>14</v>
      </c>
      <c r="G32" s="214" t="s">
        <v>678</v>
      </c>
      <c r="H32" s="79"/>
    </row>
    <row r="33" spans="1:8" x14ac:dyDescent="0.2">
      <c r="A33" s="3" t="s">
        <v>2</v>
      </c>
      <c r="D33" s="213" t="s">
        <v>22</v>
      </c>
      <c r="E33" s="65">
        <v>22</v>
      </c>
      <c r="G33" s="214" t="s">
        <v>675</v>
      </c>
      <c r="H33" s="79"/>
    </row>
    <row r="34" spans="1:8" x14ac:dyDescent="0.2">
      <c r="D34" s="213"/>
      <c r="G34" s="268"/>
      <c r="H34" s="79"/>
    </row>
    <row r="35" spans="1:8" x14ac:dyDescent="0.2">
      <c r="A35" s="191" t="s">
        <v>24</v>
      </c>
      <c r="B35" s="191"/>
      <c r="C35" s="620" t="s">
        <v>243</v>
      </c>
      <c r="D35" s="620"/>
      <c r="G35" s="3"/>
      <c r="H35" s="79"/>
    </row>
    <row r="36" spans="1:8" x14ac:dyDescent="0.2">
      <c r="A36" s="3" t="s">
        <v>25</v>
      </c>
      <c r="B36" s="3" t="s">
        <v>36</v>
      </c>
      <c r="C36" s="222" t="s">
        <v>146</v>
      </c>
      <c r="D36" s="213" t="s">
        <v>20</v>
      </c>
      <c r="E36" s="216" t="s">
        <v>143</v>
      </c>
      <c r="F36" s="216" t="s">
        <v>51</v>
      </c>
      <c r="G36" s="3"/>
      <c r="H36" s="79"/>
    </row>
    <row r="37" spans="1:8" x14ac:dyDescent="0.2">
      <c r="B37" s="3" t="s">
        <v>30</v>
      </c>
      <c r="C37" s="223" t="s">
        <v>38</v>
      </c>
      <c r="D37" s="213" t="s">
        <v>20</v>
      </c>
      <c r="E37" s="216" t="s">
        <v>144</v>
      </c>
      <c r="F37" s="216" t="s">
        <v>41</v>
      </c>
      <c r="G37" s="3"/>
      <c r="H37" s="79"/>
    </row>
    <row r="38" spans="1:8" x14ac:dyDescent="0.2">
      <c r="B38" s="3" t="s">
        <v>670</v>
      </c>
      <c r="C38" s="66">
        <v>23</v>
      </c>
      <c r="D38" s="213" t="s">
        <v>20</v>
      </c>
      <c r="E38" s="212">
        <v>75</v>
      </c>
      <c r="F38" s="212">
        <v>800</v>
      </c>
      <c r="G38" s="3"/>
      <c r="H38" s="79"/>
    </row>
    <row r="39" spans="1:8" x14ac:dyDescent="0.2">
      <c r="B39" s="3" t="s">
        <v>671</v>
      </c>
      <c r="C39" s="66">
        <v>17</v>
      </c>
      <c r="D39" s="213" t="s">
        <v>20</v>
      </c>
      <c r="E39" s="212">
        <v>34</v>
      </c>
      <c r="F39" s="212">
        <v>144</v>
      </c>
      <c r="G39" s="3"/>
      <c r="H39" s="79"/>
    </row>
    <row r="40" spans="1:8" x14ac:dyDescent="0.2">
      <c r="A40" s="3" t="s">
        <v>26</v>
      </c>
      <c r="C40" s="213"/>
      <c r="D40" s="213"/>
      <c r="E40" s="212"/>
      <c r="F40" s="212"/>
      <c r="G40" s="3"/>
      <c r="H40" s="79"/>
    </row>
    <row r="41" spans="1:8" x14ac:dyDescent="0.2">
      <c r="B41" s="3" t="s">
        <v>670</v>
      </c>
      <c r="C41" s="66">
        <v>17</v>
      </c>
      <c r="D41" s="213" t="s">
        <v>20</v>
      </c>
      <c r="E41" s="212">
        <v>17</v>
      </c>
      <c r="F41" s="212">
        <v>800</v>
      </c>
      <c r="G41" s="3"/>
      <c r="H41" s="79"/>
    </row>
    <row r="42" spans="1:8" x14ac:dyDescent="0.2">
      <c r="B42" s="3" t="s">
        <v>671</v>
      </c>
      <c r="C42" s="66">
        <v>30</v>
      </c>
      <c r="D42" s="213" t="s">
        <v>20</v>
      </c>
      <c r="E42" s="212">
        <v>24</v>
      </c>
      <c r="F42" s="212">
        <v>200</v>
      </c>
      <c r="G42" s="3"/>
      <c r="H42" s="79"/>
    </row>
    <row r="43" spans="1:8" x14ac:dyDescent="0.2">
      <c r="B43" s="3" t="s">
        <v>86</v>
      </c>
      <c r="C43" s="222" t="s">
        <v>78</v>
      </c>
      <c r="D43" s="213" t="s">
        <v>45</v>
      </c>
      <c r="E43" s="216" t="s">
        <v>145</v>
      </c>
      <c r="F43" s="216" t="s">
        <v>201</v>
      </c>
      <c r="G43" s="3"/>
      <c r="H43" s="79"/>
    </row>
    <row r="44" spans="1:8" x14ac:dyDescent="0.2">
      <c r="A44" s="181" t="s">
        <v>31</v>
      </c>
      <c r="B44" s="181"/>
      <c r="C44" s="217"/>
      <c r="D44" s="388" t="s">
        <v>32</v>
      </c>
      <c r="E44" s="217"/>
      <c r="F44" s="388" t="s">
        <v>33</v>
      </c>
      <c r="G44" s="3"/>
      <c r="H44" s="79"/>
    </row>
    <row r="45" spans="1:8" x14ac:dyDescent="0.2">
      <c r="A45" s="3" t="s">
        <v>94</v>
      </c>
      <c r="D45" s="210">
        <v>1678</v>
      </c>
      <c r="E45" s="3" t="s">
        <v>70</v>
      </c>
      <c r="F45" s="210">
        <f>+D45*2.471</f>
        <v>4146.3379999999997</v>
      </c>
      <c r="G45" s="3"/>
      <c r="H45" s="79"/>
    </row>
    <row r="46" spans="1:8" x14ac:dyDescent="0.2">
      <c r="A46" s="3" t="s">
        <v>95</v>
      </c>
      <c r="D46" s="30">
        <v>125</v>
      </c>
      <c r="E46" s="3"/>
      <c r="F46" s="210"/>
      <c r="G46" s="3"/>
      <c r="H46" s="79"/>
    </row>
    <row r="47" spans="1:8" x14ac:dyDescent="0.2">
      <c r="A47" s="5" t="s">
        <v>192</v>
      </c>
      <c r="D47" s="210">
        <f>+D45*D46</f>
        <v>209750</v>
      </c>
      <c r="E47" s="3"/>
      <c r="F47" s="210">
        <f>+D47*2.471</f>
        <v>518292.25</v>
      </c>
      <c r="G47" s="3"/>
      <c r="H47" s="79"/>
    </row>
    <row r="48" spans="1:8" x14ac:dyDescent="0.2">
      <c r="A48" s="5" t="s">
        <v>645</v>
      </c>
      <c r="D48" s="210">
        <f>+D47-G22</f>
        <v>63934.350000000035</v>
      </c>
      <c r="E48" s="3"/>
      <c r="F48" s="210">
        <f>+D48*2.471</f>
        <v>157981.77885000009</v>
      </c>
      <c r="G48" s="3"/>
      <c r="H48" s="79"/>
    </row>
    <row r="49" spans="1:8" x14ac:dyDescent="0.2">
      <c r="A49" s="5" t="s">
        <v>646</v>
      </c>
      <c r="D49" s="210">
        <f>+D47-G23</f>
        <v>97827</v>
      </c>
      <c r="E49" s="3"/>
      <c r="F49" s="210">
        <f>+D49*2.471</f>
        <v>241730.51700000002</v>
      </c>
      <c r="G49" s="3"/>
      <c r="H49" s="79"/>
    </row>
    <row r="50" spans="1:8" x14ac:dyDescent="0.2">
      <c r="A50" s="5" t="s">
        <v>648</v>
      </c>
      <c r="D50" s="30">
        <f>+G22/D45</f>
        <v>86.898480333730618</v>
      </c>
      <c r="E50" s="3"/>
      <c r="G50" s="3"/>
      <c r="H50" s="79"/>
    </row>
    <row r="51" spans="1:8" x14ac:dyDescent="0.2">
      <c r="A51" s="7" t="s">
        <v>647</v>
      </c>
      <c r="B51" s="67"/>
      <c r="C51" s="67"/>
      <c r="D51" s="219">
        <f>+G23/D45</f>
        <v>66.70023837902265</v>
      </c>
      <c r="E51" s="67"/>
      <c r="F51" s="219"/>
      <c r="G51" s="3"/>
      <c r="H51" s="79"/>
    </row>
    <row r="53" spans="1:8" x14ac:dyDescent="0.2">
      <c r="A53" s="225" t="s">
        <v>46</v>
      </c>
      <c r="B53" s="62" t="s">
        <v>47</v>
      </c>
      <c r="C53" s="62"/>
      <c r="D53" s="226"/>
    </row>
    <row r="55" spans="1:8" x14ac:dyDescent="0.2">
      <c r="A55" s="227"/>
      <c r="B55" s="227"/>
      <c r="C55" s="227"/>
      <c r="D55" s="228"/>
    </row>
    <row r="56" spans="1:8" x14ac:dyDescent="0.2">
      <c r="A56" s="227"/>
      <c r="B56" s="227"/>
      <c r="C56" s="227"/>
      <c r="D56" s="228"/>
    </row>
    <row r="57" spans="1:8" x14ac:dyDescent="0.2">
      <c r="A57" s="229"/>
      <c r="B57" s="227"/>
      <c r="C57" s="227"/>
      <c r="D57" s="228"/>
    </row>
  </sheetData>
  <mergeCells count="9">
    <mergeCell ref="C35:D35"/>
    <mergeCell ref="A4:B5"/>
    <mergeCell ref="C4:C5"/>
    <mergeCell ref="D4:G4"/>
    <mergeCell ref="A24:G24"/>
    <mergeCell ref="G11:G12"/>
    <mergeCell ref="A16:B16"/>
    <mergeCell ref="D11:D12"/>
    <mergeCell ref="E11:E12"/>
  </mergeCells>
  <pageMargins left="0.7" right="0.7" top="0.75" bottom="0.75" header="0.3" footer="0.3"/>
  <pageSetup paperSize="9" scale="7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2"/>
  <sheetViews>
    <sheetView topLeftCell="A4" workbookViewId="0">
      <selection activeCell="I35" sqref="I35"/>
    </sheetView>
  </sheetViews>
  <sheetFormatPr defaultColWidth="12.28515625" defaultRowHeight="12.75" x14ac:dyDescent="0.2"/>
  <cols>
    <col min="1" max="1" width="12.28515625" style="3"/>
    <col min="2" max="2" width="15.5703125" style="3" bestFit="1" customWidth="1"/>
    <col min="3" max="4" width="9.140625" style="3" customWidth="1"/>
    <col min="5" max="5" width="10.7109375" style="3" customWidth="1"/>
    <col min="6" max="6" width="12.140625" style="3" customWidth="1"/>
    <col min="7" max="7" width="14.5703125" style="3" customWidth="1"/>
    <col min="8" max="8" width="4.85546875" style="3" customWidth="1"/>
    <col min="9" max="16384" width="12.28515625" style="3"/>
  </cols>
  <sheetData>
    <row r="1" spans="1:10" ht="20.25" customHeight="1" x14ac:dyDescent="0.2">
      <c r="A1" s="1" t="s">
        <v>491</v>
      </c>
      <c r="B1" s="2"/>
      <c r="C1" s="2"/>
      <c r="D1" s="2"/>
      <c r="E1" s="2"/>
      <c r="F1" s="2"/>
      <c r="G1" s="2"/>
      <c r="H1" s="78"/>
    </row>
    <row r="2" spans="1:10" ht="26.25" customHeight="1" x14ac:dyDescent="0.25">
      <c r="A2" s="1"/>
      <c r="B2" s="178"/>
      <c r="C2" s="178"/>
      <c r="D2" s="178"/>
      <c r="E2" s="178"/>
      <c r="F2" s="1"/>
      <c r="H2" s="78"/>
      <c r="I2" s="287" t="s">
        <v>241</v>
      </c>
    </row>
    <row r="3" spans="1:10" x14ac:dyDescent="0.2">
      <c r="A3" s="632" t="s">
        <v>1</v>
      </c>
      <c r="B3" s="632"/>
      <c r="C3" s="634" t="s">
        <v>243</v>
      </c>
      <c r="D3" s="632" t="s">
        <v>130</v>
      </c>
      <c r="E3" s="632"/>
      <c r="F3" s="632"/>
      <c r="G3" s="632"/>
      <c r="H3" s="91"/>
    </row>
    <row r="4" spans="1:10" x14ac:dyDescent="0.2">
      <c r="A4" s="633"/>
      <c r="B4" s="633"/>
      <c r="C4" s="635"/>
      <c r="D4" s="71" t="s">
        <v>48</v>
      </c>
      <c r="E4" s="71" t="s">
        <v>128</v>
      </c>
      <c r="F4" s="71" t="s">
        <v>131</v>
      </c>
      <c r="G4" s="71" t="s">
        <v>2</v>
      </c>
      <c r="H4" s="92"/>
    </row>
    <row r="5" spans="1:10" x14ac:dyDescent="0.2">
      <c r="A5" s="5" t="s">
        <v>3</v>
      </c>
      <c r="B5" s="5"/>
      <c r="C5" s="33">
        <v>87.096774193548384</v>
      </c>
      <c r="D5" s="115">
        <v>1500</v>
      </c>
      <c r="E5" s="115"/>
      <c r="F5" s="115"/>
      <c r="G5" s="115">
        <v>1500</v>
      </c>
      <c r="H5" s="79"/>
    </row>
    <row r="6" spans="1:10" ht="15.75" x14ac:dyDescent="0.2">
      <c r="A6" s="5" t="s">
        <v>679</v>
      </c>
      <c r="B6" s="9"/>
      <c r="C6" s="33">
        <v>45</v>
      </c>
      <c r="D6" s="115">
        <v>600</v>
      </c>
      <c r="E6" s="115">
        <v>19406</v>
      </c>
      <c r="F6" s="115"/>
      <c r="G6" s="115">
        <v>20006</v>
      </c>
      <c r="H6" s="79"/>
    </row>
    <row r="7" spans="1:10" x14ac:dyDescent="0.2">
      <c r="A7" s="5" t="s">
        <v>680</v>
      </c>
      <c r="B7" s="5"/>
      <c r="C7" s="179" t="s">
        <v>78</v>
      </c>
      <c r="D7" s="117" t="s">
        <v>681</v>
      </c>
      <c r="E7" s="118"/>
      <c r="F7" s="115"/>
      <c r="G7" s="115"/>
      <c r="H7" s="79"/>
      <c r="J7" s="290"/>
    </row>
    <row r="8" spans="1:10" ht="15.75" x14ac:dyDescent="0.2">
      <c r="A8" s="5" t="s">
        <v>218</v>
      </c>
      <c r="B8" s="5"/>
      <c r="C8" s="179" t="s">
        <v>59</v>
      </c>
      <c r="D8" s="117" t="s">
        <v>682</v>
      </c>
      <c r="E8" s="118"/>
      <c r="F8" s="115"/>
      <c r="G8" s="115"/>
      <c r="H8" s="79"/>
      <c r="J8" s="290"/>
    </row>
    <row r="9" spans="1:10" x14ac:dyDescent="0.2">
      <c r="A9" s="5" t="s">
        <v>5</v>
      </c>
      <c r="B9" s="5"/>
      <c r="C9" s="33">
        <v>100</v>
      </c>
      <c r="D9" s="115">
        <v>9926.4000000000015</v>
      </c>
      <c r="E9" s="115"/>
      <c r="F9" s="115"/>
      <c r="G9" s="115">
        <v>9926.4000000000015</v>
      </c>
      <c r="H9" s="79"/>
    </row>
    <row r="10" spans="1:10" x14ac:dyDescent="0.2">
      <c r="A10" s="5" t="s">
        <v>122</v>
      </c>
      <c r="B10" s="5"/>
      <c r="C10" s="33">
        <v>100</v>
      </c>
      <c r="D10" s="115">
        <v>5232.5999999999995</v>
      </c>
      <c r="E10" s="115"/>
      <c r="F10" s="115">
        <v>5880</v>
      </c>
      <c r="G10" s="115">
        <v>11112.599999999999</v>
      </c>
      <c r="H10" s="79"/>
      <c r="J10" s="290"/>
    </row>
    <row r="11" spans="1:10" x14ac:dyDescent="0.2">
      <c r="A11" s="5" t="s">
        <v>8</v>
      </c>
      <c r="B11" s="5"/>
      <c r="C11" s="33">
        <v>100</v>
      </c>
      <c r="D11" s="115">
        <v>2752.94</v>
      </c>
      <c r="E11" s="115"/>
      <c r="F11" s="115">
        <v>9528</v>
      </c>
      <c r="G11" s="115">
        <f>+F11+E11+D11</f>
        <v>12280.94</v>
      </c>
      <c r="H11" s="79"/>
      <c r="J11" s="290"/>
    </row>
    <row r="12" spans="1:10" x14ac:dyDescent="0.2">
      <c r="A12" s="5" t="s">
        <v>9</v>
      </c>
      <c r="B12" s="5"/>
      <c r="C12" s="33">
        <v>97</v>
      </c>
      <c r="D12" s="115">
        <v>746.17</v>
      </c>
      <c r="E12" s="115"/>
      <c r="F12" s="115">
        <v>7905</v>
      </c>
      <c r="G12" s="115">
        <v>8651.17</v>
      </c>
      <c r="H12" s="79"/>
      <c r="J12" s="290"/>
    </row>
    <row r="13" spans="1:10" x14ac:dyDescent="0.2">
      <c r="A13" s="5" t="s">
        <v>657</v>
      </c>
      <c r="B13" s="5"/>
      <c r="C13" s="33">
        <v>55</v>
      </c>
      <c r="D13" s="115">
        <v>560</v>
      </c>
      <c r="E13" s="115"/>
      <c r="F13" s="115">
        <v>3727</v>
      </c>
      <c r="G13" s="115">
        <v>4287</v>
      </c>
      <c r="H13" s="79"/>
      <c r="J13" s="290"/>
    </row>
    <row r="14" spans="1:10" x14ac:dyDescent="0.2">
      <c r="A14" s="5" t="s">
        <v>90</v>
      </c>
      <c r="B14" s="5"/>
      <c r="C14" s="33">
        <v>100</v>
      </c>
      <c r="D14" s="115">
        <v>8520</v>
      </c>
      <c r="E14" s="115"/>
      <c r="F14" s="115"/>
      <c r="G14" s="115">
        <v>8520</v>
      </c>
      <c r="H14" s="79"/>
      <c r="J14" s="290"/>
    </row>
    <row r="15" spans="1:10" ht="27.75" customHeight="1" x14ac:dyDescent="0.2">
      <c r="A15" s="643" t="s">
        <v>174</v>
      </c>
      <c r="B15" s="643"/>
      <c r="C15" s="33">
        <v>100</v>
      </c>
      <c r="D15" s="115">
        <v>2074.9499999999998</v>
      </c>
      <c r="E15" s="115">
        <v>16555</v>
      </c>
      <c r="F15" s="115"/>
      <c r="G15" s="115">
        <v>18629.95</v>
      </c>
      <c r="H15" s="79"/>
      <c r="J15" s="65"/>
    </row>
    <row r="16" spans="1:10" x14ac:dyDescent="0.2">
      <c r="A16" s="5" t="s">
        <v>91</v>
      </c>
      <c r="B16" s="5"/>
      <c r="C16" s="33">
        <v>68</v>
      </c>
      <c r="D16" s="115">
        <v>9404.4199999999983</v>
      </c>
      <c r="E16" s="115"/>
      <c r="F16" s="115"/>
      <c r="G16" s="115">
        <v>9404.4199999999983</v>
      </c>
      <c r="H16" s="79"/>
      <c r="J16" s="290"/>
    </row>
    <row r="17" spans="1:10" x14ac:dyDescent="0.2">
      <c r="A17" s="5" t="s">
        <v>123</v>
      </c>
      <c r="B17" s="5"/>
      <c r="C17" s="33">
        <v>72</v>
      </c>
      <c r="D17" s="115">
        <v>660</v>
      </c>
      <c r="E17" s="121">
        <v>2213</v>
      </c>
      <c r="F17" s="121"/>
      <c r="G17" s="115">
        <v>2873</v>
      </c>
      <c r="H17" s="79"/>
      <c r="J17" s="30"/>
    </row>
    <row r="18" spans="1:10" x14ac:dyDescent="0.2">
      <c r="A18" s="5" t="s">
        <v>105</v>
      </c>
      <c r="B18" s="5"/>
      <c r="C18" s="33"/>
      <c r="D18" s="115"/>
      <c r="E18" s="121"/>
      <c r="F18" s="121"/>
      <c r="G18" s="115">
        <v>3150</v>
      </c>
      <c r="H18" s="79"/>
    </row>
    <row r="19" spans="1:10" x14ac:dyDescent="0.2">
      <c r="A19" s="4" t="s">
        <v>173</v>
      </c>
      <c r="B19" s="4"/>
      <c r="C19" s="4"/>
      <c r="D19" s="102">
        <v>41977.48</v>
      </c>
      <c r="E19" s="102">
        <f>SUM(E5:E18)</f>
        <v>38174</v>
      </c>
      <c r="F19" s="102">
        <f>SUM(F5:F18)</f>
        <v>27040</v>
      </c>
      <c r="G19" s="102">
        <f>SUM(G5:G18)</f>
        <v>110341.48</v>
      </c>
      <c r="H19" s="79"/>
    </row>
    <row r="20" spans="1:10" x14ac:dyDescent="0.2">
      <c r="A20" s="7" t="s">
        <v>93</v>
      </c>
      <c r="B20" s="7"/>
      <c r="C20" s="7"/>
      <c r="D20" s="105">
        <f>+F29*E29</f>
        <v>15463</v>
      </c>
      <c r="E20" s="104">
        <v>36512</v>
      </c>
      <c r="F20" s="104">
        <v>25085</v>
      </c>
      <c r="G20" s="105">
        <f>+D20+E20+F20</f>
        <v>77060</v>
      </c>
      <c r="H20" s="79"/>
    </row>
    <row r="21" spans="1:10" x14ac:dyDescent="0.2">
      <c r="A21" s="5"/>
      <c r="B21" s="5"/>
      <c r="C21" s="5"/>
      <c r="D21" s="5"/>
      <c r="E21" s="5"/>
      <c r="F21" s="5"/>
      <c r="G21" s="5"/>
      <c r="H21" s="80"/>
    </row>
    <row r="22" spans="1:10" x14ac:dyDescent="0.2">
      <c r="A22" s="5"/>
      <c r="B22" s="5"/>
      <c r="C22" s="1" t="s">
        <v>13</v>
      </c>
      <c r="D22" s="5"/>
      <c r="E22" s="5"/>
      <c r="F22" s="5"/>
      <c r="G22" s="5"/>
      <c r="H22" s="80"/>
    </row>
    <row r="23" spans="1:10" x14ac:dyDescent="0.2">
      <c r="A23" s="1" t="s">
        <v>14</v>
      </c>
      <c r="B23" s="1"/>
      <c r="C23" s="1"/>
      <c r="D23" s="1"/>
      <c r="E23" s="1"/>
      <c r="F23" s="1"/>
      <c r="G23" s="1"/>
      <c r="H23" s="80"/>
    </row>
    <row r="24" spans="1:10" x14ac:dyDescent="0.2">
      <c r="A24" s="108" t="s">
        <v>15</v>
      </c>
      <c r="B24" s="108"/>
      <c r="C24" s="108"/>
      <c r="D24" s="375" t="s">
        <v>16</v>
      </c>
      <c r="E24" s="375" t="s">
        <v>17</v>
      </c>
      <c r="F24" s="375" t="s">
        <v>18</v>
      </c>
      <c r="G24" s="188" t="s">
        <v>178</v>
      </c>
      <c r="H24" s="80"/>
    </row>
    <row r="25" spans="1:10" x14ac:dyDescent="0.2">
      <c r="A25" s="5" t="s">
        <v>19</v>
      </c>
      <c r="B25" s="5"/>
      <c r="C25" s="5"/>
      <c r="E25" s="5"/>
      <c r="F25" s="5"/>
      <c r="G25" s="125" t="s">
        <v>175</v>
      </c>
      <c r="H25" s="80"/>
    </row>
    <row r="26" spans="1:10" x14ac:dyDescent="0.2">
      <c r="A26" s="5" t="s">
        <v>6</v>
      </c>
      <c r="B26" s="5"/>
      <c r="C26" s="5"/>
      <c r="D26" s="20" t="s">
        <v>20</v>
      </c>
      <c r="E26" s="75">
        <v>40</v>
      </c>
      <c r="F26" s="22">
        <v>147</v>
      </c>
      <c r="G26" s="125" t="s">
        <v>176</v>
      </c>
      <c r="H26" s="80"/>
    </row>
    <row r="27" spans="1:10" x14ac:dyDescent="0.2">
      <c r="A27" s="5"/>
      <c r="B27" s="5"/>
      <c r="C27" s="5"/>
      <c r="D27" s="68"/>
      <c r="E27" s="5"/>
      <c r="F27" s="5"/>
      <c r="G27" s="125" t="s">
        <v>177</v>
      </c>
      <c r="H27" s="80"/>
    </row>
    <row r="28" spans="1:10" x14ac:dyDescent="0.2">
      <c r="A28" s="5" t="s">
        <v>21</v>
      </c>
      <c r="B28" s="5"/>
      <c r="C28" s="5"/>
      <c r="D28" s="68"/>
      <c r="E28" s="5"/>
      <c r="F28" s="5"/>
      <c r="H28" s="80"/>
    </row>
    <row r="29" spans="1:10" x14ac:dyDescent="0.2">
      <c r="A29" s="5" t="s">
        <v>43</v>
      </c>
      <c r="B29" s="5"/>
      <c r="C29" s="5"/>
      <c r="D29" s="20" t="s">
        <v>22</v>
      </c>
      <c r="E29" s="22">
        <v>7</v>
      </c>
      <c r="F29" s="90">
        <v>2209</v>
      </c>
      <c r="H29" s="80"/>
    </row>
    <row r="30" spans="1:10" x14ac:dyDescent="0.2">
      <c r="A30" s="5" t="s">
        <v>35</v>
      </c>
      <c r="B30" s="5"/>
      <c r="C30" s="5"/>
      <c r="D30" s="20" t="s">
        <v>22</v>
      </c>
      <c r="E30" s="22">
        <v>12.049999999999999</v>
      </c>
      <c r="F30" s="22"/>
      <c r="H30" s="80"/>
    </row>
    <row r="31" spans="1:10" x14ac:dyDescent="0.2">
      <c r="A31" s="5" t="s">
        <v>2</v>
      </c>
      <c r="B31" s="5"/>
      <c r="C31" s="5"/>
      <c r="D31" s="20" t="s">
        <v>22</v>
      </c>
      <c r="E31" s="22">
        <v>19</v>
      </c>
      <c r="F31" s="22"/>
      <c r="H31" s="80"/>
    </row>
    <row r="32" spans="1:10" x14ac:dyDescent="0.2">
      <c r="A32" s="34" t="s">
        <v>193</v>
      </c>
      <c r="B32" s="34"/>
      <c r="C32" s="620" t="s">
        <v>243</v>
      </c>
      <c r="D32" s="620"/>
      <c r="E32" s="4"/>
      <c r="F32" s="4"/>
      <c r="H32" s="80"/>
    </row>
    <row r="33" spans="1:8" x14ac:dyDescent="0.2">
      <c r="A33" s="5" t="s">
        <v>25</v>
      </c>
      <c r="B33" s="5" t="s">
        <v>129</v>
      </c>
      <c r="C33" s="73">
        <v>87</v>
      </c>
      <c r="D33" s="20" t="s">
        <v>20</v>
      </c>
      <c r="E33" s="22">
        <v>174</v>
      </c>
      <c r="F33" s="29" t="s">
        <v>201</v>
      </c>
      <c r="H33" s="80"/>
    </row>
    <row r="34" spans="1:8" x14ac:dyDescent="0.2">
      <c r="A34" s="5"/>
      <c r="B34" s="5" t="s">
        <v>27</v>
      </c>
      <c r="C34" s="73" t="s">
        <v>38</v>
      </c>
      <c r="D34" s="20" t="s">
        <v>20</v>
      </c>
      <c r="E34" s="29" t="s">
        <v>112</v>
      </c>
      <c r="F34" s="29" t="s">
        <v>125</v>
      </c>
      <c r="H34" s="80"/>
    </row>
    <row r="35" spans="1:8" x14ac:dyDescent="0.2">
      <c r="A35" s="5"/>
      <c r="B35" s="5" t="s">
        <v>75</v>
      </c>
      <c r="C35" s="73" t="s">
        <v>81</v>
      </c>
      <c r="D35" s="20" t="s">
        <v>20</v>
      </c>
      <c r="E35" s="29" t="s">
        <v>124</v>
      </c>
      <c r="F35" s="29" t="s">
        <v>115</v>
      </c>
      <c r="H35" s="80"/>
    </row>
    <row r="36" spans="1:8" x14ac:dyDescent="0.2">
      <c r="A36" s="5"/>
      <c r="B36" s="5" t="s">
        <v>79</v>
      </c>
      <c r="C36" s="73" t="s">
        <v>51</v>
      </c>
      <c r="D36" s="20" t="s">
        <v>20</v>
      </c>
      <c r="E36" s="29" t="s">
        <v>124</v>
      </c>
      <c r="F36" s="29" t="s">
        <v>126</v>
      </c>
      <c r="H36" s="80"/>
    </row>
    <row r="37" spans="1:8" x14ac:dyDescent="0.2">
      <c r="A37" s="5" t="s">
        <v>683</v>
      </c>
      <c r="B37" s="5" t="s">
        <v>27</v>
      </c>
      <c r="C37" s="73">
        <v>10</v>
      </c>
      <c r="D37" s="20" t="s">
        <v>20</v>
      </c>
      <c r="E37" s="22">
        <v>27</v>
      </c>
      <c r="F37" s="22">
        <v>800</v>
      </c>
      <c r="H37" s="80"/>
    </row>
    <row r="38" spans="1:8" x14ac:dyDescent="0.2">
      <c r="A38" s="5"/>
      <c r="B38" s="5" t="s">
        <v>75</v>
      </c>
      <c r="C38" s="73">
        <v>71</v>
      </c>
      <c r="D38" s="20" t="s">
        <v>20</v>
      </c>
      <c r="E38" s="22">
        <v>38</v>
      </c>
      <c r="F38" s="22">
        <v>206</v>
      </c>
      <c r="H38" s="80"/>
    </row>
    <row r="39" spans="1:8" x14ac:dyDescent="0.2">
      <c r="A39" s="5"/>
      <c r="B39" s="5" t="s">
        <v>63</v>
      </c>
      <c r="C39" s="73">
        <v>70</v>
      </c>
      <c r="D39" s="20"/>
      <c r="E39" s="8"/>
      <c r="F39" s="29" t="s">
        <v>201</v>
      </c>
      <c r="H39" s="80"/>
    </row>
    <row r="40" spans="1:8" x14ac:dyDescent="0.2">
      <c r="A40" s="34" t="s">
        <v>31</v>
      </c>
      <c r="B40" s="34"/>
      <c r="C40" s="34"/>
      <c r="D40" s="180" t="s">
        <v>32</v>
      </c>
      <c r="E40" s="34"/>
      <c r="F40" s="180" t="s">
        <v>33</v>
      </c>
      <c r="H40" s="79"/>
    </row>
    <row r="41" spans="1:8" x14ac:dyDescent="0.2">
      <c r="A41" s="5" t="s">
        <v>168</v>
      </c>
      <c r="B41" s="5"/>
      <c r="C41" s="5"/>
      <c r="D41" s="95">
        <v>1540</v>
      </c>
      <c r="E41" s="167"/>
      <c r="F41" s="95">
        <f>+D41*2.471</f>
        <v>3805.34</v>
      </c>
      <c r="H41" s="79"/>
    </row>
    <row r="42" spans="1:8" x14ac:dyDescent="0.2">
      <c r="A42" s="5" t="s">
        <v>95</v>
      </c>
      <c r="B42" s="5"/>
      <c r="C42" s="5"/>
      <c r="D42" s="95">
        <v>103</v>
      </c>
      <c r="E42" s="95"/>
      <c r="F42" s="95"/>
      <c r="H42" s="79"/>
    </row>
    <row r="43" spans="1:8" x14ac:dyDescent="0.2">
      <c r="A43" s="5" t="s">
        <v>192</v>
      </c>
      <c r="B43" s="5"/>
      <c r="C43" s="5"/>
      <c r="D43" s="95">
        <f>+D42*D41</f>
        <v>158620</v>
      </c>
      <c r="E43" s="95"/>
      <c r="F43" s="95">
        <f>+D43*2.471</f>
        <v>391950.02</v>
      </c>
      <c r="H43" s="79"/>
    </row>
    <row r="44" spans="1:8" x14ac:dyDescent="0.2">
      <c r="A44" s="5" t="s">
        <v>645</v>
      </c>
      <c r="B44" s="5"/>
      <c r="C44" s="5"/>
      <c r="D44" s="95">
        <f>+D43-G19</f>
        <v>48278.520000000004</v>
      </c>
      <c r="E44" s="95"/>
      <c r="F44" s="95">
        <f>+D44*2.471</f>
        <v>119296.22292000001</v>
      </c>
      <c r="H44" s="79"/>
    </row>
    <row r="45" spans="1:8" x14ac:dyDescent="0.2">
      <c r="A45" s="5" t="s">
        <v>646</v>
      </c>
      <c r="B45" s="5"/>
      <c r="C45" s="5"/>
      <c r="D45" s="95">
        <f>+D43-G20</f>
        <v>81560</v>
      </c>
      <c r="E45" s="95"/>
      <c r="F45" s="95">
        <f>+D45*2.471</f>
        <v>201534.76</v>
      </c>
      <c r="H45" s="79"/>
    </row>
    <row r="46" spans="1:8" x14ac:dyDescent="0.2">
      <c r="A46" s="5" t="s">
        <v>648</v>
      </c>
      <c r="B46" s="5"/>
      <c r="C46" s="5"/>
      <c r="D46" s="8">
        <f>+G19/D41</f>
        <v>71.650311688311689</v>
      </c>
      <c r="E46" s="12"/>
      <c r="F46" s="5"/>
      <c r="H46" s="79"/>
    </row>
    <row r="47" spans="1:8" x14ac:dyDescent="0.2">
      <c r="A47" s="7" t="s">
        <v>647</v>
      </c>
      <c r="B47" s="7"/>
      <c r="C47" s="7"/>
      <c r="D47" s="16">
        <f>+G20/D41</f>
        <v>50.038961038961041</v>
      </c>
      <c r="E47" s="37"/>
      <c r="F47" s="7"/>
      <c r="H47" s="79"/>
    </row>
    <row r="52" spans="1:1" x14ac:dyDescent="0.2">
      <c r="A52" s="23"/>
    </row>
  </sheetData>
  <mergeCells count="5">
    <mergeCell ref="A15:B15"/>
    <mergeCell ref="A3:B4"/>
    <mergeCell ref="C3:C4"/>
    <mergeCell ref="D3:G3"/>
    <mergeCell ref="C32:D32"/>
  </mergeCells>
  <pageMargins left="0.7" right="0.7" top="0.75" bottom="0.75" header="0.3" footer="0.3"/>
  <pageSetup paperSize="9" scale="7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5"/>
  <sheetViews>
    <sheetView workbookViewId="0">
      <selection activeCell="L16" sqref="L16:P16"/>
    </sheetView>
  </sheetViews>
  <sheetFormatPr defaultColWidth="9.140625" defaultRowHeight="12.75" x14ac:dyDescent="0.2"/>
  <cols>
    <col min="1" max="1" width="19" style="3" customWidth="1"/>
    <col min="2" max="2" width="14.7109375" style="3" customWidth="1"/>
    <col min="3" max="3" width="10.28515625" style="3" customWidth="1"/>
    <col min="4" max="4" width="9.5703125" style="3" customWidth="1"/>
    <col min="5" max="5" width="10.140625" style="3" customWidth="1"/>
    <col min="6" max="6" width="13" style="3" customWidth="1"/>
    <col min="7" max="7" width="16.42578125" style="3" customWidth="1"/>
    <col min="8" max="8" width="13.5703125" style="3" customWidth="1"/>
    <col min="9" max="16384" width="9.140625" style="3"/>
  </cols>
  <sheetData>
    <row r="1" spans="1:13" ht="40.5" x14ac:dyDescent="0.25">
      <c r="A1" s="1"/>
      <c r="B1" s="2"/>
      <c r="C1" s="2"/>
      <c r="D1" s="2"/>
      <c r="E1" s="2"/>
      <c r="F1" s="2"/>
      <c r="G1" s="2"/>
      <c r="H1" s="287" t="s">
        <v>241</v>
      </c>
    </row>
    <row r="2" spans="1:13" x14ac:dyDescent="0.2">
      <c r="A2" s="1"/>
      <c r="B2" s="178"/>
      <c r="C2" s="178"/>
      <c r="D2" s="178"/>
      <c r="E2" s="178"/>
      <c r="F2" s="1"/>
      <c r="G2" s="1"/>
      <c r="H2" s="78"/>
    </row>
    <row r="3" spans="1:13" x14ac:dyDescent="0.2">
      <c r="A3" s="1" t="s">
        <v>492</v>
      </c>
      <c r="B3" s="4"/>
      <c r="C3" s="4"/>
      <c r="D3" s="27"/>
      <c r="E3" s="27"/>
      <c r="F3" s="27"/>
      <c r="G3" s="27"/>
      <c r="H3" s="184"/>
    </row>
    <row r="4" spans="1:13" ht="15" customHeight="1" x14ac:dyDescent="0.2">
      <c r="A4" s="5"/>
      <c r="B4" s="5"/>
      <c r="C4" s="5"/>
      <c r="D4" s="6"/>
      <c r="E4" s="6"/>
      <c r="F4" s="6"/>
      <c r="H4" s="91"/>
    </row>
    <row r="5" spans="1:13" x14ac:dyDescent="0.2">
      <c r="A5" s="617" t="s">
        <v>1</v>
      </c>
      <c r="B5" s="617"/>
      <c r="C5" s="615" t="s">
        <v>243</v>
      </c>
      <c r="D5" s="617" t="s">
        <v>130</v>
      </c>
      <c r="E5" s="617"/>
      <c r="F5" s="617"/>
      <c r="G5" s="617"/>
      <c r="H5" s="91"/>
    </row>
    <row r="6" spans="1:13" x14ac:dyDescent="0.2">
      <c r="A6" s="622"/>
      <c r="B6" s="622"/>
      <c r="C6" s="644"/>
      <c r="D6" s="109" t="s">
        <v>48</v>
      </c>
      <c r="E6" s="109" t="s">
        <v>128</v>
      </c>
      <c r="F6" s="109" t="s">
        <v>131</v>
      </c>
      <c r="G6" s="109" t="s">
        <v>2</v>
      </c>
      <c r="H6" s="92"/>
    </row>
    <row r="7" spans="1:13" x14ac:dyDescent="0.2">
      <c r="A7" s="5" t="s">
        <v>3</v>
      </c>
      <c r="B7" s="5"/>
      <c r="C7" s="33">
        <v>87</v>
      </c>
      <c r="D7" s="90">
        <v>1427.5800000000002</v>
      </c>
      <c r="E7" s="90"/>
      <c r="F7" s="90"/>
      <c r="G7" s="90">
        <v>1427.5800000000002</v>
      </c>
      <c r="H7" s="79"/>
    </row>
    <row r="8" spans="1:13" ht="15.75" x14ac:dyDescent="0.2">
      <c r="A8" s="5" t="s">
        <v>684</v>
      </c>
      <c r="B8" s="9"/>
      <c r="C8" s="63">
        <v>84</v>
      </c>
      <c r="D8" s="90">
        <v>1225</v>
      </c>
      <c r="E8" s="170">
        <v>18500</v>
      </c>
      <c r="F8" s="90"/>
      <c r="G8" s="90">
        <v>19725</v>
      </c>
      <c r="H8" s="79"/>
    </row>
    <row r="9" spans="1:13" ht="15.75" x14ac:dyDescent="0.2">
      <c r="A9" s="5" t="s">
        <v>219</v>
      </c>
      <c r="B9" s="5"/>
      <c r="C9" s="63" t="s">
        <v>55</v>
      </c>
      <c r="D9" s="116" t="s">
        <v>365</v>
      </c>
      <c r="E9" s="116" t="s">
        <v>364</v>
      </c>
      <c r="F9" s="90"/>
      <c r="G9" s="90"/>
      <c r="H9" s="79"/>
      <c r="J9" s="290"/>
    </row>
    <row r="10" spans="1:13" x14ac:dyDescent="0.2">
      <c r="A10" s="5" t="s">
        <v>5</v>
      </c>
      <c r="B10" s="5"/>
      <c r="C10" s="63">
        <v>94</v>
      </c>
      <c r="D10" s="170">
        <v>10383.52</v>
      </c>
      <c r="E10" s="90"/>
      <c r="F10" s="90"/>
      <c r="G10" s="90">
        <v>10383.52</v>
      </c>
      <c r="H10" s="79"/>
      <c r="J10" s="290"/>
    </row>
    <row r="11" spans="1:13" x14ac:dyDescent="0.2">
      <c r="A11" s="5" t="s">
        <v>80</v>
      </c>
      <c r="C11" s="148" t="s">
        <v>81</v>
      </c>
      <c r="D11" s="116" t="s">
        <v>366</v>
      </c>
      <c r="E11" s="90"/>
      <c r="F11" s="90"/>
      <c r="G11" s="90"/>
      <c r="H11" s="79"/>
      <c r="J11" s="290"/>
    </row>
    <row r="12" spans="1:13" x14ac:dyDescent="0.2">
      <c r="A12" s="5" t="s">
        <v>122</v>
      </c>
      <c r="B12" s="5"/>
      <c r="C12" s="63">
        <v>100</v>
      </c>
      <c r="D12" s="90">
        <v>5225</v>
      </c>
      <c r="E12" s="90"/>
      <c r="F12" s="115">
        <v>7138</v>
      </c>
      <c r="G12" s="90">
        <v>12363</v>
      </c>
      <c r="H12" s="79"/>
      <c r="J12" s="290"/>
    </row>
    <row r="13" spans="1:13" x14ac:dyDescent="0.2">
      <c r="A13" s="5" t="s">
        <v>7</v>
      </c>
      <c r="B13" s="5"/>
      <c r="C13" s="63">
        <v>97</v>
      </c>
      <c r="D13" s="646">
        <v>1740</v>
      </c>
      <c r="E13" s="90">
        <v>451</v>
      </c>
      <c r="F13" s="158"/>
      <c r="G13" s="645">
        <f>+D13+E13+F14</f>
        <v>14602</v>
      </c>
      <c r="H13" s="79"/>
      <c r="J13" s="290"/>
    </row>
    <row r="14" spans="1:13" x14ac:dyDescent="0.2">
      <c r="A14" s="5" t="s">
        <v>8</v>
      </c>
      <c r="B14" s="5"/>
      <c r="C14" s="324">
        <v>94</v>
      </c>
      <c r="D14" s="646"/>
      <c r="E14" s="90"/>
      <c r="F14" s="115">
        <v>12411</v>
      </c>
      <c r="G14" s="645"/>
      <c r="H14" s="79"/>
      <c r="J14" s="290"/>
    </row>
    <row r="15" spans="1:13" x14ac:dyDescent="0.2">
      <c r="A15" s="5" t="s">
        <v>9</v>
      </c>
      <c r="B15" s="5"/>
      <c r="C15" s="63">
        <v>90</v>
      </c>
      <c r="D15" s="90">
        <v>1117.6199999999999</v>
      </c>
      <c r="E15" s="90"/>
      <c r="F15" s="90">
        <v>8200</v>
      </c>
      <c r="G15" s="90">
        <v>9317.619999999999</v>
      </c>
      <c r="H15" s="79"/>
      <c r="J15" s="290"/>
    </row>
    <row r="16" spans="1:13" x14ac:dyDescent="0.2">
      <c r="A16" s="5" t="s">
        <v>657</v>
      </c>
      <c r="B16" s="5"/>
      <c r="C16" s="63">
        <v>48</v>
      </c>
      <c r="D16" s="90">
        <v>860.1</v>
      </c>
      <c r="E16" s="90"/>
      <c r="F16" s="90">
        <v>3700</v>
      </c>
      <c r="G16" s="90">
        <v>4560.1000000000004</v>
      </c>
      <c r="H16" s="79"/>
      <c r="J16" s="290"/>
      <c r="L16" s="290"/>
      <c r="M16" s="290"/>
    </row>
    <row r="17" spans="1:10" x14ac:dyDescent="0.2">
      <c r="A17" s="5" t="s">
        <v>90</v>
      </c>
      <c r="B17" s="5"/>
      <c r="C17" s="63">
        <v>100</v>
      </c>
      <c r="D17" s="90">
        <v>8980</v>
      </c>
      <c r="E17" s="90"/>
      <c r="F17" s="90"/>
      <c r="G17" s="90">
        <v>8980</v>
      </c>
      <c r="H17" s="79"/>
      <c r="J17" s="290"/>
    </row>
    <row r="18" spans="1:10" ht="27.75" customHeight="1" x14ac:dyDescent="0.2">
      <c r="A18" s="623" t="s">
        <v>237</v>
      </c>
      <c r="B18" s="623"/>
      <c r="C18" s="63">
        <v>94</v>
      </c>
      <c r="D18" s="90">
        <v>2355.21</v>
      </c>
      <c r="E18" s="90">
        <v>18500</v>
      </c>
      <c r="F18" s="90"/>
      <c r="G18" s="90">
        <v>20855.21</v>
      </c>
      <c r="H18" s="79"/>
      <c r="J18" s="290"/>
    </row>
    <row r="19" spans="1:10" x14ac:dyDescent="0.2">
      <c r="A19" s="5" t="s">
        <v>190</v>
      </c>
      <c r="B19" s="5"/>
      <c r="C19" s="63" t="s">
        <v>81</v>
      </c>
      <c r="D19" s="116" t="s">
        <v>367</v>
      </c>
      <c r="E19" s="170"/>
      <c r="F19" s="90"/>
      <c r="G19" s="90"/>
      <c r="H19" s="79"/>
      <c r="J19" s="30"/>
    </row>
    <row r="20" spans="1:10" ht="24.75" customHeight="1" x14ac:dyDescent="0.2">
      <c r="A20" s="623" t="s">
        <v>685</v>
      </c>
      <c r="B20" s="623"/>
      <c r="C20" s="63" t="s">
        <v>81</v>
      </c>
      <c r="D20" s="116" t="s">
        <v>368</v>
      </c>
      <c r="E20" s="116" t="s">
        <v>369</v>
      </c>
      <c r="F20" s="90"/>
      <c r="G20" s="90"/>
      <c r="H20" s="79"/>
    </row>
    <row r="21" spans="1:10" x14ac:dyDescent="0.2">
      <c r="A21" s="5" t="s">
        <v>91</v>
      </c>
      <c r="B21" s="5"/>
      <c r="C21" s="63">
        <v>81</v>
      </c>
      <c r="D21" s="90">
        <v>2400</v>
      </c>
      <c r="E21" s="90"/>
      <c r="F21" s="90"/>
      <c r="G21" s="90">
        <v>2400</v>
      </c>
      <c r="H21" s="79"/>
    </row>
    <row r="22" spans="1:10" x14ac:dyDescent="0.2">
      <c r="A22" s="5" t="s">
        <v>123</v>
      </c>
      <c r="B22" s="5"/>
      <c r="C22" s="63">
        <v>97</v>
      </c>
      <c r="D22" s="90">
        <v>400</v>
      </c>
      <c r="E22" s="186">
        <v>2000</v>
      </c>
      <c r="F22" s="186"/>
      <c r="G22" s="90">
        <v>2400</v>
      </c>
      <c r="H22" s="79"/>
    </row>
    <row r="23" spans="1:10" x14ac:dyDescent="0.2">
      <c r="A23" s="5" t="s">
        <v>105</v>
      </c>
      <c r="B23" s="9"/>
      <c r="C23" s="390"/>
      <c r="D23" s="90"/>
      <c r="E23" s="187"/>
      <c r="F23" s="187"/>
      <c r="G23" s="90">
        <v>3000</v>
      </c>
      <c r="H23" s="79"/>
    </row>
    <row r="24" spans="1:10" x14ac:dyDescent="0.2">
      <c r="A24" s="4" t="s">
        <v>92</v>
      </c>
      <c r="B24" s="4"/>
      <c r="C24" s="4"/>
      <c r="D24" s="101">
        <v>36114.03</v>
      </c>
      <c r="E24" s="101">
        <v>39451</v>
      </c>
      <c r="F24" s="101">
        <f>SUM(F7:F23)</f>
        <v>31449</v>
      </c>
      <c r="G24" s="101">
        <f>SUM(G7:G23)</f>
        <v>110014.03</v>
      </c>
      <c r="H24" s="79"/>
    </row>
    <row r="25" spans="1:10" x14ac:dyDescent="0.2">
      <c r="A25" s="7" t="s">
        <v>93</v>
      </c>
      <c r="B25" s="7"/>
      <c r="C25" s="7"/>
      <c r="D25" s="103">
        <f>+E34*F34</f>
        <v>12744</v>
      </c>
      <c r="E25" s="103">
        <v>39184</v>
      </c>
      <c r="F25" s="103">
        <v>29443</v>
      </c>
      <c r="G25" s="103">
        <f>+D25+E25+F25</f>
        <v>81371</v>
      </c>
      <c r="H25" s="79"/>
    </row>
    <row r="26" spans="1:10" x14ac:dyDescent="0.2">
      <c r="A26" s="5"/>
      <c r="B26" s="5"/>
      <c r="C26" s="5"/>
      <c r="D26" s="5"/>
      <c r="E26" s="5"/>
      <c r="F26" s="5"/>
      <c r="G26" s="5"/>
      <c r="H26" s="80"/>
    </row>
    <row r="27" spans="1:10" x14ac:dyDescent="0.2">
      <c r="A27" s="5"/>
      <c r="B27" s="5"/>
      <c r="C27" s="1" t="s">
        <v>13</v>
      </c>
      <c r="D27" s="5"/>
      <c r="E27" s="5"/>
      <c r="F27" s="5"/>
      <c r="G27" s="5"/>
      <c r="H27" s="80"/>
    </row>
    <row r="28" spans="1:10" x14ac:dyDescent="0.2">
      <c r="A28" s="1" t="s">
        <v>14</v>
      </c>
      <c r="B28" s="5"/>
      <c r="C28" s="5"/>
      <c r="D28" s="5"/>
      <c r="E28" s="5"/>
      <c r="F28" s="5"/>
      <c r="G28" s="5"/>
      <c r="H28" s="185"/>
    </row>
    <row r="29" spans="1:10" x14ac:dyDescent="0.2">
      <c r="A29" s="108" t="s">
        <v>15</v>
      </c>
      <c r="B29" s="108"/>
      <c r="C29" s="108"/>
      <c r="D29" s="375" t="s">
        <v>16</v>
      </c>
      <c r="E29" s="375" t="s">
        <v>17</v>
      </c>
      <c r="F29" s="375" t="s">
        <v>18</v>
      </c>
      <c r="G29" s="188" t="s">
        <v>189</v>
      </c>
      <c r="H29" s="185"/>
    </row>
    <row r="30" spans="1:10" x14ac:dyDescent="0.2">
      <c r="A30" s="1" t="s">
        <v>19</v>
      </c>
      <c r="B30" s="5"/>
      <c r="C30" s="5"/>
      <c r="E30" s="5"/>
      <c r="F30" s="5"/>
      <c r="G30" s="125" t="s">
        <v>183</v>
      </c>
      <c r="H30" s="80"/>
    </row>
    <row r="31" spans="1:10" x14ac:dyDescent="0.2">
      <c r="A31" s="5" t="s">
        <v>6</v>
      </c>
      <c r="B31" s="5"/>
      <c r="C31" s="5"/>
      <c r="D31" s="20" t="s">
        <v>20</v>
      </c>
      <c r="E31" s="22">
        <v>43</v>
      </c>
      <c r="F31" s="22">
        <v>166</v>
      </c>
      <c r="G31" s="125" t="s">
        <v>184</v>
      </c>
      <c r="H31" s="80"/>
    </row>
    <row r="32" spans="1:10" x14ac:dyDescent="0.2">
      <c r="A32" s="5"/>
      <c r="B32" s="5"/>
      <c r="C32" s="5"/>
      <c r="D32" s="68"/>
      <c r="E32" s="5"/>
      <c r="F32" s="5"/>
      <c r="G32" s="125" t="s">
        <v>185</v>
      </c>
      <c r="H32" s="80"/>
    </row>
    <row r="33" spans="1:8" x14ac:dyDescent="0.2">
      <c r="A33" s="1" t="s">
        <v>21</v>
      </c>
      <c r="B33" s="5"/>
      <c r="C33" s="5"/>
      <c r="D33" s="68"/>
      <c r="E33" s="5"/>
      <c r="F33" s="5"/>
      <c r="G33" s="125" t="s">
        <v>186</v>
      </c>
      <c r="H33" s="80"/>
    </row>
    <row r="34" spans="1:8" x14ac:dyDescent="0.2">
      <c r="A34" s="5" t="s">
        <v>43</v>
      </c>
      <c r="B34" s="5"/>
      <c r="C34" s="5"/>
      <c r="D34" s="20" t="s">
        <v>22</v>
      </c>
      <c r="E34" s="22">
        <v>6</v>
      </c>
      <c r="F34" s="90">
        <v>2124</v>
      </c>
      <c r="G34" s="125" t="s">
        <v>187</v>
      </c>
      <c r="H34" s="80"/>
    </row>
    <row r="35" spans="1:8" x14ac:dyDescent="0.2">
      <c r="A35" s="5" t="s">
        <v>35</v>
      </c>
      <c r="B35" s="5"/>
      <c r="C35" s="5"/>
      <c r="D35" s="20" t="s">
        <v>22</v>
      </c>
      <c r="E35" s="22">
        <v>11</v>
      </c>
      <c r="F35" s="5"/>
      <c r="G35" s="125" t="s">
        <v>188</v>
      </c>
      <c r="H35" s="80"/>
    </row>
    <row r="36" spans="1:8" x14ac:dyDescent="0.2">
      <c r="A36" s="5" t="s">
        <v>2</v>
      </c>
      <c r="B36" s="5"/>
      <c r="C36" s="5"/>
      <c r="D36" s="20" t="s">
        <v>22</v>
      </c>
      <c r="E36" s="22">
        <v>17</v>
      </c>
      <c r="F36" s="5"/>
      <c r="H36" s="80"/>
    </row>
    <row r="37" spans="1:8" x14ac:dyDescent="0.2">
      <c r="A37" s="34" t="s">
        <v>193</v>
      </c>
      <c r="B37" s="34"/>
      <c r="C37" s="620" t="s">
        <v>243</v>
      </c>
      <c r="D37" s="620"/>
      <c r="E37" s="4"/>
      <c r="F37" s="4"/>
      <c r="H37" s="80"/>
    </row>
    <row r="38" spans="1:8" x14ac:dyDescent="0.2">
      <c r="A38" s="5" t="s">
        <v>25</v>
      </c>
      <c r="B38" s="5" t="s">
        <v>82</v>
      </c>
      <c r="C38" s="73">
        <v>97</v>
      </c>
      <c r="D38" s="20" t="s">
        <v>20</v>
      </c>
      <c r="E38" s="75">
        <v>130</v>
      </c>
      <c r="F38" s="29" t="s">
        <v>201</v>
      </c>
      <c r="H38" s="80"/>
    </row>
    <row r="39" spans="1:8" x14ac:dyDescent="0.2">
      <c r="A39" s="5" t="s">
        <v>26</v>
      </c>
      <c r="B39" s="5" t="s">
        <v>83</v>
      </c>
      <c r="C39" s="73">
        <v>19</v>
      </c>
      <c r="D39" s="20" t="s">
        <v>20</v>
      </c>
      <c r="E39" s="75">
        <v>29</v>
      </c>
      <c r="F39" s="75">
        <v>854</v>
      </c>
      <c r="H39" s="80"/>
    </row>
    <row r="40" spans="1:8" x14ac:dyDescent="0.2">
      <c r="A40" s="5"/>
      <c r="B40" s="5" t="s">
        <v>686</v>
      </c>
      <c r="C40" s="73">
        <v>65</v>
      </c>
      <c r="D40" s="20" t="s">
        <v>20</v>
      </c>
      <c r="E40" s="75">
        <v>44</v>
      </c>
      <c r="F40" s="75">
        <v>200</v>
      </c>
      <c r="H40" s="80"/>
    </row>
    <row r="41" spans="1:8" x14ac:dyDescent="0.2">
      <c r="A41" s="5"/>
      <c r="B41" s="5" t="s">
        <v>63</v>
      </c>
      <c r="C41" s="73">
        <v>61</v>
      </c>
      <c r="D41" s="272" t="s">
        <v>45</v>
      </c>
      <c r="E41" s="75">
        <v>5</v>
      </c>
      <c r="F41" s="391" t="s">
        <v>201</v>
      </c>
      <c r="H41" s="80"/>
    </row>
    <row r="42" spans="1:8" x14ac:dyDescent="0.2">
      <c r="A42" s="5"/>
      <c r="B42" s="5" t="s">
        <v>29</v>
      </c>
      <c r="C42" s="182" t="s">
        <v>84</v>
      </c>
      <c r="D42" s="20"/>
      <c r="E42" s="29" t="s">
        <v>687</v>
      </c>
      <c r="F42" s="29" t="s">
        <v>688</v>
      </c>
      <c r="H42" s="80"/>
    </row>
    <row r="43" spans="1:8" x14ac:dyDescent="0.2">
      <c r="A43" s="34" t="s">
        <v>31</v>
      </c>
      <c r="B43" s="34"/>
      <c r="C43" s="34"/>
      <c r="D43" s="180" t="s">
        <v>32</v>
      </c>
      <c r="E43" s="181"/>
      <c r="F43" s="180" t="s">
        <v>33</v>
      </c>
      <c r="H43" s="79"/>
    </row>
    <row r="44" spans="1:8" x14ac:dyDescent="0.2">
      <c r="A44" s="5" t="s">
        <v>191</v>
      </c>
      <c r="B44" s="5"/>
      <c r="C44" s="5"/>
      <c r="D44" s="94">
        <v>1289</v>
      </c>
      <c r="F44" s="115">
        <f>+D44*2.471</f>
        <v>3185.1190000000001</v>
      </c>
      <c r="H44" s="79"/>
    </row>
    <row r="45" spans="1:8" x14ac:dyDescent="0.2">
      <c r="A45" s="5" t="s">
        <v>95</v>
      </c>
      <c r="B45" s="5"/>
      <c r="C45" s="5"/>
      <c r="D45" s="94">
        <v>111</v>
      </c>
      <c r="F45" s="115"/>
      <c r="H45" s="79"/>
    </row>
    <row r="46" spans="1:8" x14ac:dyDescent="0.2">
      <c r="A46" s="5" t="s">
        <v>192</v>
      </c>
      <c r="B46" s="5"/>
      <c r="C46" s="5"/>
      <c r="D46" s="94">
        <f>+D45*D44</f>
        <v>143079</v>
      </c>
      <c r="F46" s="115">
        <f>+D46*2.471</f>
        <v>353548.20900000003</v>
      </c>
      <c r="H46" s="79"/>
    </row>
    <row r="47" spans="1:8" x14ac:dyDescent="0.2">
      <c r="A47" s="5" t="s">
        <v>645</v>
      </c>
      <c r="B47" s="5"/>
      <c r="C47" s="5"/>
      <c r="D47" s="94">
        <f>+D46-G24</f>
        <v>33064.97</v>
      </c>
      <c r="F47" s="115">
        <f>+D47*2.471</f>
        <v>81703.540870000012</v>
      </c>
      <c r="H47" s="79"/>
    </row>
    <row r="48" spans="1:8" x14ac:dyDescent="0.2">
      <c r="A48" s="5" t="s">
        <v>646</v>
      </c>
      <c r="B48" s="5"/>
      <c r="C48" s="5"/>
      <c r="D48" s="94">
        <f>+D46-G25</f>
        <v>61708</v>
      </c>
      <c r="F48" s="115">
        <f>+D48*2.471</f>
        <v>152480.46799999999</v>
      </c>
      <c r="H48" s="79"/>
    </row>
    <row r="49" spans="1:8" x14ac:dyDescent="0.2">
      <c r="A49" s="5" t="s">
        <v>648</v>
      </c>
      <c r="B49" s="5"/>
      <c r="C49" s="5"/>
      <c r="D49" s="8">
        <f>+G24/D44</f>
        <v>85.34835531419705</v>
      </c>
      <c r="F49" s="5"/>
      <c r="H49" s="79"/>
    </row>
    <row r="50" spans="1:8" x14ac:dyDescent="0.2">
      <c r="A50" s="7" t="s">
        <v>647</v>
      </c>
      <c r="B50" s="7"/>
      <c r="C50" s="7"/>
      <c r="D50" s="16">
        <f>+G25/D44</f>
        <v>63.127230411171453</v>
      </c>
      <c r="E50" s="67"/>
      <c r="F50" s="7"/>
      <c r="H50" s="79"/>
    </row>
    <row r="51" spans="1:8" x14ac:dyDescent="0.2">
      <c r="H51" s="79"/>
    </row>
    <row r="55" spans="1:8" x14ac:dyDescent="0.2">
      <c r="A55" s="23"/>
    </row>
  </sheetData>
  <mergeCells count="8">
    <mergeCell ref="C37:D37"/>
    <mergeCell ref="A5:B6"/>
    <mergeCell ref="C5:C6"/>
    <mergeCell ref="D5:G5"/>
    <mergeCell ref="A18:B18"/>
    <mergeCell ref="G13:G14"/>
    <mergeCell ref="D13:D14"/>
    <mergeCell ref="A20:B20"/>
  </mergeCells>
  <pageMargins left="0.7" right="0.7" top="0.75" bottom="0.75" header="0.3" footer="0.3"/>
  <pageSetup paperSize="9" scale="8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54"/>
  <sheetViews>
    <sheetView topLeftCell="A25" workbookViewId="0">
      <selection activeCell="K42" sqref="K42"/>
    </sheetView>
  </sheetViews>
  <sheetFormatPr defaultColWidth="9.85546875" defaultRowHeight="12.75" x14ac:dyDescent="0.2"/>
  <cols>
    <col min="1" max="1" width="13.85546875" style="3" customWidth="1"/>
    <col min="2" max="2" width="12.140625" style="3" customWidth="1"/>
    <col min="3" max="3" width="12" style="3" customWidth="1"/>
    <col min="4" max="4" width="12.28515625" style="3" customWidth="1"/>
    <col min="5" max="5" width="11.28515625" style="3" customWidth="1"/>
    <col min="6" max="6" width="12.85546875" style="3" customWidth="1"/>
    <col min="7" max="7" width="16.140625" style="3" customWidth="1"/>
    <col min="8" max="8" width="17.28515625" style="110" customWidth="1"/>
    <col min="9" max="9" width="17.7109375" style="3" customWidth="1"/>
    <col min="10" max="16384" width="9.85546875" style="3"/>
  </cols>
  <sheetData>
    <row r="1" spans="1:10" x14ac:dyDescent="0.2">
      <c r="A1" s="1"/>
      <c r="B1" s="2"/>
      <c r="C1" s="2"/>
      <c r="D1" s="2"/>
      <c r="E1" s="2"/>
      <c r="F1" s="2"/>
      <c r="G1" s="2"/>
      <c r="H1" s="111"/>
    </row>
    <row r="2" spans="1:10" ht="13.5" x14ac:dyDescent="0.25">
      <c r="A2" s="1" t="s">
        <v>689</v>
      </c>
      <c r="B2" s="2"/>
      <c r="C2" s="2"/>
      <c r="D2" s="2"/>
      <c r="E2" s="2"/>
      <c r="F2" s="1"/>
      <c r="G2" s="1"/>
      <c r="H2" s="287" t="s">
        <v>241</v>
      </c>
    </row>
    <row r="3" spans="1:10" ht="13.5" customHeight="1" x14ac:dyDescent="0.2">
      <c r="B3" s="24"/>
      <c r="C3" s="25"/>
      <c r="D3" s="25"/>
      <c r="E3" s="2"/>
      <c r="F3" s="1"/>
      <c r="H3" s="112"/>
    </row>
    <row r="4" spans="1:10" ht="15" customHeight="1" x14ac:dyDescent="0.2">
      <c r="A4" s="632" t="s">
        <v>1</v>
      </c>
      <c r="B4" s="632"/>
      <c r="C4" s="615" t="s">
        <v>243</v>
      </c>
      <c r="D4" s="632" t="s">
        <v>130</v>
      </c>
      <c r="E4" s="632"/>
      <c r="F4" s="632"/>
      <c r="G4" s="632"/>
    </row>
    <row r="5" spans="1:10" x14ac:dyDescent="0.2">
      <c r="A5" s="633"/>
      <c r="B5" s="633"/>
      <c r="C5" s="616"/>
      <c r="D5" s="71" t="s">
        <v>48</v>
      </c>
      <c r="E5" s="71" t="s">
        <v>128</v>
      </c>
      <c r="F5" s="71" t="s">
        <v>131</v>
      </c>
      <c r="G5" s="71" t="s">
        <v>2</v>
      </c>
    </row>
    <row r="6" spans="1:10" x14ac:dyDescent="0.2">
      <c r="A6" s="5" t="s">
        <v>3</v>
      </c>
      <c r="B6" s="5"/>
      <c r="C6" s="33">
        <v>53</v>
      </c>
      <c r="D6" s="94">
        <v>1500</v>
      </c>
      <c r="E6" s="95"/>
      <c r="F6" s="95"/>
      <c r="G6" s="95">
        <v>1500</v>
      </c>
    </row>
    <row r="7" spans="1:10" ht="15.75" x14ac:dyDescent="0.2">
      <c r="A7" s="5" t="s">
        <v>662</v>
      </c>
      <c r="B7" s="9"/>
      <c r="C7" s="33">
        <v>80</v>
      </c>
      <c r="D7" s="94">
        <v>2220</v>
      </c>
      <c r="E7" s="95">
        <v>22185</v>
      </c>
      <c r="F7" s="95"/>
      <c r="G7" s="95">
        <v>24405</v>
      </c>
      <c r="J7" s="290"/>
    </row>
    <row r="8" spans="1:10" x14ac:dyDescent="0.2">
      <c r="A8" s="5" t="s">
        <v>72</v>
      </c>
      <c r="B8" s="5"/>
      <c r="C8" s="63" t="s">
        <v>119</v>
      </c>
      <c r="D8" s="96" t="s">
        <v>371</v>
      </c>
      <c r="E8" s="97" t="s">
        <v>370</v>
      </c>
      <c r="F8" s="95"/>
      <c r="G8" s="95"/>
      <c r="J8" s="290"/>
    </row>
    <row r="9" spans="1:10" x14ac:dyDescent="0.2">
      <c r="A9" s="5" t="s">
        <v>5</v>
      </c>
      <c r="B9" s="5"/>
      <c r="C9" s="33">
        <v>97</v>
      </c>
      <c r="D9" s="94">
        <v>10847.22</v>
      </c>
      <c r="E9" s="95"/>
      <c r="F9" s="95"/>
      <c r="G9" s="95">
        <v>10847.22</v>
      </c>
      <c r="J9" s="290"/>
    </row>
    <row r="10" spans="1:10" x14ac:dyDescent="0.2">
      <c r="A10" s="5" t="s">
        <v>690</v>
      </c>
      <c r="B10" s="5"/>
      <c r="C10" s="33">
        <v>100</v>
      </c>
      <c r="D10" s="94">
        <v>5831.24</v>
      </c>
      <c r="E10" s="95"/>
      <c r="F10" s="95">
        <v>7268</v>
      </c>
      <c r="G10" s="95">
        <v>13099.24</v>
      </c>
      <c r="J10" s="290"/>
    </row>
    <row r="11" spans="1:10" x14ac:dyDescent="0.2">
      <c r="A11" s="5" t="s">
        <v>7</v>
      </c>
      <c r="B11" s="5"/>
      <c r="C11" s="33">
        <v>50</v>
      </c>
      <c r="D11" s="648">
        <v>960</v>
      </c>
      <c r="E11" s="95">
        <v>400</v>
      </c>
      <c r="F11" s="98">
        <v>4394</v>
      </c>
      <c r="G11" s="636">
        <f>+F12+F11+E11+D11</f>
        <v>52694</v>
      </c>
      <c r="J11" s="290"/>
    </row>
    <row r="12" spans="1:10" x14ac:dyDescent="0.2">
      <c r="A12" s="5" t="s">
        <v>8</v>
      </c>
      <c r="B12" s="5"/>
      <c r="C12" s="33">
        <v>76</v>
      </c>
      <c r="D12" s="648"/>
      <c r="E12" s="98"/>
      <c r="F12" s="95">
        <v>46940</v>
      </c>
      <c r="G12" s="636"/>
      <c r="J12" s="290"/>
    </row>
    <row r="13" spans="1:10" x14ac:dyDescent="0.2">
      <c r="A13" s="5" t="s">
        <v>9</v>
      </c>
      <c r="B13" s="5"/>
      <c r="C13" s="33">
        <v>97</v>
      </c>
      <c r="D13" s="94">
        <v>704.88</v>
      </c>
      <c r="E13" s="95"/>
      <c r="F13" s="95">
        <v>5128</v>
      </c>
      <c r="G13" s="95">
        <v>5832.88</v>
      </c>
      <c r="J13" s="290"/>
    </row>
    <row r="14" spans="1:10" x14ac:dyDescent="0.2">
      <c r="A14" s="5" t="s">
        <v>657</v>
      </c>
      <c r="B14" s="5"/>
      <c r="C14" s="33">
        <v>40</v>
      </c>
      <c r="D14" s="94">
        <v>583.29999999999995</v>
      </c>
      <c r="E14" s="95"/>
      <c r="F14" s="95">
        <v>2125</v>
      </c>
      <c r="G14" s="95">
        <v>2708.3</v>
      </c>
      <c r="J14" s="290"/>
    </row>
    <row r="15" spans="1:10" x14ac:dyDescent="0.2">
      <c r="A15" s="5" t="s">
        <v>90</v>
      </c>
      <c r="B15" s="5"/>
      <c r="C15" s="33">
        <v>100</v>
      </c>
      <c r="D15" s="94">
        <v>5970</v>
      </c>
      <c r="E15" s="95"/>
      <c r="F15" s="95"/>
      <c r="G15" s="95">
        <v>5970</v>
      </c>
      <c r="J15" s="30"/>
    </row>
    <row r="16" spans="1:10" ht="27" customHeight="1" x14ac:dyDescent="0.2">
      <c r="A16" s="649" t="s">
        <v>209</v>
      </c>
      <c r="B16" s="650"/>
      <c r="C16" s="33">
        <v>80</v>
      </c>
      <c r="D16" s="94">
        <v>1824</v>
      </c>
      <c r="E16" s="95">
        <v>21193</v>
      </c>
      <c r="F16" s="95"/>
      <c r="G16" s="95">
        <v>23017</v>
      </c>
      <c r="J16" s="290"/>
    </row>
    <row r="17" spans="1:10" x14ac:dyDescent="0.2">
      <c r="A17" s="5" t="s">
        <v>120</v>
      </c>
      <c r="B17" s="5"/>
      <c r="C17" s="63" t="s">
        <v>119</v>
      </c>
      <c r="D17" s="96" t="s">
        <v>372</v>
      </c>
      <c r="E17" s="95"/>
      <c r="F17" s="95"/>
      <c r="G17" s="95"/>
      <c r="J17" s="291"/>
    </row>
    <row r="18" spans="1:10" x14ac:dyDescent="0.2">
      <c r="A18" s="5" t="s">
        <v>121</v>
      </c>
      <c r="B18" s="5"/>
      <c r="C18" s="63" t="s">
        <v>119</v>
      </c>
      <c r="D18" s="96" t="s">
        <v>374</v>
      </c>
      <c r="E18" s="97" t="s">
        <v>373</v>
      </c>
      <c r="F18" s="95"/>
      <c r="G18" s="95"/>
    </row>
    <row r="19" spans="1:10" x14ac:dyDescent="0.2">
      <c r="A19" s="5" t="s">
        <v>91</v>
      </c>
      <c r="B19" s="5"/>
      <c r="C19" s="33">
        <v>47</v>
      </c>
      <c r="D19" s="94">
        <v>3147.2000000000003</v>
      </c>
      <c r="E19" s="95"/>
      <c r="F19" s="95"/>
      <c r="G19" s="95">
        <v>3147.2000000000003</v>
      </c>
    </row>
    <row r="20" spans="1:10" x14ac:dyDescent="0.2">
      <c r="A20" s="5" t="s">
        <v>123</v>
      </c>
      <c r="B20" s="5"/>
      <c r="C20" s="33">
        <v>90</v>
      </c>
      <c r="D20" s="94">
        <v>639</v>
      </c>
      <c r="E20" s="99">
        <v>1500</v>
      </c>
      <c r="F20" s="99"/>
      <c r="G20" s="95">
        <v>2139</v>
      </c>
    </row>
    <row r="21" spans="1:10" x14ac:dyDescent="0.2">
      <c r="A21" s="5" t="s">
        <v>12</v>
      </c>
      <c r="B21" s="9"/>
      <c r="C21" s="64"/>
      <c r="D21" s="94"/>
      <c r="E21" s="100"/>
      <c r="F21" s="100"/>
      <c r="G21" s="95">
        <v>3500</v>
      </c>
    </row>
    <row r="22" spans="1:10" x14ac:dyDescent="0.2">
      <c r="A22" s="4" t="s">
        <v>92</v>
      </c>
      <c r="B22" s="4"/>
      <c r="C22" s="13"/>
      <c r="D22" s="101">
        <v>34226.839999999997</v>
      </c>
      <c r="E22" s="102">
        <v>45278</v>
      </c>
      <c r="F22" s="102">
        <f>SUM(F6:F21)</f>
        <v>65855</v>
      </c>
      <c r="G22" s="102">
        <f>SUM(G6:G21)</f>
        <v>148859.84000000003</v>
      </c>
    </row>
    <row r="23" spans="1:10" x14ac:dyDescent="0.2">
      <c r="A23" s="7" t="s">
        <v>93</v>
      </c>
      <c r="B23" s="7"/>
      <c r="C23" s="15"/>
      <c r="D23" s="103">
        <f>+E31*F31</f>
        <v>13307</v>
      </c>
      <c r="E23" s="104">
        <v>41978</v>
      </c>
      <c r="F23" s="104">
        <v>62572</v>
      </c>
      <c r="G23" s="105">
        <f>+F23+E23+D23</f>
        <v>117857</v>
      </c>
      <c r="I23" s="290"/>
    </row>
    <row r="24" spans="1:10" ht="16.5" customHeight="1" x14ac:dyDescent="0.2">
      <c r="A24" s="617" t="s">
        <v>13</v>
      </c>
      <c r="B24" s="617"/>
      <c r="C24" s="617"/>
      <c r="D24" s="617"/>
      <c r="E24" s="617"/>
      <c r="F24" s="617"/>
      <c r="G24" s="617"/>
      <c r="H24" s="113"/>
    </row>
    <row r="25" spans="1:10" x14ac:dyDescent="0.2">
      <c r="A25" s="1" t="s">
        <v>14</v>
      </c>
      <c r="B25" s="5"/>
      <c r="C25" s="5"/>
      <c r="D25" s="5"/>
      <c r="E25" s="5"/>
      <c r="F25" s="5"/>
      <c r="G25" s="5"/>
      <c r="H25" s="113"/>
    </row>
    <row r="26" spans="1:10" x14ac:dyDescent="0.2">
      <c r="A26" s="18" t="s">
        <v>15</v>
      </c>
      <c r="B26" s="18"/>
      <c r="C26" s="18"/>
      <c r="D26" s="19" t="s">
        <v>16</v>
      </c>
      <c r="E26" s="19" t="s">
        <v>17</v>
      </c>
      <c r="F26" s="19" t="s">
        <v>18</v>
      </c>
      <c r="G26" s="106" t="s">
        <v>147</v>
      </c>
    </row>
    <row r="27" spans="1:10" x14ac:dyDescent="0.2">
      <c r="A27" s="1" t="s">
        <v>19</v>
      </c>
      <c r="B27" s="5"/>
      <c r="C27" s="5"/>
      <c r="E27" s="5"/>
      <c r="F27" s="5"/>
      <c r="G27" s="107" t="s">
        <v>148</v>
      </c>
    </row>
    <row r="28" spans="1:10" x14ac:dyDescent="0.2">
      <c r="A28" s="5" t="s">
        <v>6</v>
      </c>
      <c r="B28" s="5"/>
      <c r="C28" s="5"/>
      <c r="D28" s="20" t="s">
        <v>20</v>
      </c>
      <c r="E28" s="75">
        <v>46</v>
      </c>
      <c r="F28" s="22">
        <v>158</v>
      </c>
      <c r="G28" s="107" t="s">
        <v>149</v>
      </c>
    </row>
    <row r="29" spans="1:10" x14ac:dyDescent="0.2">
      <c r="A29" s="5"/>
      <c r="B29" s="5"/>
      <c r="C29" s="5"/>
      <c r="D29" s="8"/>
      <c r="E29" s="5"/>
      <c r="F29" s="5"/>
      <c r="G29" s="107" t="s">
        <v>151</v>
      </c>
    </row>
    <row r="30" spans="1:10" x14ac:dyDescent="0.2">
      <c r="A30" s="1" t="s">
        <v>21</v>
      </c>
      <c r="B30" s="5"/>
      <c r="C30" s="5"/>
      <c r="D30" s="8"/>
      <c r="E30" s="5"/>
      <c r="F30" s="5"/>
      <c r="G30" s="107" t="s">
        <v>150</v>
      </c>
    </row>
    <row r="31" spans="1:10" x14ac:dyDescent="0.2">
      <c r="A31" s="5" t="s">
        <v>43</v>
      </c>
      <c r="B31" s="5"/>
      <c r="C31" s="5"/>
      <c r="D31" s="20" t="s">
        <v>22</v>
      </c>
      <c r="E31" s="22">
        <v>7</v>
      </c>
      <c r="F31" s="90">
        <v>1901</v>
      </c>
      <c r="G31" s="8"/>
    </row>
    <row r="32" spans="1:10" x14ac:dyDescent="0.2">
      <c r="A32" s="5" t="s">
        <v>35</v>
      </c>
      <c r="B32" s="5"/>
      <c r="C32" s="5"/>
      <c r="D32" s="20" t="s">
        <v>22</v>
      </c>
      <c r="E32" s="22">
        <v>11</v>
      </c>
      <c r="F32" s="5"/>
      <c r="G32" s="5"/>
    </row>
    <row r="33" spans="1:7" x14ac:dyDescent="0.2">
      <c r="A33" s="5" t="s">
        <v>2</v>
      </c>
      <c r="B33" s="5"/>
      <c r="C33" s="385"/>
      <c r="D33" s="392" t="s">
        <v>22</v>
      </c>
      <c r="E33" s="22">
        <v>18</v>
      </c>
      <c r="F33" s="5"/>
      <c r="G33" s="5"/>
    </row>
    <row r="34" spans="1:7" x14ac:dyDescent="0.2">
      <c r="A34" s="1" t="s">
        <v>54</v>
      </c>
      <c r="B34" s="1"/>
      <c r="C34" s="647" t="s">
        <v>243</v>
      </c>
      <c r="D34" s="647"/>
      <c r="E34" s="5"/>
      <c r="F34" s="5"/>
      <c r="G34" s="5"/>
    </row>
    <row r="35" spans="1:7" x14ac:dyDescent="0.2">
      <c r="A35" s="5" t="s">
        <v>25</v>
      </c>
      <c r="B35" s="5" t="s">
        <v>36</v>
      </c>
      <c r="C35" s="73">
        <v>50</v>
      </c>
      <c r="D35" s="20" t="s">
        <v>20</v>
      </c>
      <c r="E35" s="22">
        <v>169</v>
      </c>
      <c r="F35" s="22">
        <v>26</v>
      </c>
      <c r="G35" s="8"/>
    </row>
    <row r="36" spans="1:7" x14ac:dyDescent="0.2">
      <c r="B36" s="5" t="s">
        <v>27</v>
      </c>
      <c r="C36" s="66">
        <v>27</v>
      </c>
      <c r="D36" s="20" t="s">
        <v>20</v>
      </c>
      <c r="E36" s="22">
        <v>34</v>
      </c>
      <c r="F36" s="22">
        <v>800</v>
      </c>
      <c r="G36" s="8"/>
    </row>
    <row r="37" spans="1:7" x14ac:dyDescent="0.2">
      <c r="B37" s="5" t="s">
        <v>671</v>
      </c>
      <c r="C37" s="66">
        <v>17</v>
      </c>
      <c r="D37" s="20" t="s">
        <v>20</v>
      </c>
      <c r="E37" s="22">
        <v>33</v>
      </c>
      <c r="F37" s="22">
        <v>353</v>
      </c>
      <c r="G37" s="8"/>
    </row>
    <row r="38" spans="1:7" x14ac:dyDescent="0.2">
      <c r="A38" s="5" t="s">
        <v>683</v>
      </c>
      <c r="B38" s="5" t="s">
        <v>27</v>
      </c>
      <c r="C38" s="73">
        <v>23</v>
      </c>
      <c r="D38" s="20" t="s">
        <v>20</v>
      </c>
      <c r="E38" s="22">
        <v>35</v>
      </c>
      <c r="F38" s="22">
        <v>800</v>
      </c>
      <c r="G38" s="8"/>
    </row>
    <row r="39" spans="1:7" x14ac:dyDescent="0.2">
      <c r="A39" s="5"/>
      <c r="B39" s="5" t="s">
        <v>75</v>
      </c>
      <c r="C39" s="73">
        <v>4</v>
      </c>
      <c r="D39" s="20" t="s">
        <v>20</v>
      </c>
      <c r="E39" s="22">
        <v>37.5</v>
      </c>
      <c r="F39" s="22">
        <v>200</v>
      </c>
      <c r="G39" s="8"/>
    </row>
    <row r="40" spans="1:7" x14ac:dyDescent="0.2">
      <c r="A40" s="5"/>
      <c r="B40" s="5" t="s">
        <v>671</v>
      </c>
      <c r="C40" s="73">
        <v>13</v>
      </c>
      <c r="D40" s="20" t="s">
        <v>20</v>
      </c>
      <c r="E40" s="22">
        <v>78</v>
      </c>
      <c r="F40" s="22">
        <v>351</v>
      </c>
      <c r="G40" s="8"/>
    </row>
    <row r="41" spans="1:7" x14ac:dyDescent="0.2">
      <c r="A41" s="108" t="s">
        <v>31</v>
      </c>
      <c r="B41" s="108"/>
      <c r="C41" s="108"/>
      <c r="D41" s="108"/>
      <c r="E41" s="109" t="s">
        <v>32</v>
      </c>
      <c r="F41" s="108"/>
      <c r="G41" s="109" t="s">
        <v>33</v>
      </c>
    </row>
    <row r="42" spans="1:7" x14ac:dyDescent="0.2">
      <c r="A42" s="5" t="s">
        <v>94</v>
      </c>
      <c r="B42" s="5"/>
      <c r="C42" s="5"/>
      <c r="D42" s="5"/>
      <c r="E42" s="94">
        <v>1790</v>
      </c>
      <c r="F42" s="94"/>
      <c r="G42" s="94">
        <f>+E42*2.471</f>
        <v>4423.09</v>
      </c>
    </row>
    <row r="43" spans="1:7" x14ac:dyDescent="0.2">
      <c r="A43" s="5" t="s">
        <v>95</v>
      </c>
      <c r="B43" s="5"/>
      <c r="C43" s="5"/>
      <c r="D43" s="5"/>
      <c r="E43" s="94">
        <v>115</v>
      </c>
      <c r="F43" s="94"/>
      <c r="G43" s="94"/>
    </row>
    <row r="44" spans="1:7" x14ac:dyDescent="0.2">
      <c r="A44" s="5" t="s">
        <v>192</v>
      </c>
      <c r="B44" s="5"/>
      <c r="C44" s="5"/>
      <c r="D44" s="5"/>
      <c r="E44" s="94">
        <f>+E42*E43</f>
        <v>205850</v>
      </c>
      <c r="F44" s="94"/>
      <c r="G44" s="94">
        <f>+E44*2.471</f>
        <v>508655.35000000003</v>
      </c>
    </row>
    <row r="45" spans="1:7" x14ac:dyDescent="0.2">
      <c r="A45" s="5" t="s">
        <v>645</v>
      </c>
      <c r="B45" s="5"/>
      <c r="C45" s="5"/>
      <c r="D45" s="5"/>
      <c r="E45" s="94">
        <f>+E44-G22</f>
        <v>56990.159999999974</v>
      </c>
      <c r="F45" s="94"/>
      <c r="G45" s="94">
        <f>+E45*2.471</f>
        <v>140822.68535999994</v>
      </c>
    </row>
    <row r="46" spans="1:7" x14ac:dyDescent="0.2">
      <c r="A46" s="5" t="s">
        <v>646</v>
      </c>
      <c r="B46" s="5"/>
      <c r="C46" s="5"/>
      <c r="D46" s="5"/>
      <c r="E46" s="94">
        <f>+E44-G23</f>
        <v>87993</v>
      </c>
      <c r="F46" s="94"/>
      <c r="G46" s="94">
        <f>+E46*2.471</f>
        <v>217430.70300000001</v>
      </c>
    </row>
    <row r="47" spans="1:7" x14ac:dyDescent="0.2">
      <c r="A47" s="5" t="s">
        <v>648</v>
      </c>
      <c r="B47" s="5"/>
      <c r="C47" s="5"/>
      <c r="D47" s="5"/>
      <c r="E47" s="123">
        <f>+G22/E42</f>
        <v>83.161921787709517</v>
      </c>
      <c r="F47" s="94"/>
      <c r="G47" s="94"/>
    </row>
    <row r="48" spans="1:7" x14ac:dyDescent="0.2">
      <c r="A48" s="7" t="s">
        <v>647</v>
      </c>
      <c r="B48" s="7"/>
      <c r="C48" s="7"/>
      <c r="D48" s="7"/>
      <c r="E48" s="124">
        <f>+G23/E42</f>
        <v>65.841899441340786</v>
      </c>
      <c r="F48" s="103"/>
      <c r="G48" s="103"/>
    </row>
    <row r="49" spans="1:8" x14ac:dyDescent="0.2">
      <c r="G49" s="12"/>
      <c r="H49" s="114"/>
    </row>
    <row r="54" spans="1:8" x14ac:dyDescent="0.2">
      <c r="A54" s="23"/>
    </row>
  </sheetData>
  <mergeCells count="8">
    <mergeCell ref="C34:D34"/>
    <mergeCell ref="A24:G24"/>
    <mergeCell ref="G11:G12"/>
    <mergeCell ref="A4:B5"/>
    <mergeCell ref="C4:C5"/>
    <mergeCell ref="D4:G4"/>
    <mergeCell ref="D11:D12"/>
    <mergeCell ref="A16:B16"/>
  </mergeCells>
  <pageMargins left="0.7" right="0.7" top="0.75" bottom="0.75" header="0.3" footer="0.3"/>
  <pageSetup paperSize="9" scale="75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57"/>
  <sheetViews>
    <sheetView topLeftCell="A4" workbookViewId="0">
      <selection activeCell="A16" sqref="A16"/>
    </sheetView>
  </sheetViews>
  <sheetFormatPr defaultColWidth="8.85546875" defaultRowHeight="12.75" x14ac:dyDescent="0.2"/>
  <cols>
    <col min="1" max="1" width="8.85546875" style="3"/>
    <col min="2" max="2" width="17.5703125" style="3" customWidth="1"/>
    <col min="3" max="3" width="8.5703125" style="3" customWidth="1"/>
    <col min="4" max="4" width="8.28515625" style="3" customWidth="1"/>
    <col min="5" max="5" width="9.140625" style="3" customWidth="1"/>
    <col min="6" max="6" width="12.5703125" style="3" customWidth="1"/>
    <col min="7" max="7" width="14.28515625" style="3" customWidth="1"/>
    <col min="8" max="8" width="12.140625" style="3" customWidth="1"/>
    <col min="9" max="9" width="21.42578125" style="3" customWidth="1"/>
    <col min="10" max="16384" width="8.85546875" style="3"/>
  </cols>
  <sheetData>
    <row r="1" spans="1:12" x14ac:dyDescent="0.2">
      <c r="A1" s="1"/>
      <c r="B1" s="2"/>
      <c r="C1" s="2"/>
      <c r="D1" s="2"/>
      <c r="E1" s="2"/>
      <c r="F1" s="2"/>
      <c r="G1" s="2"/>
      <c r="H1" s="2"/>
    </row>
    <row r="2" spans="1:12" ht="23.25" customHeight="1" x14ac:dyDescent="0.25">
      <c r="A2" s="1" t="s">
        <v>493</v>
      </c>
      <c r="B2" s="5"/>
      <c r="C2" s="5"/>
      <c r="D2" s="6"/>
      <c r="E2" s="6"/>
      <c r="F2" s="6"/>
      <c r="G2" s="6"/>
      <c r="H2" s="287" t="s">
        <v>241</v>
      </c>
    </row>
    <row r="3" spans="1:12" ht="16.5" customHeight="1" x14ac:dyDescent="0.2">
      <c r="A3" s="5"/>
      <c r="B3" s="5"/>
      <c r="C3" s="5"/>
      <c r="D3" s="6"/>
      <c r="E3" s="6"/>
      <c r="F3" s="6"/>
      <c r="H3" s="91"/>
    </row>
    <row r="4" spans="1:12" x14ac:dyDescent="0.2">
      <c r="A4" s="632" t="s">
        <v>1</v>
      </c>
      <c r="B4" s="632"/>
      <c r="C4" s="634" t="s">
        <v>243</v>
      </c>
      <c r="D4" s="632" t="s">
        <v>130</v>
      </c>
      <c r="E4" s="632"/>
      <c r="F4" s="632"/>
      <c r="G4" s="632"/>
      <c r="H4" s="91"/>
    </row>
    <row r="5" spans="1:12" x14ac:dyDescent="0.2">
      <c r="A5" s="633"/>
      <c r="B5" s="633"/>
      <c r="C5" s="635"/>
      <c r="D5" s="71" t="s">
        <v>48</v>
      </c>
      <c r="E5" s="71" t="s">
        <v>128</v>
      </c>
      <c r="F5" s="71" t="s">
        <v>131</v>
      </c>
      <c r="G5" s="71" t="s">
        <v>2</v>
      </c>
      <c r="H5" s="92"/>
    </row>
    <row r="6" spans="1:12" x14ac:dyDescent="0.2">
      <c r="A6" s="5" t="s">
        <v>3</v>
      </c>
      <c r="B6" s="5"/>
      <c r="C6" s="31">
        <v>84</v>
      </c>
      <c r="D6" s="211">
        <v>775</v>
      </c>
      <c r="E6" s="115"/>
      <c r="F6" s="115"/>
      <c r="G6" s="115">
        <v>775</v>
      </c>
      <c r="H6" s="79"/>
    </row>
    <row r="7" spans="1:12" ht="15.75" x14ac:dyDescent="0.2">
      <c r="A7" s="5" t="s">
        <v>697</v>
      </c>
      <c r="B7" s="9"/>
      <c r="C7" s="31">
        <v>80</v>
      </c>
      <c r="D7" s="211">
        <v>1200</v>
      </c>
      <c r="E7" s="115">
        <v>19916</v>
      </c>
      <c r="F7" s="115"/>
      <c r="G7" s="115">
        <v>21116</v>
      </c>
      <c r="H7" s="79"/>
      <c r="I7" s="290"/>
      <c r="J7" s="290"/>
      <c r="K7" s="290"/>
      <c r="L7" s="290"/>
    </row>
    <row r="8" spans="1:12" ht="16.5" customHeight="1" x14ac:dyDescent="0.2">
      <c r="A8" s="5" t="s">
        <v>238</v>
      </c>
      <c r="B8" s="9"/>
      <c r="C8" s="31" t="s">
        <v>345</v>
      </c>
      <c r="D8" s="211"/>
      <c r="E8" s="117" t="s">
        <v>692</v>
      </c>
      <c r="F8" s="115"/>
      <c r="G8" s="115"/>
      <c r="H8" s="79"/>
      <c r="J8" s="290"/>
    </row>
    <row r="9" spans="1:12" ht="15.75" x14ac:dyDescent="0.2">
      <c r="A9" s="5" t="s">
        <v>696</v>
      </c>
      <c r="B9" s="5"/>
      <c r="C9" s="31" t="s">
        <v>691</v>
      </c>
      <c r="D9" s="158"/>
      <c r="E9" s="117" t="s">
        <v>693</v>
      </c>
      <c r="F9" s="115"/>
      <c r="G9" s="115"/>
      <c r="H9" s="79"/>
      <c r="J9" s="290"/>
    </row>
    <row r="10" spans="1:12" x14ac:dyDescent="0.2">
      <c r="A10" s="5" t="s">
        <v>5</v>
      </c>
      <c r="B10" s="5"/>
      <c r="C10" s="31">
        <v>76</v>
      </c>
      <c r="D10" s="158">
        <v>7353.84</v>
      </c>
      <c r="E10" s="115"/>
      <c r="F10" s="115"/>
      <c r="G10" s="115">
        <v>7353.84</v>
      </c>
      <c r="H10" s="79"/>
      <c r="J10" s="290"/>
    </row>
    <row r="11" spans="1:12" x14ac:dyDescent="0.2">
      <c r="A11" s="5" t="s">
        <v>208</v>
      </c>
      <c r="B11" s="5"/>
      <c r="C11" s="31" t="s">
        <v>687</v>
      </c>
      <c r="D11" s="117" t="s">
        <v>694</v>
      </c>
      <c r="E11" s="115"/>
      <c r="F11" s="115"/>
      <c r="G11" s="115"/>
      <c r="H11" s="79"/>
      <c r="J11" s="290"/>
    </row>
    <row r="12" spans="1:12" x14ac:dyDescent="0.2">
      <c r="A12" s="5" t="s">
        <v>122</v>
      </c>
      <c r="B12" s="5"/>
      <c r="C12" s="31">
        <v>100</v>
      </c>
      <c r="D12" s="158">
        <v>5040</v>
      </c>
      <c r="E12" s="115"/>
      <c r="F12" s="115">
        <v>10176</v>
      </c>
      <c r="G12" s="115">
        <v>15216</v>
      </c>
      <c r="H12" s="79"/>
      <c r="J12" s="290"/>
    </row>
    <row r="13" spans="1:12" x14ac:dyDescent="0.2">
      <c r="A13" s="5" t="s">
        <v>7</v>
      </c>
      <c r="B13" s="5"/>
      <c r="C13" s="31">
        <v>56</v>
      </c>
      <c r="D13" s="651">
        <v>2057.16</v>
      </c>
      <c r="E13" s="115">
        <v>330</v>
      </c>
      <c r="F13" s="119"/>
      <c r="G13" s="624">
        <f>+F14+E13+D13</f>
        <v>22964.16</v>
      </c>
      <c r="H13" s="79"/>
      <c r="J13" s="290"/>
    </row>
    <row r="14" spans="1:12" x14ac:dyDescent="0.2">
      <c r="A14" s="5" t="s">
        <v>8</v>
      </c>
      <c r="B14" s="5"/>
      <c r="C14" s="31">
        <v>100</v>
      </c>
      <c r="D14" s="651"/>
      <c r="E14" s="119"/>
      <c r="F14" s="115">
        <v>20577</v>
      </c>
      <c r="G14" s="624"/>
      <c r="H14" s="79"/>
    </row>
    <row r="15" spans="1:12" x14ac:dyDescent="0.2">
      <c r="A15" s="5" t="s">
        <v>9</v>
      </c>
      <c r="B15" s="5"/>
      <c r="C15" s="31">
        <v>90</v>
      </c>
      <c r="D15" s="158">
        <v>1105.6000000000001</v>
      </c>
      <c r="E15" s="115"/>
      <c r="F15" s="115">
        <v>8376</v>
      </c>
      <c r="G15" s="115">
        <v>9481.6</v>
      </c>
      <c r="H15" s="79"/>
    </row>
    <row r="16" spans="1:12" x14ac:dyDescent="0.2">
      <c r="A16" s="5" t="s">
        <v>657</v>
      </c>
      <c r="B16" s="5"/>
      <c r="C16" s="31">
        <v>43</v>
      </c>
      <c r="D16" s="158">
        <v>750</v>
      </c>
      <c r="E16" s="115"/>
      <c r="F16" s="115">
        <v>2479</v>
      </c>
      <c r="G16" s="115">
        <v>3229</v>
      </c>
      <c r="H16" s="79"/>
      <c r="J16" s="290"/>
    </row>
    <row r="17" spans="1:10" x14ac:dyDescent="0.2">
      <c r="A17" s="5" t="s">
        <v>90</v>
      </c>
      <c r="B17" s="5"/>
      <c r="C17" s="31">
        <v>100</v>
      </c>
      <c r="D17" s="158">
        <v>10775.6</v>
      </c>
      <c r="E17" s="115"/>
      <c r="F17" s="115"/>
      <c r="G17" s="115">
        <v>10775.6</v>
      </c>
      <c r="H17" s="79"/>
      <c r="J17" s="30"/>
    </row>
    <row r="18" spans="1:10" ht="24.75" customHeight="1" x14ac:dyDescent="0.2">
      <c r="A18" s="623" t="s">
        <v>207</v>
      </c>
      <c r="B18" s="623"/>
      <c r="C18" s="31">
        <v>100</v>
      </c>
      <c r="D18" s="158">
        <v>2693.2999999999997</v>
      </c>
      <c r="E18" s="115">
        <v>19273</v>
      </c>
      <c r="F18" s="115"/>
      <c r="G18" s="115">
        <v>21966.3</v>
      </c>
      <c r="H18" s="79"/>
    </row>
    <row r="19" spans="1:10" x14ac:dyDescent="0.2">
      <c r="A19" s="5" t="s">
        <v>91</v>
      </c>
      <c r="B19" s="5"/>
      <c r="C19" s="31" t="s">
        <v>50</v>
      </c>
      <c r="D19" s="117" t="s">
        <v>695</v>
      </c>
      <c r="E19" s="115"/>
      <c r="F19" s="115"/>
      <c r="G19" s="115">
        <v>0</v>
      </c>
      <c r="H19" s="79"/>
    </row>
    <row r="20" spans="1:10" x14ac:dyDescent="0.2">
      <c r="A20" s="5" t="s">
        <v>123</v>
      </c>
      <c r="B20" s="5"/>
      <c r="C20" s="31">
        <v>66</v>
      </c>
      <c r="D20" s="158">
        <v>550</v>
      </c>
      <c r="E20" s="121">
        <v>2117</v>
      </c>
      <c r="F20" s="121"/>
      <c r="G20" s="115">
        <v>2667</v>
      </c>
      <c r="H20" s="79"/>
    </row>
    <row r="21" spans="1:10" x14ac:dyDescent="0.2">
      <c r="A21" s="5" t="s">
        <v>12</v>
      </c>
      <c r="B21" s="9"/>
      <c r="C21" s="189"/>
      <c r="D21" s="211"/>
      <c r="E21" s="183"/>
      <c r="F21" s="183"/>
      <c r="G21" s="115">
        <v>3000</v>
      </c>
      <c r="H21" s="79"/>
    </row>
    <row r="22" spans="1:10" x14ac:dyDescent="0.2">
      <c r="A22" s="4" t="s">
        <v>92</v>
      </c>
      <c r="B22" s="4"/>
      <c r="C22" s="13"/>
      <c r="D22" s="102">
        <v>32300.5</v>
      </c>
      <c r="E22" s="102">
        <f>SUM(E6:E21)</f>
        <v>41636</v>
      </c>
      <c r="F22" s="102">
        <f>SUM(F6:F21)</f>
        <v>41608</v>
      </c>
      <c r="G22" s="102">
        <f>SUM(G6:G21)</f>
        <v>118544.50000000001</v>
      </c>
      <c r="H22" s="79"/>
    </row>
    <row r="23" spans="1:10" x14ac:dyDescent="0.2">
      <c r="A23" s="7" t="s">
        <v>93</v>
      </c>
      <c r="B23" s="7"/>
      <c r="C23" s="15"/>
      <c r="D23" s="105">
        <f>+E33*F33</f>
        <v>14910</v>
      </c>
      <c r="E23" s="104">
        <v>37262</v>
      </c>
      <c r="F23" s="104">
        <v>39591</v>
      </c>
      <c r="G23" s="105">
        <f>+F23+E23+D23</f>
        <v>91763</v>
      </c>
      <c r="H23" s="79"/>
    </row>
    <row r="24" spans="1:10" x14ac:dyDescent="0.2">
      <c r="A24" s="5"/>
      <c r="B24" s="5"/>
      <c r="C24" s="5"/>
      <c r="D24" s="5"/>
      <c r="E24" s="5"/>
      <c r="F24" s="5"/>
      <c r="G24" s="5"/>
      <c r="H24" s="80"/>
    </row>
    <row r="25" spans="1:10" x14ac:dyDescent="0.2">
      <c r="A25" s="5"/>
      <c r="B25" s="5"/>
      <c r="C25" s="1" t="s">
        <v>13</v>
      </c>
      <c r="D25" s="5"/>
      <c r="E25" s="5"/>
      <c r="F25" s="5"/>
      <c r="G25" s="5"/>
      <c r="H25" s="80"/>
    </row>
    <row r="26" spans="1:10" x14ac:dyDescent="0.2">
      <c r="A26" s="1" t="s">
        <v>14</v>
      </c>
      <c r="B26" s="1"/>
      <c r="C26" s="1"/>
      <c r="D26" s="1"/>
      <c r="E26" s="1"/>
      <c r="F26" s="1"/>
      <c r="G26" s="1"/>
      <c r="H26" s="80"/>
    </row>
    <row r="27" spans="1:10" x14ac:dyDescent="0.2">
      <c r="A27" s="108" t="s">
        <v>15</v>
      </c>
      <c r="B27" s="108"/>
      <c r="C27" s="108"/>
      <c r="D27" s="375" t="s">
        <v>16</v>
      </c>
      <c r="E27" s="375" t="s">
        <v>17</v>
      </c>
      <c r="F27" s="375" t="s">
        <v>18</v>
      </c>
      <c r="G27" s="281" t="s">
        <v>132</v>
      </c>
      <c r="H27" s="151"/>
    </row>
    <row r="28" spans="1:10" x14ac:dyDescent="0.2">
      <c r="A28" s="1" t="s">
        <v>19</v>
      </c>
      <c r="B28" s="5"/>
      <c r="C28" s="5"/>
      <c r="E28" s="5"/>
      <c r="F28" s="5"/>
      <c r="G28" s="125" t="s">
        <v>180</v>
      </c>
      <c r="H28" s="80"/>
    </row>
    <row r="29" spans="1:10" x14ac:dyDescent="0.2">
      <c r="A29" s="5" t="s">
        <v>6</v>
      </c>
      <c r="B29" s="5"/>
      <c r="C29" s="5"/>
      <c r="D29" s="20" t="s">
        <v>20</v>
      </c>
      <c r="E29" s="75">
        <v>53</v>
      </c>
      <c r="F29" s="22">
        <v>192</v>
      </c>
      <c r="G29" s="125" t="s">
        <v>179</v>
      </c>
      <c r="H29" s="93"/>
    </row>
    <row r="30" spans="1:10" x14ac:dyDescent="0.2">
      <c r="A30" s="5"/>
      <c r="B30" s="5"/>
      <c r="C30" s="5"/>
      <c r="D30" s="68"/>
      <c r="E30" s="29"/>
      <c r="F30" s="32"/>
      <c r="G30" s="125" t="s">
        <v>181</v>
      </c>
      <c r="H30" s="152"/>
    </row>
    <row r="31" spans="1:10" x14ac:dyDescent="0.2">
      <c r="A31" s="5"/>
      <c r="B31" s="5"/>
      <c r="C31" s="5"/>
      <c r="D31" s="68"/>
      <c r="E31" s="29"/>
      <c r="F31" s="32"/>
      <c r="G31" s="125" t="s">
        <v>182</v>
      </c>
      <c r="H31" s="152"/>
    </row>
    <row r="32" spans="1:10" x14ac:dyDescent="0.2">
      <c r="A32" s="1" t="s">
        <v>21</v>
      </c>
      <c r="B32" s="5"/>
      <c r="C32" s="5"/>
      <c r="D32" s="68"/>
      <c r="E32" s="5"/>
      <c r="F32" s="5"/>
      <c r="H32" s="80"/>
    </row>
    <row r="33" spans="1:8" x14ac:dyDescent="0.2">
      <c r="A33" s="5" t="s">
        <v>34</v>
      </c>
      <c r="B33" s="5"/>
      <c r="C33" s="5"/>
      <c r="D33" s="20" t="s">
        <v>22</v>
      </c>
      <c r="E33" s="22">
        <v>6</v>
      </c>
      <c r="F33" s="90">
        <v>2485</v>
      </c>
      <c r="H33" s="93"/>
    </row>
    <row r="34" spans="1:8" x14ac:dyDescent="0.2">
      <c r="A34" s="5" t="s">
        <v>53</v>
      </c>
      <c r="B34" s="5"/>
      <c r="C34" s="5"/>
      <c r="D34" s="20" t="s">
        <v>22</v>
      </c>
      <c r="E34" s="22">
        <v>7</v>
      </c>
      <c r="F34" s="5"/>
      <c r="H34" s="80"/>
    </row>
    <row r="35" spans="1:8" x14ac:dyDescent="0.2">
      <c r="A35" s="5" t="s">
        <v>2</v>
      </c>
      <c r="B35" s="5"/>
      <c r="C35" s="5"/>
      <c r="D35" s="20" t="s">
        <v>22</v>
      </c>
      <c r="E35" s="22">
        <v>13</v>
      </c>
      <c r="F35" s="5"/>
      <c r="H35" s="80"/>
    </row>
    <row r="36" spans="1:8" x14ac:dyDescent="0.2">
      <c r="A36" s="34" t="s">
        <v>54</v>
      </c>
      <c r="B36" s="34"/>
      <c r="C36" s="620" t="s">
        <v>243</v>
      </c>
      <c r="D36" s="620"/>
      <c r="E36" s="376"/>
      <c r="F36" s="4"/>
      <c r="H36" s="80"/>
    </row>
    <row r="37" spans="1:8" x14ac:dyDescent="0.2">
      <c r="A37" s="5" t="s">
        <v>25</v>
      </c>
      <c r="B37" s="5" t="s">
        <v>36</v>
      </c>
      <c r="C37" s="73">
        <v>56</v>
      </c>
      <c r="D37" s="20" t="s">
        <v>20</v>
      </c>
      <c r="E37" s="393">
        <v>167</v>
      </c>
      <c r="F37" s="391" t="s">
        <v>201</v>
      </c>
      <c r="H37" s="93"/>
    </row>
    <row r="38" spans="1:8" x14ac:dyDescent="0.2">
      <c r="B38" s="5" t="s">
        <v>27</v>
      </c>
      <c r="C38" s="182" t="s">
        <v>51</v>
      </c>
      <c r="D38" s="20" t="s">
        <v>20</v>
      </c>
      <c r="E38" s="223" t="s">
        <v>698</v>
      </c>
      <c r="F38" s="391" t="s">
        <v>699</v>
      </c>
      <c r="H38" s="93"/>
    </row>
    <row r="39" spans="1:8" x14ac:dyDescent="0.2">
      <c r="B39" s="5" t="s">
        <v>75</v>
      </c>
      <c r="C39" s="182" t="s">
        <v>40</v>
      </c>
      <c r="D39" s="20" t="s">
        <v>20</v>
      </c>
      <c r="E39" s="223" t="s">
        <v>124</v>
      </c>
      <c r="F39" s="391" t="s">
        <v>115</v>
      </c>
      <c r="H39" s="93"/>
    </row>
    <row r="40" spans="1:8" x14ac:dyDescent="0.2">
      <c r="B40" s="5" t="s">
        <v>671</v>
      </c>
      <c r="C40" s="182" t="s">
        <v>145</v>
      </c>
      <c r="D40" s="20" t="s">
        <v>20</v>
      </c>
      <c r="E40" s="223" t="s">
        <v>698</v>
      </c>
      <c r="F40" s="391" t="s">
        <v>700</v>
      </c>
      <c r="H40" s="93"/>
    </row>
    <row r="41" spans="1:8" x14ac:dyDescent="0.2">
      <c r="A41" s="5" t="s">
        <v>701</v>
      </c>
      <c r="B41" s="5"/>
      <c r="C41" s="182"/>
      <c r="D41" s="20"/>
      <c r="E41" s="68"/>
      <c r="F41" s="22"/>
      <c r="H41" s="93"/>
    </row>
    <row r="42" spans="1:8" x14ac:dyDescent="0.2">
      <c r="B42" s="5" t="s">
        <v>27</v>
      </c>
      <c r="C42" s="73">
        <v>30</v>
      </c>
      <c r="D42" s="20" t="s">
        <v>20</v>
      </c>
      <c r="E42" s="393">
        <v>32</v>
      </c>
      <c r="F42" s="22">
        <v>800</v>
      </c>
      <c r="H42" s="93"/>
    </row>
    <row r="43" spans="1:8" x14ac:dyDescent="0.2">
      <c r="A43" s="5"/>
      <c r="B43" s="5" t="s">
        <v>75</v>
      </c>
      <c r="C43" s="73">
        <v>30</v>
      </c>
      <c r="D43" s="20" t="s">
        <v>20</v>
      </c>
      <c r="E43" s="393">
        <v>35</v>
      </c>
      <c r="F43" s="22">
        <v>200</v>
      </c>
      <c r="H43" s="93"/>
    </row>
    <row r="44" spans="1:8" x14ac:dyDescent="0.2">
      <c r="A44" s="5"/>
      <c r="B44" s="5" t="s">
        <v>671</v>
      </c>
      <c r="C44" s="73">
        <v>50</v>
      </c>
      <c r="D44" s="20" t="s">
        <v>20</v>
      </c>
      <c r="E44" s="393">
        <v>47</v>
      </c>
      <c r="F44" s="22">
        <v>547</v>
      </c>
      <c r="H44" s="93"/>
    </row>
    <row r="45" spans="1:8" x14ac:dyDescent="0.2">
      <c r="A45" s="34" t="s">
        <v>31</v>
      </c>
      <c r="B45" s="34"/>
      <c r="C45" s="34"/>
      <c r="D45" s="34"/>
      <c r="E45" s="180" t="s">
        <v>32</v>
      </c>
      <c r="F45" s="181"/>
      <c r="G45" s="34" t="s">
        <v>33</v>
      </c>
      <c r="H45" s="80"/>
    </row>
    <row r="46" spans="1:8" x14ac:dyDescent="0.2">
      <c r="A46" s="5" t="s">
        <v>94</v>
      </c>
      <c r="B46" s="5"/>
      <c r="C46" s="5"/>
      <c r="D46" s="5"/>
      <c r="E46" s="176">
        <v>1600</v>
      </c>
      <c r="F46" s="119"/>
      <c r="G46" s="167">
        <v>3953.6000000000004</v>
      </c>
      <c r="H46" s="248"/>
    </row>
    <row r="47" spans="1:8" x14ac:dyDescent="0.2">
      <c r="A47" s="5" t="s">
        <v>95</v>
      </c>
      <c r="B47" s="5"/>
      <c r="C47" s="5"/>
      <c r="D47" s="5"/>
      <c r="E47" s="95">
        <v>103</v>
      </c>
      <c r="F47" s="119"/>
      <c r="G47" s="167"/>
      <c r="H47" s="248"/>
    </row>
    <row r="48" spans="1:8" x14ac:dyDescent="0.2">
      <c r="A48" s="5" t="s">
        <v>192</v>
      </c>
      <c r="B48" s="5"/>
      <c r="C48" s="5"/>
      <c r="D48" s="5"/>
      <c r="E48" s="95">
        <f>+E46*E47</f>
        <v>164800</v>
      </c>
      <c r="F48" s="119"/>
      <c r="G48" s="167">
        <f>+E48*2.471</f>
        <v>407220.8</v>
      </c>
      <c r="H48" s="248"/>
    </row>
    <row r="49" spans="1:8" x14ac:dyDescent="0.2">
      <c r="A49" s="5" t="s">
        <v>645</v>
      </c>
      <c r="B49" s="5"/>
      <c r="C49" s="5"/>
      <c r="D49" s="5"/>
      <c r="E49" s="95">
        <f>+E48-G22</f>
        <v>46255.499999999985</v>
      </c>
      <c r="F49" s="119"/>
      <c r="G49" s="167">
        <f>+E49*2.471</f>
        <v>114297.34049999996</v>
      </c>
      <c r="H49" s="248"/>
    </row>
    <row r="50" spans="1:8" x14ac:dyDescent="0.2">
      <c r="A50" s="5" t="s">
        <v>646</v>
      </c>
      <c r="B50" s="5"/>
      <c r="C50" s="5"/>
      <c r="D50" s="5"/>
      <c r="E50" s="95">
        <f>+E48-G23</f>
        <v>73037</v>
      </c>
      <c r="F50" s="119"/>
      <c r="G50" s="167">
        <f>+E50*2.471</f>
        <v>180474.427</v>
      </c>
      <c r="H50" s="248"/>
    </row>
    <row r="51" spans="1:8" x14ac:dyDescent="0.2">
      <c r="A51" s="5" t="s">
        <v>648</v>
      </c>
      <c r="B51" s="5"/>
      <c r="C51" s="5"/>
      <c r="D51" s="5"/>
      <c r="E51" s="8">
        <f>+G22/E46</f>
        <v>74.09031250000001</v>
      </c>
      <c r="G51" s="12"/>
      <c r="H51" s="248"/>
    </row>
    <row r="52" spans="1:8" x14ac:dyDescent="0.2">
      <c r="A52" s="7" t="s">
        <v>647</v>
      </c>
      <c r="B52" s="7"/>
      <c r="C52" s="7"/>
      <c r="D52" s="7"/>
      <c r="E52" s="16">
        <f>+G23/E46</f>
        <v>57.351875</v>
      </c>
      <c r="F52" s="67"/>
      <c r="G52" s="37"/>
      <c r="H52" s="248"/>
    </row>
    <row r="53" spans="1:8" x14ac:dyDescent="0.2">
      <c r="A53" s="17"/>
    </row>
    <row r="57" spans="1:8" x14ac:dyDescent="0.2">
      <c r="A57" s="23"/>
    </row>
  </sheetData>
  <mergeCells count="7">
    <mergeCell ref="C36:D36"/>
    <mergeCell ref="A4:B5"/>
    <mergeCell ref="C4:C5"/>
    <mergeCell ref="D4:G4"/>
    <mergeCell ref="A18:B18"/>
    <mergeCell ref="G13:G14"/>
    <mergeCell ref="D13:D14"/>
  </mergeCells>
  <pageMargins left="0.7" right="0.7" top="0.75" bottom="0.75" header="0.3" footer="0.3"/>
  <pageSetup paperSize="9" scale="87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53"/>
  <sheetViews>
    <sheetView topLeftCell="A4" workbookViewId="0">
      <selection activeCell="B11" sqref="B11"/>
    </sheetView>
  </sheetViews>
  <sheetFormatPr defaultColWidth="9.140625" defaultRowHeight="12.75" x14ac:dyDescent="0.2"/>
  <cols>
    <col min="1" max="1" width="31.85546875" style="3" customWidth="1"/>
    <col min="2" max="2" width="15.85546875" style="3" customWidth="1"/>
    <col min="3" max="3" width="9.85546875" style="3" customWidth="1"/>
    <col min="4" max="4" width="10.7109375" style="3" customWidth="1"/>
    <col min="5" max="5" width="19" style="3" customWidth="1"/>
    <col min="6" max="6" width="10.28515625" style="3" customWidth="1"/>
    <col min="7" max="7" width="13.42578125" style="3" customWidth="1"/>
    <col min="8" max="8" width="9.140625" style="3" customWidth="1"/>
    <col min="9" max="16384" width="9.140625" style="3"/>
  </cols>
  <sheetData>
    <row r="1" spans="1:10" x14ac:dyDescent="0.2">
      <c r="A1" s="1"/>
      <c r="B1" s="2"/>
      <c r="C1" s="2"/>
      <c r="D1" s="2"/>
      <c r="E1" s="2"/>
      <c r="F1" s="2"/>
      <c r="G1" s="2"/>
      <c r="H1" s="2"/>
    </row>
    <row r="2" spans="1:10" x14ac:dyDescent="0.2">
      <c r="A2" s="1" t="s">
        <v>494</v>
      </c>
      <c r="B2" s="2"/>
      <c r="C2" s="2"/>
      <c r="D2" s="2"/>
      <c r="E2" s="2"/>
      <c r="F2" s="1"/>
      <c r="G2" s="1"/>
      <c r="H2" s="78"/>
    </row>
    <row r="3" spans="1:10" ht="40.5" x14ac:dyDescent="0.25">
      <c r="A3" s="1"/>
      <c r="B3" s="2"/>
      <c r="C3" s="2"/>
      <c r="D3" s="2"/>
      <c r="E3" s="2"/>
      <c r="F3" s="1"/>
      <c r="H3" s="287" t="s">
        <v>241</v>
      </c>
    </row>
    <row r="4" spans="1:10" ht="12.75" customHeight="1" x14ac:dyDescent="0.2">
      <c r="A4" s="632" t="s">
        <v>1</v>
      </c>
      <c r="B4" s="632"/>
      <c r="C4" s="634" t="s">
        <v>243</v>
      </c>
      <c r="D4" s="632" t="s">
        <v>130</v>
      </c>
      <c r="E4" s="632"/>
      <c r="F4" s="632"/>
      <c r="G4" s="632"/>
      <c r="H4" s="91"/>
    </row>
    <row r="5" spans="1:10" x14ac:dyDescent="0.2">
      <c r="A5" s="633"/>
      <c r="B5" s="633"/>
      <c r="C5" s="635"/>
      <c r="D5" s="71" t="s">
        <v>48</v>
      </c>
      <c r="E5" s="71" t="s">
        <v>128</v>
      </c>
      <c r="F5" s="71" t="s">
        <v>131</v>
      </c>
      <c r="G5" s="71" t="s">
        <v>2</v>
      </c>
      <c r="H5" s="92"/>
    </row>
    <row r="6" spans="1:10" x14ac:dyDescent="0.2">
      <c r="A6" s="5" t="s">
        <v>3</v>
      </c>
      <c r="B6" s="5"/>
      <c r="C6" s="63">
        <v>83</v>
      </c>
      <c r="D6" s="158">
        <v>3592</v>
      </c>
      <c r="E6" s="158"/>
      <c r="F6" s="158"/>
      <c r="G6" s="158">
        <v>3592</v>
      </c>
      <c r="H6" s="79"/>
    </row>
    <row r="7" spans="1:10" ht="15.75" x14ac:dyDescent="0.2">
      <c r="A7" s="5" t="s">
        <v>227</v>
      </c>
      <c r="B7" s="9"/>
      <c r="C7" s="63">
        <v>60</v>
      </c>
      <c r="D7" s="158">
        <v>960</v>
      </c>
      <c r="E7" s="158">
        <v>18195</v>
      </c>
      <c r="F7" s="158"/>
      <c r="G7" s="158">
        <v>19155</v>
      </c>
      <c r="H7" s="79"/>
    </row>
    <row r="8" spans="1:10" ht="15.75" x14ac:dyDescent="0.2">
      <c r="A8" s="5" t="s">
        <v>706</v>
      </c>
      <c r="B8" s="5"/>
      <c r="C8" s="63" t="s">
        <v>60</v>
      </c>
      <c r="D8" s="117" t="s">
        <v>377</v>
      </c>
      <c r="E8" s="117" t="s">
        <v>375</v>
      </c>
      <c r="F8" s="158"/>
      <c r="G8" s="158"/>
      <c r="H8" s="79"/>
      <c r="J8" s="290"/>
    </row>
    <row r="9" spans="1:10" ht="16.5" customHeight="1" x14ac:dyDescent="0.2">
      <c r="A9" s="5" t="s">
        <v>229</v>
      </c>
      <c r="B9" s="5"/>
      <c r="C9" s="63" t="s">
        <v>40</v>
      </c>
      <c r="D9" s="117" t="s">
        <v>376</v>
      </c>
      <c r="E9" s="117"/>
      <c r="F9" s="158"/>
      <c r="G9" s="158"/>
      <c r="H9" s="79"/>
      <c r="J9" s="290"/>
    </row>
    <row r="10" spans="1:10" ht="15.75" x14ac:dyDescent="0.2">
      <c r="A10" s="147" t="s">
        <v>228</v>
      </c>
      <c r="B10" s="5"/>
      <c r="C10" s="63" t="s">
        <v>51</v>
      </c>
      <c r="D10" s="117" t="s">
        <v>68</v>
      </c>
      <c r="E10" s="117" t="s">
        <v>354</v>
      </c>
      <c r="F10" s="158"/>
      <c r="G10" s="158"/>
      <c r="H10" s="79"/>
      <c r="J10" s="290"/>
    </row>
    <row r="11" spans="1:10" x14ac:dyDescent="0.2">
      <c r="A11" s="5" t="s">
        <v>5</v>
      </c>
      <c r="B11" s="5"/>
      <c r="C11" s="63">
        <v>100</v>
      </c>
      <c r="D11" s="158">
        <v>9665</v>
      </c>
      <c r="E11" s="158"/>
      <c r="F11" s="158"/>
      <c r="G11" s="158">
        <v>9665</v>
      </c>
      <c r="H11" s="79"/>
    </row>
    <row r="12" spans="1:10" x14ac:dyDescent="0.2">
      <c r="A12" s="5" t="s">
        <v>122</v>
      </c>
      <c r="B12" s="5"/>
      <c r="C12" s="63">
        <v>100</v>
      </c>
      <c r="D12" s="158">
        <v>9711</v>
      </c>
      <c r="E12" s="158"/>
      <c r="F12" s="115">
        <v>6916</v>
      </c>
      <c r="G12" s="158">
        <v>16627</v>
      </c>
      <c r="H12" s="79"/>
    </row>
    <row r="13" spans="1:10" x14ac:dyDescent="0.2">
      <c r="A13" s="5" t="s">
        <v>7</v>
      </c>
      <c r="B13" s="5"/>
      <c r="C13" s="63">
        <v>100</v>
      </c>
      <c r="D13" s="651">
        <v>1055</v>
      </c>
      <c r="E13" s="158"/>
      <c r="F13" s="158"/>
      <c r="G13" s="651">
        <f>+F14+D13</f>
        <v>8008</v>
      </c>
      <c r="H13" s="79"/>
      <c r="J13" s="290"/>
    </row>
    <row r="14" spans="1:10" x14ac:dyDescent="0.2">
      <c r="A14" s="5" t="s">
        <v>8</v>
      </c>
      <c r="B14" s="5"/>
      <c r="C14" s="63">
        <v>40</v>
      </c>
      <c r="D14" s="651"/>
      <c r="E14" s="159"/>
      <c r="F14" s="115">
        <v>6953</v>
      </c>
      <c r="G14" s="651"/>
      <c r="H14" s="79"/>
      <c r="J14" s="290"/>
    </row>
    <row r="15" spans="1:10" x14ac:dyDescent="0.2">
      <c r="A15" s="5" t="s">
        <v>9</v>
      </c>
      <c r="B15" s="5"/>
      <c r="C15" s="63">
        <v>63</v>
      </c>
      <c r="D15" s="158">
        <v>1354</v>
      </c>
      <c r="E15" s="158"/>
      <c r="F15" s="158">
        <v>6469</v>
      </c>
      <c r="G15" s="158">
        <v>7823</v>
      </c>
      <c r="H15" s="79"/>
      <c r="J15" s="290"/>
    </row>
    <row r="16" spans="1:10" ht="20.25" customHeight="1" x14ac:dyDescent="0.25">
      <c r="A16" s="649" t="s">
        <v>217</v>
      </c>
      <c r="B16" s="652"/>
      <c r="C16" s="63">
        <v>100</v>
      </c>
      <c r="D16" s="158">
        <v>2133</v>
      </c>
      <c r="E16" s="158">
        <v>18864</v>
      </c>
      <c r="F16" s="158"/>
      <c r="G16" s="158">
        <v>20997</v>
      </c>
      <c r="H16" s="79"/>
      <c r="J16" s="30"/>
    </row>
    <row r="17" spans="1:10" x14ac:dyDescent="0.2">
      <c r="A17" s="5" t="s">
        <v>91</v>
      </c>
      <c r="B17" s="5"/>
      <c r="C17" s="63">
        <v>100</v>
      </c>
      <c r="D17" s="158">
        <v>4562</v>
      </c>
      <c r="E17" s="158"/>
      <c r="F17" s="158"/>
      <c r="G17" s="158">
        <v>4562</v>
      </c>
      <c r="H17" s="79"/>
      <c r="J17" s="290"/>
    </row>
    <row r="18" spans="1:10" x14ac:dyDescent="0.2">
      <c r="A18" s="5" t="s">
        <v>123</v>
      </c>
      <c r="B18" s="5"/>
      <c r="C18" s="63">
        <v>40</v>
      </c>
      <c r="D18" s="158">
        <v>810</v>
      </c>
      <c r="E18" s="160">
        <v>1543</v>
      </c>
      <c r="F18" s="160"/>
      <c r="G18" s="158">
        <v>2353</v>
      </c>
      <c r="H18" s="79"/>
      <c r="J18" s="291"/>
    </row>
    <row r="19" spans="1:10" x14ac:dyDescent="0.2">
      <c r="A19" s="5" t="s">
        <v>12</v>
      </c>
      <c r="B19" s="9"/>
      <c r="C19" s="9"/>
      <c r="D19" s="158"/>
      <c r="E19" s="161"/>
      <c r="F19" s="161"/>
      <c r="G19" s="158">
        <v>4000</v>
      </c>
      <c r="H19" s="79"/>
    </row>
    <row r="20" spans="1:10" x14ac:dyDescent="0.2">
      <c r="A20" s="4" t="s">
        <v>92</v>
      </c>
      <c r="B20" s="4"/>
      <c r="C20" s="4"/>
      <c r="D20" s="162">
        <v>33842</v>
      </c>
      <c r="E20" s="162">
        <f>SUM(E6:E19)</f>
        <v>38602</v>
      </c>
      <c r="F20" s="162">
        <f>SUM(F6:F19)</f>
        <v>20338</v>
      </c>
      <c r="G20" s="162">
        <f>SUM(G6:G19)</f>
        <v>96782</v>
      </c>
      <c r="H20" s="79"/>
    </row>
    <row r="21" spans="1:10" x14ac:dyDescent="0.2">
      <c r="A21" s="7" t="s">
        <v>93</v>
      </c>
      <c r="B21" s="7"/>
      <c r="C21" s="7"/>
      <c r="D21" s="163">
        <f>+E30*F30</f>
        <v>16920</v>
      </c>
      <c r="E21" s="164">
        <v>38602</v>
      </c>
      <c r="F21" s="164">
        <v>20273</v>
      </c>
      <c r="G21" s="163">
        <f>+F21+E21+D21</f>
        <v>75795</v>
      </c>
      <c r="H21" s="79"/>
    </row>
    <row r="22" spans="1:10" ht="15" customHeight="1" x14ac:dyDescent="0.2">
      <c r="A22" s="617" t="s">
        <v>13</v>
      </c>
      <c r="B22" s="617"/>
      <c r="C22" s="617"/>
      <c r="D22" s="617"/>
      <c r="E22" s="617"/>
      <c r="F22" s="617"/>
      <c r="G22" s="617"/>
      <c r="H22" s="80"/>
    </row>
    <row r="23" spans="1:10" x14ac:dyDescent="0.2">
      <c r="A23" s="1" t="s">
        <v>14</v>
      </c>
      <c r="B23" s="1"/>
      <c r="C23" s="1"/>
      <c r="D23" s="1"/>
      <c r="E23" s="1"/>
      <c r="F23" s="1"/>
      <c r="G23" s="1"/>
      <c r="H23" s="80"/>
    </row>
    <row r="24" spans="1:10" x14ac:dyDescent="0.2">
      <c r="A24" s="108" t="s">
        <v>15</v>
      </c>
      <c r="B24" s="108"/>
      <c r="C24" s="108"/>
      <c r="D24" s="155" t="s">
        <v>16</v>
      </c>
      <c r="E24" s="153" t="s">
        <v>17</v>
      </c>
      <c r="F24" s="153" t="s">
        <v>18</v>
      </c>
      <c r="G24" s="154" t="s">
        <v>132</v>
      </c>
      <c r="H24" s="151"/>
    </row>
    <row r="25" spans="1:10" x14ac:dyDescent="0.2">
      <c r="A25" s="5" t="s">
        <v>19</v>
      </c>
      <c r="B25" s="5"/>
      <c r="C25" s="5"/>
      <c r="D25" s="156"/>
      <c r="E25" s="5"/>
      <c r="F25" s="5"/>
      <c r="G25" s="230" t="s">
        <v>166</v>
      </c>
      <c r="H25" s="80"/>
    </row>
    <row r="26" spans="1:10" x14ac:dyDescent="0.2">
      <c r="A26" s="5" t="s">
        <v>6</v>
      </c>
      <c r="B26" s="5"/>
      <c r="C26" s="5"/>
      <c r="D26" s="156" t="s">
        <v>20</v>
      </c>
      <c r="E26" s="75">
        <v>38</v>
      </c>
      <c r="F26" s="22">
        <v>182</v>
      </c>
      <c r="G26" s="231" t="s">
        <v>165</v>
      </c>
      <c r="H26" s="93"/>
    </row>
    <row r="27" spans="1:10" x14ac:dyDescent="0.2">
      <c r="A27" s="5"/>
      <c r="B27" s="5"/>
      <c r="C27" s="5"/>
      <c r="D27" s="157"/>
      <c r="E27" s="29"/>
      <c r="F27" s="32"/>
      <c r="G27" s="232" t="s">
        <v>164</v>
      </c>
      <c r="H27" s="152"/>
    </row>
    <row r="28" spans="1:10" x14ac:dyDescent="0.2">
      <c r="A28" s="5"/>
      <c r="B28" s="5"/>
      <c r="C28" s="5"/>
      <c r="D28" s="157"/>
      <c r="E28" s="29"/>
      <c r="F28" s="32"/>
      <c r="G28" s="232" t="s">
        <v>704</v>
      </c>
      <c r="H28" s="152"/>
    </row>
    <row r="29" spans="1:10" x14ac:dyDescent="0.2">
      <c r="A29" s="5" t="s">
        <v>21</v>
      </c>
      <c r="B29" s="5"/>
      <c r="C29" s="5"/>
      <c r="D29" s="157"/>
      <c r="E29" s="5"/>
      <c r="F29" s="5"/>
      <c r="G29" s="233" t="s">
        <v>705</v>
      </c>
      <c r="H29" s="80"/>
    </row>
    <row r="30" spans="1:10" x14ac:dyDescent="0.2">
      <c r="A30" s="5" t="s">
        <v>34</v>
      </c>
      <c r="B30" s="5"/>
      <c r="C30" s="5"/>
      <c r="D30" s="156" t="s">
        <v>22</v>
      </c>
      <c r="E30" s="22">
        <v>8</v>
      </c>
      <c r="F30" s="90">
        <v>2115</v>
      </c>
      <c r="G30" s="233" t="s">
        <v>167</v>
      </c>
      <c r="H30" s="80"/>
    </row>
    <row r="31" spans="1:10" x14ac:dyDescent="0.2">
      <c r="A31" s="5" t="s">
        <v>53</v>
      </c>
      <c r="B31" s="5"/>
      <c r="C31" s="5"/>
      <c r="D31" s="156" t="s">
        <v>22</v>
      </c>
      <c r="E31" s="22">
        <v>8</v>
      </c>
      <c r="F31" s="5"/>
      <c r="H31" s="93"/>
    </row>
    <row r="32" spans="1:10" x14ac:dyDescent="0.2">
      <c r="A32" s="5" t="s">
        <v>2</v>
      </c>
      <c r="B32" s="5"/>
      <c r="C32" s="5"/>
      <c r="D32" s="156" t="s">
        <v>22</v>
      </c>
      <c r="E32" s="22">
        <v>16</v>
      </c>
      <c r="F32" s="5"/>
      <c r="H32" s="80"/>
    </row>
    <row r="33" spans="1:8" x14ac:dyDescent="0.2">
      <c r="A33" s="5"/>
      <c r="B33" s="5"/>
      <c r="C33" s="5"/>
      <c r="D33" s="157"/>
      <c r="E33" s="5"/>
      <c r="F33" s="5"/>
      <c r="H33" s="80"/>
    </row>
    <row r="34" spans="1:8" ht="25.5" x14ac:dyDescent="0.2">
      <c r="A34" s="34" t="s">
        <v>54</v>
      </c>
      <c r="B34" s="4"/>
      <c r="C34" s="327" t="s">
        <v>243</v>
      </c>
      <c r="D34" s="327"/>
      <c r="E34" s="4"/>
      <c r="F34" s="4"/>
      <c r="H34" s="80"/>
    </row>
    <row r="35" spans="1:8" ht="12.75" customHeight="1" x14ac:dyDescent="0.2">
      <c r="A35" s="5" t="s">
        <v>25</v>
      </c>
      <c r="B35" s="5" t="s">
        <v>36</v>
      </c>
      <c r="C35" s="73">
        <v>100</v>
      </c>
      <c r="D35" s="156" t="s">
        <v>20</v>
      </c>
      <c r="E35" s="22">
        <v>177</v>
      </c>
      <c r="F35" s="391" t="s">
        <v>201</v>
      </c>
      <c r="H35" s="80"/>
    </row>
    <row r="36" spans="1:8" x14ac:dyDescent="0.2">
      <c r="A36" s="5" t="s">
        <v>701</v>
      </c>
      <c r="B36" s="5" t="s">
        <v>27</v>
      </c>
      <c r="C36" s="73">
        <v>7</v>
      </c>
      <c r="D36" s="156" t="s">
        <v>20</v>
      </c>
      <c r="E36" s="22">
        <v>12</v>
      </c>
      <c r="F36" s="75">
        <v>800</v>
      </c>
      <c r="H36" s="93"/>
    </row>
    <row r="37" spans="1:8" x14ac:dyDescent="0.2">
      <c r="A37" s="5"/>
      <c r="B37" s="5" t="s">
        <v>75</v>
      </c>
      <c r="C37" s="73">
        <v>3</v>
      </c>
      <c r="D37" s="156" t="s">
        <v>20</v>
      </c>
      <c r="E37" s="22">
        <v>10</v>
      </c>
      <c r="F37" s="75">
        <v>200</v>
      </c>
      <c r="H37" s="93"/>
    </row>
    <row r="38" spans="1:8" x14ac:dyDescent="0.2">
      <c r="A38" s="5"/>
      <c r="B38" s="5" t="s">
        <v>702</v>
      </c>
      <c r="C38" s="73">
        <v>30</v>
      </c>
      <c r="D38" s="156" t="s">
        <v>20</v>
      </c>
      <c r="E38" s="22">
        <v>27</v>
      </c>
      <c r="F38" s="75">
        <v>253</v>
      </c>
      <c r="H38" s="93"/>
    </row>
    <row r="39" spans="1:8" x14ac:dyDescent="0.2">
      <c r="B39" s="8" t="s">
        <v>703</v>
      </c>
      <c r="C39" s="73">
        <v>93</v>
      </c>
      <c r="D39" s="394" t="s">
        <v>45</v>
      </c>
      <c r="E39" s="22">
        <v>7</v>
      </c>
      <c r="F39" s="391" t="s">
        <v>201</v>
      </c>
      <c r="H39" s="93"/>
    </row>
    <row r="40" spans="1:8" x14ac:dyDescent="0.2">
      <c r="A40" s="34" t="s">
        <v>31</v>
      </c>
      <c r="B40" s="34"/>
      <c r="C40" s="34"/>
      <c r="D40" s="34"/>
      <c r="E40" s="165" t="s">
        <v>32</v>
      </c>
      <c r="F40" s="166"/>
      <c r="G40" s="34" t="s">
        <v>69</v>
      </c>
      <c r="H40" s="93"/>
    </row>
    <row r="41" spans="1:8" x14ac:dyDescent="0.2">
      <c r="A41" s="5" t="s">
        <v>94</v>
      </c>
      <c r="B41" s="5"/>
      <c r="C41" s="5"/>
      <c r="D41" s="5"/>
      <c r="E41" s="95">
        <v>1067</v>
      </c>
      <c r="F41" s="167" t="s">
        <v>70</v>
      </c>
      <c r="G41" s="167">
        <v>2636.5570000000002</v>
      </c>
      <c r="H41" s="79"/>
    </row>
    <row r="42" spans="1:8" x14ac:dyDescent="0.2">
      <c r="A42" s="5" t="s">
        <v>95</v>
      </c>
      <c r="B42" s="5"/>
      <c r="C42" s="5"/>
      <c r="D42" s="5"/>
      <c r="E42" s="95">
        <v>100</v>
      </c>
      <c r="F42" s="95"/>
      <c r="G42" s="167"/>
      <c r="H42" s="79"/>
    </row>
    <row r="43" spans="1:8" x14ac:dyDescent="0.2">
      <c r="A43" s="5" t="s">
        <v>192</v>
      </c>
      <c r="B43" s="5"/>
      <c r="C43" s="5"/>
      <c r="D43" s="5"/>
      <c r="E43" s="95">
        <f>+E41*E42</f>
        <v>106700</v>
      </c>
      <c r="F43" s="95"/>
      <c r="G43" s="167">
        <f>+E43*2.471</f>
        <v>263655.7</v>
      </c>
      <c r="H43" s="79"/>
    </row>
    <row r="44" spans="1:8" x14ac:dyDescent="0.2">
      <c r="A44" s="5" t="s">
        <v>645</v>
      </c>
      <c r="B44" s="5"/>
      <c r="C44" s="5"/>
      <c r="D44" s="5"/>
      <c r="E44" s="95">
        <f>+E43-G20</f>
        <v>9918</v>
      </c>
      <c r="F44" s="95"/>
      <c r="G44" s="167">
        <f>+E44*2.471</f>
        <v>24507.378000000001</v>
      </c>
      <c r="H44" s="79"/>
    </row>
    <row r="45" spans="1:8" x14ac:dyDescent="0.2">
      <c r="A45" s="5" t="s">
        <v>646</v>
      </c>
      <c r="B45" s="5"/>
      <c r="C45" s="5"/>
      <c r="D45" s="5"/>
      <c r="E45" s="95">
        <f>+E43-G21</f>
        <v>30905</v>
      </c>
      <c r="F45" s="95"/>
      <c r="G45" s="167">
        <f>+E45*2.471</f>
        <v>76366.255000000005</v>
      </c>
      <c r="H45" s="79"/>
    </row>
    <row r="46" spans="1:8" x14ac:dyDescent="0.2">
      <c r="A46" s="5" t="s">
        <v>648</v>
      </c>
      <c r="B46" s="5"/>
      <c r="C46" s="5"/>
      <c r="D46" s="5"/>
      <c r="E46" s="168">
        <f>+G20/E41</f>
        <v>90.704779756326147</v>
      </c>
      <c r="F46" s="95"/>
      <c r="G46" s="95"/>
      <c r="H46" s="79"/>
    </row>
    <row r="47" spans="1:8" x14ac:dyDescent="0.2">
      <c r="A47" s="7" t="s">
        <v>647</v>
      </c>
      <c r="B47" s="7"/>
      <c r="C47" s="7"/>
      <c r="D47" s="7"/>
      <c r="E47" s="169">
        <f>+G21/E41</f>
        <v>71.035613870665415</v>
      </c>
      <c r="F47" s="105"/>
      <c r="G47" s="105"/>
      <c r="H47" s="79"/>
    </row>
    <row r="48" spans="1:8" x14ac:dyDescent="0.2">
      <c r="H48" s="79"/>
    </row>
    <row r="49" spans="1:8" ht="15" x14ac:dyDescent="0.25">
      <c r="A49" s="17" t="s">
        <v>71</v>
      </c>
      <c r="B49" s="26"/>
      <c r="C49" s="26"/>
      <c r="D49" s="26"/>
      <c r="H49" s="79"/>
    </row>
    <row r="53" spans="1:8" x14ac:dyDescent="0.2">
      <c r="A53" s="23"/>
      <c r="C53" s="23"/>
    </row>
  </sheetData>
  <mergeCells count="7">
    <mergeCell ref="A4:B5"/>
    <mergeCell ref="C4:C5"/>
    <mergeCell ref="D4:G4"/>
    <mergeCell ref="A22:G22"/>
    <mergeCell ref="D13:D14"/>
    <mergeCell ref="G13:G14"/>
    <mergeCell ref="A16:B16"/>
  </mergeCells>
  <pageMargins left="0.7" right="0.7" top="0.75" bottom="0.75" header="0.3" footer="0.3"/>
  <pageSetup paperSize="9" scale="77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4"/>
  <sheetViews>
    <sheetView tabSelected="1" topLeftCell="A3" workbookViewId="0">
      <selection activeCell="K35" sqref="K35"/>
    </sheetView>
  </sheetViews>
  <sheetFormatPr defaultColWidth="9.140625" defaultRowHeight="12.75" x14ac:dyDescent="0.2"/>
  <cols>
    <col min="1" max="1" width="9.140625" style="3"/>
    <col min="2" max="2" width="18.5703125" style="3" customWidth="1"/>
    <col min="3" max="3" width="11.42578125" style="3" customWidth="1"/>
    <col min="4" max="4" width="10.42578125" style="3" customWidth="1"/>
    <col min="5" max="5" width="11.5703125" style="3" customWidth="1"/>
    <col min="6" max="6" width="14.7109375" style="3" customWidth="1"/>
    <col min="7" max="7" width="14.42578125" style="3" customWidth="1"/>
    <col min="8" max="8" width="10.7109375" style="3" customWidth="1"/>
    <col min="9" max="16384" width="9.140625" style="3"/>
  </cols>
  <sheetData>
    <row r="1" spans="1:10" x14ac:dyDescent="0.2">
      <c r="A1" s="25"/>
      <c r="B1" s="2"/>
      <c r="C1" s="2"/>
      <c r="D1" s="2"/>
      <c r="E1" s="2"/>
      <c r="F1" s="1"/>
      <c r="G1" s="1"/>
      <c r="H1" s="78"/>
    </row>
    <row r="2" spans="1:10" ht="27" x14ac:dyDescent="0.25">
      <c r="A2" s="1" t="s">
        <v>496</v>
      </c>
      <c r="B2" s="2"/>
      <c r="C2" s="2"/>
      <c r="D2" s="2"/>
      <c r="E2" s="2"/>
      <c r="F2" s="1"/>
      <c r="H2" s="287" t="s">
        <v>241</v>
      </c>
    </row>
    <row r="3" spans="1:10" ht="19.5" customHeight="1" x14ac:dyDescent="0.2">
      <c r="A3" s="632" t="s">
        <v>1</v>
      </c>
      <c r="B3" s="632"/>
      <c r="C3" s="634" t="s">
        <v>243</v>
      </c>
      <c r="D3" s="632" t="s">
        <v>130</v>
      </c>
      <c r="E3" s="632"/>
      <c r="F3" s="632"/>
      <c r="G3" s="632"/>
      <c r="H3" s="91"/>
    </row>
    <row r="4" spans="1:10" x14ac:dyDescent="0.2">
      <c r="A4" s="633"/>
      <c r="B4" s="633"/>
      <c r="C4" s="635"/>
      <c r="D4" s="71" t="s">
        <v>48</v>
      </c>
      <c r="E4" s="71" t="s">
        <v>128</v>
      </c>
      <c r="F4" s="71" t="s">
        <v>131</v>
      </c>
      <c r="G4" s="71" t="s">
        <v>2</v>
      </c>
      <c r="H4" s="92"/>
    </row>
    <row r="5" spans="1:10" x14ac:dyDescent="0.2">
      <c r="A5" s="5" t="s">
        <v>3</v>
      </c>
      <c r="B5" s="5"/>
      <c r="C5" s="63">
        <v>80</v>
      </c>
      <c r="D5" s="170">
        <v>6150.3</v>
      </c>
      <c r="E5" s="158"/>
      <c r="F5" s="158"/>
      <c r="G5" s="158">
        <v>6150.3</v>
      </c>
      <c r="H5" s="79"/>
    </row>
    <row r="6" spans="1:10" ht="15.75" x14ac:dyDescent="0.2">
      <c r="A6" s="5" t="s">
        <v>707</v>
      </c>
      <c r="B6" s="9"/>
      <c r="C6" s="63">
        <v>49</v>
      </c>
      <c r="D6" s="170">
        <v>3000</v>
      </c>
      <c r="E6" s="158">
        <v>18598</v>
      </c>
      <c r="F6" s="158"/>
      <c r="G6" s="158">
        <v>21598</v>
      </c>
      <c r="H6" s="79"/>
    </row>
    <row r="7" spans="1:10" x14ac:dyDescent="0.2">
      <c r="A7" s="5" t="s">
        <v>239</v>
      </c>
      <c r="B7" s="5"/>
      <c r="C7" s="63" t="s">
        <v>38</v>
      </c>
      <c r="D7" s="116" t="s">
        <v>379</v>
      </c>
      <c r="E7" s="117"/>
      <c r="F7" s="158"/>
      <c r="G7" s="158"/>
      <c r="H7" s="79"/>
      <c r="J7" s="290"/>
    </row>
    <row r="8" spans="1:10" ht="15.75" x14ac:dyDescent="0.2">
      <c r="A8" s="5" t="s">
        <v>708</v>
      </c>
      <c r="B8" s="5"/>
      <c r="C8" s="63" t="s">
        <v>55</v>
      </c>
      <c r="D8" s="170"/>
      <c r="E8" s="117" t="s">
        <v>378</v>
      </c>
      <c r="F8" s="158"/>
      <c r="G8" s="158"/>
      <c r="H8" s="79"/>
      <c r="J8" s="290"/>
    </row>
    <row r="9" spans="1:10" x14ac:dyDescent="0.2">
      <c r="A9" s="5" t="s">
        <v>56</v>
      </c>
      <c r="B9" s="5"/>
      <c r="C9" s="63" t="s">
        <v>87</v>
      </c>
      <c r="D9" s="170"/>
      <c r="E9" s="117"/>
      <c r="F9" s="158"/>
      <c r="G9" s="158"/>
      <c r="H9" s="79"/>
      <c r="J9" s="290"/>
    </row>
    <row r="10" spans="1:10" x14ac:dyDescent="0.2">
      <c r="A10" s="5" t="s">
        <v>5</v>
      </c>
      <c r="B10" s="5"/>
      <c r="C10" s="63">
        <v>100</v>
      </c>
      <c r="D10" s="170">
        <v>12673.18</v>
      </c>
      <c r="E10" s="158"/>
      <c r="F10" s="158"/>
      <c r="G10" s="158">
        <v>12673.18</v>
      </c>
      <c r="H10" s="79"/>
    </row>
    <row r="11" spans="1:10" x14ac:dyDescent="0.2">
      <c r="A11" s="5" t="s">
        <v>122</v>
      </c>
      <c r="B11" s="5"/>
      <c r="C11" s="63">
        <v>40</v>
      </c>
      <c r="D11" s="170">
        <v>7267.5</v>
      </c>
      <c r="E11" s="158"/>
      <c r="F11" s="158">
        <v>5016</v>
      </c>
      <c r="G11" s="158">
        <v>12283.5</v>
      </c>
      <c r="H11" s="79"/>
    </row>
    <row r="12" spans="1:10" x14ac:dyDescent="0.2">
      <c r="A12" s="5" t="s">
        <v>57</v>
      </c>
      <c r="B12" s="5"/>
      <c r="C12" s="63" t="s">
        <v>58</v>
      </c>
      <c r="D12" s="116" t="s">
        <v>709</v>
      </c>
      <c r="E12" s="158"/>
      <c r="F12" s="117"/>
      <c r="G12" s="158"/>
      <c r="H12" s="79"/>
      <c r="J12" s="290"/>
    </row>
    <row r="13" spans="1:10" x14ac:dyDescent="0.2">
      <c r="A13" s="5" t="s">
        <v>711</v>
      </c>
      <c r="B13" s="5"/>
      <c r="C13" s="63" t="s">
        <v>62</v>
      </c>
      <c r="D13" s="170"/>
      <c r="E13" s="117"/>
      <c r="F13" s="117"/>
      <c r="G13" s="158"/>
      <c r="H13" s="79"/>
      <c r="J13" s="290"/>
    </row>
    <row r="14" spans="1:10" x14ac:dyDescent="0.2">
      <c r="A14" s="5" t="s">
        <v>157</v>
      </c>
      <c r="B14" s="5"/>
      <c r="C14" s="63">
        <v>100</v>
      </c>
      <c r="D14" s="645">
        <v>2880</v>
      </c>
      <c r="E14" s="158"/>
      <c r="F14" s="158">
        <v>5260</v>
      </c>
      <c r="G14" s="651">
        <f>+F15+F14+D14</f>
        <v>14123</v>
      </c>
      <c r="H14" s="79"/>
      <c r="J14" s="290"/>
    </row>
    <row r="15" spans="1:10" x14ac:dyDescent="0.2">
      <c r="A15" s="5" t="s">
        <v>8</v>
      </c>
      <c r="B15" s="5"/>
      <c r="C15" s="63">
        <v>45</v>
      </c>
      <c r="D15" s="645"/>
      <c r="E15" s="159"/>
      <c r="F15" s="158">
        <v>5983</v>
      </c>
      <c r="G15" s="651"/>
      <c r="H15" s="79"/>
      <c r="J15" s="30"/>
    </row>
    <row r="16" spans="1:10" x14ac:dyDescent="0.2">
      <c r="A16" s="5" t="s">
        <v>9</v>
      </c>
      <c r="B16" s="5"/>
      <c r="C16" s="63">
        <v>40</v>
      </c>
      <c r="D16" s="116">
        <v>828.59</v>
      </c>
      <c r="E16" s="158"/>
      <c r="F16" s="117">
        <v>2205</v>
      </c>
      <c r="G16" s="158">
        <v>3033.59</v>
      </c>
      <c r="H16" s="79"/>
      <c r="J16" s="290"/>
    </row>
    <row r="17" spans="1:10" x14ac:dyDescent="0.2">
      <c r="A17" s="5" t="s">
        <v>657</v>
      </c>
      <c r="B17" s="5"/>
      <c r="C17" s="63" t="s">
        <v>59</v>
      </c>
      <c r="D17" s="116" t="s">
        <v>380</v>
      </c>
      <c r="E17" s="158"/>
      <c r="F17" s="117" t="s">
        <v>359</v>
      </c>
      <c r="G17" s="158"/>
      <c r="H17" s="79"/>
      <c r="J17" s="30"/>
    </row>
    <row r="18" spans="1:10" x14ac:dyDescent="0.2">
      <c r="A18" s="5" t="s">
        <v>155</v>
      </c>
      <c r="B18" s="5"/>
      <c r="C18" s="63">
        <v>90</v>
      </c>
      <c r="D18" s="170">
        <v>19631.940000000002</v>
      </c>
      <c r="E18" s="158"/>
      <c r="F18" s="158"/>
      <c r="G18" s="158">
        <v>19631.940000000002</v>
      </c>
      <c r="H18" s="79"/>
    </row>
    <row r="19" spans="1:10" ht="27" customHeight="1" x14ac:dyDescent="0.2">
      <c r="A19" s="623" t="s">
        <v>230</v>
      </c>
      <c r="B19" s="623"/>
      <c r="C19" s="63" t="s">
        <v>40</v>
      </c>
      <c r="D19" s="170"/>
      <c r="E19" s="117" t="s">
        <v>710</v>
      </c>
      <c r="F19" s="158"/>
      <c r="G19" s="158"/>
      <c r="H19" s="79"/>
    </row>
    <row r="20" spans="1:10" ht="28.5" customHeight="1" x14ac:dyDescent="0.2">
      <c r="A20" s="649" t="s">
        <v>712</v>
      </c>
      <c r="B20" s="653"/>
      <c r="C20" s="63">
        <v>90</v>
      </c>
      <c r="D20" s="170">
        <v>5142.92</v>
      </c>
      <c r="E20" s="117">
        <v>6551</v>
      </c>
      <c r="F20" s="158"/>
      <c r="G20" s="158">
        <v>11693.92</v>
      </c>
      <c r="H20" s="79"/>
    </row>
    <row r="21" spans="1:10" x14ac:dyDescent="0.2">
      <c r="A21" s="5" t="s">
        <v>156</v>
      </c>
      <c r="B21" s="5"/>
      <c r="C21" s="63">
        <v>74</v>
      </c>
      <c r="D21" s="170">
        <v>3575.45</v>
      </c>
      <c r="E21" s="158"/>
      <c r="F21" s="158"/>
      <c r="G21" s="158">
        <v>3575.45</v>
      </c>
      <c r="H21" s="79"/>
    </row>
    <row r="22" spans="1:10" x14ac:dyDescent="0.2">
      <c r="A22" s="5" t="s">
        <v>123</v>
      </c>
      <c r="B22" s="5"/>
      <c r="C22" s="63">
        <v>84</v>
      </c>
      <c r="D22" s="170">
        <v>1024</v>
      </c>
      <c r="E22" s="158">
        <v>2108</v>
      </c>
      <c r="F22" s="158"/>
      <c r="G22" s="158">
        <v>3132</v>
      </c>
      <c r="H22" s="79"/>
    </row>
    <row r="23" spans="1:10" x14ac:dyDescent="0.2">
      <c r="A23" s="5" t="s">
        <v>105</v>
      </c>
      <c r="B23" s="5"/>
      <c r="C23" s="63"/>
      <c r="D23" s="170"/>
      <c r="E23" s="158"/>
      <c r="F23" s="158"/>
      <c r="G23" s="158">
        <v>3500</v>
      </c>
      <c r="H23" s="79"/>
    </row>
    <row r="24" spans="1:10" x14ac:dyDescent="0.2">
      <c r="A24" s="4" t="s">
        <v>92</v>
      </c>
      <c r="B24" s="4"/>
      <c r="C24" s="4"/>
      <c r="D24" s="101">
        <v>62173.88</v>
      </c>
      <c r="E24" s="102">
        <f>SUM(E5:E23)</f>
        <v>27257</v>
      </c>
      <c r="F24" s="102">
        <f>SUM(F5:F23)</f>
        <v>18464</v>
      </c>
      <c r="G24" s="102">
        <f>SUM(G5:G23)</f>
        <v>111394.87999999999</v>
      </c>
      <c r="H24" s="79"/>
    </row>
    <row r="25" spans="1:10" x14ac:dyDescent="0.2">
      <c r="A25" s="7" t="s">
        <v>93</v>
      </c>
      <c r="B25" s="7"/>
      <c r="C25" s="7"/>
      <c r="D25" s="171">
        <v>19430</v>
      </c>
      <c r="E25" s="164">
        <v>26803</v>
      </c>
      <c r="F25" s="164">
        <v>16302</v>
      </c>
      <c r="G25" s="163">
        <f>+F25+E25+D25</f>
        <v>62535</v>
      </c>
      <c r="H25" s="79"/>
    </row>
    <row r="26" spans="1:10" x14ac:dyDescent="0.2">
      <c r="A26" s="5"/>
      <c r="B26" s="5"/>
      <c r="C26" s="5"/>
      <c r="D26" s="5"/>
      <c r="E26" s="5"/>
      <c r="F26" s="5"/>
      <c r="G26" s="5"/>
      <c r="H26" s="80"/>
    </row>
    <row r="27" spans="1:10" x14ac:dyDescent="0.2">
      <c r="A27" s="5"/>
      <c r="B27" s="5"/>
      <c r="C27" s="1" t="s">
        <v>13</v>
      </c>
      <c r="D27" s="5"/>
      <c r="E27" s="5"/>
      <c r="F27" s="5"/>
      <c r="G27" s="5"/>
      <c r="H27" s="80"/>
    </row>
    <row r="28" spans="1:10" x14ac:dyDescent="0.2">
      <c r="A28" s="1" t="s">
        <v>14</v>
      </c>
      <c r="B28" s="1"/>
      <c r="C28" s="1"/>
      <c r="D28" s="1"/>
      <c r="E28" s="1"/>
      <c r="F28" s="1"/>
      <c r="G28" s="1"/>
      <c r="H28" s="80"/>
    </row>
    <row r="29" spans="1:10" x14ac:dyDescent="0.2">
      <c r="A29" s="108" t="s">
        <v>15</v>
      </c>
      <c r="B29" s="108"/>
      <c r="C29" s="108"/>
      <c r="D29" s="375" t="s">
        <v>16</v>
      </c>
      <c r="E29" s="375" t="s">
        <v>17</v>
      </c>
      <c r="F29" s="375" t="s">
        <v>18</v>
      </c>
      <c r="G29" s="224" t="s">
        <v>132</v>
      </c>
      <c r="H29" s="151"/>
    </row>
    <row r="30" spans="1:10" x14ac:dyDescent="0.2">
      <c r="A30" s="5" t="s">
        <v>19</v>
      </c>
      <c r="B30" s="5"/>
      <c r="C30" s="5"/>
      <c r="D30" s="20"/>
      <c r="E30" s="5"/>
      <c r="F30" s="5"/>
      <c r="G30" s="17" t="s">
        <v>158</v>
      </c>
      <c r="H30" s="80"/>
    </row>
    <row r="31" spans="1:10" x14ac:dyDescent="0.2">
      <c r="A31" s="5" t="s">
        <v>6</v>
      </c>
      <c r="B31" s="5"/>
      <c r="C31" s="146"/>
      <c r="D31" s="20" t="s">
        <v>20</v>
      </c>
      <c r="E31" s="75">
        <v>38</v>
      </c>
      <c r="F31" s="22">
        <v>132</v>
      </c>
      <c r="G31" s="17" t="s">
        <v>159</v>
      </c>
      <c r="H31" s="93"/>
    </row>
    <row r="32" spans="1:10" x14ac:dyDescent="0.2">
      <c r="A32" s="5"/>
      <c r="B32" s="5"/>
      <c r="C32" s="147"/>
      <c r="D32" s="68"/>
      <c r="E32" s="29"/>
      <c r="F32" s="32"/>
      <c r="G32" s="17" t="s">
        <v>160</v>
      </c>
      <c r="H32" s="152"/>
    </row>
    <row r="33" spans="1:8" x14ac:dyDescent="0.2">
      <c r="A33" s="5"/>
      <c r="B33" s="5"/>
      <c r="C33" s="147"/>
      <c r="D33" s="68"/>
      <c r="E33" s="29"/>
      <c r="F33" s="32"/>
      <c r="G33" s="17" t="s">
        <v>161</v>
      </c>
      <c r="H33" s="152"/>
    </row>
    <row r="34" spans="1:8" x14ac:dyDescent="0.2">
      <c r="A34" s="147"/>
      <c r="B34" s="5"/>
      <c r="C34" s="147"/>
      <c r="D34" s="68"/>
      <c r="E34" s="148"/>
      <c r="F34" s="5"/>
      <c r="G34" s="17" t="s">
        <v>162</v>
      </c>
      <c r="H34" s="80"/>
    </row>
    <row r="35" spans="1:8" x14ac:dyDescent="0.2">
      <c r="A35" s="5" t="s">
        <v>21</v>
      </c>
      <c r="B35" s="5"/>
      <c r="C35" s="5"/>
      <c r="D35" s="68"/>
      <c r="E35" s="5"/>
      <c r="F35" s="5"/>
      <c r="G35" s="3" t="s">
        <v>163</v>
      </c>
      <c r="H35" s="80"/>
    </row>
    <row r="36" spans="1:8" x14ac:dyDescent="0.2">
      <c r="A36" s="5" t="s">
        <v>43</v>
      </c>
      <c r="B36" s="5"/>
      <c r="C36" s="5"/>
      <c r="D36" s="20" t="s">
        <v>22</v>
      </c>
      <c r="E36" s="22">
        <v>10</v>
      </c>
      <c r="F36" s="90">
        <v>1943</v>
      </c>
      <c r="H36" s="93"/>
    </row>
    <row r="37" spans="1:8" x14ac:dyDescent="0.2">
      <c r="A37" s="5" t="s">
        <v>53</v>
      </c>
      <c r="B37" s="5"/>
      <c r="C37" s="5"/>
      <c r="D37" s="20" t="s">
        <v>22</v>
      </c>
      <c r="E37" s="22">
        <v>22</v>
      </c>
      <c r="F37" s="22"/>
      <c r="H37" s="80"/>
    </row>
    <row r="38" spans="1:8" x14ac:dyDescent="0.2">
      <c r="A38" s="5" t="s">
        <v>2</v>
      </c>
      <c r="B38" s="5"/>
      <c r="C38" s="5"/>
      <c r="D38" s="20" t="s">
        <v>22</v>
      </c>
      <c r="E38" s="22">
        <v>32</v>
      </c>
      <c r="F38" s="22"/>
      <c r="G38" s="67"/>
      <c r="H38" s="80"/>
    </row>
    <row r="39" spans="1:8" x14ac:dyDescent="0.2">
      <c r="A39" s="34" t="s">
        <v>54</v>
      </c>
      <c r="B39" s="4"/>
      <c r="C39" s="620" t="s">
        <v>243</v>
      </c>
      <c r="D39" s="620"/>
      <c r="E39" s="4"/>
      <c r="F39" s="4"/>
      <c r="H39" s="80"/>
    </row>
    <row r="40" spans="1:8" x14ac:dyDescent="0.2">
      <c r="A40" s="5" t="s">
        <v>25</v>
      </c>
      <c r="B40" s="5" t="s">
        <v>36</v>
      </c>
      <c r="C40" s="73">
        <v>48</v>
      </c>
      <c r="D40" s="20" t="s">
        <v>20</v>
      </c>
      <c r="E40" s="22">
        <v>263</v>
      </c>
      <c r="F40" s="22">
        <v>20</v>
      </c>
      <c r="H40" s="93"/>
    </row>
    <row r="41" spans="1:8" x14ac:dyDescent="0.2">
      <c r="B41" s="5" t="s">
        <v>63</v>
      </c>
      <c r="C41" s="66">
        <v>58</v>
      </c>
      <c r="D41" s="272" t="s">
        <v>45</v>
      </c>
      <c r="E41" s="149">
        <v>4</v>
      </c>
      <c r="F41" s="73" t="s">
        <v>201</v>
      </c>
      <c r="H41" s="93"/>
    </row>
    <row r="42" spans="1:8" x14ac:dyDescent="0.2">
      <c r="A42" s="5" t="s">
        <v>26</v>
      </c>
      <c r="B42" s="5" t="s">
        <v>27</v>
      </c>
      <c r="C42" s="73">
        <v>29</v>
      </c>
      <c r="D42" s="20" t="s">
        <v>20</v>
      </c>
      <c r="E42" s="22">
        <v>10</v>
      </c>
      <c r="F42" s="22">
        <v>827</v>
      </c>
      <c r="H42" s="93"/>
    </row>
    <row r="43" spans="1:8" x14ac:dyDescent="0.2">
      <c r="A43" s="5"/>
      <c r="B43" s="5" t="s">
        <v>75</v>
      </c>
      <c r="C43" s="73">
        <v>13</v>
      </c>
      <c r="D43" s="20" t="s">
        <v>20</v>
      </c>
      <c r="E43" s="22">
        <v>9</v>
      </c>
      <c r="F43" s="22">
        <v>200</v>
      </c>
      <c r="H43" s="93"/>
    </row>
    <row r="44" spans="1:8" x14ac:dyDescent="0.2">
      <c r="A44" s="5"/>
      <c r="B44" s="5" t="s">
        <v>671</v>
      </c>
      <c r="C44" s="73">
        <v>3</v>
      </c>
      <c r="D44" s="20" t="s">
        <v>20</v>
      </c>
      <c r="E44" s="22">
        <v>20</v>
      </c>
      <c r="F44" s="22">
        <v>100</v>
      </c>
      <c r="H44" s="93"/>
    </row>
    <row r="45" spans="1:8" x14ac:dyDescent="0.2">
      <c r="A45" s="5"/>
      <c r="B45" s="5" t="s">
        <v>63</v>
      </c>
      <c r="C45" s="182" t="s">
        <v>64</v>
      </c>
      <c r="D45" s="272" t="s">
        <v>45</v>
      </c>
      <c r="E45" s="318" t="s">
        <v>65</v>
      </c>
      <c r="F45" s="16"/>
      <c r="H45" s="93"/>
    </row>
    <row r="46" spans="1:8" x14ac:dyDescent="0.2">
      <c r="A46" s="34" t="s">
        <v>31</v>
      </c>
      <c r="B46" s="34"/>
      <c r="C46" s="34"/>
      <c r="D46" s="36" t="s">
        <v>32</v>
      </c>
      <c r="E46" s="1"/>
      <c r="F46" s="1" t="s">
        <v>66</v>
      </c>
      <c r="H46" s="79"/>
    </row>
    <row r="47" spans="1:8" x14ac:dyDescent="0.2">
      <c r="A47" s="5" t="s">
        <v>94</v>
      </c>
      <c r="B47" s="5"/>
      <c r="C47" s="5"/>
      <c r="D47" s="94">
        <v>959</v>
      </c>
      <c r="E47" s="122"/>
      <c r="F47" s="122">
        <f>+D47*2.471</f>
        <v>2369.6890000000003</v>
      </c>
      <c r="H47" s="79"/>
    </row>
    <row r="48" spans="1:8" x14ac:dyDescent="0.2">
      <c r="A48" s="5" t="s">
        <v>95</v>
      </c>
      <c r="B48" s="5"/>
      <c r="C48" s="5"/>
      <c r="D48" s="95">
        <v>112</v>
      </c>
      <c r="E48" s="94"/>
      <c r="F48" s="94"/>
      <c r="H48" s="79"/>
    </row>
    <row r="49" spans="1:8" x14ac:dyDescent="0.2">
      <c r="A49" s="5" t="s">
        <v>192</v>
      </c>
      <c r="B49" s="5"/>
      <c r="C49" s="5"/>
      <c r="D49" s="94">
        <f>+D48*D47</f>
        <v>107408</v>
      </c>
      <c r="E49" s="94"/>
      <c r="F49" s="122">
        <f>+D49*2.471</f>
        <v>265405.16800000001</v>
      </c>
      <c r="H49" s="79"/>
    </row>
    <row r="50" spans="1:8" x14ac:dyDescent="0.2">
      <c r="A50" s="5" t="s">
        <v>645</v>
      </c>
      <c r="B50" s="5"/>
      <c r="C50" s="5"/>
      <c r="D50" s="395">
        <f>+D49-G24</f>
        <v>-3986.8799999999901</v>
      </c>
      <c r="E50" s="94"/>
      <c r="F50" s="122">
        <f>+D50*2.471</f>
        <v>-9851.5804799999751</v>
      </c>
      <c r="H50" s="79"/>
    </row>
    <row r="51" spans="1:8" x14ac:dyDescent="0.2">
      <c r="A51" s="5" t="s">
        <v>646</v>
      </c>
      <c r="B51" s="5"/>
      <c r="C51" s="5"/>
      <c r="D51" s="94">
        <f>+D49-G25</f>
        <v>44873</v>
      </c>
      <c r="E51" s="94"/>
      <c r="F51" s="122">
        <f>+D51*2.471</f>
        <v>110881.183</v>
      </c>
      <c r="H51" s="79"/>
    </row>
    <row r="52" spans="1:8" x14ac:dyDescent="0.2">
      <c r="A52" s="5" t="s">
        <v>648</v>
      </c>
      <c r="B52" s="5"/>
      <c r="C52" s="5"/>
      <c r="D52" s="8">
        <f>+G24/D47</f>
        <v>116.157330552659</v>
      </c>
      <c r="E52" s="12"/>
      <c r="F52" s="12"/>
      <c r="H52" s="79"/>
    </row>
    <row r="53" spans="1:8" x14ac:dyDescent="0.2">
      <c r="A53" s="7" t="s">
        <v>647</v>
      </c>
      <c r="B53" s="7"/>
      <c r="C53" s="7"/>
      <c r="D53" s="16">
        <f>+G25/D47</f>
        <v>65.208550573514074</v>
      </c>
      <c r="E53" s="37"/>
      <c r="F53" s="37"/>
      <c r="H53" s="79"/>
    </row>
    <row r="54" spans="1:8" x14ac:dyDescent="0.2">
      <c r="A54" s="5" t="s">
        <v>67</v>
      </c>
    </row>
    <row r="56" spans="1:8" x14ac:dyDescent="0.2">
      <c r="A56" s="5"/>
    </row>
    <row r="57" spans="1:8" x14ac:dyDescent="0.2">
      <c r="A57" s="5"/>
    </row>
    <row r="58" spans="1:8" x14ac:dyDescent="0.2">
      <c r="A58" s="5"/>
    </row>
    <row r="59" spans="1:8" x14ac:dyDescent="0.2">
      <c r="A59" s="5"/>
    </row>
    <row r="60" spans="1:8" x14ac:dyDescent="0.2">
      <c r="A60" s="5"/>
    </row>
    <row r="61" spans="1:8" x14ac:dyDescent="0.2">
      <c r="A61" s="5"/>
    </row>
    <row r="62" spans="1:8" x14ac:dyDescent="0.2">
      <c r="A62" s="5"/>
    </row>
    <row r="67" spans="1:2" x14ac:dyDescent="0.2">
      <c r="B67" s="150"/>
    </row>
    <row r="68" spans="1:2" x14ac:dyDescent="0.2">
      <c r="B68" s="150"/>
    </row>
    <row r="72" spans="1:2" x14ac:dyDescent="0.2">
      <c r="A72" s="23"/>
    </row>
    <row r="73" spans="1:2" x14ac:dyDescent="0.2">
      <c r="B73" s="5"/>
    </row>
    <row r="74" spans="1:2" x14ac:dyDescent="0.2">
      <c r="B74" s="5"/>
    </row>
  </sheetData>
  <mergeCells count="8">
    <mergeCell ref="C39:D39"/>
    <mergeCell ref="A3:B4"/>
    <mergeCell ref="C3:C4"/>
    <mergeCell ref="D3:G3"/>
    <mergeCell ref="A20:B20"/>
    <mergeCell ref="G14:G15"/>
    <mergeCell ref="D14:D15"/>
    <mergeCell ref="A19:B19"/>
  </mergeCells>
  <pageMargins left="0.7" right="0.7" top="0.75" bottom="0.75" header="0.3" footer="0.3"/>
  <pageSetup paperSize="9" scale="7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9"/>
  <sheetViews>
    <sheetView topLeftCell="A7" workbookViewId="0">
      <selection activeCell="A23" sqref="A23"/>
    </sheetView>
  </sheetViews>
  <sheetFormatPr defaultRowHeight="15" x14ac:dyDescent="0.25"/>
  <cols>
    <col min="1" max="1" width="12.42578125" customWidth="1"/>
    <col min="2" max="2" width="17.85546875" customWidth="1"/>
    <col min="6" max="6" width="9.85546875" bestFit="1" customWidth="1"/>
    <col min="7" max="7" width="13.5703125" customWidth="1"/>
    <col min="8" max="8" width="13.42578125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77"/>
    </row>
    <row r="2" spans="1:10" ht="40.5" x14ac:dyDescent="0.25">
      <c r="A2" s="1"/>
      <c r="B2" s="2"/>
      <c r="C2" s="2"/>
      <c r="D2" s="2"/>
      <c r="E2" s="2"/>
      <c r="F2" s="1"/>
      <c r="G2" s="1"/>
      <c r="H2" s="287" t="s">
        <v>241</v>
      </c>
    </row>
    <row r="3" spans="1:10" x14ac:dyDescent="0.25">
      <c r="A3" s="1" t="s">
        <v>495</v>
      </c>
      <c r="B3" s="2"/>
      <c r="C3" s="2"/>
      <c r="D3" s="2"/>
      <c r="E3" s="2"/>
      <c r="F3" s="1"/>
      <c r="G3" s="1"/>
      <c r="H3" s="78"/>
    </row>
    <row r="4" spans="1:10" x14ac:dyDescent="0.25">
      <c r="A4" s="1"/>
      <c r="B4" s="2"/>
      <c r="C4" s="2"/>
      <c r="D4" s="2"/>
      <c r="E4" s="2"/>
      <c r="F4" s="1"/>
      <c r="G4" s="1"/>
      <c r="H4" s="78"/>
    </row>
    <row r="5" spans="1:10" x14ac:dyDescent="0.25">
      <c r="A5" s="4"/>
      <c r="B5" s="4"/>
      <c r="C5" s="4"/>
      <c r="D5" s="27"/>
      <c r="E5" s="27"/>
      <c r="F5" s="27"/>
      <c r="G5" s="27"/>
      <c r="H5" s="184"/>
    </row>
    <row r="6" spans="1:10" ht="27" customHeight="1" x14ac:dyDescent="0.25">
      <c r="A6" s="5"/>
      <c r="B6" s="5"/>
      <c r="C6" s="5"/>
      <c r="D6" s="6"/>
      <c r="E6" s="6"/>
      <c r="F6" s="6"/>
      <c r="H6" s="91"/>
    </row>
    <row r="7" spans="1:10" ht="15" customHeight="1" x14ac:dyDescent="0.25">
      <c r="A7" s="632" t="s">
        <v>1</v>
      </c>
      <c r="B7" s="632"/>
      <c r="C7" s="634" t="s">
        <v>243</v>
      </c>
      <c r="D7" s="632" t="s">
        <v>130</v>
      </c>
      <c r="E7" s="632"/>
      <c r="F7" s="632"/>
      <c r="G7" s="632"/>
      <c r="H7" s="91"/>
    </row>
    <row r="8" spans="1:10" x14ac:dyDescent="0.25">
      <c r="A8" s="633"/>
      <c r="B8" s="633"/>
      <c r="C8" s="638"/>
      <c r="D8" s="71" t="s">
        <v>48</v>
      </c>
      <c r="E8" s="71" t="s">
        <v>128</v>
      </c>
      <c r="F8" s="71" t="s">
        <v>131</v>
      </c>
      <c r="G8" s="71" t="s">
        <v>2</v>
      </c>
      <c r="H8" s="92"/>
    </row>
    <row r="9" spans="1:10" x14ac:dyDescent="0.25">
      <c r="A9" s="5" t="s">
        <v>3</v>
      </c>
      <c r="B9" s="5"/>
      <c r="C9" s="28">
        <v>90</v>
      </c>
      <c r="D9" s="90">
        <v>4838</v>
      </c>
      <c r="E9" s="115"/>
      <c r="F9" s="115"/>
      <c r="G9" s="115">
        <v>4838</v>
      </c>
      <c r="H9" s="249"/>
    </row>
    <row r="10" spans="1:10" ht="16.5" x14ac:dyDescent="0.25">
      <c r="A10" s="5" t="s">
        <v>211</v>
      </c>
      <c r="B10" s="5"/>
      <c r="C10" s="28">
        <v>60</v>
      </c>
      <c r="D10" s="90">
        <v>2767</v>
      </c>
      <c r="E10" s="115">
        <v>17180</v>
      </c>
      <c r="F10" s="115"/>
      <c r="G10" s="115">
        <v>19947</v>
      </c>
      <c r="H10" s="249"/>
    </row>
    <row r="11" spans="1:10" x14ac:dyDescent="0.25">
      <c r="A11" s="5" t="s">
        <v>223</v>
      </c>
      <c r="B11" s="5"/>
      <c r="C11" s="28" t="s">
        <v>50</v>
      </c>
      <c r="D11" s="116" t="s">
        <v>381</v>
      </c>
      <c r="E11" s="117" t="s">
        <v>382</v>
      </c>
      <c r="F11" s="115"/>
      <c r="G11" s="115"/>
      <c r="H11" s="249"/>
      <c r="J11" s="293"/>
    </row>
    <row r="12" spans="1:10" x14ac:dyDescent="0.25">
      <c r="A12" s="5" t="s">
        <v>714</v>
      </c>
      <c r="B12" s="5"/>
      <c r="C12" s="28" t="s">
        <v>41</v>
      </c>
      <c r="D12" s="116" t="s">
        <v>384</v>
      </c>
      <c r="E12" s="158"/>
      <c r="F12" s="115"/>
      <c r="G12" s="115"/>
      <c r="H12" s="249"/>
      <c r="J12" s="293"/>
    </row>
    <row r="13" spans="1:10" x14ac:dyDescent="0.25">
      <c r="A13" s="5" t="s">
        <v>715</v>
      </c>
      <c r="B13" s="5"/>
      <c r="C13" s="28" t="s">
        <v>51</v>
      </c>
      <c r="D13" s="116" t="s">
        <v>385</v>
      </c>
      <c r="E13" s="117" t="s">
        <v>383</v>
      </c>
      <c r="F13" s="115"/>
      <c r="G13" s="115"/>
      <c r="H13" s="249"/>
      <c r="J13" s="293"/>
    </row>
    <row r="14" spans="1:10" x14ac:dyDescent="0.25">
      <c r="A14" s="5" t="s">
        <v>5</v>
      </c>
      <c r="B14" s="5"/>
      <c r="C14" s="28">
        <v>100</v>
      </c>
      <c r="D14" s="90">
        <v>9904</v>
      </c>
      <c r="E14" s="115"/>
      <c r="F14" s="115"/>
      <c r="G14" s="115">
        <v>9904</v>
      </c>
      <c r="H14" s="249"/>
    </row>
    <row r="15" spans="1:10" x14ac:dyDescent="0.25">
      <c r="A15" s="5" t="s">
        <v>122</v>
      </c>
      <c r="B15" s="5"/>
      <c r="C15" s="28">
        <v>100</v>
      </c>
      <c r="D15" s="90">
        <v>9568</v>
      </c>
      <c r="E15" s="115"/>
      <c r="F15" s="115">
        <v>7056</v>
      </c>
      <c r="G15" s="115">
        <v>16624</v>
      </c>
      <c r="H15" s="249"/>
    </row>
    <row r="16" spans="1:10" x14ac:dyDescent="0.25">
      <c r="A16" s="5" t="s">
        <v>7</v>
      </c>
      <c r="B16" s="5"/>
      <c r="C16" s="28">
        <v>87</v>
      </c>
      <c r="D16" s="645">
        <v>3018</v>
      </c>
      <c r="E16" s="115"/>
      <c r="F16" s="115">
        <v>3399.8</v>
      </c>
      <c r="G16" s="624">
        <f>+F17+F16+D16</f>
        <v>13378.8</v>
      </c>
      <c r="H16" s="249"/>
      <c r="J16" s="293"/>
    </row>
    <row r="17" spans="1:10" x14ac:dyDescent="0.25">
      <c r="A17" s="5" t="s">
        <v>8</v>
      </c>
      <c r="B17" s="5"/>
      <c r="C17" s="28">
        <v>80</v>
      </c>
      <c r="D17" s="645"/>
      <c r="E17" s="119"/>
      <c r="F17" s="115">
        <v>6961</v>
      </c>
      <c r="G17" s="624"/>
      <c r="H17" s="249"/>
      <c r="J17" s="293"/>
    </row>
    <row r="18" spans="1:10" x14ac:dyDescent="0.25">
      <c r="A18" s="5" t="s">
        <v>9</v>
      </c>
      <c r="B18" s="5"/>
      <c r="C18" s="28">
        <v>60</v>
      </c>
      <c r="D18" s="90">
        <v>1108</v>
      </c>
      <c r="E18" s="115"/>
      <c r="F18" s="115">
        <v>3683</v>
      </c>
      <c r="G18" s="115">
        <v>4791</v>
      </c>
      <c r="H18" s="249"/>
      <c r="J18" s="293"/>
    </row>
    <row r="19" spans="1:10" ht="27.75" customHeight="1" x14ac:dyDescent="0.25">
      <c r="A19" s="623" t="s">
        <v>200</v>
      </c>
      <c r="B19" s="623"/>
      <c r="C19" s="28">
        <v>53.333333333333336</v>
      </c>
      <c r="D19" s="90">
        <v>1943</v>
      </c>
      <c r="E19" s="115">
        <v>24276</v>
      </c>
      <c r="F19" s="115"/>
      <c r="G19" s="115">
        <v>26219</v>
      </c>
      <c r="H19" s="249"/>
      <c r="J19" s="293"/>
    </row>
    <row r="20" spans="1:10" x14ac:dyDescent="0.25">
      <c r="A20" s="5" t="s">
        <v>716</v>
      </c>
      <c r="B20" s="5"/>
      <c r="C20" s="31" t="s">
        <v>52</v>
      </c>
      <c r="D20" s="116" t="s">
        <v>386</v>
      </c>
      <c r="E20" s="115"/>
      <c r="F20" s="115"/>
      <c r="G20" s="115"/>
      <c r="H20" s="249"/>
      <c r="J20" s="293"/>
    </row>
    <row r="21" spans="1:10" x14ac:dyDescent="0.25">
      <c r="A21" s="5" t="s">
        <v>713</v>
      </c>
      <c r="B21" s="5"/>
      <c r="C21" s="31" t="s">
        <v>52</v>
      </c>
      <c r="D21" s="116" t="s">
        <v>387</v>
      </c>
      <c r="E21" s="117" t="s">
        <v>388</v>
      </c>
      <c r="F21" s="115"/>
      <c r="G21" s="115"/>
      <c r="H21" s="249"/>
      <c r="J21" s="294"/>
    </row>
    <row r="22" spans="1:10" x14ac:dyDescent="0.25">
      <c r="A22" s="5" t="s">
        <v>91</v>
      </c>
      <c r="B22" s="5"/>
      <c r="C22" s="33">
        <v>100</v>
      </c>
      <c r="D22" s="90">
        <v>4563</v>
      </c>
      <c r="E22" s="115"/>
      <c r="F22" s="115"/>
      <c r="G22" s="115">
        <v>4563</v>
      </c>
      <c r="H22" s="249"/>
    </row>
    <row r="23" spans="1:10" x14ac:dyDescent="0.25">
      <c r="A23" s="5" t="s">
        <v>42</v>
      </c>
      <c r="B23" s="5"/>
      <c r="C23" s="33">
        <v>56.666666666666664</v>
      </c>
      <c r="D23" s="90"/>
      <c r="E23" s="121">
        <v>969</v>
      </c>
      <c r="F23" s="121"/>
      <c r="G23" s="115">
        <v>969</v>
      </c>
      <c r="H23" s="249"/>
    </row>
    <row r="24" spans="1:10" x14ac:dyDescent="0.25">
      <c r="A24" s="5" t="s">
        <v>105</v>
      </c>
      <c r="B24" s="5"/>
      <c r="C24" s="33"/>
      <c r="D24" s="90"/>
      <c r="E24" s="121"/>
      <c r="F24" s="121"/>
      <c r="G24" s="115">
        <v>2000</v>
      </c>
      <c r="H24" s="249"/>
    </row>
    <row r="25" spans="1:10" x14ac:dyDescent="0.25">
      <c r="A25" s="4" t="s">
        <v>92</v>
      </c>
      <c r="B25" s="4"/>
      <c r="C25" s="4"/>
      <c r="D25" s="102">
        <f t="shared" ref="D25:F25" si="0">SUM(D9:D24)</f>
        <v>37709</v>
      </c>
      <c r="E25" s="102">
        <f t="shared" si="0"/>
        <v>42425</v>
      </c>
      <c r="F25" s="102">
        <f t="shared" si="0"/>
        <v>21099.8</v>
      </c>
      <c r="G25" s="102">
        <f>SUM(G9:G24)</f>
        <v>103233.8</v>
      </c>
      <c r="H25" s="249"/>
    </row>
    <row r="26" spans="1:10" x14ac:dyDescent="0.25">
      <c r="A26" s="7" t="s">
        <v>93</v>
      </c>
      <c r="B26" s="7"/>
      <c r="C26" s="7"/>
      <c r="D26" s="103">
        <f>+F33*E33</f>
        <v>9428</v>
      </c>
      <c r="E26" s="104">
        <v>35582</v>
      </c>
      <c r="F26" s="104">
        <v>16086</v>
      </c>
      <c r="G26" s="105">
        <f>+F26+E26+D26</f>
        <v>61096</v>
      </c>
      <c r="H26" s="249"/>
    </row>
    <row r="27" spans="1:10" x14ac:dyDescent="0.25">
      <c r="A27" s="617" t="s">
        <v>13</v>
      </c>
      <c r="B27" s="617"/>
      <c r="C27" s="617"/>
      <c r="D27" s="617"/>
      <c r="E27" s="617"/>
      <c r="F27" s="617"/>
      <c r="G27" s="617"/>
      <c r="H27" s="80"/>
    </row>
    <row r="28" spans="1:10" x14ac:dyDescent="0.25">
      <c r="A28" s="5" t="s">
        <v>14</v>
      </c>
      <c r="B28" s="5"/>
      <c r="C28" s="5"/>
      <c r="D28" s="5"/>
      <c r="E28" s="5"/>
      <c r="F28" s="5"/>
      <c r="G28" s="5"/>
      <c r="H28" s="80"/>
    </row>
    <row r="29" spans="1:10" x14ac:dyDescent="0.25">
      <c r="A29" s="18" t="s">
        <v>15</v>
      </c>
      <c r="B29" s="18"/>
      <c r="C29" s="18"/>
      <c r="D29" s="19" t="s">
        <v>16</v>
      </c>
      <c r="E29" s="19" t="s">
        <v>17</v>
      </c>
      <c r="F29" s="19" t="s">
        <v>18</v>
      </c>
      <c r="G29" s="18" t="s">
        <v>153</v>
      </c>
      <c r="H29" s="249"/>
    </row>
    <row r="30" spans="1:10" x14ac:dyDescent="0.25">
      <c r="A30" s="5" t="s">
        <v>19</v>
      </c>
      <c r="B30" s="5"/>
      <c r="C30" s="5"/>
      <c r="D30" s="20"/>
      <c r="E30" s="5"/>
      <c r="F30" s="5"/>
      <c r="G30" s="6" t="s">
        <v>212</v>
      </c>
      <c r="H30" s="249"/>
    </row>
    <row r="31" spans="1:10" x14ac:dyDescent="0.25">
      <c r="A31" s="5" t="s">
        <v>6</v>
      </c>
      <c r="B31" s="5"/>
      <c r="C31" s="5"/>
      <c r="D31" s="20" t="s">
        <v>20</v>
      </c>
      <c r="E31" s="75">
        <v>36</v>
      </c>
      <c r="F31" s="22">
        <v>196</v>
      </c>
      <c r="G31" s="21" t="s">
        <v>213</v>
      </c>
      <c r="H31" s="249"/>
    </row>
    <row r="32" spans="1:10" x14ac:dyDescent="0.25">
      <c r="A32" s="5" t="s">
        <v>21</v>
      </c>
      <c r="B32" s="5"/>
      <c r="C32" s="5"/>
      <c r="D32" s="68"/>
      <c r="E32" s="5"/>
      <c r="F32" s="5"/>
      <c r="G32" s="21" t="s">
        <v>214</v>
      </c>
      <c r="H32" s="249"/>
    </row>
    <row r="33" spans="1:8" x14ac:dyDescent="0.25">
      <c r="A33" s="5" t="s">
        <v>34</v>
      </c>
      <c r="B33" s="5"/>
      <c r="C33" s="5"/>
      <c r="D33" s="20" t="s">
        <v>22</v>
      </c>
      <c r="E33" s="22">
        <v>4</v>
      </c>
      <c r="F33" s="90">
        <v>2357</v>
      </c>
      <c r="G33" s="21" t="s">
        <v>215</v>
      </c>
      <c r="H33" s="249"/>
    </row>
    <row r="34" spans="1:8" x14ac:dyDescent="0.25">
      <c r="A34" s="5" t="s">
        <v>53</v>
      </c>
      <c r="B34" s="5"/>
      <c r="C34" s="5"/>
      <c r="D34" s="20" t="s">
        <v>22</v>
      </c>
      <c r="E34" s="22">
        <v>12</v>
      </c>
      <c r="F34" s="5"/>
      <c r="G34" s="21" t="s">
        <v>216</v>
      </c>
      <c r="H34" s="249"/>
    </row>
    <row r="35" spans="1:8" x14ac:dyDescent="0.25">
      <c r="A35" s="5" t="s">
        <v>2</v>
      </c>
      <c r="B35" s="5"/>
      <c r="C35" s="5"/>
      <c r="D35" s="20" t="s">
        <v>22</v>
      </c>
      <c r="E35" s="22">
        <v>16</v>
      </c>
      <c r="F35" s="5"/>
      <c r="G35" s="125" t="s">
        <v>154</v>
      </c>
      <c r="H35" s="249"/>
    </row>
    <row r="36" spans="1:8" x14ac:dyDescent="0.25">
      <c r="A36" s="34" t="s">
        <v>54</v>
      </c>
      <c r="B36" s="34"/>
      <c r="C36" s="620" t="s">
        <v>243</v>
      </c>
      <c r="D36" s="620"/>
      <c r="E36" s="4"/>
      <c r="F36" s="4"/>
      <c r="G36" s="4"/>
      <c r="H36" s="250"/>
    </row>
    <row r="37" spans="1:8" x14ac:dyDescent="0.25">
      <c r="A37" s="5" t="s">
        <v>25</v>
      </c>
      <c r="B37" s="5" t="s">
        <v>36</v>
      </c>
      <c r="C37" s="35">
        <v>87</v>
      </c>
      <c r="D37" s="20" t="s">
        <v>20</v>
      </c>
      <c r="E37" s="22">
        <v>191</v>
      </c>
      <c r="F37" s="22">
        <v>17.8</v>
      </c>
      <c r="H37" s="93"/>
    </row>
    <row r="38" spans="1:8" x14ac:dyDescent="0.25">
      <c r="A38" s="5" t="s">
        <v>26</v>
      </c>
      <c r="B38" s="5" t="s">
        <v>27</v>
      </c>
      <c r="C38" s="35">
        <v>23</v>
      </c>
      <c r="D38" s="20" t="s">
        <v>20</v>
      </c>
      <c r="E38" s="22">
        <v>18</v>
      </c>
      <c r="F38" s="22">
        <v>821.65</v>
      </c>
      <c r="H38" s="93"/>
    </row>
    <row r="39" spans="1:8" x14ac:dyDescent="0.25">
      <c r="A39" s="5"/>
      <c r="B39" s="5" t="s">
        <v>75</v>
      </c>
      <c r="C39" s="35">
        <v>13</v>
      </c>
      <c r="D39" s="20" t="s">
        <v>20</v>
      </c>
      <c r="E39" s="22">
        <v>17</v>
      </c>
      <c r="F39" s="22">
        <v>200</v>
      </c>
      <c r="H39" s="93"/>
    </row>
    <row r="40" spans="1:8" x14ac:dyDescent="0.25">
      <c r="A40" s="5"/>
      <c r="B40" s="5" t="s">
        <v>671</v>
      </c>
      <c r="C40" s="35">
        <v>23</v>
      </c>
      <c r="D40" s="81" t="s">
        <v>20</v>
      </c>
      <c r="E40" s="70">
        <v>22</v>
      </c>
      <c r="F40" s="70">
        <v>52</v>
      </c>
      <c r="H40" s="93"/>
    </row>
    <row r="41" spans="1:8" x14ac:dyDescent="0.25">
      <c r="A41" s="34" t="s">
        <v>31</v>
      </c>
      <c r="B41" s="34"/>
      <c r="C41" s="34"/>
      <c r="D41" s="36" t="s">
        <v>32</v>
      </c>
      <c r="E41" s="1"/>
      <c r="F41" s="36" t="s">
        <v>33</v>
      </c>
      <c r="H41" s="249"/>
    </row>
    <row r="42" spans="1:8" x14ac:dyDescent="0.25">
      <c r="A42" s="5" t="s">
        <v>94</v>
      </c>
      <c r="B42" s="5"/>
      <c r="C42" s="5"/>
      <c r="D42" s="94">
        <v>938</v>
      </c>
      <c r="E42" s="122"/>
      <c r="F42" s="122">
        <f>+D42*2.471</f>
        <v>2317.7980000000002</v>
      </c>
      <c r="H42" s="249"/>
    </row>
    <row r="43" spans="1:8" x14ac:dyDescent="0.25">
      <c r="A43" s="5" t="s">
        <v>95</v>
      </c>
      <c r="B43" s="5"/>
      <c r="C43" s="5"/>
      <c r="D43" s="94">
        <v>125</v>
      </c>
      <c r="E43" s="94"/>
      <c r="F43" s="122"/>
      <c r="H43" s="249"/>
    </row>
    <row r="44" spans="1:8" x14ac:dyDescent="0.25">
      <c r="A44" s="5" t="s">
        <v>192</v>
      </c>
      <c r="B44" s="5"/>
      <c r="C44" s="5"/>
      <c r="D44" s="94">
        <f>+D42*D43</f>
        <v>117250</v>
      </c>
      <c r="E44" s="94"/>
      <c r="F44" s="122">
        <f>+D44*2.471</f>
        <v>289724.75</v>
      </c>
      <c r="H44" s="249"/>
    </row>
    <row r="45" spans="1:8" x14ac:dyDescent="0.25">
      <c r="A45" s="5" t="s">
        <v>645</v>
      </c>
      <c r="B45" s="5"/>
      <c r="C45" s="5"/>
      <c r="D45" s="94">
        <f>+D44-G25</f>
        <v>14016.199999999997</v>
      </c>
      <c r="E45" s="94"/>
      <c r="F45" s="122">
        <f>+D45*2.471</f>
        <v>34634.030199999994</v>
      </c>
      <c r="H45" s="249"/>
    </row>
    <row r="46" spans="1:8" x14ac:dyDescent="0.25">
      <c r="A46" s="5" t="s">
        <v>646</v>
      </c>
      <c r="B46" s="5"/>
      <c r="C46" s="5"/>
      <c r="D46" s="94">
        <f>+D44-G26</f>
        <v>56154</v>
      </c>
      <c r="E46" s="94"/>
      <c r="F46" s="122">
        <f>+D46*2.471</f>
        <v>138756.53400000001</v>
      </c>
      <c r="H46" s="249"/>
    </row>
    <row r="47" spans="1:8" x14ac:dyDescent="0.25">
      <c r="A47" s="5" t="s">
        <v>648</v>
      </c>
      <c r="B47" s="5"/>
      <c r="C47" s="5"/>
      <c r="D47" s="123">
        <f>+G25/D42</f>
        <v>110.05735607675906</v>
      </c>
      <c r="E47" s="94"/>
      <c r="F47" s="94"/>
      <c r="H47" s="249"/>
    </row>
    <row r="48" spans="1:8" x14ac:dyDescent="0.25">
      <c r="A48" s="7" t="s">
        <v>647</v>
      </c>
      <c r="B48" s="7"/>
      <c r="C48" s="7"/>
      <c r="D48" s="124">
        <f>+G26/D42</f>
        <v>65.134328358208961</v>
      </c>
      <c r="E48" s="103"/>
      <c r="F48" s="103"/>
      <c r="H48" s="249"/>
    </row>
    <row r="49" spans="8:8" x14ac:dyDescent="0.25">
      <c r="H49" s="249"/>
    </row>
  </sheetData>
  <mergeCells count="8">
    <mergeCell ref="C36:D36"/>
    <mergeCell ref="A7:B8"/>
    <mergeCell ref="C7:C8"/>
    <mergeCell ref="D7:G7"/>
    <mergeCell ref="A27:G27"/>
    <mergeCell ref="D16:D17"/>
    <mergeCell ref="G16:G17"/>
    <mergeCell ref="A19:B19"/>
  </mergeCells>
  <pageMargins left="0.7" right="0.7" top="0.75" bottom="0.75" header="0.3" footer="0.3"/>
  <pageSetup paperSize="9" scale="8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52"/>
  <sheetViews>
    <sheetView topLeftCell="A25" workbookViewId="0">
      <selection activeCell="J41" sqref="J41"/>
    </sheetView>
  </sheetViews>
  <sheetFormatPr defaultColWidth="9.140625" defaultRowHeight="12.75" x14ac:dyDescent="0.2"/>
  <cols>
    <col min="1" max="1" width="7.85546875" style="3" customWidth="1"/>
    <col min="2" max="2" width="18.7109375" style="3" customWidth="1"/>
    <col min="3" max="3" width="9.7109375" style="3" customWidth="1"/>
    <col min="4" max="4" width="10.28515625" style="3" customWidth="1"/>
    <col min="5" max="5" width="9.85546875" style="3" bestFit="1" customWidth="1"/>
    <col min="6" max="6" width="12.140625" style="3" customWidth="1"/>
    <col min="7" max="7" width="14.5703125" style="3" customWidth="1"/>
    <col min="8" max="8" width="11" style="3" customWidth="1"/>
    <col min="9" max="16384" width="9.140625" style="3"/>
  </cols>
  <sheetData>
    <row r="1" spans="1:10" x14ac:dyDescent="0.2">
      <c r="A1" s="1"/>
      <c r="B1" s="2"/>
      <c r="C1" s="2"/>
      <c r="D1" s="2"/>
      <c r="E1" s="2"/>
      <c r="F1" s="2"/>
      <c r="G1" s="2"/>
      <c r="H1" s="77"/>
    </row>
    <row r="2" spans="1:10" x14ac:dyDescent="0.2">
      <c r="A2" s="1"/>
      <c r="B2" s="2"/>
      <c r="C2" s="2"/>
      <c r="D2" s="2"/>
      <c r="E2" s="2"/>
      <c r="F2" s="1"/>
      <c r="G2" s="1"/>
      <c r="H2" s="78"/>
    </row>
    <row r="3" spans="1:10" x14ac:dyDescent="0.2">
      <c r="A3" s="1" t="s">
        <v>497</v>
      </c>
      <c r="B3" s="5"/>
      <c r="C3" s="5"/>
      <c r="D3" s="6"/>
      <c r="E3" s="6"/>
      <c r="F3" s="6"/>
      <c r="G3" s="6"/>
      <c r="H3" s="91"/>
    </row>
    <row r="4" spans="1:10" ht="27" x14ac:dyDescent="0.25">
      <c r="A4" s="5"/>
      <c r="B4" s="5"/>
      <c r="C4" s="5"/>
      <c r="D4" s="6"/>
      <c r="E4" s="6"/>
      <c r="F4" s="6"/>
      <c r="H4" s="91"/>
      <c r="I4" s="287" t="s">
        <v>241</v>
      </c>
    </row>
    <row r="5" spans="1:10" x14ac:dyDescent="0.2">
      <c r="A5" s="617" t="s">
        <v>1</v>
      </c>
      <c r="B5" s="617"/>
      <c r="C5" s="615" t="s">
        <v>243</v>
      </c>
      <c r="D5" s="617" t="s">
        <v>130</v>
      </c>
      <c r="E5" s="617"/>
      <c r="F5" s="617"/>
      <c r="G5" s="617"/>
      <c r="H5" s="91"/>
    </row>
    <row r="6" spans="1:10" x14ac:dyDescent="0.2">
      <c r="A6" s="622"/>
      <c r="B6" s="622"/>
      <c r="C6" s="644"/>
      <c r="D6" s="109" t="s">
        <v>48</v>
      </c>
      <c r="E6" s="109" t="s">
        <v>128</v>
      </c>
      <c r="F6" s="109" t="s">
        <v>131</v>
      </c>
      <c r="G6" s="109" t="s">
        <v>2</v>
      </c>
      <c r="H6" s="92"/>
    </row>
    <row r="7" spans="1:10" x14ac:dyDescent="0.2">
      <c r="A7" s="5" t="s">
        <v>3</v>
      </c>
      <c r="B7" s="5"/>
      <c r="C7" s="31">
        <v>87.096774193548384</v>
      </c>
      <c r="D7" s="90">
        <v>3547.2999999999997</v>
      </c>
      <c r="E7" s="115"/>
      <c r="F7" s="115"/>
      <c r="G7" s="115">
        <v>3547.2999999999997</v>
      </c>
      <c r="H7" s="79"/>
    </row>
    <row r="8" spans="1:10" ht="15.75" x14ac:dyDescent="0.2">
      <c r="A8" s="5" t="s">
        <v>679</v>
      </c>
      <c r="B8" s="9"/>
      <c r="C8" s="31">
        <v>80.645161290322577</v>
      </c>
      <c r="D8" s="90">
        <v>1960</v>
      </c>
      <c r="E8" s="115">
        <v>20511</v>
      </c>
      <c r="F8" s="115"/>
      <c r="G8" s="115">
        <v>22471</v>
      </c>
      <c r="H8" s="79"/>
    </row>
    <row r="9" spans="1:10" x14ac:dyDescent="0.2">
      <c r="A9" s="5" t="s">
        <v>224</v>
      </c>
      <c r="B9" s="5"/>
      <c r="C9" s="31" t="s">
        <v>61</v>
      </c>
      <c r="D9" s="116" t="s">
        <v>365</v>
      </c>
      <c r="E9" s="117" t="s">
        <v>389</v>
      </c>
      <c r="F9" s="209"/>
      <c r="G9" s="115"/>
      <c r="H9" s="79"/>
      <c r="J9" s="290"/>
    </row>
    <row r="10" spans="1:10" x14ac:dyDescent="0.2">
      <c r="A10" s="5" t="s">
        <v>5</v>
      </c>
      <c r="B10" s="5"/>
      <c r="C10" s="31">
        <v>100</v>
      </c>
      <c r="D10" s="90">
        <v>9966.6</v>
      </c>
      <c r="E10" s="115"/>
      <c r="F10" s="115"/>
      <c r="G10" s="115">
        <v>9966.6</v>
      </c>
      <c r="H10" s="79"/>
      <c r="J10" s="290"/>
    </row>
    <row r="11" spans="1:10" x14ac:dyDescent="0.2">
      <c r="A11" s="5" t="s">
        <v>199</v>
      </c>
      <c r="B11" s="5"/>
      <c r="C11" s="31">
        <v>100</v>
      </c>
      <c r="D11" s="90">
        <v>8681.75</v>
      </c>
      <c r="E11" s="115"/>
      <c r="F11" s="115">
        <v>5580</v>
      </c>
      <c r="G11" s="115">
        <v>14261.75</v>
      </c>
      <c r="H11" s="79"/>
      <c r="J11" s="290"/>
    </row>
    <row r="12" spans="1:10" x14ac:dyDescent="0.2">
      <c r="A12" s="5" t="s">
        <v>7</v>
      </c>
      <c r="B12" s="5"/>
      <c r="C12" s="31">
        <v>90.322580645161281</v>
      </c>
      <c r="D12" s="646">
        <v>4394.6555452579541</v>
      </c>
      <c r="E12" s="115">
        <v>526</v>
      </c>
      <c r="F12" s="115">
        <v>0</v>
      </c>
      <c r="G12" s="651">
        <f>+F13+E12+D12</f>
        <v>15356.655545257954</v>
      </c>
      <c r="H12" s="79"/>
    </row>
    <row r="13" spans="1:10" x14ac:dyDescent="0.2">
      <c r="A13" s="5" t="s">
        <v>8</v>
      </c>
      <c r="B13" s="5"/>
      <c r="C13" s="31">
        <v>55</v>
      </c>
      <c r="D13" s="646"/>
      <c r="E13" s="119"/>
      <c r="F13" s="115">
        <v>10436</v>
      </c>
      <c r="G13" s="651"/>
      <c r="H13" s="79"/>
    </row>
    <row r="14" spans="1:10" x14ac:dyDescent="0.2">
      <c r="A14" s="5" t="s">
        <v>9</v>
      </c>
      <c r="B14" s="5"/>
      <c r="C14" s="31">
        <v>48.387096774193552</v>
      </c>
      <c r="D14" s="90">
        <v>2617.7711293941661</v>
      </c>
      <c r="E14" s="115"/>
      <c r="F14" s="115">
        <v>2852</v>
      </c>
      <c r="G14" s="115">
        <v>5469.7711293941666</v>
      </c>
      <c r="H14" s="79"/>
      <c r="J14" s="290"/>
    </row>
    <row r="15" spans="1:10" x14ac:dyDescent="0.2">
      <c r="A15" s="5" t="s">
        <v>85</v>
      </c>
      <c r="B15" s="5"/>
      <c r="C15" s="31" t="s">
        <v>73</v>
      </c>
      <c r="D15" s="116" t="s">
        <v>390</v>
      </c>
      <c r="E15" s="115"/>
      <c r="F15" s="115"/>
      <c r="G15" s="115"/>
      <c r="H15" s="79"/>
      <c r="J15" s="290"/>
    </row>
    <row r="16" spans="1:10" x14ac:dyDescent="0.2">
      <c r="A16" s="5" t="s">
        <v>657</v>
      </c>
      <c r="B16" s="5"/>
      <c r="C16" s="31" t="s">
        <v>58</v>
      </c>
      <c r="D16" s="116" t="s">
        <v>391</v>
      </c>
      <c r="E16" s="209"/>
      <c r="F16" s="117" t="s">
        <v>394</v>
      </c>
      <c r="G16" s="115"/>
      <c r="H16" s="79"/>
      <c r="J16" s="290"/>
    </row>
    <row r="17" spans="1:10" ht="25.5" customHeight="1" x14ac:dyDescent="0.2">
      <c r="A17" s="623" t="s">
        <v>200</v>
      </c>
      <c r="B17" s="623"/>
      <c r="C17" s="31">
        <v>93.548387096774192</v>
      </c>
      <c r="D17" s="90">
        <v>2338.3534136546182</v>
      </c>
      <c r="E17" s="115">
        <v>21965</v>
      </c>
      <c r="F17" s="115"/>
      <c r="G17" s="115">
        <v>24303.353413654619</v>
      </c>
      <c r="H17" s="79"/>
      <c r="J17" s="290"/>
    </row>
    <row r="18" spans="1:10" x14ac:dyDescent="0.2">
      <c r="A18" s="5" t="s">
        <v>716</v>
      </c>
      <c r="B18" s="62"/>
      <c r="C18" s="31" t="s">
        <v>81</v>
      </c>
      <c r="D18" s="116" t="s">
        <v>392</v>
      </c>
      <c r="E18" s="115"/>
      <c r="F18" s="115"/>
      <c r="G18" s="115"/>
      <c r="H18" s="79"/>
      <c r="J18" s="290"/>
    </row>
    <row r="19" spans="1:10" ht="25.5" customHeight="1" x14ac:dyDescent="0.2">
      <c r="A19" s="623" t="s">
        <v>717</v>
      </c>
      <c r="B19" s="623"/>
      <c r="C19" s="31" t="s">
        <v>81</v>
      </c>
      <c r="D19" s="116" t="s">
        <v>368</v>
      </c>
      <c r="E19" s="117" t="s">
        <v>393</v>
      </c>
      <c r="F19" s="115"/>
      <c r="G19" s="115"/>
      <c r="H19" s="79"/>
      <c r="J19" s="30"/>
    </row>
    <row r="20" spans="1:10" x14ac:dyDescent="0.2">
      <c r="A20" s="5" t="s">
        <v>91</v>
      </c>
      <c r="B20" s="5"/>
      <c r="C20" s="31">
        <v>100</v>
      </c>
      <c r="D20" s="90">
        <v>2954.8125184529076</v>
      </c>
      <c r="E20" s="115"/>
      <c r="F20" s="115"/>
      <c r="G20" s="115">
        <v>2954.8125184529076</v>
      </c>
      <c r="H20" s="79"/>
    </row>
    <row r="21" spans="1:10" x14ac:dyDescent="0.2">
      <c r="A21" s="5" t="s">
        <v>104</v>
      </c>
      <c r="B21" s="5"/>
      <c r="C21" s="31">
        <v>100</v>
      </c>
      <c r="D21" s="90">
        <v>1308.2816651904338</v>
      </c>
      <c r="E21" s="121">
        <v>928</v>
      </c>
      <c r="F21" s="121"/>
      <c r="G21" s="115">
        <v>2236.2816651904341</v>
      </c>
      <c r="H21" s="79"/>
    </row>
    <row r="22" spans="1:10" x14ac:dyDescent="0.2">
      <c r="A22" s="5" t="s">
        <v>12</v>
      </c>
      <c r="B22" s="9"/>
      <c r="C22" s="189"/>
      <c r="D22" s="90"/>
      <c r="E22" s="183"/>
      <c r="F22" s="183"/>
      <c r="G22" s="115">
        <v>3765</v>
      </c>
      <c r="H22" s="79"/>
    </row>
    <row r="23" spans="1:10" x14ac:dyDescent="0.2">
      <c r="A23" s="4" t="s">
        <v>92</v>
      </c>
      <c r="B23" s="4"/>
      <c r="C23" s="4"/>
      <c r="D23" s="101">
        <v>37769.524271950097</v>
      </c>
      <c r="E23" s="102">
        <f>SUM(E7:E22)</f>
        <v>43930</v>
      </c>
      <c r="F23" s="102">
        <f>SUM(F7:F22)</f>
        <v>18868</v>
      </c>
      <c r="G23" s="102">
        <f>SUM(G7:G22)</f>
        <v>104332.52427195008</v>
      </c>
      <c r="H23" s="79"/>
    </row>
    <row r="24" spans="1:10" x14ac:dyDescent="0.2">
      <c r="A24" s="7" t="s">
        <v>93</v>
      </c>
      <c r="B24" s="7"/>
      <c r="C24" s="7"/>
      <c r="D24" s="103">
        <f>+E31*F31</f>
        <v>11928</v>
      </c>
      <c r="E24" s="104">
        <v>40134</v>
      </c>
      <c r="F24" s="104">
        <v>16931</v>
      </c>
      <c r="G24" s="105">
        <f>+F24+E24+D24</f>
        <v>68993</v>
      </c>
      <c r="H24" s="79"/>
    </row>
    <row r="25" spans="1:10" x14ac:dyDescent="0.2">
      <c r="A25" s="617" t="s">
        <v>13</v>
      </c>
      <c r="B25" s="617"/>
      <c r="C25" s="617"/>
      <c r="D25" s="617"/>
      <c r="E25" s="617"/>
      <c r="F25" s="617"/>
      <c r="G25" s="617"/>
      <c r="H25" s="80"/>
    </row>
    <row r="26" spans="1:10" x14ac:dyDescent="0.2">
      <c r="A26" s="1" t="s">
        <v>14</v>
      </c>
      <c r="B26" s="5"/>
      <c r="C26" s="5"/>
      <c r="D26" s="5"/>
      <c r="E26" s="5"/>
      <c r="F26" s="5"/>
      <c r="G26" s="5"/>
      <c r="H26" s="80"/>
    </row>
    <row r="27" spans="1:10" x14ac:dyDescent="0.2">
      <c r="A27" s="18" t="s">
        <v>15</v>
      </c>
      <c r="B27" s="18"/>
      <c r="C27" s="18"/>
      <c r="D27" s="19" t="s">
        <v>16</v>
      </c>
      <c r="E27" s="19" t="s">
        <v>17</v>
      </c>
      <c r="F27" s="19" t="s">
        <v>18</v>
      </c>
      <c r="G27" s="106" t="s">
        <v>23</v>
      </c>
      <c r="H27" s="79"/>
    </row>
    <row r="28" spans="1:10" x14ac:dyDescent="0.2">
      <c r="A28" s="1" t="s">
        <v>19</v>
      </c>
      <c r="B28" s="5"/>
      <c r="C28" s="5"/>
      <c r="D28" s="72"/>
      <c r="E28" s="5"/>
      <c r="F28" s="5"/>
      <c r="G28" s="190" t="s">
        <v>720</v>
      </c>
      <c r="H28" s="79"/>
    </row>
    <row r="29" spans="1:10" x14ac:dyDescent="0.2">
      <c r="A29" s="5" t="s">
        <v>6</v>
      </c>
      <c r="B29" s="5"/>
      <c r="C29" s="5"/>
      <c r="D29" s="20" t="s">
        <v>20</v>
      </c>
      <c r="E29" s="75">
        <v>36</v>
      </c>
      <c r="F29" s="22">
        <v>155</v>
      </c>
      <c r="G29" s="190" t="s">
        <v>719</v>
      </c>
      <c r="H29" s="79"/>
    </row>
    <row r="30" spans="1:10" x14ac:dyDescent="0.2">
      <c r="A30" s="1" t="s">
        <v>21</v>
      </c>
      <c r="B30" s="5"/>
      <c r="C30" s="5"/>
      <c r="D30" s="68"/>
      <c r="E30" s="22"/>
      <c r="F30" s="5"/>
      <c r="G30" s="190" t="s">
        <v>718</v>
      </c>
      <c r="H30" s="79"/>
    </row>
    <row r="31" spans="1:10" x14ac:dyDescent="0.2">
      <c r="A31" s="5" t="s">
        <v>43</v>
      </c>
      <c r="B31" s="5"/>
      <c r="C31" s="5"/>
      <c r="D31" s="20" t="s">
        <v>22</v>
      </c>
      <c r="E31" s="22">
        <v>6</v>
      </c>
      <c r="F31" s="90">
        <v>1988</v>
      </c>
      <c r="G31" s="190" t="s">
        <v>722</v>
      </c>
      <c r="H31" s="79"/>
    </row>
    <row r="32" spans="1:10" x14ac:dyDescent="0.2">
      <c r="A32" s="5" t="s">
        <v>35</v>
      </c>
      <c r="B32" s="5"/>
      <c r="C32" s="5"/>
      <c r="D32" s="20" t="s">
        <v>22</v>
      </c>
      <c r="E32" s="22">
        <v>13</v>
      </c>
      <c r="F32" s="5"/>
      <c r="G32" s="190" t="s">
        <v>721</v>
      </c>
      <c r="H32" s="79"/>
    </row>
    <row r="33" spans="1:8" x14ac:dyDescent="0.2">
      <c r="A33" s="5" t="s">
        <v>2</v>
      </c>
      <c r="B33" s="5"/>
      <c r="C33" s="5"/>
      <c r="D33" s="20" t="s">
        <v>22</v>
      </c>
      <c r="E33" s="22">
        <v>19</v>
      </c>
      <c r="F33" s="5"/>
      <c r="G33" s="5"/>
      <c r="H33" s="80"/>
    </row>
    <row r="34" spans="1:8" x14ac:dyDescent="0.2">
      <c r="A34" s="34" t="s">
        <v>54</v>
      </c>
      <c r="B34" s="4"/>
      <c r="C34" s="620" t="s">
        <v>243</v>
      </c>
      <c r="D34" s="620"/>
      <c r="E34" s="4"/>
      <c r="F34" s="4"/>
      <c r="G34" s="4"/>
      <c r="H34" s="80"/>
    </row>
    <row r="35" spans="1:8" x14ac:dyDescent="0.2">
      <c r="A35" s="5" t="s">
        <v>25</v>
      </c>
      <c r="B35" s="3" t="s">
        <v>723</v>
      </c>
      <c r="C35" s="66">
        <v>87</v>
      </c>
      <c r="D35" s="72" t="s">
        <v>20</v>
      </c>
      <c r="E35" s="22">
        <v>374</v>
      </c>
      <c r="F35" s="391" t="s">
        <v>201</v>
      </c>
      <c r="H35" s="93"/>
    </row>
    <row r="36" spans="1:8" x14ac:dyDescent="0.2">
      <c r="A36" s="5" t="s">
        <v>701</v>
      </c>
      <c r="B36" s="5" t="s">
        <v>27</v>
      </c>
      <c r="C36" s="73">
        <v>16.129032258064516</v>
      </c>
      <c r="D36" s="72" t="s">
        <v>20</v>
      </c>
      <c r="E36" s="22">
        <v>19</v>
      </c>
      <c r="F36" s="75">
        <v>800</v>
      </c>
      <c r="H36" s="93"/>
    </row>
    <row r="37" spans="1:8" x14ac:dyDescent="0.2">
      <c r="A37" s="5"/>
      <c r="B37" s="5" t="s">
        <v>75</v>
      </c>
      <c r="C37" s="73">
        <v>12.903225806451612</v>
      </c>
      <c r="D37" s="72" t="s">
        <v>20</v>
      </c>
      <c r="E37" s="22">
        <v>16</v>
      </c>
      <c r="F37" s="391">
        <v>200</v>
      </c>
      <c r="H37" s="93"/>
    </row>
    <row r="38" spans="1:8" x14ac:dyDescent="0.2">
      <c r="A38" s="5"/>
      <c r="B38" s="5" t="s">
        <v>49</v>
      </c>
      <c r="C38" s="73">
        <v>6.4516129032258061</v>
      </c>
      <c r="D38" s="72" t="s">
        <v>20</v>
      </c>
      <c r="E38" s="22">
        <v>26</v>
      </c>
      <c r="F38" s="75">
        <v>500</v>
      </c>
      <c r="H38" s="93"/>
    </row>
    <row r="39" spans="1:8" x14ac:dyDescent="0.2">
      <c r="A39" s="5"/>
      <c r="B39" s="5" t="s">
        <v>86</v>
      </c>
      <c r="C39" s="73">
        <v>74.193548387096769</v>
      </c>
      <c r="D39" s="396" t="s">
        <v>45</v>
      </c>
      <c r="E39" s="70">
        <v>2.9956210191082797</v>
      </c>
      <c r="F39" s="391" t="s">
        <v>201</v>
      </c>
      <c r="G39" s="67"/>
      <c r="H39" s="93"/>
    </row>
    <row r="40" spans="1:8" x14ac:dyDescent="0.2">
      <c r="A40" s="34" t="s">
        <v>31</v>
      </c>
      <c r="B40" s="34"/>
      <c r="C40" s="34"/>
      <c r="D40" s="1"/>
      <c r="E40" s="36" t="s">
        <v>32</v>
      </c>
      <c r="F40" s="191"/>
      <c r="G40" s="1" t="s">
        <v>69</v>
      </c>
      <c r="H40" s="79"/>
    </row>
    <row r="41" spans="1:8" x14ac:dyDescent="0.2">
      <c r="A41" s="5" t="s">
        <v>94</v>
      </c>
      <c r="B41" s="5"/>
      <c r="C41" s="5"/>
      <c r="D41" s="5"/>
      <c r="E41" s="94">
        <v>1300</v>
      </c>
      <c r="F41" s="210"/>
      <c r="G41" s="122">
        <v>3212.3</v>
      </c>
      <c r="H41" s="79"/>
    </row>
    <row r="42" spans="1:8" x14ac:dyDescent="0.2">
      <c r="A42" s="5" t="s">
        <v>95</v>
      </c>
      <c r="B42" s="5"/>
      <c r="C42" s="5"/>
      <c r="D42" s="5"/>
      <c r="E42" s="94">
        <v>103</v>
      </c>
      <c r="F42" s="210"/>
      <c r="G42" s="122"/>
      <c r="H42" s="79"/>
    </row>
    <row r="43" spans="1:8" x14ac:dyDescent="0.2">
      <c r="A43" s="5" t="s">
        <v>192</v>
      </c>
      <c r="B43" s="5"/>
      <c r="C43" s="5"/>
      <c r="D43" s="5"/>
      <c r="E43" s="94">
        <f>+E41*E42</f>
        <v>133900</v>
      </c>
      <c r="F43" s="210"/>
      <c r="G43" s="122">
        <f>+E43*2.471</f>
        <v>330866.90000000002</v>
      </c>
      <c r="H43" s="79"/>
    </row>
    <row r="44" spans="1:8" x14ac:dyDescent="0.2">
      <c r="A44" s="5" t="s">
        <v>645</v>
      </c>
      <c r="B44" s="5"/>
      <c r="C44" s="5"/>
      <c r="D44" s="5"/>
      <c r="E44" s="94">
        <f>+E43-G23</f>
        <v>29567.475728049918</v>
      </c>
      <c r="F44" s="210"/>
      <c r="G44" s="122">
        <f>+E44*2.471</f>
        <v>73061.232524011357</v>
      </c>
      <c r="H44" s="79"/>
    </row>
    <row r="45" spans="1:8" x14ac:dyDescent="0.2">
      <c r="A45" s="5" t="s">
        <v>646</v>
      </c>
      <c r="B45" s="5"/>
      <c r="C45" s="5"/>
      <c r="D45" s="5"/>
      <c r="E45" s="94">
        <f>+E43-G24</f>
        <v>64907</v>
      </c>
      <c r="F45" s="210"/>
      <c r="G45" s="122">
        <f>+E45*2.471</f>
        <v>160385.19700000001</v>
      </c>
      <c r="H45" s="79"/>
    </row>
    <row r="46" spans="1:8" x14ac:dyDescent="0.2">
      <c r="A46" s="5" t="s">
        <v>648</v>
      </c>
      <c r="B46" s="5"/>
      <c r="C46" s="5"/>
      <c r="D46" s="5"/>
      <c r="E46" s="8">
        <f>+G23/E41</f>
        <v>80.255787901500057</v>
      </c>
      <c r="G46" s="12"/>
      <c r="H46" s="79"/>
    </row>
    <row r="47" spans="1:8" x14ac:dyDescent="0.2">
      <c r="A47" s="7" t="s">
        <v>647</v>
      </c>
      <c r="B47" s="7"/>
      <c r="C47" s="7"/>
      <c r="D47" s="7"/>
      <c r="E47" s="16">
        <f>+G24/E41</f>
        <v>53.071538461538459</v>
      </c>
      <c r="F47" s="67"/>
      <c r="G47" s="37"/>
      <c r="H47" s="79"/>
    </row>
    <row r="48" spans="1:8" x14ac:dyDescent="0.2">
      <c r="H48" s="79"/>
    </row>
    <row r="50" spans="1:3" x14ac:dyDescent="0.2">
      <c r="C50" s="192"/>
    </row>
    <row r="51" spans="1:3" x14ac:dyDescent="0.2">
      <c r="C51" s="192"/>
    </row>
    <row r="52" spans="1:3" x14ac:dyDescent="0.2">
      <c r="A52" s="23"/>
      <c r="C52" s="193"/>
    </row>
  </sheetData>
  <mergeCells count="9">
    <mergeCell ref="C34:D34"/>
    <mergeCell ref="A17:B17"/>
    <mergeCell ref="A5:B6"/>
    <mergeCell ref="C5:C6"/>
    <mergeCell ref="D5:G5"/>
    <mergeCell ref="A25:G25"/>
    <mergeCell ref="D12:D13"/>
    <mergeCell ref="G12:G13"/>
    <mergeCell ref="A19:B19"/>
  </mergeCells>
  <pageMargins left="0.7" right="0.7" top="0.75" bottom="0.75" header="0.3" footer="0.3"/>
  <pageSetup paperSize="9" scale="77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8"/>
  <sheetViews>
    <sheetView topLeftCell="A5" workbookViewId="0">
      <selection activeCell="K28" sqref="K28"/>
    </sheetView>
  </sheetViews>
  <sheetFormatPr defaultColWidth="9.140625" defaultRowHeight="15" x14ac:dyDescent="0.25"/>
  <cols>
    <col min="1" max="1" width="22" style="26" customWidth="1"/>
    <col min="2" max="2" width="20.85546875" style="26" customWidth="1"/>
    <col min="3" max="3" width="7.7109375" style="26" customWidth="1"/>
    <col min="4" max="4" width="10.28515625" style="26" customWidth="1"/>
    <col min="5" max="5" width="9.85546875" style="26" bestFit="1" customWidth="1"/>
    <col min="6" max="6" width="13" style="26" customWidth="1"/>
    <col min="7" max="7" width="14.140625" style="26" bestFit="1" customWidth="1"/>
    <col min="8" max="8" width="9" style="26" customWidth="1"/>
    <col min="9" max="16384" width="9.140625" style="26"/>
  </cols>
  <sheetData>
    <row r="1" spans="1:9" s="3" customFormat="1" ht="12.75" x14ac:dyDescent="0.2">
      <c r="D1" s="2"/>
      <c r="E1" s="2"/>
      <c r="F1" s="2"/>
      <c r="G1" s="2"/>
      <c r="H1" s="78"/>
    </row>
    <row r="2" spans="1:9" s="3" customFormat="1" ht="12.75" x14ac:dyDescent="0.2">
      <c r="A2" s="1"/>
      <c r="B2" s="2"/>
      <c r="C2" s="2"/>
      <c r="D2" s="2"/>
      <c r="E2" s="2"/>
      <c r="F2" s="1"/>
      <c r="G2" s="1"/>
      <c r="H2" s="78"/>
    </row>
    <row r="3" spans="1:9" x14ac:dyDescent="0.25">
      <c r="A3" s="1" t="s">
        <v>498</v>
      </c>
      <c r="B3" s="2" t="s">
        <v>222</v>
      </c>
      <c r="C3" s="2"/>
      <c r="D3" s="6"/>
      <c r="E3" s="6"/>
      <c r="F3" s="6"/>
      <c r="G3" s="6"/>
      <c r="H3" s="262"/>
    </row>
    <row r="4" spans="1:9" ht="24.75" x14ac:dyDescent="0.25">
      <c r="A4" s="5"/>
      <c r="B4" s="5"/>
      <c r="C4" s="5"/>
      <c r="D4" s="6"/>
      <c r="E4" s="6"/>
      <c r="F4" s="6"/>
      <c r="H4" s="263"/>
      <c r="I4" s="288" t="s">
        <v>241</v>
      </c>
    </row>
    <row r="5" spans="1:9" x14ac:dyDescent="0.25">
      <c r="A5" s="617" t="s">
        <v>1</v>
      </c>
      <c r="B5" s="617"/>
      <c r="C5" s="615" t="s">
        <v>243</v>
      </c>
      <c r="D5" s="617" t="s">
        <v>130</v>
      </c>
      <c r="E5" s="617"/>
      <c r="F5" s="617"/>
      <c r="G5" s="617"/>
      <c r="H5" s="263"/>
    </row>
    <row r="6" spans="1:9" x14ac:dyDescent="0.25">
      <c r="A6" s="622"/>
      <c r="B6" s="622"/>
      <c r="C6" s="616"/>
      <c r="D6" s="109" t="s">
        <v>48</v>
      </c>
      <c r="E6" s="109" t="s">
        <v>128</v>
      </c>
      <c r="F6" s="109" t="s">
        <v>131</v>
      </c>
      <c r="G6" s="109" t="s">
        <v>2</v>
      </c>
      <c r="H6" s="264"/>
    </row>
    <row r="7" spans="1:9" x14ac:dyDescent="0.25">
      <c r="A7" s="5" t="s">
        <v>3</v>
      </c>
      <c r="B7" s="5"/>
      <c r="C7" s="63">
        <v>54</v>
      </c>
      <c r="D7" s="90">
        <v>1900</v>
      </c>
      <c r="E7" s="90"/>
      <c r="F7" s="90"/>
      <c r="G7" s="90">
        <v>1900</v>
      </c>
      <c r="H7" s="255"/>
    </row>
    <row r="8" spans="1:9" ht="16.5" x14ac:dyDescent="0.25">
      <c r="A8" s="5" t="s">
        <v>225</v>
      </c>
      <c r="B8" s="9"/>
      <c r="C8" s="63">
        <v>59</v>
      </c>
      <c r="D8" s="90">
        <v>1180</v>
      </c>
      <c r="E8" s="90">
        <v>19813</v>
      </c>
      <c r="F8" s="90"/>
      <c r="G8" s="90">
        <v>20993</v>
      </c>
      <c r="H8" s="255"/>
    </row>
    <row r="9" spans="1:9" x14ac:dyDescent="0.25">
      <c r="A9" s="5" t="s">
        <v>72</v>
      </c>
      <c r="B9" s="5"/>
      <c r="C9" s="179" t="s">
        <v>111</v>
      </c>
      <c r="D9" s="90"/>
      <c r="E9" s="116" t="s">
        <v>395</v>
      </c>
      <c r="F9" s="90"/>
      <c r="G9" s="90"/>
      <c r="H9" s="255"/>
    </row>
    <row r="10" spans="1:9" ht="16.5" x14ac:dyDescent="0.25">
      <c r="A10" s="5" t="s">
        <v>226</v>
      </c>
      <c r="B10" s="5"/>
      <c r="C10" s="179" t="s">
        <v>87</v>
      </c>
      <c r="D10" s="90"/>
      <c r="E10" s="116" t="s">
        <v>396</v>
      </c>
      <c r="F10" s="90"/>
      <c r="G10" s="90"/>
      <c r="H10" s="255"/>
    </row>
    <row r="11" spans="1:9" x14ac:dyDescent="0.25">
      <c r="A11" s="5" t="s">
        <v>72</v>
      </c>
      <c r="B11" s="5"/>
      <c r="C11" s="179" t="s">
        <v>724</v>
      </c>
      <c r="D11" s="90"/>
      <c r="E11" s="116" t="s">
        <v>397</v>
      </c>
      <c r="F11" s="90"/>
      <c r="G11" s="90"/>
      <c r="H11" s="255"/>
    </row>
    <row r="12" spans="1:9" x14ac:dyDescent="0.25">
      <c r="A12" s="5" t="s">
        <v>5</v>
      </c>
      <c r="B12" s="5"/>
      <c r="C12" s="63">
        <v>100</v>
      </c>
      <c r="D12" s="90">
        <v>7154.45</v>
      </c>
      <c r="E12" s="90"/>
      <c r="F12" s="90"/>
      <c r="G12" s="90">
        <v>7154.45</v>
      </c>
      <c r="H12" s="255"/>
    </row>
    <row r="13" spans="1:9" x14ac:dyDescent="0.25">
      <c r="A13" s="5" t="s">
        <v>122</v>
      </c>
      <c r="B13" s="5"/>
      <c r="C13" s="63">
        <v>100</v>
      </c>
      <c r="D13" s="90">
        <v>4097.75</v>
      </c>
      <c r="E13" s="90"/>
      <c r="F13" s="90">
        <v>8250</v>
      </c>
      <c r="G13" s="90">
        <v>12347.75</v>
      </c>
      <c r="H13" s="255"/>
    </row>
    <row r="14" spans="1:9" x14ac:dyDescent="0.25">
      <c r="A14" s="5" t="s">
        <v>7</v>
      </c>
      <c r="B14" s="5"/>
      <c r="C14" s="63">
        <v>60</v>
      </c>
      <c r="D14" s="646">
        <v>1800</v>
      </c>
      <c r="E14" s="90"/>
      <c r="F14" s="90">
        <v>5056</v>
      </c>
      <c r="G14" s="646">
        <f>+F14+F15+D14</f>
        <v>30359</v>
      </c>
      <c r="H14" s="255"/>
    </row>
    <row r="15" spans="1:9" x14ac:dyDescent="0.25">
      <c r="A15" s="5" t="s">
        <v>8</v>
      </c>
      <c r="B15" s="5"/>
      <c r="C15" s="63">
        <v>100</v>
      </c>
      <c r="D15" s="646"/>
      <c r="E15" s="90"/>
      <c r="F15" s="90">
        <v>23503</v>
      </c>
      <c r="G15" s="646"/>
      <c r="H15" s="255"/>
    </row>
    <row r="16" spans="1:9" x14ac:dyDescent="0.25">
      <c r="A16" s="5" t="s">
        <v>9</v>
      </c>
      <c r="B16" s="5"/>
      <c r="C16" s="63">
        <v>96</v>
      </c>
      <c r="D16" s="90">
        <v>1841.79</v>
      </c>
      <c r="E16" s="90"/>
      <c r="F16" s="90">
        <v>8941</v>
      </c>
      <c r="G16" s="90">
        <v>10782.79</v>
      </c>
      <c r="H16" s="255"/>
    </row>
    <row r="17" spans="1:8" x14ac:dyDescent="0.25">
      <c r="A17" s="5" t="s">
        <v>89</v>
      </c>
      <c r="B17" s="5"/>
      <c r="C17" s="63">
        <v>63</v>
      </c>
      <c r="D17" s="90">
        <v>1880</v>
      </c>
      <c r="E17" s="90"/>
      <c r="F17" s="90">
        <v>3804</v>
      </c>
      <c r="G17" s="90">
        <v>5684</v>
      </c>
      <c r="H17" s="255"/>
    </row>
    <row r="18" spans="1:8" x14ac:dyDescent="0.25">
      <c r="A18" s="5" t="s">
        <v>90</v>
      </c>
      <c r="B18" s="5"/>
      <c r="C18" s="63">
        <v>100</v>
      </c>
      <c r="D18" s="90">
        <v>6780</v>
      </c>
      <c r="E18" s="90"/>
      <c r="F18" s="90"/>
      <c r="G18" s="90">
        <v>6780</v>
      </c>
      <c r="H18" s="255"/>
    </row>
    <row r="19" spans="1:8" ht="28.5" customHeight="1" x14ac:dyDescent="0.25">
      <c r="A19" s="623" t="s">
        <v>200</v>
      </c>
      <c r="B19" s="623"/>
      <c r="C19" s="63">
        <v>95</v>
      </c>
      <c r="D19" s="90">
        <v>2900</v>
      </c>
      <c r="E19" s="90">
        <v>17962</v>
      </c>
      <c r="F19" s="90"/>
      <c r="G19" s="90">
        <v>20862</v>
      </c>
      <c r="H19" s="255"/>
    </row>
    <row r="20" spans="1:8" s="52" customFormat="1" x14ac:dyDescent="0.25">
      <c r="A20" s="126" t="s">
        <v>197</v>
      </c>
      <c r="B20" s="268"/>
      <c r="C20" s="63" t="s">
        <v>198</v>
      </c>
      <c r="D20" s="170" t="s">
        <v>398</v>
      </c>
      <c r="E20" s="269"/>
      <c r="F20" s="269"/>
      <c r="G20" s="269"/>
      <c r="H20" s="265"/>
    </row>
    <row r="21" spans="1:8" ht="24" customHeight="1" x14ac:dyDescent="0.25">
      <c r="A21" s="623" t="s">
        <v>203</v>
      </c>
      <c r="B21" s="623"/>
      <c r="C21" s="63" t="s">
        <v>198</v>
      </c>
      <c r="D21" s="90"/>
      <c r="E21" s="116" t="s">
        <v>399</v>
      </c>
      <c r="F21" s="90"/>
      <c r="G21" s="90"/>
      <c r="H21" s="255"/>
    </row>
    <row r="22" spans="1:8" x14ac:dyDescent="0.25">
      <c r="A22" s="5" t="s">
        <v>91</v>
      </c>
      <c r="B22" s="5"/>
      <c r="C22" s="63">
        <v>87</v>
      </c>
      <c r="D22" s="90">
        <v>2940</v>
      </c>
      <c r="E22" s="90"/>
      <c r="F22" s="90"/>
      <c r="G22" s="90">
        <v>2940</v>
      </c>
      <c r="H22" s="255"/>
    </row>
    <row r="23" spans="1:8" x14ac:dyDescent="0.25">
      <c r="A23" s="5" t="s">
        <v>123</v>
      </c>
      <c r="B23" s="5"/>
      <c r="C23" s="63">
        <v>79</v>
      </c>
      <c r="D23" s="90">
        <v>360</v>
      </c>
      <c r="E23" s="120">
        <v>2409</v>
      </c>
      <c r="F23" s="120"/>
      <c r="G23" s="90">
        <v>2769</v>
      </c>
      <c r="H23" s="255"/>
    </row>
    <row r="24" spans="1:8" x14ac:dyDescent="0.25">
      <c r="A24" s="5" t="s">
        <v>105</v>
      </c>
      <c r="B24" s="5"/>
      <c r="C24" s="63"/>
      <c r="D24" s="90"/>
      <c r="E24" s="120"/>
      <c r="F24" s="120"/>
      <c r="G24" s="90">
        <v>2250</v>
      </c>
      <c r="H24" s="255"/>
    </row>
    <row r="25" spans="1:8" x14ac:dyDescent="0.25">
      <c r="A25" s="4" t="s">
        <v>92</v>
      </c>
      <c r="B25" s="4"/>
      <c r="C25" s="4"/>
      <c r="D25" s="101">
        <f t="shared" ref="D25:F25" si="0">SUM(D7:D24)</f>
        <v>32833.990000000005</v>
      </c>
      <c r="E25" s="101">
        <f t="shared" si="0"/>
        <v>40184</v>
      </c>
      <c r="F25" s="101">
        <f t="shared" si="0"/>
        <v>49554</v>
      </c>
      <c r="G25" s="101">
        <f>SUM(G7:G24)</f>
        <v>124821.98999999999</v>
      </c>
      <c r="H25" s="255"/>
    </row>
    <row r="26" spans="1:8" x14ac:dyDescent="0.25">
      <c r="A26" s="7" t="s">
        <v>93</v>
      </c>
      <c r="B26" s="7"/>
      <c r="C26" s="7"/>
      <c r="D26" s="103">
        <f>+E35*F35</f>
        <v>10260</v>
      </c>
      <c r="E26" s="247">
        <v>37769</v>
      </c>
      <c r="F26" s="247">
        <v>47378</v>
      </c>
      <c r="G26" s="103">
        <f>+F26+E26+D26</f>
        <v>95407</v>
      </c>
      <c r="H26" s="255"/>
    </row>
    <row r="27" spans="1:8" x14ac:dyDescent="0.25">
      <c r="A27" s="5"/>
      <c r="B27" s="5"/>
      <c r="C27" s="5"/>
      <c r="D27" s="5"/>
      <c r="E27" s="5"/>
      <c r="F27" s="5"/>
      <c r="G27" s="5"/>
      <c r="H27" s="266"/>
    </row>
    <row r="28" spans="1:8" x14ac:dyDescent="0.25">
      <c r="A28" s="5"/>
      <c r="B28" s="5"/>
      <c r="C28" s="1" t="s">
        <v>13</v>
      </c>
      <c r="D28" s="5"/>
      <c r="E28" s="5"/>
      <c r="F28" s="5"/>
      <c r="G28" s="5"/>
      <c r="H28" s="266"/>
    </row>
    <row r="29" spans="1:8" x14ac:dyDescent="0.25">
      <c r="A29" s="1" t="s">
        <v>14</v>
      </c>
      <c r="B29" s="1"/>
      <c r="C29" s="1"/>
      <c r="D29" s="1"/>
      <c r="E29" s="1"/>
      <c r="F29" s="1"/>
      <c r="G29" s="1"/>
      <c r="H29" s="266"/>
    </row>
    <row r="30" spans="1:8" x14ac:dyDescent="0.25">
      <c r="A30" s="108" t="s">
        <v>15</v>
      </c>
      <c r="B30" s="108"/>
      <c r="C30" s="108"/>
      <c r="D30" s="153" t="s">
        <v>16</v>
      </c>
      <c r="E30" s="153" t="s">
        <v>17</v>
      </c>
      <c r="F30" s="153" t="s">
        <v>18</v>
      </c>
      <c r="G30" s="224" t="s">
        <v>178</v>
      </c>
      <c r="H30" s="255"/>
    </row>
    <row r="31" spans="1:8" x14ac:dyDescent="0.25">
      <c r="A31" s="5" t="s">
        <v>19</v>
      </c>
      <c r="B31" s="5"/>
      <c r="C31" s="5"/>
      <c r="D31" s="72"/>
      <c r="E31" s="5"/>
      <c r="F31" s="5"/>
      <c r="G31" s="270" t="s">
        <v>196</v>
      </c>
      <c r="H31" s="255"/>
    </row>
    <row r="32" spans="1:8" x14ac:dyDescent="0.25">
      <c r="A32" s="5" t="s">
        <v>6</v>
      </c>
      <c r="B32" s="5"/>
      <c r="C32" s="5"/>
      <c r="D32" s="20" t="s">
        <v>20</v>
      </c>
      <c r="E32" s="75">
        <v>55</v>
      </c>
      <c r="F32" s="22">
        <v>150</v>
      </c>
      <c r="G32" s="270" t="s">
        <v>194</v>
      </c>
      <c r="H32" s="255"/>
    </row>
    <row r="33" spans="1:8" ht="17.25" customHeight="1" x14ac:dyDescent="0.25">
      <c r="A33" s="5"/>
      <c r="B33" s="5"/>
      <c r="C33" s="5"/>
      <c r="D33" s="68"/>
      <c r="E33" s="29"/>
      <c r="F33" s="32"/>
      <c r="G33" s="270" t="s">
        <v>195</v>
      </c>
      <c r="H33" s="255"/>
    </row>
    <row r="34" spans="1:8" x14ac:dyDescent="0.25">
      <c r="A34" s="5" t="s">
        <v>21</v>
      </c>
      <c r="B34" s="5"/>
      <c r="C34" s="5"/>
      <c r="D34" s="68"/>
      <c r="E34" s="5"/>
      <c r="F34" s="5"/>
      <c r="G34" s="270" t="s">
        <v>205</v>
      </c>
      <c r="H34" s="255"/>
    </row>
    <row r="35" spans="1:8" x14ac:dyDescent="0.25">
      <c r="A35" s="5" t="s">
        <v>34</v>
      </c>
      <c r="B35" s="5"/>
      <c r="C35" s="5"/>
      <c r="D35" s="20" t="s">
        <v>22</v>
      </c>
      <c r="E35" s="22">
        <v>5</v>
      </c>
      <c r="F35" s="90">
        <v>2052</v>
      </c>
      <c r="G35" s="270" t="s">
        <v>204</v>
      </c>
      <c r="H35" s="255"/>
    </row>
    <row r="36" spans="1:8" x14ac:dyDescent="0.25">
      <c r="A36" s="5" t="s">
        <v>35</v>
      </c>
      <c r="B36" s="5"/>
      <c r="C36" s="5"/>
      <c r="D36" s="20" t="s">
        <v>22</v>
      </c>
      <c r="E36" s="22">
        <v>11</v>
      </c>
      <c r="F36" s="5"/>
      <c r="G36" s="270" t="s">
        <v>206</v>
      </c>
      <c r="H36" s="255"/>
    </row>
    <row r="37" spans="1:8" x14ac:dyDescent="0.25">
      <c r="A37" s="5" t="s">
        <v>2</v>
      </c>
      <c r="B37" s="5"/>
      <c r="C37" s="5"/>
      <c r="D37" s="20" t="s">
        <v>22</v>
      </c>
      <c r="E37" s="22">
        <v>16</v>
      </c>
      <c r="F37" s="5"/>
      <c r="G37" s="3"/>
      <c r="H37" s="266"/>
    </row>
    <row r="38" spans="1:8" x14ac:dyDescent="0.25">
      <c r="A38" s="34" t="s">
        <v>54</v>
      </c>
      <c r="B38" s="4"/>
      <c r="C38" s="620" t="s">
        <v>243</v>
      </c>
      <c r="D38" s="620"/>
      <c r="E38" s="4"/>
      <c r="F38" s="4"/>
      <c r="G38" s="3"/>
      <c r="H38" s="266"/>
    </row>
    <row r="39" spans="1:8" x14ac:dyDescent="0.25">
      <c r="A39" s="5" t="s">
        <v>25</v>
      </c>
      <c r="B39" s="5" t="s">
        <v>129</v>
      </c>
      <c r="C39" s="73">
        <v>64</v>
      </c>
      <c r="D39" s="20" t="s">
        <v>20</v>
      </c>
      <c r="E39" s="75">
        <v>142</v>
      </c>
      <c r="F39" s="75">
        <v>35.5</v>
      </c>
      <c r="G39" s="3"/>
      <c r="H39" s="266"/>
    </row>
    <row r="40" spans="1:8" x14ac:dyDescent="0.25">
      <c r="A40" s="5"/>
      <c r="B40" s="5" t="s">
        <v>27</v>
      </c>
      <c r="C40" s="182" t="s">
        <v>61</v>
      </c>
      <c r="D40" s="20" t="s">
        <v>20</v>
      </c>
      <c r="E40" s="29" t="s">
        <v>112</v>
      </c>
      <c r="F40" s="29" t="s">
        <v>113</v>
      </c>
      <c r="G40" s="3"/>
      <c r="H40" s="266"/>
    </row>
    <row r="41" spans="1:8" x14ac:dyDescent="0.25">
      <c r="A41" s="5"/>
      <c r="B41" s="5" t="s">
        <v>75</v>
      </c>
      <c r="C41" s="182" t="s">
        <v>74</v>
      </c>
      <c r="D41" s="20" t="s">
        <v>20</v>
      </c>
      <c r="E41" s="29" t="s">
        <v>114</v>
      </c>
      <c r="F41" s="29" t="s">
        <v>115</v>
      </c>
      <c r="G41" s="3"/>
      <c r="H41" s="266"/>
    </row>
    <row r="42" spans="1:8" x14ac:dyDescent="0.25">
      <c r="A42" s="5" t="s">
        <v>26</v>
      </c>
      <c r="B42" s="5" t="s">
        <v>27</v>
      </c>
      <c r="C42" s="73">
        <v>29</v>
      </c>
      <c r="D42" s="20" t="s">
        <v>20</v>
      </c>
      <c r="E42" s="75">
        <v>37</v>
      </c>
      <c r="F42" s="75">
        <v>800</v>
      </c>
      <c r="G42" s="3"/>
      <c r="H42" s="266"/>
    </row>
    <row r="43" spans="1:8" x14ac:dyDescent="0.25">
      <c r="A43" s="5"/>
      <c r="B43" s="5" t="s">
        <v>75</v>
      </c>
      <c r="C43" s="73">
        <v>31</v>
      </c>
      <c r="D43" s="20" t="s">
        <v>20</v>
      </c>
      <c r="E43" s="75">
        <v>89</v>
      </c>
      <c r="F43" s="75">
        <v>200</v>
      </c>
      <c r="G43" s="3"/>
      <c r="H43" s="266"/>
    </row>
    <row r="44" spans="1:8" x14ac:dyDescent="0.25">
      <c r="A44" s="5"/>
      <c r="B44" s="5" t="s">
        <v>116</v>
      </c>
      <c r="C44" s="182" t="s">
        <v>112</v>
      </c>
      <c r="D44" s="20" t="s">
        <v>20</v>
      </c>
      <c r="E44" s="29" t="s">
        <v>117</v>
      </c>
      <c r="F44" s="29" t="s">
        <v>118</v>
      </c>
      <c r="G44" s="3"/>
      <c r="H44" s="266"/>
    </row>
    <row r="45" spans="1:8" x14ac:dyDescent="0.25">
      <c r="A45" s="5"/>
      <c r="B45" s="5" t="s">
        <v>725</v>
      </c>
      <c r="C45" s="73">
        <v>48</v>
      </c>
      <c r="D45" s="272" t="s">
        <v>45</v>
      </c>
      <c r="E45" s="21">
        <v>4.5</v>
      </c>
      <c r="F45" s="29" t="s">
        <v>201</v>
      </c>
      <c r="G45" s="3"/>
      <c r="H45" s="266"/>
    </row>
    <row r="46" spans="1:8" x14ac:dyDescent="0.25">
      <c r="A46" s="34" t="s">
        <v>31</v>
      </c>
      <c r="B46" s="34"/>
      <c r="C46" s="34"/>
      <c r="D46" s="34"/>
      <c r="E46" s="180" t="s">
        <v>32</v>
      </c>
      <c r="F46" s="34"/>
      <c r="G46" s="180" t="s">
        <v>33</v>
      </c>
      <c r="H46" s="255"/>
    </row>
    <row r="47" spans="1:8" x14ac:dyDescent="0.25">
      <c r="A47" s="5" t="s">
        <v>94</v>
      </c>
      <c r="B47" s="5"/>
      <c r="C47" s="5"/>
      <c r="D47" s="5"/>
      <c r="E47" s="90">
        <v>1752</v>
      </c>
      <c r="F47" s="12"/>
      <c r="G47" s="90">
        <v>4329.192</v>
      </c>
      <c r="H47" s="255"/>
    </row>
    <row r="48" spans="1:8" x14ac:dyDescent="0.25">
      <c r="A48" s="5" t="s">
        <v>95</v>
      </c>
      <c r="B48" s="5"/>
      <c r="C48" s="5"/>
      <c r="D48" s="5"/>
      <c r="E48" s="22">
        <v>115</v>
      </c>
      <c r="F48" s="12"/>
      <c r="G48" s="8"/>
      <c r="H48" s="255"/>
    </row>
    <row r="49" spans="1:8" x14ac:dyDescent="0.25">
      <c r="A49" s="5" t="s">
        <v>192</v>
      </c>
      <c r="B49" s="5"/>
      <c r="C49" s="5"/>
      <c r="D49" s="5"/>
      <c r="E49" s="90">
        <f>+E47*E48</f>
        <v>201480</v>
      </c>
      <c r="F49" s="12"/>
      <c r="G49" s="90">
        <f>+E49*2.471</f>
        <v>497857.08</v>
      </c>
      <c r="H49" s="255"/>
    </row>
    <row r="50" spans="1:8" x14ac:dyDescent="0.25">
      <c r="A50" s="5" t="s">
        <v>645</v>
      </c>
      <c r="B50" s="5"/>
      <c r="C50" s="5"/>
      <c r="D50" s="5"/>
      <c r="E50" s="90">
        <f>+E49-G25</f>
        <v>76658.010000000009</v>
      </c>
      <c r="F50" s="12"/>
      <c r="G50" s="90">
        <f>+E50*2.471</f>
        <v>189421.94271000003</v>
      </c>
      <c r="H50" s="255"/>
    </row>
    <row r="51" spans="1:8" x14ac:dyDescent="0.25">
      <c r="A51" s="5" t="s">
        <v>646</v>
      </c>
      <c r="B51" s="5"/>
      <c r="C51" s="5"/>
      <c r="D51" s="5"/>
      <c r="E51" s="90">
        <f>+E49-G26</f>
        <v>106073</v>
      </c>
      <c r="F51" s="12"/>
      <c r="G51" s="90">
        <f>+E51*2.471</f>
        <v>262106.383</v>
      </c>
      <c r="H51" s="255"/>
    </row>
    <row r="52" spans="1:8" x14ac:dyDescent="0.25">
      <c r="A52" s="5" t="s">
        <v>648</v>
      </c>
      <c r="B52" s="5"/>
      <c r="C52" s="5"/>
      <c r="D52" s="5"/>
      <c r="E52" s="8">
        <f>+G25/E47</f>
        <v>71.245428082191779</v>
      </c>
      <c r="F52" s="12"/>
      <c r="G52" s="5"/>
      <c r="H52" s="255"/>
    </row>
    <row r="53" spans="1:8" x14ac:dyDescent="0.25">
      <c r="A53" s="7" t="s">
        <v>647</v>
      </c>
      <c r="B53" s="7"/>
      <c r="C53" s="7"/>
      <c r="D53" s="7"/>
      <c r="E53" s="16">
        <f>+G26/E47</f>
        <v>54.456050228310502</v>
      </c>
      <c r="F53" s="37"/>
      <c r="G53" s="7"/>
      <c r="H53" s="255"/>
    </row>
    <row r="56" spans="1:8" x14ac:dyDescent="0.25">
      <c r="A56" s="38"/>
    </row>
    <row r="57" spans="1:8" x14ac:dyDescent="0.25">
      <c r="A57" s="38"/>
    </row>
    <row r="58" spans="1:8" x14ac:dyDescent="0.25">
      <c r="A58" s="39"/>
    </row>
  </sheetData>
  <mergeCells count="8">
    <mergeCell ref="C38:D38"/>
    <mergeCell ref="A19:B19"/>
    <mergeCell ref="A21:B21"/>
    <mergeCell ref="A5:B6"/>
    <mergeCell ref="C5:C6"/>
    <mergeCell ref="D5:G5"/>
    <mergeCell ref="D14:D15"/>
    <mergeCell ref="G14:G15"/>
  </mergeCells>
  <pageMargins left="0.7" right="0.7" top="0.75" bottom="0.75" header="0.3" footer="0.3"/>
  <pageSetup paperSize="9" scale="9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5"/>
  <sheetViews>
    <sheetView workbookViewId="0">
      <selection activeCell="D12" sqref="D12"/>
    </sheetView>
  </sheetViews>
  <sheetFormatPr defaultColWidth="9.140625" defaultRowHeight="12.75" x14ac:dyDescent="0.2"/>
  <cols>
    <col min="1" max="1" width="25.85546875" style="3" customWidth="1"/>
    <col min="2" max="2" width="14" style="3" customWidth="1"/>
    <col min="3" max="3" width="9.85546875" style="3" bestFit="1" customWidth="1"/>
    <col min="4" max="4" width="9.28515625" style="3" bestFit="1" customWidth="1"/>
    <col min="5" max="5" width="12" style="3" customWidth="1"/>
    <col min="6" max="6" width="13.28515625" style="3" customWidth="1"/>
    <col min="7" max="16384" width="9.140625" style="3"/>
  </cols>
  <sheetData>
    <row r="1" spans="1:9" x14ac:dyDescent="0.2">
      <c r="A1" s="12"/>
      <c r="B1" s="12"/>
      <c r="C1" s="194"/>
      <c r="D1" s="12"/>
      <c r="E1" s="12"/>
      <c r="F1" s="12"/>
      <c r="G1" s="248"/>
    </row>
    <row r="2" spans="1:9" x14ac:dyDescent="0.2">
      <c r="B2" s="12"/>
      <c r="C2" s="194"/>
      <c r="D2" s="12"/>
      <c r="E2" s="12"/>
      <c r="F2" s="12"/>
      <c r="G2" s="248"/>
    </row>
    <row r="3" spans="1:9" x14ac:dyDescent="0.2">
      <c r="A3" s="2" t="s">
        <v>499</v>
      </c>
      <c r="B3" s="12"/>
      <c r="C3" s="12"/>
      <c r="D3" s="12"/>
      <c r="E3" s="12"/>
      <c r="F3" s="200"/>
      <c r="G3" s="261"/>
    </row>
    <row r="4" spans="1:9" ht="12" customHeight="1" x14ac:dyDescent="0.25">
      <c r="A4" s="12"/>
      <c r="B4" s="12"/>
      <c r="C4" s="280"/>
      <c r="D4" s="12"/>
      <c r="E4" s="12"/>
      <c r="G4" s="248"/>
      <c r="H4" s="654" t="s">
        <v>241</v>
      </c>
      <c r="I4" s="654"/>
    </row>
    <row r="5" spans="1:9" x14ac:dyDescent="0.2">
      <c r="A5" s="617" t="s">
        <v>1</v>
      </c>
      <c r="B5" s="615" t="s">
        <v>243</v>
      </c>
      <c r="C5" s="617" t="s">
        <v>130</v>
      </c>
      <c r="D5" s="617"/>
      <c r="E5" s="617"/>
      <c r="F5" s="617"/>
      <c r="G5" s="248"/>
    </row>
    <row r="6" spans="1:9" x14ac:dyDescent="0.2">
      <c r="A6" s="622"/>
      <c r="B6" s="644"/>
      <c r="C6" s="109" t="s">
        <v>48</v>
      </c>
      <c r="D6" s="109" t="s">
        <v>128</v>
      </c>
      <c r="E6" s="109" t="s">
        <v>131</v>
      </c>
      <c r="F6" s="109" t="s">
        <v>2</v>
      </c>
      <c r="G6" s="260"/>
    </row>
    <row r="7" spans="1:9" x14ac:dyDescent="0.2">
      <c r="A7" s="12" t="s">
        <v>100</v>
      </c>
      <c r="B7" s="397" t="s">
        <v>198</v>
      </c>
      <c r="C7" s="321" t="s">
        <v>406</v>
      </c>
      <c r="D7" s="322"/>
      <c r="E7" s="320" t="s">
        <v>407</v>
      </c>
      <c r="F7" s="122"/>
      <c r="G7" s="79"/>
    </row>
    <row r="8" spans="1:9" x14ac:dyDescent="0.2">
      <c r="A8" s="12" t="s">
        <v>3</v>
      </c>
      <c r="B8" s="196">
        <v>82</v>
      </c>
      <c r="C8" s="323">
        <v>3185.02</v>
      </c>
      <c r="D8" s="323"/>
      <c r="E8" s="234"/>
      <c r="F8" s="234">
        <v>3185.02</v>
      </c>
      <c r="G8" s="79"/>
    </row>
    <row r="9" spans="1:9" ht="15.75" x14ac:dyDescent="0.2">
      <c r="A9" s="12" t="s">
        <v>220</v>
      </c>
      <c r="B9" s="196">
        <v>53</v>
      </c>
      <c r="C9" s="323">
        <v>2002.5</v>
      </c>
      <c r="D9" s="323">
        <v>13503</v>
      </c>
      <c r="E9" s="234"/>
      <c r="F9" s="234">
        <v>15505.5</v>
      </c>
      <c r="G9" s="79"/>
    </row>
    <row r="10" spans="1:9" x14ac:dyDescent="0.2">
      <c r="A10" s="12" t="s">
        <v>72</v>
      </c>
      <c r="B10" s="31" t="s">
        <v>726</v>
      </c>
      <c r="C10" s="319" t="s">
        <v>405</v>
      </c>
      <c r="D10" s="319" t="s">
        <v>400</v>
      </c>
      <c r="E10" s="234"/>
      <c r="F10" s="234"/>
      <c r="G10" s="79"/>
    </row>
    <row r="11" spans="1:9" ht="15.75" x14ac:dyDescent="0.2">
      <c r="A11" s="12" t="s">
        <v>221</v>
      </c>
      <c r="B11" s="31" t="s">
        <v>78</v>
      </c>
      <c r="C11" s="319" t="s">
        <v>404</v>
      </c>
      <c r="D11" s="160" t="s">
        <v>401</v>
      </c>
      <c r="E11" s="234"/>
      <c r="F11" s="234"/>
      <c r="G11" s="79"/>
    </row>
    <row r="12" spans="1:9" x14ac:dyDescent="0.2">
      <c r="A12" s="12" t="s">
        <v>223</v>
      </c>
      <c r="B12" s="31" t="s">
        <v>40</v>
      </c>
      <c r="C12" s="319" t="s">
        <v>403</v>
      </c>
      <c r="D12" s="319" t="s">
        <v>402</v>
      </c>
      <c r="E12" s="234"/>
      <c r="F12" s="234"/>
      <c r="G12" s="79"/>
    </row>
    <row r="13" spans="1:9" x14ac:dyDescent="0.2">
      <c r="A13" s="12" t="s">
        <v>5</v>
      </c>
      <c r="B13" s="197" t="s">
        <v>101</v>
      </c>
      <c r="C13" s="234">
        <v>11489.22</v>
      </c>
      <c r="D13" s="236"/>
      <c r="E13" s="234"/>
      <c r="F13" s="234">
        <v>11489.22</v>
      </c>
      <c r="G13" s="79"/>
    </row>
    <row r="14" spans="1:9" x14ac:dyDescent="0.2">
      <c r="A14" s="12" t="s">
        <v>88</v>
      </c>
      <c r="B14" s="72">
        <v>95</v>
      </c>
      <c r="C14" s="234">
        <v>6713.3</v>
      </c>
      <c r="D14" s="186"/>
      <c r="E14" s="235">
        <v>5831.2800000000007</v>
      </c>
      <c r="F14" s="234">
        <v>12544.580000000002</v>
      </c>
      <c r="G14" s="79"/>
    </row>
    <row r="15" spans="1:9" x14ac:dyDescent="0.2">
      <c r="A15" s="12" t="s">
        <v>102</v>
      </c>
      <c r="B15" s="223" t="s">
        <v>727</v>
      </c>
      <c r="C15" s="319" t="s">
        <v>411</v>
      </c>
      <c r="D15" s="186"/>
      <c r="E15" s="234"/>
      <c r="F15" s="234"/>
      <c r="G15" s="79"/>
    </row>
    <row r="16" spans="1:9" x14ac:dyDescent="0.2">
      <c r="A16" s="12" t="s">
        <v>7</v>
      </c>
      <c r="B16" s="31">
        <v>82</v>
      </c>
      <c r="C16" s="657">
        <v>1856</v>
      </c>
      <c r="D16" s="237">
        <v>407</v>
      </c>
      <c r="E16" s="234"/>
      <c r="F16" s="656">
        <f>+E17+D16+C16</f>
        <v>10076</v>
      </c>
      <c r="G16" s="79"/>
    </row>
    <row r="17" spans="1:7" x14ac:dyDescent="0.2">
      <c r="A17" s="12" t="s">
        <v>8</v>
      </c>
      <c r="B17" s="31">
        <v>100</v>
      </c>
      <c r="C17" s="657"/>
      <c r="D17" s="237"/>
      <c r="E17" s="234">
        <v>7813</v>
      </c>
      <c r="F17" s="656"/>
      <c r="G17" s="79"/>
    </row>
    <row r="18" spans="1:7" x14ac:dyDescent="0.2">
      <c r="A18" s="12" t="s">
        <v>9</v>
      </c>
      <c r="B18" s="196">
        <v>58</v>
      </c>
      <c r="C18" s="234">
        <v>1232.0000000000002</v>
      </c>
      <c r="D18" s="234"/>
      <c r="E18" s="234">
        <v>3537</v>
      </c>
      <c r="F18" s="234">
        <v>4769</v>
      </c>
      <c r="G18" s="79"/>
    </row>
    <row r="19" spans="1:7" ht="32.25" customHeight="1" x14ac:dyDescent="0.2">
      <c r="A19" s="198" t="s">
        <v>200</v>
      </c>
      <c r="B19" s="196">
        <v>81</v>
      </c>
      <c r="C19" s="234">
        <v>1414.8</v>
      </c>
      <c r="D19" s="234">
        <v>21975</v>
      </c>
      <c r="E19" s="235"/>
      <c r="F19" s="234">
        <v>23389.8</v>
      </c>
      <c r="G19" s="79"/>
    </row>
    <row r="20" spans="1:7" x14ac:dyDescent="0.2">
      <c r="A20" s="12" t="s">
        <v>728</v>
      </c>
      <c r="B20" s="31" t="s">
        <v>55</v>
      </c>
      <c r="C20" s="319" t="s">
        <v>410</v>
      </c>
      <c r="D20" s="323"/>
      <c r="E20" s="235"/>
      <c r="F20" s="234"/>
      <c r="G20" s="79"/>
    </row>
    <row r="21" spans="1:7" x14ac:dyDescent="0.2">
      <c r="A21" s="12" t="s">
        <v>103</v>
      </c>
      <c r="B21" s="31" t="s">
        <v>51</v>
      </c>
      <c r="C21" s="323"/>
      <c r="D21" s="323"/>
      <c r="E21" s="235"/>
      <c r="F21" s="234"/>
      <c r="G21" s="79"/>
    </row>
    <row r="22" spans="1:7" ht="26.25" customHeight="1" x14ac:dyDescent="0.2">
      <c r="A22" s="198" t="s">
        <v>713</v>
      </c>
      <c r="B22" s="31" t="s">
        <v>61</v>
      </c>
      <c r="C22" s="319" t="s">
        <v>408</v>
      </c>
      <c r="D22" s="319" t="s">
        <v>409</v>
      </c>
      <c r="E22" s="235"/>
      <c r="F22" s="234"/>
      <c r="G22" s="79"/>
    </row>
    <row r="23" spans="1:7" x14ac:dyDescent="0.2">
      <c r="A23" s="12" t="s">
        <v>91</v>
      </c>
      <c r="B23" s="196">
        <v>96</v>
      </c>
      <c r="C23" s="234">
        <v>4344</v>
      </c>
      <c r="D23" s="234"/>
      <c r="E23" s="235"/>
      <c r="F23" s="234">
        <v>4344</v>
      </c>
      <c r="G23" s="79"/>
    </row>
    <row r="24" spans="1:7" x14ac:dyDescent="0.2">
      <c r="A24" s="12" t="s">
        <v>104</v>
      </c>
      <c r="B24" s="196">
        <v>77</v>
      </c>
      <c r="C24" s="234">
        <v>280</v>
      </c>
      <c r="D24" s="234">
        <v>703</v>
      </c>
      <c r="E24" s="234"/>
      <c r="F24" s="234">
        <v>983</v>
      </c>
      <c r="G24" s="79"/>
    </row>
    <row r="25" spans="1:7" x14ac:dyDescent="0.2">
      <c r="A25" s="12" t="s">
        <v>105</v>
      </c>
      <c r="B25" s="196"/>
      <c r="C25" s="234"/>
      <c r="D25" s="234"/>
      <c r="E25" s="234"/>
      <c r="F25" s="234">
        <v>1800</v>
      </c>
      <c r="G25" s="79"/>
    </row>
    <row r="26" spans="1:7" x14ac:dyDescent="0.2">
      <c r="A26" s="195" t="s">
        <v>92</v>
      </c>
      <c r="B26" s="195"/>
      <c r="C26" s="238">
        <f t="shared" ref="C26:E26" si="0">SUM(C7:C25)</f>
        <v>32516.839999999997</v>
      </c>
      <c r="D26" s="238">
        <f t="shared" si="0"/>
        <v>36588</v>
      </c>
      <c r="E26" s="238">
        <f t="shared" si="0"/>
        <v>17181.28</v>
      </c>
      <c r="F26" s="238">
        <f>SUM(F7:F25)</f>
        <v>88086.12</v>
      </c>
      <c r="G26" s="79"/>
    </row>
    <row r="27" spans="1:7" x14ac:dyDescent="0.2">
      <c r="A27" s="37" t="s">
        <v>93</v>
      </c>
      <c r="B27" s="37"/>
      <c r="C27" s="239">
        <f>+D35*E35</f>
        <v>8128</v>
      </c>
      <c r="D27" s="239">
        <v>34444</v>
      </c>
      <c r="E27" s="239">
        <v>14630</v>
      </c>
      <c r="F27" s="239">
        <f>+E27+C27+D27</f>
        <v>57202</v>
      </c>
      <c r="G27" s="79"/>
    </row>
    <row r="28" spans="1:7" x14ac:dyDescent="0.2">
      <c r="B28" s="202"/>
      <c r="C28" s="194" t="s">
        <v>13</v>
      </c>
      <c r="D28" s="12"/>
      <c r="E28" s="12"/>
      <c r="F28" s="12"/>
      <c r="G28" s="248"/>
    </row>
    <row r="29" spans="1:7" x14ac:dyDescent="0.2">
      <c r="A29" s="202" t="s">
        <v>14</v>
      </c>
      <c r="B29" s="191"/>
      <c r="C29" s="276"/>
      <c r="D29" s="277"/>
      <c r="E29" s="277"/>
      <c r="F29" s="289"/>
      <c r="G29" s="261"/>
    </row>
    <row r="30" spans="1:7" ht="21.75" customHeight="1" x14ac:dyDescent="0.2">
      <c r="A30" s="278" t="s">
        <v>15</v>
      </c>
      <c r="B30" s="278"/>
      <c r="C30" s="279" t="s">
        <v>16</v>
      </c>
      <c r="D30" s="278" t="s">
        <v>106</v>
      </c>
      <c r="E30" s="278" t="s">
        <v>18</v>
      </c>
      <c r="F30" s="308" t="s">
        <v>202</v>
      </c>
      <c r="G30" s="248"/>
    </row>
    <row r="31" spans="1:7" x14ac:dyDescent="0.2">
      <c r="A31" s="12" t="s">
        <v>19</v>
      </c>
      <c r="B31" s="12"/>
      <c r="C31" s="194"/>
      <c r="D31" s="12"/>
      <c r="E31" s="12"/>
      <c r="F31" s="324" t="s">
        <v>478</v>
      </c>
      <c r="G31" s="248"/>
    </row>
    <row r="32" spans="1:7" x14ac:dyDescent="0.2">
      <c r="A32" s="12" t="s">
        <v>6</v>
      </c>
      <c r="B32" s="12"/>
      <c r="C32" s="194" t="s">
        <v>20</v>
      </c>
      <c r="D32" s="196">
        <v>37</v>
      </c>
      <c r="E32" s="199">
        <v>156</v>
      </c>
      <c r="F32" s="324" t="s">
        <v>479</v>
      </c>
      <c r="G32" s="248"/>
    </row>
    <row r="33" spans="1:7" x14ac:dyDescent="0.2">
      <c r="A33" s="12" t="s">
        <v>102</v>
      </c>
      <c r="B33" s="12"/>
      <c r="C33" s="194" t="s">
        <v>20</v>
      </c>
      <c r="D33" s="397" t="s">
        <v>687</v>
      </c>
      <c r="E33" s="12"/>
      <c r="F33" s="324" t="s">
        <v>480</v>
      </c>
      <c r="G33" s="248"/>
    </row>
    <row r="34" spans="1:7" x14ac:dyDescent="0.2">
      <c r="A34" s="12" t="s">
        <v>21</v>
      </c>
      <c r="B34" s="12"/>
      <c r="C34" s="194"/>
      <c r="D34" s="194"/>
      <c r="E34" s="12"/>
      <c r="F34" s="324" t="s">
        <v>481</v>
      </c>
      <c r="G34" s="248"/>
    </row>
    <row r="35" spans="1:7" x14ac:dyDescent="0.2">
      <c r="A35" s="12" t="s">
        <v>43</v>
      </c>
      <c r="B35" s="12"/>
      <c r="C35" s="194" t="s">
        <v>22</v>
      </c>
      <c r="D35" s="196">
        <v>4</v>
      </c>
      <c r="E35" s="167">
        <v>2032</v>
      </c>
      <c r="F35" s="324" t="s">
        <v>482</v>
      </c>
      <c r="G35" s="248"/>
    </row>
    <row r="36" spans="1:7" x14ac:dyDescent="0.2">
      <c r="A36" s="12" t="s">
        <v>35</v>
      </c>
      <c r="B36" s="12"/>
      <c r="C36" s="194" t="s">
        <v>22</v>
      </c>
      <c r="D36" s="196">
        <v>12</v>
      </c>
      <c r="E36" s="12"/>
      <c r="F36" s="324" t="s">
        <v>485</v>
      </c>
      <c r="G36" s="248"/>
    </row>
    <row r="37" spans="1:7" x14ac:dyDescent="0.2">
      <c r="A37" s="12" t="s">
        <v>2</v>
      </c>
      <c r="B37" s="12"/>
      <c r="C37" s="194" t="s">
        <v>22</v>
      </c>
      <c r="D37" s="196">
        <v>16</v>
      </c>
      <c r="E37" s="12"/>
      <c r="F37" s="324" t="s">
        <v>484</v>
      </c>
      <c r="G37" s="248"/>
    </row>
    <row r="38" spans="1:7" x14ac:dyDescent="0.2">
      <c r="A38" s="203" t="s">
        <v>54</v>
      </c>
      <c r="B38" s="655" t="s">
        <v>243</v>
      </c>
      <c r="C38" s="655"/>
      <c r="D38" s="15"/>
      <c r="E38" s="37"/>
      <c r="F38" s="324" t="s">
        <v>483</v>
      </c>
      <c r="G38" s="248"/>
    </row>
    <row r="39" spans="1:7" ht="12.75" customHeight="1" x14ac:dyDescent="0.2">
      <c r="A39" s="202" t="s">
        <v>107</v>
      </c>
      <c r="B39" s="199"/>
      <c r="C39" s="194"/>
      <c r="E39" s="12"/>
      <c r="F39" s="324" t="s">
        <v>486</v>
      </c>
      <c r="G39" s="248"/>
    </row>
    <row r="40" spans="1:7" x14ac:dyDescent="0.2">
      <c r="A40" s="12" t="s">
        <v>36</v>
      </c>
      <c r="B40" s="31">
        <v>82</v>
      </c>
      <c r="C40" s="194" t="s">
        <v>20</v>
      </c>
      <c r="D40" s="212">
        <v>213</v>
      </c>
      <c r="E40" s="275" t="s">
        <v>201</v>
      </c>
      <c r="G40" s="248"/>
    </row>
    <row r="41" spans="1:7" x14ac:dyDescent="0.2">
      <c r="A41" s="202" t="s">
        <v>108</v>
      </c>
      <c r="B41" s="196"/>
      <c r="C41" s="194"/>
      <c r="D41" s="398"/>
      <c r="E41" s="398"/>
      <c r="G41" s="248"/>
    </row>
    <row r="42" spans="1:7" x14ac:dyDescent="0.2">
      <c r="A42" s="12" t="s">
        <v>27</v>
      </c>
      <c r="B42" s="31">
        <v>16</v>
      </c>
      <c r="C42" s="194" t="s">
        <v>20</v>
      </c>
      <c r="D42" s="324">
        <v>18</v>
      </c>
      <c r="E42" s="63">
        <v>812</v>
      </c>
      <c r="G42" s="248"/>
    </row>
    <row r="43" spans="1:7" x14ac:dyDescent="0.2">
      <c r="A43" s="12" t="s">
        <v>75</v>
      </c>
      <c r="B43" s="31">
        <v>11</v>
      </c>
      <c r="C43" s="194" t="s">
        <v>20</v>
      </c>
      <c r="D43" s="324">
        <v>16</v>
      </c>
      <c r="E43" s="63">
        <v>175</v>
      </c>
      <c r="G43" s="248"/>
    </row>
    <row r="44" spans="1:7" x14ac:dyDescent="0.2">
      <c r="A44" s="12" t="s">
        <v>109</v>
      </c>
      <c r="B44" s="31">
        <v>12</v>
      </c>
      <c r="C44" s="194" t="s">
        <v>20</v>
      </c>
      <c r="D44" s="324">
        <v>24</v>
      </c>
      <c r="E44" s="63">
        <v>139</v>
      </c>
      <c r="G44" s="248"/>
    </row>
    <row r="45" spans="1:7" x14ac:dyDescent="0.2">
      <c r="A45" s="12" t="s">
        <v>63</v>
      </c>
      <c r="B45" s="31">
        <v>81</v>
      </c>
      <c r="C45" s="274" t="s">
        <v>45</v>
      </c>
      <c r="D45" s="275">
        <v>2.5</v>
      </c>
      <c r="E45" s="275" t="s">
        <v>201</v>
      </c>
      <c r="G45" s="248"/>
    </row>
    <row r="46" spans="1:7" x14ac:dyDescent="0.2">
      <c r="A46" s="204" t="s">
        <v>31</v>
      </c>
      <c r="B46" s="181"/>
      <c r="C46" s="399" t="s">
        <v>32</v>
      </c>
      <c r="D46" s="399"/>
      <c r="E46" s="399" t="s">
        <v>66</v>
      </c>
      <c r="G46" s="79"/>
    </row>
    <row r="47" spans="1:7" x14ac:dyDescent="0.2">
      <c r="A47" s="12" t="s">
        <v>729</v>
      </c>
      <c r="C47" s="167">
        <v>883</v>
      </c>
      <c r="D47" s="122"/>
      <c r="E47" s="122">
        <v>2181.893</v>
      </c>
      <c r="G47" s="79"/>
    </row>
    <row r="48" spans="1:7" x14ac:dyDescent="0.2">
      <c r="A48" s="12" t="s">
        <v>95</v>
      </c>
      <c r="C48" s="235">
        <v>124</v>
      </c>
      <c r="D48" s="235"/>
      <c r="E48" s="119"/>
      <c r="G48" s="79"/>
    </row>
    <row r="49" spans="1:7" x14ac:dyDescent="0.2">
      <c r="A49" s="5" t="s">
        <v>192</v>
      </c>
      <c r="C49" s="235">
        <f>+C47*C48</f>
        <v>109492</v>
      </c>
      <c r="D49" s="235"/>
      <c r="E49" s="235">
        <f>+C49*2.471</f>
        <v>270554.73200000002</v>
      </c>
      <c r="G49" s="79"/>
    </row>
    <row r="50" spans="1:7" x14ac:dyDescent="0.2">
      <c r="A50" s="5" t="s">
        <v>645</v>
      </c>
      <c r="C50" s="235">
        <f>+C49-F26</f>
        <v>21405.880000000005</v>
      </c>
      <c r="D50" s="235"/>
      <c r="E50" s="235">
        <f>+C50*2.471</f>
        <v>52893.929480000013</v>
      </c>
      <c r="G50" s="79"/>
    </row>
    <row r="51" spans="1:7" x14ac:dyDescent="0.2">
      <c r="A51" s="5" t="s">
        <v>646</v>
      </c>
      <c r="C51" s="235">
        <f>+C49-F27</f>
        <v>52290</v>
      </c>
      <c r="D51" s="235"/>
      <c r="E51" s="235">
        <f>+C51*2.471</f>
        <v>129208.59000000001</v>
      </c>
      <c r="G51" s="79"/>
    </row>
    <row r="52" spans="1:7" x14ac:dyDescent="0.2">
      <c r="A52" s="5" t="s">
        <v>648</v>
      </c>
      <c r="C52" s="12">
        <f>+F26/C47</f>
        <v>99.757780294450725</v>
      </c>
      <c r="D52" s="12"/>
      <c r="E52" s="12"/>
      <c r="G52" s="79"/>
    </row>
    <row r="53" spans="1:7" x14ac:dyDescent="0.2">
      <c r="A53" s="7" t="s">
        <v>647</v>
      </c>
      <c r="C53" s="12">
        <f>+F27/C47</f>
        <v>64.78142695356739</v>
      </c>
      <c r="D53" s="12"/>
      <c r="E53" s="12"/>
      <c r="G53" s="79"/>
    </row>
    <row r="54" spans="1:7" x14ac:dyDescent="0.2">
      <c r="A54" s="205"/>
      <c r="B54" s="205"/>
      <c r="C54" s="201"/>
      <c r="D54" s="205"/>
      <c r="E54" s="205"/>
      <c r="F54" s="200"/>
      <c r="G54" s="248"/>
    </row>
    <row r="55" spans="1:7" x14ac:dyDescent="0.2">
      <c r="A55" s="202"/>
      <c r="B55" s="12"/>
      <c r="C55" s="194"/>
      <c r="D55" s="12"/>
      <c r="E55" s="12"/>
      <c r="F55" s="12"/>
      <c r="G55" s="12"/>
    </row>
    <row r="56" spans="1:7" x14ac:dyDescent="0.2">
      <c r="A56" s="5"/>
      <c r="B56" s="194"/>
      <c r="C56" s="12"/>
      <c r="D56" s="12"/>
      <c r="E56" s="12"/>
      <c r="F56" s="12"/>
      <c r="G56" s="12"/>
    </row>
    <row r="57" spans="1:7" x14ac:dyDescent="0.2">
      <c r="A57" s="12"/>
      <c r="B57" s="12"/>
      <c r="C57" s="194"/>
      <c r="D57" s="12"/>
      <c r="E57" s="12"/>
      <c r="F57" s="12"/>
      <c r="G57" s="12"/>
    </row>
    <row r="58" spans="1:7" x14ac:dyDescent="0.2">
      <c r="A58" s="12"/>
      <c r="B58" s="12"/>
      <c r="C58" s="194"/>
      <c r="D58" s="12"/>
      <c r="E58" s="12"/>
      <c r="F58" s="12"/>
      <c r="G58" s="12"/>
    </row>
    <row r="59" spans="1:7" x14ac:dyDescent="0.2">
      <c r="A59" s="12"/>
      <c r="B59" s="12"/>
      <c r="C59" s="194"/>
      <c r="D59" s="12"/>
      <c r="E59" s="12"/>
      <c r="F59" s="12"/>
      <c r="G59" s="12"/>
    </row>
    <row r="60" spans="1:7" x14ac:dyDescent="0.2">
      <c r="A60" s="200"/>
      <c r="B60" s="200"/>
      <c r="C60" s="194"/>
      <c r="D60" s="200"/>
      <c r="E60" s="200"/>
      <c r="F60" s="200"/>
      <c r="G60" s="200"/>
    </row>
    <row r="61" spans="1:7" x14ac:dyDescent="0.2">
      <c r="A61" s="12"/>
      <c r="B61" s="12"/>
      <c r="C61" s="194"/>
      <c r="D61" s="12"/>
      <c r="E61" s="12"/>
      <c r="F61" s="12"/>
      <c r="G61" s="12"/>
    </row>
    <row r="62" spans="1:7" x14ac:dyDescent="0.2">
      <c r="A62" s="12"/>
      <c r="B62" s="12"/>
      <c r="C62" s="194"/>
      <c r="D62" s="12"/>
      <c r="E62" s="12"/>
      <c r="F62" s="12"/>
      <c r="G62" s="12"/>
    </row>
    <row r="63" spans="1:7" x14ac:dyDescent="0.2">
      <c r="A63" s="12"/>
      <c r="B63" s="12"/>
      <c r="C63" s="194"/>
      <c r="D63" s="12"/>
      <c r="E63" s="12"/>
      <c r="F63" s="12"/>
      <c r="G63" s="12"/>
    </row>
    <row r="64" spans="1:7" x14ac:dyDescent="0.2">
      <c r="A64" s="12"/>
      <c r="B64" s="12"/>
      <c r="C64" s="196"/>
      <c r="D64" s="5"/>
      <c r="E64" s="12"/>
      <c r="F64" s="12"/>
      <c r="G64" s="199"/>
    </row>
    <row r="65" spans="1:7" x14ac:dyDescent="0.2">
      <c r="A65" s="12"/>
      <c r="B65" s="12"/>
      <c r="C65" s="31"/>
      <c r="D65" s="5"/>
      <c r="E65" s="12"/>
      <c r="F65" s="12"/>
      <c r="G65" s="199"/>
    </row>
    <row r="66" spans="1:7" x14ac:dyDescent="0.2">
      <c r="A66" s="12"/>
      <c r="B66" s="12"/>
      <c r="C66" s="196"/>
      <c r="D66" s="5"/>
      <c r="E66" s="12"/>
      <c r="F66" s="12"/>
      <c r="G66" s="199"/>
    </row>
    <row r="67" spans="1:7" x14ac:dyDescent="0.2">
      <c r="A67" s="12"/>
      <c r="B67" s="12"/>
      <c r="C67" s="196"/>
      <c r="D67" s="5"/>
      <c r="E67" s="12"/>
      <c r="F67" s="12"/>
      <c r="G67" s="199"/>
    </row>
    <row r="68" spans="1:7" x14ac:dyDescent="0.2">
      <c r="A68" s="12"/>
      <c r="B68" s="12"/>
      <c r="C68" s="196"/>
      <c r="D68" s="7"/>
      <c r="E68" s="12"/>
      <c r="F68" s="12"/>
      <c r="G68" s="199"/>
    </row>
    <row r="69" spans="1:7" x14ac:dyDescent="0.2">
      <c r="A69" s="12"/>
      <c r="B69" s="12"/>
      <c r="C69" s="196"/>
      <c r="D69" s="12"/>
      <c r="E69" s="12"/>
      <c r="F69" s="12"/>
      <c r="G69" s="199"/>
    </row>
    <row r="70" spans="1:7" x14ac:dyDescent="0.2">
      <c r="A70" s="12"/>
      <c r="B70" s="12"/>
      <c r="C70" s="196"/>
      <c r="D70" s="12"/>
      <c r="E70" s="12"/>
      <c r="F70" s="12"/>
      <c r="G70" s="199"/>
    </row>
    <row r="71" spans="1:7" x14ac:dyDescent="0.2">
      <c r="A71" s="12"/>
      <c r="B71" s="12"/>
      <c r="C71" s="196"/>
      <c r="D71" s="12"/>
      <c r="E71" s="12"/>
      <c r="F71" s="12"/>
      <c r="G71" s="199"/>
    </row>
    <row r="72" spans="1:7" x14ac:dyDescent="0.2">
      <c r="A72" s="12"/>
      <c r="B72" s="12"/>
      <c r="C72" s="196"/>
      <c r="D72" s="12"/>
      <c r="E72" s="12"/>
      <c r="F72" s="12"/>
      <c r="G72" s="199"/>
    </row>
    <row r="73" spans="1:7" x14ac:dyDescent="0.2">
      <c r="A73" s="12"/>
      <c r="B73" s="5"/>
      <c r="C73" s="206"/>
      <c r="D73" s="11"/>
      <c r="E73" s="11"/>
      <c r="F73" s="11"/>
      <c r="G73" s="33"/>
    </row>
    <row r="74" spans="1:7" x14ac:dyDescent="0.2">
      <c r="A74" s="12"/>
      <c r="B74" s="12"/>
      <c r="C74" s="31"/>
      <c r="D74" s="12"/>
      <c r="E74" s="12"/>
      <c r="F74" s="12"/>
      <c r="G74" s="199"/>
    </row>
    <row r="75" spans="1:7" x14ac:dyDescent="0.2">
      <c r="A75" s="12"/>
      <c r="B75" s="12"/>
      <c r="C75" s="196"/>
      <c r="D75" s="12"/>
      <c r="E75" s="12"/>
      <c r="F75" s="12"/>
      <c r="G75" s="199"/>
    </row>
    <row r="76" spans="1:7" x14ac:dyDescent="0.2">
      <c r="A76" s="12"/>
      <c r="B76" s="12"/>
      <c r="C76" s="194"/>
      <c r="D76" s="12"/>
      <c r="E76" s="12"/>
      <c r="F76" s="12"/>
      <c r="G76" s="199"/>
    </row>
    <row r="77" spans="1:7" x14ac:dyDescent="0.2">
      <c r="A77" s="12"/>
      <c r="B77" s="12"/>
      <c r="C77" s="194"/>
      <c r="D77" s="12"/>
      <c r="E77" s="12"/>
      <c r="F77" s="12"/>
      <c r="G77" s="199"/>
    </row>
    <row r="78" spans="1:7" x14ac:dyDescent="0.2">
      <c r="A78" s="12"/>
      <c r="B78" s="12"/>
      <c r="C78" s="194"/>
      <c r="D78" s="12"/>
      <c r="E78" s="12"/>
      <c r="F78" s="12"/>
      <c r="G78" s="12"/>
    </row>
    <row r="79" spans="1:7" x14ac:dyDescent="0.2">
      <c r="A79" s="12"/>
      <c r="B79" s="12"/>
      <c r="C79" s="194"/>
      <c r="D79" s="12"/>
      <c r="E79" s="12"/>
      <c r="F79" s="12"/>
      <c r="G79" s="12"/>
    </row>
    <row r="80" spans="1:7" x14ac:dyDescent="0.2">
      <c r="A80" s="200"/>
      <c r="B80" s="200"/>
      <c r="C80" s="194"/>
      <c r="D80" s="200"/>
      <c r="E80" s="200"/>
      <c r="F80" s="200"/>
      <c r="G80" s="200"/>
    </row>
    <row r="81" spans="1:7" x14ac:dyDescent="0.2">
      <c r="A81" s="12"/>
      <c r="B81" s="12"/>
      <c r="C81" s="194"/>
      <c r="D81" s="12"/>
      <c r="E81" s="12"/>
      <c r="F81" s="12"/>
      <c r="G81" s="12"/>
    </row>
    <row r="82" spans="1:7" x14ac:dyDescent="0.2">
      <c r="A82" s="12"/>
      <c r="B82" s="12"/>
      <c r="C82" s="194"/>
      <c r="D82" s="12"/>
      <c r="E82" s="12"/>
      <c r="F82" s="12"/>
      <c r="G82" s="12"/>
    </row>
    <row r="83" spans="1:7" x14ac:dyDescent="0.2">
      <c r="A83" s="12"/>
      <c r="B83" s="12"/>
      <c r="C83" s="194"/>
      <c r="D83" s="207"/>
      <c r="E83" s="207"/>
      <c r="F83" s="207"/>
      <c r="G83" s="12"/>
    </row>
    <row r="84" spans="1:7" x14ac:dyDescent="0.2">
      <c r="A84" s="12"/>
      <c r="B84" s="12"/>
      <c r="C84" s="194"/>
      <c r="D84" s="12"/>
      <c r="E84" s="12"/>
      <c r="F84" s="12"/>
      <c r="G84" s="12"/>
    </row>
    <row r="85" spans="1:7" x14ac:dyDescent="0.2">
      <c r="A85" s="12"/>
      <c r="B85" s="12"/>
      <c r="C85" s="194"/>
      <c r="D85" s="12"/>
      <c r="E85" s="12"/>
      <c r="F85" s="12"/>
      <c r="G85" s="12"/>
    </row>
  </sheetData>
  <mergeCells count="7">
    <mergeCell ref="H4:I4"/>
    <mergeCell ref="B38:C38"/>
    <mergeCell ref="F16:F17"/>
    <mergeCell ref="A5:A6"/>
    <mergeCell ref="B5:B6"/>
    <mergeCell ref="C5:F5"/>
    <mergeCell ref="C16:C17"/>
  </mergeCells>
  <pageMargins left="0.7" right="0.7" top="0.75" bottom="0.75" header="0.3" footer="0.3"/>
  <pageSetup paperSize="9" scale="7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8"/>
  <sheetViews>
    <sheetView topLeftCell="A19" workbookViewId="0">
      <selection activeCell="R45" sqref="R45"/>
    </sheetView>
  </sheetViews>
  <sheetFormatPr defaultRowHeight="15" x14ac:dyDescent="0.25"/>
  <cols>
    <col min="2" max="2" width="6.140625" customWidth="1"/>
    <col min="3" max="3" width="15.42578125" customWidth="1"/>
    <col min="13" max="13" width="16" customWidth="1"/>
  </cols>
  <sheetData>
    <row r="1" spans="1:6" x14ac:dyDescent="0.25">
      <c r="B1" s="550" t="s">
        <v>748</v>
      </c>
    </row>
    <row r="4" spans="1:6" x14ac:dyDescent="0.25">
      <c r="A4" s="61"/>
    </row>
    <row r="5" spans="1:6" x14ac:dyDescent="0.25">
      <c r="A5" s="61"/>
    </row>
    <row r="6" spans="1:6" x14ac:dyDescent="0.25">
      <c r="A6" s="61" t="s">
        <v>293</v>
      </c>
    </row>
    <row r="7" spans="1:6" x14ac:dyDescent="0.25">
      <c r="A7" s="61"/>
    </row>
    <row r="8" spans="1:6" x14ac:dyDescent="0.25">
      <c r="A8" s="61"/>
    </row>
    <row r="9" spans="1:6" x14ac:dyDescent="0.25">
      <c r="A9" s="61"/>
    </row>
    <row r="10" spans="1:6" x14ac:dyDescent="0.25">
      <c r="A10" s="61"/>
      <c r="F10" s="551"/>
    </row>
    <row r="11" spans="1:6" x14ac:dyDescent="0.25">
      <c r="A11" s="61"/>
    </row>
    <row r="12" spans="1:6" x14ac:dyDescent="0.25">
      <c r="A12" s="61"/>
    </row>
    <row r="13" spans="1:6" x14ac:dyDescent="0.25">
      <c r="A13" s="61"/>
      <c r="E13" s="552"/>
      <c r="F13" s="552"/>
    </row>
    <row r="14" spans="1:6" x14ac:dyDescent="0.25">
      <c r="A14" s="61"/>
    </row>
    <row r="15" spans="1:6" x14ac:dyDescent="0.25">
      <c r="A15" s="61"/>
    </row>
    <row r="16" spans="1:6" x14ac:dyDescent="0.25">
      <c r="A16" s="61"/>
    </row>
    <row r="17" spans="1:20" x14ac:dyDescent="0.25">
      <c r="A17" s="61"/>
    </row>
    <row r="18" spans="1:20" x14ac:dyDescent="0.25">
      <c r="A18" s="61"/>
    </row>
    <row r="22" spans="1:20" ht="18.75" x14ac:dyDescent="0.3">
      <c r="A22" s="565"/>
      <c r="C22" s="564" t="s">
        <v>755</v>
      </c>
    </row>
    <row r="25" spans="1:20" x14ac:dyDescent="0.25">
      <c r="M25" s="553" t="s">
        <v>749</v>
      </c>
      <c r="N25">
        <v>2021</v>
      </c>
      <c r="O25" s="554">
        <v>2020</v>
      </c>
      <c r="P25" s="554">
        <v>2019</v>
      </c>
      <c r="Q25" s="554" t="s">
        <v>750</v>
      </c>
      <c r="R25" t="s">
        <v>751</v>
      </c>
      <c r="S25" t="s">
        <v>752</v>
      </c>
      <c r="T25" t="s">
        <v>753</v>
      </c>
    </row>
    <row r="26" spans="1:20" x14ac:dyDescent="0.25">
      <c r="M26" s="555" t="s">
        <v>437</v>
      </c>
      <c r="N26" s="556">
        <v>2356</v>
      </c>
      <c r="O26">
        <v>2328</v>
      </c>
      <c r="P26">
        <v>2235</v>
      </c>
      <c r="Q26" s="557">
        <f>+(N26+O26+P26)/3</f>
        <v>2306.3333333333335</v>
      </c>
      <c r="R26" s="558">
        <v>1851</v>
      </c>
      <c r="S26" s="559">
        <f>+Q26-R26</f>
        <v>455.33333333333348</v>
      </c>
      <c r="T26" s="560">
        <f>+S26/R26*100</f>
        <v>24.599315685215206</v>
      </c>
    </row>
    <row r="27" spans="1:20" x14ac:dyDescent="0.25">
      <c r="M27" s="561" t="s">
        <v>754</v>
      </c>
      <c r="N27" s="562">
        <v>1701</v>
      </c>
      <c r="O27">
        <v>2005</v>
      </c>
      <c r="P27">
        <v>2171</v>
      </c>
      <c r="Q27" s="557">
        <f t="shared" ref="Q27:Q32" si="0">+(N27+O27+P27)/3</f>
        <v>1959</v>
      </c>
      <c r="R27" s="558">
        <v>1388</v>
      </c>
      <c r="S27" s="559">
        <f t="shared" ref="S27:S34" si="1">+Q27-R27</f>
        <v>571</v>
      </c>
      <c r="T27" s="560">
        <f t="shared" ref="T27:T34" si="2">+S27/R27*100</f>
        <v>41.138328530259365</v>
      </c>
    </row>
    <row r="28" spans="1:20" x14ac:dyDescent="0.25">
      <c r="M28" s="561" t="s">
        <v>96</v>
      </c>
      <c r="N28" s="562">
        <v>1730</v>
      </c>
      <c r="O28">
        <v>2188</v>
      </c>
      <c r="P28">
        <v>2259</v>
      </c>
      <c r="Q28" s="557">
        <f t="shared" si="0"/>
        <v>2059</v>
      </c>
      <c r="R28" s="558">
        <v>1578</v>
      </c>
      <c r="S28" s="559">
        <f t="shared" si="1"/>
        <v>481</v>
      </c>
      <c r="T28" s="560">
        <f t="shared" si="2"/>
        <v>30.481622306717366</v>
      </c>
    </row>
    <row r="29" spans="1:20" x14ac:dyDescent="0.25">
      <c r="M29" s="561" t="s">
        <v>97</v>
      </c>
      <c r="N29" s="562">
        <v>2400</v>
      </c>
      <c r="O29">
        <v>2310</v>
      </c>
      <c r="P29">
        <v>2306</v>
      </c>
      <c r="Q29" s="557">
        <f t="shared" si="0"/>
        <v>2338.6666666666665</v>
      </c>
      <c r="R29" s="558">
        <v>2000</v>
      </c>
      <c r="S29" s="559">
        <f t="shared" si="1"/>
        <v>338.66666666666652</v>
      </c>
      <c r="T29" s="560">
        <f t="shared" si="2"/>
        <v>16.933333333333326</v>
      </c>
    </row>
    <row r="30" spans="1:20" x14ac:dyDescent="0.25">
      <c r="M30" s="561" t="s">
        <v>269</v>
      </c>
      <c r="N30" s="562">
        <v>2170</v>
      </c>
      <c r="O30">
        <v>1900</v>
      </c>
      <c r="P30">
        <v>2241</v>
      </c>
      <c r="Q30" s="557">
        <f t="shared" si="0"/>
        <v>2103.6666666666665</v>
      </c>
      <c r="R30" s="558">
        <v>1678</v>
      </c>
      <c r="S30" s="559">
        <f t="shared" si="1"/>
        <v>425.66666666666652</v>
      </c>
      <c r="T30" s="560">
        <f t="shared" si="2"/>
        <v>25.367500993245919</v>
      </c>
    </row>
    <row r="31" spans="1:20" x14ac:dyDescent="0.25">
      <c r="M31" s="561" t="s">
        <v>98</v>
      </c>
      <c r="N31" s="562">
        <v>2225</v>
      </c>
      <c r="O31">
        <v>2183</v>
      </c>
      <c r="P31">
        <v>2470</v>
      </c>
      <c r="Q31" s="557">
        <f t="shared" si="0"/>
        <v>2292.6666666666665</v>
      </c>
      <c r="R31" s="558">
        <v>1835</v>
      </c>
      <c r="S31" s="559">
        <f t="shared" si="1"/>
        <v>457.66666666666652</v>
      </c>
      <c r="T31" s="560">
        <f t="shared" si="2"/>
        <v>24.94096276112624</v>
      </c>
    </row>
    <row r="32" spans="1:20" x14ac:dyDescent="0.25">
      <c r="M32" s="561" t="s">
        <v>270</v>
      </c>
      <c r="N32" s="562">
        <v>2000</v>
      </c>
      <c r="O32">
        <v>2113</v>
      </c>
      <c r="P32">
        <v>2216</v>
      </c>
      <c r="Q32" s="557">
        <f t="shared" si="0"/>
        <v>2109.6666666666665</v>
      </c>
      <c r="R32" s="558">
        <v>1540</v>
      </c>
      <c r="S32" s="559">
        <f t="shared" si="1"/>
        <v>569.66666666666652</v>
      </c>
      <c r="T32" s="560">
        <f t="shared" si="2"/>
        <v>36.991341991341983</v>
      </c>
    </row>
    <row r="33" spans="2:20" x14ac:dyDescent="0.25">
      <c r="M33" s="561" t="s">
        <v>272</v>
      </c>
      <c r="N33" s="562">
        <v>1575</v>
      </c>
      <c r="O33">
        <v>2100</v>
      </c>
      <c r="P33">
        <v>2074</v>
      </c>
      <c r="Q33" s="557">
        <f>+(N33+O33+P33)/3</f>
        <v>1916.3333333333333</v>
      </c>
      <c r="R33" s="558">
        <v>1790</v>
      </c>
      <c r="S33" s="559">
        <f t="shared" si="1"/>
        <v>126.33333333333326</v>
      </c>
      <c r="T33" s="560">
        <f t="shared" si="2"/>
        <v>7.0577281191806289</v>
      </c>
    </row>
    <row r="34" spans="2:20" x14ac:dyDescent="0.25">
      <c r="M34" s="561" t="s">
        <v>127</v>
      </c>
      <c r="N34" s="562">
        <v>2267</v>
      </c>
      <c r="O34">
        <v>2312</v>
      </c>
      <c r="P34">
        <v>2361</v>
      </c>
      <c r="Q34" s="557">
        <f>+(N34+O34+P34)/3</f>
        <v>2313.3333333333335</v>
      </c>
      <c r="R34" s="558">
        <v>1600</v>
      </c>
      <c r="S34" s="559">
        <f t="shared" si="1"/>
        <v>713.33333333333348</v>
      </c>
      <c r="T34" s="560">
        <f t="shared" si="2"/>
        <v>44.583333333333343</v>
      </c>
    </row>
    <row r="36" spans="2:20" x14ac:dyDescent="0.25">
      <c r="M36" s="561" t="s">
        <v>273</v>
      </c>
      <c r="N36" s="562">
        <v>1296</v>
      </c>
      <c r="O36">
        <v>1150</v>
      </c>
      <c r="P36">
        <v>1351</v>
      </c>
      <c r="Q36" s="557">
        <f>+(N36+O36+P36)/3</f>
        <v>1265.6666666666667</v>
      </c>
      <c r="R36" s="558">
        <v>1067</v>
      </c>
      <c r="S36" s="559">
        <f>+Q36-R36</f>
        <v>198.66666666666674</v>
      </c>
      <c r="T36" s="560">
        <f>+S36/R36*100</f>
        <v>18.619181505779451</v>
      </c>
    </row>
    <row r="37" spans="2:20" x14ac:dyDescent="0.25">
      <c r="M37" s="561" t="s">
        <v>275</v>
      </c>
      <c r="N37" s="562">
        <v>1110</v>
      </c>
      <c r="O37">
        <v>1072</v>
      </c>
      <c r="P37">
        <v>1162</v>
      </c>
      <c r="Q37" s="557">
        <f>+(N37+O37+P37)/3</f>
        <v>1114.6666666666667</v>
      </c>
      <c r="R37" s="558">
        <v>938</v>
      </c>
      <c r="S37" s="559">
        <f>+Q37-R37</f>
        <v>176.66666666666674</v>
      </c>
      <c r="T37" s="560">
        <f>+S37/R37*100</f>
        <v>18.834399431414365</v>
      </c>
    </row>
    <row r="38" spans="2:20" x14ac:dyDescent="0.25">
      <c r="M38" s="561" t="s">
        <v>247</v>
      </c>
      <c r="N38" s="562">
        <v>700</v>
      </c>
      <c r="O38" s="563" t="s">
        <v>201</v>
      </c>
      <c r="P38">
        <v>1191</v>
      </c>
      <c r="Q38" s="557">
        <f>+(N38+P38)/2</f>
        <v>945.5</v>
      </c>
      <c r="R38" s="558">
        <v>959</v>
      </c>
      <c r="S38" s="559">
        <f>+Q38-R38</f>
        <v>-13.5</v>
      </c>
      <c r="T38" s="560">
        <f>+S38/R38*100</f>
        <v>-1.4077163712200209</v>
      </c>
    </row>
    <row r="39" spans="2:20" x14ac:dyDescent="0.25">
      <c r="M39" s="561" t="s">
        <v>269</v>
      </c>
      <c r="N39" s="562">
        <v>1300</v>
      </c>
      <c r="O39">
        <v>1237</v>
      </c>
      <c r="P39">
        <v>1234</v>
      </c>
      <c r="Q39" s="557">
        <f>+(N39+O39+P39)/3</f>
        <v>1257</v>
      </c>
      <c r="R39" s="558">
        <v>1300</v>
      </c>
      <c r="S39" s="559">
        <f>+Q39-R39</f>
        <v>-43</v>
      </c>
      <c r="T39" s="560">
        <f>+S39/R39*100</f>
        <v>-3.3076923076923079</v>
      </c>
    </row>
    <row r="42" spans="2:20" ht="15.75" x14ac:dyDescent="0.25">
      <c r="B42" s="574" t="s">
        <v>770</v>
      </c>
    </row>
    <row r="44" spans="2:20" x14ac:dyDescent="0.25">
      <c r="M44" s="566" t="s">
        <v>259</v>
      </c>
      <c r="N44" t="s">
        <v>260</v>
      </c>
    </row>
    <row r="45" spans="2:20" x14ac:dyDescent="0.25">
      <c r="M45" s="553" t="s">
        <v>749</v>
      </c>
      <c r="N45" s="567" t="s">
        <v>756</v>
      </c>
      <c r="O45" t="s">
        <v>757</v>
      </c>
    </row>
    <row r="46" spans="2:20" x14ac:dyDescent="0.25">
      <c r="M46" s="568" t="s">
        <v>758</v>
      </c>
      <c r="N46" s="569">
        <v>131311</v>
      </c>
      <c r="O46" s="570">
        <f>+J46-N46</f>
        <v>-131311</v>
      </c>
    </row>
    <row r="47" spans="2:20" x14ac:dyDescent="0.25">
      <c r="M47" s="568" t="s">
        <v>759</v>
      </c>
      <c r="N47" s="569">
        <v>83495</v>
      </c>
      <c r="O47" s="570">
        <f t="shared" ref="O47:O55" si="3">+J47-N47</f>
        <v>-83495</v>
      </c>
    </row>
    <row r="48" spans="2:20" x14ac:dyDescent="0.25">
      <c r="M48" s="568" t="s">
        <v>760</v>
      </c>
      <c r="N48" s="569">
        <v>92893</v>
      </c>
      <c r="O48" s="570">
        <f t="shared" si="3"/>
        <v>-92893</v>
      </c>
    </row>
    <row r="49" spans="13:15" x14ac:dyDescent="0.25">
      <c r="M49" s="568" t="s">
        <v>761</v>
      </c>
      <c r="N49" s="569">
        <v>121703</v>
      </c>
      <c r="O49" s="570">
        <f t="shared" si="3"/>
        <v>-121703</v>
      </c>
    </row>
    <row r="50" spans="13:15" x14ac:dyDescent="0.25">
      <c r="M50" s="568" t="s">
        <v>336</v>
      </c>
      <c r="N50" s="569">
        <v>111923</v>
      </c>
      <c r="O50" s="570">
        <f t="shared" si="3"/>
        <v>-111923</v>
      </c>
    </row>
    <row r="51" spans="13:15" x14ac:dyDescent="0.25">
      <c r="M51" s="568" t="s">
        <v>762</v>
      </c>
      <c r="N51" s="569">
        <v>92516</v>
      </c>
      <c r="O51" s="570">
        <f t="shared" si="3"/>
        <v>-92516</v>
      </c>
    </row>
    <row r="52" spans="13:15" x14ac:dyDescent="0.25">
      <c r="M52" s="568" t="s">
        <v>763</v>
      </c>
      <c r="N52" s="569">
        <v>77060</v>
      </c>
      <c r="O52" s="570">
        <f t="shared" si="3"/>
        <v>-77060</v>
      </c>
    </row>
    <row r="53" spans="13:15" x14ac:dyDescent="0.25">
      <c r="M53" s="568" t="s">
        <v>764</v>
      </c>
      <c r="N53" s="569">
        <v>81371</v>
      </c>
      <c r="O53" s="570">
        <f t="shared" si="3"/>
        <v>-81371</v>
      </c>
    </row>
    <row r="54" spans="13:15" x14ac:dyDescent="0.25">
      <c r="M54" s="568" t="s">
        <v>765</v>
      </c>
      <c r="N54" s="569">
        <v>117857</v>
      </c>
      <c r="O54" s="570">
        <f t="shared" si="3"/>
        <v>-117857</v>
      </c>
    </row>
    <row r="55" spans="13:15" x14ac:dyDescent="0.25">
      <c r="M55" s="568" t="s">
        <v>766</v>
      </c>
      <c r="N55" s="569">
        <v>91763</v>
      </c>
      <c r="O55" s="570">
        <f t="shared" si="3"/>
        <v>-91763</v>
      </c>
    </row>
    <row r="57" spans="13:15" x14ac:dyDescent="0.25">
      <c r="M57" s="568" t="s">
        <v>767</v>
      </c>
      <c r="N57" s="569">
        <v>75795</v>
      </c>
      <c r="O57" s="570">
        <f>+J56-N57</f>
        <v>-75795</v>
      </c>
    </row>
    <row r="58" spans="13:15" x14ac:dyDescent="0.25">
      <c r="M58" s="568" t="s">
        <v>768</v>
      </c>
      <c r="N58" s="569">
        <v>61096</v>
      </c>
      <c r="O58" s="570">
        <f>+J57-N58</f>
        <v>-61096</v>
      </c>
    </row>
    <row r="59" spans="13:15" x14ac:dyDescent="0.25">
      <c r="M59" s="568" t="s">
        <v>769</v>
      </c>
      <c r="N59" s="569">
        <v>62535</v>
      </c>
      <c r="O59" s="570">
        <f>+J58-N59</f>
        <v>-62535</v>
      </c>
    </row>
    <row r="60" spans="13:15" x14ac:dyDescent="0.25">
      <c r="M60" s="568" t="s">
        <v>337</v>
      </c>
      <c r="N60" s="569">
        <v>68993</v>
      </c>
      <c r="O60" s="570">
        <f>+J59-N60</f>
        <v>-68993</v>
      </c>
    </row>
    <row r="62" spans="13:15" x14ac:dyDescent="0.25">
      <c r="M62" s="571" t="s">
        <v>286</v>
      </c>
      <c r="N62" s="572">
        <v>95407</v>
      </c>
      <c r="O62" s="570">
        <f>+J60-N62</f>
        <v>-95407</v>
      </c>
    </row>
    <row r="63" spans="13:15" x14ac:dyDescent="0.25">
      <c r="M63" s="571" t="s">
        <v>286</v>
      </c>
      <c r="N63" s="573">
        <v>57202</v>
      </c>
      <c r="O63" s="570">
        <f>+J61-N63</f>
        <v>-57202</v>
      </c>
    </row>
    <row r="65" spans="1:15" x14ac:dyDescent="0.25">
      <c r="A65" s="582" t="s">
        <v>773</v>
      </c>
      <c r="C65" s="564" t="s">
        <v>774</v>
      </c>
    </row>
    <row r="67" spans="1:15" ht="36.75" x14ac:dyDescent="0.25">
      <c r="M67" s="575"/>
      <c r="N67" s="576" t="s">
        <v>771</v>
      </c>
      <c r="O67" s="567" t="s">
        <v>772</v>
      </c>
    </row>
    <row r="68" spans="1:15" ht="15.75" x14ac:dyDescent="0.25">
      <c r="M68" s="568" t="s">
        <v>758</v>
      </c>
      <c r="N68" s="577">
        <v>119</v>
      </c>
      <c r="O68" s="578">
        <v>75.061048082117779</v>
      </c>
    </row>
    <row r="69" spans="1:15" ht="15.75" x14ac:dyDescent="0.25">
      <c r="M69" s="568" t="s">
        <v>759</v>
      </c>
      <c r="N69" s="577">
        <v>115</v>
      </c>
      <c r="O69" s="578">
        <v>86.461815561959654</v>
      </c>
    </row>
    <row r="70" spans="1:15" ht="15.75" x14ac:dyDescent="0.25">
      <c r="M70" s="568" t="s">
        <v>760</v>
      </c>
      <c r="N70" s="577">
        <v>118</v>
      </c>
      <c r="O70" s="578">
        <v>67.950189496480775</v>
      </c>
    </row>
    <row r="71" spans="1:15" ht="15.75" x14ac:dyDescent="0.25">
      <c r="M71" s="568" t="s">
        <v>761</v>
      </c>
      <c r="N71" s="577">
        <v>117</v>
      </c>
      <c r="O71" s="578">
        <v>77.021500000000003</v>
      </c>
    </row>
    <row r="72" spans="1:15" ht="15.75" x14ac:dyDescent="0.25">
      <c r="M72" s="568" t="s">
        <v>336</v>
      </c>
      <c r="N72" s="577">
        <v>125</v>
      </c>
      <c r="O72" s="578">
        <v>86.898688915375445</v>
      </c>
    </row>
    <row r="73" spans="1:15" ht="15.75" x14ac:dyDescent="0.25">
      <c r="M73" s="568" t="s">
        <v>762</v>
      </c>
      <c r="N73" s="577">
        <v>102</v>
      </c>
      <c r="O73" s="578">
        <v>70.149863760217983</v>
      </c>
    </row>
    <row r="74" spans="1:15" ht="15.75" x14ac:dyDescent="0.25">
      <c r="M74" s="568" t="s">
        <v>763</v>
      </c>
      <c r="N74" s="577">
        <v>103</v>
      </c>
      <c r="O74" s="578">
        <v>71.650000000000006</v>
      </c>
    </row>
    <row r="75" spans="1:15" ht="15.75" x14ac:dyDescent="0.25">
      <c r="M75" s="568" t="s">
        <v>764</v>
      </c>
      <c r="N75" s="577">
        <v>111</v>
      </c>
      <c r="O75" s="578">
        <v>85.348332040341347</v>
      </c>
    </row>
    <row r="76" spans="1:15" ht="15.75" x14ac:dyDescent="0.25">
      <c r="M76" s="568" t="s">
        <v>765</v>
      </c>
      <c r="N76" s="577">
        <v>115</v>
      </c>
      <c r="O76" s="578">
        <v>83.162011173184354</v>
      </c>
    </row>
    <row r="77" spans="1:15" ht="15.75" x14ac:dyDescent="0.25">
      <c r="M77" s="568" t="s">
        <v>766</v>
      </c>
      <c r="N77" s="577">
        <v>103</v>
      </c>
      <c r="O77" s="578">
        <v>74.090625000000003</v>
      </c>
    </row>
    <row r="78" spans="1:15" ht="15.75" x14ac:dyDescent="0.25">
      <c r="M78" s="568" t="s">
        <v>767</v>
      </c>
      <c r="N78" s="577">
        <v>100</v>
      </c>
      <c r="O78" s="578">
        <v>90.704779756326147</v>
      </c>
    </row>
    <row r="79" spans="1:15" ht="15.75" x14ac:dyDescent="0.25">
      <c r="M79" s="568" t="s">
        <v>768</v>
      </c>
      <c r="N79" s="577">
        <v>125</v>
      </c>
      <c r="O79" s="578">
        <v>110.05756929637526</v>
      </c>
    </row>
    <row r="80" spans="1:15" ht="15.75" x14ac:dyDescent="0.25">
      <c r="M80" s="568" t="s">
        <v>769</v>
      </c>
      <c r="N80" s="577">
        <v>112</v>
      </c>
      <c r="O80" s="578">
        <v>116.15745568300312</v>
      </c>
    </row>
    <row r="81" spans="2:15" ht="15.75" x14ac:dyDescent="0.25">
      <c r="M81" s="568" t="s">
        <v>337</v>
      </c>
      <c r="N81" s="577">
        <v>103</v>
      </c>
      <c r="O81" s="578">
        <v>83.333076923076916</v>
      </c>
    </row>
    <row r="82" spans="2:15" ht="15.75" x14ac:dyDescent="0.25">
      <c r="M82" s="571" t="s">
        <v>286</v>
      </c>
      <c r="N82" s="579">
        <v>115</v>
      </c>
      <c r="O82" s="580">
        <v>71.245433789954333</v>
      </c>
    </row>
    <row r="83" spans="2:15" ht="15.75" x14ac:dyDescent="0.25">
      <c r="M83" s="571" t="s">
        <v>286</v>
      </c>
      <c r="N83" s="579">
        <v>124</v>
      </c>
      <c r="O83" s="581">
        <v>99.757644394110983</v>
      </c>
    </row>
    <row r="86" spans="2:15" ht="15.75" x14ac:dyDescent="0.25">
      <c r="B86" s="574" t="s">
        <v>775</v>
      </c>
    </row>
    <row r="88" spans="2:15" ht="24.75" x14ac:dyDescent="0.25">
      <c r="M88" s="583"/>
      <c r="N88" s="576" t="s">
        <v>776</v>
      </c>
      <c r="O88" s="584" t="s">
        <v>777</v>
      </c>
    </row>
    <row r="89" spans="2:15" ht="15.75" x14ac:dyDescent="0.25">
      <c r="M89" s="568" t="s">
        <v>758</v>
      </c>
      <c r="N89" s="585">
        <v>220269</v>
      </c>
      <c r="O89" s="585">
        <v>81331</v>
      </c>
    </row>
    <row r="90" spans="2:15" ht="15.75" x14ac:dyDescent="0.25">
      <c r="M90" s="568" t="s">
        <v>759</v>
      </c>
      <c r="N90" s="585">
        <v>159620</v>
      </c>
      <c r="O90" s="585">
        <v>39611</v>
      </c>
    </row>
    <row r="91" spans="2:15" ht="15.75" x14ac:dyDescent="0.25">
      <c r="M91" s="568" t="s">
        <v>760</v>
      </c>
      <c r="N91" s="585">
        <v>186204</v>
      </c>
      <c r="O91" s="585">
        <v>60700</v>
      </c>
    </row>
    <row r="92" spans="2:15" ht="15.75" x14ac:dyDescent="0.25">
      <c r="M92" s="568" t="s">
        <v>761</v>
      </c>
      <c r="N92" s="585">
        <v>234000</v>
      </c>
      <c r="O92" s="585">
        <v>79957</v>
      </c>
    </row>
    <row r="93" spans="2:15" ht="15.75" x14ac:dyDescent="0.25">
      <c r="M93" s="568" t="s">
        <v>336</v>
      </c>
      <c r="N93" s="585">
        <v>209750</v>
      </c>
      <c r="O93" s="585">
        <v>63934</v>
      </c>
    </row>
    <row r="94" spans="2:15" ht="15.75" x14ac:dyDescent="0.25">
      <c r="M94" s="568" t="s">
        <v>762</v>
      </c>
      <c r="N94" s="585">
        <v>187170</v>
      </c>
      <c r="O94" s="585">
        <v>58445</v>
      </c>
    </row>
    <row r="95" spans="2:15" ht="15.75" x14ac:dyDescent="0.25">
      <c r="M95" s="568" t="s">
        <v>763</v>
      </c>
      <c r="N95" s="585">
        <v>158620</v>
      </c>
      <c r="O95" s="585">
        <v>48279</v>
      </c>
    </row>
    <row r="96" spans="2:15" ht="15.75" x14ac:dyDescent="0.25">
      <c r="M96" s="568" t="s">
        <v>764</v>
      </c>
      <c r="N96" s="585">
        <v>143079</v>
      </c>
      <c r="O96" s="585">
        <v>33065</v>
      </c>
    </row>
    <row r="97" spans="2:17" ht="15.75" x14ac:dyDescent="0.25">
      <c r="M97" s="568" t="s">
        <v>765</v>
      </c>
      <c r="N97" s="585">
        <v>205850</v>
      </c>
      <c r="O97" s="585">
        <v>56990</v>
      </c>
    </row>
    <row r="98" spans="2:17" ht="15.75" x14ac:dyDescent="0.25">
      <c r="M98" s="568" t="s">
        <v>766</v>
      </c>
      <c r="N98" s="585">
        <v>164800</v>
      </c>
      <c r="O98" s="585">
        <v>46255</v>
      </c>
    </row>
    <row r="100" spans="2:17" ht="15.75" x14ac:dyDescent="0.25">
      <c r="M100" s="568" t="s">
        <v>767</v>
      </c>
      <c r="N100" s="585">
        <v>106700</v>
      </c>
      <c r="O100" s="585">
        <v>9918</v>
      </c>
    </row>
    <row r="101" spans="2:17" ht="15.75" x14ac:dyDescent="0.25">
      <c r="M101" s="568" t="s">
        <v>768</v>
      </c>
      <c r="N101" s="585">
        <v>117250</v>
      </c>
      <c r="O101" s="585">
        <v>14016</v>
      </c>
    </row>
    <row r="102" spans="2:17" ht="15.75" x14ac:dyDescent="0.25">
      <c r="M102" s="568" t="s">
        <v>769</v>
      </c>
      <c r="N102" s="585">
        <v>107408</v>
      </c>
      <c r="O102" s="585">
        <v>-3987</v>
      </c>
    </row>
    <row r="103" spans="2:17" ht="15.75" x14ac:dyDescent="0.25">
      <c r="M103" s="568" t="s">
        <v>337</v>
      </c>
      <c r="N103" s="585">
        <v>133900</v>
      </c>
      <c r="O103" s="585">
        <v>25567</v>
      </c>
    </row>
    <row r="104" spans="2:17" x14ac:dyDescent="0.25">
      <c r="M104" s="571"/>
    </row>
    <row r="105" spans="2:17" ht="15.75" x14ac:dyDescent="0.25">
      <c r="M105" s="571" t="s">
        <v>778</v>
      </c>
      <c r="N105" s="586">
        <v>201480</v>
      </c>
      <c r="O105" s="586">
        <v>76658</v>
      </c>
    </row>
    <row r="106" spans="2:17" ht="15.75" x14ac:dyDescent="0.25">
      <c r="M106" s="571" t="s">
        <v>779</v>
      </c>
      <c r="N106" s="586">
        <v>109492</v>
      </c>
      <c r="O106" s="586">
        <v>21406</v>
      </c>
    </row>
    <row r="109" spans="2:17" ht="15.75" x14ac:dyDescent="0.25">
      <c r="C109" s="574" t="s">
        <v>780</v>
      </c>
    </row>
    <row r="110" spans="2:17" x14ac:dyDescent="0.25">
      <c r="M110" s="472" t="s">
        <v>262</v>
      </c>
      <c r="N110" s="472" t="s">
        <v>263</v>
      </c>
      <c r="O110" s="472" t="s">
        <v>264</v>
      </c>
      <c r="P110" s="473" t="s">
        <v>105</v>
      </c>
      <c r="Q110" s="471" t="s">
        <v>265</v>
      </c>
    </row>
    <row r="111" spans="2:17" x14ac:dyDescent="0.25">
      <c r="B111" s="268"/>
      <c r="L111" s="568" t="s">
        <v>758</v>
      </c>
      <c r="M111" s="474">
        <v>24432</v>
      </c>
      <c r="N111" s="475">
        <v>40175</v>
      </c>
      <c r="O111" s="474">
        <v>77264</v>
      </c>
      <c r="P111" s="476">
        <v>2800</v>
      </c>
    </row>
    <row r="112" spans="2:17" x14ac:dyDescent="0.25">
      <c r="B112" s="268"/>
      <c r="L112" s="568" t="s">
        <v>759</v>
      </c>
      <c r="M112" s="476">
        <v>36665</v>
      </c>
      <c r="N112" s="479">
        <v>38397</v>
      </c>
      <c r="O112" s="476">
        <v>43127</v>
      </c>
      <c r="P112" s="476">
        <v>1820</v>
      </c>
    </row>
    <row r="113" spans="2:16" x14ac:dyDescent="0.25">
      <c r="B113" s="268"/>
      <c r="L113" s="568" t="s">
        <v>760</v>
      </c>
      <c r="M113" s="476">
        <v>36948</v>
      </c>
      <c r="N113" s="479">
        <v>38620</v>
      </c>
      <c r="O113" s="476">
        <v>46936</v>
      </c>
      <c r="P113" s="476">
        <v>3000</v>
      </c>
    </row>
    <row r="114" spans="2:16" x14ac:dyDescent="0.25">
      <c r="B114" s="268"/>
      <c r="L114" s="568" t="s">
        <v>761</v>
      </c>
      <c r="M114" s="476">
        <v>41295</v>
      </c>
      <c r="N114" s="479">
        <v>51402</v>
      </c>
      <c r="O114" s="476">
        <v>56706</v>
      </c>
      <c r="P114" s="476">
        <v>4640</v>
      </c>
    </row>
    <row r="115" spans="2:16" x14ac:dyDescent="0.25">
      <c r="B115" s="268"/>
      <c r="L115" s="568" t="s">
        <v>336</v>
      </c>
      <c r="M115" s="476">
        <v>40275</v>
      </c>
      <c r="N115" s="479">
        <v>40749</v>
      </c>
      <c r="O115" s="476">
        <v>60792</v>
      </c>
      <c r="P115" s="476">
        <v>4000</v>
      </c>
    </row>
    <row r="116" spans="2:16" x14ac:dyDescent="0.25">
      <c r="B116" s="268"/>
      <c r="L116" s="568" t="s">
        <v>762</v>
      </c>
      <c r="M116" s="476">
        <v>32665</v>
      </c>
      <c r="N116" s="479">
        <v>42972</v>
      </c>
      <c r="O116" s="476">
        <v>49088</v>
      </c>
      <c r="P116" s="476">
        <v>4000</v>
      </c>
    </row>
    <row r="117" spans="2:16" x14ac:dyDescent="0.25">
      <c r="B117" s="268"/>
      <c r="L117" s="568" t="s">
        <v>763</v>
      </c>
      <c r="M117" s="476">
        <v>41977</v>
      </c>
      <c r="N117" s="479">
        <v>38174</v>
      </c>
      <c r="O117" s="476">
        <v>27040</v>
      </c>
      <c r="P117" s="476">
        <v>3150</v>
      </c>
    </row>
    <row r="118" spans="2:16" x14ac:dyDescent="0.25">
      <c r="B118" s="268"/>
      <c r="L118" s="568" t="s">
        <v>764</v>
      </c>
      <c r="M118" s="476">
        <v>36114</v>
      </c>
      <c r="N118" s="479">
        <v>39451</v>
      </c>
      <c r="O118" s="476">
        <v>31449</v>
      </c>
      <c r="P118" s="476">
        <v>3000</v>
      </c>
    </row>
    <row r="119" spans="2:16" x14ac:dyDescent="0.25">
      <c r="B119" s="268"/>
      <c r="L119" s="568" t="s">
        <v>765</v>
      </c>
      <c r="M119" s="476">
        <v>34227</v>
      </c>
      <c r="N119" s="479">
        <v>45278</v>
      </c>
      <c r="O119" s="476">
        <v>65855</v>
      </c>
      <c r="P119" s="476">
        <v>3500</v>
      </c>
    </row>
    <row r="120" spans="2:16" x14ac:dyDescent="0.25">
      <c r="B120" s="268"/>
      <c r="L120" s="568" t="s">
        <v>766</v>
      </c>
      <c r="M120" s="476">
        <v>32301</v>
      </c>
      <c r="N120" s="479">
        <v>41636</v>
      </c>
      <c r="O120" s="476">
        <v>41608</v>
      </c>
      <c r="P120" s="476">
        <v>3000</v>
      </c>
    </row>
    <row r="122" spans="2:16" x14ac:dyDescent="0.25">
      <c r="B122" s="268"/>
      <c r="L122" s="568" t="s">
        <v>767</v>
      </c>
      <c r="M122" s="476">
        <v>33842</v>
      </c>
      <c r="N122" s="479">
        <v>38602</v>
      </c>
      <c r="O122" s="476">
        <v>20338</v>
      </c>
      <c r="P122" s="476">
        <v>4000</v>
      </c>
    </row>
    <row r="123" spans="2:16" x14ac:dyDescent="0.25">
      <c r="B123" s="268"/>
      <c r="L123" s="568" t="s">
        <v>768</v>
      </c>
      <c r="M123" s="476">
        <v>37709</v>
      </c>
      <c r="N123" s="479">
        <v>42425</v>
      </c>
      <c r="O123" s="476">
        <v>21100</v>
      </c>
      <c r="P123" s="476">
        <v>2000</v>
      </c>
    </row>
    <row r="124" spans="2:16" x14ac:dyDescent="0.25">
      <c r="B124" s="268"/>
      <c r="L124" s="568" t="s">
        <v>769</v>
      </c>
      <c r="M124" s="476">
        <v>62174</v>
      </c>
      <c r="N124" s="479">
        <v>27257</v>
      </c>
      <c r="O124" s="476">
        <v>18464</v>
      </c>
      <c r="P124" s="476">
        <v>3500</v>
      </c>
    </row>
    <row r="125" spans="2:16" x14ac:dyDescent="0.25">
      <c r="B125" s="310"/>
      <c r="L125" s="568" t="s">
        <v>337</v>
      </c>
      <c r="M125" s="479">
        <v>37770</v>
      </c>
      <c r="N125" s="479">
        <v>43930</v>
      </c>
      <c r="O125" s="479">
        <v>18868</v>
      </c>
      <c r="P125" s="476">
        <v>3765</v>
      </c>
    </row>
    <row r="126" spans="2:16" x14ac:dyDescent="0.25">
      <c r="L126" s="571"/>
    </row>
    <row r="127" spans="2:16" x14ac:dyDescent="0.25">
      <c r="B127" s="302"/>
      <c r="L127" s="571" t="s">
        <v>778</v>
      </c>
      <c r="M127" s="481">
        <v>32834</v>
      </c>
      <c r="N127" s="588">
        <v>40184</v>
      </c>
      <c r="O127" s="481">
        <v>49554</v>
      </c>
      <c r="P127" s="481">
        <v>2250</v>
      </c>
    </row>
    <row r="128" spans="2:16" x14ac:dyDescent="0.25">
      <c r="B128" s="305"/>
      <c r="L128" s="571" t="s">
        <v>779</v>
      </c>
      <c r="M128" s="587">
        <v>32517</v>
      </c>
      <c r="N128" s="587">
        <v>36588</v>
      </c>
      <c r="O128" s="587">
        <v>17181</v>
      </c>
      <c r="P128" s="485">
        <v>1800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Annexes 1-10 Paddy </vt:lpstr>
      <vt:lpstr>Amp East edited 2022 y</vt:lpstr>
      <vt:lpstr>Amp west</vt:lpstr>
      <vt:lpstr>Anuradhapura</vt:lpstr>
      <vt:lpstr>Hambantota</vt:lpstr>
      <vt:lpstr>Polonnaruwa</vt:lpstr>
      <vt:lpstr>Kuru (Irr)</vt:lpstr>
      <vt:lpstr>SYS B</vt:lpstr>
      <vt:lpstr>SYS C</vt:lpstr>
      <vt:lpstr>SYS H</vt:lpstr>
      <vt:lpstr>TRinco</vt:lpstr>
      <vt:lpstr>GAmpaha</vt:lpstr>
      <vt:lpstr>Kandy</vt:lpstr>
      <vt:lpstr>KAlutara</vt:lpstr>
      <vt:lpstr>Kuru (Rf)</vt:lpstr>
      <vt:lpstr>WI (IRR)</vt:lpstr>
      <vt:lpstr>Whole island (Rf)</vt:lpstr>
      <vt:lpstr>Sheet1</vt:lpstr>
      <vt:lpstr>Sheet1!_Toc123093069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</cp:lastModifiedBy>
  <cp:lastPrinted>2023-08-18T16:53:06Z</cp:lastPrinted>
  <dcterms:created xsi:type="dcterms:W3CDTF">2023-03-01T06:54:32Z</dcterms:created>
  <dcterms:modified xsi:type="dcterms:W3CDTF">2024-06-12T04:50:32Z</dcterms:modified>
</cp:coreProperties>
</file>