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705" windowWidth="17715" windowHeight="11520" firstSheet="14" activeTab="20"/>
  </bookViews>
  <sheets>
    <sheet name="g'nut-m'gala" sheetId="1" r:id="rId1"/>
    <sheet name="capsicum" sheetId="2" r:id="rId2"/>
    <sheet name="carrot" sheetId="3" r:id="rId3"/>
    <sheet name="Potato-bd" sheetId="4" r:id="rId4"/>
    <sheet name="b'ggram (apura)" sheetId="5" r:id="rId5"/>
    <sheet name="Brinjal (apura)" sheetId="6" r:id="rId6"/>
    <sheet name="Cabbage (NE)" sheetId="7" r:id="rId7"/>
    <sheet name="Chilli -apura" sheetId="8" r:id="rId8"/>
    <sheet name="Cowpea (Ampara)" sheetId="9" r:id="rId9"/>
    <sheet name="Gingelly -H tota" sheetId="10" r:id="rId10"/>
    <sheet name="G.Gram (H'tota)" sheetId="11" r:id="rId11"/>
    <sheet name="Maize-Amp" sheetId="12" r:id="rId12"/>
    <sheet name="Miaze-Apura" sheetId="13" r:id="rId13"/>
    <sheet name="Maize-Mona" sheetId="14" r:id="rId14"/>
    <sheet name="POleB-Mtl" sheetId="15" r:id="rId15"/>
    <sheet name="Pole B-bd" sheetId="16" r:id="rId16"/>
    <sheet name="Potato-NE" sheetId="17" r:id="rId17"/>
    <sheet name="Pumpkn-ap" sheetId="18" r:id="rId18"/>
    <sheet name="Tomato-bd" sheetId="19" r:id="rId19"/>
    <sheet name="G.nut-mona" sheetId="20" r:id="rId20"/>
    <sheet name="Red Onion-Putt" sheetId="21" r:id="rId21"/>
  </sheets>
  <calcPr calcId="144525"/>
</workbook>
</file>

<file path=xl/calcChain.xml><?xml version="1.0" encoding="utf-8"?>
<calcChain xmlns="http://schemas.openxmlformats.org/spreadsheetml/2006/main">
  <c r="H48" i="21" l="1"/>
  <c r="G48" i="21"/>
  <c r="H46" i="21"/>
  <c r="H23" i="21"/>
  <c r="M22" i="21"/>
  <c r="L22" i="21"/>
  <c r="I22" i="21"/>
  <c r="I23" i="21" s="1"/>
  <c r="F22" i="21"/>
  <c r="E22" i="21"/>
  <c r="E23" i="21" s="1"/>
  <c r="K21" i="21"/>
  <c r="H21" i="21"/>
  <c r="K20" i="21"/>
  <c r="K19" i="21"/>
  <c r="K18" i="21"/>
  <c r="K17" i="21"/>
  <c r="K16" i="21"/>
  <c r="K15" i="21"/>
  <c r="K14" i="21"/>
  <c r="J13" i="21"/>
  <c r="K12" i="21"/>
  <c r="J12" i="21"/>
  <c r="K11" i="21"/>
  <c r="J11" i="21"/>
  <c r="J22" i="21" s="1"/>
  <c r="J23" i="21" s="1"/>
  <c r="K10" i="21"/>
  <c r="H9" i="21"/>
  <c r="K9" i="21" s="1"/>
  <c r="K8" i="21"/>
  <c r="K23" i="21" l="1"/>
  <c r="G52" i="21" s="1"/>
  <c r="G49" i="21"/>
  <c r="H49" i="21" s="1"/>
  <c r="H22" i="21"/>
  <c r="K22" i="21" s="1"/>
  <c r="G51" i="21" s="1"/>
  <c r="G50" i="21" l="1"/>
  <c r="H50" i="21" s="1"/>
  <c r="H34" i="20" l="1"/>
  <c r="G34" i="20"/>
  <c r="H32" i="20"/>
  <c r="E30" i="20"/>
  <c r="P21" i="20"/>
  <c r="P20" i="20"/>
  <c r="P19" i="20"/>
  <c r="P18" i="20"/>
  <c r="H18" i="20"/>
  <c r="M17" i="20"/>
  <c r="L17" i="20"/>
  <c r="I18" i="20" s="1"/>
  <c r="I17" i="20"/>
  <c r="H17" i="20"/>
  <c r="F17" i="20"/>
  <c r="E17" i="20"/>
  <c r="E18" i="20" s="1"/>
  <c r="K16" i="20"/>
  <c r="K15" i="20"/>
  <c r="K14" i="20"/>
  <c r="K13" i="20"/>
  <c r="K12" i="20"/>
  <c r="K11" i="20"/>
  <c r="J10" i="20"/>
  <c r="K10" i="20" s="1"/>
  <c r="K9" i="20"/>
  <c r="K8" i="20"/>
  <c r="J17" i="20" l="1"/>
  <c r="J18" i="20" s="1"/>
  <c r="K18" i="20" s="1"/>
  <c r="G38" i="20" l="1"/>
  <c r="G36" i="20"/>
  <c r="H36" i="20" s="1"/>
  <c r="K17" i="20"/>
  <c r="G37" i="20" l="1"/>
  <c r="G35" i="20"/>
  <c r="H35" i="20" s="1"/>
  <c r="F45" i="19" l="1"/>
  <c r="C45" i="19"/>
  <c r="F44" i="19"/>
  <c r="F43" i="19"/>
  <c r="G24" i="19"/>
  <c r="L23" i="19"/>
  <c r="K23" i="19"/>
  <c r="H24" i="19" s="1"/>
  <c r="H23" i="19"/>
  <c r="E23" i="19"/>
  <c r="D23" i="19"/>
  <c r="D24" i="19" s="1"/>
  <c r="J22" i="19"/>
  <c r="J21" i="19"/>
  <c r="G21" i="19"/>
  <c r="J20" i="19"/>
  <c r="G20" i="19"/>
  <c r="J19" i="19"/>
  <c r="G19" i="19"/>
  <c r="J18" i="19"/>
  <c r="G18" i="19"/>
  <c r="J17" i="19"/>
  <c r="I16" i="19"/>
  <c r="J15" i="19"/>
  <c r="I15" i="19"/>
  <c r="G15" i="19"/>
  <c r="I14" i="19"/>
  <c r="J14" i="19" s="1"/>
  <c r="J13" i="19"/>
  <c r="G11" i="19"/>
  <c r="J11" i="19" s="1"/>
  <c r="J10" i="19"/>
  <c r="G9" i="19"/>
  <c r="J9" i="19" s="1"/>
  <c r="G23" i="19" l="1"/>
  <c r="I23" i="19"/>
  <c r="I24" i="19" s="1"/>
  <c r="J24" i="19" s="1"/>
  <c r="C49" i="19" l="1"/>
  <c r="C47" i="19"/>
  <c r="F47" i="19" s="1"/>
  <c r="J23" i="19"/>
  <c r="C48" i="19" l="1"/>
  <c r="C46" i="19"/>
  <c r="F46" i="19" s="1"/>
  <c r="G45" i="18" l="1"/>
  <c r="D44" i="18"/>
  <c r="G44" i="18" s="1"/>
  <c r="H22" i="18"/>
  <c r="K22" i="18" s="1"/>
  <c r="D48" i="18" s="1"/>
  <c r="M21" i="18"/>
  <c r="L21" i="18"/>
  <c r="I21" i="18"/>
  <c r="I22" i="18" s="1"/>
  <c r="F21" i="18"/>
  <c r="E21" i="18"/>
  <c r="E22" i="18" s="1"/>
  <c r="K20" i="18"/>
  <c r="H19" i="18"/>
  <c r="K19" i="18" s="1"/>
  <c r="K18" i="18"/>
  <c r="K17" i="18"/>
  <c r="H16" i="18"/>
  <c r="H21" i="18" s="1"/>
  <c r="J14" i="18"/>
  <c r="J21" i="18" s="1"/>
  <c r="J22" i="18" s="1"/>
  <c r="K13" i="18"/>
  <c r="K11" i="18"/>
  <c r="K8" i="18"/>
  <c r="K14" i="18" l="1"/>
  <c r="K21" i="18" s="1"/>
  <c r="D47" i="18" s="1"/>
  <c r="D46" i="18"/>
  <c r="G46" i="18" s="1"/>
  <c r="K16" i="18"/>
  <c r="F42" i="17" l="1"/>
  <c r="D42" i="17"/>
  <c r="F41" i="17"/>
  <c r="F40" i="17"/>
  <c r="G21" i="17"/>
  <c r="L20" i="17"/>
  <c r="K20" i="17"/>
  <c r="H21" i="17" s="1"/>
  <c r="J21" i="17" s="1"/>
  <c r="D46" i="17" s="1"/>
  <c r="I20" i="17"/>
  <c r="I21" i="17" s="1"/>
  <c r="H20" i="17"/>
  <c r="E20" i="17"/>
  <c r="D20" i="17"/>
  <c r="D21" i="17" s="1"/>
  <c r="J19" i="17"/>
  <c r="J18" i="17"/>
  <c r="J17" i="17"/>
  <c r="J16" i="17"/>
  <c r="I15" i="17"/>
  <c r="J14" i="17"/>
  <c r="I14" i="17"/>
  <c r="J13" i="17"/>
  <c r="I13" i="17"/>
  <c r="J12" i="17"/>
  <c r="G12" i="17"/>
  <c r="J10" i="17"/>
  <c r="G9" i="17"/>
  <c r="J9" i="17" s="1"/>
  <c r="J20" i="17" s="1"/>
  <c r="D45" i="17" s="1"/>
  <c r="D43" i="17" l="1"/>
  <c r="F43" i="17" s="1"/>
  <c r="G20" i="17"/>
  <c r="D44" i="17"/>
  <c r="F44" i="17" s="1"/>
  <c r="F46" i="16" l="1"/>
  <c r="C46" i="16"/>
  <c r="F44" i="16"/>
  <c r="D34" i="16"/>
  <c r="G23" i="16"/>
  <c r="L22" i="16"/>
  <c r="K22" i="16"/>
  <c r="H23" i="16" s="1"/>
  <c r="H22" i="16"/>
  <c r="E22" i="16"/>
  <c r="J21" i="16"/>
  <c r="D19" i="16"/>
  <c r="G19" i="16" s="1"/>
  <c r="J18" i="16"/>
  <c r="J17" i="16"/>
  <c r="J16" i="16"/>
  <c r="I15" i="16"/>
  <c r="I14" i="16"/>
  <c r="J14" i="16" s="1"/>
  <c r="I13" i="16"/>
  <c r="J13" i="16" s="1"/>
  <c r="J12" i="16"/>
  <c r="J10" i="16"/>
  <c r="G10" i="16"/>
  <c r="J9" i="16"/>
  <c r="G22" i="16" l="1"/>
  <c r="J19" i="16"/>
  <c r="D22" i="16"/>
  <c r="D23" i="16" s="1"/>
  <c r="I22" i="16"/>
  <c r="I23" i="16" s="1"/>
  <c r="J23" i="16" s="1"/>
  <c r="C50" i="16" l="1"/>
  <c r="C48" i="16"/>
  <c r="F48" i="16" s="1"/>
  <c r="J22" i="16"/>
  <c r="C49" i="16" l="1"/>
  <c r="C47" i="16"/>
  <c r="F47" i="16" s="1"/>
  <c r="G38" i="15" l="1"/>
  <c r="G39" i="15" s="1"/>
  <c r="I39" i="15" s="1"/>
  <c r="I36" i="15"/>
  <c r="E29" i="15"/>
  <c r="K25" i="15"/>
  <c r="H20" i="15"/>
  <c r="M19" i="15"/>
  <c r="L19" i="15"/>
  <c r="H19" i="15"/>
  <c r="G19" i="15"/>
  <c r="F19" i="15"/>
  <c r="E19" i="15"/>
  <c r="E20" i="15" s="1"/>
  <c r="K18" i="15"/>
  <c r="H18" i="15"/>
  <c r="K17" i="15"/>
  <c r="H17" i="15"/>
  <c r="K16" i="15"/>
  <c r="H16" i="15"/>
  <c r="K15" i="15"/>
  <c r="J14" i="15"/>
  <c r="K13" i="15"/>
  <c r="J13" i="15"/>
  <c r="J19" i="15" s="1"/>
  <c r="J20" i="15" s="1"/>
  <c r="K20" i="15" s="1"/>
  <c r="G42" i="15" s="1"/>
  <c r="K12" i="15"/>
  <c r="K11" i="15"/>
  <c r="K9" i="15"/>
  <c r="H9" i="15"/>
  <c r="K8" i="15"/>
  <c r="K19" i="15" s="1"/>
  <c r="G41" i="15" s="1"/>
  <c r="H8" i="15"/>
  <c r="G45" i="14"/>
  <c r="E45" i="14"/>
  <c r="G43" i="14"/>
  <c r="R27" i="14"/>
  <c r="R26" i="14"/>
  <c r="R25" i="14"/>
  <c r="H21" i="14"/>
  <c r="M20" i="14"/>
  <c r="L20" i="14"/>
  <c r="I21" i="14" s="1"/>
  <c r="I20" i="14"/>
  <c r="F20" i="14"/>
  <c r="E20" i="14"/>
  <c r="E21" i="14" s="1"/>
  <c r="K19" i="14"/>
  <c r="K18" i="14"/>
  <c r="H17" i="14"/>
  <c r="K17" i="14" s="1"/>
  <c r="K15" i="14"/>
  <c r="K14" i="14"/>
  <c r="J13" i="14"/>
  <c r="K12" i="14"/>
  <c r="J11" i="14"/>
  <c r="K11" i="14" s="1"/>
  <c r="H10" i="14"/>
  <c r="K10" i="14" s="1"/>
  <c r="H9" i="14"/>
  <c r="K9" i="14" s="1"/>
  <c r="K8" i="14"/>
  <c r="G40" i="15" l="1"/>
  <c r="I40" i="15" s="1"/>
  <c r="I38" i="15"/>
  <c r="K20" i="14"/>
  <c r="E48" i="14" s="1"/>
  <c r="E46" i="14"/>
  <c r="G46" i="14" s="1"/>
  <c r="J20" i="14"/>
  <c r="J21" i="14" s="1"/>
  <c r="K21" i="14" s="1"/>
  <c r="H20" i="14"/>
  <c r="E49" i="14" l="1"/>
  <c r="E47" i="14"/>
  <c r="G47" i="14" s="1"/>
  <c r="H42" i="13" l="1"/>
  <c r="F42" i="13"/>
  <c r="H40" i="13"/>
  <c r="D34" i="13"/>
  <c r="G23" i="13"/>
  <c r="L22" i="13"/>
  <c r="K22" i="13"/>
  <c r="H23" i="13" s="1"/>
  <c r="J23" i="13" s="1"/>
  <c r="F46" i="13" s="1"/>
  <c r="I22" i="13"/>
  <c r="I23" i="13" s="1"/>
  <c r="H22" i="13"/>
  <c r="F22" i="13"/>
  <c r="D22" i="13"/>
  <c r="J21" i="13"/>
  <c r="J20" i="13"/>
  <c r="J18" i="13"/>
  <c r="J17" i="13"/>
  <c r="E17" i="13"/>
  <c r="G16" i="13"/>
  <c r="J16" i="13" s="1"/>
  <c r="J15" i="13"/>
  <c r="J12" i="13"/>
  <c r="I12" i="13"/>
  <c r="J11" i="13"/>
  <c r="I11" i="13"/>
  <c r="E11" i="13"/>
  <c r="E22" i="13" s="1"/>
  <c r="D23" i="13" s="1"/>
  <c r="G9" i="13"/>
  <c r="J9" i="13" s="1"/>
  <c r="J8" i="13"/>
  <c r="J22" i="13" s="1"/>
  <c r="F45" i="13" s="1"/>
  <c r="F43" i="13" l="1"/>
  <c r="H43" i="13" s="1"/>
  <c r="G22" i="13"/>
  <c r="F44" i="13"/>
  <c r="H44" i="13" s="1"/>
  <c r="I41" i="12" l="1"/>
  <c r="G41" i="12"/>
  <c r="I39" i="12"/>
  <c r="R33" i="12"/>
  <c r="H23" i="12"/>
  <c r="M22" i="12"/>
  <c r="L22" i="12"/>
  <c r="I23" i="12" s="1"/>
  <c r="K23" i="12" s="1"/>
  <c r="G45" i="12" s="1"/>
  <c r="J22" i="12"/>
  <c r="J23" i="12" s="1"/>
  <c r="I22" i="12"/>
  <c r="F22" i="12"/>
  <c r="E22" i="12"/>
  <c r="E23" i="12" s="1"/>
  <c r="H21" i="12"/>
  <c r="K21" i="12" s="1"/>
  <c r="Y20" i="12"/>
  <c r="V20" i="12"/>
  <c r="H20" i="12"/>
  <c r="K20" i="12" s="1"/>
  <c r="Y19" i="12"/>
  <c r="V19" i="12"/>
  <c r="K19" i="12"/>
  <c r="Y18" i="12"/>
  <c r="V18" i="12"/>
  <c r="K18" i="12"/>
  <c r="Y17" i="12"/>
  <c r="V17" i="12"/>
  <c r="H17" i="12"/>
  <c r="K17" i="12" s="1"/>
  <c r="Y16" i="12"/>
  <c r="V16" i="12"/>
  <c r="K16" i="12"/>
  <c r="Y15" i="12"/>
  <c r="V15" i="12"/>
  <c r="K15" i="12"/>
  <c r="Y14" i="12"/>
  <c r="V14" i="12"/>
  <c r="Y13" i="12"/>
  <c r="K13" i="12"/>
  <c r="H13" i="12"/>
  <c r="Y12" i="12"/>
  <c r="V12" i="12"/>
  <c r="Y11" i="12"/>
  <c r="Y10" i="12"/>
  <c r="K10" i="12"/>
  <c r="J10" i="12"/>
  <c r="H10" i="12"/>
  <c r="H22" i="12" s="1"/>
  <c r="Y9" i="12"/>
  <c r="K9" i="12"/>
  <c r="Y8" i="12"/>
  <c r="K8" i="12"/>
  <c r="Y7" i="12"/>
  <c r="K22" i="12" l="1"/>
  <c r="G44" i="12" s="1"/>
  <c r="G43" i="12"/>
  <c r="I43" i="12" s="1"/>
  <c r="G42" i="12" l="1"/>
  <c r="I42" i="12" s="1"/>
  <c r="E36" i="11" l="1"/>
  <c r="E37" i="11" s="1"/>
  <c r="E29" i="11"/>
  <c r="H18" i="11"/>
  <c r="M17" i="11"/>
  <c r="L17" i="11"/>
  <c r="I18" i="11" s="1"/>
  <c r="I17" i="11"/>
  <c r="F17" i="11"/>
  <c r="E17" i="11"/>
  <c r="E18" i="11" s="1"/>
  <c r="K14" i="11"/>
  <c r="K13" i="11"/>
  <c r="K12" i="11"/>
  <c r="K11" i="11"/>
  <c r="J11" i="11"/>
  <c r="H11" i="11"/>
  <c r="H17" i="11" s="1"/>
  <c r="J10" i="11"/>
  <c r="K10" i="11" s="1"/>
  <c r="H10" i="11"/>
  <c r="K9" i="11"/>
  <c r="H9" i="11"/>
  <c r="K8" i="11"/>
  <c r="K17" i="11" s="1"/>
  <c r="E39" i="11" s="1"/>
  <c r="J17" i="11" l="1"/>
  <c r="J18" i="11" s="1"/>
  <c r="K18" i="11" s="1"/>
  <c r="E38" i="11" l="1"/>
  <c r="E40" i="11"/>
  <c r="F35" i="10" l="1"/>
  <c r="E30" i="10"/>
  <c r="H17" i="10"/>
  <c r="K17" i="10" s="1"/>
  <c r="M16" i="10"/>
  <c r="L16" i="10"/>
  <c r="I16" i="10"/>
  <c r="I17" i="10" s="1"/>
  <c r="F16" i="10"/>
  <c r="E16" i="10"/>
  <c r="E17" i="10" s="1"/>
  <c r="K15" i="10"/>
  <c r="K14" i="10"/>
  <c r="K13" i="10"/>
  <c r="K12" i="10"/>
  <c r="K11" i="10"/>
  <c r="J11" i="10"/>
  <c r="J16" i="10" s="1"/>
  <c r="J17" i="10" s="1"/>
  <c r="K10" i="10"/>
  <c r="H9" i="10"/>
  <c r="K9" i="10" s="1"/>
  <c r="K8" i="10"/>
  <c r="F40" i="10" l="1"/>
  <c r="F37" i="10"/>
  <c r="G37" i="10" s="1"/>
  <c r="H16" i="10"/>
  <c r="K16" i="10" s="1"/>
  <c r="F39" i="10" s="1"/>
  <c r="F36" i="10" l="1"/>
  <c r="G36" i="10" s="1"/>
  <c r="H41" i="9" l="1"/>
  <c r="G41" i="9"/>
  <c r="H39" i="9"/>
  <c r="Q31" i="9"/>
  <c r="Q30" i="9"/>
  <c r="Q29" i="9"/>
  <c r="H21" i="9"/>
  <c r="M20" i="9"/>
  <c r="L20" i="9"/>
  <c r="I21" i="9" s="1"/>
  <c r="I20" i="9"/>
  <c r="F20" i="9"/>
  <c r="E20" i="9"/>
  <c r="E21" i="9" s="1"/>
  <c r="P19" i="9"/>
  <c r="K19" i="9"/>
  <c r="H19" i="9"/>
  <c r="P18" i="9"/>
  <c r="H18" i="9"/>
  <c r="K18" i="9" s="1"/>
  <c r="P17" i="9"/>
  <c r="P16" i="9"/>
  <c r="H16" i="9"/>
  <c r="K16" i="9" s="1"/>
  <c r="P15" i="9"/>
  <c r="K15" i="9"/>
  <c r="P14" i="9"/>
  <c r="K14" i="9"/>
  <c r="H14" i="9"/>
  <c r="P13" i="9"/>
  <c r="K13" i="9"/>
  <c r="P12" i="9"/>
  <c r="J12" i="9"/>
  <c r="K12" i="9" s="1"/>
  <c r="H12" i="9"/>
  <c r="P11" i="9"/>
  <c r="P10" i="9"/>
  <c r="J10" i="9"/>
  <c r="H10" i="9"/>
  <c r="K10" i="9" s="1"/>
  <c r="P9" i="9"/>
  <c r="K9" i="9"/>
  <c r="H9" i="9"/>
  <c r="P8" i="9"/>
  <c r="H8" i="9"/>
  <c r="H20" i="9" s="1"/>
  <c r="J20" i="9" l="1"/>
  <c r="J21" i="9" s="1"/>
  <c r="K21" i="9" s="1"/>
  <c r="K8" i="9"/>
  <c r="G45" i="9" l="1"/>
  <c r="G43" i="9"/>
  <c r="H43" i="9" s="1"/>
  <c r="K20" i="9"/>
  <c r="G44" i="9" l="1"/>
  <c r="G42" i="9"/>
  <c r="H42" i="9" s="1"/>
  <c r="G34" i="8" l="1"/>
  <c r="F34" i="8"/>
  <c r="G32" i="8"/>
  <c r="D26" i="8"/>
  <c r="G17" i="8"/>
  <c r="L16" i="8"/>
  <c r="K16" i="8"/>
  <c r="H17" i="8" s="1"/>
  <c r="J17" i="8" s="1"/>
  <c r="F38" i="8" s="1"/>
  <c r="H16" i="8"/>
  <c r="F16" i="8"/>
  <c r="D16" i="8"/>
  <c r="Q15" i="8"/>
  <c r="J15" i="8"/>
  <c r="Q14" i="8"/>
  <c r="G14" i="8"/>
  <c r="J14" i="8" s="1"/>
  <c r="E14" i="8"/>
  <c r="Q13" i="8"/>
  <c r="G13" i="8"/>
  <c r="J13" i="8" s="1"/>
  <c r="Q12" i="8"/>
  <c r="P12" i="8"/>
  <c r="I12" i="8"/>
  <c r="I16" i="8" s="1"/>
  <c r="I17" i="8" s="1"/>
  <c r="G12" i="8"/>
  <c r="J12" i="8" s="1"/>
  <c r="E12" i="8"/>
  <c r="E16" i="8" s="1"/>
  <c r="D17" i="8" s="1"/>
  <c r="Q11" i="8"/>
  <c r="P11" i="8"/>
  <c r="G11" i="8"/>
  <c r="J11" i="8" s="1"/>
  <c r="Q10" i="8"/>
  <c r="P10" i="8"/>
  <c r="G10" i="8"/>
  <c r="J10" i="8" s="1"/>
  <c r="Q9" i="8"/>
  <c r="P9" i="8"/>
  <c r="G9" i="8"/>
  <c r="J9" i="8" s="1"/>
  <c r="Q8" i="8"/>
  <c r="Q16" i="8" s="1"/>
  <c r="P8" i="8"/>
  <c r="P16" i="8" s="1"/>
  <c r="G8" i="8"/>
  <c r="G16" i="8" s="1"/>
  <c r="F35" i="8" l="1"/>
  <c r="G35" i="8" s="1"/>
  <c r="J8" i="8"/>
  <c r="J16" i="8" s="1"/>
  <c r="F37" i="8" s="1"/>
  <c r="F36" i="8"/>
  <c r="G36" i="8" s="1"/>
  <c r="G44" i="4" l="1"/>
  <c r="F44" i="4"/>
  <c r="G42" i="4"/>
  <c r="H21" i="4"/>
  <c r="M20" i="4"/>
  <c r="L20" i="4"/>
  <c r="I20" i="4"/>
  <c r="I21" i="4" s="1"/>
  <c r="G20" i="4"/>
  <c r="F20" i="4"/>
  <c r="E20" i="4"/>
  <c r="E21" i="4" s="1"/>
  <c r="K19" i="4"/>
  <c r="K18" i="4"/>
  <c r="O17" i="4"/>
  <c r="K17" i="4"/>
  <c r="H17" i="4"/>
  <c r="K16" i="4"/>
  <c r="H15" i="4"/>
  <c r="K15" i="4" s="1"/>
  <c r="H14" i="4"/>
  <c r="H20" i="4" s="1"/>
  <c r="J13" i="4"/>
  <c r="K12" i="4"/>
  <c r="J12" i="4"/>
  <c r="O11" i="4"/>
  <c r="J11" i="4"/>
  <c r="J20" i="4" s="1"/>
  <c r="J21" i="4" s="1"/>
  <c r="O10" i="4"/>
  <c r="K10" i="4"/>
  <c r="K9" i="4"/>
  <c r="K8" i="4"/>
  <c r="K21" i="4" l="1"/>
  <c r="F48" i="4" s="1"/>
  <c r="K14" i="4"/>
  <c r="F46" i="4"/>
  <c r="G46" i="4" s="1"/>
  <c r="K11" i="4"/>
  <c r="K20" i="4" s="1"/>
  <c r="F47" i="4" l="1"/>
  <c r="F45" i="4"/>
  <c r="G45" i="4" s="1"/>
  <c r="H38" i="5" l="1"/>
  <c r="G38" i="5"/>
  <c r="H36" i="5"/>
  <c r="E33" i="5"/>
  <c r="H20" i="5"/>
  <c r="M19" i="5"/>
  <c r="J19" i="5"/>
  <c r="J20" i="5" s="1"/>
  <c r="I19" i="5"/>
  <c r="I20" i="5" s="1"/>
  <c r="K20" i="5" s="1"/>
  <c r="G43" i="5" s="1"/>
  <c r="F19" i="5"/>
  <c r="E20" i="5" s="1"/>
  <c r="E19" i="5"/>
  <c r="K18" i="5"/>
  <c r="H18" i="5"/>
  <c r="G17" i="5"/>
  <c r="F17" i="5"/>
  <c r="E17" i="5"/>
  <c r="D17" i="5"/>
  <c r="K16" i="5"/>
  <c r="H16" i="5"/>
  <c r="K15" i="5"/>
  <c r="H14" i="5"/>
  <c r="K14" i="5" s="1"/>
  <c r="J13" i="5"/>
  <c r="K11" i="5"/>
  <c r="H10" i="5"/>
  <c r="K10" i="5" s="1"/>
  <c r="H9" i="5"/>
  <c r="K9" i="5" s="1"/>
  <c r="D8" i="5"/>
  <c r="H19" i="5" l="1"/>
  <c r="K19" i="5" s="1"/>
  <c r="G42" i="5" s="1"/>
  <c r="G40" i="5"/>
  <c r="H40" i="5" s="1"/>
  <c r="G39" i="5" l="1"/>
  <c r="H39" i="5" s="1"/>
  <c r="L50" i="2" l="1"/>
  <c r="J49" i="2"/>
  <c r="F42" i="2"/>
  <c r="G42" i="2" s="1"/>
  <c r="G40" i="2"/>
  <c r="Q31" i="2"/>
  <c r="Q30" i="2"/>
  <c r="Q29" i="2"/>
  <c r="Q28" i="2"/>
  <c r="Q27" i="2"/>
  <c r="H22" i="2"/>
  <c r="Q21" i="2"/>
  <c r="P21" i="2"/>
  <c r="M21" i="2"/>
  <c r="L21" i="2"/>
  <c r="I21" i="2"/>
  <c r="I22" i="2" s="1"/>
  <c r="F21" i="2"/>
  <c r="E21" i="2"/>
  <c r="E22" i="2" s="1"/>
  <c r="K20" i="2"/>
  <c r="H19" i="2"/>
  <c r="K19" i="2" s="1"/>
  <c r="H18" i="2"/>
  <c r="K18" i="2" s="1"/>
  <c r="K17" i="2"/>
  <c r="J16" i="2"/>
  <c r="J15" i="2"/>
  <c r="J21" i="2" s="1"/>
  <c r="J22" i="2" s="1"/>
  <c r="H15" i="2"/>
  <c r="K15" i="2" s="1"/>
  <c r="K14" i="2"/>
  <c r="H14" i="2"/>
  <c r="K13" i="2"/>
  <c r="K12" i="2"/>
  <c r="K11" i="2"/>
  <c r="H10" i="2"/>
  <c r="K10" i="2" s="1"/>
  <c r="H9" i="2"/>
  <c r="K9" i="2" s="1"/>
  <c r="H8" i="2"/>
  <c r="H21" i="2" s="1"/>
  <c r="K21" i="2" s="1"/>
  <c r="F43" i="2" l="1"/>
  <c r="G43" i="2" s="1"/>
  <c r="F45" i="2"/>
  <c r="K22" i="2"/>
  <c r="F46" i="2" s="1"/>
  <c r="K8" i="2"/>
  <c r="F44" i="2"/>
  <c r="G44" i="2" s="1"/>
  <c r="H45" i="7" l="1"/>
  <c r="F45" i="7"/>
  <c r="H43" i="7"/>
  <c r="K34" i="7"/>
  <c r="K27" i="7"/>
  <c r="H20" i="7"/>
  <c r="L19" i="7"/>
  <c r="I19" i="7"/>
  <c r="I20" i="7" s="1"/>
  <c r="H19" i="7"/>
  <c r="G19" i="7"/>
  <c r="F19" i="7"/>
  <c r="E19" i="7"/>
  <c r="E20" i="7" s="1"/>
  <c r="K17" i="7"/>
  <c r="H17" i="7"/>
  <c r="Q16" i="7"/>
  <c r="K16" i="7"/>
  <c r="K15" i="7"/>
  <c r="J14" i="7"/>
  <c r="K13" i="7"/>
  <c r="J12" i="7"/>
  <c r="J19" i="7" s="1"/>
  <c r="J20" i="7" s="1"/>
  <c r="K11" i="7"/>
  <c r="K10" i="7"/>
  <c r="H10" i="7"/>
  <c r="K9" i="7"/>
  <c r="K8" i="7"/>
  <c r="K19" i="7" l="1"/>
  <c r="F48" i="7" s="1"/>
  <c r="K20" i="7"/>
  <c r="F49" i="7" s="1"/>
  <c r="K12" i="7"/>
  <c r="F47" i="7"/>
  <c r="H47" i="7" s="1"/>
  <c r="F46" i="7" l="1"/>
  <c r="H46" i="7" s="1"/>
  <c r="H43" i="6" l="1"/>
  <c r="F43" i="6"/>
  <c r="H41" i="6"/>
  <c r="E34" i="6"/>
  <c r="R26" i="6"/>
  <c r="H22" i="6"/>
  <c r="S21" i="6"/>
  <c r="I21" i="6"/>
  <c r="I22" i="6" s="1"/>
  <c r="G21" i="6"/>
  <c r="F21" i="6"/>
  <c r="E21" i="6"/>
  <c r="E22" i="6" s="1"/>
  <c r="K20" i="6"/>
  <c r="H19" i="6"/>
  <c r="K19" i="6" s="1"/>
  <c r="K18" i="6"/>
  <c r="K17" i="6"/>
  <c r="K16" i="6"/>
  <c r="J15" i="6"/>
  <c r="K14" i="6" s="1"/>
  <c r="U14" i="6"/>
  <c r="H14" i="6"/>
  <c r="K13" i="6"/>
  <c r="H12" i="6"/>
  <c r="K12" i="6" s="1"/>
  <c r="H11" i="6"/>
  <c r="K11" i="6" s="1"/>
  <c r="H10" i="6"/>
  <c r="H21" i="6" s="1"/>
  <c r="K9" i="6"/>
  <c r="R8" i="6"/>
  <c r="R7" i="6"/>
  <c r="K21" i="6" l="1"/>
  <c r="F46" i="6" s="1"/>
  <c r="K10" i="6"/>
  <c r="J21" i="6"/>
  <c r="J22" i="6" s="1"/>
  <c r="K22" i="6" s="1"/>
  <c r="F47" i="6" l="1"/>
  <c r="F45" i="6"/>
  <c r="H45" i="6" s="1"/>
  <c r="F44" i="6"/>
  <c r="H44" i="6" s="1"/>
  <c r="F46" i="3" l="1"/>
  <c r="C46" i="3"/>
  <c r="F44" i="3"/>
  <c r="D30" i="3"/>
  <c r="K18" i="3"/>
  <c r="H18" i="3"/>
  <c r="H19" i="3" s="1"/>
  <c r="K19" i="3" s="1"/>
  <c r="E18" i="3"/>
  <c r="D18" i="3"/>
  <c r="D31" i="3" s="1"/>
  <c r="G17" i="3"/>
  <c r="J17" i="3" s="1"/>
  <c r="G16" i="3"/>
  <c r="J16" i="3" s="1"/>
  <c r="G15" i="3"/>
  <c r="J15" i="3" s="1"/>
  <c r="G14" i="3"/>
  <c r="G18" i="3" s="1"/>
  <c r="F29" i="3" s="1"/>
  <c r="G19" i="3" s="1"/>
  <c r="I13" i="3"/>
  <c r="I18" i="3" s="1"/>
  <c r="I19" i="3" s="1"/>
  <c r="G13" i="3"/>
  <c r="J13" i="3" s="1"/>
  <c r="J12" i="3"/>
  <c r="G12" i="3"/>
  <c r="J11" i="3"/>
  <c r="G11" i="3"/>
  <c r="J10" i="3"/>
  <c r="G10" i="3"/>
  <c r="J9" i="3"/>
  <c r="G9" i="3"/>
  <c r="J19" i="3" l="1"/>
  <c r="C50" i="3" s="1"/>
  <c r="J14" i="3"/>
  <c r="J18" i="3" s="1"/>
  <c r="D19" i="3"/>
  <c r="C49" i="3" l="1"/>
  <c r="C47" i="3"/>
  <c r="F47" i="3" s="1"/>
  <c r="C48" i="3"/>
  <c r="F48" i="3" s="1"/>
  <c r="H34" i="1" l="1"/>
  <c r="G34" i="1"/>
  <c r="H32" i="1"/>
  <c r="E30" i="1"/>
  <c r="P21" i="1"/>
  <c r="P20" i="1"/>
  <c r="P19" i="1"/>
  <c r="P18" i="1"/>
  <c r="H18" i="1"/>
  <c r="M17" i="1"/>
  <c r="L17" i="1"/>
  <c r="I18" i="1" s="1"/>
  <c r="I17" i="1"/>
  <c r="H17" i="1"/>
  <c r="F17" i="1"/>
  <c r="E17" i="1"/>
  <c r="E18" i="1" s="1"/>
  <c r="K16" i="1"/>
  <c r="K15" i="1"/>
  <c r="K14" i="1"/>
  <c r="K13" i="1"/>
  <c r="K12" i="1"/>
  <c r="K11" i="1"/>
  <c r="J10" i="1"/>
  <c r="K10" i="1" s="1"/>
  <c r="K9" i="1"/>
  <c r="K8" i="1"/>
  <c r="J17" i="1" l="1"/>
  <c r="J18" i="1" s="1"/>
  <c r="K18" i="1" s="1"/>
  <c r="G38" i="1" l="1"/>
  <c r="G36" i="1"/>
  <c r="H36" i="1" s="1"/>
  <c r="K17" i="1"/>
  <c r="G37" i="1" l="1"/>
  <c r="G35" i="1"/>
  <c r="H35" i="1" s="1"/>
</calcChain>
</file>

<file path=xl/sharedStrings.xml><?xml version="1.0" encoding="utf-8"?>
<sst xmlns="http://schemas.openxmlformats.org/spreadsheetml/2006/main" count="1920" uniqueCount="534">
  <si>
    <t>Table:</t>
  </si>
  <si>
    <t>COST OF CULTIVATION PER ACRE OF Ground Nut  (RAINFED )</t>
  </si>
  <si>
    <t xml:space="preserve"> checked &amp; edited</t>
  </si>
  <si>
    <t xml:space="preserve">DISTRICT:Monaragala    </t>
  </si>
  <si>
    <t>Season-2021/22 maha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</si>
  <si>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</si>
  <si>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</si>
  <si>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</si>
  <si>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</si>
  <si>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</si>
  <si>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</si>
  <si>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</si>
  <si>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</si>
  <si>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</si>
  <si>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</si>
  <si>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</si>
  <si>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</si>
  <si>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</si>
  <si>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</si>
  <si>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</si>
  <si>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</si>
  <si>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</si>
  <si>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</si>
  <si>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1, 2,Plough with 4wt</t>
  </si>
  <si>
    <t>Digging hole &amp;  Seeding</t>
  </si>
  <si>
    <t>Weeding &amp; earthing up</t>
  </si>
  <si>
    <t>Weed control with weedicides</t>
  </si>
  <si>
    <t>Harvesting &amp; drawing</t>
  </si>
  <si>
    <t>Processing manually</t>
  </si>
  <si>
    <t xml:space="preserve">Additiona drying </t>
  </si>
  <si>
    <t>Transport Produce to Stores</t>
  </si>
  <si>
    <t>Total Including Imputed Cost</t>
  </si>
  <si>
    <t>Variety</t>
  </si>
  <si>
    <t>% of Ext.</t>
  </si>
  <si>
    <t xml:space="preserve">Total Excluding Imputed Cost </t>
  </si>
  <si>
    <t>Tissa</t>
  </si>
  <si>
    <t>white</t>
  </si>
  <si>
    <t>RELATED INFORMATION</t>
  </si>
  <si>
    <t xml:space="preserve">Jumbo </t>
  </si>
  <si>
    <t>Red</t>
  </si>
  <si>
    <t>Quantity and Price of Inputs</t>
  </si>
  <si>
    <t>Input</t>
  </si>
  <si>
    <t>Unit</t>
  </si>
  <si>
    <t>Quantity</t>
  </si>
  <si>
    <t>Unit Price (Rs)</t>
  </si>
  <si>
    <t>Mean</t>
  </si>
  <si>
    <t>SEED</t>
  </si>
  <si>
    <t>Mode</t>
  </si>
  <si>
    <t xml:space="preserve">Seeding </t>
  </si>
  <si>
    <t>kg</t>
  </si>
  <si>
    <t>LABOUR</t>
  </si>
  <si>
    <t xml:space="preserve">Hired </t>
  </si>
  <si>
    <t>md</t>
  </si>
  <si>
    <t xml:space="preserve">Family </t>
  </si>
  <si>
    <t>YIELD AND RETURNS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</si>
  <si>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</si>
  <si>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</si>
  <si>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</si>
  <si>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</si>
  <si>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</si>
  <si>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</si>
  <si>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Unit Cost (Incl.Imputed Cost) (Rs/kg)</t>
  </si>
  <si>
    <t>Unit Cost (Excl. Imputed Cost (Rs/kg)</t>
  </si>
  <si>
    <t>Special remarks-</t>
  </si>
  <si>
    <t xml:space="preserve">    </t>
  </si>
  <si>
    <r>
      <t xml:space="preserve">COST OF CULTIVATION </t>
    </r>
    <r>
      <rPr>
        <sz val="12"/>
        <rFont val="Times New Roman"/>
        <family val="1"/>
      </rPr>
      <t xml:space="preserve"> of    capsicum      IRR</t>
    </r>
  </si>
  <si>
    <t>DISTRICT: --Badulla</t>
  </si>
  <si>
    <t xml:space="preserve"> checked &amp;edited  </t>
  </si>
  <si>
    <t>2018/19</t>
  </si>
  <si>
    <t>2017/18</t>
  </si>
  <si>
    <t>All Nursery Preperation</t>
  </si>
  <si>
    <t>General Land Preparation</t>
  </si>
  <si>
    <t>1  Plough with 2wt</t>
  </si>
  <si>
    <t>(1  Plough Manually)</t>
  </si>
  <si>
    <t>(37)</t>
  </si>
  <si>
    <t>(33525.00)</t>
  </si>
  <si>
    <t>Prperation beds &amp; ridges</t>
  </si>
  <si>
    <t xml:space="preserve">Digging holes </t>
  </si>
  <si>
    <t>Crop establishment</t>
  </si>
  <si>
    <t>Fertilizer application (organic)</t>
  </si>
  <si>
    <t>Fertilizer application (inorganic)</t>
  </si>
  <si>
    <t>Pest &amp; Disease Control</t>
  </si>
  <si>
    <t xml:space="preserve">Water Management </t>
  </si>
  <si>
    <t xml:space="preserve">Harvesting &amp; drawing </t>
  </si>
  <si>
    <t>Ext% of Variety</t>
  </si>
  <si>
    <t>kg/g/Plants</t>
  </si>
  <si>
    <t>Muriya</t>
  </si>
  <si>
    <t>Transplanting/seed</t>
  </si>
  <si>
    <t>PS</t>
  </si>
  <si>
    <t>Shivani</t>
  </si>
  <si>
    <t>Suriya</t>
  </si>
  <si>
    <t>Hired</t>
  </si>
  <si>
    <t>HYW</t>
  </si>
  <si>
    <t>FIELD FERTILIZER</t>
  </si>
  <si>
    <t>% Reporting</t>
  </si>
  <si>
    <t>poultry</t>
  </si>
  <si>
    <t>Kg</t>
  </si>
  <si>
    <t>Other (inorganic)</t>
  </si>
  <si>
    <t>compost</t>
  </si>
  <si>
    <t>(37.5)</t>
  </si>
  <si>
    <t>(1250.00)</t>
  </si>
  <si>
    <t>(14.00)</t>
  </si>
  <si>
    <t>per ac</t>
  </si>
  <si>
    <t>Per hec.</t>
  </si>
  <si>
    <t xml:space="preserve"> Unit Cost (Incl.Imputed Cost) (Rs/kg)</t>
  </si>
  <si>
    <t xml:space="preserve"> Unit Cost (Excl. Imputed Cost (Rs/kg)</t>
  </si>
  <si>
    <t xml:space="preserve">Cost of cultivation per acre of Carrot (Irrigated) </t>
  </si>
  <si>
    <t xml:space="preserve"> Analized by W.M.S.K Weerasinghe</t>
  </si>
  <si>
    <t>Season: 2021/22 Maha</t>
  </si>
  <si>
    <t>District: Nuwara Eliya</t>
  </si>
  <si>
    <t>Digging hoies &amp; seeding</t>
  </si>
  <si>
    <t>Fertilizer Application</t>
  </si>
  <si>
    <r>
      <t>Harvesting &amp; drawing</t>
    </r>
    <r>
      <rPr>
        <vertAlign val="superscript"/>
        <sz val="11"/>
        <rFont val="Calibri"/>
        <family val="2"/>
      </rPr>
      <t>**</t>
    </r>
    <r>
      <rPr>
        <sz val="11"/>
        <rFont val="Calibri"/>
        <family val="2"/>
      </rPr>
      <t xml:space="preserve"> </t>
    </r>
  </si>
  <si>
    <t>* Lime</t>
  </si>
  <si>
    <t>** by buyer</t>
  </si>
  <si>
    <t>unit price</t>
  </si>
  <si>
    <t>Rupika</t>
  </si>
  <si>
    <t>Tarkis</t>
  </si>
  <si>
    <t xml:space="preserve"> Seeding </t>
  </si>
  <si>
    <t>Magma</t>
  </si>
  <si>
    <t>Kuruda</t>
  </si>
  <si>
    <t>Maruthana</t>
  </si>
  <si>
    <t>Hired Labour</t>
  </si>
  <si>
    <t>Terakota</t>
  </si>
  <si>
    <t>Family Labour</t>
  </si>
  <si>
    <t xml:space="preserve">Basal </t>
  </si>
  <si>
    <t>NPK</t>
  </si>
  <si>
    <t>Potato Mix</t>
  </si>
  <si>
    <t>Poultry manure</t>
  </si>
  <si>
    <t>TSP</t>
  </si>
  <si>
    <t>Saru</t>
  </si>
  <si>
    <t>Cowdoung</t>
  </si>
  <si>
    <t>per hec</t>
  </si>
  <si>
    <t>Average Yield (kg)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</si>
  <si>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</si>
  <si>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</si>
  <si>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</si>
  <si>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</si>
  <si>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</si>
  <si>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>COST OF CULTIVATION PER ACRE OF POTATO  (IRRIGATED )</t>
  </si>
  <si>
    <t>DISTRICT: Badulla       2021/22 Maha SEASON</t>
  </si>
  <si>
    <t>ANALYSIS By- AMCMK Abeykoon</t>
  </si>
  <si>
    <t>1st Plough with 2wt</t>
  </si>
  <si>
    <t>Preparation of beds and ridges</t>
  </si>
  <si>
    <t>Digging holes and seeding</t>
  </si>
  <si>
    <t>Digging holes &amp; Seeding</t>
  </si>
  <si>
    <t>Fertilizer Application (organic)</t>
  </si>
  <si>
    <t>Fertilizer Application (inorganic)</t>
  </si>
  <si>
    <t>Weeding and earthing up</t>
  </si>
  <si>
    <t>Weed control with weedicide</t>
  </si>
  <si>
    <t>Water Management</t>
  </si>
  <si>
    <t>Harvesting</t>
  </si>
  <si>
    <t>Harvesting and drawing</t>
  </si>
  <si>
    <t xml:space="preserve">Broadcasting / T.P. / Seeding </t>
  </si>
  <si>
    <t>Granola</t>
  </si>
  <si>
    <t>poultry manure</t>
  </si>
  <si>
    <t>(38)</t>
  </si>
  <si>
    <t>potato mixture</t>
  </si>
  <si>
    <t>other (inorganic)</t>
  </si>
  <si>
    <t>Per Ac</t>
  </si>
  <si>
    <t>Per Unit Cost (Incl.Imputed Cost) (Rs/kg)</t>
  </si>
  <si>
    <t>Per Unit Cost (Excl. Imputed Cost (Rs/kg)</t>
  </si>
  <si>
    <t>COST OF CULTIVATION PER ACRE OF Black Gram RAINFED</t>
  </si>
  <si>
    <t>1 st  Plough with 4wt</t>
  </si>
  <si>
    <t>2nd  Plough with 4wt</t>
  </si>
  <si>
    <t>Broadcasting</t>
  </si>
  <si>
    <t>Weeding &amp; Earthing up (Manually)</t>
  </si>
  <si>
    <t>Weed conroall with weedicide</t>
  </si>
  <si>
    <t xml:space="preserve">Harvesting </t>
  </si>
  <si>
    <t>Processing with Tsunami</t>
  </si>
  <si>
    <t>Processing with manual</t>
  </si>
  <si>
    <t>Kalu Udu</t>
  </si>
  <si>
    <t>Gas Udu</t>
  </si>
  <si>
    <t>MI 1</t>
  </si>
  <si>
    <t>Cost of cultivation Brinjal (IRR)</t>
  </si>
  <si>
    <t>edited 2</t>
  </si>
  <si>
    <t xml:space="preserve">DISTRICT: Anuradhapura  </t>
  </si>
  <si>
    <t>Season-2021-22 maha</t>
  </si>
  <si>
    <t>All nursery preparation</t>
  </si>
  <si>
    <t>General Land preparation</t>
  </si>
  <si>
    <t>1st &amp; 2nd plough with 4wt</t>
  </si>
  <si>
    <t>Preparation beds and ridges</t>
  </si>
  <si>
    <t>Digging holes &amp; Crop establishment</t>
  </si>
  <si>
    <t>(36)</t>
  </si>
  <si>
    <t xml:space="preserve">Weeding &amp; Earthing up </t>
  </si>
  <si>
    <t>Pest Control with pesticide</t>
  </si>
  <si>
    <t>Harvesting and Drawing</t>
  </si>
  <si>
    <t>Transport Produce</t>
  </si>
  <si>
    <t>%</t>
  </si>
  <si>
    <t>Raveena</t>
  </si>
  <si>
    <t>Lena irri</t>
  </si>
  <si>
    <t>Transplanting</t>
  </si>
  <si>
    <t>Compost</t>
  </si>
  <si>
    <t>(249.00)</t>
  </si>
  <si>
    <t>(24.00)</t>
  </si>
  <si>
    <t>Veg mix</t>
  </si>
  <si>
    <t>Other</t>
  </si>
  <si>
    <t>Per ac</t>
  </si>
  <si>
    <t>* high fertilizer cost</t>
  </si>
  <si>
    <t>Rs/ac</t>
  </si>
  <si>
    <t>Preparation of Beds and ridges</t>
  </si>
  <si>
    <t>Digging holes and transplanting</t>
  </si>
  <si>
    <t>Pest and disease control</t>
  </si>
  <si>
    <t>Harvesting drawing *</t>
  </si>
  <si>
    <t>* Done by buyer</t>
  </si>
  <si>
    <t>** Lime</t>
  </si>
  <si>
    <t>Green cornet</t>
  </si>
  <si>
    <t>Percent reported</t>
  </si>
  <si>
    <t>Seed</t>
  </si>
  <si>
    <t>Plants</t>
  </si>
  <si>
    <t>Urea</t>
  </si>
  <si>
    <t>TDM</t>
  </si>
  <si>
    <t>*</t>
  </si>
  <si>
    <t>Cost of cultivation 2021/22 Maha Cabbage</t>
  </si>
  <si>
    <t>checkeed &amp; edited</t>
  </si>
  <si>
    <t>Disrtrict -Nuwaraeliya</t>
  </si>
  <si>
    <t>Season-2021-22</t>
  </si>
  <si>
    <t>Plough with 2WT</t>
  </si>
  <si>
    <t>(33)</t>
  </si>
  <si>
    <t>`(33)</t>
  </si>
  <si>
    <t>`(15183)</t>
  </si>
  <si>
    <t>`(3.00)</t>
  </si>
  <si>
    <t>(380')</t>
  </si>
  <si>
    <t>(20.00)</t>
  </si>
  <si>
    <t>Kola fertilizer</t>
  </si>
  <si>
    <t>Other fertilizer</t>
  </si>
  <si>
    <t>`(41.00)</t>
  </si>
  <si>
    <t>`(538.00)</t>
  </si>
  <si>
    <t>*  Low yield because fertilizer problem</t>
  </si>
  <si>
    <t xml:space="preserve">edited &amp; checked </t>
  </si>
  <si>
    <t xml:space="preserve">DISTRICT:  Anuradhapura    </t>
  </si>
  <si>
    <t>Season -2021/22 maha</t>
  </si>
  <si>
    <t>pali</t>
  </si>
  <si>
    <t>(3465.00)</t>
  </si>
  <si>
    <t>(24000.00)</t>
  </si>
  <si>
    <t>(2188.00)</t>
  </si>
  <si>
    <t>(2745.00)</t>
  </si>
  <si>
    <t xml:space="preserve">Broadcasting  </t>
  </si>
  <si>
    <t>ha</t>
  </si>
  <si>
    <t>Table :</t>
  </si>
  <si>
    <t>COST OF CULTIVATION PER ACRE OF Green chilli ( Rain-fed)</t>
  </si>
  <si>
    <t xml:space="preserve">DISTRICT: Anuradhapura      </t>
  </si>
  <si>
    <t>Season</t>
  </si>
  <si>
    <t>2021/22 m</t>
  </si>
  <si>
    <t>Own imputs</t>
  </si>
  <si>
    <t>All nusery preparation</t>
  </si>
  <si>
    <t>1st Plough with 4wt</t>
  </si>
  <si>
    <t>Digging holes &amp; transplanting</t>
  </si>
  <si>
    <t>Pestiside application</t>
  </si>
  <si>
    <t xml:space="preserve">Harvesting and drawing </t>
  </si>
  <si>
    <t>MICH 1</t>
  </si>
  <si>
    <t xml:space="preserve">Mean </t>
  </si>
  <si>
    <t>No Reporting %</t>
  </si>
  <si>
    <t>Chilli mix</t>
  </si>
  <si>
    <t>Rs</t>
  </si>
  <si>
    <t>Nill keta</t>
  </si>
  <si>
    <t>Profit Incl. Imputed Cost (Rs)</t>
  </si>
  <si>
    <t>Profit Excl. Imputed Cost (Rs)</t>
  </si>
  <si>
    <t>60% of the farmers ressponse as  low yield due to  lack of chemical and fertilizer</t>
  </si>
  <si>
    <t>COST OF CULTIVATION PER ACRE OF COWPEA  (Rain-fed )</t>
  </si>
  <si>
    <t>Analyzed by : A.M.C.M.K. Abeykoon</t>
  </si>
  <si>
    <t>DISTRICT: Ampara       2020/21 Maha SEASON</t>
  </si>
  <si>
    <t>Season: 2021/22 maha</t>
  </si>
  <si>
    <t>27/07/2022 edited</t>
  </si>
  <si>
    <t>1st &amp; 2nd Plough with 4wt</t>
  </si>
  <si>
    <t xml:space="preserve"> Digging holes &amp; seeding</t>
  </si>
  <si>
    <t>(Seeding with buffaloes)</t>
  </si>
  <si>
    <t>`(42)</t>
  </si>
  <si>
    <t>`(2280.00)</t>
  </si>
  <si>
    <t>`(2333.00)</t>
  </si>
  <si>
    <t>Fertilizer application</t>
  </si>
  <si>
    <t>Pest &amp; disease control</t>
  </si>
  <si>
    <t>Threshing &amp; processing manually</t>
  </si>
  <si>
    <t>(Threshing &amp; processing with 4w thresher)</t>
  </si>
  <si>
    <t>`(25)</t>
  </si>
  <si>
    <t>`(75.00)</t>
  </si>
  <si>
    <t>`(1133.00)</t>
  </si>
  <si>
    <t>Additional drying</t>
  </si>
  <si>
    <t>Transport produce to stores</t>
  </si>
  <si>
    <t>Red cowpea</t>
  </si>
  <si>
    <t>Waruni</t>
  </si>
  <si>
    <t>Wthite cowpea</t>
  </si>
  <si>
    <t>Liquid fertilizer</t>
  </si>
  <si>
    <t>Low yield due to lack of rain &amp; pest attack</t>
  </si>
  <si>
    <t>no added  any organic fertilizer</t>
  </si>
  <si>
    <t xml:space="preserve">plough </t>
  </si>
  <si>
    <t>2 farmers ----only1st plough done by 4wt . Onother 2 … 1st 2nd &amp; 3rd plough done by 4wt. But per ac cost no so differ.therefore all combined</t>
  </si>
  <si>
    <t>COST OF CULTIVATION PER ACRE OF Gingelly / RAINFED )</t>
  </si>
  <si>
    <t xml:space="preserve"> checked &amp; edited </t>
  </si>
  <si>
    <t>DISTRICT: --------------------       200--------------- SEASON</t>
  </si>
  <si>
    <t>Hambanthota</t>
  </si>
  <si>
    <t>2022/8/8/</t>
  </si>
  <si>
    <t>2021/22 maha</t>
  </si>
  <si>
    <t>Chanika</t>
  </si>
  <si>
    <t>1 st Plough with 4wt</t>
  </si>
  <si>
    <t>(do with manual)</t>
  </si>
  <si>
    <t>(20)</t>
  </si>
  <si>
    <t>(6129.00)</t>
  </si>
  <si>
    <t>(768.00)</t>
  </si>
  <si>
    <t>(878.00)</t>
  </si>
  <si>
    <t>COST OF CULTIVATION PER ACRE OF Green gram  (Rain-fed )</t>
  </si>
  <si>
    <t>edited &amp; check</t>
  </si>
  <si>
    <t xml:space="preserve">DISTRICT: Hambantota      </t>
  </si>
  <si>
    <t>Season- 2021/22 maha</t>
  </si>
  <si>
    <t>Threshing &amp; processing with 2w thresher</t>
  </si>
  <si>
    <t>(Threshing &amp; processing with manual)</t>
  </si>
  <si>
    <t>`(8)</t>
  </si>
  <si>
    <t>`(2.25)</t>
  </si>
  <si>
    <t>`(0.25)</t>
  </si>
  <si>
    <t>`(1966.00)</t>
  </si>
  <si>
    <t>(320.00)</t>
  </si>
  <si>
    <t>(760.00)</t>
  </si>
  <si>
    <t>Liquid</t>
  </si>
  <si>
    <t>Low yield due to lack of rain &amp; desease</t>
  </si>
  <si>
    <t>COST OF CULTIVATION  of Maize   (RF )</t>
  </si>
  <si>
    <t>edited 27/7/2022</t>
  </si>
  <si>
    <t>Palipana</t>
  </si>
  <si>
    <t>DISTRICT:</t>
  </si>
  <si>
    <t>Ampara (West)</t>
  </si>
  <si>
    <t>Season : 2021/22 maha</t>
  </si>
  <si>
    <t>F</t>
  </si>
  <si>
    <t>not finalized</t>
  </si>
  <si>
    <t>1 &amp; 2nd Plough with 4wt</t>
  </si>
  <si>
    <t>Preparing beds &amp; seeding mannu</t>
  </si>
  <si>
    <t>`(3553.00)</t>
  </si>
  <si>
    <t>Preparing beds &amp; seeding 4wt</t>
  </si>
  <si>
    <t>`(30)</t>
  </si>
  <si>
    <t>`(1750.00)</t>
  </si>
  <si>
    <t>`(2380.00)</t>
  </si>
  <si>
    <t>Preparing beds &amp; seeding buffol</t>
  </si>
  <si>
    <t>`(20)</t>
  </si>
  <si>
    <t>`(1500.00)</t>
  </si>
  <si>
    <t>(10)</t>
  </si>
  <si>
    <t>Weed controi with weedicide</t>
  </si>
  <si>
    <t>Harvesting  &amp; drawing</t>
  </si>
  <si>
    <t xml:space="preserve"> Threshinge &amp; Prossing 4w thresher</t>
  </si>
  <si>
    <t xml:space="preserve">Additional Drying </t>
  </si>
  <si>
    <t>% of Ext</t>
  </si>
  <si>
    <t>Jet 999</t>
  </si>
  <si>
    <t>Pasific</t>
  </si>
  <si>
    <t>Family</t>
  </si>
  <si>
    <t>liquid</t>
  </si>
  <si>
    <t>(30)</t>
  </si>
  <si>
    <t>(11.00)</t>
  </si>
  <si>
    <t>(304.00)</t>
  </si>
  <si>
    <t>"(10)</t>
  </si>
  <si>
    <t>(375.00)</t>
  </si>
  <si>
    <t>* Low yield due to lack of fertilizer</t>
  </si>
  <si>
    <t>.liquid</t>
  </si>
  <si>
    <t>2 farmers- no cost</t>
  </si>
  <si>
    <t>3 farmers - bought</t>
  </si>
  <si>
    <t>COST OF CULTIVATION PER ACRE OF MAIZE (Rain-fed)</t>
  </si>
  <si>
    <t>Jap</t>
  </si>
  <si>
    <t xml:space="preserve">DISTRICT: Anuradhapura       </t>
  </si>
  <si>
    <t>edited 2022/7/27</t>
  </si>
  <si>
    <t>SEASON-202-22 Maha</t>
  </si>
  <si>
    <t>Manual plough</t>
  </si>
  <si>
    <t>.(5)</t>
  </si>
  <si>
    <t>,(25000.00)</t>
  </si>
  <si>
    <t>Weeding &amp; earthingup</t>
  </si>
  <si>
    <t>(8307.00)</t>
  </si>
  <si>
    <t>Weedicide application</t>
  </si>
  <si>
    <t>Processing with 4w thresher</t>
  </si>
  <si>
    <t>,(8204.00)</t>
  </si>
  <si>
    <t>Transport produse to stors</t>
  </si>
  <si>
    <t>Pacific 99</t>
  </si>
  <si>
    <t>Pacific 984</t>
  </si>
  <si>
    <t>mix fertilizer</t>
  </si>
  <si>
    <t>Liquid ferti. NR</t>
  </si>
  <si>
    <t>.            (24)</t>
  </si>
  <si>
    <t>.(3840.00)</t>
  </si>
  <si>
    <t>low yield due to  lack of fertilizer, and Sena dameges</t>
  </si>
  <si>
    <t>not use any inorganic fertilizer</t>
  </si>
  <si>
    <t>inorganic fertilizer also get combinet several types of fertilizer. ( if not can't get cost for fertilizer)</t>
  </si>
  <si>
    <t>COST OF CULTIVATION PER ACRE OF Monaragala  IRR  Maize  (Rain fed )</t>
  </si>
  <si>
    <t xml:space="preserve">DISTRICT: --Monaragala  </t>
  </si>
  <si>
    <t>Season-2021/22maha</t>
  </si>
  <si>
    <t>Percent Reported</t>
  </si>
  <si>
    <t>2020/21m</t>
  </si>
  <si>
    <t>General land Preparation</t>
  </si>
  <si>
    <t>1st  &amp; 2nd plough with 4wt</t>
  </si>
  <si>
    <t>1st &amp; 2 nd plough with 4wt</t>
  </si>
  <si>
    <t>Preparation of rows with 4wt</t>
  </si>
  <si>
    <t>Preparation raws with 4wt</t>
  </si>
  <si>
    <t>Seeding</t>
  </si>
  <si>
    <t>Digging holes &amp; seeding</t>
  </si>
  <si>
    <t>(39)</t>
  </si>
  <si>
    <t>(3498.00)</t>
  </si>
  <si>
    <t>Pest &amp; disease Control</t>
  </si>
  <si>
    <t>(22)</t>
  </si>
  <si>
    <t>(400.00)</t>
  </si>
  <si>
    <t>(842.00)</t>
  </si>
  <si>
    <t xml:space="preserve">Harvesting  &amp; Drawing mannually </t>
  </si>
  <si>
    <t>Threshing &amp; Processing with 4wt thresher</t>
  </si>
  <si>
    <t>Transport produce to store</t>
  </si>
  <si>
    <t>Threshing &amp; processing with thresher</t>
  </si>
  <si>
    <t>Varity</t>
  </si>
  <si>
    <t>Jet 99</t>
  </si>
  <si>
    <t>pasific</t>
  </si>
  <si>
    <t>Comando</t>
  </si>
  <si>
    <t>All Top D.</t>
  </si>
  <si>
    <t>(159)</t>
  </si>
  <si>
    <t>(22.00)</t>
  </si>
  <si>
    <t>Cost of cultivation per acre of Pole beans (RF)</t>
  </si>
  <si>
    <t>District-Matale</t>
  </si>
  <si>
    <t>Season-2021-22  maha</t>
  </si>
  <si>
    <t>1 Plough with manually</t>
  </si>
  <si>
    <t>1 Plough with (4wt)</t>
  </si>
  <si>
    <t>(6)</t>
  </si>
  <si>
    <t>(1900.00)</t>
  </si>
  <si>
    <t>Preparation beds &amp; ridges</t>
  </si>
  <si>
    <t>Fertilizer application (inorganic)organic)</t>
  </si>
  <si>
    <t xml:space="preserve">weeding and eathing up </t>
  </si>
  <si>
    <t>Fixing Support</t>
  </si>
  <si>
    <t>Harvesting drawing</t>
  </si>
  <si>
    <t>Total including imputed cost</t>
  </si>
  <si>
    <t xml:space="preserve">Total excluding imputed cost </t>
  </si>
  <si>
    <t>Capri</t>
  </si>
  <si>
    <t>Setti</t>
  </si>
  <si>
    <t>FERTILIZER</t>
  </si>
  <si>
    <t>Veg Mixture</t>
  </si>
  <si>
    <t>Organic</t>
  </si>
  <si>
    <t>Other (mix)</t>
  </si>
  <si>
    <t>per ha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</si>
  <si>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</si>
  <si>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</si>
  <si>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</si>
  <si>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</si>
  <si>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</si>
  <si>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</si>
  <si>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Pole beans (RF)- Badulla</t>
  </si>
  <si>
    <t xml:space="preserve">edited </t>
  </si>
  <si>
    <t>District: Badulla</t>
  </si>
  <si>
    <t>Season: 2021-22 maha</t>
  </si>
  <si>
    <t>(1  Plough do manu)</t>
  </si>
  <si>
    <t>(11)</t>
  </si>
  <si>
    <t>(14100.00)</t>
  </si>
  <si>
    <t>Fixing support</t>
  </si>
  <si>
    <t>(New technology adoption)</t>
  </si>
  <si>
    <t>`(56)</t>
  </si>
  <si>
    <t>`(7.91)</t>
  </si>
  <si>
    <t>`(11865.00)</t>
  </si>
  <si>
    <t>`(11278.00)</t>
  </si>
  <si>
    <t>`(22)</t>
  </si>
  <si>
    <t>`(740.00)</t>
  </si>
  <si>
    <t>`(17.00)</t>
  </si>
  <si>
    <t>Nil Kata</t>
  </si>
  <si>
    <t>Vegitable mixture</t>
  </si>
  <si>
    <t>Potato mix</t>
  </si>
  <si>
    <t>`(233.00)</t>
  </si>
  <si>
    <t>`(34.00)</t>
  </si>
  <si>
    <t>Cost of Cltivation of  Potato (irrigated)</t>
  </si>
  <si>
    <t>District: Nuwaraeliya</t>
  </si>
  <si>
    <t>edited &amp; checked 2022/8/01</t>
  </si>
  <si>
    <t>1 st  Plough with 2wt</t>
  </si>
  <si>
    <t>(do manually)</t>
  </si>
  <si>
    <t>(18)</t>
  </si>
  <si>
    <t>(20725.00)</t>
  </si>
  <si>
    <t>Water management  (pump)</t>
  </si>
  <si>
    <t xml:space="preserve">Total excluding Imputed cost </t>
  </si>
  <si>
    <t>0.25 &amp; 0.5</t>
  </si>
  <si>
    <t>Poultry</t>
  </si>
  <si>
    <t>other(inorganic)</t>
  </si>
  <si>
    <t xml:space="preserve">compost </t>
  </si>
  <si>
    <t>(27)</t>
  </si>
  <si>
    <t>(805.00)</t>
  </si>
  <si>
    <t>(37.00)</t>
  </si>
  <si>
    <t>Average yield (kg)</t>
  </si>
  <si>
    <t>Price of produce (Rs/kg)</t>
  </si>
  <si>
    <t>Gross income (Rs)</t>
  </si>
  <si>
    <t xml:space="preserve">COST OF CULTIVATION PER ACRE OF Pumpkin (rain fed)- </t>
  </si>
  <si>
    <t>checked &amp; edited</t>
  </si>
  <si>
    <t>DISTRICT: --Anuradhapura       2021/22 Maha SEASON</t>
  </si>
  <si>
    <t>All nursery preperation</t>
  </si>
  <si>
    <t>(25)</t>
  </si>
  <si>
    <t>(2795.00)</t>
  </si>
  <si>
    <t>Pre weedicide application</t>
  </si>
  <si>
    <t>(1343.00)</t>
  </si>
  <si>
    <t>'(2800.00)</t>
  </si>
  <si>
    <t>(23)</t>
  </si>
  <si>
    <t>(2569.00)</t>
  </si>
  <si>
    <t>1  Plough with 4wt</t>
  </si>
  <si>
    <t>1 st &amp; 2 nd Plough</t>
  </si>
  <si>
    <t>(35)</t>
  </si>
  <si>
    <t>(360.00)</t>
  </si>
  <si>
    <t>(10595.00)</t>
  </si>
  <si>
    <t>Digging holes  and seeding</t>
  </si>
  <si>
    <t>'(13)</t>
  </si>
  <si>
    <t>Loosing soil and earthing up</t>
  </si>
  <si>
    <t xml:space="preserve">Harvesting and Drawing </t>
  </si>
  <si>
    <t>(Not doing land preparation (13%)</t>
  </si>
  <si>
    <t>(88.00)</t>
  </si>
  <si>
    <t>;(113.00)</t>
  </si>
  <si>
    <t>Vegetable mixture</t>
  </si>
  <si>
    <t>(29)</t>
  </si>
  <si>
    <t>(26)</t>
  </si>
  <si>
    <t>(87.00)</t>
  </si>
  <si>
    <t>(157.00)</t>
  </si>
  <si>
    <t xml:space="preserve">Cost of Cltivation of  </t>
  </si>
  <si>
    <t>Tomato</t>
  </si>
  <si>
    <t xml:space="preserve">District: </t>
  </si>
  <si>
    <t>Badulla</t>
  </si>
  <si>
    <t>IR</t>
  </si>
  <si>
    <t>percent reported</t>
  </si>
  <si>
    <t>All Nursery Preparation</t>
  </si>
  <si>
    <t>1st plough with 2wt</t>
  </si>
  <si>
    <t>67</t>
  </si>
  <si>
    <t>2.95</t>
  </si>
  <si>
    <t>Plough Manually</t>
  </si>
  <si>
    <t>(12)</t>
  </si>
  <si>
    <t>(18000.00)</t>
  </si>
  <si>
    <t xml:space="preserve">Digging holes &amp; crop establisment </t>
  </si>
  <si>
    <t>Training</t>
  </si>
  <si>
    <t>Harvesting  &amp; Drawing</t>
  </si>
  <si>
    <t>56% use pumping method</t>
  </si>
  <si>
    <t>Vegitable mix</t>
  </si>
  <si>
    <t>Nil keta</t>
  </si>
  <si>
    <t>Other (inorg)</t>
  </si>
  <si>
    <t>* Low yield due to lack of fertilizer and chemical</t>
  </si>
  <si>
    <t>COST OF CULTIVATION PER ACRE OF Red Onion  (IRRIGATED )</t>
  </si>
  <si>
    <t xml:space="preserve"> checked &amp; edited 02/08/2022</t>
  </si>
  <si>
    <t>DISTRICT: Puttalam       2020/21  Maha SEASON</t>
  </si>
  <si>
    <t>Seed Processing</t>
  </si>
  <si>
    <t xml:space="preserve"> Preparation beds &amp; Seeding</t>
  </si>
  <si>
    <t>Water management</t>
  </si>
  <si>
    <t>New technoligy used(Sprincles)</t>
  </si>
  <si>
    <t>Processing</t>
  </si>
  <si>
    <t>* cadjan</t>
  </si>
  <si>
    <t>Thambasetti</t>
  </si>
  <si>
    <t>vedalan</t>
  </si>
  <si>
    <t>Cowdung</t>
  </si>
  <si>
    <t>Onion mix</t>
  </si>
  <si>
    <t>l</t>
  </si>
  <si>
    <t>Low yield due to lack of 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</si>
</sst>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_)"/>
    <numFmt numFmtId="165" formatCode="0.00_)"/>
    <numFmt numFmtId="166" formatCode="0.0"/>
    <numFmt numFmtId="167" formatCode="0_);\(0\)"/>
    <numFmt numFmtId="168" formatCode="_(* #,##0_);_(* \(#,##0\);_(* &quot;-&quot;??_);_(@_)"/>
    <numFmt numFmtId="169" formatCode="0.000"/>
    <numFmt numFmtId="170" formatCode="0.0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Arial"/>
      <family val="2"/>
    </font>
    <font>
      <sz val="9"/>
      <name val="Comic Sans MS"/>
      <family val="4"/>
    </font>
    <font>
      <sz val="11"/>
      <name val="Times New Roman"/>
      <family val="1"/>
    </font>
    <font>
      <sz val="12"/>
      <name val="Times New Roman"/>
      <family val="1"/>
    </font>
    <font>
      <sz val="12"/>
      <color rgb="FFC0000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vertAlign val="superscript"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6"/>
      <color rgb="FFC00000"/>
      <name val="Times New Roman"/>
      <family val="1"/>
    </font>
    <font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C00000"/>
      <name val="Calibri"/>
      <family val="2"/>
      <scheme val="minor"/>
    </font>
    <font>
      <sz val="14"/>
      <color rgb="FFC00000"/>
      <name val="Times New Roman"/>
      <family val="1"/>
    </font>
    <font>
      <sz val="8"/>
      <color theme="1"/>
      <name val="Times New Roman"/>
      <family val="1"/>
    </font>
    <font>
      <sz val="28"/>
      <color rgb="FFFF0000"/>
      <name val="Wingdings"/>
      <charset val="2"/>
    </font>
    <font>
      <b/>
      <sz val="8"/>
      <color theme="1"/>
      <name val="Times New Roman"/>
      <family val="1"/>
    </font>
    <font>
      <sz val="8"/>
      <color rgb="FFC00000"/>
      <name val="Times New Roman"/>
      <family val="1"/>
    </font>
    <font>
      <sz val="14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1"/>
      <name val="Arial"/>
      <family val="2"/>
    </font>
    <font>
      <b/>
      <i/>
      <sz val="11"/>
      <name val="Times New Roman"/>
      <family val="1"/>
    </font>
    <font>
      <sz val="12"/>
      <name val="Calibri"/>
      <family val="2"/>
      <scheme val="minor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Times"/>
      <family val="1"/>
    </font>
    <font>
      <sz val="11"/>
      <name val="Times"/>
      <family val="1"/>
    </font>
    <font>
      <sz val="11"/>
      <color theme="1"/>
      <name val="Times"/>
      <family val="1"/>
    </font>
    <font>
      <sz val="14"/>
      <color rgb="FFFF0000"/>
      <name val="Times New Roman"/>
      <family val="1"/>
    </font>
    <font>
      <i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</cellStyleXfs>
  <cellXfs count="777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2" borderId="0" xfId="0" applyFont="1" applyFill="1"/>
    <xf numFmtId="14" fontId="4" fillId="0" borderId="0" xfId="0" applyNumberFormat="1" applyFont="1" applyFill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right"/>
    </xf>
    <xf numFmtId="164" fontId="3" fillId="0" borderId="0" xfId="0" applyNumberFormat="1" applyFont="1" applyFill="1" applyProtection="1"/>
    <xf numFmtId="2" fontId="3" fillId="0" borderId="0" xfId="0" applyNumberFormat="1" applyFont="1" applyFill="1"/>
    <xf numFmtId="2" fontId="3" fillId="0" borderId="0" xfId="0" applyNumberFormat="1" applyFont="1" applyFill="1" applyProtection="1"/>
    <xf numFmtId="1" fontId="3" fillId="0" borderId="0" xfId="0" applyNumberFormat="1" applyFont="1" applyFill="1"/>
    <xf numFmtId="164" fontId="3" fillId="0" borderId="1" xfId="0" applyNumberFormat="1" applyFont="1" applyFill="1" applyBorder="1" applyProtection="1"/>
    <xf numFmtId="2" fontId="3" fillId="0" borderId="1" xfId="0" applyNumberFormat="1" applyFont="1" applyFill="1" applyBorder="1"/>
    <xf numFmtId="0" fontId="5" fillId="0" borderId="3" xfId="0" applyFont="1" applyFill="1" applyBorder="1"/>
    <xf numFmtId="164" fontId="3" fillId="0" borderId="2" xfId="0" applyNumberFormat="1" applyFont="1" applyFill="1" applyBorder="1" applyProtection="1"/>
    <xf numFmtId="2" fontId="3" fillId="0" borderId="2" xfId="0" applyNumberFormat="1" applyFont="1" applyFill="1" applyBorder="1"/>
    <xf numFmtId="0" fontId="5" fillId="0" borderId="3" xfId="0" applyFont="1" applyBorder="1" applyAlignment="1">
      <alignment horizontal="left" vertical="top"/>
    </xf>
    <xf numFmtId="1" fontId="5" fillId="0" borderId="3" xfId="0" applyNumberFormat="1" applyFont="1" applyFill="1" applyBorder="1" applyAlignment="1">
      <alignment horizontal="right"/>
    </xf>
    <xf numFmtId="1" fontId="3" fillId="3" borderId="3" xfId="0" applyNumberFormat="1" applyFont="1" applyFill="1" applyBorder="1"/>
    <xf numFmtId="1" fontId="5" fillId="0" borderId="3" xfId="0" applyNumberFormat="1" applyFont="1" applyFill="1" applyBorder="1" applyAlignment="1">
      <alignment horizontal="right" vertical="top"/>
    </xf>
    <xf numFmtId="0" fontId="3" fillId="0" borderId="4" xfId="0" applyFont="1" applyFill="1" applyBorder="1"/>
    <xf numFmtId="0" fontId="6" fillId="0" borderId="3" xfId="0" applyFont="1" applyFill="1" applyBorder="1"/>
    <xf numFmtId="2" fontId="6" fillId="0" borderId="3" xfId="0" applyNumberFormat="1" applyFont="1" applyFill="1" applyBorder="1"/>
    <xf numFmtId="165" fontId="3" fillId="0" borderId="0" xfId="0" applyNumberFormat="1" applyFont="1" applyFill="1" applyBorder="1" applyProtection="1"/>
    <xf numFmtId="165" fontId="3" fillId="0" borderId="0" xfId="0" applyNumberFormat="1" applyFont="1" applyFill="1" applyBorder="1"/>
    <xf numFmtId="165" fontId="3" fillId="0" borderId="2" xfId="0" applyNumberFormat="1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2" borderId="0" xfId="0" applyFont="1" applyFill="1"/>
    <xf numFmtId="14" fontId="8" fillId="0" borderId="0" xfId="0" applyNumberFormat="1" applyFont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1" fillId="2" borderId="0" xfId="0" applyFont="1" applyFill="1"/>
    <xf numFmtId="0" fontId="10" fillId="0" borderId="0" xfId="0" applyFont="1" applyBorder="1"/>
    <xf numFmtId="0" fontId="10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10" fillId="0" borderId="0" xfId="0" applyFont="1"/>
    <xf numFmtId="164" fontId="10" fillId="0" borderId="0" xfId="0" applyNumberFormat="1" applyFont="1" applyProtection="1"/>
    <xf numFmtId="2" fontId="10" fillId="0" borderId="0" xfId="0" applyNumberFormat="1" applyFont="1"/>
    <xf numFmtId="2" fontId="10" fillId="0" borderId="0" xfId="0" applyNumberFormat="1" applyFont="1" applyFill="1" applyProtection="1"/>
    <xf numFmtId="2" fontId="10" fillId="0" borderId="0" xfId="0" applyNumberFormat="1" applyFont="1" applyFill="1"/>
    <xf numFmtId="0" fontId="12" fillId="0" borderId="0" xfId="0" applyFont="1"/>
    <xf numFmtId="2" fontId="10" fillId="2" borderId="0" xfId="0" applyNumberFormat="1" applyFont="1" applyFill="1"/>
    <xf numFmtId="166" fontId="7" fillId="4" borderId="0" xfId="0" applyNumberFormat="1" applyFont="1" applyFill="1"/>
    <xf numFmtId="164" fontId="13" fillId="0" borderId="0" xfId="0" applyNumberFormat="1" applyFont="1" applyProtection="1"/>
    <xf numFmtId="164" fontId="13" fillId="0" borderId="0" xfId="0" quotePrefix="1" applyNumberFormat="1" applyFont="1" applyAlignment="1" applyProtection="1">
      <alignment horizontal="right"/>
    </xf>
    <xf numFmtId="2" fontId="10" fillId="0" borderId="0" xfId="0" quotePrefix="1" applyNumberFormat="1" applyFont="1"/>
    <xf numFmtId="2" fontId="10" fillId="2" borderId="0" xfId="0" quotePrefix="1" applyNumberFormat="1" applyFont="1" applyFill="1"/>
    <xf numFmtId="2" fontId="10" fillId="3" borderId="0" xfId="0" applyNumberFormat="1" applyFont="1" applyFill="1"/>
    <xf numFmtId="2" fontId="10" fillId="0" borderId="0" xfId="0" applyNumberFormat="1" applyFont="1" applyAlignment="1">
      <alignment horizontal="center" vertical="center"/>
    </xf>
    <xf numFmtId="2" fontId="10" fillId="0" borderId="0" xfId="0" applyNumberFormat="1" applyFont="1" applyFill="1" applyAlignment="1" applyProtection="1">
      <alignment horizontal="right" vertical="center"/>
    </xf>
    <xf numFmtId="0" fontId="14" fillId="0" borderId="0" xfId="0" applyFont="1"/>
    <xf numFmtId="2" fontId="10" fillId="2" borderId="0" xfId="0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2" fontId="10" fillId="0" borderId="0" xfId="0" applyNumberFormat="1" applyFont="1" applyProtection="1"/>
    <xf numFmtId="2" fontId="14" fillId="0" borderId="0" xfId="0" applyNumberFormat="1" applyFont="1"/>
    <xf numFmtId="2" fontId="14" fillId="2" borderId="0" xfId="0" applyNumberFormat="1" applyFont="1" applyFill="1"/>
    <xf numFmtId="0" fontId="13" fillId="0" borderId="1" xfId="0" applyFont="1" applyBorder="1"/>
    <xf numFmtId="164" fontId="10" fillId="0" borderId="1" xfId="0" applyNumberFormat="1" applyFont="1" applyBorder="1" applyProtection="1"/>
    <xf numFmtId="2" fontId="10" fillId="0" borderId="1" xfId="0" applyNumberFormat="1" applyFont="1" applyBorder="1"/>
    <xf numFmtId="0" fontId="12" fillId="0" borderId="1" xfId="0" applyFont="1" applyBorder="1"/>
    <xf numFmtId="0" fontId="7" fillId="2" borderId="0" xfId="0" applyFont="1" applyFill="1"/>
    <xf numFmtId="166" fontId="7" fillId="0" borderId="0" xfId="0" applyNumberFormat="1" applyFont="1"/>
    <xf numFmtId="0" fontId="13" fillId="0" borderId="2" xfId="0" applyFont="1" applyBorder="1"/>
    <xf numFmtId="164" fontId="10" fillId="0" borderId="2" xfId="0" applyNumberFormat="1" applyFont="1" applyBorder="1" applyProtection="1"/>
    <xf numFmtId="2" fontId="10" fillId="0" borderId="2" xfId="0" applyNumberFormat="1" applyFont="1" applyBorder="1"/>
    <xf numFmtId="0" fontId="12" fillId="0" borderId="2" xfId="0" applyFont="1" applyBorder="1"/>
    <xf numFmtId="0" fontId="10" fillId="0" borderId="5" xfId="0" applyFont="1" applyBorder="1"/>
    <xf numFmtId="0" fontId="10" fillId="0" borderId="4" xfId="0" applyFont="1" applyBorder="1"/>
    <xf numFmtId="0" fontId="7" fillId="0" borderId="4" xfId="0" applyFont="1" applyBorder="1"/>
    <xf numFmtId="9" fontId="10" fillId="0" borderId="0" xfId="0" applyNumberFormat="1" applyFont="1"/>
    <xf numFmtId="0" fontId="10" fillId="0" borderId="6" xfId="0" applyFont="1" applyBorder="1"/>
    <xf numFmtId="0" fontId="15" fillId="0" borderId="0" xfId="0" applyFont="1" applyAlignment="1">
      <alignment horizontal="left" vertical="top"/>
    </xf>
    <xf numFmtId="0" fontId="13" fillId="0" borderId="0" xfId="0" applyFont="1"/>
    <xf numFmtId="1" fontId="10" fillId="0" borderId="0" xfId="0" applyNumberFormat="1" applyFont="1"/>
    <xf numFmtId="2" fontId="15" fillId="0" borderId="0" xfId="0" applyNumberFormat="1" applyFont="1" applyAlignment="1">
      <alignment horizontal="left" vertical="top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13" fillId="0" borderId="0" xfId="0" quotePrefix="1" applyFont="1" applyBorder="1"/>
    <xf numFmtId="2" fontId="10" fillId="0" borderId="0" xfId="0" applyNumberFormat="1" applyFont="1" applyBorder="1"/>
    <xf numFmtId="0" fontId="10" fillId="0" borderId="0" xfId="0" applyFont="1" applyFill="1" applyBorder="1"/>
    <xf numFmtId="49" fontId="13" fillId="0" borderId="0" xfId="0" quotePrefix="1" applyNumberFormat="1" applyFont="1" applyBorder="1" applyAlignment="1">
      <alignment horizontal="right"/>
    </xf>
    <xf numFmtId="0" fontId="10" fillId="0" borderId="0" xfId="0" quotePrefix="1" applyFont="1" applyBorder="1"/>
    <xf numFmtId="0" fontId="10" fillId="0" borderId="1" xfId="0" applyFont="1" applyBorder="1" applyAlignment="1">
      <alignment horizontal="center"/>
    </xf>
    <xf numFmtId="165" fontId="10" fillId="0" borderId="0" xfId="0" applyNumberFormat="1" applyFont="1" applyBorder="1" applyProtection="1"/>
    <xf numFmtId="165" fontId="10" fillId="0" borderId="0" xfId="0" applyNumberFormat="1" applyFont="1" applyBorder="1"/>
    <xf numFmtId="165" fontId="10" fillId="0" borderId="2" xfId="0" applyNumberFormat="1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7" fillId="0" borderId="2" xfId="0" applyFont="1" applyBorder="1"/>
    <xf numFmtId="0" fontId="17" fillId="0" borderId="2" xfId="0" applyFont="1" applyBorder="1" applyAlignment="1">
      <alignment horizontal="right"/>
    </xf>
    <xf numFmtId="0" fontId="17" fillId="0" borderId="2" xfId="0" applyFont="1" applyBorder="1" applyAlignment="1">
      <alignment horizontal="left"/>
    </xf>
    <xf numFmtId="0" fontId="17" fillId="0" borderId="0" xfId="0" applyFont="1" applyFill="1"/>
    <xf numFmtId="164" fontId="17" fillId="0" borderId="0" xfId="0" applyNumberFormat="1" applyFont="1" applyFill="1" applyAlignment="1" applyProtection="1">
      <alignment horizontal="left"/>
    </xf>
    <xf numFmtId="2" fontId="17" fillId="0" borderId="0" xfId="0" applyNumberFormat="1" applyFont="1" applyFill="1" applyAlignment="1">
      <alignment horizontal="left"/>
    </xf>
    <xf numFmtId="2" fontId="17" fillId="0" borderId="0" xfId="0" applyNumberFormat="1" applyFont="1" applyFill="1" applyAlignment="1" applyProtection="1">
      <alignment horizontal="left"/>
    </xf>
    <xf numFmtId="0" fontId="17" fillId="0" borderId="0" xfId="0" applyFont="1" applyFill="1" applyAlignment="1">
      <alignment horizontal="left"/>
    </xf>
    <xf numFmtId="0" fontId="17" fillId="0" borderId="0" xfId="0" applyFont="1" applyFill="1" applyBorder="1" applyAlignment="1">
      <alignment horizontal="left"/>
    </xf>
    <xf numFmtId="0" fontId="0" fillId="0" borderId="0" xfId="0" applyFill="1" applyBorder="1"/>
    <xf numFmtId="2" fontId="0" fillId="0" borderId="0" xfId="0" applyNumberFormat="1"/>
    <xf numFmtId="0" fontId="17" fillId="0" borderId="0" xfId="0" applyFont="1" applyFill="1" applyAlignment="1">
      <alignment horizontal="left"/>
    </xf>
    <xf numFmtId="0" fontId="0" fillId="0" borderId="0" xfId="0" applyFont="1" applyFill="1"/>
    <xf numFmtId="167" fontId="17" fillId="0" borderId="0" xfId="1" applyNumberFormat="1" applyFont="1" applyFill="1" applyAlignment="1" applyProtection="1">
      <alignment horizontal="left"/>
    </xf>
    <xf numFmtId="39" fontId="17" fillId="0" borderId="0" xfId="1" applyNumberFormat="1" applyFont="1" applyFill="1" applyAlignment="1">
      <alignment horizontal="left"/>
    </xf>
    <xf numFmtId="39" fontId="17" fillId="0" borderId="0" xfId="1" applyNumberFormat="1" applyFont="1" applyFill="1" applyAlignment="1" applyProtection="1">
      <alignment horizontal="left"/>
    </xf>
    <xf numFmtId="43" fontId="17" fillId="0" borderId="0" xfId="1" applyFont="1" applyFill="1" applyAlignment="1">
      <alignment horizontal="left"/>
    </xf>
    <xf numFmtId="0" fontId="0" fillId="0" borderId="1" xfId="0" applyFill="1" applyBorder="1" applyAlignment="1">
      <alignment horizontal="left"/>
    </xf>
    <xf numFmtId="164" fontId="17" fillId="0" borderId="1" xfId="0" applyNumberFormat="1" applyFont="1" applyFill="1" applyBorder="1" applyAlignment="1" applyProtection="1">
      <alignment horizontal="left"/>
    </xf>
    <xf numFmtId="2" fontId="17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0" fillId="0" borderId="2" xfId="0" applyFill="1" applyBorder="1"/>
    <xf numFmtId="164" fontId="17" fillId="0" borderId="2" xfId="0" applyNumberFormat="1" applyFont="1" applyFill="1" applyBorder="1" applyAlignment="1" applyProtection="1">
      <alignment horizontal="left"/>
    </xf>
    <xf numFmtId="2" fontId="17" fillId="0" borderId="2" xfId="0" applyNumberFormat="1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0" fontId="0" fillId="0" borderId="0" xfId="0" applyFill="1"/>
    <xf numFmtId="0" fontId="21" fillId="0" borderId="0" xfId="0" applyFont="1" applyFill="1"/>
    <xf numFmtId="0" fontId="16" fillId="0" borderId="0" xfId="0" applyFont="1" applyFill="1"/>
    <xf numFmtId="0" fontId="17" fillId="0" borderId="4" xfId="0" applyFont="1" applyFill="1" applyBorder="1"/>
    <xf numFmtId="0" fontId="17" fillId="0" borderId="3" xfId="0" applyFont="1" applyFill="1" applyBorder="1"/>
    <xf numFmtId="1" fontId="17" fillId="0" borderId="3" xfId="0" applyNumberFormat="1" applyFont="1" applyFill="1" applyBorder="1"/>
    <xf numFmtId="0" fontId="17" fillId="0" borderId="3" xfId="0" applyNumberFormat="1" applyFont="1" applyFill="1" applyBorder="1"/>
    <xf numFmtId="2" fontId="17" fillId="0" borderId="0" xfId="0" applyNumberFormat="1" applyFont="1" applyFill="1"/>
    <xf numFmtId="0" fontId="0" fillId="0" borderId="3" xfId="0" applyFill="1" applyBorder="1" applyAlignment="1">
      <alignment horizontal="left" vertical="top"/>
    </xf>
    <xf numFmtId="2" fontId="0" fillId="0" borderId="3" xfId="0" applyNumberFormat="1" applyFill="1" applyBorder="1" applyAlignment="1">
      <alignment horizontal="right" vertical="top"/>
    </xf>
    <xf numFmtId="0" fontId="17" fillId="0" borderId="2" xfId="0" applyFont="1" applyFill="1" applyBorder="1"/>
    <xf numFmtId="0" fontId="16" fillId="0" borderId="0" xfId="0" applyFont="1" applyFill="1" applyBorder="1"/>
    <xf numFmtId="0" fontId="17" fillId="0" borderId="1" xfId="0" applyFont="1" applyFill="1" applyBorder="1"/>
    <xf numFmtId="0" fontId="0" fillId="0" borderId="0" xfId="0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0" fontId="17" fillId="0" borderId="0" xfId="0" applyFont="1" applyFill="1" applyBorder="1" applyAlignment="1">
      <alignment horizontal="right"/>
    </xf>
    <xf numFmtId="0" fontId="17" fillId="0" borderId="0" xfId="0" applyFont="1" applyFill="1" applyBorder="1"/>
    <xf numFmtId="0" fontId="0" fillId="0" borderId="0" xfId="0" applyFont="1" applyFill="1" applyBorder="1"/>
    <xf numFmtId="0" fontId="0" fillId="0" borderId="0" xfId="0" quotePrefix="1" applyFont="1" applyFill="1" applyBorder="1"/>
    <xf numFmtId="2" fontId="17" fillId="0" borderId="0" xfId="0" applyNumberFormat="1" applyFont="1" applyFill="1" applyBorder="1"/>
    <xf numFmtId="0" fontId="21" fillId="0" borderId="0" xfId="0" applyFont="1" applyFill="1" applyBorder="1"/>
    <xf numFmtId="168" fontId="21" fillId="0" borderId="0" xfId="1" quotePrefix="1" applyNumberFormat="1" applyFont="1" applyFill="1" applyBorder="1"/>
    <xf numFmtId="43" fontId="17" fillId="0" borderId="0" xfId="1" applyNumberFormat="1" applyFont="1" applyFill="1" applyBorder="1"/>
    <xf numFmtId="43" fontId="17" fillId="0" borderId="0" xfId="1" applyFont="1" applyFill="1" applyBorder="1"/>
    <xf numFmtId="0" fontId="16" fillId="0" borderId="1" xfId="0" applyFont="1" applyFill="1" applyBorder="1"/>
    <xf numFmtId="0" fontId="17" fillId="0" borderId="1" xfId="0" applyFont="1" applyFill="1" applyBorder="1" applyAlignment="1">
      <alignment horizontal="right"/>
    </xf>
    <xf numFmtId="165" fontId="17" fillId="0" borderId="0" xfId="0" applyNumberFormat="1" applyFont="1" applyFill="1" applyBorder="1" applyProtection="1"/>
    <xf numFmtId="165" fontId="17" fillId="0" borderId="0" xfId="0" applyNumberFormat="1" applyFont="1" applyFill="1" applyBorder="1"/>
    <xf numFmtId="43" fontId="17" fillId="0" borderId="0" xfId="1" applyFont="1" applyFill="1"/>
    <xf numFmtId="2" fontId="17" fillId="0" borderId="2" xfId="0" applyNumberFormat="1" applyFont="1" applyFill="1" applyBorder="1"/>
    <xf numFmtId="165" fontId="17" fillId="0" borderId="2" xfId="0" applyNumberFormat="1" applyFont="1" applyFill="1" applyBorder="1"/>
    <xf numFmtId="0" fontId="17" fillId="0" borderId="1" xfId="0" applyFont="1" applyBorder="1" applyAlignment="1">
      <alignment horizontal="right"/>
    </xf>
    <xf numFmtId="0" fontId="0" fillId="5" borderId="0" xfId="0" applyFill="1"/>
    <xf numFmtId="0" fontId="17" fillId="0" borderId="0" xfId="0" applyFont="1" applyBorder="1" applyAlignment="1">
      <alignment horizontal="right"/>
    </xf>
    <xf numFmtId="164" fontId="17" fillId="0" borderId="0" xfId="0" applyNumberFormat="1" applyFont="1" applyProtection="1"/>
    <xf numFmtId="2" fontId="17" fillId="0" borderId="0" xfId="0" applyNumberFormat="1" applyFont="1"/>
    <xf numFmtId="2" fontId="17" fillId="0" borderId="0" xfId="0" applyNumberFormat="1" applyFont="1" applyProtection="1"/>
    <xf numFmtId="1" fontId="0" fillId="0" borderId="0" xfId="0" applyNumberFormat="1"/>
    <xf numFmtId="2" fontId="12" fillId="0" borderId="0" xfId="0" applyNumberFormat="1" applyFont="1"/>
    <xf numFmtId="2" fontId="17" fillId="0" borderId="0" xfId="0" applyNumberFormat="1" applyFont="1" applyAlignment="1">
      <alignment horizontal="right" vertical="center"/>
    </xf>
    <xf numFmtId="2" fontId="17" fillId="0" borderId="0" xfId="0" applyNumberFormat="1" applyFont="1" applyAlignment="1" applyProtection="1">
      <alignment horizontal="right" vertical="center"/>
    </xf>
    <xf numFmtId="2" fontId="17" fillId="0" borderId="0" xfId="0" applyNumberFormat="1" applyFont="1" applyAlignment="1">
      <alignment horizontal="center" vertical="center"/>
    </xf>
    <xf numFmtId="2" fontId="17" fillId="0" borderId="0" xfId="0" quotePrefix="1" applyNumberFormat="1" applyFont="1"/>
    <xf numFmtId="164" fontId="17" fillId="0" borderId="1" xfId="0" applyNumberFormat="1" applyFont="1" applyBorder="1" applyProtection="1"/>
    <xf numFmtId="2" fontId="17" fillId="0" borderId="1" xfId="0" applyNumberFormat="1" applyFont="1" applyBorder="1"/>
    <xf numFmtId="164" fontId="17" fillId="0" borderId="2" xfId="0" applyNumberFormat="1" applyFont="1" applyBorder="1" applyProtection="1"/>
    <xf numFmtId="2" fontId="17" fillId="0" borderId="2" xfId="0" applyNumberFormat="1" applyFont="1" applyBorder="1"/>
    <xf numFmtId="0" fontId="17" fillId="0" borderId="4" xfId="0" applyFont="1" applyBorder="1"/>
    <xf numFmtId="9" fontId="17" fillId="0" borderId="0" xfId="0" applyNumberFormat="1" applyFont="1"/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0" fontId="2" fillId="0" borderId="0" xfId="0" applyFont="1" applyBorder="1"/>
    <xf numFmtId="0" fontId="17" fillId="0" borderId="0" xfId="0" quotePrefix="1" applyFont="1" applyBorder="1" applyAlignment="1">
      <alignment horizontal="center"/>
    </xf>
    <xf numFmtId="2" fontId="17" fillId="0" borderId="0" xfId="0" applyNumberFormat="1" applyFont="1" applyBorder="1"/>
    <xf numFmtId="0" fontId="16" fillId="0" borderId="1" xfId="0" applyFont="1" applyBorder="1"/>
    <xf numFmtId="165" fontId="17" fillId="0" borderId="0" xfId="0" applyNumberFormat="1" applyFont="1" applyBorder="1" applyProtection="1"/>
    <xf numFmtId="1" fontId="17" fillId="0" borderId="0" xfId="0" applyNumberFormat="1" applyFont="1" applyBorder="1"/>
    <xf numFmtId="165" fontId="17" fillId="0" borderId="0" xfId="0" applyNumberFormat="1" applyFont="1" applyBorder="1"/>
    <xf numFmtId="165" fontId="17" fillId="0" borderId="2" xfId="0" applyNumberFormat="1" applyFont="1" applyBorder="1"/>
    <xf numFmtId="168" fontId="17" fillId="0" borderId="0" xfId="1" applyNumberFormat="1" applyFont="1" applyFill="1" applyProtection="1"/>
    <xf numFmtId="43" fontId="17" fillId="0" borderId="0" xfId="1" applyFont="1" applyFill="1" applyProtection="1"/>
    <xf numFmtId="164" fontId="17" fillId="0" borderId="0" xfId="0" applyNumberFormat="1" applyFont="1" applyFill="1" applyProtection="1"/>
    <xf numFmtId="2" fontId="17" fillId="0" borderId="0" xfId="0" applyNumberFormat="1" applyFont="1" applyFill="1" applyProtection="1"/>
    <xf numFmtId="0" fontId="0" fillId="0" borderId="0" xfId="0" applyFont="1"/>
    <xf numFmtId="2" fontId="0" fillId="0" borderId="0" xfId="0" applyNumberFormat="1" applyFont="1" applyFill="1"/>
    <xf numFmtId="0" fontId="17" fillId="0" borderId="0" xfId="0" quotePrefix="1" applyFont="1"/>
    <xf numFmtId="0" fontId="0" fillId="0" borderId="1" xfId="0" applyFont="1" applyBorder="1"/>
    <xf numFmtId="0" fontId="0" fillId="0" borderId="2" xfId="0" applyFont="1" applyBorder="1"/>
    <xf numFmtId="0" fontId="0" fillId="3" borderId="0" xfId="0" applyFont="1" applyFill="1"/>
    <xf numFmtId="1" fontId="17" fillId="0" borderId="0" xfId="0" applyNumberFormat="1" applyFont="1"/>
    <xf numFmtId="2" fontId="17" fillId="0" borderId="3" xfId="0" applyNumberFormat="1" applyFont="1" applyFill="1" applyBorder="1"/>
    <xf numFmtId="0" fontId="17" fillId="0" borderId="0" xfId="0" applyFont="1" applyFill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2" xfId="0" quotePrefix="1" applyFont="1" applyBorder="1"/>
    <xf numFmtId="0" fontId="0" fillId="0" borderId="1" xfId="0" applyFont="1" applyFill="1" applyBorder="1"/>
    <xf numFmtId="0" fontId="0" fillId="0" borderId="0" xfId="0" applyFont="1" applyBorder="1"/>
    <xf numFmtId="2" fontId="0" fillId="0" borderId="0" xfId="0" applyNumberFormat="1" applyFont="1" applyFill="1" applyBorder="1"/>
    <xf numFmtId="0" fontId="0" fillId="0" borderId="2" xfId="0" applyFont="1" applyFill="1" applyBorder="1"/>
    <xf numFmtId="0" fontId="10" fillId="2" borderId="0" xfId="0" applyFont="1" applyFill="1"/>
    <xf numFmtId="9" fontId="10" fillId="0" borderId="0" xfId="2" applyFont="1"/>
    <xf numFmtId="164" fontId="10" fillId="0" borderId="2" xfId="0" applyNumberFormat="1" applyFont="1" applyBorder="1" applyAlignment="1">
      <alignment horizontal="right"/>
    </xf>
    <xf numFmtId="2" fontId="10" fillId="0" borderId="2" xfId="0" applyNumberFormat="1" applyFont="1" applyBorder="1" applyAlignment="1">
      <alignment horizontal="right"/>
    </xf>
    <xf numFmtId="164" fontId="10" fillId="0" borderId="0" xfId="0" quotePrefix="1" applyNumberFormat="1" applyFont="1" applyProtection="1"/>
    <xf numFmtId="2" fontId="14" fillId="0" borderId="0" xfId="0" applyNumberFormat="1" applyFont="1" applyFill="1" applyProtection="1"/>
    <xf numFmtId="2" fontId="14" fillId="0" borderId="0" xfId="0" applyNumberFormat="1" applyFont="1" applyFill="1"/>
    <xf numFmtId="0" fontId="10" fillId="0" borderId="0" xfId="0" applyFont="1" applyFill="1"/>
    <xf numFmtId="0" fontId="10" fillId="0" borderId="0" xfId="0" applyFont="1" applyFill="1" applyBorder="1" applyAlignment="1">
      <alignment horizontal="left" vertical="top"/>
    </xf>
    <xf numFmtId="164" fontId="10" fillId="0" borderId="0" xfId="0" applyNumberFormat="1" applyFont="1" applyFill="1" applyProtection="1"/>
    <xf numFmtId="1" fontId="10" fillId="0" borderId="0" xfId="0" applyNumberFormat="1" applyFont="1" applyFill="1"/>
    <xf numFmtId="2" fontId="10" fillId="0" borderId="0" xfId="0" applyNumberFormat="1" applyFont="1" applyFill="1" applyAlignment="1" applyProtection="1">
      <alignment horizontal="center" vertical="center"/>
    </xf>
    <xf numFmtId="2" fontId="10" fillId="0" borderId="0" xfId="0" applyNumberFormat="1" applyFont="1" applyAlignment="1">
      <alignment horizontal="right" vertical="center"/>
    </xf>
    <xf numFmtId="2" fontId="10" fillId="6" borderId="0" xfId="0" applyNumberFormat="1" applyFont="1" applyFill="1"/>
    <xf numFmtId="0" fontId="11" fillId="0" borderId="0" xfId="0" applyFont="1" applyBorder="1" applyAlignment="1">
      <alignment horizontal="left" vertical="top"/>
    </xf>
    <xf numFmtId="165" fontId="10" fillId="0" borderId="0" xfId="0" applyNumberFormat="1" applyFont="1"/>
    <xf numFmtId="165" fontId="10" fillId="0" borderId="0" xfId="0" applyNumberFormat="1" applyFont="1" applyProtection="1"/>
    <xf numFmtId="0" fontId="13" fillId="0" borderId="0" xfId="0" applyFont="1" applyAlignment="1">
      <alignment horizontal="left" vertical="top"/>
    </xf>
    <xf numFmtId="9" fontId="10" fillId="0" borderId="0" xfId="2" quotePrefix="1" applyNumberFormat="1" applyFont="1"/>
    <xf numFmtId="9" fontId="10" fillId="0" borderId="0" xfId="2" applyNumberFormat="1" applyFont="1"/>
    <xf numFmtId="0" fontId="7" fillId="0" borderId="0" xfId="0" applyFont="1" applyBorder="1" applyAlignment="1">
      <alignment horizontal="left" vertical="top"/>
    </xf>
    <xf numFmtId="0" fontId="22" fillId="0" borderId="0" xfId="0" applyFont="1" applyAlignment="1">
      <alignment horizontal="left"/>
    </xf>
    <xf numFmtId="0" fontId="22" fillId="0" borderId="0" xfId="0" applyFont="1"/>
    <xf numFmtId="0" fontId="15" fillId="0" borderId="0" xfId="0" applyFont="1"/>
    <xf numFmtId="0" fontId="23" fillId="0" borderId="0" xfId="0" applyFont="1"/>
    <xf numFmtId="0" fontId="24" fillId="0" borderId="0" xfId="0" applyFont="1"/>
    <xf numFmtId="0" fontId="15" fillId="5" borderId="0" xfId="0" applyFont="1" applyFill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2" fontId="7" fillId="0" borderId="0" xfId="0" applyNumberFormat="1" applyFont="1" applyBorder="1" applyAlignment="1">
      <alignment horizontal="right"/>
    </xf>
    <xf numFmtId="2" fontId="7" fillId="0" borderId="0" xfId="0" applyNumberFormat="1" applyFont="1" applyFill="1" applyBorder="1" applyAlignment="1">
      <alignment horizontal="right"/>
    </xf>
    <xf numFmtId="164" fontId="7" fillId="0" borderId="0" xfId="0" quotePrefix="1" applyNumberFormat="1" applyFont="1" applyProtection="1"/>
    <xf numFmtId="2" fontId="7" fillId="0" borderId="0" xfId="0" applyNumberFormat="1" applyFont="1"/>
    <xf numFmtId="2" fontId="7" fillId="0" borderId="0" xfId="0" applyNumberFormat="1" applyFont="1" applyProtection="1"/>
    <xf numFmtId="2" fontId="7" fillId="0" borderId="0" xfId="0" applyNumberFormat="1" applyFont="1" applyFill="1"/>
    <xf numFmtId="0" fontId="7" fillId="0" borderId="0" xfId="0" applyFont="1" applyFill="1"/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 applyProtection="1">
      <alignment horizontal="center" vertical="center"/>
    </xf>
    <xf numFmtId="164" fontId="7" fillId="0" borderId="0" xfId="0" quotePrefix="1" applyNumberFormat="1" applyFont="1" applyFill="1" applyProtection="1"/>
    <xf numFmtId="2" fontId="15" fillId="5" borderId="0" xfId="0" applyNumberFormat="1" applyFont="1" applyFill="1"/>
    <xf numFmtId="1" fontId="7" fillId="0" borderId="0" xfId="0" applyNumberFormat="1" applyFont="1"/>
    <xf numFmtId="164" fontId="7" fillId="0" borderId="1" xfId="0" applyNumberFormat="1" applyFont="1" applyBorder="1" applyProtection="1"/>
    <xf numFmtId="2" fontId="7" fillId="0" borderId="1" xfId="0" applyNumberFormat="1" applyFont="1" applyBorder="1"/>
    <xf numFmtId="2" fontId="15" fillId="0" borderId="0" xfId="0" applyNumberFormat="1" applyFont="1"/>
    <xf numFmtId="1" fontId="15" fillId="0" borderId="0" xfId="0" applyNumberFormat="1" applyFont="1"/>
    <xf numFmtId="164" fontId="7" fillId="0" borderId="2" xfId="0" applyNumberFormat="1" applyFont="1" applyBorder="1" applyProtection="1"/>
    <xf numFmtId="2" fontId="7" fillId="0" borderId="2" xfId="0" applyNumberFormat="1" applyFont="1" applyBorder="1"/>
    <xf numFmtId="2" fontId="15" fillId="0" borderId="2" xfId="0" applyNumberFormat="1" applyFont="1" applyBorder="1"/>
    <xf numFmtId="164" fontId="7" fillId="0" borderId="0" xfId="0" applyNumberFormat="1" applyFont="1" applyBorder="1" applyProtection="1"/>
    <xf numFmtId="2" fontId="7" fillId="0" borderId="0" xfId="0" applyNumberFormat="1" applyFont="1" applyBorder="1"/>
    <xf numFmtId="2" fontId="15" fillId="0" borderId="0" xfId="0" applyNumberFormat="1" applyFont="1" applyBorder="1"/>
    <xf numFmtId="2" fontId="7" fillId="0" borderId="3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3" xfId="3" applyFont="1" applyFill="1" applyBorder="1"/>
    <xf numFmtId="1" fontId="15" fillId="0" borderId="3" xfId="0" applyNumberFormat="1" applyFont="1" applyBorder="1"/>
    <xf numFmtId="0" fontId="7" fillId="0" borderId="0" xfId="3" applyFont="1" applyFill="1"/>
    <xf numFmtId="0" fontId="7" fillId="0" borderId="4" xfId="0" applyFont="1" applyBorder="1" applyAlignment="1">
      <alignment horizontal="center"/>
    </xf>
    <xf numFmtId="0" fontId="7" fillId="0" borderId="3" xfId="3" applyNumberFormat="1" applyFont="1" applyFill="1" applyBorder="1" applyProtection="1"/>
    <xf numFmtId="0" fontId="7" fillId="0" borderId="0" xfId="3" applyNumberFormat="1" applyFont="1" applyFill="1" applyBorder="1" applyProtection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right"/>
    </xf>
    <xf numFmtId="9" fontId="15" fillId="0" borderId="0" xfId="0" applyNumberFormat="1" applyFont="1" applyBorder="1"/>
    <xf numFmtId="0" fontId="15" fillId="0" borderId="0" xfId="0" applyFont="1" applyBorder="1"/>
    <xf numFmtId="1" fontId="15" fillId="0" borderId="0" xfId="0" applyNumberFormat="1" applyFont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2" fontId="15" fillId="0" borderId="3" xfId="0" applyNumberFormat="1" applyFont="1" applyBorder="1"/>
    <xf numFmtId="0" fontId="7" fillId="0" borderId="1" xfId="0" applyFont="1" applyBorder="1" applyAlignment="1">
      <alignment horizontal="left" indent="2"/>
    </xf>
    <xf numFmtId="2" fontId="7" fillId="0" borderId="0" xfId="0" quotePrefix="1" applyNumberFormat="1" applyFont="1" applyBorder="1"/>
    <xf numFmtId="2" fontId="7" fillId="0" borderId="0" xfId="0" applyNumberFormat="1" applyFont="1" applyFill="1" applyBorder="1"/>
    <xf numFmtId="2" fontId="7" fillId="0" borderId="0" xfId="0" quotePrefix="1" applyNumberFormat="1" applyFont="1" applyFill="1" applyBorder="1"/>
    <xf numFmtId="1" fontId="7" fillId="0" borderId="0" xfId="0" quotePrefix="1" applyNumberFormat="1" applyFont="1" applyBorder="1"/>
    <xf numFmtId="0" fontId="7" fillId="0" borderId="0" xfId="0" applyFont="1" applyAlignment="1">
      <alignment horizontal="right"/>
    </xf>
    <xf numFmtId="165" fontId="7" fillId="0" borderId="0" xfId="0" applyNumberFormat="1" applyFont="1" applyBorder="1" applyProtection="1"/>
    <xf numFmtId="1" fontId="7" fillId="0" borderId="0" xfId="0" applyNumberFormat="1" applyFont="1" applyFill="1"/>
    <xf numFmtId="165" fontId="7" fillId="0" borderId="0" xfId="0" applyNumberFormat="1" applyFont="1" applyBorder="1"/>
    <xf numFmtId="1" fontId="7" fillId="0" borderId="0" xfId="0" applyNumberFormat="1" applyFont="1" applyBorder="1"/>
    <xf numFmtId="165" fontId="7" fillId="0" borderId="2" xfId="0" applyNumberFormat="1" applyFont="1" applyBorder="1"/>
    <xf numFmtId="14" fontId="15" fillId="0" borderId="0" xfId="0" applyNumberFormat="1" applyFont="1"/>
    <xf numFmtId="0" fontId="17" fillId="2" borderId="0" xfId="0" applyFont="1" applyFill="1"/>
    <xf numFmtId="0" fontId="2" fillId="0" borderId="0" xfId="0" applyFont="1"/>
    <xf numFmtId="14" fontId="17" fillId="0" borderId="0" xfId="0" applyNumberFormat="1" applyFont="1"/>
    <xf numFmtId="43" fontId="17" fillId="0" borderId="0" xfId="1" quotePrefix="1" applyFont="1" applyFill="1"/>
    <xf numFmtId="169" fontId="17" fillId="2" borderId="0" xfId="0" applyNumberFormat="1" applyFont="1" applyFill="1"/>
    <xf numFmtId="2" fontId="17" fillId="2" borderId="0" xfId="0" applyNumberFormat="1" applyFont="1" applyFill="1"/>
    <xf numFmtId="0" fontId="25" fillId="0" borderId="0" xfId="0" applyFont="1" applyFill="1" applyAlignment="1"/>
    <xf numFmtId="0" fontId="26" fillId="0" borderId="0" xfId="0" applyFont="1" applyFill="1"/>
    <xf numFmtId="0" fontId="26" fillId="2" borderId="0" xfId="0" applyFont="1" applyFill="1"/>
    <xf numFmtId="0" fontId="25" fillId="0" borderId="1" xfId="0" applyFont="1" applyFill="1" applyBorder="1" applyAlignment="1"/>
    <xf numFmtId="0" fontId="25" fillId="0" borderId="1" xfId="0" applyFont="1" applyFill="1" applyBorder="1" applyAlignment="1">
      <alignment horizontal="center"/>
    </xf>
    <xf numFmtId="0" fontId="25" fillId="0" borderId="0" xfId="0" applyFont="1" applyFill="1" applyBorder="1" applyAlignment="1"/>
    <xf numFmtId="0" fontId="25" fillId="0" borderId="0" xfId="0" applyFont="1" applyFill="1" applyBorder="1" applyAlignment="1">
      <alignment horizontal="center"/>
    </xf>
    <xf numFmtId="0" fontId="25" fillId="0" borderId="2" xfId="0" applyFont="1" applyFill="1" applyBorder="1" applyAlignment="1"/>
    <xf numFmtId="0" fontId="25" fillId="0" borderId="2" xfId="0" applyFont="1" applyFill="1" applyBorder="1" applyAlignment="1">
      <alignment horizontal="center"/>
    </xf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right"/>
    </xf>
    <xf numFmtId="2" fontId="27" fillId="0" borderId="0" xfId="0" applyNumberFormat="1" applyFont="1" applyFill="1" applyBorder="1" applyAlignment="1">
      <alignment horizontal="right"/>
    </xf>
    <xf numFmtId="0" fontId="12" fillId="2" borderId="0" xfId="0" applyFont="1" applyFill="1"/>
    <xf numFmtId="0" fontId="12" fillId="0" borderId="0" xfId="0" applyFont="1" applyFill="1"/>
    <xf numFmtId="2" fontId="12" fillId="0" borderId="0" xfId="0" applyNumberFormat="1" applyFont="1" applyFill="1"/>
    <xf numFmtId="0" fontId="27" fillId="0" borderId="0" xfId="0" applyFont="1" applyFill="1" applyAlignment="1"/>
    <xf numFmtId="164" fontId="27" fillId="0" borderId="0" xfId="0" applyNumberFormat="1" applyFont="1" applyFill="1" applyAlignment="1"/>
    <xf numFmtId="2" fontId="27" fillId="0" borderId="0" xfId="0" applyNumberFormat="1" applyFont="1" applyFill="1" applyAlignment="1"/>
    <xf numFmtId="0" fontId="27" fillId="0" borderId="0" xfId="0" applyFont="1" applyFill="1" applyBorder="1" applyAlignment="1">
      <alignment horizontal="left" vertical="top"/>
    </xf>
    <xf numFmtId="164" fontId="27" fillId="0" borderId="0" xfId="0" quotePrefix="1" applyNumberFormat="1" applyFont="1" applyFill="1" applyAlignment="1">
      <alignment horizontal="right"/>
    </xf>
    <xf numFmtId="2" fontId="12" fillId="2" borderId="0" xfId="0" applyNumberFormat="1" applyFont="1" applyFill="1"/>
    <xf numFmtId="1" fontId="12" fillId="2" borderId="0" xfId="0" applyNumberFormat="1" applyFont="1" applyFill="1"/>
    <xf numFmtId="0" fontId="27" fillId="0" borderId="1" xfId="0" applyFont="1" applyFill="1" applyBorder="1" applyAlignment="1"/>
    <xf numFmtId="164" fontId="27" fillId="0" borderId="1" xfId="0" applyNumberFormat="1" applyFont="1" applyFill="1" applyBorder="1" applyAlignment="1"/>
    <xf numFmtId="2" fontId="27" fillId="0" borderId="1" xfId="0" applyNumberFormat="1" applyFont="1" applyFill="1" applyBorder="1" applyAlignment="1"/>
    <xf numFmtId="0" fontId="27" fillId="0" borderId="2" xfId="0" applyFont="1" applyFill="1" applyBorder="1" applyAlignment="1"/>
    <xf numFmtId="164" fontId="27" fillId="0" borderId="2" xfId="0" applyNumberFormat="1" applyFont="1" applyFill="1" applyBorder="1" applyAlignment="1"/>
    <xf numFmtId="2" fontId="27" fillId="0" borderId="2" xfId="0" applyNumberFormat="1" applyFont="1" applyFill="1" applyBorder="1" applyAlignment="1"/>
    <xf numFmtId="164" fontId="27" fillId="0" borderId="0" xfId="0" applyNumberFormat="1" applyFont="1" applyFill="1" applyBorder="1" applyAlignment="1"/>
    <xf numFmtId="2" fontId="27" fillId="0" borderId="0" xfId="0" applyNumberFormat="1" applyFont="1" applyFill="1" applyBorder="1" applyAlignment="1"/>
    <xf numFmtId="0" fontId="12" fillId="0" borderId="1" xfId="0" applyFont="1" applyFill="1" applyBorder="1"/>
    <xf numFmtId="2" fontId="25" fillId="0" borderId="0" xfId="0" applyNumberFormat="1" applyFont="1" applyFill="1" applyAlignment="1"/>
    <xf numFmtId="0" fontId="25" fillId="0" borderId="4" xfId="0" applyFont="1" applyFill="1" applyBorder="1" applyAlignment="1"/>
    <xf numFmtId="0" fontId="25" fillId="0" borderId="3" xfId="0" applyFont="1" applyFill="1" applyBorder="1" applyAlignment="1">
      <alignment horizontal="left" vertical="top"/>
    </xf>
    <xf numFmtId="0" fontId="27" fillId="0" borderId="3" xfId="0" applyFont="1" applyFill="1" applyBorder="1" applyAlignment="1"/>
    <xf numFmtId="2" fontId="27" fillId="0" borderId="3" xfId="0" applyNumberFormat="1" applyFont="1" applyFill="1" applyBorder="1" applyAlignment="1"/>
    <xf numFmtId="169" fontId="27" fillId="0" borderId="0" xfId="0" applyNumberFormat="1" applyFont="1" applyFill="1" applyAlignment="1"/>
    <xf numFmtId="2" fontId="12" fillId="0" borderId="3" xfId="0" applyNumberFormat="1" applyFont="1" applyFill="1" applyBorder="1"/>
    <xf numFmtId="2" fontId="27" fillId="0" borderId="0" xfId="0" applyNumberFormat="1" applyFont="1" applyFill="1" applyBorder="1" applyAlignment="1">
      <alignment horizontal="left" vertical="top"/>
    </xf>
    <xf numFmtId="166" fontId="25" fillId="0" borderId="0" xfId="0" applyNumberFormat="1" applyFont="1" applyFill="1" applyBorder="1" applyAlignment="1">
      <alignment horizontal="left" vertical="top"/>
    </xf>
    <xf numFmtId="1" fontId="27" fillId="0" borderId="0" xfId="0" applyNumberFormat="1" applyFont="1" applyFill="1" applyBorder="1" applyAlignment="1"/>
    <xf numFmtId="1" fontId="27" fillId="0" borderId="0" xfId="0" applyNumberFormat="1" applyFont="1" applyFill="1" applyBorder="1" applyAlignment="1">
      <alignment horizontal="right"/>
    </xf>
    <xf numFmtId="166" fontId="27" fillId="0" borderId="0" xfId="0" applyNumberFormat="1" applyFont="1" applyFill="1" applyBorder="1" applyAlignment="1">
      <alignment horizontal="left" vertical="top"/>
    </xf>
    <xf numFmtId="0" fontId="25" fillId="0" borderId="0" xfId="0" applyFont="1" applyFill="1" applyBorder="1" applyAlignment="1">
      <alignment horizontal="left" vertical="top"/>
    </xf>
    <xf numFmtId="2" fontId="25" fillId="0" borderId="0" xfId="0" applyNumberFormat="1" applyFont="1" applyFill="1" applyBorder="1" applyAlignment="1">
      <alignment horizontal="left" vertical="top"/>
    </xf>
    <xf numFmtId="166" fontId="25" fillId="0" borderId="0" xfId="0" applyNumberFormat="1" applyFont="1" applyFill="1" applyAlignment="1"/>
    <xf numFmtId="165" fontId="27" fillId="0" borderId="0" xfId="0" applyNumberFormat="1" applyFont="1" applyFill="1" applyBorder="1" applyAlignment="1"/>
    <xf numFmtId="165" fontId="27" fillId="0" borderId="2" xfId="0" applyNumberFormat="1" applyFont="1" applyFill="1" applyBorder="1" applyAlignment="1"/>
    <xf numFmtId="0" fontId="27" fillId="0" borderId="0" xfId="0" applyFont="1"/>
    <xf numFmtId="14" fontId="28" fillId="0" borderId="0" xfId="0" applyNumberFormat="1" applyFont="1"/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2" fillId="0" borderId="0" xfId="0" applyFont="1" applyBorder="1"/>
    <xf numFmtId="0" fontId="12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164" fontId="12" fillId="0" borderId="0" xfId="0" applyNumberFormat="1" applyFont="1" applyProtection="1"/>
    <xf numFmtId="2" fontId="12" fillId="0" borderId="0" xfId="0" applyNumberFormat="1" applyFont="1" applyProtection="1"/>
    <xf numFmtId="166" fontId="27" fillId="0" borderId="0" xfId="0" applyNumberFormat="1" applyFont="1"/>
    <xf numFmtId="165" fontId="12" fillId="0" borderId="0" xfId="0" applyNumberFormat="1" applyFont="1" applyProtection="1"/>
    <xf numFmtId="2" fontId="12" fillId="0" borderId="0" xfId="0" quotePrefix="1" applyNumberFormat="1" applyFont="1"/>
    <xf numFmtId="2" fontId="29" fillId="0" borderId="0" xfId="0" applyNumberFormat="1" applyFont="1"/>
    <xf numFmtId="0" fontId="29" fillId="0" borderId="0" xfId="0" applyFont="1"/>
    <xf numFmtId="164" fontId="12" fillId="0" borderId="1" xfId="0" applyNumberFormat="1" applyFont="1" applyBorder="1" applyProtection="1"/>
    <xf numFmtId="2" fontId="12" fillId="0" borderId="1" xfId="0" applyNumberFormat="1" applyFont="1" applyBorder="1"/>
    <xf numFmtId="164" fontId="12" fillId="0" borderId="2" xfId="0" applyNumberFormat="1" applyFont="1" applyBorder="1" applyProtection="1"/>
    <xf numFmtId="2" fontId="12" fillId="0" borderId="2" xfId="0" applyNumberFormat="1" applyFont="1" applyBorder="1"/>
    <xf numFmtId="0" fontId="12" fillId="0" borderId="4" xfId="0" applyFont="1" applyBorder="1"/>
    <xf numFmtId="0" fontId="26" fillId="0" borderId="0" xfId="0" applyFont="1"/>
    <xf numFmtId="9" fontId="12" fillId="0" borderId="0" xfId="0" applyNumberFormat="1" applyFont="1"/>
    <xf numFmtId="1" fontId="27" fillId="0" borderId="0" xfId="0" applyNumberFormat="1" applyFont="1"/>
    <xf numFmtId="0" fontId="12" fillId="0" borderId="0" xfId="0" applyNumberFormat="1" applyFont="1" applyFill="1" applyBorder="1" applyProtection="1"/>
    <xf numFmtId="0" fontId="12" fillId="0" borderId="0" xfId="0" quotePrefix="1" applyFont="1" applyBorder="1"/>
    <xf numFmtId="2" fontId="12" fillId="0" borderId="0" xfId="0" applyNumberFormat="1" applyFont="1" applyBorder="1"/>
    <xf numFmtId="0" fontId="26" fillId="0" borderId="1" xfId="0" applyFont="1" applyBorder="1"/>
    <xf numFmtId="165" fontId="12" fillId="0" borderId="0" xfId="0" applyNumberFormat="1" applyFont="1" applyBorder="1" applyProtection="1"/>
    <xf numFmtId="1" fontId="12" fillId="0" borderId="0" xfId="0" applyNumberFormat="1" applyFont="1"/>
    <xf numFmtId="165" fontId="12" fillId="0" borderId="0" xfId="0" applyNumberFormat="1" applyFont="1" applyBorder="1"/>
    <xf numFmtId="165" fontId="12" fillId="0" borderId="2" xfId="0" applyNumberFormat="1" applyFont="1" applyBorder="1"/>
    <xf numFmtId="0" fontId="30" fillId="0" borderId="0" xfId="0" applyFont="1"/>
    <xf numFmtId="0" fontId="31" fillId="0" borderId="0" xfId="0" applyFont="1"/>
    <xf numFmtId="164" fontId="17" fillId="0" borderId="0" xfId="0" quotePrefix="1" applyNumberFormat="1" applyFont="1" applyProtection="1"/>
    <xf numFmtId="2" fontId="2" fillId="0" borderId="0" xfId="0" applyNumberFormat="1" applyFont="1"/>
    <xf numFmtId="0" fontId="2" fillId="0" borderId="1" xfId="0" applyFont="1" applyBorder="1"/>
    <xf numFmtId="164" fontId="17" fillId="0" borderId="0" xfId="0" applyNumberFormat="1" applyFont="1" applyBorder="1" applyProtection="1"/>
    <xf numFmtId="0" fontId="2" fillId="0" borderId="2" xfId="0" applyFont="1" applyBorder="1"/>
    <xf numFmtId="0" fontId="17" fillId="5" borderId="0" xfId="0" applyFont="1" applyFill="1"/>
    <xf numFmtId="14" fontId="0" fillId="0" borderId="0" xfId="0" applyNumberFormat="1"/>
    <xf numFmtId="0" fontId="17" fillId="0" borderId="0" xfId="0" applyFont="1" applyAlignment="1">
      <alignment wrapText="1"/>
    </xf>
    <xf numFmtId="2" fontId="17" fillId="0" borderId="0" xfId="0" quotePrefix="1" applyNumberFormat="1" applyFont="1" applyAlignment="1" applyProtection="1">
      <alignment horizontal="right"/>
    </xf>
    <xf numFmtId="2" fontId="17" fillId="0" borderId="0" xfId="0" quotePrefix="1" applyNumberFormat="1" applyFont="1" applyAlignment="1">
      <alignment horizontal="right"/>
    </xf>
    <xf numFmtId="2" fontId="17" fillId="5" borderId="0" xfId="0" applyNumberFormat="1" applyFont="1" applyFill="1"/>
    <xf numFmtId="0" fontId="5" fillId="0" borderId="0" xfId="0" applyFont="1" applyFill="1"/>
    <xf numFmtId="0" fontId="5" fillId="0" borderId="0" xfId="0" applyNumberFormat="1" applyFont="1" applyFill="1" applyBorder="1" applyProtection="1"/>
    <xf numFmtId="0" fontId="17" fillId="0" borderId="0" xfId="0" quotePrefix="1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2" fillId="3" borderId="0" xfId="0" applyFont="1" applyFill="1"/>
    <xf numFmtId="0" fontId="32" fillId="3" borderId="0" xfId="0" applyFont="1" applyFill="1"/>
    <xf numFmtId="0" fontId="12" fillId="5" borderId="0" xfId="0" applyFont="1" applyFill="1"/>
    <xf numFmtId="0" fontId="26" fillId="3" borderId="1" xfId="0" applyFont="1" applyFill="1" applyBorder="1"/>
    <xf numFmtId="0" fontId="26" fillId="3" borderId="1" xfId="0" applyFont="1" applyFill="1" applyBorder="1" applyAlignment="1">
      <alignment horizontal="right"/>
    </xf>
    <xf numFmtId="0" fontId="26" fillId="3" borderId="1" xfId="0" applyFont="1" applyFill="1" applyBorder="1" applyAlignment="1">
      <alignment horizontal="left"/>
    </xf>
    <xf numFmtId="0" fontId="26" fillId="3" borderId="0" xfId="0" applyFont="1" applyFill="1" applyBorder="1"/>
    <xf numFmtId="0" fontId="26" fillId="3" borderId="0" xfId="0" applyFont="1" applyFill="1" applyBorder="1" applyAlignment="1">
      <alignment horizontal="right"/>
    </xf>
    <xf numFmtId="0" fontId="26" fillId="3" borderId="0" xfId="0" applyFont="1" applyFill="1" applyBorder="1" applyAlignment="1">
      <alignment horizontal="left"/>
    </xf>
    <xf numFmtId="0" fontId="12" fillId="7" borderId="0" xfId="0" applyFont="1" applyFill="1"/>
    <xf numFmtId="0" fontId="29" fillId="3" borderId="0" xfId="0" applyFont="1" applyFill="1"/>
    <xf numFmtId="2" fontId="12" fillId="3" borderId="0" xfId="0" applyNumberFormat="1" applyFont="1" applyFill="1"/>
    <xf numFmtId="0" fontId="26" fillId="3" borderId="2" xfId="0" applyFont="1" applyFill="1" applyBorder="1"/>
    <xf numFmtId="0" fontId="26" fillId="3" borderId="2" xfId="0" applyFont="1" applyFill="1" applyBorder="1" applyAlignment="1">
      <alignment horizontal="right"/>
    </xf>
    <xf numFmtId="1" fontId="12" fillId="3" borderId="0" xfId="0" applyNumberFormat="1" applyFont="1" applyFill="1"/>
    <xf numFmtId="166" fontId="12" fillId="3" borderId="0" xfId="0" applyNumberFormat="1" applyFont="1" applyFill="1"/>
    <xf numFmtId="2" fontId="12" fillId="0" borderId="0" xfId="0" applyNumberFormat="1" applyFont="1" applyFill="1" applyBorder="1"/>
    <xf numFmtId="164" fontId="12" fillId="3" borderId="0" xfId="0" applyNumberFormat="1" applyFont="1" applyFill="1" applyProtection="1"/>
    <xf numFmtId="2" fontId="12" fillId="3" borderId="0" xfId="0" applyNumberFormat="1" applyFont="1" applyFill="1" applyProtection="1"/>
    <xf numFmtId="4" fontId="12" fillId="3" borderId="0" xfId="0" applyNumberFormat="1" applyFont="1" applyFill="1"/>
    <xf numFmtId="2" fontId="12" fillId="3" borderId="0" xfId="0" applyNumberFormat="1" applyFont="1" applyFill="1" applyAlignment="1">
      <alignment horizontal="center" vertical="center"/>
    </xf>
    <xf numFmtId="0" fontId="27" fillId="3" borderId="0" xfId="0" applyFont="1" applyFill="1"/>
    <xf numFmtId="164" fontId="27" fillId="3" borderId="0" xfId="0" quotePrefix="1" applyNumberFormat="1" applyFont="1" applyFill="1" applyProtection="1"/>
    <xf numFmtId="2" fontId="27" fillId="3" borderId="0" xfId="0" applyNumberFormat="1" applyFont="1" applyFill="1" applyAlignment="1">
      <alignment horizontal="center" vertical="center"/>
    </xf>
    <xf numFmtId="2" fontId="27" fillId="3" borderId="0" xfId="0" applyNumberFormat="1" applyFont="1" applyFill="1" applyAlignment="1" applyProtection="1">
      <alignment horizontal="center" vertical="center"/>
    </xf>
    <xf numFmtId="2" fontId="27" fillId="3" borderId="0" xfId="0" applyNumberFormat="1" applyFont="1" applyFill="1"/>
    <xf numFmtId="0" fontId="27" fillId="5" borderId="0" xfId="0" applyFont="1" applyFill="1"/>
    <xf numFmtId="164" fontId="27" fillId="3" borderId="0" xfId="0" applyNumberFormat="1" applyFont="1" applyFill="1" applyProtection="1"/>
    <xf numFmtId="164" fontId="12" fillId="3" borderId="0" xfId="0" quotePrefix="1" applyNumberFormat="1" applyFont="1" applyFill="1" applyProtection="1"/>
    <xf numFmtId="2" fontId="12" fillId="3" borderId="0" xfId="0" quotePrefix="1" applyNumberFormat="1" applyFont="1" applyFill="1"/>
    <xf numFmtId="0" fontId="12" fillId="3" borderId="1" xfId="0" applyFont="1" applyFill="1" applyBorder="1"/>
    <xf numFmtId="164" fontId="12" fillId="3" borderId="1" xfId="0" applyNumberFormat="1" applyFont="1" applyFill="1" applyBorder="1" applyProtection="1"/>
    <xf numFmtId="2" fontId="12" fillId="3" borderId="1" xfId="0" applyNumberFormat="1" applyFont="1" applyFill="1" applyBorder="1"/>
    <xf numFmtId="0" fontId="12" fillId="3" borderId="2" xfId="0" applyFont="1" applyFill="1" applyBorder="1"/>
    <xf numFmtId="164" fontId="12" fillId="3" borderId="2" xfId="0" applyNumberFormat="1" applyFont="1" applyFill="1" applyBorder="1" applyProtection="1"/>
    <xf numFmtId="2" fontId="12" fillId="3" borderId="2" xfId="0" applyNumberFormat="1" applyFont="1" applyFill="1" applyBorder="1"/>
    <xf numFmtId="0" fontId="26" fillId="3" borderId="0" xfId="0" applyFont="1" applyFill="1"/>
    <xf numFmtId="0" fontId="26" fillId="5" borderId="0" xfId="0" applyFont="1" applyFill="1"/>
    <xf numFmtId="0" fontId="12" fillId="3" borderId="4" xfId="0" applyFont="1" applyFill="1" applyBorder="1"/>
    <xf numFmtId="166" fontId="26" fillId="0" borderId="3" xfId="0" applyNumberFormat="1" applyFont="1" applyFill="1" applyBorder="1"/>
    <xf numFmtId="0" fontId="25" fillId="0" borderId="3" xfId="0" applyFont="1" applyFill="1" applyBorder="1"/>
    <xf numFmtId="166" fontId="26" fillId="3" borderId="0" xfId="0" applyNumberFormat="1" applyFont="1" applyFill="1" applyBorder="1"/>
    <xf numFmtId="0" fontId="25" fillId="3" borderId="0" xfId="0" applyFont="1" applyFill="1" applyBorder="1"/>
    <xf numFmtId="0" fontId="12" fillId="0" borderId="3" xfId="0" applyFont="1" applyFill="1" applyBorder="1"/>
    <xf numFmtId="166" fontId="27" fillId="0" borderId="3" xfId="0" applyNumberFormat="1" applyFont="1" applyFill="1" applyBorder="1"/>
    <xf numFmtId="0" fontId="12" fillId="3" borderId="0" xfId="0" applyFont="1" applyFill="1" applyBorder="1"/>
    <xf numFmtId="166" fontId="27" fillId="3" borderId="0" xfId="0" applyNumberFormat="1" applyFont="1" applyFill="1" applyBorder="1"/>
    <xf numFmtId="49" fontId="12" fillId="0" borderId="7" xfId="0" applyNumberFormat="1" applyFont="1" applyFill="1" applyBorder="1"/>
    <xf numFmtId="166" fontId="27" fillId="0" borderId="7" xfId="0" applyNumberFormat="1" applyFont="1" applyFill="1" applyBorder="1"/>
    <xf numFmtId="49" fontId="12" fillId="3" borderId="0" xfId="0" applyNumberFormat="1" applyFont="1" applyFill="1" applyBorder="1"/>
    <xf numFmtId="166" fontId="12" fillId="0" borderId="1" xfId="0" applyNumberFormat="1" applyFont="1" applyFill="1" applyBorder="1" applyAlignment="1">
      <alignment horizontal="right"/>
    </xf>
    <xf numFmtId="0" fontId="12" fillId="0" borderId="0" xfId="0" applyFont="1" applyFill="1" applyBorder="1"/>
    <xf numFmtId="166" fontId="12" fillId="0" borderId="0" xfId="0" applyNumberFormat="1" applyFont="1" applyFill="1" applyBorder="1" applyAlignment="1">
      <alignment horizontal="right"/>
    </xf>
    <xf numFmtId="2" fontId="12" fillId="3" borderId="0" xfId="0" applyNumberFormat="1" applyFont="1" applyFill="1" applyAlignment="1">
      <alignment horizontal="left"/>
    </xf>
    <xf numFmtId="0" fontId="29" fillId="3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quotePrefix="1" applyFont="1" applyFill="1" applyBorder="1" applyAlignment="1">
      <alignment horizontal="center"/>
    </xf>
    <xf numFmtId="2" fontId="12" fillId="3" borderId="0" xfId="0" applyNumberFormat="1" applyFont="1" applyFill="1" applyBorder="1"/>
    <xf numFmtId="165" fontId="12" fillId="3" borderId="0" xfId="0" applyNumberFormat="1" applyFont="1" applyFill="1" applyBorder="1" applyProtection="1"/>
    <xf numFmtId="0" fontId="12" fillId="3" borderId="0" xfId="0" quotePrefix="1" applyFont="1" applyFill="1" applyBorder="1"/>
    <xf numFmtId="2" fontId="12" fillId="3" borderId="0" xfId="0" quotePrefix="1" applyNumberFormat="1" applyFont="1" applyFill="1" applyBorder="1"/>
    <xf numFmtId="165" fontId="12" fillId="3" borderId="0" xfId="0" quotePrefix="1" applyNumberFormat="1" applyFont="1" applyFill="1" applyBorder="1" applyProtection="1"/>
    <xf numFmtId="0" fontId="12" fillId="3" borderId="0" xfId="0" applyFont="1" applyFill="1" applyAlignment="1">
      <alignment horizontal="center"/>
    </xf>
    <xf numFmtId="0" fontId="12" fillId="3" borderId="0" xfId="0" quotePrefix="1" applyFont="1" applyFill="1"/>
    <xf numFmtId="2" fontId="27" fillId="3" borderId="0" xfId="0" applyNumberFormat="1" applyFont="1" applyFill="1" applyBorder="1"/>
    <xf numFmtId="1" fontId="12" fillId="3" borderId="0" xfId="0" applyNumberFormat="1" applyFont="1" applyFill="1" applyBorder="1"/>
    <xf numFmtId="165" fontId="12" fillId="3" borderId="0" xfId="0" applyNumberFormat="1" applyFont="1" applyFill="1" applyBorder="1"/>
    <xf numFmtId="165" fontId="12" fillId="3" borderId="2" xfId="0" applyNumberFormat="1" applyFont="1" applyFill="1" applyBorder="1"/>
    <xf numFmtId="1" fontId="12" fillId="3" borderId="2" xfId="0" applyNumberFormat="1" applyFont="1" applyFill="1" applyBorder="1"/>
    <xf numFmtId="0" fontId="12" fillId="0" borderId="8" xfId="0" applyFont="1" applyFill="1" applyBorder="1"/>
    <xf numFmtId="0" fontId="33" fillId="0" borderId="0" xfId="0" applyFont="1" applyFill="1" applyAlignment="1"/>
    <xf numFmtId="0" fontId="34" fillId="8" borderId="0" xfId="0" applyFont="1" applyFill="1" applyAlignment="1">
      <alignment horizontal="right"/>
    </xf>
    <xf numFmtId="0" fontId="28" fillId="0" borderId="0" xfId="0" applyFont="1" applyFill="1" applyAlignment="1"/>
    <xf numFmtId="0" fontId="33" fillId="8" borderId="0" xfId="0" applyFont="1" applyFill="1" applyAlignment="1"/>
    <xf numFmtId="0" fontId="33" fillId="0" borderId="1" xfId="0" applyFont="1" applyFill="1" applyBorder="1" applyAlignment="1"/>
    <xf numFmtId="0" fontId="33" fillId="0" borderId="1" xfId="0" applyFont="1" applyFill="1" applyBorder="1" applyAlignment="1">
      <alignment horizontal="right"/>
    </xf>
    <xf numFmtId="0" fontId="33" fillId="0" borderId="1" xfId="0" applyFont="1" applyFill="1" applyBorder="1" applyAlignment="1">
      <alignment horizontal="left"/>
    </xf>
    <xf numFmtId="0" fontId="33" fillId="0" borderId="0" xfId="0" applyFont="1" applyFill="1" applyBorder="1" applyAlignment="1"/>
    <xf numFmtId="0" fontId="33" fillId="0" borderId="0" xfId="0" applyFont="1" applyFill="1" applyBorder="1" applyAlignment="1">
      <alignment horizontal="right"/>
    </xf>
    <xf numFmtId="0" fontId="33" fillId="0" borderId="0" xfId="0" applyFont="1" applyFill="1" applyBorder="1" applyAlignment="1">
      <alignment horizontal="left"/>
    </xf>
    <xf numFmtId="0" fontId="33" fillId="0" borderId="2" xfId="0" applyFont="1" applyFill="1" applyBorder="1" applyAlignment="1"/>
    <xf numFmtId="0" fontId="33" fillId="0" borderId="2" xfId="0" applyFont="1" applyFill="1" applyBorder="1" applyAlignment="1">
      <alignment horizontal="right"/>
    </xf>
    <xf numFmtId="164" fontId="33" fillId="0" borderId="0" xfId="0" applyNumberFormat="1" applyFont="1" applyFill="1" applyAlignment="1"/>
    <xf numFmtId="2" fontId="33" fillId="0" borderId="0" xfId="0" applyNumberFormat="1" applyFont="1" applyFill="1" applyAlignment="1"/>
    <xf numFmtId="1" fontId="12" fillId="0" borderId="0" xfId="0" applyNumberFormat="1" applyFont="1" applyFill="1" applyBorder="1" applyAlignment="1"/>
    <xf numFmtId="1" fontId="33" fillId="0" borderId="0" xfId="0" applyNumberFormat="1" applyFont="1" applyFill="1" applyAlignment="1"/>
    <xf numFmtId="0" fontId="33" fillId="0" borderId="0" xfId="0" applyFont="1" applyFill="1" applyBorder="1" applyAlignment="1">
      <alignment horizontal="left" vertical="top"/>
    </xf>
    <xf numFmtId="164" fontId="33" fillId="0" borderId="0" xfId="0" quotePrefix="1" applyNumberFormat="1" applyFont="1" applyFill="1" applyAlignment="1">
      <alignment horizontal="right"/>
    </xf>
    <xf numFmtId="0" fontId="33" fillId="9" borderId="0" xfId="0" applyFont="1" applyFill="1" applyAlignment="1"/>
    <xf numFmtId="164" fontId="33" fillId="9" borderId="0" xfId="0" applyNumberFormat="1" applyFont="1" applyFill="1" applyAlignment="1"/>
    <xf numFmtId="164" fontId="33" fillId="0" borderId="0" xfId="0" quotePrefix="1" applyNumberFormat="1" applyFont="1" applyFill="1" applyAlignment="1"/>
    <xf numFmtId="2" fontId="33" fillId="0" borderId="0" xfId="0" quotePrefix="1" applyNumberFormat="1" applyFont="1" applyFill="1" applyAlignment="1"/>
    <xf numFmtId="2" fontId="33" fillId="8" borderId="0" xfId="0" applyNumberFormat="1" applyFont="1" applyFill="1" applyAlignment="1"/>
    <xf numFmtId="164" fontId="33" fillId="0" borderId="1" xfId="0" applyNumberFormat="1" applyFont="1" applyFill="1" applyBorder="1" applyAlignment="1"/>
    <xf numFmtId="2" fontId="33" fillId="0" borderId="1" xfId="0" applyNumberFormat="1" applyFont="1" applyFill="1" applyBorder="1" applyAlignment="1"/>
    <xf numFmtId="164" fontId="33" fillId="0" borderId="2" xfId="0" applyNumberFormat="1" applyFont="1" applyFill="1" applyBorder="1" applyAlignment="1"/>
    <xf numFmtId="2" fontId="33" fillId="0" borderId="2" xfId="0" applyNumberFormat="1" applyFont="1" applyFill="1" applyBorder="1" applyAlignment="1"/>
    <xf numFmtId="164" fontId="33" fillId="0" borderId="0" xfId="0" applyNumberFormat="1" applyFont="1" applyFill="1" applyBorder="1" applyAlignment="1"/>
    <xf numFmtId="2" fontId="33" fillId="0" borderId="0" xfId="0" applyNumberFormat="1" applyFont="1" applyFill="1" applyBorder="1" applyAlignment="1"/>
    <xf numFmtId="0" fontId="35" fillId="0" borderId="0" xfId="0" applyFont="1" applyFill="1" applyBorder="1" applyAlignment="1"/>
    <xf numFmtId="1" fontId="33" fillId="8" borderId="0" xfId="0" applyNumberFormat="1" applyFont="1" applyFill="1" applyAlignment="1"/>
    <xf numFmtId="0" fontId="35" fillId="0" borderId="0" xfId="0" applyFont="1" applyFill="1" applyAlignment="1"/>
    <xf numFmtId="0" fontId="35" fillId="0" borderId="5" xfId="0" applyFont="1" applyFill="1" applyBorder="1" applyAlignment="1">
      <alignment horizontal="center" vertical="top"/>
    </xf>
    <xf numFmtId="0" fontId="35" fillId="0" borderId="6" xfId="0" applyFont="1" applyFill="1" applyBorder="1" applyAlignment="1">
      <alignment horizontal="center" vertical="top"/>
    </xf>
    <xf numFmtId="0" fontId="33" fillId="0" borderId="4" xfId="0" applyFont="1" applyFill="1" applyBorder="1" applyAlignment="1"/>
    <xf numFmtId="0" fontId="33" fillId="0" borderId="3" xfId="0" applyFont="1" applyFill="1" applyBorder="1" applyAlignment="1"/>
    <xf numFmtId="2" fontId="33" fillId="0" borderId="3" xfId="0" applyNumberFormat="1" applyFont="1" applyFill="1" applyBorder="1" applyAlignment="1"/>
    <xf numFmtId="0" fontId="35" fillId="0" borderId="3" xfId="0" applyFont="1" applyFill="1" applyBorder="1" applyAlignment="1">
      <alignment horizontal="left" vertical="top"/>
    </xf>
    <xf numFmtId="2" fontId="35" fillId="0" borderId="3" xfId="0" applyNumberFormat="1" applyFont="1" applyFill="1" applyBorder="1" applyAlignment="1">
      <alignment horizontal="left" vertical="top"/>
    </xf>
    <xf numFmtId="0" fontId="35" fillId="0" borderId="1" xfId="0" applyFont="1" applyFill="1" applyBorder="1" applyAlignment="1"/>
    <xf numFmtId="1" fontId="33" fillId="0" borderId="0" xfId="0" quotePrefix="1" applyNumberFormat="1" applyFont="1" applyFill="1" applyBorder="1" applyAlignment="1"/>
    <xf numFmtId="1" fontId="33" fillId="0" borderId="0" xfId="0" applyNumberFormat="1" applyFont="1" applyFill="1" applyBorder="1" applyAlignment="1"/>
    <xf numFmtId="0" fontId="35" fillId="0" borderId="0" xfId="0" applyFont="1" applyFill="1" applyBorder="1" applyAlignment="1">
      <alignment horizontal="left" vertical="top"/>
    </xf>
    <xf numFmtId="2" fontId="35" fillId="0" borderId="0" xfId="0" applyNumberFormat="1" applyFont="1" applyFill="1" applyBorder="1" applyAlignment="1">
      <alignment horizontal="left" vertical="top"/>
    </xf>
    <xf numFmtId="166" fontId="33" fillId="0" borderId="0" xfId="0" applyNumberFormat="1" applyFont="1" applyFill="1" applyBorder="1" applyAlignment="1">
      <alignment horizontal="left" vertical="top"/>
    </xf>
    <xf numFmtId="0" fontId="35" fillId="0" borderId="4" xfId="0" applyFont="1" applyFill="1" applyBorder="1" applyAlignment="1"/>
    <xf numFmtId="166" fontId="33" fillId="0" borderId="0" xfId="0" applyNumberFormat="1" applyFont="1" applyFill="1" applyAlignment="1"/>
    <xf numFmtId="165" fontId="33" fillId="0" borderId="0" xfId="0" applyNumberFormat="1" applyFont="1" applyFill="1" applyBorder="1" applyAlignment="1"/>
    <xf numFmtId="165" fontId="33" fillId="0" borderId="2" xfId="0" applyNumberFormat="1" applyFont="1" applyFill="1" applyBorder="1" applyAlignment="1"/>
    <xf numFmtId="0" fontId="30" fillId="0" borderId="0" xfId="0" applyFont="1" applyFill="1" applyAlignment="1"/>
    <xf numFmtId="0" fontId="36" fillId="0" borderId="0" xfId="0" applyFont="1" applyFill="1" applyAlignment="1"/>
    <xf numFmtId="0" fontId="3" fillId="0" borderId="0" xfId="0" applyFont="1"/>
    <xf numFmtId="0" fontId="37" fillId="0" borderId="0" xfId="0" applyFont="1"/>
    <xf numFmtId="14" fontId="37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4" fontId="3" fillId="0" borderId="0" xfId="0" applyNumberFormat="1" applyFont="1" applyProtection="1"/>
    <xf numFmtId="2" fontId="3" fillId="0" borderId="0" xfId="0" applyNumberFormat="1" applyFont="1"/>
    <xf numFmtId="2" fontId="3" fillId="0" borderId="0" xfId="0" applyNumberFormat="1" applyFont="1" applyProtection="1"/>
    <xf numFmtId="1" fontId="3" fillId="0" borderId="0" xfId="0" applyNumberFormat="1" applyFont="1"/>
    <xf numFmtId="0" fontId="5" fillId="0" borderId="0" xfId="0" applyFont="1"/>
    <xf numFmtId="164" fontId="3" fillId="0" borderId="0" xfId="0" quotePrefix="1" applyNumberFormat="1" applyFont="1" applyAlignment="1" applyProtection="1">
      <alignment horizontal="right"/>
    </xf>
    <xf numFmtId="2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 applyProtection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quotePrefix="1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center"/>
    </xf>
    <xf numFmtId="164" fontId="3" fillId="0" borderId="0" xfId="0" applyNumberFormat="1" applyFont="1" applyBorder="1" applyProtection="1"/>
    <xf numFmtId="2" fontId="3" fillId="0" borderId="0" xfId="0" applyNumberFormat="1" applyFont="1" applyBorder="1"/>
    <xf numFmtId="2" fontId="3" fillId="0" borderId="0" xfId="0" applyNumberFormat="1" applyFont="1" applyBorder="1" applyProtection="1"/>
    <xf numFmtId="2" fontId="3" fillId="0" borderId="0" xfId="0" applyNumberFormat="1" applyFont="1" applyFill="1" applyBorder="1"/>
    <xf numFmtId="164" fontId="3" fillId="0" borderId="0" xfId="0" quotePrefix="1" applyNumberFormat="1" applyFont="1" applyProtection="1"/>
    <xf numFmtId="2" fontId="3" fillId="0" borderId="0" xfId="0" quotePrefix="1" applyNumberFormat="1" applyFont="1" applyFill="1"/>
    <xf numFmtId="0" fontId="38" fillId="0" borderId="1" xfId="0" applyFont="1" applyBorder="1"/>
    <xf numFmtId="164" fontId="38" fillId="0" borderId="1" xfId="0" applyNumberFormat="1" applyFont="1" applyBorder="1" applyProtection="1"/>
    <xf numFmtId="2" fontId="38" fillId="0" borderId="1" xfId="0" applyNumberFormat="1" applyFont="1" applyBorder="1"/>
    <xf numFmtId="2" fontId="38" fillId="0" borderId="1" xfId="0" applyNumberFormat="1" applyFont="1" applyFill="1" applyBorder="1"/>
    <xf numFmtId="0" fontId="38" fillId="2" borderId="0" xfId="0" applyFont="1" applyFill="1"/>
    <xf numFmtId="0" fontId="38" fillId="0" borderId="0" xfId="0" applyFont="1"/>
    <xf numFmtId="0" fontId="38" fillId="0" borderId="2" xfId="0" applyFont="1" applyBorder="1"/>
    <xf numFmtId="164" fontId="38" fillId="0" borderId="2" xfId="0" applyNumberFormat="1" applyFont="1" applyBorder="1" applyProtection="1"/>
    <xf numFmtId="2" fontId="38" fillId="0" borderId="2" xfId="0" applyNumberFormat="1" applyFont="1" applyBorder="1"/>
    <xf numFmtId="2" fontId="38" fillId="0" borderId="2" xfId="0" applyNumberFormat="1" applyFont="1" applyFill="1" applyBorder="1"/>
    <xf numFmtId="0" fontId="5" fillId="0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center" vertical="top"/>
    </xf>
    <xf numFmtId="1" fontId="5" fillId="0" borderId="3" xfId="0" applyNumberFormat="1" applyFont="1" applyFill="1" applyBorder="1" applyAlignment="1">
      <alignment horizontal="center" vertical="top"/>
    </xf>
    <xf numFmtId="0" fontId="3" fillId="0" borderId="4" xfId="0" applyFont="1" applyBorder="1"/>
    <xf numFmtId="169" fontId="3" fillId="2" borderId="0" xfId="0" applyNumberFormat="1" applyFont="1" applyFill="1"/>
    <xf numFmtId="2" fontId="3" fillId="2" borderId="0" xfId="0" applyNumberFormat="1" applyFont="1" applyFill="1"/>
    <xf numFmtId="0" fontId="5" fillId="3" borderId="0" xfId="0" applyFont="1" applyFill="1"/>
    <xf numFmtId="9" fontId="3" fillId="0" borderId="0" xfId="0" applyNumberFormat="1" applyFont="1" applyFill="1" applyBorder="1"/>
    <xf numFmtId="0" fontId="3" fillId="0" borderId="3" xfId="0" applyFont="1" applyFill="1" applyBorder="1"/>
    <xf numFmtId="0" fontId="3" fillId="0" borderId="0" xfId="0" applyFont="1" applyFill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quotePrefix="1" applyFont="1" applyBorder="1"/>
    <xf numFmtId="0" fontId="5" fillId="0" borderId="0" xfId="0" applyFont="1" applyBorder="1"/>
    <xf numFmtId="0" fontId="5" fillId="0" borderId="0" xfId="0" quotePrefix="1" applyFont="1" applyBorder="1" applyAlignment="1">
      <alignment horizontal="right"/>
    </xf>
    <xf numFmtId="0" fontId="3" fillId="0" borderId="0" xfId="0" quotePrefix="1" applyFont="1" applyBorder="1"/>
    <xf numFmtId="2" fontId="3" fillId="0" borderId="0" xfId="0" quotePrefix="1" applyNumberFormat="1" applyFont="1" applyBorder="1"/>
    <xf numFmtId="0" fontId="39" fillId="0" borderId="1" xfId="0" applyFont="1" applyBorder="1"/>
    <xf numFmtId="0" fontId="40" fillId="0" borderId="0" xfId="0" applyFont="1"/>
    <xf numFmtId="0" fontId="38" fillId="0" borderId="0" xfId="0" applyFont="1" applyBorder="1"/>
    <xf numFmtId="2" fontId="38" fillId="0" borderId="0" xfId="0" applyNumberFormat="1" applyFont="1" applyBorder="1"/>
    <xf numFmtId="164" fontId="38" fillId="0" borderId="0" xfId="0" applyNumberFormat="1" applyFont="1" applyFill="1" applyBorder="1" applyProtection="1"/>
    <xf numFmtId="0" fontId="38" fillId="0" borderId="0" xfId="0" applyFont="1" applyFill="1"/>
    <xf numFmtId="0" fontId="38" fillId="0" borderId="0" xfId="0" applyFont="1" applyFill="1" applyBorder="1"/>
    <xf numFmtId="2" fontId="38" fillId="0" borderId="0" xfId="0" applyNumberFormat="1" applyFont="1" applyFill="1" applyBorder="1"/>
    <xf numFmtId="165" fontId="38" fillId="0" borderId="0" xfId="0" applyNumberFormat="1" applyFont="1" applyBorder="1"/>
    <xf numFmtId="165" fontId="38" fillId="0" borderId="2" xfId="0" applyNumberFormat="1" applyFont="1" applyBorder="1"/>
    <xf numFmtId="0" fontId="40" fillId="0" borderId="0" xfId="0" applyFont="1" applyFill="1"/>
    <xf numFmtId="0" fontId="41" fillId="0" borderId="0" xfId="0" applyFont="1"/>
    <xf numFmtId="0" fontId="7" fillId="0" borderId="2" xfId="0" applyFont="1" applyBorder="1" applyAlignment="1"/>
    <xf numFmtId="0" fontId="41" fillId="2" borderId="0" xfId="0" applyFont="1" applyFill="1"/>
    <xf numFmtId="0" fontId="7" fillId="0" borderId="0" xfId="0" applyFont="1" applyFill="1" applyBorder="1"/>
    <xf numFmtId="1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2" fontId="41" fillId="0" borderId="0" xfId="0" applyNumberFormat="1" applyFont="1" applyFill="1"/>
    <xf numFmtId="0" fontId="41" fillId="0" borderId="0" xfId="0" applyFont="1" applyFill="1"/>
    <xf numFmtId="2" fontId="7" fillId="0" borderId="0" xfId="0" applyNumberFormat="1" applyFont="1" applyFill="1" applyProtection="1"/>
    <xf numFmtId="164" fontId="7" fillId="0" borderId="0" xfId="0" quotePrefix="1" applyNumberFormat="1" applyFont="1" applyFill="1" applyAlignment="1" applyProtection="1">
      <alignment horizontal="right"/>
    </xf>
    <xf numFmtId="43" fontId="7" fillId="0" borderId="0" xfId="1" quotePrefix="1" applyFont="1" applyFill="1" applyAlignment="1">
      <alignment horizontal="right"/>
    </xf>
    <xf numFmtId="43" fontId="7" fillId="0" borderId="0" xfId="1" quotePrefix="1" applyFont="1" applyFill="1" applyAlignment="1" applyProtection="1">
      <alignment horizontal="right"/>
    </xf>
    <xf numFmtId="2" fontId="7" fillId="0" borderId="0" xfId="0" quotePrefix="1" applyNumberFormat="1" applyFont="1" applyFill="1" applyBorder="1" applyAlignment="1">
      <alignment horizontal="right"/>
    </xf>
    <xf numFmtId="168" fontId="7" fillId="0" borderId="0" xfId="1" applyNumberFormat="1" applyFont="1" applyFill="1"/>
    <xf numFmtId="165" fontId="7" fillId="0" borderId="0" xfId="0" applyNumberFormat="1" applyFont="1" applyFill="1" applyBorder="1" applyProtection="1"/>
    <xf numFmtId="2" fontId="7" fillId="0" borderId="0" xfId="0" applyNumberFormat="1" applyFont="1" applyFill="1" applyAlignment="1">
      <alignment horizontal="center" vertical="center"/>
    </xf>
    <xf numFmtId="2" fontId="7" fillId="0" borderId="0" xfId="0" applyNumberFormat="1" applyFont="1" applyFill="1" applyAlignment="1" applyProtection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Protection="1"/>
    <xf numFmtId="0" fontId="7" fillId="0" borderId="1" xfId="0" applyFont="1" applyFill="1" applyBorder="1"/>
    <xf numFmtId="164" fontId="7" fillId="0" borderId="1" xfId="0" applyNumberFormat="1" applyFont="1" applyFill="1" applyBorder="1" applyProtection="1"/>
    <xf numFmtId="2" fontId="7" fillId="0" borderId="1" xfId="0" applyNumberFormat="1" applyFont="1" applyFill="1" applyBorder="1"/>
    <xf numFmtId="0" fontId="7" fillId="0" borderId="2" xfId="0" applyFont="1" applyFill="1" applyBorder="1"/>
    <xf numFmtId="164" fontId="7" fillId="0" borderId="2" xfId="0" applyNumberFormat="1" applyFont="1" applyFill="1" applyBorder="1" applyProtection="1"/>
    <xf numFmtId="2" fontId="7" fillId="0" borderId="2" xfId="0" applyNumberFormat="1" applyFont="1" applyFill="1" applyBorder="1"/>
    <xf numFmtId="0" fontId="7" fillId="0" borderId="4" xfId="0" applyFont="1" applyFill="1" applyBorder="1"/>
    <xf numFmtId="2" fontId="7" fillId="0" borderId="3" xfId="0" applyNumberFormat="1" applyFont="1" applyFill="1" applyBorder="1"/>
    <xf numFmtId="0" fontId="7" fillId="0" borderId="3" xfId="0" applyFont="1" applyFill="1" applyBorder="1"/>
    <xf numFmtId="16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68" fontId="7" fillId="0" borderId="0" xfId="1" quotePrefix="1" applyNumberFormat="1" applyFont="1" applyFill="1" applyBorder="1"/>
    <xf numFmtId="43" fontId="7" fillId="0" borderId="0" xfId="1" applyNumberFormat="1" applyFont="1" applyFill="1" applyBorder="1"/>
    <xf numFmtId="43" fontId="7" fillId="0" borderId="0" xfId="1" applyFont="1" applyFill="1" applyBorder="1"/>
    <xf numFmtId="1" fontId="7" fillId="0" borderId="0" xfId="0" quotePrefix="1" applyNumberFormat="1" applyFont="1" applyFill="1" applyBorder="1"/>
    <xf numFmtId="43" fontId="7" fillId="0" borderId="0" xfId="1" quotePrefix="1" applyFont="1" applyFill="1" applyBorder="1"/>
    <xf numFmtId="0" fontId="7" fillId="0" borderId="1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165" fontId="7" fillId="0" borderId="0" xfId="0" applyNumberFormat="1" applyFont="1" applyFill="1" applyBorder="1"/>
    <xf numFmtId="170" fontId="7" fillId="0" borderId="0" xfId="0" applyNumberFormat="1" applyFont="1" applyFill="1"/>
    <xf numFmtId="165" fontId="7" fillId="0" borderId="2" xfId="0" applyNumberFormat="1" applyFont="1" applyFill="1" applyBorder="1"/>
    <xf numFmtId="0" fontId="42" fillId="0" borderId="0" xfId="0" applyFont="1" applyFill="1"/>
    <xf numFmtId="0" fontId="43" fillId="0" borderId="0" xfId="0" applyFont="1"/>
    <xf numFmtId="49" fontId="17" fillId="0" borderId="0" xfId="0" quotePrefix="1" applyNumberFormat="1" applyFont="1" applyFill="1" applyAlignment="1" applyProtection="1">
      <alignment horizontal="left"/>
    </xf>
    <xf numFmtId="49" fontId="17" fillId="7" borderId="0" xfId="0" quotePrefix="1" applyNumberFormat="1" applyFont="1" applyFill="1" applyAlignment="1">
      <alignment horizontal="left"/>
    </xf>
    <xf numFmtId="43" fontId="17" fillId="0" borderId="0" xfId="1" quotePrefix="1" applyFont="1" applyFill="1" applyAlignment="1">
      <alignment horizontal="left"/>
    </xf>
    <xf numFmtId="49" fontId="17" fillId="0" borderId="0" xfId="0" applyNumberFormat="1" applyFont="1" applyFill="1" applyAlignment="1" applyProtection="1">
      <alignment horizontal="left"/>
    </xf>
    <xf numFmtId="49" fontId="17" fillId="0" borderId="0" xfId="0" applyNumberFormat="1" applyFont="1" applyFill="1" applyAlignment="1">
      <alignment horizontal="left"/>
    </xf>
    <xf numFmtId="49" fontId="17" fillId="0" borderId="0" xfId="0" applyNumberFormat="1" applyFont="1"/>
    <xf numFmtId="164" fontId="17" fillId="0" borderId="0" xfId="0" applyNumberFormat="1" applyFont="1" applyFill="1" applyAlignment="1" applyProtection="1">
      <alignment horizontal="left" vertical="center"/>
    </xf>
    <xf numFmtId="2" fontId="17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 applyProtection="1">
      <alignment horizontal="center" vertical="center"/>
    </xf>
    <xf numFmtId="2" fontId="17" fillId="0" borderId="0" xfId="0" applyNumberFormat="1" applyFont="1" applyFill="1" applyAlignment="1">
      <alignment horizontal="left" vertical="center"/>
    </xf>
    <xf numFmtId="2" fontId="17" fillId="0" borderId="1" xfId="0" applyNumberFormat="1" applyFont="1" applyBorder="1" applyAlignment="1">
      <alignment horizontal="left"/>
    </xf>
    <xf numFmtId="2" fontId="17" fillId="0" borderId="2" xfId="0" applyNumberFormat="1" applyFont="1" applyBorder="1" applyAlignment="1">
      <alignment horizontal="left"/>
    </xf>
    <xf numFmtId="168" fontId="0" fillId="0" borderId="0" xfId="1" quotePrefix="1" applyNumberFormat="1" applyFont="1" applyFill="1" applyBorder="1"/>
    <xf numFmtId="0" fontId="44" fillId="0" borderId="0" xfId="0" applyFont="1"/>
    <xf numFmtId="0" fontId="45" fillId="0" borderId="0" xfId="0" applyFont="1"/>
    <xf numFmtId="0" fontId="12" fillId="0" borderId="0" xfId="0" quotePrefix="1" applyFont="1"/>
    <xf numFmtId="49" fontId="12" fillId="0" borderId="0" xfId="0" quotePrefix="1" applyNumberFormat="1" applyFont="1" applyAlignment="1" applyProtection="1">
      <alignment horizontal="right"/>
    </xf>
    <xf numFmtId="49" fontId="12" fillId="0" borderId="0" xfId="0" quotePrefix="1" applyNumberFormat="1" applyFont="1"/>
    <xf numFmtId="49" fontId="12" fillId="0" borderId="0" xfId="0" applyNumberFormat="1" applyFont="1" applyAlignment="1" applyProtection="1">
      <alignment horizontal="right"/>
    </xf>
    <xf numFmtId="49" fontId="12" fillId="0" borderId="0" xfId="0" quotePrefix="1" applyNumberFormat="1" applyFont="1" applyFill="1" applyAlignment="1">
      <alignment horizontal="right"/>
    </xf>
    <xf numFmtId="49" fontId="12" fillId="0" borderId="0" xfId="0" applyNumberFormat="1" applyFont="1" applyFill="1"/>
    <xf numFmtId="49" fontId="12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12" fillId="0" borderId="4" xfId="0" applyFont="1" applyBorder="1" applyAlignment="1">
      <alignment horizontal="center"/>
    </xf>
    <xf numFmtId="169" fontId="12" fillId="5" borderId="0" xfId="0" applyNumberFormat="1" applyFont="1" applyFill="1"/>
    <xf numFmtId="0" fontId="12" fillId="0" borderId="3" xfId="0" applyFont="1" applyBorder="1"/>
    <xf numFmtId="9" fontId="12" fillId="0" borderId="3" xfId="0" applyNumberFormat="1" applyFont="1" applyBorder="1"/>
    <xf numFmtId="0" fontId="12" fillId="0" borderId="0" xfId="0" applyFont="1" applyAlignment="1">
      <alignment horizontal="center"/>
    </xf>
    <xf numFmtId="2" fontId="12" fillId="5" borderId="0" xfId="0" applyNumberFormat="1" applyFont="1" applyFill="1"/>
    <xf numFmtId="169" fontId="12" fillId="0" borderId="0" xfId="0" applyNumberFormat="1" applyFont="1" applyFill="1"/>
    <xf numFmtId="0" fontId="27" fillId="0" borderId="0" xfId="0" applyFont="1" applyBorder="1"/>
    <xf numFmtId="0" fontId="27" fillId="0" borderId="0" xfId="0" quotePrefix="1" applyFont="1" applyBorder="1"/>
    <xf numFmtId="0" fontId="27" fillId="0" borderId="0" xfId="0" quotePrefix="1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2" fontId="29" fillId="0" borderId="0" xfId="0" applyNumberFormat="1" applyFont="1" applyFill="1" applyBorder="1"/>
    <xf numFmtId="0" fontId="27" fillId="0" borderId="2" xfId="0" applyFont="1" applyBorder="1"/>
    <xf numFmtId="0" fontId="27" fillId="0" borderId="2" xfId="0" quotePrefix="1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2" fontId="12" fillId="0" borderId="0" xfId="0" quotePrefix="1" applyNumberFormat="1" applyFont="1" applyBorder="1"/>
    <xf numFmtId="0" fontId="26" fillId="0" borderId="1" xfId="0" applyFont="1" applyBorder="1" applyAlignment="1">
      <alignment horizontal="center"/>
    </xf>
    <xf numFmtId="165" fontId="12" fillId="0" borderId="0" xfId="0" applyNumberFormat="1" applyFont="1" applyFill="1" applyBorder="1" applyProtection="1"/>
    <xf numFmtId="165" fontId="12" fillId="0" borderId="0" xfId="0" applyNumberFormat="1" applyFont="1" applyFill="1" applyBorder="1"/>
    <xf numFmtId="2" fontId="12" fillId="0" borderId="2" xfId="0" applyNumberFormat="1" applyFont="1" applyFill="1" applyBorder="1"/>
    <xf numFmtId="0" fontId="12" fillId="0" borderId="2" xfId="0" applyFont="1" applyFill="1" applyBorder="1"/>
    <xf numFmtId="165" fontId="12" fillId="0" borderId="2" xfId="0" applyNumberFormat="1" applyFont="1" applyFill="1" applyBorder="1"/>
    <xf numFmtId="0" fontId="46" fillId="0" borderId="0" xfId="0" applyFont="1"/>
    <xf numFmtId="0" fontId="46" fillId="0" borderId="1" xfId="0" applyFont="1" applyBorder="1" applyAlignment="1">
      <alignment horizontal="right"/>
    </xf>
    <xf numFmtId="0" fontId="46" fillId="0" borderId="0" xfId="0" applyFont="1" applyBorder="1" applyAlignment="1">
      <alignment horizontal="right"/>
    </xf>
    <xf numFmtId="0" fontId="46" fillId="0" borderId="2" xfId="0" applyFont="1" applyBorder="1" applyAlignment="1">
      <alignment horizontal="right"/>
    </xf>
    <xf numFmtId="164" fontId="12" fillId="0" borderId="0" xfId="0" quotePrefix="1" applyNumberFormat="1" applyFont="1" applyAlignment="1" applyProtection="1">
      <alignment horizontal="center"/>
    </xf>
    <xf numFmtId="170" fontId="12" fillId="0" borderId="0" xfId="0" quotePrefix="1" applyNumberFormat="1" applyFont="1" applyFill="1"/>
    <xf numFmtId="9" fontId="17" fillId="5" borderId="0" xfId="2" applyFont="1" applyFill="1"/>
    <xf numFmtId="9" fontId="17" fillId="0" borderId="0" xfId="2" applyFont="1"/>
    <xf numFmtId="164" fontId="27" fillId="0" borderId="0" xfId="0" quotePrefix="1" applyNumberFormat="1" applyFont="1" applyFill="1" applyAlignment="1" applyProtection="1">
      <alignment horizontal="center"/>
    </xf>
    <xf numFmtId="2" fontId="27" fillId="0" borderId="0" xfId="0" quotePrefix="1" applyNumberFormat="1" applyFont="1" applyFill="1"/>
    <xf numFmtId="2" fontId="27" fillId="0" borderId="0" xfId="0" quotePrefix="1" applyNumberFormat="1" applyFont="1" applyFill="1" applyProtection="1"/>
    <xf numFmtId="0" fontId="27" fillId="0" borderId="0" xfId="0" applyFont="1" applyFill="1"/>
    <xf numFmtId="2" fontId="27" fillId="0" borderId="0" xfId="0" applyNumberFormat="1" applyFont="1" applyFill="1"/>
    <xf numFmtId="0" fontId="47" fillId="0" borderId="0" xfId="0" applyFont="1"/>
    <xf numFmtId="0" fontId="0" fillId="5" borderId="0" xfId="0" applyFont="1" applyFill="1"/>
    <xf numFmtId="2" fontId="0" fillId="0" borderId="0" xfId="2" applyNumberFormat="1" applyFont="1"/>
    <xf numFmtId="1" fontId="0" fillId="0" borderId="0" xfId="0" applyNumberFormat="1" applyFont="1"/>
    <xf numFmtId="0" fontId="47" fillId="0" borderId="0" xfId="0" applyFont="1" applyFill="1"/>
    <xf numFmtId="2" fontId="0" fillId="0" borderId="0" xfId="2" applyNumberFormat="1" applyFont="1" applyFill="1"/>
    <xf numFmtId="9" fontId="0" fillId="0" borderId="0" xfId="2" applyFont="1" applyFill="1"/>
    <xf numFmtId="1" fontId="0" fillId="0" borderId="0" xfId="0" applyNumberFormat="1" applyFont="1" applyFill="1"/>
    <xf numFmtId="164" fontId="27" fillId="0" borderId="0" xfId="0" applyNumberFormat="1" applyFont="1" applyFill="1" applyAlignment="1" applyProtection="1">
      <alignment horizontal="center"/>
    </xf>
    <xf numFmtId="2" fontId="27" fillId="0" borderId="0" xfId="0" applyNumberFormat="1" applyFont="1" applyFill="1" applyProtection="1"/>
    <xf numFmtId="0" fontId="27" fillId="0" borderId="0" xfId="0" applyFont="1" applyFill="1" applyBorder="1"/>
    <xf numFmtId="49" fontId="27" fillId="0" borderId="0" xfId="0" quotePrefix="1" applyNumberFormat="1" applyFont="1" applyFill="1" applyAlignment="1" applyProtection="1">
      <alignment horizontal="center"/>
    </xf>
    <xf numFmtId="49" fontId="27" fillId="0" borderId="0" xfId="0" quotePrefix="1" applyNumberFormat="1" applyFont="1" applyFill="1"/>
    <xf numFmtId="49" fontId="27" fillId="0" borderId="0" xfId="0" quotePrefix="1" applyNumberFormat="1" applyFont="1" applyFill="1" applyAlignment="1" applyProtection="1">
      <alignment horizontal="right"/>
    </xf>
    <xf numFmtId="0" fontId="27" fillId="0" borderId="0" xfId="0" quotePrefix="1" applyFont="1" applyFill="1"/>
    <xf numFmtId="0" fontId="12" fillId="0" borderId="0" xfId="0" applyFont="1" applyFill="1" applyAlignment="1">
      <alignment horizontal="left" vertical="top"/>
    </xf>
    <xf numFmtId="2" fontId="27" fillId="0" borderId="0" xfId="0" applyNumberFormat="1" applyFont="1" applyFill="1" applyAlignment="1">
      <alignment horizontal="center" vertical="center"/>
    </xf>
    <xf numFmtId="2" fontId="27" fillId="0" borderId="0" xfId="0" applyNumberFormat="1" applyFont="1" applyFill="1" applyAlignment="1" applyProtection="1">
      <alignment horizontal="center" vertical="center"/>
    </xf>
    <xf numFmtId="164" fontId="12" fillId="0" borderId="0" xfId="0" applyNumberFormat="1" applyFont="1" applyFill="1" applyAlignment="1" applyProtection="1">
      <alignment horizontal="center"/>
    </xf>
    <xf numFmtId="2" fontId="12" fillId="0" borderId="0" xfId="0" applyNumberFormat="1" applyFont="1" applyFill="1" applyProtection="1"/>
    <xf numFmtId="0" fontId="46" fillId="0" borderId="0" xfId="0" applyFont="1" applyFill="1"/>
    <xf numFmtId="2" fontId="12" fillId="0" borderId="1" xfId="0" applyNumberFormat="1" applyFont="1" applyFill="1" applyBorder="1"/>
    <xf numFmtId="0" fontId="46" fillId="0" borderId="1" xfId="0" applyFont="1" applyBorder="1"/>
    <xf numFmtId="0" fontId="46" fillId="0" borderId="2" xfId="0" applyFont="1" applyBorder="1"/>
    <xf numFmtId="169" fontId="17" fillId="5" borderId="0" xfId="0" applyNumberFormat="1" applyFont="1" applyFill="1"/>
    <xf numFmtId="0" fontId="27" fillId="0" borderId="0" xfId="0" applyFont="1" applyBorder="1" applyAlignment="1">
      <alignment horizontal="left"/>
    </xf>
    <xf numFmtId="9" fontId="12" fillId="0" borderId="0" xfId="2" applyFont="1"/>
    <xf numFmtId="9" fontId="46" fillId="0" borderId="0" xfId="2" applyFont="1"/>
    <xf numFmtId="0" fontId="12" fillId="0" borderId="0" xfId="0" quotePrefix="1" applyFont="1" applyFill="1" applyBorder="1"/>
    <xf numFmtId="2" fontId="46" fillId="0" borderId="0" xfId="0" applyNumberFormat="1" applyFont="1"/>
    <xf numFmtId="164" fontId="12" fillId="0" borderId="0" xfId="0" applyNumberFormat="1" applyFont="1" applyFill="1" applyBorder="1" applyProtection="1"/>
    <xf numFmtId="0" fontId="48" fillId="0" borderId="0" xfId="0" applyFont="1" applyFill="1"/>
    <xf numFmtId="0" fontId="49" fillId="0" borderId="0" xfId="0" applyFont="1" applyFill="1"/>
    <xf numFmtId="0" fontId="0" fillId="0" borderId="0" xfId="0" applyFont="1" applyFill="1" applyAlignment="1">
      <alignment horizontal="left" vertical="top"/>
    </xf>
    <xf numFmtId="0" fontId="49" fillId="0" borderId="1" xfId="0" applyFont="1" applyFill="1" applyBorder="1"/>
    <xf numFmtId="0" fontId="49" fillId="0" borderId="1" xfId="0" applyFont="1" applyFill="1" applyBorder="1" applyAlignment="1">
      <alignment horizontal="right"/>
    </xf>
    <xf numFmtId="0" fontId="49" fillId="0" borderId="1" xfId="0" applyFont="1" applyFill="1" applyBorder="1" applyAlignment="1">
      <alignment horizontal="left"/>
    </xf>
    <xf numFmtId="0" fontId="49" fillId="0" borderId="0" xfId="0" applyFont="1" applyFill="1" applyBorder="1"/>
    <xf numFmtId="0" fontId="49" fillId="0" borderId="0" xfId="0" applyFont="1" applyFill="1" applyBorder="1" applyAlignment="1">
      <alignment horizontal="right"/>
    </xf>
    <xf numFmtId="0" fontId="49" fillId="0" borderId="0" xfId="0" applyFont="1" applyFill="1" applyBorder="1" applyAlignment="1">
      <alignment horizontal="left"/>
    </xf>
    <xf numFmtId="0" fontId="49" fillId="0" borderId="2" xfId="0" applyFont="1" applyFill="1" applyBorder="1" applyAlignment="1">
      <alignment horizontal="right"/>
    </xf>
    <xf numFmtId="0" fontId="49" fillId="0" borderId="2" xfId="0" applyFont="1" applyFill="1" applyBorder="1"/>
    <xf numFmtId="164" fontId="49" fillId="0" borderId="0" xfId="0" applyNumberFormat="1" applyFont="1" applyFill="1" applyProtection="1"/>
    <xf numFmtId="2" fontId="49" fillId="0" borderId="0" xfId="0" applyNumberFormat="1" applyFont="1" applyFill="1"/>
    <xf numFmtId="2" fontId="49" fillId="0" borderId="0" xfId="0" applyNumberFormat="1" applyFont="1" applyFill="1" applyProtection="1"/>
    <xf numFmtId="0" fontId="49" fillId="0" borderId="0" xfId="0" quotePrefix="1" applyFont="1" applyFill="1"/>
    <xf numFmtId="49" fontId="49" fillId="0" borderId="0" xfId="0" quotePrefix="1" applyNumberFormat="1" applyFont="1" applyFill="1" applyAlignment="1" applyProtection="1">
      <alignment horizontal="right"/>
    </xf>
    <xf numFmtId="49" fontId="49" fillId="0" borderId="0" xfId="0" quotePrefix="1" applyNumberFormat="1" applyFont="1" applyFill="1" applyAlignment="1">
      <alignment horizontal="right"/>
    </xf>
    <xf numFmtId="2" fontId="49" fillId="0" borderId="0" xfId="0" applyNumberFormat="1" applyFont="1" applyFill="1" applyAlignment="1">
      <alignment horizontal="right"/>
    </xf>
    <xf numFmtId="49" fontId="49" fillId="0" borderId="0" xfId="0" applyNumberFormat="1" applyFont="1" applyFill="1"/>
    <xf numFmtId="2" fontId="49" fillId="0" borderId="0" xfId="0" quotePrefix="1" applyNumberFormat="1" applyFont="1" applyFill="1"/>
    <xf numFmtId="1" fontId="49" fillId="0" borderId="0" xfId="0" applyNumberFormat="1" applyFont="1" applyFill="1"/>
    <xf numFmtId="0" fontId="50" fillId="0" borderId="0" xfId="0" applyFont="1" applyFill="1"/>
    <xf numFmtId="2" fontId="49" fillId="0" borderId="0" xfId="0" applyNumberFormat="1" applyFont="1" applyFill="1" applyAlignment="1">
      <alignment horizontal="right" vertical="center"/>
    </xf>
    <xf numFmtId="2" fontId="49" fillId="0" borderId="0" xfId="0" applyNumberFormat="1" applyFont="1" applyFill="1" applyAlignment="1" applyProtection="1">
      <alignment horizontal="right" vertical="center"/>
    </xf>
    <xf numFmtId="2" fontId="49" fillId="0" borderId="0" xfId="0" applyNumberFormat="1" applyFont="1" applyFill="1" applyAlignment="1">
      <alignment vertical="center"/>
    </xf>
    <xf numFmtId="164" fontId="49" fillId="0" borderId="1" xfId="0" applyNumberFormat="1" applyFont="1" applyFill="1" applyBorder="1" applyProtection="1"/>
    <xf numFmtId="2" fontId="49" fillId="0" borderId="1" xfId="0" applyNumberFormat="1" applyFont="1" applyFill="1" applyBorder="1"/>
    <xf numFmtId="2" fontId="49" fillId="0" borderId="1" xfId="0" applyNumberFormat="1" applyFont="1" applyFill="1" applyBorder="1" applyAlignment="1">
      <alignment horizontal="right"/>
    </xf>
    <xf numFmtId="164" fontId="49" fillId="0" borderId="2" xfId="0" applyNumberFormat="1" applyFont="1" applyFill="1" applyBorder="1" applyProtection="1"/>
    <xf numFmtId="2" fontId="49" fillId="0" borderId="2" xfId="0" applyNumberFormat="1" applyFont="1" applyFill="1" applyBorder="1"/>
    <xf numFmtId="0" fontId="49" fillId="0" borderId="4" xfId="0" applyFont="1" applyFill="1" applyBorder="1"/>
    <xf numFmtId="0" fontId="50" fillId="0" borderId="0" xfId="0" applyFont="1" applyFill="1" applyBorder="1" applyAlignment="1">
      <alignment horizontal="center" vertical="top"/>
    </xf>
    <xf numFmtId="9" fontId="49" fillId="0" borderId="0" xfId="0" applyNumberFormat="1" applyFont="1" applyFill="1"/>
    <xf numFmtId="0" fontId="50" fillId="0" borderId="0" xfId="0" applyFont="1" applyFill="1" applyBorder="1" applyAlignment="1">
      <alignment horizontal="left" vertical="top"/>
    </xf>
    <xf numFmtId="1" fontId="50" fillId="0" borderId="0" xfId="0" applyNumberFormat="1" applyFont="1" applyFill="1" applyBorder="1" applyAlignment="1">
      <alignment horizontal="center" vertical="top"/>
    </xf>
    <xf numFmtId="9" fontId="49" fillId="0" borderId="0" xfId="0" applyNumberFormat="1" applyFont="1" applyFill="1" applyBorder="1"/>
    <xf numFmtId="49" fontId="50" fillId="0" borderId="0" xfId="0" applyNumberFormat="1" applyFont="1" applyFill="1" applyBorder="1" applyAlignment="1">
      <alignment horizontal="center" vertical="top"/>
    </xf>
    <xf numFmtId="2" fontId="50" fillId="0" borderId="0" xfId="0" applyNumberFormat="1" applyFont="1" applyFill="1" applyBorder="1" applyAlignment="1">
      <alignment horizontal="left" vertical="top"/>
    </xf>
    <xf numFmtId="0" fontId="49" fillId="0" borderId="0" xfId="0" applyFont="1" applyFill="1" applyAlignment="1">
      <alignment horizontal="center"/>
    </xf>
    <xf numFmtId="0" fontId="48" fillId="0" borderId="1" xfId="0" applyFont="1" applyFill="1" applyBorder="1"/>
    <xf numFmtId="0" fontId="50" fillId="0" borderId="0" xfId="0" applyFont="1" applyFill="1" applyBorder="1"/>
    <xf numFmtId="0" fontId="50" fillId="0" borderId="0" xfId="0" quotePrefix="1" applyFont="1" applyFill="1" applyBorder="1"/>
    <xf numFmtId="2" fontId="49" fillId="0" borderId="0" xfId="0" applyNumberFormat="1" applyFont="1" applyFill="1" applyBorder="1"/>
    <xf numFmtId="0" fontId="50" fillId="0" borderId="2" xfId="0" applyFont="1" applyFill="1" applyBorder="1"/>
    <xf numFmtId="0" fontId="50" fillId="0" borderId="2" xfId="0" quotePrefix="1" applyFont="1" applyFill="1" applyBorder="1"/>
    <xf numFmtId="0" fontId="48" fillId="0" borderId="0" xfId="0" applyFont="1" applyFill="1" applyBorder="1"/>
    <xf numFmtId="165" fontId="49" fillId="0" borderId="0" xfId="0" applyNumberFormat="1" applyFont="1" applyFill="1" applyBorder="1" applyProtection="1"/>
    <xf numFmtId="165" fontId="49" fillId="0" borderId="0" xfId="0" applyNumberFormat="1" applyFont="1" applyFill="1" applyBorder="1"/>
    <xf numFmtId="165" fontId="49" fillId="0" borderId="2" xfId="0" applyNumberFormat="1" applyFont="1" applyFill="1" applyBorder="1"/>
    <xf numFmtId="0" fontId="51" fillId="0" borderId="0" xfId="0" applyFont="1"/>
    <xf numFmtId="2" fontId="12" fillId="0" borderId="0" xfId="0" applyNumberFormat="1" applyFont="1" applyAlignment="1" applyProtection="1">
      <alignment horizontal="right" vertical="center"/>
    </xf>
    <xf numFmtId="2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top"/>
    </xf>
    <xf numFmtId="0" fontId="29" fillId="0" borderId="0" xfId="0" applyFont="1" applyBorder="1"/>
    <xf numFmtId="0" fontId="12" fillId="0" borderId="0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1" fontId="12" fillId="0" borderId="0" xfId="0" applyNumberFormat="1" applyFont="1" applyBorder="1"/>
  </cellXfs>
  <cellStyles count="4">
    <cellStyle name="Comma" xfId="1" builtinId="3"/>
    <cellStyle name="Normal" xfId="0" builtinId="0"/>
    <cellStyle name="Normal 2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selection activeCell="J42" sqref="J42"/>
    </sheetView>
  </sheetViews>
  <sheetFormatPr defaultColWidth="9.140625" defaultRowHeight="12" x14ac:dyDescent="0.2"/>
  <cols>
    <col min="1" max="2" width="9.140625" style="1"/>
    <col min="3" max="3" width="2.7109375" style="1" customWidth="1"/>
    <col min="4" max="4" width="6.28515625" style="1" customWidth="1"/>
    <col min="5" max="5" width="5.5703125" style="1" customWidth="1"/>
    <col min="6" max="6" width="5.85546875" style="1" customWidth="1"/>
    <col min="7" max="7" width="9.140625" style="1" customWidth="1"/>
    <col min="8" max="8" width="7.5703125" style="1" customWidth="1"/>
    <col min="9" max="9" width="7.28515625" style="1" customWidth="1"/>
    <col min="10" max="10" width="7.42578125" style="1" customWidth="1"/>
    <col min="11" max="11" width="8.140625" style="1" customWidth="1"/>
    <col min="12" max="12" width="6.85546875" style="1" customWidth="1"/>
    <col min="13" max="13" width="6.7109375" style="1" customWidth="1"/>
    <col min="14" max="14" width="9.140625" style="1"/>
    <col min="15" max="15" width="9.5703125" style="1" bestFit="1" customWidth="1"/>
    <col min="16" max="16384" width="9.140625" style="1"/>
  </cols>
  <sheetData>
    <row r="1" spans="1:15" x14ac:dyDescent="0.2">
      <c r="A1" s="1" t="s">
        <v>0</v>
      </c>
      <c r="B1" s="1" t="s">
        <v>1</v>
      </c>
      <c r="O1" s="2" t="s">
        <v>2</v>
      </c>
    </row>
    <row r="2" spans="1:15" x14ac:dyDescent="0.2">
      <c r="B2" s="1" t="s">
        <v>3</v>
      </c>
      <c r="N2" s="3"/>
      <c r="O2" s="4">
        <v>44775</v>
      </c>
    </row>
    <row r="3" spans="1:15" x14ac:dyDescent="0.2">
      <c r="B3" s="1" t="s">
        <v>4</v>
      </c>
      <c r="N3" s="3"/>
    </row>
    <row r="4" spans="1:15" x14ac:dyDescent="0.2">
      <c r="A4" s="5" t="s">
        <v>5</v>
      </c>
      <c r="B4" s="5"/>
      <c r="C4" s="5"/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6"/>
      <c r="N4" s="3"/>
    </row>
    <row r="5" spans="1:15" x14ac:dyDescent="0.2">
      <c r="A5" s="8"/>
      <c r="B5" s="8"/>
      <c r="C5" s="8"/>
      <c r="D5" s="9" t="s">
        <v>15</v>
      </c>
      <c r="E5" s="9" t="s">
        <v>16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18</v>
      </c>
      <c r="K5" s="9" t="s">
        <v>18</v>
      </c>
      <c r="L5" s="10" t="s">
        <v>11</v>
      </c>
      <c r="M5" s="9" t="s">
        <v>12</v>
      </c>
      <c r="N5" s="3"/>
    </row>
    <row r="6" spans="1:15" x14ac:dyDescent="0.2">
      <c r="A6" s="8"/>
      <c r="B6" s="8"/>
      <c r="C6" s="8"/>
      <c r="D6" s="9" t="s">
        <v>20</v>
      </c>
      <c r="E6" s="9"/>
      <c r="F6" s="9"/>
      <c r="G6" s="9"/>
      <c r="H6" s="9" t="s">
        <v>21</v>
      </c>
      <c r="I6" s="9" t="s">
        <v>18</v>
      </c>
      <c r="J6" s="9" t="s">
        <v>21</v>
      </c>
      <c r="K6" s="9" t="s">
        <v>21</v>
      </c>
      <c r="L6" s="9"/>
      <c r="M6" s="9"/>
      <c r="N6" s="3"/>
    </row>
    <row r="7" spans="1:15" x14ac:dyDescent="0.2">
      <c r="A7" s="11"/>
      <c r="B7" s="11"/>
      <c r="C7" s="11"/>
      <c r="D7" s="12"/>
      <c r="E7" s="12"/>
      <c r="F7" s="12"/>
      <c r="G7" s="12"/>
      <c r="H7" s="12"/>
      <c r="I7" s="12" t="s">
        <v>21</v>
      </c>
      <c r="J7" s="12"/>
      <c r="K7" s="12"/>
      <c r="L7" s="12"/>
      <c r="M7" s="12"/>
      <c r="N7" s="3"/>
    </row>
    <row r="8" spans="1:15" x14ac:dyDescent="0.2">
      <c r="A8" s="1" t="s">
        <v>22</v>
      </c>
      <c r="D8" s="13">
        <v>50</v>
      </c>
      <c r="E8" s="14">
        <v>2.4300000000000002</v>
      </c>
      <c r="F8" s="14">
        <v>0.71</v>
      </c>
      <c r="G8" s="15">
        <v>1470</v>
      </c>
      <c r="H8" s="14">
        <v>3572</v>
      </c>
      <c r="J8" s="14"/>
      <c r="K8" s="14">
        <f>SUM(H8:J8)</f>
        <v>3572</v>
      </c>
      <c r="N8" s="3"/>
      <c r="O8" s="16"/>
    </row>
    <row r="9" spans="1:15" x14ac:dyDescent="0.2">
      <c r="A9" s="1" t="s">
        <v>23</v>
      </c>
      <c r="D9" s="13">
        <v>100</v>
      </c>
      <c r="E9" s="14">
        <v>0.35</v>
      </c>
      <c r="F9" s="14">
        <v>0.35</v>
      </c>
      <c r="G9" s="15">
        <v>1470</v>
      </c>
      <c r="H9" s="14">
        <v>515</v>
      </c>
      <c r="I9" s="14">
        <v>8483</v>
      </c>
      <c r="J9" s="14"/>
      <c r="K9" s="14">
        <f t="shared" ref="K9:K16" si="0">SUM(H9:J9)</f>
        <v>8998</v>
      </c>
      <c r="L9" s="14">
        <v>1339</v>
      </c>
      <c r="N9" s="3"/>
      <c r="O9" s="16"/>
    </row>
    <row r="10" spans="1:15" x14ac:dyDescent="0.2">
      <c r="A10" s="1" t="s">
        <v>24</v>
      </c>
      <c r="D10" s="13">
        <v>100</v>
      </c>
      <c r="E10" s="14">
        <v>5.27</v>
      </c>
      <c r="F10" s="14">
        <v>1.06</v>
      </c>
      <c r="G10" s="15">
        <v>1430</v>
      </c>
      <c r="H10" s="14">
        <v>7536</v>
      </c>
      <c r="I10" s="14"/>
      <c r="J10" s="14">
        <f>SUM(E25*G25)</f>
        <v>14476</v>
      </c>
      <c r="K10" s="14">
        <f t="shared" si="0"/>
        <v>22012</v>
      </c>
      <c r="M10" s="14">
        <v>4571</v>
      </c>
      <c r="N10" s="3"/>
      <c r="O10" s="16"/>
    </row>
    <row r="11" spans="1:15" x14ac:dyDescent="0.2">
      <c r="A11" s="1" t="s">
        <v>25</v>
      </c>
      <c r="D11" s="13">
        <v>100</v>
      </c>
      <c r="E11" s="14">
        <v>7</v>
      </c>
      <c r="F11" s="14">
        <v>1.43</v>
      </c>
      <c r="G11" s="15">
        <v>1501</v>
      </c>
      <c r="H11" s="14">
        <v>10507</v>
      </c>
      <c r="I11" s="14"/>
      <c r="J11" s="14"/>
      <c r="K11" s="14">
        <f t="shared" si="0"/>
        <v>10507</v>
      </c>
      <c r="N11" s="3"/>
      <c r="O11" s="16"/>
    </row>
    <row r="12" spans="1:15" x14ac:dyDescent="0.2">
      <c r="A12" s="1" t="s">
        <v>26</v>
      </c>
      <c r="D12" s="13">
        <v>92</v>
      </c>
      <c r="E12" s="14">
        <v>0.41</v>
      </c>
      <c r="F12" s="14">
        <v>0.22</v>
      </c>
      <c r="G12" s="15">
        <v>1857</v>
      </c>
      <c r="H12" s="14">
        <v>761</v>
      </c>
      <c r="I12" s="14"/>
      <c r="J12" s="14">
        <v>2637</v>
      </c>
      <c r="K12" s="14">
        <f t="shared" si="0"/>
        <v>3398</v>
      </c>
      <c r="N12" s="3"/>
      <c r="O12" s="16"/>
    </row>
    <row r="13" spans="1:15" x14ac:dyDescent="0.2">
      <c r="A13" s="1" t="s">
        <v>27</v>
      </c>
      <c r="D13" s="13">
        <v>100</v>
      </c>
      <c r="E13" s="14">
        <v>7.69</v>
      </c>
      <c r="F13" s="14">
        <v>1.1399999999999999</v>
      </c>
      <c r="G13" s="15">
        <v>1620</v>
      </c>
      <c r="H13" s="14">
        <v>12458</v>
      </c>
      <c r="I13" s="14"/>
      <c r="J13" s="14"/>
      <c r="K13" s="14">
        <f t="shared" si="0"/>
        <v>12458</v>
      </c>
      <c r="N13" s="3"/>
      <c r="O13" s="16"/>
    </row>
    <row r="14" spans="1:15" x14ac:dyDescent="0.2">
      <c r="A14" s="1" t="s">
        <v>28</v>
      </c>
      <c r="D14" s="13">
        <v>100</v>
      </c>
      <c r="E14" s="14">
        <v>6.82</v>
      </c>
      <c r="F14" s="14">
        <v>1.1499999999999999</v>
      </c>
      <c r="G14" s="15">
        <v>1475</v>
      </c>
      <c r="H14" s="14">
        <v>10060</v>
      </c>
      <c r="I14" s="14"/>
      <c r="J14" s="14"/>
      <c r="K14" s="14">
        <f t="shared" si="0"/>
        <v>10060</v>
      </c>
      <c r="N14" s="3"/>
      <c r="O14" s="16"/>
    </row>
    <row r="15" spans="1:15" x14ac:dyDescent="0.2">
      <c r="A15" s="1" t="s">
        <v>29</v>
      </c>
      <c r="D15" s="13">
        <v>100</v>
      </c>
      <c r="E15" s="14">
        <v>2.5</v>
      </c>
      <c r="F15" s="14">
        <v>2.5</v>
      </c>
      <c r="G15" s="15">
        <v>1475</v>
      </c>
      <c r="H15" s="14">
        <v>3688</v>
      </c>
      <c r="I15" s="14"/>
      <c r="J15" s="14"/>
      <c r="K15" s="14">
        <f t="shared" si="0"/>
        <v>3688</v>
      </c>
      <c r="N15" s="3"/>
      <c r="O15" s="16"/>
    </row>
    <row r="16" spans="1:15" x14ac:dyDescent="0.2">
      <c r="A16" s="1" t="s">
        <v>30</v>
      </c>
      <c r="D16" s="13">
        <v>100</v>
      </c>
      <c r="E16" s="14">
        <v>0.4</v>
      </c>
      <c r="F16" s="14">
        <v>0.4</v>
      </c>
      <c r="G16" s="15">
        <v>1475</v>
      </c>
      <c r="H16" s="14">
        <v>590</v>
      </c>
      <c r="I16" s="14">
        <v>1285</v>
      </c>
      <c r="J16" s="14"/>
      <c r="K16" s="14">
        <f t="shared" si="0"/>
        <v>1875</v>
      </c>
      <c r="L16" s="14">
        <v>812</v>
      </c>
      <c r="N16" s="3"/>
      <c r="O16" s="16"/>
    </row>
    <row r="17" spans="1:16" x14ac:dyDescent="0.2">
      <c r="A17" s="5" t="s">
        <v>31</v>
      </c>
      <c r="B17" s="5"/>
      <c r="C17" s="5"/>
      <c r="D17" s="17"/>
      <c r="E17" s="18">
        <f>SUM(E8:E16)</f>
        <v>32.869999999999997</v>
      </c>
      <c r="F17" s="18">
        <f>SUM(F8:F16)</f>
        <v>8.9600000000000009</v>
      </c>
      <c r="G17" s="18"/>
      <c r="H17" s="18">
        <f>SUM(H8:H16)</f>
        <v>49687</v>
      </c>
      <c r="I17" s="18">
        <f>SUM(I8:I16)</f>
        <v>9768</v>
      </c>
      <c r="J17" s="18">
        <f>SUM(J8:J16)</f>
        <v>17113</v>
      </c>
      <c r="K17" s="18">
        <f>SUM(H17:J17)</f>
        <v>76568</v>
      </c>
      <c r="L17" s="18">
        <f>SUM(L8:L16)</f>
        <v>2151</v>
      </c>
      <c r="M17" s="18">
        <f>SUM(M8:M16)</f>
        <v>4571</v>
      </c>
      <c r="N17" s="3"/>
      <c r="O17" s="19" t="s">
        <v>32</v>
      </c>
      <c r="P17" s="19" t="s">
        <v>33</v>
      </c>
    </row>
    <row r="18" spans="1:16" x14ac:dyDescent="0.2">
      <c r="A18" s="11" t="s">
        <v>34</v>
      </c>
      <c r="B18" s="11"/>
      <c r="C18" s="11"/>
      <c r="D18" s="20"/>
      <c r="E18" s="21">
        <f>SUM(E17-F17)</f>
        <v>23.909999999999997</v>
      </c>
      <c r="F18" s="21"/>
      <c r="G18" s="21"/>
      <c r="H18" s="21">
        <f>SUM(E28*G28)</f>
        <v>36144</v>
      </c>
      <c r="I18" s="21">
        <f>I17-L17</f>
        <v>7617</v>
      </c>
      <c r="J18" s="21">
        <f>J17-M17</f>
        <v>12542</v>
      </c>
      <c r="K18" s="21">
        <f>SUM(H18:J18)</f>
        <v>56303</v>
      </c>
      <c r="L18" s="11"/>
      <c r="M18" s="11"/>
      <c r="N18" s="3"/>
      <c r="O18" s="22" t="s">
        <v>35</v>
      </c>
      <c r="P18" s="23">
        <f>10.5/19*100</f>
        <v>55.26315789473685</v>
      </c>
    </row>
    <row r="19" spans="1:16" x14ac:dyDescent="0.2">
      <c r="N19" s="3"/>
      <c r="O19" s="22" t="s">
        <v>36</v>
      </c>
      <c r="P19" s="24">
        <f>4/19*100</f>
        <v>21.052631578947366</v>
      </c>
    </row>
    <row r="20" spans="1:16" x14ac:dyDescent="0.2">
      <c r="C20" s="1" t="s">
        <v>37</v>
      </c>
      <c r="N20" s="3"/>
      <c r="O20" s="22" t="s">
        <v>38</v>
      </c>
      <c r="P20" s="23">
        <f>2.5/19*100</f>
        <v>13.157894736842104</v>
      </c>
    </row>
    <row r="21" spans="1:16" x14ac:dyDescent="0.2">
      <c r="N21" s="3"/>
      <c r="O21" s="22" t="s">
        <v>39</v>
      </c>
      <c r="P21" s="25">
        <f>2/19*100</f>
        <v>10.526315789473683</v>
      </c>
    </row>
    <row r="22" spans="1:16" x14ac:dyDescent="0.2">
      <c r="A22" s="1" t="s">
        <v>40</v>
      </c>
      <c r="N22" s="3"/>
    </row>
    <row r="23" spans="1:16" ht="14.25" x14ac:dyDescent="0.3">
      <c r="A23" s="26" t="s">
        <v>41</v>
      </c>
      <c r="B23" s="26"/>
      <c r="C23" s="26"/>
      <c r="D23" s="26" t="s">
        <v>42</v>
      </c>
      <c r="E23" s="26" t="s">
        <v>43</v>
      </c>
      <c r="F23" s="26"/>
      <c r="G23" s="26" t="s">
        <v>44</v>
      </c>
      <c r="N23" s="3"/>
      <c r="O23" s="27" t="s">
        <v>45</v>
      </c>
      <c r="P23" s="28">
        <v>1</v>
      </c>
    </row>
    <row r="24" spans="1:16" ht="14.25" x14ac:dyDescent="0.3">
      <c r="A24" s="1" t="s">
        <v>46</v>
      </c>
      <c r="N24" s="3"/>
      <c r="O24" s="27" t="s">
        <v>47</v>
      </c>
      <c r="P24" s="28">
        <v>1.58</v>
      </c>
    </row>
    <row r="25" spans="1:16" x14ac:dyDescent="0.2">
      <c r="A25" s="1" t="s">
        <v>48</v>
      </c>
      <c r="D25" s="1" t="s">
        <v>49</v>
      </c>
      <c r="E25" s="14">
        <v>47</v>
      </c>
      <c r="F25" s="14"/>
      <c r="G25" s="14">
        <v>308</v>
      </c>
      <c r="N25" s="3"/>
    </row>
    <row r="26" spans="1:16" x14ac:dyDescent="0.2">
      <c r="N26" s="3"/>
    </row>
    <row r="27" spans="1:16" x14ac:dyDescent="0.2">
      <c r="A27" s="1" t="s">
        <v>50</v>
      </c>
      <c r="N27" s="3"/>
    </row>
    <row r="28" spans="1:16" x14ac:dyDescent="0.2">
      <c r="A28" s="1" t="s">
        <v>51</v>
      </c>
      <c r="D28" s="1" t="s">
        <v>52</v>
      </c>
      <c r="E28" s="14">
        <v>24</v>
      </c>
      <c r="G28" s="14">
        <v>1506</v>
      </c>
      <c r="N28" s="3"/>
    </row>
    <row r="29" spans="1:16" x14ac:dyDescent="0.2">
      <c r="A29" s="1" t="s">
        <v>53</v>
      </c>
      <c r="D29" s="1" t="s">
        <v>52</v>
      </c>
      <c r="E29" s="14">
        <v>9</v>
      </c>
      <c r="N29" s="3"/>
    </row>
    <row r="30" spans="1:16" x14ac:dyDescent="0.2">
      <c r="A30" s="1" t="s">
        <v>7</v>
      </c>
      <c r="D30" s="1" t="s">
        <v>52</v>
      </c>
      <c r="E30" s="14">
        <f>+E28+E29</f>
        <v>33</v>
      </c>
      <c r="N30" s="3"/>
    </row>
    <row r="31" spans="1:16" x14ac:dyDescent="0.2">
      <c r="A31" s="5" t="s">
        <v>54</v>
      </c>
      <c r="B31" s="5"/>
      <c r="C31" s="5"/>
      <c r="D31" s="5"/>
      <c r="E31" s="5"/>
      <c r="F31" s="5"/>
      <c r="G31" s="5"/>
      <c r="H31" s="1" t="s">
        <v>55</v>
      </c>
      <c r="N31" s="3"/>
    </row>
    <row r="32" spans="1:16" x14ac:dyDescent="0.2">
      <c r="A32" s="8" t="s">
        <v>56</v>
      </c>
      <c r="B32" s="8"/>
      <c r="C32" s="8"/>
      <c r="D32" s="8"/>
      <c r="E32" s="8"/>
      <c r="F32" s="8"/>
      <c r="G32" s="29">
        <v>622</v>
      </c>
      <c r="H32" s="16">
        <f>G32*2.47</f>
        <v>1536.3400000000001</v>
      </c>
      <c r="N32" s="3"/>
    </row>
    <row r="33" spans="1:14" x14ac:dyDescent="0.2">
      <c r="A33" s="8" t="s">
        <v>57</v>
      </c>
      <c r="B33" s="8"/>
      <c r="C33" s="8"/>
      <c r="D33" s="8"/>
      <c r="E33" s="8"/>
      <c r="F33" s="8"/>
      <c r="G33" s="30">
        <v>405</v>
      </c>
      <c r="H33" s="16"/>
      <c r="N33" s="3"/>
    </row>
    <row r="34" spans="1:14" x14ac:dyDescent="0.2">
      <c r="A34" s="8" t="s">
        <v>58</v>
      </c>
      <c r="B34" s="8"/>
      <c r="C34" s="8"/>
      <c r="D34" s="8"/>
      <c r="E34" s="8"/>
      <c r="F34" s="8"/>
      <c r="G34" s="30">
        <f>SUM(G32*G33)</f>
        <v>251910</v>
      </c>
      <c r="H34" s="16">
        <f>G34*2.47</f>
        <v>622217.70000000007</v>
      </c>
      <c r="N34" s="3"/>
    </row>
    <row r="35" spans="1:14" x14ac:dyDescent="0.2">
      <c r="A35" s="8" t="s">
        <v>59</v>
      </c>
      <c r="B35" s="8"/>
      <c r="C35" s="8"/>
      <c r="D35" s="8"/>
      <c r="E35" s="8"/>
      <c r="F35" s="8"/>
      <c r="G35" s="30">
        <f>SUM(G34-K17)</f>
        <v>175342</v>
      </c>
      <c r="H35" s="16">
        <f>G35*2.47</f>
        <v>433094.74000000005</v>
      </c>
      <c r="N35" s="3"/>
    </row>
    <row r="36" spans="1:14" x14ac:dyDescent="0.2">
      <c r="A36" s="8" t="s">
        <v>60</v>
      </c>
      <c r="B36" s="8"/>
      <c r="C36" s="8"/>
      <c r="D36" s="8"/>
      <c r="E36" s="8"/>
      <c r="F36" s="8"/>
      <c r="G36" s="30">
        <f>SUM(G34-K18)</f>
        <v>195607</v>
      </c>
      <c r="H36" s="16">
        <f>G36*2.47</f>
        <v>483149.29000000004</v>
      </c>
      <c r="N36" s="3"/>
    </row>
    <row r="37" spans="1:14" x14ac:dyDescent="0.2">
      <c r="A37" s="8" t="s">
        <v>61</v>
      </c>
      <c r="B37" s="8"/>
      <c r="C37" s="8"/>
      <c r="D37" s="8"/>
      <c r="E37" s="8"/>
      <c r="F37" s="8"/>
      <c r="G37" s="30">
        <f>SUM(K17/G32)</f>
        <v>123.09967845659163</v>
      </c>
      <c r="N37" s="3"/>
    </row>
    <row r="38" spans="1:14" x14ac:dyDescent="0.2">
      <c r="A38" s="11" t="s">
        <v>62</v>
      </c>
      <c r="B38" s="11"/>
      <c r="C38" s="11"/>
      <c r="D38" s="11"/>
      <c r="E38" s="11"/>
      <c r="F38" s="11"/>
      <c r="G38" s="31">
        <f>SUM(K18/G32)</f>
        <v>90.519292604501601</v>
      </c>
      <c r="N38" s="3"/>
    </row>
    <row r="39" spans="1:14" x14ac:dyDescent="0.2">
      <c r="N39" s="3"/>
    </row>
    <row r="40" spans="1:14" x14ac:dyDescent="0.2">
      <c r="A40" s="1" t="s">
        <v>63</v>
      </c>
      <c r="N40" s="3"/>
    </row>
    <row r="41" spans="1:14" x14ac:dyDescent="0.2">
      <c r="N41" s="3"/>
    </row>
    <row r="49" spans="7:7" x14ac:dyDescent="0.2">
      <c r="G49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workbookViewId="0">
      <selection activeCell="L27" sqref="L27"/>
    </sheetView>
  </sheetViews>
  <sheetFormatPr defaultColWidth="9.28515625" defaultRowHeight="15" x14ac:dyDescent="0.25"/>
  <cols>
    <col min="1" max="1" width="9.28515625" style="32"/>
    <col min="2" max="2" width="18" style="32" customWidth="1"/>
    <col min="3" max="5" width="8.140625" style="32" customWidth="1"/>
    <col min="6" max="6" width="9.85546875" style="32" customWidth="1"/>
    <col min="7" max="7" width="11.85546875" style="32" customWidth="1"/>
    <col min="8" max="12" width="8.140625" style="32" customWidth="1"/>
    <col min="13" max="13" width="6" style="32" customWidth="1"/>
    <col min="14" max="14" width="9.28515625" style="32"/>
    <col min="15" max="15" width="11.28515625" style="32" bestFit="1" customWidth="1"/>
    <col min="16" max="16384" width="9.28515625" style="32"/>
  </cols>
  <sheetData>
    <row r="1" spans="1:17" s="33" customFormat="1" ht="13.15" customHeight="1" x14ac:dyDescent="0.25">
      <c r="A1" s="32" t="s">
        <v>0</v>
      </c>
      <c r="B1" s="32" t="s">
        <v>65</v>
      </c>
      <c r="C1" s="32"/>
      <c r="D1" s="32"/>
      <c r="E1" s="32"/>
      <c r="F1" s="32"/>
      <c r="G1" s="32"/>
      <c r="H1" s="32"/>
    </row>
    <row r="2" spans="1:17" s="33" customFormat="1" ht="15.75" x14ac:dyDescent="0.25">
      <c r="A2" s="32"/>
      <c r="B2" s="32" t="s">
        <v>66</v>
      </c>
      <c r="C2" s="32"/>
      <c r="D2" s="32"/>
      <c r="E2" s="32"/>
      <c r="F2" s="32"/>
      <c r="G2" s="32"/>
      <c r="H2" s="32"/>
      <c r="N2" s="34" t="s">
        <v>67</v>
      </c>
    </row>
    <row r="3" spans="1:17" s="33" customFormat="1" ht="15.75" x14ac:dyDescent="0.25">
      <c r="A3" s="32"/>
      <c r="B3" s="32" t="s">
        <v>4</v>
      </c>
      <c r="C3" s="32"/>
      <c r="D3" s="32"/>
      <c r="E3" s="32"/>
      <c r="F3" s="32"/>
      <c r="G3" s="32"/>
      <c r="H3" s="32"/>
      <c r="N3" s="35"/>
      <c r="O3" s="36">
        <v>44783</v>
      </c>
    </row>
    <row r="4" spans="1:17" x14ac:dyDescent="0.25">
      <c r="A4" s="37" t="s">
        <v>5</v>
      </c>
      <c r="B4" s="37"/>
      <c r="C4" s="37"/>
      <c r="D4" s="38" t="s">
        <v>6</v>
      </c>
      <c r="E4" s="38" t="s">
        <v>7</v>
      </c>
      <c r="F4" s="38" t="s">
        <v>8</v>
      </c>
      <c r="G4" s="38" t="s">
        <v>9</v>
      </c>
      <c r="H4" s="38" t="s">
        <v>10</v>
      </c>
      <c r="I4" s="38" t="s">
        <v>11</v>
      </c>
      <c r="J4" s="38" t="s">
        <v>12</v>
      </c>
      <c r="K4" s="38" t="s">
        <v>13</v>
      </c>
      <c r="L4" s="39" t="s">
        <v>14</v>
      </c>
      <c r="M4" s="40"/>
      <c r="N4" s="41"/>
    </row>
    <row r="5" spans="1:17" x14ac:dyDescent="0.25">
      <c r="A5" s="42"/>
      <c r="B5" s="42"/>
      <c r="C5" s="42"/>
      <c r="D5" s="43" t="s">
        <v>15</v>
      </c>
      <c r="E5" s="43" t="s">
        <v>16</v>
      </c>
      <c r="F5" s="43" t="s">
        <v>16</v>
      </c>
      <c r="G5" s="43" t="s">
        <v>17</v>
      </c>
      <c r="H5" s="43" t="s">
        <v>18</v>
      </c>
      <c r="I5" s="43" t="s">
        <v>19</v>
      </c>
      <c r="J5" s="43" t="s">
        <v>18</v>
      </c>
      <c r="K5" s="43" t="s">
        <v>18</v>
      </c>
      <c r="L5" s="44" t="s">
        <v>11</v>
      </c>
      <c r="M5" s="45" t="s">
        <v>12</v>
      </c>
      <c r="N5" s="41"/>
    </row>
    <row r="6" spans="1:17" x14ac:dyDescent="0.25">
      <c r="A6" s="42"/>
      <c r="B6" s="42"/>
      <c r="C6" s="42"/>
      <c r="D6" s="43" t="s">
        <v>20</v>
      </c>
      <c r="E6" s="43"/>
      <c r="F6" s="43"/>
      <c r="G6" s="43"/>
      <c r="H6" s="43" t="s">
        <v>21</v>
      </c>
      <c r="I6" s="43" t="s">
        <v>18</v>
      </c>
      <c r="J6" s="43" t="s">
        <v>21</v>
      </c>
      <c r="K6" s="43" t="s">
        <v>21</v>
      </c>
      <c r="L6" s="43"/>
      <c r="M6" s="45"/>
      <c r="N6" s="41"/>
    </row>
    <row r="7" spans="1:17" x14ac:dyDescent="0.25">
      <c r="A7" s="46"/>
      <c r="B7" s="46"/>
      <c r="C7" s="46"/>
      <c r="D7" s="47"/>
      <c r="E7" s="47"/>
      <c r="F7" s="47"/>
      <c r="G7" s="47"/>
      <c r="H7" s="47"/>
      <c r="I7" s="47" t="s">
        <v>21</v>
      </c>
      <c r="J7" s="47"/>
      <c r="K7" s="47"/>
      <c r="L7" s="47"/>
      <c r="M7" s="48"/>
      <c r="N7" s="41"/>
      <c r="P7" s="32" t="s">
        <v>68</v>
      </c>
      <c r="Q7" s="32" t="s">
        <v>69</v>
      </c>
    </row>
    <row r="8" spans="1:17" ht="13.5" customHeight="1" x14ac:dyDescent="0.25">
      <c r="A8" s="49" t="s">
        <v>70</v>
      </c>
      <c r="B8" s="49"/>
      <c r="C8" s="49"/>
      <c r="D8" s="50">
        <v>100</v>
      </c>
      <c r="E8" s="51">
        <v>6.05</v>
      </c>
      <c r="F8" s="51">
        <v>5.89</v>
      </c>
      <c r="G8" s="52">
        <v>1500</v>
      </c>
      <c r="H8" s="51">
        <f>E8*G8</f>
        <v>9075</v>
      </c>
      <c r="I8" s="49"/>
      <c r="J8" s="53">
        <v>1915</v>
      </c>
      <c r="K8" s="51">
        <f t="shared" ref="K8:K13" si="0">SUM(H8:J8)</f>
        <v>10990</v>
      </c>
      <c r="L8" s="49"/>
      <c r="M8" s="54"/>
      <c r="N8" s="55"/>
      <c r="P8" s="56">
        <v>8.0194805194805188</v>
      </c>
      <c r="Q8" s="56">
        <v>5.9771863117870723</v>
      </c>
    </row>
    <row r="9" spans="1:17" ht="12.4" customHeight="1" x14ac:dyDescent="0.25">
      <c r="A9" s="49" t="s">
        <v>71</v>
      </c>
      <c r="B9" s="49"/>
      <c r="C9" s="49"/>
      <c r="D9" s="50">
        <v>50</v>
      </c>
      <c r="E9" s="51">
        <v>5.6</v>
      </c>
      <c r="F9" s="51">
        <v>1.6</v>
      </c>
      <c r="G9" s="52">
        <v>1820</v>
      </c>
      <c r="H9" s="51">
        <f>E9*G9</f>
        <v>10192</v>
      </c>
      <c r="I9" s="49"/>
      <c r="J9" s="51"/>
      <c r="K9" s="51">
        <f t="shared" si="0"/>
        <v>10192</v>
      </c>
      <c r="L9" s="49"/>
      <c r="M9" s="54"/>
      <c r="N9" s="55"/>
      <c r="P9" s="56">
        <v>8.9358766233766236</v>
      </c>
      <c r="Q9" s="56">
        <v>7.7870722433460076</v>
      </c>
    </row>
    <row r="10" spans="1:17" ht="11.65" customHeight="1" x14ac:dyDescent="0.25">
      <c r="A10" s="49" t="s">
        <v>72</v>
      </c>
      <c r="B10" s="49"/>
      <c r="C10" s="49"/>
      <c r="D10" s="57">
        <v>63</v>
      </c>
      <c r="E10" s="51">
        <v>1.64</v>
      </c>
      <c r="F10" s="51">
        <v>1.64</v>
      </c>
      <c r="G10" s="52">
        <v>1500</v>
      </c>
      <c r="H10" s="51">
        <f>E10*G10</f>
        <v>2460</v>
      </c>
      <c r="I10" s="51">
        <v>14200</v>
      </c>
      <c r="J10" s="51"/>
      <c r="K10" s="51">
        <f t="shared" si="0"/>
        <v>16660</v>
      </c>
      <c r="L10" s="49">
        <v>9036</v>
      </c>
      <c r="M10" s="54"/>
      <c r="N10" s="55"/>
      <c r="P10" s="56">
        <v>1.4488636363636365</v>
      </c>
      <c r="Q10" s="56">
        <v>0.81749049429657794</v>
      </c>
    </row>
    <row r="11" spans="1:17" x14ac:dyDescent="0.25">
      <c r="A11" s="49" t="s">
        <v>73</v>
      </c>
      <c r="B11" s="49"/>
      <c r="C11" s="49"/>
      <c r="D11" s="58" t="s">
        <v>74</v>
      </c>
      <c r="E11" s="51"/>
      <c r="F11" s="51"/>
      <c r="G11" s="52"/>
      <c r="H11" s="59" t="s">
        <v>75</v>
      </c>
      <c r="I11" s="49"/>
      <c r="J11" s="51"/>
      <c r="K11" s="51">
        <f t="shared" si="0"/>
        <v>0</v>
      </c>
      <c r="L11" s="49"/>
      <c r="M11" s="54"/>
      <c r="N11" s="60"/>
      <c r="P11" s="56">
        <v>0</v>
      </c>
      <c r="Q11" s="56">
        <v>0</v>
      </c>
    </row>
    <row r="12" spans="1:17" x14ac:dyDescent="0.25">
      <c r="A12" s="49" t="s">
        <v>76</v>
      </c>
      <c r="B12" s="49"/>
      <c r="C12" s="49"/>
      <c r="D12" s="50">
        <v>100</v>
      </c>
      <c r="E12" s="51">
        <v>9.1999999999999993</v>
      </c>
      <c r="F12" s="51">
        <v>2.4</v>
      </c>
      <c r="G12" s="52">
        <v>1794</v>
      </c>
      <c r="H12" s="51">
        <v>16505</v>
      </c>
      <c r="I12" s="49"/>
      <c r="J12" s="51">
        <v>5330</v>
      </c>
      <c r="K12" s="51">
        <f t="shared" si="0"/>
        <v>21835</v>
      </c>
      <c r="L12" s="49"/>
      <c r="M12" s="54"/>
      <c r="N12" s="55"/>
      <c r="P12" s="56">
        <v>11.026785714285714</v>
      </c>
      <c r="Q12" s="56">
        <v>9.412547528517111</v>
      </c>
    </row>
    <row r="13" spans="1:17" x14ac:dyDescent="0.25">
      <c r="A13" s="49" t="s">
        <v>77</v>
      </c>
      <c r="B13" s="49"/>
      <c r="C13" s="49"/>
      <c r="D13" s="50">
        <v>100</v>
      </c>
      <c r="E13" s="51">
        <v>8.74</v>
      </c>
      <c r="F13" s="51">
        <v>3.82</v>
      </c>
      <c r="G13" s="52">
        <v>1662</v>
      </c>
      <c r="H13" s="51">
        <v>14526</v>
      </c>
      <c r="I13" s="49"/>
      <c r="J13" s="51"/>
      <c r="K13" s="51">
        <f t="shared" si="0"/>
        <v>14526</v>
      </c>
      <c r="L13" s="49"/>
      <c r="M13" s="54"/>
      <c r="N13" s="55"/>
      <c r="P13" s="56">
        <v>8.279220779220779</v>
      </c>
      <c r="Q13" s="56">
        <v>8.0085551330798488</v>
      </c>
    </row>
    <row r="14" spans="1:17" x14ac:dyDescent="0.25">
      <c r="A14" s="49" t="s">
        <v>78</v>
      </c>
      <c r="B14" s="49"/>
      <c r="C14" s="49"/>
      <c r="D14" s="50">
        <v>100</v>
      </c>
      <c r="E14" s="51">
        <v>8</v>
      </c>
      <c r="F14" s="51">
        <v>4.3</v>
      </c>
      <c r="G14" s="52">
        <v>1458</v>
      </c>
      <c r="H14" s="51">
        <f t="shared" ref="H14:H19" si="1">E14*G14</f>
        <v>11664</v>
      </c>
      <c r="I14" s="49"/>
      <c r="J14" s="61">
        <v>22560</v>
      </c>
      <c r="K14" s="51">
        <f>SUM(H14:J14)</f>
        <v>34224</v>
      </c>
      <c r="L14" s="49"/>
      <c r="M14" s="54"/>
      <c r="N14" s="55"/>
      <c r="P14" s="56">
        <v>8.2272727272727266</v>
      </c>
      <c r="Q14" s="56">
        <v>7.3935361216730042</v>
      </c>
    </row>
    <row r="15" spans="1:17" x14ac:dyDescent="0.25">
      <c r="A15" s="49" t="s">
        <v>79</v>
      </c>
      <c r="B15" s="49"/>
      <c r="C15" s="49"/>
      <c r="D15" s="50">
        <v>100</v>
      </c>
      <c r="E15" s="62">
        <v>6.4</v>
      </c>
      <c r="F15" s="62">
        <v>6.4</v>
      </c>
      <c r="G15" s="63">
        <v>1600</v>
      </c>
      <c r="H15" s="62">
        <f t="shared" si="1"/>
        <v>10240</v>
      </c>
      <c r="I15" s="49"/>
      <c r="J15" s="51">
        <f>+E36*G36</f>
        <v>11270</v>
      </c>
      <c r="K15" s="62">
        <f>+H15+J15+J16</f>
        <v>48743</v>
      </c>
      <c r="L15" s="64"/>
      <c r="M15" s="54"/>
      <c r="N15" s="65"/>
      <c r="O15" s="66"/>
      <c r="P15" s="56">
        <v>7.5974025974025974</v>
      </c>
      <c r="Q15" s="56">
        <v>7.7186311787072244</v>
      </c>
    </row>
    <row r="16" spans="1:17" x14ac:dyDescent="0.25">
      <c r="A16" s="49" t="s">
        <v>80</v>
      </c>
      <c r="B16" s="49"/>
      <c r="C16" s="49"/>
      <c r="D16" s="50">
        <v>100</v>
      </c>
      <c r="E16" s="62"/>
      <c r="F16" s="62"/>
      <c r="G16" s="63"/>
      <c r="H16" s="62"/>
      <c r="I16" s="49"/>
      <c r="J16" s="51">
        <f>+E37*G37</f>
        <v>27233</v>
      </c>
      <c r="K16" s="62"/>
      <c r="L16" s="64"/>
      <c r="M16" s="54"/>
      <c r="N16" s="65"/>
      <c r="O16" s="66"/>
      <c r="P16" s="56"/>
      <c r="Q16" s="56"/>
    </row>
    <row r="17" spans="1:17" x14ac:dyDescent="0.25">
      <c r="A17" s="49" t="s">
        <v>25</v>
      </c>
      <c r="B17" s="49"/>
      <c r="C17" s="49"/>
      <c r="D17" s="50">
        <v>100</v>
      </c>
      <c r="E17" s="51">
        <v>15.69</v>
      </c>
      <c r="F17" s="51">
        <v>4</v>
      </c>
      <c r="G17" s="52">
        <v>1657</v>
      </c>
      <c r="H17" s="51">
        <v>25998</v>
      </c>
      <c r="I17" s="49"/>
      <c r="J17" s="67"/>
      <c r="K17" s="51">
        <f t="shared" ref="K17:K20" si="2">SUM(H17:J17)</f>
        <v>25998</v>
      </c>
      <c r="L17" s="64"/>
      <c r="M17" s="54"/>
      <c r="N17" s="55"/>
      <c r="P17" s="56">
        <v>15.51461038961039</v>
      </c>
      <c r="Q17" s="56">
        <v>19.518060836501903</v>
      </c>
    </row>
    <row r="18" spans="1:17" x14ac:dyDescent="0.25">
      <c r="A18" s="49" t="s">
        <v>81</v>
      </c>
      <c r="B18" s="49"/>
      <c r="C18" s="49"/>
      <c r="D18" s="50">
        <v>100</v>
      </c>
      <c r="E18" s="51">
        <v>11.83</v>
      </c>
      <c r="F18" s="51">
        <v>6.83</v>
      </c>
      <c r="G18" s="68">
        <v>2500</v>
      </c>
      <c r="H18" s="51">
        <f t="shared" si="1"/>
        <v>29575</v>
      </c>
      <c r="I18" s="49"/>
      <c r="J18" s="51">
        <v>31862</v>
      </c>
      <c r="K18" s="51">
        <f t="shared" si="2"/>
        <v>61437</v>
      </c>
      <c r="L18" s="64"/>
      <c r="M18" s="54"/>
      <c r="N18" s="55"/>
      <c r="P18" s="56">
        <v>12.24025974025974</v>
      </c>
      <c r="Q18" s="56">
        <v>14.153992395437262</v>
      </c>
    </row>
    <row r="19" spans="1:17" x14ac:dyDescent="0.25">
      <c r="A19" s="49" t="s">
        <v>82</v>
      </c>
      <c r="B19" s="49"/>
      <c r="C19" s="49"/>
      <c r="D19" s="50">
        <v>100</v>
      </c>
      <c r="E19" s="51">
        <v>15.97</v>
      </c>
      <c r="F19" s="51">
        <v>15.97</v>
      </c>
      <c r="G19" s="68">
        <v>1500</v>
      </c>
      <c r="H19" s="51">
        <f t="shared" si="1"/>
        <v>23955</v>
      </c>
      <c r="I19" s="51">
        <v>4900</v>
      </c>
      <c r="J19" s="51"/>
      <c r="K19" s="51">
        <f t="shared" si="2"/>
        <v>28855</v>
      </c>
      <c r="L19" s="64"/>
      <c r="M19" s="54"/>
      <c r="N19" s="55"/>
      <c r="P19" s="56">
        <v>15.933441558441558</v>
      </c>
      <c r="Q19" s="56">
        <v>18.239543726235741</v>
      </c>
    </row>
    <row r="20" spans="1:17" x14ac:dyDescent="0.25">
      <c r="A20" s="49" t="s">
        <v>83</v>
      </c>
      <c r="B20" s="64"/>
      <c r="C20" s="64"/>
      <c r="D20" s="50">
        <v>100</v>
      </c>
      <c r="E20" s="51">
        <v>32.54</v>
      </c>
      <c r="F20" s="51">
        <v>10.18</v>
      </c>
      <c r="G20" s="68">
        <v>1754</v>
      </c>
      <c r="H20" s="51">
        <v>57075</v>
      </c>
      <c r="I20" s="64"/>
      <c r="J20" s="69"/>
      <c r="K20" s="51">
        <f t="shared" si="2"/>
        <v>57075</v>
      </c>
      <c r="L20" s="64"/>
      <c r="M20" s="54"/>
      <c r="N20" s="70"/>
      <c r="P20" s="56">
        <v>29.728084415584416</v>
      </c>
      <c r="Q20" s="56">
        <v>25.019011406844108</v>
      </c>
    </row>
    <row r="21" spans="1:17" x14ac:dyDescent="0.25">
      <c r="A21" s="71" t="s">
        <v>31</v>
      </c>
      <c r="B21" s="71"/>
      <c r="C21" s="71"/>
      <c r="D21" s="72"/>
      <c r="E21" s="73">
        <f>SUM(E8:E20)</f>
        <v>121.66</v>
      </c>
      <c r="F21" s="73">
        <f>SUM(F8:F20)</f>
        <v>63.03</v>
      </c>
      <c r="G21" s="73"/>
      <c r="H21" s="73">
        <f>SUM(H8:H20)</f>
        <v>211265</v>
      </c>
      <c r="I21" s="73">
        <f>SUM(I8:I20)</f>
        <v>19100</v>
      </c>
      <c r="J21" s="73">
        <f>SUM(J8:J20)</f>
        <v>100170</v>
      </c>
      <c r="K21" s="73">
        <f>SUM(H21:J21)</f>
        <v>330535</v>
      </c>
      <c r="L21" s="37">
        <f>SUM(L8:L20)</f>
        <v>9036</v>
      </c>
      <c r="M21" s="74">
        <f>SUM(M8:M20)</f>
        <v>0</v>
      </c>
      <c r="N21" s="75"/>
      <c r="P21" s="76">
        <f>SUM(P8:P20)</f>
        <v>126.95129870129871</v>
      </c>
      <c r="Q21" s="76">
        <f>SUM(Q8:Q20)</f>
        <v>124.04562737642587</v>
      </c>
    </row>
    <row r="22" spans="1:17" x14ac:dyDescent="0.25">
      <c r="A22" s="77" t="s">
        <v>34</v>
      </c>
      <c r="B22" s="77"/>
      <c r="C22" s="77"/>
      <c r="D22" s="78"/>
      <c r="E22" s="79">
        <f>SUM(E21-F21)</f>
        <v>58.629999999999995</v>
      </c>
      <c r="F22" s="79"/>
      <c r="G22" s="79"/>
      <c r="H22" s="79">
        <f>SUM(E31*G31)</f>
        <v>102188</v>
      </c>
      <c r="I22" s="79">
        <f>I21-L21</f>
        <v>10064</v>
      </c>
      <c r="J22" s="79">
        <f>J21-M21</f>
        <v>100170</v>
      </c>
      <c r="K22" s="79">
        <f>SUM(H22:J22)</f>
        <v>212422</v>
      </c>
      <c r="L22" s="46"/>
      <c r="M22" s="80"/>
      <c r="N22" s="75"/>
    </row>
    <row r="23" spans="1:17" x14ac:dyDescent="0.25">
      <c r="A23" s="49"/>
      <c r="B23" s="49"/>
      <c r="C23" s="49" t="s">
        <v>37</v>
      </c>
      <c r="D23" s="49"/>
      <c r="E23" s="49"/>
      <c r="F23" s="49"/>
      <c r="G23" s="49"/>
      <c r="H23" s="49"/>
      <c r="I23" s="49"/>
      <c r="J23" s="49"/>
      <c r="K23" s="49"/>
      <c r="L23" s="49"/>
      <c r="M23" s="54"/>
      <c r="N23" s="75"/>
    </row>
    <row r="24" spans="1:17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4"/>
      <c r="N24" s="75"/>
    </row>
    <row r="25" spans="1:17" x14ac:dyDescent="0.25">
      <c r="A25" s="49" t="s">
        <v>40</v>
      </c>
      <c r="B25" s="49"/>
      <c r="C25" s="49"/>
      <c r="D25" s="49"/>
      <c r="E25" s="49"/>
      <c r="F25" s="49"/>
      <c r="G25" s="49"/>
      <c r="H25" s="49"/>
      <c r="K25" s="49"/>
      <c r="L25" s="49"/>
      <c r="M25" s="54"/>
      <c r="N25" s="75"/>
      <c r="P25" s="49"/>
      <c r="Q25" s="49"/>
    </row>
    <row r="26" spans="1:17" x14ac:dyDescent="0.25">
      <c r="A26" s="81" t="s">
        <v>41</v>
      </c>
      <c r="B26" s="82"/>
      <c r="C26" s="82"/>
      <c r="D26" s="82" t="s">
        <v>42</v>
      </c>
      <c r="E26" s="82" t="s">
        <v>43</v>
      </c>
      <c r="F26" s="82"/>
      <c r="G26" s="82" t="s">
        <v>44</v>
      </c>
      <c r="H26" s="83"/>
      <c r="K26" s="84"/>
      <c r="L26" s="49"/>
      <c r="M26" s="54"/>
      <c r="N26" s="75"/>
      <c r="P26" s="82" t="s">
        <v>84</v>
      </c>
      <c r="Q26" s="85"/>
    </row>
    <row r="27" spans="1:17" x14ac:dyDescent="0.25">
      <c r="A27" s="49" t="s">
        <v>46</v>
      </c>
      <c r="B27" s="49"/>
      <c r="C27" s="49"/>
      <c r="D27" s="49" t="s">
        <v>85</v>
      </c>
      <c r="E27" s="49"/>
      <c r="F27" s="49"/>
      <c r="G27" s="49"/>
      <c r="K27" s="84"/>
      <c r="L27" s="49"/>
      <c r="M27" s="54"/>
      <c r="N27" s="75"/>
      <c r="P27" s="86" t="s">
        <v>86</v>
      </c>
      <c r="Q27" s="86">
        <f>3/8*100</f>
        <v>37.5</v>
      </c>
    </row>
    <row r="28" spans="1:17" x14ac:dyDescent="0.25">
      <c r="A28" s="87" t="s">
        <v>87</v>
      </c>
      <c r="B28" s="87"/>
      <c r="C28" s="49"/>
      <c r="D28" s="49" t="s">
        <v>49</v>
      </c>
      <c r="E28" s="49">
        <v>0.51400000000000001</v>
      </c>
      <c r="F28" s="49"/>
      <c r="G28" s="49">
        <v>43891</v>
      </c>
      <c r="K28" s="88"/>
      <c r="L28" s="49"/>
      <c r="M28" s="54"/>
      <c r="N28" s="75"/>
      <c r="P28" s="86" t="s">
        <v>88</v>
      </c>
      <c r="Q28" s="86">
        <f>2/8*100</f>
        <v>25</v>
      </c>
    </row>
    <row r="29" spans="1:17" x14ac:dyDescent="0.25">
      <c r="A29" s="49"/>
      <c r="B29" s="49"/>
      <c r="C29" s="49"/>
      <c r="D29" s="49"/>
      <c r="E29" s="49"/>
      <c r="F29" s="49"/>
      <c r="G29" s="49"/>
      <c r="K29" s="49"/>
      <c r="L29" s="49"/>
      <c r="M29" s="54"/>
      <c r="N29" s="75"/>
      <c r="P29" s="86" t="s">
        <v>89</v>
      </c>
      <c r="Q29" s="86">
        <f>1/8*100</f>
        <v>12.5</v>
      </c>
    </row>
    <row r="30" spans="1:17" x14ac:dyDescent="0.25">
      <c r="A30" s="49" t="s">
        <v>50</v>
      </c>
      <c r="B30" s="49"/>
      <c r="C30" s="49"/>
      <c r="D30" s="49"/>
      <c r="E30" s="49"/>
      <c r="F30" s="49"/>
      <c r="G30" s="49"/>
      <c r="K30" s="49"/>
      <c r="L30" s="49"/>
      <c r="M30" s="54"/>
      <c r="N30" s="75"/>
      <c r="P30" s="89" t="s">
        <v>90</v>
      </c>
      <c r="Q30" s="86">
        <f>1/8*100</f>
        <v>12.5</v>
      </c>
    </row>
    <row r="31" spans="1:17" x14ac:dyDescent="0.25">
      <c r="A31" s="49" t="s">
        <v>91</v>
      </c>
      <c r="B31" s="49"/>
      <c r="C31" s="49"/>
      <c r="D31" s="49" t="s">
        <v>52</v>
      </c>
      <c r="E31" s="51">
        <v>59</v>
      </c>
      <c r="F31" s="49"/>
      <c r="G31" s="51">
        <v>1732</v>
      </c>
      <c r="K31" s="49"/>
      <c r="L31" s="49"/>
      <c r="M31" s="54"/>
      <c r="N31" s="75"/>
      <c r="P31" s="86" t="s">
        <v>92</v>
      </c>
      <c r="Q31" s="86">
        <f>1/8*100</f>
        <v>12.5</v>
      </c>
    </row>
    <row r="32" spans="1:17" x14ac:dyDescent="0.25">
      <c r="A32" s="49" t="s">
        <v>53</v>
      </c>
      <c r="B32" s="49"/>
      <c r="C32" s="49"/>
      <c r="D32" s="49" t="s">
        <v>52</v>
      </c>
      <c r="E32" s="51">
        <v>63</v>
      </c>
      <c r="F32" s="49"/>
      <c r="G32" s="49"/>
      <c r="H32" s="49"/>
      <c r="I32" s="49"/>
      <c r="J32" s="49"/>
      <c r="K32" s="49"/>
      <c r="L32" s="49"/>
      <c r="M32" s="54"/>
      <c r="N32" s="75"/>
    </row>
    <row r="33" spans="1:14" x14ac:dyDescent="0.25">
      <c r="A33" s="49" t="s">
        <v>7</v>
      </c>
      <c r="B33" s="49"/>
      <c r="C33" s="49"/>
      <c r="D33" s="49" t="s">
        <v>52</v>
      </c>
      <c r="E33" s="51">
        <v>122</v>
      </c>
      <c r="F33" s="49"/>
      <c r="G33" s="49"/>
      <c r="H33" s="49"/>
      <c r="I33" s="49"/>
      <c r="J33" s="49"/>
      <c r="K33" s="49"/>
      <c r="L33" s="49"/>
      <c r="M33" s="54"/>
      <c r="N33" s="75"/>
    </row>
    <row r="34" spans="1:14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54"/>
      <c r="N34" s="75"/>
    </row>
    <row r="35" spans="1:14" x14ac:dyDescent="0.25">
      <c r="A35" s="37" t="s">
        <v>93</v>
      </c>
      <c r="B35" s="37"/>
      <c r="C35" s="37" t="s">
        <v>94</v>
      </c>
      <c r="D35" s="37"/>
      <c r="E35" s="37"/>
      <c r="F35" s="37"/>
      <c r="G35" s="37"/>
      <c r="H35" s="37"/>
      <c r="I35" s="37"/>
      <c r="J35" s="37"/>
      <c r="K35" s="49"/>
      <c r="L35" s="49"/>
      <c r="M35" s="54"/>
      <c r="N35" s="75"/>
    </row>
    <row r="36" spans="1:14" x14ac:dyDescent="0.25">
      <c r="A36" s="90" t="s">
        <v>95</v>
      </c>
      <c r="B36" s="91"/>
      <c r="C36" s="92">
        <v>87.5</v>
      </c>
      <c r="D36" s="90" t="s">
        <v>96</v>
      </c>
      <c r="E36" s="42">
        <v>1127</v>
      </c>
      <c r="F36" s="42"/>
      <c r="G36" s="93">
        <v>10</v>
      </c>
      <c r="H36" s="49"/>
      <c r="I36" s="49"/>
      <c r="J36" s="49"/>
      <c r="K36" s="49"/>
      <c r="L36" s="49"/>
      <c r="M36" s="54"/>
      <c r="N36" s="75"/>
    </row>
    <row r="37" spans="1:14" x14ac:dyDescent="0.25">
      <c r="A37" s="94" t="s">
        <v>97</v>
      </c>
      <c r="B37" s="91"/>
      <c r="C37" s="92">
        <v>100</v>
      </c>
      <c r="D37" s="90" t="s">
        <v>49</v>
      </c>
      <c r="E37" s="42">
        <v>241</v>
      </c>
      <c r="F37" s="42"/>
      <c r="G37" s="42">
        <v>113</v>
      </c>
      <c r="H37" s="49"/>
      <c r="I37" s="49"/>
      <c r="J37" s="49"/>
      <c r="K37" s="49"/>
      <c r="L37" s="49"/>
      <c r="M37" s="54"/>
      <c r="N37" s="75"/>
    </row>
    <row r="38" spans="1:14" x14ac:dyDescent="0.25">
      <c r="A38" s="94" t="s">
        <v>98</v>
      </c>
      <c r="B38" s="91"/>
      <c r="C38" s="95" t="s">
        <v>99</v>
      </c>
      <c r="D38" s="90" t="s">
        <v>49</v>
      </c>
      <c r="E38" s="96" t="s">
        <v>100</v>
      </c>
      <c r="F38" s="42"/>
      <c r="G38" s="96" t="s">
        <v>101</v>
      </c>
      <c r="H38" s="49"/>
      <c r="I38" s="49"/>
      <c r="J38" s="49"/>
      <c r="K38" s="49"/>
      <c r="L38" s="49"/>
      <c r="M38" s="54"/>
      <c r="N38" s="75"/>
    </row>
    <row r="39" spans="1:14" x14ac:dyDescent="0.25">
      <c r="A39" s="71" t="s">
        <v>54</v>
      </c>
      <c r="B39" s="71"/>
      <c r="C39" s="71"/>
      <c r="D39" s="71"/>
      <c r="E39" s="37"/>
      <c r="F39" s="97" t="s">
        <v>102</v>
      </c>
      <c r="G39" s="97" t="s">
        <v>103</v>
      </c>
      <c r="H39" s="49"/>
      <c r="I39" s="49"/>
      <c r="K39" s="49"/>
      <c r="L39" s="49"/>
      <c r="M39" s="54"/>
      <c r="N39" s="75"/>
    </row>
    <row r="40" spans="1:14" x14ac:dyDescent="0.25">
      <c r="A40" s="90" t="s">
        <v>56</v>
      </c>
      <c r="B40" s="90"/>
      <c r="C40" s="90"/>
      <c r="D40" s="90"/>
      <c r="E40" s="42"/>
      <c r="F40" s="98">
        <v>2633</v>
      </c>
      <c r="G40" s="88">
        <f>+F40*2.471</f>
        <v>6506.143</v>
      </c>
      <c r="H40" s="49"/>
      <c r="I40" s="49"/>
      <c r="K40" s="49"/>
      <c r="L40" s="49"/>
      <c r="M40" s="54"/>
      <c r="N40" s="75"/>
    </row>
    <row r="41" spans="1:14" x14ac:dyDescent="0.25">
      <c r="A41" s="90" t="s">
        <v>57</v>
      </c>
      <c r="B41" s="90"/>
      <c r="C41" s="90"/>
      <c r="D41" s="90"/>
      <c r="E41" s="42"/>
      <c r="F41" s="99">
        <v>311</v>
      </c>
      <c r="G41" s="88"/>
      <c r="H41" s="49"/>
      <c r="I41" s="49"/>
      <c r="K41" s="49"/>
      <c r="L41" s="49"/>
      <c r="M41" s="54"/>
      <c r="N41" s="75"/>
    </row>
    <row r="42" spans="1:14" x14ac:dyDescent="0.25">
      <c r="A42" s="90" t="s">
        <v>58</v>
      </c>
      <c r="B42" s="90"/>
      <c r="C42" s="90"/>
      <c r="D42" s="90"/>
      <c r="E42" s="42"/>
      <c r="F42" s="99">
        <f>SUM(F40*F41)</f>
        <v>818863</v>
      </c>
      <c r="G42" s="88">
        <f t="shared" ref="G42:G44" si="3">+F42*2.471</f>
        <v>2023410.473</v>
      </c>
      <c r="H42" s="49"/>
      <c r="I42" s="49"/>
      <c r="K42" s="49"/>
      <c r="L42" s="49"/>
      <c r="M42" s="54"/>
      <c r="N42" s="75"/>
    </row>
    <row r="43" spans="1:14" x14ac:dyDescent="0.25">
      <c r="A43" s="90" t="s">
        <v>59</v>
      </c>
      <c r="B43" s="90"/>
      <c r="C43" s="90"/>
      <c r="D43" s="90"/>
      <c r="E43" s="42"/>
      <c r="F43" s="99">
        <f>SUM(F42-K21)</f>
        <v>488328</v>
      </c>
      <c r="G43" s="88">
        <f t="shared" si="3"/>
        <v>1206658.4880000001</v>
      </c>
      <c r="H43" s="49"/>
      <c r="I43" s="49"/>
      <c r="K43" s="49"/>
      <c r="L43" s="49"/>
      <c r="M43" s="54"/>
      <c r="N43" s="75"/>
    </row>
    <row r="44" spans="1:14" x14ac:dyDescent="0.25">
      <c r="A44" s="90" t="s">
        <v>60</v>
      </c>
      <c r="B44" s="90"/>
      <c r="C44" s="90"/>
      <c r="D44" s="90"/>
      <c r="E44" s="42"/>
      <c r="F44" s="99">
        <f>SUM(F42-K22)</f>
        <v>606441</v>
      </c>
      <c r="G44" s="88">
        <f t="shared" si="3"/>
        <v>1498515.7110000001</v>
      </c>
      <c r="H44" s="49"/>
      <c r="I44" s="49"/>
      <c r="K44" s="49"/>
      <c r="L44" s="49"/>
      <c r="M44" s="54"/>
      <c r="N44" s="75"/>
    </row>
    <row r="45" spans="1:14" x14ac:dyDescent="0.25">
      <c r="A45" s="90" t="s">
        <v>104</v>
      </c>
      <c r="B45" s="90"/>
      <c r="C45" s="90"/>
      <c r="D45" s="90"/>
      <c r="E45" s="42"/>
      <c r="F45" s="99">
        <f>SUM(K21/F40)</f>
        <v>125.53551082415495</v>
      </c>
      <c r="G45" s="49"/>
      <c r="H45" s="49"/>
      <c r="I45" s="49"/>
      <c r="K45" s="49"/>
      <c r="L45" s="49"/>
      <c r="M45" s="54"/>
      <c r="N45" s="75"/>
    </row>
    <row r="46" spans="1:14" x14ac:dyDescent="0.25">
      <c r="A46" s="77" t="s">
        <v>105</v>
      </c>
      <c r="B46" s="77"/>
      <c r="C46" s="77"/>
      <c r="D46" s="77"/>
      <c r="E46" s="46"/>
      <c r="F46" s="100">
        <f>SUM(K22/F40)</f>
        <v>80.676794530953288</v>
      </c>
      <c r="G46" s="46"/>
      <c r="H46" s="49"/>
      <c r="I46" s="49"/>
      <c r="K46" s="49"/>
      <c r="L46" s="49"/>
      <c r="M46" s="54"/>
      <c r="N46" s="75"/>
    </row>
    <row r="47" spans="1:14" x14ac:dyDescent="0.25">
      <c r="A47" s="87"/>
      <c r="B47" s="87"/>
      <c r="C47" s="87"/>
      <c r="D47" s="87"/>
      <c r="E47" s="49"/>
      <c r="F47" s="49"/>
      <c r="G47" s="49"/>
      <c r="H47" s="49"/>
      <c r="I47" s="49"/>
      <c r="J47" s="49"/>
      <c r="K47" s="49"/>
      <c r="L47" s="49"/>
      <c r="M47" s="54"/>
    </row>
    <row r="48" spans="1:14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spans="1:13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>
        <f>20000/550</f>
        <v>36.363636363636367</v>
      </c>
      <c r="K49" s="54"/>
      <c r="L49" s="54">
        <v>2200</v>
      </c>
      <c r="M49" s="54"/>
    </row>
    <row r="50" spans="1:13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>
        <f>+L49/2.471</f>
        <v>890.3278025091056</v>
      </c>
      <c r="M50" s="54"/>
    </row>
    <row r="51" spans="1:13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1:13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spans="1:13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spans="1:13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spans="1:13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spans="1:13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spans="1:13" x14ac:dyDescent="0.25">
      <c r="A57" s="54"/>
      <c r="B57" s="54"/>
      <c r="C57" s="54"/>
      <c r="D57" s="54"/>
      <c r="E57" s="54"/>
      <c r="F57" s="54"/>
      <c r="G57" s="54" t="s">
        <v>64</v>
      </c>
      <c r="H57" s="54"/>
      <c r="I57" s="54"/>
      <c r="J57" s="54"/>
      <c r="K57" s="54"/>
      <c r="L57" s="54"/>
      <c r="M57" s="54"/>
    </row>
  </sheetData>
  <mergeCells count="7">
    <mergeCell ref="O15:O16"/>
    <mergeCell ref="E15:E16"/>
    <mergeCell ref="F15:F16"/>
    <mergeCell ref="G15:G16"/>
    <mergeCell ref="H15:H16"/>
    <mergeCell ref="K15:K16"/>
    <mergeCell ref="N15:N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>
      <selection activeCell="I36" sqref="I36"/>
    </sheetView>
  </sheetViews>
  <sheetFormatPr defaultRowHeight="15" x14ac:dyDescent="0.25"/>
  <cols>
    <col min="2" max="2" width="19.85546875" customWidth="1"/>
    <col min="3" max="3" width="12" customWidth="1"/>
    <col min="4" max="4" width="10.28515625" bestFit="1" customWidth="1"/>
    <col min="6" max="6" width="14.42578125" customWidth="1"/>
    <col min="7" max="7" width="11.28515625" bestFit="1" customWidth="1"/>
    <col min="9" max="9" width="10.42578125" customWidth="1"/>
    <col min="10" max="10" width="11.42578125" customWidth="1"/>
    <col min="13" max="13" width="9.5703125" bestFit="1" customWidth="1"/>
    <col min="17" max="17" width="10.5703125" bestFit="1" customWidth="1"/>
    <col min="258" max="258" width="19.85546875" customWidth="1"/>
    <col min="259" max="259" width="12" customWidth="1"/>
    <col min="260" max="260" width="10.28515625" bestFit="1" customWidth="1"/>
    <col min="262" max="262" width="14.42578125" customWidth="1"/>
    <col min="263" max="263" width="11.28515625" bestFit="1" customWidth="1"/>
    <col min="265" max="265" width="10.42578125" customWidth="1"/>
    <col min="266" max="266" width="11.42578125" customWidth="1"/>
    <col min="269" max="269" width="9.5703125" bestFit="1" customWidth="1"/>
    <col min="273" max="273" width="10.5703125" bestFit="1" customWidth="1"/>
    <col min="514" max="514" width="19.85546875" customWidth="1"/>
    <col min="515" max="515" width="12" customWidth="1"/>
    <col min="516" max="516" width="10.28515625" bestFit="1" customWidth="1"/>
    <col min="518" max="518" width="14.42578125" customWidth="1"/>
    <col min="519" max="519" width="11.28515625" bestFit="1" customWidth="1"/>
    <col min="521" max="521" width="10.42578125" customWidth="1"/>
    <col min="522" max="522" width="11.42578125" customWidth="1"/>
    <col min="525" max="525" width="9.5703125" bestFit="1" customWidth="1"/>
    <col min="529" max="529" width="10.5703125" bestFit="1" customWidth="1"/>
    <col min="770" max="770" width="19.85546875" customWidth="1"/>
    <col min="771" max="771" width="12" customWidth="1"/>
    <col min="772" max="772" width="10.28515625" bestFit="1" customWidth="1"/>
    <col min="774" max="774" width="14.42578125" customWidth="1"/>
    <col min="775" max="775" width="11.28515625" bestFit="1" customWidth="1"/>
    <col min="777" max="777" width="10.42578125" customWidth="1"/>
    <col min="778" max="778" width="11.42578125" customWidth="1"/>
    <col min="781" max="781" width="9.5703125" bestFit="1" customWidth="1"/>
    <col min="785" max="785" width="10.5703125" bestFit="1" customWidth="1"/>
    <col min="1026" max="1026" width="19.85546875" customWidth="1"/>
    <col min="1027" max="1027" width="12" customWidth="1"/>
    <col min="1028" max="1028" width="10.28515625" bestFit="1" customWidth="1"/>
    <col min="1030" max="1030" width="14.42578125" customWidth="1"/>
    <col min="1031" max="1031" width="11.28515625" bestFit="1" customWidth="1"/>
    <col min="1033" max="1033" width="10.42578125" customWidth="1"/>
    <col min="1034" max="1034" width="11.42578125" customWidth="1"/>
    <col min="1037" max="1037" width="9.5703125" bestFit="1" customWidth="1"/>
    <col min="1041" max="1041" width="10.5703125" bestFit="1" customWidth="1"/>
    <col min="1282" max="1282" width="19.85546875" customWidth="1"/>
    <col min="1283" max="1283" width="12" customWidth="1"/>
    <col min="1284" max="1284" width="10.28515625" bestFit="1" customWidth="1"/>
    <col min="1286" max="1286" width="14.42578125" customWidth="1"/>
    <col min="1287" max="1287" width="11.28515625" bestFit="1" customWidth="1"/>
    <col min="1289" max="1289" width="10.42578125" customWidth="1"/>
    <col min="1290" max="1290" width="11.42578125" customWidth="1"/>
    <col min="1293" max="1293" width="9.5703125" bestFit="1" customWidth="1"/>
    <col min="1297" max="1297" width="10.5703125" bestFit="1" customWidth="1"/>
    <col min="1538" max="1538" width="19.85546875" customWidth="1"/>
    <col min="1539" max="1539" width="12" customWidth="1"/>
    <col min="1540" max="1540" width="10.28515625" bestFit="1" customWidth="1"/>
    <col min="1542" max="1542" width="14.42578125" customWidth="1"/>
    <col min="1543" max="1543" width="11.28515625" bestFit="1" customWidth="1"/>
    <col min="1545" max="1545" width="10.42578125" customWidth="1"/>
    <col min="1546" max="1546" width="11.42578125" customWidth="1"/>
    <col min="1549" max="1549" width="9.5703125" bestFit="1" customWidth="1"/>
    <col min="1553" max="1553" width="10.5703125" bestFit="1" customWidth="1"/>
    <col min="1794" max="1794" width="19.85546875" customWidth="1"/>
    <col min="1795" max="1795" width="12" customWidth="1"/>
    <col min="1796" max="1796" width="10.28515625" bestFit="1" customWidth="1"/>
    <col min="1798" max="1798" width="14.42578125" customWidth="1"/>
    <col min="1799" max="1799" width="11.28515625" bestFit="1" customWidth="1"/>
    <col min="1801" max="1801" width="10.42578125" customWidth="1"/>
    <col min="1802" max="1802" width="11.42578125" customWidth="1"/>
    <col min="1805" max="1805" width="9.5703125" bestFit="1" customWidth="1"/>
    <col min="1809" max="1809" width="10.5703125" bestFit="1" customWidth="1"/>
    <col min="2050" max="2050" width="19.85546875" customWidth="1"/>
    <col min="2051" max="2051" width="12" customWidth="1"/>
    <col min="2052" max="2052" width="10.28515625" bestFit="1" customWidth="1"/>
    <col min="2054" max="2054" width="14.42578125" customWidth="1"/>
    <col min="2055" max="2055" width="11.28515625" bestFit="1" customWidth="1"/>
    <col min="2057" max="2057" width="10.42578125" customWidth="1"/>
    <col min="2058" max="2058" width="11.42578125" customWidth="1"/>
    <col min="2061" max="2061" width="9.5703125" bestFit="1" customWidth="1"/>
    <col min="2065" max="2065" width="10.5703125" bestFit="1" customWidth="1"/>
    <col min="2306" max="2306" width="19.85546875" customWidth="1"/>
    <col min="2307" max="2307" width="12" customWidth="1"/>
    <col min="2308" max="2308" width="10.28515625" bestFit="1" customWidth="1"/>
    <col min="2310" max="2310" width="14.42578125" customWidth="1"/>
    <col min="2311" max="2311" width="11.28515625" bestFit="1" customWidth="1"/>
    <col min="2313" max="2313" width="10.42578125" customWidth="1"/>
    <col min="2314" max="2314" width="11.42578125" customWidth="1"/>
    <col min="2317" max="2317" width="9.5703125" bestFit="1" customWidth="1"/>
    <col min="2321" max="2321" width="10.5703125" bestFit="1" customWidth="1"/>
    <col min="2562" max="2562" width="19.85546875" customWidth="1"/>
    <col min="2563" max="2563" width="12" customWidth="1"/>
    <col min="2564" max="2564" width="10.28515625" bestFit="1" customWidth="1"/>
    <col min="2566" max="2566" width="14.42578125" customWidth="1"/>
    <col min="2567" max="2567" width="11.28515625" bestFit="1" customWidth="1"/>
    <col min="2569" max="2569" width="10.42578125" customWidth="1"/>
    <col min="2570" max="2570" width="11.42578125" customWidth="1"/>
    <col min="2573" max="2573" width="9.5703125" bestFit="1" customWidth="1"/>
    <col min="2577" max="2577" width="10.5703125" bestFit="1" customWidth="1"/>
    <col min="2818" max="2818" width="19.85546875" customWidth="1"/>
    <col min="2819" max="2819" width="12" customWidth="1"/>
    <col min="2820" max="2820" width="10.28515625" bestFit="1" customWidth="1"/>
    <col min="2822" max="2822" width="14.42578125" customWidth="1"/>
    <col min="2823" max="2823" width="11.28515625" bestFit="1" customWidth="1"/>
    <col min="2825" max="2825" width="10.42578125" customWidth="1"/>
    <col min="2826" max="2826" width="11.42578125" customWidth="1"/>
    <col min="2829" max="2829" width="9.5703125" bestFit="1" customWidth="1"/>
    <col min="2833" max="2833" width="10.5703125" bestFit="1" customWidth="1"/>
    <col min="3074" max="3074" width="19.85546875" customWidth="1"/>
    <col min="3075" max="3075" width="12" customWidth="1"/>
    <col min="3076" max="3076" width="10.28515625" bestFit="1" customWidth="1"/>
    <col min="3078" max="3078" width="14.42578125" customWidth="1"/>
    <col min="3079" max="3079" width="11.28515625" bestFit="1" customWidth="1"/>
    <col min="3081" max="3081" width="10.42578125" customWidth="1"/>
    <col min="3082" max="3082" width="11.42578125" customWidth="1"/>
    <col min="3085" max="3085" width="9.5703125" bestFit="1" customWidth="1"/>
    <col min="3089" max="3089" width="10.5703125" bestFit="1" customWidth="1"/>
    <col min="3330" max="3330" width="19.85546875" customWidth="1"/>
    <col min="3331" max="3331" width="12" customWidth="1"/>
    <col min="3332" max="3332" width="10.28515625" bestFit="1" customWidth="1"/>
    <col min="3334" max="3334" width="14.42578125" customWidth="1"/>
    <col min="3335" max="3335" width="11.28515625" bestFit="1" customWidth="1"/>
    <col min="3337" max="3337" width="10.42578125" customWidth="1"/>
    <col min="3338" max="3338" width="11.42578125" customWidth="1"/>
    <col min="3341" max="3341" width="9.5703125" bestFit="1" customWidth="1"/>
    <col min="3345" max="3345" width="10.5703125" bestFit="1" customWidth="1"/>
    <col min="3586" max="3586" width="19.85546875" customWidth="1"/>
    <col min="3587" max="3587" width="12" customWidth="1"/>
    <col min="3588" max="3588" width="10.28515625" bestFit="1" customWidth="1"/>
    <col min="3590" max="3590" width="14.42578125" customWidth="1"/>
    <col min="3591" max="3591" width="11.28515625" bestFit="1" customWidth="1"/>
    <col min="3593" max="3593" width="10.42578125" customWidth="1"/>
    <col min="3594" max="3594" width="11.42578125" customWidth="1"/>
    <col min="3597" max="3597" width="9.5703125" bestFit="1" customWidth="1"/>
    <col min="3601" max="3601" width="10.5703125" bestFit="1" customWidth="1"/>
    <col min="3842" max="3842" width="19.85546875" customWidth="1"/>
    <col min="3843" max="3843" width="12" customWidth="1"/>
    <col min="3844" max="3844" width="10.28515625" bestFit="1" customWidth="1"/>
    <col min="3846" max="3846" width="14.42578125" customWidth="1"/>
    <col min="3847" max="3847" width="11.28515625" bestFit="1" customWidth="1"/>
    <col min="3849" max="3849" width="10.42578125" customWidth="1"/>
    <col min="3850" max="3850" width="11.42578125" customWidth="1"/>
    <col min="3853" max="3853" width="9.5703125" bestFit="1" customWidth="1"/>
    <col min="3857" max="3857" width="10.5703125" bestFit="1" customWidth="1"/>
    <col min="4098" max="4098" width="19.85546875" customWidth="1"/>
    <col min="4099" max="4099" width="12" customWidth="1"/>
    <col min="4100" max="4100" width="10.28515625" bestFit="1" customWidth="1"/>
    <col min="4102" max="4102" width="14.42578125" customWidth="1"/>
    <col min="4103" max="4103" width="11.28515625" bestFit="1" customWidth="1"/>
    <col min="4105" max="4105" width="10.42578125" customWidth="1"/>
    <col min="4106" max="4106" width="11.42578125" customWidth="1"/>
    <col min="4109" max="4109" width="9.5703125" bestFit="1" customWidth="1"/>
    <col min="4113" max="4113" width="10.5703125" bestFit="1" customWidth="1"/>
    <col min="4354" max="4354" width="19.85546875" customWidth="1"/>
    <col min="4355" max="4355" width="12" customWidth="1"/>
    <col min="4356" max="4356" width="10.28515625" bestFit="1" customWidth="1"/>
    <col min="4358" max="4358" width="14.42578125" customWidth="1"/>
    <col min="4359" max="4359" width="11.28515625" bestFit="1" customWidth="1"/>
    <col min="4361" max="4361" width="10.42578125" customWidth="1"/>
    <col min="4362" max="4362" width="11.42578125" customWidth="1"/>
    <col min="4365" max="4365" width="9.5703125" bestFit="1" customWidth="1"/>
    <col min="4369" max="4369" width="10.5703125" bestFit="1" customWidth="1"/>
    <col min="4610" max="4610" width="19.85546875" customWidth="1"/>
    <col min="4611" max="4611" width="12" customWidth="1"/>
    <col min="4612" max="4612" width="10.28515625" bestFit="1" customWidth="1"/>
    <col min="4614" max="4614" width="14.42578125" customWidth="1"/>
    <col min="4615" max="4615" width="11.28515625" bestFit="1" customWidth="1"/>
    <col min="4617" max="4617" width="10.42578125" customWidth="1"/>
    <col min="4618" max="4618" width="11.42578125" customWidth="1"/>
    <col min="4621" max="4621" width="9.5703125" bestFit="1" customWidth="1"/>
    <col min="4625" max="4625" width="10.5703125" bestFit="1" customWidth="1"/>
    <col min="4866" max="4866" width="19.85546875" customWidth="1"/>
    <col min="4867" max="4867" width="12" customWidth="1"/>
    <col min="4868" max="4868" width="10.28515625" bestFit="1" customWidth="1"/>
    <col min="4870" max="4870" width="14.42578125" customWidth="1"/>
    <col min="4871" max="4871" width="11.28515625" bestFit="1" customWidth="1"/>
    <col min="4873" max="4873" width="10.42578125" customWidth="1"/>
    <col min="4874" max="4874" width="11.42578125" customWidth="1"/>
    <col min="4877" max="4877" width="9.5703125" bestFit="1" customWidth="1"/>
    <col min="4881" max="4881" width="10.5703125" bestFit="1" customWidth="1"/>
    <col min="5122" max="5122" width="19.85546875" customWidth="1"/>
    <col min="5123" max="5123" width="12" customWidth="1"/>
    <col min="5124" max="5124" width="10.28515625" bestFit="1" customWidth="1"/>
    <col min="5126" max="5126" width="14.42578125" customWidth="1"/>
    <col min="5127" max="5127" width="11.28515625" bestFit="1" customWidth="1"/>
    <col min="5129" max="5129" width="10.42578125" customWidth="1"/>
    <col min="5130" max="5130" width="11.42578125" customWidth="1"/>
    <col min="5133" max="5133" width="9.5703125" bestFit="1" customWidth="1"/>
    <col min="5137" max="5137" width="10.5703125" bestFit="1" customWidth="1"/>
    <col min="5378" max="5378" width="19.85546875" customWidth="1"/>
    <col min="5379" max="5379" width="12" customWidth="1"/>
    <col min="5380" max="5380" width="10.28515625" bestFit="1" customWidth="1"/>
    <col min="5382" max="5382" width="14.42578125" customWidth="1"/>
    <col min="5383" max="5383" width="11.28515625" bestFit="1" customWidth="1"/>
    <col min="5385" max="5385" width="10.42578125" customWidth="1"/>
    <col min="5386" max="5386" width="11.42578125" customWidth="1"/>
    <col min="5389" max="5389" width="9.5703125" bestFit="1" customWidth="1"/>
    <col min="5393" max="5393" width="10.5703125" bestFit="1" customWidth="1"/>
    <col min="5634" max="5634" width="19.85546875" customWidth="1"/>
    <col min="5635" max="5635" width="12" customWidth="1"/>
    <col min="5636" max="5636" width="10.28515625" bestFit="1" customWidth="1"/>
    <col min="5638" max="5638" width="14.42578125" customWidth="1"/>
    <col min="5639" max="5639" width="11.28515625" bestFit="1" customWidth="1"/>
    <col min="5641" max="5641" width="10.42578125" customWidth="1"/>
    <col min="5642" max="5642" width="11.42578125" customWidth="1"/>
    <col min="5645" max="5645" width="9.5703125" bestFit="1" customWidth="1"/>
    <col min="5649" max="5649" width="10.5703125" bestFit="1" customWidth="1"/>
    <col min="5890" max="5890" width="19.85546875" customWidth="1"/>
    <col min="5891" max="5891" width="12" customWidth="1"/>
    <col min="5892" max="5892" width="10.28515625" bestFit="1" customWidth="1"/>
    <col min="5894" max="5894" width="14.42578125" customWidth="1"/>
    <col min="5895" max="5895" width="11.28515625" bestFit="1" customWidth="1"/>
    <col min="5897" max="5897" width="10.42578125" customWidth="1"/>
    <col min="5898" max="5898" width="11.42578125" customWidth="1"/>
    <col min="5901" max="5901" width="9.5703125" bestFit="1" customWidth="1"/>
    <col min="5905" max="5905" width="10.5703125" bestFit="1" customWidth="1"/>
    <col min="6146" max="6146" width="19.85546875" customWidth="1"/>
    <col min="6147" max="6147" width="12" customWidth="1"/>
    <col min="6148" max="6148" width="10.28515625" bestFit="1" customWidth="1"/>
    <col min="6150" max="6150" width="14.42578125" customWidth="1"/>
    <col min="6151" max="6151" width="11.28515625" bestFit="1" customWidth="1"/>
    <col min="6153" max="6153" width="10.42578125" customWidth="1"/>
    <col min="6154" max="6154" width="11.42578125" customWidth="1"/>
    <col min="6157" max="6157" width="9.5703125" bestFit="1" customWidth="1"/>
    <col min="6161" max="6161" width="10.5703125" bestFit="1" customWidth="1"/>
    <col min="6402" max="6402" width="19.85546875" customWidth="1"/>
    <col min="6403" max="6403" width="12" customWidth="1"/>
    <col min="6404" max="6404" width="10.28515625" bestFit="1" customWidth="1"/>
    <col min="6406" max="6406" width="14.42578125" customWidth="1"/>
    <col min="6407" max="6407" width="11.28515625" bestFit="1" customWidth="1"/>
    <col min="6409" max="6409" width="10.42578125" customWidth="1"/>
    <col min="6410" max="6410" width="11.42578125" customWidth="1"/>
    <col min="6413" max="6413" width="9.5703125" bestFit="1" customWidth="1"/>
    <col min="6417" max="6417" width="10.5703125" bestFit="1" customWidth="1"/>
    <col min="6658" max="6658" width="19.85546875" customWidth="1"/>
    <col min="6659" max="6659" width="12" customWidth="1"/>
    <col min="6660" max="6660" width="10.28515625" bestFit="1" customWidth="1"/>
    <col min="6662" max="6662" width="14.42578125" customWidth="1"/>
    <col min="6663" max="6663" width="11.28515625" bestFit="1" customWidth="1"/>
    <col min="6665" max="6665" width="10.42578125" customWidth="1"/>
    <col min="6666" max="6666" width="11.42578125" customWidth="1"/>
    <col min="6669" max="6669" width="9.5703125" bestFit="1" customWidth="1"/>
    <col min="6673" max="6673" width="10.5703125" bestFit="1" customWidth="1"/>
    <col min="6914" max="6914" width="19.85546875" customWidth="1"/>
    <col min="6915" max="6915" width="12" customWidth="1"/>
    <col min="6916" max="6916" width="10.28515625" bestFit="1" customWidth="1"/>
    <col min="6918" max="6918" width="14.42578125" customWidth="1"/>
    <col min="6919" max="6919" width="11.28515625" bestFit="1" customWidth="1"/>
    <col min="6921" max="6921" width="10.42578125" customWidth="1"/>
    <col min="6922" max="6922" width="11.42578125" customWidth="1"/>
    <col min="6925" max="6925" width="9.5703125" bestFit="1" customWidth="1"/>
    <col min="6929" max="6929" width="10.5703125" bestFit="1" customWidth="1"/>
    <col min="7170" max="7170" width="19.85546875" customWidth="1"/>
    <col min="7171" max="7171" width="12" customWidth="1"/>
    <col min="7172" max="7172" width="10.28515625" bestFit="1" customWidth="1"/>
    <col min="7174" max="7174" width="14.42578125" customWidth="1"/>
    <col min="7175" max="7175" width="11.28515625" bestFit="1" customWidth="1"/>
    <col min="7177" max="7177" width="10.42578125" customWidth="1"/>
    <col min="7178" max="7178" width="11.42578125" customWidth="1"/>
    <col min="7181" max="7181" width="9.5703125" bestFit="1" customWidth="1"/>
    <col min="7185" max="7185" width="10.5703125" bestFit="1" customWidth="1"/>
    <col min="7426" max="7426" width="19.85546875" customWidth="1"/>
    <col min="7427" max="7427" width="12" customWidth="1"/>
    <col min="7428" max="7428" width="10.28515625" bestFit="1" customWidth="1"/>
    <col min="7430" max="7430" width="14.42578125" customWidth="1"/>
    <col min="7431" max="7431" width="11.28515625" bestFit="1" customWidth="1"/>
    <col min="7433" max="7433" width="10.42578125" customWidth="1"/>
    <col min="7434" max="7434" width="11.42578125" customWidth="1"/>
    <col min="7437" max="7437" width="9.5703125" bestFit="1" customWidth="1"/>
    <col min="7441" max="7441" width="10.5703125" bestFit="1" customWidth="1"/>
    <col min="7682" max="7682" width="19.85546875" customWidth="1"/>
    <col min="7683" max="7683" width="12" customWidth="1"/>
    <col min="7684" max="7684" width="10.28515625" bestFit="1" customWidth="1"/>
    <col min="7686" max="7686" width="14.42578125" customWidth="1"/>
    <col min="7687" max="7687" width="11.28515625" bestFit="1" customWidth="1"/>
    <col min="7689" max="7689" width="10.42578125" customWidth="1"/>
    <col min="7690" max="7690" width="11.42578125" customWidth="1"/>
    <col min="7693" max="7693" width="9.5703125" bestFit="1" customWidth="1"/>
    <col min="7697" max="7697" width="10.5703125" bestFit="1" customWidth="1"/>
    <col min="7938" max="7938" width="19.85546875" customWidth="1"/>
    <col min="7939" max="7939" width="12" customWidth="1"/>
    <col min="7940" max="7940" width="10.28515625" bestFit="1" customWidth="1"/>
    <col min="7942" max="7942" width="14.42578125" customWidth="1"/>
    <col min="7943" max="7943" width="11.28515625" bestFit="1" customWidth="1"/>
    <col min="7945" max="7945" width="10.42578125" customWidth="1"/>
    <col min="7946" max="7946" width="11.42578125" customWidth="1"/>
    <col min="7949" max="7949" width="9.5703125" bestFit="1" customWidth="1"/>
    <col min="7953" max="7953" width="10.5703125" bestFit="1" customWidth="1"/>
    <col min="8194" max="8194" width="19.85546875" customWidth="1"/>
    <col min="8195" max="8195" width="12" customWidth="1"/>
    <col min="8196" max="8196" width="10.28515625" bestFit="1" customWidth="1"/>
    <col min="8198" max="8198" width="14.42578125" customWidth="1"/>
    <col min="8199" max="8199" width="11.28515625" bestFit="1" customWidth="1"/>
    <col min="8201" max="8201" width="10.42578125" customWidth="1"/>
    <col min="8202" max="8202" width="11.42578125" customWidth="1"/>
    <col min="8205" max="8205" width="9.5703125" bestFit="1" customWidth="1"/>
    <col min="8209" max="8209" width="10.5703125" bestFit="1" customWidth="1"/>
    <col min="8450" max="8450" width="19.85546875" customWidth="1"/>
    <col min="8451" max="8451" width="12" customWidth="1"/>
    <col min="8452" max="8452" width="10.28515625" bestFit="1" customWidth="1"/>
    <col min="8454" max="8454" width="14.42578125" customWidth="1"/>
    <col min="8455" max="8455" width="11.28515625" bestFit="1" customWidth="1"/>
    <col min="8457" max="8457" width="10.42578125" customWidth="1"/>
    <col min="8458" max="8458" width="11.42578125" customWidth="1"/>
    <col min="8461" max="8461" width="9.5703125" bestFit="1" customWidth="1"/>
    <col min="8465" max="8465" width="10.5703125" bestFit="1" customWidth="1"/>
    <col min="8706" max="8706" width="19.85546875" customWidth="1"/>
    <col min="8707" max="8707" width="12" customWidth="1"/>
    <col min="8708" max="8708" width="10.28515625" bestFit="1" customWidth="1"/>
    <col min="8710" max="8710" width="14.42578125" customWidth="1"/>
    <col min="8711" max="8711" width="11.28515625" bestFit="1" customWidth="1"/>
    <col min="8713" max="8713" width="10.42578125" customWidth="1"/>
    <col min="8714" max="8714" width="11.42578125" customWidth="1"/>
    <col min="8717" max="8717" width="9.5703125" bestFit="1" customWidth="1"/>
    <col min="8721" max="8721" width="10.5703125" bestFit="1" customWidth="1"/>
    <col min="8962" max="8962" width="19.85546875" customWidth="1"/>
    <col min="8963" max="8963" width="12" customWidth="1"/>
    <col min="8964" max="8964" width="10.28515625" bestFit="1" customWidth="1"/>
    <col min="8966" max="8966" width="14.42578125" customWidth="1"/>
    <col min="8967" max="8967" width="11.28515625" bestFit="1" customWidth="1"/>
    <col min="8969" max="8969" width="10.42578125" customWidth="1"/>
    <col min="8970" max="8970" width="11.42578125" customWidth="1"/>
    <col min="8973" max="8973" width="9.5703125" bestFit="1" customWidth="1"/>
    <col min="8977" max="8977" width="10.5703125" bestFit="1" customWidth="1"/>
    <col min="9218" max="9218" width="19.85546875" customWidth="1"/>
    <col min="9219" max="9219" width="12" customWidth="1"/>
    <col min="9220" max="9220" width="10.28515625" bestFit="1" customWidth="1"/>
    <col min="9222" max="9222" width="14.42578125" customWidth="1"/>
    <col min="9223" max="9223" width="11.28515625" bestFit="1" customWidth="1"/>
    <col min="9225" max="9225" width="10.42578125" customWidth="1"/>
    <col min="9226" max="9226" width="11.42578125" customWidth="1"/>
    <col min="9229" max="9229" width="9.5703125" bestFit="1" customWidth="1"/>
    <col min="9233" max="9233" width="10.5703125" bestFit="1" customWidth="1"/>
    <col min="9474" max="9474" width="19.85546875" customWidth="1"/>
    <col min="9475" max="9475" width="12" customWidth="1"/>
    <col min="9476" max="9476" width="10.28515625" bestFit="1" customWidth="1"/>
    <col min="9478" max="9478" width="14.42578125" customWidth="1"/>
    <col min="9479" max="9479" width="11.28515625" bestFit="1" customWidth="1"/>
    <col min="9481" max="9481" width="10.42578125" customWidth="1"/>
    <col min="9482" max="9482" width="11.42578125" customWidth="1"/>
    <col min="9485" max="9485" width="9.5703125" bestFit="1" customWidth="1"/>
    <col min="9489" max="9489" width="10.5703125" bestFit="1" customWidth="1"/>
    <col min="9730" max="9730" width="19.85546875" customWidth="1"/>
    <col min="9731" max="9731" width="12" customWidth="1"/>
    <col min="9732" max="9732" width="10.28515625" bestFit="1" customWidth="1"/>
    <col min="9734" max="9734" width="14.42578125" customWidth="1"/>
    <col min="9735" max="9735" width="11.28515625" bestFit="1" customWidth="1"/>
    <col min="9737" max="9737" width="10.42578125" customWidth="1"/>
    <col min="9738" max="9738" width="11.42578125" customWidth="1"/>
    <col min="9741" max="9741" width="9.5703125" bestFit="1" customWidth="1"/>
    <col min="9745" max="9745" width="10.5703125" bestFit="1" customWidth="1"/>
    <col min="9986" max="9986" width="19.85546875" customWidth="1"/>
    <col min="9987" max="9987" width="12" customWidth="1"/>
    <col min="9988" max="9988" width="10.28515625" bestFit="1" customWidth="1"/>
    <col min="9990" max="9990" width="14.42578125" customWidth="1"/>
    <col min="9991" max="9991" width="11.28515625" bestFit="1" customWidth="1"/>
    <col min="9993" max="9993" width="10.42578125" customWidth="1"/>
    <col min="9994" max="9994" width="11.42578125" customWidth="1"/>
    <col min="9997" max="9997" width="9.5703125" bestFit="1" customWidth="1"/>
    <col min="10001" max="10001" width="10.5703125" bestFit="1" customWidth="1"/>
    <col min="10242" max="10242" width="19.85546875" customWidth="1"/>
    <col min="10243" max="10243" width="12" customWidth="1"/>
    <col min="10244" max="10244" width="10.28515625" bestFit="1" customWidth="1"/>
    <col min="10246" max="10246" width="14.42578125" customWidth="1"/>
    <col min="10247" max="10247" width="11.28515625" bestFit="1" customWidth="1"/>
    <col min="10249" max="10249" width="10.42578125" customWidth="1"/>
    <col min="10250" max="10250" width="11.42578125" customWidth="1"/>
    <col min="10253" max="10253" width="9.5703125" bestFit="1" customWidth="1"/>
    <col min="10257" max="10257" width="10.5703125" bestFit="1" customWidth="1"/>
    <col min="10498" max="10498" width="19.85546875" customWidth="1"/>
    <col min="10499" max="10499" width="12" customWidth="1"/>
    <col min="10500" max="10500" width="10.28515625" bestFit="1" customWidth="1"/>
    <col min="10502" max="10502" width="14.42578125" customWidth="1"/>
    <col min="10503" max="10503" width="11.28515625" bestFit="1" customWidth="1"/>
    <col min="10505" max="10505" width="10.42578125" customWidth="1"/>
    <col min="10506" max="10506" width="11.42578125" customWidth="1"/>
    <col min="10509" max="10509" width="9.5703125" bestFit="1" customWidth="1"/>
    <col min="10513" max="10513" width="10.5703125" bestFit="1" customWidth="1"/>
    <col min="10754" max="10754" width="19.85546875" customWidth="1"/>
    <col min="10755" max="10755" width="12" customWidth="1"/>
    <col min="10756" max="10756" width="10.28515625" bestFit="1" customWidth="1"/>
    <col min="10758" max="10758" width="14.42578125" customWidth="1"/>
    <col min="10759" max="10759" width="11.28515625" bestFit="1" customWidth="1"/>
    <col min="10761" max="10761" width="10.42578125" customWidth="1"/>
    <col min="10762" max="10762" width="11.42578125" customWidth="1"/>
    <col min="10765" max="10765" width="9.5703125" bestFit="1" customWidth="1"/>
    <col min="10769" max="10769" width="10.5703125" bestFit="1" customWidth="1"/>
    <col min="11010" max="11010" width="19.85546875" customWidth="1"/>
    <col min="11011" max="11011" width="12" customWidth="1"/>
    <col min="11012" max="11012" width="10.28515625" bestFit="1" customWidth="1"/>
    <col min="11014" max="11014" width="14.42578125" customWidth="1"/>
    <col min="11015" max="11015" width="11.28515625" bestFit="1" customWidth="1"/>
    <col min="11017" max="11017" width="10.42578125" customWidth="1"/>
    <col min="11018" max="11018" width="11.42578125" customWidth="1"/>
    <col min="11021" max="11021" width="9.5703125" bestFit="1" customWidth="1"/>
    <col min="11025" max="11025" width="10.5703125" bestFit="1" customWidth="1"/>
    <col min="11266" max="11266" width="19.85546875" customWidth="1"/>
    <col min="11267" max="11267" width="12" customWidth="1"/>
    <col min="11268" max="11268" width="10.28515625" bestFit="1" customWidth="1"/>
    <col min="11270" max="11270" width="14.42578125" customWidth="1"/>
    <col min="11271" max="11271" width="11.28515625" bestFit="1" customWidth="1"/>
    <col min="11273" max="11273" width="10.42578125" customWidth="1"/>
    <col min="11274" max="11274" width="11.42578125" customWidth="1"/>
    <col min="11277" max="11277" width="9.5703125" bestFit="1" customWidth="1"/>
    <col min="11281" max="11281" width="10.5703125" bestFit="1" customWidth="1"/>
    <col min="11522" max="11522" width="19.85546875" customWidth="1"/>
    <col min="11523" max="11523" width="12" customWidth="1"/>
    <col min="11524" max="11524" width="10.28515625" bestFit="1" customWidth="1"/>
    <col min="11526" max="11526" width="14.42578125" customWidth="1"/>
    <col min="11527" max="11527" width="11.28515625" bestFit="1" customWidth="1"/>
    <col min="11529" max="11529" width="10.42578125" customWidth="1"/>
    <col min="11530" max="11530" width="11.42578125" customWidth="1"/>
    <col min="11533" max="11533" width="9.5703125" bestFit="1" customWidth="1"/>
    <col min="11537" max="11537" width="10.5703125" bestFit="1" customWidth="1"/>
    <col min="11778" max="11778" width="19.85546875" customWidth="1"/>
    <col min="11779" max="11779" width="12" customWidth="1"/>
    <col min="11780" max="11780" width="10.28515625" bestFit="1" customWidth="1"/>
    <col min="11782" max="11782" width="14.42578125" customWidth="1"/>
    <col min="11783" max="11783" width="11.28515625" bestFit="1" customWidth="1"/>
    <col min="11785" max="11785" width="10.42578125" customWidth="1"/>
    <col min="11786" max="11786" width="11.42578125" customWidth="1"/>
    <col min="11789" max="11789" width="9.5703125" bestFit="1" customWidth="1"/>
    <col min="11793" max="11793" width="10.5703125" bestFit="1" customWidth="1"/>
    <col min="12034" max="12034" width="19.85546875" customWidth="1"/>
    <col min="12035" max="12035" width="12" customWidth="1"/>
    <col min="12036" max="12036" width="10.28515625" bestFit="1" customWidth="1"/>
    <col min="12038" max="12038" width="14.42578125" customWidth="1"/>
    <col min="12039" max="12039" width="11.28515625" bestFit="1" customWidth="1"/>
    <col min="12041" max="12041" width="10.42578125" customWidth="1"/>
    <col min="12042" max="12042" width="11.42578125" customWidth="1"/>
    <col min="12045" max="12045" width="9.5703125" bestFit="1" customWidth="1"/>
    <col min="12049" max="12049" width="10.5703125" bestFit="1" customWidth="1"/>
    <col min="12290" max="12290" width="19.85546875" customWidth="1"/>
    <col min="12291" max="12291" width="12" customWidth="1"/>
    <col min="12292" max="12292" width="10.28515625" bestFit="1" customWidth="1"/>
    <col min="12294" max="12294" width="14.42578125" customWidth="1"/>
    <col min="12295" max="12295" width="11.28515625" bestFit="1" customWidth="1"/>
    <col min="12297" max="12297" width="10.42578125" customWidth="1"/>
    <col min="12298" max="12298" width="11.42578125" customWidth="1"/>
    <col min="12301" max="12301" width="9.5703125" bestFit="1" customWidth="1"/>
    <col min="12305" max="12305" width="10.5703125" bestFit="1" customWidth="1"/>
    <col min="12546" max="12546" width="19.85546875" customWidth="1"/>
    <col min="12547" max="12547" width="12" customWidth="1"/>
    <col min="12548" max="12548" width="10.28515625" bestFit="1" customWidth="1"/>
    <col min="12550" max="12550" width="14.42578125" customWidth="1"/>
    <col min="12551" max="12551" width="11.28515625" bestFit="1" customWidth="1"/>
    <col min="12553" max="12553" width="10.42578125" customWidth="1"/>
    <col min="12554" max="12554" width="11.42578125" customWidth="1"/>
    <col min="12557" max="12557" width="9.5703125" bestFit="1" customWidth="1"/>
    <col min="12561" max="12561" width="10.5703125" bestFit="1" customWidth="1"/>
    <col min="12802" max="12802" width="19.85546875" customWidth="1"/>
    <col min="12803" max="12803" width="12" customWidth="1"/>
    <col min="12804" max="12804" width="10.28515625" bestFit="1" customWidth="1"/>
    <col min="12806" max="12806" width="14.42578125" customWidth="1"/>
    <col min="12807" max="12807" width="11.28515625" bestFit="1" customWidth="1"/>
    <col min="12809" max="12809" width="10.42578125" customWidth="1"/>
    <col min="12810" max="12810" width="11.42578125" customWidth="1"/>
    <col min="12813" max="12813" width="9.5703125" bestFit="1" customWidth="1"/>
    <col min="12817" max="12817" width="10.5703125" bestFit="1" customWidth="1"/>
    <col min="13058" max="13058" width="19.85546875" customWidth="1"/>
    <col min="13059" max="13059" width="12" customWidth="1"/>
    <col min="13060" max="13060" width="10.28515625" bestFit="1" customWidth="1"/>
    <col min="13062" max="13062" width="14.42578125" customWidth="1"/>
    <col min="13063" max="13063" width="11.28515625" bestFit="1" customWidth="1"/>
    <col min="13065" max="13065" width="10.42578125" customWidth="1"/>
    <col min="13066" max="13066" width="11.42578125" customWidth="1"/>
    <col min="13069" max="13069" width="9.5703125" bestFit="1" customWidth="1"/>
    <col min="13073" max="13073" width="10.5703125" bestFit="1" customWidth="1"/>
    <col min="13314" max="13314" width="19.85546875" customWidth="1"/>
    <col min="13315" max="13315" width="12" customWidth="1"/>
    <col min="13316" max="13316" width="10.28515625" bestFit="1" customWidth="1"/>
    <col min="13318" max="13318" width="14.42578125" customWidth="1"/>
    <col min="13319" max="13319" width="11.28515625" bestFit="1" customWidth="1"/>
    <col min="13321" max="13321" width="10.42578125" customWidth="1"/>
    <col min="13322" max="13322" width="11.42578125" customWidth="1"/>
    <col min="13325" max="13325" width="9.5703125" bestFit="1" customWidth="1"/>
    <col min="13329" max="13329" width="10.5703125" bestFit="1" customWidth="1"/>
    <col min="13570" max="13570" width="19.85546875" customWidth="1"/>
    <col min="13571" max="13571" width="12" customWidth="1"/>
    <col min="13572" max="13572" width="10.28515625" bestFit="1" customWidth="1"/>
    <col min="13574" max="13574" width="14.42578125" customWidth="1"/>
    <col min="13575" max="13575" width="11.28515625" bestFit="1" customWidth="1"/>
    <col min="13577" max="13577" width="10.42578125" customWidth="1"/>
    <col min="13578" max="13578" width="11.42578125" customWidth="1"/>
    <col min="13581" max="13581" width="9.5703125" bestFit="1" customWidth="1"/>
    <col min="13585" max="13585" width="10.5703125" bestFit="1" customWidth="1"/>
    <col min="13826" max="13826" width="19.85546875" customWidth="1"/>
    <col min="13827" max="13827" width="12" customWidth="1"/>
    <col min="13828" max="13828" width="10.28515625" bestFit="1" customWidth="1"/>
    <col min="13830" max="13830" width="14.42578125" customWidth="1"/>
    <col min="13831" max="13831" width="11.28515625" bestFit="1" customWidth="1"/>
    <col min="13833" max="13833" width="10.42578125" customWidth="1"/>
    <col min="13834" max="13834" width="11.42578125" customWidth="1"/>
    <col min="13837" max="13837" width="9.5703125" bestFit="1" customWidth="1"/>
    <col min="13841" max="13841" width="10.5703125" bestFit="1" customWidth="1"/>
    <col min="14082" max="14082" width="19.85546875" customWidth="1"/>
    <col min="14083" max="14083" width="12" customWidth="1"/>
    <col min="14084" max="14084" width="10.28515625" bestFit="1" customWidth="1"/>
    <col min="14086" max="14086" width="14.42578125" customWidth="1"/>
    <col min="14087" max="14087" width="11.28515625" bestFit="1" customWidth="1"/>
    <col min="14089" max="14089" width="10.42578125" customWidth="1"/>
    <col min="14090" max="14090" width="11.42578125" customWidth="1"/>
    <col min="14093" max="14093" width="9.5703125" bestFit="1" customWidth="1"/>
    <col min="14097" max="14097" width="10.5703125" bestFit="1" customWidth="1"/>
    <col min="14338" max="14338" width="19.85546875" customWidth="1"/>
    <col min="14339" max="14339" width="12" customWidth="1"/>
    <col min="14340" max="14340" width="10.28515625" bestFit="1" customWidth="1"/>
    <col min="14342" max="14342" width="14.42578125" customWidth="1"/>
    <col min="14343" max="14343" width="11.28515625" bestFit="1" customWidth="1"/>
    <col min="14345" max="14345" width="10.42578125" customWidth="1"/>
    <col min="14346" max="14346" width="11.42578125" customWidth="1"/>
    <col min="14349" max="14349" width="9.5703125" bestFit="1" customWidth="1"/>
    <col min="14353" max="14353" width="10.5703125" bestFit="1" customWidth="1"/>
    <col min="14594" max="14594" width="19.85546875" customWidth="1"/>
    <col min="14595" max="14595" width="12" customWidth="1"/>
    <col min="14596" max="14596" width="10.28515625" bestFit="1" customWidth="1"/>
    <col min="14598" max="14598" width="14.42578125" customWidth="1"/>
    <col min="14599" max="14599" width="11.28515625" bestFit="1" customWidth="1"/>
    <col min="14601" max="14601" width="10.42578125" customWidth="1"/>
    <col min="14602" max="14602" width="11.42578125" customWidth="1"/>
    <col min="14605" max="14605" width="9.5703125" bestFit="1" customWidth="1"/>
    <col min="14609" max="14609" width="10.5703125" bestFit="1" customWidth="1"/>
    <col min="14850" max="14850" width="19.85546875" customWidth="1"/>
    <col min="14851" max="14851" width="12" customWidth="1"/>
    <col min="14852" max="14852" width="10.28515625" bestFit="1" customWidth="1"/>
    <col min="14854" max="14854" width="14.42578125" customWidth="1"/>
    <col min="14855" max="14855" width="11.28515625" bestFit="1" customWidth="1"/>
    <col min="14857" max="14857" width="10.42578125" customWidth="1"/>
    <col min="14858" max="14858" width="11.42578125" customWidth="1"/>
    <col min="14861" max="14861" width="9.5703125" bestFit="1" customWidth="1"/>
    <col min="14865" max="14865" width="10.5703125" bestFit="1" customWidth="1"/>
    <col min="15106" max="15106" width="19.85546875" customWidth="1"/>
    <col min="15107" max="15107" width="12" customWidth="1"/>
    <col min="15108" max="15108" width="10.28515625" bestFit="1" customWidth="1"/>
    <col min="15110" max="15110" width="14.42578125" customWidth="1"/>
    <col min="15111" max="15111" width="11.28515625" bestFit="1" customWidth="1"/>
    <col min="15113" max="15113" width="10.42578125" customWidth="1"/>
    <col min="15114" max="15114" width="11.42578125" customWidth="1"/>
    <col min="15117" max="15117" width="9.5703125" bestFit="1" customWidth="1"/>
    <col min="15121" max="15121" width="10.5703125" bestFit="1" customWidth="1"/>
    <col min="15362" max="15362" width="19.85546875" customWidth="1"/>
    <col min="15363" max="15363" width="12" customWidth="1"/>
    <col min="15364" max="15364" width="10.28515625" bestFit="1" customWidth="1"/>
    <col min="15366" max="15366" width="14.42578125" customWidth="1"/>
    <col min="15367" max="15367" width="11.28515625" bestFit="1" customWidth="1"/>
    <col min="15369" max="15369" width="10.42578125" customWidth="1"/>
    <col min="15370" max="15370" width="11.42578125" customWidth="1"/>
    <col min="15373" max="15373" width="9.5703125" bestFit="1" customWidth="1"/>
    <col min="15377" max="15377" width="10.5703125" bestFit="1" customWidth="1"/>
    <col min="15618" max="15618" width="19.85546875" customWidth="1"/>
    <col min="15619" max="15619" width="12" customWidth="1"/>
    <col min="15620" max="15620" width="10.28515625" bestFit="1" customWidth="1"/>
    <col min="15622" max="15622" width="14.42578125" customWidth="1"/>
    <col min="15623" max="15623" width="11.28515625" bestFit="1" customWidth="1"/>
    <col min="15625" max="15625" width="10.42578125" customWidth="1"/>
    <col min="15626" max="15626" width="11.42578125" customWidth="1"/>
    <col min="15629" max="15629" width="9.5703125" bestFit="1" customWidth="1"/>
    <col min="15633" max="15633" width="10.5703125" bestFit="1" customWidth="1"/>
    <col min="15874" max="15874" width="19.85546875" customWidth="1"/>
    <col min="15875" max="15875" width="12" customWidth="1"/>
    <col min="15876" max="15876" width="10.28515625" bestFit="1" customWidth="1"/>
    <col min="15878" max="15878" width="14.42578125" customWidth="1"/>
    <col min="15879" max="15879" width="11.28515625" bestFit="1" customWidth="1"/>
    <col min="15881" max="15881" width="10.42578125" customWidth="1"/>
    <col min="15882" max="15882" width="11.42578125" customWidth="1"/>
    <col min="15885" max="15885" width="9.5703125" bestFit="1" customWidth="1"/>
    <col min="15889" max="15889" width="10.5703125" bestFit="1" customWidth="1"/>
    <col min="16130" max="16130" width="19.85546875" customWidth="1"/>
    <col min="16131" max="16131" width="12" customWidth="1"/>
    <col min="16132" max="16132" width="10.28515625" bestFit="1" customWidth="1"/>
    <col min="16134" max="16134" width="14.42578125" customWidth="1"/>
    <col min="16135" max="16135" width="11.28515625" bestFit="1" customWidth="1"/>
    <col min="16137" max="16137" width="10.42578125" customWidth="1"/>
    <col min="16138" max="16138" width="11.42578125" customWidth="1"/>
    <col min="16141" max="16141" width="9.5703125" bestFit="1" customWidth="1"/>
    <col min="16145" max="16145" width="10.5703125" bestFit="1" customWidth="1"/>
  </cols>
  <sheetData>
    <row r="1" spans="1:17" x14ac:dyDescent="0.25">
      <c r="A1" s="101" t="s">
        <v>0</v>
      </c>
      <c r="B1" s="101" t="s">
        <v>106</v>
      </c>
      <c r="C1" s="101"/>
      <c r="D1" s="101"/>
      <c r="E1" s="101"/>
      <c r="F1" s="101"/>
      <c r="G1" s="101"/>
      <c r="H1" s="101"/>
      <c r="I1" s="101"/>
      <c r="J1" s="102"/>
    </row>
    <row r="2" spans="1:17" ht="15.75" x14ac:dyDescent="0.25">
      <c r="A2" s="103" t="s">
        <v>107</v>
      </c>
      <c r="B2" s="101"/>
      <c r="C2" s="101"/>
      <c r="D2" s="101"/>
      <c r="E2" s="101"/>
      <c r="F2" s="101"/>
      <c r="G2" s="101"/>
      <c r="H2" s="101" t="s">
        <v>108</v>
      </c>
      <c r="I2" s="101"/>
      <c r="J2" s="102"/>
    </row>
    <row r="3" spans="1:17" ht="15.75" x14ac:dyDescent="0.25">
      <c r="A3" s="103" t="s">
        <v>109</v>
      </c>
      <c r="B3" s="101"/>
      <c r="C3" s="101"/>
      <c r="D3" s="101"/>
      <c r="E3" s="101"/>
      <c r="F3" s="101"/>
      <c r="G3" s="101"/>
      <c r="H3" s="101"/>
      <c r="I3" s="101"/>
      <c r="J3" s="102"/>
    </row>
    <row r="4" spans="1:17" ht="15.75" x14ac:dyDescent="0.25">
      <c r="A4" s="103"/>
      <c r="B4" s="102"/>
      <c r="C4" s="102"/>
      <c r="D4" s="102"/>
      <c r="E4" s="102"/>
      <c r="F4" s="102"/>
      <c r="G4" s="102"/>
      <c r="H4" s="102"/>
      <c r="I4" s="102"/>
      <c r="J4" s="102"/>
    </row>
    <row r="5" spans="1:17" x14ac:dyDescent="0.25">
      <c r="A5" s="104" t="s">
        <v>5</v>
      </c>
      <c r="B5" s="104"/>
      <c r="C5" s="105" t="s">
        <v>6</v>
      </c>
      <c r="D5" s="105" t="s">
        <v>7</v>
      </c>
      <c r="E5" s="105" t="s">
        <v>8</v>
      </c>
      <c r="F5" s="105" t="s">
        <v>9</v>
      </c>
      <c r="G5" s="105" t="s">
        <v>10</v>
      </c>
      <c r="H5" s="105" t="s">
        <v>11</v>
      </c>
      <c r="I5" s="105" t="s">
        <v>12</v>
      </c>
      <c r="J5" s="105" t="s">
        <v>13</v>
      </c>
      <c r="K5" s="105" t="s">
        <v>14</v>
      </c>
      <c r="L5" s="105"/>
    </row>
    <row r="6" spans="1:17" x14ac:dyDescent="0.25">
      <c r="A6" s="106"/>
      <c r="B6" s="106"/>
      <c r="C6" s="107" t="s">
        <v>15</v>
      </c>
      <c r="D6" s="107" t="s">
        <v>16</v>
      </c>
      <c r="E6" s="107" t="s">
        <v>16</v>
      </c>
      <c r="F6" s="107" t="s">
        <v>17</v>
      </c>
      <c r="G6" s="107" t="s">
        <v>18</v>
      </c>
      <c r="H6" s="107" t="s">
        <v>19</v>
      </c>
      <c r="I6" s="107" t="s">
        <v>18</v>
      </c>
      <c r="J6" s="107" t="s">
        <v>18</v>
      </c>
      <c r="K6" s="107" t="s">
        <v>11</v>
      </c>
      <c r="L6" s="107" t="s">
        <v>12</v>
      </c>
    </row>
    <row r="7" spans="1:17" x14ac:dyDescent="0.25">
      <c r="A7" s="106"/>
      <c r="B7" s="106"/>
      <c r="C7" s="107" t="s">
        <v>20</v>
      </c>
      <c r="D7" s="107"/>
      <c r="E7" s="107"/>
      <c r="F7" s="107"/>
      <c r="G7" s="107" t="s">
        <v>21</v>
      </c>
      <c r="H7" s="107" t="s">
        <v>18</v>
      </c>
      <c r="I7" s="107" t="s">
        <v>21</v>
      </c>
      <c r="J7" s="107" t="s">
        <v>21</v>
      </c>
      <c r="K7" s="107"/>
      <c r="L7" s="107"/>
    </row>
    <row r="8" spans="1:17" x14ac:dyDescent="0.25">
      <c r="A8" s="108"/>
      <c r="B8" s="108"/>
      <c r="C8" s="109"/>
      <c r="D8" s="109"/>
      <c r="E8" s="109"/>
      <c r="F8" s="110"/>
      <c r="G8" s="110"/>
      <c r="H8" s="110" t="s">
        <v>21</v>
      </c>
      <c r="I8" s="110"/>
      <c r="J8" s="110"/>
      <c r="K8" s="110"/>
      <c r="L8" s="107"/>
    </row>
    <row r="9" spans="1:17" x14ac:dyDescent="0.25">
      <c r="A9" s="111" t="s">
        <v>71</v>
      </c>
      <c r="B9" s="111"/>
      <c r="C9" s="112">
        <v>70</v>
      </c>
      <c r="D9" s="113">
        <v>5.68</v>
      </c>
      <c r="E9" s="113">
        <v>0.89</v>
      </c>
      <c r="F9" s="114">
        <v>2088.89</v>
      </c>
      <c r="G9" s="113">
        <f t="shared" ref="G9:G16" si="0">D9*F9</f>
        <v>11864.895199999999</v>
      </c>
      <c r="H9" s="115"/>
      <c r="I9" s="113"/>
      <c r="J9" s="113">
        <f>G9+H9+I9</f>
        <v>11864.895199999999</v>
      </c>
      <c r="K9" s="115"/>
      <c r="L9" s="116"/>
      <c r="M9" s="117"/>
    </row>
    <row r="10" spans="1:17" x14ac:dyDescent="0.25">
      <c r="A10" s="111" t="s">
        <v>72</v>
      </c>
      <c r="B10" s="111"/>
      <c r="C10" s="112">
        <v>90</v>
      </c>
      <c r="D10" s="113">
        <v>0.93125960061443935</v>
      </c>
      <c r="E10" s="113">
        <v>0.47043010752688175</v>
      </c>
      <c r="F10" s="114">
        <v>1366.6666666666665</v>
      </c>
      <c r="G10" s="113">
        <f t="shared" si="0"/>
        <v>1272.7214541730671</v>
      </c>
      <c r="H10" s="113">
        <v>4342.6187050359713</v>
      </c>
      <c r="I10" s="113"/>
      <c r="J10" s="113">
        <f t="shared" ref="J10:J17" si="1">G10+H10+I10</f>
        <v>5615.3401592090386</v>
      </c>
      <c r="K10" s="115">
        <v>479.46</v>
      </c>
      <c r="L10" s="116"/>
      <c r="M10" s="117"/>
    </row>
    <row r="11" spans="1:17" x14ac:dyDescent="0.25">
      <c r="A11" s="111" t="s">
        <v>76</v>
      </c>
      <c r="B11" s="111"/>
      <c r="C11" s="112">
        <v>90</v>
      </c>
      <c r="D11" s="113">
        <v>6.8356374807987716</v>
      </c>
      <c r="E11" s="113">
        <v>1.075268817204301</v>
      </c>
      <c r="F11" s="114">
        <v>2033.3333333333333</v>
      </c>
      <c r="G11" s="113">
        <f t="shared" si="0"/>
        <v>13899.129544290836</v>
      </c>
      <c r="H11" s="115"/>
      <c r="I11" s="113">
        <v>3133.94</v>
      </c>
      <c r="J11" s="113">
        <f>G11+H11+3133.94</f>
        <v>17033.069544290836</v>
      </c>
      <c r="K11" s="115"/>
      <c r="L11" s="116"/>
      <c r="M11" s="117"/>
      <c r="Q11" s="118"/>
    </row>
    <row r="12" spans="1:17" x14ac:dyDescent="0.25">
      <c r="A12" s="119" t="s">
        <v>110</v>
      </c>
      <c r="B12" s="119"/>
      <c r="C12" s="112">
        <v>100</v>
      </c>
      <c r="D12" s="113">
        <v>4.1017533432392277</v>
      </c>
      <c r="E12" s="113">
        <v>1.4806537890044578</v>
      </c>
      <c r="F12" s="114">
        <v>1591.156462585034</v>
      </c>
      <c r="G12" s="113">
        <f t="shared" si="0"/>
        <v>6526.531340024866</v>
      </c>
      <c r="H12" s="115"/>
      <c r="I12" s="113">
        <v>27226.627043090641</v>
      </c>
      <c r="J12" s="113">
        <f t="shared" si="1"/>
        <v>33753.158383115508</v>
      </c>
      <c r="K12" s="115"/>
      <c r="L12" s="116"/>
      <c r="M12" s="117"/>
      <c r="Q12" s="118"/>
    </row>
    <row r="13" spans="1:17" x14ac:dyDescent="0.25">
      <c r="A13" s="120" t="s">
        <v>111</v>
      </c>
      <c r="B13" s="111"/>
      <c r="C13" s="112">
        <v>100</v>
      </c>
      <c r="D13" s="113">
        <v>4.2886712749615974</v>
      </c>
      <c r="E13" s="113">
        <v>1.7464285714285712</v>
      </c>
      <c r="F13" s="114">
        <v>1780.9870417146187</v>
      </c>
      <c r="G13" s="113">
        <f t="shared" si="0"/>
        <v>7638.0679668803177</v>
      </c>
      <c r="H13" s="115"/>
      <c r="I13" s="113">
        <f>D36*F36+D37*F37+D38*F38</f>
        <v>725961.85050000006</v>
      </c>
      <c r="J13" s="113">
        <f t="shared" si="1"/>
        <v>733599.91846688034</v>
      </c>
      <c r="K13" s="115"/>
      <c r="L13" s="115"/>
      <c r="Q13" s="118"/>
    </row>
    <row r="14" spans="1:17" x14ac:dyDescent="0.25">
      <c r="A14" s="119" t="s">
        <v>25</v>
      </c>
      <c r="B14" s="119"/>
      <c r="C14" s="112">
        <v>100</v>
      </c>
      <c r="D14" s="113">
        <v>12.482168330955778</v>
      </c>
      <c r="E14" s="113">
        <v>0.28530670470756064</v>
      </c>
      <c r="F14" s="114">
        <v>1154.9707602339183</v>
      </c>
      <c r="G14" s="113">
        <f t="shared" si="0"/>
        <v>14416.539446571735</v>
      </c>
      <c r="H14" s="115"/>
      <c r="I14" s="113"/>
      <c r="J14" s="113">
        <f t="shared" si="1"/>
        <v>14416.539446571735</v>
      </c>
      <c r="K14" s="115"/>
      <c r="L14" s="115"/>
      <c r="Q14" s="118"/>
    </row>
    <row r="15" spans="1:17" x14ac:dyDescent="0.25">
      <c r="A15" s="119" t="s">
        <v>81</v>
      </c>
      <c r="B15" s="119"/>
      <c r="C15" s="112">
        <v>80</v>
      </c>
      <c r="D15" s="113">
        <v>5.466609589041096</v>
      </c>
      <c r="E15" s="113">
        <v>5.466609589041096</v>
      </c>
      <c r="F15" s="114">
        <v>2000</v>
      </c>
      <c r="G15" s="113">
        <f t="shared" si="0"/>
        <v>10933.219178082192</v>
      </c>
      <c r="H15" s="115"/>
      <c r="I15" s="113">
        <v>17431.506849315068</v>
      </c>
      <c r="J15" s="113">
        <f t="shared" si="1"/>
        <v>28364.726027397261</v>
      </c>
      <c r="K15" s="115"/>
      <c r="L15" s="115"/>
      <c r="M15" s="118"/>
      <c r="Q15" s="118"/>
    </row>
    <row r="16" spans="1:17" x14ac:dyDescent="0.25">
      <c r="A16" s="119" t="s">
        <v>82</v>
      </c>
      <c r="B16" s="119"/>
      <c r="C16" s="112">
        <v>90</v>
      </c>
      <c r="D16" s="113">
        <v>9.9846390168970807</v>
      </c>
      <c r="E16" s="113">
        <v>8.6021505376344081</v>
      </c>
      <c r="F16" s="114">
        <v>2200</v>
      </c>
      <c r="G16" s="113">
        <f t="shared" si="0"/>
        <v>21966.205837173577</v>
      </c>
      <c r="H16" s="115"/>
      <c r="I16" s="113"/>
      <c r="J16" s="113">
        <f t="shared" si="1"/>
        <v>21966.205837173577</v>
      </c>
      <c r="K16" s="115"/>
      <c r="L16" s="115"/>
    </row>
    <row r="17" spans="1:19" ht="17.25" x14ac:dyDescent="0.25">
      <c r="A17" s="111" t="s">
        <v>112</v>
      </c>
      <c r="B17" s="111"/>
      <c r="C17" s="121">
        <v>-20</v>
      </c>
      <c r="D17" s="122">
        <v>-8.7272727272727302</v>
      </c>
      <c r="E17" s="113"/>
      <c r="F17" s="123">
        <v>-1900</v>
      </c>
      <c r="G17" s="122">
        <f>-(D17*F17)</f>
        <v>-16581.818181818187</v>
      </c>
      <c r="H17" s="115"/>
      <c r="I17" s="113"/>
      <c r="J17" s="124">
        <f t="shared" si="1"/>
        <v>-16581.818181818187</v>
      </c>
      <c r="K17" s="115"/>
      <c r="L17" s="115"/>
    </row>
    <row r="18" spans="1:19" x14ac:dyDescent="0.25">
      <c r="A18" s="125" t="s">
        <v>31</v>
      </c>
      <c r="B18" s="125"/>
      <c r="C18" s="126"/>
      <c r="D18" s="127">
        <f>D9+D10+D11+D12+D13+D14+D15+D16</f>
        <v>49.770738636507986</v>
      </c>
      <c r="E18" s="127">
        <f>SUM(E9:E17)</f>
        <v>20.016848116547276</v>
      </c>
      <c r="F18" s="127"/>
      <c r="G18" s="127">
        <f>G9+G10+G11+G12+G13+G14+G16+G15</f>
        <v>88517.309967196576</v>
      </c>
      <c r="H18" s="128">
        <f>SUM(H9:H17)</f>
        <v>4342.6187050359713</v>
      </c>
      <c r="I18" s="127">
        <f>SUM(I9:I17)</f>
        <v>773753.92439240566</v>
      </c>
      <c r="J18" s="127">
        <f>J9+J10+J11+J12+J13+J14+J15+J16</f>
        <v>866613.85306463821</v>
      </c>
      <c r="K18" s="128">
        <f>SUM(K10:K17)</f>
        <v>479.46</v>
      </c>
      <c r="L18" s="128"/>
    </row>
    <row r="19" spans="1:19" x14ac:dyDescent="0.25">
      <c r="A19" s="129" t="s">
        <v>34</v>
      </c>
      <c r="B19" s="129"/>
      <c r="C19" s="130"/>
      <c r="D19" s="131">
        <f>D18-E18</f>
        <v>29.753890519960709</v>
      </c>
      <c r="E19" s="131"/>
      <c r="F19" s="131"/>
      <c r="G19" s="131">
        <f>D29*F29</f>
        <v>52910.405665397258</v>
      </c>
      <c r="H19" s="132">
        <f>H18-K18</f>
        <v>3863.1587050359713</v>
      </c>
      <c r="I19" s="131">
        <f>I18-L18</f>
        <v>773753.92439240566</v>
      </c>
      <c r="J19" s="131">
        <f>SUM(G19:I19)</f>
        <v>830527.48876283888</v>
      </c>
      <c r="K19" s="132">
        <f>H19-K18</f>
        <v>3383.6987050359712</v>
      </c>
      <c r="L19" s="132"/>
      <c r="O19" s="118"/>
    </row>
    <row r="20" spans="1:19" x14ac:dyDescent="0.25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9" x14ac:dyDescent="0.25">
      <c r="A21" s="134" t="s">
        <v>113</v>
      </c>
      <c r="B21" s="133"/>
      <c r="C21" s="134" t="s">
        <v>114</v>
      </c>
      <c r="D21" s="133"/>
      <c r="E21" s="133"/>
      <c r="F21" s="133"/>
      <c r="G21" s="133"/>
      <c r="H21" s="133"/>
      <c r="I21" s="133"/>
      <c r="J21" s="133"/>
      <c r="K21" s="133"/>
      <c r="L21" s="133"/>
      <c r="S21" t="s">
        <v>115</v>
      </c>
    </row>
    <row r="22" spans="1:19" x14ac:dyDescent="0.25">
      <c r="A22" s="111"/>
      <c r="B22" s="135" t="s">
        <v>37</v>
      </c>
      <c r="C22" s="111"/>
      <c r="D22" s="111"/>
      <c r="E22" s="111"/>
      <c r="F22" s="111"/>
      <c r="G22" s="111"/>
      <c r="H22" s="111"/>
      <c r="I22" s="111"/>
      <c r="J22" s="111"/>
      <c r="K22" s="133"/>
      <c r="L22" s="133"/>
      <c r="S22">
        <v>500</v>
      </c>
    </row>
    <row r="23" spans="1:19" x14ac:dyDescent="0.25">
      <c r="A23" s="111" t="s">
        <v>40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33"/>
      <c r="L23" s="133"/>
      <c r="S23">
        <v>300</v>
      </c>
    </row>
    <row r="24" spans="1:19" x14ac:dyDescent="0.25">
      <c r="A24" s="136" t="s">
        <v>41</v>
      </c>
      <c r="B24" s="136"/>
      <c r="C24" s="136" t="s">
        <v>42</v>
      </c>
      <c r="D24" s="136" t="s">
        <v>43</v>
      </c>
      <c r="E24" s="136"/>
      <c r="F24" s="136" t="s">
        <v>44</v>
      </c>
      <c r="G24" s="111"/>
      <c r="H24" s="111"/>
      <c r="I24" s="137" t="s">
        <v>116</v>
      </c>
      <c r="J24" s="138">
        <v>10</v>
      </c>
      <c r="K24" s="133"/>
      <c r="L24" s="133"/>
      <c r="S24">
        <v>14</v>
      </c>
    </row>
    <row r="25" spans="1:19" x14ac:dyDescent="0.25">
      <c r="A25" s="135" t="s">
        <v>46</v>
      </c>
      <c r="B25" s="111"/>
      <c r="C25" s="111"/>
      <c r="D25" s="111"/>
      <c r="E25" s="111"/>
      <c r="F25" s="111"/>
      <c r="G25" s="111"/>
      <c r="H25" s="111"/>
      <c r="I25" s="137" t="s">
        <v>117</v>
      </c>
      <c r="J25" s="139">
        <v>40</v>
      </c>
      <c r="K25" s="133"/>
      <c r="L25" s="133"/>
      <c r="S25">
        <v>10</v>
      </c>
    </row>
    <row r="26" spans="1:19" x14ac:dyDescent="0.25">
      <c r="A26" s="120" t="s">
        <v>118</v>
      </c>
      <c r="B26" s="111"/>
      <c r="C26" s="111" t="s">
        <v>49</v>
      </c>
      <c r="D26" s="140">
        <v>0.94430899999999995</v>
      </c>
      <c r="E26" s="111"/>
      <c r="F26" s="140">
        <v>28832.33</v>
      </c>
      <c r="G26" s="111"/>
      <c r="H26" s="111"/>
      <c r="I26" s="137" t="s">
        <v>119</v>
      </c>
      <c r="J26" s="139">
        <v>10</v>
      </c>
      <c r="K26" s="133"/>
      <c r="L26" s="133"/>
      <c r="S26">
        <v>17.260000000000002</v>
      </c>
    </row>
    <row r="27" spans="1:19" x14ac:dyDescent="0.25">
      <c r="A27" s="111"/>
      <c r="B27" s="111"/>
      <c r="C27" s="111"/>
      <c r="D27" s="111"/>
      <c r="E27" s="111"/>
      <c r="F27" s="111"/>
      <c r="G27" s="111"/>
      <c r="H27" s="111"/>
      <c r="I27" s="137" t="s">
        <v>120</v>
      </c>
      <c r="J27" s="137">
        <v>10</v>
      </c>
      <c r="K27" s="133"/>
      <c r="L27" s="133"/>
      <c r="S27">
        <v>352.56410256410254</v>
      </c>
    </row>
    <row r="28" spans="1:19" x14ac:dyDescent="0.25">
      <c r="A28" s="135" t="s">
        <v>50</v>
      </c>
      <c r="B28" s="111"/>
      <c r="C28" s="111"/>
      <c r="D28" s="111"/>
      <c r="E28" s="111"/>
      <c r="F28" s="111"/>
      <c r="G28" s="111"/>
      <c r="H28" s="111"/>
      <c r="I28" s="137" t="s">
        <v>121</v>
      </c>
      <c r="J28" s="137">
        <v>10</v>
      </c>
      <c r="K28" s="133"/>
      <c r="L28" s="133"/>
      <c r="S28">
        <v>13.894736842105264</v>
      </c>
    </row>
    <row r="29" spans="1:19" x14ac:dyDescent="0.25">
      <c r="A29" s="111" t="s">
        <v>122</v>
      </c>
      <c r="B29" s="111"/>
      <c r="C29" s="111" t="s">
        <v>52</v>
      </c>
      <c r="D29" s="140">
        <v>29.75</v>
      </c>
      <c r="E29" s="111"/>
      <c r="F29" s="140">
        <f>G18/D31</f>
        <v>1778.5010307696557</v>
      </c>
      <c r="G29" s="111"/>
      <c r="H29" s="111"/>
      <c r="I29" s="137" t="s">
        <v>123</v>
      </c>
      <c r="J29" s="137">
        <v>20</v>
      </c>
      <c r="K29" s="133"/>
      <c r="L29" s="133"/>
      <c r="S29">
        <v>10221.631205673759</v>
      </c>
    </row>
    <row r="30" spans="1:19" x14ac:dyDescent="0.25">
      <c r="A30" s="111" t="s">
        <v>124</v>
      </c>
      <c r="B30" s="111"/>
      <c r="C30" s="111" t="s">
        <v>52</v>
      </c>
      <c r="D30" s="140">
        <f>E18</f>
        <v>20.016848116547276</v>
      </c>
      <c r="E30" s="111"/>
      <c r="F30" s="111"/>
      <c r="G30" s="111"/>
      <c r="H30" s="111"/>
      <c r="I30" s="111"/>
      <c r="J30" s="111"/>
      <c r="K30" s="133"/>
      <c r="L30" s="133"/>
    </row>
    <row r="31" spans="1:19" x14ac:dyDescent="0.25">
      <c r="A31" s="111" t="s">
        <v>7</v>
      </c>
      <c r="B31" s="111"/>
      <c r="C31" s="111" t="s">
        <v>52</v>
      </c>
      <c r="D31" s="140">
        <f>D18</f>
        <v>49.770738636507986</v>
      </c>
      <c r="E31" s="111"/>
      <c r="F31" s="111"/>
      <c r="G31" s="111"/>
      <c r="H31" s="111"/>
      <c r="I31" s="141" t="s">
        <v>45</v>
      </c>
      <c r="J31" s="142">
        <v>0.7</v>
      </c>
      <c r="K31" s="133"/>
      <c r="L31" s="133"/>
    </row>
    <row r="32" spans="1:19" x14ac:dyDescent="0.25">
      <c r="A32" s="143"/>
      <c r="B32" s="143"/>
      <c r="C32" s="111"/>
      <c r="D32" s="140"/>
      <c r="E32" s="111"/>
      <c r="F32" s="111"/>
      <c r="G32" s="111"/>
      <c r="H32" s="111"/>
      <c r="I32" s="141" t="s">
        <v>47</v>
      </c>
      <c r="J32" s="142">
        <v>0.5</v>
      </c>
      <c r="K32" s="133"/>
      <c r="L32" s="133"/>
    </row>
    <row r="33" spans="1:12" x14ac:dyDescent="0.25">
      <c r="A33" s="144" t="s">
        <v>93</v>
      </c>
      <c r="B33" s="117"/>
      <c r="C33" s="145"/>
      <c r="D33" s="145"/>
      <c r="E33" s="145"/>
      <c r="F33" s="145"/>
      <c r="G33" s="111"/>
      <c r="H33" s="111"/>
      <c r="I33" s="146"/>
      <c r="J33" s="147"/>
      <c r="K33" s="133"/>
      <c r="L33" s="133"/>
    </row>
    <row r="34" spans="1:12" x14ac:dyDescent="0.25">
      <c r="A34" s="144"/>
      <c r="B34" s="148" t="s">
        <v>94</v>
      </c>
      <c r="C34" s="149"/>
      <c r="D34" s="149"/>
      <c r="E34" s="149"/>
      <c r="F34" s="149"/>
      <c r="G34" s="111"/>
      <c r="H34" s="111"/>
      <c r="I34" s="146"/>
      <c r="J34" s="147"/>
      <c r="K34" s="133"/>
      <c r="L34" s="133"/>
    </row>
    <row r="35" spans="1:12" x14ac:dyDescent="0.25">
      <c r="A35" s="150" t="s">
        <v>125</v>
      </c>
      <c r="B35" s="151"/>
      <c r="C35" s="150"/>
      <c r="D35" s="149"/>
      <c r="E35" s="149"/>
      <c r="F35" s="152"/>
      <c r="G35" s="111"/>
      <c r="H35" s="111"/>
      <c r="I35" s="149"/>
      <c r="J35" s="149"/>
      <c r="K35" s="133"/>
      <c r="L35" s="133"/>
    </row>
    <row r="36" spans="1:12" x14ac:dyDescent="0.25">
      <c r="A36" s="149" t="s">
        <v>126</v>
      </c>
      <c r="B36" s="151">
        <v>40</v>
      </c>
      <c r="C36" s="150" t="s">
        <v>96</v>
      </c>
      <c r="D36" s="149">
        <v>16.850000000000001</v>
      </c>
      <c r="E36" s="149"/>
      <c r="F36" s="152">
        <v>352.56</v>
      </c>
      <c r="G36" s="111"/>
      <c r="H36" s="111"/>
      <c r="I36" s="149"/>
      <c r="J36" s="149"/>
      <c r="K36" s="133"/>
      <c r="L36" s="133"/>
    </row>
    <row r="37" spans="1:12" x14ac:dyDescent="0.25">
      <c r="A37" s="153" t="s">
        <v>127</v>
      </c>
      <c r="B37" s="151">
        <v>60</v>
      </c>
      <c r="C37" s="153" t="s">
        <v>96</v>
      </c>
      <c r="D37" s="149">
        <v>69.150000000000006</v>
      </c>
      <c r="E37" s="149"/>
      <c r="F37" s="149">
        <v>10221.629999999999</v>
      </c>
      <c r="G37" s="111"/>
      <c r="H37" s="111"/>
      <c r="I37" s="149"/>
      <c r="J37" s="149"/>
      <c r="K37" s="133"/>
      <c r="L37" s="133"/>
    </row>
    <row r="38" spans="1:12" x14ac:dyDescent="0.25">
      <c r="A38" s="150" t="s">
        <v>128</v>
      </c>
      <c r="B38" s="151">
        <v>40</v>
      </c>
      <c r="C38" s="117" t="s">
        <v>96</v>
      </c>
      <c r="D38" s="152">
        <v>950</v>
      </c>
      <c r="E38" s="149"/>
      <c r="F38" s="152">
        <v>13.89</v>
      </c>
      <c r="G38" s="111"/>
      <c r="H38" s="111"/>
      <c r="I38" s="111"/>
      <c r="J38" s="111"/>
      <c r="K38" s="133"/>
      <c r="L38" s="133"/>
    </row>
    <row r="39" spans="1:12" x14ac:dyDescent="0.25">
      <c r="A39" s="149" t="s">
        <v>129</v>
      </c>
      <c r="B39" s="154">
        <v>-10</v>
      </c>
      <c r="C39" s="117" t="s">
        <v>96</v>
      </c>
      <c r="D39" s="155">
        <v>-20</v>
      </c>
      <c r="E39" s="149"/>
      <c r="F39" s="156">
        <v>-300</v>
      </c>
      <c r="G39" s="111"/>
      <c r="H39" s="111"/>
      <c r="I39" s="111"/>
      <c r="J39" s="111"/>
      <c r="K39" s="133"/>
      <c r="L39" s="133"/>
    </row>
    <row r="40" spans="1:12" x14ac:dyDescent="0.25">
      <c r="A40" s="149" t="s">
        <v>130</v>
      </c>
      <c r="B40" s="154">
        <v>-20</v>
      </c>
      <c r="C40" s="117" t="s">
        <v>96</v>
      </c>
      <c r="D40" s="156">
        <v>-872.73</v>
      </c>
      <c r="E40" s="149"/>
      <c r="F40" s="156">
        <v>-14</v>
      </c>
      <c r="G40" s="111"/>
      <c r="H40" s="111"/>
      <c r="I40" s="111"/>
      <c r="J40" s="111"/>
      <c r="K40" s="133"/>
      <c r="L40" s="133"/>
    </row>
    <row r="41" spans="1:12" x14ac:dyDescent="0.25">
      <c r="A41" s="149" t="s">
        <v>131</v>
      </c>
      <c r="B41" s="154">
        <v>-30</v>
      </c>
      <c r="C41" s="150" t="s">
        <v>96</v>
      </c>
      <c r="D41" s="156">
        <v>-1117.6500000000001</v>
      </c>
      <c r="E41" s="149"/>
      <c r="F41" s="156">
        <v>-17.260000000000002</v>
      </c>
      <c r="G41" s="111"/>
      <c r="H41" s="111"/>
      <c r="I41" s="111"/>
      <c r="J41" s="111"/>
      <c r="K41" s="133"/>
      <c r="L41" s="133"/>
    </row>
    <row r="42" spans="1:12" x14ac:dyDescent="0.25">
      <c r="A42" s="133"/>
      <c r="B42" s="133"/>
      <c r="C42" s="133"/>
      <c r="D42" s="133"/>
      <c r="E42" s="133"/>
      <c r="F42" s="133"/>
      <c r="G42" s="111"/>
      <c r="H42" s="111"/>
      <c r="I42" s="111"/>
      <c r="J42" s="111"/>
      <c r="K42" s="133"/>
      <c r="L42" s="133"/>
    </row>
    <row r="43" spans="1:12" x14ac:dyDescent="0.25">
      <c r="A43" s="157" t="s">
        <v>54</v>
      </c>
      <c r="B43" s="145"/>
      <c r="C43" s="158" t="s">
        <v>102</v>
      </c>
      <c r="D43" s="158"/>
      <c r="E43" s="158"/>
      <c r="F43" s="158" t="s">
        <v>132</v>
      </c>
      <c r="G43" s="111"/>
      <c r="H43" s="111"/>
      <c r="I43" s="111"/>
      <c r="J43" s="111"/>
      <c r="K43" s="133"/>
      <c r="L43" s="133"/>
    </row>
    <row r="44" spans="1:12" x14ac:dyDescent="0.25">
      <c r="A44" s="149" t="s">
        <v>133</v>
      </c>
      <c r="B44" s="149"/>
      <c r="C44" s="152">
        <v>2851.471</v>
      </c>
      <c r="D44" s="149"/>
      <c r="E44" s="149"/>
      <c r="F44" s="140">
        <f>C44*2.471</f>
        <v>7045.9848410000004</v>
      </c>
      <c r="G44" s="159"/>
      <c r="H44" s="111"/>
      <c r="I44" s="111"/>
      <c r="J44" s="111"/>
      <c r="K44" s="133"/>
      <c r="L44" s="133"/>
    </row>
    <row r="45" spans="1:12" x14ac:dyDescent="0.25">
      <c r="A45" s="149" t="s">
        <v>57</v>
      </c>
      <c r="B45" s="149"/>
      <c r="C45" s="152">
        <v>82.806669999999997</v>
      </c>
      <c r="D45" s="149"/>
      <c r="E45" s="149"/>
      <c r="F45" s="140"/>
      <c r="G45" s="160"/>
      <c r="H45" s="111"/>
      <c r="I45" s="111"/>
      <c r="J45" s="111"/>
      <c r="K45" s="133"/>
      <c r="L45" s="133"/>
    </row>
    <row r="46" spans="1:12" x14ac:dyDescent="0.25">
      <c r="A46" s="149" t="s">
        <v>134</v>
      </c>
      <c r="B46" s="149"/>
      <c r="C46" s="152">
        <f>C44*C45</f>
        <v>236120.81811157</v>
      </c>
      <c r="D46" s="149"/>
      <c r="E46" s="149"/>
      <c r="F46" s="140">
        <f>C46*2.471</f>
        <v>583454.54155368952</v>
      </c>
      <c r="G46" s="160"/>
      <c r="H46" s="111"/>
      <c r="I46" s="111"/>
      <c r="J46" s="111"/>
      <c r="K46" s="133"/>
      <c r="L46" s="133"/>
    </row>
    <row r="47" spans="1:12" x14ac:dyDescent="0.25">
      <c r="A47" s="149" t="s">
        <v>135</v>
      </c>
      <c r="B47" s="149"/>
      <c r="C47" s="156">
        <f>C46-J18</f>
        <v>-630493.03495306824</v>
      </c>
      <c r="D47" s="149"/>
      <c r="E47" s="149"/>
      <c r="F47" s="161">
        <f>C47*2.471</f>
        <v>-1557948.2893690318</v>
      </c>
      <c r="G47" s="160"/>
      <c r="H47" s="111"/>
      <c r="I47" s="111"/>
      <c r="J47" s="111"/>
      <c r="K47" s="133"/>
      <c r="L47" s="133"/>
    </row>
    <row r="48" spans="1:12" x14ac:dyDescent="0.25">
      <c r="A48" s="149" t="s">
        <v>136</v>
      </c>
      <c r="B48" s="149"/>
      <c r="C48" s="156">
        <f>C46-J19</f>
        <v>-594406.67065126891</v>
      </c>
      <c r="D48" s="149"/>
      <c r="E48" s="149"/>
      <c r="F48" s="161">
        <f>C48*2.471</f>
        <v>-1468778.8831792856</v>
      </c>
      <c r="G48" s="160"/>
      <c r="H48" s="111"/>
      <c r="I48" s="111"/>
      <c r="J48" s="111"/>
      <c r="K48" s="133"/>
      <c r="L48" s="133"/>
    </row>
    <row r="49" spans="1:12" x14ac:dyDescent="0.25">
      <c r="A49" s="149" t="s">
        <v>137</v>
      </c>
      <c r="B49" s="149"/>
      <c r="C49" s="152">
        <f>J18/C44</f>
        <v>303.91817173123565</v>
      </c>
      <c r="D49" s="149"/>
      <c r="E49" s="149"/>
      <c r="F49" s="160"/>
      <c r="G49" s="111"/>
      <c r="H49" s="111"/>
      <c r="I49" s="111"/>
      <c r="J49" s="111"/>
      <c r="K49" s="133"/>
      <c r="L49" s="133"/>
    </row>
    <row r="50" spans="1:12" x14ac:dyDescent="0.25">
      <c r="A50" s="143" t="s">
        <v>138</v>
      </c>
      <c r="B50" s="143"/>
      <c r="C50" s="162">
        <f>J19/C44</f>
        <v>291.26282145700901</v>
      </c>
      <c r="D50" s="143"/>
      <c r="E50" s="143"/>
      <c r="F50" s="163"/>
      <c r="G50" s="111"/>
      <c r="H50" s="111"/>
      <c r="I50" s="111"/>
      <c r="J50" s="111"/>
      <c r="K50" s="133"/>
      <c r="L50" s="133"/>
    </row>
    <row r="51" spans="1:12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</row>
  </sheetData>
  <mergeCells count="5">
    <mergeCell ref="A12:B12"/>
    <mergeCell ref="A14:B14"/>
    <mergeCell ref="A15:B15"/>
    <mergeCell ref="A16:B16"/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opLeftCell="A13" workbookViewId="0">
      <selection activeCell="I24" sqref="I24"/>
    </sheetView>
  </sheetViews>
  <sheetFormatPr defaultRowHeight="15" x14ac:dyDescent="0.25"/>
  <cols>
    <col min="2" max="2" width="12.28515625" customWidth="1"/>
    <col min="6" max="7" width="13" customWidth="1"/>
    <col min="8" max="8" width="10.5703125" customWidth="1"/>
    <col min="9" max="9" width="11.140625" customWidth="1"/>
    <col min="10" max="10" width="10.140625" customWidth="1"/>
    <col min="11" max="11" width="9.85546875" customWidth="1"/>
  </cols>
  <sheetData>
    <row r="1" spans="1:19" x14ac:dyDescent="0.25">
      <c r="A1" s="102" t="s">
        <v>0</v>
      </c>
      <c r="B1" s="102" t="s">
        <v>139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9" x14ac:dyDescent="0.25">
      <c r="A2" s="102"/>
      <c r="B2" s="102" t="s">
        <v>140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11"/>
    </row>
    <row r="3" spans="1:19" x14ac:dyDescent="0.25">
      <c r="A3" s="102"/>
      <c r="B3" s="102" t="s">
        <v>141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</row>
    <row r="4" spans="1:19" x14ac:dyDescent="0.25">
      <c r="A4" s="104" t="s">
        <v>5</v>
      </c>
      <c r="B4" s="104"/>
      <c r="C4" s="104"/>
      <c r="D4" s="164" t="s">
        <v>6</v>
      </c>
      <c r="E4" s="164" t="s">
        <v>7</v>
      </c>
      <c r="F4" s="164" t="s">
        <v>8</v>
      </c>
      <c r="G4" s="164" t="s">
        <v>9</v>
      </c>
      <c r="H4" s="164" t="s">
        <v>10</v>
      </c>
      <c r="I4" s="164" t="s">
        <v>11</v>
      </c>
      <c r="J4" s="164" t="s">
        <v>12</v>
      </c>
      <c r="K4" s="164" t="s">
        <v>13</v>
      </c>
      <c r="L4" s="105" t="s">
        <v>14</v>
      </c>
      <c r="M4" s="164"/>
      <c r="N4" s="165"/>
    </row>
    <row r="5" spans="1:19" x14ac:dyDescent="0.25">
      <c r="A5" s="106"/>
      <c r="B5" s="106"/>
      <c r="C5" s="106"/>
      <c r="D5" s="166" t="s">
        <v>15</v>
      </c>
      <c r="E5" s="166" t="s">
        <v>16</v>
      </c>
      <c r="F5" s="166" t="s">
        <v>16</v>
      </c>
      <c r="G5" s="166" t="s">
        <v>17</v>
      </c>
      <c r="H5" s="166" t="s">
        <v>18</v>
      </c>
      <c r="I5" s="166" t="s">
        <v>19</v>
      </c>
      <c r="J5" s="166" t="s">
        <v>18</v>
      </c>
      <c r="K5" s="166" t="s">
        <v>18</v>
      </c>
      <c r="L5" s="107" t="s">
        <v>11</v>
      </c>
      <c r="M5" s="166" t="s">
        <v>12</v>
      </c>
      <c r="N5" s="165"/>
    </row>
    <row r="6" spans="1:19" x14ac:dyDescent="0.25">
      <c r="A6" s="106"/>
      <c r="B6" s="106"/>
      <c r="C6" s="106"/>
      <c r="D6" s="166" t="s">
        <v>20</v>
      </c>
      <c r="E6" s="166"/>
      <c r="F6" s="166"/>
      <c r="G6" s="166"/>
      <c r="H6" s="166" t="s">
        <v>21</v>
      </c>
      <c r="I6" s="166" t="s">
        <v>18</v>
      </c>
      <c r="J6" s="166" t="s">
        <v>21</v>
      </c>
      <c r="K6" s="166" t="s">
        <v>21</v>
      </c>
      <c r="L6" s="166"/>
      <c r="M6" s="166"/>
      <c r="N6" s="165"/>
    </row>
    <row r="7" spans="1:19" x14ac:dyDescent="0.25">
      <c r="A7" s="108"/>
      <c r="B7" s="108"/>
      <c r="C7" s="108"/>
      <c r="D7" s="109"/>
      <c r="E7" s="109"/>
      <c r="F7" s="109"/>
      <c r="G7" s="109"/>
      <c r="H7" s="109"/>
      <c r="I7" s="109" t="s">
        <v>21</v>
      </c>
      <c r="J7" s="109"/>
      <c r="K7" s="109"/>
      <c r="L7" s="109"/>
      <c r="M7" s="109"/>
      <c r="N7" s="165"/>
    </row>
    <row r="8" spans="1:19" x14ac:dyDescent="0.25">
      <c r="A8" s="102" t="s">
        <v>71</v>
      </c>
      <c r="B8" s="102"/>
      <c r="C8" s="102"/>
      <c r="D8" s="167">
        <v>63</v>
      </c>
      <c r="E8" s="168">
        <v>9.1199999999999992</v>
      </c>
      <c r="F8" s="168">
        <v>1.55</v>
      </c>
      <c r="G8" s="169">
        <v>1924</v>
      </c>
      <c r="H8" s="168">
        <v>17547</v>
      </c>
      <c r="I8" s="102"/>
      <c r="J8" s="168"/>
      <c r="K8" s="168">
        <f t="shared" ref="K8:K17" si="0">SUM(H8:J8)</f>
        <v>17547</v>
      </c>
      <c r="L8" s="102"/>
      <c r="M8" s="102"/>
      <c r="N8" s="165"/>
      <c r="O8" s="170">
        <v>17546.879999999997</v>
      </c>
      <c r="Q8" s="54" t="s">
        <v>71</v>
      </c>
      <c r="R8" s="171">
        <v>8.76</v>
      </c>
    </row>
    <row r="9" spans="1:19" x14ac:dyDescent="0.25">
      <c r="A9" s="102" t="s">
        <v>142</v>
      </c>
      <c r="B9" s="102"/>
      <c r="C9" s="102"/>
      <c r="D9" s="167">
        <v>100</v>
      </c>
      <c r="E9" s="168">
        <v>1.55</v>
      </c>
      <c r="F9" s="168">
        <v>1.55</v>
      </c>
      <c r="G9" s="169">
        <v>1524</v>
      </c>
      <c r="H9" s="168">
        <v>2362</v>
      </c>
      <c r="I9" s="168">
        <v>14947</v>
      </c>
      <c r="J9" s="168"/>
      <c r="K9" s="168">
        <f t="shared" si="0"/>
        <v>17309</v>
      </c>
      <c r="L9" s="168">
        <v>4484</v>
      </c>
      <c r="M9" s="102"/>
      <c r="N9" s="165"/>
      <c r="O9" s="170">
        <v>2362.2000000000003</v>
      </c>
      <c r="Q9" s="54" t="s">
        <v>72</v>
      </c>
      <c r="R9" s="171">
        <v>1.2166666666666668</v>
      </c>
    </row>
    <row r="10" spans="1:19" x14ac:dyDescent="0.25">
      <c r="A10" s="102" t="s">
        <v>143</v>
      </c>
      <c r="B10" s="102"/>
      <c r="C10" s="102"/>
      <c r="D10" s="111">
        <v>100</v>
      </c>
      <c r="E10" s="102">
        <v>9.6300000000000008</v>
      </c>
      <c r="F10" s="102">
        <v>2.2599999999999998</v>
      </c>
      <c r="G10" s="168">
        <v>1928</v>
      </c>
      <c r="H10" s="168">
        <v>18567</v>
      </c>
      <c r="I10" s="102"/>
      <c r="J10" s="140">
        <v>7518</v>
      </c>
      <c r="K10" s="168">
        <f t="shared" si="0"/>
        <v>26085</v>
      </c>
      <c r="L10" s="102"/>
      <c r="M10" s="102"/>
      <c r="N10" s="165"/>
      <c r="O10" s="170">
        <f>+E10*G10</f>
        <v>18566.640000000003</v>
      </c>
      <c r="Q10" s="54" t="s">
        <v>76</v>
      </c>
      <c r="R10" s="171">
        <v>11.083333333333334</v>
      </c>
    </row>
    <row r="11" spans="1:19" x14ac:dyDescent="0.25">
      <c r="A11" s="102" t="s">
        <v>144</v>
      </c>
      <c r="B11" s="102"/>
      <c r="C11" s="102"/>
      <c r="D11" s="102">
        <v>100</v>
      </c>
      <c r="E11" s="102">
        <v>12.8</v>
      </c>
      <c r="F11" s="102">
        <v>4.4800000000000004</v>
      </c>
      <c r="G11" s="168">
        <v>1524</v>
      </c>
      <c r="H11" s="168">
        <v>19507</v>
      </c>
      <c r="I11" s="102"/>
      <c r="J11" s="168">
        <f>E28*G28</f>
        <v>171808</v>
      </c>
      <c r="K11" s="168">
        <f t="shared" si="0"/>
        <v>191315</v>
      </c>
      <c r="L11" s="102"/>
      <c r="M11" s="102">
        <v>11454</v>
      </c>
      <c r="N11" s="165"/>
      <c r="O11" s="170">
        <f>+E11*G11</f>
        <v>19507.2</v>
      </c>
      <c r="Q11" s="54" t="s">
        <v>145</v>
      </c>
      <c r="R11" s="171">
        <v>16.723333333333333</v>
      </c>
      <c r="S11">
        <v>4.1500000000000004</v>
      </c>
    </row>
    <row r="12" spans="1:19" x14ac:dyDescent="0.25">
      <c r="A12" s="102" t="s">
        <v>146</v>
      </c>
      <c r="B12" s="102"/>
      <c r="C12" s="102"/>
      <c r="D12" s="167">
        <v>50</v>
      </c>
      <c r="E12" s="172">
        <v>4.0199999999999996</v>
      </c>
      <c r="F12" s="172">
        <v>2.23</v>
      </c>
      <c r="G12" s="173">
        <v>1916</v>
      </c>
      <c r="H12" s="174">
        <v>7702</v>
      </c>
      <c r="I12" s="102"/>
      <c r="J12" s="168">
        <f>+E37*G37</f>
        <v>9981</v>
      </c>
      <c r="K12" s="174">
        <f>+J13+J12+H12</f>
        <v>43677</v>
      </c>
      <c r="L12" s="102"/>
      <c r="M12" s="102"/>
      <c r="N12" s="165"/>
      <c r="O12" s="170">
        <v>7702.3199999999988</v>
      </c>
      <c r="Q12" s="54" t="s">
        <v>111</v>
      </c>
      <c r="R12" s="171">
        <v>5.4633333333333338</v>
      </c>
    </row>
    <row r="13" spans="1:19" x14ac:dyDescent="0.25">
      <c r="A13" s="102" t="s">
        <v>147</v>
      </c>
      <c r="B13" s="102"/>
      <c r="C13" s="102"/>
      <c r="D13" s="167">
        <v>88</v>
      </c>
      <c r="E13" s="172"/>
      <c r="F13" s="172"/>
      <c r="G13" s="173"/>
      <c r="H13" s="174"/>
      <c r="I13" s="102"/>
      <c r="J13" s="168">
        <f>+E39*G39+E40*G40</f>
        <v>25994</v>
      </c>
      <c r="K13" s="174"/>
      <c r="L13" s="102"/>
      <c r="M13" s="102"/>
      <c r="N13" s="165"/>
      <c r="O13" s="170"/>
      <c r="Q13" s="54"/>
      <c r="R13" s="171"/>
    </row>
    <row r="14" spans="1:19" x14ac:dyDescent="0.25">
      <c r="A14" s="102" t="s">
        <v>148</v>
      </c>
      <c r="B14" s="102"/>
      <c r="C14" s="102"/>
      <c r="D14" s="167">
        <v>100</v>
      </c>
      <c r="E14" s="168">
        <v>12</v>
      </c>
      <c r="F14" s="168">
        <v>2.2200000000000002</v>
      </c>
      <c r="G14" s="169">
        <v>1750</v>
      </c>
      <c r="H14" s="168">
        <f>+E14*G14</f>
        <v>21000</v>
      </c>
      <c r="I14" s="102"/>
      <c r="J14" s="175"/>
      <c r="K14" s="168">
        <f t="shared" si="0"/>
        <v>21000</v>
      </c>
      <c r="L14" s="102"/>
      <c r="M14" s="102"/>
      <c r="N14" s="165"/>
      <c r="O14" s="170">
        <v>21000</v>
      </c>
      <c r="Q14" s="54" t="s">
        <v>25</v>
      </c>
      <c r="R14" s="171">
        <v>12.299999999999999</v>
      </c>
    </row>
    <row r="15" spans="1:19" x14ac:dyDescent="0.25">
      <c r="A15" s="102" t="s">
        <v>149</v>
      </c>
      <c r="B15" s="102"/>
      <c r="C15" s="102"/>
      <c r="D15" s="167">
        <v>50</v>
      </c>
      <c r="E15" s="168">
        <v>1.06</v>
      </c>
      <c r="F15" s="168">
        <v>1.06</v>
      </c>
      <c r="G15" s="169">
        <v>1800</v>
      </c>
      <c r="H15" s="168">
        <f>+E15*G15</f>
        <v>1908</v>
      </c>
      <c r="I15" s="102"/>
      <c r="J15" s="168">
        <v>2350</v>
      </c>
      <c r="K15" s="168">
        <f t="shared" si="0"/>
        <v>4258</v>
      </c>
      <c r="L15" s="102"/>
      <c r="M15" s="102"/>
      <c r="N15" s="165"/>
      <c r="O15" s="170">
        <v>1908</v>
      </c>
      <c r="Q15" s="54" t="s">
        <v>81</v>
      </c>
      <c r="R15" s="171">
        <v>12.883333333333333</v>
      </c>
    </row>
    <row r="16" spans="1:19" x14ac:dyDescent="0.25">
      <c r="A16" s="102" t="s">
        <v>81</v>
      </c>
      <c r="B16" s="102"/>
      <c r="C16" s="102"/>
      <c r="D16" s="167">
        <v>100</v>
      </c>
      <c r="E16" s="168">
        <v>12.87</v>
      </c>
      <c r="F16" s="168">
        <v>7.53</v>
      </c>
      <c r="G16" s="169">
        <v>1963</v>
      </c>
      <c r="H16" s="168">
        <v>25264</v>
      </c>
      <c r="I16" s="102"/>
      <c r="J16" s="168">
        <v>42250</v>
      </c>
      <c r="K16" s="168">
        <f t="shared" si="0"/>
        <v>67514</v>
      </c>
      <c r="L16" s="102"/>
      <c r="M16" s="102"/>
      <c r="N16" s="165"/>
      <c r="O16" s="170">
        <v>25263.809999999998</v>
      </c>
      <c r="Q16" s="54" t="s">
        <v>82</v>
      </c>
      <c r="R16" s="171">
        <v>17.13</v>
      </c>
    </row>
    <row r="17" spans="1:18" x14ac:dyDescent="0.25">
      <c r="A17" s="102" t="s">
        <v>150</v>
      </c>
      <c r="B17" s="102"/>
      <c r="C17" s="102"/>
      <c r="D17" s="167">
        <v>100</v>
      </c>
      <c r="E17" s="168">
        <v>19.5</v>
      </c>
      <c r="F17" s="168">
        <v>19.5</v>
      </c>
      <c r="G17" s="169">
        <v>1524</v>
      </c>
      <c r="H17" s="168">
        <f>+E17*G17</f>
        <v>29718</v>
      </c>
      <c r="I17" s="168">
        <v>19160</v>
      </c>
      <c r="J17" s="140"/>
      <c r="K17" s="168">
        <f t="shared" si="0"/>
        <v>48878</v>
      </c>
      <c r="L17" s="102"/>
      <c r="M17" s="102"/>
      <c r="N17" s="165"/>
      <c r="O17" s="170">
        <f>+E17*G17</f>
        <v>29718</v>
      </c>
      <c r="Q17" s="54" t="s">
        <v>151</v>
      </c>
      <c r="R17" s="171">
        <v>23.696666666666669</v>
      </c>
    </row>
    <row r="18" spans="1:18" x14ac:dyDescent="0.25">
      <c r="A18" s="102" t="s">
        <v>152</v>
      </c>
      <c r="B18" s="102"/>
      <c r="C18" s="102"/>
      <c r="D18" s="167">
        <v>100</v>
      </c>
      <c r="E18" s="168">
        <v>17.09</v>
      </c>
      <c r="F18" s="168">
        <v>5.27</v>
      </c>
      <c r="G18" s="169">
        <v>1828</v>
      </c>
      <c r="H18" s="168">
        <v>31241</v>
      </c>
      <c r="I18" s="102"/>
      <c r="J18" s="168"/>
      <c r="K18" s="168">
        <f>SUM(H18:J18)</f>
        <v>31241</v>
      </c>
      <c r="L18" s="102"/>
      <c r="M18" s="102"/>
      <c r="N18" s="165"/>
      <c r="O18" s="170">
        <v>31240.52</v>
      </c>
    </row>
    <row r="19" spans="1:18" x14ac:dyDescent="0.25">
      <c r="A19" s="102" t="s">
        <v>30</v>
      </c>
      <c r="B19" s="102"/>
      <c r="C19" s="102"/>
      <c r="D19" s="167">
        <v>88</v>
      </c>
      <c r="E19" s="168">
        <v>0.56000000000000005</v>
      </c>
      <c r="F19" s="168">
        <v>0.4</v>
      </c>
      <c r="G19" s="169">
        <v>1800</v>
      </c>
      <c r="H19" s="168">
        <v>1008</v>
      </c>
      <c r="I19" s="168">
        <v>2832</v>
      </c>
      <c r="J19" s="168"/>
      <c r="K19" s="168">
        <f t="shared" ref="K19" si="1">SUM(H19:J19)</f>
        <v>3840</v>
      </c>
      <c r="L19" s="102"/>
      <c r="M19" s="102"/>
      <c r="N19" s="165"/>
      <c r="O19" s="170">
        <v>1008.0000000000001</v>
      </c>
    </row>
    <row r="20" spans="1:18" x14ac:dyDescent="0.25">
      <c r="A20" s="104" t="s">
        <v>31</v>
      </c>
      <c r="B20" s="104"/>
      <c r="C20" s="104"/>
      <c r="D20" s="176"/>
      <c r="E20" s="177">
        <f t="shared" ref="E20:G20" si="2">SUM(E8:E19)</f>
        <v>100.20000000000002</v>
      </c>
      <c r="F20" s="177">
        <f t="shared" si="2"/>
        <v>48.050000000000004</v>
      </c>
      <c r="G20" s="177">
        <f t="shared" si="2"/>
        <v>19481</v>
      </c>
      <c r="H20" s="177">
        <f>SUM(H8:H19)</f>
        <v>175824</v>
      </c>
      <c r="I20" s="177">
        <f t="shared" ref="I20:M20" si="3">SUM(I8:I19)</f>
        <v>36939</v>
      </c>
      <c r="J20" s="177">
        <f t="shared" si="3"/>
        <v>259901</v>
      </c>
      <c r="K20" s="177">
        <f t="shared" si="3"/>
        <v>472664</v>
      </c>
      <c r="L20" s="177">
        <f t="shared" si="3"/>
        <v>4484</v>
      </c>
      <c r="M20" s="177">
        <f t="shared" si="3"/>
        <v>11454</v>
      </c>
      <c r="N20" s="165"/>
      <c r="O20" s="170">
        <v>175823.56999999998</v>
      </c>
    </row>
    <row r="21" spans="1:18" x14ac:dyDescent="0.25">
      <c r="A21" s="108" t="s">
        <v>34</v>
      </c>
      <c r="B21" s="108"/>
      <c r="C21" s="108"/>
      <c r="D21" s="178"/>
      <c r="E21" s="179">
        <f>SUM(E20-F20)</f>
        <v>52.150000000000013</v>
      </c>
      <c r="F21" s="179"/>
      <c r="G21" s="179"/>
      <c r="H21" s="179">
        <f>SUM(E32*G32)</f>
        <v>91416</v>
      </c>
      <c r="I21" s="179">
        <f>I20-L20</f>
        <v>32455</v>
      </c>
      <c r="J21" s="179">
        <f>J20-M20</f>
        <v>248447</v>
      </c>
      <c r="K21" s="179">
        <f>SUM(H21:J21)</f>
        <v>372318</v>
      </c>
      <c r="L21" s="108"/>
      <c r="M21" s="108"/>
      <c r="N21" s="165"/>
      <c r="O21" s="170">
        <v>93545</v>
      </c>
    </row>
    <row r="22" spans="1:18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65"/>
    </row>
    <row r="23" spans="1:18" x14ac:dyDescent="0.25">
      <c r="A23" s="102"/>
      <c r="B23" s="102"/>
      <c r="C23" s="102" t="s">
        <v>37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65"/>
    </row>
    <row r="24" spans="1:18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65"/>
    </row>
    <row r="25" spans="1:18" x14ac:dyDescent="0.25">
      <c r="A25" s="102" t="s">
        <v>40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65"/>
    </row>
    <row r="26" spans="1:18" x14ac:dyDescent="0.25">
      <c r="A26" s="180" t="s">
        <v>41</v>
      </c>
      <c r="B26" s="180"/>
      <c r="C26" s="180"/>
      <c r="D26" s="180" t="s">
        <v>42</v>
      </c>
      <c r="E26" s="180" t="s">
        <v>43</v>
      </c>
      <c r="F26" s="180"/>
      <c r="G26" s="180" t="s">
        <v>44</v>
      </c>
      <c r="H26" s="102"/>
      <c r="I26" s="102"/>
      <c r="J26" s="102"/>
      <c r="K26" s="102"/>
      <c r="L26" s="102"/>
      <c r="M26" s="102"/>
      <c r="N26" s="165"/>
      <c r="P26" s="102" t="s">
        <v>45</v>
      </c>
      <c r="Q26" s="102">
        <v>0.94</v>
      </c>
    </row>
    <row r="27" spans="1:18" x14ac:dyDescent="0.25">
      <c r="A27" s="102" t="s">
        <v>46</v>
      </c>
      <c r="B27" s="102"/>
      <c r="C27" s="102"/>
      <c r="D27" s="102"/>
      <c r="E27" s="102"/>
      <c r="F27" s="102"/>
      <c r="G27" s="102"/>
      <c r="H27" s="102"/>
      <c r="K27" s="102"/>
      <c r="L27" s="102"/>
      <c r="M27" s="102"/>
      <c r="N27" s="165"/>
      <c r="P27" s="102" t="s">
        <v>47</v>
      </c>
      <c r="Q27" s="102">
        <v>0.75</v>
      </c>
    </row>
    <row r="28" spans="1:18" x14ac:dyDescent="0.25">
      <c r="A28" s="102" t="s">
        <v>153</v>
      </c>
      <c r="B28" s="102"/>
      <c r="C28" s="102"/>
      <c r="D28" s="102" t="s">
        <v>49</v>
      </c>
      <c r="E28" s="168">
        <v>767</v>
      </c>
      <c r="F28" s="102"/>
      <c r="G28" s="140">
        <v>224</v>
      </c>
      <c r="H28" s="102"/>
      <c r="K28" s="102"/>
      <c r="L28" s="102"/>
      <c r="M28" s="102"/>
      <c r="N28" s="165"/>
      <c r="Q28" s="102"/>
    </row>
    <row r="29" spans="1:18" x14ac:dyDescent="0.25">
      <c r="A29" s="102"/>
      <c r="B29" s="102"/>
      <c r="C29" s="102"/>
      <c r="D29" s="102"/>
      <c r="E29" s="102"/>
      <c r="F29" s="102"/>
      <c r="G29" s="102"/>
      <c r="H29" s="102"/>
      <c r="K29" s="181"/>
      <c r="L29" s="102"/>
      <c r="M29" s="102"/>
      <c r="N29" s="165"/>
      <c r="P29" s="102" t="s">
        <v>32</v>
      </c>
      <c r="Q29" s="102"/>
    </row>
    <row r="30" spans="1:18" x14ac:dyDescent="0.25">
      <c r="A30" s="102"/>
      <c r="B30" s="102"/>
      <c r="C30" s="102"/>
      <c r="D30" s="102"/>
      <c r="E30" s="102"/>
      <c r="F30" s="102"/>
      <c r="G30" s="102"/>
      <c r="H30" s="102"/>
      <c r="K30" s="181"/>
      <c r="L30" s="102"/>
      <c r="M30" s="102"/>
      <c r="N30" s="165"/>
      <c r="P30" s="182" t="s">
        <v>154</v>
      </c>
      <c r="Q30" s="183">
        <v>1</v>
      </c>
    </row>
    <row r="31" spans="1:18" x14ac:dyDescent="0.25">
      <c r="A31" s="102" t="s">
        <v>50</v>
      </c>
      <c r="B31" s="102"/>
      <c r="C31" s="102"/>
      <c r="D31" s="102"/>
      <c r="E31" s="102"/>
      <c r="F31" s="102"/>
      <c r="G31" s="102"/>
      <c r="H31" s="102"/>
      <c r="K31" s="181"/>
      <c r="L31" s="102"/>
      <c r="M31" s="102"/>
      <c r="N31" s="165"/>
    </row>
    <row r="32" spans="1:18" x14ac:dyDescent="0.25">
      <c r="A32" s="102" t="s">
        <v>91</v>
      </c>
      <c r="B32" s="102"/>
      <c r="C32" s="102"/>
      <c r="D32" s="102" t="s">
        <v>52</v>
      </c>
      <c r="E32" s="168">
        <v>52</v>
      </c>
      <c r="F32" s="102"/>
      <c r="G32" s="168">
        <v>1758</v>
      </c>
      <c r="H32" s="102"/>
      <c r="I32" s="102"/>
      <c r="J32" s="102"/>
      <c r="K32" s="181"/>
      <c r="L32" s="102"/>
      <c r="M32" s="102"/>
      <c r="N32" s="165"/>
    </row>
    <row r="33" spans="1:14" x14ac:dyDescent="0.25">
      <c r="A33" s="102" t="s">
        <v>53</v>
      </c>
      <c r="B33" s="102"/>
      <c r="C33" s="102"/>
      <c r="D33" s="102" t="s">
        <v>52</v>
      </c>
      <c r="E33" s="168">
        <v>48</v>
      </c>
      <c r="F33" s="102"/>
      <c r="G33" s="102"/>
      <c r="H33" s="102"/>
      <c r="I33" s="102"/>
      <c r="J33" s="102"/>
      <c r="K33" s="102"/>
      <c r="L33" s="102"/>
      <c r="M33" s="102"/>
      <c r="N33" s="165"/>
    </row>
    <row r="34" spans="1:14" x14ac:dyDescent="0.25">
      <c r="A34" s="102" t="s">
        <v>7</v>
      </c>
      <c r="B34" s="102"/>
      <c r="C34" s="102"/>
      <c r="D34" s="102" t="s">
        <v>52</v>
      </c>
      <c r="E34" s="168">
        <v>100</v>
      </c>
      <c r="F34" s="102"/>
      <c r="G34" s="102"/>
      <c r="H34" s="102"/>
      <c r="I34" s="102"/>
      <c r="J34" s="102"/>
      <c r="K34" s="102"/>
      <c r="L34" s="102"/>
      <c r="M34" s="102"/>
      <c r="N34" s="165"/>
    </row>
    <row r="35" spans="1:14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65"/>
    </row>
    <row r="36" spans="1:14" x14ac:dyDescent="0.25">
      <c r="A36" s="104" t="s">
        <v>93</v>
      </c>
      <c r="B36" s="104"/>
      <c r="C36" s="104" t="s">
        <v>94</v>
      </c>
      <c r="D36" s="104"/>
      <c r="E36" s="104"/>
      <c r="F36" s="104"/>
      <c r="G36" s="104"/>
      <c r="H36" s="102"/>
      <c r="I36" s="102"/>
      <c r="J36" s="102"/>
      <c r="K36" s="102"/>
      <c r="L36" s="102"/>
      <c r="M36" s="102"/>
      <c r="N36" s="165"/>
    </row>
    <row r="37" spans="1:14" x14ac:dyDescent="0.25">
      <c r="A37" s="184"/>
      <c r="B37" s="107" t="s">
        <v>155</v>
      </c>
      <c r="C37" s="185">
        <v>50</v>
      </c>
      <c r="D37" s="106" t="s">
        <v>49</v>
      </c>
      <c r="E37" s="186">
        <v>1109</v>
      </c>
      <c r="F37" s="106"/>
      <c r="G37" s="186">
        <v>9</v>
      </c>
      <c r="H37" s="102"/>
      <c r="I37" s="102"/>
      <c r="J37" s="102"/>
      <c r="K37" s="102"/>
      <c r="L37" s="102"/>
      <c r="M37" s="102"/>
      <c r="N37" s="165"/>
    </row>
    <row r="38" spans="1:14" x14ac:dyDescent="0.25">
      <c r="A38" s="184"/>
      <c r="B38" s="107" t="s">
        <v>98</v>
      </c>
      <c r="C38" s="185" t="s">
        <v>156</v>
      </c>
      <c r="D38" s="106"/>
      <c r="E38" s="186">
        <v>667</v>
      </c>
      <c r="F38" s="106"/>
      <c r="G38" s="186">
        <v>7</v>
      </c>
      <c r="H38" s="102"/>
      <c r="I38" s="102"/>
      <c r="J38" s="102"/>
      <c r="K38" s="102"/>
      <c r="L38" s="102"/>
      <c r="M38" s="102"/>
      <c r="N38" s="165"/>
    </row>
    <row r="39" spans="1:14" x14ac:dyDescent="0.25">
      <c r="A39" s="184"/>
      <c r="B39" s="107" t="s">
        <v>157</v>
      </c>
      <c r="C39" s="185">
        <v>88</v>
      </c>
      <c r="D39" s="106" t="s">
        <v>49</v>
      </c>
      <c r="E39" s="186">
        <v>259</v>
      </c>
      <c r="F39" s="106"/>
      <c r="G39" s="186">
        <v>66</v>
      </c>
      <c r="H39" s="102"/>
      <c r="I39" s="102"/>
      <c r="J39" s="102"/>
      <c r="K39" s="102"/>
      <c r="L39" s="102"/>
      <c r="M39" s="102"/>
      <c r="N39" s="165"/>
    </row>
    <row r="40" spans="1:14" x14ac:dyDescent="0.25">
      <c r="A40" s="184"/>
      <c r="B40" s="107" t="s">
        <v>158</v>
      </c>
      <c r="C40" s="185">
        <v>75</v>
      </c>
      <c r="D40" s="106"/>
      <c r="E40" s="186">
        <v>100</v>
      </c>
      <c r="F40" s="106"/>
      <c r="G40" s="186">
        <v>89</v>
      </c>
      <c r="H40" s="102"/>
      <c r="I40" s="102"/>
      <c r="J40" s="102"/>
      <c r="K40" s="102"/>
      <c r="L40" s="102"/>
      <c r="M40" s="102"/>
      <c r="N40" s="165"/>
    </row>
    <row r="41" spans="1:14" x14ac:dyDescent="0.25">
      <c r="A41" s="187" t="s">
        <v>54</v>
      </c>
      <c r="B41" s="104"/>
      <c r="C41" s="104"/>
      <c r="D41" s="104"/>
      <c r="E41" s="104"/>
      <c r="F41" s="187" t="s">
        <v>159</v>
      </c>
      <c r="G41" s="187" t="s">
        <v>55</v>
      </c>
      <c r="J41" s="102"/>
      <c r="K41" s="102"/>
      <c r="L41" s="102"/>
      <c r="M41" s="102"/>
      <c r="N41" s="165"/>
    </row>
    <row r="42" spans="1:14" x14ac:dyDescent="0.25">
      <c r="A42" s="106" t="s">
        <v>56</v>
      </c>
      <c r="B42" s="106"/>
      <c r="C42" s="106"/>
      <c r="D42" s="106"/>
      <c r="E42" s="106"/>
      <c r="F42" s="188">
        <v>3300</v>
      </c>
      <c r="G42" s="189">
        <f>+F42*2.471</f>
        <v>8154.3</v>
      </c>
      <c r="J42" s="102"/>
      <c r="K42" s="102"/>
      <c r="L42" s="102"/>
      <c r="M42" s="102"/>
      <c r="N42" s="165"/>
    </row>
    <row r="43" spans="1:14" x14ac:dyDescent="0.25">
      <c r="A43" s="106" t="s">
        <v>57</v>
      </c>
      <c r="B43" s="106"/>
      <c r="C43" s="106"/>
      <c r="D43" s="106"/>
      <c r="E43" s="106"/>
      <c r="F43" s="190">
        <v>159</v>
      </c>
      <c r="G43" s="189"/>
      <c r="J43" s="102"/>
      <c r="K43" s="102"/>
      <c r="L43" s="102"/>
      <c r="M43" s="102"/>
      <c r="N43" s="165"/>
    </row>
    <row r="44" spans="1:14" x14ac:dyDescent="0.25">
      <c r="A44" s="106" t="s">
        <v>58</v>
      </c>
      <c r="B44" s="106"/>
      <c r="C44" s="106"/>
      <c r="D44" s="106"/>
      <c r="E44" s="106"/>
      <c r="F44" s="190">
        <f>SUM(F42*F43)</f>
        <v>524700</v>
      </c>
      <c r="G44" s="189">
        <f>+F44*2.471</f>
        <v>1296533.7</v>
      </c>
      <c r="J44" s="102"/>
      <c r="K44" s="102"/>
      <c r="L44" s="102"/>
      <c r="M44" s="102"/>
      <c r="N44" s="165"/>
    </row>
    <row r="45" spans="1:14" x14ac:dyDescent="0.25">
      <c r="A45" s="106" t="s">
        <v>59</v>
      </c>
      <c r="B45" s="106"/>
      <c r="C45" s="106"/>
      <c r="D45" s="106"/>
      <c r="E45" s="106"/>
      <c r="F45" s="190">
        <f>SUM(F44-K20)</f>
        <v>52036</v>
      </c>
      <c r="G45" s="189">
        <f>+F45*2.471</f>
        <v>128580.95600000001</v>
      </c>
      <c r="J45" s="102"/>
      <c r="K45" s="102"/>
      <c r="L45" s="102"/>
      <c r="M45" s="102"/>
      <c r="N45" s="165"/>
    </row>
    <row r="46" spans="1:14" x14ac:dyDescent="0.25">
      <c r="A46" s="106" t="s">
        <v>60</v>
      </c>
      <c r="B46" s="106"/>
      <c r="C46" s="106"/>
      <c r="D46" s="106"/>
      <c r="E46" s="106"/>
      <c r="F46" s="190">
        <f>SUM(F44-K21)</f>
        <v>152382</v>
      </c>
      <c r="G46" s="189">
        <f>+F46*2.471</f>
        <v>376535.92200000002</v>
      </c>
      <c r="J46" s="102"/>
      <c r="K46" s="102"/>
      <c r="L46" s="102"/>
      <c r="M46" s="102"/>
      <c r="N46" s="165"/>
    </row>
    <row r="47" spans="1:14" x14ac:dyDescent="0.25">
      <c r="A47" s="106" t="s">
        <v>160</v>
      </c>
      <c r="B47" s="106"/>
      <c r="C47" s="106"/>
      <c r="D47" s="106"/>
      <c r="E47" s="106"/>
      <c r="F47" s="190">
        <f>SUM(K20/F42)</f>
        <v>143.23151515151514</v>
      </c>
      <c r="G47" s="106"/>
      <c r="J47" s="102"/>
      <c r="K47" s="102"/>
      <c r="L47" s="102"/>
      <c r="M47" s="102"/>
      <c r="N47" s="165"/>
    </row>
    <row r="48" spans="1:14" x14ac:dyDescent="0.25">
      <c r="A48" s="108" t="s">
        <v>161</v>
      </c>
      <c r="B48" s="108"/>
      <c r="C48" s="108"/>
      <c r="D48" s="108"/>
      <c r="E48" s="108"/>
      <c r="F48" s="191">
        <f>SUM(K21/F42)</f>
        <v>112.82363636363637</v>
      </c>
      <c r="G48" s="108"/>
      <c r="J48" s="102"/>
      <c r="K48" s="102"/>
      <c r="L48" s="102"/>
      <c r="M48" s="102"/>
      <c r="N48" s="165"/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selection activeCell="M30" sqref="M30"/>
    </sheetView>
  </sheetViews>
  <sheetFormatPr defaultColWidth="9.140625" defaultRowHeight="15" x14ac:dyDescent="0.25"/>
  <cols>
    <col min="1" max="2" width="9.140625" style="102"/>
    <col min="3" max="3" width="12" style="102" customWidth="1"/>
    <col min="4" max="4" width="10.85546875" style="102" customWidth="1"/>
    <col min="5" max="5" width="7.5703125" style="102" customWidth="1"/>
    <col min="6" max="6" width="6.85546875" style="102" customWidth="1"/>
    <col min="7" max="8" width="11.7109375" style="102" customWidth="1"/>
    <col min="9" max="9" width="12.7109375" style="102" customWidth="1"/>
    <col min="10" max="10" width="10.42578125" style="102" customWidth="1"/>
    <col min="11" max="11" width="12.140625" style="102" customWidth="1"/>
    <col min="12" max="12" width="11.5703125" style="102" customWidth="1"/>
    <col min="13" max="14" width="9.140625" style="102"/>
    <col min="15" max="15" width="9.7109375" style="102" bestFit="1" customWidth="1"/>
    <col min="16" max="16384" width="9.140625" style="102"/>
  </cols>
  <sheetData>
    <row r="1" spans="1:16" x14ac:dyDescent="0.25">
      <c r="A1" s="102" t="s">
        <v>0</v>
      </c>
      <c r="B1" s="102" t="s">
        <v>162</v>
      </c>
      <c r="N1" s="294"/>
      <c r="O1" s="295" t="s">
        <v>229</v>
      </c>
    </row>
    <row r="2" spans="1:16" x14ac:dyDescent="0.25">
      <c r="B2" s="102" t="s">
        <v>230</v>
      </c>
      <c r="N2" s="294"/>
      <c r="O2" s="296">
        <v>44781</v>
      </c>
    </row>
    <row r="3" spans="1:16" x14ac:dyDescent="0.25">
      <c r="B3" s="102" t="s">
        <v>231</v>
      </c>
      <c r="N3" s="294"/>
      <c r="O3" s="102" t="s">
        <v>232</v>
      </c>
    </row>
    <row r="4" spans="1:16" x14ac:dyDescent="0.25">
      <c r="A4" s="104" t="s">
        <v>5</v>
      </c>
      <c r="B4" s="104"/>
      <c r="C4" s="104"/>
      <c r="D4" s="164" t="s">
        <v>6</v>
      </c>
      <c r="E4" s="164" t="s">
        <v>7</v>
      </c>
      <c r="F4" s="164" t="s">
        <v>8</v>
      </c>
      <c r="G4" s="164" t="s">
        <v>9</v>
      </c>
      <c r="H4" s="164" t="s">
        <v>10</v>
      </c>
      <c r="I4" s="164" t="s">
        <v>11</v>
      </c>
      <c r="J4" s="164" t="s">
        <v>12</v>
      </c>
      <c r="K4" s="164" t="s">
        <v>13</v>
      </c>
      <c r="L4" s="105" t="s">
        <v>14</v>
      </c>
      <c r="M4" s="164"/>
      <c r="N4" s="294"/>
    </row>
    <row r="5" spans="1:16" x14ac:dyDescent="0.25">
      <c r="A5" s="106"/>
      <c r="B5" s="106"/>
      <c r="C5" s="106"/>
      <c r="D5" s="166" t="s">
        <v>15</v>
      </c>
      <c r="E5" s="166" t="s">
        <v>16</v>
      </c>
      <c r="F5" s="166" t="s">
        <v>16</v>
      </c>
      <c r="G5" s="166" t="s">
        <v>17</v>
      </c>
      <c r="H5" s="166" t="s">
        <v>18</v>
      </c>
      <c r="I5" s="166" t="s">
        <v>19</v>
      </c>
      <c r="J5" s="166" t="s">
        <v>18</v>
      </c>
      <c r="K5" s="166" t="s">
        <v>18</v>
      </c>
      <c r="L5" s="107" t="s">
        <v>11</v>
      </c>
      <c r="M5" s="166" t="s">
        <v>12</v>
      </c>
      <c r="N5" s="294"/>
    </row>
    <row r="6" spans="1:16" x14ac:dyDescent="0.25">
      <c r="A6" s="106"/>
      <c r="B6" s="106"/>
      <c r="C6" s="106"/>
      <c r="D6" s="166" t="s">
        <v>20</v>
      </c>
      <c r="E6" s="166"/>
      <c r="F6" s="166"/>
      <c r="G6" s="166"/>
      <c r="H6" s="166" t="s">
        <v>21</v>
      </c>
      <c r="I6" s="166" t="s">
        <v>18</v>
      </c>
      <c r="J6" s="166" t="s">
        <v>21</v>
      </c>
      <c r="K6" s="166" t="s">
        <v>21</v>
      </c>
      <c r="L6" s="166"/>
      <c r="M6" s="166"/>
      <c r="N6" s="294"/>
    </row>
    <row r="7" spans="1:16" x14ac:dyDescent="0.25">
      <c r="A7" s="108"/>
      <c r="B7" s="108"/>
      <c r="C7" s="108"/>
      <c r="D7" s="109"/>
      <c r="E7" s="109"/>
      <c r="F7" s="109"/>
      <c r="G7" s="109"/>
      <c r="H7" s="109"/>
      <c r="I7" s="109" t="s">
        <v>21</v>
      </c>
      <c r="J7" s="109"/>
      <c r="K7" s="109"/>
      <c r="L7" s="109"/>
      <c r="M7" s="109"/>
      <c r="N7" s="294"/>
    </row>
    <row r="8" spans="1:16" x14ac:dyDescent="0.25">
      <c r="A8" s="102" t="s">
        <v>71</v>
      </c>
      <c r="D8" s="192">
        <f>-33</f>
        <v>-33</v>
      </c>
      <c r="E8" s="161"/>
      <c r="F8" s="161"/>
      <c r="G8" s="193"/>
      <c r="H8" s="297" t="s">
        <v>233</v>
      </c>
      <c r="I8" s="111"/>
      <c r="J8" s="140"/>
      <c r="K8" s="161"/>
      <c r="L8" s="111"/>
      <c r="N8" s="294"/>
    </row>
    <row r="9" spans="1:16" x14ac:dyDescent="0.25">
      <c r="A9" s="102" t="s">
        <v>163</v>
      </c>
      <c r="D9" s="194">
        <v>100</v>
      </c>
      <c r="E9" s="140">
        <v>1.38</v>
      </c>
      <c r="F9" s="140">
        <v>1.38</v>
      </c>
      <c r="G9" s="195">
        <v>1500</v>
      </c>
      <c r="H9" s="140">
        <f>SUM(E9*G9)</f>
        <v>2070</v>
      </c>
      <c r="I9" s="140">
        <v>6000</v>
      </c>
      <c r="J9" s="140"/>
      <c r="K9" s="140">
        <f>H9+I9+J9</f>
        <v>8070</v>
      </c>
      <c r="L9" s="111"/>
      <c r="N9" s="294"/>
    </row>
    <row r="10" spans="1:16" x14ac:dyDescent="0.25">
      <c r="A10" s="102" t="s">
        <v>164</v>
      </c>
      <c r="D10" s="194">
        <v>50</v>
      </c>
      <c r="E10" s="140">
        <v>0.94</v>
      </c>
      <c r="F10" s="140">
        <v>0.94</v>
      </c>
      <c r="G10" s="195">
        <v>1500</v>
      </c>
      <c r="H10" s="140">
        <f t="shared" ref="H10:H18" si="0">SUM(E10*G10)</f>
        <v>1410</v>
      </c>
      <c r="I10" s="140">
        <v>4450</v>
      </c>
      <c r="J10" s="140"/>
      <c r="K10" s="140">
        <f>H10+I10+J10</f>
        <v>5860</v>
      </c>
      <c r="L10" s="111"/>
      <c r="N10" s="294"/>
    </row>
    <row r="11" spans="1:16" x14ac:dyDescent="0.25">
      <c r="A11" s="102" t="s">
        <v>165</v>
      </c>
      <c r="D11" s="194">
        <v>100</v>
      </c>
      <c r="E11" s="140">
        <v>1.54</v>
      </c>
      <c r="F11" s="140">
        <v>0.67</v>
      </c>
      <c r="G11" s="195">
        <v>1233</v>
      </c>
      <c r="H11" s="140">
        <v>1899</v>
      </c>
      <c r="I11" s="140"/>
      <c r="J11" s="140">
        <v>4694</v>
      </c>
      <c r="K11" s="140">
        <f>H11+I11+J11</f>
        <v>6593</v>
      </c>
      <c r="L11" s="111"/>
      <c r="M11" s="168">
        <v>679</v>
      </c>
      <c r="N11" s="294"/>
    </row>
    <row r="12" spans="1:16" x14ac:dyDescent="0.25">
      <c r="A12" s="102" t="s">
        <v>166</v>
      </c>
      <c r="D12" s="192">
        <v>-8</v>
      </c>
      <c r="E12" s="161"/>
      <c r="F12" s="161"/>
      <c r="G12" s="193"/>
      <c r="H12" s="297" t="s">
        <v>234</v>
      </c>
      <c r="I12" s="111"/>
      <c r="J12" s="140"/>
      <c r="K12" s="161"/>
      <c r="L12" s="111"/>
      <c r="N12" s="294"/>
    </row>
    <row r="13" spans="1:16" x14ac:dyDescent="0.25">
      <c r="A13" s="102" t="s">
        <v>167</v>
      </c>
      <c r="D13" s="192">
        <v>-17</v>
      </c>
      <c r="E13" s="161"/>
      <c r="F13" s="161"/>
      <c r="G13" s="193"/>
      <c r="H13" s="297" t="s">
        <v>235</v>
      </c>
      <c r="I13" s="111"/>
      <c r="J13" s="161">
        <f>-4750</f>
        <v>-4750</v>
      </c>
      <c r="K13" s="161"/>
      <c r="L13" s="111"/>
      <c r="N13" s="294"/>
    </row>
    <row r="14" spans="1:16" x14ac:dyDescent="0.25">
      <c r="A14" s="196" t="s">
        <v>81</v>
      </c>
      <c r="D14" s="194">
        <v>92</v>
      </c>
      <c r="E14" s="140">
        <v>6.64</v>
      </c>
      <c r="F14" s="140">
        <v>0.3</v>
      </c>
      <c r="G14" s="195">
        <v>1600</v>
      </c>
      <c r="H14" s="140">
        <f t="shared" si="0"/>
        <v>10624</v>
      </c>
      <c r="I14" s="111"/>
      <c r="J14" s="197">
        <v>1353</v>
      </c>
      <c r="K14" s="140">
        <f>H14+I14+J14</f>
        <v>11977</v>
      </c>
      <c r="L14" s="111"/>
      <c r="N14" s="294"/>
    </row>
    <row r="15" spans="1:16" x14ac:dyDescent="0.25">
      <c r="A15" s="102" t="s">
        <v>168</v>
      </c>
      <c r="D15" s="194">
        <v>100</v>
      </c>
      <c r="E15" s="140">
        <v>5.78</v>
      </c>
      <c r="F15" s="140">
        <v>1.73</v>
      </c>
      <c r="G15" s="195">
        <v>1704</v>
      </c>
      <c r="H15" s="140">
        <v>9849</v>
      </c>
      <c r="I15" s="111"/>
      <c r="J15" s="140"/>
      <c r="K15" s="140">
        <f t="shared" ref="K15" si="1">H15+I15+J15</f>
        <v>9849</v>
      </c>
      <c r="L15" s="111"/>
      <c r="N15" s="294"/>
    </row>
    <row r="16" spans="1:16" x14ac:dyDescent="0.25">
      <c r="A16" s="102" t="s">
        <v>169</v>
      </c>
      <c r="D16" s="194">
        <v>83</v>
      </c>
      <c r="E16" s="140">
        <v>0.48</v>
      </c>
      <c r="F16" s="140">
        <v>0.27</v>
      </c>
      <c r="G16" s="195">
        <v>1500</v>
      </c>
      <c r="H16" s="140">
        <f>SUM(E16*G16)</f>
        <v>720</v>
      </c>
      <c r="I16" s="140">
        <v>2257</v>
      </c>
      <c r="J16" s="140"/>
      <c r="K16" s="140">
        <f>H16+I16+J16</f>
        <v>2977</v>
      </c>
      <c r="L16" s="111"/>
      <c r="N16" s="294"/>
      <c r="P16" s="198"/>
    </row>
    <row r="17" spans="1:15" x14ac:dyDescent="0.25">
      <c r="A17" s="102" t="s">
        <v>170</v>
      </c>
      <c r="D17" s="192">
        <f>-17</f>
        <v>-17</v>
      </c>
      <c r="E17" s="161">
        <f>-1.83</f>
        <v>-1.83</v>
      </c>
      <c r="F17" s="161">
        <f>-1.83</f>
        <v>-1.83</v>
      </c>
      <c r="G17" s="193">
        <f>-1500</f>
        <v>-1500</v>
      </c>
      <c r="H17" s="297" t="s">
        <v>236</v>
      </c>
      <c r="I17" s="111"/>
      <c r="J17" s="140"/>
      <c r="K17" s="161"/>
      <c r="L17" s="111"/>
      <c r="N17" s="294"/>
    </row>
    <row r="18" spans="1:15" x14ac:dyDescent="0.25">
      <c r="A18" s="102" t="s">
        <v>30</v>
      </c>
      <c r="D18" s="194">
        <v>42</v>
      </c>
      <c r="E18" s="140">
        <v>0.15</v>
      </c>
      <c r="F18" s="140">
        <v>0.15</v>
      </c>
      <c r="G18" s="195">
        <v>1500</v>
      </c>
      <c r="H18" s="140">
        <f t="shared" si="0"/>
        <v>225</v>
      </c>
      <c r="I18" s="140">
        <v>1800</v>
      </c>
      <c r="J18" s="140"/>
      <c r="K18" s="140">
        <f>H18+I18+J18</f>
        <v>2025</v>
      </c>
      <c r="L18" s="111"/>
      <c r="N18" s="294"/>
    </row>
    <row r="19" spans="1:15" x14ac:dyDescent="0.25">
      <c r="A19" s="199" t="s">
        <v>31</v>
      </c>
      <c r="B19" s="199"/>
      <c r="C19" s="199"/>
      <c r="D19" s="176"/>
      <c r="E19" s="177">
        <f>E9+E10+E11+E14+E15+E16+E18</f>
        <v>16.91</v>
      </c>
      <c r="F19" s="177">
        <f>F9+F10+F11+F14+F15+F16+F18</f>
        <v>5.4399999999999995</v>
      </c>
      <c r="G19" s="177"/>
      <c r="H19" s="177">
        <f>SUM(H8:H18)</f>
        <v>26797</v>
      </c>
      <c r="I19" s="177">
        <f>SUM(I8:I18)</f>
        <v>14507</v>
      </c>
      <c r="J19" s="177">
        <f>J11+J14</f>
        <v>6047</v>
      </c>
      <c r="K19" s="177">
        <f>SUM(H19:J19)</f>
        <v>47351</v>
      </c>
      <c r="L19" s="104"/>
      <c r="M19" s="177">
        <f>SUM(M8:M18)</f>
        <v>679</v>
      </c>
      <c r="N19" s="294"/>
    </row>
    <row r="20" spans="1:15" x14ac:dyDescent="0.25">
      <c r="A20" s="200" t="s">
        <v>34</v>
      </c>
      <c r="B20" s="200"/>
      <c r="C20" s="200"/>
      <c r="D20" s="178"/>
      <c r="E20" s="179">
        <f>SUM(E19-F19)</f>
        <v>11.47</v>
      </c>
      <c r="F20" s="179"/>
      <c r="G20" s="179"/>
      <c r="H20" s="179">
        <f>SUM(E31*G31)</f>
        <v>18912</v>
      </c>
      <c r="I20" s="179">
        <f>I19-L19</f>
        <v>14507</v>
      </c>
      <c r="J20" s="179">
        <f>J19-M19</f>
        <v>5368</v>
      </c>
      <c r="K20" s="179">
        <f>SUM(H20:J20)</f>
        <v>38787</v>
      </c>
      <c r="L20" s="108"/>
      <c r="M20" s="108"/>
      <c r="N20" s="294"/>
    </row>
    <row r="21" spans="1:15" x14ac:dyDescent="0.25">
      <c r="N21" s="294"/>
    </row>
    <row r="22" spans="1:15" x14ac:dyDescent="0.25">
      <c r="C22" s="102" t="s">
        <v>37</v>
      </c>
      <c r="H22" s="168"/>
      <c r="N22" s="294"/>
    </row>
    <row r="23" spans="1:15" x14ac:dyDescent="0.25">
      <c r="N23" s="294"/>
    </row>
    <row r="24" spans="1:15" x14ac:dyDescent="0.25">
      <c r="A24" s="102" t="s">
        <v>40</v>
      </c>
      <c r="N24" s="294"/>
    </row>
    <row r="25" spans="1:15" x14ac:dyDescent="0.25">
      <c r="A25" s="180" t="s">
        <v>41</v>
      </c>
      <c r="B25" s="180"/>
      <c r="C25" s="180"/>
      <c r="D25" s="180" t="s">
        <v>42</v>
      </c>
      <c r="E25" s="180" t="s">
        <v>43</v>
      </c>
      <c r="F25" s="180"/>
      <c r="G25" s="180" t="s">
        <v>44</v>
      </c>
      <c r="K25" s="181"/>
      <c r="N25" s="298"/>
    </row>
    <row r="26" spans="1:15" x14ac:dyDescent="0.25">
      <c r="A26" s="102" t="s">
        <v>46</v>
      </c>
      <c r="J26" s="137" t="s">
        <v>171</v>
      </c>
      <c r="K26" s="138">
        <v>58</v>
      </c>
      <c r="N26" s="299"/>
    </row>
    <row r="27" spans="1:15" x14ac:dyDescent="0.25">
      <c r="A27" s="201" t="s">
        <v>237</v>
      </c>
      <c r="D27" s="102" t="s">
        <v>49</v>
      </c>
      <c r="E27" s="140">
        <v>10.5</v>
      </c>
      <c r="F27" s="111"/>
      <c r="G27" s="140">
        <v>447</v>
      </c>
      <c r="H27" s="111"/>
      <c r="J27" s="137" t="s">
        <v>172</v>
      </c>
      <c r="K27" s="138">
        <v>25</v>
      </c>
      <c r="N27" s="294"/>
    </row>
    <row r="28" spans="1:15" x14ac:dyDescent="0.25">
      <c r="E28" s="168"/>
      <c r="G28" s="202"/>
      <c r="J28" s="137" t="s">
        <v>173</v>
      </c>
      <c r="K28" s="137">
        <v>17</v>
      </c>
      <c r="N28" s="294"/>
    </row>
    <row r="29" spans="1:15" x14ac:dyDescent="0.25">
      <c r="J29" s="111"/>
      <c r="K29" s="111"/>
      <c r="N29" s="294"/>
    </row>
    <row r="30" spans="1:15" x14ac:dyDescent="0.25">
      <c r="A30" s="102" t="s">
        <v>50</v>
      </c>
      <c r="J30" s="137" t="s">
        <v>45</v>
      </c>
      <c r="K30" s="137">
        <v>1.73</v>
      </c>
      <c r="N30" s="294"/>
      <c r="O30" s="168"/>
    </row>
    <row r="31" spans="1:15" x14ac:dyDescent="0.25">
      <c r="A31" s="102" t="s">
        <v>51</v>
      </c>
      <c r="D31" s="102" t="s">
        <v>52</v>
      </c>
      <c r="E31" s="168">
        <v>12</v>
      </c>
      <c r="G31" s="168">
        <v>1576</v>
      </c>
      <c r="J31" s="137" t="s">
        <v>47</v>
      </c>
      <c r="K31" s="203">
        <v>1</v>
      </c>
      <c r="N31" s="294"/>
    </row>
    <row r="32" spans="1:15" x14ac:dyDescent="0.25">
      <c r="A32" s="102" t="s">
        <v>53</v>
      </c>
      <c r="D32" s="102" t="s">
        <v>52</v>
      </c>
      <c r="E32" s="168">
        <v>5</v>
      </c>
      <c r="J32" s="111"/>
      <c r="K32" s="111"/>
      <c r="N32" s="294"/>
    </row>
    <row r="33" spans="1:14" x14ac:dyDescent="0.25">
      <c r="A33" s="102" t="s">
        <v>7</v>
      </c>
      <c r="D33" s="102" t="s">
        <v>52</v>
      </c>
      <c r="E33" s="168">
        <f>SUM(E31:E32)</f>
        <v>17</v>
      </c>
      <c r="J33" s="111"/>
      <c r="K33" s="204"/>
      <c r="N33" s="294"/>
    </row>
    <row r="34" spans="1:14" x14ac:dyDescent="0.25">
      <c r="A34" s="200"/>
      <c r="B34" s="205"/>
      <c r="C34" s="206"/>
      <c r="D34" s="200"/>
      <c r="E34" s="108"/>
      <c r="F34" s="108"/>
      <c r="G34" s="108"/>
      <c r="N34" s="294"/>
    </row>
    <row r="35" spans="1:14" x14ac:dyDescent="0.25">
      <c r="A35" s="199" t="s">
        <v>54</v>
      </c>
      <c r="B35" s="199"/>
      <c r="C35" s="199"/>
      <c r="D35" s="207"/>
      <c r="E35" s="145"/>
      <c r="F35" s="145"/>
      <c r="G35" s="145"/>
      <c r="H35" s="102" t="s">
        <v>238</v>
      </c>
      <c r="N35" s="294"/>
    </row>
    <row r="36" spans="1:14" x14ac:dyDescent="0.25">
      <c r="A36" s="208" t="s">
        <v>56</v>
      </c>
      <c r="B36" s="208"/>
      <c r="C36" s="208"/>
      <c r="D36" s="150"/>
      <c r="E36" s="149"/>
      <c r="F36" s="149"/>
      <c r="G36" s="159">
        <v>280</v>
      </c>
      <c r="H36" s="202">
        <f>G36*2.47</f>
        <v>691.6</v>
      </c>
      <c r="N36" s="294"/>
    </row>
    <row r="37" spans="1:14" x14ac:dyDescent="0.25">
      <c r="A37" s="208" t="s">
        <v>57</v>
      </c>
      <c r="B37" s="208"/>
      <c r="C37" s="208"/>
      <c r="D37" s="150"/>
      <c r="E37" s="149"/>
      <c r="F37" s="149"/>
      <c r="G37" s="160">
        <v>228</v>
      </c>
      <c r="H37" s="202"/>
      <c r="N37" s="294"/>
    </row>
    <row r="38" spans="1:14" x14ac:dyDescent="0.25">
      <c r="A38" s="208" t="s">
        <v>58</v>
      </c>
      <c r="B38" s="208"/>
      <c r="C38" s="208"/>
      <c r="D38" s="150"/>
      <c r="E38" s="149"/>
      <c r="F38" s="149"/>
      <c r="G38" s="160">
        <f>G36*G37</f>
        <v>63840</v>
      </c>
      <c r="H38" s="202">
        <f t="shared" ref="H38:H40" si="2">G38*2.47</f>
        <v>157684.80000000002</v>
      </c>
      <c r="N38" s="294"/>
    </row>
    <row r="39" spans="1:14" x14ac:dyDescent="0.25">
      <c r="A39" s="208" t="s">
        <v>59</v>
      </c>
      <c r="B39" s="208"/>
      <c r="C39" s="208"/>
      <c r="D39" s="209"/>
      <c r="E39" s="149"/>
      <c r="F39" s="149"/>
      <c r="G39" s="160">
        <f>G38-K19</f>
        <v>16489</v>
      </c>
      <c r="H39" s="202">
        <f t="shared" si="2"/>
        <v>40727.83</v>
      </c>
      <c r="N39" s="294"/>
    </row>
    <row r="40" spans="1:14" x14ac:dyDescent="0.25">
      <c r="A40" s="208" t="s">
        <v>60</v>
      </c>
      <c r="B40" s="208"/>
      <c r="C40" s="208"/>
      <c r="D40" s="209"/>
      <c r="E40" s="149"/>
      <c r="F40" s="149"/>
      <c r="G40" s="160">
        <f>G38-K20</f>
        <v>25053</v>
      </c>
      <c r="H40" s="202">
        <f t="shared" si="2"/>
        <v>61880.91</v>
      </c>
      <c r="N40" s="294"/>
    </row>
    <row r="41" spans="1:14" x14ac:dyDescent="0.25">
      <c r="A41" s="208"/>
      <c r="B41" s="208"/>
      <c r="C41" s="208"/>
      <c r="D41" s="150"/>
      <c r="E41" s="149"/>
      <c r="F41" s="149"/>
      <c r="G41" s="160"/>
      <c r="N41" s="294"/>
    </row>
    <row r="42" spans="1:14" x14ac:dyDescent="0.25">
      <c r="A42" s="208" t="s">
        <v>160</v>
      </c>
      <c r="B42" s="208"/>
      <c r="C42" s="208"/>
      <c r="D42" s="150"/>
      <c r="E42" s="149"/>
      <c r="F42" s="149"/>
      <c r="G42" s="160">
        <f>K19/G36</f>
        <v>169.11071428571429</v>
      </c>
      <c r="N42" s="294"/>
    </row>
    <row r="43" spans="1:14" x14ac:dyDescent="0.25">
      <c r="A43" s="200" t="s">
        <v>161</v>
      </c>
      <c r="B43" s="200"/>
      <c r="C43" s="200"/>
      <c r="D43" s="210"/>
      <c r="E43" s="143"/>
      <c r="F43" s="143"/>
      <c r="G43" s="163">
        <f>K20/G36</f>
        <v>138.52500000000001</v>
      </c>
      <c r="N43" s="294"/>
    </row>
    <row r="44" spans="1:14" x14ac:dyDescent="0.25">
      <c r="D44" s="111"/>
      <c r="E44" s="111"/>
      <c r="F44" s="111"/>
      <c r="G44" s="111"/>
    </row>
    <row r="54" spans="7:7" x14ac:dyDescent="0.25">
      <c r="G54" s="10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>
      <selection activeCell="K41" sqref="K40:K41"/>
    </sheetView>
  </sheetViews>
  <sheetFormatPr defaultColWidth="9.140625" defaultRowHeight="12" x14ac:dyDescent="0.2"/>
  <cols>
    <col min="1" max="2" width="9.140625" style="49"/>
    <col min="3" max="3" width="5.42578125" style="49" customWidth="1"/>
    <col min="4" max="4" width="5" style="49" customWidth="1"/>
    <col min="5" max="5" width="6.28515625" style="49" customWidth="1"/>
    <col min="6" max="6" width="11" style="49" customWidth="1"/>
    <col min="7" max="7" width="9" style="49" customWidth="1"/>
    <col min="8" max="9" width="8.28515625" style="49" customWidth="1"/>
    <col min="10" max="10" width="8.42578125" style="49" customWidth="1"/>
    <col min="11" max="11" width="9" style="49" customWidth="1"/>
    <col min="12" max="12" width="6.85546875" style="49" customWidth="1"/>
    <col min="13" max="13" width="6" style="49" customWidth="1"/>
    <col min="14" max="14" width="7.85546875" style="49" customWidth="1"/>
    <col min="15" max="15" width="9.140625" style="49"/>
    <col min="16" max="16" width="10" style="49" bestFit="1" customWidth="1"/>
    <col min="17" max="16384" width="9.140625" style="49"/>
  </cols>
  <sheetData>
    <row r="1" spans="1:21" ht="12.95" customHeight="1" x14ac:dyDescent="0.2">
      <c r="A1" s="49" t="s">
        <v>0</v>
      </c>
      <c r="B1" s="49" t="s">
        <v>174</v>
      </c>
      <c r="N1" s="211"/>
      <c r="O1" s="49" t="s">
        <v>175</v>
      </c>
    </row>
    <row r="2" spans="1:21" x14ac:dyDescent="0.2">
      <c r="B2" s="49" t="s">
        <v>176</v>
      </c>
      <c r="N2" s="211"/>
    </row>
    <row r="3" spans="1:21" x14ac:dyDescent="0.2">
      <c r="B3" s="49" t="s">
        <v>177</v>
      </c>
      <c r="N3" s="211"/>
    </row>
    <row r="4" spans="1:21" x14ac:dyDescent="0.2">
      <c r="A4" s="49" t="s">
        <v>5</v>
      </c>
      <c r="D4" s="49" t="s">
        <v>6</v>
      </c>
      <c r="E4" s="49" t="s">
        <v>7</v>
      </c>
      <c r="F4" s="49" t="s">
        <v>8</v>
      </c>
      <c r="G4" s="49" t="s">
        <v>9</v>
      </c>
      <c r="H4" s="49" t="s">
        <v>10</v>
      </c>
      <c r="I4" s="49" t="s">
        <v>11</v>
      </c>
      <c r="J4" s="49" t="s">
        <v>12</v>
      </c>
      <c r="K4" s="49" t="s">
        <v>13</v>
      </c>
      <c r="L4" s="49" t="s">
        <v>14</v>
      </c>
      <c r="N4" s="211"/>
    </row>
    <row r="5" spans="1:21" x14ac:dyDescent="0.2">
      <c r="A5" s="37"/>
      <c r="B5" s="37"/>
      <c r="C5" s="37"/>
      <c r="D5" s="38" t="s">
        <v>15</v>
      </c>
      <c r="E5" s="38" t="s">
        <v>16</v>
      </c>
      <c r="F5" s="38" t="s">
        <v>16</v>
      </c>
      <c r="G5" s="38" t="s">
        <v>17</v>
      </c>
      <c r="H5" s="38" t="s">
        <v>18</v>
      </c>
      <c r="I5" s="38" t="s">
        <v>19</v>
      </c>
      <c r="J5" s="38" t="s">
        <v>18</v>
      </c>
      <c r="K5" s="38" t="s">
        <v>18</v>
      </c>
      <c r="L5" s="39" t="s">
        <v>11</v>
      </c>
      <c r="M5" s="38" t="s">
        <v>12</v>
      </c>
      <c r="N5" s="211"/>
    </row>
    <row r="6" spans="1:21" x14ac:dyDescent="0.2">
      <c r="A6" s="42"/>
      <c r="B6" s="42"/>
      <c r="C6" s="42"/>
      <c r="D6" s="43" t="s">
        <v>20</v>
      </c>
      <c r="E6" s="43"/>
      <c r="F6" s="43"/>
      <c r="G6" s="43"/>
      <c r="H6" s="43" t="s">
        <v>21</v>
      </c>
      <c r="I6" s="43" t="s">
        <v>18</v>
      </c>
      <c r="J6" s="43" t="s">
        <v>21</v>
      </c>
      <c r="K6" s="43" t="s">
        <v>21</v>
      </c>
      <c r="L6" s="44"/>
      <c r="M6" s="43"/>
      <c r="N6" s="211"/>
      <c r="Q6" s="212"/>
    </row>
    <row r="7" spans="1:21" x14ac:dyDescent="0.2">
      <c r="A7" s="42"/>
      <c r="B7" s="42"/>
      <c r="C7" s="42"/>
      <c r="D7" s="43"/>
      <c r="E7" s="43"/>
      <c r="F7" s="43"/>
      <c r="G7" s="43"/>
      <c r="H7" s="43"/>
      <c r="I7" s="43" t="s">
        <v>21</v>
      </c>
      <c r="J7" s="43"/>
      <c r="K7" s="43"/>
      <c r="L7" s="43"/>
      <c r="M7" s="43"/>
      <c r="N7" s="211"/>
      <c r="R7" s="49">
        <f>5070/1302</f>
        <v>3.8940092165898617</v>
      </c>
    </row>
    <row r="8" spans="1:21" x14ac:dyDescent="0.2">
      <c r="A8" s="46"/>
      <c r="B8" s="46"/>
      <c r="C8" s="46"/>
      <c r="D8" s="213"/>
      <c r="E8" s="214"/>
      <c r="F8" s="214"/>
      <c r="G8" s="214"/>
      <c r="H8" s="214"/>
      <c r="I8" s="47"/>
      <c r="J8" s="214"/>
      <c r="K8" s="214"/>
      <c r="L8" s="47"/>
      <c r="M8" s="47"/>
      <c r="N8" s="211"/>
      <c r="R8" s="49">
        <f>6148/1302</f>
        <v>4.7219662058371732</v>
      </c>
    </row>
    <row r="9" spans="1:21" ht="13.5" customHeight="1" x14ac:dyDescent="0.2">
      <c r="A9" s="49" t="s">
        <v>178</v>
      </c>
      <c r="B9" s="64"/>
      <c r="D9" s="50">
        <v>100</v>
      </c>
      <c r="E9" s="51">
        <v>4.18</v>
      </c>
      <c r="F9" s="51">
        <v>3.92</v>
      </c>
      <c r="G9" s="52">
        <v>1453.5911602209947</v>
      </c>
      <c r="H9" s="51">
        <v>6076</v>
      </c>
      <c r="J9" s="51">
        <v>1150</v>
      </c>
      <c r="K9" s="51">
        <f>+H9+I9+J9</f>
        <v>7226</v>
      </c>
      <c r="N9" s="211"/>
      <c r="P9" s="88">
        <v>6076.0110497237574</v>
      </c>
    </row>
    <row r="10" spans="1:21" ht="12.6" customHeight="1" x14ac:dyDescent="0.2">
      <c r="A10" s="49" t="s">
        <v>179</v>
      </c>
      <c r="D10" s="50">
        <v>55</v>
      </c>
      <c r="E10" s="51">
        <v>5</v>
      </c>
      <c r="F10" s="51">
        <v>1.5</v>
      </c>
      <c r="G10" s="52">
        <v>2000</v>
      </c>
      <c r="H10" s="51">
        <f t="shared" ref="H10:H12" si="0">+E10*G10</f>
        <v>10000</v>
      </c>
      <c r="I10" s="51"/>
      <c r="J10" s="51"/>
      <c r="K10" s="51">
        <f t="shared" ref="K10:K20" si="1">+H10+I10+J10</f>
        <v>10000</v>
      </c>
      <c r="N10" s="211"/>
      <c r="P10" s="88">
        <v>10000</v>
      </c>
      <c r="R10" s="51">
        <v>9.1674347158218126</v>
      </c>
    </row>
    <row r="11" spans="1:21" ht="12.6" customHeight="1" x14ac:dyDescent="0.2">
      <c r="A11" s="49" t="s">
        <v>180</v>
      </c>
      <c r="D11" s="215">
        <v>73</v>
      </c>
      <c r="E11" s="51">
        <v>1.3</v>
      </c>
      <c r="F11" s="51">
        <v>0.48</v>
      </c>
      <c r="G11" s="216">
        <v>1380</v>
      </c>
      <c r="H11" s="51">
        <f t="shared" si="0"/>
        <v>1794</v>
      </c>
      <c r="I11" s="51">
        <v>11500</v>
      </c>
      <c r="J11" s="51"/>
      <c r="K11" s="51">
        <f t="shared" si="1"/>
        <v>13294</v>
      </c>
      <c r="L11" s="51"/>
      <c r="N11" s="211"/>
      <c r="P11" s="88">
        <v>1794</v>
      </c>
      <c r="R11" s="217">
        <v>9.0399999999999991</v>
      </c>
      <c r="S11" s="217">
        <v>5.48</v>
      </c>
      <c r="T11" s="218"/>
      <c r="U11" s="218"/>
    </row>
    <row r="12" spans="1:21" ht="11.45" customHeight="1" x14ac:dyDescent="0.2">
      <c r="A12" s="42" t="s">
        <v>181</v>
      </c>
      <c r="D12" s="50">
        <v>45</v>
      </c>
      <c r="E12" s="51">
        <v>8</v>
      </c>
      <c r="F12" s="51">
        <v>6.67</v>
      </c>
      <c r="G12" s="52">
        <v>2000</v>
      </c>
      <c r="H12" s="51">
        <f t="shared" si="0"/>
        <v>16000</v>
      </c>
      <c r="I12" s="51"/>
      <c r="J12" s="51"/>
      <c r="K12" s="51">
        <f t="shared" si="1"/>
        <v>16000</v>
      </c>
      <c r="L12" s="51"/>
      <c r="M12" s="51"/>
      <c r="N12" s="211"/>
      <c r="P12" s="88">
        <v>16000</v>
      </c>
      <c r="R12" s="69">
        <v>8.42</v>
      </c>
      <c r="S12" s="69">
        <v>7.53</v>
      </c>
      <c r="T12" s="212"/>
    </row>
    <row r="13" spans="1:21" s="218" customFormat="1" x14ac:dyDescent="0.2">
      <c r="A13" s="219" t="s">
        <v>182</v>
      </c>
      <c r="D13" s="220">
        <v>100</v>
      </c>
      <c r="E13" s="53">
        <v>9.0399999999999991</v>
      </c>
      <c r="F13" s="53">
        <v>5.48</v>
      </c>
      <c r="G13" s="52">
        <v>1953.13</v>
      </c>
      <c r="H13" s="51">
        <v>17656</v>
      </c>
      <c r="I13" s="53"/>
      <c r="J13" s="53">
        <v>3378</v>
      </c>
      <c r="K13" s="53">
        <f t="shared" si="1"/>
        <v>21034</v>
      </c>
      <c r="M13" s="53"/>
      <c r="N13" s="211"/>
      <c r="P13" s="221">
        <v>17656.2952</v>
      </c>
      <c r="R13" s="69"/>
      <c r="S13" s="69"/>
      <c r="T13" s="212"/>
      <c r="U13" s="49"/>
    </row>
    <row r="14" spans="1:21" x14ac:dyDescent="0.2">
      <c r="A14" s="42" t="s">
        <v>146</v>
      </c>
      <c r="D14" s="215" t="s">
        <v>183</v>
      </c>
      <c r="E14" s="62">
        <v>8.42</v>
      </c>
      <c r="F14" s="62">
        <v>7.53</v>
      </c>
      <c r="G14" s="222">
        <v>1500</v>
      </c>
      <c r="H14" s="62">
        <f>+E14*G14</f>
        <v>12630</v>
      </c>
      <c r="I14" s="51"/>
      <c r="J14" s="51"/>
      <c r="K14" s="223">
        <f>+J14+J15+H14</f>
        <v>82896</v>
      </c>
      <c r="L14" s="51"/>
      <c r="M14" s="51"/>
      <c r="N14" s="55"/>
      <c r="P14" s="88">
        <v>12630</v>
      </c>
      <c r="T14" s="51"/>
      <c r="U14" s="49">
        <f>24961/1302</f>
        <v>19.171274961597543</v>
      </c>
    </row>
    <row r="15" spans="1:21" x14ac:dyDescent="0.2">
      <c r="A15" s="42" t="s">
        <v>147</v>
      </c>
      <c r="D15" s="50">
        <v>82</v>
      </c>
      <c r="E15" s="62"/>
      <c r="F15" s="62"/>
      <c r="G15" s="222"/>
      <c r="H15" s="62"/>
      <c r="I15" s="51"/>
      <c r="J15" s="224">
        <f>+E38*G38+E39*G39</f>
        <v>70266</v>
      </c>
      <c r="K15" s="223"/>
      <c r="L15" s="51"/>
      <c r="M15" s="51"/>
      <c r="N15" s="55"/>
      <c r="P15" s="88"/>
      <c r="S15" s="51"/>
      <c r="T15" s="51"/>
    </row>
    <row r="16" spans="1:21" x14ac:dyDescent="0.2">
      <c r="A16" s="225" t="s">
        <v>184</v>
      </c>
      <c r="D16" s="50">
        <v>90</v>
      </c>
      <c r="E16" s="51">
        <v>14.1</v>
      </c>
      <c r="F16" s="51">
        <v>8.2100000000000009</v>
      </c>
      <c r="G16" s="52">
        <v>1533.33</v>
      </c>
      <c r="H16" s="51">
        <v>21620</v>
      </c>
      <c r="I16" s="51"/>
      <c r="J16" s="51"/>
      <c r="K16" s="51">
        <f t="shared" si="1"/>
        <v>21620</v>
      </c>
      <c r="L16" s="51"/>
      <c r="M16" s="51"/>
      <c r="N16" s="211"/>
      <c r="P16" s="88">
        <v>21619.952999999998</v>
      </c>
      <c r="S16" s="51"/>
      <c r="T16" s="51"/>
    </row>
    <row r="17" spans="1:20" x14ac:dyDescent="0.2">
      <c r="A17" s="49" t="s">
        <v>185</v>
      </c>
      <c r="D17" s="50">
        <v>100</v>
      </c>
      <c r="E17" s="51">
        <v>8.16</v>
      </c>
      <c r="F17" s="51">
        <v>6.22</v>
      </c>
      <c r="G17" s="52">
        <v>1985.71</v>
      </c>
      <c r="H17" s="51">
        <v>16023</v>
      </c>
      <c r="I17" s="51"/>
      <c r="J17" s="51">
        <v>34713</v>
      </c>
      <c r="K17" s="51">
        <f t="shared" si="1"/>
        <v>50736</v>
      </c>
      <c r="L17" s="51"/>
      <c r="M17" s="51"/>
      <c r="N17" s="211"/>
      <c r="P17" s="88">
        <v>16203.393600000001</v>
      </c>
      <c r="S17" s="51"/>
      <c r="T17" s="51"/>
    </row>
    <row r="18" spans="1:20" x14ac:dyDescent="0.2">
      <c r="A18" s="49" t="s">
        <v>150</v>
      </c>
      <c r="D18" s="50">
        <v>100</v>
      </c>
      <c r="E18" s="51">
        <v>12.69</v>
      </c>
      <c r="F18" s="51">
        <v>12.69</v>
      </c>
      <c r="G18" s="52">
        <v>1380</v>
      </c>
      <c r="H18" s="51">
        <v>17512</v>
      </c>
      <c r="I18" s="51">
        <v>26128</v>
      </c>
      <c r="J18" s="51"/>
      <c r="K18" s="51">
        <f t="shared" si="1"/>
        <v>43640</v>
      </c>
      <c r="L18" s="51"/>
      <c r="M18" s="51"/>
      <c r="N18" s="211"/>
      <c r="P18" s="88">
        <v>17512.2</v>
      </c>
      <c r="S18" s="51"/>
    </row>
    <row r="19" spans="1:20" x14ac:dyDescent="0.2">
      <c r="A19" s="49" t="s">
        <v>186</v>
      </c>
      <c r="D19" s="50">
        <v>100</v>
      </c>
      <c r="E19" s="51">
        <v>24.6</v>
      </c>
      <c r="F19" s="51">
        <v>14.6</v>
      </c>
      <c r="G19" s="52">
        <v>1380</v>
      </c>
      <c r="H19" s="51">
        <f>+E19*G19</f>
        <v>33948</v>
      </c>
      <c r="I19" s="51"/>
      <c r="J19" s="51"/>
      <c r="K19" s="51">
        <f t="shared" si="1"/>
        <v>33948</v>
      </c>
      <c r="L19" s="51"/>
      <c r="M19" s="51"/>
      <c r="N19" s="211"/>
      <c r="P19" s="88">
        <v>33948</v>
      </c>
      <c r="R19" s="51"/>
      <c r="S19" s="51"/>
    </row>
    <row r="20" spans="1:20" x14ac:dyDescent="0.2">
      <c r="A20" s="49" t="s">
        <v>187</v>
      </c>
      <c r="D20" s="50">
        <v>73</v>
      </c>
      <c r="E20" s="226">
        <v>4.2699999999999996</v>
      </c>
      <c r="F20" s="226">
        <v>4.2699999999999996</v>
      </c>
      <c r="G20" s="227">
        <v>1380</v>
      </c>
      <c r="H20" s="51">
        <v>5893</v>
      </c>
      <c r="I20" s="226">
        <v>8666</v>
      </c>
      <c r="J20" s="226"/>
      <c r="K20" s="51">
        <f t="shared" si="1"/>
        <v>14559</v>
      </c>
      <c r="L20" s="226">
        <v>559</v>
      </c>
      <c r="M20" s="226"/>
      <c r="N20" s="211"/>
      <c r="P20" s="88">
        <v>5892.5999999999995</v>
      </c>
      <c r="R20" s="51"/>
      <c r="S20" s="51"/>
    </row>
    <row r="21" spans="1:20" x14ac:dyDescent="0.2">
      <c r="A21" s="71" t="s">
        <v>31</v>
      </c>
      <c r="B21" s="71"/>
      <c r="C21" s="71"/>
      <c r="D21" s="72"/>
      <c r="E21" s="73">
        <f t="shared" ref="E21:K21" si="2">SUM(E9:E20)</f>
        <v>99.76</v>
      </c>
      <c r="F21" s="73">
        <f t="shared" si="2"/>
        <v>71.569999999999993</v>
      </c>
      <c r="G21" s="73">
        <f t="shared" si="2"/>
        <v>17945.761160220994</v>
      </c>
      <c r="H21" s="73">
        <f t="shared" si="2"/>
        <v>159152</v>
      </c>
      <c r="I21" s="73">
        <f t="shared" si="2"/>
        <v>46294</v>
      </c>
      <c r="J21" s="73">
        <f t="shared" si="2"/>
        <v>109507</v>
      </c>
      <c r="K21" s="73">
        <f t="shared" si="2"/>
        <v>314953</v>
      </c>
      <c r="L21" s="73"/>
      <c r="M21" s="73"/>
      <c r="N21" s="211"/>
      <c r="S21" s="49">
        <f>33/1000</f>
        <v>3.3000000000000002E-2</v>
      </c>
    </row>
    <row r="22" spans="1:20" x14ac:dyDescent="0.2">
      <c r="A22" s="77" t="s">
        <v>34</v>
      </c>
      <c r="B22" s="77"/>
      <c r="C22" s="77"/>
      <c r="D22" s="78"/>
      <c r="E22" s="79">
        <f>+E21-F21</f>
        <v>28.190000000000012</v>
      </c>
      <c r="F22" s="79"/>
      <c r="G22" s="79"/>
      <c r="H22" s="79">
        <f>+E32*G32</f>
        <v>44576</v>
      </c>
      <c r="I22" s="79">
        <f>+I21-L21</f>
        <v>46294</v>
      </c>
      <c r="J22" s="79">
        <f>+J21-M21</f>
        <v>109507</v>
      </c>
      <c r="K22" s="79">
        <f>+H22+I22+J22</f>
        <v>200377</v>
      </c>
      <c r="L22" s="46"/>
      <c r="M22" s="46"/>
      <c r="N22" s="211"/>
    </row>
    <row r="23" spans="1:20" x14ac:dyDescent="0.2">
      <c r="N23" s="211"/>
    </row>
    <row r="24" spans="1:20" x14ac:dyDescent="0.2">
      <c r="C24" s="49" t="s">
        <v>37</v>
      </c>
      <c r="N24" s="211"/>
      <c r="P24" s="51" t="s">
        <v>32</v>
      </c>
      <c r="Q24" s="49" t="s">
        <v>188</v>
      </c>
    </row>
    <row r="25" spans="1:20" x14ac:dyDescent="0.2">
      <c r="N25" s="211"/>
      <c r="P25" s="228" t="s">
        <v>189</v>
      </c>
      <c r="Q25" s="84">
        <v>0.72</v>
      </c>
    </row>
    <row r="26" spans="1:20" x14ac:dyDescent="0.2">
      <c r="A26" s="82" t="s">
        <v>40</v>
      </c>
      <c r="B26" s="82"/>
      <c r="C26" s="82"/>
      <c r="D26" s="82"/>
      <c r="E26" s="82"/>
      <c r="F26" s="82"/>
      <c r="G26" s="82"/>
      <c r="N26" s="211"/>
      <c r="P26" s="228" t="s">
        <v>190</v>
      </c>
      <c r="Q26" s="84">
        <v>0.28000000000000003</v>
      </c>
      <c r="R26" s="51">
        <f>1000*0.33</f>
        <v>330</v>
      </c>
    </row>
    <row r="27" spans="1:20" x14ac:dyDescent="0.2">
      <c r="A27" s="49" t="s">
        <v>41</v>
      </c>
      <c r="D27" s="49" t="s">
        <v>42</v>
      </c>
      <c r="E27" s="49" t="s">
        <v>43</v>
      </c>
      <c r="G27" s="49" t="s">
        <v>44</v>
      </c>
      <c r="N27" s="211"/>
      <c r="Q27" s="84"/>
    </row>
    <row r="28" spans="1:20" x14ac:dyDescent="0.2">
      <c r="A28" s="49" t="s">
        <v>46</v>
      </c>
      <c r="D28" s="49" t="s">
        <v>49</v>
      </c>
      <c r="N28" s="211"/>
      <c r="Q28" s="84"/>
    </row>
    <row r="29" spans="1:20" x14ac:dyDescent="0.2">
      <c r="A29" s="49" t="s">
        <v>191</v>
      </c>
      <c r="D29" s="49">
        <v>3.3000000000000002E-2</v>
      </c>
      <c r="E29" s="51"/>
      <c r="G29" s="51">
        <v>102373</v>
      </c>
      <c r="N29" s="211"/>
      <c r="Q29" s="84"/>
    </row>
    <row r="30" spans="1:20" x14ac:dyDescent="0.2">
      <c r="D30" s="51"/>
      <c r="N30" s="211"/>
      <c r="Q30" s="84"/>
    </row>
    <row r="31" spans="1:20" x14ac:dyDescent="0.2">
      <c r="A31" s="49" t="s">
        <v>50</v>
      </c>
      <c r="D31" s="51"/>
      <c r="N31" s="211"/>
      <c r="Q31" s="84"/>
    </row>
    <row r="32" spans="1:20" x14ac:dyDescent="0.2">
      <c r="A32" s="49" t="s">
        <v>122</v>
      </c>
      <c r="D32" s="49" t="s">
        <v>52</v>
      </c>
      <c r="E32" s="51">
        <v>28</v>
      </c>
      <c r="G32" s="51">
        <v>1592</v>
      </c>
      <c r="N32" s="211"/>
      <c r="Q32" s="84"/>
    </row>
    <row r="33" spans="1:17" x14ac:dyDescent="0.2">
      <c r="A33" s="49" t="s">
        <v>124</v>
      </c>
      <c r="D33" s="49" t="s">
        <v>52</v>
      </c>
      <c r="E33" s="51">
        <v>72</v>
      </c>
      <c r="N33" s="55"/>
      <c r="O33" s="51"/>
      <c r="Q33" s="88"/>
    </row>
    <row r="34" spans="1:17" x14ac:dyDescent="0.2">
      <c r="A34" s="49" t="s">
        <v>7</v>
      </c>
      <c r="D34" s="49" t="s">
        <v>52</v>
      </c>
      <c r="E34" s="51">
        <f>SUM(E32:E33)</f>
        <v>100</v>
      </c>
      <c r="N34" s="211"/>
      <c r="P34" s="49" t="s">
        <v>45</v>
      </c>
      <c r="Q34" s="51">
        <v>4.5</v>
      </c>
    </row>
    <row r="35" spans="1:17" x14ac:dyDescent="0.2">
      <c r="D35" s="51"/>
      <c r="N35" s="211"/>
      <c r="P35" s="49" t="s">
        <v>47</v>
      </c>
      <c r="Q35" s="51">
        <v>0.5</v>
      </c>
    </row>
    <row r="36" spans="1:17" x14ac:dyDescent="0.2">
      <c r="A36" s="82" t="s">
        <v>93</v>
      </c>
      <c r="B36" s="82"/>
      <c r="C36" s="82" t="s">
        <v>94</v>
      </c>
      <c r="D36" s="82"/>
      <c r="E36" s="82"/>
      <c r="F36" s="82"/>
      <c r="G36" s="82"/>
      <c r="H36" s="82"/>
      <c r="N36" s="211"/>
    </row>
    <row r="37" spans="1:17" x14ac:dyDescent="0.2">
      <c r="B37" s="49" t="s">
        <v>192</v>
      </c>
      <c r="C37" s="229" t="s">
        <v>183</v>
      </c>
      <c r="D37" s="49" t="s">
        <v>49</v>
      </c>
      <c r="E37" s="59" t="s">
        <v>193</v>
      </c>
      <c r="F37" s="51"/>
      <c r="G37" s="59" t="s">
        <v>194</v>
      </c>
      <c r="I37" s="51"/>
      <c r="N37" s="211"/>
      <c r="O37" s="212"/>
    </row>
    <row r="38" spans="1:17" x14ac:dyDescent="0.2">
      <c r="B38" s="49" t="s">
        <v>195</v>
      </c>
      <c r="C38" s="230">
        <v>0.45</v>
      </c>
      <c r="D38" s="49" t="s">
        <v>49</v>
      </c>
      <c r="E38" s="51">
        <v>213</v>
      </c>
      <c r="F38" s="51"/>
      <c r="G38" s="51">
        <v>203</v>
      </c>
      <c r="I38" s="51"/>
      <c r="N38" s="211"/>
      <c r="O38" s="212"/>
    </row>
    <row r="39" spans="1:17" x14ac:dyDescent="0.2">
      <c r="B39" s="49" t="s">
        <v>196</v>
      </c>
      <c r="C39" s="59">
        <v>45</v>
      </c>
      <c r="E39" s="51">
        <v>273</v>
      </c>
      <c r="F39" s="51"/>
      <c r="G39" s="51">
        <v>99</v>
      </c>
      <c r="I39" s="51"/>
      <c r="N39" s="211"/>
    </row>
    <row r="40" spans="1:17" x14ac:dyDescent="0.2">
      <c r="A40" s="82" t="s">
        <v>54</v>
      </c>
      <c r="B40" s="82"/>
      <c r="C40" s="82"/>
      <c r="D40" s="82"/>
      <c r="E40" s="82"/>
      <c r="F40" s="82" t="s">
        <v>197</v>
      </c>
      <c r="G40" s="82"/>
      <c r="H40" s="82" t="s">
        <v>55</v>
      </c>
      <c r="N40" s="211"/>
    </row>
    <row r="41" spans="1:17" x14ac:dyDescent="0.2">
      <c r="A41" s="49" t="s">
        <v>56</v>
      </c>
      <c r="F41" s="51">
        <v>5394</v>
      </c>
      <c r="G41" s="226"/>
      <c r="H41" s="88">
        <f>+F41*2.471</f>
        <v>13328.574000000001</v>
      </c>
      <c r="N41" s="211"/>
    </row>
    <row r="42" spans="1:17" x14ac:dyDescent="0.2">
      <c r="A42" s="49" t="s">
        <v>57</v>
      </c>
      <c r="F42" s="51">
        <v>119</v>
      </c>
      <c r="G42" s="226"/>
      <c r="H42" s="88"/>
      <c r="N42" s="211"/>
    </row>
    <row r="43" spans="1:17" x14ac:dyDescent="0.2">
      <c r="A43" s="49" t="s">
        <v>58</v>
      </c>
      <c r="F43" s="51">
        <f>+F41*F42</f>
        <v>641886</v>
      </c>
      <c r="G43" s="226"/>
      <c r="H43" s="88">
        <f t="shared" ref="H43:H45" si="3">+F43*2.471</f>
        <v>1586100.3060000001</v>
      </c>
      <c r="N43" s="211"/>
    </row>
    <row r="44" spans="1:17" x14ac:dyDescent="0.2">
      <c r="A44" s="49" t="s">
        <v>59</v>
      </c>
      <c r="F44" s="51">
        <f>+F43-K21</f>
        <v>326933</v>
      </c>
      <c r="G44" s="226"/>
      <c r="H44" s="88">
        <f t="shared" si="3"/>
        <v>807851.44299999997</v>
      </c>
      <c r="J44" s="51"/>
      <c r="K44" s="51"/>
      <c r="N44" s="211"/>
    </row>
    <row r="45" spans="1:17" x14ac:dyDescent="0.2">
      <c r="A45" s="49" t="s">
        <v>60</v>
      </c>
      <c r="F45" s="51">
        <f>+F43-K22</f>
        <v>441509</v>
      </c>
      <c r="G45" s="226"/>
      <c r="H45" s="88">
        <f t="shared" si="3"/>
        <v>1090968.7390000001</v>
      </c>
      <c r="J45" s="51"/>
      <c r="N45" s="211"/>
    </row>
    <row r="46" spans="1:17" x14ac:dyDescent="0.2">
      <c r="A46" s="49" t="s">
        <v>160</v>
      </c>
      <c r="F46" s="51">
        <f>+K21/F41</f>
        <v>58.389506859473492</v>
      </c>
      <c r="G46" s="226"/>
      <c r="N46" s="211"/>
    </row>
    <row r="47" spans="1:17" x14ac:dyDescent="0.2">
      <c r="A47" s="46" t="s">
        <v>161</v>
      </c>
      <c r="B47" s="46"/>
      <c r="C47" s="46"/>
      <c r="D47" s="46"/>
      <c r="E47" s="46"/>
      <c r="F47" s="79">
        <f>+K22/F41</f>
        <v>37.14812754912866</v>
      </c>
      <c r="G47" s="100"/>
      <c r="H47" s="46"/>
      <c r="N47" s="211"/>
    </row>
    <row r="51" spans="1:1" x14ac:dyDescent="0.2">
      <c r="A51" s="64" t="s">
        <v>198</v>
      </c>
    </row>
  </sheetData>
  <mergeCells count="5">
    <mergeCell ref="E14:E15"/>
    <mergeCell ref="F14:F15"/>
    <mergeCell ref="G14:G15"/>
    <mergeCell ref="H14:H15"/>
    <mergeCell ref="K14:K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workbookViewId="0">
      <selection activeCell="Q19" sqref="Q19"/>
    </sheetView>
  </sheetViews>
  <sheetFormatPr defaultColWidth="8.85546875" defaultRowHeight="15" x14ac:dyDescent="0.25"/>
  <cols>
    <col min="1" max="1" width="4.42578125" style="234" customWidth="1"/>
    <col min="2" max="2" width="6.7109375" style="234" customWidth="1"/>
    <col min="3" max="3" width="16.28515625" style="234" customWidth="1"/>
    <col min="4" max="4" width="5.28515625" style="234" customWidth="1"/>
    <col min="5" max="5" width="6.7109375" style="234" customWidth="1"/>
    <col min="6" max="6" width="9.85546875" style="234" customWidth="1"/>
    <col min="7" max="7" width="9.7109375" style="234" customWidth="1"/>
    <col min="8" max="8" width="11.140625" style="234" customWidth="1"/>
    <col min="9" max="9" width="9.7109375" style="234" customWidth="1"/>
    <col min="10" max="10" width="10.140625" style="234" customWidth="1"/>
    <col min="11" max="11" width="10.85546875" style="234" customWidth="1"/>
    <col min="12" max="12" width="9.28515625" style="234" customWidth="1"/>
    <col min="13" max="13" width="7.5703125" style="234" customWidth="1"/>
    <col min="14" max="16384" width="8.85546875" style="234"/>
  </cols>
  <sheetData>
    <row r="1" spans="1:25" x14ac:dyDescent="0.25">
      <c r="A1" s="231" t="s">
        <v>213</v>
      </c>
      <c r="B1" s="231"/>
      <c r="C1" s="231"/>
      <c r="D1" s="231"/>
      <c r="E1" s="231"/>
      <c r="F1" s="232"/>
      <c r="G1" s="232"/>
      <c r="H1" s="233"/>
      <c r="I1" s="233"/>
      <c r="J1" s="233"/>
      <c r="K1" s="233"/>
      <c r="L1" s="233"/>
      <c r="M1" s="233"/>
      <c r="O1" s="235" t="s">
        <v>214</v>
      </c>
    </row>
    <row r="2" spans="1:25" x14ac:dyDescent="0.25">
      <c r="A2" s="231" t="s">
        <v>215</v>
      </c>
      <c r="B2" s="231"/>
      <c r="C2" s="231"/>
      <c r="D2" s="231"/>
      <c r="E2" s="231"/>
      <c r="F2" s="232"/>
      <c r="G2" s="232"/>
      <c r="H2" s="233"/>
      <c r="I2" s="233"/>
      <c r="J2" s="233"/>
      <c r="K2" s="233"/>
      <c r="L2" s="233"/>
      <c r="M2" s="233"/>
      <c r="O2" s="235"/>
    </row>
    <row r="3" spans="1:25" x14ac:dyDescent="0.25">
      <c r="A3" s="231" t="s">
        <v>216</v>
      </c>
      <c r="B3" s="231"/>
      <c r="C3" s="231"/>
      <c r="D3" s="231"/>
      <c r="E3" s="231"/>
      <c r="F3" s="233"/>
      <c r="G3" s="236"/>
      <c r="H3" s="236"/>
      <c r="I3" s="236"/>
      <c r="J3" s="236"/>
      <c r="L3" s="233"/>
      <c r="M3" s="233"/>
      <c r="N3" s="237"/>
    </row>
    <row r="4" spans="1:25" x14ac:dyDescent="0.25">
      <c r="A4" s="238" t="s">
        <v>5</v>
      </c>
      <c r="B4" s="238"/>
      <c r="C4" s="238"/>
      <c r="D4" s="239" t="s">
        <v>6</v>
      </c>
      <c r="E4" s="239" t="s">
        <v>7</v>
      </c>
      <c r="F4" s="239" t="s">
        <v>8</v>
      </c>
      <c r="G4" s="239" t="s">
        <v>9</v>
      </c>
      <c r="H4" s="239" t="s">
        <v>10</v>
      </c>
      <c r="I4" s="239" t="s">
        <v>11</v>
      </c>
      <c r="J4" s="239" t="s">
        <v>12</v>
      </c>
      <c r="K4" s="239" t="s">
        <v>13</v>
      </c>
      <c r="L4" s="240" t="s">
        <v>14</v>
      </c>
      <c r="M4" s="239"/>
      <c r="N4" s="237"/>
    </row>
    <row r="5" spans="1:25" x14ac:dyDescent="0.25">
      <c r="A5" s="241"/>
      <c r="B5" s="241"/>
      <c r="C5" s="241"/>
      <c r="D5" s="242" t="s">
        <v>15</v>
      </c>
      <c r="E5" s="242" t="s">
        <v>16</v>
      </c>
      <c r="F5" s="242" t="s">
        <v>16</v>
      </c>
      <c r="G5" s="242" t="s">
        <v>17</v>
      </c>
      <c r="H5" s="242" t="s">
        <v>18</v>
      </c>
      <c r="I5" s="242" t="s">
        <v>19</v>
      </c>
      <c r="J5" s="242" t="s">
        <v>18</v>
      </c>
      <c r="K5" s="242" t="s">
        <v>18</v>
      </c>
      <c r="L5" s="242" t="s">
        <v>11</v>
      </c>
      <c r="M5" s="242" t="s">
        <v>12</v>
      </c>
      <c r="N5" s="237"/>
    </row>
    <row r="6" spans="1:25" x14ac:dyDescent="0.25">
      <c r="A6" s="241"/>
      <c r="B6" s="241"/>
      <c r="C6" s="241"/>
      <c r="D6" s="242" t="s">
        <v>20</v>
      </c>
      <c r="E6" s="242"/>
      <c r="F6" s="242"/>
      <c r="G6" s="242"/>
      <c r="H6" s="242" t="s">
        <v>21</v>
      </c>
      <c r="I6" s="242" t="s">
        <v>18</v>
      </c>
      <c r="J6" s="242" t="s">
        <v>21</v>
      </c>
      <c r="K6" s="242" t="s">
        <v>21</v>
      </c>
      <c r="L6" s="242"/>
      <c r="M6" s="242"/>
      <c r="N6" s="237"/>
    </row>
    <row r="7" spans="1:25" x14ac:dyDescent="0.25">
      <c r="A7" s="243"/>
      <c r="B7" s="243"/>
      <c r="C7" s="243"/>
      <c r="D7" s="244"/>
      <c r="E7" s="244"/>
      <c r="F7" s="244"/>
      <c r="G7" s="244"/>
      <c r="H7" s="244"/>
      <c r="I7" s="244" t="s">
        <v>199</v>
      </c>
      <c r="J7" s="244"/>
      <c r="K7" s="244"/>
      <c r="L7" s="244"/>
      <c r="M7" s="244"/>
      <c r="N7" s="237"/>
    </row>
    <row r="8" spans="1:25" x14ac:dyDescent="0.25">
      <c r="A8" s="241" t="s">
        <v>178</v>
      </c>
      <c r="B8" s="241"/>
      <c r="C8" s="241"/>
      <c r="D8" s="242">
        <v>67</v>
      </c>
      <c r="E8" s="242">
        <v>6.27</v>
      </c>
      <c r="F8" s="242">
        <v>3.66</v>
      </c>
      <c r="G8" s="245">
        <v>1633</v>
      </c>
      <c r="H8" s="245">
        <v>10239</v>
      </c>
      <c r="I8" s="242"/>
      <c r="J8" s="246">
        <v>5018</v>
      </c>
      <c r="K8" s="245">
        <f>H8+I8+J8</f>
        <v>15257</v>
      </c>
      <c r="L8" s="242"/>
      <c r="M8" s="242"/>
      <c r="N8" s="237"/>
    </row>
    <row r="9" spans="1:25" x14ac:dyDescent="0.25">
      <c r="A9" s="32" t="s">
        <v>71</v>
      </c>
      <c r="B9" s="32"/>
      <c r="C9" s="32"/>
      <c r="D9" s="247">
        <v>100</v>
      </c>
      <c r="E9" s="248">
        <v>6.88</v>
      </c>
      <c r="F9" s="248">
        <v>1.08</v>
      </c>
      <c r="G9" s="249">
        <v>1691</v>
      </c>
      <c r="H9" s="248">
        <v>11634</v>
      </c>
      <c r="I9" s="248"/>
      <c r="J9" s="248"/>
      <c r="K9" s="248">
        <f>+H9+I9+J9</f>
        <v>11634</v>
      </c>
      <c r="L9" s="32"/>
      <c r="M9" s="32"/>
      <c r="N9" s="237"/>
      <c r="P9" s="247"/>
      <c r="Q9" s="248"/>
      <c r="R9" s="248"/>
      <c r="S9" s="249"/>
      <c r="T9" s="248"/>
      <c r="U9" s="32"/>
      <c r="V9" s="248"/>
      <c r="W9" s="248"/>
      <c r="X9" s="32"/>
      <c r="Y9" s="32"/>
    </row>
    <row r="10" spans="1:25" x14ac:dyDescent="0.25">
      <c r="A10" s="32" t="s">
        <v>217</v>
      </c>
      <c r="B10" s="235"/>
      <c r="C10" s="235"/>
      <c r="D10" s="247">
        <v>100</v>
      </c>
      <c r="E10" s="248">
        <v>1.1000000000000001</v>
      </c>
      <c r="F10" s="248">
        <v>1.1000000000000001</v>
      </c>
      <c r="G10" s="249">
        <v>1500</v>
      </c>
      <c r="H10" s="248">
        <f>+E10*G10</f>
        <v>1650.0000000000002</v>
      </c>
      <c r="I10" s="248">
        <v>10247</v>
      </c>
      <c r="J10" s="248"/>
      <c r="K10" s="248">
        <f t="shared" ref="K10:K16" si="0">+H10+I10+J10</f>
        <v>11897</v>
      </c>
      <c r="L10" s="248">
        <v>905</v>
      </c>
      <c r="M10" s="235"/>
      <c r="N10" s="237"/>
      <c r="P10" s="247"/>
      <c r="Q10" s="248"/>
      <c r="R10" s="248"/>
      <c r="S10" s="249"/>
      <c r="T10" s="248"/>
      <c r="U10" s="248"/>
      <c r="V10" s="248"/>
      <c r="W10" s="248"/>
      <c r="X10" s="32"/>
      <c r="Y10" s="235"/>
    </row>
    <row r="11" spans="1:25" x14ac:dyDescent="0.25">
      <c r="A11" s="32" t="s">
        <v>200</v>
      </c>
      <c r="B11" s="32"/>
      <c r="C11" s="32"/>
      <c r="D11" s="247">
        <v>100</v>
      </c>
      <c r="E11" s="248">
        <v>12.94</v>
      </c>
      <c r="F11" s="248">
        <v>2.2200000000000002</v>
      </c>
      <c r="G11" s="249">
        <v>1971</v>
      </c>
      <c r="H11" s="248">
        <v>25505</v>
      </c>
      <c r="I11" s="248"/>
      <c r="J11" s="250">
        <v>7204</v>
      </c>
      <c r="K11" s="248">
        <f>+H11+I11+J11</f>
        <v>32709</v>
      </c>
      <c r="L11" s="248"/>
      <c r="M11" s="248"/>
      <c r="N11" s="237"/>
      <c r="P11" s="247"/>
      <c r="Q11" s="248"/>
      <c r="R11" s="248"/>
      <c r="S11" s="249"/>
      <c r="T11" s="248"/>
      <c r="U11" s="248"/>
      <c r="V11" s="248"/>
      <c r="W11" s="248"/>
      <c r="X11" s="248"/>
      <c r="Y11" s="248"/>
    </row>
    <row r="12" spans="1:25" x14ac:dyDescent="0.25">
      <c r="A12" s="32" t="s">
        <v>201</v>
      </c>
      <c r="B12" s="32"/>
      <c r="C12" s="32"/>
      <c r="D12" s="247">
        <v>100</v>
      </c>
      <c r="E12" s="248">
        <v>15.36</v>
      </c>
      <c r="F12" s="248">
        <v>3.07</v>
      </c>
      <c r="G12" s="249">
        <v>1790</v>
      </c>
      <c r="H12" s="248">
        <v>27494</v>
      </c>
      <c r="I12" s="248"/>
      <c r="J12" s="250">
        <f>E28*G28</f>
        <v>20862</v>
      </c>
      <c r="K12" s="248">
        <f>+H12+I12+J12</f>
        <v>48356</v>
      </c>
      <c r="L12" s="32"/>
      <c r="M12" s="248"/>
      <c r="N12" s="237"/>
      <c r="P12" s="247"/>
      <c r="Q12" s="248"/>
      <c r="R12" s="248"/>
      <c r="S12" s="249"/>
      <c r="T12" s="248"/>
      <c r="U12" s="248"/>
      <c r="V12" s="248"/>
      <c r="W12" s="248"/>
      <c r="X12" s="32"/>
      <c r="Y12" s="248"/>
    </row>
    <row r="13" spans="1:25" x14ac:dyDescent="0.25">
      <c r="A13" s="251" t="s">
        <v>146</v>
      </c>
      <c r="B13" s="32"/>
      <c r="C13" s="32"/>
      <c r="D13" s="247" t="s">
        <v>218</v>
      </c>
      <c r="E13" s="252">
        <v>13.21</v>
      </c>
      <c r="F13" s="252">
        <v>1.45</v>
      </c>
      <c r="G13" s="253">
        <v>1916</v>
      </c>
      <c r="H13" s="252">
        <v>25310</v>
      </c>
      <c r="I13" s="248"/>
      <c r="J13" s="250"/>
      <c r="K13" s="252">
        <f>+H13+I14+J14+J13</f>
        <v>144066</v>
      </c>
      <c r="L13" s="32"/>
      <c r="M13" s="248"/>
      <c r="N13" s="237"/>
      <c r="P13" s="247"/>
      <c r="Q13" s="248"/>
      <c r="R13" s="248"/>
      <c r="S13" s="249"/>
      <c r="T13" s="248"/>
      <c r="U13" s="248"/>
      <c r="V13" s="248"/>
      <c r="W13" s="248"/>
      <c r="X13" s="32"/>
      <c r="Y13" s="248"/>
    </row>
    <row r="14" spans="1:25" x14ac:dyDescent="0.25">
      <c r="A14" s="251" t="s">
        <v>147</v>
      </c>
      <c r="B14" s="32"/>
      <c r="C14" s="251"/>
      <c r="D14" s="254">
        <v>100</v>
      </c>
      <c r="E14" s="252"/>
      <c r="F14" s="252"/>
      <c r="G14" s="253"/>
      <c r="H14" s="252"/>
      <c r="I14" s="248"/>
      <c r="J14" s="250">
        <f>E38*G38+E39*G39+E40*G40</f>
        <v>118756</v>
      </c>
      <c r="K14" s="252"/>
      <c r="L14" s="248"/>
      <c r="M14" s="248"/>
      <c r="N14" s="255"/>
      <c r="P14" s="247"/>
      <c r="Q14" s="248"/>
      <c r="R14" s="248"/>
      <c r="S14" s="249"/>
      <c r="T14" s="248"/>
      <c r="U14" s="248"/>
      <c r="V14" s="248"/>
      <c r="W14" s="248"/>
      <c r="X14" s="248"/>
      <c r="Y14" s="248"/>
    </row>
    <row r="15" spans="1:25" x14ac:dyDescent="0.25">
      <c r="A15" s="32" t="s">
        <v>148</v>
      </c>
      <c r="B15" s="32"/>
      <c r="C15" s="32"/>
      <c r="D15" s="247">
        <v>100</v>
      </c>
      <c r="E15" s="248">
        <v>18.18</v>
      </c>
      <c r="F15" s="248">
        <v>3.52</v>
      </c>
      <c r="G15" s="249">
        <v>1533</v>
      </c>
      <c r="H15" s="248">
        <v>27870</v>
      </c>
      <c r="I15" s="248"/>
      <c r="J15" s="248"/>
      <c r="K15" s="248">
        <f>+H15+I15+J15</f>
        <v>27870</v>
      </c>
      <c r="L15" s="248"/>
      <c r="M15" s="248"/>
      <c r="N15" s="237"/>
      <c r="P15" s="247"/>
      <c r="Q15" s="248"/>
      <c r="R15" s="248"/>
      <c r="S15" s="249"/>
      <c r="T15" s="248"/>
      <c r="U15" s="248"/>
      <c r="V15" s="248"/>
      <c r="W15" s="248"/>
      <c r="X15" s="248"/>
      <c r="Y15" s="248"/>
    </row>
    <row r="16" spans="1:25" x14ac:dyDescent="0.25">
      <c r="A16" s="32" t="s">
        <v>202</v>
      </c>
      <c r="B16" s="32"/>
      <c r="C16" s="32"/>
      <c r="D16" s="247">
        <v>89</v>
      </c>
      <c r="E16" s="248">
        <v>8.25</v>
      </c>
      <c r="F16" s="248">
        <v>5.69</v>
      </c>
      <c r="G16" s="249">
        <v>1905</v>
      </c>
      <c r="H16" s="248">
        <v>15716</v>
      </c>
      <c r="I16" s="248"/>
      <c r="J16" s="248">
        <v>36147</v>
      </c>
      <c r="K16" s="248">
        <f t="shared" si="0"/>
        <v>51863</v>
      </c>
      <c r="L16" s="248"/>
      <c r="M16" s="248"/>
      <c r="N16" s="237"/>
      <c r="P16" s="247"/>
      <c r="Q16" s="248">
        <f>380*20</f>
        <v>7600</v>
      </c>
      <c r="R16" s="248"/>
      <c r="S16" s="249"/>
      <c r="T16" s="248"/>
      <c r="U16" s="248"/>
      <c r="V16" s="248"/>
      <c r="W16" s="248"/>
      <c r="X16" s="248"/>
      <c r="Y16" s="248"/>
    </row>
    <row r="17" spans="1:25" x14ac:dyDescent="0.25">
      <c r="A17" s="32" t="s">
        <v>150</v>
      </c>
      <c r="B17" s="32"/>
      <c r="C17" s="32"/>
      <c r="D17" s="247">
        <v>100</v>
      </c>
      <c r="E17" s="248">
        <v>18.34</v>
      </c>
      <c r="F17" s="248">
        <v>18.34</v>
      </c>
      <c r="G17" s="249">
        <v>1500</v>
      </c>
      <c r="H17" s="248">
        <f t="shared" ref="H17" si="1">+E17*G17</f>
        <v>27510</v>
      </c>
      <c r="I17" s="248">
        <v>11254</v>
      </c>
      <c r="J17" s="248"/>
      <c r="K17" s="248">
        <f>+H17+I17+J17</f>
        <v>38764</v>
      </c>
      <c r="L17" s="248"/>
      <c r="M17" s="248"/>
      <c r="N17" s="237"/>
      <c r="P17" s="247"/>
      <c r="Q17" s="248"/>
      <c r="R17" s="248"/>
      <c r="S17" s="249"/>
      <c r="T17" s="248"/>
      <c r="U17" s="248"/>
      <c r="V17" s="248"/>
      <c r="W17" s="248"/>
      <c r="X17" s="248"/>
      <c r="Y17" s="248"/>
    </row>
    <row r="18" spans="1:25" x14ac:dyDescent="0.25">
      <c r="A18" s="32" t="s">
        <v>203</v>
      </c>
      <c r="B18" s="32"/>
      <c r="C18" s="32"/>
      <c r="D18" s="256"/>
      <c r="F18" s="248"/>
      <c r="G18" s="249"/>
      <c r="H18" s="248"/>
      <c r="I18" s="248"/>
      <c r="J18" s="248"/>
      <c r="K18" s="248"/>
      <c r="L18" s="248"/>
      <c r="M18" s="32"/>
      <c r="N18" s="237"/>
      <c r="P18" s="247"/>
      <c r="Q18" s="248"/>
      <c r="R18" s="248"/>
      <c r="S18" s="249"/>
      <c r="T18" s="248"/>
      <c r="U18" s="248"/>
      <c r="V18" s="248"/>
      <c r="W18" s="248"/>
      <c r="X18" s="248"/>
      <c r="Y18" s="32"/>
    </row>
    <row r="19" spans="1:25" x14ac:dyDescent="0.25">
      <c r="A19" s="238" t="s">
        <v>31</v>
      </c>
      <c r="B19" s="238"/>
      <c r="C19" s="238"/>
      <c r="D19" s="257"/>
      <c r="E19" s="258">
        <f t="shared" ref="E19:J19" si="2">SUM(E8:E18)</f>
        <v>100.53</v>
      </c>
      <c r="F19" s="258">
        <f t="shared" si="2"/>
        <v>40.130000000000003</v>
      </c>
      <c r="G19" s="258">
        <f t="shared" si="2"/>
        <v>15439</v>
      </c>
      <c r="H19" s="258">
        <f t="shared" si="2"/>
        <v>172928</v>
      </c>
      <c r="I19" s="258">
        <f t="shared" si="2"/>
        <v>21501</v>
      </c>
      <c r="J19" s="258">
        <f t="shared" si="2"/>
        <v>187987</v>
      </c>
      <c r="K19" s="258">
        <f>SUM(H19:J19)</f>
        <v>382416</v>
      </c>
      <c r="L19" s="258">
        <f>SUM(L8:L18)</f>
        <v>905</v>
      </c>
      <c r="M19" s="258"/>
      <c r="N19" s="237"/>
      <c r="O19" s="259"/>
      <c r="P19" s="259"/>
      <c r="Q19" s="260"/>
      <c r="R19" s="259"/>
    </row>
    <row r="20" spans="1:25" x14ac:dyDescent="0.25">
      <c r="A20" s="243" t="s">
        <v>34</v>
      </c>
      <c r="B20" s="243"/>
      <c r="C20" s="243"/>
      <c r="D20" s="261"/>
      <c r="E20" s="262">
        <f>+E19-F19</f>
        <v>60.4</v>
      </c>
      <c r="F20" s="262"/>
      <c r="G20" s="262"/>
      <c r="H20" s="262">
        <f>E31*G31</f>
        <v>104432</v>
      </c>
      <c r="I20" s="263">
        <f>+I19-L19</f>
        <v>20596</v>
      </c>
      <c r="J20" s="263">
        <f>+J19-M19</f>
        <v>187987</v>
      </c>
      <c r="K20" s="262">
        <f>+H20+I20+J20</f>
        <v>313015</v>
      </c>
      <c r="L20" s="243"/>
      <c r="M20" s="243"/>
      <c r="N20" s="237"/>
      <c r="O20" s="259"/>
      <c r="P20" s="259"/>
      <c r="Q20" s="260"/>
      <c r="R20" s="259"/>
    </row>
    <row r="21" spans="1:25" x14ac:dyDescent="0.25">
      <c r="A21" s="241" t="s">
        <v>204</v>
      </c>
      <c r="B21" s="241"/>
      <c r="C21" s="241"/>
      <c r="D21" s="264"/>
      <c r="E21" s="265"/>
      <c r="F21" s="265"/>
      <c r="G21" s="265"/>
      <c r="H21" s="265"/>
      <c r="I21" s="266"/>
      <c r="J21" s="266"/>
      <c r="K21" s="265"/>
      <c r="L21" s="241"/>
      <c r="M21" s="241"/>
      <c r="N21" s="237"/>
      <c r="O21" s="259"/>
      <c r="P21" s="259"/>
      <c r="Q21" s="260"/>
      <c r="R21" s="259"/>
    </row>
    <row r="22" spans="1:25" x14ac:dyDescent="0.25">
      <c r="A22" s="32" t="s">
        <v>205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237"/>
    </row>
    <row r="23" spans="1:25" x14ac:dyDescent="0.25">
      <c r="A23" s="32"/>
      <c r="B23" s="32"/>
      <c r="C23" s="233" t="s">
        <v>37</v>
      </c>
      <c r="D23" s="233"/>
      <c r="E23" s="32"/>
      <c r="F23" s="32"/>
      <c r="G23" s="32"/>
      <c r="H23" s="32"/>
      <c r="I23" s="32"/>
      <c r="J23" s="32"/>
      <c r="K23" s="32"/>
      <c r="L23" s="32"/>
      <c r="M23" s="32"/>
      <c r="N23" s="237"/>
    </row>
    <row r="24" spans="1:25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267" t="s">
        <v>32</v>
      </c>
      <c r="K24" s="268" t="s">
        <v>188</v>
      </c>
      <c r="L24" s="32"/>
      <c r="M24" s="32"/>
      <c r="N24" s="237"/>
    </row>
    <row r="25" spans="1:25" x14ac:dyDescent="0.25">
      <c r="A25" s="32" t="s">
        <v>40</v>
      </c>
      <c r="B25" s="32"/>
      <c r="C25" s="32"/>
      <c r="D25" s="32"/>
      <c r="E25" s="32"/>
      <c r="F25" s="32"/>
      <c r="G25" s="32"/>
      <c r="H25" s="243"/>
      <c r="I25" s="32"/>
      <c r="J25" s="269" t="s">
        <v>206</v>
      </c>
      <c r="K25" s="270">
        <v>44</v>
      </c>
      <c r="L25" s="32"/>
      <c r="M25" s="271"/>
      <c r="N25" s="237"/>
    </row>
    <row r="26" spans="1:25" x14ac:dyDescent="0.25">
      <c r="A26" s="83" t="s">
        <v>41</v>
      </c>
      <c r="B26" s="83"/>
      <c r="C26" s="83"/>
      <c r="D26" s="272" t="s">
        <v>42</v>
      </c>
      <c r="E26" s="272" t="s">
        <v>43</v>
      </c>
      <c r="F26" s="272"/>
      <c r="G26" s="272" t="s">
        <v>44</v>
      </c>
      <c r="H26" s="243"/>
      <c r="I26" s="32"/>
      <c r="J26" s="273" t="s">
        <v>196</v>
      </c>
      <c r="K26" s="270">
        <v>56</v>
      </c>
      <c r="L26" s="32"/>
      <c r="M26" s="274"/>
      <c r="N26" s="237"/>
    </row>
    <row r="27" spans="1:25" x14ac:dyDescent="0.25">
      <c r="A27" s="32" t="s">
        <v>46</v>
      </c>
      <c r="B27" s="32"/>
      <c r="C27" s="275" t="s">
        <v>207</v>
      </c>
      <c r="D27" s="32"/>
      <c r="F27" s="32"/>
      <c r="G27" s="32"/>
      <c r="H27" s="32"/>
      <c r="I27" s="32"/>
      <c r="J27" s="273"/>
      <c r="K27" s="270">
        <f>SUM(K25:K26)</f>
        <v>100</v>
      </c>
      <c r="L27" s="32"/>
      <c r="M27" s="274"/>
      <c r="N27" s="237"/>
    </row>
    <row r="28" spans="1:25" x14ac:dyDescent="0.25">
      <c r="A28" s="32" t="s">
        <v>208</v>
      </c>
      <c r="B28" s="32"/>
      <c r="C28" s="275">
        <v>67</v>
      </c>
      <c r="D28" s="251" t="s">
        <v>49</v>
      </c>
      <c r="E28" s="276">
        <v>0.183</v>
      </c>
      <c r="F28" s="32"/>
      <c r="G28" s="250">
        <v>114000</v>
      </c>
      <c r="H28" s="32"/>
      <c r="I28" s="241"/>
      <c r="J28" s="274"/>
      <c r="K28" s="277"/>
      <c r="L28" s="32"/>
      <c r="M28" s="274"/>
      <c r="N28" s="237"/>
    </row>
    <row r="29" spans="1:25" x14ac:dyDescent="0.25">
      <c r="A29" s="32" t="s">
        <v>209</v>
      </c>
      <c r="B29" s="32"/>
      <c r="C29" s="275" t="s">
        <v>219</v>
      </c>
      <c r="D29" s="248" t="s">
        <v>209</v>
      </c>
      <c r="E29" s="32" t="s">
        <v>220</v>
      </c>
      <c r="F29" s="32"/>
      <c r="G29" s="32" t="s">
        <v>221</v>
      </c>
      <c r="H29" s="32"/>
      <c r="I29" s="241"/>
      <c r="J29" s="274"/>
      <c r="K29" s="277"/>
      <c r="L29" s="32"/>
      <c r="M29" s="274"/>
      <c r="N29" s="237"/>
    </row>
    <row r="30" spans="1:25" x14ac:dyDescent="0.25">
      <c r="A30" s="32" t="s">
        <v>50</v>
      </c>
      <c r="B30" s="32"/>
      <c r="C30" s="275"/>
      <c r="D30" s="248"/>
      <c r="E30" s="32"/>
      <c r="F30" s="32"/>
      <c r="G30" s="32"/>
      <c r="H30" s="32"/>
      <c r="I30" s="241"/>
      <c r="J30" s="274"/>
      <c r="K30" s="277"/>
      <c r="L30" s="32"/>
      <c r="M30" s="274"/>
      <c r="N30" s="237"/>
    </row>
    <row r="31" spans="1:25" x14ac:dyDescent="0.25">
      <c r="A31" s="32" t="s">
        <v>122</v>
      </c>
      <c r="B31" s="32"/>
      <c r="C31" s="275"/>
      <c r="D31" s="32" t="s">
        <v>52</v>
      </c>
      <c r="E31" s="248">
        <v>61</v>
      </c>
      <c r="F31" s="32"/>
      <c r="G31" s="248">
        <v>1712</v>
      </c>
      <c r="H31" s="32"/>
      <c r="I31" s="278"/>
      <c r="J31" s="274"/>
      <c r="K31" s="277"/>
      <c r="L31" s="32"/>
      <c r="M31" s="274"/>
      <c r="N31" s="237"/>
    </row>
    <row r="32" spans="1:25" x14ac:dyDescent="0.25">
      <c r="A32" s="32" t="s">
        <v>124</v>
      </c>
      <c r="B32" s="32"/>
      <c r="C32" s="275"/>
      <c r="D32" s="32" t="s">
        <v>52</v>
      </c>
      <c r="E32" s="248">
        <v>40</v>
      </c>
      <c r="F32" s="32"/>
      <c r="G32" s="32"/>
      <c r="H32" s="32"/>
      <c r="I32" s="278"/>
      <c r="J32" s="274"/>
      <c r="K32" s="277"/>
      <c r="L32" s="32"/>
      <c r="M32" s="274"/>
      <c r="N32" s="255"/>
      <c r="O32" s="259"/>
      <c r="P32" s="259"/>
      <c r="Q32" s="259"/>
    </row>
    <row r="33" spans="1:14" x14ac:dyDescent="0.25">
      <c r="A33" s="32" t="s">
        <v>7</v>
      </c>
      <c r="B33" s="32"/>
      <c r="C33" s="275"/>
      <c r="D33" s="32" t="s">
        <v>52</v>
      </c>
      <c r="E33" s="248">
        <v>101</v>
      </c>
      <c r="F33" s="32"/>
      <c r="G33" s="32"/>
      <c r="H33" s="32"/>
      <c r="I33" s="278"/>
      <c r="J33" s="278"/>
      <c r="K33" s="279"/>
      <c r="L33" s="32"/>
      <c r="M33" s="32"/>
      <c r="N33" s="237"/>
    </row>
    <row r="34" spans="1:14" x14ac:dyDescent="0.25">
      <c r="A34" s="32"/>
      <c r="B34" s="32"/>
      <c r="C34" s="32"/>
      <c r="D34" s="248"/>
      <c r="E34" s="32"/>
      <c r="F34" s="32"/>
      <c r="G34" s="32"/>
      <c r="H34" s="243"/>
      <c r="I34" s="278"/>
      <c r="J34" s="280" t="s">
        <v>45</v>
      </c>
      <c r="K34" s="281">
        <f>3.96/9</f>
        <v>0.44</v>
      </c>
      <c r="L34" s="32"/>
      <c r="M34" s="32"/>
      <c r="N34" s="237"/>
    </row>
    <row r="35" spans="1:14" x14ac:dyDescent="0.25">
      <c r="A35" s="238" t="s">
        <v>93</v>
      </c>
      <c r="B35" s="238"/>
      <c r="C35" s="282" t="s">
        <v>94</v>
      </c>
      <c r="D35" s="238"/>
      <c r="E35" s="238"/>
      <c r="F35" s="238"/>
      <c r="G35" s="238"/>
      <c r="H35" s="32"/>
      <c r="I35" s="278"/>
      <c r="J35" s="280" t="s">
        <v>47</v>
      </c>
      <c r="K35" s="281">
        <v>0.25</v>
      </c>
      <c r="L35" s="32"/>
      <c r="M35" s="32"/>
      <c r="N35" s="237"/>
    </row>
    <row r="36" spans="1:14" x14ac:dyDescent="0.25">
      <c r="A36" s="241"/>
      <c r="B36" s="32"/>
      <c r="C36" s="283"/>
      <c r="D36" s="275"/>
      <c r="E36" s="250"/>
      <c r="F36" s="265"/>
      <c r="G36" s="284"/>
      <c r="H36" s="32"/>
      <c r="I36" s="265"/>
      <c r="J36" s="32"/>
      <c r="K36" s="32"/>
      <c r="L36" s="32"/>
      <c r="M36" s="32"/>
      <c r="N36" s="237"/>
    </row>
    <row r="37" spans="1:14" x14ac:dyDescent="0.25">
      <c r="A37" s="241"/>
      <c r="B37" s="32" t="s">
        <v>192</v>
      </c>
      <c r="C37" s="283" t="s">
        <v>218</v>
      </c>
      <c r="D37" s="275"/>
      <c r="E37" s="250" t="s">
        <v>222</v>
      </c>
      <c r="F37" s="265"/>
      <c r="G37" s="285" t="s">
        <v>223</v>
      </c>
      <c r="H37" s="32"/>
      <c r="I37" s="265"/>
      <c r="J37" s="32"/>
      <c r="K37" s="32"/>
      <c r="L37" s="32"/>
      <c r="M37" s="32"/>
      <c r="N37" s="237"/>
    </row>
    <row r="38" spans="1:14" x14ac:dyDescent="0.25">
      <c r="A38" s="241"/>
      <c r="B38" s="241" t="s">
        <v>210</v>
      </c>
      <c r="C38" s="286">
        <v>44</v>
      </c>
      <c r="D38" s="275" t="s">
        <v>49</v>
      </c>
      <c r="E38" s="250">
        <v>44</v>
      </c>
      <c r="F38" s="265"/>
      <c r="G38" s="284">
        <v>302</v>
      </c>
      <c r="H38" s="32"/>
      <c r="I38" s="265"/>
      <c r="J38" s="32"/>
      <c r="K38" s="32"/>
      <c r="L38" s="32"/>
      <c r="M38" s="32"/>
      <c r="N38" s="237"/>
    </row>
    <row r="39" spans="1:14" x14ac:dyDescent="0.25">
      <c r="A39" s="241"/>
      <c r="B39" s="241" t="s">
        <v>224</v>
      </c>
      <c r="C39" s="286">
        <v>45</v>
      </c>
      <c r="D39" s="275" t="s">
        <v>49</v>
      </c>
      <c r="E39" s="250">
        <v>237</v>
      </c>
      <c r="F39" s="265"/>
      <c r="G39" s="284">
        <v>224</v>
      </c>
      <c r="H39" s="32"/>
      <c r="I39" s="265"/>
      <c r="J39" s="278"/>
      <c r="K39" s="32"/>
      <c r="L39" s="32"/>
      <c r="M39" s="32"/>
      <c r="N39" s="237"/>
    </row>
    <row r="40" spans="1:14" x14ac:dyDescent="0.25">
      <c r="A40" s="241"/>
      <c r="B40" s="234" t="s">
        <v>225</v>
      </c>
      <c r="C40" s="234">
        <v>66</v>
      </c>
      <c r="D40" s="234" t="s">
        <v>49</v>
      </c>
      <c r="E40" s="259">
        <v>388</v>
      </c>
      <c r="G40" s="259">
        <v>135</v>
      </c>
      <c r="H40" s="32"/>
      <c r="I40" s="265"/>
      <c r="J40" s="278"/>
      <c r="K40" s="32"/>
      <c r="L40" s="32"/>
      <c r="M40" s="32"/>
      <c r="N40" s="237"/>
    </row>
    <row r="41" spans="1:14" x14ac:dyDescent="0.25">
      <c r="A41" s="241"/>
      <c r="B41" s="241" t="s">
        <v>211</v>
      </c>
      <c r="C41" s="286" t="s">
        <v>219</v>
      </c>
      <c r="D41" s="275" t="s">
        <v>49</v>
      </c>
      <c r="E41" s="250" t="s">
        <v>226</v>
      </c>
      <c r="F41" s="265"/>
      <c r="G41" s="284" t="s">
        <v>227</v>
      </c>
      <c r="H41" s="32"/>
      <c r="I41" s="265"/>
      <c r="J41" s="278"/>
      <c r="K41" s="32"/>
      <c r="L41" s="32"/>
      <c r="M41" s="32"/>
      <c r="N41" s="237"/>
    </row>
    <row r="42" spans="1:14" x14ac:dyDescent="0.25">
      <c r="A42" s="238" t="s">
        <v>54</v>
      </c>
      <c r="B42" s="238"/>
      <c r="C42" s="238"/>
      <c r="D42" s="238"/>
      <c r="E42" s="238"/>
      <c r="F42" s="239" t="s">
        <v>197</v>
      </c>
      <c r="G42" s="238"/>
      <c r="H42" s="287" t="s">
        <v>55</v>
      </c>
      <c r="I42" s="32"/>
      <c r="J42" s="32"/>
      <c r="K42" s="32"/>
      <c r="L42" s="32"/>
      <c r="M42" s="32"/>
      <c r="N42" s="237"/>
    </row>
    <row r="43" spans="1:14" x14ac:dyDescent="0.25">
      <c r="A43" s="241" t="s">
        <v>56</v>
      </c>
      <c r="B43" s="241"/>
      <c r="C43" s="241"/>
      <c r="D43" s="241"/>
      <c r="E43" s="241"/>
      <c r="F43" s="265">
        <v>4972</v>
      </c>
      <c r="G43" s="288" t="s">
        <v>212</v>
      </c>
      <c r="H43" s="289">
        <f>+F43*2.471</f>
        <v>12285.812</v>
      </c>
      <c r="I43" s="32"/>
      <c r="J43" s="32"/>
      <c r="K43" s="32"/>
      <c r="L43" s="32"/>
      <c r="M43" s="32"/>
      <c r="N43" s="237"/>
    </row>
    <row r="44" spans="1:14" x14ac:dyDescent="0.25">
      <c r="A44" s="241" t="s">
        <v>57</v>
      </c>
      <c r="B44" s="241"/>
      <c r="C44" s="241"/>
      <c r="D44" s="241"/>
      <c r="E44" s="241"/>
      <c r="F44" s="265">
        <v>85</v>
      </c>
      <c r="G44" s="290"/>
      <c r="H44" s="250"/>
      <c r="I44" s="32"/>
      <c r="J44" s="32"/>
      <c r="K44" s="32"/>
      <c r="L44" s="32"/>
      <c r="M44" s="32"/>
      <c r="N44" s="237"/>
    </row>
    <row r="45" spans="1:14" x14ac:dyDescent="0.25">
      <c r="A45" s="241" t="s">
        <v>58</v>
      </c>
      <c r="B45" s="241"/>
      <c r="C45" s="241"/>
      <c r="D45" s="241"/>
      <c r="E45" s="241"/>
      <c r="F45" s="265">
        <f>+F43*F44</f>
        <v>422620</v>
      </c>
      <c r="G45" s="290"/>
      <c r="H45" s="289">
        <f t="shared" ref="H45:H47" si="3">+F45*2.471</f>
        <v>1044294.02</v>
      </c>
      <c r="I45" s="32"/>
      <c r="J45" s="32"/>
      <c r="K45" s="32"/>
      <c r="L45" s="32"/>
      <c r="M45" s="32"/>
      <c r="N45" s="237"/>
    </row>
    <row r="46" spans="1:14" x14ac:dyDescent="0.25">
      <c r="A46" s="241" t="s">
        <v>59</v>
      </c>
      <c r="B46" s="241"/>
      <c r="C46" s="241"/>
      <c r="D46" s="241"/>
      <c r="E46" s="241"/>
      <c r="F46" s="291">
        <f>+F45-K19</f>
        <v>40204</v>
      </c>
      <c r="G46" s="290"/>
      <c r="H46" s="289">
        <f t="shared" si="3"/>
        <v>99344.084000000003</v>
      </c>
      <c r="I46" s="32"/>
      <c r="J46" s="248"/>
      <c r="K46" s="248"/>
      <c r="L46" s="32"/>
      <c r="M46" s="32"/>
      <c r="N46" s="237"/>
    </row>
    <row r="47" spans="1:14" x14ac:dyDescent="0.25">
      <c r="A47" s="241" t="s">
        <v>60</v>
      </c>
      <c r="B47" s="241"/>
      <c r="C47" s="241"/>
      <c r="D47" s="241"/>
      <c r="E47" s="241"/>
      <c r="F47" s="291">
        <f>+F45-K20</f>
        <v>109605</v>
      </c>
      <c r="G47" s="290"/>
      <c r="H47" s="289">
        <f t="shared" si="3"/>
        <v>270833.95500000002</v>
      </c>
      <c r="I47" s="32"/>
      <c r="J47" s="248"/>
      <c r="K47" s="32"/>
      <c r="L47" s="32"/>
      <c r="M47" s="32"/>
      <c r="N47" s="237"/>
    </row>
    <row r="48" spans="1:14" x14ac:dyDescent="0.25">
      <c r="A48" s="241" t="s">
        <v>61</v>
      </c>
      <c r="B48" s="241"/>
      <c r="C48" s="241"/>
      <c r="D48" s="241"/>
      <c r="E48" s="241"/>
      <c r="F48" s="265">
        <f>+K19/F43</f>
        <v>76.913917940466618</v>
      </c>
      <c r="G48" s="290"/>
      <c r="H48" s="32"/>
      <c r="I48" s="32"/>
      <c r="J48" s="32"/>
      <c r="K48" s="32"/>
      <c r="L48" s="32"/>
      <c r="M48" s="32"/>
      <c r="N48" s="237"/>
    </row>
    <row r="49" spans="1:14" x14ac:dyDescent="0.25">
      <c r="A49" s="243" t="s">
        <v>62</v>
      </c>
      <c r="B49" s="243"/>
      <c r="C49" s="243"/>
      <c r="D49" s="243"/>
      <c r="E49" s="243"/>
      <c r="F49" s="262">
        <f>+K20/F43</f>
        <v>62.95555108608206</v>
      </c>
      <c r="G49" s="292"/>
      <c r="H49" s="243"/>
      <c r="I49" s="32"/>
      <c r="J49" s="32"/>
      <c r="K49" s="32"/>
      <c r="L49" s="32"/>
      <c r="M49" s="32"/>
      <c r="N49" s="237"/>
    </row>
    <row r="50" spans="1:14" x14ac:dyDescent="0.25">
      <c r="N50" s="237"/>
    </row>
    <row r="51" spans="1:14" x14ac:dyDescent="0.25">
      <c r="A51" s="234" t="s">
        <v>228</v>
      </c>
      <c r="N51" s="237"/>
    </row>
    <row r="52" spans="1:14" x14ac:dyDescent="0.25">
      <c r="N52" s="237"/>
    </row>
    <row r="54" spans="1:14" x14ac:dyDescent="0.25">
      <c r="A54" s="293"/>
    </row>
  </sheetData>
  <mergeCells count="5">
    <mergeCell ref="E13:E14"/>
    <mergeCell ref="F13:F14"/>
    <mergeCell ref="G13:G14"/>
    <mergeCell ref="H13:H14"/>
    <mergeCell ref="K13:K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selection activeCell="J34" sqref="J34"/>
    </sheetView>
  </sheetViews>
  <sheetFormatPr defaultRowHeight="12.75" x14ac:dyDescent="0.2"/>
  <cols>
    <col min="1" max="1" width="20.85546875" style="313" customWidth="1"/>
    <col min="2" max="2" width="6.42578125" style="313" customWidth="1"/>
    <col min="3" max="3" width="9.28515625" style="313" bestFit="1" customWidth="1"/>
    <col min="4" max="4" width="9.28515625" style="313" customWidth="1"/>
    <col min="5" max="5" width="10.42578125" style="313" customWidth="1"/>
    <col min="6" max="7" width="11.28515625" style="313" customWidth="1"/>
    <col min="8" max="8" width="12.42578125" style="313" customWidth="1"/>
    <col min="9" max="9" width="9.42578125" style="313" customWidth="1"/>
    <col min="10" max="10" width="10.28515625" style="313" customWidth="1"/>
    <col min="11" max="11" width="9.42578125" style="313" customWidth="1"/>
    <col min="12" max="12" width="7.42578125" style="313" customWidth="1"/>
    <col min="13" max="16384" width="9.140625" style="313"/>
  </cols>
  <sheetData>
    <row r="1" spans="1:17" s="301" customFormat="1" x14ac:dyDescent="0.2">
      <c r="A1" s="300" t="s">
        <v>239</v>
      </c>
      <c r="B1" s="300" t="s">
        <v>240</v>
      </c>
      <c r="C1" s="300"/>
      <c r="D1" s="300"/>
      <c r="E1" s="300"/>
      <c r="F1" s="300"/>
      <c r="G1" s="300"/>
      <c r="H1" s="300"/>
      <c r="I1" s="300"/>
      <c r="J1" s="300"/>
      <c r="K1" s="300"/>
      <c r="L1" s="300"/>
    </row>
    <row r="2" spans="1:17" s="301" customFormat="1" x14ac:dyDescent="0.2">
      <c r="A2" s="300"/>
      <c r="B2" s="300" t="s">
        <v>241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2"/>
    </row>
    <row r="3" spans="1:17" s="301" customFormat="1" x14ac:dyDescent="0.2">
      <c r="A3" s="300"/>
      <c r="B3" s="300" t="s">
        <v>242</v>
      </c>
      <c r="C3" s="300" t="s">
        <v>243</v>
      </c>
      <c r="D3" s="300"/>
      <c r="E3" s="300"/>
      <c r="F3" s="300"/>
      <c r="G3" s="300"/>
      <c r="H3" s="300"/>
      <c r="I3" s="300"/>
      <c r="J3" s="300"/>
      <c r="K3" s="300"/>
      <c r="L3" s="300"/>
      <c r="M3" s="302"/>
    </row>
    <row r="4" spans="1:17" s="301" customFormat="1" x14ac:dyDescent="0.2">
      <c r="A4" s="303" t="s">
        <v>5</v>
      </c>
      <c r="B4" s="303"/>
      <c r="C4" s="304" t="s">
        <v>6</v>
      </c>
      <c r="D4" s="304" t="s">
        <v>7</v>
      </c>
      <c r="E4" s="304" t="s">
        <v>8</v>
      </c>
      <c r="F4" s="304" t="s">
        <v>9</v>
      </c>
      <c r="G4" s="304" t="s">
        <v>10</v>
      </c>
      <c r="H4" s="304" t="s">
        <v>11</v>
      </c>
      <c r="I4" s="304" t="s">
        <v>12</v>
      </c>
      <c r="J4" s="304" t="s">
        <v>13</v>
      </c>
      <c r="K4" s="304" t="s">
        <v>244</v>
      </c>
      <c r="L4" s="304"/>
      <c r="M4" s="302"/>
      <c r="N4" s="300"/>
    </row>
    <row r="5" spans="1:17" s="301" customFormat="1" x14ac:dyDescent="0.2">
      <c r="A5" s="305"/>
      <c r="B5" s="305"/>
      <c r="C5" s="306" t="s">
        <v>15</v>
      </c>
      <c r="D5" s="306" t="s">
        <v>16</v>
      </c>
      <c r="E5" s="306" t="s">
        <v>16</v>
      </c>
      <c r="F5" s="306" t="s">
        <v>17</v>
      </c>
      <c r="G5" s="306" t="s">
        <v>18</v>
      </c>
      <c r="H5" s="306" t="s">
        <v>19</v>
      </c>
      <c r="I5" s="306" t="s">
        <v>18</v>
      </c>
      <c r="J5" s="306" t="s">
        <v>18</v>
      </c>
      <c r="K5" s="306" t="s">
        <v>11</v>
      </c>
      <c r="L5" s="306" t="s">
        <v>12</v>
      </c>
      <c r="M5" s="302"/>
    </row>
    <row r="6" spans="1:17" s="301" customFormat="1" x14ac:dyDescent="0.2">
      <c r="A6" s="305"/>
      <c r="B6" s="305"/>
      <c r="C6" s="306" t="s">
        <v>20</v>
      </c>
      <c r="D6" s="306"/>
      <c r="E6" s="306"/>
      <c r="F6" s="306"/>
      <c r="G6" s="306" t="s">
        <v>21</v>
      </c>
      <c r="H6" s="306" t="s">
        <v>18</v>
      </c>
      <c r="I6" s="306" t="s">
        <v>21</v>
      </c>
      <c r="J6" s="306" t="s">
        <v>21</v>
      </c>
      <c r="K6" s="306"/>
      <c r="L6" s="306"/>
      <c r="M6" s="302"/>
    </row>
    <row r="7" spans="1:17" s="301" customFormat="1" x14ac:dyDescent="0.2">
      <c r="A7" s="307"/>
      <c r="B7" s="307"/>
      <c r="C7" s="308"/>
      <c r="D7" s="308"/>
      <c r="E7" s="308"/>
      <c r="F7" s="308"/>
      <c r="G7" s="308"/>
      <c r="H7" s="308" t="s">
        <v>21</v>
      </c>
      <c r="I7" s="308"/>
      <c r="J7" s="308"/>
      <c r="K7" s="308"/>
      <c r="L7" s="308"/>
      <c r="M7" s="302"/>
    </row>
    <row r="8" spans="1:17" x14ac:dyDescent="0.2">
      <c r="A8" s="309" t="s">
        <v>245</v>
      </c>
      <c r="B8" s="309"/>
      <c r="C8" s="310">
        <v>100</v>
      </c>
      <c r="D8" s="310">
        <v>3.07</v>
      </c>
      <c r="E8" s="310">
        <v>3.07</v>
      </c>
      <c r="F8" s="311">
        <v>1500</v>
      </c>
      <c r="G8" s="311">
        <f>+F8*D8</f>
        <v>4605</v>
      </c>
      <c r="H8" s="310"/>
      <c r="I8" s="311">
        <v>422</v>
      </c>
      <c r="J8" s="311">
        <f>+I8+H8+G8</f>
        <v>5027</v>
      </c>
      <c r="K8" s="310"/>
      <c r="L8" s="310"/>
      <c r="M8" s="312"/>
      <c r="P8" s="314">
        <f>5400/1265</f>
        <v>4.2687747035573125</v>
      </c>
      <c r="Q8" s="314">
        <f>6816/1163</f>
        <v>5.8607050730868444</v>
      </c>
    </row>
    <row r="9" spans="1:17" x14ac:dyDescent="0.2">
      <c r="A9" s="315" t="s">
        <v>71</v>
      </c>
      <c r="B9" s="315"/>
      <c r="C9" s="316">
        <v>90</v>
      </c>
      <c r="D9" s="317">
        <v>3.33</v>
      </c>
      <c r="E9" s="317">
        <v>2.5299999999999998</v>
      </c>
      <c r="F9" s="317">
        <v>1500</v>
      </c>
      <c r="G9" s="317">
        <f>D9*F9</f>
        <v>4995</v>
      </c>
      <c r="H9" s="315"/>
      <c r="I9" s="317"/>
      <c r="J9" s="317">
        <f>SUM(G9:I9)</f>
        <v>4995</v>
      </c>
      <c r="K9" s="315"/>
      <c r="L9" s="317"/>
      <c r="M9" s="312"/>
      <c r="P9" s="314">
        <f>13650/1265</f>
        <v>10.790513833992096</v>
      </c>
      <c r="Q9" s="314">
        <f>9084/1163</f>
        <v>7.8108340498710236</v>
      </c>
    </row>
    <row r="10" spans="1:17" x14ac:dyDescent="0.2">
      <c r="A10" s="315" t="s">
        <v>246</v>
      </c>
      <c r="B10" s="315"/>
      <c r="C10" s="316">
        <v>100</v>
      </c>
      <c r="D10" s="317">
        <v>0.95</v>
      </c>
      <c r="E10" s="317">
        <v>0.95</v>
      </c>
      <c r="F10" s="317">
        <v>1500</v>
      </c>
      <c r="G10" s="317">
        <f>D10*F10</f>
        <v>1425</v>
      </c>
      <c r="H10" s="317">
        <v>10560</v>
      </c>
      <c r="I10" s="317"/>
      <c r="J10" s="317">
        <f t="shared" ref="J10:J15" si="0">SUM(G10:I10)</f>
        <v>11985</v>
      </c>
      <c r="K10" s="317">
        <v>1457</v>
      </c>
      <c r="L10" s="317"/>
      <c r="M10" s="312"/>
      <c r="P10" s="314">
        <f>600/1265</f>
        <v>0.4743083003952569</v>
      </c>
      <c r="Q10" s="314">
        <f>768/1163</f>
        <v>0.66036113499570082</v>
      </c>
    </row>
    <row r="11" spans="1:17" x14ac:dyDescent="0.2">
      <c r="A11" s="318" t="s">
        <v>247</v>
      </c>
      <c r="B11" s="315"/>
      <c r="C11" s="319">
        <v>100</v>
      </c>
      <c r="D11" s="317">
        <v>7.37</v>
      </c>
      <c r="E11" s="317">
        <v>6.53</v>
      </c>
      <c r="F11" s="317">
        <v>1500</v>
      </c>
      <c r="G11" s="317">
        <f t="shared" ref="G11" si="1">D11*F11</f>
        <v>11055</v>
      </c>
      <c r="H11" s="315"/>
      <c r="I11" s="317">
        <v>25495</v>
      </c>
      <c r="J11" s="317">
        <f t="shared" si="0"/>
        <v>36550</v>
      </c>
      <c r="K11" s="315"/>
      <c r="L11" s="317"/>
      <c r="M11" s="312"/>
      <c r="P11" s="314">
        <f>13816/1365</f>
        <v>10.121611721611721</v>
      </c>
      <c r="Q11" s="314">
        <f>14632/1163</f>
        <v>12.581255374032674</v>
      </c>
    </row>
    <row r="12" spans="1:17" x14ac:dyDescent="0.2">
      <c r="A12" s="315" t="s">
        <v>80</v>
      </c>
      <c r="B12" s="315"/>
      <c r="C12" s="316">
        <v>100</v>
      </c>
      <c r="D12" s="317">
        <v>5.24</v>
      </c>
      <c r="E12" s="317">
        <f>3.03+2.21</f>
        <v>5.24</v>
      </c>
      <c r="F12" s="317">
        <v>1500</v>
      </c>
      <c r="G12" s="317">
        <f>+F12*D12</f>
        <v>7860</v>
      </c>
      <c r="H12" s="315"/>
      <c r="I12" s="317">
        <f>+D28*F28+D29*F29+D30*F30</f>
        <v>30845</v>
      </c>
      <c r="J12" s="317">
        <f t="shared" si="0"/>
        <v>38705</v>
      </c>
      <c r="K12" s="315"/>
      <c r="L12" s="317"/>
      <c r="M12" s="312"/>
      <c r="P12" s="314">
        <f>8710/1265</f>
        <v>6.8853754940711465</v>
      </c>
      <c r="Q12" s="314">
        <f>12852/1163</f>
        <v>11.050730868443679</v>
      </c>
    </row>
    <row r="13" spans="1:17" x14ac:dyDescent="0.2">
      <c r="A13" s="315" t="s">
        <v>248</v>
      </c>
      <c r="B13" s="315"/>
      <c r="C13" s="316">
        <v>90</v>
      </c>
      <c r="D13" s="317">
        <v>2.8</v>
      </c>
      <c r="E13" s="317">
        <v>2.8</v>
      </c>
      <c r="F13" s="317">
        <v>1500</v>
      </c>
      <c r="G13" s="317">
        <f>D13*F13</f>
        <v>4200</v>
      </c>
      <c r="H13" s="315"/>
      <c r="I13" s="317">
        <v>10632</v>
      </c>
      <c r="J13" s="317">
        <f>SUM(G13:I13)</f>
        <v>14832</v>
      </c>
      <c r="K13" s="315"/>
      <c r="L13" s="317"/>
      <c r="M13" s="320"/>
      <c r="P13" s="314">
        <v>3.2885375494071147</v>
      </c>
      <c r="Q13" s="314">
        <f>3016/1163</f>
        <v>2.5932932072227</v>
      </c>
    </row>
    <row r="14" spans="1:17" x14ac:dyDescent="0.2">
      <c r="A14" s="315" t="s">
        <v>25</v>
      </c>
      <c r="B14" s="315"/>
      <c r="C14" s="316">
        <v>100</v>
      </c>
      <c r="D14" s="317">
        <v>24.55</v>
      </c>
      <c r="E14" s="317">
        <f>8.83+10.7</f>
        <v>19.53</v>
      </c>
      <c r="F14" s="317">
        <v>1500</v>
      </c>
      <c r="G14" s="317">
        <f>D14*F14</f>
        <v>36825</v>
      </c>
      <c r="H14" s="315"/>
      <c r="I14" s="315"/>
      <c r="J14" s="317">
        <f>SUM(G14:I14)</f>
        <v>36825</v>
      </c>
      <c r="K14" s="315"/>
      <c r="L14" s="317"/>
      <c r="M14" s="320"/>
      <c r="P14" s="314">
        <v>16.184189723320159</v>
      </c>
      <c r="Q14" s="314">
        <f>12667/1263</f>
        <v>10.029295328582739</v>
      </c>
    </row>
    <row r="15" spans="1:17" x14ac:dyDescent="0.2">
      <c r="A15" s="315" t="s">
        <v>249</v>
      </c>
      <c r="B15" s="315"/>
      <c r="C15" s="316">
        <v>100</v>
      </c>
      <c r="D15" s="317">
        <v>25.82</v>
      </c>
      <c r="E15" s="317">
        <v>16.64</v>
      </c>
      <c r="F15" s="317">
        <v>1218</v>
      </c>
      <c r="G15" s="317">
        <v>31449</v>
      </c>
      <c r="H15" s="315"/>
      <c r="I15" s="315"/>
      <c r="J15" s="317">
        <f t="shared" si="0"/>
        <v>31449</v>
      </c>
      <c r="K15" s="315"/>
      <c r="L15" s="317"/>
      <c r="M15" s="321"/>
      <c r="P15" s="314">
        <v>20.205533596837945</v>
      </c>
      <c r="Q15" s="314">
        <f>23928/1163</f>
        <v>20.574376612209804</v>
      </c>
    </row>
    <row r="16" spans="1:17" x14ac:dyDescent="0.2">
      <c r="A16" s="322" t="s">
        <v>31</v>
      </c>
      <c r="B16" s="322"/>
      <c r="C16" s="323"/>
      <c r="D16" s="324">
        <f>SUM(D8:D15)</f>
        <v>73.13</v>
      </c>
      <c r="E16" s="324">
        <f>SUM(E8:E15)</f>
        <v>57.290000000000006</v>
      </c>
      <c r="F16" s="324">
        <f>SUM(F8:F15)</f>
        <v>11718</v>
      </c>
      <c r="G16" s="324">
        <f t="shared" ref="G16:J16" si="2">SUM(G8:G15)</f>
        <v>102414</v>
      </c>
      <c r="H16" s="324">
        <f t="shared" si="2"/>
        <v>10560</v>
      </c>
      <c r="I16" s="324">
        <f>SUM(I8:I15)</f>
        <v>67394</v>
      </c>
      <c r="J16" s="324">
        <f t="shared" si="2"/>
        <v>180368</v>
      </c>
      <c r="K16" s="324">
        <f>SUM(K9:K15)</f>
        <v>1457</v>
      </c>
      <c r="L16" s="324">
        <f>SUM(L9:L15)</f>
        <v>0</v>
      </c>
      <c r="M16" s="312"/>
      <c r="P16" s="314">
        <f>SUM(P8:P15)</f>
        <v>72.218844923192762</v>
      </c>
      <c r="Q16" s="314">
        <f>SUM(Q8:Q15)</f>
        <v>71.160851648445174</v>
      </c>
    </row>
    <row r="17" spans="1:16" x14ac:dyDescent="0.2">
      <c r="A17" s="325" t="s">
        <v>34</v>
      </c>
      <c r="B17" s="325"/>
      <c r="C17" s="326"/>
      <c r="D17" s="327">
        <f>SUM(D16-E16)</f>
        <v>15.839999999999989</v>
      </c>
      <c r="E17" s="327"/>
      <c r="F17" s="327"/>
      <c r="G17" s="327">
        <f>SUM(D24*F24)</f>
        <v>22448</v>
      </c>
      <c r="H17" s="327">
        <f>H16-K16</f>
        <v>9103</v>
      </c>
      <c r="I17" s="327">
        <f>I16-L16</f>
        <v>67394</v>
      </c>
      <c r="J17" s="327">
        <f>SUM(G17:I17)</f>
        <v>98945</v>
      </c>
      <c r="K17" s="325"/>
      <c r="L17" s="325"/>
      <c r="M17" s="312"/>
    </row>
    <row r="18" spans="1:16" x14ac:dyDescent="0.2">
      <c r="A18" s="305"/>
      <c r="B18" s="309"/>
      <c r="C18" s="328"/>
      <c r="D18" s="329"/>
      <c r="E18" s="329"/>
      <c r="F18" s="330"/>
      <c r="G18" s="329"/>
      <c r="H18" s="329"/>
      <c r="I18" s="329"/>
      <c r="J18" s="329"/>
      <c r="K18" s="309"/>
      <c r="L18" s="309"/>
      <c r="M18" s="312"/>
    </row>
    <row r="19" spans="1:16" x14ac:dyDescent="0.2">
      <c r="A19" s="300" t="s">
        <v>40</v>
      </c>
      <c r="B19" s="300"/>
      <c r="C19" s="300"/>
      <c r="D19" s="300"/>
      <c r="E19" s="300"/>
      <c r="F19" s="331"/>
      <c r="G19" s="300"/>
      <c r="H19" s="315"/>
      <c r="I19" s="315"/>
      <c r="J19" s="315"/>
      <c r="K19" s="315"/>
      <c r="L19" s="317"/>
      <c r="M19" s="320"/>
      <c r="N19" s="314"/>
      <c r="O19" s="314"/>
    </row>
    <row r="20" spans="1:16" x14ac:dyDescent="0.2">
      <c r="A20" s="332" t="s">
        <v>41</v>
      </c>
      <c r="B20" s="332"/>
      <c r="C20" s="332" t="s">
        <v>42</v>
      </c>
      <c r="D20" s="332" t="s">
        <v>43</v>
      </c>
      <c r="E20" s="332"/>
      <c r="F20" s="332" t="s">
        <v>44</v>
      </c>
      <c r="G20" s="332"/>
      <c r="H20" s="317"/>
      <c r="L20" s="314"/>
      <c r="M20" s="320"/>
      <c r="N20" s="314"/>
      <c r="O20" s="333" t="s">
        <v>32</v>
      </c>
      <c r="P20" s="333"/>
    </row>
    <row r="21" spans="1:16" x14ac:dyDescent="0.2">
      <c r="A21" s="315" t="s">
        <v>46</v>
      </c>
      <c r="B21" s="322"/>
      <c r="C21" s="315"/>
      <c r="D21" s="315"/>
      <c r="E21" s="315"/>
      <c r="F21" s="315"/>
      <c r="G21" s="315"/>
      <c r="H21" s="317"/>
      <c r="L21" s="314"/>
      <c r="M21" s="320"/>
      <c r="N21" s="314"/>
      <c r="O21" s="334" t="s">
        <v>250</v>
      </c>
      <c r="P21" s="335">
        <v>100</v>
      </c>
    </row>
    <row r="22" spans="1:16" x14ac:dyDescent="0.2">
      <c r="A22" s="315" t="s">
        <v>208</v>
      </c>
      <c r="B22" s="315"/>
      <c r="C22" s="315" t="s">
        <v>49</v>
      </c>
      <c r="D22" s="336">
        <v>0.16400000000000001</v>
      </c>
      <c r="E22" s="315"/>
      <c r="F22" s="317">
        <v>155455</v>
      </c>
      <c r="G22" s="315"/>
      <c r="H22" s="315"/>
      <c r="M22" s="312"/>
      <c r="O22" s="309"/>
      <c r="P22" s="329"/>
    </row>
    <row r="23" spans="1:16" x14ac:dyDescent="0.2">
      <c r="A23" s="315" t="s">
        <v>50</v>
      </c>
      <c r="B23" s="315"/>
      <c r="C23" s="315"/>
      <c r="D23" s="315"/>
      <c r="E23" s="315"/>
      <c r="F23" s="315"/>
      <c r="G23" s="315"/>
      <c r="H23" s="315"/>
      <c r="M23" s="312"/>
      <c r="O23" s="333" t="s">
        <v>251</v>
      </c>
      <c r="P23" s="337">
        <v>0.72499999999999998</v>
      </c>
    </row>
    <row r="24" spans="1:16" x14ac:dyDescent="0.2">
      <c r="A24" s="315" t="s">
        <v>51</v>
      </c>
      <c r="B24" s="315"/>
      <c r="C24" s="315" t="s">
        <v>52</v>
      </c>
      <c r="D24" s="317">
        <v>16</v>
      </c>
      <c r="E24" s="315"/>
      <c r="F24" s="317">
        <v>1403</v>
      </c>
      <c r="G24" s="315"/>
      <c r="H24" s="315"/>
      <c r="M24" s="312"/>
      <c r="O24" s="333" t="s">
        <v>47</v>
      </c>
      <c r="P24" s="337">
        <v>1</v>
      </c>
    </row>
    <row r="25" spans="1:16" x14ac:dyDescent="0.2">
      <c r="A25" s="315" t="s">
        <v>53</v>
      </c>
      <c r="B25" s="315"/>
      <c r="C25" s="315" t="s">
        <v>52</v>
      </c>
      <c r="D25" s="317">
        <v>57</v>
      </c>
      <c r="E25" s="315"/>
      <c r="F25" s="315"/>
      <c r="G25" s="315"/>
      <c r="H25" s="315"/>
      <c r="I25" s="315"/>
      <c r="J25" s="315"/>
      <c r="K25" s="309"/>
      <c r="L25" s="329"/>
      <c r="M25" s="312"/>
    </row>
    <row r="26" spans="1:16" x14ac:dyDescent="0.2">
      <c r="A26" s="315" t="s">
        <v>7</v>
      </c>
      <c r="B26" s="315"/>
      <c r="C26" s="315" t="s">
        <v>52</v>
      </c>
      <c r="D26" s="317">
        <f>SUM(D24:D25)</f>
        <v>73</v>
      </c>
      <c r="E26" s="315"/>
      <c r="F26" s="315"/>
      <c r="G26" s="309"/>
      <c r="H26" s="309"/>
      <c r="I26" s="317"/>
      <c r="J26" s="338"/>
      <c r="K26" s="317"/>
      <c r="L26" s="317"/>
      <c r="M26" s="312"/>
    </row>
    <row r="27" spans="1:16" s="301" customFormat="1" x14ac:dyDescent="0.2">
      <c r="A27" s="332" t="s">
        <v>93</v>
      </c>
      <c r="B27" s="332" t="s">
        <v>252</v>
      </c>
      <c r="C27" s="332"/>
      <c r="D27" s="332"/>
      <c r="E27" s="332"/>
      <c r="F27" s="332"/>
      <c r="G27" s="305"/>
      <c r="H27" s="305"/>
      <c r="I27" s="300"/>
      <c r="J27" s="339"/>
      <c r="M27" s="302"/>
    </row>
    <row r="28" spans="1:16" x14ac:dyDescent="0.2">
      <c r="A28" s="309" t="s">
        <v>253</v>
      </c>
      <c r="B28" s="340">
        <v>100</v>
      </c>
      <c r="C28" s="309" t="s">
        <v>49</v>
      </c>
      <c r="D28" s="340">
        <v>133</v>
      </c>
      <c r="E28" s="341" t="s">
        <v>254</v>
      </c>
      <c r="F28" s="329">
        <v>69</v>
      </c>
      <c r="G28" s="315"/>
      <c r="H28" s="315"/>
      <c r="I28" s="315"/>
      <c r="J28" s="342"/>
      <c r="M28" s="312"/>
    </row>
    <row r="29" spans="1:16" x14ac:dyDescent="0.2">
      <c r="A29" s="315" t="s">
        <v>210</v>
      </c>
      <c r="B29" s="340">
        <v>70</v>
      </c>
      <c r="C29" s="309" t="s">
        <v>49</v>
      </c>
      <c r="D29" s="340">
        <v>111</v>
      </c>
      <c r="E29" s="341" t="s">
        <v>254</v>
      </c>
      <c r="F29" s="329">
        <v>74</v>
      </c>
      <c r="G29" s="315"/>
      <c r="H29" s="315"/>
      <c r="I29" s="315"/>
      <c r="J29" s="342"/>
      <c r="M29" s="312"/>
    </row>
    <row r="30" spans="1:16" x14ac:dyDescent="0.2">
      <c r="A30" s="315" t="s">
        <v>255</v>
      </c>
      <c r="B30" s="313">
        <v>40</v>
      </c>
      <c r="C30" s="309" t="s">
        <v>49</v>
      </c>
      <c r="D30" s="313">
        <v>62</v>
      </c>
      <c r="E30" s="341" t="s">
        <v>254</v>
      </c>
      <c r="F30" s="314">
        <v>217</v>
      </c>
      <c r="G30" s="315"/>
      <c r="H30" s="315"/>
      <c r="I30" s="315"/>
      <c r="J30" s="342"/>
      <c r="K30" s="343"/>
      <c r="L30" s="344"/>
      <c r="M30" s="312"/>
    </row>
    <row r="31" spans="1:16" s="301" customFormat="1" x14ac:dyDescent="0.2">
      <c r="A31" s="332" t="s">
        <v>54</v>
      </c>
      <c r="B31" s="332"/>
      <c r="C31" s="332"/>
      <c r="D31" s="332"/>
      <c r="E31" s="332"/>
      <c r="F31" s="332" t="s">
        <v>159</v>
      </c>
      <c r="G31" s="332" t="s">
        <v>55</v>
      </c>
      <c r="I31" s="300"/>
      <c r="J31" s="300"/>
      <c r="K31" s="345"/>
      <c r="L31" s="300"/>
      <c r="M31" s="302"/>
    </row>
    <row r="32" spans="1:16" x14ac:dyDescent="0.2">
      <c r="A32" s="309" t="s">
        <v>133</v>
      </c>
      <c r="B32" s="309"/>
      <c r="C32" s="309"/>
      <c r="D32" s="309"/>
      <c r="E32" s="309"/>
      <c r="F32" s="346">
        <v>3911</v>
      </c>
      <c r="G32" s="340">
        <f>F32*2.471</f>
        <v>9664.0810000000001</v>
      </c>
      <c r="I32" s="315"/>
      <c r="J32" s="315"/>
      <c r="K32" s="315"/>
      <c r="L32" s="315"/>
      <c r="M32" s="312"/>
    </row>
    <row r="33" spans="1:13" x14ac:dyDescent="0.2">
      <c r="A33" s="309" t="s">
        <v>57</v>
      </c>
      <c r="B33" s="309"/>
      <c r="C33" s="309"/>
      <c r="D33" s="309"/>
      <c r="E33" s="309"/>
      <c r="F33" s="346">
        <v>173</v>
      </c>
      <c r="G33" s="340"/>
      <c r="I33" s="315"/>
      <c r="J33" s="315"/>
      <c r="K33" s="315"/>
      <c r="L33" s="315"/>
      <c r="M33" s="312"/>
    </row>
    <row r="34" spans="1:13" x14ac:dyDescent="0.2">
      <c r="A34" s="309" t="s">
        <v>134</v>
      </c>
      <c r="B34" s="309"/>
      <c r="C34" s="309"/>
      <c r="D34" s="309"/>
      <c r="E34" s="309"/>
      <c r="F34" s="346">
        <f>SUM(F32*F33)</f>
        <v>676603</v>
      </c>
      <c r="G34" s="340">
        <f>F34*2.471</f>
        <v>1671886.013</v>
      </c>
      <c r="I34" s="315"/>
      <c r="J34" s="315"/>
      <c r="K34" s="315"/>
      <c r="L34" s="315"/>
      <c r="M34" s="312"/>
    </row>
    <row r="35" spans="1:13" x14ac:dyDescent="0.2">
      <c r="A35" s="309" t="s">
        <v>256</v>
      </c>
      <c r="B35" s="309"/>
      <c r="C35" s="309"/>
      <c r="D35" s="309"/>
      <c r="E35" s="309"/>
      <c r="F35" s="346">
        <f>SUM(F34-J16)</f>
        <v>496235</v>
      </c>
      <c r="G35" s="340">
        <f>F35*2.471</f>
        <v>1226196.6850000001</v>
      </c>
      <c r="I35" s="315"/>
      <c r="J35" s="315"/>
      <c r="K35" s="315"/>
      <c r="L35" s="315"/>
      <c r="M35" s="312"/>
    </row>
    <row r="36" spans="1:13" x14ac:dyDescent="0.2">
      <c r="A36" s="309" t="s">
        <v>257</v>
      </c>
      <c r="B36" s="309"/>
      <c r="C36" s="309"/>
      <c r="D36" s="309"/>
      <c r="E36" s="309"/>
      <c r="F36" s="346">
        <f>SUM(F34-J17)</f>
        <v>577658</v>
      </c>
      <c r="G36" s="340">
        <f>F36*2.471</f>
        <v>1427392.9180000001</v>
      </c>
      <c r="I36" s="315"/>
      <c r="J36" s="315"/>
      <c r="K36" s="315"/>
      <c r="L36" s="315"/>
      <c r="M36" s="312"/>
    </row>
    <row r="37" spans="1:13" x14ac:dyDescent="0.2">
      <c r="A37" s="309" t="s">
        <v>160</v>
      </c>
      <c r="B37" s="309"/>
      <c r="C37" s="309"/>
      <c r="D37" s="309"/>
      <c r="E37" s="309"/>
      <c r="F37" s="346">
        <f>SUM(J16/F32)</f>
        <v>46.118128355919204</v>
      </c>
      <c r="G37" s="309"/>
      <c r="I37" s="315"/>
      <c r="J37" s="315"/>
      <c r="K37" s="315"/>
      <c r="L37" s="315"/>
      <c r="M37" s="312"/>
    </row>
    <row r="38" spans="1:13" x14ac:dyDescent="0.2">
      <c r="A38" s="325" t="s">
        <v>161</v>
      </c>
      <c r="B38" s="325"/>
      <c r="C38" s="325"/>
      <c r="D38" s="325"/>
      <c r="E38" s="325"/>
      <c r="F38" s="347">
        <f>SUM(J17/F32)</f>
        <v>25.299156226029147</v>
      </c>
      <c r="G38" s="325"/>
      <c r="I38" s="315"/>
      <c r="J38" s="315"/>
      <c r="K38" s="315"/>
      <c r="L38" s="315"/>
      <c r="M38" s="312"/>
    </row>
    <row r="39" spans="1:13" x14ac:dyDescent="0.2">
      <c r="A39" s="315" t="s">
        <v>63</v>
      </c>
      <c r="B39" s="315" t="s">
        <v>258</v>
      </c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2"/>
    </row>
    <row r="40" spans="1:13" x14ac:dyDescent="0.2"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2"/>
    </row>
    <row r="41" spans="1:13" x14ac:dyDescent="0.2">
      <c r="A41" s="300"/>
      <c r="B41" s="300"/>
      <c r="C41" s="300"/>
      <c r="D41" s="300"/>
      <c r="E41" s="315"/>
      <c r="F41" s="315"/>
      <c r="G41" s="315"/>
      <c r="H41" s="315"/>
      <c r="I41" s="315"/>
      <c r="J41" s="315"/>
      <c r="K41" s="315"/>
      <c r="L41" s="3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>
      <selection activeCell="M35" sqref="M35"/>
    </sheetView>
  </sheetViews>
  <sheetFormatPr defaultRowHeight="12.75" x14ac:dyDescent="0.2"/>
  <cols>
    <col min="1" max="1" width="8" style="348" customWidth="1"/>
    <col min="2" max="2" width="7.7109375" style="348" customWidth="1"/>
    <col min="3" max="3" width="9.140625" style="348"/>
    <col min="4" max="4" width="6.7109375" style="348" customWidth="1"/>
    <col min="5" max="5" width="7.28515625" style="348" customWidth="1"/>
    <col min="6" max="6" width="5.85546875" style="348" customWidth="1"/>
    <col min="7" max="7" width="9" style="348" customWidth="1"/>
    <col min="8" max="8" width="9.28515625" style="348" customWidth="1"/>
    <col min="9" max="9" width="7.28515625" style="348" customWidth="1"/>
    <col min="10" max="10" width="8.42578125" style="348" customWidth="1"/>
    <col min="11" max="11" width="8.28515625" style="348" customWidth="1"/>
    <col min="12" max="12" width="7.28515625" style="348" customWidth="1"/>
    <col min="13" max="13" width="9" style="348" customWidth="1"/>
    <col min="14" max="16384" width="9.140625" style="348"/>
  </cols>
  <sheetData>
    <row r="1" spans="1:16" x14ac:dyDescent="0.2">
      <c r="A1" s="54" t="s">
        <v>0</v>
      </c>
      <c r="B1" s="54" t="s">
        <v>259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 t="s">
        <v>260</v>
      </c>
    </row>
    <row r="2" spans="1:16" x14ac:dyDescent="0.2">
      <c r="A2" s="54"/>
      <c r="B2" s="54" t="s">
        <v>261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312"/>
    </row>
    <row r="3" spans="1:16" ht="20.25" x14ac:dyDescent="0.3">
      <c r="A3" s="54"/>
      <c r="B3" s="348" t="s">
        <v>262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312"/>
      <c r="O3" s="349" t="s">
        <v>263</v>
      </c>
    </row>
    <row r="4" spans="1:16" x14ac:dyDescent="0.2">
      <c r="A4" s="74" t="s">
        <v>5</v>
      </c>
      <c r="B4" s="74"/>
      <c r="C4" s="74"/>
      <c r="D4" s="350" t="s">
        <v>6</v>
      </c>
      <c r="E4" s="350" t="s">
        <v>7</v>
      </c>
      <c r="F4" s="350" t="s">
        <v>8</v>
      </c>
      <c r="G4" s="350" t="s">
        <v>9</v>
      </c>
      <c r="H4" s="350" t="s">
        <v>10</v>
      </c>
      <c r="I4" s="350" t="s">
        <v>11</v>
      </c>
      <c r="J4" s="350" t="s">
        <v>12</v>
      </c>
      <c r="K4" s="350" t="s">
        <v>13</v>
      </c>
      <c r="L4" s="351" t="s">
        <v>14</v>
      </c>
      <c r="M4" s="350"/>
      <c r="N4" s="312"/>
    </row>
    <row r="5" spans="1:16" x14ac:dyDescent="0.2">
      <c r="A5" s="352"/>
      <c r="B5" s="352"/>
      <c r="C5" s="352"/>
      <c r="D5" s="353" t="s">
        <v>15</v>
      </c>
      <c r="E5" s="353" t="s">
        <v>16</v>
      </c>
      <c r="F5" s="353" t="s">
        <v>16</v>
      </c>
      <c r="G5" s="353" t="s">
        <v>17</v>
      </c>
      <c r="H5" s="353" t="s">
        <v>18</v>
      </c>
      <c r="I5" s="353" t="s">
        <v>19</v>
      </c>
      <c r="J5" s="353" t="s">
        <v>18</v>
      </c>
      <c r="K5" s="353" t="s">
        <v>18</v>
      </c>
      <c r="L5" s="354" t="s">
        <v>11</v>
      </c>
      <c r="M5" s="353" t="s">
        <v>12</v>
      </c>
      <c r="N5" s="312"/>
    </row>
    <row r="6" spans="1:16" x14ac:dyDescent="0.2">
      <c r="A6" s="352"/>
      <c r="B6" s="352"/>
      <c r="C6" s="352"/>
      <c r="D6" s="353" t="s">
        <v>20</v>
      </c>
      <c r="E6" s="353"/>
      <c r="F6" s="353"/>
      <c r="G6" s="353"/>
      <c r="H6" s="353" t="s">
        <v>21</v>
      </c>
      <c r="I6" s="353" t="s">
        <v>18</v>
      </c>
      <c r="J6" s="353" t="s">
        <v>21</v>
      </c>
      <c r="K6" s="353" t="s">
        <v>21</v>
      </c>
      <c r="L6" s="353"/>
      <c r="M6" s="353"/>
      <c r="N6" s="312"/>
    </row>
    <row r="7" spans="1:16" x14ac:dyDescent="0.2">
      <c r="A7" s="80"/>
      <c r="B7" s="80"/>
      <c r="C7" s="80"/>
      <c r="D7" s="355"/>
      <c r="E7" s="355"/>
      <c r="F7" s="355"/>
      <c r="G7" s="355"/>
      <c r="H7" s="355"/>
      <c r="I7" s="355" t="s">
        <v>21</v>
      </c>
      <c r="J7" s="355"/>
      <c r="K7" s="355"/>
      <c r="L7" s="355"/>
      <c r="M7" s="355"/>
      <c r="N7" s="312"/>
    </row>
    <row r="8" spans="1:16" x14ac:dyDescent="0.2">
      <c r="A8" s="54" t="s">
        <v>71</v>
      </c>
      <c r="B8" s="54"/>
      <c r="C8" s="54"/>
      <c r="D8" s="356">
        <v>58</v>
      </c>
      <c r="E8" s="171">
        <v>2.4500000000000002</v>
      </c>
      <c r="F8" s="171">
        <v>1.55</v>
      </c>
      <c r="G8" s="357">
        <v>1700</v>
      </c>
      <c r="H8" s="171">
        <f>SUM(E8*G8)</f>
        <v>4165</v>
      </c>
      <c r="I8" s="54"/>
      <c r="J8" s="171"/>
      <c r="K8" s="171">
        <f>SUM(H8:J8)</f>
        <v>4165</v>
      </c>
      <c r="L8" s="54"/>
      <c r="M8" s="54"/>
      <c r="N8" s="312"/>
      <c r="O8" s="348">
        <v>3720</v>
      </c>
      <c r="P8" s="358">
        <f>+O8/1262</f>
        <v>2.9477020602218702</v>
      </c>
    </row>
    <row r="9" spans="1:16" x14ac:dyDescent="0.2">
      <c r="A9" s="54" t="s">
        <v>264</v>
      </c>
      <c r="B9" s="54"/>
      <c r="C9" s="54"/>
      <c r="D9" s="356">
        <v>100</v>
      </c>
      <c r="E9" s="171">
        <v>0.41</v>
      </c>
      <c r="F9" s="171">
        <v>0.41</v>
      </c>
      <c r="G9" s="357">
        <v>1300</v>
      </c>
      <c r="H9" s="171">
        <f>SUM(E9*G9)</f>
        <v>533</v>
      </c>
      <c r="I9" s="171">
        <v>7997</v>
      </c>
      <c r="J9" s="171"/>
      <c r="K9" s="171">
        <f>SUM(H9:J9)</f>
        <v>8530</v>
      </c>
      <c r="L9" s="171">
        <v>173</v>
      </c>
      <c r="M9" s="54"/>
      <c r="N9" s="312"/>
      <c r="O9" s="348">
        <v>1300</v>
      </c>
      <c r="P9" s="358">
        <f t="shared" ref="P9:P19" si="0">+O9/1262</f>
        <v>1.0301109350237718</v>
      </c>
    </row>
    <row r="10" spans="1:16" x14ac:dyDescent="0.2">
      <c r="A10" s="359" t="s">
        <v>265</v>
      </c>
      <c r="B10" s="356"/>
      <c r="C10" s="54"/>
      <c r="D10" s="356">
        <v>58</v>
      </c>
      <c r="E10" s="171">
        <v>2.6</v>
      </c>
      <c r="F10" s="171">
        <v>2.2999999999999998</v>
      </c>
      <c r="G10" s="357">
        <v>1300</v>
      </c>
      <c r="H10" s="171">
        <f>SUM(E10*G10)</f>
        <v>3380</v>
      </c>
      <c r="I10" s="54"/>
      <c r="J10" s="171">
        <f>+E28*G28</f>
        <v>4477</v>
      </c>
      <c r="K10" s="171">
        <f>SUM(H10:J10)</f>
        <v>7857</v>
      </c>
      <c r="L10" s="54"/>
      <c r="M10" s="171">
        <v>779</v>
      </c>
      <c r="N10" s="312"/>
      <c r="O10" s="348">
        <v>4420</v>
      </c>
      <c r="P10" s="358">
        <f t="shared" si="0"/>
        <v>3.502377179080824</v>
      </c>
    </row>
    <row r="11" spans="1:16" x14ac:dyDescent="0.2">
      <c r="A11" s="54" t="s">
        <v>266</v>
      </c>
      <c r="B11" s="54"/>
      <c r="C11" s="54"/>
      <c r="D11" s="356" t="s">
        <v>267</v>
      </c>
      <c r="E11" s="171"/>
      <c r="F11" s="171"/>
      <c r="G11" s="357"/>
      <c r="H11" s="171" t="s">
        <v>268</v>
      </c>
      <c r="I11" s="54" t="s">
        <v>269</v>
      </c>
      <c r="J11" s="171"/>
      <c r="K11" s="171"/>
      <c r="L11" s="54"/>
      <c r="M11" s="54"/>
      <c r="N11" s="312"/>
      <c r="P11" s="358">
        <f t="shared" si="0"/>
        <v>0</v>
      </c>
    </row>
    <row r="12" spans="1:16" x14ac:dyDescent="0.2">
      <c r="A12" s="54" t="s">
        <v>270</v>
      </c>
      <c r="B12" s="54"/>
      <c r="C12" s="54"/>
      <c r="D12" s="356">
        <v>67</v>
      </c>
      <c r="E12" s="171">
        <v>0.19</v>
      </c>
      <c r="F12" s="171">
        <v>0.19</v>
      </c>
      <c r="G12" s="357">
        <v>1300</v>
      </c>
      <c r="H12" s="171">
        <f>SUM(E12*G12)</f>
        <v>247</v>
      </c>
      <c r="I12" s="54"/>
      <c r="J12" s="171">
        <f>G37</f>
        <v>1316</v>
      </c>
      <c r="K12" s="171">
        <f>SUM(H12:J12)</f>
        <v>1563</v>
      </c>
      <c r="L12" s="54"/>
      <c r="M12" s="54"/>
      <c r="N12" s="312"/>
      <c r="P12" s="358">
        <f t="shared" si="0"/>
        <v>0</v>
      </c>
    </row>
    <row r="13" spans="1:16" x14ac:dyDescent="0.2">
      <c r="A13" s="54" t="s">
        <v>25</v>
      </c>
      <c r="B13" s="54"/>
      <c r="C13" s="54"/>
      <c r="D13" s="356">
        <v>75</v>
      </c>
      <c r="E13" s="171">
        <v>4.0999999999999996</v>
      </c>
      <c r="F13" s="171">
        <v>2.5099999999999998</v>
      </c>
      <c r="G13" s="357">
        <v>1361</v>
      </c>
      <c r="H13" s="171">
        <v>5580</v>
      </c>
      <c r="I13" s="54"/>
      <c r="J13" s="360"/>
      <c r="K13" s="171">
        <f t="shared" ref="K13:K16" si="1">SUM(H13:J13)</f>
        <v>5580</v>
      </c>
      <c r="L13" s="54"/>
      <c r="M13" s="54"/>
      <c r="N13" s="312"/>
      <c r="O13" s="348">
        <v>7320</v>
      </c>
      <c r="P13" s="358">
        <f t="shared" si="0"/>
        <v>5.8003169572107769</v>
      </c>
    </row>
    <row r="14" spans="1:16" x14ac:dyDescent="0.2">
      <c r="A14" s="54" t="s">
        <v>271</v>
      </c>
      <c r="B14" s="54"/>
      <c r="C14" s="54"/>
      <c r="D14" s="356">
        <v>75</v>
      </c>
      <c r="E14" s="171">
        <v>0.43</v>
      </c>
      <c r="F14" s="171">
        <v>0.43</v>
      </c>
      <c r="G14" s="357">
        <v>1300</v>
      </c>
      <c r="H14" s="171">
        <f>SUM(E14*G14)</f>
        <v>559</v>
      </c>
      <c r="I14" s="54"/>
      <c r="J14" s="171">
        <v>3844</v>
      </c>
      <c r="K14" s="171">
        <f>SUM(H14:J14)</f>
        <v>4403</v>
      </c>
      <c r="L14" s="54"/>
      <c r="M14" s="54"/>
      <c r="N14" s="312"/>
      <c r="O14" s="348">
        <v>918</v>
      </c>
      <c r="P14" s="358">
        <f t="shared" si="0"/>
        <v>0.72741679873217113</v>
      </c>
    </row>
    <row r="15" spans="1:16" x14ac:dyDescent="0.2">
      <c r="A15" s="54" t="s">
        <v>27</v>
      </c>
      <c r="B15" s="54"/>
      <c r="C15" s="54"/>
      <c r="D15" s="356">
        <v>100</v>
      </c>
      <c r="E15" s="171">
        <v>3.74</v>
      </c>
      <c r="F15" s="171">
        <v>3</v>
      </c>
      <c r="G15" s="357">
        <v>1553</v>
      </c>
      <c r="H15" s="171">
        <v>5808</v>
      </c>
      <c r="I15" s="54"/>
      <c r="J15" s="171"/>
      <c r="K15" s="171">
        <f t="shared" si="1"/>
        <v>5808</v>
      </c>
      <c r="L15" s="54"/>
      <c r="M15" s="54"/>
      <c r="N15" s="312"/>
      <c r="O15" s="348">
        <v>10464</v>
      </c>
      <c r="P15" s="358">
        <f t="shared" si="0"/>
        <v>8.2916006339144221</v>
      </c>
    </row>
    <row r="16" spans="1:16" x14ac:dyDescent="0.2">
      <c r="A16" s="54" t="s">
        <v>272</v>
      </c>
      <c r="B16" s="54"/>
      <c r="C16" s="54"/>
      <c r="D16" s="356">
        <v>75</v>
      </c>
      <c r="E16" s="171">
        <v>1.7</v>
      </c>
      <c r="F16" s="171">
        <v>1.7</v>
      </c>
      <c r="G16" s="357">
        <v>1300</v>
      </c>
      <c r="H16" s="171">
        <f>SUM(E16*G16)</f>
        <v>2210</v>
      </c>
      <c r="I16" s="54"/>
      <c r="J16" s="171"/>
      <c r="K16" s="171">
        <f t="shared" si="1"/>
        <v>2210</v>
      </c>
      <c r="L16" s="54"/>
      <c r="M16" s="54"/>
      <c r="N16" s="312"/>
      <c r="O16" s="348">
        <v>3900</v>
      </c>
      <c r="P16" s="358">
        <f t="shared" si="0"/>
        <v>3.0903328050713155</v>
      </c>
    </row>
    <row r="17" spans="1:17" x14ac:dyDescent="0.2">
      <c r="A17" s="54" t="s">
        <v>273</v>
      </c>
      <c r="B17" s="54"/>
      <c r="C17" s="54"/>
      <c r="D17" s="356" t="s">
        <v>274</v>
      </c>
      <c r="E17" s="171"/>
      <c r="F17" s="171"/>
      <c r="G17" s="357"/>
      <c r="H17" s="361" t="s">
        <v>275</v>
      </c>
      <c r="I17" s="362" t="s">
        <v>276</v>
      </c>
      <c r="J17" s="171"/>
      <c r="K17" s="171"/>
      <c r="L17" s="54"/>
      <c r="M17" s="54"/>
      <c r="N17" s="312"/>
      <c r="P17" s="358">
        <f t="shared" si="0"/>
        <v>0</v>
      </c>
    </row>
    <row r="18" spans="1:17" x14ac:dyDescent="0.2">
      <c r="A18" s="54" t="s">
        <v>277</v>
      </c>
      <c r="B18" s="54"/>
      <c r="C18" s="54"/>
      <c r="D18" s="356">
        <v>83</v>
      </c>
      <c r="E18" s="171">
        <v>0.56999999999999995</v>
      </c>
      <c r="F18" s="171">
        <v>0.56999999999999995</v>
      </c>
      <c r="G18" s="357">
        <v>1300</v>
      </c>
      <c r="H18" s="171">
        <f>SUM(E18*G18)</f>
        <v>740.99999999999989</v>
      </c>
      <c r="I18" s="54"/>
      <c r="J18" s="171"/>
      <c r="K18" s="171">
        <f>SUM(H18:J18)</f>
        <v>740.99999999999989</v>
      </c>
      <c r="L18" s="54"/>
      <c r="M18" s="54"/>
      <c r="N18" s="312"/>
      <c r="O18" s="348">
        <v>1560</v>
      </c>
      <c r="P18" s="358">
        <f t="shared" si="0"/>
        <v>1.2361331220285261</v>
      </c>
    </row>
    <row r="19" spans="1:17" x14ac:dyDescent="0.2">
      <c r="A19" s="54" t="s">
        <v>278</v>
      </c>
      <c r="B19" s="54"/>
      <c r="C19" s="54"/>
      <c r="D19" s="356">
        <v>42</v>
      </c>
      <c r="E19" s="171">
        <v>0.28999999999999998</v>
      </c>
      <c r="F19" s="171">
        <v>0.28999999999999998</v>
      </c>
      <c r="G19" s="357">
        <v>1500</v>
      </c>
      <c r="H19" s="171">
        <f>SUM(E19*G19)</f>
        <v>434.99999999999994</v>
      </c>
      <c r="I19" s="54">
        <v>1200</v>
      </c>
      <c r="J19" s="171"/>
      <c r="K19" s="171">
        <f>SUM(H19:J19)</f>
        <v>1635</v>
      </c>
      <c r="L19" s="171">
        <v>857</v>
      </c>
      <c r="M19" s="54"/>
      <c r="N19" s="312"/>
      <c r="O19" s="348">
        <v>480</v>
      </c>
      <c r="P19" s="358">
        <f t="shared" si="0"/>
        <v>0.38034865293185421</v>
      </c>
    </row>
    <row r="20" spans="1:17" x14ac:dyDescent="0.2">
      <c r="A20" s="74" t="s">
        <v>31</v>
      </c>
      <c r="B20" s="74"/>
      <c r="C20" s="74"/>
      <c r="D20" s="363"/>
      <c r="E20" s="364">
        <f>SUM(E8:E19)</f>
        <v>16.479999999999997</v>
      </c>
      <c r="F20" s="364">
        <f>SUM(F8:F19)</f>
        <v>12.95</v>
      </c>
      <c r="G20" s="364"/>
      <c r="H20" s="364">
        <f>SUM(H8:H19)</f>
        <v>23658</v>
      </c>
      <c r="I20" s="364">
        <f>SUM(I8:I19)</f>
        <v>9197</v>
      </c>
      <c r="J20" s="364">
        <f>SUM(J8:J19)</f>
        <v>9637</v>
      </c>
      <c r="K20" s="364">
        <f>SUM(H20:J20)</f>
        <v>42492</v>
      </c>
      <c r="L20" s="364">
        <f>SUM(L8:L19)</f>
        <v>1030</v>
      </c>
      <c r="M20" s="364">
        <f>SUM(M8:M19)</f>
        <v>779</v>
      </c>
      <c r="N20" s="312"/>
    </row>
    <row r="21" spans="1:17" x14ac:dyDescent="0.2">
      <c r="A21" s="80" t="s">
        <v>34</v>
      </c>
      <c r="B21" s="80"/>
      <c r="C21" s="80"/>
      <c r="D21" s="365"/>
      <c r="E21" s="366">
        <f>SUM(E20-F20)</f>
        <v>3.5299999999999976</v>
      </c>
      <c r="F21" s="366"/>
      <c r="G21" s="366"/>
      <c r="H21" s="366">
        <f>SUM(E32*G32)</f>
        <v>4437</v>
      </c>
      <c r="I21" s="366">
        <f>I20-L20</f>
        <v>8167</v>
      </c>
      <c r="J21" s="366">
        <f>J20-M20</f>
        <v>8858</v>
      </c>
      <c r="K21" s="366">
        <f>SUM(H21:J21)</f>
        <v>21462</v>
      </c>
      <c r="L21" s="80"/>
      <c r="M21" s="80"/>
      <c r="N21" s="312"/>
    </row>
    <row r="22" spans="1:17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312"/>
    </row>
    <row r="23" spans="1:17" x14ac:dyDescent="0.2">
      <c r="A23" s="54"/>
      <c r="B23" s="54"/>
      <c r="C23" s="54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312"/>
    </row>
    <row r="24" spans="1:17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312"/>
      <c r="P24" s="54" t="s">
        <v>45</v>
      </c>
      <c r="Q24" s="54">
        <v>1.92</v>
      </c>
    </row>
    <row r="25" spans="1:17" x14ac:dyDescent="0.2">
      <c r="A25" s="54" t="s">
        <v>40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312"/>
      <c r="P25" s="54" t="s">
        <v>47</v>
      </c>
      <c r="Q25" s="54">
        <v>2</v>
      </c>
    </row>
    <row r="26" spans="1:17" x14ac:dyDescent="0.2">
      <c r="A26" s="367" t="s">
        <v>41</v>
      </c>
      <c r="B26" s="367"/>
      <c r="C26" s="367"/>
      <c r="D26" s="367" t="s">
        <v>42</v>
      </c>
      <c r="E26" s="367" t="s">
        <v>43</v>
      </c>
      <c r="F26" s="367"/>
      <c r="G26" s="367" t="s">
        <v>44</v>
      </c>
      <c r="H26" s="54"/>
      <c r="I26" s="54"/>
      <c r="J26" s="54"/>
      <c r="K26" s="54"/>
      <c r="L26" s="54"/>
      <c r="M26" s="54"/>
      <c r="N26" s="312"/>
      <c r="Q26" s="54"/>
    </row>
    <row r="27" spans="1:17" x14ac:dyDescent="0.2">
      <c r="A27" s="54" t="s">
        <v>46</v>
      </c>
      <c r="B27" s="54"/>
      <c r="C27" s="54"/>
      <c r="D27" s="54"/>
      <c r="E27" s="54"/>
      <c r="F27" s="54"/>
      <c r="G27" s="54"/>
      <c r="H27" s="54"/>
      <c r="K27" s="54"/>
      <c r="L27" s="54"/>
      <c r="M27" s="54"/>
      <c r="N27" s="320"/>
      <c r="P27" s="54"/>
      <c r="Q27" s="54"/>
    </row>
    <row r="28" spans="1:17" x14ac:dyDescent="0.2">
      <c r="A28" s="54" t="s">
        <v>48</v>
      </c>
      <c r="B28" s="54"/>
      <c r="C28" s="54"/>
      <c r="D28" s="54" t="s">
        <v>49</v>
      </c>
      <c r="E28" s="171">
        <v>11</v>
      </c>
      <c r="F28" s="54"/>
      <c r="G28" s="314">
        <v>407</v>
      </c>
      <c r="H28" s="54"/>
      <c r="K28" s="54"/>
      <c r="L28" s="54"/>
      <c r="M28" s="54"/>
      <c r="N28" s="312"/>
      <c r="P28" s="368" t="s">
        <v>32</v>
      </c>
      <c r="Q28" s="54"/>
    </row>
    <row r="29" spans="1:17" x14ac:dyDescent="0.2">
      <c r="A29" s="54"/>
      <c r="B29" s="54"/>
      <c r="C29" s="54"/>
      <c r="D29" s="54"/>
      <c r="E29" s="54"/>
      <c r="F29" s="54"/>
      <c r="G29" s="54"/>
      <c r="H29" s="54"/>
      <c r="K29" s="369"/>
      <c r="L29" s="54"/>
      <c r="M29" s="54"/>
      <c r="N29" s="312"/>
      <c r="P29" s="313" t="s">
        <v>279</v>
      </c>
      <c r="Q29" s="370">
        <f>5*100/12</f>
        <v>41.666666666666664</v>
      </c>
    </row>
    <row r="30" spans="1:17" x14ac:dyDescent="0.2">
      <c r="A30" s="54"/>
      <c r="B30" s="54"/>
      <c r="C30" s="54"/>
      <c r="D30" s="54"/>
      <c r="E30" s="54"/>
      <c r="F30" s="54"/>
      <c r="G30" s="54"/>
      <c r="H30" s="54"/>
      <c r="K30" s="369"/>
      <c r="L30" s="54"/>
      <c r="M30" s="54"/>
      <c r="N30" s="312"/>
      <c r="P30" s="313" t="s">
        <v>280</v>
      </c>
      <c r="Q30" s="370">
        <f>4*100/12</f>
        <v>33.333333333333336</v>
      </c>
    </row>
    <row r="31" spans="1:17" x14ac:dyDescent="0.2">
      <c r="A31" s="54" t="s">
        <v>50</v>
      </c>
      <c r="B31" s="54"/>
      <c r="C31" s="54"/>
      <c r="D31" s="54"/>
      <c r="E31" s="54"/>
      <c r="F31" s="54"/>
      <c r="G31" s="54"/>
      <c r="H31" s="54"/>
      <c r="K31" s="369"/>
      <c r="L31" s="54"/>
      <c r="M31" s="54"/>
      <c r="N31" s="312"/>
      <c r="P31" s="371" t="s">
        <v>281</v>
      </c>
      <c r="Q31" s="348">
        <f>3*100/12</f>
        <v>25</v>
      </c>
    </row>
    <row r="32" spans="1:17" x14ac:dyDescent="0.2">
      <c r="A32" s="54" t="s">
        <v>91</v>
      </c>
      <c r="B32" s="54"/>
      <c r="C32" s="54"/>
      <c r="D32" s="54" t="s">
        <v>52</v>
      </c>
      <c r="E32" s="171">
        <v>3</v>
      </c>
      <c r="F32" s="54"/>
      <c r="G32" s="171">
        <v>1479</v>
      </c>
      <c r="H32" s="54"/>
      <c r="K32" s="369"/>
      <c r="L32" s="54"/>
      <c r="M32" s="54"/>
      <c r="N32" s="312"/>
    </row>
    <row r="33" spans="1:14" x14ac:dyDescent="0.2">
      <c r="A33" s="54" t="s">
        <v>53</v>
      </c>
      <c r="B33" s="54"/>
      <c r="C33" s="54"/>
      <c r="D33" s="54" t="s">
        <v>52</v>
      </c>
      <c r="E33" s="171">
        <v>13</v>
      </c>
      <c r="F33" s="54"/>
      <c r="G33" s="54"/>
      <c r="H33" s="54"/>
      <c r="K33" s="54"/>
      <c r="L33" s="54"/>
      <c r="M33" s="54"/>
      <c r="N33" s="312"/>
    </row>
    <row r="34" spans="1:14" x14ac:dyDescent="0.2">
      <c r="A34" s="54" t="s">
        <v>7</v>
      </c>
      <c r="B34" s="54"/>
      <c r="C34" s="54"/>
      <c r="D34" s="54" t="s">
        <v>52</v>
      </c>
      <c r="E34" s="171">
        <v>16</v>
      </c>
      <c r="F34" s="54"/>
      <c r="G34" s="54"/>
      <c r="H34" s="54"/>
      <c r="K34" s="54"/>
      <c r="L34" s="54"/>
      <c r="M34" s="54"/>
      <c r="N34" s="312"/>
    </row>
    <row r="35" spans="1:14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312"/>
    </row>
    <row r="36" spans="1:14" x14ac:dyDescent="0.2">
      <c r="A36" s="74" t="s">
        <v>93</v>
      </c>
      <c r="B36" s="74"/>
      <c r="C36" s="74" t="s">
        <v>94</v>
      </c>
      <c r="D36" s="74"/>
      <c r="E36" s="74"/>
      <c r="F36" s="74"/>
      <c r="G36" s="74"/>
      <c r="H36" s="54"/>
      <c r="I36" s="54"/>
      <c r="J36" s="54"/>
      <c r="K36" s="54"/>
      <c r="L36" s="54"/>
      <c r="M36" s="54"/>
      <c r="N36" s="312"/>
    </row>
    <row r="37" spans="1:14" x14ac:dyDescent="0.2">
      <c r="A37" s="354" t="s">
        <v>282</v>
      </c>
      <c r="C37" s="372">
        <v>67</v>
      </c>
      <c r="D37" s="352"/>
      <c r="E37" s="348">
        <v>1</v>
      </c>
      <c r="F37" s="352"/>
      <c r="G37" s="373">
        <v>1316</v>
      </c>
      <c r="H37" s="54"/>
      <c r="I37" s="54"/>
      <c r="J37" s="54"/>
      <c r="K37" s="54"/>
      <c r="L37" s="54"/>
      <c r="M37" s="54"/>
      <c r="N37" s="312"/>
    </row>
    <row r="38" spans="1:14" x14ac:dyDescent="0.2">
      <c r="A38" s="74" t="s">
        <v>54</v>
      </c>
      <c r="B38" s="74"/>
      <c r="C38" s="74"/>
      <c r="D38" s="74"/>
      <c r="E38" s="74"/>
      <c r="F38" s="74"/>
      <c r="G38" s="374" t="s">
        <v>159</v>
      </c>
      <c r="H38" s="368" t="s">
        <v>55</v>
      </c>
      <c r="I38" s="54"/>
      <c r="J38" s="54"/>
      <c r="K38" s="54"/>
      <c r="L38" s="54"/>
      <c r="M38" s="54"/>
      <c r="N38" s="312"/>
    </row>
    <row r="39" spans="1:14" x14ac:dyDescent="0.2">
      <c r="A39" s="352" t="s">
        <v>56</v>
      </c>
      <c r="B39" s="352"/>
      <c r="C39" s="352"/>
      <c r="D39" s="352"/>
      <c r="E39" s="352"/>
      <c r="F39" s="352"/>
      <c r="G39" s="375">
        <v>300</v>
      </c>
      <c r="H39" s="376">
        <f>+G39*2.471</f>
        <v>741.30000000000007</v>
      </c>
      <c r="I39" s="54"/>
      <c r="J39" s="54"/>
      <c r="K39" s="54"/>
      <c r="L39" s="54"/>
      <c r="M39" s="54"/>
      <c r="N39" s="312"/>
    </row>
    <row r="40" spans="1:14" x14ac:dyDescent="0.2">
      <c r="A40" s="352" t="s">
        <v>57</v>
      </c>
      <c r="B40" s="352"/>
      <c r="C40" s="352"/>
      <c r="D40" s="352"/>
      <c r="E40" s="352"/>
      <c r="F40" s="352"/>
      <c r="G40" s="377">
        <v>370</v>
      </c>
      <c r="H40" s="376"/>
      <c r="I40" s="54"/>
      <c r="J40" s="54"/>
      <c r="K40" s="54"/>
      <c r="L40" s="54"/>
      <c r="M40" s="54"/>
      <c r="N40" s="312"/>
    </row>
    <row r="41" spans="1:14" x14ac:dyDescent="0.2">
      <c r="A41" s="352" t="s">
        <v>58</v>
      </c>
      <c r="B41" s="352"/>
      <c r="C41" s="352"/>
      <c r="D41" s="352"/>
      <c r="E41" s="352"/>
      <c r="F41" s="352"/>
      <c r="G41" s="377">
        <f>SUM(G39*G40)</f>
        <v>111000</v>
      </c>
      <c r="H41" s="376">
        <f>+G41*2.471</f>
        <v>274281</v>
      </c>
      <c r="I41" s="54"/>
      <c r="J41" s="54"/>
      <c r="K41" s="54"/>
      <c r="L41" s="54"/>
      <c r="M41" s="54"/>
      <c r="N41" s="312"/>
    </row>
    <row r="42" spans="1:14" x14ac:dyDescent="0.2">
      <c r="A42" s="352" t="s">
        <v>59</v>
      </c>
      <c r="B42" s="352"/>
      <c r="C42" s="352"/>
      <c r="D42" s="352"/>
      <c r="E42" s="352"/>
      <c r="F42" s="352"/>
      <c r="G42" s="377">
        <f>SUM(G41-K20)</f>
        <v>68508</v>
      </c>
      <c r="H42" s="376">
        <f>+G42*2.471</f>
        <v>169283.26800000001</v>
      </c>
      <c r="I42" s="54"/>
      <c r="J42" s="54"/>
      <c r="K42" s="54"/>
      <c r="L42" s="54"/>
      <c r="M42" s="54"/>
      <c r="N42" s="312"/>
    </row>
    <row r="43" spans="1:14" x14ac:dyDescent="0.2">
      <c r="A43" s="352" t="s">
        <v>60</v>
      </c>
      <c r="B43" s="352"/>
      <c r="C43" s="352"/>
      <c r="D43" s="352"/>
      <c r="E43" s="352"/>
      <c r="F43" s="352"/>
      <c r="G43" s="377">
        <f>SUM(G41-K21)</f>
        <v>89538</v>
      </c>
      <c r="H43" s="376">
        <f>+G43*2.471</f>
        <v>221248.39800000002</v>
      </c>
      <c r="I43" s="54"/>
      <c r="J43" s="54"/>
      <c r="K43" s="54"/>
      <c r="L43" s="54"/>
      <c r="M43" s="54"/>
      <c r="N43" s="312"/>
    </row>
    <row r="44" spans="1:14" x14ac:dyDescent="0.2">
      <c r="A44" s="352" t="s">
        <v>160</v>
      </c>
      <c r="B44" s="352"/>
      <c r="C44" s="352"/>
      <c r="D44" s="352"/>
      <c r="E44" s="352"/>
      <c r="F44" s="352"/>
      <c r="G44" s="377">
        <f>SUM(K20/G39)</f>
        <v>141.63999999999999</v>
      </c>
      <c r="H44" s="54"/>
      <c r="I44" s="54"/>
      <c r="J44" s="54"/>
      <c r="K44" s="54"/>
      <c r="L44" s="54"/>
      <c r="M44" s="54"/>
      <c r="N44" s="312"/>
    </row>
    <row r="45" spans="1:14" x14ac:dyDescent="0.2">
      <c r="A45" s="80" t="s">
        <v>161</v>
      </c>
      <c r="B45" s="80"/>
      <c r="C45" s="80"/>
      <c r="D45" s="80"/>
      <c r="E45" s="80"/>
      <c r="F45" s="80"/>
      <c r="G45" s="378">
        <f>SUM(K21/G39)</f>
        <v>71.540000000000006</v>
      </c>
      <c r="H45" s="54"/>
      <c r="I45" s="54"/>
      <c r="J45" s="54"/>
      <c r="K45" s="54"/>
      <c r="L45" s="54"/>
      <c r="M45" s="54"/>
      <c r="N45" s="312"/>
    </row>
    <row r="46" spans="1:14" x14ac:dyDescent="0.2">
      <c r="A46" s="54"/>
      <c r="B46" s="54"/>
      <c r="C46" s="54"/>
      <c r="D46" s="54"/>
      <c r="N46" s="312"/>
    </row>
    <row r="47" spans="1:14" x14ac:dyDescent="0.2">
      <c r="A47" s="313" t="s">
        <v>283</v>
      </c>
      <c r="N47" s="312"/>
    </row>
    <row r="48" spans="1:14" x14ac:dyDescent="0.2">
      <c r="N48" s="312"/>
    </row>
    <row r="49" spans="1:14" x14ac:dyDescent="0.2">
      <c r="N49" s="312"/>
    </row>
    <row r="50" spans="1:14" x14ac:dyDescent="0.2">
      <c r="N50" s="312"/>
    </row>
    <row r="51" spans="1:14" x14ac:dyDescent="0.2">
      <c r="A51" s="379" t="s">
        <v>284</v>
      </c>
      <c r="N51" s="312"/>
    </row>
    <row r="52" spans="1:14" x14ac:dyDescent="0.2">
      <c r="A52" s="348" t="s">
        <v>285</v>
      </c>
    </row>
    <row r="53" spans="1:14" x14ac:dyDescent="0.2">
      <c r="A53" s="379" t="s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M24" sqref="M24"/>
    </sheetView>
  </sheetViews>
  <sheetFormatPr defaultColWidth="9.140625" defaultRowHeight="15" x14ac:dyDescent="0.25"/>
  <cols>
    <col min="1" max="3" width="9.140625" style="102"/>
    <col min="4" max="4" width="11.5703125" style="102" customWidth="1"/>
    <col min="5" max="6" width="9.140625" style="102"/>
    <col min="7" max="7" width="13.42578125" style="102" customWidth="1"/>
    <col min="8" max="8" width="9.140625" style="102"/>
    <col min="9" max="9" width="10.85546875" style="102" customWidth="1"/>
    <col min="10" max="10" width="9.140625" style="102"/>
    <col min="11" max="11" width="10.28515625" style="102" customWidth="1"/>
    <col min="12" max="12" width="11.5703125" style="102" customWidth="1"/>
    <col min="13" max="16384" width="9.140625" style="102"/>
  </cols>
  <sheetData>
    <row r="1" spans="1:15" x14ac:dyDescent="0.25">
      <c r="A1" s="102" t="s">
        <v>0</v>
      </c>
      <c r="B1" s="102" t="s">
        <v>287</v>
      </c>
      <c r="O1" s="380" t="s">
        <v>288</v>
      </c>
    </row>
    <row r="2" spans="1:15" x14ac:dyDescent="0.25">
      <c r="B2" s="102" t="s">
        <v>289</v>
      </c>
      <c r="C2" s="102" t="s">
        <v>290</v>
      </c>
      <c r="N2" s="294"/>
      <c r="O2" s="102" t="s">
        <v>291</v>
      </c>
    </row>
    <row r="3" spans="1:15" x14ac:dyDescent="0.25">
      <c r="B3" s="102" t="s">
        <v>242</v>
      </c>
      <c r="C3" s="102" t="s">
        <v>292</v>
      </c>
      <c r="D3" s="102" t="s">
        <v>293</v>
      </c>
      <c r="N3" s="294"/>
    </row>
    <row r="4" spans="1:15" x14ac:dyDescent="0.25">
      <c r="A4" s="104" t="s">
        <v>5</v>
      </c>
      <c r="B4" s="104"/>
      <c r="C4" s="104"/>
      <c r="D4" s="164" t="s">
        <v>6</v>
      </c>
      <c r="E4" s="164" t="s">
        <v>7</v>
      </c>
      <c r="F4" s="164" t="s">
        <v>8</v>
      </c>
      <c r="G4" s="164" t="s">
        <v>9</v>
      </c>
      <c r="H4" s="164" t="s">
        <v>10</v>
      </c>
      <c r="I4" s="164" t="s">
        <v>11</v>
      </c>
      <c r="J4" s="164" t="s">
        <v>12</v>
      </c>
      <c r="K4" s="164" t="s">
        <v>13</v>
      </c>
      <c r="L4" s="105" t="s">
        <v>14</v>
      </c>
      <c r="M4" s="164"/>
      <c r="N4" s="294"/>
    </row>
    <row r="5" spans="1:15" x14ac:dyDescent="0.25">
      <c r="A5" s="106"/>
      <c r="B5" s="106"/>
      <c r="C5" s="106"/>
      <c r="D5" s="166" t="s">
        <v>15</v>
      </c>
      <c r="E5" s="166" t="s">
        <v>16</v>
      </c>
      <c r="F5" s="166" t="s">
        <v>16</v>
      </c>
      <c r="G5" s="166" t="s">
        <v>17</v>
      </c>
      <c r="H5" s="166" t="s">
        <v>18</v>
      </c>
      <c r="I5" s="166" t="s">
        <v>19</v>
      </c>
      <c r="J5" s="166" t="s">
        <v>18</v>
      </c>
      <c r="K5" s="166" t="s">
        <v>18</v>
      </c>
      <c r="L5" s="107" t="s">
        <v>11</v>
      </c>
      <c r="M5" s="166" t="s">
        <v>12</v>
      </c>
      <c r="N5" s="294"/>
    </row>
    <row r="6" spans="1:15" x14ac:dyDescent="0.25">
      <c r="A6" s="106"/>
      <c r="B6" s="106"/>
      <c r="C6" s="106"/>
      <c r="D6" s="166" t="s">
        <v>20</v>
      </c>
      <c r="E6" s="166"/>
      <c r="F6" s="166"/>
      <c r="G6" s="166"/>
      <c r="H6" s="166" t="s">
        <v>21</v>
      </c>
      <c r="I6" s="166" t="s">
        <v>18</v>
      </c>
      <c r="J6" s="166" t="s">
        <v>21</v>
      </c>
      <c r="K6" s="166" t="s">
        <v>21</v>
      </c>
      <c r="L6" s="166"/>
      <c r="M6" s="166"/>
      <c r="N6" s="294"/>
    </row>
    <row r="7" spans="1:15" x14ac:dyDescent="0.25">
      <c r="A7" s="108"/>
      <c r="B7" s="108"/>
      <c r="C7" s="108"/>
      <c r="D7" s="109"/>
      <c r="E7" s="109"/>
      <c r="F7" s="109"/>
      <c r="G7" s="109"/>
      <c r="H7" s="109"/>
      <c r="I7" s="109" t="s">
        <v>21</v>
      </c>
      <c r="J7" s="109"/>
      <c r="K7" s="109"/>
      <c r="L7" s="109"/>
      <c r="M7" s="109"/>
      <c r="N7" s="294"/>
    </row>
    <row r="8" spans="1:15" x14ac:dyDescent="0.25">
      <c r="A8" s="102" t="s">
        <v>71</v>
      </c>
      <c r="D8" s="167">
        <v>100</v>
      </c>
      <c r="E8" s="168">
        <v>6.02</v>
      </c>
      <c r="F8" s="168">
        <v>2.2599999999999998</v>
      </c>
      <c r="G8" s="169">
        <v>2223</v>
      </c>
      <c r="H8" s="168">
        <v>13382</v>
      </c>
      <c r="J8" s="168"/>
      <c r="K8" s="168">
        <f t="shared" ref="K8:K15" si="0">SUM(H8:J8)</f>
        <v>13382</v>
      </c>
      <c r="N8" s="294"/>
    </row>
    <row r="9" spans="1:15" x14ac:dyDescent="0.25">
      <c r="A9" s="102" t="s">
        <v>294</v>
      </c>
      <c r="D9" s="167">
        <v>40</v>
      </c>
      <c r="E9" s="168">
        <v>0.45</v>
      </c>
      <c r="F9" s="168"/>
      <c r="G9" s="169">
        <v>2000</v>
      </c>
      <c r="H9" s="168">
        <f>E9*G9</f>
        <v>900</v>
      </c>
      <c r="I9" s="102">
        <v>10706</v>
      </c>
      <c r="J9" s="168"/>
      <c r="K9" s="168">
        <f t="shared" si="0"/>
        <v>11606</v>
      </c>
      <c r="N9" s="294"/>
    </row>
    <row r="10" spans="1:15" x14ac:dyDescent="0.25">
      <c r="A10" s="102" t="s">
        <v>295</v>
      </c>
      <c r="D10" s="381" t="s">
        <v>296</v>
      </c>
      <c r="E10" s="168"/>
      <c r="F10" s="168"/>
      <c r="G10" s="169"/>
      <c r="H10" s="175" t="s">
        <v>297</v>
      </c>
      <c r="J10" s="168"/>
      <c r="K10" s="168">
        <f t="shared" si="0"/>
        <v>0</v>
      </c>
      <c r="N10" s="294"/>
    </row>
    <row r="11" spans="1:15" x14ac:dyDescent="0.25">
      <c r="A11" s="102" t="s">
        <v>165</v>
      </c>
      <c r="D11" s="167">
        <v>100</v>
      </c>
      <c r="E11" s="168">
        <v>2.5</v>
      </c>
      <c r="F11" s="168">
        <v>0.91</v>
      </c>
      <c r="G11" s="169">
        <v>1853</v>
      </c>
      <c r="H11" s="168">
        <v>4633</v>
      </c>
      <c r="J11" s="382">
        <f>+E24*G24</f>
        <v>2316</v>
      </c>
      <c r="K11" s="168">
        <f>SUM(H11:J11)</f>
        <v>6949</v>
      </c>
      <c r="N11" s="294"/>
    </row>
    <row r="12" spans="1:15" ht="18.75" customHeight="1" x14ac:dyDescent="0.25">
      <c r="A12" s="102" t="s">
        <v>271</v>
      </c>
      <c r="D12" s="381" t="s">
        <v>296</v>
      </c>
      <c r="E12" s="168"/>
      <c r="F12" s="168"/>
      <c r="G12" s="169"/>
      <c r="H12" s="175" t="s">
        <v>298</v>
      </c>
      <c r="J12" s="175" t="s">
        <v>299</v>
      </c>
      <c r="K12" s="168">
        <f t="shared" si="0"/>
        <v>0</v>
      </c>
      <c r="N12" s="294"/>
    </row>
    <row r="13" spans="1:15" x14ac:dyDescent="0.25">
      <c r="A13" s="102" t="s">
        <v>27</v>
      </c>
      <c r="D13" s="167">
        <v>100</v>
      </c>
      <c r="E13" s="168">
        <v>5.52</v>
      </c>
      <c r="F13" s="168">
        <v>0.68</v>
      </c>
      <c r="G13" s="169">
        <v>1901</v>
      </c>
      <c r="H13" s="168">
        <v>10494</v>
      </c>
      <c r="J13" s="168"/>
      <c r="K13" s="168">
        <f t="shared" si="0"/>
        <v>10494</v>
      </c>
      <c r="N13" s="294"/>
    </row>
    <row r="14" spans="1:15" x14ac:dyDescent="0.25">
      <c r="A14" s="102" t="s">
        <v>28</v>
      </c>
      <c r="D14" s="167">
        <v>100</v>
      </c>
      <c r="E14" s="168">
        <v>6.78</v>
      </c>
      <c r="F14" s="168">
        <v>2.5099999999999998</v>
      </c>
      <c r="G14" s="169">
        <v>2011</v>
      </c>
      <c r="H14" s="168">
        <v>13635</v>
      </c>
      <c r="J14" s="168"/>
      <c r="K14" s="168">
        <f t="shared" si="0"/>
        <v>13635</v>
      </c>
      <c r="N14" s="294"/>
    </row>
    <row r="15" spans="1:15" x14ac:dyDescent="0.25">
      <c r="A15" s="102" t="s">
        <v>278</v>
      </c>
      <c r="D15" s="167">
        <v>60</v>
      </c>
      <c r="E15" s="168">
        <v>0.08</v>
      </c>
      <c r="F15" s="168">
        <v>0.08</v>
      </c>
      <c r="G15" s="169">
        <v>1853</v>
      </c>
      <c r="H15" s="168">
        <v>418</v>
      </c>
      <c r="I15" s="168">
        <v>1500</v>
      </c>
      <c r="J15" s="168"/>
      <c r="K15" s="168">
        <f t="shared" si="0"/>
        <v>1918</v>
      </c>
      <c r="N15" s="294"/>
    </row>
    <row r="16" spans="1:15" x14ac:dyDescent="0.25">
      <c r="A16" s="104" t="s">
        <v>31</v>
      </c>
      <c r="B16" s="104"/>
      <c r="C16" s="104"/>
      <c r="D16" s="176"/>
      <c r="E16" s="177">
        <f>SUM(E8:E15)</f>
        <v>21.349999999999998</v>
      </c>
      <c r="F16" s="177">
        <f>SUM(F8:F15)</f>
        <v>6.4399999999999995</v>
      </c>
      <c r="G16" s="177"/>
      <c r="H16" s="177">
        <f>SUM(H8:H15)</f>
        <v>43462</v>
      </c>
      <c r="I16" s="104">
        <f>SUM(I8:I15)</f>
        <v>12206</v>
      </c>
      <c r="J16" s="177">
        <f>SUM(J8:J15)</f>
        <v>2316</v>
      </c>
      <c r="K16" s="177">
        <f>SUM(H16:J16)</f>
        <v>57984</v>
      </c>
      <c r="L16" s="104">
        <f>SUM(L8:L15)</f>
        <v>0</v>
      </c>
      <c r="M16" s="104">
        <f>SUM(M8:M15)</f>
        <v>0</v>
      </c>
      <c r="N16" s="294"/>
    </row>
    <row r="17" spans="1:14" x14ac:dyDescent="0.25">
      <c r="A17" s="108" t="s">
        <v>34</v>
      </c>
      <c r="B17" s="108"/>
      <c r="C17" s="108"/>
      <c r="D17" s="178"/>
      <c r="E17" s="179">
        <f>SUM(E16-F16)</f>
        <v>14.909999999999998</v>
      </c>
      <c r="F17" s="179"/>
      <c r="G17" s="179"/>
      <c r="H17" s="179">
        <f>SUM(E28*G28)</f>
        <v>31050</v>
      </c>
      <c r="I17" s="108">
        <f>I16-L16</f>
        <v>12206</v>
      </c>
      <c r="J17" s="179">
        <f>J16-M16</f>
        <v>2316</v>
      </c>
      <c r="K17" s="179">
        <f>SUM(H17:J17)</f>
        <v>45572</v>
      </c>
      <c r="L17" s="108"/>
      <c r="M17" s="108"/>
      <c r="N17" s="294"/>
    </row>
    <row r="18" spans="1:14" x14ac:dyDescent="0.25">
      <c r="N18" s="294"/>
    </row>
    <row r="19" spans="1:14" x14ac:dyDescent="0.25">
      <c r="C19" s="102" t="s">
        <v>37</v>
      </c>
      <c r="N19" s="294"/>
    </row>
    <row r="20" spans="1:14" x14ac:dyDescent="0.25">
      <c r="N20" s="294"/>
    </row>
    <row r="21" spans="1:14" x14ac:dyDescent="0.25">
      <c r="A21" s="102" t="s">
        <v>40</v>
      </c>
      <c r="N21" s="294"/>
    </row>
    <row r="22" spans="1:14" x14ac:dyDescent="0.25">
      <c r="A22" s="180" t="s">
        <v>41</v>
      </c>
      <c r="B22" s="180"/>
      <c r="C22" s="180"/>
      <c r="D22" s="180" t="s">
        <v>42</v>
      </c>
      <c r="E22" s="180" t="s">
        <v>43</v>
      </c>
      <c r="F22" s="180"/>
      <c r="G22" s="180" t="s">
        <v>44</v>
      </c>
      <c r="N22" s="294"/>
    </row>
    <row r="23" spans="1:14" x14ac:dyDescent="0.25">
      <c r="A23" s="102" t="s">
        <v>46</v>
      </c>
      <c r="N23" s="294"/>
    </row>
    <row r="24" spans="1:14" x14ac:dyDescent="0.25">
      <c r="A24" s="295" t="s">
        <v>165</v>
      </c>
      <c r="D24" s="102" t="s">
        <v>49</v>
      </c>
      <c r="E24" s="168">
        <v>4</v>
      </c>
      <c r="G24" s="168">
        <v>579</v>
      </c>
      <c r="N24" s="294"/>
    </row>
    <row r="25" spans="1:14" x14ac:dyDescent="0.25">
      <c r="N25" s="294"/>
    </row>
    <row r="26" spans="1:14" x14ac:dyDescent="0.25">
      <c r="N26" s="294"/>
    </row>
    <row r="27" spans="1:14" x14ac:dyDescent="0.25">
      <c r="A27" s="102" t="s">
        <v>50</v>
      </c>
      <c r="N27" s="294"/>
    </row>
    <row r="28" spans="1:14" x14ac:dyDescent="0.25">
      <c r="A28" s="102" t="s">
        <v>122</v>
      </c>
      <c r="D28" s="102" t="s">
        <v>52</v>
      </c>
      <c r="E28" s="168">
        <v>15</v>
      </c>
      <c r="G28" s="168">
        <v>2070</v>
      </c>
      <c r="N28" s="294"/>
    </row>
    <row r="29" spans="1:14" x14ac:dyDescent="0.25">
      <c r="A29" s="102" t="s">
        <v>124</v>
      </c>
      <c r="D29" s="102" t="s">
        <v>52</v>
      </c>
      <c r="E29" s="168">
        <v>6</v>
      </c>
      <c r="N29" s="294"/>
    </row>
    <row r="30" spans="1:14" x14ac:dyDescent="0.25">
      <c r="A30" s="102" t="s">
        <v>7</v>
      </c>
      <c r="D30" s="102" t="s">
        <v>52</v>
      </c>
      <c r="E30" s="168">
        <f>SUM(E28:E29)</f>
        <v>21</v>
      </c>
      <c r="N30" s="294"/>
    </row>
    <row r="31" spans="1:14" x14ac:dyDescent="0.25">
      <c r="N31" s="294"/>
    </row>
    <row r="32" spans="1:14" x14ac:dyDescent="0.25">
      <c r="A32" s="383" t="s">
        <v>54</v>
      </c>
      <c r="B32" s="104"/>
      <c r="C32" s="104"/>
      <c r="D32" s="104"/>
      <c r="E32" s="104"/>
      <c r="F32" s="104" t="s">
        <v>102</v>
      </c>
      <c r="G32" s="104"/>
      <c r="N32" s="294"/>
    </row>
    <row r="33" spans="1:14" x14ac:dyDescent="0.25">
      <c r="A33" s="184" t="s">
        <v>56</v>
      </c>
      <c r="B33" s="106"/>
      <c r="C33" s="106"/>
      <c r="D33" s="106"/>
      <c r="E33" s="106"/>
      <c r="F33" s="186">
        <v>242</v>
      </c>
      <c r="G33" s="188">
        <v>598</v>
      </c>
      <c r="N33" s="294"/>
    </row>
    <row r="34" spans="1:14" x14ac:dyDescent="0.25">
      <c r="A34" s="184" t="s">
        <v>57</v>
      </c>
      <c r="B34" s="106"/>
      <c r="C34" s="106"/>
      <c r="D34" s="106"/>
      <c r="E34" s="106"/>
      <c r="F34" s="186">
        <v>307</v>
      </c>
      <c r="G34" s="188"/>
      <c r="N34" s="294"/>
    </row>
    <row r="35" spans="1:14" x14ac:dyDescent="0.25">
      <c r="A35" s="184" t="s">
        <v>58</v>
      </c>
      <c r="B35" s="106"/>
      <c r="C35" s="106"/>
      <c r="D35" s="106"/>
      <c r="E35" s="106"/>
      <c r="F35" s="186">
        <f>+F33*F34</f>
        <v>74294</v>
      </c>
      <c r="G35" s="102">
        <v>183580</v>
      </c>
      <c r="I35" s="384"/>
      <c r="N35" s="294"/>
    </row>
    <row r="36" spans="1:14" x14ac:dyDescent="0.25">
      <c r="A36" s="184" t="s">
        <v>59</v>
      </c>
      <c r="B36" s="106"/>
      <c r="C36" s="106"/>
      <c r="D36" s="106"/>
      <c r="E36" s="106"/>
      <c r="F36" s="186">
        <f>+F35-K16</f>
        <v>16310</v>
      </c>
      <c r="G36" s="202">
        <f>+F36*2.471</f>
        <v>40302.01</v>
      </c>
      <c r="I36" s="384"/>
      <c r="N36" s="294"/>
    </row>
    <row r="37" spans="1:14" x14ac:dyDescent="0.25">
      <c r="A37" s="184" t="s">
        <v>60</v>
      </c>
      <c r="B37" s="106"/>
      <c r="C37" s="106"/>
      <c r="D37" s="106"/>
      <c r="E37" s="106"/>
      <c r="F37" s="186">
        <f>+F35-K17</f>
        <v>28722</v>
      </c>
      <c r="G37" s="202">
        <f>+F37*2.471</f>
        <v>70972.062000000005</v>
      </c>
      <c r="I37" s="384"/>
      <c r="N37" s="294"/>
    </row>
    <row r="38" spans="1:14" x14ac:dyDescent="0.25">
      <c r="A38" s="184"/>
      <c r="B38" s="106"/>
      <c r="C38" s="106"/>
      <c r="D38" s="106"/>
      <c r="E38" s="106"/>
      <c r="F38" s="106"/>
      <c r="G38" s="190"/>
      <c r="N38" s="294"/>
    </row>
    <row r="39" spans="1:14" x14ac:dyDescent="0.25">
      <c r="A39" s="184" t="s">
        <v>160</v>
      </c>
      <c r="B39" s="106"/>
      <c r="C39" s="106"/>
      <c r="D39" s="106"/>
      <c r="E39" s="106"/>
      <c r="F39" s="186">
        <f>+K16/F33</f>
        <v>239.60330578512398</v>
      </c>
      <c r="G39" s="190"/>
      <c r="N39" s="294"/>
    </row>
    <row r="40" spans="1:14" x14ac:dyDescent="0.25">
      <c r="A40" s="385" t="s">
        <v>161</v>
      </c>
      <c r="B40" s="108"/>
      <c r="C40" s="108"/>
      <c r="D40" s="108"/>
      <c r="E40" s="108"/>
      <c r="F40" s="179">
        <f>+K17/F33</f>
        <v>188.31404958677686</v>
      </c>
      <c r="G40" s="191"/>
      <c r="N40" s="294"/>
    </row>
    <row r="42" spans="1:14" x14ac:dyDescent="0.25">
      <c r="A42" s="102" t="s">
        <v>63</v>
      </c>
    </row>
    <row r="51" spans="7:7" x14ac:dyDescent="0.25">
      <c r="G51" s="102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J27" sqref="J27"/>
    </sheetView>
  </sheetViews>
  <sheetFormatPr defaultRowHeight="15" x14ac:dyDescent="0.25"/>
  <cols>
    <col min="1" max="1" width="26.42578125" customWidth="1"/>
    <col min="2" max="2" width="6.5703125" customWidth="1"/>
    <col min="3" max="3" width="7.7109375" customWidth="1"/>
    <col min="4" max="4" width="6.42578125" customWidth="1"/>
    <col min="5" max="5" width="10.28515625" customWidth="1"/>
    <col min="6" max="6" width="5.7109375" customWidth="1"/>
    <col min="7" max="7" width="10" customWidth="1"/>
    <col min="8" max="8" width="9.28515625" customWidth="1"/>
    <col min="9" max="9" width="7.42578125" customWidth="1"/>
    <col min="10" max="10" width="8.5703125" customWidth="1"/>
    <col min="11" max="11" width="8.28515625" customWidth="1"/>
    <col min="12" max="12" width="5.85546875" customWidth="1"/>
    <col min="13" max="13" width="6.28515625" customWidth="1"/>
    <col min="15" max="15" width="9.7109375" bestFit="1" customWidth="1"/>
  </cols>
  <sheetData>
    <row r="1" spans="1:17" x14ac:dyDescent="0.25">
      <c r="A1" s="102" t="s">
        <v>0</v>
      </c>
      <c r="B1" s="102" t="s">
        <v>300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t="s">
        <v>301</v>
      </c>
      <c r="Q1" s="102" t="s">
        <v>260</v>
      </c>
    </row>
    <row r="2" spans="1:17" x14ac:dyDescent="0.25">
      <c r="A2" s="102"/>
      <c r="B2" s="102" t="s">
        <v>302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386"/>
      <c r="O2" s="387">
        <v>44778</v>
      </c>
    </row>
    <row r="3" spans="1:17" x14ac:dyDescent="0.25">
      <c r="A3" s="102"/>
      <c r="B3" t="s">
        <v>303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386"/>
    </row>
    <row r="4" spans="1:17" x14ac:dyDescent="0.25">
      <c r="A4" s="104" t="s">
        <v>5</v>
      </c>
      <c r="B4" s="104"/>
      <c r="C4" s="104"/>
      <c r="D4" s="164" t="s">
        <v>6</v>
      </c>
      <c r="E4" s="164" t="s">
        <v>7</v>
      </c>
      <c r="F4" s="164" t="s">
        <v>8</v>
      </c>
      <c r="G4" s="164" t="s">
        <v>9</v>
      </c>
      <c r="H4" s="164" t="s">
        <v>10</v>
      </c>
      <c r="I4" s="164" t="s">
        <v>11</v>
      </c>
      <c r="J4" s="164" t="s">
        <v>12</v>
      </c>
      <c r="K4" s="164" t="s">
        <v>13</v>
      </c>
      <c r="L4" s="105" t="s">
        <v>14</v>
      </c>
      <c r="M4" s="164"/>
      <c r="N4" s="386"/>
    </row>
    <row r="5" spans="1:17" x14ac:dyDescent="0.25">
      <c r="A5" s="106"/>
      <c r="B5" s="106"/>
      <c r="C5" s="106"/>
      <c r="D5" s="166" t="s">
        <v>15</v>
      </c>
      <c r="E5" s="166" t="s">
        <v>16</v>
      </c>
      <c r="F5" s="166" t="s">
        <v>16</v>
      </c>
      <c r="G5" s="166" t="s">
        <v>17</v>
      </c>
      <c r="H5" s="166" t="s">
        <v>18</v>
      </c>
      <c r="I5" s="166" t="s">
        <v>19</v>
      </c>
      <c r="J5" s="166" t="s">
        <v>18</v>
      </c>
      <c r="K5" s="166" t="s">
        <v>18</v>
      </c>
      <c r="L5" s="107" t="s">
        <v>11</v>
      </c>
      <c r="M5" s="166" t="s">
        <v>12</v>
      </c>
      <c r="N5" s="386"/>
    </row>
    <row r="6" spans="1:17" x14ac:dyDescent="0.25">
      <c r="A6" s="106"/>
      <c r="B6" s="106"/>
      <c r="C6" s="106"/>
      <c r="D6" s="166" t="s">
        <v>20</v>
      </c>
      <c r="E6" s="166"/>
      <c r="F6" s="166"/>
      <c r="G6" s="166"/>
      <c r="H6" s="166" t="s">
        <v>21</v>
      </c>
      <c r="I6" s="166" t="s">
        <v>18</v>
      </c>
      <c r="J6" s="166" t="s">
        <v>21</v>
      </c>
      <c r="K6" s="166" t="s">
        <v>21</v>
      </c>
      <c r="L6" s="166"/>
      <c r="M6" s="166"/>
      <c r="N6" s="386"/>
    </row>
    <row r="7" spans="1:17" x14ac:dyDescent="0.25">
      <c r="A7" s="108"/>
      <c r="B7" s="108"/>
      <c r="C7" s="108"/>
      <c r="D7" s="109"/>
      <c r="E7" s="109"/>
      <c r="F7" s="109"/>
      <c r="G7" s="109"/>
      <c r="H7" s="109"/>
      <c r="I7" s="109" t="s">
        <v>21</v>
      </c>
      <c r="J7" s="109"/>
      <c r="K7" s="109"/>
      <c r="L7" s="109"/>
      <c r="M7" s="109"/>
      <c r="N7" s="386"/>
    </row>
    <row r="8" spans="1:17" x14ac:dyDescent="0.25">
      <c r="A8" s="102" t="s">
        <v>71</v>
      </c>
      <c r="B8" s="102"/>
      <c r="C8" s="102"/>
      <c r="D8" s="167">
        <v>100</v>
      </c>
      <c r="E8" s="168">
        <v>3.93</v>
      </c>
      <c r="F8" s="168">
        <v>1.05</v>
      </c>
      <c r="G8" s="169">
        <v>1992</v>
      </c>
      <c r="H8" s="168">
        <v>7829</v>
      </c>
      <c r="I8" s="102"/>
      <c r="J8" s="168"/>
      <c r="K8" s="168">
        <f t="shared" ref="K8:K14" si="0">SUM(H8:J8)</f>
        <v>7829</v>
      </c>
      <c r="L8" s="102"/>
      <c r="M8" s="102"/>
      <c r="N8" s="386"/>
    </row>
    <row r="9" spans="1:17" x14ac:dyDescent="0.25">
      <c r="A9" s="102" t="s">
        <v>246</v>
      </c>
      <c r="B9" s="102"/>
      <c r="C9" s="102"/>
      <c r="D9" s="167">
        <v>100</v>
      </c>
      <c r="E9" s="168">
        <v>0.32</v>
      </c>
      <c r="F9" s="168">
        <v>0.32</v>
      </c>
      <c r="G9" s="169">
        <v>1800</v>
      </c>
      <c r="H9" s="168">
        <f t="shared" ref="H9:H11" si="1">SUM(E9*G9)</f>
        <v>576</v>
      </c>
      <c r="I9" s="168">
        <v>5967</v>
      </c>
      <c r="J9" s="168"/>
      <c r="K9" s="168">
        <f t="shared" si="0"/>
        <v>6543</v>
      </c>
      <c r="L9" s="168"/>
      <c r="M9" s="102"/>
      <c r="N9" s="386"/>
    </row>
    <row r="10" spans="1:17" x14ac:dyDescent="0.25">
      <c r="A10" s="102" t="s">
        <v>165</v>
      </c>
      <c r="B10" s="102"/>
      <c r="C10" s="102"/>
      <c r="D10" s="102">
        <v>100</v>
      </c>
      <c r="E10" s="102">
        <v>0.41</v>
      </c>
      <c r="F10" s="102">
        <v>0.32</v>
      </c>
      <c r="G10" s="168">
        <v>1800</v>
      </c>
      <c r="H10" s="168">
        <f>SUM(E10*G10)</f>
        <v>738</v>
      </c>
      <c r="I10" s="102"/>
      <c r="J10" s="168">
        <f>E25*G25</f>
        <v>12444</v>
      </c>
      <c r="K10" s="168">
        <f t="shared" si="0"/>
        <v>13182</v>
      </c>
      <c r="L10" s="102"/>
      <c r="M10" s="168">
        <v>820</v>
      </c>
      <c r="N10" s="386"/>
    </row>
    <row r="11" spans="1:17" x14ac:dyDescent="0.25">
      <c r="A11" s="102" t="s">
        <v>80</v>
      </c>
      <c r="B11" s="102"/>
      <c r="C11" s="102"/>
      <c r="D11" s="167">
        <v>75</v>
      </c>
      <c r="E11" s="168">
        <v>0.94</v>
      </c>
      <c r="F11" s="168">
        <v>0.94</v>
      </c>
      <c r="G11" s="169">
        <v>1800</v>
      </c>
      <c r="H11" s="168">
        <f t="shared" si="1"/>
        <v>1692</v>
      </c>
      <c r="I11" s="102"/>
      <c r="J11" s="168">
        <f>E31*G31+E32*G32</f>
        <v>2832</v>
      </c>
      <c r="K11" s="168">
        <f t="shared" si="0"/>
        <v>4524</v>
      </c>
      <c r="L11" s="102"/>
      <c r="M11" s="102"/>
      <c r="N11" s="386"/>
    </row>
    <row r="12" spans="1:17" x14ac:dyDescent="0.25">
      <c r="A12" s="102" t="s">
        <v>81</v>
      </c>
      <c r="B12" s="102"/>
      <c r="C12" s="102"/>
      <c r="D12" s="167">
        <v>100</v>
      </c>
      <c r="E12" s="168">
        <v>0.75</v>
      </c>
      <c r="F12" s="168">
        <v>0.54</v>
      </c>
      <c r="G12" s="169">
        <v>1158</v>
      </c>
      <c r="H12" s="168">
        <v>869</v>
      </c>
      <c r="I12" s="102"/>
      <c r="J12" s="168">
        <v>9089</v>
      </c>
      <c r="K12" s="168">
        <f t="shared" si="0"/>
        <v>9958</v>
      </c>
      <c r="L12" s="102"/>
      <c r="M12" s="102"/>
      <c r="N12" s="386"/>
    </row>
    <row r="13" spans="1:17" ht="19.5" customHeight="1" x14ac:dyDescent="0.25">
      <c r="A13" s="102" t="s">
        <v>27</v>
      </c>
      <c r="B13" s="102"/>
      <c r="C13" s="102"/>
      <c r="D13" s="167">
        <v>100</v>
      </c>
      <c r="E13" s="168">
        <v>9.41</v>
      </c>
      <c r="F13" s="168">
        <v>0.4</v>
      </c>
      <c r="G13" s="169">
        <v>1607</v>
      </c>
      <c r="H13" s="168">
        <v>15122</v>
      </c>
      <c r="I13" s="102"/>
      <c r="J13" s="168"/>
      <c r="K13" s="168">
        <f t="shared" si="0"/>
        <v>15122</v>
      </c>
      <c r="L13" s="102"/>
      <c r="M13" s="102"/>
      <c r="N13" s="386"/>
    </row>
    <row r="14" spans="1:17" ht="28.5" customHeight="1" x14ac:dyDescent="0.25">
      <c r="A14" s="388" t="s">
        <v>304</v>
      </c>
      <c r="B14" s="102"/>
      <c r="C14" s="102"/>
      <c r="D14" s="167">
        <v>92</v>
      </c>
      <c r="E14" s="168">
        <v>1.42</v>
      </c>
      <c r="F14" s="168">
        <v>0.63</v>
      </c>
      <c r="G14" s="169">
        <v>1966</v>
      </c>
      <c r="H14" s="168">
        <v>2792</v>
      </c>
      <c r="I14" s="168">
        <v>1800</v>
      </c>
      <c r="J14" s="168"/>
      <c r="K14" s="168">
        <f t="shared" si="0"/>
        <v>4592</v>
      </c>
      <c r="L14" s="168">
        <v>87</v>
      </c>
      <c r="M14" s="102"/>
      <c r="N14" s="386"/>
    </row>
    <row r="15" spans="1:17" x14ac:dyDescent="0.25">
      <c r="A15" s="102" t="s">
        <v>305</v>
      </c>
      <c r="B15" s="102"/>
      <c r="C15" s="102"/>
      <c r="D15" s="167" t="s">
        <v>306</v>
      </c>
      <c r="E15" s="168" t="s">
        <v>307</v>
      </c>
      <c r="F15" s="168" t="s">
        <v>308</v>
      </c>
      <c r="G15" s="169" t="s">
        <v>309</v>
      </c>
      <c r="H15" s="168"/>
      <c r="I15" s="295"/>
      <c r="J15" s="168"/>
      <c r="K15" s="168"/>
      <c r="L15" s="102"/>
      <c r="M15" s="102"/>
      <c r="N15" s="386"/>
    </row>
    <row r="16" spans="1:17" x14ac:dyDescent="0.25">
      <c r="A16" s="102" t="s">
        <v>278</v>
      </c>
      <c r="B16" s="102"/>
      <c r="C16" s="102"/>
      <c r="D16" s="167" t="s">
        <v>219</v>
      </c>
      <c r="E16" s="168"/>
      <c r="F16" s="168"/>
      <c r="G16" s="389" t="s">
        <v>310</v>
      </c>
      <c r="H16" s="390" t="s">
        <v>311</v>
      </c>
      <c r="I16" s="102"/>
      <c r="J16" s="168"/>
      <c r="K16" s="168"/>
      <c r="L16" s="168"/>
      <c r="M16" s="102"/>
      <c r="N16" s="386"/>
    </row>
    <row r="17" spans="1:14" x14ac:dyDescent="0.25">
      <c r="A17" s="104" t="s">
        <v>31</v>
      </c>
      <c r="B17" s="104"/>
      <c r="C17" s="104"/>
      <c r="D17" s="176"/>
      <c r="E17" s="177">
        <f>SUM(E8:E16)</f>
        <v>17.18</v>
      </c>
      <c r="F17" s="177">
        <f>SUM(F8:F16)</f>
        <v>4.2</v>
      </c>
      <c r="G17" s="177"/>
      <c r="H17" s="177">
        <f t="shared" ref="H17:M17" si="2">SUM(H8:H16)</f>
        <v>29618</v>
      </c>
      <c r="I17" s="177">
        <f t="shared" si="2"/>
        <v>7767</v>
      </c>
      <c r="J17" s="177">
        <f t="shared" si="2"/>
        <v>24365</v>
      </c>
      <c r="K17" s="177">
        <f t="shared" si="2"/>
        <v>61750</v>
      </c>
      <c r="L17" s="177">
        <f t="shared" si="2"/>
        <v>87</v>
      </c>
      <c r="M17" s="177">
        <f t="shared" si="2"/>
        <v>820</v>
      </c>
      <c r="N17" s="386"/>
    </row>
    <row r="18" spans="1:14" x14ac:dyDescent="0.25">
      <c r="A18" s="108" t="s">
        <v>34</v>
      </c>
      <c r="B18" s="108"/>
      <c r="C18" s="108"/>
      <c r="D18" s="178"/>
      <c r="E18" s="179">
        <f>SUM(E17-F17)</f>
        <v>12.98</v>
      </c>
      <c r="F18" s="179"/>
      <c r="G18" s="179"/>
      <c r="H18" s="179">
        <f>SUM(E27*G27)</f>
        <v>22646</v>
      </c>
      <c r="I18" s="179">
        <f>I17-L17</f>
        <v>7680</v>
      </c>
      <c r="J18" s="179">
        <f>J17-M17</f>
        <v>23545</v>
      </c>
      <c r="K18" s="179">
        <f>SUM(H18:J18)</f>
        <v>53871</v>
      </c>
      <c r="L18" s="108"/>
      <c r="M18" s="108"/>
      <c r="N18" s="386"/>
    </row>
    <row r="19" spans="1:14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386"/>
    </row>
    <row r="20" spans="1:14" x14ac:dyDescent="0.25">
      <c r="A20" s="102"/>
      <c r="B20" s="102"/>
      <c r="C20" s="102" t="s">
        <v>37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386"/>
    </row>
    <row r="21" spans="1:14" x14ac:dyDescent="0.25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386"/>
    </row>
    <row r="22" spans="1:14" x14ac:dyDescent="0.25">
      <c r="A22" s="102" t="s">
        <v>40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386"/>
    </row>
    <row r="23" spans="1:14" x14ac:dyDescent="0.25">
      <c r="A23" s="180" t="s">
        <v>41</v>
      </c>
      <c r="B23" s="180"/>
      <c r="C23" s="180"/>
      <c r="D23" s="180" t="s">
        <v>42</v>
      </c>
      <c r="E23" s="180" t="s">
        <v>43</v>
      </c>
      <c r="F23" s="180"/>
      <c r="G23" s="180" t="s">
        <v>44</v>
      </c>
      <c r="H23" s="102"/>
      <c r="I23" s="102"/>
      <c r="J23" s="102"/>
      <c r="K23" s="102"/>
      <c r="L23" s="102"/>
      <c r="M23" s="102"/>
      <c r="N23" s="386"/>
    </row>
    <row r="24" spans="1:14" x14ac:dyDescent="0.25">
      <c r="A24" s="102" t="s">
        <v>46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391"/>
    </row>
    <row r="25" spans="1:14" x14ac:dyDescent="0.25">
      <c r="A25" s="102" t="s">
        <v>48</v>
      </c>
      <c r="B25" s="102"/>
      <c r="C25" s="102"/>
      <c r="D25" s="102" t="s">
        <v>49</v>
      </c>
      <c r="E25" s="168">
        <v>17</v>
      </c>
      <c r="F25" s="102"/>
      <c r="G25" s="140">
        <v>732</v>
      </c>
      <c r="H25" s="102"/>
      <c r="I25" s="102"/>
      <c r="J25" s="102"/>
      <c r="K25" s="102"/>
      <c r="L25" s="102"/>
      <c r="M25" s="102"/>
      <c r="N25" s="386"/>
    </row>
    <row r="26" spans="1:14" x14ac:dyDescent="0.25">
      <c r="A26" s="102" t="s">
        <v>50</v>
      </c>
      <c r="B26" s="102"/>
      <c r="C26" s="102"/>
      <c r="D26" s="102"/>
      <c r="E26" s="102"/>
      <c r="F26" s="102"/>
      <c r="G26" s="102"/>
      <c r="H26" s="102"/>
      <c r="I26" s="101"/>
      <c r="J26" s="102"/>
      <c r="K26" s="181"/>
      <c r="L26" s="102"/>
      <c r="M26" s="102"/>
      <c r="N26" s="386"/>
    </row>
    <row r="27" spans="1:14" x14ac:dyDescent="0.25">
      <c r="A27" s="102" t="s">
        <v>51</v>
      </c>
      <c r="B27" s="102"/>
      <c r="C27" s="102"/>
      <c r="D27" s="102" t="s">
        <v>52</v>
      </c>
      <c r="E27" s="168">
        <v>13</v>
      </c>
      <c r="F27" s="102"/>
      <c r="G27" s="168">
        <v>1742</v>
      </c>
      <c r="H27" s="102"/>
      <c r="I27" s="392"/>
      <c r="J27" s="170"/>
      <c r="K27" s="181"/>
      <c r="L27" s="102"/>
      <c r="M27" s="102"/>
      <c r="N27" s="386"/>
    </row>
    <row r="28" spans="1:14" x14ac:dyDescent="0.25">
      <c r="A28" s="102" t="s">
        <v>53</v>
      </c>
      <c r="B28" s="102"/>
      <c r="C28" s="102"/>
      <c r="D28" s="102" t="s">
        <v>52</v>
      </c>
      <c r="E28" s="168">
        <v>4</v>
      </c>
      <c r="F28" s="102"/>
      <c r="G28" s="102"/>
      <c r="H28" s="102"/>
      <c r="I28" s="392"/>
      <c r="J28" s="170"/>
      <c r="K28" s="102"/>
      <c r="L28" s="102"/>
      <c r="M28" s="102"/>
      <c r="N28" s="386"/>
    </row>
    <row r="29" spans="1:14" x14ac:dyDescent="0.25">
      <c r="A29" s="102" t="s">
        <v>7</v>
      </c>
      <c r="B29" s="102"/>
      <c r="C29" s="102"/>
      <c r="D29" s="102" t="s">
        <v>52</v>
      </c>
      <c r="E29" s="168">
        <f>SUM(E27:E28)</f>
        <v>17</v>
      </c>
      <c r="F29" s="102"/>
      <c r="G29" s="102"/>
      <c r="H29" s="102"/>
      <c r="I29" s="393"/>
      <c r="K29" s="102"/>
      <c r="L29" s="102"/>
      <c r="M29" s="102"/>
      <c r="N29" s="386"/>
    </row>
    <row r="30" spans="1:14" x14ac:dyDescent="0.25">
      <c r="A30" s="104" t="s">
        <v>93</v>
      </c>
      <c r="B30" s="104"/>
      <c r="C30" s="104" t="s">
        <v>94</v>
      </c>
      <c r="D30" s="104"/>
      <c r="E30" s="104"/>
      <c r="F30" s="104"/>
      <c r="G30" s="104"/>
      <c r="H30" s="102"/>
      <c r="I30" s="102"/>
      <c r="J30" s="102"/>
      <c r="K30" s="102"/>
      <c r="L30" s="102"/>
      <c r="M30" s="102"/>
      <c r="N30" s="386"/>
    </row>
    <row r="31" spans="1:14" x14ac:dyDescent="0.25">
      <c r="A31" s="106"/>
      <c r="B31" s="106" t="s">
        <v>129</v>
      </c>
      <c r="C31" s="106">
        <v>42</v>
      </c>
      <c r="D31" s="106" t="s">
        <v>49</v>
      </c>
      <c r="E31" s="186">
        <v>19</v>
      </c>
      <c r="F31" s="106"/>
      <c r="G31" s="186">
        <v>67</v>
      </c>
      <c r="H31" s="102"/>
      <c r="I31" s="102"/>
      <c r="J31" s="102"/>
      <c r="K31" s="102"/>
      <c r="L31" s="102"/>
      <c r="M31" s="102"/>
      <c r="N31" s="386"/>
    </row>
    <row r="32" spans="1:14" x14ac:dyDescent="0.25">
      <c r="A32" s="184"/>
      <c r="B32" s="107" t="s">
        <v>312</v>
      </c>
      <c r="C32" s="394">
        <v>50</v>
      </c>
      <c r="D32" s="106"/>
      <c r="E32" s="152">
        <v>1</v>
      </c>
      <c r="F32" s="106"/>
      <c r="G32" s="186">
        <v>1559</v>
      </c>
      <c r="H32" s="102"/>
      <c r="I32" s="102"/>
      <c r="J32" s="102"/>
      <c r="K32" s="102"/>
      <c r="L32" s="102"/>
      <c r="M32" s="102"/>
      <c r="N32" s="386"/>
    </row>
    <row r="33" spans="1:14" x14ac:dyDescent="0.25">
      <c r="A33" s="104" t="s">
        <v>54</v>
      </c>
      <c r="B33" s="104"/>
      <c r="C33" s="104"/>
      <c r="D33" s="104"/>
      <c r="E33" s="187" t="s">
        <v>159</v>
      </c>
      <c r="F33" s="395"/>
      <c r="G33" s="187" t="s">
        <v>55</v>
      </c>
      <c r="I33" s="102"/>
      <c r="J33" s="102"/>
      <c r="K33" s="102"/>
      <c r="L33" s="102"/>
      <c r="M33" s="102"/>
      <c r="N33" s="386"/>
    </row>
    <row r="34" spans="1:14" x14ac:dyDescent="0.25">
      <c r="A34" s="106" t="s">
        <v>56</v>
      </c>
      <c r="B34" s="106"/>
      <c r="C34" s="106"/>
      <c r="D34" s="106"/>
      <c r="E34" s="188">
        <v>268</v>
      </c>
      <c r="F34" s="396"/>
      <c r="G34" s="186">
        <v>662</v>
      </c>
      <c r="H34" s="170"/>
      <c r="I34" s="202"/>
      <c r="J34" s="102"/>
      <c r="K34" s="102"/>
      <c r="L34" s="102"/>
      <c r="M34" s="102"/>
      <c r="N34" s="386"/>
    </row>
    <row r="35" spans="1:14" x14ac:dyDescent="0.25">
      <c r="A35" s="106" t="s">
        <v>57</v>
      </c>
      <c r="B35" s="106"/>
      <c r="C35" s="106"/>
      <c r="D35" s="106"/>
      <c r="E35" s="190">
        <v>488</v>
      </c>
      <c r="F35" s="396"/>
      <c r="G35" s="186"/>
      <c r="H35" s="170"/>
      <c r="I35" s="202"/>
      <c r="J35" s="102"/>
      <c r="K35" s="102"/>
      <c r="L35" s="102"/>
      <c r="M35" s="102"/>
      <c r="N35" s="386"/>
    </row>
    <row r="36" spans="1:14" x14ac:dyDescent="0.25">
      <c r="A36" s="106" t="s">
        <v>58</v>
      </c>
      <c r="B36" s="106"/>
      <c r="C36" s="106"/>
      <c r="D36" s="106"/>
      <c r="E36" s="190">
        <f>SUM(E34*E35)</f>
        <v>130784</v>
      </c>
      <c r="F36" s="396"/>
      <c r="G36" s="186">
        <v>323167</v>
      </c>
      <c r="H36" s="170"/>
      <c r="I36" s="202"/>
      <c r="J36" s="102"/>
      <c r="K36" s="102"/>
      <c r="L36" s="102"/>
      <c r="M36" s="102"/>
      <c r="N36" s="386"/>
    </row>
    <row r="37" spans="1:14" x14ac:dyDescent="0.25">
      <c r="A37" s="106" t="s">
        <v>59</v>
      </c>
      <c r="B37" s="106"/>
      <c r="C37" s="106"/>
      <c r="D37" s="106"/>
      <c r="E37" s="190">
        <f>SUM(E36-K17)</f>
        <v>69034</v>
      </c>
      <c r="F37" s="396"/>
      <c r="G37" s="186">
        <v>170583</v>
      </c>
      <c r="H37" s="170"/>
      <c r="I37" s="202"/>
      <c r="J37" s="102"/>
      <c r="K37" s="102"/>
      <c r="L37" s="102"/>
      <c r="M37" s="102"/>
      <c r="N37" s="386"/>
    </row>
    <row r="38" spans="1:14" x14ac:dyDescent="0.25">
      <c r="A38" s="106" t="s">
        <v>60</v>
      </c>
      <c r="B38" s="106"/>
      <c r="C38" s="106"/>
      <c r="D38" s="106"/>
      <c r="E38" s="190">
        <f>SUM(E36-K18)</f>
        <v>76913</v>
      </c>
      <c r="F38" s="396"/>
      <c r="G38" s="186">
        <v>190052</v>
      </c>
      <c r="H38" s="170"/>
      <c r="I38" s="202"/>
      <c r="J38" s="102"/>
      <c r="K38" s="102"/>
      <c r="L38" s="102"/>
      <c r="M38" s="102"/>
      <c r="N38" s="386"/>
    </row>
    <row r="39" spans="1:14" x14ac:dyDescent="0.25">
      <c r="A39" s="106" t="s">
        <v>160</v>
      </c>
      <c r="B39" s="106"/>
      <c r="C39" s="106"/>
      <c r="D39" s="106"/>
      <c r="E39" s="190">
        <f>SUM(K17/E34)</f>
        <v>230.41044776119404</v>
      </c>
      <c r="F39" s="396"/>
      <c r="G39" s="106"/>
      <c r="I39" s="102"/>
      <c r="J39" s="102"/>
      <c r="K39" s="102"/>
      <c r="L39" s="102"/>
      <c r="M39" s="102"/>
      <c r="N39" s="386"/>
    </row>
    <row r="40" spans="1:14" x14ac:dyDescent="0.25">
      <c r="A40" s="108" t="s">
        <v>161</v>
      </c>
      <c r="B40" s="108"/>
      <c r="C40" s="108"/>
      <c r="D40" s="108"/>
      <c r="E40" s="191">
        <f>SUM(K18/E34)</f>
        <v>201.01119402985074</v>
      </c>
      <c r="F40" s="397"/>
      <c r="G40" s="108"/>
      <c r="I40" s="102"/>
      <c r="J40" s="102"/>
      <c r="K40" s="102"/>
      <c r="L40" s="102"/>
      <c r="M40" s="102"/>
      <c r="N40" s="386"/>
    </row>
    <row r="41" spans="1:14" x14ac:dyDescent="0.25">
      <c r="A41" s="102"/>
      <c r="B41" s="102"/>
      <c r="C41" s="102"/>
      <c r="D41" s="102"/>
      <c r="N41" s="165"/>
    </row>
    <row r="42" spans="1:14" x14ac:dyDescent="0.25">
      <c r="A42" s="392" t="s">
        <v>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workbookViewId="0">
      <selection activeCell="L36" sqref="L36"/>
    </sheetView>
  </sheetViews>
  <sheetFormatPr defaultRowHeight="12.75" x14ac:dyDescent="0.2"/>
  <cols>
    <col min="1" max="2" width="9.140625" style="398"/>
    <col min="3" max="3" width="14.7109375" style="398" customWidth="1"/>
    <col min="4" max="4" width="6.140625" style="398" customWidth="1"/>
    <col min="5" max="5" width="5.5703125" style="398" customWidth="1"/>
    <col min="6" max="6" width="7" style="398" customWidth="1"/>
    <col min="7" max="7" width="9.5703125" style="398" customWidth="1"/>
    <col min="8" max="8" width="9.42578125" style="398" customWidth="1"/>
    <col min="9" max="9" width="9.85546875" style="398" customWidth="1"/>
    <col min="10" max="10" width="9.28515625" style="398" customWidth="1"/>
    <col min="11" max="11" width="8.5703125" style="398" customWidth="1"/>
    <col min="12" max="12" width="8.85546875" style="398" customWidth="1"/>
    <col min="13" max="13" width="6.85546875" style="398" customWidth="1"/>
    <col min="14" max="16384" width="9.140625" style="398"/>
  </cols>
  <sheetData>
    <row r="1" spans="1:28" ht="18.75" x14ac:dyDescent="0.3">
      <c r="A1" s="398" t="s">
        <v>0</v>
      </c>
      <c r="B1" s="398" t="s">
        <v>314</v>
      </c>
      <c r="L1" s="399" t="s">
        <v>315</v>
      </c>
      <c r="R1" s="398" t="s">
        <v>316</v>
      </c>
    </row>
    <row r="2" spans="1:28" x14ac:dyDescent="0.2">
      <c r="B2" s="398" t="s">
        <v>317</v>
      </c>
      <c r="C2" s="398" t="s">
        <v>318</v>
      </c>
    </row>
    <row r="3" spans="1:28" ht="14.25" customHeight="1" x14ac:dyDescent="0.2">
      <c r="B3" s="398" t="s">
        <v>319</v>
      </c>
      <c r="N3" s="400"/>
    </row>
    <row r="4" spans="1:28" x14ac:dyDescent="0.2">
      <c r="A4" s="401" t="s">
        <v>5</v>
      </c>
      <c r="B4" s="401"/>
      <c r="C4" s="401"/>
      <c r="D4" s="402" t="s">
        <v>6</v>
      </c>
      <c r="E4" s="402" t="s">
        <v>7</v>
      </c>
      <c r="F4" s="402" t="s">
        <v>8</v>
      </c>
      <c r="G4" s="402" t="s">
        <v>9</v>
      </c>
      <c r="H4" s="402" t="s">
        <v>10</v>
      </c>
      <c r="I4" s="402" t="s">
        <v>11</v>
      </c>
      <c r="J4" s="402" t="s">
        <v>12</v>
      </c>
      <c r="K4" s="402" t="s">
        <v>13</v>
      </c>
      <c r="L4" s="403" t="s">
        <v>14</v>
      </c>
      <c r="M4" s="402"/>
      <c r="N4" s="400"/>
    </row>
    <row r="5" spans="1:28" x14ac:dyDescent="0.2">
      <c r="A5" s="404"/>
      <c r="B5" s="404"/>
      <c r="C5" s="404"/>
      <c r="D5" s="405" t="s">
        <v>15</v>
      </c>
      <c r="E5" s="405" t="s">
        <v>16</v>
      </c>
      <c r="F5" s="405" t="s">
        <v>16</v>
      </c>
      <c r="G5" s="405" t="s">
        <v>17</v>
      </c>
      <c r="H5" s="405" t="s">
        <v>18</v>
      </c>
      <c r="I5" s="405" t="s">
        <v>19</v>
      </c>
      <c r="J5" s="405" t="s">
        <v>18</v>
      </c>
      <c r="K5" s="405" t="s">
        <v>18</v>
      </c>
      <c r="L5" s="406" t="s">
        <v>11</v>
      </c>
      <c r="M5" s="405" t="s">
        <v>12</v>
      </c>
      <c r="N5" s="400"/>
      <c r="V5" s="407" t="s">
        <v>320</v>
      </c>
      <c r="W5" s="408" t="s">
        <v>321</v>
      </c>
    </row>
    <row r="6" spans="1:28" x14ac:dyDescent="0.2">
      <c r="A6" s="404"/>
      <c r="B6" s="404"/>
      <c r="C6" s="404"/>
      <c r="D6" s="405" t="s">
        <v>20</v>
      </c>
      <c r="E6" s="405"/>
      <c r="F6" s="405"/>
      <c r="G6" s="405"/>
      <c r="H6" s="405" t="s">
        <v>21</v>
      </c>
      <c r="I6" s="405" t="s">
        <v>18</v>
      </c>
      <c r="J6" s="405" t="s">
        <v>21</v>
      </c>
      <c r="K6" s="405" t="s">
        <v>21</v>
      </c>
      <c r="L6" s="405"/>
      <c r="M6" s="405"/>
      <c r="N6" s="400"/>
      <c r="V6" s="409"/>
    </row>
    <row r="7" spans="1:28" x14ac:dyDescent="0.2">
      <c r="A7" s="410"/>
      <c r="B7" s="410"/>
      <c r="C7" s="410"/>
      <c r="D7" s="411"/>
      <c r="E7" s="411"/>
      <c r="F7" s="411"/>
      <c r="G7" s="411"/>
      <c r="H7" s="411"/>
      <c r="I7" s="411" t="s">
        <v>21</v>
      </c>
      <c r="J7" s="411"/>
      <c r="K7" s="411"/>
      <c r="L7" s="411"/>
      <c r="M7" s="411"/>
      <c r="N7" s="400"/>
      <c r="V7" s="412">
        <v>2374.5</v>
      </c>
      <c r="W7" s="398">
        <v>4030</v>
      </c>
      <c r="X7" s="398">
        <v>1302</v>
      </c>
      <c r="Y7" s="413">
        <f t="shared" ref="Y7:Y20" si="0">+W7/X$7</f>
        <v>3.0952380952380953</v>
      </c>
      <c r="AA7" s="414">
        <v>3.0952380952380953</v>
      </c>
    </row>
    <row r="8" spans="1:28" x14ac:dyDescent="0.2">
      <c r="A8" s="398" t="s">
        <v>71</v>
      </c>
      <c r="D8" s="415">
        <v>60</v>
      </c>
      <c r="E8" s="409">
        <v>1.5</v>
      </c>
      <c r="F8" s="409">
        <v>1.08</v>
      </c>
      <c r="G8" s="416">
        <v>1583</v>
      </c>
      <c r="H8" s="409">
        <v>2375</v>
      </c>
      <c r="J8" s="409"/>
      <c r="K8" s="409">
        <f>SUM(H8:J8)</f>
        <v>2375</v>
      </c>
      <c r="N8" s="400"/>
      <c r="V8" s="412">
        <v>469.3</v>
      </c>
      <c r="W8" s="398">
        <v>650</v>
      </c>
      <c r="Y8" s="413">
        <f t="shared" si="0"/>
        <v>0.49923195084485406</v>
      </c>
      <c r="AA8" s="414">
        <v>0.49923195084485406</v>
      </c>
    </row>
    <row r="9" spans="1:28" x14ac:dyDescent="0.2">
      <c r="A9" s="398" t="s">
        <v>322</v>
      </c>
      <c r="D9" s="415">
        <v>100</v>
      </c>
      <c r="E9" s="409">
        <v>0.38</v>
      </c>
      <c r="F9" s="409">
        <v>0.38</v>
      </c>
      <c r="G9" s="416">
        <v>1235</v>
      </c>
      <c r="H9" s="409">
        <v>469</v>
      </c>
      <c r="I9" s="409">
        <v>10043</v>
      </c>
      <c r="J9" s="409"/>
      <c r="K9" s="409">
        <f t="shared" ref="K9:K21" si="1">SUM(H9:J9)</f>
        <v>10512</v>
      </c>
      <c r="L9" s="417">
        <v>913</v>
      </c>
      <c r="N9" s="400"/>
      <c r="V9" s="412">
        <v>7412.0000000000009</v>
      </c>
      <c r="W9" s="398">
        <v>5280</v>
      </c>
      <c r="Y9" s="413">
        <f t="shared" si="0"/>
        <v>4.0552995391705071</v>
      </c>
      <c r="AA9" s="414">
        <v>4.0552995391705071</v>
      </c>
    </row>
    <row r="10" spans="1:28" x14ac:dyDescent="0.2">
      <c r="A10" s="398" t="s">
        <v>323</v>
      </c>
      <c r="D10" s="415">
        <v>50</v>
      </c>
      <c r="E10" s="409">
        <v>4.3600000000000003</v>
      </c>
      <c r="F10" s="409">
        <v>1.64</v>
      </c>
      <c r="G10" s="416">
        <v>1700</v>
      </c>
      <c r="H10" s="409">
        <f>G10*E10</f>
        <v>7412.0000000000009</v>
      </c>
      <c r="I10" s="409"/>
      <c r="J10" s="409">
        <f>E27*G27</f>
        <v>8745</v>
      </c>
      <c r="K10" s="409">
        <f>SUM(H10:J10)</f>
        <v>16157</v>
      </c>
      <c r="L10" s="417"/>
      <c r="N10" s="400"/>
      <c r="V10" s="409" t="s">
        <v>324</v>
      </c>
      <c r="Y10" s="413">
        <f t="shared" si="0"/>
        <v>0</v>
      </c>
      <c r="AA10" s="414"/>
    </row>
    <row r="11" spans="1:28" x14ac:dyDescent="0.2">
      <c r="A11" s="398" t="s">
        <v>325</v>
      </c>
      <c r="D11" s="415" t="s">
        <v>326</v>
      </c>
      <c r="E11" s="409"/>
      <c r="F11" s="409"/>
      <c r="G11" s="416"/>
      <c r="H11" s="409" t="s">
        <v>324</v>
      </c>
      <c r="I11" s="409" t="s">
        <v>327</v>
      </c>
      <c r="J11" s="409"/>
      <c r="K11" s="409"/>
      <c r="L11" s="417"/>
      <c r="N11" s="400"/>
      <c r="V11" s="409" t="s">
        <v>328</v>
      </c>
      <c r="Y11" s="413">
        <f t="shared" si="0"/>
        <v>0</v>
      </c>
      <c r="AA11" s="414">
        <v>1.7972350230414746</v>
      </c>
    </row>
    <row r="12" spans="1:28" x14ac:dyDescent="0.2">
      <c r="A12" s="398" t="s">
        <v>329</v>
      </c>
      <c r="D12" s="415" t="s">
        <v>330</v>
      </c>
      <c r="E12" s="409"/>
      <c r="F12" s="409"/>
      <c r="G12" s="416"/>
      <c r="H12" s="409" t="s">
        <v>328</v>
      </c>
      <c r="I12" s="409" t="s">
        <v>331</v>
      </c>
      <c r="J12" s="409"/>
      <c r="K12" s="409"/>
      <c r="L12" s="417"/>
      <c r="N12" s="400"/>
      <c r="V12" s="418">
        <f>N13*L13</f>
        <v>0</v>
      </c>
      <c r="W12" s="419">
        <v>2340</v>
      </c>
      <c r="X12" s="419"/>
      <c r="Y12" s="413">
        <f t="shared" si="0"/>
        <v>1.7972350230414746</v>
      </c>
      <c r="Z12" s="419"/>
      <c r="AA12" s="414">
        <v>5.6221198156682028</v>
      </c>
      <c r="AB12" s="419"/>
    </row>
    <row r="13" spans="1:28" s="419" customFormat="1" x14ac:dyDescent="0.2">
      <c r="A13" s="419" t="s">
        <v>79</v>
      </c>
      <c r="D13" s="420" t="s">
        <v>332</v>
      </c>
      <c r="E13" s="421">
        <v>1.68</v>
      </c>
      <c r="F13" s="421">
        <v>1.43</v>
      </c>
      <c r="G13" s="422">
        <v>1500</v>
      </c>
      <c r="H13" s="418">
        <f>G13*E13</f>
        <v>2520</v>
      </c>
      <c r="I13" s="423"/>
      <c r="K13" s="421">
        <f>+H13+J13+J14</f>
        <v>13916</v>
      </c>
      <c r="N13" s="424"/>
      <c r="V13" s="418"/>
      <c r="Y13" s="413">
        <f t="shared" si="0"/>
        <v>0</v>
      </c>
      <c r="AA13" s="414">
        <v>1.1167434715821813</v>
      </c>
    </row>
    <row r="14" spans="1:28" s="419" customFormat="1" x14ac:dyDescent="0.2">
      <c r="A14" s="419" t="s">
        <v>80</v>
      </c>
      <c r="D14" s="425">
        <v>100</v>
      </c>
      <c r="E14" s="421"/>
      <c r="F14" s="421"/>
      <c r="G14" s="422"/>
      <c r="H14" s="418"/>
      <c r="I14" s="423"/>
      <c r="J14" s="423">
        <v>11396</v>
      </c>
      <c r="K14" s="421"/>
      <c r="N14" s="424"/>
      <c r="V14" s="409">
        <f t="shared" ref="V14:V20" si="2">N15*L15</f>
        <v>0</v>
      </c>
      <c r="W14" s="412">
        <v>4507.75</v>
      </c>
      <c r="X14" s="398"/>
      <c r="Y14" s="413">
        <f t="shared" si="0"/>
        <v>3.4621735791090629</v>
      </c>
      <c r="Z14" s="398"/>
      <c r="AA14" s="398"/>
      <c r="AB14" s="398"/>
    </row>
    <row r="15" spans="1:28" x14ac:dyDescent="0.2">
      <c r="A15" s="313" t="s">
        <v>25</v>
      </c>
      <c r="B15" s="313"/>
      <c r="C15" s="313"/>
      <c r="D15" s="426">
        <v>60</v>
      </c>
      <c r="E15" s="427">
        <v>3.65</v>
      </c>
      <c r="F15" s="398">
        <v>2</v>
      </c>
      <c r="G15" s="416">
        <v>1235</v>
      </c>
      <c r="H15" s="409">
        <v>4508</v>
      </c>
      <c r="I15" s="409"/>
      <c r="J15" s="409"/>
      <c r="K15" s="409">
        <f t="shared" si="1"/>
        <v>4508</v>
      </c>
      <c r="N15" s="400"/>
      <c r="V15" s="409">
        <f t="shared" si="2"/>
        <v>0</v>
      </c>
      <c r="W15" s="412">
        <v>555.75</v>
      </c>
      <c r="Y15" s="413">
        <f t="shared" si="0"/>
        <v>0.42684331797235026</v>
      </c>
    </row>
    <row r="16" spans="1:28" x14ac:dyDescent="0.2">
      <c r="A16" s="313" t="s">
        <v>333</v>
      </c>
      <c r="B16" s="313"/>
      <c r="C16" s="313"/>
      <c r="D16" s="415">
        <v>80</v>
      </c>
      <c r="E16" s="409">
        <v>0.45</v>
      </c>
      <c r="F16" s="409">
        <v>0.45</v>
      </c>
      <c r="G16" s="416">
        <v>1235</v>
      </c>
      <c r="H16" s="409">
        <v>556</v>
      </c>
      <c r="I16" s="409"/>
      <c r="J16" s="409">
        <v>2592</v>
      </c>
      <c r="K16" s="409">
        <f t="shared" si="1"/>
        <v>3148</v>
      </c>
      <c r="N16" s="400"/>
      <c r="V16" s="409">
        <f t="shared" si="2"/>
        <v>0</v>
      </c>
      <c r="W16" s="398">
        <v>630</v>
      </c>
      <c r="Y16" s="413">
        <f t="shared" si="0"/>
        <v>0.4838709677419355</v>
      </c>
    </row>
    <row r="17" spans="1:27" x14ac:dyDescent="0.2">
      <c r="A17" s="398" t="s">
        <v>81</v>
      </c>
      <c r="D17" s="415">
        <v>40</v>
      </c>
      <c r="E17" s="409">
        <v>0.42</v>
      </c>
      <c r="F17" s="409">
        <v>0.42</v>
      </c>
      <c r="G17" s="416">
        <v>1500</v>
      </c>
      <c r="H17" s="409">
        <f>G17*E17</f>
        <v>630</v>
      </c>
      <c r="I17" s="409"/>
      <c r="J17" s="409">
        <v>3200</v>
      </c>
      <c r="K17" s="409">
        <f t="shared" si="1"/>
        <v>3830</v>
      </c>
      <c r="N17" s="400"/>
      <c r="V17" s="409">
        <f t="shared" si="2"/>
        <v>0</v>
      </c>
      <c r="W17" s="412">
        <v>9027.2000000000007</v>
      </c>
      <c r="Y17" s="413">
        <f t="shared" si="0"/>
        <v>6.9333333333333336</v>
      </c>
      <c r="AA17" s="414">
        <v>6.6897081413210442</v>
      </c>
    </row>
    <row r="18" spans="1:27" x14ac:dyDescent="0.2">
      <c r="A18" s="398" t="s">
        <v>334</v>
      </c>
      <c r="D18" s="415">
        <v>100</v>
      </c>
      <c r="E18" s="409">
        <v>5.2</v>
      </c>
      <c r="F18" s="409">
        <v>3.52</v>
      </c>
      <c r="G18" s="416">
        <v>1736</v>
      </c>
      <c r="H18" s="409">
        <v>8027</v>
      </c>
      <c r="I18" s="409"/>
      <c r="J18" s="409"/>
      <c r="K18" s="409">
        <f t="shared" si="1"/>
        <v>8027</v>
      </c>
      <c r="N18" s="400"/>
      <c r="V18" s="409">
        <f t="shared" si="2"/>
        <v>0</v>
      </c>
      <c r="W18" s="412">
        <v>1145.76</v>
      </c>
      <c r="Y18" s="413">
        <f t="shared" si="0"/>
        <v>0.88</v>
      </c>
      <c r="AA18" s="414">
        <v>1.1981566820276497</v>
      </c>
    </row>
    <row r="19" spans="1:27" x14ac:dyDescent="0.2">
      <c r="A19" s="398" t="s">
        <v>335</v>
      </c>
      <c r="D19" s="415">
        <v>100</v>
      </c>
      <c r="E19" s="409">
        <v>0.66</v>
      </c>
      <c r="F19" s="409">
        <v>0.61</v>
      </c>
      <c r="G19" s="416">
        <v>1736</v>
      </c>
      <c r="H19" s="409">
        <v>1146</v>
      </c>
      <c r="I19" s="409">
        <v>2432</v>
      </c>
      <c r="J19" s="409"/>
      <c r="K19" s="409">
        <f t="shared" si="1"/>
        <v>3578</v>
      </c>
      <c r="L19" s="409">
        <v>243</v>
      </c>
      <c r="M19" s="409"/>
      <c r="N19" s="400"/>
      <c r="V19" s="409">
        <f t="shared" si="2"/>
        <v>0</v>
      </c>
      <c r="W19" s="398">
        <v>1736</v>
      </c>
      <c r="Y19" s="413">
        <f t="shared" si="0"/>
        <v>1.3333333333333333</v>
      </c>
      <c r="AA19" s="414">
        <v>0.64516129032258063</v>
      </c>
    </row>
    <row r="20" spans="1:27" x14ac:dyDescent="0.2">
      <c r="A20" s="398" t="s">
        <v>336</v>
      </c>
      <c r="D20" s="415">
        <v>50</v>
      </c>
      <c r="E20" s="409">
        <v>1</v>
      </c>
      <c r="F20" s="409">
        <v>0.54</v>
      </c>
      <c r="G20" s="416">
        <v>1736</v>
      </c>
      <c r="H20" s="409">
        <f>G20*E20</f>
        <v>1736</v>
      </c>
      <c r="I20" s="409"/>
      <c r="J20" s="409"/>
      <c r="K20" s="409">
        <f t="shared" si="1"/>
        <v>1736</v>
      </c>
      <c r="L20" s="409"/>
      <c r="M20" s="409"/>
      <c r="N20" s="400"/>
      <c r="V20" s="409">
        <f t="shared" si="2"/>
        <v>0</v>
      </c>
      <c r="W20" s="398">
        <v>300</v>
      </c>
      <c r="Y20" s="413">
        <f t="shared" si="0"/>
        <v>0.2304147465437788</v>
      </c>
      <c r="AA20" s="414">
        <v>0.27649769585253459</v>
      </c>
    </row>
    <row r="21" spans="1:27" x14ac:dyDescent="0.2">
      <c r="A21" s="398" t="s">
        <v>30</v>
      </c>
      <c r="D21" s="415">
        <v>80</v>
      </c>
      <c r="E21" s="409">
        <v>0.2</v>
      </c>
      <c r="F21" s="409">
        <v>0.2</v>
      </c>
      <c r="G21" s="416">
        <v>1500</v>
      </c>
      <c r="H21" s="409">
        <f>G21*E21</f>
        <v>300</v>
      </c>
      <c r="I21" s="409">
        <v>818</v>
      </c>
      <c r="J21" s="409"/>
      <c r="K21" s="409">
        <f t="shared" si="1"/>
        <v>1118</v>
      </c>
      <c r="L21" s="409">
        <v>88</v>
      </c>
      <c r="M21" s="409"/>
      <c r="N21" s="400"/>
    </row>
    <row r="22" spans="1:27" x14ac:dyDescent="0.2">
      <c r="A22" s="428" t="s">
        <v>31</v>
      </c>
      <c r="B22" s="428"/>
      <c r="C22" s="428"/>
      <c r="D22" s="429"/>
      <c r="E22" s="430">
        <f>SUM(E8:E21)</f>
        <v>19.5</v>
      </c>
      <c r="F22" s="430">
        <f>SUM(F8:F21)</f>
        <v>12.27</v>
      </c>
      <c r="G22" s="430"/>
      <c r="H22" s="430">
        <f>SUM(H8:H21)</f>
        <v>29679</v>
      </c>
      <c r="I22" s="430">
        <f t="shared" ref="I22:M22" si="3">SUM(I8:I21)</f>
        <v>13293</v>
      </c>
      <c r="J22" s="430">
        <f>SUM(J8:J21)</f>
        <v>25933</v>
      </c>
      <c r="K22" s="430">
        <f>SUM(K8:K21)</f>
        <v>68905</v>
      </c>
      <c r="L22" s="430">
        <f t="shared" si="3"/>
        <v>1244</v>
      </c>
      <c r="M22" s="428">
        <f t="shared" si="3"/>
        <v>0</v>
      </c>
      <c r="N22" s="400"/>
    </row>
    <row r="23" spans="1:27" x14ac:dyDescent="0.2">
      <c r="A23" s="431" t="s">
        <v>34</v>
      </c>
      <c r="B23" s="431"/>
      <c r="C23" s="431"/>
      <c r="D23" s="432"/>
      <c r="E23" s="433">
        <f>SUM(E22-F22)</f>
        <v>7.23</v>
      </c>
      <c r="F23" s="433"/>
      <c r="G23" s="433"/>
      <c r="H23" s="433">
        <f>E30*G30</f>
        <v>10388</v>
      </c>
      <c r="I23" s="433">
        <f>I22-L22</f>
        <v>12049</v>
      </c>
      <c r="J23" s="433">
        <f>J22-M22</f>
        <v>25933</v>
      </c>
      <c r="K23" s="433">
        <f>SUM(H23:J23)</f>
        <v>48370</v>
      </c>
      <c r="L23" s="431"/>
      <c r="M23" s="431"/>
      <c r="N23" s="400"/>
    </row>
    <row r="24" spans="1:27" s="434" customFormat="1" x14ac:dyDescent="0.2">
      <c r="C24" s="434" t="s">
        <v>37</v>
      </c>
      <c r="N24" s="435"/>
    </row>
    <row r="25" spans="1:27" x14ac:dyDescent="0.2">
      <c r="A25" s="436" t="s">
        <v>41</v>
      </c>
      <c r="B25" s="436"/>
      <c r="C25" s="436"/>
      <c r="D25" s="436" t="s">
        <v>42</v>
      </c>
      <c r="E25" s="436" t="s">
        <v>43</v>
      </c>
      <c r="F25" s="436"/>
      <c r="G25" s="436" t="s">
        <v>44</v>
      </c>
      <c r="N25" s="400"/>
    </row>
    <row r="26" spans="1:27" x14ac:dyDescent="0.2">
      <c r="A26" s="398" t="s">
        <v>46</v>
      </c>
      <c r="N26" s="400"/>
    </row>
    <row r="27" spans="1:27" x14ac:dyDescent="0.2">
      <c r="A27" s="398" t="s">
        <v>48</v>
      </c>
      <c r="D27" s="398" t="s">
        <v>49</v>
      </c>
      <c r="E27" s="409">
        <v>5</v>
      </c>
      <c r="G27" s="409">
        <v>1749</v>
      </c>
      <c r="N27" s="400"/>
      <c r="Q27" s="437" t="s">
        <v>32</v>
      </c>
      <c r="R27" s="438" t="s">
        <v>337</v>
      </c>
    </row>
    <row r="28" spans="1:27" x14ac:dyDescent="0.2">
      <c r="K28" s="439"/>
      <c r="L28" s="440"/>
      <c r="N28" s="400"/>
      <c r="Q28" s="441" t="s">
        <v>338</v>
      </c>
      <c r="R28" s="442">
        <v>88</v>
      </c>
    </row>
    <row r="29" spans="1:27" x14ac:dyDescent="0.2">
      <c r="A29" s="398" t="s">
        <v>50</v>
      </c>
      <c r="K29" s="443"/>
      <c r="L29" s="444"/>
      <c r="N29" s="400"/>
      <c r="Q29" s="445" t="s">
        <v>339</v>
      </c>
      <c r="R29" s="446">
        <v>12</v>
      </c>
    </row>
    <row r="30" spans="1:27" x14ac:dyDescent="0.2">
      <c r="A30" s="398" t="s">
        <v>51</v>
      </c>
      <c r="D30" s="398" t="s">
        <v>52</v>
      </c>
      <c r="E30" s="409">
        <v>7</v>
      </c>
      <c r="G30" s="409">
        <v>1484</v>
      </c>
      <c r="K30" s="447"/>
      <c r="L30" s="444"/>
      <c r="N30" s="400"/>
      <c r="Q30" s="330"/>
      <c r="R30" s="448"/>
    </row>
    <row r="31" spans="1:27" x14ac:dyDescent="0.2">
      <c r="A31" s="398" t="s">
        <v>340</v>
      </c>
      <c r="D31" s="398" t="s">
        <v>52</v>
      </c>
      <c r="E31" s="409">
        <v>13</v>
      </c>
      <c r="K31" s="443"/>
      <c r="L31" s="443"/>
      <c r="N31" s="400"/>
      <c r="Q31" s="449"/>
      <c r="R31" s="450"/>
    </row>
    <row r="32" spans="1:27" x14ac:dyDescent="0.2">
      <c r="A32" s="398" t="s">
        <v>7</v>
      </c>
      <c r="D32" s="398" t="s">
        <v>52</v>
      </c>
      <c r="E32" s="409">
        <v>20</v>
      </c>
      <c r="N32" s="400"/>
      <c r="Q32" s="441" t="s">
        <v>45</v>
      </c>
      <c r="R32" s="337">
        <v>3</v>
      </c>
    </row>
    <row r="33" spans="1:18" x14ac:dyDescent="0.2">
      <c r="A33" s="428" t="s">
        <v>93</v>
      </c>
      <c r="B33" s="428"/>
      <c r="C33" s="428" t="s">
        <v>94</v>
      </c>
      <c r="D33" s="428"/>
      <c r="E33" s="428"/>
      <c r="F33" s="428"/>
      <c r="G33" s="428"/>
      <c r="K33" s="451"/>
      <c r="N33" s="400"/>
      <c r="Q33" s="441" t="s">
        <v>47</v>
      </c>
      <c r="R33" s="337">
        <f>33/10</f>
        <v>3.3</v>
      </c>
    </row>
    <row r="34" spans="1:18" x14ac:dyDescent="0.2">
      <c r="A34" s="452"/>
      <c r="B34" s="453" t="s">
        <v>210</v>
      </c>
      <c r="C34" s="454">
        <v>70</v>
      </c>
      <c r="D34" s="452" t="s">
        <v>49</v>
      </c>
      <c r="E34" s="443">
        <v>117</v>
      </c>
      <c r="F34" s="443"/>
      <c r="G34" s="455">
        <v>80</v>
      </c>
      <c r="K34" s="451"/>
      <c r="N34" s="400"/>
    </row>
    <row r="35" spans="1:18" x14ac:dyDescent="0.2">
      <c r="A35" s="452"/>
      <c r="B35" s="453" t="s">
        <v>341</v>
      </c>
      <c r="C35" s="454">
        <v>50</v>
      </c>
      <c r="D35" s="452" t="s">
        <v>49</v>
      </c>
      <c r="E35" s="443">
        <v>1.5</v>
      </c>
      <c r="F35" s="443"/>
      <c r="G35" s="455">
        <v>1357</v>
      </c>
      <c r="I35" s="456"/>
      <c r="J35" s="444"/>
      <c r="N35" s="400"/>
    </row>
    <row r="36" spans="1:18" x14ac:dyDescent="0.2">
      <c r="A36" s="452"/>
      <c r="B36" s="453" t="s">
        <v>196</v>
      </c>
      <c r="C36" s="454" t="s">
        <v>342</v>
      </c>
      <c r="D36" s="452"/>
      <c r="E36" s="457" t="s">
        <v>343</v>
      </c>
      <c r="F36" s="443"/>
      <c r="G36" s="458" t="s">
        <v>344</v>
      </c>
      <c r="I36" s="459"/>
      <c r="J36" s="444"/>
      <c r="N36" s="400"/>
    </row>
    <row r="37" spans="1:18" x14ac:dyDescent="0.2">
      <c r="A37" s="452"/>
      <c r="B37" s="398" t="s">
        <v>98</v>
      </c>
      <c r="C37" s="460" t="s">
        <v>345</v>
      </c>
      <c r="E37" s="461" t="s">
        <v>346</v>
      </c>
      <c r="G37" s="398">
        <v>0</v>
      </c>
      <c r="I37" s="457"/>
      <c r="J37" s="462"/>
      <c r="N37" s="400"/>
    </row>
    <row r="38" spans="1:18" x14ac:dyDescent="0.2">
      <c r="A38" s="428" t="s">
        <v>54</v>
      </c>
      <c r="B38" s="428"/>
      <c r="C38" s="428"/>
      <c r="D38" s="428"/>
      <c r="E38" s="428"/>
      <c r="F38" s="428"/>
      <c r="G38" s="401" t="s">
        <v>197</v>
      </c>
      <c r="H38" s="428"/>
      <c r="I38" s="401" t="s">
        <v>55</v>
      </c>
      <c r="N38" s="400"/>
    </row>
    <row r="39" spans="1:18" x14ac:dyDescent="0.2">
      <c r="A39" s="443" t="s">
        <v>133</v>
      </c>
      <c r="B39" s="443"/>
      <c r="C39" s="443"/>
      <c r="D39" s="443"/>
      <c r="E39" s="443"/>
      <c r="F39" s="443"/>
      <c r="G39" s="456">
        <v>630</v>
      </c>
      <c r="H39" s="443" t="s">
        <v>212</v>
      </c>
      <c r="I39" s="463">
        <f>G39*2.471</f>
        <v>1556.73</v>
      </c>
      <c r="N39" s="400"/>
    </row>
    <row r="40" spans="1:18" x14ac:dyDescent="0.2">
      <c r="A40" s="443" t="s">
        <v>57</v>
      </c>
      <c r="B40" s="443"/>
      <c r="C40" s="443"/>
      <c r="D40" s="443"/>
      <c r="E40" s="443"/>
      <c r="F40" s="443"/>
      <c r="G40" s="464">
        <v>127</v>
      </c>
      <c r="H40" s="443"/>
      <c r="I40" s="463"/>
      <c r="N40" s="400"/>
    </row>
    <row r="41" spans="1:18" x14ac:dyDescent="0.2">
      <c r="A41" s="443" t="s">
        <v>134</v>
      </c>
      <c r="B41" s="443"/>
      <c r="C41" s="443"/>
      <c r="D41" s="443"/>
      <c r="E41" s="443"/>
      <c r="F41" s="443"/>
      <c r="G41" s="464">
        <f>SUM(G39*G40)</f>
        <v>80010</v>
      </c>
      <c r="H41" s="443"/>
      <c r="I41" s="463">
        <f t="shared" ref="I41:I43" si="4">G41*2.471</f>
        <v>197704.71000000002</v>
      </c>
      <c r="N41" s="400"/>
    </row>
    <row r="42" spans="1:18" x14ac:dyDescent="0.2">
      <c r="A42" s="443" t="s">
        <v>256</v>
      </c>
      <c r="B42" s="443"/>
      <c r="C42" s="443"/>
      <c r="D42" s="443"/>
      <c r="E42" s="443"/>
      <c r="F42" s="443"/>
      <c r="G42" s="464">
        <f>SUM(G41-K22)</f>
        <v>11105</v>
      </c>
      <c r="H42" s="443"/>
      <c r="I42" s="463">
        <f t="shared" si="4"/>
        <v>27440.455000000002</v>
      </c>
      <c r="N42" s="400"/>
    </row>
    <row r="43" spans="1:18" x14ac:dyDescent="0.2">
      <c r="A43" s="443" t="s">
        <v>257</v>
      </c>
      <c r="B43" s="443"/>
      <c r="C43" s="443"/>
      <c r="D43" s="443"/>
      <c r="E43" s="443"/>
      <c r="F43" s="443"/>
      <c r="G43" s="464">
        <f>SUM(G41-K23)</f>
        <v>31640</v>
      </c>
      <c r="H43" s="443"/>
      <c r="I43" s="463">
        <f t="shared" si="4"/>
        <v>78182.44</v>
      </c>
      <c r="N43" s="400"/>
    </row>
    <row r="44" spans="1:18" x14ac:dyDescent="0.2">
      <c r="A44" s="443" t="s">
        <v>160</v>
      </c>
      <c r="B44" s="443"/>
      <c r="C44" s="443"/>
      <c r="D44" s="443"/>
      <c r="E44" s="443"/>
      <c r="F44" s="443"/>
      <c r="G44" s="464">
        <f>SUM(K22/G39)</f>
        <v>109.37301587301587</v>
      </c>
      <c r="H44" s="443"/>
      <c r="I44" s="463"/>
      <c r="N44" s="400"/>
    </row>
    <row r="45" spans="1:18" x14ac:dyDescent="0.2">
      <c r="A45" s="431" t="s">
        <v>161</v>
      </c>
      <c r="B45" s="431"/>
      <c r="C45" s="431"/>
      <c r="D45" s="431"/>
      <c r="E45" s="431"/>
      <c r="F45" s="431"/>
      <c r="G45" s="465">
        <f>SUM(K23/G39)</f>
        <v>76.777777777777771</v>
      </c>
      <c r="H45" s="431"/>
      <c r="I45" s="466"/>
      <c r="N45" s="400"/>
    </row>
    <row r="46" spans="1:18" x14ac:dyDescent="0.2">
      <c r="N46" s="400"/>
    </row>
    <row r="47" spans="1:18" x14ac:dyDescent="0.2">
      <c r="A47" s="398" t="s">
        <v>63</v>
      </c>
      <c r="C47" s="467" t="s">
        <v>347</v>
      </c>
    </row>
    <row r="50" spans="1:7" x14ac:dyDescent="0.2">
      <c r="A50" s="398" t="s">
        <v>348</v>
      </c>
      <c r="B50" s="398" t="s">
        <v>349</v>
      </c>
    </row>
    <row r="51" spans="1:7" x14ac:dyDescent="0.2">
      <c r="B51" s="398" t="s">
        <v>350</v>
      </c>
    </row>
    <row r="56" spans="1:7" x14ac:dyDescent="0.2">
      <c r="G56" s="398" t="s">
        <v>64</v>
      </c>
    </row>
  </sheetData>
  <mergeCells count="6">
    <mergeCell ref="V12:V13"/>
    <mergeCell ref="E13:E14"/>
    <mergeCell ref="F13:F14"/>
    <mergeCell ref="G13:G14"/>
    <mergeCell ref="H13:H14"/>
    <mergeCell ref="K13:K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Q42" sqref="Q42"/>
    </sheetView>
  </sheetViews>
  <sheetFormatPr defaultColWidth="9.140625" defaultRowHeight="11.25" x14ac:dyDescent="0.2"/>
  <cols>
    <col min="1" max="1" width="11" style="468" customWidth="1"/>
    <col min="2" max="2" width="9.140625" style="468" customWidth="1"/>
    <col min="3" max="3" width="4.7109375" style="468" customWidth="1"/>
    <col min="4" max="4" width="4.85546875" style="468" customWidth="1"/>
    <col min="5" max="5" width="3.7109375" style="468" customWidth="1"/>
    <col min="6" max="6" width="9" style="468" customWidth="1"/>
    <col min="7" max="7" width="7.42578125" style="468" customWidth="1"/>
    <col min="8" max="8" width="11.42578125" style="468" customWidth="1"/>
    <col min="9" max="9" width="10.5703125" style="468" customWidth="1"/>
    <col min="10" max="10" width="10.85546875" style="468" customWidth="1"/>
    <col min="11" max="11" width="7.28515625" style="468" customWidth="1"/>
    <col min="12" max="12" width="7.5703125" style="468" customWidth="1"/>
    <col min="13" max="16384" width="9.140625" style="468"/>
  </cols>
  <sheetData>
    <row r="1" spans="1:16" x14ac:dyDescent="0.2">
      <c r="A1" s="468" t="s">
        <v>239</v>
      </c>
      <c r="B1" s="468" t="s">
        <v>351</v>
      </c>
      <c r="N1" s="468" t="s">
        <v>352</v>
      </c>
    </row>
    <row r="2" spans="1:16" ht="34.5" x14ac:dyDescent="0.45">
      <c r="B2" s="468" t="s">
        <v>353</v>
      </c>
      <c r="M2" s="469"/>
      <c r="N2" s="470" t="s">
        <v>354</v>
      </c>
    </row>
    <row r="3" spans="1:16" x14ac:dyDescent="0.2">
      <c r="B3" s="468" t="s">
        <v>355</v>
      </c>
      <c r="M3" s="471"/>
    </row>
    <row r="4" spans="1:16" x14ac:dyDescent="0.2">
      <c r="A4" s="472" t="s">
        <v>5</v>
      </c>
      <c r="B4" s="472"/>
      <c r="C4" s="473" t="s">
        <v>6</v>
      </c>
      <c r="D4" s="473" t="s">
        <v>7</v>
      </c>
      <c r="E4" s="473" t="s">
        <v>8</v>
      </c>
      <c r="F4" s="473" t="s">
        <v>9</v>
      </c>
      <c r="G4" s="473" t="s">
        <v>10</v>
      </c>
      <c r="H4" s="473" t="s">
        <v>11</v>
      </c>
      <c r="I4" s="473" t="s">
        <v>12</v>
      </c>
      <c r="J4" s="473" t="s">
        <v>13</v>
      </c>
      <c r="K4" s="474" t="s">
        <v>14</v>
      </c>
      <c r="L4" s="473"/>
      <c r="M4" s="471"/>
    </row>
    <row r="5" spans="1:16" x14ac:dyDescent="0.2">
      <c r="A5" s="475"/>
      <c r="B5" s="475"/>
      <c r="C5" s="476" t="s">
        <v>15</v>
      </c>
      <c r="D5" s="476" t="s">
        <v>16</v>
      </c>
      <c r="E5" s="476" t="s">
        <v>16</v>
      </c>
      <c r="F5" s="476" t="s">
        <v>17</v>
      </c>
      <c r="G5" s="476" t="s">
        <v>18</v>
      </c>
      <c r="H5" s="476" t="s">
        <v>19</v>
      </c>
      <c r="I5" s="476" t="s">
        <v>18</v>
      </c>
      <c r="J5" s="476" t="s">
        <v>18</v>
      </c>
      <c r="K5" s="477" t="s">
        <v>11</v>
      </c>
      <c r="L5" s="476" t="s">
        <v>12</v>
      </c>
      <c r="M5" s="471"/>
    </row>
    <row r="6" spans="1:16" x14ac:dyDescent="0.2">
      <c r="A6" s="475"/>
      <c r="B6" s="475"/>
      <c r="C6" s="476" t="s">
        <v>20</v>
      </c>
      <c r="D6" s="476"/>
      <c r="E6" s="476"/>
      <c r="F6" s="476"/>
      <c r="G6" s="476" t="s">
        <v>21</v>
      </c>
      <c r="H6" s="476" t="s">
        <v>18</v>
      </c>
      <c r="I6" s="476" t="s">
        <v>21</v>
      </c>
      <c r="J6" s="476" t="s">
        <v>21</v>
      </c>
      <c r="K6" s="476"/>
      <c r="L6" s="476"/>
      <c r="M6" s="471"/>
    </row>
    <row r="7" spans="1:16" x14ac:dyDescent="0.2">
      <c r="A7" s="478"/>
      <c r="B7" s="478"/>
      <c r="C7" s="479"/>
      <c r="D7" s="479"/>
      <c r="E7" s="479"/>
      <c r="F7" s="479"/>
      <c r="G7" s="479"/>
      <c r="H7" s="479" t="s">
        <v>21</v>
      </c>
      <c r="I7" s="479"/>
      <c r="J7" s="479"/>
      <c r="K7" s="479"/>
      <c r="L7" s="479"/>
      <c r="M7" s="471"/>
    </row>
    <row r="8" spans="1:16" ht="12.75" x14ac:dyDescent="0.2">
      <c r="A8" s="468" t="s">
        <v>22</v>
      </c>
      <c r="C8" s="480">
        <v>52</v>
      </c>
      <c r="D8" s="481">
        <v>2.91</v>
      </c>
      <c r="E8" s="481">
        <v>0.52</v>
      </c>
      <c r="F8" s="481">
        <v>1901</v>
      </c>
      <c r="G8" s="481">
        <v>5532</v>
      </c>
      <c r="I8" s="481"/>
      <c r="J8" s="481">
        <f>SUM(G8:I8)</f>
        <v>5532</v>
      </c>
      <c r="L8" s="481"/>
      <c r="M8" s="471"/>
      <c r="N8" s="482"/>
      <c r="O8" s="481"/>
    </row>
    <row r="9" spans="1:16" ht="12.75" x14ac:dyDescent="0.2">
      <c r="A9" s="468" t="s">
        <v>246</v>
      </c>
      <c r="C9" s="480">
        <v>95</v>
      </c>
      <c r="D9" s="481">
        <v>0.46</v>
      </c>
      <c r="E9" s="481">
        <v>0.46</v>
      </c>
      <c r="F9" s="481">
        <v>1900</v>
      </c>
      <c r="G9" s="481">
        <f>+D9*F9</f>
        <v>874</v>
      </c>
      <c r="H9" s="481">
        <v>10925</v>
      </c>
      <c r="I9" s="481"/>
      <c r="J9" s="481">
        <f>SUM(G9:I9)</f>
        <v>11799</v>
      </c>
      <c r="K9" s="481">
        <v>1177</v>
      </c>
      <c r="L9" s="481"/>
      <c r="M9" s="471"/>
      <c r="N9" s="482"/>
      <c r="O9" s="481"/>
      <c r="P9" s="481"/>
    </row>
    <row r="10" spans="1:16" x14ac:dyDescent="0.2">
      <c r="A10" s="475" t="s">
        <v>356</v>
      </c>
      <c r="C10" s="480" t="s">
        <v>357</v>
      </c>
      <c r="D10" s="481"/>
      <c r="E10" s="481"/>
      <c r="F10" s="481"/>
      <c r="G10" s="481" t="s">
        <v>358</v>
      </c>
      <c r="H10" s="481"/>
      <c r="I10" s="481"/>
      <c r="J10" s="481"/>
      <c r="K10" s="481"/>
      <c r="L10" s="481"/>
      <c r="M10" s="471"/>
      <c r="N10" s="483"/>
      <c r="O10" s="481"/>
    </row>
    <row r="11" spans="1:16" ht="12.75" x14ac:dyDescent="0.2">
      <c r="A11" s="484" t="s">
        <v>247</v>
      </c>
      <c r="C11" s="485">
        <v>100</v>
      </c>
      <c r="D11" s="481">
        <v>6.37</v>
      </c>
      <c r="E11" s="481">
        <f>0.29+0.9</f>
        <v>1.19</v>
      </c>
      <c r="F11" s="481">
        <v>1946</v>
      </c>
      <c r="G11" s="481">
        <v>12396</v>
      </c>
      <c r="I11" s="481">
        <f>+D30*F30</f>
        <v>10260</v>
      </c>
      <c r="J11" s="481">
        <f>SUM(G11:I11)</f>
        <v>22656</v>
      </c>
      <c r="L11" s="481"/>
      <c r="M11" s="471"/>
      <c r="N11" s="482"/>
      <c r="O11" s="481"/>
    </row>
    <row r="12" spans="1:16" ht="12.75" x14ac:dyDescent="0.2">
      <c r="A12" s="468" t="s">
        <v>80</v>
      </c>
      <c r="C12" s="480">
        <v>47</v>
      </c>
      <c r="D12" s="481">
        <v>1.36</v>
      </c>
      <c r="E12" s="481">
        <v>0.86</v>
      </c>
      <c r="F12" s="481">
        <v>1972</v>
      </c>
      <c r="G12" s="481">
        <v>2682</v>
      </c>
      <c r="I12" s="481">
        <f>+D36*F36</f>
        <v>5754</v>
      </c>
      <c r="J12" s="481">
        <f>SUM(G12:I12)</f>
        <v>8436</v>
      </c>
      <c r="L12" s="481"/>
      <c r="M12" s="471"/>
      <c r="N12" s="482"/>
      <c r="O12" s="481"/>
    </row>
    <row r="13" spans="1:16" x14ac:dyDescent="0.2">
      <c r="A13" s="486" t="s">
        <v>79</v>
      </c>
      <c r="B13" s="486"/>
      <c r="C13" s="487">
        <v>0</v>
      </c>
      <c r="D13" s="481"/>
      <c r="E13" s="481"/>
      <c r="F13" s="481"/>
      <c r="G13" s="481"/>
      <c r="I13" s="481"/>
      <c r="J13" s="481"/>
      <c r="L13" s="481"/>
      <c r="M13" s="471"/>
      <c r="N13" s="483"/>
      <c r="O13" s="481"/>
    </row>
    <row r="14" spans="1:16" ht="12.75" x14ac:dyDescent="0.2">
      <c r="A14" s="468" t="s">
        <v>359</v>
      </c>
      <c r="C14" s="488" t="s">
        <v>156</v>
      </c>
      <c r="D14" s="481"/>
      <c r="E14" s="481"/>
      <c r="F14" s="481"/>
      <c r="G14" s="489" t="s">
        <v>360</v>
      </c>
      <c r="I14" s="481"/>
      <c r="J14" s="481"/>
      <c r="L14" s="481"/>
      <c r="M14" s="471"/>
      <c r="N14" s="482"/>
      <c r="O14" s="481"/>
    </row>
    <row r="15" spans="1:16" ht="12.75" x14ac:dyDescent="0.2">
      <c r="A15" s="468" t="s">
        <v>361</v>
      </c>
      <c r="C15" s="480">
        <v>71</v>
      </c>
      <c r="D15" s="481">
        <v>0.41</v>
      </c>
      <c r="E15" s="481">
        <v>0.11</v>
      </c>
      <c r="F15" s="481">
        <v>2083</v>
      </c>
      <c r="G15" s="481">
        <v>854</v>
      </c>
      <c r="I15" s="481">
        <v>5181</v>
      </c>
      <c r="J15" s="481">
        <f>SUM(G15:I15)</f>
        <v>6035</v>
      </c>
      <c r="L15" s="481"/>
      <c r="M15" s="471"/>
      <c r="N15" s="482"/>
      <c r="O15" s="481"/>
    </row>
    <row r="16" spans="1:16" ht="12.75" x14ac:dyDescent="0.2">
      <c r="A16" s="468" t="s">
        <v>248</v>
      </c>
      <c r="C16" s="480">
        <v>70</v>
      </c>
      <c r="D16" s="481">
        <v>0.56999999999999995</v>
      </c>
      <c r="E16" s="481">
        <v>0.14000000000000001</v>
      </c>
      <c r="F16" s="481">
        <v>2300</v>
      </c>
      <c r="G16" s="481">
        <f>+D16*F16</f>
        <v>1311</v>
      </c>
      <c r="I16" s="481">
        <v>3911</v>
      </c>
      <c r="J16" s="481">
        <f>SUM(G16:I16)</f>
        <v>5222</v>
      </c>
      <c r="L16" s="481"/>
      <c r="M16" s="490"/>
      <c r="N16" s="482"/>
      <c r="O16" s="481"/>
    </row>
    <row r="17" spans="1:18" ht="12.75" x14ac:dyDescent="0.2">
      <c r="A17" s="468" t="s">
        <v>249</v>
      </c>
      <c r="C17" s="480">
        <v>100</v>
      </c>
      <c r="D17" s="481">
        <v>5.0999999999999996</v>
      </c>
      <c r="E17" s="481">
        <f>1.07+0.6</f>
        <v>1.67</v>
      </c>
      <c r="F17" s="481">
        <v>2051</v>
      </c>
      <c r="G17" s="481">
        <v>10460</v>
      </c>
      <c r="J17" s="481">
        <f>SUM(G17:I17)</f>
        <v>10460</v>
      </c>
      <c r="L17" s="481"/>
      <c r="M17" s="490"/>
      <c r="N17" s="482"/>
      <c r="O17" s="481"/>
    </row>
    <row r="18" spans="1:18" ht="12.75" x14ac:dyDescent="0.2">
      <c r="A18" s="468" t="s">
        <v>362</v>
      </c>
      <c r="C18" s="480">
        <v>95</v>
      </c>
      <c r="D18" s="481">
        <v>0.24</v>
      </c>
      <c r="E18" s="481">
        <v>0.19</v>
      </c>
      <c r="F18" s="481">
        <v>2051</v>
      </c>
      <c r="G18" s="481">
        <v>492</v>
      </c>
      <c r="H18" s="481">
        <v>3916</v>
      </c>
      <c r="J18" s="481">
        <f>SUM(G18:H18)</f>
        <v>4408</v>
      </c>
      <c r="L18" s="481"/>
      <c r="M18" s="490"/>
      <c r="N18" s="482"/>
      <c r="O18" s="481"/>
    </row>
    <row r="19" spans="1:18" ht="12.75" x14ac:dyDescent="0.2">
      <c r="A19" s="468" t="s">
        <v>28</v>
      </c>
      <c r="C19" s="480" t="s">
        <v>357</v>
      </c>
      <c r="G19" s="481" t="s">
        <v>363</v>
      </c>
      <c r="H19" s="481"/>
      <c r="J19" s="481"/>
      <c r="K19" s="481"/>
      <c r="L19" s="481"/>
      <c r="M19" s="471"/>
      <c r="N19" s="482"/>
      <c r="O19" s="481"/>
    </row>
    <row r="20" spans="1:18" ht="12.75" x14ac:dyDescent="0.2">
      <c r="A20" s="468" t="s">
        <v>277</v>
      </c>
      <c r="C20" s="480">
        <v>76</v>
      </c>
      <c r="D20" s="481">
        <v>1.1000000000000001</v>
      </c>
      <c r="E20" s="481">
        <v>0.71</v>
      </c>
      <c r="F20" s="481">
        <v>2094</v>
      </c>
      <c r="G20" s="481">
        <v>2303</v>
      </c>
      <c r="I20" s="481"/>
      <c r="J20" s="481">
        <f>SUM(G20:I20)</f>
        <v>2303</v>
      </c>
      <c r="K20" s="481"/>
      <c r="L20" s="481"/>
      <c r="M20" s="471"/>
      <c r="N20" s="482"/>
      <c r="O20" s="481"/>
    </row>
    <row r="21" spans="1:18" x14ac:dyDescent="0.2">
      <c r="A21" s="468" t="s">
        <v>364</v>
      </c>
      <c r="C21" s="468">
        <v>71</v>
      </c>
      <c r="D21" s="468">
        <v>0.15</v>
      </c>
      <c r="E21" s="481">
        <v>0.11</v>
      </c>
      <c r="F21" s="481">
        <v>2071</v>
      </c>
      <c r="G21" s="481">
        <v>311</v>
      </c>
      <c r="H21" s="481">
        <v>944</v>
      </c>
      <c r="J21" s="481">
        <f>SUM(G21:I21)</f>
        <v>1255</v>
      </c>
      <c r="K21" s="481">
        <v>325</v>
      </c>
      <c r="L21" s="481"/>
      <c r="M21" s="471"/>
      <c r="N21" s="483"/>
      <c r="O21" s="481"/>
    </row>
    <row r="22" spans="1:18" x14ac:dyDescent="0.2">
      <c r="A22" s="472" t="s">
        <v>31</v>
      </c>
      <c r="B22" s="472"/>
      <c r="C22" s="491"/>
      <c r="D22" s="492">
        <f>SUM(D8:D21)</f>
        <v>18.669999999999998</v>
      </c>
      <c r="E22" s="492">
        <f t="shared" ref="E22:L22" si="0">SUM(E8:E21)</f>
        <v>5.96</v>
      </c>
      <c r="F22" s="492">
        <f t="shared" si="0"/>
        <v>20369</v>
      </c>
      <c r="G22" s="492">
        <f t="shared" si="0"/>
        <v>37215</v>
      </c>
      <c r="H22" s="492">
        <f t="shared" si="0"/>
        <v>15785</v>
      </c>
      <c r="I22" s="492">
        <f t="shared" si="0"/>
        <v>25106</v>
      </c>
      <c r="J22" s="492">
        <f t="shared" si="0"/>
        <v>78106</v>
      </c>
      <c r="K22" s="492">
        <f t="shared" si="0"/>
        <v>1502</v>
      </c>
      <c r="L22" s="492">
        <f t="shared" si="0"/>
        <v>0</v>
      </c>
      <c r="M22" s="471"/>
      <c r="P22" s="481"/>
      <c r="Q22" s="481"/>
      <c r="R22" s="481"/>
    </row>
    <row r="23" spans="1:18" x14ac:dyDescent="0.2">
      <c r="A23" s="478" t="s">
        <v>34</v>
      </c>
      <c r="B23" s="478"/>
      <c r="C23" s="493"/>
      <c r="D23" s="494">
        <f>SUM(D22-E22)</f>
        <v>12.709999999999997</v>
      </c>
      <c r="E23" s="494"/>
      <c r="F23" s="494"/>
      <c r="G23" s="494">
        <f>SUM(D32*F32)</f>
        <v>25467</v>
      </c>
      <c r="H23" s="494">
        <f>H22-K22</f>
        <v>14283</v>
      </c>
      <c r="I23" s="494">
        <f>I22-L22</f>
        <v>25106</v>
      </c>
      <c r="J23" s="494">
        <f>SUM(G23:I23)</f>
        <v>64856</v>
      </c>
      <c r="K23" s="478"/>
      <c r="L23" s="478"/>
      <c r="M23" s="471"/>
      <c r="P23" s="481"/>
      <c r="Q23" s="481"/>
      <c r="R23" s="481"/>
    </row>
    <row r="24" spans="1:18" x14ac:dyDescent="0.2">
      <c r="C24" s="495"/>
      <c r="D24" s="496"/>
      <c r="E24" s="496"/>
      <c r="F24" s="496"/>
      <c r="G24" s="496"/>
      <c r="H24" s="496"/>
      <c r="I24" s="496"/>
      <c r="J24" s="496"/>
      <c r="K24" s="475"/>
      <c r="L24" s="475"/>
      <c r="M24" s="471"/>
    </row>
    <row r="25" spans="1:18" x14ac:dyDescent="0.2">
      <c r="A25" s="497"/>
      <c r="B25" s="475"/>
      <c r="C25" s="495"/>
      <c r="D25" s="496"/>
      <c r="E25" s="496"/>
      <c r="H25" s="496"/>
      <c r="I25" s="496"/>
      <c r="J25" s="496"/>
      <c r="K25" s="475"/>
      <c r="L25" s="475"/>
      <c r="M25" s="498"/>
    </row>
    <row r="26" spans="1:18" x14ac:dyDescent="0.2">
      <c r="A26" s="497"/>
      <c r="B26" s="475"/>
      <c r="C26" s="495"/>
      <c r="D26" s="496"/>
      <c r="E26" s="496"/>
      <c r="F26" s="496"/>
      <c r="G26" s="496"/>
      <c r="H26" s="475"/>
      <c r="I26" s="496"/>
      <c r="J26" s="496"/>
      <c r="K26" s="475"/>
      <c r="L26" s="475"/>
      <c r="M26" s="471"/>
    </row>
    <row r="27" spans="1:18" x14ac:dyDescent="0.2">
      <c r="A27" s="499" t="s">
        <v>40</v>
      </c>
      <c r="F27" s="481"/>
      <c r="M27" s="471"/>
      <c r="N27" s="500" t="s">
        <v>32</v>
      </c>
      <c r="O27" s="501"/>
    </row>
    <row r="28" spans="1:18" x14ac:dyDescent="0.2">
      <c r="A28" s="502" t="s">
        <v>41</v>
      </c>
      <c r="B28" s="502"/>
      <c r="C28" s="502" t="s">
        <v>42</v>
      </c>
      <c r="D28" s="502" t="s">
        <v>43</v>
      </c>
      <c r="E28" s="502"/>
      <c r="F28" s="502" t="s">
        <v>44</v>
      </c>
      <c r="H28" s="481"/>
      <c r="M28" s="471"/>
      <c r="N28" s="503" t="s">
        <v>338</v>
      </c>
      <c r="O28" s="504">
        <v>0.82089552238805974</v>
      </c>
    </row>
    <row r="29" spans="1:18" x14ac:dyDescent="0.2">
      <c r="A29" s="468" t="s">
        <v>46</v>
      </c>
      <c r="B29" s="472" t="s">
        <v>252</v>
      </c>
      <c r="H29" s="481"/>
      <c r="M29" s="471"/>
      <c r="N29" s="503" t="s">
        <v>365</v>
      </c>
      <c r="O29" s="504">
        <v>8.2089552238805971E-2</v>
      </c>
    </row>
    <row r="30" spans="1:18" x14ac:dyDescent="0.2">
      <c r="A30" s="468" t="s">
        <v>208</v>
      </c>
      <c r="B30" s="468">
        <v>100</v>
      </c>
      <c r="C30" s="468" t="s">
        <v>49</v>
      </c>
      <c r="D30" s="481">
        <v>6</v>
      </c>
      <c r="F30" s="481">
        <v>1710</v>
      </c>
      <c r="M30" s="471"/>
      <c r="N30" s="503" t="s">
        <v>366</v>
      </c>
      <c r="O30" s="504">
        <v>5.9701492537313432E-2</v>
      </c>
    </row>
    <row r="31" spans="1:18" x14ac:dyDescent="0.2">
      <c r="A31" s="468" t="s">
        <v>50</v>
      </c>
      <c r="M31" s="471"/>
      <c r="N31" s="503" t="s">
        <v>196</v>
      </c>
      <c r="O31" s="504">
        <v>3.7313432835820892E-2</v>
      </c>
    </row>
    <row r="32" spans="1:18" x14ac:dyDescent="0.2">
      <c r="A32" s="468" t="s">
        <v>51</v>
      </c>
      <c r="C32" s="468" t="s">
        <v>52</v>
      </c>
      <c r="D32" s="481">
        <v>13</v>
      </c>
      <c r="F32" s="481">
        <v>1959</v>
      </c>
      <c r="M32" s="471"/>
      <c r="N32" s="503"/>
      <c r="O32" s="504">
        <v>1</v>
      </c>
    </row>
    <row r="33" spans="1:15" x14ac:dyDescent="0.2">
      <c r="A33" s="468" t="s">
        <v>340</v>
      </c>
      <c r="C33" s="468" t="s">
        <v>52</v>
      </c>
      <c r="D33" s="481">
        <v>6</v>
      </c>
      <c r="M33" s="471"/>
    </row>
    <row r="34" spans="1:15" x14ac:dyDescent="0.2">
      <c r="A34" s="468" t="s">
        <v>7</v>
      </c>
      <c r="C34" s="468" t="s">
        <v>52</v>
      </c>
      <c r="D34" s="481">
        <f>SUM(D32:D33)</f>
        <v>19</v>
      </c>
      <c r="M34" s="471"/>
      <c r="N34" s="505" t="s">
        <v>251</v>
      </c>
      <c r="O34" s="506">
        <v>3.19</v>
      </c>
    </row>
    <row r="35" spans="1:15" x14ac:dyDescent="0.2">
      <c r="A35" s="507" t="s">
        <v>93</v>
      </c>
      <c r="B35" s="472" t="s">
        <v>252</v>
      </c>
      <c r="C35" s="472"/>
      <c r="D35" s="472"/>
      <c r="E35" s="472"/>
      <c r="F35" s="472"/>
      <c r="M35" s="471"/>
      <c r="N35" s="505" t="s">
        <v>47</v>
      </c>
      <c r="O35" s="506">
        <v>5</v>
      </c>
    </row>
    <row r="36" spans="1:15" x14ac:dyDescent="0.2">
      <c r="A36" s="475" t="s">
        <v>367</v>
      </c>
      <c r="B36" s="508">
        <v>47</v>
      </c>
      <c r="C36" s="475" t="s">
        <v>49</v>
      </c>
      <c r="D36" s="508">
        <v>42</v>
      </c>
      <c r="E36" s="509"/>
      <c r="F36" s="509">
        <v>137</v>
      </c>
      <c r="M36" s="471"/>
    </row>
    <row r="37" spans="1:15" x14ac:dyDescent="0.2">
      <c r="A37" s="468" t="s">
        <v>368</v>
      </c>
      <c r="B37" s="509" t="s">
        <v>369</v>
      </c>
      <c r="C37" s="475"/>
      <c r="D37" s="509"/>
      <c r="E37" s="509"/>
      <c r="F37" s="509" t="s">
        <v>370</v>
      </c>
      <c r="I37" s="510"/>
      <c r="J37" s="511"/>
      <c r="M37" s="471"/>
    </row>
    <row r="38" spans="1:15" x14ac:dyDescent="0.2">
      <c r="J38" s="512"/>
      <c r="K38" s="510"/>
      <c r="L38" s="511"/>
      <c r="M38" s="471"/>
    </row>
    <row r="39" spans="1:15" x14ac:dyDescent="0.2">
      <c r="A39" s="513" t="s">
        <v>54</v>
      </c>
      <c r="B39" s="502"/>
      <c r="C39" s="502"/>
      <c r="D39" s="502"/>
      <c r="E39" s="502"/>
      <c r="F39" s="502" t="s">
        <v>159</v>
      </c>
      <c r="G39" s="502"/>
      <c r="H39" s="502" t="s">
        <v>55</v>
      </c>
      <c r="K39" s="514"/>
      <c r="M39" s="471"/>
    </row>
    <row r="40" spans="1:15" x14ac:dyDescent="0.2">
      <c r="A40" s="475" t="s">
        <v>133</v>
      </c>
      <c r="B40" s="475"/>
      <c r="C40" s="475"/>
      <c r="D40" s="475"/>
      <c r="E40" s="475"/>
      <c r="F40" s="515">
        <v>1063</v>
      </c>
      <c r="G40" s="475"/>
      <c r="H40" s="509">
        <f>+F40*2.471</f>
        <v>2626.6730000000002</v>
      </c>
      <c r="M40" s="471"/>
    </row>
    <row r="41" spans="1:15" x14ac:dyDescent="0.2">
      <c r="A41" s="475" t="s">
        <v>57</v>
      </c>
      <c r="B41" s="475"/>
      <c r="C41" s="475"/>
      <c r="D41" s="475"/>
      <c r="E41" s="475"/>
      <c r="F41" s="515">
        <v>90</v>
      </c>
      <c r="G41" s="475"/>
      <c r="H41" s="509"/>
      <c r="M41" s="471"/>
    </row>
    <row r="42" spans="1:15" x14ac:dyDescent="0.2">
      <c r="A42" s="475" t="s">
        <v>134</v>
      </c>
      <c r="B42" s="475"/>
      <c r="C42" s="475"/>
      <c r="D42" s="475"/>
      <c r="E42" s="475"/>
      <c r="F42" s="515">
        <f>SUM(F40*F41)</f>
        <v>95670</v>
      </c>
      <c r="G42" s="475"/>
      <c r="H42" s="509">
        <f t="shared" ref="H42:H44" si="1">+F42*2.471</f>
        <v>236400.57</v>
      </c>
      <c r="M42" s="471"/>
    </row>
    <row r="43" spans="1:15" x14ac:dyDescent="0.2">
      <c r="A43" s="475" t="s">
        <v>256</v>
      </c>
      <c r="B43" s="475"/>
      <c r="C43" s="475"/>
      <c r="D43" s="475"/>
      <c r="E43" s="475"/>
      <c r="F43" s="515">
        <f>SUM(F42-J22)</f>
        <v>17564</v>
      </c>
      <c r="G43" s="475"/>
      <c r="H43" s="509">
        <f t="shared" si="1"/>
        <v>43400.644</v>
      </c>
      <c r="M43" s="471"/>
    </row>
    <row r="44" spans="1:15" x14ac:dyDescent="0.2">
      <c r="A44" s="475" t="s">
        <v>257</v>
      </c>
      <c r="B44" s="475"/>
      <c r="C44" s="475"/>
      <c r="D44" s="475"/>
      <c r="E44" s="475"/>
      <c r="F44" s="515">
        <f>SUM(F42-J23)</f>
        <v>30814</v>
      </c>
      <c r="G44" s="475"/>
      <c r="H44" s="509">
        <f t="shared" si="1"/>
        <v>76141.394</v>
      </c>
      <c r="M44" s="471"/>
    </row>
    <row r="45" spans="1:15" x14ac:dyDescent="0.2">
      <c r="A45" s="475" t="s">
        <v>160</v>
      </c>
      <c r="B45" s="475"/>
      <c r="C45" s="475"/>
      <c r="D45" s="475"/>
      <c r="E45" s="475"/>
      <c r="F45" s="515">
        <f>SUM(J22/F40)</f>
        <v>73.476952022577606</v>
      </c>
      <c r="G45" s="475"/>
      <c r="H45" s="475"/>
      <c r="M45" s="471"/>
    </row>
    <row r="46" spans="1:15" x14ac:dyDescent="0.2">
      <c r="A46" s="478" t="s">
        <v>161</v>
      </c>
      <c r="B46" s="478"/>
      <c r="C46" s="478"/>
      <c r="D46" s="478"/>
      <c r="E46" s="478"/>
      <c r="F46" s="516">
        <f>SUM(J23/F40)</f>
        <v>61.012229539040455</v>
      </c>
      <c r="G46" s="478"/>
      <c r="H46" s="478"/>
      <c r="M46" s="471"/>
    </row>
    <row r="47" spans="1:15" x14ac:dyDescent="0.2">
      <c r="A47" s="468" t="s">
        <v>63</v>
      </c>
      <c r="B47" s="468" t="s">
        <v>371</v>
      </c>
      <c r="M47" s="471"/>
    </row>
    <row r="48" spans="1:15" x14ac:dyDescent="0.2">
      <c r="A48" s="499"/>
      <c r="B48" s="499"/>
      <c r="C48" s="499"/>
      <c r="D48" s="499"/>
      <c r="M48" s="471"/>
    </row>
    <row r="49" spans="1:13" x14ac:dyDescent="0.2">
      <c r="M49" s="471"/>
    </row>
    <row r="50" spans="1:13" ht="12.75" x14ac:dyDescent="0.2">
      <c r="A50" s="517" t="s">
        <v>372</v>
      </c>
      <c r="M50" s="471"/>
    </row>
    <row r="51" spans="1:13" x14ac:dyDescent="0.2">
      <c r="A51" s="518" t="s">
        <v>373</v>
      </c>
      <c r="M51" s="471"/>
    </row>
    <row r="56" spans="1:13" x14ac:dyDescent="0.2">
      <c r="F56" s="468" t="s">
        <v>64</v>
      </c>
    </row>
  </sheetData>
  <mergeCells count="1">
    <mergeCell ref="N27:O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workbookViewId="0">
      <selection activeCell="P43" sqref="P43"/>
    </sheetView>
  </sheetViews>
  <sheetFormatPr defaultColWidth="9.140625" defaultRowHeight="12" x14ac:dyDescent="0.2"/>
  <cols>
    <col min="1" max="1" width="6.7109375" style="519" customWidth="1"/>
    <col min="2" max="2" width="5" style="519" customWidth="1"/>
    <col min="3" max="3" width="9.85546875" style="519" customWidth="1"/>
    <col min="4" max="4" width="6.42578125" style="519" customWidth="1"/>
    <col min="5" max="5" width="7.85546875" style="519" customWidth="1"/>
    <col min="6" max="6" width="4.28515625" style="519" customWidth="1"/>
    <col min="7" max="7" width="8.5703125" style="519" customWidth="1"/>
    <col min="8" max="9" width="7.28515625" style="1" customWidth="1"/>
    <col min="10" max="11" width="7.5703125" style="1" customWidth="1"/>
    <col min="12" max="12" width="4" style="519" customWidth="1"/>
    <col min="13" max="13" width="4.5703125" style="519" customWidth="1"/>
    <col min="14" max="14" width="9.140625" style="519"/>
    <col min="15" max="15" width="13.140625" style="519" customWidth="1"/>
    <col min="16" max="16" width="9.140625" style="519"/>
    <col min="17" max="17" width="16.5703125" style="519" customWidth="1"/>
    <col min="18" max="18" width="13" style="519" customWidth="1"/>
    <col min="19" max="19" width="8" style="519" customWidth="1"/>
    <col min="20" max="16384" width="9.140625" style="519"/>
  </cols>
  <sheetData>
    <row r="1" spans="1:19" x14ac:dyDescent="0.2">
      <c r="A1" s="519" t="s">
        <v>0</v>
      </c>
      <c r="B1" s="519" t="s">
        <v>374</v>
      </c>
    </row>
    <row r="2" spans="1:19" ht="18.75" x14ac:dyDescent="0.3">
      <c r="B2" s="519" t="s">
        <v>375</v>
      </c>
      <c r="N2" s="3"/>
      <c r="O2" s="520" t="s">
        <v>288</v>
      </c>
    </row>
    <row r="3" spans="1:19" ht="18.75" x14ac:dyDescent="0.3">
      <c r="B3" s="519" t="s">
        <v>376</v>
      </c>
      <c r="N3" s="3"/>
      <c r="O3" s="521">
        <v>44780</v>
      </c>
    </row>
    <row r="4" spans="1:19" x14ac:dyDescent="0.2">
      <c r="A4" s="522" t="s">
        <v>5</v>
      </c>
      <c r="B4" s="522"/>
      <c r="C4" s="522"/>
      <c r="D4" s="523" t="s">
        <v>377</v>
      </c>
      <c r="E4" s="524" t="s">
        <v>7</v>
      </c>
      <c r="F4" s="524" t="s">
        <v>8</v>
      </c>
      <c r="G4" s="524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525" t="s">
        <v>14</v>
      </c>
      <c r="M4" s="524"/>
      <c r="N4" s="3"/>
    </row>
    <row r="5" spans="1:19" x14ac:dyDescent="0.2">
      <c r="A5" s="526"/>
      <c r="B5" s="526"/>
      <c r="C5" s="526"/>
      <c r="D5" s="527"/>
      <c r="E5" s="528" t="s">
        <v>16</v>
      </c>
      <c r="F5" s="528" t="s">
        <v>16</v>
      </c>
      <c r="G5" s="528" t="s">
        <v>17</v>
      </c>
      <c r="H5" s="9" t="s">
        <v>18</v>
      </c>
      <c r="I5" s="9" t="s">
        <v>19</v>
      </c>
      <c r="J5" s="9" t="s">
        <v>18</v>
      </c>
      <c r="K5" s="9" t="s">
        <v>18</v>
      </c>
      <c r="L5" s="529" t="s">
        <v>11</v>
      </c>
      <c r="M5" s="528" t="s">
        <v>12</v>
      </c>
      <c r="N5" s="3"/>
    </row>
    <row r="6" spans="1:19" x14ac:dyDescent="0.2">
      <c r="A6" s="526"/>
      <c r="B6" s="526"/>
      <c r="C6" s="526"/>
      <c r="D6" s="528"/>
      <c r="E6" s="528"/>
      <c r="F6" s="528"/>
      <c r="G6" s="528"/>
      <c r="H6" s="9" t="s">
        <v>21</v>
      </c>
      <c r="I6" s="9" t="s">
        <v>18</v>
      </c>
      <c r="J6" s="9" t="s">
        <v>21</v>
      </c>
      <c r="K6" s="9" t="s">
        <v>21</v>
      </c>
      <c r="L6" s="528"/>
      <c r="M6" s="528"/>
      <c r="N6" s="3"/>
    </row>
    <row r="7" spans="1:19" x14ac:dyDescent="0.2">
      <c r="A7" s="530"/>
      <c r="B7" s="530"/>
      <c r="C7" s="530"/>
      <c r="D7" s="531"/>
      <c r="E7" s="531"/>
      <c r="F7" s="531"/>
      <c r="G7" s="531"/>
      <c r="H7" s="12"/>
      <c r="I7" s="12" t="s">
        <v>21</v>
      </c>
      <c r="J7" s="12"/>
      <c r="K7" s="12"/>
      <c r="L7" s="531"/>
      <c r="M7" s="531"/>
      <c r="N7" s="3"/>
      <c r="R7" s="519" t="s">
        <v>378</v>
      </c>
      <c r="S7" s="519" t="s">
        <v>68</v>
      </c>
    </row>
    <row r="8" spans="1:19" ht="12.75" x14ac:dyDescent="0.2">
      <c r="A8" s="519" t="s">
        <v>71</v>
      </c>
      <c r="D8" s="532">
        <v>72</v>
      </c>
      <c r="E8" s="533">
        <v>1.26</v>
      </c>
      <c r="F8" s="533">
        <v>0.62</v>
      </c>
      <c r="G8" s="534">
        <v>1680</v>
      </c>
      <c r="H8" s="14">
        <v>2117</v>
      </c>
      <c r="J8" s="14"/>
      <c r="K8" s="14">
        <f>SUM(H8:J8)</f>
        <v>2117</v>
      </c>
      <c r="N8" s="3"/>
      <c r="P8" s="535">
        <v>2116.8000000000002</v>
      </c>
      <c r="Q8" s="54" t="s">
        <v>379</v>
      </c>
      <c r="R8" s="360">
        <v>2.2999999999999998</v>
      </c>
      <c r="S8" s="533">
        <v>2.3551324503311259</v>
      </c>
    </row>
    <row r="9" spans="1:19" ht="12.75" x14ac:dyDescent="0.2">
      <c r="A9" s="519" t="s">
        <v>380</v>
      </c>
      <c r="D9" s="532">
        <v>100</v>
      </c>
      <c r="E9" s="533">
        <v>0.47</v>
      </c>
      <c r="F9" s="533">
        <v>0.47</v>
      </c>
      <c r="G9" s="534">
        <v>1600</v>
      </c>
      <c r="H9" s="14">
        <f t="shared" ref="H9:H17" si="0">+E9*G9</f>
        <v>752</v>
      </c>
      <c r="I9" s="14">
        <v>10464</v>
      </c>
      <c r="J9" s="14"/>
      <c r="K9" s="14">
        <f t="shared" ref="K9:K19" si="1">SUM(H9:J9)</f>
        <v>11216</v>
      </c>
      <c r="N9" s="3"/>
      <c r="P9" s="535">
        <v>752</v>
      </c>
      <c r="Q9" s="54" t="s">
        <v>381</v>
      </c>
      <c r="R9" s="360">
        <v>0.6</v>
      </c>
      <c r="S9" s="533">
        <v>0.59602649006622521</v>
      </c>
    </row>
    <row r="10" spans="1:19" ht="12.75" x14ac:dyDescent="0.2">
      <c r="A10" s="519" t="s">
        <v>382</v>
      </c>
      <c r="D10" s="532">
        <v>100</v>
      </c>
      <c r="E10" s="533">
        <v>0.5</v>
      </c>
      <c r="F10" s="533">
        <v>0.5</v>
      </c>
      <c r="G10" s="534">
        <v>1600</v>
      </c>
      <c r="H10" s="14">
        <f t="shared" si="0"/>
        <v>800</v>
      </c>
      <c r="I10" s="14">
        <v>2947</v>
      </c>
      <c r="J10" s="14"/>
      <c r="K10" s="14">
        <f t="shared" si="1"/>
        <v>3747</v>
      </c>
      <c r="N10" s="3"/>
      <c r="P10" s="535">
        <v>0</v>
      </c>
      <c r="Q10" s="54" t="s">
        <v>383</v>
      </c>
      <c r="R10" s="360"/>
      <c r="S10" s="533">
        <v>0</v>
      </c>
    </row>
    <row r="11" spans="1:19" ht="12.75" x14ac:dyDescent="0.2">
      <c r="A11" s="519" t="s">
        <v>384</v>
      </c>
      <c r="D11" s="532">
        <v>100</v>
      </c>
      <c r="E11" s="533">
        <v>2.09</v>
      </c>
      <c r="F11" s="533">
        <v>0.72</v>
      </c>
      <c r="G11" s="534">
        <v>1515</v>
      </c>
      <c r="H11" s="14">
        <v>3166</v>
      </c>
      <c r="I11" s="14"/>
      <c r="J11" s="14">
        <f>+E28*G28</f>
        <v>9493</v>
      </c>
      <c r="K11" s="14">
        <f t="shared" si="1"/>
        <v>12659</v>
      </c>
      <c r="N11" s="3"/>
      <c r="P11" s="535">
        <v>3166.35</v>
      </c>
      <c r="Q11" s="54" t="s">
        <v>385</v>
      </c>
      <c r="R11" s="360">
        <v>3.2</v>
      </c>
      <c r="S11" s="533">
        <v>3.0745033112582782</v>
      </c>
    </row>
    <row r="12" spans="1:19" ht="12.75" x14ac:dyDescent="0.2">
      <c r="A12" s="536" t="s">
        <v>79</v>
      </c>
      <c r="D12" s="537" t="s">
        <v>386</v>
      </c>
      <c r="E12" s="538">
        <v>1.1499999999999999</v>
      </c>
      <c r="F12" s="539">
        <v>0.98</v>
      </c>
      <c r="G12" s="540">
        <v>1667</v>
      </c>
      <c r="H12" s="541">
        <v>1917</v>
      </c>
      <c r="I12" s="14"/>
      <c r="J12" s="542" t="s">
        <v>387</v>
      </c>
      <c r="K12" s="543">
        <f>+J13+H12</f>
        <v>5575</v>
      </c>
      <c r="N12" s="3"/>
      <c r="P12" s="535">
        <v>1917.05</v>
      </c>
      <c r="Q12" s="54" t="s">
        <v>270</v>
      </c>
      <c r="R12" s="360">
        <v>2.1</v>
      </c>
      <c r="S12" s="533">
        <v>2.1332781456953644</v>
      </c>
    </row>
    <row r="13" spans="1:19" ht="12.75" x14ac:dyDescent="0.2">
      <c r="A13" s="536" t="s">
        <v>80</v>
      </c>
      <c r="D13" s="532">
        <v>89</v>
      </c>
      <c r="E13" s="538"/>
      <c r="F13" s="539"/>
      <c r="G13" s="540"/>
      <c r="H13" s="541"/>
      <c r="I13" s="14"/>
      <c r="J13" s="14">
        <f>+E39*G39+E40*G40</f>
        <v>3658</v>
      </c>
      <c r="K13" s="543"/>
      <c r="N13" s="3"/>
      <c r="P13" s="535">
        <v>0</v>
      </c>
      <c r="Q13" s="54"/>
      <c r="R13" s="360"/>
      <c r="S13" s="533"/>
    </row>
    <row r="14" spans="1:19" ht="12.75" x14ac:dyDescent="0.2">
      <c r="A14" s="526" t="s">
        <v>25</v>
      </c>
      <c r="B14" s="526"/>
      <c r="C14" s="526"/>
      <c r="D14" s="544">
        <v>44</v>
      </c>
      <c r="E14" s="545">
        <v>2.81</v>
      </c>
      <c r="F14" s="545">
        <v>2.31</v>
      </c>
      <c r="G14" s="546">
        <v>1725</v>
      </c>
      <c r="H14" s="14">
        <v>4847</v>
      </c>
      <c r="I14" s="547"/>
      <c r="J14" s="547"/>
      <c r="K14" s="14">
        <f t="shared" si="1"/>
        <v>4847</v>
      </c>
      <c r="L14" s="526"/>
      <c r="M14" s="526"/>
      <c r="N14" s="3"/>
      <c r="P14" s="535">
        <v>4847.25</v>
      </c>
      <c r="Q14" s="54" t="s">
        <v>149</v>
      </c>
      <c r="R14" s="360">
        <v>0.5</v>
      </c>
      <c r="S14" s="533">
        <v>0.31539735099337746</v>
      </c>
    </row>
    <row r="15" spans="1:19" ht="12.75" x14ac:dyDescent="0.2">
      <c r="A15" s="519" t="s">
        <v>149</v>
      </c>
      <c r="D15" s="532">
        <v>78</v>
      </c>
      <c r="E15" s="533">
        <v>0.3</v>
      </c>
      <c r="F15" s="533">
        <v>0.17</v>
      </c>
      <c r="G15" s="534">
        <v>1856</v>
      </c>
      <c r="H15" s="14">
        <v>557</v>
      </c>
      <c r="I15" s="14"/>
      <c r="J15" s="14">
        <v>2950</v>
      </c>
      <c r="K15" s="14">
        <f t="shared" si="1"/>
        <v>3507</v>
      </c>
      <c r="N15" s="3"/>
      <c r="P15" s="535">
        <v>556.79999999999995</v>
      </c>
      <c r="Q15" s="54" t="s">
        <v>25</v>
      </c>
      <c r="R15" s="360">
        <v>4.2</v>
      </c>
      <c r="S15" s="533">
        <v>3.6506622516556293</v>
      </c>
    </row>
    <row r="16" spans="1:19" ht="12.75" x14ac:dyDescent="0.2">
      <c r="A16" s="54" t="s">
        <v>388</v>
      </c>
      <c r="D16" s="548" t="s">
        <v>389</v>
      </c>
      <c r="E16" s="533"/>
      <c r="F16" s="533"/>
      <c r="G16" s="534"/>
      <c r="H16" s="549" t="s">
        <v>390</v>
      </c>
      <c r="I16" s="542" t="s">
        <v>391</v>
      </c>
      <c r="J16" s="14"/>
      <c r="K16" s="14"/>
      <c r="N16" s="3"/>
      <c r="P16" s="535">
        <v>0</v>
      </c>
      <c r="Q16" s="54"/>
      <c r="R16" s="360"/>
      <c r="S16" s="533"/>
    </row>
    <row r="17" spans="1:19" ht="12.75" x14ac:dyDescent="0.2">
      <c r="A17" s="519" t="s">
        <v>392</v>
      </c>
      <c r="D17" s="532">
        <v>100</v>
      </c>
      <c r="E17" s="533">
        <v>4.09</v>
      </c>
      <c r="F17" s="533">
        <v>0.66</v>
      </c>
      <c r="G17" s="534">
        <v>1600</v>
      </c>
      <c r="H17" s="14">
        <f t="shared" si="0"/>
        <v>6544</v>
      </c>
      <c r="I17" s="14"/>
      <c r="J17" s="14"/>
      <c r="K17" s="14">
        <f t="shared" si="1"/>
        <v>6544</v>
      </c>
      <c r="N17" s="3"/>
      <c r="P17" s="535">
        <v>6544</v>
      </c>
      <c r="Q17" s="54" t="s">
        <v>388</v>
      </c>
      <c r="R17" s="360">
        <v>0.3</v>
      </c>
      <c r="S17" s="533">
        <v>0.21026490066225165</v>
      </c>
    </row>
    <row r="18" spans="1:19" ht="12.75" x14ac:dyDescent="0.2">
      <c r="A18" s="519" t="s">
        <v>393</v>
      </c>
      <c r="D18" s="532">
        <v>100</v>
      </c>
      <c r="E18" s="533">
        <v>1.27</v>
      </c>
      <c r="F18" s="533">
        <v>0.57999999999999996</v>
      </c>
      <c r="G18" s="534">
        <v>1619</v>
      </c>
      <c r="H18" s="14">
        <v>2056</v>
      </c>
      <c r="I18" s="14">
        <v>2191</v>
      </c>
      <c r="J18" s="14"/>
      <c r="K18" s="14">
        <f t="shared" si="1"/>
        <v>4247</v>
      </c>
      <c r="N18" s="3"/>
      <c r="P18" s="535">
        <v>2056.13</v>
      </c>
      <c r="Q18" s="54" t="s">
        <v>27</v>
      </c>
      <c r="R18" s="360">
        <v>6</v>
      </c>
      <c r="S18" s="533">
        <v>5.9966887417218544</v>
      </c>
    </row>
    <row r="19" spans="1:19" ht="12.75" x14ac:dyDescent="0.2">
      <c r="A19" s="519" t="s">
        <v>394</v>
      </c>
      <c r="D19" s="532">
        <v>44</v>
      </c>
      <c r="E19" s="533">
        <v>0.25</v>
      </c>
      <c r="F19" s="533">
        <v>0.25</v>
      </c>
      <c r="G19" s="534">
        <v>1515</v>
      </c>
      <c r="H19" s="14">
        <v>379</v>
      </c>
      <c r="I19" s="14">
        <v>1308</v>
      </c>
      <c r="J19" s="14"/>
      <c r="K19" s="14">
        <f t="shared" si="1"/>
        <v>1687</v>
      </c>
      <c r="N19" s="3"/>
      <c r="P19" s="535">
        <v>378.75</v>
      </c>
      <c r="Q19" s="54" t="s">
        <v>395</v>
      </c>
      <c r="R19" s="360">
        <v>1.25</v>
      </c>
      <c r="S19" s="533">
        <v>1.4536423841059603</v>
      </c>
    </row>
    <row r="20" spans="1:19" s="555" customFormat="1" ht="12.75" x14ac:dyDescent="0.2">
      <c r="A20" s="550" t="s">
        <v>31</v>
      </c>
      <c r="B20" s="550"/>
      <c r="C20" s="550"/>
      <c r="D20" s="551"/>
      <c r="E20" s="552">
        <f>SUM(E8:E19)</f>
        <v>14.190000000000001</v>
      </c>
      <c r="F20" s="552">
        <f>SUM(F8:F19)</f>
        <v>7.26</v>
      </c>
      <c r="G20" s="552"/>
      <c r="H20" s="553">
        <f>SUM(H8:H19)</f>
        <v>23135</v>
      </c>
      <c r="I20" s="553">
        <f t="shared" ref="I20:M20" si="2">SUM(I8:I19)</f>
        <v>16910</v>
      </c>
      <c r="J20" s="553">
        <f t="shared" si="2"/>
        <v>16101</v>
      </c>
      <c r="K20" s="553">
        <f t="shared" si="2"/>
        <v>56146</v>
      </c>
      <c r="L20" s="553">
        <f t="shared" si="2"/>
        <v>0</v>
      </c>
      <c r="M20" s="553">
        <f t="shared" si="2"/>
        <v>0</v>
      </c>
      <c r="N20" s="554"/>
      <c r="Q20" s="54" t="s">
        <v>278</v>
      </c>
      <c r="R20" s="360">
        <v>0.25</v>
      </c>
      <c r="S20" s="533">
        <v>0.20695364238410596</v>
      </c>
    </row>
    <row r="21" spans="1:19" s="555" customFormat="1" x14ac:dyDescent="0.2">
      <c r="A21" s="556" t="s">
        <v>34</v>
      </c>
      <c r="B21" s="556"/>
      <c r="C21" s="556"/>
      <c r="D21" s="557"/>
      <c r="E21" s="558">
        <f>SUM(E20-F20)</f>
        <v>6.9300000000000015</v>
      </c>
      <c r="F21" s="558"/>
      <c r="G21" s="558"/>
      <c r="H21" s="559">
        <f>SUM(E32*G32)</f>
        <v>11571</v>
      </c>
      <c r="I21" s="559">
        <f>I20-L20</f>
        <v>16910</v>
      </c>
      <c r="J21" s="559">
        <f>J20-M20</f>
        <v>16101</v>
      </c>
      <c r="K21" s="559">
        <f>SUM(H21:J21)</f>
        <v>44582</v>
      </c>
      <c r="L21" s="556"/>
      <c r="M21" s="556"/>
      <c r="N21" s="554"/>
    </row>
    <row r="22" spans="1:19" x14ac:dyDescent="0.2">
      <c r="N22" s="3"/>
    </row>
    <row r="23" spans="1:19" x14ac:dyDescent="0.2">
      <c r="C23" s="519" t="s">
        <v>37</v>
      </c>
      <c r="N23" s="3"/>
    </row>
    <row r="24" spans="1:19" x14ac:dyDescent="0.2">
      <c r="N24" s="3"/>
      <c r="Q24" s="560" t="s">
        <v>396</v>
      </c>
      <c r="R24" s="561" t="s">
        <v>188</v>
      </c>
    </row>
    <row r="25" spans="1:19" x14ac:dyDescent="0.2">
      <c r="A25" s="519" t="s">
        <v>40</v>
      </c>
      <c r="N25" s="3"/>
      <c r="Q25" s="560" t="s">
        <v>397</v>
      </c>
      <c r="R25" s="562">
        <f>13*100/18</f>
        <v>72.222222222222229</v>
      </c>
    </row>
    <row r="26" spans="1:19" x14ac:dyDescent="0.2">
      <c r="A26" s="563" t="s">
        <v>41</v>
      </c>
      <c r="B26" s="563"/>
      <c r="C26" s="563"/>
      <c r="D26" s="563" t="s">
        <v>42</v>
      </c>
      <c r="E26" s="563" t="s">
        <v>43</v>
      </c>
      <c r="F26" s="563"/>
      <c r="G26" s="563" t="s">
        <v>44</v>
      </c>
      <c r="N26" s="564"/>
      <c r="Q26" s="560" t="s">
        <v>398</v>
      </c>
      <c r="R26" s="562">
        <f>2*100/18</f>
        <v>11.111111111111111</v>
      </c>
    </row>
    <row r="27" spans="1:19" x14ac:dyDescent="0.2">
      <c r="A27" s="519" t="s">
        <v>46</v>
      </c>
      <c r="N27" s="565"/>
      <c r="Q27" s="560" t="s">
        <v>399</v>
      </c>
      <c r="R27" s="562">
        <f>3*100/18</f>
        <v>16.666666666666668</v>
      </c>
    </row>
    <row r="28" spans="1:19" x14ac:dyDescent="0.2">
      <c r="A28" s="566" t="s">
        <v>153</v>
      </c>
      <c r="D28" s="519" t="s">
        <v>49</v>
      </c>
      <c r="E28" s="14">
        <v>5.5</v>
      </c>
      <c r="F28" s="1"/>
      <c r="G28" s="14">
        <v>1726</v>
      </c>
      <c r="N28" s="3"/>
      <c r="Q28" s="8"/>
      <c r="R28" s="567"/>
    </row>
    <row r="29" spans="1:19" x14ac:dyDescent="0.2">
      <c r="E29" s="533"/>
      <c r="G29" s="535"/>
      <c r="N29" s="3"/>
      <c r="Q29" s="1"/>
      <c r="R29" s="1"/>
    </row>
    <row r="30" spans="1:19" x14ac:dyDescent="0.2">
      <c r="N30" s="3"/>
      <c r="Q30" s="568" t="s">
        <v>45</v>
      </c>
      <c r="R30" s="568">
        <v>4.1900000000000004</v>
      </c>
    </row>
    <row r="31" spans="1:19" x14ac:dyDescent="0.2">
      <c r="A31" s="519" t="s">
        <v>50</v>
      </c>
      <c r="N31" s="3"/>
      <c r="Q31" s="568" t="s">
        <v>47</v>
      </c>
      <c r="R31" s="568">
        <v>2</v>
      </c>
    </row>
    <row r="32" spans="1:19" x14ac:dyDescent="0.2">
      <c r="A32" s="519" t="s">
        <v>122</v>
      </c>
      <c r="D32" s="519" t="s">
        <v>52</v>
      </c>
      <c r="E32" s="533">
        <v>7</v>
      </c>
      <c r="G32" s="533">
        <v>1653</v>
      </c>
      <c r="N32" s="3"/>
    </row>
    <row r="33" spans="1:14" x14ac:dyDescent="0.2">
      <c r="A33" s="519" t="s">
        <v>124</v>
      </c>
      <c r="D33" s="519" t="s">
        <v>52</v>
      </c>
      <c r="E33" s="533">
        <v>7</v>
      </c>
      <c r="N33" s="3"/>
    </row>
    <row r="34" spans="1:14" x14ac:dyDescent="0.2">
      <c r="A34" s="519" t="s">
        <v>7</v>
      </c>
      <c r="E34" s="533">
        <v>14</v>
      </c>
      <c r="K34" s="569"/>
      <c r="N34" s="3"/>
    </row>
    <row r="35" spans="1:14" x14ac:dyDescent="0.2">
      <c r="N35" s="3"/>
    </row>
    <row r="36" spans="1:14" x14ac:dyDescent="0.2">
      <c r="A36" s="522" t="s">
        <v>93</v>
      </c>
      <c r="B36" s="522"/>
      <c r="C36" s="522" t="s">
        <v>94</v>
      </c>
      <c r="D36" s="522"/>
      <c r="E36" s="522"/>
      <c r="F36" s="522"/>
      <c r="G36" s="522"/>
      <c r="N36" s="3"/>
    </row>
    <row r="37" spans="1:14" x14ac:dyDescent="0.2">
      <c r="A37" s="536" t="s">
        <v>400</v>
      </c>
      <c r="B37" s="570"/>
      <c r="C37" s="571"/>
      <c r="D37" s="572"/>
      <c r="E37" s="526"/>
      <c r="F37" s="526"/>
      <c r="G37" s="545"/>
      <c r="N37" s="3"/>
    </row>
    <row r="38" spans="1:14" x14ac:dyDescent="0.2">
      <c r="A38" s="536" t="s">
        <v>98</v>
      </c>
      <c r="B38" s="570"/>
      <c r="C38" s="573" t="s">
        <v>386</v>
      </c>
      <c r="D38" s="572"/>
      <c r="E38" s="574" t="s">
        <v>401</v>
      </c>
      <c r="F38" s="526"/>
      <c r="G38" s="575" t="s">
        <v>402</v>
      </c>
      <c r="N38" s="3"/>
    </row>
    <row r="39" spans="1:14" x14ac:dyDescent="0.2">
      <c r="A39" s="572" t="s">
        <v>210</v>
      </c>
      <c r="B39" s="570"/>
      <c r="C39" s="571">
        <v>89</v>
      </c>
      <c r="D39" s="572" t="s">
        <v>96</v>
      </c>
      <c r="E39" s="547">
        <v>52</v>
      </c>
      <c r="F39" s="8"/>
      <c r="G39" s="547">
        <v>34</v>
      </c>
      <c r="N39" s="3"/>
    </row>
    <row r="40" spans="1:14" x14ac:dyDescent="0.2">
      <c r="A40" s="8" t="s">
        <v>97</v>
      </c>
      <c r="B40" s="570"/>
      <c r="C40" s="573">
        <v>72</v>
      </c>
      <c r="D40" s="572" t="s">
        <v>96</v>
      </c>
      <c r="E40" s="526">
        <v>30</v>
      </c>
      <c r="F40" s="526"/>
      <c r="G40" s="526">
        <v>63</v>
      </c>
      <c r="N40" s="3"/>
    </row>
    <row r="41" spans="1:14" x14ac:dyDescent="0.2">
      <c r="A41" s="536"/>
      <c r="B41" s="570"/>
      <c r="C41" s="571"/>
      <c r="D41" s="572"/>
      <c r="E41" s="526"/>
      <c r="F41" s="526"/>
      <c r="G41" s="526"/>
      <c r="N41" s="3"/>
    </row>
    <row r="42" spans="1:14" x14ac:dyDescent="0.2">
      <c r="A42" s="576" t="s">
        <v>54</v>
      </c>
      <c r="B42" s="576"/>
      <c r="C42" s="522"/>
      <c r="D42" s="522"/>
      <c r="E42" s="522"/>
      <c r="F42" s="522"/>
      <c r="G42" s="522"/>
      <c r="L42" s="577"/>
      <c r="N42" s="3"/>
    </row>
    <row r="43" spans="1:14" s="555" customFormat="1" x14ac:dyDescent="0.2">
      <c r="A43" s="578" t="s">
        <v>56</v>
      </c>
      <c r="B43" s="578"/>
      <c r="C43" s="578"/>
      <c r="E43" s="579">
        <v>669</v>
      </c>
      <c r="F43" s="578"/>
      <c r="G43" s="580">
        <f>+E43*2.471</f>
        <v>1653.0990000000002</v>
      </c>
      <c r="H43" s="581"/>
      <c r="I43" s="581"/>
      <c r="J43" s="581"/>
      <c r="K43" s="581"/>
      <c r="N43" s="554"/>
    </row>
    <row r="44" spans="1:14" s="555" customFormat="1" x14ac:dyDescent="0.2">
      <c r="A44" s="578" t="s">
        <v>57</v>
      </c>
      <c r="B44" s="578"/>
      <c r="C44" s="578"/>
      <c r="E44" s="578">
        <v>100</v>
      </c>
      <c r="F44" s="578"/>
      <c r="G44" s="580"/>
      <c r="H44" s="581"/>
      <c r="I44" s="581"/>
      <c r="J44" s="581"/>
      <c r="K44" s="581"/>
      <c r="N44" s="554"/>
    </row>
    <row r="45" spans="1:14" s="555" customFormat="1" x14ac:dyDescent="0.2">
      <c r="A45" s="578" t="s">
        <v>58</v>
      </c>
      <c r="B45" s="578"/>
      <c r="C45" s="578"/>
      <c r="E45" s="582">
        <f>E43*E44</f>
        <v>66900</v>
      </c>
      <c r="F45" s="578"/>
      <c r="G45" s="580">
        <f t="shared" ref="G45:G47" si="3">+E45*2.471</f>
        <v>165309.9</v>
      </c>
      <c r="H45" s="581"/>
      <c r="I45" s="581"/>
      <c r="J45" s="581"/>
      <c r="K45" s="581"/>
      <c r="N45" s="554"/>
    </row>
    <row r="46" spans="1:14" s="555" customFormat="1" x14ac:dyDescent="0.2">
      <c r="A46" s="578" t="s">
        <v>59</v>
      </c>
      <c r="B46" s="578"/>
      <c r="C46" s="578"/>
      <c r="E46" s="583">
        <f>E45-K20</f>
        <v>10754</v>
      </c>
      <c r="F46" s="578"/>
      <c r="G46" s="580">
        <f t="shared" si="3"/>
        <v>26573.134000000002</v>
      </c>
      <c r="H46" s="581"/>
      <c r="I46" s="581"/>
      <c r="J46" s="581"/>
      <c r="K46" s="581"/>
      <c r="N46" s="554"/>
    </row>
    <row r="47" spans="1:14" s="555" customFormat="1" x14ac:dyDescent="0.2">
      <c r="A47" s="578" t="s">
        <v>60</v>
      </c>
      <c r="B47" s="578"/>
      <c r="C47" s="578"/>
      <c r="E47" s="583">
        <f>E45-K21</f>
        <v>22318</v>
      </c>
      <c r="F47" s="578"/>
      <c r="G47" s="580">
        <f t="shared" si="3"/>
        <v>55147.777999999998</v>
      </c>
      <c r="H47" s="581"/>
      <c r="I47" s="581"/>
      <c r="J47" s="581"/>
      <c r="K47" s="581"/>
      <c r="N47" s="554"/>
    </row>
    <row r="48" spans="1:14" s="555" customFormat="1" x14ac:dyDescent="0.2">
      <c r="A48" s="578" t="s">
        <v>160</v>
      </c>
      <c r="B48" s="578"/>
      <c r="C48" s="578"/>
      <c r="E48" s="583">
        <f>K20/E43</f>
        <v>83.925261584454404</v>
      </c>
      <c r="F48" s="578"/>
      <c r="G48" s="584"/>
      <c r="H48" s="581"/>
      <c r="I48" s="581"/>
      <c r="J48" s="581"/>
      <c r="K48" s="581"/>
      <c r="N48" s="554"/>
    </row>
    <row r="49" spans="1:14" s="555" customFormat="1" x14ac:dyDescent="0.2">
      <c r="A49" s="556" t="s">
        <v>161</v>
      </c>
      <c r="B49" s="556"/>
      <c r="C49" s="556"/>
      <c r="E49" s="559">
        <f>K21/E43</f>
        <v>66.639760837070256</v>
      </c>
      <c r="F49" s="556"/>
      <c r="G49" s="585"/>
      <c r="H49" s="581"/>
      <c r="I49" s="581"/>
      <c r="J49" s="581"/>
      <c r="K49" s="581"/>
      <c r="N49" s="554"/>
    </row>
    <row r="50" spans="1:14" s="577" customFormat="1" x14ac:dyDescent="0.2">
      <c r="H50" s="586"/>
      <c r="I50" s="586"/>
      <c r="J50" s="586"/>
      <c r="K50" s="586"/>
    </row>
    <row r="60" spans="1:14" x14ac:dyDescent="0.2">
      <c r="G60" s="519" t="s">
        <v>64</v>
      </c>
      <c r="H60" s="519"/>
      <c r="I60" s="519"/>
      <c r="J60" s="519"/>
      <c r="K60" s="519"/>
    </row>
  </sheetData>
  <mergeCells count="6">
    <mergeCell ref="D4:D5"/>
    <mergeCell ref="E12:E13"/>
    <mergeCell ref="F12:F13"/>
    <mergeCell ref="G12:G13"/>
    <mergeCell ref="H12:H13"/>
    <mergeCell ref="K12:K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selection activeCell="L37" sqref="L37"/>
    </sheetView>
  </sheetViews>
  <sheetFormatPr defaultRowHeight="14.25" x14ac:dyDescent="0.2"/>
  <cols>
    <col min="1" max="2" width="9.140625" style="587"/>
    <col min="3" max="6" width="9.28515625" style="587" bestFit="1" customWidth="1"/>
    <col min="7" max="7" width="10.28515625" style="587" bestFit="1" customWidth="1"/>
    <col min="8" max="8" width="9.5703125" style="587" bestFit="1" customWidth="1"/>
    <col min="9" max="9" width="11.140625" style="587" customWidth="1"/>
    <col min="10" max="11" width="9.5703125" style="587" bestFit="1" customWidth="1"/>
    <col min="12" max="12" width="9.28515625" style="587" bestFit="1" customWidth="1"/>
    <col min="13" max="13" width="8.7109375" style="587" customWidth="1"/>
    <col min="14" max="258" width="9.140625" style="587"/>
    <col min="259" max="262" width="9.28515625" style="587" bestFit="1" customWidth="1"/>
    <col min="263" max="263" width="10.28515625" style="587" bestFit="1" customWidth="1"/>
    <col min="264" max="264" width="9.5703125" style="587" bestFit="1" customWidth="1"/>
    <col min="265" max="265" width="11.140625" style="587" customWidth="1"/>
    <col min="266" max="267" width="9.5703125" style="587" bestFit="1" customWidth="1"/>
    <col min="268" max="268" width="9.28515625" style="587" bestFit="1" customWidth="1"/>
    <col min="269" max="269" width="8.7109375" style="587" customWidth="1"/>
    <col min="270" max="514" width="9.140625" style="587"/>
    <col min="515" max="518" width="9.28515625" style="587" bestFit="1" customWidth="1"/>
    <col min="519" max="519" width="10.28515625" style="587" bestFit="1" customWidth="1"/>
    <col min="520" max="520" width="9.5703125" style="587" bestFit="1" customWidth="1"/>
    <col min="521" max="521" width="11.140625" style="587" customWidth="1"/>
    <col min="522" max="523" width="9.5703125" style="587" bestFit="1" customWidth="1"/>
    <col min="524" max="524" width="9.28515625" style="587" bestFit="1" customWidth="1"/>
    <col min="525" max="525" width="8.7109375" style="587" customWidth="1"/>
    <col min="526" max="770" width="9.140625" style="587"/>
    <col min="771" max="774" width="9.28515625" style="587" bestFit="1" customWidth="1"/>
    <col min="775" max="775" width="10.28515625" style="587" bestFit="1" customWidth="1"/>
    <col min="776" max="776" width="9.5703125" style="587" bestFit="1" customWidth="1"/>
    <col min="777" max="777" width="11.140625" style="587" customWidth="1"/>
    <col min="778" max="779" width="9.5703125" style="587" bestFit="1" customWidth="1"/>
    <col min="780" max="780" width="9.28515625" style="587" bestFit="1" customWidth="1"/>
    <col min="781" max="781" width="8.7109375" style="587" customWidth="1"/>
    <col min="782" max="1026" width="9.140625" style="587"/>
    <col min="1027" max="1030" width="9.28515625" style="587" bestFit="1" customWidth="1"/>
    <col min="1031" max="1031" width="10.28515625" style="587" bestFit="1" customWidth="1"/>
    <col min="1032" max="1032" width="9.5703125" style="587" bestFit="1" customWidth="1"/>
    <col min="1033" max="1033" width="11.140625" style="587" customWidth="1"/>
    <col min="1034" max="1035" width="9.5703125" style="587" bestFit="1" customWidth="1"/>
    <col min="1036" max="1036" width="9.28515625" style="587" bestFit="1" customWidth="1"/>
    <col min="1037" max="1037" width="8.7109375" style="587" customWidth="1"/>
    <col min="1038" max="1282" width="9.140625" style="587"/>
    <col min="1283" max="1286" width="9.28515625" style="587" bestFit="1" customWidth="1"/>
    <col min="1287" max="1287" width="10.28515625" style="587" bestFit="1" customWidth="1"/>
    <col min="1288" max="1288" width="9.5703125" style="587" bestFit="1" customWidth="1"/>
    <col min="1289" max="1289" width="11.140625" style="587" customWidth="1"/>
    <col min="1290" max="1291" width="9.5703125" style="587" bestFit="1" customWidth="1"/>
    <col min="1292" max="1292" width="9.28515625" style="587" bestFit="1" customWidth="1"/>
    <col min="1293" max="1293" width="8.7109375" style="587" customWidth="1"/>
    <col min="1294" max="1538" width="9.140625" style="587"/>
    <col min="1539" max="1542" width="9.28515625" style="587" bestFit="1" customWidth="1"/>
    <col min="1543" max="1543" width="10.28515625" style="587" bestFit="1" customWidth="1"/>
    <col min="1544" max="1544" width="9.5703125" style="587" bestFit="1" customWidth="1"/>
    <col min="1545" max="1545" width="11.140625" style="587" customWidth="1"/>
    <col min="1546" max="1547" width="9.5703125" style="587" bestFit="1" customWidth="1"/>
    <col min="1548" max="1548" width="9.28515625" style="587" bestFit="1" customWidth="1"/>
    <col min="1549" max="1549" width="8.7109375" style="587" customWidth="1"/>
    <col min="1550" max="1794" width="9.140625" style="587"/>
    <col min="1795" max="1798" width="9.28515625" style="587" bestFit="1" customWidth="1"/>
    <col min="1799" max="1799" width="10.28515625" style="587" bestFit="1" customWidth="1"/>
    <col min="1800" max="1800" width="9.5703125" style="587" bestFit="1" customWidth="1"/>
    <col min="1801" max="1801" width="11.140625" style="587" customWidth="1"/>
    <col min="1802" max="1803" width="9.5703125" style="587" bestFit="1" customWidth="1"/>
    <col min="1804" max="1804" width="9.28515625" style="587" bestFit="1" customWidth="1"/>
    <col min="1805" max="1805" width="8.7109375" style="587" customWidth="1"/>
    <col min="1806" max="2050" width="9.140625" style="587"/>
    <col min="2051" max="2054" width="9.28515625" style="587" bestFit="1" customWidth="1"/>
    <col min="2055" max="2055" width="10.28515625" style="587" bestFit="1" customWidth="1"/>
    <col min="2056" max="2056" width="9.5703125" style="587" bestFit="1" customWidth="1"/>
    <col min="2057" max="2057" width="11.140625" style="587" customWidth="1"/>
    <col min="2058" max="2059" width="9.5703125" style="587" bestFit="1" customWidth="1"/>
    <col min="2060" max="2060" width="9.28515625" style="587" bestFit="1" customWidth="1"/>
    <col min="2061" max="2061" width="8.7109375" style="587" customWidth="1"/>
    <col min="2062" max="2306" width="9.140625" style="587"/>
    <col min="2307" max="2310" width="9.28515625" style="587" bestFit="1" customWidth="1"/>
    <col min="2311" max="2311" width="10.28515625" style="587" bestFit="1" customWidth="1"/>
    <col min="2312" max="2312" width="9.5703125" style="587" bestFit="1" customWidth="1"/>
    <col min="2313" max="2313" width="11.140625" style="587" customWidth="1"/>
    <col min="2314" max="2315" width="9.5703125" style="587" bestFit="1" customWidth="1"/>
    <col min="2316" max="2316" width="9.28515625" style="587" bestFit="1" customWidth="1"/>
    <col min="2317" max="2317" width="8.7109375" style="587" customWidth="1"/>
    <col min="2318" max="2562" width="9.140625" style="587"/>
    <col min="2563" max="2566" width="9.28515625" style="587" bestFit="1" customWidth="1"/>
    <col min="2567" max="2567" width="10.28515625" style="587" bestFit="1" customWidth="1"/>
    <col min="2568" max="2568" width="9.5703125" style="587" bestFit="1" customWidth="1"/>
    <col min="2569" max="2569" width="11.140625" style="587" customWidth="1"/>
    <col min="2570" max="2571" width="9.5703125" style="587" bestFit="1" customWidth="1"/>
    <col min="2572" max="2572" width="9.28515625" style="587" bestFit="1" customWidth="1"/>
    <col min="2573" max="2573" width="8.7109375" style="587" customWidth="1"/>
    <col min="2574" max="2818" width="9.140625" style="587"/>
    <col min="2819" max="2822" width="9.28515625" style="587" bestFit="1" customWidth="1"/>
    <col min="2823" max="2823" width="10.28515625" style="587" bestFit="1" customWidth="1"/>
    <col min="2824" max="2824" width="9.5703125" style="587" bestFit="1" customWidth="1"/>
    <col min="2825" max="2825" width="11.140625" style="587" customWidth="1"/>
    <col min="2826" max="2827" width="9.5703125" style="587" bestFit="1" customWidth="1"/>
    <col min="2828" max="2828" width="9.28515625" style="587" bestFit="1" customWidth="1"/>
    <col min="2829" max="2829" width="8.7109375" style="587" customWidth="1"/>
    <col min="2830" max="3074" width="9.140625" style="587"/>
    <col min="3075" max="3078" width="9.28515625" style="587" bestFit="1" customWidth="1"/>
    <col min="3079" max="3079" width="10.28515625" style="587" bestFit="1" customWidth="1"/>
    <col min="3080" max="3080" width="9.5703125" style="587" bestFit="1" customWidth="1"/>
    <col min="3081" max="3081" width="11.140625" style="587" customWidth="1"/>
    <col min="3082" max="3083" width="9.5703125" style="587" bestFit="1" customWidth="1"/>
    <col min="3084" max="3084" width="9.28515625" style="587" bestFit="1" customWidth="1"/>
    <col min="3085" max="3085" width="8.7109375" style="587" customWidth="1"/>
    <col min="3086" max="3330" width="9.140625" style="587"/>
    <col min="3331" max="3334" width="9.28515625" style="587" bestFit="1" customWidth="1"/>
    <col min="3335" max="3335" width="10.28515625" style="587" bestFit="1" customWidth="1"/>
    <col min="3336" max="3336" width="9.5703125" style="587" bestFit="1" customWidth="1"/>
    <col min="3337" max="3337" width="11.140625" style="587" customWidth="1"/>
    <col min="3338" max="3339" width="9.5703125" style="587" bestFit="1" customWidth="1"/>
    <col min="3340" max="3340" width="9.28515625" style="587" bestFit="1" customWidth="1"/>
    <col min="3341" max="3341" width="8.7109375" style="587" customWidth="1"/>
    <col min="3342" max="3586" width="9.140625" style="587"/>
    <col min="3587" max="3590" width="9.28515625" style="587" bestFit="1" customWidth="1"/>
    <col min="3591" max="3591" width="10.28515625" style="587" bestFit="1" customWidth="1"/>
    <col min="3592" max="3592" width="9.5703125" style="587" bestFit="1" customWidth="1"/>
    <col min="3593" max="3593" width="11.140625" style="587" customWidth="1"/>
    <col min="3594" max="3595" width="9.5703125" style="587" bestFit="1" customWidth="1"/>
    <col min="3596" max="3596" width="9.28515625" style="587" bestFit="1" customWidth="1"/>
    <col min="3597" max="3597" width="8.7109375" style="587" customWidth="1"/>
    <col min="3598" max="3842" width="9.140625" style="587"/>
    <col min="3843" max="3846" width="9.28515625" style="587" bestFit="1" customWidth="1"/>
    <col min="3847" max="3847" width="10.28515625" style="587" bestFit="1" customWidth="1"/>
    <col min="3848" max="3848" width="9.5703125" style="587" bestFit="1" customWidth="1"/>
    <col min="3849" max="3849" width="11.140625" style="587" customWidth="1"/>
    <col min="3850" max="3851" width="9.5703125" style="587" bestFit="1" customWidth="1"/>
    <col min="3852" max="3852" width="9.28515625" style="587" bestFit="1" customWidth="1"/>
    <col min="3853" max="3853" width="8.7109375" style="587" customWidth="1"/>
    <col min="3854" max="4098" width="9.140625" style="587"/>
    <col min="4099" max="4102" width="9.28515625" style="587" bestFit="1" customWidth="1"/>
    <col min="4103" max="4103" width="10.28515625" style="587" bestFit="1" customWidth="1"/>
    <col min="4104" max="4104" width="9.5703125" style="587" bestFit="1" customWidth="1"/>
    <col min="4105" max="4105" width="11.140625" style="587" customWidth="1"/>
    <col min="4106" max="4107" width="9.5703125" style="587" bestFit="1" customWidth="1"/>
    <col min="4108" max="4108" width="9.28515625" style="587" bestFit="1" customWidth="1"/>
    <col min="4109" max="4109" width="8.7109375" style="587" customWidth="1"/>
    <col min="4110" max="4354" width="9.140625" style="587"/>
    <col min="4355" max="4358" width="9.28515625" style="587" bestFit="1" customWidth="1"/>
    <col min="4359" max="4359" width="10.28515625" style="587" bestFit="1" customWidth="1"/>
    <col min="4360" max="4360" width="9.5703125" style="587" bestFit="1" customWidth="1"/>
    <col min="4361" max="4361" width="11.140625" style="587" customWidth="1"/>
    <col min="4362" max="4363" width="9.5703125" style="587" bestFit="1" customWidth="1"/>
    <col min="4364" max="4364" width="9.28515625" style="587" bestFit="1" customWidth="1"/>
    <col min="4365" max="4365" width="8.7109375" style="587" customWidth="1"/>
    <col min="4366" max="4610" width="9.140625" style="587"/>
    <col min="4611" max="4614" width="9.28515625" style="587" bestFit="1" customWidth="1"/>
    <col min="4615" max="4615" width="10.28515625" style="587" bestFit="1" customWidth="1"/>
    <col min="4616" max="4616" width="9.5703125" style="587" bestFit="1" customWidth="1"/>
    <col min="4617" max="4617" width="11.140625" style="587" customWidth="1"/>
    <col min="4618" max="4619" width="9.5703125" style="587" bestFit="1" customWidth="1"/>
    <col min="4620" max="4620" width="9.28515625" style="587" bestFit="1" customWidth="1"/>
    <col min="4621" max="4621" width="8.7109375" style="587" customWidth="1"/>
    <col min="4622" max="4866" width="9.140625" style="587"/>
    <col min="4867" max="4870" width="9.28515625" style="587" bestFit="1" customWidth="1"/>
    <col min="4871" max="4871" width="10.28515625" style="587" bestFit="1" customWidth="1"/>
    <col min="4872" max="4872" width="9.5703125" style="587" bestFit="1" customWidth="1"/>
    <col min="4873" max="4873" width="11.140625" style="587" customWidth="1"/>
    <col min="4874" max="4875" width="9.5703125" style="587" bestFit="1" customWidth="1"/>
    <col min="4876" max="4876" width="9.28515625" style="587" bestFit="1" customWidth="1"/>
    <col min="4877" max="4877" width="8.7109375" style="587" customWidth="1"/>
    <col min="4878" max="5122" width="9.140625" style="587"/>
    <col min="5123" max="5126" width="9.28515625" style="587" bestFit="1" customWidth="1"/>
    <col min="5127" max="5127" width="10.28515625" style="587" bestFit="1" customWidth="1"/>
    <col min="5128" max="5128" width="9.5703125" style="587" bestFit="1" customWidth="1"/>
    <col min="5129" max="5129" width="11.140625" style="587" customWidth="1"/>
    <col min="5130" max="5131" width="9.5703125" style="587" bestFit="1" customWidth="1"/>
    <col min="5132" max="5132" width="9.28515625" style="587" bestFit="1" customWidth="1"/>
    <col min="5133" max="5133" width="8.7109375" style="587" customWidth="1"/>
    <col min="5134" max="5378" width="9.140625" style="587"/>
    <col min="5379" max="5382" width="9.28515625" style="587" bestFit="1" customWidth="1"/>
    <col min="5383" max="5383" width="10.28515625" style="587" bestFit="1" customWidth="1"/>
    <col min="5384" max="5384" width="9.5703125" style="587" bestFit="1" customWidth="1"/>
    <col min="5385" max="5385" width="11.140625" style="587" customWidth="1"/>
    <col min="5386" max="5387" width="9.5703125" style="587" bestFit="1" customWidth="1"/>
    <col min="5388" max="5388" width="9.28515625" style="587" bestFit="1" customWidth="1"/>
    <col min="5389" max="5389" width="8.7109375" style="587" customWidth="1"/>
    <col min="5390" max="5634" width="9.140625" style="587"/>
    <col min="5635" max="5638" width="9.28515625" style="587" bestFit="1" customWidth="1"/>
    <col min="5639" max="5639" width="10.28515625" style="587" bestFit="1" customWidth="1"/>
    <col min="5640" max="5640" width="9.5703125" style="587" bestFit="1" customWidth="1"/>
    <col min="5641" max="5641" width="11.140625" style="587" customWidth="1"/>
    <col min="5642" max="5643" width="9.5703125" style="587" bestFit="1" customWidth="1"/>
    <col min="5644" max="5644" width="9.28515625" style="587" bestFit="1" customWidth="1"/>
    <col min="5645" max="5645" width="8.7109375" style="587" customWidth="1"/>
    <col min="5646" max="5890" width="9.140625" style="587"/>
    <col min="5891" max="5894" width="9.28515625" style="587" bestFit="1" customWidth="1"/>
    <col min="5895" max="5895" width="10.28515625" style="587" bestFit="1" customWidth="1"/>
    <col min="5896" max="5896" width="9.5703125" style="587" bestFit="1" customWidth="1"/>
    <col min="5897" max="5897" width="11.140625" style="587" customWidth="1"/>
    <col min="5898" max="5899" width="9.5703125" style="587" bestFit="1" customWidth="1"/>
    <col min="5900" max="5900" width="9.28515625" style="587" bestFit="1" customWidth="1"/>
    <col min="5901" max="5901" width="8.7109375" style="587" customWidth="1"/>
    <col min="5902" max="6146" width="9.140625" style="587"/>
    <col min="6147" max="6150" width="9.28515625" style="587" bestFit="1" customWidth="1"/>
    <col min="6151" max="6151" width="10.28515625" style="587" bestFit="1" customWidth="1"/>
    <col min="6152" max="6152" width="9.5703125" style="587" bestFit="1" customWidth="1"/>
    <col min="6153" max="6153" width="11.140625" style="587" customWidth="1"/>
    <col min="6154" max="6155" width="9.5703125" style="587" bestFit="1" customWidth="1"/>
    <col min="6156" max="6156" width="9.28515625" style="587" bestFit="1" customWidth="1"/>
    <col min="6157" max="6157" width="8.7109375" style="587" customWidth="1"/>
    <col min="6158" max="6402" width="9.140625" style="587"/>
    <col min="6403" max="6406" width="9.28515625" style="587" bestFit="1" customWidth="1"/>
    <col min="6407" max="6407" width="10.28515625" style="587" bestFit="1" customWidth="1"/>
    <col min="6408" max="6408" width="9.5703125" style="587" bestFit="1" customWidth="1"/>
    <col min="6409" max="6409" width="11.140625" style="587" customWidth="1"/>
    <col min="6410" max="6411" width="9.5703125" style="587" bestFit="1" customWidth="1"/>
    <col min="6412" max="6412" width="9.28515625" style="587" bestFit="1" customWidth="1"/>
    <col min="6413" max="6413" width="8.7109375" style="587" customWidth="1"/>
    <col min="6414" max="6658" width="9.140625" style="587"/>
    <col min="6659" max="6662" width="9.28515625" style="587" bestFit="1" customWidth="1"/>
    <col min="6663" max="6663" width="10.28515625" style="587" bestFit="1" customWidth="1"/>
    <col min="6664" max="6664" width="9.5703125" style="587" bestFit="1" customWidth="1"/>
    <col min="6665" max="6665" width="11.140625" style="587" customWidth="1"/>
    <col min="6666" max="6667" width="9.5703125" style="587" bestFit="1" customWidth="1"/>
    <col min="6668" max="6668" width="9.28515625" style="587" bestFit="1" customWidth="1"/>
    <col min="6669" max="6669" width="8.7109375" style="587" customWidth="1"/>
    <col min="6670" max="6914" width="9.140625" style="587"/>
    <col min="6915" max="6918" width="9.28515625" style="587" bestFit="1" customWidth="1"/>
    <col min="6919" max="6919" width="10.28515625" style="587" bestFit="1" customWidth="1"/>
    <col min="6920" max="6920" width="9.5703125" style="587" bestFit="1" customWidth="1"/>
    <col min="6921" max="6921" width="11.140625" style="587" customWidth="1"/>
    <col min="6922" max="6923" width="9.5703125" style="587" bestFit="1" customWidth="1"/>
    <col min="6924" max="6924" width="9.28515625" style="587" bestFit="1" customWidth="1"/>
    <col min="6925" max="6925" width="8.7109375" style="587" customWidth="1"/>
    <col min="6926" max="7170" width="9.140625" style="587"/>
    <col min="7171" max="7174" width="9.28515625" style="587" bestFit="1" customWidth="1"/>
    <col min="7175" max="7175" width="10.28515625" style="587" bestFit="1" customWidth="1"/>
    <col min="7176" max="7176" width="9.5703125" style="587" bestFit="1" customWidth="1"/>
    <col min="7177" max="7177" width="11.140625" style="587" customWidth="1"/>
    <col min="7178" max="7179" width="9.5703125" style="587" bestFit="1" customWidth="1"/>
    <col min="7180" max="7180" width="9.28515625" style="587" bestFit="1" customWidth="1"/>
    <col min="7181" max="7181" width="8.7109375" style="587" customWidth="1"/>
    <col min="7182" max="7426" width="9.140625" style="587"/>
    <col min="7427" max="7430" width="9.28515625" style="587" bestFit="1" customWidth="1"/>
    <col min="7431" max="7431" width="10.28515625" style="587" bestFit="1" customWidth="1"/>
    <col min="7432" max="7432" width="9.5703125" style="587" bestFit="1" customWidth="1"/>
    <col min="7433" max="7433" width="11.140625" style="587" customWidth="1"/>
    <col min="7434" max="7435" width="9.5703125" style="587" bestFit="1" customWidth="1"/>
    <col min="7436" max="7436" width="9.28515625" style="587" bestFit="1" customWidth="1"/>
    <col min="7437" max="7437" width="8.7109375" style="587" customWidth="1"/>
    <col min="7438" max="7682" width="9.140625" style="587"/>
    <col min="7683" max="7686" width="9.28515625" style="587" bestFit="1" customWidth="1"/>
    <col min="7687" max="7687" width="10.28515625" style="587" bestFit="1" customWidth="1"/>
    <col min="7688" max="7688" width="9.5703125" style="587" bestFit="1" customWidth="1"/>
    <col min="7689" max="7689" width="11.140625" style="587" customWidth="1"/>
    <col min="7690" max="7691" width="9.5703125" style="587" bestFit="1" customWidth="1"/>
    <col min="7692" max="7692" width="9.28515625" style="587" bestFit="1" customWidth="1"/>
    <col min="7693" max="7693" width="8.7109375" style="587" customWidth="1"/>
    <col min="7694" max="7938" width="9.140625" style="587"/>
    <col min="7939" max="7942" width="9.28515625" style="587" bestFit="1" customWidth="1"/>
    <col min="7943" max="7943" width="10.28515625" style="587" bestFit="1" customWidth="1"/>
    <col min="7944" max="7944" width="9.5703125" style="587" bestFit="1" customWidth="1"/>
    <col min="7945" max="7945" width="11.140625" style="587" customWidth="1"/>
    <col min="7946" max="7947" width="9.5703125" style="587" bestFit="1" customWidth="1"/>
    <col min="7948" max="7948" width="9.28515625" style="587" bestFit="1" customWidth="1"/>
    <col min="7949" max="7949" width="8.7109375" style="587" customWidth="1"/>
    <col min="7950" max="8194" width="9.140625" style="587"/>
    <col min="8195" max="8198" width="9.28515625" style="587" bestFit="1" customWidth="1"/>
    <col min="8199" max="8199" width="10.28515625" style="587" bestFit="1" customWidth="1"/>
    <col min="8200" max="8200" width="9.5703125" style="587" bestFit="1" customWidth="1"/>
    <col min="8201" max="8201" width="11.140625" style="587" customWidth="1"/>
    <col min="8202" max="8203" width="9.5703125" style="587" bestFit="1" customWidth="1"/>
    <col min="8204" max="8204" width="9.28515625" style="587" bestFit="1" customWidth="1"/>
    <col min="8205" max="8205" width="8.7109375" style="587" customWidth="1"/>
    <col min="8206" max="8450" width="9.140625" style="587"/>
    <col min="8451" max="8454" width="9.28515625" style="587" bestFit="1" customWidth="1"/>
    <col min="8455" max="8455" width="10.28515625" style="587" bestFit="1" customWidth="1"/>
    <col min="8456" max="8456" width="9.5703125" style="587" bestFit="1" customWidth="1"/>
    <col min="8457" max="8457" width="11.140625" style="587" customWidth="1"/>
    <col min="8458" max="8459" width="9.5703125" style="587" bestFit="1" customWidth="1"/>
    <col min="8460" max="8460" width="9.28515625" style="587" bestFit="1" customWidth="1"/>
    <col min="8461" max="8461" width="8.7109375" style="587" customWidth="1"/>
    <col min="8462" max="8706" width="9.140625" style="587"/>
    <col min="8707" max="8710" width="9.28515625" style="587" bestFit="1" customWidth="1"/>
    <col min="8711" max="8711" width="10.28515625" style="587" bestFit="1" customWidth="1"/>
    <col min="8712" max="8712" width="9.5703125" style="587" bestFit="1" customWidth="1"/>
    <col min="8713" max="8713" width="11.140625" style="587" customWidth="1"/>
    <col min="8714" max="8715" width="9.5703125" style="587" bestFit="1" customWidth="1"/>
    <col min="8716" max="8716" width="9.28515625" style="587" bestFit="1" customWidth="1"/>
    <col min="8717" max="8717" width="8.7109375" style="587" customWidth="1"/>
    <col min="8718" max="8962" width="9.140625" style="587"/>
    <col min="8963" max="8966" width="9.28515625" style="587" bestFit="1" customWidth="1"/>
    <col min="8967" max="8967" width="10.28515625" style="587" bestFit="1" customWidth="1"/>
    <col min="8968" max="8968" width="9.5703125" style="587" bestFit="1" customWidth="1"/>
    <col min="8969" max="8969" width="11.140625" style="587" customWidth="1"/>
    <col min="8970" max="8971" width="9.5703125" style="587" bestFit="1" customWidth="1"/>
    <col min="8972" max="8972" width="9.28515625" style="587" bestFit="1" customWidth="1"/>
    <col min="8973" max="8973" width="8.7109375" style="587" customWidth="1"/>
    <col min="8974" max="9218" width="9.140625" style="587"/>
    <col min="9219" max="9222" width="9.28515625" style="587" bestFit="1" customWidth="1"/>
    <col min="9223" max="9223" width="10.28515625" style="587" bestFit="1" customWidth="1"/>
    <col min="9224" max="9224" width="9.5703125" style="587" bestFit="1" customWidth="1"/>
    <col min="9225" max="9225" width="11.140625" style="587" customWidth="1"/>
    <col min="9226" max="9227" width="9.5703125" style="587" bestFit="1" customWidth="1"/>
    <col min="9228" max="9228" width="9.28515625" style="587" bestFit="1" customWidth="1"/>
    <col min="9229" max="9229" width="8.7109375" style="587" customWidth="1"/>
    <col min="9230" max="9474" width="9.140625" style="587"/>
    <col min="9475" max="9478" width="9.28515625" style="587" bestFit="1" customWidth="1"/>
    <col min="9479" max="9479" width="10.28515625" style="587" bestFit="1" customWidth="1"/>
    <col min="9480" max="9480" width="9.5703125" style="587" bestFit="1" customWidth="1"/>
    <col min="9481" max="9481" width="11.140625" style="587" customWidth="1"/>
    <col min="9482" max="9483" width="9.5703125" style="587" bestFit="1" customWidth="1"/>
    <col min="9484" max="9484" width="9.28515625" style="587" bestFit="1" customWidth="1"/>
    <col min="9485" max="9485" width="8.7109375" style="587" customWidth="1"/>
    <col min="9486" max="9730" width="9.140625" style="587"/>
    <col min="9731" max="9734" width="9.28515625" style="587" bestFit="1" customWidth="1"/>
    <col min="9735" max="9735" width="10.28515625" style="587" bestFit="1" customWidth="1"/>
    <col min="9736" max="9736" width="9.5703125" style="587" bestFit="1" customWidth="1"/>
    <col min="9737" max="9737" width="11.140625" style="587" customWidth="1"/>
    <col min="9738" max="9739" width="9.5703125" style="587" bestFit="1" customWidth="1"/>
    <col min="9740" max="9740" width="9.28515625" style="587" bestFit="1" customWidth="1"/>
    <col min="9741" max="9741" width="8.7109375" style="587" customWidth="1"/>
    <col min="9742" max="9986" width="9.140625" style="587"/>
    <col min="9987" max="9990" width="9.28515625" style="587" bestFit="1" customWidth="1"/>
    <col min="9991" max="9991" width="10.28515625" style="587" bestFit="1" customWidth="1"/>
    <col min="9992" max="9992" width="9.5703125" style="587" bestFit="1" customWidth="1"/>
    <col min="9993" max="9993" width="11.140625" style="587" customWidth="1"/>
    <col min="9994" max="9995" width="9.5703125" style="587" bestFit="1" customWidth="1"/>
    <col min="9996" max="9996" width="9.28515625" style="587" bestFit="1" customWidth="1"/>
    <col min="9997" max="9997" width="8.7109375" style="587" customWidth="1"/>
    <col min="9998" max="10242" width="9.140625" style="587"/>
    <col min="10243" max="10246" width="9.28515625" style="587" bestFit="1" customWidth="1"/>
    <col min="10247" max="10247" width="10.28515625" style="587" bestFit="1" customWidth="1"/>
    <col min="10248" max="10248" width="9.5703125" style="587" bestFit="1" customWidth="1"/>
    <col min="10249" max="10249" width="11.140625" style="587" customWidth="1"/>
    <col min="10250" max="10251" width="9.5703125" style="587" bestFit="1" customWidth="1"/>
    <col min="10252" max="10252" width="9.28515625" style="587" bestFit="1" customWidth="1"/>
    <col min="10253" max="10253" width="8.7109375" style="587" customWidth="1"/>
    <col min="10254" max="10498" width="9.140625" style="587"/>
    <col min="10499" max="10502" width="9.28515625" style="587" bestFit="1" customWidth="1"/>
    <col min="10503" max="10503" width="10.28515625" style="587" bestFit="1" customWidth="1"/>
    <col min="10504" max="10504" width="9.5703125" style="587" bestFit="1" customWidth="1"/>
    <col min="10505" max="10505" width="11.140625" style="587" customWidth="1"/>
    <col min="10506" max="10507" width="9.5703125" style="587" bestFit="1" customWidth="1"/>
    <col min="10508" max="10508" width="9.28515625" style="587" bestFit="1" customWidth="1"/>
    <col min="10509" max="10509" width="8.7109375" style="587" customWidth="1"/>
    <col min="10510" max="10754" width="9.140625" style="587"/>
    <col min="10755" max="10758" width="9.28515625" style="587" bestFit="1" customWidth="1"/>
    <col min="10759" max="10759" width="10.28515625" style="587" bestFit="1" customWidth="1"/>
    <col min="10760" max="10760" width="9.5703125" style="587" bestFit="1" customWidth="1"/>
    <col min="10761" max="10761" width="11.140625" style="587" customWidth="1"/>
    <col min="10762" max="10763" width="9.5703125" style="587" bestFit="1" customWidth="1"/>
    <col min="10764" max="10764" width="9.28515625" style="587" bestFit="1" customWidth="1"/>
    <col min="10765" max="10765" width="8.7109375" style="587" customWidth="1"/>
    <col min="10766" max="11010" width="9.140625" style="587"/>
    <col min="11011" max="11014" width="9.28515625" style="587" bestFit="1" customWidth="1"/>
    <col min="11015" max="11015" width="10.28515625" style="587" bestFit="1" customWidth="1"/>
    <col min="11016" max="11016" width="9.5703125" style="587" bestFit="1" customWidth="1"/>
    <col min="11017" max="11017" width="11.140625" style="587" customWidth="1"/>
    <col min="11018" max="11019" width="9.5703125" style="587" bestFit="1" customWidth="1"/>
    <col min="11020" max="11020" width="9.28515625" style="587" bestFit="1" customWidth="1"/>
    <col min="11021" max="11021" width="8.7109375" style="587" customWidth="1"/>
    <col min="11022" max="11266" width="9.140625" style="587"/>
    <col min="11267" max="11270" width="9.28515625" style="587" bestFit="1" customWidth="1"/>
    <col min="11271" max="11271" width="10.28515625" style="587" bestFit="1" customWidth="1"/>
    <col min="11272" max="11272" width="9.5703125" style="587" bestFit="1" customWidth="1"/>
    <col min="11273" max="11273" width="11.140625" style="587" customWidth="1"/>
    <col min="11274" max="11275" width="9.5703125" style="587" bestFit="1" customWidth="1"/>
    <col min="11276" max="11276" width="9.28515625" style="587" bestFit="1" customWidth="1"/>
    <col min="11277" max="11277" width="8.7109375" style="587" customWidth="1"/>
    <col min="11278" max="11522" width="9.140625" style="587"/>
    <col min="11523" max="11526" width="9.28515625" style="587" bestFit="1" customWidth="1"/>
    <col min="11527" max="11527" width="10.28515625" style="587" bestFit="1" customWidth="1"/>
    <col min="11528" max="11528" width="9.5703125" style="587" bestFit="1" customWidth="1"/>
    <col min="11529" max="11529" width="11.140625" style="587" customWidth="1"/>
    <col min="11530" max="11531" width="9.5703125" style="587" bestFit="1" customWidth="1"/>
    <col min="11532" max="11532" width="9.28515625" style="587" bestFit="1" customWidth="1"/>
    <col min="11533" max="11533" width="8.7109375" style="587" customWidth="1"/>
    <col min="11534" max="11778" width="9.140625" style="587"/>
    <col min="11779" max="11782" width="9.28515625" style="587" bestFit="1" customWidth="1"/>
    <col min="11783" max="11783" width="10.28515625" style="587" bestFit="1" customWidth="1"/>
    <col min="11784" max="11784" width="9.5703125" style="587" bestFit="1" customWidth="1"/>
    <col min="11785" max="11785" width="11.140625" style="587" customWidth="1"/>
    <col min="11786" max="11787" width="9.5703125" style="587" bestFit="1" customWidth="1"/>
    <col min="11788" max="11788" width="9.28515625" style="587" bestFit="1" customWidth="1"/>
    <col min="11789" max="11789" width="8.7109375" style="587" customWidth="1"/>
    <col min="11790" max="12034" width="9.140625" style="587"/>
    <col min="12035" max="12038" width="9.28515625" style="587" bestFit="1" customWidth="1"/>
    <col min="12039" max="12039" width="10.28515625" style="587" bestFit="1" customWidth="1"/>
    <col min="12040" max="12040" width="9.5703125" style="587" bestFit="1" customWidth="1"/>
    <col min="12041" max="12041" width="11.140625" style="587" customWidth="1"/>
    <col min="12042" max="12043" width="9.5703125" style="587" bestFit="1" customWidth="1"/>
    <col min="12044" max="12044" width="9.28515625" style="587" bestFit="1" customWidth="1"/>
    <col min="12045" max="12045" width="8.7109375" style="587" customWidth="1"/>
    <col min="12046" max="12290" width="9.140625" style="587"/>
    <col min="12291" max="12294" width="9.28515625" style="587" bestFit="1" customWidth="1"/>
    <col min="12295" max="12295" width="10.28515625" style="587" bestFit="1" customWidth="1"/>
    <col min="12296" max="12296" width="9.5703125" style="587" bestFit="1" customWidth="1"/>
    <col min="12297" max="12297" width="11.140625" style="587" customWidth="1"/>
    <col min="12298" max="12299" width="9.5703125" style="587" bestFit="1" customWidth="1"/>
    <col min="12300" max="12300" width="9.28515625" style="587" bestFit="1" customWidth="1"/>
    <col min="12301" max="12301" width="8.7109375" style="587" customWidth="1"/>
    <col min="12302" max="12546" width="9.140625" style="587"/>
    <col min="12547" max="12550" width="9.28515625" style="587" bestFit="1" customWidth="1"/>
    <col min="12551" max="12551" width="10.28515625" style="587" bestFit="1" customWidth="1"/>
    <col min="12552" max="12552" width="9.5703125" style="587" bestFit="1" customWidth="1"/>
    <col min="12553" max="12553" width="11.140625" style="587" customWidth="1"/>
    <col min="12554" max="12555" width="9.5703125" style="587" bestFit="1" customWidth="1"/>
    <col min="12556" max="12556" width="9.28515625" style="587" bestFit="1" customWidth="1"/>
    <col min="12557" max="12557" width="8.7109375" style="587" customWidth="1"/>
    <col min="12558" max="12802" width="9.140625" style="587"/>
    <col min="12803" max="12806" width="9.28515625" style="587" bestFit="1" customWidth="1"/>
    <col min="12807" max="12807" width="10.28515625" style="587" bestFit="1" customWidth="1"/>
    <col min="12808" max="12808" width="9.5703125" style="587" bestFit="1" customWidth="1"/>
    <col min="12809" max="12809" width="11.140625" style="587" customWidth="1"/>
    <col min="12810" max="12811" width="9.5703125" style="587" bestFit="1" customWidth="1"/>
    <col min="12812" max="12812" width="9.28515625" style="587" bestFit="1" customWidth="1"/>
    <col min="12813" max="12813" width="8.7109375" style="587" customWidth="1"/>
    <col min="12814" max="13058" width="9.140625" style="587"/>
    <col min="13059" max="13062" width="9.28515625" style="587" bestFit="1" customWidth="1"/>
    <col min="13063" max="13063" width="10.28515625" style="587" bestFit="1" customWidth="1"/>
    <col min="13064" max="13064" width="9.5703125" style="587" bestFit="1" customWidth="1"/>
    <col min="13065" max="13065" width="11.140625" style="587" customWidth="1"/>
    <col min="13066" max="13067" width="9.5703125" style="587" bestFit="1" customWidth="1"/>
    <col min="13068" max="13068" width="9.28515625" style="587" bestFit="1" customWidth="1"/>
    <col min="13069" max="13069" width="8.7109375" style="587" customWidth="1"/>
    <col min="13070" max="13314" width="9.140625" style="587"/>
    <col min="13315" max="13318" width="9.28515625" style="587" bestFit="1" customWidth="1"/>
    <col min="13319" max="13319" width="10.28515625" style="587" bestFit="1" customWidth="1"/>
    <col min="13320" max="13320" width="9.5703125" style="587" bestFit="1" customWidth="1"/>
    <col min="13321" max="13321" width="11.140625" style="587" customWidth="1"/>
    <col min="13322" max="13323" width="9.5703125" style="587" bestFit="1" customWidth="1"/>
    <col min="13324" max="13324" width="9.28515625" style="587" bestFit="1" customWidth="1"/>
    <col min="13325" max="13325" width="8.7109375" style="587" customWidth="1"/>
    <col min="13326" max="13570" width="9.140625" style="587"/>
    <col min="13571" max="13574" width="9.28515625" style="587" bestFit="1" customWidth="1"/>
    <col min="13575" max="13575" width="10.28515625" style="587" bestFit="1" customWidth="1"/>
    <col min="13576" max="13576" width="9.5703125" style="587" bestFit="1" customWidth="1"/>
    <col min="13577" max="13577" width="11.140625" style="587" customWidth="1"/>
    <col min="13578" max="13579" width="9.5703125" style="587" bestFit="1" customWidth="1"/>
    <col min="13580" max="13580" width="9.28515625" style="587" bestFit="1" customWidth="1"/>
    <col min="13581" max="13581" width="8.7109375" style="587" customWidth="1"/>
    <col min="13582" max="13826" width="9.140625" style="587"/>
    <col min="13827" max="13830" width="9.28515625" style="587" bestFit="1" customWidth="1"/>
    <col min="13831" max="13831" width="10.28515625" style="587" bestFit="1" customWidth="1"/>
    <col min="13832" max="13832" width="9.5703125" style="587" bestFit="1" customWidth="1"/>
    <col min="13833" max="13833" width="11.140625" style="587" customWidth="1"/>
    <col min="13834" max="13835" width="9.5703125" style="587" bestFit="1" customWidth="1"/>
    <col min="13836" max="13836" width="9.28515625" style="587" bestFit="1" customWidth="1"/>
    <col min="13837" max="13837" width="8.7109375" style="587" customWidth="1"/>
    <col min="13838" max="14082" width="9.140625" style="587"/>
    <col min="14083" max="14086" width="9.28515625" style="587" bestFit="1" customWidth="1"/>
    <col min="14087" max="14087" width="10.28515625" style="587" bestFit="1" customWidth="1"/>
    <col min="14088" max="14088" width="9.5703125" style="587" bestFit="1" customWidth="1"/>
    <col min="14089" max="14089" width="11.140625" style="587" customWidth="1"/>
    <col min="14090" max="14091" width="9.5703125" style="587" bestFit="1" customWidth="1"/>
    <col min="14092" max="14092" width="9.28515625" style="587" bestFit="1" customWidth="1"/>
    <col min="14093" max="14093" width="8.7109375" style="587" customWidth="1"/>
    <col min="14094" max="14338" width="9.140625" style="587"/>
    <col min="14339" max="14342" width="9.28515625" style="587" bestFit="1" customWidth="1"/>
    <col min="14343" max="14343" width="10.28515625" style="587" bestFit="1" customWidth="1"/>
    <col min="14344" max="14344" width="9.5703125" style="587" bestFit="1" customWidth="1"/>
    <col min="14345" max="14345" width="11.140625" style="587" customWidth="1"/>
    <col min="14346" max="14347" width="9.5703125" style="587" bestFit="1" customWidth="1"/>
    <col min="14348" max="14348" width="9.28515625" style="587" bestFit="1" customWidth="1"/>
    <col min="14349" max="14349" width="8.7109375" style="587" customWidth="1"/>
    <col min="14350" max="14594" width="9.140625" style="587"/>
    <col min="14595" max="14598" width="9.28515625" style="587" bestFit="1" customWidth="1"/>
    <col min="14599" max="14599" width="10.28515625" style="587" bestFit="1" customWidth="1"/>
    <col min="14600" max="14600" width="9.5703125" style="587" bestFit="1" customWidth="1"/>
    <col min="14601" max="14601" width="11.140625" style="587" customWidth="1"/>
    <col min="14602" max="14603" width="9.5703125" style="587" bestFit="1" customWidth="1"/>
    <col min="14604" max="14604" width="9.28515625" style="587" bestFit="1" customWidth="1"/>
    <col min="14605" max="14605" width="8.7109375" style="587" customWidth="1"/>
    <col min="14606" max="14850" width="9.140625" style="587"/>
    <col min="14851" max="14854" width="9.28515625" style="587" bestFit="1" customWidth="1"/>
    <col min="14855" max="14855" width="10.28515625" style="587" bestFit="1" customWidth="1"/>
    <col min="14856" max="14856" width="9.5703125" style="587" bestFit="1" customWidth="1"/>
    <col min="14857" max="14857" width="11.140625" style="587" customWidth="1"/>
    <col min="14858" max="14859" width="9.5703125" style="587" bestFit="1" customWidth="1"/>
    <col min="14860" max="14860" width="9.28515625" style="587" bestFit="1" customWidth="1"/>
    <col min="14861" max="14861" width="8.7109375" style="587" customWidth="1"/>
    <col min="14862" max="15106" width="9.140625" style="587"/>
    <col min="15107" max="15110" width="9.28515625" style="587" bestFit="1" customWidth="1"/>
    <col min="15111" max="15111" width="10.28515625" style="587" bestFit="1" customWidth="1"/>
    <col min="15112" max="15112" width="9.5703125" style="587" bestFit="1" customWidth="1"/>
    <col min="15113" max="15113" width="11.140625" style="587" customWidth="1"/>
    <col min="15114" max="15115" width="9.5703125" style="587" bestFit="1" customWidth="1"/>
    <col min="15116" max="15116" width="9.28515625" style="587" bestFit="1" customWidth="1"/>
    <col min="15117" max="15117" width="8.7109375" style="587" customWidth="1"/>
    <col min="15118" max="15362" width="9.140625" style="587"/>
    <col min="15363" max="15366" width="9.28515625" style="587" bestFit="1" customWidth="1"/>
    <col min="15367" max="15367" width="10.28515625" style="587" bestFit="1" customWidth="1"/>
    <col min="15368" max="15368" width="9.5703125" style="587" bestFit="1" customWidth="1"/>
    <col min="15369" max="15369" width="11.140625" style="587" customWidth="1"/>
    <col min="15370" max="15371" width="9.5703125" style="587" bestFit="1" customWidth="1"/>
    <col min="15372" max="15372" width="9.28515625" style="587" bestFit="1" customWidth="1"/>
    <col min="15373" max="15373" width="8.7109375" style="587" customWidth="1"/>
    <col min="15374" max="15618" width="9.140625" style="587"/>
    <col min="15619" max="15622" width="9.28515625" style="587" bestFit="1" customWidth="1"/>
    <col min="15623" max="15623" width="10.28515625" style="587" bestFit="1" customWidth="1"/>
    <col min="15624" max="15624" width="9.5703125" style="587" bestFit="1" customWidth="1"/>
    <col min="15625" max="15625" width="11.140625" style="587" customWidth="1"/>
    <col min="15626" max="15627" width="9.5703125" style="587" bestFit="1" customWidth="1"/>
    <col min="15628" max="15628" width="9.28515625" style="587" bestFit="1" customWidth="1"/>
    <col min="15629" max="15629" width="8.7109375" style="587" customWidth="1"/>
    <col min="15630" max="15874" width="9.140625" style="587"/>
    <col min="15875" max="15878" width="9.28515625" style="587" bestFit="1" customWidth="1"/>
    <col min="15879" max="15879" width="10.28515625" style="587" bestFit="1" customWidth="1"/>
    <col min="15880" max="15880" width="9.5703125" style="587" bestFit="1" customWidth="1"/>
    <col min="15881" max="15881" width="11.140625" style="587" customWidth="1"/>
    <col min="15882" max="15883" width="9.5703125" style="587" bestFit="1" customWidth="1"/>
    <col min="15884" max="15884" width="9.28515625" style="587" bestFit="1" customWidth="1"/>
    <col min="15885" max="15885" width="8.7109375" style="587" customWidth="1"/>
    <col min="15886" max="16130" width="9.140625" style="587"/>
    <col min="16131" max="16134" width="9.28515625" style="587" bestFit="1" customWidth="1"/>
    <col min="16135" max="16135" width="10.28515625" style="587" bestFit="1" customWidth="1"/>
    <col min="16136" max="16136" width="9.5703125" style="587" bestFit="1" customWidth="1"/>
    <col min="16137" max="16137" width="11.140625" style="587" customWidth="1"/>
    <col min="16138" max="16139" width="9.5703125" style="587" bestFit="1" customWidth="1"/>
    <col min="16140" max="16140" width="9.28515625" style="587" bestFit="1" customWidth="1"/>
    <col min="16141" max="16141" width="8.7109375" style="587" customWidth="1"/>
    <col min="16142" max="16384" width="9.140625" style="587"/>
  </cols>
  <sheetData>
    <row r="1" spans="1:18" ht="15" x14ac:dyDescent="0.25">
      <c r="B1" s="588" t="s">
        <v>403</v>
      </c>
      <c r="N1" s="589"/>
    </row>
    <row r="2" spans="1:18" ht="15" x14ac:dyDescent="0.25">
      <c r="A2" s="32"/>
      <c r="B2" s="588" t="s">
        <v>404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75"/>
    </row>
    <row r="3" spans="1:18" ht="15" x14ac:dyDescent="0.25">
      <c r="A3" s="588"/>
      <c r="B3" s="588" t="s">
        <v>405</v>
      </c>
      <c r="C3" s="588"/>
      <c r="D3" s="588"/>
      <c r="E3" s="588"/>
      <c r="F3" s="588"/>
      <c r="G3" s="32"/>
      <c r="H3" s="32"/>
      <c r="I3" s="32"/>
      <c r="J3" s="32"/>
      <c r="K3" s="32"/>
      <c r="L3" s="32"/>
      <c r="M3" s="32"/>
      <c r="N3" s="75"/>
    </row>
    <row r="4" spans="1:18" ht="15" x14ac:dyDescent="0.25">
      <c r="A4" s="238" t="s">
        <v>5</v>
      </c>
      <c r="B4" s="238"/>
      <c r="C4" s="238"/>
      <c r="D4" s="239" t="s">
        <v>6</v>
      </c>
      <c r="E4" s="239" t="s">
        <v>7</v>
      </c>
      <c r="F4" s="239" t="s">
        <v>8</v>
      </c>
      <c r="G4" s="239" t="s">
        <v>9</v>
      </c>
      <c r="H4" s="239" t="s">
        <v>10</v>
      </c>
      <c r="I4" s="239" t="s">
        <v>11</v>
      </c>
      <c r="J4" s="239" t="s">
        <v>12</v>
      </c>
      <c r="K4" s="239" t="s">
        <v>13</v>
      </c>
      <c r="L4" s="240" t="s">
        <v>14</v>
      </c>
      <c r="M4" s="239"/>
      <c r="N4" s="75"/>
    </row>
    <row r="5" spans="1:18" ht="15" x14ac:dyDescent="0.25">
      <c r="A5" s="241"/>
      <c r="B5" s="241"/>
      <c r="C5" s="241"/>
      <c r="D5" s="242" t="s">
        <v>15</v>
      </c>
      <c r="E5" s="242" t="s">
        <v>16</v>
      </c>
      <c r="F5" s="242" t="s">
        <v>16</v>
      </c>
      <c r="G5" s="242" t="s">
        <v>17</v>
      </c>
      <c r="H5" s="242" t="s">
        <v>18</v>
      </c>
      <c r="I5" s="242" t="s">
        <v>19</v>
      </c>
      <c r="J5" s="242" t="s">
        <v>18</v>
      </c>
      <c r="K5" s="242" t="s">
        <v>18</v>
      </c>
      <c r="L5" s="242" t="s">
        <v>11</v>
      </c>
      <c r="M5" s="242" t="s">
        <v>12</v>
      </c>
      <c r="N5" s="75"/>
    </row>
    <row r="6" spans="1:18" ht="15" x14ac:dyDescent="0.25">
      <c r="A6" s="241"/>
      <c r="B6" s="241"/>
      <c r="C6" s="241"/>
      <c r="D6" s="242" t="s">
        <v>20</v>
      </c>
      <c r="E6" s="242"/>
      <c r="F6" s="242"/>
      <c r="G6" s="242"/>
      <c r="H6" s="242" t="s">
        <v>21</v>
      </c>
      <c r="I6" s="242" t="s">
        <v>18</v>
      </c>
      <c r="J6" s="242" t="s">
        <v>21</v>
      </c>
      <c r="K6" s="242" t="s">
        <v>21</v>
      </c>
      <c r="L6" s="242"/>
      <c r="M6" s="242"/>
      <c r="N6" s="75"/>
    </row>
    <row r="7" spans="1:18" ht="15" x14ac:dyDescent="0.25">
      <c r="A7" s="243"/>
      <c r="B7" s="243"/>
      <c r="C7" s="243"/>
      <c r="D7" s="244"/>
      <c r="E7" s="244"/>
      <c r="F7" s="244"/>
      <c r="G7" s="244"/>
      <c r="H7" s="244"/>
      <c r="I7" s="244" t="s">
        <v>21</v>
      </c>
      <c r="J7" s="244"/>
      <c r="K7" s="244"/>
      <c r="L7" s="244"/>
      <c r="M7" s="244"/>
      <c r="N7" s="75"/>
    </row>
    <row r="8" spans="1:18" ht="15" x14ac:dyDescent="0.25">
      <c r="A8" s="590" t="s">
        <v>179</v>
      </c>
      <c r="B8" s="590"/>
      <c r="C8" s="590"/>
      <c r="D8" s="591">
        <v>52.94</v>
      </c>
      <c r="E8" s="592">
        <v>11.67</v>
      </c>
      <c r="F8" s="592">
        <v>11.22</v>
      </c>
      <c r="G8" s="246">
        <v>2000</v>
      </c>
      <c r="H8" s="246">
        <f>E8*G8</f>
        <v>23340</v>
      </c>
      <c r="I8" s="592"/>
      <c r="J8" s="592"/>
      <c r="K8" s="246">
        <f>H8+I8+J8</f>
        <v>23340</v>
      </c>
      <c r="L8" s="592"/>
      <c r="M8" s="592"/>
      <c r="N8" s="75"/>
      <c r="O8" s="593"/>
      <c r="P8" s="594"/>
      <c r="Q8" s="593"/>
      <c r="R8" s="594"/>
    </row>
    <row r="9" spans="1:18" ht="15" x14ac:dyDescent="0.25">
      <c r="A9" s="251" t="s">
        <v>406</v>
      </c>
      <c r="B9" s="251"/>
      <c r="C9" s="251"/>
      <c r="D9" s="254">
        <v>94</v>
      </c>
      <c r="E9" s="250">
        <v>16.63</v>
      </c>
      <c r="F9" s="250">
        <v>16.21</v>
      </c>
      <c r="G9" s="595">
        <v>1900</v>
      </c>
      <c r="H9" s="246">
        <f>E9*G9</f>
        <v>31596.999999999996</v>
      </c>
      <c r="I9" s="250"/>
      <c r="J9" s="250"/>
      <c r="K9" s="246">
        <f t="shared" ref="K9:K18" si="0">H9+I9+J9</f>
        <v>31596.999999999996</v>
      </c>
      <c r="L9" s="250"/>
      <c r="M9" s="250"/>
      <c r="N9" s="75"/>
      <c r="O9" s="593"/>
      <c r="P9" s="594"/>
      <c r="Q9" s="593"/>
      <c r="R9" s="594"/>
    </row>
    <row r="10" spans="1:18" ht="15" x14ac:dyDescent="0.25">
      <c r="A10" s="251" t="s">
        <v>407</v>
      </c>
      <c r="C10" s="251"/>
      <c r="D10" s="596" t="s">
        <v>408</v>
      </c>
      <c r="E10" s="597"/>
      <c r="F10" s="597"/>
      <c r="G10" s="598"/>
      <c r="H10" s="599" t="s">
        <v>409</v>
      </c>
      <c r="I10" s="600">
        <v>-16000</v>
      </c>
      <c r="J10" s="250"/>
      <c r="K10" s="246"/>
      <c r="L10" s="250"/>
      <c r="M10" s="250"/>
      <c r="N10" s="75"/>
      <c r="O10" s="593"/>
      <c r="P10" s="594"/>
      <c r="Q10" s="593"/>
      <c r="R10" s="594"/>
    </row>
    <row r="11" spans="1:18" ht="15" x14ac:dyDescent="0.25">
      <c r="A11" s="601" t="s">
        <v>410</v>
      </c>
      <c r="B11" s="601"/>
      <c r="C11" s="601"/>
      <c r="D11" s="254">
        <v>100</v>
      </c>
      <c r="E11" s="250">
        <v>12.3871</v>
      </c>
      <c r="F11" s="250">
        <v>12.3871</v>
      </c>
      <c r="G11" s="595">
        <v>1200</v>
      </c>
      <c r="H11" s="246">
        <v>14865</v>
      </c>
      <c r="I11" s="250"/>
      <c r="J11" s="250"/>
      <c r="K11" s="246">
        <f t="shared" si="0"/>
        <v>14865</v>
      </c>
      <c r="L11" s="250"/>
      <c r="M11" s="250"/>
      <c r="N11" s="75"/>
      <c r="O11" s="593"/>
      <c r="P11" s="594"/>
      <c r="Q11" s="593"/>
      <c r="R11" s="594"/>
    </row>
    <row r="12" spans="1:18" ht="15" x14ac:dyDescent="0.25">
      <c r="A12" s="251" t="s">
        <v>144</v>
      </c>
      <c r="B12" s="251"/>
      <c r="C12" s="251"/>
      <c r="D12" s="254">
        <v>100</v>
      </c>
      <c r="E12" s="250">
        <v>12.548389999999999</v>
      </c>
      <c r="F12" s="250">
        <v>11</v>
      </c>
      <c r="G12" s="595">
        <v>1728.7919999999999</v>
      </c>
      <c r="H12" s="246">
        <v>21694</v>
      </c>
      <c r="I12" s="250"/>
      <c r="J12" s="250">
        <v>12079</v>
      </c>
      <c r="K12" s="246">
        <f t="shared" si="0"/>
        <v>33773</v>
      </c>
      <c r="L12" s="250"/>
      <c r="M12" s="250"/>
      <c r="N12" s="75"/>
      <c r="O12" s="593"/>
      <c r="P12" s="594"/>
      <c r="Q12" s="593"/>
      <c r="R12" s="594"/>
    </row>
    <row r="13" spans="1:18" ht="15" x14ac:dyDescent="0.25">
      <c r="A13" s="251" t="s">
        <v>411</v>
      </c>
      <c r="B13" s="251"/>
      <c r="C13" s="251"/>
      <c r="D13" s="254">
        <v>100</v>
      </c>
      <c r="E13" s="602">
        <v>9.1718709999999994</v>
      </c>
      <c r="F13" s="602">
        <v>9.1718709999999994</v>
      </c>
      <c r="G13" s="603">
        <v>1200</v>
      </c>
      <c r="H13" s="604">
        <v>11006</v>
      </c>
      <c r="I13" s="250"/>
      <c r="J13" s="250">
        <f>E32*G32</f>
        <v>6664</v>
      </c>
      <c r="K13" s="604">
        <f>+J13+J14+H13</f>
        <v>30093</v>
      </c>
      <c r="L13" s="250"/>
      <c r="M13" s="250"/>
      <c r="N13" s="75"/>
      <c r="O13" s="593"/>
      <c r="P13" s="594"/>
      <c r="Q13" s="593"/>
      <c r="R13" s="594"/>
    </row>
    <row r="14" spans="1:18" ht="15" x14ac:dyDescent="0.25">
      <c r="A14" s="251" t="s">
        <v>79</v>
      </c>
      <c r="C14" s="251"/>
      <c r="D14" s="254">
        <v>53</v>
      </c>
      <c r="E14" s="602"/>
      <c r="F14" s="602"/>
      <c r="G14" s="603"/>
      <c r="H14" s="604"/>
      <c r="I14" s="250"/>
      <c r="J14" s="250">
        <f>E33*G33</f>
        <v>12423</v>
      </c>
      <c r="K14" s="604"/>
      <c r="L14" s="250"/>
      <c r="M14" s="250"/>
      <c r="N14" s="75"/>
      <c r="O14" s="593"/>
      <c r="P14" s="594"/>
      <c r="Q14" s="593"/>
      <c r="R14" s="594"/>
    </row>
    <row r="15" spans="1:18" ht="15" x14ac:dyDescent="0.25">
      <c r="A15" s="251" t="s">
        <v>412</v>
      </c>
      <c r="B15" s="251"/>
      <c r="C15" s="251"/>
      <c r="D15" s="605">
        <v>88</v>
      </c>
      <c r="E15" s="250">
        <v>11.096</v>
      </c>
      <c r="F15" s="250">
        <v>11.096</v>
      </c>
      <c r="G15" s="595">
        <v>1200</v>
      </c>
      <c r="H15" s="246">
        <v>13315</v>
      </c>
      <c r="I15" s="250"/>
      <c r="J15" s="250"/>
      <c r="K15" s="246">
        <f t="shared" si="0"/>
        <v>13315</v>
      </c>
      <c r="L15" s="250"/>
      <c r="M15" s="250"/>
      <c r="N15" s="75"/>
      <c r="O15" s="593"/>
      <c r="P15" s="594"/>
      <c r="Q15" s="593"/>
      <c r="R15" s="594"/>
    </row>
    <row r="16" spans="1:18" ht="15" x14ac:dyDescent="0.25">
      <c r="A16" s="251" t="s">
        <v>271</v>
      </c>
      <c r="B16" s="251"/>
      <c r="C16" s="251"/>
      <c r="D16" s="254">
        <v>100</v>
      </c>
      <c r="E16" s="250">
        <v>4</v>
      </c>
      <c r="F16" s="250">
        <v>3.27</v>
      </c>
      <c r="G16" s="595">
        <v>1600</v>
      </c>
      <c r="H16" s="246">
        <f>E16*G16</f>
        <v>6400</v>
      </c>
      <c r="I16" s="250"/>
      <c r="J16" s="250">
        <v>48690</v>
      </c>
      <c r="K16" s="246">
        <f t="shared" si="0"/>
        <v>55090</v>
      </c>
      <c r="L16" s="250"/>
      <c r="M16" s="250"/>
      <c r="N16" s="75"/>
      <c r="O16" s="593"/>
      <c r="P16" s="594"/>
      <c r="Q16" s="593"/>
      <c r="R16" s="594"/>
    </row>
    <row r="17" spans="1:18" ht="15" x14ac:dyDescent="0.25">
      <c r="A17" s="251" t="s">
        <v>413</v>
      </c>
      <c r="B17" s="251"/>
      <c r="C17" s="251"/>
      <c r="D17" s="254">
        <v>100</v>
      </c>
      <c r="E17" s="250">
        <v>12.5</v>
      </c>
      <c r="F17" s="250">
        <v>12.17</v>
      </c>
      <c r="G17" s="595">
        <v>1000</v>
      </c>
      <c r="H17" s="246">
        <f>E17*G17</f>
        <v>12500</v>
      </c>
      <c r="I17" s="250"/>
      <c r="J17" s="250">
        <v>20000</v>
      </c>
      <c r="K17" s="246">
        <f t="shared" si="0"/>
        <v>32500</v>
      </c>
      <c r="L17" s="250"/>
      <c r="M17" s="250">
        <v>17419</v>
      </c>
      <c r="N17" s="75"/>
      <c r="O17" s="593"/>
      <c r="P17" s="594"/>
      <c r="Q17" s="593"/>
      <c r="R17" s="594"/>
    </row>
    <row r="18" spans="1:18" ht="15" x14ac:dyDescent="0.25">
      <c r="A18" s="251" t="s">
        <v>414</v>
      </c>
      <c r="B18" s="251"/>
      <c r="C18" s="251"/>
      <c r="D18" s="605">
        <v>100</v>
      </c>
      <c r="E18" s="250">
        <v>33.9</v>
      </c>
      <c r="F18" s="250">
        <v>33.9</v>
      </c>
      <c r="G18" s="595">
        <v>1000</v>
      </c>
      <c r="H18" s="246">
        <f>E18*G18</f>
        <v>33900</v>
      </c>
      <c r="I18" s="250"/>
      <c r="J18" s="250"/>
      <c r="K18" s="246">
        <f t="shared" si="0"/>
        <v>33900</v>
      </c>
      <c r="L18" s="250"/>
      <c r="M18" s="250"/>
      <c r="N18" s="75"/>
      <c r="O18" s="593"/>
      <c r="P18" s="594"/>
      <c r="Q18" s="593"/>
      <c r="R18" s="594"/>
    </row>
    <row r="19" spans="1:18" ht="15" x14ac:dyDescent="0.25">
      <c r="A19" s="606" t="s">
        <v>415</v>
      </c>
      <c r="B19" s="606"/>
      <c r="C19" s="606"/>
      <c r="D19" s="607"/>
      <c r="E19" s="608">
        <f>SUM(E8:E18)</f>
        <v>123.90336099999999</v>
      </c>
      <c r="F19" s="608">
        <f t="shared" ref="F19:M19" si="1">SUM(F8:F18)</f>
        <v>120.424971</v>
      </c>
      <c r="G19" s="608">
        <f t="shared" si="1"/>
        <v>12828.791999999999</v>
      </c>
      <c r="H19" s="608">
        <f t="shared" si="1"/>
        <v>168617</v>
      </c>
      <c r="I19" s="608"/>
      <c r="J19" s="608">
        <f t="shared" si="1"/>
        <v>99856</v>
      </c>
      <c r="K19" s="608">
        <f t="shared" si="1"/>
        <v>268473</v>
      </c>
      <c r="L19" s="608">
        <f t="shared" si="1"/>
        <v>0</v>
      </c>
      <c r="M19" s="608">
        <f t="shared" si="1"/>
        <v>17419</v>
      </c>
      <c r="N19" s="75"/>
    </row>
    <row r="20" spans="1:18" ht="15" x14ac:dyDescent="0.25">
      <c r="A20" s="609" t="s">
        <v>416</v>
      </c>
      <c r="B20" s="609"/>
      <c r="C20" s="609"/>
      <c r="D20" s="610"/>
      <c r="E20" s="611">
        <f>E19-F19</f>
        <v>3.4783899999999903</v>
      </c>
      <c r="F20" s="611"/>
      <c r="G20" s="611"/>
      <c r="H20" s="611">
        <f>E27*G27</f>
        <v>5440</v>
      </c>
      <c r="I20" s="611"/>
      <c r="J20" s="611">
        <f>J19-M19</f>
        <v>82437</v>
      </c>
      <c r="K20" s="611">
        <f>SUM(H20:J20)</f>
        <v>87877</v>
      </c>
      <c r="L20" s="609"/>
      <c r="M20" s="609"/>
      <c r="N20" s="75"/>
    </row>
    <row r="21" spans="1:18" ht="15" x14ac:dyDescent="0.25">
      <c r="A21" s="251"/>
      <c r="B21" s="251"/>
      <c r="C21" s="251" t="s">
        <v>37</v>
      </c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75"/>
    </row>
    <row r="22" spans="1:18" ht="15" x14ac:dyDescent="0.25">
      <c r="A22" s="251" t="s">
        <v>40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75"/>
    </row>
    <row r="23" spans="1:18" ht="15" x14ac:dyDescent="0.25">
      <c r="A23" s="612" t="s">
        <v>41</v>
      </c>
      <c r="B23" s="612"/>
      <c r="C23" s="612"/>
      <c r="D23" s="612" t="s">
        <v>42</v>
      </c>
      <c r="E23" s="612" t="s">
        <v>43</v>
      </c>
      <c r="F23" s="612"/>
      <c r="G23" s="612" t="s">
        <v>44</v>
      </c>
      <c r="H23" s="251"/>
      <c r="I23" s="251"/>
      <c r="J23" s="251"/>
      <c r="K23" s="251"/>
      <c r="L23" s="251"/>
      <c r="M23" s="251"/>
      <c r="N23" s="75"/>
    </row>
    <row r="24" spans="1:18" ht="15" x14ac:dyDescent="0.25">
      <c r="A24" s="251" t="s">
        <v>46</v>
      </c>
      <c r="B24" s="251"/>
      <c r="C24" s="251"/>
      <c r="D24" s="251"/>
      <c r="E24" s="251"/>
      <c r="F24" s="251"/>
      <c r="G24" s="251"/>
      <c r="H24" s="251"/>
      <c r="I24" s="251"/>
      <c r="J24" s="613" t="s">
        <v>32</v>
      </c>
      <c r="K24" s="614" t="s">
        <v>33</v>
      </c>
      <c r="L24" s="251"/>
      <c r="M24" s="251"/>
      <c r="N24" s="75"/>
    </row>
    <row r="25" spans="1:18" ht="15" x14ac:dyDescent="0.25">
      <c r="A25" s="251" t="s">
        <v>208</v>
      </c>
      <c r="B25" s="251"/>
      <c r="C25" s="251"/>
      <c r="D25" s="251" t="s">
        <v>49</v>
      </c>
      <c r="E25" s="250">
        <v>8.1999999999999993</v>
      </c>
      <c r="F25" s="251"/>
      <c r="G25" s="250">
        <v>1473</v>
      </c>
      <c r="H25" s="251"/>
      <c r="I25" s="251"/>
      <c r="J25" s="613" t="s">
        <v>417</v>
      </c>
      <c r="K25" s="614">
        <f>65</f>
        <v>65</v>
      </c>
      <c r="L25" s="251"/>
      <c r="M25" s="251"/>
      <c r="N25" s="75"/>
    </row>
    <row r="26" spans="1:18" ht="15" x14ac:dyDescent="0.25">
      <c r="A26" s="251" t="s">
        <v>50</v>
      </c>
      <c r="B26" s="251"/>
      <c r="C26" s="251"/>
      <c r="D26" s="251"/>
      <c r="E26" s="251"/>
      <c r="F26" s="251"/>
      <c r="G26" s="251"/>
      <c r="H26" s="251"/>
      <c r="I26" s="251"/>
      <c r="J26" s="614" t="s">
        <v>418</v>
      </c>
      <c r="K26" s="614">
        <v>35</v>
      </c>
      <c r="L26" s="251"/>
      <c r="M26" s="251"/>
      <c r="N26" s="75"/>
    </row>
    <row r="27" spans="1:18" ht="15" x14ac:dyDescent="0.25">
      <c r="A27" s="251" t="s">
        <v>122</v>
      </c>
      <c r="B27" s="251"/>
      <c r="C27" s="251"/>
      <c r="D27" s="251" t="s">
        <v>52</v>
      </c>
      <c r="E27" s="250">
        <v>4</v>
      </c>
      <c r="F27" s="251"/>
      <c r="G27" s="250">
        <v>1360</v>
      </c>
      <c r="H27" s="251"/>
      <c r="I27" s="590"/>
      <c r="J27" s="590"/>
      <c r="K27" s="590"/>
      <c r="L27" s="251"/>
      <c r="M27" s="251"/>
      <c r="N27" s="75"/>
    </row>
    <row r="28" spans="1:18" ht="15" x14ac:dyDescent="0.25">
      <c r="A28" s="251" t="s">
        <v>124</v>
      </c>
      <c r="B28" s="251"/>
      <c r="C28" s="251"/>
      <c r="D28" s="251" t="s">
        <v>52</v>
      </c>
      <c r="E28" s="250">
        <v>120</v>
      </c>
      <c r="F28" s="251"/>
      <c r="G28" s="251"/>
      <c r="H28" s="251"/>
      <c r="I28" s="590"/>
      <c r="J28" s="614" t="s">
        <v>45</v>
      </c>
      <c r="K28" s="613">
        <v>0.45600000000000002</v>
      </c>
      <c r="L28" s="615"/>
      <c r="M28" s="251"/>
      <c r="N28" s="75"/>
    </row>
    <row r="29" spans="1:18" ht="15" x14ac:dyDescent="0.25">
      <c r="A29" s="251" t="s">
        <v>7</v>
      </c>
      <c r="B29" s="251"/>
      <c r="C29" s="251"/>
      <c r="D29" s="251" t="s">
        <v>52</v>
      </c>
      <c r="E29" s="250">
        <f>E27+E28</f>
        <v>124</v>
      </c>
      <c r="F29" s="251"/>
      <c r="G29" s="251"/>
      <c r="H29" s="251"/>
      <c r="I29" s="590"/>
      <c r="J29" s="614" t="s">
        <v>47</v>
      </c>
      <c r="K29" s="613">
        <v>0.5</v>
      </c>
      <c r="L29" s="616"/>
      <c r="M29" s="251"/>
      <c r="N29" s="75"/>
    </row>
    <row r="30" spans="1:18" ht="15" x14ac:dyDescent="0.25">
      <c r="A30" s="606" t="s">
        <v>419</v>
      </c>
      <c r="B30" s="606"/>
      <c r="C30" s="606" t="s">
        <v>94</v>
      </c>
      <c r="D30" s="606"/>
      <c r="E30" s="606"/>
      <c r="F30" s="606"/>
      <c r="G30" s="606"/>
      <c r="H30" s="251"/>
      <c r="I30" s="590"/>
      <c r="J30" s="590"/>
      <c r="K30" s="251"/>
      <c r="L30" s="251"/>
      <c r="M30" s="251"/>
      <c r="N30" s="75"/>
    </row>
    <row r="31" spans="1:18" ht="15" x14ac:dyDescent="0.25">
      <c r="A31" s="590"/>
      <c r="B31" s="590" t="s">
        <v>210</v>
      </c>
      <c r="C31" s="617">
        <v>-24</v>
      </c>
      <c r="D31" s="590" t="s">
        <v>49</v>
      </c>
      <c r="E31" s="618">
        <v>-51</v>
      </c>
      <c r="F31" s="284"/>
      <c r="G31" s="619">
        <v>-146</v>
      </c>
      <c r="H31" s="251"/>
      <c r="I31" s="590"/>
      <c r="J31" s="590"/>
      <c r="K31" s="251"/>
      <c r="L31" s="251"/>
      <c r="M31" s="251"/>
      <c r="N31" s="75"/>
    </row>
    <row r="32" spans="1:18" ht="15" x14ac:dyDescent="0.25">
      <c r="A32" s="590"/>
      <c r="B32" s="590" t="s">
        <v>420</v>
      </c>
      <c r="C32" s="620">
        <v>82.35</v>
      </c>
      <c r="D32" s="590" t="s">
        <v>49</v>
      </c>
      <c r="E32" s="285">
        <v>136</v>
      </c>
      <c r="F32" s="284"/>
      <c r="G32" s="285">
        <v>49</v>
      </c>
      <c r="H32" s="251"/>
      <c r="I32" s="590"/>
      <c r="J32" s="284"/>
      <c r="K32" s="251"/>
      <c r="L32" s="251"/>
      <c r="M32" s="251"/>
      <c r="N32" s="75"/>
    </row>
    <row r="33" spans="1:14" ht="15" x14ac:dyDescent="0.25">
      <c r="A33" s="590"/>
      <c r="B33" s="590" t="s">
        <v>421</v>
      </c>
      <c r="C33" s="620">
        <v>52.94</v>
      </c>
      <c r="D33" s="590" t="s">
        <v>49</v>
      </c>
      <c r="E33" s="285">
        <v>303</v>
      </c>
      <c r="F33" s="284"/>
      <c r="G33" s="285">
        <v>41</v>
      </c>
      <c r="H33" s="251"/>
      <c r="I33" s="590"/>
      <c r="J33" s="284"/>
      <c r="K33" s="251"/>
      <c r="L33" s="251"/>
      <c r="M33" s="251"/>
      <c r="N33" s="75"/>
    </row>
    <row r="34" spans="1:14" ht="15" x14ac:dyDescent="0.25">
      <c r="A34" s="590"/>
      <c r="B34" s="590" t="s">
        <v>422</v>
      </c>
      <c r="C34" s="617">
        <v>-17.649999999999999</v>
      </c>
      <c r="D34" s="590" t="s">
        <v>49</v>
      </c>
      <c r="E34" s="619">
        <v>-133</v>
      </c>
      <c r="F34" s="284"/>
      <c r="G34" s="621">
        <v>-200</v>
      </c>
      <c r="H34" s="251"/>
      <c r="I34" s="590"/>
      <c r="J34" s="284"/>
      <c r="K34" s="251"/>
      <c r="L34" s="251"/>
      <c r="M34" s="251"/>
      <c r="N34" s="75"/>
    </row>
    <row r="35" spans="1:14" ht="15" x14ac:dyDescent="0.25">
      <c r="A35" s="606" t="s">
        <v>54</v>
      </c>
      <c r="B35" s="606"/>
      <c r="C35" s="606"/>
      <c r="D35" s="606"/>
      <c r="E35" s="606"/>
      <c r="F35" s="606"/>
      <c r="G35" s="622" t="s">
        <v>102</v>
      </c>
      <c r="H35" s="623"/>
      <c r="I35" s="623" t="s">
        <v>423</v>
      </c>
      <c r="J35" s="250"/>
      <c r="K35" s="251"/>
      <c r="L35" s="251"/>
      <c r="M35" s="251"/>
      <c r="N35" s="75"/>
    </row>
    <row r="36" spans="1:14" ht="15" x14ac:dyDescent="0.25">
      <c r="A36" s="590" t="s">
        <v>424</v>
      </c>
      <c r="B36" s="590"/>
      <c r="C36" s="590"/>
      <c r="D36" s="590"/>
      <c r="E36" s="590"/>
      <c r="F36" s="590"/>
      <c r="G36" s="601">
        <v>2325</v>
      </c>
      <c r="H36" s="251"/>
      <c r="I36" s="289">
        <f>G36*2.471</f>
        <v>5745.0749999999998</v>
      </c>
      <c r="J36" s="251"/>
      <c r="K36" s="251"/>
      <c r="L36" s="251"/>
      <c r="M36" s="251"/>
      <c r="N36" s="75"/>
    </row>
    <row r="37" spans="1:14" ht="15" x14ac:dyDescent="0.25">
      <c r="A37" s="590" t="s">
        <v>57</v>
      </c>
      <c r="B37" s="590"/>
      <c r="C37" s="590"/>
      <c r="D37" s="590"/>
      <c r="E37" s="590"/>
      <c r="F37" s="590"/>
      <c r="G37" s="624">
        <v>265</v>
      </c>
      <c r="H37" s="251"/>
      <c r="I37" s="289"/>
      <c r="J37" s="251"/>
      <c r="K37" s="251"/>
      <c r="L37" s="251"/>
      <c r="M37" s="251"/>
      <c r="N37" s="75"/>
    </row>
    <row r="38" spans="1:14" ht="15" x14ac:dyDescent="0.25">
      <c r="A38" s="590" t="s">
        <v>425</v>
      </c>
      <c r="B38" s="590"/>
      <c r="C38" s="590"/>
      <c r="D38" s="590"/>
      <c r="E38" s="590"/>
      <c r="F38" s="590"/>
      <c r="G38" s="624">
        <f>G36*G37</f>
        <v>616125</v>
      </c>
      <c r="H38" s="251"/>
      <c r="I38" s="289">
        <f>G38*2.471</f>
        <v>1522444.875</v>
      </c>
      <c r="J38" s="251"/>
      <c r="K38" s="251"/>
      <c r="L38" s="251"/>
      <c r="M38" s="251"/>
      <c r="N38" s="75"/>
    </row>
    <row r="39" spans="1:14" ht="15" x14ac:dyDescent="0.25">
      <c r="A39" s="590" t="s">
        <v>426</v>
      </c>
      <c r="B39" s="590"/>
      <c r="C39" s="590"/>
      <c r="D39" s="590"/>
      <c r="E39" s="590"/>
      <c r="F39" s="590"/>
      <c r="G39" s="624">
        <f>G38-K19</f>
        <v>347652</v>
      </c>
      <c r="H39" s="625"/>
      <c r="I39" s="289">
        <f>G39*2.471</f>
        <v>859048.09200000006</v>
      </c>
      <c r="J39" s="251"/>
      <c r="K39" s="251"/>
      <c r="L39" s="251"/>
      <c r="M39" s="251"/>
      <c r="N39" s="75"/>
    </row>
    <row r="40" spans="1:14" ht="15" x14ac:dyDescent="0.25">
      <c r="A40" s="590" t="s">
        <v>427</v>
      </c>
      <c r="B40" s="590"/>
      <c r="C40" s="590"/>
      <c r="D40" s="590"/>
      <c r="E40" s="590"/>
      <c r="F40" s="284"/>
      <c r="G40" s="624">
        <f>G38-K20</f>
        <v>528248</v>
      </c>
      <c r="H40" s="251"/>
      <c r="I40" s="289">
        <f>G40*2.471</f>
        <v>1305300.808</v>
      </c>
      <c r="J40" s="251"/>
      <c r="K40" s="251"/>
      <c r="L40" s="251"/>
      <c r="M40" s="251"/>
      <c r="N40" s="75"/>
    </row>
    <row r="41" spans="1:14" ht="15" x14ac:dyDescent="0.25">
      <c r="A41" s="590" t="s">
        <v>428</v>
      </c>
      <c r="B41" s="590"/>
      <c r="C41" s="590"/>
      <c r="D41" s="590"/>
      <c r="E41" s="590"/>
      <c r="F41" s="590"/>
      <c r="G41" s="624">
        <f>K19/G36</f>
        <v>115.47225806451613</v>
      </c>
      <c r="H41" s="251"/>
      <c r="I41" s="289"/>
      <c r="J41" s="251"/>
      <c r="K41" s="251"/>
      <c r="L41" s="251"/>
      <c r="M41" s="251"/>
      <c r="N41" s="75"/>
    </row>
    <row r="42" spans="1:14" ht="15" x14ac:dyDescent="0.25">
      <c r="A42" s="609" t="s">
        <v>429</v>
      </c>
      <c r="B42" s="609"/>
      <c r="C42" s="609"/>
      <c r="D42" s="609"/>
      <c r="E42" s="609"/>
      <c r="F42" s="609"/>
      <c r="G42" s="626">
        <f>K20/G36</f>
        <v>37.796559139784947</v>
      </c>
      <c r="H42" s="251"/>
      <c r="I42" s="251"/>
      <c r="J42" s="251"/>
      <c r="K42" s="251"/>
      <c r="L42" s="251"/>
      <c r="M42" s="251"/>
      <c r="N42" s="75"/>
    </row>
    <row r="43" spans="1:14" ht="15" x14ac:dyDescent="0.25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</row>
    <row r="44" spans="1:14" ht="15" x14ac:dyDescent="0.25">
      <c r="A44" s="627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</row>
  </sheetData>
  <mergeCells count="5">
    <mergeCell ref="E13:E14"/>
    <mergeCell ref="F13:F14"/>
    <mergeCell ref="G13:G14"/>
    <mergeCell ref="H13:H14"/>
    <mergeCell ref="K13:K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activeCell="L29" sqref="L29"/>
    </sheetView>
  </sheetViews>
  <sheetFormatPr defaultColWidth="9.140625" defaultRowHeight="15" x14ac:dyDescent="0.25"/>
  <cols>
    <col min="1" max="1" width="12.5703125" style="102" customWidth="1"/>
    <col min="2" max="2" width="14.140625" style="102" customWidth="1"/>
    <col min="3" max="3" width="10.85546875" style="102" customWidth="1"/>
    <col min="4" max="4" width="7.5703125" style="102" customWidth="1"/>
    <col min="5" max="5" width="6.85546875" style="102" customWidth="1"/>
    <col min="6" max="6" width="11.85546875" style="102" customWidth="1"/>
    <col min="7" max="7" width="11.140625" style="102" customWidth="1"/>
    <col min="8" max="8" width="8.5703125" style="102" customWidth="1"/>
    <col min="9" max="9" width="10.42578125" style="102" customWidth="1"/>
    <col min="10" max="10" width="11.7109375" style="102" customWidth="1"/>
    <col min="11" max="11" width="10.42578125" style="102" customWidth="1"/>
    <col min="12" max="13" width="9.140625" style="102"/>
    <col min="14" max="14" width="9.5703125" style="102" bestFit="1" customWidth="1"/>
    <col min="15" max="16384" width="9.140625" style="102"/>
  </cols>
  <sheetData>
    <row r="1" spans="1:15" x14ac:dyDescent="0.25">
      <c r="A1" s="102" t="s">
        <v>0</v>
      </c>
      <c r="B1" s="102" t="s">
        <v>430</v>
      </c>
      <c r="M1" s="294"/>
      <c r="N1" s="295" t="s">
        <v>431</v>
      </c>
    </row>
    <row r="2" spans="1:15" ht="15.75" x14ac:dyDescent="0.25">
      <c r="A2" s="103"/>
      <c r="B2" s="628" t="s">
        <v>432</v>
      </c>
      <c r="M2" s="294"/>
    </row>
    <row r="3" spans="1:15" ht="15.75" x14ac:dyDescent="0.25">
      <c r="B3" s="628" t="s">
        <v>433</v>
      </c>
      <c r="M3" s="294"/>
    </row>
    <row r="4" spans="1:15" x14ac:dyDescent="0.25">
      <c r="M4" s="294"/>
    </row>
    <row r="5" spans="1:15" x14ac:dyDescent="0.25">
      <c r="A5" s="104" t="s">
        <v>5</v>
      </c>
      <c r="B5" s="104"/>
      <c r="C5" s="105" t="s">
        <v>6</v>
      </c>
      <c r="D5" s="105" t="s">
        <v>7</v>
      </c>
      <c r="E5" s="105" t="s">
        <v>8</v>
      </c>
      <c r="F5" s="105" t="s">
        <v>9</v>
      </c>
      <c r="G5" s="105" t="s">
        <v>10</v>
      </c>
      <c r="H5" s="105" t="s">
        <v>11</v>
      </c>
      <c r="I5" s="105" t="s">
        <v>12</v>
      </c>
      <c r="J5" s="105" t="s">
        <v>13</v>
      </c>
      <c r="K5" s="105" t="s">
        <v>14</v>
      </c>
      <c r="L5" s="105"/>
      <c r="M5" s="294"/>
    </row>
    <row r="6" spans="1:15" x14ac:dyDescent="0.25">
      <c r="A6" s="106"/>
      <c r="B6" s="106"/>
      <c r="C6" s="107" t="s">
        <v>15</v>
      </c>
      <c r="D6" s="107" t="s">
        <v>16</v>
      </c>
      <c r="E6" s="107" t="s">
        <v>16</v>
      </c>
      <c r="F6" s="107" t="s">
        <v>17</v>
      </c>
      <c r="G6" s="107" t="s">
        <v>18</v>
      </c>
      <c r="H6" s="107" t="s">
        <v>19</v>
      </c>
      <c r="I6" s="107" t="s">
        <v>18</v>
      </c>
      <c r="J6" s="107" t="s">
        <v>18</v>
      </c>
      <c r="K6" s="107" t="s">
        <v>11</v>
      </c>
      <c r="L6" s="107" t="s">
        <v>12</v>
      </c>
      <c r="M6" s="294"/>
    </row>
    <row r="7" spans="1:15" x14ac:dyDescent="0.25">
      <c r="A7" s="106"/>
      <c r="B7" s="106"/>
      <c r="C7" s="107" t="s">
        <v>20</v>
      </c>
      <c r="D7" s="107"/>
      <c r="E7" s="107"/>
      <c r="F7" s="107"/>
      <c r="G7" s="107" t="s">
        <v>21</v>
      </c>
      <c r="H7" s="107" t="s">
        <v>18</v>
      </c>
      <c r="I7" s="107" t="s">
        <v>21</v>
      </c>
      <c r="J7" s="107" t="s">
        <v>21</v>
      </c>
      <c r="K7" s="107"/>
      <c r="L7" s="107"/>
      <c r="M7" s="294"/>
    </row>
    <row r="8" spans="1:15" x14ac:dyDescent="0.25">
      <c r="A8" s="108"/>
      <c r="B8" s="108"/>
      <c r="C8" s="109"/>
      <c r="D8" s="109"/>
      <c r="E8" s="109"/>
      <c r="F8" s="110"/>
      <c r="G8" s="110"/>
      <c r="H8" s="110" t="s">
        <v>21</v>
      </c>
      <c r="I8" s="110"/>
      <c r="J8" s="110"/>
      <c r="K8" s="110"/>
      <c r="L8" s="110"/>
      <c r="M8" s="294"/>
    </row>
    <row r="9" spans="1:15" x14ac:dyDescent="0.25">
      <c r="A9" s="102" t="s">
        <v>71</v>
      </c>
      <c r="C9" s="112">
        <v>56</v>
      </c>
      <c r="D9" s="113">
        <v>10.039999999999999</v>
      </c>
      <c r="E9" s="113">
        <v>2.94</v>
      </c>
      <c r="F9" s="114">
        <v>1692</v>
      </c>
      <c r="G9" s="113">
        <v>16988</v>
      </c>
      <c r="H9" s="115"/>
      <c r="I9" s="113"/>
      <c r="J9" s="113">
        <f>G9+H9+I9</f>
        <v>16988</v>
      </c>
      <c r="K9" s="115"/>
      <c r="L9" s="115"/>
      <c r="M9" s="294"/>
      <c r="N9" s="202">
        <v>16987.68</v>
      </c>
    </row>
    <row r="10" spans="1:15" x14ac:dyDescent="0.25">
      <c r="A10" s="102" t="s">
        <v>72</v>
      </c>
      <c r="C10" s="112">
        <v>89</v>
      </c>
      <c r="D10" s="113">
        <v>1.46</v>
      </c>
      <c r="E10" s="113">
        <v>1.46</v>
      </c>
      <c r="F10" s="114">
        <v>1800</v>
      </c>
      <c r="G10" s="113">
        <f>+D10*F10</f>
        <v>2628</v>
      </c>
      <c r="H10" s="113">
        <v>14208</v>
      </c>
      <c r="I10" s="113"/>
      <c r="J10" s="113">
        <f>G10+H10+I10</f>
        <v>16836</v>
      </c>
      <c r="K10" s="113">
        <v>1774</v>
      </c>
      <c r="L10" s="115"/>
      <c r="M10" s="294"/>
      <c r="N10" s="202">
        <v>2628</v>
      </c>
    </row>
    <row r="11" spans="1:15" x14ac:dyDescent="0.25">
      <c r="A11" s="198" t="s">
        <v>434</v>
      </c>
      <c r="C11" s="629" t="s">
        <v>435</v>
      </c>
      <c r="D11" s="630"/>
      <c r="E11" s="631"/>
      <c r="F11" s="632"/>
      <c r="G11" s="631" t="s">
        <v>436</v>
      </c>
      <c r="H11" s="633"/>
      <c r="I11" s="113"/>
      <c r="J11" s="124"/>
      <c r="K11" s="115"/>
      <c r="L11" s="115"/>
      <c r="M11" s="294"/>
      <c r="N11" s="202"/>
      <c r="O11" s="634"/>
    </row>
    <row r="12" spans="1:15" x14ac:dyDescent="0.25">
      <c r="A12" s="102" t="s">
        <v>76</v>
      </c>
      <c r="C12" s="112">
        <v>78</v>
      </c>
      <c r="D12" s="113">
        <v>9.84</v>
      </c>
      <c r="E12" s="113">
        <v>4.37</v>
      </c>
      <c r="F12" s="114">
        <v>1786</v>
      </c>
      <c r="G12" s="113">
        <v>17574</v>
      </c>
      <c r="H12" s="115"/>
      <c r="I12" s="113">
        <v>4072</v>
      </c>
      <c r="J12" s="113">
        <f>G12+H12+I12</f>
        <v>21646</v>
      </c>
      <c r="K12" s="115"/>
      <c r="L12" s="115"/>
      <c r="M12" s="294"/>
      <c r="N12" s="202">
        <v>17574.239999999998</v>
      </c>
    </row>
    <row r="13" spans="1:15" x14ac:dyDescent="0.25">
      <c r="A13" s="102" t="s">
        <v>110</v>
      </c>
      <c r="C13" s="112">
        <v>100</v>
      </c>
      <c r="D13" s="113">
        <v>9.84</v>
      </c>
      <c r="E13" s="113">
        <v>4.37</v>
      </c>
      <c r="F13" s="114">
        <v>1444</v>
      </c>
      <c r="G13" s="113">
        <v>14209</v>
      </c>
      <c r="H13" s="115"/>
      <c r="I13" s="113">
        <f>+D29*F29</f>
        <v>31980</v>
      </c>
      <c r="J13" s="113">
        <f>G13+H13+I13</f>
        <v>46189</v>
      </c>
      <c r="K13" s="115"/>
      <c r="L13" s="115"/>
      <c r="M13" s="294"/>
      <c r="N13" s="202">
        <v>14208.96</v>
      </c>
    </row>
    <row r="14" spans="1:15" x14ac:dyDescent="0.25">
      <c r="A14" s="196" t="s">
        <v>146</v>
      </c>
      <c r="C14" s="635">
        <v>67</v>
      </c>
      <c r="D14" s="636">
        <v>4.33</v>
      </c>
      <c r="E14" s="636">
        <v>3.87</v>
      </c>
      <c r="F14" s="637">
        <v>1250</v>
      </c>
      <c r="G14" s="638">
        <v>5413</v>
      </c>
      <c r="H14" s="115"/>
      <c r="I14" s="113">
        <f>D37*F37</f>
        <v>7686</v>
      </c>
      <c r="J14" s="638">
        <f>+I14+I15+G14</f>
        <v>40339</v>
      </c>
      <c r="K14" s="115"/>
      <c r="L14" s="115"/>
      <c r="M14" s="294"/>
      <c r="N14" s="202">
        <v>5412.5</v>
      </c>
    </row>
    <row r="15" spans="1:15" x14ac:dyDescent="0.25">
      <c r="A15" s="196" t="s">
        <v>147</v>
      </c>
      <c r="C15" s="635">
        <v>77</v>
      </c>
      <c r="D15" s="636"/>
      <c r="E15" s="636"/>
      <c r="F15" s="637"/>
      <c r="G15" s="638"/>
      <c r="H15" s="115"/>
      <c r="I15" s="113">
        <f>D39*F39+D40*F40</f>
        <v>27240</v>
      </c>
      <c r="J15" s="638"/>
      <c r="K15" s="115"/>
      <c r="L15" s="115"/>
      <c r="M15" s="294"/>
      <c r="N15" s="202"/>
    </row>
    <row r="16" spans="1:15" x14ac:dyDescent="0.25">
      <c r="A16" s="102" t="s">
        <v>25</v>
      </c>
      <c r="C16" s="112">
        <v>100</v>
      </c>
      <c r="D16" s="113">
        <v>14.36</v>
      </c>
      <c r="E16" s="113">
        <v>5.48</v>
      </c>
      <c r="F16" s="114">
        <v>1326</v>
      </c>
      <c r="G16" s="113">
        <v>19041</v>
      </c>
      <c r="H16" s="115"/>
      <c r="I16" s="113"/>
      <c r="J16" s="113">
        <f>G16+H16+I16</f>
        <v>19041</v>
      </c>
      <c r="K16" s="115"/>
      <c r="L16" s="115"/>
      <c r="M16" s="294"/>
      <c r="N16" s="202">
        <v>19041.36</v>
      </c>
    </row>
    <row r="17" spans="1:17" x14ac:dyDescent="0.25">
      <c r="A17" s="102" t="s">
        <v>81</v>
      </c>
      <c r="C17" s="112">
        <v>100</v>
      </c>
      <c r="D17" s="113">
        <v>9.07</v>
      </c>
      <c r="E17" s="113">
        <v>6.92</v>
      </c>
      <c r="F17" s="114">
        <v>1508</v>
      </c>
      <c r="G17" s="113">
        <v>13678</v>
      </c>
      <c r="H17" s="115"/>
      <c r="I17" s="113">
        <v>38430</v>
      </c>
      <c r="J17" s="113">
        <f>G17+H17+I17</f>
        <v>52108</v>
      </c>
      <c r="K17" s="115"/>
      <c r="L17" s="115"/>
      <c r="M17" s="294"/>
      <c r="N17" s="202">
        <v>13677.560000000001</v>
      </c>
    </row>
    <row r="18" spans="1:17" x14ac:dyDescent="0.25">
      <c r="A18" s="102" t="s">
        <v>437</v>
      </c>
      <c r="C18" s="112">
        <v>100</v>
      </c>
      <c r="D18" s="113">
        <v>14.09</v>
      </c>
      <c r="E18" s="113">
        <v>6</v>
      </c>
      <c r="F18" s="114">
        <v>1323</v>
      </c>
      <c r="G18" s="113">
        <v>18641</v>
      </c>
      <c r="H18" s="115"/>
      <c r="I18" s="113">
        <v>55000</v>
      </c>
      <c r="J18" s="113">
        <f>G18+H18+I18</f>
        <v>73641</v>
      </c>
      <c r="K18" s="115"/>
      <c r="L18" s="113">
        <v>10543</v>
      </c>
      <c r="M18" s="294"/>
      <c r="N18" s="202">
        <v>18641.07</v>
      </c>
    </row>
    <row r="19" spans="1:17" x14ac:dyDescent="0.25">
      <c r="A19" s="102" t="s">
        <v>82</v>
      </c>
      <c r="C19" s="112">
        <v>100</v>
      </c>
      <c r="D19" s="113">
        <f>24.04</f>
        <v>24.04</v>
      </c>
      <c r="E19" s="113">
        <v>20.37</v>
      </c>
      <c r="F19" s="114">
        <v>1600</v>
      </c>
      <c r="G19" s="113">
        <f t="shared" ref="G19" si="0">+D19*F19</f>
        <v>38464</v>
      </c>
      <c r="H19" s="113">
        <v>10738</v>
      </c>
      <c r="I19" s="113"/>
      <c r="J19" s="113">
        <f>G19+H19+I19</f>
        <v>49202</v>
      </c>
      <c r="K19" s="115"/>
      <c r="L19" s="115"/>
      <c r="M19" s="294"/>
      <c r="N19" s="202">
        <v>38464</v>
      </c>
    </row>
    <row r="20" spans="1:17" x14ac:dyDescent="0.25">
      <c r="A20" s="102" t="s">
        <v>438</v>
      </c>
      <c r="C20" s="112" t="s">
        <v>439</v>
      </c>
      <c r="D20" s="113" t="s">
        <v>440</v>
      </c>
      <c r="E20" s="113" t="s">
        <v>440</v>
      </c>
      <c r="F20" s="114" t="s">
        <v>331</v>
      </c>
      <c r="G20" s="113" t="s">
        <v>441</v>
      </c>
      <c r="H20" s="113" t="s">
        <v>442</v>
      </c>
      <c r="I20" s="113"/>
      <c r="J20" s="113"/>
      <c r="K20" s="115"/>
      <c r="L20" s="115"/>
      <c r="M20" s="294"/>
      <c r="N20" s="202" t="s">
        <v>441</v>
      </c>
    </row>
    <row r="21" spans="1:17" x14ac:dyDescent="0.25">
      <c r="A21" s="102" t="s">
        <v>168</v>
      </c>
      <c r="C21" s="112">
        <v>100</v>
      </c>
      <c r="D21" s="113">
        <v>27.93</v>
      </c>
      <c r="E21" s="113">
        <v>14.64</v>
      </c>
      <c r="F21" s="114">
        <v>1084</v>
      </c>
      <c r="G21" s="113">
        <v>30276</v>
      </c>
      <c r="H21" s="115"/>
      <c r="I21" s="113"/>
      <c r="J21" s="113">
        <f>G21+H21+I21</f>
        <v>30276</v>
      </c>
      <c r="K21" s="115"/>
      <c r="L21" s="115"/>
      <c r="M21" s="294"/>
      <c r="N21" s="202">
        <v>30276.12</v>
      </c>
    </row>
    <row r="22" spans="1:17" x14ac:dyDescent="0.25">
      <c r="A22" s="104" t="s">
        <v>31</v>
      </c>
      <c r="B22" s="104"/>
      <c r="C22" s="176"/>
      <c r="D22" s="639">
        <f>D9+D10+D12+D13+D14+D16+D17+D18+D19+D21</f>
        <v>125</v>
      </c>
      <c r="E22" s="639">
        <f>SUM(E9:E21)</f>
        <v>70.42</v>
      </c>
      <c r="F22" s="639"/>
      <c r="G22" s="639">
        <f>G9+G10+G12+G13+G14+G16+G17+G18+G19+G21</f>
        <v>176912</v>
      </c>
      <c r="H22" s="639">
        <f>SUM(H9:H21)</f>
        <v>24946</v>
      </c>
      <c r="I22" s="639">
        <f>SUM(I9:I21)</f>
        <v>164408</v>
      </c>
      <c r="J22" s="639">
        <f>SUM(G22:I22)</f>
        <v>366266</v>
      </c>
      <c r="K22" s="639">
        <f>SUM(K9:K21)</f>
        <v>1774</v>
      </c>
      <c r="L22" s="639">
        <f>SUM(L9:L21)</f>
        <v>10543</v>
      </c>
      <c r="M22" s="294"/>
    </row>
    <row r="23" spans="1:17" x14ac:dyDescent="0.25">
      <c r="A23" s="108" t="s">
        <v>34</v>
      </c>
      <c r="B23" s="108"/>
      <c r="C23" s="178"/>
      <c r="D23" s="640">
        <f>SUM(D22-E22)</f>
        <v>54.58</v>
      </c>
      <c r="E23" s="640"/>
      <c r="F23" s="640"/>
      <c r="G23" s="640">
        <f>SUM(D32*F32)</f>
        <v>77825</v>
      </c>
      <c r="H23" s="640">
        <f>H22-K22</f>
        <v>23172</v>
      </c>
      <c r="I23" s="640">
        <f>I22-L22</f>
        <v>153865</v>
      </c>
      <c r="J23" s="640">
        <f>SUM(G23:I23)</f>
        <v>254862</v>
      </c>
      <c r="K23" s="640"/>
      <c r="L23" s="110"/>
      <c r="M23" s="294"/>
    </row>
    <row r="24" spans="1:17" x14ac:dyDescent="0.25">
      <c r="M24" s="294"/>
    </row>
    <row r="25" spans="1:17" x14ac:dyDescent="0.25">
      <c r="B25" s="101" t="s">
        <v>37</v>
      </c>
      <c r="M25" s="294"/>
    </row>
    <row r="26" spans="1:17" x14ac:dyDescent="0.25">
      <c r="A26" s="102" t="s">
        <v>40</v>
      </c>
      <c r="M26" s="294"/>
    </row>
    <row r="27" spans="1:17" x14ac:dyDescent="0.25">
      <c r="A27" s="180" t="s">
        <v>41</v>
      </c>
      <c r="B27" s="180"/>
      <c r="C27" s="180" t="s">
        <v>42</v>
      </c>
      <c r="D27" s="180" t="s">
        <v>43</v>
      </c>
      <c r="E27" s="180"/>
      <c r="F27" s="180" t="s">
        <v>44</v>
      </c>
      <c r="J27" s="181"/>
      <c r="M27" s="298"/>
    </row>
    <row r="28" spans="1:17" x14ac:dyDescent="0.25">
      <c r="A28" s="101" t="s">
        <v>46</v>
      </c>
      <c r="I28" s="137" t="s">
        <v>417</v>
      </c>
      <c r="J28" s="139">
        <v>89</v>
      </c>
      <c r="K28" s="111"/>
      <c r="M28" s="299"/>
    </row>
    <row r="29" spans="1:17" x14ac:dyDescent="0.25">
      <c r="A29" s="201" t="s">
        <v>118</v>
      </c>
      <c r="C29" s="102" t="s">
        <v>49</v>
      </c>
      <c r="D29" s="140">
        <v>15</v>
      </c>
      <c r="E29" s="111"/>
      <c r="F29" s="140">
        <v>2132</v>
      </c>
      <c r="G29" s="111"/>
      <c r="H29" s="111"/>
      <c r="I29" s="137" t="s">
        <v>418</v>
      </c>
      <c r="J29" s="139">
        <v>11</v>
      </c>
      <c r="M29" s="294"/>
    </row>
    <row r="30" spans="1:17" x14ac:dyDescent="0.25">
      <c r="D30" s="111"/>
      <c r="E30" s="111"/>
      <c r="F30" s="111"/>
      <c r="G30" s="111"/>
      <c r="H30" s="111"/>
      <c r="I30" s="111"/>
      <c r="J30" s="111"/>
      <c r="M30" s="294"/>
      <c r="Q30" s="168"/>
    </row>
    <row r="31" spans="1:17" x14ac:dyDescent="0.25">
      <c r="A31" s="101" t="s">
        <v>50</v>
      </c>
      <c r="D31" s="111"/>
      <c r="E31" s="111"/>
      <c r="F31" s="111"/>
      <c r="G31" s="111"/>
      <c r="H31" s="111"/>
      <c r="I31" s="137" t="s">
        <v>45</v>
      </c>
      <c r="J31" s="137">
        <v>0.5</v>
      </c>
      <c r="M31" s="294"/>
    </row>
    <row r="32" spans="1:17" x14ac:dyDescent="0.25">
      <c r="A32" s="102" t="s">
        <v>51</v>
      </c>
      <c r="C32" s="102" t="s">
        <v>52</v>
      </c>
      <c r="D32" s="140">
        <v>55</v>
      </c>
      <c r="E32" s="111"/>
      <c r="F32" s="140">
        <v>1415</v>
      </c>
      <c r="G32" s="111"/>
      <c r="H32" s="111"/>
      <c r="I32" s="137" t="s">
        <v>47</v>
      </c>
      <c r="J32" s="137">
        <v>0.5</v>
      </c>
      <c r="M32" s="294"/>
    </row>
    <row r="33" spans="1:13" x14ac:dyDescent="0.25">
      <c r="A33" s="102" t="s">
        <v>53</v>
      </c>
      <c r="C33" s="102" t="s">
        <v>52</v>
      </c>
      <c r="D33" s="140">
        <v>70</v>
      </c>
      <c r="E33" s="111"/>
      <c r="F33" s="111"/>
      <c r="G33" s="111"/>
      <c r="H33" s="111"/>
      <c r="I33" s="111"/>
      <c r="J33" s="111"/>
      <c r="M33" s="294"/>
    </row>
    <row r="34" spans="1:13" x14ac:dyDescent="0.25">
      <c r="A34" s="102" t="s">
        <v>7</v>
      </c>
      <c r="C34" s="102" t="s">
        <v>52</v>
      </c>
      <c r="D34" s="140">
        <f>SUM(D32:D33)</f>
        <v>125</v>
      </c>
      <c r="E34" s="111"/>
      <c r="F34" s="111"/>
      <c r="G34" s="111"/>
      <c r="H34" s="111"/>
      <c r="I34" s="146"/>
      <c r="J34" s="147"/>
      <c r="M34" s="294"/>
    </row>
    <row r="35" spans="1:13" x14ac:dyDescent="0.25">
      <c r="A35" s="187" t="s">
        <v>93</v>
      </c>
      <c r="B35" s="104" t="s">
        <v>94</v>
      </c>
      <c r="C35" s="104"/>
      <c r="D35" s="145"/>
      <c r="E35" s="145"/>
      <c r="F35" s="145"/>
      <c r="G35" s="111"/>
      <c r="H35" s="111"/>
      <c r="I35" s="146"/>
      <c r="J35" s="147"/>
      <c r="M35" s="294"/>
    </row>
    <row r="36" spans="1:13" x14ac:dyDescent="0.25">
      <c r="A36" s="208"/>
      <c r="B36" s="151"/>
      <c r="C36" s="150"/>
      <c r="D36" s="149"/>
      <c r="E36" s="149"/>
      <c r="F36" s="152"/>
      <c r="I36" s="149"/>
      <c r="J36" s="149"/>
      <c r="M36" s="294"/>
    </row>
    <row r="37" spans="1:13" x14ac:dyDescent="0.25">
      <c r="A37" s="208" t="s">
        <v>128</v>
      </c>
      <c r="B37" s="151">
        <v>67</v>
      </c>
      <c r="C37" s="117" t="s">
        <v>96</v>
      </c>
      <c r="D37" s="152">
        <v>549</v>
      </c>
      <c r="E37" s="149"/>
      <c r="F37" s="152">
        <v>14</v>
      </c>
      <c r="G37" s="111"/>
      <c r="M37" s="294"/>
    </row>
    <row r="38" spans="1:13" x14ac:dyDescent="0.25">
      <c r="A38" s="208" t="s">
        <v>98</v>
      </c>
      <c r="B38" s="151" t="s">
        <v>443</v>
      </c>
      <c r="C38" s="149" t="s">
        <v>96</v>
      </c>
      <c r="D38" s="152" t="s">
        <v>444</v>
      </c>
      <c r="E38" s="149"/>
      <c r="F38" s="152" t="s">
        <v>445</v>
      </c>
      <c r="G38" s="111"/>
      <c r="M38" s="294"/>
    </row>
    <row r="39" spans="1:13" x14ac:dyDescent="0.25">
      <c r="A39" s="150" t="s">
        <v>446</v>
      </c>
      <c r="B39" s="151">
        <v>67</v>
      </c>
      <c r="C39" s="149" t="s">
        <v>96</v>
      </c>
      <c r="D39" s="152">
        <v>24</v>
      </c>
      <c r="E39" s="149"/>
      <c r="F39" s="152">
        <v>399</v>
      </c>
      <c r="G39" s="111"/>
      <c r="M39" s="294"/>
    </row>
    <row r="40" spans="1:13" x14ac:dyDescent="0.25">
      <c r="A40" s="149" t="s">
        <v>447</v>
      </c>
      <c r="B40" s="641">
        <v>56</v>
      </c>
      <c r="C40" s="117" t="s">
        <v>96</v>
      </c>
      <c r="D40" s="155">
        <v>92</v>
      </c>
      <c r="E40" s="149"/>
      <c r="F40" s="156">
        <v>192</v>
      </c>
      <c r="G40" s="111"/>
      <c r="K40" s="168"/>
      <c r="M40" s="294"/>
    </row>
    <row r="41" spans="1:13" x14ac:dyDescent="0.25">
      <c r="A41" s="149" t="s">
        <v>448</v>
      </c>
      <c r="B41" s="151" t="s">
        <v>443</v>
      </c>
      <c r="C41" s="117" t="s">
        <v>96</v>
      </c>
      <c r="D41" s="149" t="s">
        <v>449</v>
      </c>
      <c r="E41" s="149"/>
      <c r="F41" s="152" t="s">
        <v>450</v>
      </c>
      <c r="G41" s="111"/>
      <c r="K41" s="168"/>
      <c r="M41" s="294"/>
    </row>
    <row r="42" spans="1:13" x14ac:dyDescent="0.25">
      <c r="A42" s="200"/>
      <c r="B42" s="206"/>
      <c r="C42" s="200"/>
      <c r="D42" s="108"/>
      <c r="E42" s="108"/>
      <c r="F42" s="108"/>
      <c r="K42" s="168"/>
      <c r="M42" s="294"/>
    </row>
    <row r="43" spans="1:13" x14ac:dyDescent="0.25">
      <c r="A43" s="187" t="s">
        <v>54</v>
      </c>
      <c r="B43" s="104"/>
      <c r="C43" s="164" t="s">
        <v>102</v>
      </c>
      <c r="D43" s="164"/>
      <c r="E43" s="164"/>
      <c r="F43" s="164" t="s">
        <v>132</v>
      </c>
      <c r="K43" s="202"/>
      <c r="M43" s="294"/>
    </row>
    <row r="44" spans="1:13" x14ac:dyDescent="0.25">
      <c r="A44" s="106" t="s">
        <v>133</v>
      </c>
      <c r="B44" s="106"/>
      <c r="C44" s="152">
        <v>3311</v>
      </c>
      <c r="D44" s="149"/>
      <c r="E44" s="149"/>
      <c r="F44" s="202">
        <f>+C44*2.471</f>
        <v>8181.4810000000007</v>
      </c>
      <c r="G44" s="159"/>
      <c r="M44" s="294"/>
    </row>
    <row r="45" spans="1:13" x14ac:dyDescent="0.25">
      <c r="A45" s="106" t="s">
        <v>57</v>
      </c>
      <c r="B45" s="106"/>
      <c r="C45" s="152">
        <v>148</v>
      </c>
      <c r="D45" s="149"/>
      <c r="E45" s="149"/>
      <c r="F45" s="202"/>
      <c r="G45" s="160"/>
      <c r="M45" s="294"/>
    </row>
    <row r="46" spans="1:13" x14ac:dyDescent="0.25">
      <c r="A46" s="106" t="s">
        <v>134</v>
      </c>
      <c r="B46" s="106"/>
      <c r="C46" s="152">
        <f>C44*C45</f>
        <v>490028</v>
      </c>
      <c r="D46" s="149"/>
      <c r="E46" s="149"/>
      <c r="F46" s="202">
        <f t="shared" ref="F46:F48" si="1">+C46*2.471</f>
        <v>1210859.1880000001</v>
      </c>
      <c r="G46" s="160"/>
      <c r="M46" s="294"/>
    </row>
    <row r="47" spans="1:13" x14ac:dyDescent="0.25">
      <c r="A47" s="106" t="s">
        <v>135</v>
      </c>
      <c r="B47" s="106"/>
      <c r="C47" s="152">
        <f>C46-J22</f>
        <v>123762</v>
      </c>
      <c r="D47" s="149"/>
      <c r="E47" s="149"/>
      <c r="F47" s="202">
        <f t="shared" si="1"/>
        <v>305815.902</v>
      </c>
      <c r="G47" s="160"/>
      <c r="M47" s="294"/>
    </row>
    <row r="48" spans="1:13" x14ac:dyDescent="0.25">
      <c r="A48" s="106" t="s">
        <v>136</v>
      </c>
      <c r="B48" s="106"/>
      <c r="C48" s="152">
        <f>C46-J23</f>
        <v>235166</v>
      </c>
      <c r="D48" s="149"/>
      <c r="E48" s="149"/>
      <c r="F48" s="202">
        <f t="shared" si="1"/>
        <v>581095.18599999999</v>
      </c>
      <c r="G48" s="160"/>
      <c r="M48" s="294"/>
    </row>
    <row r="49" spans="1:13" x14ac:dyDescent="0.25">
      <c r="A49" s="106" t="s">
        <v>137</v>
      </c>
      <c r="B49" s="106"/>
      <c r="C49" s="152">
        <f>J22/C44</f>
        <v>110.62096043491393</v>
      </c>
      <c r="D49" s="149"/>
      <c r="E49" s="149"/>
      <c r="F49" s="160"/>
      <c r="M49" s="294"/>
    </row>
    <row r="50" spans="1:13" x14ac:dyDescent="0.25">
      <c r="A50" s="108" t="s">
        <v>138</v>
      </c>
      <c r="B50" s="108"/>
      <c r="C50" s="162">
        <f>J23/C44</f>
        <v>76.974327997583813</v>
      </c>
      <c r="D50" s="143"/>
      <c r="E50" s="143"/>
      <c r="F50" s="163"/>
      <c r="M50" s="294"/>
    </row>
    <row r="61" spans="1:13" x14ac:dyDescent="0.25">
      <c r="F61" s="102" t="s">
        <v>64</v>
      </c>
    </row>
  </sheetData>
  <mergeCells count="5">
    <mergeCell ref="D14:D15"/>
    <mergeCell ref="E14:E15"/>
    <mergeCell ref="F14:F15"/>
    <mergeCell ref="G14:G15"/>
    <mergeCell ref="J14:J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selection activeCell="I38" sqref="I38"/>
    </sheetView>
  </sheetViews>
  <sheetFormatPr defaultColWidth="9.140625" defaultRowHeight="12.75" x14ac:dyDescent="0.2"/>
  <cols>
    <col min="1" max="1" width="12.5703125" style="54" customWidth="1"/>
    <col min="2" max="2" width="8.7109375" style="54" customWidth="1"/>
    <col min="3" max="3" width="6.7109375" style="54" customWidth="1"/>
    <col min="4" max="4" width="9.5703125" style="54" customWidth="1"/>
    <col min="5" max="5" width="6.85546875" style="54" customWidth="1"/>
    <col min="6" max="6" width="8.140625" style="54" customWidth="1"/>
    <col min="7" max="7" width="9.85546875" style="54" customWidth="1"/>
    <col min="8" max="8" width="7.5703125" style="54" customWidth="1"/>
    <col min="9" max="9" width="8.42578125" style="54" customWidth="1"/>
    <col min="10" max="10" width="9.7109375" style="54" customWidth="1"/>
    <col min="11" max="11" width="8.42578125" style="54" customWidth="1"/>
    <col min="12" max="12" width="7.28515625" style="54" customWidth="1"/>
    <col min="13" max="13" width="9.140625" style="54"/>
    <col min="14" max="14" width="9.5703125" style="54" bestFit="1" customWidth="1"/>
    <col min="15" max="16384" width="9.140625" style="54"/>
  </cols>
  <sheetData>
    <row r="1" spans="1:15" ht="15.75" x14ac:dyDescent="0.25">
      <c r="A1" s="54" t="s">
        <v>0</v>
      </c>
      <c r="B1" s="642" t="s">
        <v>451</v>
      </c>
    </row>
    <row r="2" spans="1:15" ht="15.75" x14ac:dyDescent="0.25">
      <c r="B2" s="642" t="s">
        <v>452</v>
      </c>
      <c r="N2" s="643" t="s">
        <v>453</v>
      </c>
    </row>
    <row r="3" spans="1:15" ht="15.75" x14ac:dyDescent="0.25">
      <c r="B3" s="642" t="s">
        <v>433</v>
      </c>
      <c r="M3" s="400"/>
    </row>
    <row r="4" spans="1:15" x14ac:dyDescent="0.2">
      <c r="M4" s="400"/>
    </row>
    <row r="5" spans="1:15" x14ac:dyDescent="0.2">
      <c r="A5" s="74" t="s">
        <v>5</v>
      </c>
      <c r="B5" s="74"/>
      <c r="C5" s="350" t="s">
        <v>6</v>
      </c>
      <c r="D5" s="350" t="s">
        <v>7</v>
      </c>
      <c r="E5" s="350" t="s">
        <v>8</v>
      </c>
      <c r="F5" s="350" t="s">
        <v>9</v>
      </c>
      <c r="G5" s="350" t="s">
        <v>10</v>
      </c>
      <c r="H5" s="350" t="s">
        <v>11</v>
      </c>
      <c r="I5" s="350" t="s">
        <v>12</v>
      </c>
      <c r="J5" s="350" t="s">
        <v>13</v>
      </c>
      <c r="K5" s="351" t="s">
        <v>14</v>
      </c>
      <c r="L5" s="350"/>
      <c r="M5" s="400"/>
    </row>
    <row r="6" spans="1:15" x14ac:dyDescent="0.2">
      <c r="A6" s="352"/>
      <c r="B6" s="352"/>
      <c r="C6" s="353" t="s">
        <v>15</v>
      </c>
      <c r="D6" s="353" t="s">
        <v>16</v>
      </c>
      <c r="E6" s="353" t="s">
        <v>16</v>
      </c>
      <c r="F6" s="353" t="s">
        <v>17</v>
      </c>
      <c r="G6" s="353" t="s">
        <v>18</v>
      </c>
      <c r="H6" s="353" t="s">
        <v>19</v>
      </c>
      <c r="I6" s="353" t="s">
        <v>18</v>
      </c>
      <c r="J6" s="353" t="s">
        <v>18</v>
      </c>
      <c r="K6" s="354" t="s">
        <v>11</v>
      </c>
      <c r="L6" s="353" t="s">
        <v>12</v>
      </c>
      <c r="M6" s="400"/>
    </row>
    <row r="7" spans="1:15" x14ac:dyDescent="0.2">
      <c r="A7" s="352"/>
      <c r="B7" s="352"/>
      <c r="C7" s="353" t="s">
        <v>20</v>
      </c>
      <c r="D7" s="353"/>
      <c r="E7" s="353"/>
      <c r="F7" s="353"/>
      <c r="G7" s="353" t="s">
        <v>21</v>
      </c>
      <c r="H7" s="353" t="s">
        <v>18</v>
      </c>
      <c r="I7" s="353" t="s">
        <v>21</v>
      </c>
      <c r="J7" s="353" t="s">
        <v>21</v>
      </c>
      <c r="K7" s="353"/>
      <c r="L7" s="353"/>
      <c r="M7" s="400"/>
    </row>
    <row r="8" spans="1:15" x14ac:dyDescent="0.2">
      <c r="A8" s="80"/>
      <c r="B8" s="80"/>
      <c r="C8" s="355"/>
      <c r="D8" s="355"/>
      <c r="E8" s="355"/>
      <c r="F8" s="355"/>
      <c r="G8" s="355"/>
      <c r="H8" s="355" t="s">
        <v>21</v>
      </c>
      <c r="I8" s="355"/>
      <c r="J8" s="355"/>
      <c r="K8" s="355"/>
      <c r="L8" s="355"/>
      <c r="M8" s="400"/>
    </row>
    <row r="9" spans="1:15" x14ac:dyDescent="0.2">
      <c r="A9" s="54" t="s">
        <v>22</v>
      </c>
      <c r="C9" s="356">
        <v>82</v>
      </c>
      <c r="D9" s="171">
        <v>13</v>
      </c>
      <c r="E9" s="171">
        <v>6.2</v>
      </c>
      <c r="F9" s="357">
        <v>1937</v>
      </c>
      <c r="G9" s="314">
        <f>SUM(D9*F9)</f>
        <v>25181</v>
      </c>
      <c r="H9" s="313"/>
      <c r="I9" s="314"/>
      <c r="J9" s="314">
        <f>SUM(G9:I9)</f>
        <v>25181</v>
      </c>
      <c r="M9" s="400"/>
    </row>
    <row r="10" spans="1:15" x14ac:dyDescent="0.2">
      <c r="A10" s="54" t="s">
        <v>454</v>
      </c>
      <c r="C10" s="356">
        <v>82</v>
      </c>
      <c r="D10" s="171">
        <v>1.04</v>
      </c>
      <c r="E10" s="171">
        <v>1.04</v>
      </c>
      <c r="F10" s="357">
        <v>1658</v>
      </c>
      <c r="G10" s="314">
        <v>1724</v>
      </c>
      <c r="H10" s="314">
        <v>12900</v>
      </c>
      <c r="I10" s="314"/>
      <c r="J10" s="314">
        <f>SUM(G10:I10)</f>
        <v>14624</v>
      </c>
      <c r="K10" s="171">
        <v>9968</v>
      </c>
      <c r="M10" s="400"/>
    </row>
    <row r="11" spans="1:15" x14ac:dyDescent="0.2">
      <c r="A11" s="644" t="s">
        <v>455</v>
      </c>
      <c r="C11" s="645" t="s">
        <v>456</v>
      </c>
      <c r="D11" s="646"/>
      <c r="E11" s="646"/>
      <c r="F11" s="647"/>
      <c r="G11" s="648" t="s">
        <v>457</v>
      </c>
      <c r="H11" s="649"/>
      <c r="I11" s="314"/>
      <c r="J11" s="314"/>
      <c r="M11" s="400"/>
      <c r="O11" s="650"/>
    </row>
    <row r="12" spans="1:15" x14ac:dyDescent="0.2">
      <c r="A12" s="54" t="s">
        <v>76</v>
      </c>
      <c r="C12" s="356">
        <v>100</v>
      </c>
      <c r="D12" s="171">
        <v>12</v>
      </c>
      <c r="E12" s="171">
        <v>2</v>
      </c>
      <c r="F12" s="357">
        <v>2018</v>
      </c>
      <c r="G12" s="314">
        <f>+D12*F12</f>
        <v>24216</v>
      </c>
      <c r="H12" s="313"/>
      <c r="I12" s="314">
        <v>4056</v>
      </c>
      <c r="J12" s="314">
        <f>SUM(G12:I12)</f>
        <v>28272</v>
      </c>
      <c r="M12" s="400"/>
    </row>
    <row r="13" spans="1:15" x14ac:dyDescent="0.2">
      <c r="A13" s="54" t="s">
        <v>110</v>
      </c>
      <c r="C13" s="356">
        <v>100</v>
      </c>
      <c r="D13" s="171">
        <v>10.76</v>
      </c>
      <c r="E13" s="171">
        <v>2.88</v>
      </c>
      <c r="F13" s="357">
        <v>1707</v>
      </c>
      <c r="G13" s="314">
        <v>18367</v>
      </c>
      <c r="H13" s="313"/>
      <c r="I13" s="314">
        <f>+D27*F27</f>
        <v>274167</v>
      </c>
      <c r="J13" s="314">
        <f>SUM(G13:I13)</f>
        <v>292534</v>
      </c>
      <c r="L13" s="171">
        <v>82924</v>
      </c>
      <c r="M13" s="400"/>
    </row>
    <row r="14" spans="1:15" x14ac:dyDescent="0.2">
      <c r="A14" s="348" t="s">
        <v>79</v>
      </c>
      <c r="C14" s="356">
        <v>45</v>
      </c>
      <c r="D14" s="651">
        <v>9.58</v>
      </c>
      <c r="E14" s="651">
        <v>6.78</v>
      </c>
      <c r="F14" s="652">
        <v>1975</v>
      </c>
      <c r="G14" s="653">
        <v>18921</v>
      </c>
      <c r="H14" s="313"/>
      <c r="I14" s="314">
        <f>+D35*F35</f>
        <v>16662</v>
      </c>
      <c r="J14" s="653">
        <f>+I15+I14+G14</f>
        <v>82361</v>
      </c>
      <c r="L14" s="171"/>
      <c r="M14" s="400"/>
    </row>
    <row r="15" spans="1:15" x14ac:dyDescent="0.2">
      <c r="A15" s="348" t="s">
        <v>80</v>
      </c>
      <c r="C15" s="356">
        <v>100</v>
      </c>
      <c r="D15" s="651"/>
      <c r="E15" s="651"/>
      <c r="F15" s="652"/>
      <c r="G15" s="653"/>
      <c r="H15" s="313"/>
      <c r="I15" s="314">
        <f>+D36*F36+D37*F37</f>
        <v>46778</v>
      </c>
      <c r="J15" s="653"/>
      <c r="L15" s="171"/>
      <c r="M15" s="400"/>
    </row>
    <row r="16" spans="1:15" x14ac:dyDescent="0.2">
      <c r="A16" s="54" t="s">
        <v>25</v>
      </c>
      <c r="C16" s="356">
        <v>91</v>
      </c>
      <c r="D16" s="171">
        <v>11.33</v>
      </c>
      <c r="E16" s="171">
        <v>5.6</v>
      </c>
      <c r="F16" s="357">
        <v>2147</v>
      </c>
      <c r="G16" s="314">
        <v>24326</v>
      </c>
      <c r="H16" s="313"/>
      <c r="I16" s="314"/>
      <c r="J16" s="314">
        <f>SUM(G16:I16)</f>
        <v>24326</v>
      </c>
      <c r="L16" s="171"/>
      <c r="M16" s="400"/>
    </row>
    <row r="17" spans="1:16" x14ac:dyDescent="0.2">
      <c r="A17" s="54" t="s">
        <v>271</v>
      </c>
      <c r="C17" s="356">
        <v>82</v>
      </c>
      <c r="D17" s="171">
        <v>8.9499999999999993</v>
      </c>
      <c r="E17" s="171">
        <v>6.86</v>
      </c>
      <c r="F17" s="357">
        <v>1969</v>
      </c>
      <c r="G17" s="314">
        <v>17623</v>
      </c>
      <c r="H17" s="313"/>
      <c r="I17" s="314">
        <v>27563</v>
      </c>
      <c r="J17" s="314">
        <f>SUM(G17:I17)</f>
        <v>45186</v>
      </c>
      <c r="L17" s="171"/>
      <c r="M17" s="400"/>
    </row>
    <row r="18" spans="1:16" x14ac:dyDescent="0.2">
      <c r="A18" s="54" t="s">
        <v>458</v>
      </c>
      <c r="C18" s="356">
        <v>100</v>
      </c>
      <c r="D18" s="171">
        <v>15.62</v>
      </c>
      <c r="E18" s="171">
        <v>15.3</v>
      </c>
      <c r="F18" s="357">
        <v>1658</v>
      </c>
      <c r="G18" s="314">
        <v>25898</v>
      </c>
      <c r="H18" s="314">
        <v>4246</v>
      </c>
      <c r="I18" s="314"/>
      <c r="J18" s="314">
        <f>SUM(G18:I18)</f>
        <v>30144</v>
      </c>
      <c r="L18" s="171"/>
      <c r="M18" s="400"/>
    </row>
    <row r="19" spans="1:16" x14ac:dyDescent="0.2">
      <c r="A19" s="54" t="s">
        <v>83</v>
      </c>
      <c r="C19" s="356">
        <v>100</v>
      </c>
      <c r="D19" s="171">
        <v>13.8</v>
      </c>
      <c r="E19" s="171">
        <v>1.7</v>
      </c>
      <c r="F19" s="357">
        <v>1658</v>
      </c>
      <c r="G19" s="314">
        <v>22880</v>
      </c>
      <c r="H19" s="313"/>
      <c r="I19" s="314"/>
      <c r="J19" s="314">
        <f>SUM(G19:I19)</f>
        <v>22880</v>
      </c>
      <c r="L19" s="171"/>
      <c r="M19" s="400"/>
    </row>
    <row r="20" spans="1:16" x14ac:dyDescent="0.2">
      <c r="A20" s="74" t="s">
        <v>415</v>
      </c>
      <c r="B20" s="74"/>
      <c r="C20" s="363"/>
      <c r="D20" s="364">
        <f>SUM(D9:D19)</f>
        <v>96.08</v>
      </c>
      <c r="E20" s="364">
        <f>SUM(E9:E19)</f>
        <v>48.36</v>
      </c>
      <c r="F20" s="364"/>
      <c r="G20" s="364">
        <f t="shared" ref="G20:L20" si="0">SUM(G9:G19)</f>
        <v>179136</v>
      </c>
      <c r="H20" s="364">
        <f t="shared" si="0"/>
        <v>17146</v>
      </c>
      <c r="I20" s="364">
        <f t="shared" si="0"/>
        <v>369226</v>
      </c>
      <c r="J20" s="364">
        <f t="shared" si="0"/>
        <v>565508</v>
      </c>
      <c r="K20" s="364">
        <f t="shared" si="0"/>
        <v>9968</v>
      </c>
      <c r="L20" s="364">
        <f t="shared" si="0"/>
        <v>82924</v>
      </c>
      <c r="M20" s="400"/>
    </row>
    <row r="21" spans="1:16" x14ac:dyDescent="0.2">
      <c r="A21" s="80" t="s">
        <v>459</v>
      </c>
      <c r="B21" s="80"/>
      <c r="C21" s="365"/>
      <c r="D21" s="366">
        <f>SUM(D20-E20)</f>
        <v>47.72</v>
      </c>
      <c r="E21" s="366"/>
      <c r="F21" s="366"/>
      <c r="G21" s="366">
        <f>SUM(D30*F30)</f>
        <v>89568</v>
      </c>
      <c r="H21" s="366">
        <f>H20-K20</f>
        <v>7178</v>
      </c>
      <c r="I21" s="366">
        <f>I20-L20</f>
        <v>286302</v>
      </c>
      <c r="J21" s="366">
        <f>SUM(G21:I21)</f>
        <v>383048</v>
      </c>
      <c r="K21" s="80"/>
      <c r="L21" s="80"/>
      <c r="M21" s="400"/>
    </row>
    <row r="22" spans="1:16" x14ac:dyDescent="0.2">
      <c r="M22" s="400"/>
    </row>
    <row r="23" spans="1:16" x14ac:dyDescent="0.2">
      <c r="B23" s="368" t="s">
        <v>37</v>
      </c>
      <c r="M23" s="400"/>
    </row>
    <row r="24" spans="1:16" x14ac:dyDescent="0.2">
      <c r="A24" s="54" t="s">
        <v>40</v>
      </c>
      <c r="M24" s="400"/>
    </row>
    <row r="25" spans="1:16" x14ac:dyDescent="0.2">
      <c r="A25" s="367" t="s">
        <v>41</v>
      </c>
      <c r="B25" s="367"/>
      <c r="C25" s="654" t="s">
        <v>42</v>
      </c>
      <c r="D25" s="367" t="s">
        <v>43</v>
      </c>
      <c r="E25" s="367"/>
      <c r="F25" s="367" t="s">
        <v>44</v>
      </c>
      <c r="J25" s="369"/>
      <c r="M25" s="655"/>
      <c r="O25" s="656" t="s">
        <v>154</v>
      </c>
      <c r="P25" s="657">
        <v>1</v>
      </c>
    </row>
    <row r="26" spans="1:16" x14ac:dyDescent="0.2">
      <c r="A26" s="368" t="s">
        <v>46</v>
      </c>
      <c r="C26" s="658"/>
      <c r="J26" s="369"/>
      <c r="M26" s="659"/>
    </row>
    <row r="27" spans="1:16" x14ac:dyDescent="0.2">
      <c r="A27" s="419" t="s">
        <v>118</v>
      </c>
      <c r="C27" s="658" t="s">
        <v>49</v>
      </c>
      <c r="D27" s="660">
        <v>743</v>
      </c>
      <c r="E27" s="313"/>
      <c r="F27" s="314">
        <v>369</v>
      </c>
      <c r="M27" s="400"/>
      <c r="O27" s="656" t="s">
        <v>45</v>
      </c>
      <c r="P27" s="656">
        <v>0.59</v>
      </c>
    </row>
    <row r="28" spans="1:16" x14ac:dyDescent="0.2">
      <c r="C28" s="658"/>
      <c r="M28" s="400"/>
      <c r="O28" s="656" t="s">
        <v>47</v>
      </c>
      <c r="P28" s="656" t="s">
        <v>460</v>
      </c>
    </row>
    <row r="29" spans="1:16" x14ac:dyDescent="0.2">
      <c r="A29" s="368" t="s">
        <v>50</v>
      </c>
      <c r="C29" s="658"/>
      <c r="M29" s="400"/>
    </row>
    <row r="30" spans="1:16" x14ac:dyDescent="0.2">
      <c r="A30" s="54" t="s">
        <v>51</v>
      </c>
      <c r="C30" s="658" t="s">
        <v>52</v>
      </c>
      <c r="D30" s="171">
        <v>48</v>
      </c>
      <c r="F30" s="171">
        <v>1866</v>
      </c>
      <c r="M30" s="400"/>
    </row>
    <row r="31" spans="1:16" x14ac:dyDescent="0.2">
      <c r="A31" s="54" t="s">
        <v>53</v>
      </c>
      <c r="C31" s="658" t="s">
        <v>52</v>
      </c>
      <c r="D31" s="171">
        <v>48</v>
      </c>
      <c r="M31" s="400"/>
    </row>
    <row r="32" spans="1:16" x14ac:dyDescent="0.2">
      <c r="A32" s="54" t="s">
        <v>7</v>
      </c>
      <c r="C32" s="658" t="s">
        <v>52</v>
      </c>
      <c r="D32" s="171">
        <v>96</v>
      </c>
      <c r="J32" s="658"/>
      <c r="M32" s="400"/>
    </row>
    <row r="33" spans="1:13" x14ac:dyDescent="0.2">
      <c r="A33" s="374" t="s">
        <v>93</v>
      </c>
      <c r="B33" s="74" t="s">
        <v>94</v>
      </c>
      <c r="C33" s="74"/>
      <c r="D33" s="74"/>
      <c r="E33" s="74"/>
      <c r="F33" s="74"/>
      <c r="M33" s="400"/>
    </row>
    <row r="34" spans="1:13" x14ac:dyDescent="0.2">
      <c r="A34" s="661" t="s">
        <v>125</v>
      </c>
      <c r="B34" s="662"/>
      <c r="C34" s="661"/>
      <c r="D34" s="352"/>
      <c r="E34" s="352"/>
      <c r="F34" s="373"/>
      <c r="M34" s="400"/>
    </row>
    <row r="35" spans="1:13" x14ac:dyDescent="0.2">
      <c r="A35" s="661" t="s">
        <v>461</v>
      </c>
      <c r="B35" s="663">
        <v>45</v>
      </c>
      <c r="C35" s="664" t="s">
        <v>96</v>
      </c>
      <c r="D35" s="665">
        <v>2777</v>
      </c>
      <c r="E35" s="414"/>
      <c r="F35" s="414">
        <v>6</v>
      </c>
      <c r="M35" s="400"/>
    </row>
    <row r="36" spans="1:13" x14ac:dyDescent="0.2">
      <c r="A36" s="449" t="s">
        <v>448</v>
      </c>
      <c r="B36" s="663">
        <v>82</v>
      </c>
      <c r="C36" s="664" t="s">
        <v>96</v>
      </c>
      <c r="D36" s="373">
        <v>363</v>
      </c>
      <c r="E36" s="373"/>
      <c r="F36" s="373">
        <v>100</v>
      </c>
      <c r="M36" s="400"/>
    </row>
    <row r="37" spans="1:13" x14ac:dyDescent="0.2">
      <c r="A37" s="666" t="s">
        <v>462</v>
      </c>
      <c r="B37" s="667">
        <v>45</v>
      </c>
      <c r="C37" s="664" t="s">
        <v>96</v>
      </c>
      <c r="D37" s="366">
        <v>338</v>
      </c>
      <c r="E37" s="366"/>
      <c r="F37" s="366">
        <v>31</v>
      </c>
      <c r="M37" s="400"/>
    </row>
    <row r="38" spans="1:13" x14ac:dyDescent="0.2">
      <c r="A38" s="661" t="s">
        <v>463</v>
      </c>
      <c r="B38" s="663" t="s">
        <v>464</v>
      </c>
      <c r="C38" s="668"/>
      <c r="D38" s="669" t="s">
        <v>465</v>
      </c>
      <c r="E38" s="373"/>
      <c r="F38" s="669" t="s">
        <v>466</v>
      </c>
      <c r="M38" s="400"/>
    </row>
    <row r="39" spans="1:13" x14ac:dyDescent="0.2">
      <c r="A39" s="374" t="s">
        <v>54</v>
      </c>
      <c r="B39" s="74"/>
      <c r="D39" s="670" t="s">
        <v>102</v>
      </c>
      <c r="E39" s="670"/>
      <c r="F39" s="670" t="s">
        <v>132</v>
      </c>
      <c r="M39" s="400"/>
    </row>
    <row r="40" spans="1:13" x14ac:dyDescent="0.2">
      <c r="A40" s="352" t="s">
        <v>467</v>
      </c>
      <c r="B40" s="352"/>
      <c r="D40" s="414">
        <v>3900</v>
      </c>
      <c r="E40" s="449"/>
      <c r="F40" s="376">
        <f>+D40*2.471</f>
        <v>9636.9</v>
      </c>
      <c r="G40" s="671"/>
      <c r="M40" s="400"/>
    </row>
    <row r="41" spans="1:13" x14ac:dyDescent="0.2">
      <c r="A41" s="352" t="s">
        <v>468</v>
      </c>
      <c r="B41" s="352"/>
      <c r="D41" s="414">
        <v>159</v>
      </c>
      <c r="E41" s="449"/>
      <c r="F41" s="376">
        <f t="shared" ref="F41:F44" si="1">+D41*2.471</f>
        <v>392.88900000000001</v>
      </c>
      <c r="G41" s="672"/>
      <c r="M41" s="400"/>
    </row>
    <row r="42" spans="1:13" x14ac:dyDescent="0.2">
      <c r="A42" s="352" t="s">
        <v>469</v>
      </c>
      <c r="B42" s="352"/>
      <c r="D42" s="414">
        <f>D40*D41</f>
        <v>620100</v>
      </c>
      <c r="E42" s="449"/>
      <c r="F42" s="376">
        <f t="shared" si="1"/>
        <v>1532267.1</v>
      </c>
      <c r="G42" s="171"/>
      <c r="M42" s="400"/>
    </row>
    <row r="43" spans="1:13" x14ac:dyDescent="0.2">
      <c r="A43" s="352" t="s">
        <v>135</v>
      </c>
      <c r="B43" s="352"/>
      <c r="D43" s="414">
        <f>D42-J20</f>
        <v>54592</v>
      </c>
      <c r="E43" s="449"/>
      <c r="F43" s="376">
        <f t="shared" si="1"/>
        <v>134896.83199999999</v>
      </c>
      <c r="G43" s="171"/>
      <c r="M43" s="400"/>
    </row>
    <row r="44" spans="1:13" x14ac:dyDescent="0.2">
      <c r="A44" s="352" t="s">
        <v>136</v>
      </c>
      <c r="B44" s="352"/>
      <c r="D44" s="414">
        <f>D42-J21</f>
        <v>237052</v>
      </c>
      <c r="E44" s="449"/>
      <c r="F44" s="376">
        <f t="shared" si="1"/>
        <v>585755.49199999997</v>
      </c>
      <c r="G44" s="171"/>
      <c r="M44" s="400"/>
    </row>
    <row r="45" spans="1:13" x14ac:dyDescent="0.2">
      <c r="A45" s="352" t="s">
        <v>137</v>
      </c>
      <c r="B45" s="352"/>
      <c r="D45" s="414">
        <f>J20/D40</f>
        <v>145.00205128205127</v>
      </c>
      <c r="E45" s="449"/>
      <c r="F45" s="672"/>
      <c r="M45" s="400"/>
    </row>
    <row r="46" spans="1:13" x14ac:dyDescent="0.2">
      <c r="A46" s="80" t="s">
        <v>138</v>
      </c>
      <c r="B46" s="80"/>
      <c r="D46" s="673">
        <f>J21/D40</f>
        <v>98.217435897435891</v>
      </c>
      <c r="E46" s="674"/>
      <c r="F46" s="675"/>
      <c r="M46" s="400"/>
    </row>
    <row r="47" spans="1:13" x14ac:dyDescent="0.2">
      <c r="M47" s="400"/>
    </row>
    <row r="57" spans="6:6" x14ac:dyDescent="0.2">
      <c r="F57" s="54" t="s">
        <v>64</v>
      </c>
    </row>
  </sheetData>
  <mergeCells count="5">
    <mergeCell ref="D14:D15"/>
    <mergeCell ref="E14:E15"/>
    <mergeCell ref="F14:F15"/>
    <mergeCell ref="G14:G15"/>
    <mergeCell ref="J14:J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workbookViewId="0">
      <selection activeCell="J32" sqref="J32"/>
    </sheetView>
  </sheetViews>
  <sheetFormatPr defaultColWidth="9.140625" defaultRowHeight="15" x14ac:dyDescent="0.25"/>
  <cols>
    <col min="1" max="2" width="9.140625" style="102"/>
    <col min="3" max="3" width="12" style="102" customWidth="1"/>
    <col min="4" max="4" width="7.85546875" style="102" customWidth="1"/>
    <col min="5" max="5" width="6" style="102" customWidth="1"/>
    <col min="6" max="6" width="6.85546875" style="102" customWidth="1"/>
    <col min="7" max="7" width="8.85546875" style="102" customWidth="1"/>
    <col min="8" max="8" width="8.42578125" style="102" customWidth="1"/>
    <col min="9" max="9" width="8.140625" style="102" customWidth="1"/>
    <col min="10" max="10" width="8" style="102" customWidth="1"/>
    <col min="11" max="11" width="8.5703125" style="102" customWidth="1"/>
    <col min="12" max="12" width="7.5703125" style="102" customWidth="1"/>
    <col min="13" max="14" width="9.140625" style="102"/>
    <col min="15" max="15" width="10.7109375" style="102" bestFit="1" customWidth="1"/>
    <col min="16" max="18" width="10.5703125" style="102" bestFit="1" customWidth="1"/>
    <col min="19" max="16384" width="9.140625" style="102"/>
  </cols>
  <sheetData>
    <row r="1" spans="1:19" x14ac:dyDescent="0.25">
      <c r="A1" s="54" t="s">
        <v>0</v>
      </c>
      <c r="B1" s="54" t="s">
        <v>470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676"/>
      <c r="N1" s="386"/>
      <c r="O1" s="295" t="s">
        <v>471</v>
      </c>
    </row>
    <row r="2" spans="1:19" x14ac:dyDescent="0.25">
      <c r="A2" s="54"/>
      <c r="B2" s="54" t="s">
        <v>472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676"/>
      <c r="N2" s="386"/>
      <c r="O2" s="296">
        <v>44791</v>
      </c>
    </row>
    <row r="3" spans="1:19" x14ac:dyDescent="0.25">
      <c r="A3" s="54"/>
      <c r="B3" s="54" t="s">
        <v>177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676"/>
      <c r="N3" s="386"/>
    </row>
    <row r="4" spans="1:19" x14ac:dyDescent="0.25">
      <c r="A4" s="74" t="s">
        <v>5</v>
      </c>
      <c r="B4" s="74"/>
      <c r="C4" s="74"/>
      <c r="D4" s="350" t="s">
        <v>6</v>
      </c>
      <c r="E4" s="350" t="s">
        <v>7</v>
      </c>
      <c r="F4" s="350" t="s">
        <v>8</v>
      </c>
      <c r="G4" s="350" t="s">
        <v>9</v>
      </c>
      <c r="H4" s="350" t="s">
        <v>10</v>
      </c>
      <c r="I4" s="350" t="s">
        <v>11</v>
      </c>
      <c r="J4" s="350" t="s">
        <v>12</v>
      </c>
      <c r="K4" s="350" t="s">
        <v>13</v>
      </c>
      <c r="L4" s="351" t="s">
        <v>14</v>
      </c>
      <c r="M4" s="677"/>
      <c r="N4" s="386"/>
    </row>
    <row r="5" spans="1:19" x14ac:dyDescent="0.25">
      <c r="A5" s="352"/>
      <c r="B5" s="352"/>
      <c r="C5" s="352"/>
      <c r="D5" s="353" t="s">
        <v>15</v>
      </c>
      <c r="E5" s="353" t="s">
        <v>16</v>
      </c>
      <c r="F5" s="353" t="s">
        <v>16</v>
      </c>
      <c r="G5" s="353" t="s">
        <v>17</v>
      </c>
      <c r="H5" s="353" t="s">
        <v>18</v>
      </c>
      <c r="I5" s="353" t="s">
        <v>19</v>
      </c>
      <c r="J5" s="353" t="s">
        <v>18</v>
      </c>
      <c r="K5" s="353" t="s">
        <v>18</v>
      </c>
      <c r="L5" s="354" t="s">
        <v>11</v>
      </c>
      <c r="M5" s="678" t="s">
        <v>12</v>
      </c>
      <c r="N5" s="386"/>
    </row>
    <row r="6" spans="1:19" x14ac:dyDescent="0.25">
      <c r="A6" s="352"/>
      <c r="B6" s="352"/>
      <c r="C6" s="352"/>
      <c r="D6" s="353" t="s">
        <v>20</v>
      </c>
      <c r="E6" s="353"/>
      <c r="F6" s="353"/>
      <c r="G6" s="353"/>
      <c r="H6" s="353" t="s">
        <v>21</v>
      </c>
      <c r="I6" s="353" t="s">
        <v>18</v>
      </c>
      <c r="J6" s="353" t="s">
        <v>21</v>
      </c>
      <c r="K6" s="353" t="s">
        <v>21</v>
      </c>
      <c r="L6" s="353"/>
      <c r="M6" s="678"/>
      <c r="N6" s="386"/>
    </row>
    <row r="7" spans="1:19" x14ac:dyDescent="0.25">
      <c r="A7" s="80"/>
      <c r="B7" s="80"/>
      <c r="C7" s="80"/>
      <c r="D7" s="355"/>
      <c r="E7" s="355"/>
      <c r="F7" s="355"/>
      <c r="G7" s="355"/>
      <c r="H7" s="355"/>
      <c r="I7" s="355" t="s">
        <v>21</v>
      </c>
      <c r="J7" s="355"/>
      <c r="K7" s="355"/>
      <c r="L7" s="355"/>
      <c r="M7" s="679"/>
      <c r="N7" s="386"/>
    </row>
    <row r="8" spans="1:19" x14ac:dyDescent="0.25">
      <c r="A8" s="54" t="s">
        <v>473</v>
      </c>
      <c r="B8" s="54"/>
      <c r="C8" s="54"/>
      <c r="D8" s="680" t="s">
        <v>474</v>
      </c>
      <c r="E8" s="171"/>
      <c r="F8" s="171"/>
      <c r="G8" s="357"/>
      <c r="H8" s="681" t="s">
        <v>475</v>
      </c>
      <c r="I8" s="313"/>
      <c r="J8" s="314"/>
      <c r="K8" s="314">
        <f>SUM(H8:J8)</f>
        <v>0</v>
      </c>
      <c r="L8" s="313"/>
      <c r="M8" s="676"/>
      <c r="N8" s="682"/>
      <c r="S8" s="683"/>
    </row>
    <row r="9" spans="1:19" s="196" customFormat="1" x14ac:dyDescent="0.25">
      <c r="A9" s="348" t="s">
        <v>476</v>
      </c>
      <c r="B9" s="348"/>
      <c r="C9" s="348"/>
      <c r="D9" s="684" t="s">
        <v>332</v>
      </c>
      <c r="E9" s="685"/>
      <c r="F9" s="685"/>
      <c r="G9" s="686"/>
      <c r="H9" s="685" t="s">
        <v>477</v>
      </c>
      <c r="I9" s="687"/>
      <c r="J9" s="685" t="s">
        <v>478</v>
      </c>
      <c r="K9" s="688"/>
      <c r="L9" s="687"/>
      <c r="M9" s="689"/>
      <c r="N9" s="690"/>
      <c r="P9" s="691"/>
      <c r="S9" s="692"/>
    </row>
    <row r="10" spans="1:19" s="120" customFormat="1" x14ac:dyDescent="0.25">
      <c r="A10" s="687" t="s">
        <v>71</v>
      </c>
      <c r="B10" s="687"/>
      <c r="C10" s="687"/>
      <c r="D10" s="684" t="s">
        <v>479</v>
      </c>
      <c r="E10" s="685"/>
      <c r="F10" s="685"/>
      <c r="G10" s="686"/>
      <c r="H10" s="685" t="s">
        <v>480</v>
      </c>
      <c r="I10" s="687"/>
      <c r="J10" s="688"/>
      <c r="K10" s="688"/>
      <c r="L10" s="687"/>
      <c r="M10" s="693"/>
      <c r="N10" s="690"/>
      <c r="P10" s="694"/>
      <c r="R10" s="695"/>
      <c r="S10" s="696"/>
    </row>
    <row r="11" spans="1:19" s="120" customFormat="1" x14ac:dyDescent="0.25">
      <c r="A11" s="687" t="s">
        <v>481</v>
      </c>
      <c r="B11" s="687"/>
      <c r="C11" s="687"/>
      <c r="D11" s="697">
        <v>55</v>
      </c>
      <c r="E11" s="688">
        <v>0.23</v>
      </c>
      <c r="F11" s="688">
        <v>0.23</v>
      </c>
      <c r="G11" s="698">
        <v>1588</v>
      </c>
      <c r="H11" s="688">
        <v>365</v>
      </c>
      <c r="I11" s="698">
        <v>6377</v>
      </c>
      <c r="J11" s="688"/>
      <c r="K11" s="688">
        <f>SUM(H11:J11)</f>
        <v>6742</v>
      </c>
      <c r="L11" s="687">
        <v>3683</v>
      </c>
      <c r="M11" s="693"/>
      <c r="N11" s="690"/>
      <c r="P11" s="694"/>
      <c r="Q11" s="695"/>
      <c r="S11" s="197"/>
    </row>
    <row r="12" spans="1:19" s="120" customFormat="1" x14ac:dyDescent="0.25">
      <c r="A12" s="699" t="s">
        <v>482</v>
      </c>
      <c r="B12" s="687"/>
      <c r="C12" s="687"/>
      <c r="D12" s="700" t="s">
        <v>483</v>
      </c>
      <c r="E12" s="701"/>
      <c r="F12" s="701"/>
      <c r="G12" s="702"/>
      <c r="H12" s="685" t="s">
        <v>484</v>
      </c>
      <c r="I12" s="701" t="s">
        <v>485</v>
      </c>
      <c r="J12" s="688"/>
      <c r="K12" s="688"/>
      <c r="L12" s="703"/>
      <c r="M12" s="693"/>
      <c r="N12" s="690"/>
      <c r="P12" s="197"/>
      <c r="Q12" s="197"/>
      <c r="S12" s="197"/>
    </row>
    <row r="13" spans="1:19" s="120" customFormat="1" x14ac:dyDescent="0.25">
      <c r="A13" s="704" t="s">
        <v>486</v>
      </c>
      <c r="B13" s="687"/>
      <c r="C13" s="687"/>
      <c r="D13" s="697">
        <v>100</v>
      </c>
      <c r="E13" s="688">
        <v>2.72</v>
      </c>
      <c r="F13" s="688">
        <v>0.82</v>
      </c>
      <c r="G13" s="698">
        <v>1671</v>
      </c>
      <c r="H13" s="688">
        <v>4545</v>
      </c>
      <c r="I13" s="687"/>
      <c r="J13" s="688">
        <v>26329</v>
      </c>
      <c r="K13" s="688">
        <f>SUM(H13:J13)</f>
        <v>30874</v>
      </c>
      <c r="L13" s="687"/>
      <c r="M13" s="693"/>
      <c r="N13" s="690"/>
      <c r="P13" s="197"/>
      <c r="Q13" s="694"/>
      <c r="S13" s="197"/>
    </row>
    <row r="14" spans="1:19" s="120" customFormat="1" x14ac:dyDescent="0.25">
      <c r="A14" s="687" t="s">
        <v>146</v>
      </c>
      <c r="B14" s="687"/>
      <c r="C14" s="687"/>
      <c r="D14" s="684" t="s">
        <v>487</v>
      </c>
      <c r="E14" s="705">
        <v>3.09</v>
      </c>
      <c r="F14" s="705">
        <v>0.78</v>
      </c>
      <c r="G14" s="706">
        <v>1638</v>
      </c>
      <c r="H14" s="705">
        <v>5061</v>
      </c>
      <c r="I14" s="687"/>
      <c r="J14" s="705">
        <f>+E37*G37+E38*G38</f>
        <v>15051</v>
      </c>
      <c r="K14" s="705">
        <f>SUM(H14:J14)</f>
        <v>20112</v>
      </c>
      <c r="L14" s="687"/>
      <c r="M14" s="693"/>
      <c r="N14" s="690"/>
      <c r="O14" s="197"/>
      <c r="P14" s="197"/>
      <c r="S14" s="197"/>
    </row>
    <row r="15" spans="1:19" s="120" customFormat="1" x14ac:dyDescent="0.25">
      <c r="A15" s="687" t="s">
        <v>111</v>
      </c>
      <c r="B15" s="687"/>
      <c r="C15" s="687"/>
      <c r="D15" s="697">
        <v>100</v>
      </c>
      <c r="E15" s="705"/>
      <c r="F15" s="705"/>
      <c r="G15" s="706"/>
      <c r="H15" s="705"/>
      <c r="I15" s="687"/>
      <c r="J15" s="705"/>
      <c r="K15" s="705"/>
      <c r="L15" s="687"/>
      <c r="M15" s="693"/>
      <c r="N15" s="690"/>
      <c r="O15" s="197"/>
      <c r="P15" s="197"/>
      <c r="S15" s="197"/>
    </row>
    <row r="16" spans="1:19" s="111" customFormat="1" x14ac:dyDescent="0.25">
      <c r="A16" s="313" t="s">
        <v>488</v>
      </c>
      <c r="B16" s="313"/>
      <c r="C16" s="313"/>
      <c r="D16" s="707">
        <v>87</v>
      </c>
      <c r="E16" s="314">
        <v>5</v>
      </c>
      <c r="F16" s="314">
        <v>1.41</v>
      </c>
      <c r="G16" s="708">
        <v>1522</v>
      </c>
      <c r="H16" s="314">
        <f>+E16*G16</f>
        <v>7610</v>
      </c>
      <c r="I16" s="313"/>
      <c r="J16" s="314"/>
      <c r="K16" s="314">
        <f>SUM(H16:J16)</f>
        <v>7610</v>
      </c>
      <c r="L16" s="313"/>
      <c r="M16" s="709"/>
      <c r="N16" s="386"/>
      <c r="O16" s="140"/>
      <c r="P16" s="140"/>
      <c r="Q16" s="140"/>
    </row>
    <row r="17" spans="1:18" s="111" customFormat="1" x14ac:dyDescent="0.25">
      <c r="A17" s="313" t="s">
        <v>149</v>
      </c>
      <c r="B17" s="313"/>
      <c r="C17" s="313"/>
      <c r="D17" s="707">
        <v>42</v>
      </c>
      <c r="E17" s="314">
        <v>0.73</v>
      </c>
      <c r="F17" s="314">
        <v>0.14000000000000001</v>
      </c>
      <c r="G17" s="708">
        <v>1582</v>
      </c>
      <c r="H17" s="314">
        <v>1155</v>
      </c>
      <c r="I17" s="313"/>
      <c r="J17" s="314">
        <v>3894</v>
      </c>
      <c r="K17" s="314">
        <f>SUM(H17:J17)</f>
        <v>5049</v>
      </c>
      <c r="L17" s="313"/>
      <c r="M17" s="709"/>
      <c r="N17" s="386"/>
      <c r="O17" s="140"/>
      <c r="P17" s="140"/>
      <c r="Q17" s="140"/>
    </row>
    <row r="18" spans="1:18" s="111" customFormat="1" x14ac:dyDescent="0.25">
      <c r="A18" s="313" t="s">
        <v>81</v>
      </c>
      <c r="B18" s="313"/>
      <c r="C18" s="313"/>
      <c r="D18" s="707">
        <v>71</v>
      </c>
      <c r="E18" s="314">
        <v>1.06</v>
      </c>
      <c r="F18" s="314">
        <v>0.71</v>
      </c>
      <c r="G18" s="708">
        <v>1718</v>
      </c>
      <c r="H18" s="314">
        <v>1821</v>
      </c>
      <c r="I18" s="313"/>
      <c r="J18" s="314">
        <v>2994</v>
      </c>
      <c r="K18" s="314">
        <f>SUM(H18:J18)</f>
        <v>4815</v>
      </c>
      <c r="L18" s="313"/>
      <c r="M18" s="709"/>
      <c r="N18" s="386"/>
      <c r="P18" s="140"/>
      <c r="Q18" s="140"/>
    </row>
    <row r="19" spans="1:18" s="111" customFormat="1" x14ac:dyDescent="0.25">
      <c r="A19" s="313" t="s">
        <v>489</v>
      </c>
      <c r="B19" s="313"/>
      <c r="C19" s="313"/>
      <c r="D19" s="707">
        <v>100</v>
      </c>
      <c r="E19" s="314">
        <v>4.59</v>
      </c>
      <c r="F19" s="314">
        <v>1.69</v>
      </c>
      <c r="G19" s="708">
        <v>1700</v>
      </c>
      <c r="H19" s="314">
        <f>+E19*G19</f>
        <v>7803</v>
      </c>
      <c r="I19" s="313"/>
      <c r="J19" s="314"/>
      <c r="K19" s="314">
        <f>SUM(H19:J19)</f>
        <v>7803</v>
      </c>
      <c r="L19" s="313"/>
      <c r="M19" s="709"/>
      <c r="N19" s="386"/>
    </row>
    <row r="20" spans="1:18" s="111" customFormat="1" x14ac:dyDescent="0.25">
      <c r="A20" s="313" t="s">
        <v>30</v>
      </c>
      <c r="B20" s="313"/>
      <c r="C20" s="313"/>
      <c r="D20" s="707">
        <v>87</v>
      </c>
      <c r="E20" s="314">
        <v>0.42</v>
      </c>
      <c r="F20" s="314">
        <v>0.33</v>
      </c>
      <c r="G20" s="708">
        <v>1679</v>
      </c>
      <c r="H20" s="314">
        <v>705</v>
      </c>
      <c r="I20" s="314">
        <v>3671</v>
      </c>
      <c r="J20" s="314"/>
      <c r="K20" s="314">
        <f>SUM(H20:J20)</f>
        <v>4376</v>
      </c>
      <c r="L20" s="313"/>
      <c r="M20" s="709"/>
      <c r="N20" s="386"/>
      <c r="R20" s="140"/>
    </row>
    <row r="21" spans="1:18" x14ac:dyDescent="0.25">
      <c r="A21" s="74" t="s">
        <v>31</v>
      </c>
      <c r="B21" s="74"/>
      <c r="C21" s="74"/>
      <c r="D21" s="363"/>
      <c r="E21" s="364">
        <f>SUM(E8:E20)</f>
        <v>17.840000000000003</v>
      </c>
      <c r="F21" s="364">
        <f>SUM(F8:F20)</f>
        <v>6.1099999999999994</v>
      </c>
      <c r="G21" s="364"/>
      <c r="H21" s="710">
        <f>SUM(H8:H20)</f>
        <v>29065</v>
      </c>
      <c r="I21" s="710">
        <f t="shared" ref="I21:M21" si="0">SUM(I8:I20)</f>
        <v>10048</v>
      </c>
      <c r="J21" s="710">
        <f t="shared" si="0"/>
        <v>48268</v>
      </c>
      <c r="K21" s="710">
        <f t="shared" si="0"/>
        <v>87381</v>
      </c>
      <c r="L21" s="330">
        <f t="shared" si="0"/>
        <v>3683</v>
      </c>
      <c r="M21" s="711">
        <f t="shared" si="0"/>
        <v>0</v>
      </c>
      <c r="N21" s="386"/>
      <c r="R21" s="168"/>
    </row>
    <row r="22" spans="1:18" x14ac:dyDescent="0.25">
      <c r="A22" s="80" t="s">
        <v>34</v>
      </c>
      <c r="B22" s="80"/>
      <c r="C22" s="80"/>
      <c r="D22" s="365"/>
      <c r="E22" s="366">
        <f>SUM(E21-F21)</f>
        <v>11.730000000000004</v>
      </c>
      <c r="F22" s="366"/>
      <c r="G22" s="366"/>
      <c r="H22" s="673">
        <f>SUM(E31*G31)</f>
        <v>19380</v>
      </c>
      <c r="I22" s="673">
        <f>I21-L21</f>
        <v>6365</v>
      </c>
      <c r="J22" s="673">
        <f>J21-M21</f>
        <v>48268</v>
      </c>
      <c r="K22" s="673">
        <f>SUM(H22:J22)</f>
        <v>74013</v>
      </c>
      <c r="L22" s="674"/>
      <c r="M22" s="712"/>
      <c r="N22" s="386"/>
      <c r="R22" s="168"/>
    </row>
    <row r="23" spans="1:18" x14ac:dyDescent="0.25">
      <c r="A23" s="699" t="s">
        <v>490</v>
      </c>
      <c r="B23" s="54"/>
      <c r="D23" s="54"/>
      <c r="E23" s="54"/>
      <c r="F23" s="54"/>
      <c r="G23" s="54"/>
      <c r="H23" s="54"/>
      <c r="I23" s="54"/>
      <c r="J23" s="54"/>
      <c r="K23" s="54"/>
      <c r="L23" s="54"/>
      <c r="M23" s="676"/>
      <c r="N23" s="386"/>
      <c r="R23" s="168"/>
    </row>
    <row r="24" spans="1:18" x14ac:dyDescent="0.25">
      <c r="L24" s="54"/>
      <c r="M24" s="676"/>
      <c r="N24" s="386"/>
    </row>
    <row r="25" spans="1:18" x14ac:dyDescent="0.25">
      <c r="C25" s="54" t="s">
        <v>37</v>
      </c>
      <c r="L25" s="54"/>
      <c r="M25" s="676"/>
      <c r="N25" s="713"/>
    </row>
    <row r="26" spans="1:18" x14ac:dyDescent="0.25">
      <c r="A26" s="54" t="s">
        <v>40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676"/>
      <c r="N26" s="391"/>
    </row>
    <row r="27" spans="1:18" x14ac:dyDescent="0.25">
      <c r="A27" s="367" t="s">
        <v>41</v>
      </c>
      <c r="B27" s="367"/>
      <c r="C27" s="367"/>
      <c r="D27" s="367" t="s">
        <v>42</v>
      </c>
      <c r="E27" s="367" t="s">
        <v>43</v>
      </c>
      <c r="F27" s="367"/>
      <c r="G27" s="367" t="s">
        <v>44</v>
      </c>
      <c r="H27" s="54"/>
      <c r="I27" s="54"/>
      <c r="J27" s="54"/>
      <c r="K27" s="369"/>
      <c r="L27" s="54"/>
      <c r="M27" s="676"/>
      <c r="N27" s="386"/>
      <c r="P27" s="656"/>
      <c r="Q27" s="657"/>
    </row>
    <row r="28" spans="1:18" x14ac:dyDescent="0.25">
      <c r="A28" s="54" t="s">
        <v>46</v>
      </c>
      <c r="B28" s="54"/>
      <c r="C28" s="54"/>
      <c r="D28" s="54"/>
      <c r="E28" s="313"/>
      <c r="F28" s="313"/>
      <c r="G28" s="313"/>
      <c r="H28" s="313"/>
      <c r="I28" s="54"/>
      <c r="J28" s="54"/>
      <c r="K28" s="369"/>
      <c r="L28" s="54"/>
      <c r="M28" s="676"/>
      <c r="N28" s="386"/>
      <c r="P28" s="656" t="s">
        <v>45</v>
      </c>
      <c r="Q28" s="656">
        <v>60.13</v>
      </c>
    </row>
    <row r="29" spans="1:18" x14ac:dyDescent="0.25">
      <c r="A29" s="419" t="s">
        <v>153</v>
      </c>
      <c r="B29" s="54"/>
      <c r="C29" s="54"/>
      <c r="D29" s="54" t="s">
        <v>49</v>
      </c>
      <c r="E29" s="660">
        <v>0.43</v>
      </c>
      <c r="F29" s="313"/>
      <c r="G29" s="314">
        <v>61230</v>
      </c>
      <c r="H29" s="313"/>
      <c r="I29" s="54"/>
      <c r="L29" s="54"/>
      <c r="M29" s="676"/>
      <c r="N29" s="386"/>
      <c r="P29" s="656" t="s">
        <v>47</v>
      </c>
      <c r="Q29" s="656">
        <v>2</v>
      </c>
    </row>
    <row r="30" spans="1:18" x14ac:dyDescent="0.25">
      <c r="A30" s="54" t="s">
        <v>50</v>
      </c>
      <c r="B30" s="54"/>
      <c r="C30" s="54"/>
      <c r="D30" s="54"/>
      <c r="E30" s="313"/>
      <c r="F30" s="313"/>
      <c r="G30" s="313"/>
      <c r="H30" s="313"/>
      <c r="I30" s="54"/>
      <c r="L30" s="54"/>
      <c r="M30" s="676"/>
      <c r="N30" s="386"/>
    </row>
    <row r="31" spans="1:18" x14ac:dyDescent="0.25">
      <c r="A31" s="54" t="s">
        <v>122</v>
      </c>
      <c r="B31" s="54"/>
      <c r="C31" s="54"/>
      <c r="D31" s="54" t="s">
        <v>52</v>
      </c>
      <c r="E31" s="314">
        <v>12</v>
      </c>
      <c r="F31" s="313"/>
      <c r="G31" s="314">
        <v>1615</v>
      </c>
      <c r="H31" s="313"/>
      <c r="I31" s="54"/>
      <c r="L31" s="54"/>
      <c r="M31" s="676"/>
      <c r="N31" s="386"/>
    </row>
    <row r="32" spans="1:18" x14ac:dyDescent="0.25">
      <c r="A32" s="54" t="s">
        <v>124</v>
      </c>
      <c r="B32" s="54"/>
      <c r="C32" s="54"/>
      <c r="D32" s="54" t="s">
        <v>52</v>
      </c>
      <c r="E32" s="314">
        <v>6</v>
      </c>
      <c r="F32" s="313"/>
      <c r="G32" s="313"/>
      <c r="H32" s="313"/>
      <c r="I32" s="54"/>
      <c r="J32" s="54"/>
      <c r="K32" s="54"/>
      <c r="L32" s="54"/>
      <c r="M32" s="676"/>
      <c r="N32" s="386"/>
    </row>
    <row r="33" spans="1:14" x14ac:dyDescent="0.25">
      <c r="A33" s="54" t="s">
        <v>7</v>
      </c>
      <c r="B33" s="54"/>
      <c r="C33" s="54"/>
      <c r="D33" s="54" t="s">
        <v>52</v>
      </c>
      <c r="E33" s="314">
        <v>18</v>
      </c>
      <c r="F33" s="313"/>
      <c r="G33" s="313"/>
      <c r="H33" s="313"/>
      <c r="I33" s="54"/>
      <c r="J33" s="54"/>
      <c r="K33" s="658"/>
      <c r="L33" s="54"/>
      <c r="M33" s="676"/>
      <c r="N33" s="386"/>
    </row>
    <row r="34" spans="1:14" x14ac:dyDescent="0.25">
      <c r="A34" s="74" t="s">
        <v>93</v>
      </c>
      <c r="B34" s="74"/>
      <c r="C34" s="74" t="s">
        <v>94</v>
      </c>
      <c r="D34" s="74"/>
      <c r="E34" s="330"/>
      <c r="F34" s="330"/>
      <c r="G34" s="330"/>
      <c r="H34" s="313"/>
      <c r="I34" s="54"/>
      <c r="J34" s="54"/>
      <c r="K34" s="54"/>
      <c r="L34" s="54"/>
      <c r="M34" s="676"/>
      <c r="N34" s="386"/>
    </row>
    <row r="35" spans="1:14" x14ac:dyDescent="0.25">
      <c r="A35" s="661"/>
      <c r="B35" s="714"/>
      <c r="C35" s="662"/>
      <c r="D35" s="661"/>
      <c r="E35" s="449"/>
      <c r="F35" s="449"/>
      <c r="G35" s="414"/>
      <c r="H35" s="313"/>
      <c r="I35" s="54"/>
      <c r="J35" s="54"/>
      <c r="K35" s="54"/>
      <c r="L35" s="715"/>
      <c r="M35" s="716"/>
      <c r="N35" s="682"/>
    </row>
    <row r="36" spans="1:14" x14ac:dyDescent="0.25">
      <c r="A36" s="661" t="s">
        <v>129</v>
      </c>
      <c r="B36" s="714"/>
      <c r="C36" s="662" t="s">
        <v>483</v>
      </c>
      <c r="D36" s="661" t="s">
        <v>96</v>
      </c>
      <c r="E36" s="717" t="s">
        <v>491</v>
      </c>
      <c r="F36" s="449"/>
      <c r="G36" s="449" t="s">
        <v>492</v>
      </c>
      <c r="H36" s="313"/>
      <c r="I36" s="54"/>
      <c r="J36" s="54"/>
      <c r="K36" s="54"/>
      <c r="L36" s="54"/>
      <c r="M36" s="676"/>
      <c r="N36" s="386"/>
    </row>
    <row r="37" spans="1:14" x14ac:dyDescent="0.25">
      <c r="A37" s="449" t="s">
        <v>493</v>
      </c>
      <c r="B37" s="714"/>
      <c r="C37" s="662">
        <v>58</v>
      </c>
      <c r="D37" s="661" t="s">
        <v>49</v>
      </c>
      <c r="E37" s="449">
        <v>69</v>
      </c>
      <c r="F37" s="449"/>
      <c r="G37" s="449">
        <v>143</v>
      </c>
      <c r="H37" s="313"/>
      <c r="I37" s="54"/>
      <c r="J37" s="715"/>
      <c r="K37" s="715"/>
      <c r="L37" s="171"/>
      <c r="M37" s="718"/>
      <c r="N37" s="391"/>
    </row>
    <row r="38" spans="1:14" x14ac:dyDescent="0.25">
      <c r="A38" s="449" t="s">
        <v>97</v>
      </c>
      <c r="B38" s="714"/>
      <c r="C38" s="662">
        <v>42</v>
      </c>
      <c r="D38" s="661"/>
      <c r="E38" s="449">
        <v>54</v>
      </c>
      <c r="F38" s="449"/>
      <c r="G38" s="449">
        <v>96</v>
      </c>
      <c r="H38" s="313"/>
      <c r="I38" s="54"/>
      <c r="J38" s="715"/>
      <c r="K38" s="715"/>
      <c r="L38" s="171"/>
      <c r="M38" s="718"/>
      <c r="N38" s="391"/>
    </row>
    <row r="39" spans="1:14" x14ac:dyDescent="0.25">
      <c r="A39" s="449" t="s">
        <v>341</v>
      </c>
      <c r="B39" s="714"/>
      <c r="C39" s="662" t="s">
        <v>494</v>
      </c>
      <c r="D39" s="661"/>
      <c r="E39" s="449">
        <v>1</v>
      </c>
      <c r="F39" s="449"/>
      <c r="G39" s="449">
        <v>2336</v>
      </c>
      <c r="H39" s="313"/>
      <c r="I39" s="54"/>
      <c r="J39" s="715"/>
      <c r="K39" s="715"/>
      <c r="L39" s="171"/>
      <c r="M39" s="718"/>
      <c r="N39" s="391"/>
    </row>
    <row r="40" spans="1:14" x14ac:dyDescent="0.25">
      <c r="A40" s="449" t="s">
        <v>210</v>
      </c>
      <c r="B40" s="714"/>
      <c r="C40" s="662" t="s">
        <v>495</v>
      </c>
      <c r="D40" s="661" t="s">
        <v>49</v>
      </c>
      <c r="E40" s="717" t="s">
        <v>496</v>
      </c>
      <c r="F40" s="449"/>
      <c r="G40" s="717" t="s">
        <v>497</v>
      </c>
      <c r="H40" s="313"/>
      <c r="I40" s="54"/>
      <c r="J40" s="54"/>
      <c r="K40" s="54"/>
      <c r="L40" s="171"/>
      <c r="M40" s="718"/>
      <c r="N40" s="391"/>
    </row>
    <row r="41" spans="1:14" x14ac:dyDescent="0.25">
      <c r="A41" s="74" t="s">
        <v>54</v>
      </c>
      <c r="B41" s="74"/>
      <c r="C41" s="330"/>
      <c r="D41" s="330"/>
      <c r="E41" s="330"/>
      <c r="F41" s="330"/>
      <c r="G41" s="330"/>
      <c r="H41" s="313"/>
      <c r="I41" s="54"/>
      <c r="J41" s="171"/>
      <c r="K41" s="171"/>
      <c r="L41" s="54"/>
      <c r="M41" s="676"/>
      <c r="N41" s="386"/>
    </row>
    <row r="42" spans="1:14" x14ac:dyDescent="0.25">
      <c r="A42" s="352" t="s">
        <v>56</v>
      </c>
      <c r="B42" s="352"/>
      <c r="C42" s="449"/>
      <c r="D42" s="449">
        <v>2289</v>
      </c>
      <c r="E42" s="449"/>
      <c r="F42" s="449"/>
      <c r="G42" s="671">
        <v>5656</v>
      </c>
      <c r="H42" s="313"/>
      <c r="I42" s="54"/>
      <c r="J42" s="171"/>
      <c r="K42" s="171"/>
      <c r="L42" s="54"/>
      <c r="M42" s="676"/>
      <c r="N42" s="386"/>
    </row>
    <row r="43" spans="1:14" x14ac:dyDescent="0.25">
      <c r="A43" s="352" t="s">
        <v>57</v>
      </c>
      <c r="B43" s="352"/>
      <c r="C43" s="449"/>
      <c r="D43" s="414">
        <v>37</v>
      </c>
      <c r="E43" s="449"/>
      <c r="F43" s="449"/>
      <c r="G43" s="671"/>
      <c r="H43" s="313"/>
      <c r="I43" s="54"/>
      <c r="J43" s="54"/>
      <c r="K43" s="54"/>
      <c r="L43" s="54"/>
      <c r="M43" s="676"/>
      <c r="N43" s="386"/>
    </row>
    <row r="44" spans="1:14" x14ac:dyDescent="0.25">
      <c r="A44" s="352" t="s">
        <v>58</v>
      </c>
      <c r="B44" s="352"/>
      <c r="C44" s="449"/>
      <c r="D44" s="449">
        <f>D42*D43</f>
        <v>84693</v>
      </c>
      <c r="E44" s="449"/>
      <c r="F44" s="449"/>
      <c r="G44" s="719">
        <f>D44*2.471</f>
        <v>209276.40300000002</v>
      </c>
      <c r="H44" s="313"/>
      <c r="I44" s="54"/>
      <c r="J44" s="54"/>
      <c r="K44" s="54"/>
      <c r="L44" s="54"/>
      <c r="M44" s="676"/>
      <c r="N44" s="386"/>
    </row>
    <row r="45" spans="1:14" x14ac:dyDescent="0.25">
      <c r="A45" s="352" t="s">
        <v>59</v>
      </c>
      <c r="B45" s="352"/>
      <c r="C45" s="449"/>
      <c r="D45" s="414">
        <v>-2688</v>
      </c>
      <c r="E45" s="449"/>
      <c r="F45" s="449"/>
      <c r="G45" s="719">
        <f>D45*2.471</f>
        <v>-6642.0480000000007</v>
      </c>
      <c r="H45" s="313"/>
      <c r="I45" s="54"/>
      <c r="J45" s="54"/>
      <c r="K45" s="54"/>
      <c r="L45" s="54"/>
      <c r="M45" s="676"/>
      <c r="N45" s="386"/>
    </row>
    <row r="46" spans="1:14" x14ac:dyDescent="0.25">
      <c r="A46" s="352" t="s">
        <v>60</v>
      </c>
      <c r="B46" s="352"/>
      <c r="C46" s="449"/>
      <c r="D46" s="414">
        <f>D44-K22</f>
        <v>10680</v>
      </c>
      <c r="E46" s="449"/>
      <c r="F46" s="449"/>
      <c r="G46" s="719">
        <f>D46*2.471</f>
        <v>26390.280000000002</v>
      </c>
      <c r="H46" s="313"/>
      <c r="I46" s="54"/>
      <c r="J46" s="54"/>
      <c r="K46" s="54"/>
      <c r="L46" s="54"/>
      <c r="M46" s="676"/>
      <c r="N46" s="386"/>
    </row>
    <row r="47" spans="1:14" x14ac:dyDescent="0.25">
      <c r="A47" s="352" t="s">
        <v>104</v>
      </c>
      <c r="B47" s="352"/>
      <c r="C47" s="449"/>
      <c r="D47" s="414">
        <f>K21/D42</f>
        <v>38.174311926605505</v>
      </c>
      <c r="E47" s="449"/>
      <c r="F47" s="449"/>
      <c r="G47" s="672"/>
      <c r="H47" s="313"/>
      <c r="I47" s="54"/>
      <c r="J47" s="54"/>
      <c r="K47" s="54"/>
      <c r="L47" s="54"/>
      <c r="M47" s="676"/>
      <c r="N47" s="386"/>
    </row>
    <row r="48" spans="1:14" x14ac:dyDescent="0.25">
      <c r="A48" s="80" t="s">
        <v>62</v>
      </c>
      <c r="B48" s="80"/>
      <c r="C48" s="674"/>
      <c r="D48" s="673">
        <f>K22/D42</f>
        <v>32.33420707732634</v>
      </c>
      <c r="E48" s="674"/>
      <c r="F48" s="674"/>
      <c r="G48" s="675"/>
      <c r="H48" s="313"/>
      <c r="I48" s="54"/>
      <c r="J48" s="54"/>
      <c r="K48" s="54"/>
      <c r="L48" s="676"/>
      <c r="M48" s="676"/>
      <c r="N48" s="386"/>
    </row>
    <row r="49" spans="1:13" x14ac:dyDescent="0.25">
      <c r="A49" s="676"/>
      <c r="B49" s="676"/>
      <c r="C49" s="676"/>
      <c r="D49" s="676"/>
      <c r="E49" s="709"/>
      <c r="F49" s="709"/>
      <c r="G49" s="709"/>
      <c r="H49" s="709"/>
      <c r="I49" s="676"/>
      <c r="J49" s="676"/>
      <c r="K49" s="676"/>
      <c r="L49" s="676"/>
      <c r="M49" s="676"/>
    </row>
    <row r="50" spans="1:13" x14ac:dyDescent="0.25">
      <c r="A50" s="676"/>
      <c r="B50" s="676"/>
      <c r="C50" s="676"/>
      <c r="D50" s="676"/>
      <c r="E50" s="709"/>
      <c r="F50" s="709"/>
      <c r="G50" s="709"/>
      <c r="H50" s="709"/>
      <c r="I50" s="676"/>
      <c r="J50" s="676"/>
      <c r="K50" s="676"/>
      <c r="L50" s="676"/>
      <c r="M50" s="676"/>
    </row>
    <row r="51" spans="1:13" x14ac:dyDescent="0.25">
      <c r="A51" s="676"/>
      <c r="B51" s="676"/>
      <c r="C51" s="676"/>
      <c r="D51" s="676"/>
      <c r="E51" s="709"/>
      <c r="F51" s="709"/>
      <c r="G51" s="709"/>
      <c r="H51" s="709"/>
      <c r="I51" s="676"/>
      <c r="J51" s="676"/>
      <c r="K51" s="676"/>
      <c r="L51" s="676"/>
      <c r="M51" s="676"/>
    </row>
    <row r="52" spans="1:13" x14ac:dyDescent="0.25">
      <c r="A52" s="676"/>
      <c r="B52" s="676"/>
      <c r="C52" s="676"/>
      <c r="D52" s="676"/>
      <c r="E52" s="709"/>
      <c r="F52" s="709"/>
      <c r="G52" s="709"/>
      <c r="H52" s="709"/>
      <c r="I52" s="676"/>
      <c r="J52" s="676"/>
      <c r="K52" s="676"/>
      <c r="L52" s="676"/>
      <c r="M52" s="676"/>
    </row>
    <row r="53" spans="1:13" x14ac:dyDescent="0.25">
      <c r="E53" s="111"/>
      <c r="F53" s="111"/>
      <c r="G53" s="111"/>
      <c r="H53" s="111"/>
    </row>
    <row r="57" spans="1:13" x14ac:dyDescent="0.25">
      <c r="G57" s="102" t="s">
        <v>64</v>
      </c>
    </row>
  </sheetData>
  <mergeCells count="6">
    <mergeCell ref="E14:E15"/>
    <mergeCell ref="F14:F15"/>
    <mergeCell ref="G14:G15"/>
    <mergeCell ref="H14:H15"/>
    <mergeCell ref="J14:J15"/>
    <mergeCell ref="K14:K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0"/>
  <sheetViews>
    <sheetView workbookViewId="0">
      <selection activeCell="O29" sqref="O29"/>
    </sheetView>
  </sheetViews>
  <sheetFormatPr defaultColWidth="9.140625" defaultRowHeight="15" x14ac:dyDescent="0.25"/>
  <cols>
    <col min="1" max="1" width="10.140625" style="721" customWidth="1"/>
    <col min="2" max="2" width="13.140625" style="721" customWidth="1"/>
    <col min="3" max="3" width="10.7109375" style="721" customWidth="1"/>
    <col min="4" max="4" width="7" style="721" customWidth="1"/>
    <col min="5" max="5" width="7.5703125" style="721" customWidth="1"/>
    <col min="6" max="6" width="11.28515625" style="721" customWidth="1"/>
    <col min="7" max="7" width="9.85546875" style="721" customWidth="1"/>
    <col min="8" max="8" width="10.5703125" style="721" customWidth="1"/>
    <col min="9" max="9" width="12" style="721" customWidth="1"/>
    <col min="10" max="10" width="12.42578125" style="721" customWidth="1"/>
    <col min="11" max="11" width="8.85546875" style="721" customWidth="1"/>
    <col min="12" max="12" width="8" style="721" customWidth="1"/>
    <col min="13" max="13" width="9.140625" style="721"/>
    <col min="14" max="14" width="9.5703125" style="721" bestFit="1" customWidth="1"/>
    <col min="15" max="16384" width="9.140625" style="721"/>
  </cols>
  <sheetData>
    <row r="2" spans="1:18" x14ac:dyDescent="0.25">
      <c r="A2" s="720" t="s">
        <v>498</v>
      </c>
      <c r="C2" s="722" t="s">
        <v>499</v>
      </c>
    </row>
    <row r="3" spans="1:18" x14ac:dyDescent="0.25">
      <c r="A3" s="720" t="s">
        <v>500</v>
      </c>
      <c r="B3" s="722" t="s">
        <v>501</v>
      </c>
      <c r="C3" s="722"/>
    </row>
    <row r="4" spans="1:18" x14ac:dyDescent="0.25">
      <c r="A4" s="720" t="s">
        <v>433</v>
      </c>
      <c r="C4" s="722" t="s">
        <v>502</v>
      </c>
      <c r="D4" s="720"/>
    </row>
    <row r="5" spans="1:18" x14ac:dyDescent="0.25">
      <c r="A5" s="723" t="s">
        <v>5</v>
      </c>
      <c r="B5" s="723"/>
      <c r="C5" s="724"/>
      <c r="D5" s="724" t="s">
        <v>7</v>
      </c>
      <c r="E5" s="724" t="s">
        <v>8</v>
      </c>
      <c r="F5" s="724" t="s">
        <v>9</v>
      </c>
      <c r="G5" s="724" t="s">
        <v>10</v>
      </c>
      <c r="H5" s="724" t="s">
        <v>11</v>
      </c>
      <c r="I5" s="724" t="s">
        <v>12</v>
      </c>
      <c r="J5" s="724" t="s">
        <v>13</v>
      </c>
      <c r="K5" s="725" t="s">
        <v>14</v>
      </c>
      <c r="L5" s="724"/>
    </row>
    <row r="6" spans="1:18" x14ac:dyDescent="0.25">
      <c r="A6" s="726"/>
      <c r="B6" s="726"/>
      <c r="C6" s="727"/>
      <c r="D6" s="727" t="s">
        <v>16</v>
      </c>
      <c r="E6" s="727" t="s">
        <v>16</v>
      </c>
      <c r="F6" s="727" t="s">
        <v>17</v>
      </c>
      <c r="G6" s="727" t="s">
        <v>18</v>
      </c>
      <c r="H6" s="727" t="s">
        <v>19</v>
      </c>
      <c r="I6" s="727" t="s">
        <v>18</v>
      </c>
      <c r="J6" s="727" t="s">
        <v>18</v>
      </c>
      <c r="K6" s="728" t="s">
        <v>11</v>
      </c>
      <c r="L6" s="727" t="s">
        <v>12</v>
      </c>
    </row>
    <row r="7" spans="1:18" x14ac:dyDescent="0.25">
      <c r="A7" s="726"/>
      <c r="B7" s="726"/>
      <c r="C7" s="729" t="s">
        <v>503</v>
      </c>
      <c r="D7" s="727"/>
      <c r="E7" s="727"/>
      <c r="F7" s="727"/>
      <c r="G7" s="727" t="s">
        <v>21</v>
      </c>
      <c r="H7" s="727" t="s">
        <v>18</v>
      </c>
      <c r="I7" s="727" t="s">
        <v>21</v>
      </c>
      <c r="J7" s="727" t="s">
        <v>21</v>
      </c>
      <c r="K7" s="727"/>
      <c r="L7" s="727"/>
    </row>
    <row r="8" spans="1:18" x14ac:dyDescent="0.25">
      <c r="A8" s="730"/>
      <c r="B8" s="730"/>
      <c r="D8" s="729"/>
      <c r="E8" s="729"/>
      <c r="F8" s="729"/>
      <c r="G8" s="729"/>
      <c r="H8" s="729" t="s">
        <v>21</v>
      </c>
      <c r="I8" s="729"/>
      <c r="J8" s="729"/>
      <c r="K8" s="729"/>
      <c r="L8" s="729"/>
    </row>
    <row r="9" spans="1:18" x14ac:dyDescent="0.25">
      <c r="A9" s="721" t="s">
        <v>504</v>
      </c>
      <c r="C9" s="731">
        <v>100</v>
      </c>
      <c r="D9" s="732">
        <v>3.35</v>
      </c>
      <c r="E9" s="732">
        <v>3.35</v>
      </c>
      <c r="F9" s="733">
        <v>1500</v>
      </c>
      <c r="G9" s="732">
        <f>SUM(D9*F9)</f>
        <v>5025</v>
      </c>
      <c r="I9" s="732">
        <v>3431</v>
      </c>
      <c r="J9" s="732">
        <f>SUM(G9:I9)</f>
        <v>8456</v>
      </c>
      <c r="P9" s="732"/>
      <c r="R9" s="732"/>
    </row>
    <row r="10" spans="1:18" x14ac:dyDescent="0.25">
      <c r="A10" s="721" t="s">
        <v>71</v>
      </c>
      <c r="C10" s="731">
        <v>67</v>
      </c>
      <c r="D10" s="732">
        <v>8.5299999999999994</v>
      </c>
      <c r="E10" s="732">
        <v>1.79</v>
      </c>
      <c r="F10" s="733">
        <v>1588</v>
      </c>
      <c r="G10" s="732">
        <v>13546</v>
      </c>
      <c r="I10" s="732"/>
      <c r="J10" s="732">
        <f t="shared" ref="J10:J22" si="0">SUM(G10:I10)</f>
        <v>13546</v>
      </c>
      <c r="P10" s="732"/>
      <c r="R10" s="732"/>
    </row>
    <row r="11" spans="1:18" x14ac:dyDescent="0.25">
      <c r="A11" s="734" t="s">
        <v>505</v>
      </c>
      <c r="C11" s="735" t="s">
        <v>506</v>
      </c>
      <c r="D11" s="736" t="s">
        <v>507</v>
      </c>
      <c r="E11" s="736" t="s">
        <v>507</v>
      </c>
      <c r="F11" s="733">
        <v>1500</v>
      </c>
      <c r="G11" s="732">
        <f t="shared" ref="G11:G21" si="1">SUM(D11*F11)</f>
        <v>4425</v>
      </c>
      <c r="H11" s="737">
        <v>14773</v>
      </c>
      <c r="I11" s="732"/>
      <c r="J11" s="732">
        <f t="shared" si="0"/>
        <v>19198</v>
      </c>
      <c r="K11" s="721">
        <v>11909</v>
      </c>
      <c r="O11" s="738"/>
      <c r="P11" s="732"/>
      <c r="R11" s="732"/>
    </row>
    <row r="12" spans="1:18" x14ac:dyDescent="0.25">
      <c r="A12" s="734" t="s">
        <v>508</v>
      </c>
      <c r="C12" s="735" t="s">
        <v>509</v>
      </c>
      <c r="D12" s="736"/>
      <c r="E12" s="736"/>
      <c r="F12" s="733"/>
      <c r="G12" s="739" t="s">
        <v>510</v>
      </c>
      <c r="H12" s="737"/>
      <c r="I12" s="732"/>
      <c r="J12" s="732"/>
      <c r="O12" s="738"/>
      <c r="P12" s="732"/>
      <c r="R12" s="732"/>
    </row>
    <row r="13" spans="1:18" x14ac:dyDescent="0.25">
      <c r="A13" s="721" t="s">
        <v>76</v>
      </c>
      <c r="C13" s="731">
        <v>89</v>
      </c>
      <c r="D13" s="732">
        <v>9.6</v>
      </c>
      <c r="E13" s="732">
        <v>4.1399999999999997</v>
      </c>
      <c r="F13" s="733">
        <v>1591</v>
      </c>
      <c r="G13" s="732">
        <v>15274</v>
      </c>
      <c r="H13" s="732"/>
      <c r="I13" s="732"/>
      <c r="J13" s="732">
        <f t="shared" si="0"/>
        <v>15274</v>
      </c>
      <c r="M13" s="740"/>
      <c r="N13" s="740"/>
      <c r="P13" s="732"/>
      <c r="R13" s="732"/>
    </row>
    <row r="14" spans="1:18" x14ac:dyDescent="0.25">
      <c r="A14" s="721" t="s">
        <v>511</v>
      </c>
      <c r="C14" s="731">
        <v>100</v>
      </c>
      <c r="D14" s="732">
        <v>12.94</v>
      </c>
      <c r="E14" s="732">
        <v>8.1</v>
      </c>
      <c r="F14" s="733">
        <v>1339</v>
      </c>
      <c r="G14" s="732">
        <v>17327</v>
      </c>
      <c r="H14" s="732"/>
      <c r="I14" s="732">
        <f>+D30*F30</f>
        <v>91260</v>
      </c>
      <c r="J14" s="732">
        <f t="shared" si="0"/>
        <v>108587</v>
      </c>
      <c r="M14" s="740"/>
      <c r="N14" s="740"/>
      <c r="P14" s="732"/>
      <c r="R14" s="732"/>
    </row>
    <row r="15" spans="1:18" x14ac:dyDescent="0.25">
      <c r="A15" s="741" t="s">
        <v>79</v>
      </c>
      <c r="C15" s="731">
        <v>67</v>
      </c>
      <c r="D15" s="742">
        <v>4.3600000000000003</v>
      </c>
      <c r="E15" s="742">
        <v>3.45</v>
      </c>
      <c r="F15" s="743">
        <v>2000</v>
      </c>
      <c r="G15" s="742">
        <f t="shared" si="1"/>
        <v>8720</v>
      </c>
      <c r="H15" s="732"/>
      <c r="I15" s="732">
        <f>+D38*F38</f>
        <v>4631</v>
      </c>
      <c r="J15" s="744">
        <f>+I15+I16+G15</f>
        <v>50193</v>
      </c>
      <c r="M15" s="740"/>
      <c r="N15" s="740"/>
      <c r="P15" s="732"/>
      <c r="R15" s="732"/>
    </row>
    <row r="16" spans="1:18" x14ac:dyDescent="0.25">
      <c r="A16" s="741" t="s">
        <v>80</v>
      </c>
      <c r="C16" s="731">
        <v>88</v>
      </c>
      <c r="D16" s="742"/>
      <c r="E16" s="742"/>
      <c r="F16" s="743"/>
      <c r="G16" s="742"/>
      <c r="H16" s="732"/>
      <c r="I16" s="732">
        <f>+D39*F39+D40*F40+D41*F41</f>
        <v>36842</v>
      </c>
      <c r="J16" s="744"/>
      <c r="M16" s="740"/>
      <c r="N16" s="740"/>
      <c r="P16" s="732"/>
      <c r="R16" s="732"/>
    </row>
    <row r="17" spans="1:18" x14ac:dyDescent="0.25">
      <c r="A17" s="721" t="s">
        <v>25</v>
      </c>
      <c r="C17" s="731">
        <v>100</v>
      </c>
      <c r="D17" s="732">
        <v>10.1</v>
      </c>
      <c r="E17" s="732">
        <v>5.82</v>
      </c>
      <c r="F17" s="733">
        <v>1607</v>
      </c>
      <c r="G17" s="732">
        <v>16231</v>
      </c>
      <c r="H17" s="732"/>
      <c r="I17" s="732"/>
      <c r="J17" s="732">
        <f t="shared" si="0"/>
        <v>16231</v>
      </c>
      <c r="M17" s="740"/>
      <c r="N17" s="740"/>
      <c r="P17" s="732"/>
      <c r="R17" s="732"/>
    </row>
    <row r="18" spans="1:18" x14ac:dyDescent="0.25">
      <c r="A18" s="721" t="s">
        <v>81</v>
      </c>
      <c r="C18" s="731">
        <v>100</v>
      </c>
      <c r="D18" s="732">
        <v>18.3</v>
      </c>
      <c r="E18" s="732">
        <v>18.3</v>
      </c>
      <c r="F18" s="733">
        <v>2000</v>
      </c>
      <c r="G18" s="732">
        <f t="shared" si="1"/>
        <v>36600</v>
      </c>
      <c r="H18" s="732"/>
      <c r="I18" s="732">
        <v>73047</v>
      </c>
      <c r="J18" s="732">
        <f t="shared" si="0"/>
        <v>109647</v>
      </c>
      <c r="M18" s="740"/>
      <c r="N18" s="740"/>
      <c r="P18" s="732"/>
      <c r="R18" s="732"/>
    </row>
    <row r="19" spans="1:18" x14ac:dyDescent="0.25">
      <c r="A19" s="721" t="s">
        <v>437</v>
      </c>
      <c r="C19" s="731">
        <v>100</v>
      </c>
      <c r="D19" s="732">
        <v>10.41</v>
      </c>
      <c r="E19" s="732">
        <v>10.11</v>
      </c>
      <c r="F19" s="733">
        <v>1000</v>
      </c>
      <c r="G19" s="732">
        <f t="shared" si="1"/>
        <v>10410</v>
      </c>
      <c r="H19" s="732"/>
      <c r="I19" s="732">
        <v>24215</v>
      </c>
      <c r="J19" s="732">
        <f t="shared" si="0"/>
        <v>34625</v>
      </c>
      <c r="L19" s="721">
        <v>10680</v>
      </c>
      <c r="M19" s="740"/>
      <c r="N19" s="740"/>
      <c r="P19" s="732"/>
      <c r="R19" s="732"/>
    </row>
    <row r="20" spans="1:18" x14ac:dyDescent="0.25">
      <c r="A20" s="721" t="s">
        <v>512</v>
      </c>
      <c r="C20" s="731">
        <v>100</v>
      </c>
      <c r="D20" s="732">
        <v>15.08</v>
      </c>
      <c r="E20" s="732">
        <v>12.3</v>
      </c>
      <c r="F20" s="733">
        <v>1000</v>
      </c>
      <c r="G20" s="732">
        <f t="shared" si="1"/>
        <v>15080</v>
      </c>
      <c r="H20" s="732"/>
      <c r="I20" s="732"/>
      <c r="J20" s="732">
        <f t="shared" si="0"/>
        <v>15080</v>
      </c>
      <c r="M20" s="740"/>
      <c r="N20" s="740"/>
      <c r="P20" s="732"/>
      <c r="R20" s="732"/>
    </row>
    <row r="21" spans="1:18" x14ac:dyDescent="0.25">
      <c r="A21" s="721" t="s">
        <v>82</v>
      </c>
      <c r="C21" s="731">
        <v>100</v>
      </c>
      <c r="D21" s="732">
        <v>17.38</v>
      </c>
      <c r="E21" s="732">
        <v>17.38</v>
      </c>
      <c r="F21" s="733">
        <v>1500</v>
      </c>
      <c r="G21" s="732">
        <f t="shared" si="1"/>
        <v>26070</v>
      </c>
      <c r="H21" s="732">
        <v>9308</v>
      </c>
      <c r="I21" s="732"/>
      <c r="J21" s="732">
        <f t="shared" si="0"/>
        <v>35378</v>
      </c>
      <c r="M21" s="740"/>
      <c r="N21" s="740"/>
      <c r="P21" s="732"/>
      <c r="R21" s="732"/>
    </row>
    <row r="22" spans="1:18" x14ac:dyDescent="0.25">
      <c r="A22" s="721" t="s">
        <v>513</v>
      </c>
      <c r="C22" s="731">
        <v>100</v>
      </c>
      <c r="D22" s="732">
        <v>39.049999999999997</v>
      </c>
      <c r="E22" s="732">
        <v>35.07</v>
      </c>
      <c r="F22" s="733">
        <v>1289</v>
      </c>
      <c r="G22" s="732">
        <v>50335</v>
      </c>
      <c r="H22" s="732"/>
      <c r="I22" s="732"/>
      <c r="J22" s="732">
        <f t="shared" si="0"/>
        <v>50335</v>
      </c>
      <c r="M22" s="740"/>
      <c r="N22" s="740"/>
      <c r="P22" s="732"/>
      <c r="R22" s="732"/>
    </row>
    <row r="23" spans="1:18" x14ac:dyDescent="0.25">
      <c r="A23" s="723" t="s">
        <v>31</v>
      </c>
      <c r="B23" s="723"/>
      <c r="C23" s="745"/>
      <c r="D23" s="746">
        <f>SUM(D9:D22)</f>
        <v>149.09999999999997</v>
      </c>
      <c r="E23" s="746">
        <f>SUM(E9:E22)</f>
        <v>119.81</v>
      </c>
      <c r="F23" s="746"/>
      <c r="G23" s="746">
        <f>SUM(G9:G22)</f>
        <v>219043</v>
      </c>
      <c r="H23" s="747">
        <f>H11+H21</f>
        <v>24081</v>
      </c>
      <c r="I23" s="746">
        <f>SUM(I9:I22)</f>
        <v>233426</v>
      </c>
      <c r="J23" s="746">
        <f>SUM(G23:I23)</f>
        <v>476550</v>
      </c>
      <c r="K23" s="723">
        <f>SUM(K9:K22)</f>
        <v>11909</v>
      </c>
      <c r="L23" s="723">
        <f>SUM(L9:L22)</f>
        <v>10680</v>
      </c>
    </row>
    <row r="24" spans="1:18" x14ac:dyDescent="0.25">
      <c r="A24" s="730" t="s">
        <v>34</v>
      </c>
      <c r="B24" s="730"/>
      <c r="C24" s="748"/>
      <c r="D24" s="749">
        <f>SUM(D23-E23)</f>
        <v>29.289999999999964</v>
      </c>
      <c r="E24" s="749"/>
      <c r="F24" s="749"/>
      <c r="G24" s="749">
        <f>SUM(D33*F33)</f>
        <v>42630</v>
      </c>
      <c r="H24" s="749">
        <f>H23-K23</f>
        <v>12172</v>
      </c>
      <c r="I24" s="749">
        <f>I23-L23</f>
        <v>222746</v>
      </c>
      <c r="J24" s="749">
        <f>SUM(G24:I24)</f>
        <v>277548</v>
      </c>
      <c r="K24" s="730"/>
      <c r="L24" s="730"/>
    </row>
    <row r="25" spans="1:18" x14ac:dyDescent="0.25">
      <c r="B25" s="721" t="s">
        <v>514</v>
      </c>
    </row>
    <row r="26" spans="1:18" x14ac:dyDescent="0.25">
      <c r="B26" s="720" t="s">
        <v>37</v>
      </c>
    </row>
    <row r="27" spans="1:18" x14ac:dyDescent="0.25">
      <c r="A27" s="721" t="s">
        <v>40</v>
      </c>
    </row>
    <row r="28" spans="1:18" x14ac:dyDescent="0.25">
      <c r="A28" s="750" t="s">
        <v>41</v>
      </c>
      <c r="B28" s="750"/>
      <c r="C28" s="750" t="s">
        <v>42</v>
      </c>
      <c r="D28" s="750" t="s">
        <v>43</v>
      </c>
      <c r="E28" s="750"/>
      <c r="F28" s="750" t="s">
        <v>44</v>
      </c>
      <c r="H28" s="751"/>
      <c r="I28" s="751"/>
      <c r="J28" s="752"/>
    </row>
    <row r="29" spans="1:18" x14ac:dyDescent="0.25">
      <c r="A29" s="720" t="s">
        <v>46</v>
      </c>
      <c r="H29" s="753"/>
      <c r="I29" s="753"/>
      <c r="J29" s="752"/>
    </row>
    <row r="30" spans="1:18" x14ac:dyDescent="0.25">
      <c r="A30" s="741" t="s">
        <v>118</v>
      </c>
      <c r="C30" s="721" t="s">
        <v>49</v>
      </c>
      <c r="D30" s="732">
        <v>0.27</v>
      </c>
      <c r="F30" s="732">
        <v>338000</v>
      </c>
      <c r="H30" s="753"/>
      <c r="I30" s="754"/>
      <c r="J30" s="755"/>
    </row>
    <row r="31" spans="1:18" x14ac:dyDescent="0.25">
      <c r="H31" s="753"/>
      <c r="I31" s="756"/>
      <c r="J31" s="726"/>
    </row>
    <row r="32" spans="1:18" x14ac:dyDescent="0.25">
      <c r="A32" s="720" t="s">
        <v>50</v>
      </c>
      <c r="H32" s="753"/>
      <c r="I32" s="754"/>
      <c r="J32" s="726"/>
    </row>
    <row r="33" spans="1:10" x14ac:dyDescent="0.25">
      <c r="A33" s="721" t="s">
        <v>122</v>
      </c>
      <c r="C33" s="721" t="s">
        <v>52</v>
      </c>
      <c r="D33" s="732">
        <v>29</v>
      </c>
      <c r="F33" s="732">
        <v>1470</v>
      </c>
      <c r="H33" s="753"/>
      <c r="I33" s="754"/>
      <c r="J33" s="726"/>
    </row>
    <row r="34" spans="1:10" x14ac:dyDescent="0.25">
      <c r="A34" s="721" t="s">
        <v>124</v>
      </c>
      <c r="C34" s="721" t="s">
        <v>52</v>
      </c>
      <c r="D34" s="732">
        <v>120</v>
      </c>
      <c r="H34" s="753"/>
      <c r="I34" s="753"/>
      <c r="J34" s="726"/>
    </row>
    <row r="35" spans="1:10" x14ac:dyDescent="0.25">
      <c r="A35" s="721" t="s">
        <v>7</v>
      </c>
      <c r="C35" s="721" t="s">
        <v>52</v>
      </c>
      <c r="D35" s="732">
        <v>149</v>
      </c>
      <c r="H35" s="753"/>
      <c r="I35" s="757"/>
      <c r="J35" s="758"/>
    </row>
    <row r="36" spans="1:10" x14ac:dyDescent="0.25">
      <c r="A36" s="759" t="s">
        <v>93</v>
      </c>
      <c r="B36" s="723"/>
      <c r="C36" s="723"/>
      <c r="D36" s="723"/>
      <c r="E36" s="723"/>
      <c r="F36" s="723"/>
      <c r="H36" s="753"/>
      <c r="I36" s="753"/>
    </row>
    <row r="37" spans="1:10" x14ac:dyDescent="0.25">
      <c r="A37" s="760" t="s">
        <v>125</v>
      </c>
      <c r="B37" s="761"/>
      <c r="C37" s="760"/>
      <c r="D37" s="726"/>
      <c r="E37" s="726"/>
      <c r="F37" s="762"/>
    </row>
    <row r="38" spans="1:10" x14ac:dyDescent="0.25">
      <c r="A38" s="760" t="s">
        <v>461</v>
      </c>
      <c r="B38" s="761">
        <v>67</v>
      </c>
      <c r="C38" s="760" t="s">
        <v>96</v>
      </c>
      <c r="D38" s="762">
        <v>421</v>
      </c>
      <c r="E38" s="726"/>
      <c r="F38" s="762">
        <v>11</v>
      </c>
    </row>
    <row r="39" spans="1:10" x14ac:dyDescent="0.25">
      <c r="A39" s="726" t="s">
        <v>515</v>
      </c>
      <c r="B39" s="761">
        <v>67</v>
      </c>
      <c r="C39" s="760" t="s">
        <v>96</v>
      </c>
      <c r="D39" s="762">
        <v>134</v>
      </c>
      <c r="E39" s="726"/>
      <c r="F39" s="762">
        <v>103</v>
      </c>
    </row>
    <row r="40" spans="1:10" x14ac:dyDescent="0.25">
      <c r="A40" s="760" t="s">
        <v>516</v>
      </c>
      <c r="B40" s="761">
        <v>55</v>
      </c>
      <c r="C40" s="760" t="s">
        <v>96</v>
      </c>
      <c r="D40" s="762">
        <v>24</v>
      </c>
      <c r="E40" s="726"/>
      <c r="F40" s="762">
        <v>349</v>
      </c>
    </row>
    <row r="41" spans="1:10" x14ac:dyDescent="0.25">
      <c r="A41" s="763" t="s">
        <v>517</v>
      </c>
      <c r="B41" s="764">
        <v>67</v>
      </c>
      <c r="C41" s="760" t="s">
        <v>96</v>
      </c>
      <c r="D41" s="749">
        <v>104</v>
      </c>
      <c r="E41" s="730"/>
      <c r="F41" s="749">
        <v>141</v>
      </c>
    </row>
    <row r="42" spans="1:10" x14ac:dyDescent="0.25">
      <c r="A42" s="765" t="s">
        <v>54</v>
      </c>
      <c r="B42" s="726"/>
      <c r="C42" s="726" t="s">
        <v>102</v>
      </c>
      <c r="D42" s="726"/>
      <c r="E42" s="726"/>
      <c r="F42" s="726" t="s">
        <v>132</v>
      </c>
    </row>
    <row r="43" spans="1:10" x14ac:dyDescent="0.25">
      <c r="A43" s="726" t="s">
        <v>133</v>
      </c>
      <c r="B43" s="726"/>
      <c r="C43" s="762">
        <v>6042</v>
      </c>
      <c r="D43" s="726"/>
      <c r="E43" s="726"/>
      <c r="F43" s="740">
        <f>C43*2.471</f>
        <v>14929.782000000001</v>
      </c>
      <c r="G43" s="766" t="s">
        <v>212</v>
      </c>
    </row>
    <row r="44" spans="1:10" x14ac:dyDescent="0.25">
      <c r="A44" s="726" t="s">
        <v>57</v>
      </c>
      <c r="B44" s="726"/>
      <c r="C44" s="762">
        <v>123</v>
      </c>
      <c r="D44" s="726"/>
      <c r="E44" s="726"/>
      <c r="F44" s="740">
        <f>C44*2.471</f>
        <v>303.93299999999999</v>
      </c>
      <c r="G44" s="767"/>
    </row>
    <row r="45" spans="1:10" x14ac:dyDescent="0.25">
      <c r="A45" s="726" t="s">
        <v>134</v>
      </c>
      <c r="B45" s="726"/>
      <c r="C45" s="762">
        <f>C43*C44</f>
        <v>743166</v>
      </c>
      <c r="D45" s="726"/>
      <c r="E45" s="726"/>
      <c r="F45" s="740">
        <f>C45*2.471</f>
        <v>1836363.186</v>
      </c>
      <c r="G45" s="767"/>
    </row>
    <row r="46" spans="1:10" x14ac:dyDescent="0.25">
      <c r="A46" s="726" t="s">
        <v>135</v>
      </c>
      <c r="B46" s="726"/>
      <c r="C46" s="762">
        <f>C45-J23</f>
        <v>266616</v>
      </c>
      <c r="D46" s="726"/>
      <c r="E46" s="726"/>
      <c r="F46" s="740">
        <f>C46*2.471</f>
        <v>658808.13600000006</v>
      </c>
      <c r="G46" s="767"/>
    </row>
    <row r="47" spans="1:10" x14ac:dyDescent="0.25">
      <c r="A47" s="726" t="s">
        <v>136</v>
      </c>
      <c r="B47" s="726"/>
      <c r="C47" s="762">
        <f>C45-J24</f>
        <v>465618</v>
      </c>
      <c r="D47" s="726"/>
      <c r="E47" s="726"/>
      <c r="F47" s="740">
        <f>C47*2.471</f>
        <v>1150542.078</v>
      </c>
      <c r="G47" s="767"/>
    </row>
    <row r="48" spans="1:10" x14ac:dyDescent="0.25">
      <c r="A48" s="726" t="s">
        <v>137</v>
      </c>
      <c r="B48" s="726"/>
      <c r="C48" s="762">
        <f>J23/C43</f>
        <v>78.872889771598807</v>
      </c>
      <c r="D48" s="726"/>
      <c r="E48" s="726"/>
      <c r="F48" s="767"/>
    </row>
    <row r="49" spans="1:6" x14ac:dyDescent="0.25">
      <c r="A49" s="730" t="s">
        <v>138</v>
      </c>
      <c r="B49" s="730"/>
      <c r="C49" s="749">
        <f>J24/C43</f>
        <v>45.936444885799403</v>
      </c>
      <c r="D49" s="730"/>
      <c r="E49" s="730"/>
      <c r="F49" s="768"/>
    </row>
    <row r="51" spans="1:6" x14ac:dyDescent="0.25">
      <c r="A51" s="182" t="s">
        <v>518</v>
      </c>
    </row>
    <row r="60" spans="1:6" x14ac:dyDescent="0.25">
      <c r="F60" s="721" t="s">
        <v>64</v>
      </c>
    </row>
  </sheetData>
  <mergeCells count="6">
    <mergeCell ref="D15:D16"/>
    <mergeCell ref="E15:E16"/>
    <mergeCell ref="F15:F16"/>
    <mergeCell ref="G15:G16"/>
    <mergeCell ref="J15:J16"/>
    <mergeCell ref="H28:I2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selection activeCell="P35" sqref="P35"/>
    </sheetView>
  </sheetViews>
  <sheetFormatPr defaultColWidth="9.140625" defaultRowHeight="12" x14ac:dyDescent="0.2"/>
  <cols>
    <col min="1" max="2" width="9.140625" style="1"/>
    <col min="3" max="3" width="2.7109375" style="1" customWidth="1"/>
    <col min="4" max="4" width="6.28515625" style="1" customWidth="1"/>
    <col min="5" max="5" width="5.5703125" style="1" customWidth="1"/>
    <col min="6" max="6" width="5.85546875" style="1" customWidth="1"/>
    <col min="7" max="7" width="9.140625" style="1" customWidth="1"/>
    <col min="8" max="8" width="7.5703125" style="1" customWidth="1"/>
    <col min="9" max="9" width="7.28515625" style="1" customWidth="1"/>
    <col min="10" max="10" width="7.42578125" style="1" customWidth="1"/>
    <col min="11" max="11" width="8.140625" style="1" customWidth="1"/>
    <col min="12" max="12" width="6.85546875" style="1" customWidth="1"/>
    <col min="13" max="13" width="6.7109375" style="1" customWidth="1"/>
    <col min="14" max="14" width="9.140625" style="1"/>
    <col min="15" max="15" width="9.5703125" style="1" bestFit="1" customWidth="1"/>
    <col min="16" max="16384" width="9.140625" style="1"/>
  </cols>
  <sheetData>
    <row r="1" spans="1:15" x14ac:dyDescent="0.2">
      <c r="A1" s="1" t="s">
        <v>0</v>
      </c>
      <c r="B1" s="1" t="s">
        <v>1</v>
      </c>
      <c r="O1" s="2" t="s">
        <v>2</v>
      </c>
    </row>
    <row r="2" spans="1:15" x14ac:dyDescent="0.2">
      <c r="B2" s="1" t="s">
        <v>3</v>
      </c>
      <c r="N2" s="3"/>
      <c r="O2" s="4">
        <v>44775</v>
      </c>
    </row>
    <row r="3" spans="1:15" x14ac:dyDescent="0.2">
      <c r="B3" s="1" t="s">
        <v>4</v>
      </c>
      <c r="N3" s="3"/>
    </row>
    <row r="4" spans="1:15" x14ac:dyDescent="0.2">
      <c r="A4" s="5" t="s">
        <v>5</v>
      </c>
      <c r="B4" s="5"/>
      <c r="C4" s="5"/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6"/>
      <c r="N4" s="3"/>
    </row>
    <row r="5" spans="1:15" x14ac:dyDescent="0.2">
      <c r="A5" s="8"/>
      <c r="B5" s="8"/>
      <c r="C5" s="8"/>
      <c r="D5" s="9" t="s">
        <v>15</v>
      </c>
      <c r="E5" s="9" t="s">
        <v>16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18</v>
      </c>
      <c r="K5" s="9" t="s">
        <v>18</v>
      </c>
      <c r="L5" s="10" t="s">
        <v>11</v>
      </c>
      <c r="M5" s="9" t="s">
        <v>12</v>
      </c>
      <c r="N5" s="3"/>
    </row>
    <row r="6" spans="1:15" x14ac:dyDescent="0.2">
      <c r="A6" s="8"/>
      <c r="B6" s="8"/>
      <c r="C6" s="8"/>
      <c r="D6" s="9" t="s">
        <v>20</v>
      </c>
      <c r="E6" s="9"/>
      <c r="F6" s="9"/>
      <c r="G6" s="9"/>
      <c r="H6" s="9" t="s">
        <v>21</v>
      </c>
      <c r="I6" s="9" t="s">
        <v>18</v>
      </c>
      <c r="J6" s="9" t="s">
        <v>21</v>
      </c>
      <c r="K6" s="9" t="s">
        <v>21</v>
      </c>
      <c r="L6" s="9"/>
      <c r="M6" s="9"/>
      <c r="N6" s="3"/>
    </row>
    <row r="7" spans="1:15" x14ac:dyDescent="0.2">
      <c r="A7" s="11"/>
      <c r="B7" s="11"/>
      <c r="C7" s="11"/>
      <c r="D7" s="12"/>
      <c r="E7" s="12"/>
      <c r="F7" s="12"/>
      <c r="G7" s="12"/>
      <c r="H7" s="12"/>
      <c r="I7" s="12" t="s">
        <v>21</v>
      </c>
      <c r="J7" s="12"/>
      <c r="K7" s="12"/>
      <c r="L7" s="12"/>
      <c r="M7" s="12"/>
      <c r="N7" s="3"/>
    </row>
    <row r="8" spans="1:15" x14ac:dyDescent="0.2">
      <c r="A8" s="1" t="s">
        <v>22</v>
      </c>
      <c r="D8" s="13">
        <v>50</v>
      </c>
      <c r="E8" s="14">
        <v>2.4300000000000002</v>
      </c>
      <c r="F8" s="14">
        <v>0.71</v>
      </c>
      <c r="G8" s="15">
        <v>1470</v>
      </c>
      <c r="H8" s="14">
        <v>3572</v>
      </c>
      <c r="J8" s="14"/>
      <c r="K8" s="14">
        <f>SUM(H8:J8)</f>
        <v>3572</v>
      </c>
      <c r="N8" s="3"/>
      <c r="O8" s="16"/>
    </row>
    <row r="9" spans="1:15" x14ac:dyDescent="0.2">
      <c r="A9" s="1" t="s">
        <v>23</v>
      </c>
      <c r="D9" s="13">
        <v>100</v>
      </c>
      <c r="E9" s="14">
        <v>0.35</v>
      </c>
      <c r="F9" s="14">
        <v>0.35</v>
      </c>
      <c r="G9" s="15">
        <v>1470</v>
      </c>
      <c r="H9" s="14">
        <v>515</v>
      </c>
      <c r="I9" s="14">
        <v>8483</v>
      </c>
      <c r="J9" s="14"/>
      <c r="K9" s="14">
        <f t="shared" ref="K9:K16" si="0">SUM(H9:J9)</f>
        <v>8998</v>
      </c>
      <c r="L9" s="14">
        <v>1339</v>
      </c>
      <c r="N9" s="3"/>
      <c r="O9" s="16"/>
    </row>
    <row r="10" spans="1:15" x14ac:dyDescent="0.2">
      <c r="A10" s="1" t="s">
        <v>24</v>
      </c>
      <c r="D10" s="13">
        <v>100</v>
      </c>
      <c r="E10" s="14">
        <v>5.27</v>
      </c>
      <c r="F10" s="14">
        <v>1.06</v>
      </c>
      <c r="G10" s="15">
        <v>1430</v>
      </c>
      <c r="H10" s="14">
        <v>7536</v>
      </c>
      <c r="I10" s="14"/>
      <c r="J10" s="14">
        <f>SUM(E25*G25)</f>
        <v>14476</v>
      </c>
      <c r="K10" s="14">
        <f t="shared" si="0"/>
        <v>22012</v>
      </c>
      <c r="M10" s="14">
        <v>4571</v>
      </c>
      <c r="N10" s="3"/>
      <c r="O10" s="16"/>
    </row>
    <row r="11" spans="1:15" x14ac:dyDescent="0.2">
      <c r="A11" s="1" t="s">
        <v>25</v>
      </c>
      <c r="D11" s="13">
        <v>100</v>
      </c>
      <c r="E11" s="14">
        <v>7</v>
      </c>
      <c r="F11" s="14">
        <v>1.43</v>
      </c>
      <c r="G11" s="15">
        <v>1501</v>
      </c>
      <c r="H11" s="14">
        <v>10507</v>
      </c>
      <c r="I11" s="14"/>
      <c r="J11" s="14"/>
      <c r="K11" s="14">
        <f t="shared" si="0"/>
        <v>10507</v>
      </c>
      <c r="N11" s="3"/>
      <c r="O11" s="16"/>
    </row>
    <row r="12" spans="1:15" x14ac:dyDescent="0.2">
      <c r="A12" s="1" t="s">
        <v>26</v>
      </c>
      <c r="D12" s="13">
        <v>92</v>
      </c>
      <c r="E12" s="14">
        <v>0.41</v>
      </c>
      <c r="F12" s="14">
        <v>0.22</v>
      </c>
      <c r="G12" s="15">
        <v>1857</v>
      </c>
      <c r="H12" s="14">
        <v>761</v>
      </c>
      <c r="I12" s="14"/>
      <c r="J12" s="14">
        <v>2637</v>
      </c>
      <c r="K12" s="14">
        <f t="shared" si="0"/>
        <v>3398</v>
      </c>
      <c r="N12" s="3"/>
      <c r="O12" s="16"/>
    </row>
    <row r="13" spans="1:15" x14ac:dyDescent="0.2">
      <c r="A13" s="1" t="s">
        <v>27</v>
      </c>
      <c r="D13" s="13">
        <v>100</v>
      </c>
      <c r="E13" s="14">
        <v>7.69</v>
      </c>
      <c r="F13" s="14">
        <v>1.1399999999999999</v>
      </c>
      <c r="G13" s="15">
        <v>1620</v>
      </c>
      <c r="H13" s="14">
        <v>12458</v>
      </c>
      <c r="I13" s="14"/>
      <c r="J13" s="14"/>
      <c r="K13" s="14">
        <f t="shared" si="0"/>
        <v>12458</v>
      </c>
      <c r="N13" s="3"/>
      <c r="O13" s="16"/>
    </row>
    <row r="14" spans="1:15" x14ac:dyDescent="0.2">
      <c r="A14" s="1" t="s">
        <v>28</v>
      </c>
      <c r="D14" s="13">
        <v>100</v>
      </c>
      <c r="E14" s="14">
        <v>6.82</v>
      </c>
      <c r="F14" s="14">
        <v>1.1499999999999999</v>
      </c>
      <c r="G14" s="15">
        <v>1475</v>
      </c>
      <c r="H14" s="14">
        <v>10060</v>
      </c>
      <c r="I14" s="14"/>
      <c r="J14" s="14"/>
      <c r="K14" s="14">
        <f t="shared" si="0"/>
        <v>10060</v>
      </c>
      <c r="N14" s="3"/>
      <c r="O14" s="16"/>
    </row>
    <row r="15" spans="1:15" x14ac:dyDescent="0.2">
      <c r="A15" s="1" t="s">
        <v>29</v>
      </c>
      <c r="D15" s="13">
        <v>100</v>
      </c>
      <c r="E15" s="14">
        <v>2.5</v>
      </c>
      <c r="F15" s="14">
        <v>2.5</v>
      </c>
      <c r="G15" s="15">
        <v>1475</v>
      </c>
      <c r="H15" s="14">
        <v>3688</v>
      </c>
      <c r="I15" s="14"/>
      <c r="J15" s="14"/>
      <c r="K15" s="14">
        <f t="shared" si="0"/>
        <v>3688</v>
      </c>
      <c r="N15" s="3"/>
      <c r="O15" s="16"/>
    </row>
    <row r="16" spans="1:15" x14ac:dyDescent="0.2">
      <c r="A16" s="1" t="s">
        <v>30</v>
      </c>
      <c r="D16" s="13">
        <v>100</v>
      </c>
      <c r="E16" s="14">
        <v>0.4</v>
      </c>
      <c r="F16" s="14">
        <v>0.4</v>
      </c>
      <c r="G16" s="15">
        <v>1475</v>
      </c>
      <c r="H16" s="14">
        <v>590</v>
      </c>
      <c r="I16" s="14">
        <v>1285</v>
      </c>
      <c r="J16" s="14"/>
      <c r="K16" s="14">
        <f t="shared" si="0"/>
        <v>1875</v>
      </c>
      <c r="L16" s="14">
        <v>812</v>
      </c>
      <c r="N16" s="3"/>
      <c r="O16" s="16"/>
    </row>
    <row r="17" spans="1:16" x14ac:dyDescent="0.2">
      <c r="A17" s="5" t="s">
        <v>31</v>
      </c>
      <c r="B17" s="5"/>
      <c r="C17" s="5"/>
      <c r="D17" s="17"/>
      <c r="E17" s="18">
        <f>SUM(E8:E16)</f>
        <v>32.869999999999997</v>
      </c>
      <c r="F17" s="18">
        <f>SUM(F8:F16)</f>
        <v>8.9600000000000009</v>
      </c>
      <c r="G17" s="18"/>
      <c r="H17" s="18">
        <f>SUM(H8:H16)</f>
        <v>49687</v>
      </c>
      <c r="I17" s="18">
        <f>SUM(I8:I16)</f>
        <v>9768</v>
      </c>
      <c r="J17" s="18">
        <f>SUM(J8:J16)</f>
        <v>17113</v>
      </c>
      <c r="K17" s="18">
        <f>SUM(H17:J17)</f>
        <v>76568</v>
      </c>
      <c r="L17" s="18">
        <f>SUM(L8:L16)</f>
        <v>2151</v>
      </c>
      <c r="M17" s="18">
        <f>SUM(M8:M16)</f>
        <v>4571</v>
      </c>
      <c r="N17" s="3"/>
      <c r="O17" s="19" t="s">
        <v>32</v>
      </c>
      <c r="P17" s="19" t="s">
        <v>33</v>
      </c>
    </row>
    <row r="18" spans="1:16" x14ac:dyDescent="0.2">
      <c r="A18" s="11" t="s">
        <v>34</v>
      </c>
      <c r="B18" s="11"/>
      <c r="C18" s="11"/>
      <c r="D18" s="20"/>
      <c r="E18" s="21">
        <f>SUM(E17-F17)</f>
        <v>23.909999999999997</v>
      </c>
      <c r="F18" s="21"/>
      <c r="G18" s="21"/>
      <c r="H18" s="21">
        <f>SUM(E28*G28)</f>
        <v>36144</v>
      </c>
      <c r="I18" s="21">
        <f>I17-L17</f>
        <v>7617</v>
      </c>
      <c r="J18" s="21">
        <f>J17-M17</f>
        <v>12542</v>
      </c>
      <c r="K18" s="21">
        <f>SUM(H18:J18)</f>
        <v>56303</v>
      </c>
      <c r="L18" s="11"/>
      <c r="M18" s="11"/>
      <c r="N18" s="3"/>
      <c r="O18" s="22" t="s">
        <v>35</v>
      </c>
      <c r="P18" s="23">
        <f>10.5/19*100</f>
        <v>55.26315789473685</v>
      </c>
    </row>
    <row r="19" spans="1:16" x14ac:dyDescent="0.2">
      <c r="N19" s="3"/>
      <c r="O19" s="22" t="s">
        <v>36</v>
      </c>
      <c r="P19" s="24">
        <f>4/19*100</f>
        <v>21.052631578947366</v>
      </c>
    </row>
    <row r="20" spans="1:16" x14ac:dyDescent="0.2">
      <c r="C20" s="1" t="s">
        <v>37</v>
      </c>
      <c r="N20" s="3"/>
      <c r="O20" s="22" t="s">
        <v>38</v>
      </c>
      <c r="P20" s="23">
        <f>2.5/19*100</f>
        <v>13.157894736842104</v>
      </c>
    </row>
    <row r="21" spans="1:16" x14ac:dyDescent="0.2">
      <c r="N21" s="3"/>
      <c r="O21" s="22" t="s">
        <v>39</v>
      </c>
      <c r="P21" s="25">
        <f>2/19*100</f>
        <v>10.526315789473683</v>
      </c>
    </row>
    <row r="22" spans="1:16" x14ac:dyDescent="0.2">
      <c r="A22" s="1" t="s">
        <v>40</v>
      </c>
      <c r="N22" s="3"/>
    </row>
    <row r="23" spans="1:16" ht="14.25" x14ac:dyDescent="0.3">
      <c r="A23" s="26" t="s">
        <v>41</v>
      </c>
      <c r="B23" s="26"/>
      <c r="C23" s="26"/>
      <c r="D23" s="26" t="s">
        <v>42</v>
      </c>
      <c r="E23" s="26" t="s">
        <v>43</v>
      </c>
      <c r="F23" s="26"/>
      <c r="G23" s="26" t="s">
        <v>44</v>
      </c>
      <c r="N23" s="3"/>
      <c r="O23" s="27" t="s">
        <v>45</v>
      </c>
      <c r="P23" s="28">
        <v>1</v>
      </c>
    </row>
    <row r="24" spans="1:16" ht="14.25" x14ac:dyDescent="0.3">
      <c r="A24" s="1" t="s">
        <v>46</v>
      </c>
      <c r="N24" s="3"/>
      <c r="O24" s="27" t="s">
        <v>47</v>
      </c>
      <c r="P24" s="28">
        <v>1.58</v>
      </c>
    </row>
    <row r="25" spans="1:16" x14ac:dyDescent="0.2">
      <c r="A25" s="1" t="s">
        <v>48</v>
      </c>
      <c r="D25" s="1" t="s">
        <v>49</v>
      </c>
      <c r="E25" s="14">
        <v>47</v>
      </c>
      <c r="F25" s="14"/>
      <c r="G25" s="14">
        <v>308</v>
      </c>
      <c r="N25" s="3"/>
    </row>
    <row r="26" spans="1:16" x14ac:dyDescent="0.2">
      <c r="N26" s="3"/>
    </row>
    <row r="27" spans="1:16" x14ac:dyDescent="0.2">
      <c r="A27" s="1" t="s">
        <v>50</v>
      </c>
      <c r="N27" s="3"/>
    </row>
    <row r="28" spans="1:16" x14ac:dyDescent="0.2">
      <c r="A28" s="1" t="s">
        <v>51</v>
      </c>
      <c r="D28" s="1" t="s">
        <v>52</v>
      </c>
      <c r="E28" s="14">
        <v>24</v>
      </c>
      <c r="G28" s="14">
        <v>1506</v>
      </c>
      <c r="N28" s="3"/>
    </row>
    <row r="29" spans="1:16" x14ac:dyDescent="0.2">
      <c r="A29" s="1" t="s">
        <v>53</v>
      </c>
      <c r="D29" s="1" t="s">
        <v>52</v>
      </c>
      <c r="E29" s="14">
        <v>9</v>
      </c>
      <c r="N29" s="3"/>
    </row>
    <row r="30" spans="1:16" x14ac:dyDescent="0.2">
      <c r="A30" s="1" t="s">
        <v>7</v>
      </c>
      <c r="D30" s="1" t="s">
        <v>52</v>
      </c>
      <c r="E30" s="14">
        <f>+E28+E29</f>
        <v>33</v>
      </c>
      <c r="N30" s="3"/>
    </row>
    <row r="31" spans="1:16" x14ac:dyDescent="0.2">
      <c r="A31" s="5" t="s">
        <v>54</v>
      </c>
      <c r="B31" s="5"/>
      <c r="C31" s="5"/>
      <c r="D31" s="5"/>
      <c r="E31" s="5"/>
      <c r="F31" s="5"/>
      <c r="G31" s="5"/>
      <c r="H31" s="1" t="s">
        <v>55</v>
      </c>
      <c r="N31" s="3"/>
    </row>
    <row r="32" spans="1:16" x14ac:dyDescent="0.2">
      <c r="A32" s="8" t="s">
        <v>56</v>
      </c>
      <c r="B32" s="8"/>
      <c r="C32" s="8"/>
      <c r="D32" s="8"/>
      <c r="E32" s="8"/>
      <c r="F32" s="8"/>
      <c r="G32" s="29">
        <v>622</v>
      </c>
      <c r="H32" s="16">
        <f>G32*2.47</f>
        <v>1536.3400000000001</v>
      </c>
      <c r="N32" s="3"/>
    </row>
    <row r="33" spans="1:14" x14ac:dyDescent="0.2">
      <c r="A33" s="8" t="s">
        <v>57</v>
      </c>
      <c r="B33" s="8"/>
      <c r="C33" s="8"/>
      <c r="D33" s="8"/>
      <c r="E33" s="8"/>
      <c r="F33" s="8"/>
      <c r="G33" s="30">
        <v>405</v>
      </c>
      <c r="H33" s="16"/>
      <c r="N33" s="3"/>
    </row>
    <row r="34" spans="1:14" x14ac:dyDescent="0.2">
      <c r="A34" s="8" t="s">
        <v>58</v>
      </c>
      <c r="B34" s="8"/>
      <c r="C34" s="8"/>
      <c r="D34" s="8"/>
      <c r="E34" s="8"/>
      <c r="F34" s="8"/>
      <c r="G34" s="30">
        <f>SUM(G32*G33)</f>
        <v>251910</v>
      </c>
      <c r="H34" s="16">
        <f>G34*2.47</f>
        <v>622217.70000000007</v>
      </c>
      <c r="N34" s="3"/>
    </row>
    <row r="35" spans="1:14" x14ac:dyDescent="0.2">
      <c r="A35" s="8" t="s">
        <v>59</v>
      </c>
      <c r="B35" s="8"/>
      <c r="C35" s="8"/>
      <c r="D35" s="8"/>
      <c r="E35" s="8"/>
      <c r="F35" s="8"/>
      <c r="G35" s="30">
        <f>SUM(G34-K17)</f>
        <v>175342</v>
      </c>
      <c r="H35" s="16">
        <f>G35*2.47</f>
        <v>433094.74000000005</v>
      </c>
      <c r="N35" s="3"/>
    </row>
    <row r="36" spans="1:14" x14ac:dyDescent="0.2">
      <c r="A36" s="8" t="s">
        <v>60</v>
      </c>
      <c r="B36" s="8"/>
      <c r="C36" s="8"/>
      <c r="D36" s="8"/>
      <c r="E36" s="8"/>
      <c r="F36" s="8"/>
      <c r="G36" s="30">
        <f>SUM(G34-K18)</f>
        <v>195607</v>
      </c>
      <c r="H36" s="16">
        <f>G36*2.47</f>
        <v>483149.29000000004</v>
      </c>
      <c r="N36" s="3"/>
    </row>
    <row r="37" spans="1:14" x14ac:dyDescent="0.2">
      <c r="A37" s="8" t="s">
        <v>61</v>
      </c>
      <c r="B37" s="8"/>
      <c r="C37" s="8"/>
      <c r="D37" s="8"/>
      <c r="E37" s="8"/>
      <c r="F37" s="8"/>
      <c r="G37" s="30">
        <f>SUM(K17/G32)</f>
        <v>123.09967845659163</v>
      </c>
      <c r="N37" s="3"/>
    </row>
    <row r="38" spans="1:14" x14ac:dyDescent="0.2">
      <c r="A38" s="11" t="s">
        <v>62</v>
      </c>
      <c r="B38" s="11"/>
      <c r="C38" s="11"/>
      <c r="D38" s="11"/>
      <c r="E38" s="11"/>
      <c r="F38" s="11"/>
      <c r="G38" s="31">
        <f>SUM(K18/G32)</f>
        <v>90.519292604501601</v>
      </c>
      <c r="N38" s="3"/>
    </row>
    <row r="39" spans="1:14" x14ac:dyDescent="0.2">
      <c r="N39" s="3"/>
    </row>
    <row r="40" spans="1:14" x14ac:dyDescent="0.2">
      <c r="A40" s="1" t="s">
        <v>63</v>
      </c>
      <c r="N40" s="3"/>
    </row>
    <row r="41" spans="1:14" x14ac:dyDescent="0.2">
      <c r="N41" s="3"/>
    </row>
    <row r="49" spans="7:7" x14ac:dyDescent="0.2">
      <c r="G49" s="1" t="s">
        <v>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selection activeCell="L41" sqref="L41"/>
    </sheetView>
  </sheetViews>
  <sheetFormatPr defaultRowHeight="12.75" x14ac:dyDescent="0.2"/>
  <cols>
    <col min="1" max="1" width="9.140625" style="54"/>
    <col min="2" max="2" width="8.140625" style="54" customWidth="1"/>
    <col min="3" max="3" width="8.7109375" style="54" customWidth="1"/>
    <col min="4" max="4" width="5.85546875" style="54" customWidth="1"/>
    <col min="5" max="5" width="7.28515625" style="54" customWidth="1"/>
    <col min="6" max="6" width="6" style="54" customWidth="1"/>
    <col min="7" max="7" width="10" style="54" customWidth="1"/>
    <col min="8" max="8" width="10.42578125" style="54" customWidth="1"/>
    <col min="9" max="9" width="8.28515625" style="54" customWidth="1"/>
    <col min="10" max="11" width="9.42578125" style="54" customWidth="1"/>
    <col min="12" max="12" width="9.5703125" style="54" customWidth="1"/>
    <col min="13" max="13" width="7.7109375" style="54" customWidth="1"/>
    <col min="14" max="15" width="9.140625" style="54"/>
    <col min="16" max="16" width="11.28515625" style="54" customWidth="1"/>
    <col min="17" max="16384" width="9.140625" style="54"/>
  </cols>
  <sheetData>
    <row r="1" spans="1:15" ht="18.75" x14ac:dyDescent="0.3">
      <c r="A1" s="54" t="s">
        <v>0</v>
      </c>
      <c r="B1" s="54" t="s">
        <v>519</v>
      </c>
      <c r="N1" s="312"/>
      <c r="O1" s="769" t="s">
        <v>520</v>
      </c>
    </row>
    <row r="2" spans="1:15" x14ac:dyDescent="0.2">
      <c r="B2" s="54" t="s">
        <v>521</v>
      </c>
      <c r="N2" s="312"/>
    </row>
    <row r="3" spans="1:15" x14ac:dyDescent="0.2">
      <c r="B3" s="54" t="s">
        <v>260</v>
      </c>
      <c r="N3" s="312"/>
    </row>
    <row r="4" spans="1:15" x14ac:dyDescent="0.2">
      <c r="A4" s="74" t="s">
        <v>5</v>
      </c>
      <c r="B4" s="74"/>
      <c r="C4" s="74"/>
      <c r="D4" s="350" t="s">
        <v>6</v>
      </c>
      <c r="E4" s="350" t="s">
        <v>7</v>
      </c>
      <c r="F4" s="350" t="s">
        <v>8</v>
      </c>
      <c r="G4" s="350" t="s">
        <v>9</v>
      </c>
      <c r="H4" s="350" t="s">
        <v>10</v>
      </c>
      <c r="I4" s="350" t="s">
        <v>11</v>
      </c>
      <c r="J4" s="350" t="s">
        <v>12</v>
      </c>
      <c r="K4" s="350" t="s">
        <v>13</v>
      </c>
      <c r="L4" s="351" t="s">
        <v>14</v>
      </c>
      <c r="M4" s="350"/>
      <c r="N4" s="312"/>
    </row>
    <row r="5" spans="1:15" x14ac:dyDescent="0.2">
      <c r="A5" s="352"/>
      <c r="B5" s="352"/>
      <c r="C5" s="352"/>
      <c r="D5" s="353" t="s">
        <v>15</v>
      </c>
      <c r="E5" s="353" t="s">
        <v>16</v>
      </c>
      <c r="F5" s="353" t="s">
        <v>16</v>
      </c>
      <c r="G5" s="353" t="s">
        <v>17</v>
      </c>
      <c r="H5" s="353" t="s">
        <v>18</v>
      </c>
      <c r="I5" s="353" t="s">
        <v>19</v>
      </c>
      <c r="J5" s="353" t="s">
        <v>18</v>
      </c>
      <c r="K5" s="353" t="s">
        <v>18</v>
      </c>
      <c r="L5" s="354" t="s">
        <v>11</v>
      </c>
      <c r="M5" s="353" t="s">
        <v>12</v>
      </c>
      <c r="N5" s="312"/>
    </row>
    <row r="6" spans="1:15" x14ac:dyDescent="0.2">
      <c r="A6" s="352"/>
      <c r="B6" s="352"/>
      <c r="C6" s="352"/>
      <c r="D6" s="353" t="s">
        <v>20</v>
      </c>
      <c r="E6" s="353"/>
      <c r="F6" s="353"/>
      <c r="G6" s="353"/>
      <c r="H6" s="353" t="s">
        <v>21</v>
      </c>
      <c r="I6" s="353" t="s">
        <v>18</v>
      </c>
      <c r="J6" s="353" t="s">
        <v>21</v>
      </c>
      <c r="K6" s="353" t="s">
        <v>21</v>
      </c>
      <c r="L6" s="353"/>
      <c r="M6" s="353"/>
      <c r="N6" s="312"/>
    </row>
    <row r="7" spans="1:15" x14ac:dyDescent="0.2">
      <c r="A7" s="80"/>
      <c r="B7" s="80"/>
      <c r="C7" s="80"/>
      <c r="D7" s="355"/>
      <c r="E7" s="355"/>
      <c r="F7" s="355"/>
      <c r="G7" s="355"/>
      <c r="H7" s="355"/>
      <c r="I7" s="355" t="s">
        <v>21</v>
      </c>
      <c r="J7" s="355"/>
      <c r="K7" s="355"/>
      <c r="L7" s="355"/>
      <c r="M7" s="355"/>
      <c r="N7" s="312"/>
    </row>
    <row r="8" spans="1:15" x14ac:dyDescent="0.2">
      <c r="A8" s="54" t="s">
        <v>22</v>
      </c>
      <c r="D8" s="356">
        <v>80</v>
      </c>
      <c r="E8" s="171">
        <v>1.1399999999999999</v>
      </c>
      <c r="F8" s="171">
        <v>0.33</v>
      </c>
      <c r="G8" s="357">
        <v>1216</v>
      </c>
      <c r="H8" s="171">
        <v>1386</v>
      </c>
      <c r="J8" s="171"/>
      <c r="K8" s="171">
        <f t="shared" ref="K8:K21" si="0">SUM(H8:J8)</f>
        <v>1386</v>
      </c>
      <c r="N8" s="312"/>
      <c r="O8" s="376"/>
    </row>
    <row r="9" spans="1:15" x14ac:dyDescent="0.2">
      <c r="A9" s="54" t="s">
        <v>246</v>
      </c>
      <c r="D9" s="356">
        <v>100</v>
      </c>
      <c r="E9" s="171">
        <v>0.28000000000000003</v>
      </c>
      <c r="F9" s="171">
        <v>0.28000000000000003</v>
      </c>
      <c r="G9" s="357">
        <v>1500</v>
      </c>
      <c r="H9" s="171">
        <f t="shared" ref="H9" si="1">+G9*E9</f>
        <v>420.00000000000006</v>
      </c>
      <c r="I9" s="171">
        <v>4880</v>
      </c>
      <c r="J9" s="171"/>
      <c r="K9" s="171">
        <f>SUM(H9:J9)</f>
        <v>5300</v>
      </c>
      <c r="N9" s="312"/>
      <c r="O9" s="376"/>
    </row>
    <row r="10" spans="1:15" x14ac:dyDescent="0.2">
      <c r="A10" s="359" t="s">
        <v>522</v>
      </c>
      <c r="B10" s="356"/>
      <c r="D10" s="356">
        <v>100</v>
      </c>
      <c r="E10" s="171">
        <v>5.76</v>
      </c>
      <c r="F10" s="171">
        <v>5.76</v>
      </c>
      <c r="G10" s="357">
        <v>939</v>
      </c>
      <c r="H10" s="171">
        <v>5409</v>
      </c>
      <c r="J10" s="171"/>
      <c r="K10" s="171">
        <f>SUM(H10:J10)</f>
        <v>5409</v>
      </c>
      <c r="N10" s="312"/>
      <c r="O10" s="376"/>
    </row>
    <row r="11" spans="1:15" x14ac:dyDescent="0.2">
      <c r="A11" s="54" t="s">
        <v>523</v>
      </c>
      <c r="D11" s="356">
        <v>100</v>
      </c>
      <c r="E11" s="171">
        <v>11.67</v>
      </c>
      <c r="F11" s="171">
        <v>0.19</v>
      </c>
      <c r="G11" s="357">
        <v>1016</v>
      </c>
      <c r="H11" s="171">
        <v>11857</v>
      </c>
      <c r="J11" s="171">
        <f>SUM(E30*G30)</f>
        <v>227728</v>
      </c>
      <c r="K11" s="171">
        <f>SUM(H11:J11)</f>
        <v>239585</v>
      </c>
      <c r="N11" s="312"/>
      <c r="O11" s="376"/>
    </row>
    <row r="12" spans="1:15" x14ac:dyDescent="0.2">
      <c r="A12" s="54" t="s">
        <v>79</v>
      </c>
      <c r="D12" s="356">
        <v>90</v>
      </c>
      <c r="E12" s="651">
        <v>4.0999999999999996</v>
      </c>
      <c r="F12" s="651">
        <v>1</v>
      </c>
      <c r="G12" s="770">
        <v>1646</v>
      </c>
      <c r="H12" s="771">
        <v>6749</v>
      </c>
      <c r="J12" s="171">
        <f>+E39*G39+E40*G40</f>
        <v>69482</v>
      </c>
      <c r="K12" s="771">
        <f>+J12+J13+H12</f>
        <v>125540</v>
      </c>
      <c r="N12" s="320"/>
      <c r="O12" s="651"/>
    </row>
    <row r="13" spans="1:15" x14ac:dyDescent="0.2">
      <c r="A13" s="54" t="s">
        <v>80</v>
      </c>
      <c r="D13" s="356">
        <v>50</v>
      </c>
      <c r="E13" s="651"/>
      <c r="F13" s="651"/>
      <c r="G13" s="770"/>
      <c r="H13" s="771"/>
      <c r="J13" s="171">
        <f>+E41*G41+E44*G44+E42*G42+E43*G43</f>
        <v>49309</v>
      </c>
      <c r="K13" s="771"/>
      <c r="N13" s="312"/>
      <c r="O13" s="651"/>
    </row>
    <row r="14" spans="1:15" x14ac:dyDescent="0.2">
      <c r="A14" s="54" t="s">
        <v>25</v>
      </c>
      <c r="D14" s="356">
        <v>90</v>
      </c>
      <c r="E14" s="171">
        <v>10.210000000000001</v>
      </c>
      <c r="F14" s="171">
        <v>0</v>
      </c>
      <c r="G14" s="357">
        <v>923</v>
      </c>
      <c r="H14" s="171">
        <v>9424</v>
      </c>
      <c r="J14" s="360"/>
      <c r="K14" s="171">
        <f t="shared" si="0"/>
        <v>9424</v>
      </c>
      <c r="N14" s="312"/>
      <c r="O14" s="376"/>
    </row>
    <row r="15" spans="1:15" x14ac:dyDescent="0.2">
      <c r="A15" s="54" t="s">
        <v>26</v>
      </c>
      <c r="D15" s="356">
        <v>90</v>
      </c>
      <c r="E15" s="171">
        <v>0.46</v>
      </c>
      <c r="F15" s="171">
        <v>0.18</v>
      </c>
      <c r="G15" s="357">
        <v>1062</v>
      </c>
      <c r="H15" s="171">
        <v>489</v>
      </c>
      <c r="J15" s="171">
        <v>4774</v>
      </c>
      <c r="K15" s="171">
        <f>SUM(H15:J15)</f>
        <v>5263</v>
      </c>
      <c r="N15" s="312"/>
      <c r="O15" s="376"/>
    </row>
    <row r="16" spans="1:15" x14ac:dyDescent="0.2">
      <c r="A16" s="54" t="s">
        <v>271</v>
      </c>
      <c r="D16" s="356">
        <v>100</v>
      </c>
      <c r="E16" s="171">
        <v>1.63</v>
      </c>
      <c r="F16" s="171">
        <v>0.08</v>
      </c>
      <c r="G16" s="357">
        <v>1632</v>
      </c>
      <c r="H16" s="171">
        <v>2660</v>
      </c>
      <c r="J16" s="171">
        <v>6095</v>
      </c>
      <c r="K16" s="171">
        <f t="shared" si="0"/>
        <v>8755</v>
      </c>
      <c r="N16" s="312"/>
      <c r="O16" s="376"/>
    </row>
    <row r="17" spans="1:17" x14ac:dyDescent="0.2">
      <c r="A17" s="54" t="s">
        <v>524</v>
      </c>
      <c r="D17" s="356">
        <v>100</v>
      </c>
      <c r="E17" s="171">
        <v>17.649999999999999</v>
      </c>
      <c r="F17" s="171">
        <v>2.0699999999999998</v>
      </c>
      <c r="G17" s="357">
        <v>1623</v>
      </c>
      <c r="H17" s="171">
        <v>28646</v>
      </c>
      <c r="I17" s="171">
        <v>8664</v>
      </c>
      <c r="J17" s="171"/>
      <c r="K17" s="171">
        <f t="shared" si="0"/>
        <v>37310</v>
      </c>
      <c r="N17" s="312"/>
      <c r="O17" s="376"/>
    </row>
    <row r="18" spans="1:17" x14ac:dyDescent="0.2">
      <c r="A18" s="54" t="s">
        <v>525</v>
      </c>
      <c r="D18" s="356">
        <v>90</v>
      </c>
      <c r="E18" s="171">
        <v>0.69</v>
      </c>
      <c r="F18" s="171">
        <v>0.21</v>
      </c>
      <c r="G18" s="357">
        <v>1677</v>
      </c>
      <c r="H18" s="171">
        <v>1157</v>
      </c>
      <c r="I18" s="171">
        <v>1381</v>
      </c>
      <c r="J18" s="171"/>
      <c r="K18" s="171">
        <f t="shared" si="0"/>
        <v>2538</v>
      </c>
      <c r="N18" s="312"/>
      <c r="O18" s="376"/>
    </row>
    <row r="19" spans="1:17" x14ac:dyDescent="0.2">
      <c r="A19" s="54" t="s">
        <v>27</v>
      </c>
      <c r="D19" s="356">
        <v>100</v>
      </c>
      <c r="E19" s="171">
        <v>11.24</v>
      </c>
      <c r="F19" s="171">
        <v>0</v>
      </c>
      <c r="G19" s="357">
        <v>1016</v>
      </c>
      <c r="H19" s="171">
        <v>11420</v>
      </c>
      <c r="J19" s="171">
        <v>2481</v>
      </c>
      <c r="K19" s="171">
        <f>SUM(H19:J19)</f>
        <v>13901</v>
      </c>
      <c r="N19" s="312"/>
      <c r="O19" s="376"/>
    </row>
    <row r="20" spans="1:17" x14ac:dyDescent="0.2">
      <c r="A20" s="54" t="s">
        <v>526</v>
      </c>
      <c r="D20" s="356">
        <v>100</v>
      </c>
      <c r="E20" s="171">
        <v>17.88</v>
      </c>
      <c r="F20" s="171">
        <v>0</v>
      </c>
      <c r="G20" s="357">
        <v>960</v>
      </c>
      <c r="H20" s="171">
        <v>17165</v>
      </c>
      <c r="J20" s="171"/>
      <c r="K20" s="171">
        <f t="shared" si="0"/>
        <v>17165</v>
      </c>
      <c r="N20" s="312"/>
      <c r="O20" s="376"/>
    </row>
    <row r="21" spans="1:17" x14ac:dyDescent="0.2">
      <c r="A21" s="54" t="s">
        <v>30</v>
      </c>
      <c r="D21" s="356">
        <v>100</v>
      </c>
      <c r="E21" s="171">
        <v>0.7</v>
      </c>
      <c r="F21" s="171">
        <v>0.7</v>
      </c>
      <c r="G21" s="357">
        <v>1500</v>
      </c>
      <c r="H21" s="171">
        <f t="shared" ref="H21" si="2">+E21*G21</f>
        <v>1050</v>
      </c>
      <c r="I21" s="171">
        <v>2700</v>
      </c>
      <c r="J21" s="171"/>
      <c r="K21" s="171">
        <f t="shared" si="0"/>
        <v>3750</v>
      </c>
      <c r="L21" s="171">
        <v>838</v>
      </c>
      <c r="N21" s="312"/>
      <c r="O21" s="376"/>
    </row>
    <row r="22" spans="1:17" x14ac:dyDescent="0.2">
      <c r="A22" s="74" t="s">
        <v>31</v>
      </c>
      <c r="B22" s="74"/>
      <c r="C22" s="74"/>
      <c r="D22" s="363"/>
      <c r="E22" s="364">
        <f>SUM(E8:E21)</f>
        <v>83.41</v>
      </c>
      <c r="F22" s="364">
        <f>SUM(F8:F21)</f>
        <v>10.8</v>
      </c>
      <c r="G22" s="364"/>
      <c r="H22" s="364">
        <f>SUM(H8:H21)</f>
        <v>97832</v>
      </c>
      <c r="I22" s="364">
        <f>SUM(I8:I21)</f>
        <v>17625</v>
      </c>
      <c r="J22" s="364">
        <f>SUM(J8:J21)</f>
        <v>359869</v>
      </c>
      <c r="K22" s="364">
        <f>SUM(H22:J22)</f>
        <v>475326</v>
      </c>
      <c r="L22" s="364">
        <f>SUM(L8:L21)</f>
        <v>838</v>
      </c>
      <c r="M22" s="74">
        <f>SUM(M8:M21)</f>
        <v>0</v>
      </c>
      <c r="N22" s="312"/>
    </row>
    <row r="23" spans="1:17" x14ac:dyDescent="0.2">
      <c r="A23" s="80" t="s">
        <v>34</v>
      </c>
      <c r="B23" s="80"/>
      <c r="C23" s="80"/>
      <c r="D23" s="365"/>
      <c r="E23" s="366">
        <f>SUM(E22-F22)</f>
        <v>72.61</v>
      </c>
      <c r="F23" s="366"/>
      <c r="G23" s="366"/>
      <c r="H23" s="366">
        <f>SUM(E34*G34)</f>
        <v>84888</v>
      </c>
      <c r="I23" s="366">
        <f>I22-L22</f>
        <v>16787</v>
      </c>
      <c r="J23" s="366">
        <f>J22-M22</f>
        <v>359869</v>
      </c>
      <c r="K23" s="366">
        <f>SUM(H23:J23)</f>
        <v>461544</v>
      </c>
      <c r="L23" s="80"/>
      <c r="M23" s="80"/>
      <c r="N23" s="312"/>
    </row>
    <row r="24" spans="1:17" x14ac:dyDescent="0.2">
      <c r="A24" s="54" t="s">
        <v>527</v>
      </c>
      <c r="N24" s="312"/>
    </row>
    <row r="25" spans="1:17" x14ac:dyDescent="0.2">
      <c r="C25" s="54" t="s">
        <v>37</v>
      </c>
      <c r="N25" s="312"/>
    </row>
    <row r="26" spans="1:17" x14ac:dyDescent="0.2">
      <c r="N26" s="312"/>
    </row>
    <row r="27" spans="1:17" x14ac:dyDescent="0.2">
      <c r="A27" s="54" t="s">
        <v>40</v>
      </c>
      <c r="N27" s="312"/>
      <c r="P27" s="54" t="s">
        <v>45</v>
      </c>
      <c r="Q27" s="54">
        <v>2.9</v>
      </c>
    </row>
    <row r="28" spans="1:17" x14ac:dyDescent="0.2">
      <c r="A28" s="367" t="s">
        <v>41</v>
      </c>
      <c r="B28" s="367"/>
      <c r="C28" s="367"/>
      <c r="D28" s="367" t="s">
        <v>42</v>
      </c>
      <c r="E28" s="367" t="s">
        <v>43</v>
      </c>
      <c r="F28" s="367"/>
      <c r="G28" s="367" t="s">
        <v>44</v>
      </c>
      <c r="N28" s="312"/>
      <c r="P28" s="54" t="s">
        <v>47</v>
      </c>
      <c r="Q28" s="54">
        <v>2</v>
      </c>
    </row>
    <row r="29" spans="1:17" x14ac:dyDescent="0.2">
      <c r="A29" s="54" t="s">
        <v>46</v>
      </c>
      <c r="N29" s="312"/>
    </row>
    <row r="30" spans="1:17" x14ac:dyDescent="0.2">
      <c r="A30" s="54" t="s">
        <v>48</v>
      </c>
      <c r="D30" s="54" t="s">
        <v>49</v>
      </c>
      <c r="E30" s="171">
        <v>662</v>
      </c>
      <c r="G30" s="314">
        <v>344</v>
      </c>
      <c r="N30" s="312"/>
      <c r="P30" s="54" t="s">
        <v>32</v>
      </c>
    </row>
    <row r="31" spans="1:17" x14ac:dyDescent="0.2">
      <c r="K31" s="369"/>
      <c r="N31" s="312"/>
      <c r="P31" s="772" t="s">
        <v>528</v>
      </c>
      <c r="Q31" s="54">
        <v>10</v>
      </c>
    </row>
    <row r="32" spans="1:17" x14ac:dyDescent="0.2">
      <c r="K32" s="369"/>
      <c r="N32" s="312"/>
      <c r="P32" s="772" t="s">
        <v>529</v>
      </c>
      <c r="Q32" s="54">
        <v>90</v>
      </c>
    </row>
    <row r="33" spans="1:14" x14ac:dyDescent="0.2">
      <c r="A33" s="54" t="s">
        <v>50</v>
      </c>
      <c r="K33" s="369"/>
      <c r="N33" s="312"/>
    </row>
    <row r="34" spans="1:14" x14ac:dyDescent="0.2">
      <c r="A34" s="54" t="s">
        <v>91</v>
      </c>
      <c r="D34" s="54" t="s">
        <v>52</v>
      </c>
      <c r="E34" s="171">
        <v>72</v>
      </c>
      <c r="G34" s="171">
        <v>1179</v>
      </c>
      <c r="K34" s="369"/>
      <c r="N34" s="312"/>
    </row>
    <row r="35" spans="1:14" x14ac:dyDescent="0.2">
      <c r="A35" s="54" t="s">
        <v>53</v>
      </c>
      <c r="D35" s="54" t="s">
        <v>52</v>
      </c>
      <c r="E35" s="171">
        <v>11</v>
      </c>
      <c r="N35" s="312"/>
    </row>
    <row r="36" spans="1:14" x14ac:dyDescent="0.2">
      <c r="A36" s="54" t="s">
        <v>7</v>
      </c>
      <c r="D36" s="54" t="s">
        <v>52</v>
      </c>
      <c r="E36" s="171">
        <v>83</v>
      </c>
      <c r="N36" s="312"/>
    </row>
    <row r="37" spans="1:14" x14ac:dyDescent="0.2">
      <c r="N37" s="312"/>
    </row>
    <row r="38" spans="1:14" x14ac:dyDescent="0.2">
      <c r="A38" s="74" t="s">
        <v>93</v>
      </c>
      <c r="B38" s="74"/>
      <c r="C38" s="74" t="s">
        <v>94</v>
      </c>
      <c r="D38" s="74"/>
      <c r="E38" s="74"/>
      <c r="F38" s="74"/>
      <c r="G38" s="74"/>
      <c r="N38" s="312"/>
    </row>
    <row r="39" spans="1:14" x14ac:dyDescent="0.2">
      <c r="A39" s="773"/>
      <c r="B39" s="354" t="s">
        <v>530</v>
      </c>
      <c r="C39" s="372">
        <v>50</v>
      </c>
      <c r="D39" s="774" t="s">
        <v>49</v>
      </c>
      <c r="E39" s="373">
        <v>2963</v>
      </c>
      <c r="F39" s="352"/>
      <c r="G39" s="373">
        <v>14</v>
      </c>
      <c r="N39" s="312"/>
    </row>
    <row r="40" spans="1:14" x14ac:dyDescent="0.2">
      <c r="A40" s="773"/>
      <c r="B40" s="354" t="s">
        <v>461</v>
      </c>
      <c r="C40" s="372">
        <v>50</v>
      </c>
      <c r="D40" s="774" t="s">
        <v>49</v>
      </c>
      <c r="E40" s="373">
        <v>3500</v>
      </c>
      <c r="F40" s="352"/>
      <c r="G40" s="373">
        <v>8</v>
      </c>
      <c r="N40" s="312"/>
    </row>
    <row r="41" spans="1:14" x14ac:dyDescent="0.2">
      <c r="A41" s="773"/>
      <c r="B41" s="54" t="s">
        <v>531</v>
      </c>
      <c r="C41" s="372">
        <v>70</v>
      </c>
      <c r="D41" s="774" t="s">
        <v>49</v>
      </c>
      <c r="E41" s="373">
        <v>72</v>
      </c>
      <c r="F41" s="352"/>
      <c r="G41" s="373">
        <v>57</v>
      </c>
      <c r="N41" s="312"/>
    </row>
    <row r="42" spans="1:14" x14ac:dyDescent="0.2">
      <c r="A42" s="773"/>
      <c r="B42" s="54" t="s">
        <v>516</v>
      </c>
      <c r="C42" s="372">
        <v>80</v>
      </c>
      <c r="D42" s="774" t="s">
        <v>49</v>
      </c>
      <c r="E42" s="373">
        <v>121</v>
      </c>
      <c r="F42" s="352"/>
      <c r="G42" s="373">
        <v>300</v>
      </c>
      <c r="N42" s="312"/>
    </row>
    <row r="43" spans="1:14" x14ac:dyDescent="0.2">
      <c r="A43" s="773"/>
      <c r="B43" s="354" t="s">
        <v>97</v>
      </c>
      <c r="C43" s="372">
        <v>40</v>
      </c>
      <c r="D43" s="774" t="s">
        <v>49</v>
      </c>
      <c r="E43" s="414">
        <v>86</v>
      </c>
      <c r="F43" s="352"/>
      <c r="G43" s="373">
        <v>50</v>
      </c>
      <c r="N43" s="312"/>
    </row>
    <row r="44" spans="1:14" x14ac:dyDescent="0.2">
      <c r="A44" s="773"/>
      <c r="B44" s="354" t="s">
        <v>312</v>
      </c>
      <c r="C44" s="372">
        <v>60</v>
      </c>
      <c r="D44" s="775" t="s">
        <v>532</v>
      </c>
      <c r="E44" s="414">
        <v>1</v>
      </c>
      <c r="F44" s="352"/>
      <c r="G44" s="373">
        <v>4605</v>
      </c>
      <c r="N44" s="312"/>
    </row>
    <row r="45" spans="1:14" x14ac:dyDescent="0.2">
      <c r="A45" s="74" t="s">
        <v>54</v>
      </c>
      <c r="B45" s="74"/>
      <c r="C45" s="74"/>
      <c r="D45" s="74"/>
      <c r="E45" s="74"/>
      <c r="F45" s="74"/>
      <c r="G45" s="670" t="s">
        <v>159</v>
      </c>
      <c r="H45" s="670" t="s">
        <v>55</v>
      </c>
      <c r="N45" s="312"/>
    </row>
    <row r="46" spans="1:14" x14ac:dyDescent="0.2">
      <c r="A46" s="352" t="s">
        <v>56</v>
      </c>
      <c r="B46" s="352"/>
      <c r="C46" s="352"/>
      <c r="D46" s="352"/>
      <c r="E46" s="352"/>
      <c r="F46" s="352"/>
      <c r="G46" s="375">
        <v>3900</v>
      </c>
      <c r="H46" s="776">
        <f>+G46*2.471</f>
        <v>9636.9</v>
      </c>
      <c r="N46" s="312"/>
    </row>
    <row r="47" spans="1:14" x14ac:dyDescent="0.2">
      <c r="A47" s="352" t="s">
        <v>57</v>
      </c>
      <c r="B47" s="352"/>
      <c r="C47" s="352"/>
      <c r="D47" s="352"/>
      <c r="E47" s="352"/>
      <c r="F47" s="352"/>
      <c r="G47" s="377">
        <v>208</v>
      </c>
      <c r="H47" s="776"/>
      <c r="N47" s="312"/>
    </row>
    <row r="48" spans="1:14" x14ac:dyDescent="0.2">
      <c r="A48" s="352" t="s">
        <v>58</v>
      </c>
      <c r="B48" s="352"/>
      <c r="C48" s="352"/>
      <c r="D48" s="352"/>
      <c r="E48" s="352"/>
      <c r="F48" s="352"/>
      <c r="G48" s="377">
        <f>SUM(G46*G47)</f>
        <v>811200</v>
      </c>
      <c r="H48" s="776">
        <f>+G48*2.471</f>
        <v>2004475.2</v>
      </c>
      <c r="N48" s="312"/>
    </row>
    <row r="49" spans="1:14" x14ac:dyDescent="0.2">
      <c r="A49" s="352" t="s">
        <v>59</v>
      </c>
      <c r="B49" s="352"/>
      <c r="C49" s="352"/>
      <c r="D49" s="352"/>
      <c r="E49" s="352"/>
      <c r="F49" s="352"/>
      <c r="G49" s="377">
        <f>SUM(G48-K22)</f>
        <v>335874</v>
      </c>
      <c r="H49" s="776">
        <f>+G49*2.471</f>
        <v>829944.65399999998</v>
      </c>
      <c r="N49" s="312"/>
    </row>
    <row r="50" spans="1:14" x14ac:dyDescent="0.2">
      <c r="A50" s="352" t="s">
        <v>60</v>
      </c>
      <c r="B50" s="352"/>
      <c r="C50" s="352"/>
      <c r="D50" s="352"/>
      <c r="E50" s="352"/>
      <c r="F50" s="352"/>
      <c r="G50" s="377">
        <f>SUM(G48-K23)</f>
        <v>349656</v>
      </c>
      <c r="H50" s="776">
        <f>+G50*2.471</f>
        <v>863999.97600000002</v>
      </c>
      <c r="N50" s="312"/>
    </row>
    <row r="51" spans="1:14" x14ac:dyDescent="0.2">
      <c r="A51" s="352" t="s">
        <v>61</v>
      </c>
      <c r="B51" s="352"/>
      <c r="C51" s="352"/>
      <c r="D51" s="352"/>
      <c r="E51" s="352"/>
      <c r="F51" s="352"/>
      <c r="G51" s="377">
        <f>SUM(K22/G46)</f>
        <v>121.87846153846154</v>
      </c>
      <c r="H51" s="352"/>
      <c r="N51" s="312"/>
    </row>
    <row r="52" spans="1:14" x14ac:dyDescent="0.2">
      <c r="A52" s="80" t="s">
        <v>62</v>
      </c>
      <c r="B52" s="80"/>
      <c r="C52" s="80"/>
      <c r="D52" s="80"/>
      <c r="E52" s="80"/>
      <c r="F52" s="80"/>
      <c r="G52" s="378">
        <f>SUM(K23/G46)</f>
        <v>118.34461538461538</v>
      </c>
      <c r="H52" s="80"/>
      <c r="N52" s="312"/>
    </row>
    <row r="53" spans="1:14" x14ac:dyDescent="0.2">
      <c r="N53" s="312"/>
    </row>
    <row r="54" spans="1:14" x14ac:dyDescent="0.2">
      <c r="A54" s="772" t="s">
        <v>533</v>
      </c>
      <c r="N54" s="312"/>
    </row>
  </sheetData>
  <mergeCells count="6">
    <mergeCell ref="E12:E13"/>
    <mergeCell ref="F12:F13"/>
    <mergeCell ref="G12:G13"/>
    <mergeCell ref="H12:H13"/>
    <mergeCell ref="K12:K13"/>
    <mergeCell ref="O12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g'nut-m'gala</vt:lpstr>
      <vt:lpstr>capsicum</vt:lpstr>
      <vt:lpstr>carrot</vt:lpstr>
      <vt:lpstr>Potato-bd</vt:lpstr>
      <vt:lpstr>b'ggram (apura)</vt:lpstr>
      <vt:lpstr>Brinjal (apura)</vt:lpstr>
      <vt:lpstr>Cabbage (NE)</vt:lpstr>
      <vt:lpstr>Chilli -apura</vt:lpstr>
      <vt:lpstr>Cowpea (Ampara)</vt:lpstr>
      <vt:lpstr>Gingelly -H tota</vt:lpstr>
      <vt:lpstr>G.Gram (H'tota)</vt:lpstr>
      <vt:lpstr>Maize-Amp</vt:lpstr>
      <vt:lpstr>Miaze-Apura</vt:lpstr>
      <vt:lpstr>Maize-Mona</vt:lpstr>
      <vt:lpstr>POleB-Mtl</vt:lpstr>
      <vt:lpstr>Pole B-bd</vt:lpstr>
      <vt:lpstr>Potato-NE</vt:lpstr>
      <vt:lpstr>Pumpkn-ap</vt:lpstr>
      <vt:lpstr>Tomato-bd</vt:lpstr>
      <vt:lpstr>G.nut-mona</vt:lpstr>
      <vt:lpstr>Red Onion-Putt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2024-03-18T04:51:00Z</dcterms:created>
  <dcterms:modified xsi:type="dcterms:W3CDTF">2024-03-18T05:46:21Z</dcterms:modified>
</cp:coreProperties>
</file>