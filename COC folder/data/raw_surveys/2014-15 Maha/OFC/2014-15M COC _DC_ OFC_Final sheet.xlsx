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4355" windowHeight="7995" firstSheet="22" activeTab="23"/>
  </bookViews>
  <sheets>
    <sheet name="1.Black Gram (Vavuniya)" sheetId="1" r:id="rId1"/>
    <sheet name="2.Black Gram (Anuradhapura)" sheetId="2" r:id="rId2"/>
    <sheet name="3.Brinjal (Anuradhapura)" sheetId="3" r:id="rId3"/>
    <sheet name="4.Cabbage (Nuwara Eliya)" sheetId="4" r:id="rId4"/>
    <sheet name="5.Capsicum(Badulla)" sheetId="5" r:id="rId5"/>
    <sheet name="6.Carrot(Nuwara Eliya)" sheetId="6" r:id="rId6"/>
    <sheet name="7.Chilli (Anuradhapura)" sheetId="7" r:id="rId7"/>
    <sheet name="8.Cowpea (Ampara)" sheetId="8" r:id="rId8"/>
    <sheet name="9.Gingelly (Hambantota)" sheetId="9" r:id="rId9"/>
    <sheet name="10.Green Grame (Hambantota)" sheetId="10" r:id="rId10"/>
    <sheet name="11. ground nut ( Monaragala)" sheetId="11" r:id="rId11"/>
    <sheet name="12.Kurakkan (Anuradhapura)" sheetId="12" r:id="rId12"/>
    <sheet name="13.Maize (Ampara)" sheetId="13" r:id="rId13"/>
    <sheet name="14.Maize (Anuradhapura)" sheetId="14" r:id="rId14"/>
    <sheet name="15.Maize (Monaragala)" sheetId="15" r:id="rId15"/>
    <sheet name="16.Pumpkin (Anuradhapura)" sheetId="16" r:id="rId16"/>
    <sheet name="17.Polebean( Badulla)" sheetId="17" r:id="rId17"/>
    <sheet name="18.Polebean (Matale)" sheetId="18" r:id="rId18"/>
    <sheet name="19.Potato (Badulla)" sheetId="19" r:id="rId19"/>
    <sheet name="20.Potato (Nuwaraeliya0" sheetId="20" r:id="rId20"/>
    <sheet name="21.Red onion (Jaffna)" sheetId="21" r:id="rId21"/>
    <sheet name="22.Red Onion (Puttalam)" sheetId="22" r:id="rId22"/>
    <sheet name="23.Red Onion (Trincomalee)" sheetId="23" r:id="rId23"/>
    <sheet name="24.Tomato (Badulla)" sheetId="24" r:id="rId24"/>
    <sheet name="Sheet1" sheetId="25" r:id="rId25"/>
  </sheets>
  <externalReferences>
    <externalReference r:id="rId26"/>
  </externalReferences>
  <calcPr calcId="144525"/>
</workbook>
</file>

<file path=xl/calcChain.xml><?xml version="1.0" encoding="utf-8"?>
<calcChain xmlns="http://schemas.openxmlformats.org/spreadsheetml/2006/main">
  <c r="G47" i="23" l="1"/>
  <c r="E34" i="23"/>
  <c r="H21" i="23"/>
  <c r="M20" i="23"/>
  <c r="L20" i="23"/>
  <c r="I21" i="23" s="1"/>
  <c r="I20" i="23"/>
  <c r="F20" i="23"/>
  <c r="E20" i="23"/>
  <c r="E21" i="23" s="1"/>
  <c r="H19" i="23"/>
  <c r="K19" i="23" s="1"/>
  <c r="K18" i="23"/>
  <c r="H18" i="23"/>
  <c r="K17" i="23"/>
  <c r="H16" i="23"/>
  <c r="K16" i="23" s="1"/>
  <c r="K15" i="23"/>
  <c r="K14" i="23"/>
  <c r="K13" i="23"/>
  <c r="K12" i="23"/>
  <c r="J12" i="23"/>
  <c r="J11" i="23"/>
  <c r="J20" i="23" s="1"/>
  <c r="J21" i="23" s="1"/>
  <c r="K10" i="23"/>
  <c r="H10" i="23"/>
  <c r="H9" i="23"/>
  <c r="K9" i="23" s="1"/>
  <c r="K21" i="23" l="1"/>
  <c r="G52" i="23" s="1"/>
  <c r="G49" i="23"/>
  <c r="H20" i="23"/>
  <c r="K20" i="23" s="1"/>
  <c r="G51" i="23" s="1"/>
  <c r="K11" i="23"/>
  <c r="G48" i="23" l="1"/>
  <c r="G43" i="22" l="1"/>
  <c r="E33" i="22"/>
  <c r="H22" i="22"/>
  <c r="K22" i="22" s="1"/>
  <c r="G47" i="22" s="1"/>
  <c r="M21" i="22"/>
  <c r="L21" i="22"/>
  <c r="I22" i="22" s="1"/>
  <c r="I21" i="22"/>
  <c r="F21" i="22"/>
  <c r="E21" i="22"/>
  <c r="E22" i="22" s="1"/>
  <c r="H20" i="22"/>
  <c r="K20" i="22" s="1"/>
  <c r="K19" i="22"/>
  <c r="H19" i="22"/>
  <c r="H18" i="22"/>
  <c r="K18" i="22" s="1"/>
  <c r="K17" i="22"/>
  <c r="K16" i="22"/>
  <c r="H15" i="22"/>
  <c r="K15" i="22" s="1"/>
  <c r="K14" i="22"/>
  <c r="J13" i="22"/>
  <c r="K13" i="22" s="1"/>
  <c r="J12" i="22"/>
  <c r="J21" i="22" s="1"/>
  <c r="J22" i="22" s="1"/>
  <c r="H12" i="22"/>
  <c r="H11" i="22"/>
  <c r="K11" i="22" s="1"/>
  <c r="K10" i="22"/>
  <c r="H10" i="22"/>
  <c r="H9" i="22"/>
  <c r="K9" i="22" s="1"/>
  <c r="G45" i="22" l="1"/>
  <c r="K12" i="22"/>
  <c r="H21" i="22"/>
  <c r="K21" i="22" s="1"/>
  <c r="G46" i="22" s="1"/>
  <c r="G44" i="22" l="1"/>
  <c r="H45" i="21" l="1"/>
  <c r="G42" i="21"/>
  <c r="G41" i="21"/>
  <c r="G40" i="21"/>
  <c r="J24" i="21"/>
  <c r="M23" i="21"/>
  <c r="L23" i="21"/>
  <c r="J23" i="21"/>
  <c r="I23" i="21"/>
  <c r="I24" i="21" s="1"/>
  <c r="K24" i="21" s="1"/>
  <c r="G52" i="21" s="1"/>
  <c r="F23" i="21"/>
  <c r="E36" i="21" s="1"/>
  <c r="E37" i="21" s="1"/>
  <c r="E23" i="21"/>
  <c r="H22" i="21"/>
  <c r="K11" i="21"/>
  <c r="H10" i="21"/>
  <c r="H9" i="21"/>
  <c r="E24" i="21" l="1"/>
  <c r="K23" i="21"/>
  <c r="G51" i="21" s="1"/>
  <c r="G45" i="19" l="1"/>
  <c r="E33" i="19"/>
  <c r="H20" i="19"/>
  <c r="M19" i="19"/>
  <c r="L19" i="19"/>
  <c r="I20" i="19" s="1"/>
  <c r="J19" i="19"/>
  <c r="J20" i="19" s="1"/>
  <c r="I19" i="19"/>
  <c r="F19" i="19"/>
  <c r="E19" i="19"/>
  <c r="E20" i="19" s="1"/>
  <c r="K18" i="19"/>
  <c r="H17" i="19"/>
  <c r="K17" i="19" s="1"/>
  <c r="K16" i="19"/>
  <c r="H16" i="19"/>
  <c r="H15" i="19"/>
  <c r="H19" i="19" s="1"/>
  <c r="K14" i="19"/>
  <c r="J13" i="19"/>
  <c r="K13" i="19" s="1"/>
  <c r="K12" i="19"/>
  <c r="K10" i="19"/>
  <c r="H10" i="19"/>
  <c r="K9" i="19"/>
  <c r="K20" i="19" l="1"/>
  <c r="G50" i="19" s="1"/>
  <c r="K15" i="19"/>
  <c r="K19" i="19" s="1"/>
  <c r="G49" i="19" l="1"/>
  <c r="G46" i="19"/>
  <c r="I20" i="15" l="1"/>
  <c r="G43" i="14" l="1"/>
  <c r="AR34" i="14"/>
  <c r="AQ34" i="14"/>
  <c r="AR33" i="14"/>
  <c r="AQ33" i="14"/>
  <c r="AR32" i="14"/>
  <c r="AQ32" i="14"/>
  <c r="AR31" i="14"/>
  <c r="AQ31" i="14"/>
  <c r="E31" i="14"/>
  <c r="AR30" i="14"/>
  <c r="AQ30" i="14"/>
  <c r="AR29" i="14"/>
  <c r="AQ29" i="14"/>
  <c r="AR28" i="14"/>
  <c r="AQ28" i="14"/>
  <c r="AR27" i="14"/>
  <c r="AQ27" i="14"/>
  <c r="AR26" i="14"/>
  <c r="AQ26" i="14"/>
  <c r="H18" i="14"/>
  <c r="M17" i="14"/>
  <c r="L17" i="14"/>
  <c r="J17" i="14"/>
  <c r="J18" i="14" s="1"/>
  <c r="I17" i="14"/>
  <c r="I18" i="14" s="1"/>
  <c r="G17" i="14"/>
  <c r="F17" i="14"/>
  <c r="E18" i="14" s="1"/>
  <c r="E17" i="14"/>
  <c r="K16" i="14"/>
  <c r="H15" i="14"/>
  <c r="K15" i="14" s="1"/>
  <c r="K14" i="14"/>
  <c r="J14" i="14"/>
  <c r="H14" i="14"/>
  <c r="K13" i="14"/>
  <c r="H13" i="14"/>
  <c r="H12" i="14"/>
  <c r="K12" i="14" s="1"/>
  <c r="K11" i="14"/>
  <c r="K10" i="14"/>
  <c r="H10" i="14"/>
  <c r="H17" i="14" s="1"/>
  <c r="K9" i="14"/>
  <c r="K17" i="14" s="1"/>
  <c r="G47" i="14" s="1"/>
  <c r="K18" i="14" l="1"/>
  <c r="G48" i="14" s="1"/>
  <c r="G45" i="14"/>
  <c r="G44" i="14"/>
  <c r="G39" i="13" l="1"/>
  <c r="E30" i="13"/>
  <c r="J21" i="13"/>
  <c r="M20" i="13"/>
  <c r="L20" i="13"/>
  <c r="J20" i="13"/>
  <c r="I20" i="13"/>
  <c r="I21" i="13" s="1"/>
  <c r="K21" i="13" s="1"/>
  <c r="F20" i="13"/>
  <c r="E20" i="13"/>
  <c r="E21" i="13" s="1"/>
  <c r="K19" i="13"/>
  <c r="K18" i="13"/>
  <c r="K17" i="13"/>
  <c r="H17" i="13"/>
  <c r="H16" i="13"/>
  <c r="K16" i="13" s="1"/>
  <c r="K15" i="13"/>
  <c r="K14" i="13"/>
  <c r="K13" i="13"/>
  <c r="K12" i="13"/>
  <c r="K11" i="13"/>
  <c r="H10" i="13"/>
  <c r="K10" i="13" s="1"/>
  <c r="K9" i="13"/>
  <c r="H9" i="13"/>
  <c r="G43" i="13" l="1"/>
  <c r="G41" i="13"/>
  <c r="H20" i="13"/>
  <c r="K20" i="13" s="1"/>
  <c r="G42" i="13" l="1"/>
  <c r="G40" i="13"/>
  <c r="G46" i="5" l="1"/>
  <c r="G39" i="5"/>
  <c r="C39" i="5"/>
  <c r="G38" i="5"/>
  <c r="J16" i="5" s="1"/>
  <c r="K16" i="5" s="1"/>
  <c r="E38" i="5"/>
  <c r="C38" i="5"/>
  <c r="E29" i="5"/>
  <c r="H22" i="5"/>
  <c r="E22" i="5"/>
  <c r="M21" i="5"/>
  <c r="J22" i="5" s="1"/>
  <c r="L21" i="5"/>
  <c r="I21" i="5"/>
  <c r="I22" i="5" s="1"/>
  <c r="F21" i="5"/>
  <c r="E21" i="5"/>
  <c r="K20" i="5"/>
  <c r="H19" i="5"/>
  <c r="K19" i="5" s="1"/>
  <c r="H18" i="5"/>
  <c r="K18" i="5" s="1"/>
  <c r="K17" i="5"/>
  <c r="K15" i="5"/>
  <c r="K14" i="5"/>
  <c r="H13" i="5"/>
  <c r="H11" i="5"/>
  <c r="K11" i="5" s="1"/>
  <c r="K10" i="5"/>
  <c r="K9" i="5"/>
  <c r="H9" i="5"/>
  <c r="H21" i="5" s="1"/>
  <c r="K21" i="5" s="1"/>
  <c r="K22" i="5" l="1"/>
  <c r="G51" i="5" s="1"/>
  <c r="G50" i="5"/>
  <c r="G47" i="5"/>
  <c r="G48" i="5"/>
  <c r="G44" i="3" l="1"/>
  <c r="E34" i="3"/>
  <c r="K28" i="3"/>
  <c r="H21" i="3"/>
  <c r="M20" i="3"/>
  <c r="L20" i="3"/>
  <c r="J20" i="3"/>
  <c r="J21" i="3" s="1"/>
  <c r="I20" i="3"/>
  <c r="I21" i="3" s="1"/>
  <c r="K21" i="3" s="1"/>
  <c r="F20" i="3"/>
  <c r="E20" i="3"/>
  <c r="E21" i="3" s="1"/>
  <c r="H19" i="3"/>
  <c r="K19" i="3" s="1"/>
  <c r="H18" i="3"/>
  <c r="K18" i="3" s="1"/>
  <c r="H17" i="3"/>
  <c r="K17" i="3" s="1"/>
  <c r="H16" i="3"/>
  <c r="K16" i="3" s="1"/>
  <c r="J15" i="3"/>
  <c r="K15" i="3" s="1"/>
  <c r="K14" i="3"/>
  <c r="K13" i="3"/>
  <c r="H12" i="3"/>
  <c r="K12" i="3" s="1"/>
  <c r="H11" i="3"/>
  <c r="K11" i="3" s="1"/>
  <c r="H10" i="3"/>
  <c r="K10" i="3" s="1"/>
  <c r="H9" i="3"/>
  <c r="K9" i="3" s="1"/>
  <c r="G49" i="3" l="1"/>
  <c r="G46" i="3"/>
  <c r="H20" i="3"/>
  <c r="K20" i="3" s="1"/>
  <c r="G45" i="3" l="1"/>
  <c r="G48" i="3"/>
  <c r="G34" i="2" l="1"/>
  <c r="E29" i="2"/>
  <c r="H16" i="2"/>
  <c r="M15" i="2"/>
  <c r="L15" i="2"/>
  <c r="J15" i="2"/>
  <c r="J16" i="2" s="1"/>
  <c r="I15" i="2"/>
  <c r="I16" i="2" s="1"/>
  <c r="K16" i="2" s="1"/>
  <c r="F15" i="2"/>
  <c r="E15" i="2"/>
  <c r="E16" i="2" s="1"/>
  <c r="H14" i="2"/>
  <c r="K14" i="2" s="1"/>
  <c r="H13" i="2"/>
  <c r="K13" i="2" s="1"/>
  <c r="H12" i="2"/>
  <c r="K12" i="2" s="1"/>
  <c r="H11" i="2"/>
  <c r="K11" i="2" s="1"/>
  <c r="H10" i="2"/>
  <c r="K10" i="2" s="1"/>
  <c r="H9" i="2"/>
  <c r="H15" i="2" s="1"/>
  <c r="K15" i="2" s="1"/>
  <c r="G38" i="2" s="1"/>
  <c r="G39" i="2" l="1"/>
  <c r="G36" i="2"/>
  <c r="G35" i="2"/>
  <c r="K9" i="2"/>
  <c r="G35" i="1" l="1"/>
  <c r="E30" i="1"/>
  <c r="H17" i="1"/>
  <c r="M16" i="1"/>
  <c r="L16" i="1"/>
  <c r="I16" i="1"/>
  <c r="F16" i="1"/>
  <c r="E16" i="1"/>
  <c r="E17" i="1" s="1"/>
  <c r="K15" i="1"/>
  <c r="K14" i="1"/>
  <c r="H13" i="1"/>
  <c r="K13" i="1" s="1"/>
  <c r="K12" i="1"/>
  <c r="J12" i="1"/>
  <c r="J16" i="1" s="1"/>
  <c r="K11" i="1"/>
  <c r="H10" i="1"/>
  <c r="H16" i="1" s="1"/>
  <c r="K9" i="1"/>
  <c r="K16" i="1" l="1"/>
  <c r="J17" i="1"/>
  <c r="I17" i="1"/>
  <c r="K17" i="1" s="1"/>
  <c r="G39" i="1"/>
  <c r="G36" i="1"/>
  <c r="K10" i="1"/>
  <c r="G40" i="1" l="1"/>
  <c r="G37" i="1"/>
</calcChain>
</file>

<file path=xl/sharedStrings.xml><?xml version="1.0" encoding="utf-8"?>
<sst xmlns="http://schemas.openxmlformats.org/spreadsheetml/2006/main" count="2113" uniqueCount="493">
  <si>
    <t xml:space="preserve">DISTRICT: </t>
  </si>
  <si>
    <t xml:space="preserve">Vavuniya </t>
  </si>
  <si>
    <t>SEASON:</t>
  </si>
  <si>
    <t xml:space="preserve">2014/15 maha </t>
  </si>
  <si>
    <t xml:space="preserve">Name: </t>
  </si>
  <si>
    <t>U N S De Silva</t>
  </si>
  <si>
    <t>Operation</t>
  </si>
  <si>
    <t xml:space="preserve">  No</t>
  </si>
  <si>
    <t>Total</t>
  </si>
  <si>
    <t>Fam</t>
  </si>
  <si>
    <t>Wage</t>
  </si>
  <si>
    <t xml:space="preserve">  Labour</t>
  </si>
  <si>
    <t xml:space="preserve">  Machinary</t>
  </si>
  <si>
    <t xml:space="preserve">  Material</t>
  </si>
  <si>
    <t xml:space="preserve">  Total </t>
  </si>
  <si>
    <t>OWN INPUTS</t>
  </si>
  <si>
    <t>Report</t>
  </si>
  <si>
    <t>Lab</t>
  </si>
  <si>
    <t>Rate</t>
  </si>
  <si>
    <t xml:space="preserve">  Cost</t>
  </si>
  <si>
    <t xml:space="preserve">  &amp; Equpim't</t>
  </si>
  <si>
    <t xml:space="preserve">  %</t>
  </si>
  <si>
    <t xml:space="preserve">  Rs/ac</t>
  </si>
  <si>
    <t>General Land Preparation</t>
  </si>
  <si>
    <t>1st  Plough with 4wt</t>
  </si>
  <si>
    <t>2nd  Plough with 4wt</t>
  </si>
  <si>
    <t xml:space="preserve">Broadcasting </t>
  </si>
  <si>
    <t>Pest &amp; Disease Control</t>
  </si>
  <si>
    <t>Harvesting &amp; drawing</t>
  </si>
  <si>
    <t>Processing with 4wt thresher</t>
  </si>
  <si>
    <t>Total Including Imputed Cost</t>
  </si>
  <si>
    <t xml:space="preserve">Total Excluding Imputed Cost </t>
  </si>
  <si>
    <t>RELATED INFORMATION</t>
  </si>
  <si>
    <t>Mean</t>
  </si>
  <si>
    <t>Mode</t>
  </si>
  <si>
    <t>Quantity and Price of Inputs</t>
  </si>
  <si>
    <t>Input</t>
  </si>
  <si>
    <t>Unit</t>
  </si>
  <si>
    <t>Quantity</t>
  </si>
  <si>
    <t>Unit Price (Rs)</t>
  </si>
  <si>
    <t>SEED</t>
  </si>
  <si>
    <t>kg</t>
  </si>
  <si>
    <t>Vareity</t>
  </si>
  <si>
    <t xml:space="preserve">Extent </t>
  </si>
  <si>
    <t>MI 1</t>
  </si>
  <si>
    <t>LABOUR</t>
  </si>
  <si>
    <t>MI 2</t>
  </si>
  <si>
    <t>Hired Labour</t>
  </si>
  <si>
    <t>md</t>
  </si>
  <si>
    <t>Not mentioned</t>
  </si>
  <si>
    <t>Family Labour</t>
  </si>
  <si>
    <t>YIELD AND RETURNS</t>
  </si>
  <si>
    <t>per ac</t>
  </si>
  <si>
    <t>per ha</t>
  </si>
  <si>
    <t>Average Yield (kg/ac)</t>
  </si>
  <si>
    <t>Price of Produce (Rs/kg)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</si>
  <si>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</si>
  <si>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</si>
  <si>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</si>
  <si>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</si>
  <si>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</si>
  <si>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>remarks-</t>
  </si>
  <si>
    <t>Average yield is comparatively low due to heavy rain during flowering stage of this cultivation season</t>
  </si>
  <si>
    <t>Crop</t>
  </si>
  <si>
    <t>Black Gram (Rain Fed)</t>
  </si>
  <si>
    <t>General land preparation</t>
  </si>
  <si>
    <t>1, st  Plough with 4wt</t>
  </si>
  <si>
    <t>Broadcasting</t>
  </si>
  <si>
    <t>Pest &amp; disease control</t>
  </si>
  <si>
    <t>Threshing &amp; processing with 4wt thresher</t>
  </si>
  <si>
    <t>Total including imputed cost</t>
  </si>
  <si>
    <t xml:space="preserve">Total excluding imputed cost </t>
  </si>
  <si>
    <t>Variety</t>
  </si>
  <si>
    <t>% of Ext.</t>
  </si>
  <si>
    <t>MI1</t>
  </si>
  <si>
    <t>ha</t>
  </si>
  <si>
    <t>Average yield (kg/ac)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</si>
  <si>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</si>
  <si>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</si>
  <si>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</si>
  <si>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</si>
  <si>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</si>
  <si>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 xml:space="preserve">Note- </t>
  </si>
  <si>
    <t>Black Gram (Rainfed)</t>
  </si>
  <si>
    <t>Anuradhapura</t>
  </si>
  <si>
    <t>14/15Maha</t>
  </si>
  <si>
    <t>Abekoon</t>
  </si>
  <si>
    <t>All nursery preparation</t>
  </si>
  <si>
    <t>1, 2, &amp; 3  Plough with 2wt</t>
  </si>
  <si>
    <t>1, 2, &amp; 3  Plough with (4wt)</t>
  </si>
  <si>
    <t>`(46)</t>
  </si>
  <si>
    <t>`(5792)</t>
  </si>
  <si>
    <t>Preparation beds and ridges</t>
  </si>
  <si>
    <t>Digging holes &amp; transplanting</t>
  </si>
  <si>
    <t>Fertilizer application</t>
  </si>
  <si>
    <t xml:space="preserve">Weeding &amp; earthing up </t>
  </si>
  <si>
    <t>Water management</t>
  </si>
  <si>
    <t>Raveena</t>
  </si>
  <si>
    <t>Len iri</t>
  </si>
  <si>
    <t>Hybrid</t>
  </si>
  <si>
    <t>FERTILIZER</t>
  </si>
  <si>
    <t>% Reporting</t>
  </si>
  <si>
    <t xml:space="preserve">Basal </t>
  </si>
  <si>
    <t>1. Urea</t>
  </si>
  <si>
    <t>11. MOP</t>
  </si>
  <si>
    <t>111. TSP</t>
  </si>
  <si>
    <t>Brinjal (Irrigated)</t>
  </si>
  <si>
    <t>Jayakodi</t>
  </si>
  <si>
    <t>Nursury Management   (seed)</t>
  </si>
  <si>
    <t>"(34)</t>
  </si>
  <si>
    <t>(4.26)</t>
  </si>
  <si>
    <t>"(0.13)</t>
  </si>
  <si>
    <t>"(1000)</t>
  </si>
  <si>
    <t>`(4260)</t>
  </si>
  <si>
    <t>`(1115)</t>
  </si>
  <si>
    <t>`(5375)</t>
  </si>
  <si>
    <t>1st plough(2WT)</t>
  </si>
  <si>
    <t>Preparation of beds &amp; Ridges</t>
  </si>
  <si>
    <t>2734.00*</t>
  </si>
  <si>
    <t>Digging Holls &amp; Transplanting</t>
  </si>
  <si>
    <t>Fertilizer Application</t>
  </si>
  <si>
    <t>Weeding &amp; earthing up</t>
  </si>
  <si>
    <t>Water Management</t>
  </si>
  <si>
    <t>Havesting &amp;Drawing **</t>
  </si>
  <si>
    <t>*lime</t>
  </si>
  <si>
    <t>**done by buyer</t>
  </si>
  <si>
    <t xml:space="preserve">Mean </t>
  </si>
  <si>
    <t xml:space="preserve"> </t>
  </si>
  <si>
    <t>Plants</t>
  </si>
  <si>
    <t>`(34%)</t>
  </si>
  <si>
    <t>seed grams</t>
  </si>
  <si>
    <t>`(160)</t>
  </si>
  <si>
    <t>`(58.00)</t>
  </si>
  <si>
    <t>variety</t>
  </si>
  <si>
    <t>%</t>
  </si>
  <si>
    <t>As</t>
  </si>
  <si>
    <t>Green canet</t>
  </si>
  <si>
    <t>FIELD FERTILIZER</t>
  </si>
  <si>
    <t>Urea</t>
  </si>
  <si>
    <t>vegi mixture</t>
  </si>
  <si>
    <t>TDM</t>
  </si>
  <si>
    <t>HA</t>
  </si>
  <si>
    <t>Special remarks-Low yield due to bad wether</t>
  </si>
  <si>
    <t>Cabbage</t>
  </si>
  <si>
    <t>Nuwaraeliya</t>
  </si>
  <si>
    <t>2014/15 Maha</t>
  </si>
  <si>
    <t>I.G.p.N.Wickramasinghe</t>
  </si>
  <si>
    <t>All nursery  preparation</t>
  </si>
  <si>
    <t>1st plough iwith 2wt</t>
  </si>
  <si>
    <t>1st plough in manually</t>
  </si>
  <si>
    <t>(32)</t>
  </si>
  <si>
    <t>`(12.19)</t>
  </si>
  <si>
    <t>`(2.86)</t>
  </si>
  <si>
    <t>`(10971)</t>
  </si>
  <si>
    <t>preparation beds &amp; redges</t>
  </si>
  <si>
    <t>2097.00*</t>
  </si>
  <si>
    <t>Digging Holes</t>
  </si>
  <si>
    <t>Transplanting</t>
  </si>
  <si>
    <t>weed Control With manually</t>
  </si>
  <si>
    <t xml:space="preserve">Harvesting </t>
  </si>
  <si>
    <t>* lime</t>
  </si>
  <si>
    <t>PS</t>
  </si>
  <si>
    <t>Shivani</t>
  </si>
  <si>
    <t>HYW</t>
  </si>
  <si>
    <t xml:space="preserve"> Seed</t>
  </si>
  <si>
    <t>grams</t>
  </si>
  <si>
    <t>other</t>
  </si>
  <si>
    <t>Poultry</t>
  </si>
  <si>
    <t>bag</t>
  </si>
  <si>
    <t>Veg mix</t>
  </si>
  <si>
    <t>Special remarks-</t>
  </si>
  <si>
    <t>Capsicum</t>
  </si>
  <si>
    <t>Badulla</t>
  </si>
  <si>
    <t>Chandrawathi</t>
  </si>
  <si>
    <t>1  Plough with 2wt</t>
  </si>
  <si>
    <t>(1 Plough with Manually)</t>
  </si>
  <si>
    <t>`(16)</t>
  </si>
  <si>
    <t>(2.61)</t>
  </si>
  <si>
    <t>(1035)</t>
  </si>
  <si>
    <t>`(16560.00)</t>
  </si>
  <si>
    <t>Preparation of beds&amp; ridges</t>
  </si>
  <si>
    <t>3621.00*</t>
  </si>
  <si>
    <t xml:space="preserve"> Seeding</t>
  </si>
  <si>
    <t>Weeding &amp; thinningout</t>
  </si>
  <si>
    <t>Harvesting &amp; drawing**</t>
  </si>
  <si>
    <t>-</t>
  </si>
  <si>
    <t>** done by buyer</t>
  </si>
  <si>
    <t>Seed</t>
  </si>
  <si>
    <t>Variety %</t>
  </si>
  <si>
    <t>Tarkis</t>
  </si>
  <si>
    <t>Terakota</t>
  </si>
  <si>
    <t>Other</t>
  </si>
  <si>
    <t>Potato mixture</t>
  </si>
  <si>
    <t>Polutary</t>
  </si>
  <si>
    <t>Per Ac</t>
  </si>
  <si>
    <t>Per ha</t>
  </si>
  <si>
    <t>Carrot</t>
  </si>
  <si>
    <t>Nuwara Eliya</t>
  </si>
  <si>
    <t>2014/15Maha</t>
  </si>
  <si>
    <t>S.S.Premarathne</t>
  </si>
  <si>
    <t>All nursery preparetion</t>
  </si>
  <si>
    <t>1st plough with  4wt</t>
  </si>
  <si>
    <t>Preperation of beds</t>
  </si>
  <si>
    <t>Harvesting,Drawing&amp;Proecssing</t>
  </si>
  <si>
    <t>VEARITY</t>
  </si>
  <si>
    <t>KA2</t>
  </si>
  <si>
    <t>MI2</t>
  </si>
  <si>
    <t>Meen-</t>
  </si>
  <si>
    <t>Mode-</t>
  </si>
  <si>
    <t xml:space="preserve">                                                                                                                  </t>
  </si>
  <si>
    <t>Kg</t>
  </si>
  <si>
    <t>11. Chilli mixture</t>
  </si>
  <si>
    <t>Per ac</t>
  </si>
  <si>
    <t>Pa ha</t>
  </si>
  <si>
    <t>Price of Produce - green chilli (Rs/kg)</t>
  </si>
  <si>
    <t>* Compared to previous maha season  total man days has increased due to reporting General land preparation.</t>
  </si>
  <si>
    <t>Anoma</t>
  </si>
  <si>
    <t>Chilli (Rainfed)</t>
  </si>
  <si>
    <t>1, &amp; 2,  Plough with tractor</t>
  </si>
  <si>
    <t>( With bufaloes)</t>
  </si>
  <si>
    <t>(12')</t>
  </si>
  <si>
    <t>(0.8)'</t>
  </si>
  <si>
    <t>(0.8)</t>
  </si>
  <si>
    <t>(1000)'</t>
  </si>
  <si>
    <t>`(3810.00)</t>
  </si>
  <si>
    <t>Weed Control With Weedicides</t>
  </si>
  <si>
    <t xml:space="preserve">Weeding &amp; Earthing up </t>
  </si>
  <si>
    <t>Harvesting and drawing</t>
  </si>
  <si>
    <t>Threshing &amp; Processing with Manually</t>
  </si>
  <si>
    <t>(With thresher)</t>
  </si>
  <si>
    <t>(16)'</t>
  </si>
  <si>
    <t>(0.57)'</t>
  </si>
  <si>
    <t>(2428)'</t>
  </si>
  <si>
    <t>Red</t>
  </si>
  <si>
    <t xml:space="preserve">Seeding </t>
  </si>
  <si>
    <t>White</t>
  </si>
  <si>
    <t>Waruni</t>
  </si>
  <si>
    <t>Liquid</t>
  </si>
  <si>
    <t xml:space="preserve">Low yield due to drought   &amp;  </t>
  </si>
  <si>
    <t xml:space="preserve">Wild Animal Attacked </t>
  </si>
  <si>
    <t>Cowpea (Rainfed)</t>
  </si>
  <si>
    <t>Ampara</t>
  </si>
  <si>
    <t>Kumudu</t>
  </si>
  <si>
    <t>1st plough 4wt</t>
  </si>
  <si>
    <t>`(4412.00)</t>
  </si>
  <si>
    <t>Harvesting &amp; Drawing</t>
  </si>
  <si>
    <t xml:space="preserve"> Processing</t>
  </si>
  <si>
    <t>Variety destribution %</t>
  </si>
  <si>
    <t>Large number of Famers recorded low yield due to  rain</t>
  </si>
  <si>
    <t>GINGELLY  ( RAINFED</t>
  </si>
  <si>
    <t>Hambantota</t>
  </si>
  <si>
    <t xml:space="preserve">V.G.S.Nilantha/J.W.Lakmali Surangi </t>
  </si>
  <si>
    <t>1,  &amp; 2 Plough with 4wt</t>
  </si>
  <si>
    <t>Threshing &amp;Processing Manually</t>
  </si>
  <si>
    <t xml:space="preserve">Mode </t>
  </si>
  <si>
    <t xml:space="preserve">Broadcasting / T.P. / Seeding </t>
  </si>
  <si>
    <t>kg/g/Plants</t>
  </si>
  <si>
    <t>MI 5</t>
  </si>
  <si>
    <t xml:space="preserve">Australian </t>
  </si>
  <si>
    <t>MI 6</t>
  </si>
  <si>
    <t>very low yield due to rain</t>
  </si>
  <si>
    <t>GREEN GRAM  ( RAIN-FED )</t>
  </si>
  <si>
    <t xml:space="preserve"> 2014/15 Maha</t>
  </si>
  <si>
    <t>1 Plough with 4wt</t>
  </si>
  <si>
    <t>Digging holes &amp; seeding</t>
  </si>
  <si>
    <t>Weeding &amp; Earthing up</t>
  </si>
  <si>
    <t>Processing</t>
  </si>
  <si>
    <t>Transport Produce to Stores</t>
  </si>
  <si>
    <t>white</t>
  </si>
  <si>
    <t>rose</t>
  </si>
  <si>
    <t xml:space="preserve">low yeild du to Rain </t>
  </si>
  <si>
    <t>Ground Nut ( RAIN-FED )</t>
  </si>
  <si>
    <t>Monaragala</t>
  </si>
  <si>
    <t>V.G.S.Nilantha/J.W.Surangi Lakmali</t>
  </si>
  <si>
    <t>Pre eeedicide application</t>
  </si>
  <si>
    <t>Local</t>
  </si>
  <si>
    <t xml:space="preserve"> Kurakkan RAIN FED </t>
  </si>
  <si>
    <t>Anuradapura</t>
  </si>
  <si>
    <t xml:space="preserve"> 2014/15m</t>
  </si>
  <si>
    <t xml:space="preserve"> Jayakodi</t>
  </si>
  <si>
    <t>Pre Weedicide Application</t>
  </si>
  <si>
    <t>1, 2, &amp; 3  Plough with 4wt</t>
  </si>
  <si>
    <t>(Plough with manuall)</t>
  </si>
  <si>
    <t>(3)</t>
  </si>
  <si>
    <t>(3.54)</t>
  </si>
  <si>
    <t>(0.54)</t>
  </si>
  <si>
    <t>(1000)</t>
  </si>
  <si>
    <t>Digging holes &amp; Crop establishment with Manual</t>
  </si>
  <si>
    <t>Digging holes &amp; Crop establishment with 4wt</t>
  </si>
  <si>
    <t>(17)</t>
  </si>
  <si>
    <t>(2.15)</t>
  </si>
  <si>
    <t>(0.42)</t>
  </si>
  <si>
    <t>(1048)</t>
  </si>
  <si>
    <t>(2022)</t>
  </si>
  <si>
    <t>Digging holes &amp; Crop establishment with Baffaloa</t>
  </si>
  <si>
    <t>(10)</t>
  </si>
  <si>
    <t>(4.37)</t>
  </si>
  <si>
    <t>(1.75)</t>
  </si>
  <si>
    <t>(800)</t>
  </si>
  <si>
    <t>(1275)</t>
  </si>
  <si>
    <t>Additional Drying &amp; winnowing</t>
  </si>
  <si>
    <t>TSP</t>
  </si>
  <si>
    <t>All Top D.</t>
  </si>
  <si>
    <t>MOP</t>
  </si>
  <si>
    <t>MAIZE RAINFED</t>
  </si>
  <si>
    <t>AMPARA</t>
  </si>
  <si>
    <t xml:space="preserve"> 2014/15 MAHA</t>
  </si>
  <si>
    <t xml:space="preserve"> Kumudu Kalyani</t>
  </si>
  <si>
    <t>1,  Plough with 4wt</t>
  </si>
  <si>
    <t>digging holes@ seeding</t>
  </si>
  <si>
    <t>Weed control with weedicide</t>
  </si>
  <si>
    <t>weeding $ earthingup</t>
  </si>
  <si>
    <t xml:space="preserve">Harvesting and drawing Manually </t>
  </si>
  <si>
    <t>Threshing &amp; procressing  with thresure</t>
  </si>
  <si>
    <t>mode</t>
  </si>
  <si>
    <t>KG</t>
  </si>
  <si>
    <t>pre</t>
  </si>
  <si>
    <t>pasific</t>
  </si>
  <si>
    <t>beds</t>
  </si>
  <si>
    <t>,999</t>
  </si>
  <si>
    <t>seed</t>
  </si>
  <si>
    <t>Rambo</t>
  </si>
  <si>
    <t>fert</t>
  </si>
  <si>
    <t>Jet</t>
  </si>
  <si>
    <t>weeding</t>
  </si>
  <si>
    <t>Ruwan</t>
  </si>
  <si>
    <t>pest</t>
  </si>
  <si>
    <t>water</t>
  </si>
  <si>
    <t>harvesting</t>
  </si>
  <si>
    <t>Per Ha</t>
  </si>
  <si>
    <t>* becouse rain low harvest</t>
  </si>
  <si>
    <t>Maize</t>
  </si>
  <si>
    <t>1,  &amp; 2  Plough with 4wt</t>
  </si>
  <si>
    <t>Digging holes / ridge with  4wt</t>
  </si>
  <si>
    <t>Digging holes / ridge with  Manual</t>
  </si>
  <si>
    <t>`(40)</t>
  </si>
  <si>
    <t>`(4.0)</t>
  </si>
  <si>
    <t>`(2.9)</t>
  </si>
  <si>
    <t>`(4000.00)</t>
  </si>
  <si>
    <t>Digging holes / ridge with  buffaloes</t>
  </si>
  <si>
    <t>(16)</t>
  </si>
  <si>
    <t>`(2000.00)</t>
  </si>
  <si>
    <t>Weeding &amp; Earthing Up</t>
  </si>
  <si>
    <t xml:space="preserve"> Processing with 4wt thresher</t>
  </si>
  <si>
    <t>Transporting</t>
  </si>
  <si>
    <t>Ject 999</t>
  </si>
  <si>
    <t>Pasific</t>
  </si>
  <si>
    <t>1511*</t>
  </si>
  <si>
    <t xml:space="preserve">*low average  yeild due to rain </t>
  </si>
  <si>
    <t>Nilantha /lakmali</t>
  </si>
  <si>
    <t>2014/15maha</t>
  </si>
  <si>
    <t>Pre weedicide application</t>
  </si>
  <si>
    <t>1, st Plough with 4wt</t>
  </si>
  <si>
    <t>Loosing soil &amp; earthing up</t>
  </si>
  <si>
    <t>Weed control with weedicides</t>
  </si>
  <si>
    <t>Harvesting drawing</t>
  </si>
  <si>
    <t>supprima</t>
  </si>
  <si>
    <t>arjun</t>
  </si>
  <si>
    <t>lara</t>
  </si>
  <si>
    <t>pragati</t>
  </si>
  <si>
    <t xml:space="preserve">Anuradapura   </t>
  </si>
  <si>
    <t>Pumking (RAIN FED )</t>
  </si>
  <si>
    <t>1st plough with manu</t>
  </si>
  <si>
    <t>`(44)</t>
  </si>
  <si>
    <t>`(8259.00)</t>
  </si>
  <si>
    <t>Prperation beds &amp; ridges</t>
  </si>
  <si>
    <t>Digging hoies &amp; seeding</t>
  </si>
  <si>
    <t>Fixing support</t>
  </si>
  <si>
    <t>Water Management (manu)</t>
  </si>
  <si>
    <t>capri</t>
  </si>
  <si>
    <t>B</t>
  </si>
  <si>
    <t>veg.mix</t>
  </si>
  <si>
    <t>C</t>
  </si>
  <si>
    <t>Per hec.</t>
  </si>
  <si>
    <t>Because the yellowing ,farmer gain low yield but the price was reasonable.</t>
  </si>
  <si>
    <t>POLEBEAN  (IRRIGATED)</t>
  </si>
  <si>
    <t xml:space="preserve">014/15 </t>
  </si>
  <si>
    <t>.Kamalinie</t>
  </si>
  <si>
    <t>1st Plough With 4WT Tractor</t>
  </si>
  <si>
    <t>1st Plough With 2WT Tractor</t>
  </si>
  <si>
    <t>`(8463)</t>
  </si>
  <si>
    <t>1st Plough mannually</t>
  </si>
  <si>
    <t>`(10)</t>
  </si>
  <si>
    <t>`(11.50)</t>
  </si>
  <si>
    <t>`(8.00)</t>
  </si>
  <si>
    <t>`(10350)</t>
  </si>
  <si>
    <t>Preparation of beds &amp; ridges</t>
  </si>
  <si>
    <t>Seeding</t>
  </si>
  <si>
    <t>Fixing Supporting cost</t>
  </si>
  <si>
    <t>Sitty</t>
  </si>
  <si>
    <t>Per Acre</t>
  </si>
  <si>
    <t>Per Hect.</t>
  </si>
  <si>
    <t>Average yield (kg)</t>
  </si>
  <si>
    <t>Gross income (Rs.)</t>
  </si>
  <si>
    <t>Profit incl. imputed cost (Rs)</t>
  </si>
  <si>
    <t>Profit excl. imputed cost (Rs)</t>
  </si>
  <si>
    <t>High disease is condition were recorded (yellowing leaves)</t>
  </si>
  <si>
    <t xml:space="preserve"> POLE BEEN ( RAIN FED )</t>
  </si>
  <si>
    <t>Matale</t>
  </si>
  <si>
    <t>Wasantha Dissanayake</t>
  </si>
  <si>
    <t>1,  Plough with 2wt</t>
  </si>
  <si>
    <t>(manually)</t>
  </si>
  <si>
    <t>(26)</t>
  </si>
  <si>
    <t>`(14.29)</t>
  </si>
  <si>
    <t>`(4.2)</t>
  </si>
  <si>
    <t>`(12146.00)</t>
  </si>
  <si>
    <t>Preparation of beds &amp;ridges</t>
  </si>
  <si>
    <t>Granola</t>
  </si>
  <si>
    <t>mean</t>
  </si>
  <si>
    <t xml:space="preserve">mode             </t>
  </si>
  <si>
    <t>poultry</t>
  </si>
  <si>
    <t>pta-mix</t>
  </si>
  <si>
    <t>Chandi</t>
  </si>
  <si>
    <t>2014/15 maha</t>
  </si>
  <si>
    <t>BADULLA</t>
  </si>
  <si>
    <t>Potato (IRRIGATED  )</t>
  </si>
  <si>
    <t>1st Plough With 2wt</t>
  </si>
  <si>
    <t>1st Plough With Manually</t>
  </si>
  <si>
    <t>(20)</t>
  </si>
  <si>
    <t>(11.47)</t>
  </si>
  <si>
    <t>(2.81)</t>
  </si>
  <si>
    <t>(1110)</t>
  </si>
  <si>
    <t>(12732.00)</t>
  </si>
  <si>
    <t>Preparation of Beds &amp; Ridges</t>
  </si>
  <si>
    <t>1623.00*</t>
  </si>
  <si>
    <t>Digging holes &amp;seeding</t>
  </si>
  <si>
    <t>Harvesting&amp;drawing</t>
  </si>
  <si>
    <t>% of Extant</t>
  </si>
  <si>
    <t>Potato Mixture</t>
  </si>
  <si>
    <t>Cowdung</t>
  </si>
  <si>
    <t>LL</t>
  </si>
  <si>
    <t>Ha</t>
  </si>
  <si>
    <t>4702*</t>
  </si>
  <si>
    <t>* Low yield due to hevy rain &amp; fangus damege</t>
  </si>
  <si>
    <t xml:space="preserve"> Poteto (Irri)</t>
  </si>
  <si>
    <t>2014-15 maha</t>
  </si>
  <si>
    <t>S.I.K.B.Niyangoda</t>
  </si>
  <si>
    <t xml:space="preserve">"(91) </t>
  </si>
  <si>
    <t>"(4272.8)</t>
  </si>
  <si>
    <t xml:space="preserve"> Seeding processing</t>
  </si>
  <si>
    <t xml:space="preserve"> Seeding </t>
  </si>
  <si>
    <t>Weeding &amp;Loosenning soil</t>
  </si>
  <si>
    <t>Water Management(by Fuel)</t>
  </si>
  <si>
    <t>Trasport produce to stores</t>
  </si>
  <si>
    <t>Vedaln</t>
  </si>
  <si>
    <t>Cowdubg</t>
  </si>
  <si>
    <t>Pa/ac</t>
  </si>
  <si>
    <t>Pa/ha</t>
  </si>
  <si>
    <t>RED ONIO (IRRIGATED / RAINFED )</t>
  </si>
  <si>
    <t xml:space="preserve">JAFFNA </t>
  </si>
  <si>
    <t>2014/15 MAHA</t>
  </si>
  <si>
    <t>I.G.P.N.Wickramasinghe</t>
  </si>
  <si>
    <t>1 st Plough with 4wt</t>
  </si>
  <si>
    <t>Seed Processing</t>
  </si>
  <si>
    <t>Weeding &amp; loossing soil (Manual)</t>
  </si>
  <si>
    <t>Vadalan</t>
  </si>
  <si>
    <t>Thambasetti</t>
  </si>
  <si>
    <t>Mallunu</t>
  </si>
  <si>
    <t>Jaffna</t>
  </si>
  <si>
    <t>load</t>
  </si>
  <si>
    <t>Onion.Mix</t>
  </si>
  <si>
    <t>CU3</t>
  </si>
  <si>
    <t xml:space="preserve"> Red Onion  (IRRIGATED )</t>
  </si>
  <si>
    <t xml:space="preserve">Puttalam     </t>
  </si>
  <si>
    <t>N.P.S.A.Menike</t>
  </si>
  <si>
    <t>1, 2, &amp; 3  Plough with Tract</t>
  </si>
  <si>
    <t>Processing &amp; seeding</t>
  </si>
  <si>
    <t>Weeding &amp; loosening soil</t>
  </si>
  <si>
    <t xml:space="preserve">Processing </t>
  </si>
  <si>
    <t>Transport</t>
  </si>
  <si>
    <t>Vedalan</t>
  </si>
  <si>
    <t>82%</t>
  </si>
  <si>
    <t>76%</t>
  </si>
  <si>
    <t>46%</t>
  </si>
  <si>
    <t>L.L</t>
  </si>
  <si>
    <t>Abeykoon</t>
  </si>
  <si>
    <t xml:space="preserve"> RED ONION</t>
  </si>
  <si>
    <t>TRINCOMALEE</t>
  </si>
  <si>
    <t>14/15 Maha</t>
  </si>
  <si>
    <t>All Nursery Preperation</t>
  </si>
  <si>
    <t>`(36)</t>
  </si>
  <si>
    <t>`(7989.00)</t>
  </si>
  <si>
    <t>Digging hoies</t>
  </si>
  <si>
    <t>Training</t>
  </si>
  <si>
    <t>g</t>
  </si>
  <si>
    <t>Varaiety</t>
  </si>
  <si>
    <t>Padma</t>
  </si>
  <si>
    <t>Thilini</t>
  </si>
  <si>
    <t>urea</t>
  </si>
  <si>
    <t>Heavy rain came,therefor crop dammaged from disease. But farmer gain reasonable price.</t>
  </si>
  <si>
    <t>Tomato (IRRIGATED)</t>
  </si>
  <si>
    <t xml:space="preserve">2014/15 Maha </t>
  </si>
  <si>
    <t>S.N.Kamalinie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</si>
</sst>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_)"/>
    <numFmt numFmtId="165" formatCode="0.00_)"/>
    <numFmt numFmtId="166" formatCode="0.0%"/>
    <numFmt numFmtId="167" formatCode="0.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omic Sans MS"/>
      <family val="4"/>
    </font>
    <font>
      <sz val="9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1"/>
      <color rgb="FF00B0F0"/>
      <name val="Calibri"/>
      <family val="2"/>
      <scheme val="minor"/>
    </font>
    <font>
      <sz val="12"/>
      <color theme="1"/>
      <name val="Times New Roman"/>
      <family val="1"/>
    </font>
    <font>
      <sz val="9"/>
      <name val="Comic Sans MS"/>
      <family val="4"/>
    </font>
    <font>
      <sz val="9"/>
      <color rgb="FFFF0000"/>
      <name val="Comic Sans MS"/>
      <family val="4"/>
    </font>
    <font>
      <b/>
      <sz val="9"/>
      <name val="Comic Sans MS"/>
      <family val="4"/>
    </font>
    <font>
      <b/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8"/>
      <color rgb="FFFF0000"/>
      <name val="Comic Sans MS"/>
      <family val="4"/>
    </font>
    <font>
      <sz val="10"/>
      <color rgb="FFFF0000"/>
      <name val="Courier"/>
      <family val="3"/>
    </font>
    <font>
      <b/>
      <sz val="8"/>
      <name val="Comic Sans MS"/>
      <family val="4"/>
    </font>
    <font>
      <sz val="10"/>
      <name val="Times New Roman"/>
      <family val="1"/>
    </font>
    <font>
      <b/>
      <sz val="10"/>
      <name val="Comic Sans MS"/>
      <family val="4"/>
    </font>
    <font>
      <sz val="9"/>
      <name val="Calibri"/>
      <family val="2"/>
    </font>
    <font>
      <u/>
      <sz val="12"/>
      <name val="Arial"/>
      <family val="2"/>
    </font>
    <font>
      <sz val="12"/>
      <name val="Arial"/>
      <family val="2"/>
    </font>
    <font>
      <sz val="9"/>
      <color theme="3" tint="0.39997558519241921"/>
      <name val="Comic Sans MS"/>
      <family val="4"/>
    </font>
    <font>
      <b/>
      <sz val="8"/>
      <color rgb="FFFF0000"/>
      <name val="Cambria"/>
      <family val="1"/>
      <scheme val="major"/>
    </font>
    <font>
      <b/>
      <sz val="8"/>
      <color rgb="FFFF0000"/>
      <name val="Comic Sans MS"/>
      <family val="4"/>
    </font>
    <font>
      <sz val="8"/>
      <color rgb="FFFF0000"/>
      <name val="Cambria"/>
      <family val="1"/>
      <scheme val="major"/>
    </font>
    <font>
      <sz val="8"/>
      <name val="Times New Roman"/>
      <family val="1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Arial"/>
      <family val="2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6" tint="-0.499984740745262"/>
      </left>
      <right/>
      <top style="medium">
        <color theme="6" tint="-0.499984740745262"/>
      </top>
      <bottom/>
      <diagonal/>
    </border>
    <border>
      <left/>
      <right/>
      <top style="medium">
        <color theme="6" tint="-0.499984740745262"/>
      </top>
      <bottom/>
      <diagonal/>
    </border>
    <border>
      <left/>
      <right style="medium">
        <color theme="6" tint="-0.499984740745262"/>
      </right>
      <top style="medium">
        <color theme="6" tint="-0.499984740745262"/>
      </top>
      <bottom/>
      <diagonal/>
    </border>
    <border>
      <left style="medium">
        <color theme="6" tint="-0.499984740745262"/>
      </left>
      <right/>
      <top/>
      <bottom/>
      <diagonal/>
    </border>
    <border>
      <left/>
      <right style="medium">
        <color theme="6" tint="-0.499984740745262"/>
      </right>
      <top/>
      <bottom/>
      <diagonal/>
    </border>
    <border>
      <left style="medium">
        <color theme="6" tint="-0.499984740745262"/>
      </left>
      <right/>
      <top/>
      <bottom style="medium">
        <color theme="6" tint="-0.499984740745262"/>
      </bottom>
      <diagonal/>
    </border>
    <border>
      <left/>
      <right/>
      <top/>
      <bottom style="medium">
        <color theme="6" tint="-0.499984740745262"/>
      </bottom>
      <diagonal/>
    </border>
    <border>
      <left/>
      <right style="medium">
        <color theme="6" tint="-0.499984740745262"/>
      </right>
      <top/>
      <bottom style="medium">
        <color theme="6" tint="-0.4999847407452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07">
    <xf numFmtId="0" fontId="0" fillId="0" borderId="0" xfId="0"/>
    <xf numFmtId="0" fontId="2" fillId="0" borderId="0" xfId="0" applyFont="1"/>
    <xf numFmtId="0" fontId="0" fillId="0" borderId="0" xfId="0" applyFont="1"/>
    <xf numFmtId="0" fontId="1" fillId="0" borderId="0" xfId="0" applyFont="1"/>
    <xf numFmtId="0" fontId="2" fillId="0" borderId="0" xfId="0" applyFont="1" applyBorder="1"/>
    <xf numFmtId="0" fontId="3" fillId="0" borderId="11" xfId="0" applyFont="1" applyBorder="1"/>
    <xf numFmtId="0" fontId="3" fillId="0" borderId="0" xfId="0" applyFont="1" applyBorder="1"/>
    <xf numFmtId="0" fontId="3" fillId="0" borderId="12" xfId="0" applyFont="1" applyBorder="1"/>
    <xf numFmtId="0" fontId="3" fillId="0" borderId="0" xfId="0" applyFont="1"/>
    <xf numFmtId="164" fontId="3" fillId="0" borderId="0" xfId="0" quotePrefix="1" applyNumberFormat="1" applyFont="1" applyProtection="1"/>
    <xf numFmtId="2" fontId="3" fillId="0" borderId="0" xfId="0" applyNumberFormat="1" applyFont="1"/>
    <xf numFmtId="2" fontId="3" fillId="0" borderId="0" xfId="0" applyNumberFormat="1" applyFont="1" applyProtection="1"/>
    <xf numFmtId="165" fontId="4" fillId="0" borderId="0" xfId="0" applyNumberFormat="1" applyFont="1" applyFill="1" applyBorder="1" applyProtection="1"/>
    <xf numFmtId="164" fontId="3" fillId="0" borderId="0" xfId="0" applyNumberFormat="1" applyFont="1" applyProtection="1"/>
    <xf numFmtId="164" fontId="3" fillId="0" borderId="11" xfId="0" applyNumberFormat="1" applyFont="1" applyBorder="1" applyProtection="1"/>
    <xf numFmtId="2" fontId="3" fillId="0" borderId="11" xfId="0" applyNumberFormat="1" applyFont="1" applyBorder="1"/>
    <xf numFmtId="164" fontId="3" fillId="0" borderId="12" xfId="0" applyNumberFormat="1" applyFont="1" applyBorder="1" applyProtection="1"/>
    <xf numFmtId="2" fontId="3" fillId="0" borderId="12" xfId="0" applyNumberFormat="1" applyFont="1" applyBorder="1"/>
    <xf numFmtId="0" fontId="3" fillId="0" borderId="13" xfId="0" applyFont="1" applyBorder="1"/>
    <xf numFmtId="2" fontId="4" fillId="0" borderId="1" xfId="0" applyNumberFormat="1" applyFont="1" applyFill="1" applyBorder="1"/>
    <xf numFmtId="0" fontId="4" fillId="0" borderId="1" xfId="0" applyFont="1" applyFill="1" applyBorder="1"/>
    <xf numFmtId="2" fontId="4" fillId="0" borderId="14" xfId="0" applyNumberFormat="1" applyFont="1" applyFill="1" applyBorder="1"/>
    <xf numFmtId="0" fontId="4" fillId="0" borderId="14" xfId="0" applyFont="1" applyFill="1" applyBorder="1"/>
    <xf numFmtId="2" fontId="4" fillId="0" borderId="15" xfId="0" applyNumberFormat="1" applyFont="1" applyFill="1" applyBorder="1"/>
    <xf numFmtId="0" fontId="4" fillId="0" borderId="15" xfId="0" applyFont="1" applyFill="1" applyBorder="1"/>
    <xf numFmtId="2" fontId="4" fillId="0" borderId="2" xfId="0" applyNumberFormat="1" applyFont="1" applyFill="1" applyBorder="1"/>
    <xf numFmtId="0" fontId="4" fillId="0" borderId="2" xfId="0" applyFont="1" applyFill="1" applyBorder="1"/>
    <xf numFmtId="0" fontId="5" fillId="0" borderId="0" xfId="0" applyFont="1" applyBorder="1"/>
    <xf numFmtId="0" fontId="0" fillId="0" borderId="0" xfId="0" applyBorder="1"/>
    <xf numFmtId="2" fontId="0" fillId="0" borderId="0" xfId="0" applyNumberFormat="1" applyBorder="1"/>
    <xf numFmtId="165" fontId="3" fillId="0" borderId="0" xfId="0" applyNumberFormat="1" applyFont="1" applyBorder="1" applyProtection="1"/>
    <xf numFmtId="0" fontId="4" fillId="0" borderId="0" xfId="0" applyFont="1" applyFill="1"/>
    <xf numFmtId="165" fontId="3" fillId="0" borderId="0" xfId="0" applyNumberFormat="1" applyFont="1" applyBorder="1"/>
    <xf numFmtId="165" fontId="3" fillId="0" borderId="12" xfId="0" applyNumberFormat="1" applyFont="1" applyBorder="1"/>
    <xf numFmtId="0" fontId="6" fillId="0" borderId="0" xfId="0" applyFont="1"/>
    <xf numFmtId="0" fontId="0" fillId="2" borderId="4" xfId="0" applyFill="1" applyBorder="1"/>
    <xf numFmtId="0" fontId="0" fillId="2" borderId="0" xfId="0" applyFill="1" applyBorder="1"/>
    <xf numFmtId="0" fontId="0" fillId="2" borderId="9" xfId="0" applyFill="1" applyBorder="1"/>
    <xf numFmtId="0" fontId="7" fillId="0" borderId="0" xfId="0" applyFont="1"/>
    <xf numFmtId="0" fontId="8" fillId="2" borderId="3" xfId="0" applyFont="1" applyFill="1" applyBorder="1"/>
    <xf numFmtId="0" fontId="8" fillId="2" borderId="4" xfId="0" applyFont="1" applyFill="1" applyBorder="1"/>
    <xf numFmtId="0" fontId="8" fillId="2" borderId="4" xfId="0" applyFont="1" applyFill="1" applyBorder="1" applyAlignment="1">
      <alignment horizontal="right"/>
    </xf>
    <xf numFmtId="0" fontId="8" fillId="2" borderId="4" xfId="0" applyFont="1" applyFill="1" applyBorder="1" applyAlignment="1">
      <alignment horizontal="left"/>
    </xf>
    <xf numFmtId="0" fontId="8" fillId="2" borderId="6" xfId="0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horizontal="right"/>
    </xf>
    <xf numFmtId="0" fontId="8" fillId="2" borderId="8" xfId="0" applyFont="1" applyFill="1" applyBorder="1"/>
    <xf numFmtId="0" fontId="8" fillId="2" borderId="9" xfId="0" applyFont="1" applyFill="1" applyBorder="1"/>
    <xf numFmtId="0" fontId="8" fillId="2" borderId="9" xfId="0" applyFont="1" applyFill="1" applyBorder="1" applyAlignment="1">
      <alignment horizontal="right"/>
    </xf>
    <xf numFmtId="0" fontId="0" fillId="2" borderId="3" xfId="0" applyFont="1" applyFill="1" applyBorder="1"/>
    <xf numFmtId="0" fontId="0" fillId="2" borderId="4" xfId="0" applyFont="1" applyFill="1" applyBorder="1"/>
    <xf numFmtId="0" fontId="0" fillId="2" borderId="5" xfId="0" applyFont="1" applyFill="1" applyBorder="1"/>
    <xf numFmtId="0" fontId="0" fillId="2" borderId="6" xfId="0" applyFont="1" applyFill="1" applyBorder="1"/>
    <xf numFmtId="0" fontId="0" fillId="2" borderId="0" xfId="0" applyFont="1" applyFill="1" applyBorder="1"/>
    <xf numFmtId="0" fontId="0" fillId="2" borderId="7" xfId="0" applyFont="1" applyFill="1" applyBorder="1"/>
    <xf numFmtId="0" fontId="0" fillId="2" borderId="8" xfId="0" applyFont="1" applyFill="1" applyBorder="1"/>
    <xf numFmtId="0" fontId="0" fillId="2" borderId="9" xfId="0" applyFont="1" applyFill="1" applyBorder="1"/>
    <xf numFmtId="0" fontId="0" fillId="2" borderId="10" xfId="0" applyFont="1" applyFill="1" applyBorder="1"/>
    <xf numFmtId="0" fontId="0" fillId="2" borderId="3" xfId="0" applyFill="1" applyBorder="1"/>
    <xf numFmtId="0" fontId="0" fillId="2" borderId="6" xfId="0" applyFill="1" applyBorder="1"/>
    <xf numFmtId="0" fontId="0" fillId="2" borderId="8" xfId="0" applyFill="1" applyBorder="1"/>
    <xf numFmtId="0" fontId="3" fillId="0" borderId="0" xfId="0" applyFont="1" applyFill="1"/>
    <xf numFmtId="0" fontId="0" fillId="3" borderId="0" xfId="0" applyFill="1"/>
    <xf numFmtId="0" fontId="9" fillId="0" borderId="11" xfId="0" applyFont="1" applyBorder="1"/>
    <xf numFmtId="0" fontId="9" fillId="0" borderId="0" xfId="0" applyFont="1" applyBorder="1"/>
    <xf numFmtId="0" fontId="9" fillId="0" borderId="0" xfId="0" applyFont="1" applyBorder="1" applyAlignment="1">
      <alignment horizontal="left"/>
    </xf>
    <xf numFmtId="0" fontId="9" fillId="0" borderId="12" xfId="0" applyFont="1" applyBorder="1"/>
    <xf numFmtId="0" fontId="9" fillId="0" borderId="0" xfId="0" applyFont="1"/>
    <xf numFmtId="164" fontId="9" fillId="0" borderId="0" xfId="0" applyNumberFormat="1" applyFont="1" applyProtection="1"/>
    <xf numFmtId="2" fontId="9" fillId="0" borderId="0" xfId="0" applyNumberFormat="1" applyFont="1"/>
    <xf numFmtId="165" fontId="9" fillId="0" borderId="0" xfId="0" applyNumberFormat="1" applyFont="1" applyProtection="1"/>
    <xf numFmtId="2" fontId="9" fillId="0" borderId="0" xfId="0" applyNumberFormat="1" applyFont="1" applyFill="1"/>
    <xf numFmtId="2" fontId="9" fillId="0" borderId="0" xfId="0" applyNumberFormat="1" applyFont="1" applyProtection="1"/>
    <xf numFmtId="164" fontId="9" fillId="0" borderId="0" xfId="0" quotePrefix="1" applyNumberFormat="1" applyFont="1" applyProtection="1"/>
    <xf numFmtId="164" fontId="9" fillId="0" borderId="11" xfId="0" applyNumberFormat="1" applyFont="1" applyBorder="1" applyProtection="1"/>
    <xf numFmtId="2" fontId="9" fillId="0" borderId="11" xfId="0" applyNumberFormat="1" applyFont="1" applyBorder="1"/>
    <xf numFmtId="164" fontId="9" fillId="0" borderId="12" xfId="0" applyNumberFormat="1" applyFont="1" applyBorder="1" applyProtection="1"/>
    <xf numFmtId="2" fontId="9" fillId="0" borderId="12" xfId="0" applyNumberFormat="1" applyFont="1" applyBorder="1"/>
    <xf numFmtId="0" fontId="9" fillId="0" borderId="16" xfId="0" applyFont="1" applyBorder="1" applyAlignment="1">
      <alignment horizontal="left" vertical="top"/>
    </xf>
    <xf numFmtId="0" fontId="9" fillId="0" borderId="17" xfId="0" applyNumberFormat="1" applyFont="1" applyBorder="1" applyAlignment="1">
      <alignment vertical="top"/>
    </xf>
    <xf numFmtId="0" fontId="9" fillId="0" borderId="13" xfId="0" applyFont="1" applyBorder="1"/>
    <xf numFmtId="0" fontId="9" fillId="0" borderId="18" xfId="0" applyFont="1" applyBorder="1" applyAlignment="1">
      <alignment horizontal="left" vertical="top"/>
    </xf>
    <xf numFmtId="0" fontId="9" fillId="0" borderId="19" xfId="0" applyNumberFormat="1" applyFont="1" applyBorder="1" applyAlignment="1">
      <alignment vertical="top"/>
    </xf>
    <xf numFmtId="0" fontId="9" fillId="0" borderId="20" xfId="0" applyFont="1" applyBorder="1"/>
    <xf numFmtId="0" fontId="9" fillId="0" borderId="21" xfId="0" applyNumberFormat="1" applyFont="1" applyBorder="1" applyAlignment="1"/>
    <xf numFmtId="0" fontId="9" fillId="0" borderId="16" xfId="0" applyFont="1" applyBorder="1"/>
    <xf numFmtId="0" fontId="9" fillId="0" borderId="17" xfId="0" applyFont="1" applyBorder="1"/>
    <xf numFmtId="0" fontId="9" fillId="0" borderId="21" xfId="0" applyFont="1" applyBorder="1"/>
    <xf numFmtId="0" fontId="9" fillId="0" borderId="0" xfId="0" applyFont="1" applyFill="1" applyBorder="1"/>
    <xf numFmtId="0" fontId="9" fillId="0" borderId="0" xfId="0" applyFont="1" applyFill="1" applyBorder="1" applyAlignment="1">
      <alignment horizontal="left"/>
    </xf>
    <xf numFmtId="1" fontId="9" fillId="0" borderId="0" xfId="0" quotePrefix="1" applyNumberFormat="1" applyFont="1" applyFill="1" applyBorder="1"/>
    <xf numFmtId="2" fontId="9" fillId="0" borderId="0" xfId="0" applyNumberFormat="1" applyFont="1" applyBorder="1"/>
    <xf numFmtId="0" fontId="10" fillId="0" borderId="0" xfId="0" applyFont="1" applyBorder="1"/>
    <xf numFmtId="1" fontId="9" fillId="0" borderId="0" xfId="0" quotePrefix="1" applyNumberFormat="1" applyFont="1" applyBorder="1"/>
    <xf numFmtId="0" fontId="9" fillId="0" borderId="0" xfId="0" quotePrefix="1" applyFont="1" applyBorder="1"/>
    <xf numFmtId="0" fontId="10" fillId="0" borderId="0" xfId="0" applyFont="1" applyBorder="1" applyAlignment="1">
      <alignment horizontal="left"/>
    </xf>
    <xf numFmtId="0" fontId="10" fillId="0" borderId="0" xfId="0" quotePrefix="1" applyFont="1" applyBorder="1"/>
    <xf numFmtId="1" fontId="9" fillId="0" borderId="0" xfId="0" applyNumberFormat="1" applyFont="1" applyBorder="1"/>
    <xf numFmtId="165" fontId="9" fillId="0" borderId="0" xfId="0" applyNumberFormat="1" applyFont="1" applyFill="1" applyBorder="1" applyProtection="1"/>
    <xf numFmtId="165" fontId="9" fillId="0" borderId="0" xfId="0" applyNumberFormat="1" applyFont="1" applyFill="1" applyBorder="1"/>
    <xf numFmtId="165" fontId="9" fillId="0" borderId="0" xfId="0" applyNumberFormat="1" applyFont="1" applyBorder="1"/>
    <xf numFmtId="165" fontId="9" fillId="0" borderId="12" xfId="0" applyNumberFormat="1" applyFont="1" applyBorder="1"/>
    <xf numFmtId="0" fontId="9" fillId="3" borderId="11" xfId="0" applyFont="1" applyFill="1" applyBorder="1"/>
    <xf numFmtId="0" fontId="9" fillId="3" borderId="11" xfId="0" applyFont="1" applyFill="1" applyBorder="1" applyAlignment="1">
      <alignment horizontal="right"/>
    </xf>
    <xf numFmtId="0" fontId="9" fillId="3" borderId="11" xfId="0" applyFont="1" applyFill="1" applyBorder="1" applyAlignment="1">
      <alignment horizontal="left"/>
    </xf>
    <xf numFmtId="0" fontId="9" fillId="3" borderId="0" xfId="0" applyFont="1" applyFill="1" applyBorder="1"/>
    <xf numFmtId="0" fontId="9" fillId="3" borderId="0" xfId="0" applyFont="1" applyFill="1" applyBorder="1" applyAlignment="1">
      <alignment horizontal="right"/>
    </xf>
    <xf numFmtId="0" fontId="9" fillId="3" borderId="0" xfId="0" applyFont="1" applyFill="1" applyBorder="1" applyAlignment="1">
      <alignment horizontal="left"/>
    </xf>
    <xf numFmtId="0" fontId="9" fillId="3" borderId="12" xfId="0" applyFont="1" applyFill="1" applyBorder="1"/>
    <xf numFmtId="0" fontId="9" fillId="3" borderId="12" xfId="0" applyFont="1" applyFill="1" applyBorder="1" applyAlignment="1">
      <alignment horizontal="right"/>
    </xf>
    <xf numFmtId="0" fontId="11" fillId="0" borderId="0" xfId="0" applyFont="1"/>
    <xf numFmtId="0" fontId="9" fillId="0" borderId="0" xfId="0" applyFont="1" applyFill="1"/>
    <xf numFmtId="0" fontId="12" fillId="0" borderId="0" xfId="0" applyFont="1"/>
    <xf numFmtId="0" fontId="13" fillId="0" borderId="11" xfId="0" applyFont="1" applyBorder="1"/>
    <xf numFmtId="0" fontId="13" fillId="0" borderId="0" xfId="0" applyFont="1"/>
    <xf numFmtId="0" fontId="13" fillId="0" borderId="0" xfId="0" applyFont="1" applyBorder="1"/>
    <xf numFmtId="0" fontId="13" fillId="0" borderId="0" xfId="0" applyFont="1" applyBorder="1" applyAlignment="1">
      <alignment horizontal="left"/>
    </xf>
    <xf numFmtId="0" fontId="13" fillId="0" borderId="12" xfId="0" applyFont="1" applyBorder="1"/>
    <xf numFmtId="2" fontId="13" fillId="0" borderId="0" xfId="0" applyNumberFormat="1" applyFont="1"/>
    <xf numFmtId="164" fontId="13" fillId="0" borderId="11" xfId="0" applyNumberFormat="1" applyFont="1" applyBorder="1" applyProtection="1"/>
    <xf numFmtId="2" fontId="13" fillId="0" borderId="11" xfId="0" applyNumberFormat="1" applyFont="1" applyBorder="1"/>
    <xf numFmtId="164" fontId="13" fillId="0" borderId="12" xfId="0" applyNumberFormat="1" applyFont="1" applyBorder="1" applyProtection="1"/>
    <xf numFmtId="2" fontId="13" fillId="0" borderId="12" xfId="0" applyNumberFormat="1" applyFont="1" applyBorder="1"/>
    <xf numFmtId="0" fontId="13" fillId="0" borderId="13" xfId="0" applyFont="1" applyBorder="1"/>
    <xf numFmtId="165" fontId="13" fillId="0" borderId="0" xfId="0" applyNumberFormat="1" applyFont="1" applyBorder="1" applyProtection="1"/>
    <xf numFmtId="165" fontId="13" fillId="0" borderId="0" xfId="0" applyNumberFormat="1" applyFont="1" applyBorder="1"/>
    <xf numFmtId="165" fontId="13" fillId="0" borderId="12" xfId="0" applyNumberFormat="1" applyFont="1" applyBorder="1"/>
    <xf numFmtId="0" fontId="0" fillId="0" borderId="11" xfId="0" applyFont="1" applyBorder="1"/>
    <xf numFmtId="0" fontId="0" fillId="0" borderId="0" xfId="0" applyFont="1" applyBorder="1"/>
    <xf numFmtId="0" fontId="0" fillId="0" borderId="0" xfId="0" applyFont="1" applyBorder="1" applyAlignment="1">
      <alignment horizontal="left"/>
    </xf>
    <xf numFmtId="0" fontId="0" fillId="0" borderId="12" xfId="0" applyFont="1" applyBorder="1"/>
    <xf numFmtId="164" fontId="0" fillId="0" borderId="0" xfId="0" applyNumberFormat="1" applyFont="1" applyAlignment="1" applyProtection="1">
      <alignment horizontal="center"/>
    </xf>
    <xf numFmtId="2" fontId="0" fillId="0" borderId="0" xfId="0" applyNumberFormat="1" applyFont="1" applyAlignment="1">
      <alignment horizontal="center"/>
    </xf>
    <xf numFmtId="2" fontId="0" fillId="0" borderId="0" xfId="0" applyNumberFormat="1" applyFont="1" applyAlignment="1" applyProtection="1">
      <alignment horizontal="center"/>
    </xf>
    <xf numFmtId="2" fontId="0" fillId="0" borderId="0" xfId="0" applyNumberFormat="1" applyFont="1"/>
    <xf numFmtId="0" fontId="0" fillId="0" borderId="0" xfId="0" applyFont="1" applyAlignment="1">
      <alignment horizontal="center" vertical="center"/>
    </xf>
    <xf numFmtId="164" fontId="0" fillId="0" borderId="0" xfId="0" quotePrefix="1" applyNumberFormat="1" applyFont="1" applyAlignment="1" applyProtection="1">
      <alignment horizontal="center"/>
    </xf>
    <xf numFmtId="2" fontId="0" fillId="0" borderId="0" xfId="0" quotePrefix="1" applyNumberFormat="1" applyFont="1" applyAlignment="1">
      <alignment horizontal="center"/>
    </xf>
    <xf numFmtId="2" fontId="0" fillId="0" borderId="0" xfId="0" quotePrefix="1" applyNumberFormat="1" applyFont="1" applyAlignment="1" applyProtection="1">
      <alignment horizontal="center"/>
    </xf>
    <xf numFmtId="0" fontId="0" fillId="0" borderId="0" xfId="0" quotePrefix="1" applyFont="1" applyAlignment="1">
      <alignment horizontal="center"/>
    </xf>
    <xf numFmtId="164" fontId="0" fillId="0" borderId="11" xfId="0" applyNumberFormat="1" applyFont="1" applyBorder="1" applyProtection="1"/>
    <xf numFmtId="2" fontId="0" fillId="0" borderId="11" xfId="0" applyNumberFormat="1" applyFont="1" applyBorder="1"/>
    <xf numFmtId="164" fontId="0" fillId="0" borderId="12" xfId="0" applyNumberFormat="1" applyFont="1" applyBorder="1" applyProtection="1"/>
    <xf numFmtId="2" fontId="0" fillId="0" borderId="12" xfId="0" applyNumberFormat="1" applyFont="1" applyBorder="1"/>
    <xf numFmtId="0" fontId="0" fillId="0" borderId="13" xfId="0" applyFont="1" applyBorder="1"/>
    <xf numFmtId="0" fontId="0" fillId="0" borderId="0" xfId="0" quotePrefix="1" applyFont="1" applyBorder="1"/>
    <xf numFmtId="2" fontId="0" fillId="0" borderId="0" xfId="0" applyNumberFormat="1" applyFont="1" applyBorder="1"/>
    <xf numFmtId="165" fontId="0" fillId="0" borderId="0" xfId="0" applyNumberFormat="1" applyFont="1" applyBorder="1" applyProtection="1"/>
    <xf numFmtId="165" fontId="0" fillId="0" borderId="0" xfId="0" applyNumberFormat="1" applyFont="1" applyBorder="1"/>
    <xf numFmtId="165" fontId="0" fillId="0" borderId="12" xfId="0" applyNumberFormat="1" applyFont="1" applyBorder="1"/>
    <xf numFmtId="0" fontId="0" fillId="3" borderId="11" xfId="0" applyFont="1" applyFill="1" applyBorder="1"/>
    <xf numFmtId="0" fontId="0" fillId="3" borderId="11" xfId="0" applyFont="1" applyFill="1" applyBorder="1" applyAlignment="1">
      <alignment horizontal="right"/>
    </xf>
    <xf numFmtId="0" fontId="0" fillId="3" borderId="11" xfId="0" applyFont="1" applyFill="1" applyBorder="1" applyAlignment="1">
      <alignment horizontal="left"/>
    </xf>
    <xf numFmtId="0" fontId="0" fillId="3" borderId="0" xfId="0" applyFont="1" applyFill="1"/>
    <xf numFmtId="0" fontId="0" fillId="3" borderId="0" xfId="0" applyFont="1" applyFill="1" applyBorder="1"/>
    <xf numFmtId="0" fontId="0" fillId="3" borderId="0" xfId="0" applyFont="1" applyFill="1" applyBorder="1" applyAlignment="1">
      <alignment horizontal="right"/>
    </xf>
    <xf numFmtId="0" fontId="0" fillId="3" borderId="0" xfId="0" applyFont="1" applyFill="1" applyBorder="1" applyAlignment="1">
      <alignment horizontal="left"/>
    </xf>
    <xf numFmtId="0" fontId="0" fillId="3" borderId="12" xfId="0" applyFont="1" applyFill="1" applyBorder="1"/>
    <xf numFmtId="0" fontId="0" fillId="3" borderId="12" xfId="0" applyFont="1" applyFill="1" applyBorder="1" applyAlignment="1">
      <alignment horizontal="right"/>
    </xf>
    <xf numFmtId="0" fontId="14" fillId="0" borderId="0" xfId="0" applyFont="1"/>
    <xf numFmtId="0" fontId="3" fillId="0" borderId="11" xfId="0" applyFont="1" applyFill="1" applyBorder="1"/>
    <xf numFmtId="0" fontId="0" fillId="0" borderId="0" xfId="0" applyFill="1"/>
    <xf numFmtId="0" fontId="3" fillId="0" borderId="0" xfId="0" applyFont="1" applyFill="1" applyBorder="1"/>
    <xf numFmtId="0" fontId="3" fillId="0" borderId="12" xfId="0" applyFont="1" applyFill="1" applyBorder="1"/>
    <xf numFmtId="0" fontId="15" fillId="0" borderId="0" xfId="0" applyFont="1" applyFill="1"/>
    <xf numFmtId="164" fontId="3" fillId="0" borderId="0" xfId="0" applyNumberFormat="1" applyFont="1" applyFill="1" applyProtection="1"/>
    <xf numFmtId="2" fontId="3" fillId="0" borderId="0" xfId="0" applyNumberFormat="1" applyFont="1" applyFill="1"/>
    <xf numFmtId="2" fontId="3" fillId="0" borderId="0" xfId="0" applyNumberFormat="1" applyFont="1" applyFill="1" applyProtection="1"/>
    <xf numFmtId="0" fontId="16" fillId="0" borderId="0" xfId="0" applyFont="1" applyFill="1"/>
    <xf numFmtId="0" fontId="15" fillId="0" borderId="0" xfId="0" applyFont="1" applyFill="1" applyBorder="1"/>
    <xf numFmtId="0" fontId="16" fillId="0" borderId="0" xfId="0" applyFont="1" applyFill="1" applyBorder="1"/>
    <xf numFmtId="2" fontId="0" fillId="0" borderId="0" xfId="0" applyNumberFormat="1" applyFill="1"/>
    <xf numFmtId="2" fontId="15" fillId="0" borderId="0" xfId="0" applyNumberFormat="1" applyFont="1" applyFill="1" applyBorder="1"/>
    <xf numFmtId="2" fontId="16" fillId="0" borderId="0" xfId="0" applyNumberFormat="1" applyFont="1" applyFill="1" applyBorder="1"/>
    <xf numFmtId="0" fontId="3" fillId="0" borderId="0" xfId="0" quotePrefix="1" applyFont="1" applyFill="1"/>
    <xf numFmtId="2" fontId="3" fillId="0" borderId="0" xfId="0" quotePrefix="1" applyNumberFormat="1" applyFont="1" applyFill="1"/>
    <xf numFmtId="164" fontId="3" fillId="0" borderId="11" xfId="0" applyNumberFormat="1" applyFont="1" applyFill="1" applyBorder="1" applyProtection="1"/>
    <xf numFmtId="2" fontId="3" fillId="0" borderId="11" xfId="0" applyNumberFormat="1" applyFont="1" applyFill="1" applyBorder="1"/>
    <xf numFmtId="164" fontId="3" fillId="0" borderId="12" xfId="0" applyNumberFormat="1" applyFont="1" applyFill="1" applyBorder="1" applyProtection="1"/>
    <xf numFmtId="2" fontId="3" fillId="0" borderId="12" xfId="0" applyNumberFormat="1" applyFont="1" applyFill="1" applyBorder="1"/>
    <xf numFmtId="0" fontId="3" fillId="0" borderId="1" xfId="0" applyFont="1" applyFill="1" applyBorder="1"/>
    <xf numFmtId="0" fontId="0" fillId="0" borderId="1" xfId="0" applyFill="1" applyBorder="1"/>
    <xf numFmtId="2" fontId="0" fillId="0" borderId="1" xfId="0" applyNumberFormat="1" applyFill="1" applyBorder="1"/>
    <xf numFmtId="0" fontId="3" fillId="0" borderId="13" xfId="0" applyFont="1" applyFill="1" applyBorder="1"/>
    <xf numFmtId="0" fontId="17" fillId="0" borderId="0" xfId="0" applyFont="1" applyFill="1"/>
    <xf numFmtId="0" fontId="18" fillId="0" borderId="0" xfId="0" quotePrefix="1" applyFont="1" applyFill="1"/>
    <xf numFmtId="0" fontId="18" fillId="0" borderId="0" xfId="0" applyFont="1" applyFill="1"/>
    <xf numFmtId="0" fontId="19" fillId="0" borderId="1" xfId="0" applyNumberFormat="1" applyFont="1" applyFill="1" applyBorder="1" applyAlignment="1" applyProtection="1"/>
    <xf numFmtId="2" fontId="18" fillId="0" borderId="1" xfId="0" applyNumberFormat="1" applyFont="1" applyFill="1" applyBorder="1"/>
    <xf numFmtId="0" fontId="20" fillId="0" borderId="1" xfId="0" applyFont="1" applyFill="1" applyBorder="1"/>
    <xf numFmtId="2" fontId="20" fillId="0" borderId="1" xfId="0" applyNumberFormat="1" applyFont="1" applyFill="1" applyBorder="1"/>
    <xf numFmtId="1" fontId="20" fillId="0" borderId="1" xfId="0" applyNumberFormat="1" applyFont="1" applyFill="1" applyBorder="1"/>
    <xf numFmtId="166" fontId="18" fillId="0" borderId="0" xfId="1" applyNumberFormat="1" applyFont="1" applyFill="1" applyBorder="1"/>
    <xf numFmtId="0" fontId="3" fillId="0" borderId="0" xfId="0" applyFont="1" applyFill="1" applyBorder="1" applyAlignment="1">
      <alignment horizontal="left"/>
    </xf>
    <xf numFmtId="0" fontId="3" fillId="0" borderId="0" xfId="0" quotePrefix="1" applyFont="1" applyFill="1" applyBorder="1"/>
    <xf numFmtId="2" fontId="3" fillId="0" borderId="0" xfId="0" applyNumberFormat="1" applyFont="1" applyFill="1" applyBorder="1"/>
    <xf numFmtId="165" fontId="3" fillId="0" borderId="0" xfId="0" applyNumberFormat="1" applyFont="1" applyFill="1" applyBorder="1" applyProtection="1"/>
    <xf numFmtId="165" fontId="3" fillId="0" borderId="0" xfId="0" applyNumberFormat="1" applyFont="1" applyFill="1" applyBorder="1"/>
    <xf numFmtId="165" fontId="3" fillId="0" borderId="12" xfId="0" applyNumberFormat="1" applyFont="1" applyFill="1" applyBorder="1"/>
    <xf numFmtId="2" fontId="20" fillId="0" borderId="0" xfId="0" applyNumberFormat="1" applyFont="1" applyFill="1" applyBorder="1"/>
    <xf numFmtId="2" fontId="20" fillId="0" borderId="0" xfId="0" applyNumberFormat="1" applyFont="1" applyFill="1"/>
    <xf numFmtId="0" fontId="3" fillId="3" borderId="11" xfId="0" applyFont="1" applyFill="1" applyBorder="1"/>
    <xf numFmtId="0" fontId="3" fillId="3" borderId="1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left"/>
    </xf>
    <xf numFmtId="0" fontId="3" fillId="3" borderId="0" xfId="0" applyFont="1" applyFill="1"/>
    <xf numFmtId="0" fontId="3" fillId="3" borderId="0" xfId="0" applyFont="1" applyFill="1" applyBorder="1"/>
    <xf numFmtId="0" fontId="3" fillId="3" borderId="0" xfId="0" applyFont="1" applyFill="1" applyBorder="1" applyAlignment="1">
      <alignment horizontal="right"/>
    </xf>
    <xf numFmtId="0" fontId="3" fillId="3" borderId="12" xfId="0" applyFont="1" applyFill="1" applyBorder="1"/>
    <xf numFmtId="0" fontId="3" fillId="3" borderId="12" xfId="0" applyFont="1" applyFill="1" applyBorder="1" applyAlignment="1">
      <alignment horizontal="right"/>
    </xf>
    <xf numFmtId="0" fontId="15" fillId="3" borderId="0" xfId="0" applyFont="1" applyFill="1"/>
    <xf numFmtId="0" fontId="19" fillId="0" borderId="0" xfId="0" applyFont="1" applyFill="1"/>
    <xf numFmtId="0" fontId="9" fillId="0" borderId="11" xfId="0" applyFont="1" applyFill="1" applyBorder="1"/>
    <xf numFmtId="0" fontId="9" fillId="0" borderId="12" xfId="0" applyFont="1" applyFill="1" applyBorder="1"/>
    <xf numFmtId="164" fontId="9" fillId="0" borderId="0" xfId="0" applyNumberFormat="1" applyFont="1" applyFill="1" applyProtection="1"/>
    <xf numFmtId="2" fontId="9" fillId="0" borderId="0" xfId="0" applyNumberFormat="1" applyFont="1" applyFill="1" applyProtection="1"/>
    <xf numFmtId="49" fontId="9" fillId="0" borderId="0" xfId="0" applyNumberFormat="1" applyFont="1" applyFill="1" applyProtection="1"/>
    <xf numFmtId="49" fontId="9" fillId="0" borderId="0" xfId="0" applyNumberFormat="1" applyFont="1" applyFill="1"/>
    <xf numFmtId="0" fontId="21" fillId="0" borderId="0" xfId="0" applyFont="1" applyBorder="1"/>
    <xf numFmtId="0" fontId="21" fillId="0" borderId="0" xfId="0" applyFont="1" applyBorder="1" applyAlignment="1">
      <alignment horizontal="right"/>
    </xf>
    <xf numFmtId="0" fontId="22" fillId="0" borderId="0" xfId="0" quotePrefix="1" applyFont="1" applyBorder="1"/>
    <xf numFmtId="2" fontId="22" fillId="0" borderId="0" xfId="0" applyNumberFormat="1" applyFont="1" applyBorder="1" applyAlignment="1">
      <alignment horizontal="left"/>
    </xf>
    <xf numFmtId="0" fontId="22" fillId="0" borderId="0" xfId="0" applyFont="1" applyBorder="1"/>
    <xf numFmtId="0" fontId="22" fillId="0" borderId="0" xfId="0" applyFont="1" applyBorder="1" applyAlignment="1">
      <alignment horizontal="left"/>
    </xf>
    <xf numFmtId="164" fontId="9" fillId="0" borderId="11" xfId="0" applyNumberFormat="1" applyFont="1" applyFill="1" applyBorder="1" applyProtection="1"/>
    <xf numFmtId="2" fontId="9" fillId="0" borderId="11" xfId="0" applyNumberFormat="1" applyFont="1" applyFill="1" applyBorder="1"/>
    <xf numFmtId="164" fontId="9" fillId="0" borderId="12" xfId="0" applyNumberFormat="1" applyFont="1" applyFill="1" applyBorder="1" applyProtection="1"/>
    <xf numFmtId="2" fontId="9" fillId="0" borderId="12" xfId="0" applyNumberFormat="1" applyFont="1" applyFill="1" applyBorder="1"/>
    <xf numFmtId="0" fontId="9" fillId="0" borderId="13" xfId="0" applyFont="1" applyFill="1" applyBorder="1"/>
    <xf numFmtId="0" fontId="9" fillId="0" borderId="1" xfId="0" applyFont="1" applyFill="1" applyBorder="1"/>
    <xf numFmtId="167" fontId="9" fillId="0" borderId="1" xfId="0" applyNumberFormat="1" applyFont="1" applyFill="1" applyBorder="1"/>
    <xf numFmtId="165" fontId="11" fillId="0" borderId="1" xfId="0" applyNumberFormat="1" applyFont="1" applyFill="1" applyBorder="1" applyProtection="1"/>
    <xf numFmtId="0" fontId="9" fillId="0" borderId="1" xfId="0" applyFont="1" applyFill="1" applyBorder="1" applyAlignment="1">
      <alignment horizontal="left" vertical="top"/>
    </xf>
    <xf numFmtId="1" fontId="9" fillId="0" borderId="1" xfId="0" applyNumberFormat="1" applyFont="1" applyFill="1" applyBorder="1" applyAlignment="1">
      <alignment horizontal="left" vertical="top"/>
    </xf>
    <xf numFmtId="0" fontId="9" fillId="0" borderId="0" xfId="0" quotePrefix="1" applyFont="1" applyFill="1" applyBorder="1"/>
    <xf numFmtId="2" fontId="9" fillId="0" borderId="0" xfId="0" applyNumberFormat="1" applyFont="1" applyFill="1" applyBorder="1"/>
    <xf numFmtId="0" fontId="9" fillId="0" borderId="12" xfId="0" quotePrefix="1" applyFont="1" applyFill="1" applyBorder="1"/>
    <xf numFmtId="0" fontId="11" fillId="0" borderId="0" xfId="0" applyFont="1" applyFill="1"/>
    <xf numFmtId="0" fontId="9" fillId="0" borderId="0" xfId="0" applyFont="1" applyFill="1" applyAlignment="1">
      <alignment horizontal="left" vertical="top"/>
    </xf>
    <xf numFmtId="1" fontId="9" fillId="0" borderId="0" xfId="0" applyNumberFormat="1" applyFont="1" applyFill="1" applyAlignment="1">
      <alignment horizontal="left" vertical="top"/>
    </xf>
    <xf numFmtId="165" fontId="9" fillId="0" borderId="12" xfId="0" applyNumberFormat="1" applyFont="1" applyFill="1" applyBorder="1"/>
    <xf numFmtId="0" fontId="9" fillId="3" borderId="0" xfId="0" applyFont="1" applyFill="1"/>
    <xf numFmtId="0" fontId="23" fillId="0" borderId="0" xfId="0" applyFont="1" applyFill="1"/>
    <xf numFmtId="49" fontId="14" fillId="0" borderId="0" xfId="0" applyNumberFormat="1" applyFont="1"/>
    <xf numFmtId="0" fontId="15" fillId="0" borderId="0" xfId="0" applyFont="1"/>
    <xf numFmtId="0" fontId="3" fillId="0" borderId="0" xfId="0" applyNumberFormat="1" applyFont="1" applyProtection="1"/>
    <xf numFmtId="1" fontId="3" fillId="0" borderId="0" xfId="0" applyNumberFormat="1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1" fontId="3" fillId="0" borderId="11" xfId="0" applyNumberFormat="1" applyFont="1" applyBorder="1"/>
    <xf numFmtId="0" fontId="17" fillId="0" borderId="0" xfId="0" applyNumberFormat="1" applyFont="1" applyBorder="1" applyAlignment="1" applyProtection="1"/>
    <xf numFmtId="0" fontId="27" fillId="0" borderId="0" xfId="0" applyNumberFormat="1" applyFont="1" applyBorder="1" applyAlignment="1" applyProtection="1"/>
    <xf numFmtId="0" fontId="17" fillId="0" borderId="0" xfId="0" applyFont="1"/>
    <xf numFmtId="0" fontId="27" fillId="0" borderId="0" xfId="0" applyFont="1"/>
    <xf numFmtId="2" fontId="27" fillId="0" borderId="0" xfId="0" applyNumberFormat="1" applyFont="1"/>
    <xf numFmtId="0" fontId="27" fillId="0" borderId="1" xfId="0" applyFont="1" applyFill="1" applyBorder="1"/>
    <xf numFmtId="167" fontId="27" fillId="0" borderId="1" xfId="0" applyNumberFormat="1" applyFont="1" applyFill="1" applyBorder="1"/>
    <xf numFmtId="10" fontId="27" fillId="0" borderId="0" xfId="1" applyNumberFormat="1" applyFont="1" applyBorder="1" applyAlignment="1" applyProtection="1"/>
    <xf numFmtId="10" fontId="27" fillId="0" borderId="0" xfId="1" applyNumberFormat="1" applyFont="1" applyBorder="1" applyAlignment="1"/>
    <xf numFmtId="0" fontId="27" fillId="0" borderId="1" xfId="0" applyFont="1" applyBorder="1"/>
    <xf numFmtId="167" fontId="27" fillId="0" borderId="1" xfId="1" applyNumberFormat="1" applyFont="1" applyBorder="1"/>
    <xf numFmtId="0" fontId="27" fillId="0" borderId="1" xfId="1" applyNumberFormat="1" applyFont="1" applyBorder="1" applyAlignment="1" applyProtection="1"/>
    <xf numFmtId="166" fontId="27" fillId="0" borderId="0" xfId="1" applyNumberFormat="1" applyFont="1" applyBorder="1"/>
    <xf numFmtId="2" fontId="28" fillId="0" borderId="0" xfId="0" applyNumberFormat="1" applyFont="1"/>
    <xf numFmtId="0" fontId="3" fillId="0" borderId="0" xfId="0" applyFont="1" applyBorder="1" applyAlignment="1">
      <alignment horizontal="left"/>
    </xf>
    <xf numFmtId="9" fontId="3" fillId="0" borderId="0" xfId="0" quotePrefix="1" applyNumberFormat="1" applyFont="1" applyBorder="1"/>
    <xf numFmtId="2" fontId="3" fillId="0" borderId="0" xfId="0" applyNumberFormat="1" applyFont="1" applyBorder="1"/>
    <xf numFmtId="0" fontId="3" fillId="0" borderId="0" xfId="0" quotePrefix="1" applyFont="1" applyBorder="1"/>
    <xf numFmtId="165" fontId="3" fillId="0" borderId="0" xfId="0" applyNumberFormat="1" applyFont="1"/>
    <xf numFmtId="0" fontId="29" fillId="0" borderId="11" xfId="0" applyFont="1" applyBorder="1"/>
    <xf numFmtId="0" fontId="29" fillId="0" borderId="0" xfId="0" applyFont="1"/>
    <xf numFmtId="164" fontId="13" fillId="0" borderId="0" xfId="0" applyNumberFormat="1" applyFont="1" applyProtection="1"/>
    <xf numFmtId="2" fontId="13" fillId="0" borderId="0" xfId="0" applyNumberFormat="1" applyFont="1" applyProtection="1"/>
    <xf numFmtId="2" fontId="13" fillId="4" borderId="0" xfId="0" applyNumberFormat="1" applyFont="1" applyFill="1"/>
    <xf numFmtId="0" fontId="13" fillId="4" borderId="0" xfId="0" applyFont="1" applyFill="1"/>
    <xf numFmtId="0" fontId="0" fillId="4" borderId="0" xfId="0" applyFill="1" applyBorder="1"/>
    <xf numFmtId="0" fontId="13" fillId="0" borderId="0" xfId="0" quotePrefix="1" applyFont="1" applyBorder="1"/>
    <xf numFmtId="0" fontId="13" fillId="0" borderId="0" xfId="0" applyFont="1" applyAlignment="1">
      <alignment horizontal="left"/>
    </xf>
    <xf numFmtId="0" fontId="29" fillId="3" borderId="11" xfId="0" applyFont="1" applyFill="1" applyBorder="1"/>
    <xf numFmtId="0" fontId="29" fillId="3" borderId="11" xfId="0" applyFont="1" applyFill="1" applyBorder="1" applyAlignment="1">
      <alignment horizontal="right"/>
    </xf>
    <xf numFmtId="0" fontId="29" fillId="3" borderId="11" xfId="0" applyFont="1" applyFill="1" applyBorder="1" applyAlignment="1">
      <alignment horizontal="left"/>
    </xf>
    <xf numFmtId="0" fontId="29" fillId="3" borderId="0" xfId="0" applyFont="1" applyFill="1"/>
    <xf numFmtId="0" fontId="13" fillId="3" borderId="0" xfId="0" applyFont="1" applyFill="1"/>
    <xf numFmtId="0" fontId="29" fillId="3" borderId="0" xfId="0" applyFont="1" applyFill="1" applyBorder="1"/>
    <xf numFmtId="0" fontId="29" fillId="3" borderId="0" xfId="0" applyFont="1" applyFill="1" applyBorder="1" applyAlignment="1">
      <alignment horizontal="right"/>
    </xf>
    <xf numFmtId="0" fontId="29" fillId="3" borderId="0" xfId="0" applyFont="1" applyFill="1" applyBorder="1" applyAlignment="1">
      <alignment horizontal="left"/>
    </xf>
    <xf numFmtId="0" fontId="29" fillId="3" borderId="12" xfId="0" applyFont="1" applyFill="1" applyBorder="1"/>
    <xf numFmtId="0" fontId="29" fillId="3" borderId="12" xfId="0" applyFont="1" applyFill="1" applyBorder="1" applyAlignment="1">
      <alignment horizontal="right"/>
    </xf>
    <xf numFmtId="2" fontId="29" fillId="3" borderId="0" xfId="0" applyNumberFormat="1" applyFont="1" applyFill="1"/>
    <xf numFmtId="165" fontId="9" fillId="0" borderId="0" xfId="0" applyNumberFormat="1" applyFont="1" applyFill="1" applyProtection="1"/>
    <xf numFmtId="167" fontId="9" fillId="0" borderId="0" xfId="0" applyNumberFormat="1" applyFont="1" applyFill="1"/>
    <xf numFmtId="2" fontId="9" fillId="0" borderId="0" xfId="0" quotePrefix="1" applyNumberFormat="1" applyFont="1" applyFill="1"/>
    <xf numFmtId="9" fontId="9" fillId="0" borderId="1" xfId="0" applyNumberFormat="1" applyFont="1" applyFill="1" applyBorder="1"/>
    <xf numFmtId="0" fontId="11" fillId="0" borderId="11" xfId="0" applyFont="1" applyFill="1" applyBorder="1"/>
    <xf numFmtId="164" fontId="3" fillId="0" borderId="0" xfId="0" quotePrefix="1" applyNumberFormat="1" applyFont="1" applyFill="1" applyProtection="1"/>
    <xf numFmtId="2" fontId="30" fillId="0" borderId="1" xfId="0" applyNumberFormat="1" applyFont="1" applyFill="1" applyBorder="1" applyAlignment="1">
      <alignment horizontal="center"/>
    </xf>
    <xf numFmtId="0" fontId="30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/>
    <xf numFmtId="167" fontId="5" fillId="0" borderId="1" xfId="0" applyNumberFormat="1" applyFont="1" applyFill="1" applyBorder="1" applyAlignment="1">
      <alignment horizontal="center"/>
    </xf>
    <xf numFmtId="2" fontId="3" fillId="0" borderId="0" xfId="0" quotePrefix="1" applyNumberFormat="1" applyFont="1" applyFill="1" applyBorder="1"/>
    <xf numFmtId="9" fontId="3" fillId="0" borderId="0" xfId="0" quotePrefix="1" applyNumberFormat="1" applyFont="1" applyFill="1" applyBorder="1" applyAlignment="1">
      <alignment horizontal="left"/>
    </xf>
    <xf numFmtId="0" fontId="3" fillId="0" borderId="12" xfId="0" quotePrefix="1" applyFont="1" applyBorder="1"/>
    <xf numFmtId="0" fontId="31" fillId="0" borderId="0" xfId="0" applyFont="1" applyFill="1"/>
  </cellXfs>
  <cellStyles count="2"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FC%2014-15m/Capsicum%20-%20Badulla%2014-15m%20(wp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pling frame"/>
      <sheetName val="Raw Data"/>
      <sheetName val="Analyzing"/>
      <sheetName val="Equa"/>
      <sheetName val="Formula "/>
      <sheetName val="To print"/>
      <sheetName val="EDIT"/>
      <sheetName val="edit print"/>
    </sheetNames>
    <sheetDataSet>
      <sheetData sheetId="0"/>
      <sheetData sheetId="1"/>
      <sheetData sheetId="2">
        <row r="46">
          <cell r="IX46">
            <v>78</v>
          </cell>
        </row>
        <row r="47">
          <cell r="HN47">
            <v>78</v>
          </cell>
        </row>
        <row r="48">
          <cell r="T48">
            <v>638</v>
          </cell>
        </row>
        <row r="49">
          <cell r="HN49">
            <v>197</v>
          </cell>
          <cell r="IX49">
            <v>26</v>
          </cell>
        </row>
        <row r="50">
          <cell r="HN50">
            <v>25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M42"/>
  <sheetViews>
    <sheetView topLeftCell="A7" workbookViewId="0">
      <selection activeCell="G16" sqref="G16"/>
    </sheetView>
  </sheetViews>
  <sheetFormatPr defaultRowHeight="15" x14ac:dyDescent="0.25"/>
  <cols>
    <col min="1" max="1" width="9.140625" customWidth="1"/>
  </cols>
  <sheetData>
    <row r="1" spans="1:13" x14ac:dyDescent="0.25">
      <c r="A1" s="3" t="s">
        <v>63</v>
      </c>
      <c r="B1" s="1" t="s">
        <v>64</v>
      </c>
    </row>
    <row r="2" spans="1:13" x14ac:dyDescent="0.25">
      <c r="A2" s="3" t="s">
        <v>0</v>
      </c>
      <c r="B2" s="1" t="s">
        <v>1</v>
      </c>
      <c r="C2" s="1"/>
    </row>
    <row r="3" spans="1:13" x14ac:dyDescent="0.25">
      <c r="A3" s="3" t="s">
        <v>2</v>
      </c>
      <c r="B3" s="1" t="s">
        <v>3</v>
      </c>
      <c r="C3" s="1"/>
    </row>
    <row r="4" spans="1:13" ht="15.75" thickBot="1" x14ac:dyDescent="0.3">
      <c r="A4" s="3" t="s">
        <v>4</v>
      </c>
      <c r="B4" s="1" t="s">
        <v>5</v>
      </c>
      <c r="C4" s="1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s="2" customFormat="1" x14ac:dyDescent="0.25">
      <c r="A5" s="49" t="s">
        <v>6</v>
      </c>
      <c r="B5" s="50"/>
      <c r="C5" s="50"/>
      <c r="D5" s="50" t="s">
        <v>7</v>
      </c>
      <c r="E5" s="50" t="s">
        <v>8</v>
      </c>
      <c r="F5" s="50" t="s">
        <v>9</v>
      </c>
      <c r="G5" s="50" t="s">
        <v>10</v>
      </c>
      <c r="H5" s="50" t="s">
        <v>11</v>
      </c>
      <c r="I5" s="50" t="s">
        <v>12</v>
      </c>
      <c r="J5" s="50" t="s">
        <v>13</v>
      </c>
      <c r="K5" s="50" t="s">
        <v>14</v>
      </c>
      <c r="L5" s="50" t="s">
        <v>15</v>
      </c>
      <c r="M5" s="51"/>
    </row>
    <row r="6" spans="1:13" s="2" customFormat="1" x14ac:dyDescent="0.25">
      <c r="A6" s="52"/>
      <c r="B6" s="53"/>
      <c r="C6" s="53"/>
      <c r="D6" s="53" t="s">
        <v>16</v>
      </c>
      <c r="E6" s="53" t="s">
        <v>17</v>
      </c>
      <c r="F6" s="53" t="s">
        <v>17</v>
      </c>
      <c r="G6" s="53" t="s">
        <v>18</v>
      </c>
      <c r="H6" s="53" t="s">
        <v>19</v>
      </c>
      <c r="I6" s="53" t="s">
        <v>20</v>
      </c>
      <c r="J6" s="53" t="s">
        <v>19</v>
      </c>
      <c r="K6" s="53" t="s">
        <v>19</v>
      </c>
      <c r="L6" s="53" t="s">
        <v>12</v>
      </c>
      <c r="M6" s="54" t="s">
        <v>13</v>
      </c>
    </row>
    <row r="7" spans="1:13" s="2" customFormat="1" ht="15.75" thickBot="1" x14ac:dyDescent="0.3">
      <c r="A7" s="55"/>
      <c r="B7" s="56"/>
      <c r="C7" s="56"/>
      <c r="D7" s="56" t="s">
        <v>21</v>
      </c>
      <c r="E7" s="56"/>
      <c r="F7" s="56"/>
      <c r="G7" s="56"/>
      <c r="H7" s="56" t="s">
        <v>22</v>
      </c>
      <c r="I7" s="56" t="s">
        <v>19</v>
      </c>
      <c r="J7" s="56" t="s">
        <v>22</v>
      </c>
      <c r="K7" s="56" t="s">
        <v>22</v>
      </c>
      <c r="L7" s="56"/>
      <c r="M7" s="57"/>
    </row>
    <row r="8" spans="1:13" x14ac:dyDescent="0.25">
      <c r="I8" t="s">
        <v>22</v>
      </c>
    </row>
    <row r="9" spans="1:13" x14ac:dyDescent="0.25">
      <c r="A9" s="2" t="s">
        <v>23</v>
      </c>
      <c r="B9" s="2"/>
      <c r="C9" s="2"/>
      <c r="D9" s="2">
        <v>48</v>
      </c>
      <c r="E9">
        <v>6.44</v>
      </c>
      <c r="F9">
        <v>1.44</v>
      </c>
      <c r="G9">
        <v>865.69</v>
      </c>
      <c r="H9">
        <v>5575</v>
      </c>
      <c r="K9">
        <f t="shared" ref="K9:K15" si="0">SUM(H9:J9)</f>
        <v>5575</v>
      </c>
    </row>
    <row r="10" spans="1:13" x14ac:dyDescent="0.25">
      <c r="A10" s="2" t="s">
        <v>24</v>
      </c>
      <c r="B10" s="2"/>
      <c r="C10" s="2"/>
      <c r="D10" s="2">
        <v>100</v>
      </c>
      <c r="H10">
        <f t="shared" ref="H10:H13" si="1">SUM(E10*G10)</f>
        <v>0</v>
      </c>
      <c r="I10">
        <v>4168</v>
      </c>
      <c r="K10">
        <f t="shared" si="0"/>
        <v>4168</v>
      </c>
    </row>
    <row r="11" spans="1:13" x14ac:dyDescent="0.25">
      <c r="A11" s="2" t="s">
        <v>25</v>
      </c>
      <c r="B11" s="2"/>
      <c r="C11" s="2"/>
      <c r="D11" s="2">
        <v>80</v>
      </c>
      <c r="I11">
        <v>4878</v>
      </c>
      <c r="K11">
        <f t="shared" si="0"/>
        <v>4878</v>
      </c>
    </row>
    <row r="12" spans="1:13" x14ac:dyDescent="0.25">
      <c r="A12" s="2" t="s">
        <v>26</v>
      </c>
      <c r="B12" s="2"/>
      <c r="C12" s="2"/>
      <c r="D12" s="2">
        <v>100</v>
      </c>
      <c r="E12">
        <v>0.49</v>
      </c>
      <c r="F12">
        <v>0.37</v>
      </c>
      <c r="G12">
        <v>1066</v>
      </c>
      <c r="H12">
        <v>522</v>
      </c>
      <c r="J12">
        <f>G24*E24</f>
        <v>3540</v>
      </c>
      <c r="K12">
        <f t="shared" si="0"/>
        <v>4062</v>
      </c>
    </row>
    <row r="13" spans="1:13" x14ac:dyDescent="0.25">
      <c r="A13" s="2" t="s">
        <v>27</v>
      </c>
      <c r="B13" s="2"/>
      <c r="C13" s="2"/>
      <c r="D13" s="2">
        <v>84</v>
      </c>
      <c r="E13">
        <v>0.56000000000000005</v>
      </c>
      <c r="F13">
        <v>0.37</v>
      </c>
      <c r="G13">
        <v>994.65</v>
      </c>
      <c r="H13">
        <f t="shared" si="1"/>
        <v>557.00400000000002</v>
      </c>
      <c r="J13">
        <v>1019</v>
      </c>
      <c r="K13">
        <f t="shared" si="0"/>
        <v>1576.0039999999999</v>
      </c>
    </row>
    <row r="14" spans="1:13" x14ac:dyDescent="0.25">
      <c r="A14" s="2" t="s">
        <v>28</v>
      </c>
      <c r="B14" s="2"/>
      <c r="C14" s="2"/>
      <c r="D14" s="2">
        <v>100</v>
      </c>
      <c r="E14">
        <v>7.18</v>
      </c>
      <c r="F14">
        <v>1.1599999999999999</v>
      </c>
      <c r="G14">
        <v>1304</v>
      </c>
      <c r="H14">
        <v>9363</v>
      </c>
      <c r="K14">
        <f t="shared" si="0"/>
        <v>9363</v>
      </c>
    </row>
    <row r="15" spans="1:13" x14ac:dyDescent="0.25">
      <c r="A15" s="2" t="s">
        <v>29</v>
      </c>
      <c r="B15" s="2"/>
      <c r="C15" s="2"/>
      <c r="D15" s="2">
        <v>100</v>
      </c>
      <c r="E15">
        <v>1.4</v>
      </c>
      <c r="F15">
        <v>0.3</v>
      </c>
      <c r="G15">
        <v>959</v>
      </c>
      <c r="H15">
        <v>1343</v>
      </c>
      <c r="I15">
        <v>1304</v>
      </c>
      <c r="K15">
        <f t="shared" si="0"/>
        <v>2647</v>
      </c>
    </row>
    <row r="16" spans="1:13" x14ac:dyDescent="0.25">
      <c r="A16" s="2" t="s">
        <v>30</v>
      </c>
      <c r="B16" s="2"/>
      <c r="C16" s="2"/>
      <c r="D16" s="2"/>
      <c r="E16" s="3">
        <f>SUM(E9:E15)</f>
        <v>16.07</v>
      </c>
      <c r="F16">
        <f>SUM(F9:F15)</f>
        <v>3.6399999999999997</v>
      </c>
      <c r="H16">
        <f>SUM(H9:H15)</f>
        <v>17360.004000000001</v>
      </c>
      <c r="I16">
        <f>SUM(I9:I15)</f>
        <v>10350</v>
      </c>
      <c r="J16">
        <f>SUM(J9:J15)</f>
        <v>4559</v>
      </c>
      <c r="K16">
        <f>SUM(H16:J16)</f>
        <v>32269.004000000001</v>
      </c>
      <c r="L16">
        <f>SUM(L9:L15)</f>
        <v>0</v>
      </c>
      <c r="M16">
        <f>SUM(M9:M15)</f>
        <v>0</v>
      </c>
    </row>
    <row r="17" spans="1:12" x14ac:dyDescent="0.25">
      <c r="A17" s="2" t="s">
        <v>31</v>
      </c>
      <c r="B17" s="2"/>
      <c r="C17" s="2"/>
      <c r="D17" s="2"/>
      <c r="E17">
        <f>SUM(E16-F16)</f>
        <v>12.43</v>
      </c>
      <c r="H17">
        <f>SUM(E28*G28)</f>
        <v>13020</v>
      </c>
      <c r="I17">
        <f>I16-L16</f>
        <v>10350</v>
      </c>
      <c r="J17">
        <f>J16-M16</f>
        <v>4559</v>
      </c>
      <c r="K17">
        <f>SUM(H17:J17)</f>
        <v>27929</v>
      </c>
    </row>
    <row r="18" spans="1:12" x14ac:dyDescent="0.25">
      <c r="A18" s="2"/>
      <c r="B18" s="2"/>
      <c r="C18" s="2"/>
      <c r="D18" s="2"/>
    </row>
    <row r="19" spans="1:12" x14ac:dyDescent="0.25">
      <c r="A19" s="2"/>
      <c r="B19" s="2"/>
      <c r="C19" s="2" t="s">
        <v>32</v>
      </c>
      <c r="D19" s="2"/>
      <c r="K19" t="s">
        <v>33</v>
      </c>
      <c r="L19">
        <v>4.4666666666666668</v>
      </c>
    </row>
    <row r="20" spans="1:12" x14ac:dyDescent="0.25">
      <c r="A20" s="2"/>
      <c r="B20" s="2"/>
      <c r="C20" s="2"/>
      <c r="D20" s="2"/>
      <c r="K20" t="s">
        <v>34</v>
      </c>
      <c r="L20">
        <v>2</v>
      </c>
    </row>
    <row r="21" spans="1:12" x14ac:dyDescent="0.25">
      <c r="A21" s="2" t="s">
        <v>35</v>
      </c>
      <c r="B21" s="2"/>
      <c r="C21" s="2"/>
      <c r="D21" s="2"/>
    </row>
    <row r="22" spans="1:12" x14ac:dyDescent="0.25">
      <c r="A22" s="2" t="s">
        <v>36</v>
      </c>
      <c r="B22" s="2"/>
      <c r="C22" s="2"/>
      <c r="D22" s="2" t="s">
        <v>37</v>
      </c>
      <c r="E22" t="s">
        <v>38</v>
      </c>
      <c r="G22" t="s">
        <v>39</v>
      </c>
    </row>
    <row r="23" spans="1:12" x14ac:dyDescent="0.25">
      <c r="A23" s="2" t="s">
        <v>40</v>
      </c>
      <c r="B23" s="2"/>
      <c r="C23" s="2"/>
      <c r="D23" s="2"/>
    </row>
    <row r="24" spans="1:12" x14ac:dyDescent="0.25">
      <c r="A24" s="2" t="s">
        <v>26</v>
      </c>
      <c r="B24" s="2"/>
      <c r="C24" s="2"/>
      <c r="D24" s="2" t="s">
        <v>41</v>
      </c>
      <c r="E24">
        <v>15</v>
      </c>
      <c r="G24">
        <v>236</v>
      </c>
    </row>
    <row r="25" spans="1:12" x14ac:dyDescent="0.25">
      <c r="A25" s="2"/>
      <c r="B25" s="2"/>
      <c r="C25" s="2"/>
      <c r="D25" s="2"/>
      <c r="K25" t="s">
        <v>42</v>
      </c>
      <c r="L25" t="s">
        <v>43</v>
      </c>
    </row>
    <row r="26" spans="1:12" x14ac:dyDescent="0.25">
      <c r="A26" s="2"/>
      <c r="B26" s="2"/>
      <c r="C26" s="2"/>
      <c r="D26" s="2"/>
      <c r="K26" t="s">
        <v>44</v>
      </c>
      <c r="L26">
        <v>0.49</v>
      </c>
    </row>
    <row r="27" spans="1:12" x14ac:dyDescent="0.25">
      <c r="A27" s="2" t="s">
        <v>45</v>
      </c>
      <c r="B27" s="2"/>
      <c r="C27" s="2"/>
      <c r="D27" s="2"/>
      <c r="K27" t="s">
        <v>46</v>
      </c>
      <c r="L27">
        <v>0.06</v>
      </c>
    </row>
    <row r="28" spans="1:12" x14ac:dyDescent="0.25">
      <c r="A28" s="2" t="s">
        <v>47</v>
      </c>
      <c r="B28" s="2"/>
      <c r="C28" s="2"/>
      <c r="D28" s="2" t="s">
        <v>48</v>
      </c>
      <c r="E28">
        <v>12</v>
      </c>
      <c r="G28">
        <v>1085</v>
      </c>
      <c r="K28" t="s">
        <v>49</v>
      </c>
      <c r="L28">
        <v>0.45</v>
      </c>
    </row>
    <row r="29" spans="1:12" x14ac:dyDescent="0.25">
      <c r="A29" s="2" t="s">
        <v>50</v>
      </c>
      <c r="B29" s="2"/>
      <c r="C29" s="2"/>
      <c r="D29" s="2" t="s">
        <v>48</v>
      </c>
      <c r="E29">
        <v>4</v>
      </c>
      <c r="K29" t="s">
        <v>8</v>
      </c>
      <c r="L29">
        <v>1</v>
      </c>
    </row>
    <row r="30" spans="1:12" x14ac:dyDescent="0.25">
      <c r="A30" s="2" t="s">
        <v>8</v>
      </c>
      <c r="B30" s="2"/>
      <c r="C30" s="2"/>
      <c r="D30" s="2"/>
      <c r="E30">
        <f>SUM(E28:E29)</f>
        <v>16</v>
      </c>
    </row>
    <row r="31" spans="1:12" x14ac:dyDescent="0.25">
      <c r="A31" s="2"/>
      <c r="B31" s="2"/>
      <c r="C31" s="2"/>
      <c r="D31" s="2"/>
    </row>
    <row r="32" spans="1:12" x14ac:dyDescent="0.25">
      <c r="A32" s="2" t="s">
        <v>51</v>
      </c>
      <c r="B32" s="2"/>
      <c r="C32" s="2"/>
      <c r="D32" s="2"/>
      <c r="G32" t="s">
        <v>52</v>
      </c>
      <c r="H32" t="s">
        <v>53</v>
      </c>
    </row>
    <row r="33" spans="1:8" x14ac:dyDescent="0.25">
      <c r="A33" s="2" t="s">
        <v>54</v>
      </c>
      <c r="B33" s="2"/>
      <c r="C33" s="2"/>
      <c r="D33" s="2"/>
      <c r="G33">
        <v>300</v>
      </c>
      <c r="H33">
        <v>741</v>
      </c>
    </row>
    <row r="34" spans="1:8" x14ac:dyDescent="0.25">
      <c r="A34" s="2" t="s">
        <v>55</v>
      </c>
      <c r="B34" s="2"/>
      <c r="C34" s="2"/>
      <c r="D34" s="2"/>
      <c r="G34">
        <v>145</v>
      </c>
    </row>
    <row r="35" spans="1:8" x14ac:dyDescent="0.25">
      <c r="A35" s="2" t="s">
        <v>56</v>
      </c>
      <c r="B35" s="2"/>
      <c r="C35" s="2"/>
      <c r="D35" s="2"/>
      <c r="G35">
        <f>SUM(G33*G34)</f>
        <v>43500</v>
      </c>
      <c r="H35">
        <v>107499</v>
      </c>
    </row>
    <row r="36" spans="1:8" x14ac:dyDescent="0.25">
      <c r="A36" s="2" t="s">
        <v>57</v>
      </c>
      <c r="B36" s="2"/>
      <c r="C36" s="2"/>
      <c r="D36" s="2"/>
      <c r="G36">
        <f>SUM(G35-K16)</f>
        <v>11230.995999999999</v>
      </c>
      <c r="H36">
        <v>27752</v>
      </c>
    </row>
    <row r="37" spans="1:8" x14ac:dyDescent="0.25">
      <c r="A37" s="2" t="s">
        <v>58</v>
      </c>
      <c r="B37" s="2"/>
      <c r="C37" s="2"/>
      <c r="D37" s="2"/>
      <c r="G37">
        <f>SUM(G35-K17)</f>
        <v>15571</v>
      </c>
      <c r="H37">
        <v>38476</v>
      </c>
    </row>
    <row r="38" spans="1:8" x14ac:dyDescent="0.25">
      <c r="A38" s="2"/>
      <c r="B38" s="2"/>
      <c r="C38" s="2"/>
      <c r="D38" s="2"/>
    </row>
    <row r="39" spans="1:8" x14ac:dyDescent="0.25">
      <c r="A39" s="2" t="s">
        <v>59</v>
      </c>
      <c r="B39" s="2"/>
      <c r="C39" s="2"/>
      <c r="D39" s="2"/>
      <c r="G39">
        <f>SUM(K16/G33)</f>
        <v>107.56334666666667</v>
      </c>
    </row>
    <row r="40" spans="1:8" x14ac:dyDescent="0.25">
      <c r="A40" s="2" t="s">
        <v>60</v>
      </c>
      <c r="B40" s="2"/>
      <c r="C40" s="2"/>
      <c r="D40" s="2"/>
      <c r="G40">
        <f>SUM(K17/G33)</f>
        <v>93.096666666666664</v>
      </c>
    </row>
    <row r="41" spans="1:8" x14ac:dyDescent="0.25">
      <c r="A41" s="1"/>
      <c r="B41" s="1"/>
      <c r="C41" s="1"/>
      <c r="D41" s="1"/>
    </row>
    <row r="42" spans="1:8" x14ac:dyDescent="0.25">
      <c r="A42" t="s">
        <v>61</v>
      </c>
      <c r="B42" t="s">
        <v>62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M42"/>
  <sheetViews>
    <sheetView workbookViewId="0">
      <selection activeCell="G25" sqref="G25"/>
    </sheetView>
  </sheetViews>
  <sheetFormatPr defaultRowHeight="15" x14ac:dyDescent="0.25"/>
  <sheetData>
    <row r="1" spans="1:13" x14ac:dyDescent="0.25">
      <c r="A1" s="3" t="s">
        <v>63</v>
      </c>
      <c r="B1" s="38" t="s">
        <v>83</v>
      </c>
      <c r="C1" s="38"/>
    </row>
    <row r="2" spans="1:13" x14ac:dyDescent="0.25">
      <c r="A2" s="3" t="s">
        <v>0</v>
      </c>
      <c r="B2" s="38" t="s">
        <v>84</v>
      </c>
      <c r="C2" s="38"/>
    </row>
    <row r="3" spans="1:13" x14ac:dyDescent="0.25">
      <c r="A3" s="3" t="s">
        <v>2</v>
      </c>
      <c r="B3" s="38" t="s">
        <v>85</v>
      </c>
      <c r="C3" s="38"/>
    </row>
    <row r="4" spans="1:13" ht="15.75" thickBot="1" x14ac:dyDescent="0.3">
      <c r="A4" s="3" t="s">
        <v>4</v>
      </c>
      <c r="B4" s="38" t="s">
        <v>86</v>
      </c>
      <c r="C4" s="38"/>
    </row>
    <row r="5" spans="1:13" s="40" customFormat="1" ht="15.75" x14ac:dyDescent="0.25">
      <c r="A5" s="39" t="s">
        <v>6</v>
      </c>
      <c r="D5" s="41" t="s">
        <v>7</v>
      </c>
      <c r="E5" s="41" t="s">
        <v>8</v>
      </c>
      <c r="F5" s="41" t="s">
        <v>9</v>
      </c>
      <c r="G5" s="41" t="s">
        <v>10</v>
      </c>
      <c r="H5" s="41" t="s">
        <v>11</v>
      </c>
      <c r="I5" s="41" t="s">
        <v>12</v>
      </c>
      <c r="J5" s="41" t="s">
        <v>13</v>
      </c>
      <c r="K5" s="41" t="s">
        <v>14</v>
      </c>
      <c r="L5" s="42" t="s">
        <v>15</v>
      </c>
      <c r="M5" s="41"/>
    </row>
    <row r="6" spans="1:13" s="44" customFormat="1" ht="15.75" x14ac:dyDescent="0.25">
      <c r="A6" s="43"/>
      <c r="D6" s="45" t="s">
        <v>16</v>
      </c>
      <c r="E6" s="45" t="s">
        <v>17</v>
      </c>
      <c r="F6" s="45" t="s">
        <v>17</v>
      </c>
      <c r="G6" s="45" t="s">
        <v>18</v>
      </c>
      <c r="H6" s="45" t="s">
        <v>19</v>
      </c>
      <c r="I6" s="45" t="s">
        <v>20</v>
      </c>
      <c r="J6" s="45" t="s">
        <v>19</v>
      </c>
      <c r="K6" s="45" t="s">
        <v>19</v>
      </c>
      <c r="L6" s="45" t="s">
        <v>12</v>
      </c>
      <c r="M6" s="45" t="s">
        <v>13</v>
      </c>
    </row>
    <row r="7" spans="1:13" s="44" customFormat="1" ht="15.75" x14ac:dyDescent="0.25">
      <c r="A7" s="43"/>
      <c r="D7" s="45" t="s">
        <v>21</v>
      </c>
      <c r="E7" s="45"/>
      <c r="F7" s="45"/>
      <c r="G7" s="45"/>
      <c r="H7" s="45" t="s">
        <v>22</v>
      </c>
      <c r="I7" s="45" t="s">
        <v>19</v>
      </c>
      <c r="J7" s="45" t="s">
        <v>22</v>
      </c>
      <c r="K7" s="45" t="s">
        <v>22</v>
      </c>
      <c r="L7" s="45"/>
      <c r="M7" s="45"/>
    </row>
    <row r="8" spans="1:13" s="47" customFormat="1" ht="16.5" thickBot="1" x14ac:dyDescent="0.3">
      <c r="A8" s="46"/>
      <c r="D8" s="48"/>
      <c r="E8" s="48"/>
      <c r="F8" s="48"/>
      <c r="G8" s="48"/>
      <c r="H8" s="48"/>
      <c r="I8" s="48" t="s">
        <v>22</v>
      </c>
      <c r="J8" s="48"/>
      <c r="K8" s="48"/>
      <c r="L8" s="48"/>
      <c r="M8" s="48"/>
    </row>
    <row r="9" spans="1:13" x14ac:dyDescent="0.25">
      <c r="A9" s="8" t="s">
        <v>65</v>
      </c>
      <c r="B9" s="8"/>
      <c r="C9" s="8"/>
      <c r="D9" s="9">
        <v>60</v>
      </c>
      <c r="E9" s="10">
        <v>6.69</v>
      </c>
      <c r="F9" s="10">
        <v>3.24</v>
      </c>
      <c r="G9" s="11">
        <v>1000</v>
      </c>
      <c r="H9" s="10">
        <f t="shared" ref="H9:H14" si="0">SUM(E9*G9)</f>
        <v>6690</v>
      </c>
      <c r="I9" s="8"/>
      <c r="J9" s="10"/>
      <c r="K9" s="10">
        <f t="shared" ref="K9:K14" si="1">SUM(H9:J9)</f>
        <v>6690</v>
      </c>
      <c r="L9" s="8"/>
      <c r="M9" s="8"/>
    </row>
    <row r="10" spans="1:13" x14ac:dyDescent="0.25">
      <c r="A10" s="8" t="s">
        <v>66</v>
      </c>
      <c r="B10" s="8"/>
      <c r="C10" s="8"/>
      <c r="D10" s="9">
        <v>100</v>
      </c>
      <c r="E10" s="10"/>
      <c r="F10" s="10"/>
      <c r="G10" s="11"/>
      <c r="H10" s="10">
        <f t="shared" si="0"/>
        <v>0</v>
      </c>
      <c r="I10" s="10">
        <v>4877</v>
      </c>
      <c r="J10" s="10"/>
      <c r="K10" s="10">
        <f t="shared" si="1"/>
        <v>4877</v>
      </c>
      <c r="L10" s="10"/>
      <c r="M10" s="10"/>
    </row>
    <row r="11" spans="1:13" x14ac:dyDescent="0.25">
      <c r="A11" s="8" t="s">
        <v>67</v>
      </c>
      <c r="B11" s="8"/>
      <c r="C11" s="8"/>
      <c r="D11" s="9">
        <v>100</v>
      </c>
      <c r="E11" s="10">
        <v>3.28</v>
      </c>
      <c r="F11" s="10">
        <v>2.2000000000000002</v>
      </c>
      <c r="G11" s="11">
        <v>1000</v>
      </c>
      <c r="H11" s="10">
        <f t="shared" si="0"/>
        <v>3280</v>
      </c>
      <c r="I11" s="10"/>
      <c r="J11" s="10">
        <v>1778</v>
      </c>
      <c r="K11" s="10">
        <f t="shared" si="1"/>
        <v>5058</v>
      </c>
      <c r="L11" s="10"/>
      <c r="M11" s="10"/>
    </row>
    <row r="12" spans="1:13" x14ac:dyDescent="0.25">
      <c r="A12" s="8" t="s">
        <v>68</v>
      </c>
      <c r="B12" s="8"/>
      <c r="C12" s="8"/>
      <c r="D12" s="9">
        <v>64</v>
      </c>
      <c r="E12" s="10">
        <v>1.1399999999999999</v>
      </c>
      <c r="F12" s="10">
        <v>1.04</v>
      </c>
      <c r="G12" s="11">
        <v>1200</v>
      </c>
      <c r="H12" s="10">
        <f t="shared" si="0"/>
        <v>1367.9999999999998</v>
      </c>
      <c r="I12" s="10"/>
      <c r="J12" s="10">
        <v>1040</v>
      </c>
      <c r="K12" s="10">
        <f t="shared" si="1"/>
        <v>2408</v>
      </c>
      <c r="L12" s="10"/>
      <c r="M12" s="10"/>
    </row>
    <row r="13" spans="1:13" x14ac:dyDescent="0.25">
      <c r="A13" s="8" t="s">
        <v>28</v>
      </c>
      <c r="B13" s="8"/>
      <c r="C13" s="8"/>
      <c r="D13" s="9">
        <v>100</v>
      </c>
      <c r="E13" s="10">
        <v>7.08</v>
      </c>
      <c r="F13" s="10">
        <v>2.4700000000000002</v>
      </c>
      <c r="G13" s="11">
        <v>1000</v>
      </c>
      <c r="H13" s="10">
        <f t="shared" si="0"/>
        <v>7080</v>
      </c>
      <c r="I13" s="10"/>
      <c r="J13" s="10"/>
      <c r="K13" s="10">
        <f t="shared" si="1"/>
        <v>7080</v>
      </c>
      <c r="L13" s="10"/>
      <c r="M13" s="10"/>
    </row>
    <row r="14" spans="1:13" x14ac:dyDescent="0.25">
      <c r="A14" s="12" t="s">
        <v>69</v>
      </c>
      <c r="B14" s="8"/>
      <c r="C14" s="8"/>
      <c r="D14" s="13">
        <v>100</v>
      </c>
      <c r="E14" s="10">
        <v>0.8</v>
      </c>
      <c r="F14" s="10">
        <v>0.7</v>
      </c>
      <c r="G14" s="11">
        <v>1000</v>
      </c>
      <c r="H14" s="10">
        <f t="shared" si="0"/>
        <v>800</v>
      </c>
      <c r="I14" s="10">
        <v>3320</v>
      </c>
      <c r="J14" s="10"/>
      <c r="K14" s="10">
        <f t="shared" si="1"/>
        <v>4120</v>
      </c>
      <c r="L14" s="10"/>
      <c r="M14" s="10"/>
    </row>
    <row r="15" spans="1:13" x14ac:dyDescent="0.25">
      <c r="A15" s="5" t="s">
        <v>70</v>
      </c>
      <c r="B15" s="5"/>
      <c r="C15" s="5"/>
      <c r="D15" s="14"/>
      <c r="E15" s="15">
        <f>SUM(E9:E14)</f>
        <v>18.990000000000002</v>
      </c>
      <c r="F15" s="15">
        <f>SUM(F9:F14)</f>
        <v>9.65</v>
      </c>
      <c r="G15" s="15"/>
      <c r="H15" s="15">
        <f>SUM(H9:H14)</f>
        <v>19218</v>
      </c>
      <c r="I15" s="15">
        <f>SUM(I9:I14)</f>
        <v>8197</v>
      </c>
      <c r="J15" s="15">
        <f>SUM(J9:J14)</f>
        <v>2818</v>
      </c>
      <c r="K15" s="15">
        <f>SUM(H15:J15)</f>
        <v>30233</v>
      </c>
      <c r="L15" s="15">
        <f>SUM(L9:L14)</f>
        <v>0</v>
      </c>
      <c r="M15" s="15">
        <f>SUM(M9:M14)</f>
        <v>0</v>
      </c>
    </row>
    <row r="16" spans="1:13" x14ac:dyDescent="0.25">
      <c r="A16" s="7" t="s">
        <v>71</v>
      </c>
      <c r="B16" s="7"/>
      <c r="C16" s="7"/>
      <c r="D16" s="16"/>
      <c r="E16" s="17">
        <f>SUM(E15-F15)</f>
        <v>9.3400000000000016</v>
      </c>
      <c r="F16" s="17"/>
      <c r="G16" s="17"/>
      <c r="H16" s="17">
        <f>SUM(E27*G27)</f>
        <v>9099</v>
      </c>
      <c r="I16" s="17">
        <f>I15-L15</f>
        <v>8197</v>
      </c>
      <c r="J16" s="17">
        <f>J15-M15</f>
        <v>2818</v>
      </c>
      <c r="K16" s="17">
        <f>SUM(H16:J16)</f>
        <v>20114</v>
      </c>
      <c r="L16" s="7"/>
      <c r="M16" s="7"/>
    </row>
    <row r="17" spans="1:1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25">
      <c r="A18" s="8"/>
      <c r="B18" s="8"/>
      <c r="C18" s="8" t="s">
        <v>32</v>
      </c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5">
      <c r="A20" s="8" t="s">
        <v>35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x14ac:dyDescent="0.25">
      <c r="A21" s="18" t="s">
        <v>36</v>
      </c>
      <c r="B21" s="18"/>
      <c r="C21" s="18"/>
      <c r="D21" s="18" t="s">
        <v>37</v>
      </c>
      <c r="E21" s="18" t="s">
        <v>38</v>
      </c>
      <c r="F21" s="18"/>
      <c r="G21" s="18" t="s">
        <v>39</v>
      </c>
      <c r="H21" s="8"/>
      <c r="I21" s="8"/>
      <c r="J21" s="8"/>
      <c r="K21" s="8"/>
      <c r="L21" s="8"/>
      <c r="M21" s="8"/>
    </row>
    <row r="22" spans="1:13" x14ac:dyDescent="0.25">
      <c r="A22" s="8" t="s">
        <v>40</v>
      </c>
      <c r="B22" s="8"/>
      <c r="C22" s="8"/>
      <c r="D22" s="8"/>
      <c r="E22" s="8"/>
      <c r="F22" s="8"/>
      <c r="G22" s="8"/>
      <c r="H22" s="8"/>
      <c r="I22" s="8"/>
      <c r="J22" s="19" t="s">
        <v>72</v>
      </c>
      <c r="K22" s="20" t="s">
        <v>73</v>
      </c>
      <c r="L22" s="8"/>
      <c r="M22" s="8"/>
    </row>
    <row r="23" spans="1:13" x14ac:dyDescent="0.25">
      <c r="A23" s="8" t="s">
        <v>67</v>
      </c>
      <c r="B23" s="8"/>
      <c r="C23" s="8"/>
      <c r="D23" s="8" t="s">
        <v>41</v>
      </c>
      <c r="E23" s="10">
        <v>7.6</v>
      </c>
      <c r="F23" s="8"/>
      <c r="G23" s="10">
        <v>234</v>
      </c>
      <c r="H23" s="8"/>
      <c r="I23" s="8"/>
      <c r="J23" s="21" t="s">
        <v>74</v>
      </c>
      <c r="K23" s="22">
        <v>100</v>
      </c>
      <c r="L23" s="8"/>
      <c r="M23" s="8"/>
    </row>
    <row r="24" spans="1:13" x14ac:dyDescent="0.25">
      <c r="A24" s="8"/>
      <c r="B24" s="8"/>
      <c r="C24" s="8"/>
      <c r="D24" s="8"/>
      <c r="E24" s="8"/>
      <c r="F24" s="8"/>
      <c r="G24" s="8"/>
      <c r="H24" s="8"/>
      <c r="I24" s="8"/>
      <c r="J24" s="23"/>
      <c r="K24" s="24"/>
      <c r="L24" s="8"/>
      <c r="M24" s="8"/>
    </row>
    <row r="25" spans="1:13" x14ac:dyDescent="0.25">
      <c r="A25" s="8"/>
      <c r="B25" s="8"/>
      <c r="C25" s="8"/>
      <c r="D25" s="8"/>
      <c r="E25" s="8"/>
      <c r="F25" s="8"/>
      <c r="G25" s="8"/>
      <c r="H25" s="8"/>
      <c r="I25" s="8"/>
      <c r="J25" s="25"/>
      <c r="K25" s="26"/>
      <c r="L25" s="8"/>
      <c r="M25" s="8"/>
    </row>
    <row r="26" spans="1:13" x14ac:dyDescent="0.25">
      <c r="A26" s="8" t="s">
        <v>45</v>
      </c>
      <c r="B26" s="8"/>
      <c r="C26" s="8"/>
      <c r="D26" s="8"/>
      <c r="E26" s="8"/>
      <c r="F26" s="8"/>
      <c r="G26" s="8"/>
      <c r="H26" s="8"/>
      <c r="I26" s="8"/>
      <c r="J26" s="27"/>
      <c r="K26" s="28"/>
      <c r="L26" s="8"/>
      <c r="M26" s="8"/>
    </row>
    <row r="27" spans="1:13" x14ac:dyDescent="0.25">
      <c r="A27" s="8" t="s">
        <v>47</v>
      </c>
      <c r="B27" s="8"/>
      <c r="C27" s="8"/>
      <c r="D27" s="8" t="s">
        <v>48</v>
      </c>
      <c r="E27" s="10">
        <v>9</v>
      </c>
      <c r="F27" s="8"/>
      <c r="G27" s="10">
        <v>1011</v>
      </c>
      <c r="H27" s="8"/>
      <c r="I27" s="28"/>
      <c r="J27" s="27"/>
      <c r="K27" s="28"/>
      <c r="L27" s="8"/>
      <c r="M27" s="8"/>
    </row>
    <row r="28" spans="1:13" x14ac:dyDescent="0.25">
      <c r="A28" s="8" t="s">
        <v>50</v>
      </c>
      <c r="B28" s="8"/>
      <c r="C28" s="8"/>
      <c r="D28" s="8" t="s">
        <v>48</v>
      </c>
      <c r="E28" s="10">
        <v>10</v>
      </c>
      <c r="F28" s="8"/>
      <c r="G28" s="8"/>
      <c r="H28" s="8"/>
      <c r="I28" s="28"/>
      <c r="J28" s="27" t="s">
        <v>33</v>
      </c>
      <c r="K28" s="28">
        <v>1.57</v>
      </c>
      <c r="L28" s="8"/>
      <c r="M28" s="8"/>
    </row>
    <row r="29" spans="1:13" x14ac:dyDescent="0.25">
      <c r="A29" s="8" t="s">
        <v>8</v>
      </c>
      <c r="B29" s="8"/>
      <c r="C29" s="8"/>
      <c r="D29" s="8"/>
      <c r="E29" s="10">
        <f>SUM(E27:E28)</f>
        <v>19</v>
      </c>
      <c r="F29" s="8"/>
      <c r="G29" s="8"/>
      <c r="H29" s="8"/>
      <c r="I29" s="28"/>
      <c r="J29" s="27" t="s">
        <v>34</v>
      </c>
      <c r="K29" s="29">
        <v>2</v>
      </c>
      <c r="L29" s="8"/>
      <c r="M29" s="8"/>
    </row>
    <row r="30" spans="1:13" x14ac:dyDescent="0.25">
      <c r="A30" s="8"/>
      <c r="B30" s="8"/>
      <c r="C30" s="8"/>
      <c r="D30" s="8"/>
      <c r="E30" s="8"/>
      <c r="F30" s="8"/>
      <c r="G30" s="8"/>
      <c r="H30" s="8"/>
      <c r="I30" s="28"/>
      <c r="J30" s="27"/>
      <c r="K30" s="28"/>
      <c r="L30" s="8"/>
      <c r="M30" s="8"/>
    </row>
    <row r="31" spans="1:13" x14ac:dyDescent="0.25">
      <c r="A31" s="5" t="s">
        <v>51</v>
      </c>
      <c r="B31" s="5"/>
      <c r="C31" s="5"/>
      <c r="D31" s="5"/>
      <c r="E31" s="5"/>
      <c r="F31" s="5"/>
      <c r="G31" s="5"/>
      <c r="H31" s="8"/>
      <c r="I31" s="8" t="s">
        <v>75</v>
      </c>
      <c r="J31" s="8"/>
      <c r="K31" s="8"/>
      <c r="L31" s="8"/>
      <c r="M31" s="8"/>
    </row>
    <row r="32" spans="1:13" x14ac:dyDescent="0.25">
      <c r="A32" s="6" t="s">
        <v>76</v>
      </c>
      <c r="B32" s="6"/>
      <c r="C32" s="6"/>
      <c r="D32" s="6"/>
      <c r="E32" s="6"/>
      <c r="F32" s="6"/>
      <c r="G32" s="30">
        <v>343</v>
      </c>
      <c r="H32" s="31"/>
      <c r="I32" s="10">
        <v>848</v>
      </c>
      <c r="J32" s="8"/>
      <c r="K32" s="8"/>
      <c r="L32" s="8"/>
      <c r="M32" s="8"/>
    </row>
    <row r="33" spans="1:13" x14ac:dyDescent="0.25">
      <c r="A33" s="6" t="s">
        <v>55</v>
      </c>
      <c r="B33" s="6"/>
      <c r="C33" s="6"/>
      <c r="D33" s="6"/>
      <c r="E33" s="6"/>
      <c r="F33" s="6"/>
      <c r="G33" s="32">
        <v>148</v>
      </c>
      <c r="H33" s="8"/>
      <c r="I33" s="8"/>
      <c r="J33" s="8"/>
      <c r="K33" s="8"/>
      <c r="L33" s="8"/>
      <c r="M33" s="8"/>
    </row>
    <row r="34" spans="1:13" x14ac:dyDescent="0.25">
      <c r="A34" s="6" t="s">
        <v>77</v>
      </c>
      <c r="B34" s="6"/>
      <c r="C34" s="6"/>
      <c r="D34" s="6"/>
      <c r="E34" s="6"/>
      <c r="F34" s="6"/>
      <c r="G34" s="32">
        <f>SUM(G32*G33)</f>
        <v>50764</v>
      </c>
      <c r="H34" s="8"/>
      <c r="I34" s="10">
        <v>125438</v>
      </c>
      <c r="J34" s="8"/>
      <c r="K34" s="8"/>
      <c r="L34" s="8"/>
      <c r="M34" s="8"/>
    </row>
    <row r="35" spans="1:13" x14ac:dyDescent="0.25">
      <c r="A35" s="6" t="s">
        <v>78</v>
      </c>
      <c r="B35" s="6"/>
      <c r="C35" s="6"/>
      <c r="D35" s="6"/>
      <c r="E35" s="6"/>
      <c r="F35" s="6"/>
      <c r="G35" s="32">
        <f>SUM(G34-K15)</f>
        <v>20531</v>
      </c>
      <c r="H35" s="8"/>
      <c r="I35" s="10">
        <v>50732</v>
      </c>
      <c r="J35" s="8"/>
      <c r="K35" s="8"/>
      <c r="L35" s="8"/>
      <c r="M35" s="8"/>
    </row>
    <row r="36" spans="1:13" x14ac:dyDescent="0.25">
      <c r="A36" s="6" t="s">
        <v>79</v>
      </c>
      <c r="B36" s="6"/>
      <c r="C36" s="6"/>
      <c r="D36" s="6"/>
      <c r="E36" s="6"/>
      <c r="F36" s="6"/>
      <c r="G36" s="32">
        <f>SUM(G34-K16)</f>
        <v>30650</v>
      </c>
      <c r="H36" s="8"/>
      <c r="I36" s="10">
        <v>75736</v>
      </c>
      <c r="J36" s="8"/>
      <c r="K36" s="8"/>
      <c r="L36" s="8"/>
      <c r="M36" s="8"/>
    </row>
    <row r="37" spans="1:13" x14ac:dyDescent="0.25">
      <c r="A37" s="6"/>
      <c r="B37" s="6"/>
      <c r="C37" s="6"/>
      <c r="D37" s="6"/>
      <c r="E37" s="6"/>
      <c r="F37" s="6"/>
      <c r="G37" s="32"/>
      <c r="H37" s="8"/>
      <c r="I37" s="8"/>
      <c r="J37" s="8"/>
      <c r="K37" s="8"/>
      <c r="L37" s="8"/>
      <c r="M37" s="8"/>
    </row>
    <row r="38" spans="1:13" x14ac:dyDescent="0.25">
      <c r="A38" s="6" t="s">
        <v>80</v>
      </c>
      <c r="B38" s="6"/>
      <c r="C38" s="6"/>
      <c r="D38" s="6"/>
      <c r="E38" s="6"/>
      <c r="F38" s="6"/>
      <c r="G38" s="32">
        <f>SUM(K15/G32)</f>
        <v>88.142857142857139</v>
      </c>
      <c r="H38" s="8"/>
      <c r="I38" s="8"/>
      <c r="J38" s="8"/>
      <c r="K38" s="8"/>
      <c r="L38" s="8"/>
      <c r="M38" s="8"/>
    </row>
    <row r="39" spans="1:13" x14ac:dyDescent="0.25">
      <c r="A39" s="7" t="s">
        <v>81</v>
      </c>
      <c r="B39" s="7"/>
      <c r="C39" s="7"/>
      <c r="D39" s="7"/>
      <c r="E39" s="7"/>
      <c r="F39" s="7"/>
      <c r="G39" s="33">
        <f>SUM(K16/G32)</f>
        <v>58.641399416909621</v>
      </c>
      <c r="H39" s="8"/>
      <c r="I39" s="8"/>
      <c r="J39" s="8"/>
      <c r="K39" s="8"/>
      <c r="L39" s="8"/>
      <c r="M39" s="8"/>
    </row>
    <row r="40" spans="1:13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3" x14ac:dyDescent="0.25">
      <c r="A41" s="34" t="s">
        <v>82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3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M51"/>
  <sheetViews>
    <sheetView workbookViewId="0">
      <selection sqref="A1:A4"/>
    </sheetView>
  </sheetViews>
  <sheetFormatPr defaultRowHeight="15" x14ac:dyDescent="0.25"/>
  <sheetData>
    <row r="1" spans="1:13" x14ac:dyDescent="0.25">
      <c r="A1" s="3" t="s">
        <v>63</v>
      </c>
      <c r="B1" s="38" t="s">
        <v>106</v>
      </c>
      <c r="C1" s="38"/>
    </row>
    <row r="2" spans="1:13" x14ac:dyDescent="0.25">
      <c r="A2" s="3" t="s">
        <v>0</v>
      </c>
      <c r="B2" s="38" t="s">
        <v>84</v>
      </c>
      <c r="C2" s="38"/>
    </row>
    <row r="3" spans="1:13" x14ac:dyDescent="0.25">
      <c r="A3" s="3" t="s">
        <v>2</v>
      </c>
      <c r="B3" s="38" t="s">
        <v>85</v>
      </c>
      <c r="C3" s="38"/>
    </row>
    <row r="4" spans="1:13" ht="15.75" thickBot="1" x14ac:dyDescent="0.3">
      <c r="A4" s="3" t="s">
        <v>4</v>
      </c>
      <c r="B4" s="38" t="s">
        <v>107</v>
      </c>
      <c r="C4" s="38"/>
    </row>
    <row r="5" spans="1:13" s="35" customFormat="1" x14ac:dyDescent="0.25">
      <c r="A5" s="58" t="s">
        <v>6</v>
      </c>
      <c r="D5" s="35" t="s">
        <v>7</v>
      </c>
      <c r="E5" s="35" t="s">
        <v>8</v>
      </c>
      <c r="F5" s="35" t="s">
        <v>9</v>
      </c>
      <c r="G5" s="35" t="s">
        <v>10</v>
      </c>
      <c r="H5" s="35" t="s">
        <v>11</v>
      </c>
      <c r="I5" s="35" t="s">
        <v>12</v>
      </c>
      <c r="J5" s="35" t="s">
        <v>13</v>
      </c>
      <c r="K5" s="35" t="s">
        <v>14</v>
      </c>
      <c r="L5" s="35" t="s">
        <v>15</v>
      </c>
    </row>
    <row r="6" spans="1:13" s="36" customFormat="1" x14ac:dyDescent="0.25">
      <c r="A6" s="59"/>
      <c r="D6" s="36" t="s">
        <v>16</v>
      </c>
      <c r="E6" s="36" t="s">
        <v>17</v>
      </c>
      <c r="F6" s="36" t="s">
        <v>17</v>
      </c>
      <c r="G6" s="36" t="s">
        <v>18</v>
      </c>
      <c r="H6" s="36" t="s">
        <v>19</v>
      </c>
      <c r="I6" s="36" t="s">
        <v>20</v>
      </c>
      <c r="J6" s="36" t="s">
        <v>19</v>
      </c>
      <c r="K6" s="36" t="s">
        <v>19</v>
      </c>
      <c r="L6" s="36" t="s">
        <v>12</v>
      </c>
      <c r="M6" s="36" t="s">
        <v>13</v>
      </c>
    </row>
    <row r="7" spans="1:13" s="36" customFormat="1" x14ac:dyDescent="0.25">
      <c r="A7" s="59"/>
      <c r="D7" s="36" t="s">
        <v>21</v>
      </c>
      <c r="H7" s="36" t="s">
        <v>22</v>
      </c>
      <c r="I7" s="36" t="s">
        <v>19</v>
      </c>
      <c r="J7" s="36" t="s">
        <v>22</v>
      </c>
      <c r="K7" s="36" t="s">
        <v>22</v>
      </c>
    </row>
    <row r="8" spans="1:13" s="37" customFormat="1" ht="15.75" thickBot="1" x14ac:dyDescent="0.3">
      <c r="A8" s="60"/>
      <c r="I8" s="37" t="s">
        <v>22</v>
      </c>
    </row>
    <row r="9" spans="1:13" x14ac:dyDescent="0.25">
      <c r="A9" t="s">
        <v>65</v>
      </c>
      <c r="D9">
        <v>66</v>
      </c>
      <c r="E9">
        <v>11.64</v>
      </c>
      <c r="F9">
        <v>4.63</v>
      </c>
      <c r="G9">
        <v>950</v>
      </c>
      <c r="H9">
        <f t="shared" ref="H9:H19" si="0">SUM(E9*G9)</f>
        <v>11058</v>
      </c>
      <c r="K9">
        <f t="shared" ref="K9:K19" si="1">SUM(H9:J9)</f>
        <v>11058</v>
      </c>
    </row>
    <row r="10" spans="1:13" x14ac:dyDescent="0.25">
      <c r="A10" t="s">
        <v>87</v>
      </c>
      <c r="D10">
        <v>100</v>
      </c>
      <c r="E10">
        <v>6.3</v>
      </c>
      <c r="F10">
        <v>6.3</v>
      </c>
      <c r="G10">
        <v>950</v>
      </c>
      <c r="H10">
        <f t="shared" si="0"/>
        <v>5985</v>
      </c>
      <c r="J10">
        <v>831</v>
      </c>
      <c r="K10">
        <f t="shared" si="1"/>
        <v>6816</v>
      </c>
    </row>
    <row r="11" spans="1:13" x14ac:dyDescent="0.25">
      <c r="A11" t="s">
        <v>88</v>
      </c>
      <c r="D11">
        <v>54</v>
      </c>
      <c r="H11">
        <f t="shared" si="0"/>
        <v>0</v>
      </c>
      <c r="I11">
        <v>5560</v>
      </c>
      <c r="K11">
        <f t="shared" si="1"/>
        <v>5560</v>
      </c>
      <c r="L11">
        <v>354</v>
      </c>
    </row>
    <row r="12" spans="1:13" x14ac:dyDescent="0.25">
      <c r="A12" t="s">
        <v>89</v>
      </c>
      <c r="D12" t="s">
        <v>90</v>
      </c>
      <c r="H12">
        <f t="shared" si="0"/>
        <v>0</v>
      </c>
      <c r="I12" t="s">
        <v>91</v>
      </c>
      <c r="K12">
        <f t="shared" si="1"/>
        <v>0</v>
      </c>
    </row>
    <row r="13" spans="1:13" x14ac:dyDescent="0.25">
      <c r="A13" t="s">
        <v>92</v>
      </c>
      <c r="D13">
        <v>90</v>
      </c>
      <c r="E13">
        <v>10.3</v>
      </c>
      <c r="F13">
        <v>5.4</v>
      </c>
      <c r="G13">
        <v>1039</v>
      </c>
      <c r="H13">
        <v>10702</v>
      </c>
      <c r="K13">
        <f t="shared" si="1"/>
        <v>10702</v>
      </c>
    </row>
    <row r="14" spans="1:13" x14ac:dyDescent="0.25">
      <c r="A14" t="s">
        <v>93</v>
      </c>
      <c r="D14">
        <v>100</v>
      </c>
      <c r="E14">
        <v>6.18</v>
      </c>
      <c r="F14">
        <v>4.43</v>
      </c>
      <c r="G14">
        <v>1034</v>
      </c>
      <c r="H14">
        <v>6390</v>
      </c>
      <c r="J14">
        <v>1387</v>
      </c>
      <c r="K14">
        <f>SUM(H14:J14)</f>
        <v>7777</v>
      </c>
    </row>
    <row r="15" spans="1:13" x14ac:dyDescent="0.25">
      <c r="A15" t="s">
        <v>94</v>
      </c>
      <c r="D15">
        <v>100</v>
      </c>
      <c r="E15">
        <v>15.04</v>
      </c>
      <c r="F15">
        <v>10.17</v>
      </c>
      <c r="G15">
        <v>958</v>
      </c>
      <c r="H15">
        <v>14408</v>
      </c>
      <c r="J15">
        <f>SUM(E37*G37+E38*G38+E39*G39)</f>
        <v>9380</v>
      </c>
      <c r="K15">
        <f t="shared" si="1"/>
        <v>23788</v>
      </c>
    </row>
    <row r="16" spans="1:13" x14ac:dyDescent="0.25">
      <c r="A16" t="s">
        <v>95</v>
      </c>
      <c r="D16">
        <v>93</v>
      </c>
      <c r="E16">
        <v>18.920000000000002</v>
      </c>
      <c r="F16">
        <v>8.9700000000000006</v>
      </c>
      <c r="G16">
        <v>1000</v>
      </c>
      <c r="H16">
        <f t="shared" si="0"/>
        <v>18920</v>
      </c>
      <c r="K16">
        <f t="shared" si="1"/>
        <v>18920</v>
      </c>
    </row>
    <row r="17" spans="1:13" x14ac:dyDescent="0.25">
      <c r="A17" t="s">
        <v>68</v>
      </c>
      <c r="D17">
        <v>100</v>
      </c>
      <c r="E17">
        <v>16.91</v>
      </c>
      <c r="F17">
        <v>15.98</v>
      </c>
      <c r="G17">
        <v>1100</v>
      </c>
      <c r="H17">
        <f t="shared" si="0"/>
        <v>18601</v>
      </c>
      <c r="J17">
        <v>22300</v>
      </c>
      <c r="K17">
        <f t="shared" si="1"/>
        <v>40901</v>
      </c>
    </row>
    <row r="18" spans="1:13" x14ac:dyDescent="0.25">
      <c r="A18" t="s">
        <v>96</v>
      </c>
      <c r="D18">
        <v>100</v>
      </c>
      <c r="E18">
        <v>12.47</v>
      </c>
      <c r="F18">
        <v>12.47</v>
      </c>
      <c r="G18">
        <v>1000</v>
      </c>
      <c r="H18">
        <f t="shared" si="0"/>
        <v>12470</v>
      </c>
      <c r="I18">
        <v>9449</v>
      </c>
      <c r="K18">
        <f t="shared" si="1"/>
        <v>21919</v>
      </c>
    </row>
    <row r="19" spans="1:13" x14ac:dyDescent="0.25">
      <c r="A19" t="s">
        <v>28</v>
      </c>
      <c r="D19">
        <v>100</v>
      </c>
      <c r="E19">
        <v>36.9</v>
      </c>
      <c r="F19">
        <v>17.100000000000001</v>
      </c>
      <c r="G19">
        <v>1000</v>
      </c>
      <c r="H19">
        <f t="shared" si="0"/>
        <v>36900</v>
      </c>
      <c r="K19">
        <f t="shared" si="1"/>
        <v>36900</v>
      </c>
    </row>
    <row r="20" spans="1:13" x14ac:dyDescent="0.25">
      <c r="A20" t="s">
        <v>70</v>
      </c>
      <c r="E20">
        <f>SUM(E9:E19)</f>
        <v>134.66</v>
      </c>
      <c r="F20">
        <f>SUM(F9:F19)</f>
        <v>85.449999999999989</v>
      </c>
      <c r="H20">
        <f>SUM(H9:H19)</f>
        <v>135434</v>
      </c>
      <c r="I20">
        <f>SUM(I9:I19)</f>
        <v>15009</v>
      </c>
      <c r="J20">
        <f>SUM(J9:J19)</f>
        <v>33898</v>
      </c>
      <c r="K20">
        <f>SUM(H20:J20)</f>
        <v>184341</v>
      </c>
      <c r="L20">
        <f>SUM(L9:L19)</f>
        <v>354</v>
      </c>
      <c r="M20">
        <f>SUM(M9:M19)</f>
        <v>0</v>
      </c>
    </row>
    <row r="21" spans="1:13" x14ac:dyDescent="0.25">
      <c r="A21" t="s">
        <v>71</v>
      </c>
      <c r="E21">
        <f>SUM(E20-F20)</f>
        <v>49.210000000000008</v>
      </c>
      <c r="H21">
        <f>SUM(E32*G32)</f>
        <v>49539</v>
      </c>
      <c r="I21">
        <f>I20-L20</f>
        <v>14655</v>
      </c>
      <c r="J21">
        <f>J20-M20</f>
        <v>33898</v>
      </c>
      <c r="K21">
        <f>SUM(H21:J21)</f>
        <v>98092</v>
      </c>
    </row>
    <row r="23" spans="1:13" x14ac:dyDescent="0.25">
      <c r="C23" t="s">
        <v>32</v>
      </c>
    </row>
    <row r="25" spans="1:13" x14ac:dyDescent="0.25">
      <c r="A25" t="s">
        <v>35</v>
      </c>
    </row>
    <row r="26" spans="1:13" x14ac:dyDescent="0.25">
      <c r="A26" t="s">
        <v>36</v>
      </c>
      <c r="D26" t="s">
        <v>37</v>
      </c>
      <c r="E26" t="s">
        <v>38</v>
      </c>
      <c r="G26" t="s">
        <v>39</v>
      </c>
    </row>
    <row r="27" spans="1:13" x14ac:dyDescent="0.25">
      <c r="A27" t="s">
        <v>40</v>
      </c>
      <c r="J27" t="s">
        <v>72</v>
      </c>
      <c r="K27" t="s">
        <v>73</v>
      </c>
    </row>
    <row r="28" spans="1:13" x14ac:dyDescent="0.25">
      <c r="A28" t="s">
        <v>67</v>
      </c>
      <c r="D28" t="s">
        <v>41</v>
      </c>
      <c r="E28">
        <v>0.21</v>
      </c>
      <c r="G28">
        <v>6605</v>
      </c>
      <c r="J28" t="s">
        <v>97</v>
      </c>
      <c r="K28">
        <f>11.75/16.75*100</f>
        <v>70.149253731343293</v>
      </c>
    </row>
    <row r="29" spans="1:13" x14ac:dyDescent="0.25">
      <c r="J29" t="s">
        <v>98</v>
      </c>
      <c r="K29">
        <v>16</v>
      </c>
    </row>
    <row r="30" spans="1:13" x14ac:dyDescent="0.25">
      <c r="J30" t="s">
        <v>99</v>
      </c>
      <c r="K30">
        <v>14</v>
      </c>
    </row>
    <row r="31" spans="1:13" x14ac:dyDescent="0.25">
      <c r="A31" t="s">
        <v>45</v>
      </c>
    </row>
    <row r="32" spans="1:13" x14ac:dyDescent="0.25">
      <c r="A32" t="s">
        <v>47</v>
      </c>
      <c r="D32" t="s">
        <v>48</v>
      </c>
      <c r="E32">
        <v>49</v>
      </c>
      <c r="G32">
        <v>1011</v>
      </c>
    </row>
    <row r="33" spans="1:11" x14ac:dyDescent="0.25">
      <c r="A33" t="s">
        <v>50</v>
      </c>
      <c r="D33" t="s">
        <v>48</v>
      </c>
      <c r="E33">
        <v>85</v>
      </c>
      <c r="J33" t="s">
        <v>33</v>
      </c>
      <c r="K33">
        <v>0.56000000000000005</v>
      </c>
    </row>
    <row r="34" spans="1:11" x14ac:dyDescent="0.25">
      <c r="A34" t="s">
        <v>8</v>
      </c>
      <c r="E34">
        <f>SUM(E32:E33)</f>
        <v>134</v>
      </c>
      <c r="J34" t="s">
        <v>34</v>
      </c>
      <c r="K34">
        <v>0.5</v>
      </c>
    </row>
    <row r="36" spans="1:11" x14ac:dyDescent="0.25">
      <c r="A36" t="s">
        <v>100</v>
      </c>
      <c r="C36" t="s">
        <v>101</v>
      </c>
    </row>
    <row r="37" spans="1:11" x14ac:dyDescent="0.25">
      <c r="A37" t="s">
        <v>102</v>
      </c>
      <c r="B37" t="s">
        <v>103</v>
      </c>
      <c r="C37">
        <v>100</v>
      </c>
      <c r="D37" t="s">
        <v>41</v>
      </c>
      <c r="E37">
        <v>146</v>
      </c>
      <c r="G37">
        <v>24</v>
      </c>
    </row>
    <row r="38" spans="1:11" x14ac:dyDescent="0.25">
      <c r="B38" t="s">
        <v>104</v>
      </c>
      <c r="C38">
        <v>83</v>
      </c>
      <c r="D38" t="s">
        <v>41</v>
      </c>
      <c r="E38">
        <v>95</v>
      </c>
      <c r="G38">
        <v>26</v>
      </c>
    </row>
    <row r="39" spans="1:11" x14ac:dyDescent="0.25">
      <c r="B39" t="s">
        <v>105</v>
      </c>
      <c r="C39">
        <v>87</v>
      </c>
      <c r="D39" t="s">
        <v>41</v>
      </c>
      <c r="E39">
        <v>131</v>
      </c>
      <c r="G39">
        <v>26</v>
      </c>
    </row>
    <row r="41" spans="1:11" x14ac:dyDescent="0.25">
      <c r="A41" t="s">
        <v>51</v>
      </c>
      <c r="I41" t="s">
        <v>75</v>
      </c>
    </row>
    <row r="42" spans="1:11" x14ac:dyDescent="0.25">
      <c r="A42" t="s">
        <v>76</v>
      </c>
      <c r="G42">
        <v>8635</v>
      </c>
      <c r="I42">
        <v>21337</v>
      </c>
    </row>
    <row r="43" spans="1:11" x14ac:dyDescent="0.25">
      <c r="A43" t="s">
        <v>55</v>
      </c>
      <c r="G43">
        <v>42</v>
      </c>
    </row>
    <row r="44" spans="1:11" x14ac:dyDescent="0.25">
      <c r="A44" t="s">
        <v>77</v>
      </c>
      <c r="G44">
        <f>SUM(G42*G43)</f>
        <v>362670</v>
      </c>
      <c r="I44">
        <v>896158</v>
      </c>
    </row>
    <row r="45" spans="1:11" x14ac:dyDescent="0.25">
      <c r="A45" t="s">
        <v>78</v>
      </c>
      <c r="G45">
        <f>SUM(G44-K20)</f>
        <v>178329</v>
      </c>
      <c r="I45">
        <v>440651</v>
      </c>
    </row>
    <row r="46" spans="1:11" x14ac:dyDescent="0.25">
      <c r="A46" t="s">
        <v>79</v>
      </c>
      <c r="G46">
        <f>SUM(G44-K21)</f>
        <v>264578</v>
      </c>
      <c r="I46">
        <v>653772</v>
      </c>
    </row>
    <row r="48" spans="1:11" x14ac:dyDescent="0.25">
      <c r="A48" t="s">
        <v>80</v>
      </c>
      <c r="G48">
        <f>SUM(K20/G42)</f>
        <v>21.348118123914301</v>
      </c>
    </row>
    <row r="49" spans="1:7" x14ac:dyDescent="0.25">
      <c r="A49" t="s">
        <v>81</v>
      </c>
      <c r="G49">
        <f>SUM(K21/G42)</f>
        <v>11.359814707585409</v>
      </c>
    </row>
    <row r="51" spans="1:7" x14ac:dyDescent="0.25">
      <c r="A51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52"/>
  <sheetViews>
    <sheetView workbookViewId="0">
      <selection sqref="A1:A4"/>
    </sheetView>
  </sheetViews>
  <sheetFormatPr defaultRowHeight="15" x14ac:dyDescent="0.25"/>
  <sheetData>
    <row r="1" spans="1:12" x14ac:dyDescent="0.25">
      <c r="A1" s="3" t="s">
        <v>63</v>
      </c>
      <c r="B1" s="38" t="s">
        <v>143</v>
      </c>
      <c r="C1" s="38"/>
      <c r="D1" s="38"/>
      <c r="E1" s="61"/>
      <c r="F1" s="61"/>
      <c r="G1" s="61"/>
      <c r="H1" s="61"/>
      <c r="I1" s="61"/>
      <c r="J1" s="61"/>
    </row>
    <row r="2" spans="1:12" x14ac:dyDescent="0.25">
      <c r="A2" s="3" t="s">
        <v>0</v>
      </c>
      <c r="B2" s="38" t="s">
        <v>144</v>
      </c>
      <c r="C2" s="38"/>
      <c r="D2" s="38"/>
      <c r="E2" s="61"/>
      <c r="F2" s="61"/>
      <c r="G2" s="61"/>
      <c r="H2" s="61"/>
      <c r="I2" s="61"/>
      <c r="J2" s="61"/>
    </row>
    <row r="3" spans="1:12" x14ac:dyDescent="0.25">
      <c r="A3" s="3" t="s">
        <v>2</v>
      </c>
      <c r="B3" s="38" t="s">
        <v>145</v>
      </c>
      <c r="C3" s="38"/>
      <c r="D3" s="38"/>
      <c r="E3" s="61"/>
      <c r="F3" s="61"/>
      <c r="G3" s="61"/>
      <c r="H3" s="61"/>
      <c r="I3" s="61"/>
      <c r="J3" s="61"/>
    </row>
    <row r="4" spans="1:12" x14ac:dyDescent="0.25">
      <c r="A4" s="3" t="s">
        <v>4</v>
      </c>
      <c r="B4" s="38" t="s">
        <v>146</v>
      </c>
      <c r="C4" s="38"/>
      <c r="D4" s="38"/>
    </row>
    <row r="5" spans="1:12" s="62" customFormat="1" x14ac:dyDescent="0.25">
      <c r="A5" s="62" t="s">
        <v>6</v>
      </c>
      <c r="D5" s="62" t="s">
        <v>7</v>
      </c>
      <c r="E5" s="62" t="s">
        <v>8</v>
      </c>
      <c r="F5" s="62" t="s">
        <v>9</v>
      </c>
      <c r="G5" s="62" t="s">
        <v>10</v>
      </c>
      <c r="H5" s="62" t="s">
        <v>11</v>
      </c>
      <c r="I5" s="62" t="s">
        <v>12</v>
      </c>
      <c r="J5" s="62" t="s">
        <v>13</v>
      </c>
      <c r="K5" s="62" t="s">
        <v>14</v>
      </c>
      <c r="L5" s="62" t="s">
        <v>15</v>
      </c>
    </row>
    <row r="6" spans="1:12" s="62" customFormat="1" x14ac:dyDescent="0.25">
      <c r="D6" s="62" t="s">
        <v>16</v>
      </c>
      <c r="E6" s="62" t="s">
        <v>17</v>
      </c>
      <c r="F6" s="62" t="s">
        <v>17</v>
      </c>
      <c r="G6" s="62" t="s">
        <v>18</v>
      </c>
      <c r="H6" s="62" t="s">
        <v>19</v>
      </c>
      <c r="I6" s="62" t="s">
        <v>20</v>
      </c>
      <c r="J6" s="62" t="s">
        <v>19</v>
      </c>
      <c r="K6" s="62" t="s">
        <v>19</v>
      </c>
      <c r="L6" s="62" t="s">
        <v>12</v>
      </c>
    </row>
    <row r="7" spans="1:12" s="62" customFormat="1" x14ac:dyDescent="0.25">
      <c r="D7" s="62" t="s">
        <v>21</v>
      </c>
      <c r="H7" s="62" t="s">
        <v>22</v>
      </c>
      <c r="I7" s="62" t="s">
        <v>19</v>
      </c>
      <c r="J7" s="62" t="s">
        <v>22</v>
      </c>
      <c r="K7" s="62" t="s">
        <v>22</v>
      </c>
    </row>
    <row r="8" spans="1:12" s="62" customFormat="1" x14ac:dyDescent="0.25">
      <c r="I8" s="62" t="s">
        <v>22</v>
      </c>
    </row>
    <row r="9" spans="1:12" x14ac:dyDescent="0.25">
      <c r="A9" t="s">
        <v>108</v>
      </c>
      <c r="D9" t="s">
        <v>109</v>
      </c>
      <c r="E9" t="s">
        <v>110</v>
      </c>
      <c r="F9" t="s">
        <v>111</v>
      </c>
      <c r="G9" t="s">
        <v>112</v>
      </c>
      <c r="H9" t="s">
        <v>113</v>
      </c>
      <c r="J9" t="s">
        <v>114</v>
      </c>
      <c r="K9" t="s">
        <v>115</v>
      </c>
    </row>
    <row r="10" spans="1:12" x14ac:dyDescent="0.25">
      <c r="A10" t="s">
        <v>23</v>
      </c>
      <c r="D10">
        <v>80</v>
      </c>
      <c r="E10">
        <v>11.09</v>
      </c>
      <c r="F10">
        <v>5.0599999999999996</v>
      </c>
      <c r="G10">
        <v>1074</v>
      </c>
      <c r="H10">
        <v>11911</v>
      </c>
      <c r="K10">
        <v>11911</v>
      </c>
    </row>
    <row r="11" spans="1:12" x14ac:dyDescent="0.25">
      <c r="A11" t="s">
        <v>116</v>
      </c>
      <c r="D11">
        <v>100</v>
      </c>
      <c r="H11">
        <v>0</v>
      </c>
      <c r="I11">
        <v>7702</v>
      </c>
      <c r="K11">
        <v>7702</v>
      </c>
    </row>
    <row r="12" spans="1:12" x14ac:dyDescent="0.25">
      <c r="A12" t="s">
        <v>117</v>
      </c>
      <c r="D12">
        <v>100</v>
      </c>
      <c r="E12">
        <v>12.91</v>
      </c>
      <c r="F12">
        <v>4.2699999999999996</v>
      </c>
      <c r="G12">
        <v>1046</v>
      </c>
      <c r="H12">
        <v>13504</v>
      </c>
      <c r="J12" t="s">
        <v>118</v>
      </c>
      <c r="K12">
        <v>16238</v>
      </c>
    </row>
    <row r="13" spans="1:12" x14ac:dyDescent="0.25">
      <c r="A13" t="s">
        <v>119</v>
      </c>
      <c r="D13">
        <v>100</v>
      </c>
      <c r="E13">
        <v>22.24</v>
      </c>
      <c r="F13">
        <v>10.19</v>
      </c>
      <c r="G13">
        <v>1024</v>
      </c>
      <c r="H13">
        <v>22774</v>
      </c>
      <c r="J13">
        <v>32346</v>
      </c>
      <c r="K13">
        <v>55120</v>
      </c>
    </row>
    <row r="14" spans="1:12" x14ac:dyDescent="0.25">
      <c r="A14" t="s">
        <v>120</v>
      </c>
      <c r="D14">
        <v>100</v>
      </c>
      <c r="E14">
        <v>7.67</v>
      </c>
      <c r="F14">
        <v>5.46</v>
      </c>
      <c r="G14">
        <v>1000</v>
      </c>
      <c r="H14">
        <v>7670</v>
      </c>
      <c r="J14">
        <v>13194</v>
      </c>
      <c r="K14">
        <v>20864</v>
      </c>
    </row>
    <row r="15" spans="1:12" x14ac:dyDescent="0.25">
      <c r="A15" t="s">
        <v>121</v>
      </c>
      <c r="D15">
        <v>86</v>
      </c>
      <c r="E15">
        <v>17.22</v>
      </c>
      <c r="F15">
        <v>4.5999999999999996</v>
      </c>
      <c r="G15">
        <v>1000</v>
      </c>
      <c r="H15">
        <v>17220</v>
      </c>
      <c r="K15">
        <v>17220</v>
      </c>
    </row>
    <row r="16" spans="1:12" x14ac:dyDescent="0.25">
      <c r="A16" t="s">
        <v>27</v>
      </c>
      <c r="D16">
        <v>100</v>
      </c>
      <c r="E16">
        <v>8.8000000000000007</v>
      </c>
      <c r="F16">
        <v>7.45</v>
      </c>
      <c r="G16">
        <v>1000</v>
      </c>
      <c r="H16">
        <v>8800</v>
      </c>
      <c r="J16">
        <v>9400</v>
      </c>
      <c r="K16">
        <v>18200</v>
      </c>
    </row>
    <row r="17" spans="1:12" x14ac:dyDescent="0.25">
      <c r="A17" t="s">
        <v>122</v>
      </c>
      <c r="D17">
        <v>100</v>
      </c>
      <c r="E17">
        <v>21.71</v>
      </c>
      <c r="F17">
        <v>21.71</v>
      </c>
      <c r="G17">
        <v>1000</v>
      </c>
      <c r="H17">
        <v>21710</v>
      </c>
      <c r="I17">
        <v>12308</v>
      </c>
      <c r="K17">
        <v>34018</v>
      </c>
    </row>
    <row r="18" spans="1:12" x14ac:dyDescent="0.25">
      <c r="A18" t="s">
        <v>123</v>
      </c>
    </row>
    <row r="19" spans="1:12" x14ac:dyDescent="0.25">
      <c r="A19" t="s">
        <v>30</v>
      </c>
      <c r="E19">
        <v>101.63999999999999</v>
      </c>
      <c r="F19">
        <v>58.74</v>
      </c>
      <c r="H19">
        <v>103589</v>
      </c>
      <c r="I19">
        <v>20010</v>
      </c>
      <c r="J19">
        <v>57674</v>
      </c>
      <c r="K19">
        <v>181273</v>
      </c>
      <c r="L19">
        <v>0</v>
      </c>
    </row>
    <row r="20" spans="1:12" x14ac:dyDescent="0.25">
      <c r="A20" t="s">
        <v>31</v>
      </c>
      <c r="E20">
        <v>42.899999999999984</v>
      </c>
      <c r="H20">
        <v>43430</v>
      </c>
      <c r="I20">
        <v>20010</v>
      </c>
      <c r="J20">
        <v>54940</v>
      </c>
      <c r="K20">
        <v>118380</v>
      </c>
    </row>
    <row r="21" spans="1:12" x14ac:dyDescent="0.25">
      <c r="A21" t="s">
        <v>124</v>
      </c>
    </row>
    <row r="22" spans="1:12" x14ac:dyDescent="0.25">
      <c r="A22" t="s">
        <v>125</v>
      </c>
    </row>
    <row r="23" spans="1:12" x14ac:dyDescent="0.25">
      <c r="C23" t="s">
        <v>32</v>
      </c>
    </row>
    <row r="24" spans="1:12" x14ac:dyDescent="0.25">
      <c r="A24" t="s">
        <v>35</v>
      </c>
    </row>
    <row r="25" spans="1:12" x14ac:dyDescent="0.25">
      <c r="A25" t="s">
        <v>36</v>
      </c>
      <c r="D25" t="s">
        <v>37</v>
      </c>
      <c r="E25" t="s">
        <v>38</v>
      </c>
      <c r="G25" t="s">
        <v>39</v>
      </c>
      <c r="J25" t="s">
        <v>34</v>
      </c>
      <c r="K25">
        <v>0.5</v>
      </c>
    </row>
    <row r="26" spans="1:12" x14ac:dyDescent="0.25">
      <c r="A26" t="s">
        <v>40</v>
      </c>
      <c r="J26" t="s">
        <v>126</v>
      </c>
      <c r="K26">
        <v>0.4</v>
      </c>
    </row>
    <row r="27" spans="1:12" x14ac:dyDescent="0.25">
      <c r="A27" t="s">
        <v>127</v>
      </c>
      <c r="C27">
        <v>0.66</v>
      </c>
      <c r="D27" t="s">
        <v>128</v>
      </c>
      <c r="E27">
        <v>20216</v>
      </c>
      <c r="G27">
        <v>1.6</v>
      </c>
    </row>
    <row r="28" spans="1:12" x14ac:dyDescent="0.25">
      <c r="C28" t="s">
        <v>129</v>
      </c>
      <c r="D28" t="s">
        <v>130</v>
      </c>
      <c r="E28" t="s">
        <v>131</v>
      </c>
      <c r="G28" t="s">
        <v>132</v>
      </c>
    </row>
    <row r="30" spans="1:12" x14ac:dyDescent="0.25">
      <c r="A30" t="s">
        <v>45</v>
      </c>
      <c r="J30" t="s">
        <v>133</v>
      </c>
      <c r="K30" t="s">
        <v>134</v>
      </c>
    </row>
    <row r="31" spans="1:12" x14ac:dyDescent="0.25">
      <c r="A31" t="s">
        <v>47</v>
      </c>
      <c r="D31" t="s">
        <v>48</v>
      </c>
      <c r="E31">
        <v>43</v>
      </c>
      <c r="G31">
        <v>1010</v>
      </c>
      <c r="J31" t="s">
        <v>135</v>
      </c>
      <c r="K31">
        <v>68</v>
      </c>
    </row>
    <row r="32" spans="1:12" x14ac:dyDescent="0.25">
      <c r="A32" t="s">
        <v>50</v>
      </c>
      <c r="D32" t="s">
        <v>48</v>
      </c>
      <c r="E32">
        <v>59</v>
      </c>
      <c r="J32" t="s">
        <v>136</v>
      </c>
      <c r="K32">
        <v>32</v>
      </c>
    </row>
    <row r="33" spans="1:8" x14ac:dyDescent="0.25">
      <c r="A33" t="s">
        <v>8</v>
      </c>
      <c r="E33">
        <v>102</v>
      </c>
    </row>
    <row r="35" spans="1:8" x14ac:dyDescent="0.25">
      <c r="A35" t="s">
        <v>137</v>
      </c>
      <c r="C35" t="s">
        <v>101</v>
      </c>
      <c r="D35" t="s">
        <v>37</v>
      </c>
      <c r="E35" t="s">
        <v>38</v>
      </c>
      <c r="G35" t="s">
        <v>39</v>
      </c>
    </row>
    <row r="37" spans="1:8" x14ac:dyDescent="0.25">
      <c r="B37" t="s">
        <v>138</v>
      </c>
      <c r="C37">
        <v>70</v>
      </c>
      <c r="D37" t="s">
        <v>41</v>
      </c>
      <c r="E37">
        <v>85</v>
      </c>
      <c r="G37">
        <v>24</v>
      </c>
    </row>
    <row r="38" spans="1:8" x14ac:dyDescent="0.25">
      <c r="B38" t="s">
        <v>139</v>
      </c>
      <c r="C38">
        <v>66</v>
      </c>
      <c r="D38" t="s">
        <v>41</v>
      </c>
      <c r="E38">
        <v>283</v>
      </c>
      <c r="G38">
        <v>26</v>
      </c>
    </row>
    <row r="39" spans="1:8" x14ac:dyDescent="0.25">
      <c r="B39" t="s">
        <v>140</v>
      </c>
      <c r="C39">
        <v>50</v>
      </c>
      <c r="D39" t="s">
        <v>41</v>
      </c>
      <c r="E39">
        <v>146</v>
      </c>
      <c r="G39">
        <v>26</v>
      </c>
    </row>
    <row r="42" spans="1:8" x14ac:dyDescent="0.25">
      <c r="A42" t="s">
        <v>51</v>
      </c>
      <c r="H42" t="s">
        <v>141</v>
      </c>
    </row>
    <row r="43" spans="1:8" x14ac:dyDescent="0.25">
      <c r="A43" t="s">
        <v>54</v>
      </c>
      <c r="G43">
        <v>8730</v>
      </c>
      <c r="H43">
        <v>21572</v>
      </c>
    </row>
    <row r="44" spans="1:8" x14ac:dyDescent="0.25">
      <c r="A44" t="s">
        <v>55</v>
      </c>
      <c r="G44">
        <v>32</v>
      </c>
    </row>
    <row r="45" spans="1:8" x14ac:dyDescent="0.25">
      <c r="A45" t="s">
        <v>56</v>
      </c>
      <c r="G45">
        <v>279360</v>
      </c>
      <c r="H45">
        <v>690299</v>
      </c>
    </row>
    <row r="46" spans="1:8" x14ac:dyDescent="0.25">
      <c r="A46" t="s">
        <v>57</v>
      </c>
      <c r="G46">
        <v>98087</v>
      </c>
      <c r="H46">
        <v>242373</v>
      </c>
    </row>
    <row r="47" spans="1:8" x14ac:dyDescent="0.25">
      <c r="A47" t="s">
        <v>58</v>
      </c>
      <c r="G47">
        <v>160980</v>
      </c>
      <c r="H47">
        <v>397782</v>
      </c>
    </row>
    <row r="49" spans="1:7" x14ac:dyDescent="0.25">
      <c r="A49" t="s">
        <v>59</v>
      </c>
      <c r="G49">
        <v>20.764375715922107</v>
      </c>
    </row>
    <row r="50" spans="1:7" x14ac:dyDescent="0.25">
      <c r="A50" t="s">
        <v>60</v>
      </c>
      <c r="G50">
        <v>13.560137457044673</v>
      </c>
    </row>
    <row r="52" spans="1:7" x14ac:dyDescent="0.25">
      <c r="A52" t="s">
        <v>142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58"/>
  <sheetViews>
    <sheetView workbookViewId="0">
      <selection sqref="A1:A4"/>
    </sheetView>
  </sheetViews>
  <sheetFormatPr defaultRowHeight="15" x14ac:dyDescent="0.25"/>
  <cols>
    <col min="7" max="7" width="12.42578125" customWidth="1"/>
    <col min="8" max="8" width="11.5703125" customWidth="1"/>
  </cols>
  <sheetData>
    <row r="1" spans="1:13" ht="15.75" x14ac:dyDescent="0.3">
      <c r="A1" s="3" t="s">
        <v>63</v>
      </c>
      <c r="B1" s="112" t="s">
        <v>171</v>
      </c>
      <c r="C1" s="112"/>
      <c r="D1" s="110"/>
      <c r="E1" s="67"/>
      <c r="F1" s="67"/>
      <c r="G1" s="67"/>
      <c r="H1" s="67"/>
      <c r="I1" s="67"/>
      <c r="J1" s="67"/>
      <c r="K1" s="67"/>
    </row>
    <row r="2" spans="1:13" ht="15.75" x14ac:dyDescent="0.3">
      <c r="A2" s="3" t="s">
        <v>0</v>
      </c>
      <c r="B2" s="112" t="s">
        <v>172</v>
      </c>
      <c r="C2" s="112"/>
      <c r="D2" s="67"/>
      <c r="E2" s="67"/>
      <c r="F2" s="67"/>
      <c r="G2" s="67"/>
      <c r="H2" s="67"/>
      <c r="I2" s="67"/>
      <c r="J2" s="67"/>
      <c r="K2" s="67"/>
    </row>
    <row r="3" spans="1:13" ht="15.75" x14ac:dyDescent="0.3">
      <c r="A3" s="3" t="s">
        <v>2</v>
      </c>
      <c r="B3" s="112" t="s">
        <v>145</v>
      </c>
      <c r="C3" s="112"/>
      <c r="D3" s="67"/>
      <c r="E3" s="67"/>
      <c r="F3" s="67"/>
      <c r="G3" s="67"/>
      <c r="H3" s="67"/>
      <c r="I3" s="67"/>
      <c r="J3" s="67"/>
      <c r="K3" s="67"/>
    </row>
    <row r="4" spans="1:13" x14ac:dyDescent="0.25">
      <c r="A4" s="3" t="s">
        <v>4</v>
      </c>
      <c r="B4" s="112" t="s">
        <v>173</v>
      </c>
      <c r="C4" s="112"/>
    </row>
    <row r="5" spans="1:13" s="62" customFormat="1" ht="15.75" x14ac:dyDescent="0.3">
      <c r="A5" s="102" t="s">
        <v>6</v>
      </c>
      <c r="B5" s="102"/>
      <c r="C5" s="102"/>
      <c r="D5" s="103" t="s">
        <v>7</v>
      </c>
      <c r="E5" s="103" t="s">
        <v>8</v>
      </c>
      <c r="F5" s="103" t="s">
        <v>9</v>
      </c>
      <c r="G5" s="103" t="s">
        <v>10</v>
      </c>
      <c r="H5" s="103" t="s">
        <v>11</v>
      </c>
      <c r="I5" s="103" t="s">
        <v>12</v>
      </c>
      <c r="J5" s="103" t="s">
        <v>13</v>
      </c>
      <c r="K5" s="103" t="s">
        <v>14</v>
      </c>
      <c r="L5" s="104" t="s">
        <v>15</v>
      </c>
      <c r="M5" s="103"/>
    </row>
    <row r="6" spans="1:13" s="62" customFormat="1" ht="15.75" x14ac:dyDescent="0.3">
      <c r="A6" s="105"/>
      <c r="B6" s="105"/>
      <c r="C6" s="105"/>
      <c r="D6" s="106" t="s">
        <v>16</v>
      </c>
      <c r="E6" s="106" t="s">
        <v>17</v>
      </c>
      <c r="F6" s="106" t="s">
        <v>17</v>
      </c>
      <c r="G6" s="106" t="s">
        <v>18</v>
      </c>
      <c r="H6" s="106" t="s">
        <v>19</v>
      </c>
      <c r="I6" s="106" t="s">
        <v>20</v>
      </c>
      <c r="J6" s="106" t="s">
        <v>19</v>
      </c>
      <c r="K6" s="106" t="s">
        <v>19</v>
      </c>
      <c r="L6" s="107" t="s">
        <v>12</v>
      </c>
      <c r="M6" s="106" t="s">
        <v>13</v>
      </c>
    </row>
    <row r="7" spans="1:13" s="62" customFormat="1" ht="15.75" x14ac:dyDescent="0.3">
      <c r="A7" s="105"/>
      <c r="B7" s="105"/>
      <c r="C7" s="105"/>
      <c r="D7" s="106" t="s">
        <v>21</v>
      </c>
      <c r="E7" s="106"/>
      <c r="F7" s="106"/>
      <c r="G7" s="106"/>
      <c r="H7" s="106" t="s">
        <v>22</v>
      </c>
      <c r="I7" s="106" t="s">
        <v>19</v>
      </c>
      <c r="J7" s="106" t="s">
        <v>22</v>
      </c>
      <c r="K7" s="106" t="s">
        <v>22</v>
      </c>
      <c r="L7" s="106"/>
      <c r="M7" s="106"/>
    </row>
    <row r="8" spans="1:13" s="62" customFormat="1" ht="15.75" x14ac:dyDescent="0.3">
      <c r="A8" s="108"/>
      <c r="B8" s="108"/>
      <c r="C8" s="108"/>
      <c r="D8" s="109"/>
      <c r="E8" s="109"/>
      <c r="F8" s="109"/>
      <c r="G8" s="109"/>
      <c r="H8" s="109"/>
      <c r="I8" s="109" t="s">
        <v>22</v>
      </c>
      <c r="J8" s="109"/>
      <c r="K8" s="109"/>
      <c r="L8" s="109"/>
      <c r="M8" s="109"/>
    </row>
    <row r="9" spans="1:13" ht="15.75" x14ac:dyDescent="0.3">
      <c r="A9" s="67" t="s">
        <v>147</v>
      </c>
      <c r="B9" s="67"/>
      <c r="C9" s="67"/>
      <c r="D9" s="68">
        <v>100</v>
      </c>
      <c r="E9" s="69">
        <v>4.82</v>
      </c>
      <c r="F9" s="67">
        <v>4.82</v>
      </c>
      <c r="G9" s="70">
        <v>800</v>
      </c>
      <c r="H9" s="69">
        <f>SUM(E9*G9)</f>
        <v>3856</v>
      </c>
      <c r="I9" s="67"/>
      <c r="J9" s="71">
        <v>1780</v>
      </c>
      <c r="K9" s="67">
        <f t="shared" ref="K9:K20" si="0">SUM(H9:J9)</f>
        <v>5636</v>
      </c>
      <c r="L9" s="67"/>
      <c r="M9" s="67"/>
    </row>
    <row r="10" spans="1:13" ht="15.75" x14ac:dyDescent="0.3">
      <c r="A10" s="67" t="s">
        <v>23</v>
      </c>
      <c r="B10" s="67"/>
      <c r="C10" s="67"/>
      <c r="D10" s="68">
        <v>88</v>
      </c>
      <c r="E10" s="69">
        <v>7.97</v>
      </c>
      <c r="F10" s="69">
        <v>2.81</v>
      </c>
      <c r="G10" s="72">
        <v>789</v>
      </c>
      <c r="H10" s="69">
        <v>6288</v>
      </c>
      <c r="I10" s="67"/>
      <c r="J10" s="69"/>
      <c r="K10" s="69">
        <f t="shared" si="0"/>
        <v>6288</v>
      </c>
      <c r="L10" s="67"/>
      <c r="M10" s="67"/>
    </row>
    <row r="11" spans="1:13" ht="15.75" x14ac:dyDescent="0.3">
      <c r="A11" s="67" t="s">
        <v>148</v>
      </c>
      <c r="B11" s="67"/>
      <c r="C11" s="67"/>
      <c r="D11" s="68">
        <v>58</v>
      </c>
      <c r="E11" s="69"/>
      <c r="F11" s="69"/>
      <c r="G11" s="72"/>
      <c r="H11" s="69">
        <f t="shared" ref="H11:H19" si="1">SUM(E11*G11)</f>
        <v>0</v>
      </c>
      <c r="I11" s="69">
        <v>6852</v>
      </c>
      <c r="J11" s="69"/>
      <c r="K11" s="69">
        <f t="shared" si="0"/>
        <v>6852</v>
      </c>
      <c r="L11" s="69">
        <v>1043</v>
      </c>
      <c r="M11" s="67"/>
    </row>
    <row r="12" spans="1:13" ht="15.75" x14ac:dyDescent="0.3">
      <c r="A12" s="67" t="s">
        <v>149</v>
      </c>
      <c r="B12" s="67"/>
      <c r="C12" s="67"/>
      <c r="D12" s="73" t="s">
        <v>150</v>
      </c>
      <c r="E12" s="69" t="s">
        <v>151</v>
      </c>
      <c r="F12" s="69" t="s">
        <v>152</v>
      </c>
      <c r="G12" s="72"/>
      <c r="H12" s="69" t="s">
        <v>153</v>
      </c>
      <c r="I12" s="69"/>
      <c r="J12" s="69"/>
      <c r="K12" s="69"/>
      <c r="L12" s="69"/>
      <c r="M12" s="67"/>
    </row>
    <row r="13" spans="1:13" ht="15.75" x14ac:dyDescent="0.3">
      <c r="A13" s="67" t="s">
        <v>154</v>
      </c>
      <c r="B13" s="67"/>
      <c r="C13" s="67"/>
      <c r="D13" s="68">
        <v>100</v>
      </c>
      <c r="E13" s="69">
        <v>8</v>
      </c>
      <c r="F13" s="69">
        <v>2.61</v>
      </c>
      <c r="G13" s="72">
        <v>912</v>
      </c>
      <c r="H13" s="69">
        <f t="shared" si="1"/>
        <v>7296</v>
      </c>
      <c r="I13" s="69"/>
      <c r="J13" s="69" t="s">
        <v>155</v>
      </c>
      <c r="K13" s="69">
        <v>9393</v>
      </c>
      <c r="L13" s="69"/>
      <c r="M13" s="67"/>
    </row>
    <row r="14" spans="1:13" ht="15.75" x14ac:dyDescent="0.3">
      <c r="A14" s="67" t="s">
        <v>156</v>
      </c>
      <c r="B14" s="67"/>
      <c r="C14" s="67"/>
      <c r="D14" s="68">
        <v>100</v>
      </c>
      <c r="E14" s="69">
        <v>7.25</v>
      </c>
      <c r="F14" s="69">
        <v>2.96</v>
      </c>
      <c r="G14" s="72">
        <v>925</v>
      </c>
      <c r="H14" s="69">
        <v>6706</v>
      </c>
      <c r="I14" s="69"/>
      <c r="J14" s="69"/>
      <c r="K14" s="69">
        <f t="shared" si="0"/>
        <v>6706</v>
      </c>
      <c r="L14" s="69"/>
      <c r="M14" s="67"/>
    </row>
    <row r="15" spans="1:13" ht="15.75" x14ac:dyDescent="0.3">
      <c r="A15" s="67" t="s">
        <v>157</v>
      </c>
      <c r="B15" s="67"/>
      <c r="C15" s="67"/>
      <c r="D15" s="68">
        <v>100</v>
      </c>
      <c r="E15" s="69">
        <v>10.43</v>
      </c>
      <c r="F15" s="69">
        <v>5.0599999999999996</v>
      </c>
      <c r="G15" s="72">
        <v>584</v>
      </c>
      <c r="H15" s="69">
        <v>6091</v>
      </c>
      <c r="I15" s="69"/>
      <c r="J15" s="69">
        <v>8166</v>
      </c>
      <c r="K15" s="69">
        <f t="shared" si="0"/>
        <v>14257</v>
      </c>
      <c r="L15" s="69"/>
      <c r="M15" s="67"/>
    </row>
    <row r="16" spans="1:13" ht="15.75" x14ac:dyDescent="0.3">
      <c r="A16" s="67" t="s">
        <v>120</v>
      </c>
      <c r="B16" s="67"/>
      <c r="C16" s="67"/>
      <c r="D16" s="68">
        <v>100</v>
      </c>
      <c r="E16" s="69">
        <v>8.5399999999999991</v>
      </c>
      <c r="F16" s="69">
        <v>7.06</v>
      </c>
      <c r="G16" s="72">
        <v>760</v>
      </c>
      <c r="H16" s="69">
        <v>6490</v>
      </c>
      <c r="I16" s="69"/>
      <c r="J16" s="69">
        <f>E38*G38+E39*G39+E40*G40</f>
        <v>20005</v>
      </c>
      <c r="K16" s="69">
        <f t="shared" si="0"/>
        <v>26495</v>
      </c>
      <c r="L16" s="69"/>
      <c r="M16" s="67"/>
    </row>
    <row r="17" spans="1:13" ht="15.75" x14ac:dyDescent="0.3">
      <c r="A17" s="67" t="s">
        <v>158</v>
      </c>
      <c r="B17" s="67"/>
      <c r="C17" s="67"/>
      <c r="D17" s="68">
        <v>100</v>
      </c>
      <c r="E17" s="69">
        <v>19.5</v>
      </c>
      <c r="F17" s="69">
        <v>8.73</v>
      </c>
      <c r="G17" s="72">
        <v>831</v>
      </c>
      <c r="H17" s="69">
        <v>16205</v>
      </c>
      <c r="I17" s="69"/>
      <c r="J17" s="69"/>
      <c r="K17" s="69">
        <f t="shared" si="0"/>
        <v>16205</v>
      </c>
      <c r="L17" s="69"/>
      <c r="M17" s="67"/>
    </row>
    <row r="18" spans="1:13" ht="15.75" x14ac:dyDescent="0.3">
      <c r="A18" s="67" t="s">
        <v>27</v>
      </c>
      <c r="B18" s="67"/>
      <c r="C18" s="67"/>
      <c r="D18" s="68">
        <v>100</v>
      </c>
      <c r="E18" s="69">
        <v>23.4</v>
      </c>
      <c r="F18" s="69">
        <v>22.19</v>
      </c>
      <c r="G18" s="72">
        <v>1000</v>
      </c>
      <c r="H18" s="69">
        <f t="shared" si="1"/>
        <v>23400</v>
      </c>
      <c r="I18" s="69"/>
      <c r="J18" s="71">
        <v>23239</v>
      </c>
      <c r="K18" s="69">
        <f t="shared" si="0"/>
        <v>46639</v>
      </c>
      <c r="L18" s="69"/>
      <c r="M18" s="67"/>
    </row>
    <row r="19" spans="1:13" ht="15.75" x14ac:dyDescent="0.3">
      <c r="A19" s="67" t="s">
        <v>122</v>
      </c>
      <c r="B19" s="67"/>
      <c r="C19" s="67"/>
      <c r="D19" s="68">
        <v>100</v>
      </c>
      <c r="E19" s="69">
        <v>19.02</v>
      </c>
      <c r="F19" s="69">
        <v>18.510000000000002</v>
      </c>
      <c r="G19" s="72">
        <v>800</v>
      </c>
      <c r="H19" s="69">
        <f t="shared" si="1"/>
        <v>15216</v>
      </c>
      <c r="I19" s="69"/>
      <c r="J19" s="69"/>
      <c r="K19" s="69">
        <f t="shared" si="0"/>
        <v>15216</v>
      </c>
      <c r="L19" s="69"/>
      <c r="M19" s="67"/>
    </row>
    <row r="20" spans="1:13" ht="15.75" x14ac:dyDescent="0.3">
      <c r="A20" s="67" t="s">
        <v>159</v>
      </c>
      <c r="B20" s="67"/>
      <c r="C20" s="67"/>
      <c r="D20" s="68">
        <v>100</v>
      </c>
      <c r="E20" s="69">
        <v>37.94</v>
      </c>
      <c r="F20" s="69">
        <v>20.74</v>
      </c>
      <c r="G20" s="72">
        <v>607</v>
      </c>
      <c r="H20" s="69">
        <v>23030</v>
      </c>
      <c r="I20" s="69"/>
      <c r="J20" s="69"/>
      <c r="K20" s="69">
        <f t="shared" si="0"/>
        <v>23030</v>
      </c>
      <c r="L20" s="69"/>
      <c r="M20" s="67"/>
    </row>
    <row r="21" spans="1:13" ht="15.75" x14ac:dyDescent="0.3">
      <c r="A21" s="63" t="s">
        <v>30</v>
      </c>
      <c r="B21" s="63"/>
      <c r="C21" s="63"/>
      <c r="D21" s="74"/>
      <c r="E21" s="75">
        <f>SUM(E9:E20)</f>
        <v>146.87</v>
      </c>
      <c r="F21" s="75">
        <f>SUM(F9:F20)</f>
        <v>95.49</v>
      </c>
      <c r="G21" s="75"/>
      <c r="H21" s="75">
        <f>SUM(H9:H20)</f>
        <v>114578</v>
      </c>
      <c r="I21" s="75">
        <f>SUM(I9:I20)</f>
        <v>6852</v>
      </c>
      <c r="J21" s="75">
        <v>55287</v>
      </c>
      <c r="K21" s="75">
        <f>SUM(H21:J21)</f>
        <v>176717</v>
      </c>
      <c r="L21" s="75">
        <f>SUM(L9:L20)</f>
        <v>1043</v>
      </c>
      <c r="M21" s="63">
        <f>SUM(M9:M20)</f>
        <v>0</v>
      </c>
    </row>
    <row r="22" spans="1:13" ht="15.75" x14ac:dyDescent="0.3">
      <c r="A22" s="66" t="s">
        <v>31</v>
      </c>
      <c r="B22" s="66"/>
      <c r="C22" s="66"/>
      <c r="D22" s="76"/>
      <c r="E22" s="77">
        <f>SUM(E21-F21)</f>
        <v>51.38000000000001</v>
      </c>
      <c r="F22" s="77"/>
      <c r="G22" s="77"/>
      <c r="H22" s="77">
        <f>+E33*G33</f>
        <v>39780</v>
      </c>
      <c r="I22" s="77">
        <f>I21-L21</f>
        <v>5809</v>
      </c>
      <c r="J22" s="77">
        <f>J21-M21</f>
        <v>55287</v>
      </c>
      <c r="K22" s="77">
        <f>SUM(H22:J22)</f>
        <v>100876</v>
      </c>
      <c r="L22" s="66"/>
      <c r="M22" s="66"/>
    </row>
    <row r="23" spans="1:13" ht="15.75" x14ac:dyDescent="0.3">
      <c r="A23" s="67" t="s">
        <v>160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</row>
    <row r="24" spans="1:13" ht="15.75" x14ac:dyDescent="0.3">
      <c r="A24" s="67"/>
      <c r="B24" s="67"/>
      <c r="C24" s="67" t="s">
        <v>32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</row>
    <row r="25" spans="1:13" ht="15.75" x14ac:dyDescent="0.3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 t="s">
        <v>42</v>
      </c>
      <c r="L25" s="67" t="s">
        <v>134</v>
      </c>
      <c r="M25" s="67"/>
    </row>
    <row r="26" spans="1:13" ht="15.75" x14ac:dyDescent="0.3">
      <c r="A26" s="67" t="s">
        <v>35</v>
      </c>
      <c r="B26" s="67"/>
      <c r="C26" s="67"/>
      <c r="D26" s="67"/>
      <c r="E26" s="67"/>
      <c r="F26" s="67"/>
      <c r="G26" s="67"/>
      <c r="H26" s="67"/>
      <c r="I26" s="67"/>
      <c r="J26" s="67"/>
      <c r="K26" s="78" t="s">
        <v>161</v>
      </c>
      <c r="L26" s="79">
        <v>50</v>
      </c>
      <c r="M26" s="67"/>
    </row>
    <row r="27" spans="1:13" ht="15.75" x14ac:dyDescent="0.3">
      <c r="A27" s="80" t="s">
        <v>36</v>
      </c>
      <c r="B27" s="80"/>
      <c r="C27" s="80"/>
      <c r="D27" s="80" t="s">
        <v>37</v>
      </c>
      <c r="E27" s="80" t="s">
        <v>38</v>
      </c>
      <c r="F27" s="80"/>
      <c r="G27" s="80" t="s">
        <v>39</v>
      </c>
      <c r="H27" s="67"/>
      <c r="I27" s="67"/>
      <c r="J27" s="67"/>
      <c r="K27" s="81" t="s">
        <v>162</v>
      </c>
      <c r="L27" s="82">
        <v>22</v>
      </c>
      <c r="M27" s="67"/>
    </row>
    <row r="28" spans="1:13" ht="15.75" x14ac:dyDescent="0.3">
      <c r="A28" s="67" t="s">
        <v>40</v>
      </c>
      <c r="B28" s="67"/>
      <c r="C28" s="67"/>
      <c r="D28" s="67"/>
      <c r="E28" s="67"/>
      <c r="F28" s="67"/>
      <c r="G28" s="67"/>
      <c r="H28" s="67"/>
      <c r="I28" s="67"/>
      <c r="J28" s="67"/>
      <c r="K28" s="81" t="s">
        <v>163</v>
      </c>
      <c r="L28" s="82">
        <v>12</v>
      </c>
      <c r="M28" s="67"/>
    </row>
    <row r="29" spans="1:13" ht="15.75" x14ac:dyDescent="0.3">
      <c r="A29" s="67" t="s">
        <v>164</v>
      </c>
      <c r="B29" s="67"/>
      <c r="C29" s="67"/>
      <c r="D29" s="67" t="s">
        <v>165</v>
      </c>
      <c r="E29" s="69">
        <f>+[1]Analyzing!T48</f>
        <v>638</v>
      </c>
      <c r="F29" s="67"/>
      <c r="G29" s="71">
        <v>12.8</v>
      </c>
      <c r="H29" s="67"/>
      <c r="I29" s="67"/>
      <c r="J29" s="67"/>
      <c r="K29" s="83" t="s">
        <v>166</v>
      </c>
      <c r="L29" s="84">
        <v>16</v>
      </c>
      <c r="M29" s="67"/>
    </row>
    <row r="30" spans="1:13" ht="15.75" x14ac:dyDescent="0.3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</row>
    <row r="31" spans="1:13" ht="15.75" x14ac:dyDescent="0.3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85" t="s">
        <v>33</v>
      </c>
      <c r="L31" s="86">
        <v>0.6</v>
      </c>
      <c r="M31" s="67"/>
    </row>
    <row r="32" spans="1:13" ht="15.75" x14ac:dyDescent="0.3">
      <c r="A32" s="67" t="s">
        <v>45</v>
      </c>
      <c r="B32" s="67"/>
      <c r="C32" s="67"/>
      <c r="D32" s="67"/>
      <c r="E32" s="67"/>
      <c r="F32" s="67"/>
      <c r="G32" s="67"/>
      <c r="H32" s="67"/>
      <c r="I32" s="67"/>
      <c r="J32" s="67"/>
      <c r="K32" s="83" t="s">
        <v>34</v>
      </c>
      <c r="L32" s="87">
        <v>0.5</v>
      </c>
      <c r="M32" s="67"/>
    </row>
    <row r="33" spans="1:13" ht="15.75" x14ac:dyDescent="0.3">
      <c r="A33" s="67" t="s">
        <v>47</v>
      </c>
      <c r="B33" s="67"/>
      <c r="C33" s="67"/>
      <c r="D33" s="67" t="s">
        <v>48</v>
      </c>
      <c r="E33" s="69">
        <v>51</v>
      </c>
      <c r="F33" s="67"/>
      <c r="G33" s="69">
        <v>780</v>
      </c>
      <c r="H33" s="67"/>
      <c r="I33" s="67"/>
      <c r="J33" s="67"/>
      <c r="K33" s="67"/>
      <c r="L33" s="67"/>
      <c r="M33" s="67"/>
    </row>
    <row r="34" spans="1:13" ht="15.75" x14ac:dyDescent="0.3">
      <c r="A34" s="67" t="s">
        <v>50</v>
      </c>
      <c r="B34" s="67"/>
      <c r="C34" s="67"/>
      <c r="D34" s="67" t="s">
        <v>48</v>
      </c>
      <c r="E34" s="69">
        <v>95</v>
      </c>
      <c r="F34" s="67"/>
      <c r="G34" s="67"/>
      <c r="H34" s="67"/>
      <c r="I34" s="67"/>
      <c r="J34" s="67"/>
      <c r="K34" s="67"/>
      <c r="L34" s="67"/>
      <c r="M34" s="67"/>
    </row>
    <row r="35" spans="1:13" ht="15.75" x14ac:dyDescent="0.3">
      <c r="A35" s="67" t="s">
        <v>8</v>
      </c>
      <c r="B35" s="67"/>
      <c r="C35" s="67"/>
      <c r="D35" s="67"/>
      <c r="E35" s="69">
        <v>146</v>
      </c>
      <c r="F35" s="67"/>
      <c r="G35" s="67"/>
      <c r="H35" s="67"/>
      <c r="I35" s="67"/>
      <c r="J35" s="67"/>
      <c r="K35" s="67"/>
      <c r="L35" s="67"/>
      <c r="M35" s="67"/>
    </row>
    <row r="36" spans="1:13" ht="15.75" x14ac:dyDescent="0.3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</row>
    <row r="37" spans="1:13" ht="15.75" x14ac:dyDescent="0.3">
      <c r="A37" s="63" t="s">
        <v>137</v>
      </c>
      <c r="B37" s="63"/>
      <c r="C37" s="63" t="s">
        <v>101</v>
      </c>
      <c r="D37" s="63"/>
      <c r="E37" s="63"/>
      <c r="F37" s="63"/>
      <c r="G37" s="63"/>
      <c r="H37" s="67"/>
      <c r="I37" s="67"/>
      <c r="J37" s="67"/>
      <c r="K37" s="67"/>
      <c r="L37" s="67"/>
      <c r="M37" s="67"/>
    </row>
    <row r="38" spans="1:13" ht="15.75" x14ac:dyDescent="0.3">
      <c r="A38" s="88" t="s">
        <v>102</v>
      </c>
      <c r="B38" s="89" t="s">
        <v>167</v>
      </c>
      <c r="C38" s="90">
        <f>+[1]Analyzing!HN47</f>
        <v>78</v>
      </c>
      <c r="D38" s="88" t="s">
        <v>168</v>
      </c>
      <c r="E38" s="91">
        <f>+[1]Analyzing!HN50</f>
        <v>25</v>
      </c>
      <c r="F38" s="64"/>
      <c r="G38" s="91">
        <f>+[1]Analyzing!HN49</f>
        <v>197</v>
      </c>
      <c r="H38" s="67"/>
      <c r="I38" s="67"/>
      <c r="J38" s="67"/>
      <c r="K38" s="67"/>
      <c r="L38" s="67"/>
      <c r="M38" s="67"/>
    </row>
    <row r="39" spans="1:13" ht="15.75" x14ac:dyDescent="0.3">
      <c r="A39" s="88"/>
      <c r="B39" s="89" t="s">
        <v>169</v>
      </c>
      <c r="C39" s="90">
        <f>+[1]Analyzing!IX46</f>
        <v>78</v>
      </c>
      <c r="D39" s="88" t="s">
        <v>41</v>
      </c>
      <c r="E39" s="91">
        <v>341</v>
      </c>
      <c r="F39" s="64"/>
      <c r="G39" s="91">
        <f>+[1]Analyzing!IX49</f>
        <v>26</v>
      </c>
      <c r="H39" s="67"/>
      <c r="I39" s="67"/>
      <c r="J39" s="67"/>
      <c r="K39" s="67"/>
      <c r="L39" s="67"/>
      <c r="M39" s="67"/>
    </row>
    <row r="40" spans="1:13" ht="15.75" x14ac:dyDescent="0.3">
      <c r="A40" s="92"/>
      <c r="B40" s="65" t="s">
        <v>140</v>
      </c>
      <c r="C40" s="93">
        <v>44</v>
      </c>
      <c r="D40" s="64" t="s">
        <v>41</v>
      </c>
      <c r="E40" s="91">
        <v>239</v>
      </c>
      <c r="F40" s="64"/>
      <c r="G40" s="91">
        <v>26</v>
      </c>
      <c r="H40" s="67"/>
      <c r="I40" s="67"/>
      <c r="J40" s="67"/>
      <c r="K40" s="67"/>
      <c r="L40" s="67"/>
      <c r="M40" s="67"/>
    </row>
    <row r="41" spans="1:13" ht="15.75" x14ac:dyDescent="0.3">
      <c r="A41" s="92"/>
      <c r="B41" s="65"/>
      <c r="C41" s="94"/>
      <c r="D41" s="64"/>
      <c r="E41" s="91"/>
      <c r="F41" s="64"/>
      <c r="G41" s="91"/>
      <c r="H41" s="67"/>
      <c r="I41" s="67"/>
      <c r="J41" s="67"/>
      <c r="K41" s="67"/>
      <c r="L41" s="67"/>
      <c r="M41" s="67"/>
    </row>
    <row r="42" spans="1:13" ht="15.75" x14ac:dyDescent="0.3">
      <c r="A42" s="92"/>
      <c r="B42" s="95"/>
      <c r="C42" s="96"/>
      <c r="D42" s="67"/>
      <c r="E42" s="97"/>
      <c r="F42" s="64"/>
      <c r="G42" s="64"/>
      <c r="H42" s="67"/>
      <c r="I42" s="67"/>
      <c r="J42" s="67"/>
      <c r="K42" s="67"/>
      <c r="L42" s="67"/>
      <c r="M42" s="67"/>
    </row>
    <row r="43" spans="1:13" ht="15.75" x14ac:dyDescent="0.3">
      <c r="A43" s="63" t="s">
        <v>51</v>
      </c>
      <c r="B43" s="63"/>
      <c r="C43" s="63"/>
      <c r="D43" s="63"/>
      <c r="E43" s="63"/>
      <c r="F43" s="63"/>
      <c r="G43" s="63"/>
      <c r="H43" s="67" t="s">
        <v>75</v>
      </c>
      <c r="I43" s="67"/>
      <c r="J43" s="67"/>
      <c r="K43" s="67"/>
      <c r="L43" s="67"/>
      <c r="M43" s="67"/>
    </row>
    <row r="44" spans="1:13" ht="15.75" x14ac:dyDescent="0.3">
      <c r="A44" s="64" t="s">
        <v>54</v>
      </c>
      <c r="B44" s="64"/>
      <c r="C44" s="64"/>
      <c r="D44" s="64"/>
      <c r="E44" s="64"/>
      <c r="F44" s="64"/>
      <c r="G44" s="98">
        <v>5106</v>
      </c>
      <c r="H44" s="69">
        <v>12617</v>
      </c>
      <c r="I44" s="67"/>
      <c r="J44" s="67"/>
      <c r="K44" s="67"/>
      <c r="L44" s="67"/>
      <c r="M44" s="67"/>
    </row>
    <row r="45" spans="1:13" ht="15.75" x14ac:dyDescent="0.3">
      <c r="A45" s="64" t="s">
        <v>55</v>
      </c>
      <c r="B45" s="64"/>
      <c r="C45" s="64"/>
      <c r="D45" s="64"/>
      <c r="E45" s="64"/>
      <c r="F45" s="64"/>
      <c r="G45" s="99">
        <v>180</v>
      </c>
      <c r="H45" s="69"/>
      <c r="I45" s="67"/>
      <c r="J45" s="67"/>
      <c r="K45" s="67"/>
      <c r="L45" s="67"/>
      <c r="M45" s="67"/>
    </row>
    <row r="46" spans="1:13" ht="15.75" x14ac:dyDescent="0.3">
      <c r="A46" s="64" t="s">
        <v>56</v>
      </c>
      <c r="B46" s="64"/>
      <c r="C46" s="64"/>
      <c r="D46" s="64"/>
      <c r="E46" s="64"/>
      <c r="F46" s="64"/>
      <c r="G46" s="100">
        <f>SUM(G44*G45)</f>
        <v>919080</v>
      </c>
      <c r="H46" s="69">
        <v>2271047</v>
      </c>
      <c r="I46" s="67"/>
      <c r="J46" s="67"/>
      <c r="K46" s="67"/>
      <c r="L46" s="67"/>
      <c r="M46" s="67"/>
    </row>
    <row r="47" spans="1:13" ht="15.75" x14ac:dyDescent="0.3">
      <c r="A47" s="64" t="s">
        <v>57</v>
      </c>
      <c r="B47" s="64"/>
      <c r="C47" s="64"/>
      <c r="D47" s="64"/>
      <c r="E47" s="64"/>
      <c r="F47" s="64"/>
      <c r="G47" s="100">
        <f>SUM(G46-K21)</f>
        <v>742363</v>
      </c>
      <c r="H47" s="69">
        <v>1834379</v>
      </c>
      <c r="I47" s="67"/>
      <c r="J47" s="67"/>
      <c r="K47" s="67"/>
      <c r="L47" s="67"/>
      <c r="M47" s="67"/>
    </row>
    <row r="48" spans="1:13" ht="15.75" x14ac:dyDescent="0.3">
      <c r="A48" s="64" t="s">
        <v>58</v>
      </c>
      <c r="B48" s="64"/>
      <c r="C48" s="64"/>
      <c r="D48" s="64"/>
      <c r="E48" s="64"/>
      <c r="F48" s="64"/>
      <c r="G48" s="100">
        <f>SUM(G46-K22)</f>
        <v>818204</v>
      </c>
      <c r="H48" s="69">
        <v>2021782</v>
      </c>
      <c r="I48" s="67"/>
      <c r="J48" s="67"/>
      <c r="K48" s="67"/>
      <c r="L48" s="67"/>
      <c r="M48" s="67"/>
    </row>
    <row r="49" spans="1:13" ht="15.75" x14ac:dyDescent="0.3">
      <c r="A49" s="64"/>
      <c r="B49" s="64"/>
      <c r="C49" s="64"/>
      <c r="D49" s="64"/>
      <c r="E49" s="64"/>
      <c r="F49" s="64"/>
      <c r="G49" s="100"/>
      <c r="H49" s="67"/>
      <c r="I49" s="67"/>
      <c r="J49" s="67"/>
      <c r="K49" s="67"/>
      <c r="L49" s="67"/>
      <c r="M49" s="67"/>
    </row>
    <row r="50" spans="1:13" ht="15.75" x14ac:dyDescent="0.3">
      <c r="A50" s="64" t="s">
        <v>59</v>
      </c>
      <c r="B50" s="64"/>
      <c r="C50" s="64"/>
      <c r="D50" s="64"/>
      <c r="E50" s="64"/>
      <c r="F50" s="64"/>
      <c r="G50" s="100">
        <f>SUM(K21/G44)</f>
        <v>34.609674892283586</v>
      </c>
      <c r="H50" s="67"/>
      <c r="I50" s="67"/>
      <c r="J50" s="67"/>
      <c r="K50" s="67"/>
      <c r="L50" s="67"/>
      <c r="M50" s="67"/>
    </row>
    <row r="51" spans="1:13" ht="15.75" x14ac:dyDescent="0.3">
      <c r="A51" s="66" t="s">
        <v>60</v>
      </c>
      <c r="B51" s="66"/>
      <c r="C51" s="66"/>
      <c r="D51" s="66"/>
      <c r="E51" s="66"/>
      <c r="F51" s="66"/>
      <c r="G51" s="101">
        <f>SUM(K22/G44)</f>
        <v>19.756365060712888</v>
      </c>
      <c r="H51" s="67"/>
      <c r="I51" s="67"/>
      <c r="J51" s="67"/>
      <c r="K51" s="67"/>
      <c r="L51" s="67"/>
      <c r="M51" s="67"/>
    </row>
    <row r="52" spans="1:13" ht="15.75" x14ac:dyDescent="0.3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</row>
    <row r="53" spans="1:13" ht="15.75" x14ac:dyDescent="0.3">
      <c r="A53" s="67" t="s">
        <v>170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</row>
    <row r="54" spans="1:13" ht="15.75" x14ac:dyDescent="0.3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</row>
    <row r="55" spans="1:13" ht="15.75" x14ac:dyDescent="0.3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</row>
    <row r="56" spans="1:13" ht="15.75" x14ac:dyDescent="0.3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</row>
    <row r="57" spans="1:13" ht="15.75" x14ac:dyDescent="0.3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</row>
    <row r="58" spans="1:13" ht="15.75" x14ac:dyDescent="0.3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50"/>
  <sheetViews>
    <sheetView workbookViewId="0">
      <selection sqref="A1:A4"/>
    </sheetView>
  </sheetViews>
  <sheetFormatPr defaultRowHeight="15" x14ac:dyDescent="0.25"/>
  <sheetData>
    <row r="1" spans="1:14" ht="15.75" x14ac:dyDescent="0.3">
      <c r="A1" s="3" t="s">
        <v>63</v>
      </c>
      <c r="B1" s="38" t="s">
        <v>196</v>
      </c>
      <c r="C1" s="38"/>
      <c r="D1" s="111"/>
      <c r="E1" s="111"/>
      <c r="F1" s="111"/>
      <c r="G1" s="111"/>
      <c r="H1" s="111"/>
      <c r="I1" s="111"/>
      <c r="J1" s="111"/>
    </row>
    <row r="2" spans="1:14" ht="15.75" x14ac:dyDescent="0.3">
      <c r="A2" s="3" t="s">
        <v>0</v>
      </c>
      <c r="B2" s="38" t="s">
        <v>197</v>
      </c>
      <c r="C2" s="38"/>
      <c r="D2" s="111"/>
      <c r="E2" s="111"/>
      <c r="F2" s="111"/>
      <c r="G2" s="111"/>
      <c r="H2" s="111"/>
      <c r="I2" s="111"/>
      <c r="J2" s="111"/>
    </row>
    <row r="3" spans="1:14" ht="15.75" x14ac:dyDescent="0.3">
      <c r="A3" s="3" t="s">
        <v>2</v>
      </c>
      <c r="B3" s="38" t="s">
        <v>198</v>
      </c>
      <c r="C3" s="38"/>
      <c r="D3" s="111"/>
      <c r="E3" s="111"/>
      <c r="F3" s="111"/>
      <c r="G3" s="111"/>
      <c r="H3" s="111"/>
      <c r="I3" s="111"/>
      <c r="J3" s="111"/>
    </row>
    <row r="4" spans="1:14" x14ac:dyDescent="0.25">
      <c r="A4" s="3" t="s">
        <v>4</v>
      </c>
      <c r="B4" s="38" t="s">
        <v>199</v>
      </c>
      <c r="C4" s="38"/>
    </row>
    <row r="5" spans="1:14" s="62" customFormat="1" x14ac:dyDescent="0.25">
      <c r="A5" s="62" t="s">
        <v>6</v>
      </c>
      <c r="D5" s="62" t="s">
        <v>7</v>
      </c>
      <c r="E5" s="62" t="s">
        <v>8</v>
      </c>
      <c r="F5" s="62" t="s">
        <v>9</v>
      </c>
      <c r="G5" s="62" t="s">
        <v>10</v>
      </c>
      <c r="H5" s="62" t="s">
        <v>11</v>
      </c>
      <c r="I5" s="62" t="s">
        <v>12</v>
      </c>
      <c r="J5" s="62" t="s">
        <v>13</v>
      </c>
      <c r="K5" s="62" t="s">
        <v>14</v>
      </c>
      <c r="L5" s="62" t="s">
        <v>15</v>
      </c>
    </row>
    <row r="6" spans="1:14" s="62" customFormat="1" x14ac:dyDescent="0.25">
      <c r="D6" s="62" t="s">
        <v>16</v>
      </c>
      <c r="E6" s="62" t="s">
        <v>17</v>
      </c>
      <c r="F6" s="62" t="s">
        <v>17</v>
      </c>
      <c r="G6" s="62" t="s">
        <v>18</v>
      </c>
      <c r="H6" s="62" t="s">
        <v>19</v>
      </c>
      <c r="I6" s="62" t="s">
        <v>20</v>
      </c>
      <c r="J6" s="62" t="s">
        <v>19</v>
      </c>
      <c r="K6" s="62" t="s">
        <v>19</v>
      </c>
      <c r="L6" s="62" t="s">
        <v>12</v>
      </c>
      <c r="M6" s="62" t="s">
        <v>13</v>
      </c>
    </row>
    <row r="7" spans="1:14" s="62" customFormat="1" x14ac:dyDescent="0.25">
      <c r="D7" s="62" t="s">
        <v>21</v>
      </c>
      <c r="H7" s="62" t="s">
        <v>22</v>
      </c>
      <c r="I7" s="62" t="s">
        <v>19</v>
      </c>
      <c r="J7" s="62" t="s">
        <v>22</v>
      </c>
      <c r="K7" s="62" t="s">
        <v>22</v>
      </c>
    </row>
    <row r="8" spans="1:14" s="62" customFormat="1" x14ac:dyDescent="0.25">
      <c r="I8" s="62" t="s">
        <v>22</v>
      </c>
    </row>
    <row r="9" spans="1:14" x14ac:dyDescent="0.25">
      <c r="A9" t="s">
        <v>23</v>
      </c>
      <c r="D9">
        <v>62</v>
      </c>
      <c r="E9">
        <v>12.21</v>
      </c>
      <c r="F9">
        <v>5.28</v>
      </c>
      <c r="G9">
        <v>740</v>
      </c>
      <c r="H9">
        <v>9035</v>
      </c>
      <c r="K9">
        <v>9035</v>
      </c>
    </row>
    <row r="10" spans="1:14" x14ac:dyDescent="0.25">
      <c r="A10" t="s">
        <v>174</v>
      </c>
      <c r="D10">
        <v>84</v>
      </c>
      <c r="H10">
        <v>0</v>
      </c>
      <c r="I10">
        <v>7835</v>
      </c>
      <c r="K10">
        <v>7835</v>
      </c>
    </row>
    <row r="11" spans="1:14" x14ac:dyDescent="0.25">
      <c r="A11" t="s">
        <v>175</v>
      </c>
      <c r="D11" t="s">
        <v>176</v>
      </c>
      <c r="E11" t="s">
        <v>176</v>
      </c>
      <c r="F11" t="s">
        <v>177</v>
      </c>
      <c r="G11" t="s">
        <v>178</v>
      </c>
      <c r="H11" t="s">
        <v>179</v>
      </c>
      <c r="K11">
        <v>0</v>
      </c>
      <c r="N11">
        <v>16560</v>
      </c>
    </row>
    <row r="12" spans="1:14" x14ac:dyDescent="0.25">
      <c r="A12" t="s">
        <v>180</v>
      </c>
      <c r="D12">
        <v>100</v>
      </c>
      <c r="E12">
        <v>19.7</v>
      </c>
      <c r="F12">
        <v>5.26</v>
      </c>
      <c r="G12">
        <v>986</v>
      </c>
      <c r="H12">
        <v>19424</v>
      </c>
      <c r="J12" t="s">
        <v>181</v>
      </c>
      <c r="K12">
        <v>23045</v>
      </c>
    </row>
    <row r="13" spans="1:14" x14ac:dyDescent="0.25">
      <c r="A13" t="s">
        <v>182</v>
      </c>
      <c r="D13">
        <v>100</v>
      </c>
      <c r="E13">
        <v>10.3</v>
      </c>
      <c r="F13">
        <v>3.19</v>
      </c>
      <c r="G13">
        <v>889.13</v>
      </c>
      <c r="H13">
        <v>9158</v>
      </c>
      <c r="J13">
        <v>9373</v>
      </c>
      <c r="K13">
        <v>18531</v>
      </c>
    </row>
    <row r="14" spans="1:14" x14ac:dyDescent="0.25">
      <c r="A14" t="s">
        <v>120</v>
      </c>
      <c r="D14">
        <v>100</v>
      </c>
      <c r="E14">
        <v>17</v>
      </c>
      <c r="F14">
        <v>7.26</v>
      </c>
      <c r="G14">
        <v>1040</v>
      </c>
      <c r="H14">
        <v>17680</v>
      </c>
      <c r="J14">
        <v>19377</v>
      </c>
      <c r="K14">
        <v>37057</v>
      </c>
    </row>
    <row r="15" spans="1:14" x14ac:dyDescent="0.25">
      <c r="A15" t="s">
        <v>183</v>
      </c>
      <c r="D15">
        <v>100</v>
      </c>
      <c r="E15">
        <v>16</v>
      </c>
      <c r="F15">
        <v>3.6</v>
      </c>
      <c r="G15">
        <v>612</v>
      </c>
      <c r="H15">
        <v>9792</v>
      </c>
      <c r="K15">
        <v>9792</v>
      </c>
    </row>
    <row r="16" spans="1:14" x14ac:dyDescent="0.25">
      <c r="A16" t="s">
        <v>27</v>
      </c>
      <c r="D16">
        <v>100</v>
      </c>
      <c r="E16">
        <v>5.98</v>
      </c>
      <c r="F16">
        <v>4.6100000000000003</v>
      </c>
      <c r="G16">
        <v>1105</v>
      </c>
      <c r="H16">
        <v>6608</v>
      </c>
      <c r="J16">
        <v>9421</v>
      </c>
      <c r="K16">
        <v>16029</v>
      </c>
    </row>
    <row r="17" spans="1:13" x14ac:dyDescent="0.25">
      <c r="A17" t="s">
        <v>122</v>
      </c>
      <c r="D17">
        <v>84</v>
      </c>
      <c r="E17">
        <v>31</v>
      </c>
      <c r="F17">
        <v>7.3</v>
      </c>
      <c r="G17">
        <v>837.5</v>
      </c>
      <c r="H17">
        <v>25962</v>
      </c>
      <c r="I17">
        <v>3164</v>
      </c>
      <c r="K17">
        <v>29126</v>
      </c>
    </row>
    <row r="18" spans="1:13" x14ac:dyDescent="0.25">
      <c r="A18" t="s">
        <v>184</v>
      </c>
      <c r="H18" t="s">
        <v>185</v>
      </c>
      <c r="I18" t="s">
        <v>185</v>
      </c>
      <c r="J18" t="s">
        <v>185</v>
      </c>
      <c r="K18" t="s">
        <v>185</v>
      </c>
    </row>
    <row r="19" spans="1:13" x14ac:dyDescent="0.25">
      <c r="A19" t="s">
        <v>30</v>
      </c>
      <c r="E19">
        <v>112.19000000000001</v>
      </c>
      <c r="F19">
        <v>36.5</v>
      </c>
      <c r="H19">
        <v>97659</v>
      </c>
      <c r="I19">
        <v>10999</v>
      </c>
      <c r="J19">
        <v>41792</v>
      </c>
      <c r="K19">
        <v>150450</v>
      </c>
      <c r="L19">
        <v>0</v>
      </c>
      <c r="M19">
        <v>0</v>
      </c>
    </row>
    <row r="20" spans="1:13" x14ac:dyDescent="0.25">
      <c r="A20" t="s">
        <v>31</v>
      </c>
      <c r="E20">
        <v>75.690000000000012</v>
      </c>
      <c r="H20">
        <v>65664</v>
      </c>
      <c r="I20">
        <v>10999</v>
      </c>
      <c r="J20">
        <v>41792</v>
      </c>
      <c r="K20">
        <v>118455</v>
      </c>
    </row>
    <row r="21" spans="1:13" x14ac:dyDescent="0.25">
      <c r="A21" t="s">
        <v>160</v>
      </c>
    </row>
    <row r="22" spans="1:13" x14ac:dyDescent="0.25">
      <c r="A22" t="s">
        <v>186</v>
      </c>
    </row>
    <row r="23" spans="1:13" x14ac:dyDescent="0.25">
      <c r="C23" t="s">
        <v>32</v>
      </c>
    </row>
    <row r="25" spans="1:13" x14ac:dyDescent="0.25">
      <c r="A25" t="s">
        <v>35</v>
      </c>
    </row>
    <row r="26" spans="1:13" x14ac:dyDescent="0.25">
      <c r="A26" t="s">
        <v>36</v>
      </c>
      <c r="D26" t="s">
        <v>37</v>
      </c>
      <c r="E26" t="s">
        <v>38</v>
      </c>
      <c r="G26" t="s">
        <v>39</v>
      </c>
    </row>
    <row r="27" spans="1:13" x14ac:dyDescent="0.25">
      <c r="A27" t="s">
        <v>40</v>
      </c>
    </row>
    <row r="28" spans="1:13" x14ac:dyDescent="0.25">
      <c r="A28" t="s">
        <v>187</v>
      </c>
      <c r="D28" t="s">
        <v>41</v>
      </c>
      <c r="E28">
        <v>1.8</v>
      </c>
      <c r="G28">
        <v>5207</v>
      </c>
      <c r="I28" t="s">
        <v>188</v>
      </c>
    </row>
    <row r="29" spans="1:13" x14ac:dyDescent="0.25">
      <c r="I29" t="s">
        <v>189</v>
      </c>
      <c r="J29">
        <v>44.8</v>
      </c>
    </row>
    <row r="30" spans="1:13" x14ac:dyDescent="0.25">
      <c r="I30" t="s">
        <v>190</v>
      </c>
      <c r="J30">
        <v>24.1</v>
      </c>
    </row>
    <row r="31" spans="1:13" x14ac:dyDescent="0.25">
      <c r="A31" t="s">
        <v>45</v>
      </c>
      <c r="I31" t="s">
        <v>191</v>
      </c>
      <c r="J31">
        <v>31</v>
      </c>
    </row>
    <row r="32" spans="1:13" x14ac:dyDescent="0.25">
      <c r="A32" t="s">
        <v>47</v>
      </c>
      <c r="D32" t="s">
        <v>48</v>
      </c>
      <c r="E32">
        <v>76</v>
      </c>
      <c r="G32">
        <v>864</v>
      </c>
    </row>
    <row r="33" spans="1:10" x14ac:dyDescent="0.25">
      <c r="A33" t="s">
        <v>50</v>
      </c>
      <c r="D33" t="s">
        <v>48</v>
      </c>
      <c r="E33">
        <v>37</v>
      </c>
      <c r="I33" t="s">
        <v>33</v>
      </c>
      <c r="J33">
        <v>0.5</v>
      </c>
    </row>
    <row r="34" spans="1:10" x14ac:dyDescent="0.25">
      <c r="A34" t="s">
        <v>8</v>
      </c>
      <c r="E34">
        <v>113</v>
      </c>
      <c r="I34" t="s">
        <v>34</v>
      </c>
      <c r="J34">
        <v>0.25</v>
      </c>
    </row>
    <row r="36" spans="1:10" x14ac:dyDescent="0.25">
      <c r="A36" t="s">
        <v>137</v>
      </c>
      <c r="C36" t="s">
        <v>101</v>
      </c>
    </row>
    <row r="37" spans="1:10" x14ac:dyDescent="0.25">
      <c r="A37" t="s">
        <v>102</v>
      </c>
      <c r="B37" t="s">
        <v>138</v>
      </c>
      <c r="C37">
        <v>62</v>
      </c>
      <c r="D37" t="s">
        <v>41</v>
      </c>
      <c r="E37">
        <v>50</v>
      </c>
      <c r="G37">
        <v>24</v>
      </c>
    </row>
    <row r="38" spans="1:10" x14ac:dyDescent="0.25">
      <c r="B38" t="s">
        <v>192</v>
      </c>
      <c r="C38">
        <v>80</v>
      </c>
      <c r="D38" t="s">
        <v>41</v>
      </c>
      <c r="E38">
        <v>358</v>
      </c>
      <c r="G38">
        <v>26</v>
      </c>
    </row>
    <row r="39" spans="1:10" x14ac:dyDescent="0.25">
      <c r="B39" t="s">
        <v>193</v>
      </c>
      <c r="C39">
        <v>62</v>
      </c>
      <c r="D39" t="s">
        <v>168</v>
      </c>
      <c r="E39">
        <v>49</v>
      </c>
      <c r="G39">
        <v>181</v>
      </c>
    </row>
    <row r="40" spans="1:10" x14ac:dyDescent="0.25">
      <c r="A40" t="s">
        <v>51</v>
      </c>
      <c r="G40" t="s">
        <v>194</v>
      </c>
      <c r="I40" t="s">
        <v>195</v>
      </c>
    </row>
    <row r="41" spans="1:10" x14ac:dyDescent="0.25">
      <c r="A41" t="s">
        <v>54</v>
      </c>
      <c r="G41">
        <v>6443</v>
      </c>
      <c r="I41">
        <v>15921</v>
      </c>
    </row>
    <row r="42" spans="1:10" x14ac:dyDescent="0.25">
      <c r="A42" t="s">
        <v>55</v>
      </c>
      <c r="G42">
        <v>78</v>
      </c>
    </row>
    <row r="43" spans="1:10" x14ac:dyDescent="0.25">
      <c r="A43" t="s">
        <v>56</v>
      </c>
      <c r="G43">
        <v>502554</v>
      </c>
      <c r="I43">
        <v>1241811</v>
      </c>
    </row>
    <row r="44" spans="1:10" x14ac:dyDescent="0.25">
      <c r="A44" t="s">
        <v>57</v>
      </c>
      <c r="G44">
        <v>352104</v>
      </c>
      <c r="I44">
        <v>870049</v>
      </c>
    </row>
    <row r="45" spans="1:10" x14ac:dyDescent="0.25">
      <c r="A45" t="s">
        <v>58</v>
      </c>
      <c r="G45">
        <v>384099</v>
      </c>
      <c r="I45">
        <v>949109</v>
      </c>
    </row>
    <row r="47" spans="1:10" x14ac:dyDescent="0.25">
      <c r="A47" t="s">
        <v>59</v>
      </c>
      <c r="G47">
        <v>23.350923482849606</v>
      </c>
    </row>
    <row r="48" spans="1:10" x14ac:dyDescent="0.25">
      <c r="A48" t="s">
        <v>60</v>
      </c>
      <c r="G48">
        <v>18.385069067204718</v>
      </c>
    </row>
    <row r="50" spans="1:1" x14ac:dyDescent="0.25">
      <c r="A50" t="s">
        <v>170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50"/>
  <sheetViews>
    <sheetView workbookViewId="0">
      <selection sqref="A1:A4"/>
    </sheetView>
  </sheetViews>
  <sheetFormatPr defaultRowHeight="15" x14ac:dyDescent="0.25"/>
  <sheetData>
    <row r="1" spans="1:13" x14ac:dyDescent="0.25">
      <c r="A1" s="3" t="s">
        <v>63</v>
      </c>
      <c r="B1" s="38" t="s">
        <v>217</v>
      </c>
      <c r="C1" s="38"/>
    </row>
    <row r="2" spans="1:13" x14ac:dyDescent="0.25">
      <c r="A2" s="3" t="s">
        <v>0</v>
      </c>
      <c r="B2" s="38" t="s">
        <v>84</v>
      </c>
      <c r="C2" s="38"/>
    </row>
    <row r="3" spans="1:13" x14ac:dyDescent="0.25">
      <c r="A3" s="3" t="s">
        <v>2</v>
      </c>
      <c r="B3" s="38" t="s">
        <v>145</v>
      </c>
      <c r="C3" s="38"/>
    </row>
    <row r="4" spans="1:13" x14ac:dyDescent="0.25">
      <c r="A4" s="3" t="s">
        <v>4</v>
      </c>
      <c r="B4" s="38" t="s">
        <v>216</v>
      </c>
      <c r="C4" s="38"/>
    </row>
    <row r="5" spans="1:13" s="62" customFormat="1" x14ac:dyDescent="0.25">
      <c r="A5" s="62" t="s">
        <v>6</v>
      </c>
      <c r="D5" s="62" t="s">
        <v>7</v>
      </c>
      <c r="E5" s="62" t="s">
        <v>8</v>
      </c>
      <c r="F5" s="62" t="s">
        <v>9</v>
      </c>
      <c r="G5" s="62" t="s">
        <v>10</v>
      </c>
      <c r="H5" s="62" t="s">
        <v>11</v>
      </c>
      <c r="I5" s="62" t="s">
        <v>12</v>
      </c>
      <c r="J5" s="62" t="s">
        <v>13</v>
      </c>
      <c r="K5" s="62" t="s">
        <v>14</v>
      </c>
      <c r="L5" s="62" t="s">
        <v>15</v>
      </c>
    </row>
    <row r="6" spans="1:13" s="62" customFormat="1" x14ac:dyDescent="0.25">
      <c r="D6" s="62" t="s">
        <v>16</v>
      </c>
      <c r="E6" s="62" t="s">
        <v>17</v>
      </c>
      <c r="F6" s="62" t="s">
        <v>17</v>
      </c>
      <c r="G6" s="62" t="s">
        <v>18</v>
      </c>
      <c r="H6" s="62" t="s">
        <v>19</v>
      </c>
      <c r="I6" s="62" t="s">
        <v>20</v>
      </c>
      <c r="J6" s="62" t="s">
        <v>19</v>
      </c>
      <c r="K6" s="62" t="s">
        <v>19</v>
      </c>
      <c r="L6" s="62" t="s">
        <v>12</v>
      </c>
      <c r="M6" s="62" t="s">
        <v>13</v>
      </c>
    </row>
    <row r="7" spans="1:13" s="62" customFormat="1" x14ac:dyDescent="0.25">
      <c r="D7" s="62" t="s">
        <v>21</v>
      </c>
      <c r="H7" s="62" t="s">
        <v>22</v>
      </c>
      <c r="I7" s="62" t="s">
        <v>19</v>
      </c>
      <c r="J7" s="62" t="s">
        <v>22</v>
      </c>
      <c r="K7" s="62" t="s">
        <v>22</v>
      </c>
    </row>
    <row r="8" spans="1:13" s="62" customFormat="1" x14ac:dyDescent="0.25">
      <c r="I8" s="62" t="s">
        <v>22</v>
      </c>
    </row>
    <row r="9" spans="1:13" x14ac:dyDescent="0.25">
      <c r="A9" t="s">
        <v>200</v>
      </c>
      <c r="D9">
        <v>100</v>
      </c>
      <c r="E9">
        <v>4.3</v>
      </c>
      <c r="F9">
        <v>4.3</v>
      </c>
      <c r="G9">
        <v>1000</v>
      </c>
      <c r="H9">
        <v>4300</v>
      </c>
      <c r="J9">
        <v>483</v>
      </c>
      <c r="K9">
        <v>4783</v>
      </c>
    </row>
    <row r="10" spans="1:13" x14ac:dyDescent="0.25">
      <c r="A10" t="s">
        <v>65</v>
      </c>
      <c r="D10">
        <v>82</v>
      </c>
      <c r="E10">
        <v>13.6</v>
      </c>
      <c r="F10">
        <v>10.29</v>
      </c>
      <c r="G10">
        <v>1000</v>
      </c>
      <c r="H10">
        <v>13600</v>
      </c>
      <c r="K10">
        <v>13600</v>
      </c>
    </row>
    <row r="11" spans="1:13" x14ac:dyDescent="0.25">
      <c r="A11" t="s">
        <v>201</v>
      </c>
      <c r="D11">
        <v>58</v>
      </c>
      <c r="G11">
        <v>0</v>
      </c>
      <c r="H11">
        <v>0</v>
      </c>
      <c r="I11">
        <v>6711</v>
      </c>
      <c r="K11">
        <v>6711</v>
      </c>
      <c r="L11">
        <v>1305</v>
      </c>
    </row>
    <row r="12" spans="1:13" x14ac:dyDescent="0.25">
      <c r="A12" t="s">
        <v>202</v>
      </c>
      <c r="D12">
        <v>48</v>
      </c>
      <c r="E12">
        <v>11.13</v>
      </c>
      <c r="F12">
        <v>7.19</v>
      </c>
      <c r="G12">
        <v>1000</v>
      </c>
      <c r="H12">
        <v>11130</v>
      </c>
      <c r="K12">
        <v>11130</v>
      </c>
    </row>
    <row r="13" spans="1:13" x14ac:dyDescent="0.25">
      <c r="A13" t="s">
        <v>157</v>
      </c>
      <c r="D13">
        <v>100</v>
      </c>
      <c r="E13">
        <v>12.54</v>
      </c>
      <c r="F13">
        <v>11.09</v>
      </c>
      <c r="G13">
        <v>1000</v>
      </c>
      <c r="H13">
        <v>12540</v>
      </c>
      <c r="J13">
        <v>1955</v>
      </c>
      <c r="K13">
        <v>14495</v>
      </c>
      <c r="M13">
        <v>419</v>
      </c>
    </row>
    <row r="14" spans="1:13" x14ac:dyDescent="0.25">
      <c r="A14" t="s">
        <v>94</v>
      </c>
      <c r="D14">
        <v>100</v>
      </c>
      <c r="E14">
        <v>8.89</v>
      </c>
      <c r="F14">
        <v>7.94</v>
      </c>
      <c r="G14">
        <v>1000</v>
      </c>
      <c r="H14">
        <v>8890</v>
      </c>
      <c r="J14">
        <v>8846</v>
      </c>
      <c r="K14">
        <v>17736</v>
      </c>
    </row>
    <row r="15" spans="1:13" x14ac:dyDescent="0.25">
      <c r="A15" t="s">
        <v>121</v>
      </c>
      <c r="D15">
        <v>100</v>
      </c>
      <c r="E15">
        <v>19</v>
      </c>
      <c r="F15">
        <v>13.87</v>
      </c>
      <c r="G15">
        <v>1000</v>
      </c>
      <c r="H15">
        <v>19000</v>
      </c>
      <c r="K15">
        <v>19000</v>
      </c>
    </row>
    <row r="16" spans="1:13" x14ac:dyDescent="0.25">
      <c r="A16" t="s">
        <v>68</v>
      </c>
      <c r="D16">
        <v>100</v>
      </c>
      <c r="E16">
        <v>4.5999999999999996</v>
      </c>
      <c r="F16">
        <v>4.5999999999999996</v>
      </c>
      <c r="G16">
        <v>1000</v>
      </c>
      <c r="H16">
        <v>4600</v>
      </c>
      <c r="J16">
        <v>6372</v>
      </c>
      <c r="K16">
        <v>10972</v>
      </c>
    </row>
    <row r="17" spans="1:13" x14ac:dyDescent="0.25">
      <c r="A17" t="s">
        <v>203</v>
      </c>
      <c r="D17">
        <v>100</v>
      </c>
      <c r="E17">
        <v>29</v>
      </c>
      <c r="F17">
        <v>22.72</v>
      </c>
      <c r="G17">
        <v>1000</v>
      </c>
      <c r="H17">
        <v>29000</v>
      </c>
      <c r="K17">
        <v>29000</v>
      </c>
    </row>
    <row r="18" spans="1:13" x14ac:dyDescent="0.25">
      <c r="A18" t="s">
        <v>70</v>
      </c>
      <c r="E18">
        <v>103.06</v>
      </c>
      <c r="F18">
        <v>82</v>
      </c>
      <c r="H18">
        <v>103060</v>
      </c>
      <c r="I18">
        <v>6711</v>
      </c>
      <c r="J18">
        <v>17656</v>
      </c>
      <c r="K18">
        <v>127427</v>
      </c>
      <c r="L18">
        <v>1305</v>
      </c>
      <c r="M18">
        <v>419</v>
      </c>
    </row>
    <row r="19" spans="1:13" x14ac:dyDescent="0.25">
      <c r="A19" t="s">
        <v>71</v>
      </c>
      <c r="E19">
        <v>21.060000000000002</v>
      </c>
      <c r="H19">
        <v>21000</v>
      </c>
      <c r="I19">
        <v>5406</v>
      </c>
      <c r="J19">
        <v>17237</v>
      </c>
      <c r="K19">
        <v>43643</v>
      </c>
    </row>
    <row r="21" spans="1:13" x14ac:dyDescent="0.25">
      <c r="C21" t="s">
        <v>32</v>
      </c>
    </row>
    <row r="23" spans="1:13" x14ac:dyDescent="0.25">
      <c r="A23" t="s">
        <v>35</v>
      </c>
    </row>
    <row r="24" spans="1:13" x14ac:dyDescent="0.25">
      <c r="A24" t="s">
        <v>36</v>
      </c>
      <c r="E24" t="s">
        <v>37</v>
      </c>
      <c r="F24" t="s">
        <v>38</v>
      </c>
      <c r="G24" t="s">
        <v>39</v>
      </c>
      <c r="J24" t="s">
        <v>204</v>
      </c>
    </row>
    <row r="25" spans="1:13" x14ac:dyDescent="0.25">
      <c r="A25" t="s">
        <v>40</v>
      </c>
      <c r="J25" t="s">
        <v>205</v>
      </c>
      <c r="K25">
        <v>77</v>
      </c>
    </row>
    <row r="26" spans="1:13" x14ac:dyDescent="0.25">
      <c r="A26" t="s">
        <v>187</v>
      </c>
      <c r="E26" t="s">
        <v>41</v>
      </c>
      <c r="F26">
        <v>0.65</v>
      </c>
      <c r="G26">
        <v>3008</v>
      </c>
      <c r="J26" t="s">
        <v>206</v>
      </c>
      <c r="K26">
        <v>17</v>
      </c>
    </row>
    <row r="27" spans="1:13" x14ac:dyDescent="0.25">
      <c r="J27" t="s">
        <v>191</v>
      </c>
      <c r="K27">
        <v>6</v>
      </c>
    </row>
    <row r="31" spans="1:13" x14ac:dyDescent="0.25">
      <c r="A31" t="s">
        <v>45</v>
      </c>
    </row>
    <row r="32" spans="1:13" x14ac:dyDescent="0.25">
      <c r="A32" t="s">
        <v>47</v>
      </c>
      <c r="D32" t="s">
        <v>48</v>
      </c>
      <c r="E32">
        <v>21</v>
      </c>
      <c r="G32">
        <v>1000</v>
      </c>
      <c r="J32" t="s">
        <v>207</v>
      </c>
      <c r="K32">
        <v>0.56000000000000005</v>
      </c>
    </row>
    <row r="33" spans="1:11" x14ac:dyDescent="0.25">
      <c r="A33" t="s">
        <v>50</v>
      </c>
      <c r="D33" t="s">
        <v>48</v>
      </c>
      <c r="E33">
        <v>82</v>
      </c>
      <c r="J33" t="s">
        <v>208</v>
      </c>
      <c r="K33">
        <v>0.5</v>
      </c>
    </row>
    <row r="34" spans="1:11" x14ac:dyDescent="0.25">
      <c r="A34" t="s">
        <v>8</v>
      </c>
      <c r="E34">
        <v>103</v>
      </c>
      <c r="J34" t="s">
        <v>209</v>
      </c>
    </row>
    <row r="36" spans="1:11" x14ac:dyDescent="0.25">
      <c r="A36" t="s">
        <v>100</v>
      </c>
      <c r="D36" t="s">
        <v>101</v>
      </c>
    </row>
    <row r="37" spans="1:11" x14ac:dyDescent="0.25">
      <c r="B37" t="s">
        <v>103</v>
      </c>
      <c r="D37">
        <v>68</v>
      </c>
      <c r="E37" t="s">
        <v>210</v>
      </c>
      <c r="F37">
        <v>140</v>
      </c>
      <c r="G37">
        <v>24</v>
      </c>
    </row>
    <row r="38" spans="1:11" x14ac:dyDescent="0.25">
      <c r="B38" t="s">
        <v>211</v>
      </c>
      <c r="D38">
        <v>78</v>
      </c>
      <c r="E38" t="s">
        <v>210</v>
      </c>
      <c r="F38">
        <v>211</v>
      </c>
      <c r="G38">
        <v>26</v>
      </c>
    </row>
    <row r="40" spans="1:11" x14ac:dyDescent="0.25">
      <c r="A40" t="s">
        <v>51</v>
      </c>
      <c r="G40" t="s">
        <v>212</v>
      </c>
      <c r="I40" t="s">
        <v>213</v>
      </c>
    </row>
    <row r="41" spans="1:11" x14ac:dyDescent="0.25">
      <c r="A41" t="s">
        <v>76</v>
      </c>
      <c r="G41">
        <v>2880</v>
      </c>
      <c r="I41">
        <v>7116</v>
      </c>
    </row>
    <row r="42" spans="1:11" x14ac:dyDescent="0.25">
      <c r="A42" t="s">
        <v>214</v>
      </c>
      <c r="G42">
        <v>160</v>
      </c>
    </row>
    <row r="43" spans="1:11" x14ac:dyDescent="0.25">
      <c r="A43" t="s">
        <v>77</v>
      </c>
      <c r="G43">
        <v>460800</v>
      </c>
      <c r="I43">
        <v>1138637</v>
      </c>
    </row>
    <row r="44" spans="1:11" x14ac:dyDescent="0.25">
      <c r="A44" t="s">
        <v>78</v>
      </c>
      <c r="G44">
        <v>333373</v>
      </c>
      <c r="I44">
        <v>823765</v>
      </c>
    </row>
    <row r="45" spans="1:11" x14ac:dyDescent="0.25">
      <c r="A45" t="s">
        <v>79</v>
      </c>
      <c r="G45">
        <v>417157</v>
      </c>
      <c r="I45">
        <v>1030795</v>
      </c>
    </row>
    <row r="46" spans="1:11" x14ac:dyDescent="0.25">
      <c r="A46" t="s">
        <v>80</v>
      </c>
      <c r="G46">
        <v>44.245486111111113</v>
      </c>
    </row>
    <row r="47" spans="1:11" x14ac:dyDescent="0.25">
      <c r="A47" t="s">
        <v>81</v>
      </c>
      <c r="G47">
        <v>15.153819444444444</v>
      </c>
    </row>
    <row r="50" spans="1:1" x14ac:dyDescent="0.25">
      <c r="A50" t="s">
        <v>215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43"/>
  <sheetViews>
    <sheetView workbookViewId="0">
      <selection sqref="A1:A4"/>
    </sheetView>
  </sheetViews>
  <sheetFormatPr defaultRowHeight="15" x14ac:dyDescent="0.25"/>
  <sheetData>
    <row r="1" spans="1:13" x14ac:dyDescent="0.25">
      <c r="A1" s="3" t="s">
        <v>63</v>
      </c>
      <c r="B1" s="38" t="s">
        <v>240</v>
      </c>
      <c r="C1" s="38"/>
    </row>
    <row r="2" spans="1:13" x14ac:dyDescent="0.25">
      <c r="A2" s="3" t="s">
        <v>0</v>
      </c>
      <c r="B2" s="38" t="s">
        <v>241</v>
      </c>
      <c r="C2" s="38"/>
    </row>
    <row r="3" spans="1:13" x14ac:dyDescent="0.25">
      <c r="A3" s="3" t="s">
        <v>2</v>
      </c>
      <c r="B3" s="38" t="s">
        <v>145</v>
      </c>
      <c r="C3" s="38"/>
    </row>
    <row r="4" spans="1:13" x14ac:dyDescent="0.25">
      <c r="A4" s="3" t="s">
        <v>4</v>
      </c>
      <c r="B4" s="38" t="s">
        <v>242</v>
      </c>
      <c r="C4" s="38"/>
    </row>
    <row r="5" spans="1:13" s="62" customFormat="1" x14ac:dyDescent="0.25">
      <c r="A5" s="62" t="s">
        <v>6</v>
      </c>
      <c r="D5" s="62" t="s">
        <v>7</v>
      </c>
      <c r="E5" s="62" t="s">
        <v>8</v>
      </c>
      <c r="F5" s="62" t="s">
        <v>9</v>
      </c>
      <c r="G5" s="62" t="s">
        <v>10</v>
      </c>
      <c r="H5" s="62" t="s">
        <v>11</v>
      </c>
      <c r="I5" s="62" t="s">
        <v>12</v>
      </c>
      <c r="J5" s="62" t="s">
        <v>13</v>
      </c>
      <c r="K5" s="62" t="s">
        <v>14</v>
      </c>
      <c r="L5" s="62" t="s">
        <v>15</v>
      </c>
    </row>
    <row r="6" spans="1:13" s="62" customFormat="1" x14ac:dyDescent="0.25">
      <c r="D6" s="62" t="s">
        <v>16</v>
      </c>
      <c r="E6" s="62" t="s">
        <v>17</v>
      </c>
      <c r="F6" s="62" t="s">
        <v>17</v>
      </c>
      <c r="G6" s="62" t="s">
        <v>18</v>
      </c>
      <c r="H6" s="62" t="s">
        <v>19</v>
      </c>
      <c r="I6" s="62" t="s">
        <v>20</v>
      </c>
      <c r="J6" s="62" t="s">
        <v>19</v>
      </c>
      <c r="K6" s="62" t="s">
        <v>19</v>
      </c>
      <c r="L6" s="62" t="s">
        <v>12</v>
      </c>
      <c r="M6" s="62" t="s">
        <v>13</v>
      </c>
    </row>
    <row r="7" spans="1:13" s="62" customFormat="1" x14ac:dyDescent="0.25">
      <c r="D7" s="62" t="s">
        <v>21</v>
      </c>
      <c r="H7" s="62" t="s">
        <v>22</v>
      </c>
      <c r="I7" s="62" t="s">
        <v>19</v>
      </c>
      <c r="J7" s="62" t="s">
        <v>22</v>
      </c>
      <c r="K7" s="62" t="s">
        <v>22</v>
      </c>
    </row>
    <row r="8" spans="1:13" s="62" customFormat="1" x14ac:dyDescent="0.25">
      <c r="I8" s="62" t="s">
        <v>22</v>
      </c>
    </row>
    <row r="9" spans="1:13" x14ac:dyDescent="0.25">
      <c r="A9" t="s">
        <v>218</v>
      </c>
      <c r="D9">
        <v>88</v>
      </c>
      <c r="E9">
        <v>0.91</v>
      </c>
      <c r="F9">
        <v>0.91</v>
      </c>
      <c r="G9">
        <v>1000</v>
      </c>
      <c r="H9">
        <v>910</v>
      </c>
      <c r="I9">
        <v>5177</v>
      </c>
      <c r="K9">
        <v>6087</v>
      </c>
    </row>
    <row r="10" spans="1:13" x14ac:dyDescent="0.25">
      <c r="A10" t="s">
        <v>219</v>
      </c>
      <c r="D10" t="s">
        <v>220</v>
      </c>
      <c r="E10" t="s">
        <v>221</v>
      </c>
      <c r="F10" t="s">
        <v>222</v>
      </c>
      <c r="G10" t="s">
        <v>223</v>
      </c>
      <c r="I10" t="s">
        <v>224</v>
      </c>
      <c r="K10">
        <v>0</v>
      </c>
    </row>
    <row r="11" spans="1:13" x14ac:dyDescent="0.25">
      <c r="A11" t="s">
        <v>182</v>
      </c>
      <c r="D11">
        <v>100</v>
      </c>
      <c r="E11">
        <v>2.14</v>
      </c>
      <c r="F11">
        <v>1.72</v>
      </c>
      <c r="G11">
        <v>1178</v>
      </c>
      <c r="H11">
        <v>2521</v>
      </c>
      <c r="J11">
        <v>2300</v>
      </c>
      <c r="K11">
        <v>4821</v>
      </c>
    </row>
    <row r="12" spans="1:13" x14ac:dyDescent="0.25">
      <c r="A12" t="s">
        <v>120</v>
      </c>
      <c r="D12">
        <v>58</v>
      </c>
      <c r="E12">
        <v>0.98</v>
      </c>
      <c r="F12">
        <v>0.88</v>
      </c>
      <c r="G12">
        <v>800</v>
      </c>
      <c r="H12">
        <v>784</v>
      </c>
      <c r="J12">
        <v>638</v>
      </c>
      <c r="K12">
        <v>1422</v>
      </c>
    </row>
    <row r="13" spans="1:13" x14ac:dyDescent="0.25">
      <c r="A13" t="s">
        <v>225</v>
      </c>
      <c r="D13">
        <v>80</v>
      </c>
      <c r="E13">
        <v>0.69</v>
      </c>
      <c r="F13">
        <v>0.56999999999999995</v>
      </c>
      <c r="G13">
        <v>1073</v>
      </c>
      <c r="H13">
        <v>740</v>
      </c>
      <c r="J13">
        <v>1035</v>
      </c>
      <c r="K13">
        <v>1775</v>
      </c>
    </row>
    <row r="14" spans="1:13" x14ac:dyDescent="0.25">
      <c r="A14" t="s">
        <v>226</v>
      </c>
      <c r="D14">
        <v>88</v>
      </c>
      <c r="E14">
        <v>6.25</v>
      </c>
      <c r="F14">
        <v>4.25</v>
      </c>
      <c r="G14">
        <v>863</v>
      </c>
      <c r="H14">
        <v>5394</v>
      </c>
      <c r="K14">
        <v>5394</v>
      </c>
    </row>
    <row r="15" spans="1:13" x14ac:dyDescent="0.25">
      <c r="A15" t="s">
        <v>27</v>
      </c>
      <c r="D15">
        <v>80</v>
      </c>
      <c r="E15">
        <v>0.65</v>
      </c>
      <c r="F15">
        <v>0.52</v>
      </c>
      <c r="G15">
        <v>1067</v>
      </c>
      <c r="H15">
        <v>694</v>
      </c>
      <c r="J15">
        <v>975</v>
      </c>
      <c r="K15">
        <v>1669</v>
      </c>
    </row>
    <row r="16" spans="1:13" x14ac:dyDescent="0.25">
      <c r="A16" t="s">
        <v>227</v>
      </c>
      <c r="D16">
        <v>100</v>
      </c>
      <c r="E16">
        <v>13.2</v>
      </c>
      <c r="F16">
        <v>8.1999999999999993</v>
      </c>
      <c r="G16">
        <v>921</v>
      </c>
      <c r="H16">
        <v>12157</v>
      </c>
      <c r="K16">
        <v>12157</v>
      </c>
    </row>
    <row r="17" spans="1:13" x14ac:dyDescent="0.25">
      <c r="A17" t="s">
        <v>228</v>
      </c>
      <c r="D17">
        <v>84</v>
      </c>
      <c r="E17">
        <v>3.15</v>
      </c>
      <c r="F17">
        <v>2.13</v>
      </c>
      <c r="G17">
        <v>1000</v>
      </c>
      <c r="H17">
        <v>3150</v>
      </c>
      <c r="K17">
        <v>3150</v>
      </c>
    </row>
    <row r="18" spans="1:13" x14ac:dyDescent="0.25">
      <c r="A18" t="s">
        <v>229</v>
      </c>
      <c r="D18" t="s">
        <v>230</v>
      </c>
      <c r="E18" t="s">
        <v>231</v>
      </c>
      <c r="F18" t="s">
        <v>231</v>
      </c>
      <c r="G18" t="s">
        <v>223</v>
      </c>
      <c r="H18">
        <v>0</v>
      </c>
      <c r="I18" t="s">
        <v>232</v>
      </c>
      <c r="K18">
        <v>0</v>
      </c>
    </row>
    <row r="19" spans="1:13" x14ac:dyDescent="0.25">
      <c r="A19" t="s">
        <v>30</v>
      </c>
      <c r="E19">
        <v>27.97</v>
      </c>
      <c r="F19">
        <v>19.179999999999996</v>
      </c>
      <c r="H19">
        <v>26350</v>
      </c>
      <c r="I19">
        <v>5177</v>
      </c>
      <c r="J19">
        <v>4948</v>
      </c>
      <c r="K19">
        <v>36475</v>
      </c>
      <c r="L19">
        <v>0</v>
      </c>
      <c r="M19">
        <v>0</v>
      </c>
    </row>
    <row r="20" spans="1:13" x14ac:dyDescent="0.25">
      <c r="A20" t="s">
        <v>31</v>
      </c>
      <c r="E20">
        <v>8.7900000000000027</v>
      </c>
      <c r="H20">
        <v>8469</v>
      </c>
      <c r="I20">
        <v>5177</v>
      </c>
      <c r="J20">
        <v>4948</v>
      </c>
      <c r="K20">
        <v>18594</v>
      </c>
    </row>
    <row r="21" spans="1:13" x14ac:dyDescent="0.25">
      <c r="C21" t="s">
        <v>32</v>
      </c>
    </row>
    <row r="22" spans="1:13" x14ac:dyDescent="0.25">
      <c r="A22" t="s">
        <v>35</v>
      </c>
    </row>
    <row r="23" spans="1:13" x14ac:dyDescent="0.25">
      <c r="A23" t="s">
        <v>36</v>
      </c>
      <c r="D23" t="s">
        <v>37</v>
      </c>
      <c r="E23" t="s">
        <v>38</v>
      </c>
      <c r="G23" t="s">
        <v>39</v>
      </c>
      <c r="I23" t="s">
        <v>72</v>
      </c>
      <c r="J23" t="s">
        <v>134</v>
      </c>
    </row>
    <row r="24" spans="1:13" x14ac:dyDescent="0.25">
      <c r="A24" t="s">
        <v>40</v>
      </c>
      <c r="I24" t="s">
        <v>233</v>
      </c>
      <c r="J24">
        <v>80</v>
      </c>
    </row>
    <row r="25" spans="1:13" x14ac:dyDescent="0.25">
      <c r="A25" t="s">
        <v>234</v>
      </c>
      <c r="D25" t="s">
        <v>41</v>
      </c>
      <c r="E25">
        <v>10.9</v>
      </c>
      <c r="G25">
        <v>211</v>
      </c>
      <c r="I25" t="s">
        <v>235</v>
      </c>
      <c r="J25">
        <v>13</v>
      </c>
    </row>
    <row r="26" spans="1:13" x14ac:dyDescent="0.25">
      <c r="A26" t="s">
        <v>45</v>
      </c>
      <c r="I26" t="s">
        <v>236</v>
      </c>
      <c r="J26">
        <v>7</v>
      </c>
    </row>
    <row r="27" spans="1:13" x14ac:dyDescent="0.25">
      <c r="A27" t="s">
        <v>47</v>
      </c>
      <c r="D27" t="s">
        <v>48</v>
      </c>
      <c r="E27">
        <v>9</v>
      </c>
      <c r="G27">
        <v>941</v>
      </c>
    </row>
    <row r="28" spans="1:13" x14ac:dyDescent="0.25">
      <c r="A28" t="s">
        <v>50</v>
      </c>
      <c r="D28" t="s">
        <v>48</v>
      </c>
      <c r="E28">
        <v>19</v>
      </c>
    </row>
    <row r="29" spans="1:13" x14ac:dyDescent="0.25">
      <c r="A29" t="s">
        <v>8</v>
      </c>
      <c r="E29">
        <v>28</v>
      </c>
      <c r="I29" t="s">
        <v>33</v>
      </c>
      <c r="J29">
        <v>1.84</v>
      </c>
    </row>
    <row r="30" spans="1:13" x14ac:dyDescent="0.25">
      <c r="A30" t="s">
        <v>137</v>
      </c>
      <c r="C30" t="s">
        <v>101</v>
      </c>
      <c r="I30" t="s">
        <v>34</v>
      </c>
      <c r="J30">
        <v>1</v>
      </c>
    </row>
    <row r="31" spans="1:13" x14ac:dyDescent="0.25">
      <c r="B31" t="s">
        <v>237</v>
      </c>
      <c r="C31">
        <v>56</v>
      </c>
      <c r="E31">
        <v>1</v>
      </c>
      <c r="G31">
        <v>638</v>
      </c>
    </row>
    <row r="32" spans="1:13" x14ac:dyDescent="0.25">
      <c r="A32" t="s">
        <v>51</v>
      </c>
      <c r="I32" t="s">
        <v>75</v>
      </c>
    </row>
    <row r="33" spans="1:9" x14ac:dyDescent="0.25">
      <c r="A33" t="s">
        <v>54</v>
      </c>
      <c r="G33">
        <v>307</v>
      </c>
      <c r="I33">
        <v>759</v>
      </c>
    </row>
    <row r="34" spans="1:9" x14ac:dyDescent="0.25">
      <c r="A34" t="s">
        <v>55</v>
      </c>
      <c r="G34">
        <v>167</v>
      </c>
    </row>
    <row r="35" spans="1:9" x14ac:dyDescent="0.25">
      <c r="A35" t="s">
        <v>56</v>
      </c>
      <c r="G35">
        <v>51269</v>
      </c>
      <c r="I35">
        <v>126686</v>
      </c>
    </row>
    <row r="36" spans="1:9" x14ac:dyDescent="0.25">
      <c r="A36" t="s">
        <v>57</v>
      </c>
      <c r="G36">
        <v>14794</v>
      </c>
      <c r="I36">
        <v>36556</v>
      </c>
    </row>
    <row r="37" spans="1:9" x14ac:dyDescent="0.25">
      <c r="A37" t="s">
        <v>58</v>
      </c>
      <c r="G37">
        <v>32675</v>
      </c>
      <c r="I37">
        <v>80740</v>
      </c>
    </row>
    <row r="38" spans="1:9" x14ac:dyDescent="0.25">
      <c r="A38" t="s">
        <v>59</v>
      </c>
      <c r="G38">
        <v>118.81107491856677</v>
      </c>
    </row>
    <row r="39" spans="1:9" x14ac:dyDescent="0.25">
      <c r="A39" t="s">
        <v>60</v>
      </c>
      <c r="G39">
        <v>60.566775244299677</v>
      </c>
    </row>
    <row r="41" spans="1:9" x14ac:dyDescent="0.25">
      <c r="A41" t="s">
        <v>170</v>
      </c>
    </row>
    <row r="43" spans="1:9" x14ac:dyDescent="0.25">
      <c r="A43" t="s">
        <v>238</v>
      </c>
      <c r="D43" t="s">
        <v>239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7"/>
  <sheetViews>
    <sheetView workbookViewId="0">
      <selection sqref="A1:A4"/>
    </sheetView>
  </sheetViews>
  <sheetFormatPr defaultRowHeight="15" x14ac:dyDescent="0.25"/>
  <sheetData>
    <row r="1" spans="1:13" x14ac:dyDescent="0.25">
      <c r="A1" s="3" t="s">
        <v>63</v>
      </c>
      <c r="B1" s="38" t="s">
        <v>249</v>
      </c>
      <c r="C1" s="38"/>
      <c r="D1" s="38"/>
    </row>
    <row r="2" spans="1:13" x14ac:dyDescent="0.25">
      <c r="A2" s="3" t="s">
        <v>0</v>
      </c>
      <c r="B2" s="38" t="s">
        <v>250</v>
      </c>
      <c r="C2" s="38"/>
      <c r="D2" s="38"/>
    </row>
    <row r="3" spans="1:13" x14ac:dyDescent="0.25">
      <c r="A3" s="3" t="s">
        <v>2</v>
      </c>
      <c r="B3" s="38" t="s">
        <v>145</v>
      </c>
      <c r="C3" s="38"/>
      <c r="D3" s="38"/>
    </row>
    <row r="4" spans="1:13" x14ac:dyDescent="0.25">
      <c r="A4" s="3" t="s">
        <v>4</v>
      </c>
      <c r="B4" s="38" t="s">
        <v>251</v>
      </c>
      <c r="C4" s="38"/>
      <c r="D4" s="38"/>
    </row>
    <row r="5" spans="1:13" s="62" customFormat="1" x14ac:dyDescent="0.25">
      <c r="A5" s="62" t="s">
        <v>6</v>
      </c>
      <c r="D5" s="62" t="s">
        <v>7</v>
      </c>
      <c r="E5" s="62" t="s">
        <v>8</v>
      </c>
      <c r="F5" s="62" t="s">
        <v>9</v>
      </c>
      <c r="G5" s="62" t="s">
        <v>10</v>
      </c>
      <c r="H5" s="62" t="s">
        <v>11</v>
      </c>
      <c r="I5" s="62" t="s">
        <v>12</v>
      </c>
      <c r="J5" s="62" t="s">
        <v>13</v>
      </c>
      <c r="K5" s="62" t="s">
        <v>14</v>
      </c>
      <c r="L5" s="62" t="s">
        <v>15</v>
      </c>
    </row>
    <row r="6" spans="1:13" s="62" customFormat="1" x14ac:dyDescent="0.25">
      <c r="D6" s="62" t="s">
        <v>16</v>
      </c>
      <c r="E6" s="62" t="s">
        <v>17</v>
      </c>
      <c r="F6" s="62" t="s">
        <v>17</v>
      </c>
      <c r="G6" s="62" t="s">
        <v>18</v>
      </c>
      <c r="H6" s="62" t="s">
        <v>19</v>
      </c>
      <c r="I6" s="62" t="s">
        <v>20</v>
      </c>
      <c r="J6" s="62" t="s">
        <v>19</v>
      </c>
      <c r="K6" s="62" t="s">
        <v>19</v>
      </c>
      <c r="L6" s="62" t="s">
        <v>12</v>
      </c>
      <c r="M6" s="62" t="s">
        <v>13</v>
      </c>
    </row>
    <row r="7" spans="1:13" s="62" customFormat="1" x14ac:dyDescent="0.25">
      <c r="D7" s="62" t="s">
        <v>21</v>
      </c>
      <c r="H7" s="62" t="s">
        <v>22</v>
      </c>
      <c r="I7" s="62" t="s">
        <v>19</v>
      </c>
      <c r="J7" s="62" t="s">
        <v>22</v>
      </c>
      <c r="K7" s="62" t="s">
        <v>22</v>
      </c>
    </row>
    <row r="8" spans="1:13" s="62" customFormat="1" x14ac:dyDescent="0.25">
      <c r="I8" s="62" t="s">
        <v>22</v>
      </c>
    </row>
    <row r="9" spans="1:13" x14ac:dyDescent="0.25">
      <c r="A9" t="s">
        <v>23</v>
      </c>
      <c r="D9">
        <v>84</v>
      </c>
      <c r="E9">
        <v>7.5</v>
      </c>
      <c r="F9">
        <v>3.1</v>
      </c>
      <c r="G9">
        <v>1120</v>
      </c>
      <c r="H9">
        <v>8400</v>
      </c>
      <c r="K9">
        <v>8400</v>
      </c>
    </row>
    <row r="10" spans="1:13" x14ac:dyDescent="0.25">
      <c r="A10" t="s">
        <v>243</v>
      </c>
      <c r="D10" t="s">
        <v>176</v>
      </c>
      <c r="I10" t="s">
        <v>244</v>
      </c>
      <c r="K10">
        <v>0</v>
      </c>
    </row>
    <row r="11" spans="1:13" x14ac:dyDescent="0.25">
      <c r="A11" t="s">
        <v>26</v>
      </c>
      <c r="D11">
        <v>100</v>
      </c>
      <c r="E11">
        <v>5.5</v>
      </c>
      <c r="F11">
        <v>1.2</v>
      </c>
      <c r="G11">
        <v>1128</v>
      </c>
      <c r="H11">
        <v>6204</v>
      </c>
      <c r="J11">
        <v>1186</v>
      </c>
      <c r="K11">
        <v>7390</v>
      </c>
    </row>
    <row r="12" spans="1:13" x14ac:dyDescent="0.25">
      <c r="A12" t="s">
        <v>245</v>
      </c>
      <c r="D12">
        <v>100</v>
      </c>
      <c r="E12">
        <v>6.8</v>
      </c>
      <c r="F12">
        <v>1</v>
      </c>
      <c r="G12">
        <v>1130</v>
      </c>
      <c r="H12">
        <v>7684</v>
      </c>
      <c r="K12">
        <v>7684</v>
      </c>
    </row>
    <row r="13" spans="1:13" x14ac:dyDescent="0.25">
      <c r="A13" t="s">
        <v>246</v>
      </c>
      <c r="D13">
        <v>100</v>
      </c>
      <c r="E13">
        <v>5.5</v>
      </c>
      <c r="F13">
        <v>2.8</v>
      </c>
      <c r="G13">
        <v>1125</v>
      </c>
      <c r="H13">
        <v>6187</v>
      </c>
      <c r="K13">
        <v>6187</v>
      </c>
    </row>
    <row r="14" spans="1:13" x14ac:dyDescent="0.25">
      <c r="A14" t="s">
        <v>30</v>
      </c>
      <c r="E14">
        <v>25.3</v>
      </c>
      <c r="F14">
        <v>8.1</v>
      </c>
      <c r="H14">
        <v>28475</v>
      </c>
      <c r="I14">
        <v>0</v>
      </c>
      <c r="J14">
        <v>1186</v>
      </c>
      <c r="K14">
        <v>29661</v>
      </c>
      <c r="L14">
        <v>0</v>
      </c>
      <c r="M14">
        <v>0</v>
      </c>
    </row>
    <row r="15" spans="1:13" x14ac:dyDescent="0.25">
      <c r="A15" t="s">
        <v>31</v>
      </c>
      <c r="E15">
        <v>17.200000000000003</v>
      </c>
      <c r="H15">
        <v>19363</v>
      </c>
      <c r="I15">
        <v>0</v>
      </c>
      <c r="J15">
        <v>1186</v>
      </c>
      <c r="K15">
        <v>20549</v>
      </c>
    </row>
    <row r="16" spans="1:13" x14ac:dyDescent="0.25">
      <c r="C16" t="s">
        <v>32</v>
      </c>
    </row>
    <row r="17" spans="1:11" x14ac:dyDescent="0.25">
      <c r="A17" t="s">
        <v>35</v>
      </c>
    </row>
    <row r="18" spans="1:11" x14ac:dyDescent="0.25">
      <c r="A18" t="s">
        <v>36</v>
      </c>
      <c r="D18" t="s">
        <v>37</v>
      </c>
      <c r="E18" t="s">
        <v>38</v>
      </c>
      <c r="G18" t="s">
        <v>39</v>
      </c>
      <c r="J18" t="s">
        <v>33</v>
      </c>
      <c r="K18">
        <v>2.8</v>
      </c>
    </row>
    <row r="19" spans="1:11" x14ac:dyDescent="0.25">
      <c r="A19" t="s">
        <v>40</v>
      </c>
      <c r="J19" t="s">
        <v>34</v>
      </c>
      <c r="K19">
        <v>3</v>
      </c>
    </row>
    <row r="20" spans="1:11" x14ac:dyDescent="0.25">
      <c r="A20" t="s">
        <v>26</v>
      </c>
      <c r="D20" t="s">
        <v>41</v>
      </c>
      <c r="E20">
        <v>3.9</v>
      </c>
      <c r="G20">
        <v>304</v>
      </c>
    </row>
    <row r="21" spans="1:11" x14ac:dyDescent="0.25">
      <c r="J21" t="s">
        <v>247</v>
      </c>
    </row>
    <row r="22" spans="1:11" x14ac:dyDescent="0.25">
      <c r="A22" t="s">
        <v>45</v>
      </c>
      <c r="J22" t="s">
        <v>235</v>
      </c>
      <c r="K22">
        <v>100</v>
      </c>
    </row>
    <row r="23" spans="1:11" x14ac:dyDescent="0.25">
      <c r="A23" t="s">
        <v>47</v>
      </c>
      <c r="D23" t="s">
        <v>48</v>
      </c>
      <c r="E23">
        <v>17</v>
      </c>
      <c r="G23">
        <v>1139</v>
      </c>
    </row>
    <row r="24" spans="1:11" x14ac:dyDescent="0.25">
      <c r="A24" t="s">
        <v>50</v>
      </c>
      <c r="D24" t="s">
        <v>48</v>
      </c>
      <c r="E24">
        <v>8</v>
      </c>
    </row>
    <row r="25" spans="1:11" x14ac:dyDescent="0.25">
      <c r="A25" t="s">
        <v>8</v>
      </c>
      <c r="E25">
        <v>25</v>
      </c>
    </row>
    <row r="27" spans="1:11" x14ac:dyDescent="0.25">
      <c r="A27" t="s">
        <v>51</v>
      </c>
      <c r="H27" t="s">
        <v>195</v>
      </c>
    </row>
    <row r="28" spans="1:11" x14ac:dyDescent="0.25">
      <c r="A28" t="s">
        <v>54</v>
      </c>
      <c r="G28">
        <v>296</v>
      </c>
      <c r="H28">
        <v>731</v>
      </c>
    </row>
    <row r="29" spans="1:11" x14ac:dyDescent="0.25">
      <c r="A29" t="s">
        <v>55</v>
      </c>
      <c r="G29">
        <v>224</v>
      </c>
    </row>
    <row r="30" spans="1:11" x14ac:dyDescent="0.25">
      <c r="A30" t="s">
        <v>56</v>
      </c>
      <c r="G30">
        <v>66304</v>
      </c>
      <c r="H30">
        <v>163837</v>
      </c>
    </row>
    <row r="31" spans="1:11" x14ac:dyDescent="0.25">
      <c r="A31" t="s">
        <v>57</v>
      </c>
      <c r="G31">
        <v>36643</v>
      </c>
      <c r="H31">
        <v>90545</v>
      </c>
    </row>
    <row r="32" spans="1:11" x14ac:dyDescent="0.25">
      <c r="A32" t="s">
        <v>58</v>
      </c>
      <c r="G32">
        <v>45755</v>
      </c>
      <c r="H32">
        <v>113061</v>
      </c>
    </row>
    <row r="34" spans="1:7" x14ac:dyDescent="0.25">
      <c r="A34" t="s">
        <v>59</v>
      </c>
      <c r="G34">
        <v>100.20608108108108</v>
      </c>
    </row>
    <row r="35" spans="1:7" x14ac:dyDescent="0.25">
      <c r="A35" t="s">
        <v>60</v>
      </c>
      <c r="G35">
        <v>69.422297297297291</v>
      </c>
    </row>
    <row r="37" spans="1:7" x14ac:dyDescent="0.25">
      <c r="A37" t="s">
        <v>170</v>
      </c>
      <c r="C37" t="s">
        <v>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7"/>
  <sheetViews>
    <sheetView topLeftCell="C1" workbookViewId="0">
      <selection activeCell="C1" sqref="C1:C4"/>
    </sheetView>
  </sheetViews>
  <sheetFormatPr defaultRowHeight="15" x14ac:dyDescent="0.25"/>
  <sheetData>
    <row r="1" spans="1:13" x14ac:dyDescent="0.25">
      <c r="A1" s="3" t="s">
        <v>63</v>
      </c>
      <c r="C1" s="3" t="s">
        <v>63</v>
      </c>
      <c r="D1" s="38" t="s">
        <v>261</v>
      </c>
      <c r="E1" s="38"/>
      <c r="F1" s="38"/>
      <c r="G1" s="38"/>
    </row>
    <row r="2" spans="1:13" x14ac:dyDescent="0.25">
      <c r="A2" s="3" t="s">
        <v>0</v>
      </c>
      <c r="C2" s="3" t="s">
        <v>0</v>
      </c>
      <c r="D2" s="38" t="s">
        <v>250</v>
      </c>
      <c r="E2" s="38"/>
      <c r="F2" s="38"/>
      <c r="G2" s="38"/>
    </row>
    <row r="3" spans="1:13" x14ac:dyDescent="0.25">
      <c r="A3" s="3" t="s">
        <v>2</v>
      </c>
      <c r="C3" s="3" t="s">
        <v>2</v>
      </c>
      <c r="D3" s="38" t="s">
        <v>262</v>
      </c>
      <c r="E3" s="38"/>
      <c r="F3" s="38"/>
      <c r="G3" s="38"/>
    </row>
    <row r="4" spans="1:13" x14ac:dyDescent="0.25">
      <c r="A4" s="3" t="s">
        <v>4</v>
      </c>
      <c r="C4" s="3" t="s">
        <v>4</v>
      </c>
      <c r="D4" s="38" t="s">
        <v>251</v>
      </c>
      <c r="E4" s="38"/>
      <c r="F4" s="38"/>
      <c r="G4" s="38"/>
    </row>
    <row r="5" spans="1:13" s="62" customFormat="1" x14ac:dyDescent="0.25">
      <c r="A5" s="62" t="s">
        <v>6</v>
      </c>
      <c r="D5" s="62" t="s">
        <v>7</v>
      </c>
      <c r="E5" s="62" t="s">
        <v>8</v>
      </c>
      <c r="F5" s="62" t="s">
        <v>9</v>
      </c>
      <c r="G5" s="62" t="s">
        <v>10</v>
      </c>
      <c r="H5" s="62" t="s">
        <v>11</v>
      </c>
      <c r="I5" s="62" t="s">
        <v>12</v>
      </c>
      <c r="J5" s="62" t="s">
        <v>13</v>
      </c>
      <c r="K5" s="62" t="s">
        <v>14</v>
      </c>
      <c r="L5" s="62" t="s">
        <v>15</v>
      </c>
    </row>
    <row r="6" spans="1:13" s="62" customFormat="1" x14ac:dyDescent="0.25">
      <c r="D6" s="62" t="s">
        <v>16</v>
      </c>
      <c r="E6" s="62" t="s">
        <v>17</v>
      </c>
      <c r="F6" s="62" t="s">
        <v>17</v>
      </c>
      <c r="G6" s="62" t="s">
        <v>18</v>
      </c>
      <c r="H6" s="62" t="s">
        <v>19</v>
      </c>
      <c r="I6" s="62" t="s">
        <v>20</v>
      </c>
      <c r="J6" s="62" t="s">
        <v>19</v>
      </c>
      <c r="K6" s="62" t="s">
        <v>19</v>
      </c>
      <c r="L6" s="62" t="s">
        <v>12</v>
      </c>
      <c r="M6" s="62" t="s">
        <v>13</v>
      </c>
    </row>
    <row r="7" spans="1:13" s="62" customFormat="1" x14ac:dyDescent="0.25">
      <c r="D7" s="62" t="s">
        <v>21</v>
      </c>
      <c r="H7" s="62" t="s">
        <v>22</v>
      </c>
      <c r="I7" s="62" t="s">
        <v>19</v>
      </c>
      <c r="J7" s="62" t="s">
        <v>22</v>
      </c>
      <c r="K7" s="62" t="s">
        <v>22</v>
      </c>
    </row>
    <row r="8" spans="1:13" x14ac:dyDescent="0.25">
      <c r="A8" t="s">
        <v>23</v>
      </c>
      <c r="D8">
        <v>70</v>
      </c>
      <c r="E8">
        <v>5.7</v>
      </c>
      <c r="F8">
        <v>2.9</v>
      </c>
      <c r="G8">
        <v>1290</v>
      </c>
      <c r="H8">
        <v>7353</v>
      </c>
      <c r="K8">
        <v>7353</v>
      </c>
    </row>
    <row r="9" spans="1:13" x14ac:dyDescent="0.25">
      <c r="A9" t="s">
        <v>252</v>
      </c>
      <c r="D9">
        <v>100</v>
      </c>
      <c r="H9">
        <v>0</v>
      </c>
      <c r="I9">
        <v>3462</v>
      </c>
      <c r="K9">
        <v>3462</v>
      </c>
    </row>
    <row r="10" spans="1:13" x14ac:dyDescent="0.25">
      <c r="A10" t="s">
        <v>26</v>
      </c>
      <c r="D10">
        <v>100</v>
      </c>
      <c r="E10">
        <v>1.1000000000000001</v>
      </c>
      <c r="F10">
        <v>0.8</v>
      </c>
      <c r="G10">
        <v>1280</v>
      </c>
      <c r="H10">
        <v>1408</v>
      </c>
      <c r="J10">
        <v>3509.2000000000003</v>
      </c>
      <c r="K10">
        <v>4917.2000000000007</v>
      </c>
    </row>
    <row r="11" spans="1:13" x14ac:dyDescent="0.25">
      <c r="A11" t="s">
        <v>27</v>
      </c>
      <c r="D11">
        <v>97</v>
      </c>
      <c r="E11">
        <v>1.1000000000000001</v>
      </c>
      <c r="F11">
        <v>0.5</v>
      </c>
      <c r="G11">
        <v>1500</v>
      </c>
      <c r="H11">
        <v>1650.0000000000002</v>
      </c>
      <c r="J11">
        <v>4175</v>
      </c>
      <c r="K11">
        <v>5825</v>
      </c>
    </row>
    <row r="12" spans="1:13" x14ac:dyDescent="0.25">
      <c r="A12" t="s">
        <v>245</v>
      </c>
      <c r="D12">
        <v>100</v>
      </c>
      <c r="E12">
        <v>11.8</v>
      </c>
      <c r="F12">
        <v>0.4</v>
      </c>
      <c r="G12">
        <v>980</v>
      </c>
      <c r="H12">
        <v>11564</v>
      </c>
      <c r="K12">
        <v>11564</v>
      </c>
    </row>
    <row r="13" spans="1:13" x14ac:dyDescent="0.25">
      <c r="A13" t="s">
        <v>253</v>
      </c>
      <c r="D13">
        <v>100</v>
      </c>
      <c r="E13">
        <v>2</v>
      </c>
      <c r="F13">
        <v>1.2</v>
      </c>
      <c r="G13">
        <v>1280</v>
      </c>
      <c r="H13">
        <v>2560</v>
      </c>
      <c r="K13">
        <v>2560</v>
      </c>
    </row>
    <row r="14" spans="1:13" x14ac:dyDescent="0.25">
      <c r="A14" t="s">
        <v>30</v>
      </c>
      <c r="E14">
        <v>21.700000000000003</v>
      </c>
      <c r="F14">
        <v>5.8000000000000007</v>
      </c>
      <c r="H14">
        <v>24535</v>
      </c>
      <c r="I14">
        <v>3462</v>
      </c>
      <c r="J14">
        <v>7684.2000000000007</v>
      </c>
      <c r="K14">
        <v>35681.199999999997</v>
      </c>
      <c r="L14">
        <v>0</v>
      </c>
      <c r="M14">
        <v>0</v>
      </c>
    </row>
    <row r="15" spans="1:13" x14ac:dyDescent="0.25">
      <c r="A15" t="s">
        <v>31</v>
      </c>
      <c r="E15">
        <v>15.900000000000002</v>
      </c>
      <c r="H15">
        <v>17977.258064516129</v>
      </c>
      <c r="I15">
        <v>3462</v>
      </c>
      <c r="J15">
        <v>7684.2000000000007</v>
      </c>
      <c r="K15">
        <v>29123.45806451613</v>
      </c>
    </row>
    <row r="16" spans="1:13" x14ac:dyDescent="0.25">
      <c r="C16" t="s">
        <v>32</v>
      </c>
    </row>
    <row r="18" spans="1:11" x14ac:dyDescent="0.25">
      <c r="A18" t="s">
        <v>35</v>
      </c>
    </row>
    <row r="19" spans="1:11" x14ac:dyDescent="0.25">
      <c r="A19" t="s">
        <v>36</v>
      </c>
      <c r="D19" t="s">
        <v>37</v>
      </c>
      <c r="E19" t="s">
        <v>38</v>
      </c>
      <c r="G19" t="s">
        <v>39</v>
      </c>
      <c r="J19" t="s">
        <v>33</v>
      </c>
      <c r="K19">
        <v>2.2000000000000002</v>
      </c>
    </row>
    <row r="20" spans="1:11" x14ac:dyDescent="0.25">
      <c r="A20" t="s">
        <v>40</v>
      </c>
      <c r="J20" t="s">
        <v>254</v>
      </c>
      <c r="K20">
        <v>2</v>
      </c>
    </row>
    <row r="21" spans="1:11" x14ac:dyDescent="0.25">
      <c r="A21" t="s">
        <v>255</v>
      </c>
      <c r="D21" t="s">
        <v>256</v>
      </c>
      <c r="E21">
        <v>12.4</v>
      </c>
      <c r="G21">
        <v>283</v>
      </c>
    </row>
    <row r="22" spans="1:11" x14ac:dyDescent="0.25">
      <c r="A22" t="s">
        <v>45</v>
      </c>
      <c r="J22" t="s">
        <v>247</v>
      </c>
    </row>
    <row r="23" spans="1:11" x14ac:dyDescent="0.25">
      <c r="A23" t="s">
        <v>47</v>
      </c>
      <c r="D23" t="s">
        <v>48</v>
      </c>
      <c r="E23">
        <v>15.900000000000002</v>
      </c>
      <c r="G23">
        <v>1130.6451612903224</v>
      </c>
      <c r="J23" t="s">
        <v>257</v>
      </c>
      <c r="K23">
        <v>70</v>
      </c>
    </row>
    <row r="24" spans="1:11" x14ac:dyDescent="0.25">
      <c r="A24" t="s">
        <v>50</v>
      </c>
      <c r="D24" t="s">
        <v>48</v>
      </c>
      <c r="E24">
        <v>5.8000000000000007</v>
      </c>
      <c r="J24" t="s">
        <v>258</v>
      </c>
      <c r="K24">
        <v>23</v>
      </c>
    </row>
    <row r="25" spans="1:11" x14ac:dyDescent="0.25">
      <c r="A25" t="s">
        <v>8</v>
      </c>
      <c r="E25">
        <v>21.700000000000003</v>
      </c>
      <c r="J25" t="s">
        <v>259</v>
      </c>
      <c r="K25">
        <v>7</v>
      </c>
    </row>
    <row r="27" spans="1:11" x14ac:dyDescent="0.25">
      <c r="A27" t="s">
        <v>51</v>
      </c>
      <c r="H27" t="s">
        <v>53</v>
      </c>
    </row>
    <row r="28" spans="1:11" x14ac:dyDescent="0.25">
      <c r="A28" t="s">
        <v>54</v>
      </c>
      <c r="G28">
        <v>280</v>
      </c>
      <c r="H28">
        <v>691.88</v>
      </c>
    </row>
    <row r="29" spans="1:11" x14ac:dyDescent="0.25">
      <c r="A29" t="s">
        <v>55</v>
      </c>
      <c r="G29">
        <v>216</v>
      </c>
    </row>
    <row r="30" spans="1:11" x14ac:dyDescent="0.25">
      <c r="A30" t="s">
        <v>56</v>
      </c>
      <c r="G30">
        <v>60480</v>
      </c>
      <c r="H30">
        <v>149446.08000000002</v>
      </c>
    </row>
    <row r="31" spans="1:11" x14ac:dyDescent="0.25">
      <c r="A31" t="s">
        <v>57</v>
      </c>
      <c r="G31">
        <v>24798.800000000003</v>
      </c>
      <c r="H31">
        <v>61277.834800000011</v>
      </c>
    </row>
    <row r="32" spans="1:11" x14ac:dyDescent="0.25">
      <c r="A32" t="s">
        <v>58</v>
      </c>
      <c r="G32">
        <v>31356.54193548387</v>
      </c>
      <c r="H32">
        <v>77482.015122580648</v>
      </c>
    </row>
    <row r="34" spans="1:7" x14ac:dyDescent="0.25">
      <c r="A34" t="s">
        <v>59</v>
      </c>
      <c r="G34">
        <v>127.43285714285713</v>
      </c>
    </row>
    <row r="35" spans="1:7" x14ac:dyDescent="0.25">
      <c r="A35" t="s">
        <v>60</v>
      </c>
      <c r="G35">
        <v>104.01235023041475</v>
      </c>
    </row>
    <row r="37" spans="1:7" x14ac:dyDescent="0.25">
      <c r="A37" t="s">
        <v>170</v>
      </c>
      <c r="C37" t="s">
        <v>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41"/>
  <sheetViews>
    <sheetView workbookViewId="0">
      <selection sqref="A1:A4"/>
    </sheetView>
  </sheetViews>
  <sheetFormatPr defaultRowHeight="15" x14ac:dyDescent="0.25"/>
  <cols>
    <col min="3" max="3" width="17.7109375" customWidth="1"/>
  </cols>
  <sheetData>
    <row r="1" spans="1:13" ht="15.75" x14ac:dyDescent="0.3">
      <c r="A1" s="3" t="s">
        <v>63</v>
      </c>
      <c r="B1" s="38" t="s">
        <v>271</v>
      </c>
      <c r="C1" s="38"/>
      <c r="D1" s="67"/>
      <c r="E1" s="67"/>
      <c r="F1" s="67"/>
      <c r="G1" s="67"/>
      <c r="H1" s="67"/>
      <c r="I1" s="67"/>
      <c r="J1" s="67"/>
      <c r="K1" s="67"/>
    </row>
    <row r="2" spans="1:13" ht="15.75" x14ac:dyDescent="0.3">
      <c r="A2" s="3" t="s">
        <v>0</v>
      </c>
      <c r="B2" s="38" t="s">
        <v>272</v>
      </c>
      <c r="C2" s="38"/>
      <c r="D2" s="67"/>
      <c r="E2" s="67"/>
      <c r="F2" s="67"/>
      <c r="G2" s="67"/>
      <c r="H2" s="67"/>
      <c r="I2" s="67"/>
      <c r="J2" s="67"/>
      <c r="K2" s="67"/>
    </row>
    <row r="3" spans="1:13" ht="15.75" x14ac:dyDescent="0.3">
      <c r="A3" s="3" t="s">
        <v>2</v>
      </c>
      <c r="B3" s="38" t="s">
        <v>145</v>
      </c>
      <c r="C3" s="38"/>
      <c r="D3" s="67"/>
      <c r="E3" s="67"/>
      <c r="F3" s="67"/>
      <c r="G3" s="67"/>
      <c r="H3" s="67"/>
      <c r="I3" s="67"/>
      <c r="J3" s="67"/>
      <c r="K3" s="67"/>
    </row>
    <row r="4" spans="1:13" x14ac:dyDescent="0.25">
      <c r="A4" s="3" t="s">
        <v>4</v>
      </c>
      <c r="B4" s="38" t="s">
        <v>273</v>
      </c>
      <c r="C4" s="38"/>
    </row>
    <row r="5" spans="1:13" s="62" customFormat="1" x14ac:dyDescent="0.25">
      <c r="A5" s="62" t="s">
        <v>6</v>
      </c>
      <c r="D5" s="62" t="s">
        <v>7</v>
      </c>
      <c r="E5" s="62" t="s">
        <v>8</v>
      </c>
      <c r="F5" s="62" t="s">
        <v>9</v>
      </c>
      <c r="G5" s="62" t="s">
        <v>10</v>
      </c>
      <c r="H5" s="62" t="s">
        <v>11</v>
      </c>
      <c r="I5" s="62" t="s">
        <v>12</v>
      </c>
      <c r="J5" s="62" t="s">
        <v>13</v>
      </c>
      <c r="K5" s="62" t="s">
        <v>14</v>
      </c>
      <c r="L5" s="62" t="s">
        <v>15</v>
      </c>
    </row>
    <row r="6" spans="1:13" s="62" customFormat="1" x14ac:dyDescent="0.25">
      <c r="D6" s="62" t="s">
        <v>16</v>
      </c>
      <c r="E6" s="62" t="s">
        <v>17</v>
      </c>
      <c r="F6" s="62" t="s">
        <v>17</v>
      </c>
      <c r="G6" s="62" t="s">
        <v>18</v>
      </c>
      <c r="H6" s="62" t="s">
        <v>19</v>
      </c>
      <c r="I6" s="62" t="s">
        <v>20</v>
      </c>
      <c r="J6" s="62" t="s">
        <v>19</v>
      </c>
      <c r="K6" s="62" t="s">
        <v>19</v>
      </c>
      <c r="L6" s="62" t="s">
        <v>12</v>
      </c>
      <c r="M6" s="62" t="s">
        <v>13</v>
      </c>
    </row>
    <row r="7" spans="1:13" s="62" customFormat="1" x14ac:dyDescent="0.25">
      <c r="D7" s="62" t="s">
        <v>21</v>
      </c>
      <c r="H7" s="62" t="s">
        <v>22</v>
      </c>
      <c r="I7" s="62" t="s">
        <v>19</v>
      </c>
      <c r="J7" s="62" t="s">
        <v>22</v>
      </c>
      <c r="K7" s="62" t="s">
        <v>22</v>
      </c>
    </row>
    <row r="8" spans="1:13" s="62" customFormat="1" x14ac:dyDescent="0.25">
      <c r="I8" s="62" t="s">
        <v>22</v>
      </c>
    </row>
    <row r="9" spans="1:13" x14ac:dyDescent="0.25">
      <c r="A9" t="s">
        <v>263</v>
      </c>
      <c r="D9">
        <v>100</v>
      </c>
      <c r="E9">
        <v>0.6</v>
      </c>
      <c r="F9">
        <v>0.6</v>
      </c>
      <c r="G9">
        <v>1000</v>
      </c>
      <c r="H9">
        <v>600</v>
      </c>
      <c r="I9">
        <v>5022</v>
      </c>
      <c r="K9">
        <v>5622</v>
      </c>
    </row>
    <row r="10" spans="1:13" x14ac:dyDescent="0.25">
      <c r="A10" t="s">
        <v>264</v>
      </c>
      <c r="D10">
        <v>100</v>
      </c>
      <c r="E10">
        <v>10</v>
      </c>
      <c r="F10">
        <v>4.3</v>
      </c>
      <c r="G10">
        <v>1000</v>
      </c>
      <c r="H10">
        <v>10000</v>
      </c>
      <c r="J10">
        <v>10269</v>
      </c>
      <c r="K10">
        <v>20269</v>
      </c>
    </row>
    <row r="11" spans="1:13" x14ac:dyDescent="0.25">
      <c r="A11" t="s">
        <v>265</v>
      </c>
      <c r="D11">
        <v>100</v>
      </c>
      <c r="E11">
        <v>9.8000000000000007</v>
      </c>
      <c r="F11">
        <v>4.4000000000000004</v>
      </c>
      <c r="G11">
        <v>972</v>
      </c>
      <c r="H11">
        <v>9526</v>
      </c>
      <c r="K11">
        <v>9526</v>
      </c>
    </row>
    <row r="12" spans="1:13" x14ac:dyDescent="0.25">
      <c r="A12" t="s">
        <v>245</v>
      </c>
      <c r="D12">
        <v>100</v>
      </c>
      <c r="E12">
        <v>9.3000000000000007</v>
      </c>
      <c r="F12">
        <v>4.0999999999999996</v>
      </c>
      <c r="G12">
        <v>927</v>
      </c>
      <c r="H12">
        <v>8621</v>
      </c>
      <c r="K12">
        <v>8621</v>
      </c>
    </row>
    <row r="13" spans="1:13" x14ac:dyDescent="0.25">
      <c r="A13" t="s">
        <v>266</v>
      </c>
      <c r="D13">
        <v>100</v>
      </c>
      <c r="E13">
        <v>8.5</v>
      </c>
      <c r="F13">
        <v>3.9</v>
      </c>
      <c r="G13">
        <v>985</v>
      </c>
      <c r="H13">
        <v>8372</v>
      </c>
      <c r="K13">
        <v>8372</v>
      </c>
    </row>
    <row r="14" spans="1:13" x14ac:dyDescent="0.25">
      <c r="A14" t="s">
        <v>267</v>
      </c>
      <c r="D14">
        <v>40</v>
      </c>
      <c r="H14">
        <v>0</v>
      </c>
      <c r="I14">
        <v>1243</v>
      </c>
      <c r="K14">
        <v>1243</v>
      </c>
    </row>
    <row r="15" spans="1:13" x14ac:dyDescent="0.25">
      <c r="A15" t="s">
        <v>30</v>
      </c>
      <c r="E15">
        <v>38.200000000000003</v>
      </c>
      <c r="F15">
        <v>17.3</v>
      </c>
      <c r="H15">
        <v>37119</v>
      </c>
      <c r="I15">
        <v>6265</v>
      </c>
      <c r="J15">
        <v>10269</v>
      </c>
      <c r="K15">
        <v>53653</v>
      </c>
      <c r="L15">
        <v>0</v>
      </c>
      <c r="M15">
        <v>0</v>
      </c>
    </row>
    <row r="16" spans="1:13" x14ac:dyDescent="0.25">
      <c r="A16" t="s">
        <v>31</v>
      </c>
      <c r="E16">
        <v>20.900000000000002</v>
      </c>
      <c r="H16">
        <v>20517</v>
      </c>
      <c r="I16">
        <v>6265</v>
      </c>
      <c r="J16">
        <v>10269</v>
      </c>
      <c r="K16">
        <v>37051</v>
      </c>
    </row>
    <row r="18" spans="1:12" x14ac:dyDescent="0.25">
      <c r="C18" t="s">
        <v>32</v>
      </c>
      <c r="I18" t="s">
        <v>33</v>
      </c>
      <c r="J18">
        <v>1.1000000000000001</v>
      </c>
    </row>
    <row r="19" spans="1:12" x14ac:dyDescent="0.25">
      <c r="I19" t="s">
        <v>34</v>
      </c>
      <c r="J19">
        <v>1</v>
      </c>
    </row>
    <row r="20" spans="1:12" x14ac:dyDescent="0.25">
      <c r="A20" t="s">
        <v>35</v>
      </c>
    </row>
    <row r="21" spans="1:12" x14ac:dyDescent="0.25">
      <c r="A21" t="s">
        <v>36</v>
      </c>
      <c r="D21" t="s">
        <v>37</v>
      </c>
      <c r="E21" t="s">
        <v>38</v>
      </c>
      <c r="G21" t="s">
        <v>39</v>
      </c>
      <c r="K21" t="s">
        <v>247</v>
      </c>
    </row>
    <row r="22" spans="1:12" x14ac:dyDescent="0.25">
      <c r="A22" t="s">
        <v>40</v>
      </c>
      <c r="K22" t="s">
        <v>268</v>
      </c>
      <c r="L22">
        <v>65</v>
      </c>
    </row>
    <row r="23" spans="1:12" x14ac:dyDescent="0.25">
      <c r="A23" t="s">
        <v>234</v>
      </c>
      <c r="D23" t="s">
        <v>41</v>
      </c>
      <c r="E23">
        <v>63</v>
      </c>
      <c r="G23">
        <v>163</v>
      </c>
      <c r="K23" t="s">
        <v>269</v>
      </c>
      <c r="L23">
        <v>35</v>
      </c>
    </row>
    <row r="26" spans="1:12" x14ac:dyDescent="0.25">
      <c r="A26" t="s">
        <v>45</v>
      </c>
    </row>
    <row r="27" spans="1:12" x14ac:dyDescent="0.25">
      <c r="A27" t="s">
        <v>47</v>
      </c>
      <c r="D27" t="s">
        <v>48</v>
      </c>
      <c r="E27">
        <v>21</v>
      </c>
      <c r="G27">
        <v>977</v>
      </c>
    </row>
    <row r="28" spans="1:12" x14ac:dyDescent="0.25">
      <c r="A28" t="s">
        <v>50</v>
      </c>
      <c r="D28" t="s">
        <v>48</v>
      </c>
      <c r="E28">
        <v>17</v>
      </c>
    </row>
    <row r="29" spans="1:12" x14ac:dyDescent="0.25">
      <c r="A29" t="s">
        <v>8</v>
      </c>
      <c r="E29">
        <v>38</v>
      </c>
    </row>
    <row r="31" spans="1:12" x14ac:dyDescent="0.25">
      <c r="A31" t="s">
        <v>51</v>
      </c>
      <c r="H31" t="s">
        <v>195</v>
      </c>
    </row>
    <row r="32" spans="1:12" x14ac:dyDescent="0.25">
      <c r="A32" t="s">
        <v>54</v>
      </c>
      <c r="G32">
        <v>592</v>
      </c>
      <c r="H32">
        <v>1463</v>
      </c>
    </row>
    <row r="33" spans="1:8" x14ac:dyDescent="0.25">
      <c r="A33" t="s">
        <v>55</v>
      </c>
      <c r="G33">
        <v>157</v>
      </c>
    </row>
    <row r="34" spans="1:8" x14ac:dyDescent="0.25">
      <c r="A34" t="s">
        <v>56</v>
      </c>
      <c r="G34">
        <v>92944</v>
      </c>
      <c r="H34">
        <v>229665</v>
      </c>
    </row>
    <row r="35" spans="1:8" x14ac:dyDescent="0.25">
      <c r="A35" t="s">
        <v>57</v>
      </c>
      <c r="G35">
        <v>39291</v>
      </c>
      <c r="H35">
        <v>97088</v>
      </c>
    </row>
    <row r="36" spans="1:8" x14ac:dyDescent="0.25">
      <c r="A36" t="s">
        <v>58</v>
      </c>
      <c r="G36">
        <v>55893</v>
      </c>
      <c r="H36">
        <v>138112</v>
      </c>
    </row>
    <row r="38" spans="1:8" x14ac:dyDescent="0.25">
      <c r="A38" t="s">
        <v>59</v>
      </c>
      <c r="G38">
        <v>90.630067567567565</v>
      </c>
    </row>
    <row r="39" spans="1:8" x14ac:dyDescent="0.25">
      <c r="A39" t="s">
        <v>60</v>
      </c>
      <c r="G39">
        <v>62.586148648648646</v>
      </c>
    </row>
    <row r="41" spans="1:8" x14ac:dyDescent="0.25">
      <c r="A41" t="s">
        <v>170</v>
      </c>
      <c r="C41" t="s">
        <v>270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45"/>
  <sheetViews>
    <sheetView workbookViewId="0">
      <selection sqref="A1:A4"/>
    </sheetView>
  </sheetViews>
  <sheetFormatPr defaultRowHeight="15" x14ac:dyDescent="0.25"/>
  <sheetData>
    <row r="1" spans="1:13" x14ac:dyDescent="0.25">
      <c r="A1" s="3" t="s">
        <v>63</v>
      </c>
      <c r="B1" s="38" t="s">
        <v>276</v>
      </c>
      <c r="C1" s="38"/>
    </row>
    <row r="2" spans="1:13" x14ac:dyDescent="0.25">
      <c r="A2" s="3" t="s">
        <v>0</v>
      </c>
      <c r="B2" s="38" t="s">
        <v>277</v>
      </c>
      <c r="C2" s="38"/>
    </row>
    <row r="3" spans="1:13" x14ac:dyDescent="0.25">
      <c r="A3" s="3" t="s">
        <v>2</v>
      </c>
      <c r="B3" s="38" t="s">
        <v>278</v>
      </c>
      <c r="C3" s="38"/>
    </row>
    <row r="4" spans="1:13" x14ac:dyDescent="0.25">
      <c r="A4" s="3" t="s">
        <v>4</v>
      </c>
      <c r="B4" s="38" t="s">
        <v>279</v>
      </c>
      <c r="C4" s="38"/>
    </row>
    <row r="5" spans="1:13" s="62" customFormat="1" x14ac:dyDescent="0.25">
      <c r="A5" s="62" t="s">
        <v>6</v>
      </c>
      <c r="D5" s="62" t="s">
        <v>7</v>
      </c>
      <c r="E5" s="62" t="s">
        <v>8</v>
      </c>
      <c r="F5" s="62" t="s">
        <v>9</v>
      </c>
      <c r="G5" s="62" t="s">
        <v>10</v>
      </c>
      <c r="H5" s="62" t="s">
        <v>11</v>
      </c>
      <c r="I5" s="62" t="s">
        <v>12</v>
      </c>
      <c r="J5" s="62" t="s">
        <v>13</v>
      </c>
      <c r="K5" s="62" t="s">
        <v>14</v>
      </c>
      <c r="L5" s="62" t="s">
        <v>15</v>
      </c>
    </row>
    <row r="6" spans="1:13" s="62" customFormat="1" x14ac:dyDescent="0.25">
      <c r="D6" s="62" t="s">
        <v>16</v>
      </c>
      <c r="E6" s="62" t="s">
        <v>17</v>
      </c>
      <c r="F6" s="62" t="s">
        <v>17</v>
      </c>
      <c r="G6" s="62" t="s">
        <v>18</v>
      </c>
      <c r="H6" s="62" t="s">
        <v>19</v>
      </c>
      <c r="I6" s="62" t="s">
        <v>20</v>
      </c>
      <c r="J6" s="62" t="s">
        <v>19</v>
      </c>
      <c r="K6" s="62" t="s">
        <v>19</v>
      </c>
      <c r="L6" s="62" t="s">
        <v>12</v>
      </c>
      <c r="M6" s="62" t="s">
        <v>13</v>
      </c>
    </row>
    <row r="7" spans="1:13" s="62" customFormat="1" x14ac:dyDescent="0.25">
      <c r="D7" s="62" t="s">
        <v>21</v>
      </c>
      <c r="H7" s="62" t="s">
        <v>22</v>
      </c>
      <c r="I7" s="62" t="s">
        <v>19</v>
      </c>
      <c r="J7" s="62" t="s">
        <v>22</v>
      </c>
      <c r="K7" s="62" t="s">
        <v>22</v>
      </c>
    </row>
    <row r="8" spans="1:13" s="62" customFormat="1" x14ac:dyDescent="0.25">
      <c r="I8" s="62" t="s">
        <v>22</v>
      </c>
    </row>
    <row r="9" spans="1:13" x14ac:dyDescent="0.25">
      <c r="A9" t="s">
        <v>274</v>
      </c>
      <c r="D9">
        <v>50</v>
      </c>
      <c r="E9">
        <v>0.48</v>
      </c>
      <c r="F9">
        <v>0.48</v>
      </c>
      <c r="G9">
        <v>950</v>
      </c>
      <c r="H9">
        <v>456</v>
      </c>
      <c r="J9">
        <v>1864</v>
      </c>
      <c r="K9">
        <v>2320</v>
      </c>
    </row>
    <row r="10" spans="1:13" x14ac:dyDescent="0.25">
      <c r="A10" t="s">
        <v>65</v>
      </c>
      <c r="D10">
        <v>94</v>
      </c>
      <c r="E10">
        <v>5</v>
      </c>
      <c r="F10">
        <v>4.2</v>
      </c>
      <c r="G10">
        <v>980</v>
      </c>
      <c r="H10">
        <v>4900</v>
      </c>
      <c r="K10">
        <v>4900</v>
      </c>
    </row>
    <row r="11" spans="1:13" x14ac:dyDescent="0.25">
      <c r="A11" t="s">
        <v>66</v>
      </c>
      <c r="D11">
        <v>100</v>
      </c>
      <c r="H11">
        <v>0</v>
      </c>
      <c r="I11">
        <v>6573</v>
      </c>
      <c r="K11">
        <v>6573</v>
      </c>
    </row>
    <row r="12" spans="1:13" x14ac:dyDescent="0.25">
      <c r="A12" t="s">
        <v>67</v>
      </c>
      <c r="D12">
        <v>100</v>
      </c>
      <c r="E12">
        <v>7.9</v>
      </c>
      <c r="F12">
        <v>7.2</v>
      </c>
      <c r="G12">
        <v>950</v>
      </c>
      <c r="H12">
        <v>7505</v>
      </c>
      <c r="J12">
        <v>476</v>
      </c>
      <c r="K12">
        <v>7981</v>
      </c>
    </row>
    <row r="13" spans="1:13" x14ac:dyDescent="0.25">
      <c r="A13" t="s">
        <v>94</v>
      </c>
      <c r="D13">
        <v>84</v>
      </c>
      <c r="E13">
        <v>0.65</v>
      </c>
      <c r="F13">
        <v>0.65</v>
      </c>
      <c r="G13">
        <v>960</v>
      </c>
      <c r="H13">
        <v>624</v>
      </c>
      <c r="J13">
        <v>1104</v>
      </c>
      <c r="K13">
        <v>1728</v>
      </c>
    </row>
    <row r="14" spans="1:13" x14ac:dyDescent="0.25">
      <c r="A14" t="s">
        <v>28</v>
      </c>
      <c r="D14">
        <v>100</v>
      </c>
      <c r="E14">
        <v>10.01</v>
      </c>
      <c r="F14">
        <v>6.71</v>
      </c>
      <c r="G14">
        <v>970</v>
      </c>
      <c r="H14">
        <v>9710</v>
      </c>
      <c r="K14">
        <v>9710</v>
      </c>
    </row>
    <row r="15" spans="1:13" x14ac:dyDescent="0.25">
      <c r="A15" t="s">
        <v>266</v>
      </c>
      <c r="D15">
        <v>100</v>
      </c>
      <c r="E15">
        <v>4.2300000000000004</v>
      </c>
      <c r="F15">
        <v>4.2300000000000004</v>
      </c>
      <c r="G15">
        <v>950</v>
      </c>
      <c r="H15">
        <v>4018</v>
      </c>
      <c r="K15">
        <v>4018</v>
      </c>
    </row>
    <row r="16" spans="1:13" x14ac:dyDescent="0.25">
      <c r="A16" t="s">
        <v>70</v>
      </c>
      <c r="E16">
        <v>28.27</v>
      </c>
      <c r="F16">
        <v>23.47</v>
      </c>
      <c r="H16">
        <v>27213</v>
      </c>
      <c r="I16">
        <v>6573</v>
      </c>
      <c r="J16">
        <v>3444</v>
      </c>
      <c r="K16">
        <v>37230</v>
      </c>
      <c r="L16">
        <v>0</v>
      </c>
      <c r="M16">
        <v>0</v>
      </c>
    </row>
    <row r="17" spans="1:11" x14ac:dyDescent="0.25">
      <c r="A17" t="s">
        <v>71</v>
      </c>
      <c r="E17">
        <v>4.8000000000000007</v>
      </c>
      <c r="H17">
        <v>4860</v>
      </c>
      <c r="I17">
        <v>6573</v>
      </c>
      <c r="J17">
        <v>3444</v>
      </c>
      <c r="K17">
        <v>14877</v>
      </c>
    </row>
    <row r="19" spans="1:11" x14ac:dyDescent="0.25">
      <c r="C19" t="s">
        <v>32</v>
      </c>
    </row>
    <row r="21" spans="1:11" x14ac:dyDescent="0.25">
      <c r="A21" t="s">
        <v>35</v>
      </c>
    </row>
    <row r="22" spans="1:11" x14ac:dyDescent="0.25">
      <c r="A22" t="s">
        <v>36</v>
      </c>
      <c r="D22" t="s">
        <v>37</v>
      </c>
      <c r="E22" t="s">
        <v>38</v>
      </c>
      <c r="G22" t="s">
        <v>39</v>
      </c>
    </row>
    <row r="23" spans="1:11" x14ac:dyDescent="0.25">
      <c r="A23" t="s">
        <v>40</v>
      </c>
      <c r="J23" t="s">
        <v>72</v>
      </c>
      <c r="K23" t="s">
        <v>73</v>
      </c>
    </row>
    <row r="24" spans="1:11" x14ac:dyDescent="0.25">
      <c r="A24" t="s">
        <v>67</v>
      </c>
      <c r="D24" t="s">
        <v>41</v>
      </c>
      <c r="E24">
        <v>4</v>
      </c>
      <c r="G24">
        <v>119</v>
      </c>
      <c r="J24" t="s">
        <v>275</v>
      </c>
      <c r="K24">
        <v>100</v>
      </c>
    </row>
    <row r="27" spans="1:11" x14ac:dyDescent="0.25">
      <c r="A27" t="s">
        <v>45</v>
      </c>
    </row>
    <row r="28" spans="1:11" x14ac:dyDescent="0.25">
      <c r="A28" t="s">
        <v>47</v>
      </c>
      <c r="D28" t="s">
        <v>48</v>
      </c>
      <c r="E28">
        <v>5</v>
      </c>
      <c r="G28">
        <v>972</v>
      </c>
    </row>
    <row r="29" spans="1:11" x14ac:dyDescent="0.25">
      <c r="A29" t="s">
        <v>50</v>
      </c>
      <c r="D29" t="s">
        <v>48</v>
      </c>
      <c r="E29">
        <v>23</v>
      </c>
      <c r="J29" t="s">
        <v>33</v>
      </c>
      <c r="K29">
        <v>1.06</v>
      </c>
    </row>
    <row r="30" spans="1:11" x14ac:dyDescent="0.25">
      <c r="A30" t="s">
        <v>8</v>
      </c>
      <c r="E30">
        <v>28</v>
      </c>
      <c r="J30" t="s">
        <v>34</v>
      </c>
      <c r="K30">
        <v>1</v>
      </c>
    </row>
    <row r="32" spans="1:11" x14ac:dyDescent="0.25">
      <c r="A32" t="s">
        <v>100</v>
      </c>
      <c r="C32" t="s">
        <v>101</v>
      </c>
    </row>
    <row r="33" spans="1:9" x14ac:dyDescent="0.25">
      <c r="B33" t="s">
        <v>103</v>
      </c>
      <c r="C33">
        <v>84</v>
      </c>
      <c r="D33" t="s">
        <v>41</v>
      </c>
      <c r="E33">
        <v>46</v>
      </c>
      <c r="G33">
        <v>24</v>
      </c>
    </row>
    <row r="35" spans="1:9" x14ac:dyDescent="0.25">
      <c r="A35" t="s">
        <v>51</v>
      </c>
      <c r="I35" t="s">
        <v>75</v>
      </c>
    </row>
    <row r="36" spans="1:9" x14ac:dyDescent="0.25">
      <c r="A36" t="s">
        <v>76</v>
      </c>
      <c r="G36">
        <v>485</v>
      </c>
      <c r="I36">
        <v>1198</v>
      </c>
    </row>
    <row r="37" spans="1:9" x14ac:dyDescent="0.25">
      <c r="A37" t="s">
        <v>55</v>
      </c>
      <c r="G37">
        <v>82</v>
      </c>
    </row>
    <row r="38" spans="1:9" x14ac:dyDescent="0.25">
      <c r="A38" t="s">
        <v>77</v>
      </c>
      <c r="G38">
        <v>39770</v>
      </c>
      <c r="I38">
        <v>98272</v>
      </c>
    </row>
    <row r="39" spans="1:9" x14ac:dyDescent="0.25">
      <c r="A39" t="s">
        <v>78</v>
      </c>
      <c r="G39">
        <v>2540</v>
      </c>
      <c r="I39">
        <v>6276</v>
      </c>
    </row>
    <row r="40" spans="1:9" x14ac:dyDescent="0.25">
      <c r="A40" t="s">
        <v>79</v>
      </c>
      <c r="G40">
        <v>24893</v>
      </c>
      <c r="I40">
        <v>61511</v>
      </c>
    </row>
    <row r="42" spans="1:9" x14ac:dyDescent="0.25">
      <c r="A42" t="s">
        <v>80</v>
      </c>
      <c r="G42">
        <v>76.762886597938149</v>
      </c>
    </row>
    <row r="43" spans="1:9" x14ac:dyDescent="0.25">
      <c r="A43" t="s">
        <v>81</v>
      </c>
      <c r="G43">
        <v>30.674226804123712</v>
      </c>
    </row>
    <row r="45" spans="1:9" x14ac:dyDescent="0.25">
      <c r="A45" t="s">
        <v>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M45"/>
  <sheetViews>
    <sheetView workbookViewId="0">
      <selection activeCell="C1" sqref="C1:G3"/>
    </sheetView>
  </sheetViews>
  <sheetFormatPr defaultRowHeight="15" x14ac:dyDescent="0.25"/>
  <cols>
    <col min="2" max="2" width="14.5703125" customWidth="1"/>
  </cols>
  <sheetData>
    <row r="1" spans="1:13" x14ac:dyDescent="0.25">
      <c r="A1" s="3" t="s">
        <v>63</v>
      </c>
      <c r="B1" s="159" t="s">
        <v>304</v>
      </c>
      <c r="C1" s="159"/>
      <c r="D1" s="159"/>
      <c r="E1" s="159"/>
      <c r="F1" s="159"/>
      <c r="G1" s="159"/>
      <c r="H1" s="114"/>
    </row>
    <row r="2" spans="1:13" x14ac:dyDescent="0.25">
      <c r="A2" s="3" t="s">
        <v>0</v>
      </c>
      <c r="B2" s="159" t="s">
        <v>305</v>
      </c>
      <c r="C2" s="159"/>
      <c r="D2" s="159"/>
      <c r="E2" s="159"/>
      <c r="F2" s="159"/>
      <c r="G2" s="159"/>
      <c r="H2" s="114"/>
    </row>
    <row r="3" spans="1:13" x14ac:dyDescent="0.25">
      <c r="A3" s="3" t="s">
        <v>2</v>
      </c>
      <c r="B3" s="159" t="s">
        <v>306</v>
      </c>
      <c r="C3" s="159"/>
      <c r="D3" s="159"/>
      <c r="E3" s="159"/>
      <c r="F3" s="159"/>
      <c r="G3" s="159"/>
      <c r="H3" s="114"/>
    </row>
    <row r="4" spans="1:13" x14ac:dyDescent="0.25">
      <c r="A4" s="3" t="s">
        <v>4</v>
      </c>
      <c r="B4" s="159" t="s">
        <v>307</v>
      </c>
      <c r="C4" s="159"/>
      <c r="D4" s="159"/>
      <c r="E4" s="159"/>
      <c r="F4" s="159"/>
      <c r="G4" s="159"/>
    </row>
    <row r="5" spans="1:13" s="153" customFormat="1" x14ac:dyDescent="0.25">
      <c r="A5" s="150" t="s">
        <v>6</v>
      </c>
      <c r="B5" s="150"/>
      <c r="C5" s="150"/>
      <c r="D5" s="151" t="s">
        <v>7</v>
      </c>
      <c r="E5" s="151" t="s">
        <v>8</v>
      </c>
      <c r="F5" s="151" t="s">
        <v>9</v>
      </c>
      <c r="G5" s="151" t="s">
        <v>10</v>
      </c>
      <c r="H5" s="151" t="s">
        <v>11</v>
      </c>
      <c r="I5" s="151" t="s">
        <v>12</v>
      </c>
      <c r="J5" s="151" t="s">
        <v>13</v>
      </c>
      <c r="K5" s="151" t="s">
        <v>14</v>
      </c>
      <c r="L5" s="152" t="s">
        <v>15</v>
      </c>
      <c r="M5" s="151"/>
    </row>
    <row r="6" spans="1:13" s="153" customFormat="1" x14ac:dyDescent="0.25">
      <c r="A6" s="154"/>
      <c r="B6" s="154"/>
      <c r="C6" s="154"/>
      <c r="D6" s="155" t="s">
        <v>16</v>
      </c>
      <c r="E6" s="155" t="s">
        <v>17</v>
      </c>
      <c r="F6" s="155" t="s">
        <v>17</v>
      </c>
      <c r="G6" s="155" t="s">
        <v>18</v>
      </c>
      <c r="H6" s="155" t="s">
        <v>19</v>
      </c>
      <c r="I6" s="155" t="s">
        <v>20</v>
      </c>
      <c r="J6" s="155" t="s">
        <v>19</v>
      </c>
      <c r="K6" s="155" t="s">
        <v>19</v>
      </c>
      <c r="L6" s="156" t="s">
        <v>12</v>
      </c>
      <c r="M6" s="155" t="s">
        <v>13</v>
      </c>
    </row>
    <row r="7" spans="1:13" s="153" customFormat="1" x14ac:dyDescent="0.25">
      <c r="A7" s="154"/>
      <c r="B7" s="154"/>
      <c r="C7" s="154"/>
      <c r="D7" s="155" t="s">
        <v>21</v>
      </c>
      <c r="E7" s="155"/>
      <c r="F7" s="155"/>
      <c r="G7" s="155"/>
      <c r="H7" s="155" t="s">
        <v>22</v>
      </c>
      <c r="I7" s="155" t="s">
        <v>19</v>
      </c>
      <c r="J7" s="155" t="s">
        <v>22</v>
      </c>
      <c r="K7" s="155" t="s">
        <v>22</v>
      </c>
      <c r="L7" s="155"/>
      <c r="M7" s="155"/>
    </row>
    <row r="8" spans="1:13" s="153" customFormat="1" x14ac:dyDescent="0.25">
      <c r="A8" s="157"/>
      <c r="B8" s="157"/>
      <c r="C8" s="157"/>
      <c r="D8" s="158"/>
      <c r="E8" s="158"/>
      <c r="F8" s="158"/>
      <c r="G8" s="158"/>
      <c r="H8" s="158"/>
      <c r="I8" s="158" t="s">
        <v>22</v>
      </c>
      <c r="J8" s="158"/>
      <c r="K8" s="158"/>
      <c r="L8" s="158"/>
      <c r="M8" s="158"/>
    </row>
    <row r="9" spans="1:13" s="2" customFormat="1" x14ac:dyDescent="0.25">
      <c r="A9" s="2" t="s">
        <v>280</v>
      </c>
      <c r="D9" s="131">
        <v>40</v>
      </c>
      <c r="E9" s="132">
        <v>0.4</v>
      </c>
      <c r="F9" s="132">
        <v>0.31</v>
      </c>
      <c r="G9" s="133">
        <v>1200</v>
      </c>
      <c r="H9" s="134">
        <f t="shared" ref="H9:H17" si="0">SUM(E9*G9)</f>
        <v>480</v>
      </c>
      <c r="J9" s="134">
        <v>3077</v>
      </c>
      <c r="K9" s="134">
        <f t="shared" ref="K9:K19" si="1">SUM(H9:J9)</f>
        <v>3557</v>
      </c>
    </row>
    <row r="10" spans="1:13" s="2" customFormat="1" x14ac:dyDescent="0.25">
      <c r="A10" s="2" t="s">
        <v>281</v>
      </c>
      <c r="D10" s="131">
        <v>97</v>
      </c>
      <c r="E10" s="132">
        <v>0.67</v>
      </c>
      <c r="F10" s="132">
        <v>0.64</v>
      </c>
      <c r="G10" s="133">
        <v>1000</v>
      </c>
      <c r="H10" s="134">
        <f t="shared" si="0"/>
        <v>670</v>
      </c>
      <c r="I10" s="135">
        <v>4826</v>
      </c>
      <c r="J10" s="134"/>
      <c r="K10" s="134">
        <f t="shared" si="1"/>
        <v>5496</v>
      </c>
    </row>
    <row r="11" spans="1:13" s="2" customFormat="1" x14ac:dyDescent="0.25">
      <c r="A11" s="2" t="s">
        <v>282</v>
      </c>
      <c r="D11" s="136" t="s">
        <v>283</v>
      </c>
      <c r="E11" s="137" t="s">
        <v>284</v>
      </c>
      <c r="F11" s="137" t="s">
        <v>285</v>
      </c>
      <c r="G11" s="138" t="s">
        <v>286</v>
      </c>
      <c r="H11" s="134">
        <v>0</v>
      </c>
      <c r="J11" s="134"/>
      <c r="K11" s="134">
        <f t="shared" si="1"/>
        <v>0</v>
      </c>
    </row>
    <row r="12" spans="1:13" s="2" customFormat="1" x14ac:dyDescent="0.25">
      <c r="A12" s="2" t="s">
        <v>287</v>
      </c>
      <c r="D12" s="131">
        <v>73</v>
      </c>
      <c r="E12" s="132">
        <v>3.41</v>
      </c>
      <c r="F12" s="132">
        <v>1.87</v>
      </c>
      <c r="G12" s="133">
        <v>970</v>
      </c>
      <c r="H12" s="134">
        <v>3307</v>
      </c>
      <c r="J12" s="134">
        <v>5494</v>
      </c>
      <c r="K12" s="134">
        <f t="shared" si="1"/>
        <v>8801</v>
      </c>
    </row>
    <row r="13" spans="1:13" s="2" customFormat="1" x14ac:dyDescent="0.25">
      <c r="A13" s="2" t="s">
        <v>288</v>
      </c>
      <c r="D13" s="136" t="s">
        <v>289</v>
      </c>
      <c r="E13" s="137" t="s">
        <v>290</v>
      </c>
      <c r="F13" s="137" t="s">
        <v>291</v>
      </c>
      <c r="G13" s="138" t="s">
        <v>292</v>
      </c>
      <c r="H13" s="134">
        <v>0</v>
      </c>
      <c r="I13" s="139" t="s">
        <v>293</v>
      </c>
      <c r="J13" s="134"/>
      <c r="K13" s="134">
        <f t="shared" si="1"/>
        <v>0</v>
      </c>
    </row>
    <row r="14" spans="1:13" s="2" customFormat="1" x14ac:dyDescent="0.25">
      <c r="A14" s="2" t="s">
        <v>294</v>
      </c>
      <c r="D14" s="136" t="s">
        <v>295</v>
      </c>
      <c r="E14" s="137" t="s">
        <v>296</v>
      </c>
      <c r="F14" s="137" t="s">
        <v>297</v>
      </c>
      <c r="G14" s="138" t="s">
        <v>298</v>
      </c>
      <c r="H14" s="134">
        <v>0</v>
      </c>
      <c r="I14" s="139" t="s">
        <v>299</v>
      </c>
      <c r="J14" s="134"/>
      <c r="K14" s="134">
        <f t="shared" si="1"/>
        <v>0</v>
      </c>
    </row>
    <row r="15" spans="1:13" s="2" customFormat="1" x14ac:dyDescent="0.25">
      <c r="A15" s="2" t="s">
        <v>120</v>
      </c>
      <c r="D15" s="131">
        <v>97</v>
      </c>
      <c r="E15" s="132">
        <v>1.99</v>
      </c>
      <c r="F15" s="132">
        <v>1.23</v>
      </c>
      <c r="G15" s="133">
        <v>949</v>
      </c>
      <c r="H15" s="134">
        <v>1888</v>
      </c>
      <c r="J15" s="134">
        <v>4807</v>
      </c>
      <c r="K15" s="134">
        <f t="shared" si="1"/>
        <v>6695</v>
      </c>
    </row>
    <row r="16" spans="1:13" s="2" customFormat="1" x14ac:dyDescent="0.25">
      <c r="A16" s="2" t="s">
        <v>226</v>
      </c>
      <c r="D16" s="131">
        <v>90</v>
      </c>
      <c r="E16" s="132">
        <v>5.35</v>
      </c>
      <c r="F16" s="132">
        <v>3.63</v>
      </c>
      <c r="G16" s="133">
        <v>940</v>
      </c>
      <c r="H16" s="134">
        <f t="shared" si="0"/>
        <v>5029</v>
      </c>
      <c r="J16" s="134"/>
      <c r="K16" s="134">
        <f t="shared" si="1"/>
        <v>5029</v>
      </c>
    </row>
    <row r="17" spans="1:13" s="2" customFormat="1" x14ac:dyDescent="0.25">
      <c r="A17" s="2" t="s">
        <v>245</v>
      </c>
      <c r="D17" s="131">
        <v>100</v>
      </c>
      <c r="E17" s="132">
        <v>8.8000000000000007</v>
      </c>
      <c r="F17" s="132">
        <v>3.76</v>
      </c>
      <c r="G17" s="133">
        <v>965</v>
      </c>
      <c r="H17" s="134">
        <f t="shared" si="0"/>
        <v>8492</v>
      </c>
      <c r="J17" s="134"/>
      <c r="K17" s="134">
        <f t="shared" si="1"/>
        <v>8492</v>
      </c>
    </row>
    <row r="18" spans="1:13" s="2" customFormat="1" x14ac:dyDescent="0.25">
      <c r="A18" s="2" t="s">
        <v>266</v>
      </c>
      <c r="D18" s="131">
        <v>90</v>
      </c>
      <c r="E18" s="132">
        <v>1.31</v>
      </c>
      <c r="F18" s="132">
        <v>0.84</v>
      </c>
      <c r="G18" s="133">
        <v>850</v>
      </c>
      <c r="H18" s="134">
        <v>1113</v>
      </c>
      <c r="J18" s="134"/>
      <c r="K18" s="134">
        <f t="shared" si="1"/>
        <v>1113</v>
      </c>
    </row>
    <row r="19" spans="1:13" s="2" customFormat="1" x14ac:dyDescent="0.25">
      <c r="A19" s="2" t="s">
        <v>300</v>
      </c>
      <c r="D19" s="131">
        <v>40</v>
      </c>
      <c r="E19" s="132">
        <v>2.2599999999999998</v>
      </c>
      <c r="F19" s="132">
        <v>1.7</v>
      </c>
      <c r="G19" s="133">
        <v>852</v>
      </c>
      <c r="H19" s="134">
        <v>1925</v>
      </c>
      <c r="J19" s="134"/>
      <c r="K19" s="134">
        <f t="shared" si="1"/>
        <v>1925</v>
      </c>
    </row>
    <row r="20" spans="1:13" s="2" customFormat="1" x14ac:dyDescent="0.25">
      <c r="A20" s="127" t="s">
        <v>30</v>
      </c>
      <c r="B20" s="127"/>
      <c r="C20" s="127"/>
      <c r="D20" s="140"/>
      <c r="E20" s="141">
        <f>SUM(E9:E19)</f>
        <v>24.189999999999998</v>
      </c>
      <c r="F20" s="141">
        <f>SUM(F9:F19)</f>
        <v>13.98</v>
      </c>
      <c r="G20" s="141"/>
      <c r="H20" s="141">
        <f>SUM(H9:H19)</f>
        <v>22904</v>
      </c>
      <c r="I20" s="127">
        <f>SUM(I9:I19)</f>
        <v>4826</v>
      </c>
      <c r="J20" s="141">
        <f>SUM(J9:J19)</f>
        <v>13378</v>
      </c>
      <c r="K20" s="141">
        <f>SUM(H20:J20)</f>
        <v>41108</v>
      </c>
      <c r="L20" s="127">
        <f>SUM(L9:L19)</f>
        <v>0</v>
      </c>
      <c r="M20" s="127">
        <f>SUM(M9:M19)</f>
        <v>0</v>
      </c>
    </row>
    <row r="21" spans="1:13" s="2" customFormat="1" x14ac:dyDescent="0.25">
      <c r="A21" s="130" t="s">
        <v>31</v>
      </c>
      <c r="B21" s="130"/>
      <c r="C21" s="130"/>
      <c r="D21" s="142"/>
      <c r="E21" s="143">
        <f>SUM(E20-F20)</f>
        <v>10.209999999999997</v>
      </c>
      <c r="F21" s="143"/>
      <c r="G21" s="143"/>
      <c r="H21" s="143">
        <v>9667</v>
      </c>
      <c r="I21" s="130">
        <f>I20-L20</f>
        <v>4826</v>
      </c>
      <c r="J21" s="143">
        <f>J20-M20</f>
        <v>13378</v>
      </c>
      <c r="K21" s="143">
        <f>SUM(H21:J21)</f>
        <v>27871</v>
      </c>
      <c r="L21" s="130"/>
      <c r="M21" s="130"/>
    </row>
    <row r="22" spans="1:13" s="2" customFormat="1" x14ac:dyDescent="0.25">
      <c r="C22" s="2" t="s">
        <v>32</v>
      </c>
    </row>
    <row r="23" spans="1:13" s="2" customFormat="1" x14ac:dyDescent="0.25">
      <c r="A23" s="2" t="s">
        <v>35</v>
      </c>
    </row>
    <row r="24" spans="1:13" s="2" customFormat="1" x14ac:dyDescent="0.25">
      <c r="A24" s="144" t="s">
        <v>36</v>
      </c>
      <c r="B24" s="144"/>
      <c r="C24" s="144"/>
      <c r="D24" s="144" t="s">
        <v>37</v>
      </c>
      <c r="E24" s="144" t="s">
        <v>38</v>
      </c>
      <c r="F24" s="144"/>
      <c r="G24" s="144" t="s">
        <v>39</v>
      </c>
    </row>
    <row r="25" spans="1:13" s="2" customFormat="1" x14ac:dyDescent="0.25">
      <c r="A25" s="2" t="s">
        <v>40</v>
      </c>
    </row>
    <row r="26" spans="1:13" s="2" customFormat="1" x14ac:dyDescent="0.25">
      <c r="A26" s="2" t="s">
        <v>255</v>
      </c>
      <c r="D26" s="2" t="s">
        <v>256</v>
      </c>
      <c r="E26" s="2">
        <v>5.6</v>
      </c>
      <c r="G26" s="2">
        <v>981</v>
      </c>
    </row>
    <row r="27" spans="1:13" s="2" customFormat="1" x14ac:dyDescent="0.25">
      <c r="A27" s="2" t="s">
        <v>45</v>
      </c>
    </row>
    <row r="28" spans="1:13" s="2" customFormat="1" x14ac:dyDescent="0.25">
      <c r="A28" s="2" t="s">
        <v>47</v>
      </c>
      <c r="D28" s="2" t="s">
        <v>48</v>
      </c>
      <c r="E28" s="2">
        <v>10</v>
      </c>
      <c r="G28" s="134">
        <v>947</v>
      </c>
    </row>
    <row r="29" spans="1:13" s="2" customFormat="1" x14ac:dyDescent="0.25">
      <c r="A29" s="2" t="s">
        <v>50</v>
      </c>
      <c r="D29" s="2" t="s">
        <v>48</v>
      </c>
      <c r="E29" s="2">
        <v>14</v>
      </c>
    </row>
    <row r="30" spans="1:13" s="2" customFormat="1" x14ac:dyDescent="0.25">
      <c r="A30" s="2" t="s">
        <v>8</v>
      </c>
      <c r="E30" s="2">
        <f>SUM(E28:E29)</f>
        <v>24</v>
      </c>
    </row>
    <row r="31" spans="1:13" s="2" customFormat="1" x14ac:dyDescent="0.25">
      <c r="A31" s="127" t="s">
        <v>137</v>
      </c>
      <c r="B31" s="127"/>
      <c r="C31" s="127" t="s">
        <v>101</v>
      </c>
      <c r="D31" s="127"/>
      <c r="E31" s="127"/>
      <c r="F31" s="127"/>
      <c r="G31" s="127"/>
    </row>
    <row r="32" spans="1:13" s="2" customFormat="1" x14ac:dyDescent="0.25">
      <c r="A32" s="128" t="s">
        <v>102</v>
      </c>
      <c r="B32" s="129" t="s">
        <v>138</v>
      </c>
      <c r="C32" s="145">
        <v>43</v>
      </c>
      <c r="D32" s="128" t="s">
        <v>41</v>
      </c>
      <c r="E32" s="128">
        <v>69</v>
      </c>
      <c r="F32" s="128"/>
      <c r="G32" s="146">
        <v>21.6</v>
      </c>
    </row>
    <row r="33" spans="1:7" s="2" customFormat="1" x14ac:dyDescent="0.25">
      <c r="A33" s="128"/>
      <c r="B33" s="129" t="s">
        <v>301</v>
      </c>
      <c r="C33" s="145">
        <v>50</v>
      </c>
      <c r="D33" s="128" t="s">
        <v>41</v>
      </c>
      <c r="E33" s="128">
        <v>30</v>
      </c>
      <c r="F33" s="128"/>
      <c r="G33" s="128">
        <v>24</v>
      </c>
    </row>
    <row r="34" spans="1:7" s="2" customFormat="1" x14ac:dyDescent="0.25">
      <c r="A34" s="2" t="s">
        <v>302</v>
      </c>
      <c r="B34" s="128" t="s">
        <v>138</v>
      </c>
      <c r="C34" s="128">
        <v>87</v>
      </c>
      <c r="D34" s="128" t="s">
        <v>41</v>
      </c>
      <c r="E34" s="128">
        <v>87</v>
      </c>
      <c r="F34" s="128"/>
      <c r="G34" s="128">
        <v>22.75</v>
      </c>
    </row>
    <row r="35" spans="1:7" s="2" customFormat="1" x14ac:dyDescent="0.25">
      <c r="A35" s="128"/>
      <c r="B35" s="128" t="s">
        <v>303</v>
      </c>
      <c r="C35" s="128">
        <v>40</v>
      </c>
      <c r="D35" s="128" t="s">
        <v>41</v>
      </c>
      <c r="E35" s="128">
        <v>24</v>
      </c>
      <c r="F35" s="128"/>
      <c r="G35" s="128">
        <v>25.74</v>
      </c>
    </row>
    <row r="36" spans="1:7" s="2" customFormat="1" x14ac:dyDescent="0.25">
      <c r="A36" s="127" t="s">
        <v>51</v>
      </c>
      <c r="B36" s="127"/>
      <c r="C36" s="127"/>
      <c r="D36" s="127"/>
      <c r="E36" s="127"/>
      <c r="F36" s="127"/>
      <c r="G36" s="127"/>
    </row>
    <row r="37" spans="1:7" s="2" customFormat="1" x14ac:dyDescent="0.25">
      <c r="A37" s="128" t="s">
        <v>54</v>
      </c>
      <c r="B37" s="128"/>
      <c r="C37" s="128"/>
      <c r="D37" s="128"/>
      <c r="E37" s="128"/>
      <c r="F37" s="128"/>
      <c r="G37" s="147">
        <v>1850</v>
      </c>
    </row>
    <row r="38" spans="1:7" s="2" customFormat="1" x14ac:dyDescent="0.25">
      <c r="A38" s="128" t="s">
        <v>55</v>
      </c>
      <c r="B38" s="128"/>
      <c r="C38" s="128"/>
      <c r="D38" s="128"/>
      <c r="E38" s="128"/>
      <c r="F38" s="128"/>
      <c r="G38" s="148">
        <v>30.5</v>
      </c>
    </row>
    <row r="39" spans="1:7" s="2" customFormat="1" x14ac:dyDescent="0.25">
      <c r="A39" s="128" t="s">
        <v>56</v>
      </c>
      <c r="B39" s="128"/>
      <c r="C39" s="128"/>
      <c r="D39" s="128"/>
      <c r="E39" s="128"/>
      <c r="F39" s="128"/>
      <c r="G39" s="148">
        <f>SUM(G37*G38)</f>
        <v>56425</v>
      </c>
    </row>
    <row r="40" spans="1:7" s="2" customFormat="1" x14ac:dyDescent="0.25">
      <c r="A40" s="128" t="s">
        <v>57</v>
      </c>
      <c r="B40" s="128"/>
      <c r="C40" s="128"/>
      <c r="D40" s="128"/>
      <c r="E40" s="128"/>
      <c r="F40" s="128"/>
      <c r="G40" s="148">
        <f>SUM(G39-K20)</f>
        <v>15317</v>
      </c>
    </row>
    <row r="41" spans="1:7" s="2" customFormat="1" x14ac:dyDescent="0.25">
      <c r="A41" s="128" t="s">
        <v>58</v>
      </c>
      <c r="B41" s="128"/>
      <c r="C41" s="128"/>
      <c r="D41" s="128"/>
      <c r="E41" s="128"/>
      <c r="F41" s="128"/>
      <c r="G41" s="148">
        <f>SUM(G39-K21)</f>
        <v>28554</v>
      </c>
    </row>
    <row r="42" spans="1:7" s="2" customFormat="1" x14ac:dyDescent="0.25">
      <c r="A42" s="128" t="s">
        <v>59</v>
      </c>
      <c r="B42" s="128"/>
      <c r="C42" s="128"/>
      <c r="D42" s="128"/>
      <c r="E42" s="128"/>
      <c r="F42" s="128"/>
      <c r="G42" s="148">
        <f>SUM(K20/G37)</f>
        <v>22.22054054054054</v>
      </c>
    </row>
    <row r="43" spans="1:7" s="2" customFormat="1" x14ac:dyDescent="0.25">
      <c r="A43" s="130" t="s">
        <v>60</v>
      </c>
      <c r="B43" s="130"/>
      <c r="C43" s="130"/>
      <c r="D43" s="130"/>
      <c r="E43" s="130"/>
      <c r="F43" s="130"/>
      <c r="G43" s="149">
        <f>SUM(K21/G37)</f>
        <v>15.065405405405405</v>
      </c>
    </row>
    <row r="44" spans="1:7" s="2" customFormat="1" x14ac:dyDescent="0.25"/>
    <row r="45" spans="1:7" s="2" customFormat="1" x14ac:dyDescent="0.25">
      <c r="A45" s="2" t="s">
        <v>170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50"/>
  <sheetViews>
    <sheetView workbookViewId="0">
      <selection sqref="A1:A4"/>
    </sheetView>
  </sheetViews>
  <sheetFormatPr defaultRowHeight="15" x14ac:dyDescent="0.25"/>
  <sheetData>
    <row r="1" spans="1:20" ht="16.5" x14ac:dyDescent="0.35">
      <c r="A1" s="3" t="s">
        <v>63</v>
      </c>
      <c r="B1" s="159" t="s">
        <v>331</v>
      </c>
      <c r="C1" s="159"/>
      <c r="E1" s="210"/>
      <c r="F1" s="210"/>
      <c r="G1" s="210"/>
      <c r="H1" s="210"/>
      <c r="I1" s="210"/>
      <c r="J1" s="210"/>
      <c r="K1" s="210"/>
      <c r="L1" s="210"/>
    </row>
    <row r="2" spans="1:20" ht="16.5" x14ac:dyDescent="0.35">
      <c r="A2" s="3" t="s">
        <v>0</v>
      </c>
      <c r="B2" s="159" t="s">
        <v>84</v>
      </c>
      <c r="C2" s="159"/>
      <c r="E2" s="210"/>
      <c r="F2" s="210"/>
      <c r="G2" s="210"/>
      <c r="H2" s="210"/>
      <c r="I2" s="210"/>
      <c r="J2" s="210"/>
      <c r="K2" s="210"/>
      <c r="L2" s="210"/>
    </row>
    <row r="3" spans="1:20" x14ac:dyDescent="0.25">
      <c r="A3" s="3" t="s">
        <v>2</v>
      </c>
      <c r="B3" s="159" t="s">
        <v>145</v>
      </c>
      <c r="C3" s="159"/>
    </row>
    <row r="4" spans="1:20" x14ac:dyDescent="0.25">
      <c r="A4" s="3" t="s">
        <v>4</v>
      </c>
    </row>
    <row r="5" spans="1:20" s="62" customFormat="1" x14ac:dyDescent="0.25">
      <c r="A5" s="201" t="s">
        <v>6</v>
      </c>
      <c r="B5" s="201"/>
      <c r="C5" s="201"/>
      <c r="D5" s="202" t="s">
        <v>7</v>
      </c>
      <c r="E5" s="202" t="s">
        <v>8</v>
      </c>
      <c r="F5" s="202" t="s">
        <v>9</v>
      </c>
      <c r="G5" s="202" t="s">
        <v>10</v>
      </c>
      <c r="H5" s="202" t="s">
        <v>11</v>
      </c>
      <c r="I5" s="202" t="s">
        <v>12</v>
      </c>
      <c r="J5" s="202" t="s">
        <v>13</v>
      </c>
      <c r="K5" s="202" t="s">
        <v>14</v>
      </c>
      <c r="L5" s="203" t="s">
        <v>15</v>
      </c>
      <c r="M5" s="202"/>
      <c r="N5" s="204"/>
      <c r="O5" s="204"/>
    </row>
    <row r="6" spans="1:20" s="62" customFormat="1" x14ac:dyDescent="0.25">
      <c r="A6" s="205"/>
      <c r="B6" s="205"/>
      <c r="C6" s="205"/>
      <c r="D6" s="206" t="s">
        <v>16</v>
      </c>
      <c r="E6" s="206" t="s">
        <v>17</v>
      </c>
      <c r="F6" s="206" t="s">
        <v>17</v>
      </c>
      <c r="G6" s="206" t="s">
        <v>18</v>
      </c>
      <c r="H6" s="206" t="s">
        <v>19</v>
      </c>
      <c r="I6" s="206" t="s">
        <v>20</v>
      </c>
      <c r="J6" s="206" t="s">
        <v>19</v>
      </c>
      <c r="K6" s="206" t="s">
        <v>19</v>
      </c>
      <c r="L6" s="206" t="s">
        <v>12</v>
      </c>
      <c r="M6" s="206" t="s">
        <v>13</v>
      </c>
      <c r="N6" s="204"/>
      <c r="O6" s="204"/>
    </row>
    <row r="7" spans="1:20" s="62" customFormat="1" x14ac:dyDescent="0.25">
      <c r="A7" s="205"/>
      <c r="B7" s="205"/>
      <c r="C7" s="205"/>
      <c r="D7" s="206" t="s">
        <v>21</v>
      </c>
      <c r="E7" s="206"/>
      <c r="F7" s="206"/>
      <c r="G7" s="206"/>
      <c r="H7" s="206" t="s">
        <v>22</v>
      </c>
      <c r="I7" s="206" t="s">
        <v>19</v>
      </c>
      <c r="J7" s="206" t="s">
        <v>22</v>
      </c>
      <c r="K7" s="206" t="s">
        <v>22</v>
      </c>
      <c r="L7" s="206"/>
      <c r="M7" s="206"/>
      <c r="N7" s="204"/>
      <c r="O7" s="204"/>
    </row>
    <row r="8" spans="1:20" s="62" customFormat="1" x14ac:dyDescent="0.25">
      <c r="A8" s="207"/>
      <c r="B8" s="207"/>
      <c r="C8" s="207"/>
      <c r="D8" s="208"/>
      <c r="E8" s="208"/>
      <c r="F8" s="208"/>
      <c r="G8" s="208"/>
      <c r="H8" s="208"/>
      <c r="I8" s="208" t="s">
        <v>22</v>
      </c>
      <c r="J8" s="208"/>
      <c r="K8" s="208"/>
      <c r="L8" s="208"/>
      <c r="M8" s="208"/>
      <c r="N8" s="204"/>
      <c r="O8" s="209"/>
    </row>
    <row r="9" spans="1:20" s="161" customFormat="1" x14ac:dyDescent="0.25">
      <c r="A9" s="61" t="s">
        <v>23</v>
      </c>
      <c r="B9" s="61"/>
      <c r="C9" s="61"/>
      <c r="D9" s="165">
        <v>80</v>
      </c>
      <c r="E9" s="166">
        <v>4.8099999999999996</v>
      </c>
      <c r="F9" s="166">
        <v>2.57</v>
      </c>
      <c r="G9" s="167">
        <v>980</v>
      </c>
      <c r="H9" s="166">
        <v>4714</v>
      </c>
      <c r="I9" s="61"/>
      <c r="J9" s="166"/>
      <c r="K9" s="166">
        <f t="shared" ref="K9:K16" si="0">SUM(H9:J9)</f>
        <v>4714</v>
      </c>
      <c r="L9" s="61"/>
      <c r="M9" s="61"/>
      <c r="N9" s="61"/>
      <c r="O9" s="164"/>
    </row>
    <row r="10" spans="1:20" s="161" customFormat="1" x14ac:dyDescent="0.25">
      <c r="A10" s="61" t="s">
        <v>308</v>
      </c>
      <c r="B10" s="61"/>
      <c r="C10" s="61"/>
      <c r="D10" s="165">
        <v>80</v>
      </c>
      <c r="E10" s="166"/>
      <c r="F10" s="166"/>
      <c r="G10" s="167"/>
      <c r="H10" s="166">
        <f t="shared" ref="H10:H15" si="1">SUM(E10*G10)</f>
        <v>0</v>
      </c>
      <c r="I10" s="166">
        <v>5735</v>
      </c>
      <c r="J10" s="166"/>
      <c r="K10" s="166">
        <f t="shared" si="0"/>
        <v>5735</v>
      </c>
      <c r="L10" s="61"/>
      <c r="M10" s="61"/>
      <c r="N10" s="61"/>
      <c r="O10" s="168"/>
      <c r="Q10" s="169"/>
      <c r="R10" s="170"/>
      <c r="S10" s="170"/>
      <c r="T10" s="170"/>
    </row>
    <row r="11" spans="1:20" s="161" customFormat="1" x14ac:dyDescent="0.25">
      <c r="A11" s="61" t="s">
        <v>309</v>
      </c>
      <c r="B11" s="61"/>
      <c r="C11" s="61"/>
      <c r="D11" s="165">
        <v>100</v>
      </c>
      <c r="E11" s="166">
        <v>5.15</v>
      </c>
      <c r="F11" s="166">
        <v>2.1</v>
      </c>
      <c r="G11" s="167">
        <v>993</v>
      </c>
      <c r="H11" s="166">
        <v>5114</v>
      </c>
      <c r="I11" s="61"/>
      <c r="J11" s="166">
        <v>5308</v>
      </c>
      <c r="K11" s="166">
        <f t="shared" si="0"/>
        <v>10422</v>
      </c>
      <c r="L11" s="61"/>
      <c r="M11" s="61"/>
      <c r="N11" s="61"/>
      <c r="O11" s="168"/>
      <c r="P11" s="171"/>
      <c r="Q11" s="169"/>
      <c r="R11" s="172"/>
      <c r="S11" s="173"/>
      <c r="T11" s="170"/>
    </row>
    <row r="12" spans="1:20" s="161" customFormat="1" x14ac:dyDescent="0.25">
      <c r="A12" s="61" t="s">
        <v>310</v>
      </c>
      <c r="B12" s="61"/>
      <c r="C12" s="61"/>
      <c r="D12" s="165">
        <v>46</v>
      </c>
      <c r="E12" s="166">
        <v>0.56999999999999995</v>
      </c>
      <c r="F12" s="166">
        <v>0.41</v>
      </c>
      <c r="G12" s="167">
        <v>1000</v>
      </c>
      <c r="H12" s="166">
        <f t="shared" si="1"/>
        <v>570</v>
      </c>
      <c r="I12" s="61"/>
      <c r="J12" s="166">
        <v>2090</v>
      </c>
      <c r="K12" s="166">
        <f t="shared" si="0"/>
        <v>2660</v>
      </c>
      <c r="L12" s="61"/>
      <c r="M12" s="61"/>
      <c r="N12" s="61"/>
      <c r="O12" s="168"/>
      <c r="Q12" s="169"/>
      <c r="R12" s="172"/>
      <c r="S12" s="173"/>
      <c r="T12" s="170"/>
    </row>
    <row r="13" spans="1:20" s="161" customFormat="1" x14ac:dyDescent="0.25">
      <c r="A13" s="61" t="s">
        <v>311</v>
      </c>
      <c r="B13" s="61"/>
      <c r="C13" s="61"/>
      <c r="D13" s="165">
        <v>60</v>
      </c>
      <c r="E13" s="166">
        <v>6.13</v>
      </c>
      <c r="F13" s="166">
        <v>3.63</v>
      </c>
      <c r="G13" s="167">
        <v>1000</v>
      </c>
      <c r="H13" s="166">
        <f t="shared" si="1"/>
        <v>6130</v>
      </c>
      <c r="I13" s="61"/>
      <c r="J13" s="166"/>
      <c r="K13" s="166">
        <f t="shared" si="0"/>
        <v>6130</v>
      </c>
      <c r="L13" s="61"/>
      <c r="M13" s="61"/>
      <c r="N13" s="61"/>
      <c r="O13" s="168"/>
      <c r="Q13" s="169"/>
      <c r="R13" s="172"/>
      <c r="S13" s="173"/>
      <c r="T13" s="170"/>
    </row>
    <row r="14" spans="1:20" s="161" customFormat="1" x14ac:dyDescent="0.25">
      <c r="A14" s="61" t="s">
        <v>120</v>
      </c>
      <c r="B14" s="61"/>
      <c r="C14" s="61"/>
      <c r="D14" s="165">
        <v>100</v>
      </c>
      <c r="E14" s="166">
        <v>6.09</v>
      </c>
      <c r="F14" s="166">
        <v>3.01</v>
      </c>
      <c r="G14" s="167">
        <v>1000</v>
      </c>
      <c r="H14" s="166">
        <f t="shared" si="1"/>
        <v>6090</v>
      </c>
      <c r="I14" s="61"/>
      <c r="J14" s="166">
        <f>+E34*G34+E35*G35+E36*G36</f>
        <v>4932</v>
      </c>
      <c r="K14" s="166">
        <f t="shared" si="0"/>
        <v>11022</v>
      </c>
      <c r="L14" s="61"/>
      <c r="M14" s="61"/>
      <c r="N14" s="61"/>
      <c r="O14" s="168"/>
      <c r="Q14" s="169"/>
      <c r="R14" s="172"/>
      <c r="S14" s="173"/>
      <c r="T14" s="170"/>
    </row>
    <row r="15" spans="1:20" s="161" customFormat="1" x14ac:dyDescent="0.25">
      <c r="A15" s="61" t="s">
        <v>312</v>
      </c>
      <c r="B15" s="61"/>
      <c r="C15" s="61"/>
      <c r="D15" s="165">
        <v>100</v>
      </c>
      <c r="E15" s="166">
        <v>5.62</v>
      </c>
      <c r="F15" s="166">
        <v>2.4700000000000002</v>
      </c>
      <c r="G15" s="167">
        <v>1000</v>
      </c>
      <c r="H15" s="166">
        <f t="shared" si="1"/>
        <v>5620</v>
      </c>
      <c r="I15" s="174"/>
      <c r="J15" s="166"/>
      <c r="K15" s="166">
        <f t="shared" si="0"/>
        <v>5620</v>
      </c>
      <c r="L15" s="61"/>
      <c r="M15" s="61"/>
      <c r="N15" s="61"/>
      <c r="O15" s="168"/>
      <c r="Q15" s="169"/>
      <c r="R15" s="172"/>
      <c r="S15" s="173"/>
      <c r="T15" s="170"/>
    </row>
    <row r="16" spans="1:20" s="161" customFormat="1" x14ac:dyDescent="0.25">
      <c r="A16" s="61" t="s">
        <v>313</v>
      </c>
      <c r="B16" s="61"/>
      <c r="C16" s="61"/>
      <c r="D16" s="165">
        <v>100</v>
      </c>
      <c r="E16" s="166">
        <v>1.64</v>
      </c>
      <c r="F16" s="166">
        <v>1.02</v>
      </c>
      <c r="G16" s="167">
        <v>980</v>
      </c>
      <c r="H16" s="166">
        <v>1607</v>
      </c>
      <c r="I16" s="175">
        <v>2482</v>
      </c>
      <c r="J16" s="166"/>
      <c r="K16" s="166">
        <f t="shared" si="0"/>
        <v>4089</v>
      </c>
      <c r="L16" s="61"/>
      <c r="M16" s="61"/>
      <c r="N16" s="61"/>
      <c r="Q16" s="169"/>
      <c r="R16" s="172"/>
      <c r="S16" s="173"/>
      <c r="T16" s="170"/>
    </row>
    <row r="17" spans="1:44" s="161" customFormat="1" x14ac:dyDescent="0.25">
      <c r="A17" s="160" t="s">
        <v>30</v>
      </c>
      <c r="B17" s="160"/>
      <c r="C17" s="160"/>
      <c r="D17" s="176"/>
      <c r="E17" s="177">
        <f t="shared" ref="E17:M17" si="2">SUM(E9:E16)</f>
        <v>30.01</v>
      </c>
      <c r="F17" s="177">
        <f t="shared" si="2"/>
        <v>15.21</v>
      </c>
      <c r="G17" s="177">
        <f t="shared" si="2"/>
        <v>6953</v>
      </c>
      <c r="H17" s="177">
        <f t="shared" si="2"/>
        <v>29845</v>
      </c>
      <c r="I17" s="177">
        <f t="shared" si="2"/>
        <v>8217</v>
      </c>
      <c r="J17" s="177">
        <f t="shared" si="2"/>
        <v>12330</v>
      </c>
      <c r="K17" s="177">
        <f t="shared" si="2"/>
        <v>50392</v>
      </c>
      <c r="L17" s="177">
        <f t="shared" si="2"/>
        <v>0</v>
      </c>
      <c r="M17" s="177">
        <f t="shared" si="2"/>
        <v>0</v>
      </c>
      <c r="N17" s="61"/>
      <c r="O17" s="61"/>
    </row>
    <row r="18" spans="1:44" s="161" customFormat="1" x14ac:dyDescent="0.25">
      <c r="A18" s="163" t="s">
        <v>31</v>
      </c>
      <c r="B18" s="163"/>
      <c r="C18" s="163"/>
      <c r="D18" s="178"/>
      <c r="E18" s="179">
        <f>SUM(E17-F17)</f>
        <v>14.8</v>
      </c>
      <c r="F18" s="179"/>
      <c r="G18" s="179"/>
      <c r="H18" s="179">
        <f>SUM(E29*G29)</f>
        <v>13380</v>
      </c>
      <c r="I18" s="163">
        <f>I17-L17</f>
        <v>8217</v>
      </c>
      <c r="J18" s="179">
        <f>J17-M17</f>
        <v>12330</v>
      </c>
      <c r="K18" s="179">
        <f>SUM(H18:J18)</f>
        <v>33927</v>
      </c>
      <c r="L18" s="163"/>
      <c r="M18" s="163"/>
      <c r="N18" s="61"/>
      <c r="O18" s="61"/>
    </row>
    <row r="19" spans="1:44" s="161" customFormat="1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</row>
    <row r="20" spans="1:44" s="161" customFormat="1" x14ac:dyDescent="0.25">
      <c r="A20" s="61"/>
      <c r="B20" s="61"/>
      <c r="C20" s="61" t="s">
        <v>32</v>
      </c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</row>
    <row r="21" spans="1:44" s="161" customFormat="1" x14ac:dyDescent="0.25">
      <c r="A21" s="61"/>
      <c r="B21" s="61"/>
      <c r="C21" s="61"/>
      <c r="D21" s="61"/>
      <c r="E21" s="61"/>
      <c r="F21" s="61"/>
      <c r="G21" s="61"/>
      <c r="H21" s="61"/>
      <c r="I21" s="166"/>
      <c r="J21" s="180" t="s">
        <v>33</v>
      </c>
      <c r="K21" s="180">
        <v>2.08</v>
      </c>
      <c r="L21" s="61"/>
      <c r="M21" s="61"/>
      <c r="N21" s="61"/>
      <c r="O21" s="61"/>
    </row>
    <row r="22" spans="1:44" s="161" customFormat="1" x14ac:dyDescent="0.25">
      <c r="A22" s="61" t="s">
        <v>35</v>
      </c>
      <c r="B22" s="61"/>
      <c r="C22" s="61"/>
      <c r="D22" s="61"/>
      <c r="E22" s="61"/>
      <c r="F22" s="61"/>
      <c r="G22" s="61"/>
      <c r="H22" s="61"/>
      <c r="I22" s="61"/>
      <c r="J22" s="181" t="s">
        <v>314</v>
      </c>
      <c r="K22" s="182">
        <v>2</v>
      </c>
      <c r="L22" s="61"/>
      <c r="M22" s="61"/>
      <c r="N22" s="61"/>
      <c r="O22" s="61"/>
    </row>
    <row r="23" spans="1:44" s="161" customFormat="1" ht="15.75" x14ac:dyDescent="0.3">
      <c r="A23" s="183" t="s">
        <v>36</v>
      </c>
      <c r="B23" s="183"/>
      <c r="C23" s="183"/>
      <c r="D23" s="183" t="s">
        <v>37</v>
      </c>
      <c r="E23" s="183" t="s">
        <v>38</v>
      </c>
      <c r="F23" s="183"/>
      <c r="G23" s="183" t="s">
        <v>39</v>
      </c>
      <c r="H23" s="61"/>
      <c r="I23" s="184"/>
      <c r="L23" s="61"/>
      <c r="M23" s="61"/>
      <c r="N23" s="61"/>
      <c r="O23" s="61"/>
    </row>
    <row r="24" spans="1:44" s="161" customFormat="1" x14ac:dyDescent="0.25">
      <c r="A24" s="61" t="s">
        <v>40</v>
      </c>
      <c r="B24" s="61"/>
      <c r="C24" s="61"/>
      <c r="D24" s="61"/>
      <c r="E24" s="61"/>
      <c r="F24" s="61"/>
      <c r="G24" s="61"/>
      <c r="H24" s="61"/>
      <c r="I24" s="61"/>
      <c r="J24" s="185"/>
      <c r="K24" s="186"/>
      <c r="L24" s="61"/>
      <c r="M24" s="61"/>
      <c r="N24" s="61"/>
      <c r="O24" s="61"/>
    </row>
    <row r="25" spans="1:44" s="161" customFormat="1" x14ac:dyDescent="0.25">
      <c r="A25" s="61" t="s">
        <v>255</v>
      </c>
      <c r="B25" s="61"/>
      <c r="C25" s="61"/>
      <c r="D25" s="61" t="s">
        <v>315</v>
      </c>
      <c r="E25" s="61">
        <v>5.5</v>
      </c>
      <c r="F25" s="61"/>
      <c r="G25" s="166">
        <v>965</v>
      </c>
      <c r="H25" s="61"/>
      <c r="I25" s="61"/>
      <c r="L25" s="61"/>
      <c r="M25" s="61"/>
      <c r="N25" s="61"/>
      <c r="O25" s="61"/>
    </row>
    <row r="26" spans="1:44" s="161" customFormat="1" ht="16.5" x14ac:dyDescent="0.35">
      <c r="A26" s="61"/>
      <c r="B26" s="61"/>
      <c r="C26" s="61"/>
      <c r="D26" s="61"/>
      <c r="E26" s="61"/>
      <c r="F26" s="61"/>
      <c r="G26" s="61"/>
      <c r="H26" s="61"/>
      <c r="I26" s="61"/>
      <c r="J26" s="187" t="s">
        <v>72</v>
      </c>
      <c r="K26" s="188" t="s">
        <v>134</v>
      </c>
      <c r="L26" s="61"/>
      <c r="AP26" s="61" t="s">
        <v>316</v>
      </c>
      <c r="AQ26" s="61">
        <f>395/615</f>
        <v>0.64227642276422769</v>
      </c>
      <c r="AR26" s="61">
        <f>487/742</f>
        <v>0.65633423180592987</v>
      </c>
    </row>
    <row r="27" spans="1:44" s="161" customFormat="1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189" t="s">
        <v>317</v>
      </c>
      <c r="K27" s="190">
        <v>54</v>
      </c>
      <c r="L27" s="61"/>
      <c r="AP27" s="61" t="s">
        <v>318</v>
      </c>
      <c r="AQ27" s="61">
        <f>4067/615</f>
        <v>6.6130081300813011</v>
      </c>
      <c r="AR27" s="61">
        <f>5352/742</f>
        <v>7.2129380053908356</v>
      </c>
    </row>
    <row r="28" spans="1:44" s="161" customFormat="1" x14ac:dyDescent="0.25">
      <c r="A28" s="61" t="s">
        <v>45</v>
      </c>
      <c r="B28" s="61"/>
      <c r="C28" s="61"/>
      <c r="D28" s="61"/>
      <c r="E28" s="61"/>
      <c r="F28" s="61"/>
      <c r="G28" s="61"/>
      <c r="H28" s="61"/>
      <c r="I28" s="61"/>
      <c r="J28" s="191" t="s">
        <v>319</v>
      </c>
      <c r="K28" s="190">
        <v>23</v>
      </c>
      <c r="L28" s="61"/>
      <c r="AP28" s="61" t="s">
        <v>320</v>
      </c>
      <c r="AQ28" s="61">
        <f>5036/615</f>
        <v>8.1886178861788625</v>
      </c>
      <c r="AR28" s="61">
        <f>5402/742</f>
        <v>7.2803234501347704</v>
      </c>
    </row>
    <row r="29" spans="1:44" s="161" customFormat="1" x14ac:dyDescent="0.25">
      <c r="A29" s="61" t="s">
        <v>47</v>
      </c>
      <c r="B29" s="61"/>
      <c r="C29" s="61"/>
      <c r="D29" s="61" t="s">
        <v>48</v>
      </c>
      <c r="E29" s="166">
        <v>15</v>
      </c>
      <c r="F29" s="61"/>
      <c r="G29" s="166">
        <v>892</v>
      </c>
      <c r="H29" s="61"/>
      <c r="I29" s="61"/>
      <c r="J29" s="189" t="s">
        <v>321</v>
      </c>
      <c r="K29" s="190">
        <v>13</v>
      </c>
      <c r="L29" s="61"/>
      <c r="AP29" s="61" t="s">
        <v>322</v>
      </c>
      <c r="AQ29" s="61">
        <f>5846/615</f>
        <v>9.5056910569105693</v>
      </c>
      <c r="AR29" s="161">
        <f>4683.5/742</f>
        <v>6.3119946091644206</v>
      </c>
    </row>
    <row r="30" spans="1:44" s="161" customFormat="1" x14ac:dyDescent="0.25">
      <c r="A30" s="61" t="s">
        <v>50</v>
      </c>
      <c r="B30" s="61"/>
      <c r="C30" s="61"/>
      <c r="D30" s="61" t="s">
        <v>48</v>
      </c>
      <c r="E30" s="166">
        <v>15</v>
      </c>
      <c r="F30" s="61"/>
      <c r="G30" s="61"/>
      <c r="H30" s="61"/>
      <c r="I30" s="61"/>
      <c r="J30" s="189" t="s">
        <v>323</v>
      </c>
      <c r="K30" s="190">
        <v>7</v>
      </c>
      <c r="L30" s="61"/>
      <c r="AP30" s="61" t="s">
        <v>324</v>
      </c>
      <c r="AQ30" s="161">
        <f>6912/615</f>
        <v>11.239024390243902</v>
      </c>
      <c r="AR30" s="61">
        <f>6807/742</f>
        <v>9.1738544474393535</v>
      </c>
    </row>
    <row r="31" spans="1:44" s="161" customFormat="1" x14ac:dyDescent="0.25">
      <c r="A31" s="61" t="s">
        <v>8</v>
      </c>
      <c r="B31" s="61"/>
      <c r="C31" s="61"/>
      <c r="D31" s="61"/>
      <c r="E31" s="166">
        <f>SUM(E29:E30)</f>
        <v>30</v>
      </c>
      <c r="F31" s="61"/>
      <c r="G31" s="61"/>
      <c r="H31" s="61"/>
      <c r="I31" s="61"/>
      <c r="J31" s="189" t="s">
        <v>325</v>
      </c>
      <c r="K31" s="190">
        <v>3</v>
      </c>
      <c r="L31" s="61"/>
      <c r="AP31" s="61" t="s">
        <v>326</v>
      </c>
      <c r="AQ31" s="161">
        <f>1976/615</f>
        <v>3.2130081300813007</v>
      </c>
      <c r="AR31" s="61">
        <f>1593/742</f>
        <v>2.1469002695417791</v>
      </c>
    </row>
    <row r="32" spans="1:44" s="161" customFormat="1" x14ac:dyDescent="0.25">
      <c r="A32" s="61"/>
      <c r="B32" s="61"/>
      <c r="C32" s="61"/>
      <c r="D32" s="61"/>
      <c r="E32" s="61"/>
      <c r="F32" s="61"/>
      <c r="G32" s="61"/>
      <c r="H32" s="61"/>
      <c r="I32" s="61"/>
      <c r="J32" s="186"/>
      <c r="K32" s="192"/>
      <c r="L32" s="61"/>
      <c r="AP32" s="61" t="s">
        <v>327</v>
      </c>
      <c r="AQ32" s="61">
        <f>3745/615</f>
        <v>6.0894308943089435</v>
      </c>
      <c r="AR32" s="61">
        <f>5446/742</f>
        <v>7.3396226415094343</v>
      </c>
    </row>
    <row r="33" spans="1:44" s="161" customFormat="1" x14ac:dyDescent="0.25">
      <c r="A33" s="160" t="s">
        <v>137</v>
      </c>
      <c r="B33" s="160"/>
      <c r="C33" s="160" t="s">
        <v>101</v>
      </c>
      <c r="D33" s="160"/>
      <c r="E33" s="160"/>
      <c r="F33" s="160"/>
      <c r="G33" s="160"/>
      <c r="H33" s="61"/>
      <c r="I33" s="61"/>
      <c r="J33" s="61"/>
      <c r="K33" s="171"/>
      <c r="L33" s="61"/>
      <c r="AP33" s="61" t="s">
        <v>328</v>
      </c>
      <c r="AQ33" s="61">
        <f>5622/615</f>
        <v>9.1414634146341456</v>
      </c>
      <c r="AR33" s="61">
        <f>5622/742</f>
        <v>7.5768194070080863</v>
      </c>
    </row>
    <row r="34" spans="1:44" s="161" customFormat="1" x14ac:dyDescent="0.25">
      <c r="A34" s="162" t="s">
        <v>138</v>
      </c>
      <c r="B34" s="193">
        <v>1</v>
      </c>
      <c r="C34" s="194">
        <v>100</v>
      </c>
      <c r="D34" s="162" t="s">
        <v>41</v>
      </c>
      <c r="E34" s="195">
        <v>108</v>
      </c>
      <c r="F34" s="162"/>
      <c r="G34" s="195">
        <v>24</v>
      </c>
      <c r="H34" s="61"/>
      <c r="I34" s="61"/>
      <c r="J34" s="61"/>
      <c r="K34" s="61"/>
      <c r="L34" s="61"/>
      <c r="AP34" s="61"/>
      <c r="AQ34" s="61">
        <f>1893/615</f>
        <v>3.0780487804878049</v>
      </c>
      <c r="AR34" s="61">
        <f>4893/742</f>
        <v>6.5943396226415096</v>
      </c>
    </row>
    <row r="35" spans="1:44" s="161" customFormat="1" x14ac:dyDescent="0.25">
      <c r="A35" s="162" t="s">
        <v>301</v>
      </c>
      <c r="B35" s="193">
        <v>11</v>
      </c>
      <c r="C35" s="194">
        <v>64</v>
      </c>
      <c r="D35" s="162" t="s">
        <v>41</v>
      </c>
      <c r="E35" s="195">
        <v>49</v>
      </c>
      <c r="F35" s="162"/>
      <c r="G35" s="195">
        <v>26</v>
      </c>
      <c r="H35" s="61"/>
      <c r="I35" s="61"/>
      <c r="J35" s="61"/>
      <c r="K35" s="61"/>
      <c r="L35" s="61"/>
      <c r="AP35" s="61"/>
      <c r="AQ35" s="61"/>
      <c r="AR35" s="61"/>
    </row>
    <row r="36" spans="1:44" s="161" customFormat="1" x14ac:dyDescent="0.25">
      <c r="A36" s="162" t="s">
        <v>303</v>
      </c>
      <c r="B36" s="193">
        <v>111</v>
      </c>
      <c r="C36" s="194">
        <v>66</v>
      </c>
      <c r="D36" s="162" t="s">
        <v>41</v>
      </c>
      <c r="E36" s="195">
        <v>41</v>
      </c>
      <c r="F36" s="162"/>
      <c r="G36" s="195">
        <v>26</v>
      </c>
      <c r="H36" s="61"/>
      <c r="I36" s="61"/>
      <c r="J36" s="61"/>
      <c r="K36" s="61"/>
      <c r="L36" s="61"/>
      <c r="M36" s="61"/>
      <c r="N36" s="61"/>
      <c r="O36" s="61"/>
    </row>
    <row r="37" spans="1:44" s="161" customFormat="1" x14ac:dyDescent="0.25">
      <c r="A37" s="162"/>
      <c r="B37" s="193"/>
      <c r="C37" s="194"/>
      <c r="D37" s="162"/>
      <c r="E37" s="162"/>
      <c r="F37" s="162"/>
      <c r="G37" s="162"/>
      <c r="H37" s="61"/>
      <c r="I37" s="61"/>
      <c r="J37" s="61"/>
      <c r="K37" s="61"/>
      <c r="L37" s="61"/>
      <c r="M37" s="61"/>
      <c r="N37" s="61"/>
      <c r="O37" s="61"/>
    </row>
    <row r="38" spans="1:44" s="161" customFormat="1" x14ac:dyDescent="0.25">
      <c r="A38" s="162"/>
      <c r="B38" s="193"/>
      <c r="C38" s="194"/>
      <c r="D38" s="162"/>
      <c r="E38" s="162"/>
      <c r="F38" s="162"/>
      <c r="G38" s="162"/>
      <c r="H38" s="61"/>
      <c r="I38" s="61"/>
      <c r="J38" s="61"/>
      <c r="K38" s="61"/>
      <c r="L38" s="61"/>
      <c r="M38" s="61"/>
      <c r="N38" s="61"/>
      <c r="O38" s="61"/>
    </row>
    <row r="39" spans="1:44" s="161" customFormat="1" x14ac:dyDescent="0.2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</row>
    <row r="40" spans="1:44" s="161" customFormat="1" x14ac:dyDescent="0.25">
      <c r="A40" s="160" t="s">
        <v>51</v>
      </c>
      <c r="B40" s="160"/>
      <c r="C40" s="160"/>
      <c r="D40" s="160"/>
      <c r="E40" s="160"/>
      <c r="F40" s="160"/>
      <c r="G40" s="160"/>
      <c r="H40" s="61"/>
      <c r="I40" s="61" t="s">
        <v>329</v>
      </c>
      <c r="J40" s="61"/>
      <c r="K40" s="61"/>
      <c r="L40" s="61"/>
      <c r="M40" s="61"/>
      <c r="N40" s="61"/>
      <c r="O40" s="61"/>
    </row>
    <row r="41" spans="1:44" s="161" customFormat="1" x14ac:dyDescent="0.25">
      <c r="A41" s="162" t="s">
        <v>54</v>
      </c>
      <c r="B41" s="162"/>
      <c r="C41" s="162"/>
      <c r="D41" s="162"/>
      <c r="E41" s="162"/>
      <c r="F41" s="162"/>
      <c r="G41" s="196">
        <v>1653</v>
      </c>
      <c r="H41" s="61"/>
      <c r="I41" s="166">
        <v>4085</v>
      </c>
      <c r="J41" s="61"/>
      <c r="K41" s="61"/>
      <c r="L41" s="61"/>
      <c r="M41" s="61"/>
      <c r="N41" s="61"/>
      <c r="O41" s="61"/>
    </row>
    <row r="42" spans="1:44" s="161" customFormat="1" x14ac:dyDescent="0.25">
      <c r="A42" s="162" t="s">
        <v>55</v>
      </c>
      <c r="B42" s="162"/>
      <c r="C42" s="162"/>
      <c r="D42" s="162"/>
      <c r="E42" s="162"/>
      <c r="F42" s="162"/>
      <c r="G42" s="197">
        <v>31</v>
      </c>
      <c r="H42" s="61"/>
      <c r="I42" s="61"/>
      <c r="J42" s="61"/>
      <c r="K42" s="61"/>
      <c r="L42" s="61"/>
      <c r="M42" s="61"/>
      <c r="N42" s="61"/>
      <c r="O42" s="61"/>
    </row>
    <row r="43" spans="1:44" s="161" customFormat="1" x14ac:dyDescent="0.25">
      <c r="A43" s="162" t="s">
        <v>56</v>
      </c>
      <c r="B43" s="162"/>
      <c r="C43" s="162"/>
      <c r="D43" s="162"/>
      <c r="E43" s="162"/>
      <c r="F43" s="162"/>
      <c r="G43" s="197">
        <f>SUM(G41*G42)</f>
        <v>51243</v>
      </c>
      <c r="H43" s="61"/>
      <c r="I43" s="166">
        <v>126621</v>
      </c>
      <c r="J43" s="61"/>
      <c r="K43" s="61"/>
      <c r="L43" s="61"/>
      <c r="M43" s="61"/>
      <c r="N43" s="61"/>
      <c r="O43" s="61"/>
    </row>
    <row r="44" spans="1:44" s="161" customFormat="1" x14ac:dyDescent="0.25">
      <c r="A44" s="162" t="s">
        <v>57</v>
      </c>
      <c r="B44" s="162"/>
      <c r="C44" s="162"/>
      <c r="D44" s="162"/>
      <c r="E44" s="162"/>
      <c r="F44" s="162"/>
      <c r="G44" s="197">
        <f>SUM(G43-K17)</f>
        <v>851</v>
      </c>
      <c r="H44" s="61"/>
      <c r="I44" s="166">
        <v>2103</v>
      </c>
      <c r="J44" s="61"/>
      <c r="K44" s="61"/>
      <c r="L44" s="61"/>
      <c r="M44" s="61"/>
      <c r="N44" s="61"/>
      <c r="O44" s="61"/>
    </row>
    <row r="45" spans="1:44" s="161" customFormat="1" x14ac:dyDescent="0.25">
      <c r="A45" s="162" t="s">
        <v>58</v>
      </c>
      <c r="B45" s="162"/>
      <c r="C45" s="162"/>
      <c r="D45" s="162"/>
      <c r="E45" s="162"/>
      <c r="F45" s="162"/>
      <c r="G45" s="197">
        <f>SUM(G43-K18)</f>
        <v>17316</v>
      </c>
      <c r="H45" s="61"/>
      <c r="I45" s="166">
        <v>42788</v>
      </c>
      <c r="J45" s="61"/>
      <c r="K45" s="61"/>
      <c r="L45" s="61"/>
      <c r="M45" s="61"/>
      <c r="N45" s="61"/>
      <c r="O45" s="61"/>
    </row>
    <row r="46" spans="1:44" s="161" customFormat="1" x14ac:dyDescent="0.25">
      <c r="A46" s="162"/>
      <c r="B46" s="162"/>
      <c r="C46" s="162"/>
      <c r="D46" s="162"/>
      <c r="E46" s="162"/>
      <c r="F46" s="162"/>
      <c r="G46" s="197"/>
      <c r="H46" s="61"/>
      <c r="I46" s="61"/>
      <c r="J46" s="61"/>
      <c r="K46" s="61"/>
      <c r="L46" s="61"/>
      <c r="M46" s="61"/>
      <c r="N46" s="61"/>
      <c r="O46" s="61"/>
    </row>
    <row r="47" spans="1:44" s="161" customFormat="1" x14ac:dyDescent="0.25">
      <c r="A47" s="162" t="s">
        <v>59</v>
      </c>
      <c r="B47" s="162"/>
      <c r="C47" s="162"/>
      <c r="D47" s="162"/>
      <c r="E47" s="162"/>
      <c r="F47" s="162"/>
      <c r="G47" s="197">
        <f>SUM(K17/G41)</f>
        <v>30.48517846339988</v>
      </c>
      <c r="H47" s="61"/>
      <c r="I47" s="61"/>
      <c r="J47" s="61"/>
      <c r="K47" s="61"/>
      <c r="L47" s="61"/>
      <c r="M47" s="61"/>
      <c r="N47" s="61"/>
      <c r="O47" s="61"/>
    </row>
    <row r="48" spans="1:44" s="161" customFormat="1" x14ac:dyDescent="0.25">
      <c r="A48" s="163" t="s">
        <v>60</v>
      </c>
      <c r="B48" s="163"/>
      <c r="C48" s="163"/>
      <c r="D48" s="163"/>
      <c r="E48" s="163"/>
      <c r="F48" s="163"/>
      <c r="G48" s="198">
        <f>SUM(K18/G41)</f>
        <v>20.524500907441016</v>
      </c>
      <c r="H48" s="61"/>
      <c r="I48" s="61"/>
      <c r="J48" s="61"/>
      <c r="K48" s="61"/>
      <c r="L48" s="61"/>
      <c r="M48" s="61"/>
      <c r="N48" s="61"/>
      <c r="O48" s="61"/>
    </row>
    <row r="49" spans="1:15" s="161" customFormat="1" x14ac:dyDescent="0.25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</row>
    <row r="50" spans="1:15" s="161" customFormat="1" x14ac:dyDescent="0.25">
      <c r="A50" s="199" t="s">
        <v>330</v>
      </c>
      <c r="B50" s="200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V47"/>
  <sheetViews>
    <sheetView workbookViewId="0">
      <selection sqref="A1:A4"/>
    </sheetView>
  </sheetViews>
  <sheetFormatPr defaultRowHeight="15" x14ac:dyDescent="0.25"/>
  <sheetData>
    <row r="1" spans="1:16" ht="15.75" x14ac:dyDescent="0.3">
      <c r="A1" s="3" t="s">
        <v>63</v>
      </c>
      <c r="B1" s="159" t="s">
        <v>331</v>
      </c>
      <c r="C1" s="241"/>
      <c r="D1" s="111"/>
      <c r="E1" s="111"/>
      <c r="F1" s="111"/>
      <c r="G1" s="111"/>
      <c r="H1" s="111"/>
    </row>
    <row r="2" spans="1:16" ht="15.75" x14ac:dyDescent="0.3">
      <c r="A2" s="3" t="s">
        <v>0</v>
      </c>
      <c r="B2" s="159" t="s">
        <v>272</v>
      </c>
      <c r="C2" s="241"/>
      <c r="D2" s="111"/>
      <c r="E2" s="111"/>
      <c r="F2" s="111"/>
      <c r="G2" s="111"/>
      <c r="H2" s="111"/>
    </row>
    <row r="3" spans="1:16" ht="15.75" x14ac:dyDescent="0.3">
      <c r="A3" s="3" t="s">
        <v>2</v>
      </c>
      <c r="B3" s="159" t="s">
        <v>350</v>
      </c>
      <c r="C3" s="241"/>
      <c r="D3" s="111"/>
      <c r="E3" s="111"/>
      <c r="F3" s="111"/>
      <c r="G3" s="111"/>
      <c r="H3" s="111"/>
    </row>
    <row r="4" spans="1:16" ht="15.75" x14ac:dyDescent="0.3">
      <c r="A4" s="3" t="s">
        <v>4</v>
      </c>
      <c r="B4" s="241" t="s">
        <v>349</v>
      </c>
      <c r="C4" s="241"/>
      <c r="D4" s="111"/>
      <c r="E4" s="111"/>
      <c r="F4" s="111"/>
    </row>
    <row r="5" spans="1:16" s="240" customFormat="1" ht="14.25" x14ac:dyDescent="0.3">
      <c r="A5" s="102" t="s">
        <v>6</v>
      </c>
      <c r="B5" s="102"/>
      <c r="C5" s="102"/>
      <c r="D5" s="103" t="s">
        <v>7</v>
      </c>
      <c r="E5" s="103" t="s">
        <v>8</v>
      </c>
      <c r="F5" s="103" t="s">
        <v>9</v>
      </c>
      <c r="G5" s="103" t="s">
        <v>10</v>
      </c>
      <c r="H5" s="103" t="s">
        <v>11</v>
      </c>
      <c r="I5" s="103" t="s">
        <v>12</v>
      </c>
      <c r="J5" s="103" t="s">
        <v>13</v>
      </c>
      <c r="K5" s="103" t="s">
        <v>14</v>
      </c>
      <c r="L5" s="104" t="s">
        <v>15</v>
      </c>
      <c r="M5" s="103"/>
    </row>
    <row r="6" spans="1:16" s="240" customFormat="1" ht="14.25" x14ac:dyDescent="0.3">
      <c r="A6" s="105"/>
      <c r="B6" s="105"/>
      <c r="C6" s="105"/>
      <c r="D6" s="106" t="s">
        <v>16</v>
      </c>
      <c r="E6" s="106" t="s">
        <v>17</v>
      </c>
      <c r="F6" s="106" t="s">
        <v>17</v>
      </c>
      <c r="G6" s="106" t="s">
        <v>18</v>
      </c>
      <c r="H6" s="106" t="s">
        <v>19</v>
      </c>
      <c r="I6" s="106" t="s">
        <v>20</v>
      </c>
      <c r="J6" s="106" t="s">
        <v>19</v>
      </c>
      <c r="K6" s="106" t="s">
        <v>19</v>
      </c>
      <c r="L6" s="107" t="s">
        <v>12</v>
      </c>
      <c r="M6" s="106" t="s">
        <v>13</v>
      </c>
    </row>
    <row r="7" spans="1:16" s="240" customFormat="1" ht="14.25" x14ac:dyDescent="0.3">
      <c r="A7" s="105"/>
      <c r="B7" s="105"/>
      <c r="C7" s="105"/>
      <c r="D7" s="106" t="s">
        <v>21</v>
      </c>
      <c r="E7" s="106"/>
      <c r="F7" s="106"/>
      <c r="G7" s="106"/>
      <c r="H7" s="106" t="s">
        <v>22</v>
      </c>
      <c r="I7" s="106" t="s">
        <v>19</v>
      </c>
      <c r="J7" s="106" t="s">
        <v>22</v>
      </c>
      <c r="K7" s="106" t="s">
        <v>22</v>
      </c>
      <c r="L7" s="106"/>
      <c r="M7" s="106"/>
    </row>
    <row r="8" spans="1:16" s="240" customFormat="1" ht="14.25" x14ac:dyDescent="0.3">
      <c r="A8" s="108"/>
      <c r="B8" s="108"/>
      <c r="C8" s="108"/>
      <c r="D8" s="109"/>
      <c r="E8" s="109"/>
      <c r="F8" s="109"/>
      <c r="G8" s="109"/>
      <c r="H8" s="109"/>
      <c r="I8" s="109" t="s">
        <v>22</v>
      </c>
      <c r="J8" s="109"/>
      <c r="K8" s="109"/>
      <c r="L8" s="109"/>
      <c r="M8" s="109"/>
    </row>
    <row r="9" spans="1:16" s="111" customFormat="1" ht="14.25" x14ac:dyDescent="0.3">
      <c r="A9" s="111" t="s">
        <v>332</v>
      </c>
      <c r="D9" s="213">
        <v>100</v>
      </c>
      <c r="E9" s="71"/>
      <c r="F9" s="71"/>
      <c r="G9" s="214"/>
      <c r="H9" s="71">
        <v>0</v>
      </c>
      <c r="I9" s="71">
        <v>6865</v>
      </c>
      <c r="J9" s="71"/>
      <c r="K9" s="71">
        <v>6865</v>
      </c>
    </row>
    <row r="10" spans="1:16" s="111" customFormat="1" ht="14.25" x14ac:dyDescent="0.3">
      <c r="A10" s="111" t="s">
        <v>333</v>
      </c>
      <c r="D10" s="213">
        <v>44</v>
      </c>
      <c r="E10" s="71"/>
      <c r="F10" s="71"/>
      <c r="G10" s="214"/>
      <c r="H10" s="71">
        <v>0</v>
      </c>
      <c r="I10" s="71">
        <v>2600</v>
      </c>
      <c r="J10" s="71"/>
      <c r="K10" s="71">
        <v>2600</v>
      </c>
      <c r="L10" s="71">
        <v>338</v>
      </c>
    </row>
    <row r="11" spans="1:16" s="111" customFormat="1" ht="14.25" x14ac:dyDescent="0.3">
      <c r="A11" s="111" t="s">
        <v>334</v>
      </c>
      <c r="D11" s="213" t="s">
        <v>335</v>
      </c>
      <c r="E11" s="71" t="s">
        <v>336</v>
      </c>
      <c r="F11" s="71" t="s">
        <v>337</v>
      </c>
      <c r="G11" s="214">
        <v>1000</v>
      </c>
      <c r="H11" s="71" t="s">
        <v>338</v>
      </c>
      <c r="J11" s="71"/>
      <c r="K11" s="71" t="s">
        <v>185</v>
      </c>
      <c r="L11" s="71"/>
    </row>
    <row r="12" spans="1:16" s="111" customFormat="1" ht="14.25" x14ac:dyDescent="0.3">
      <c r="A12" s="111" t="s">
        <v>339</v>
      </c>
      <c r="D12" s="215" t="s">
        <v>340</v>
      </c>
      <c r="E12" s="71"/>
      <c r="F12" s="71"/>
      <c r="G12" s="214"/>
      <c r="H12" s="71">
        <v>0</v>
      </c>
      <c r="I12" s="216" t="s">
        <v>341</v>
      </c>
      <c r="J12" s="71"/>
      <c r="K12" s="71" t="s">
        <v>185</v>
      </c>
      <c r="L12" s="71"/>
    </row>
    <row r="13" spans="1:16" s="111" customFormat="1" ht="14.25" x14ac:dyDescent="0.3">
      <c r="A13" s="111" t="s">
        <v>182</v>
      </c>
      <c r="D13" s="213">
        <v>100</v>
      </c>
      <c r="E13" s="71">
        <v>4</v>
      </c>
      <c r="F13" s="71">
        <v>1.1000000000000001</v>
      </c>
      <c r="G13" s="214">
        <v>1034</v>
      </c>
      <c r="H13" s="71">
        <v>4136</v>
      </c>
      <c r="J13" s="71">
        <v>4660</v>
      </c>
      <c r="K13" s="71">
        <v>8796</v>
      </c>
      <c r="L13" s="71"/>
      <c r="O13" s="71"/>
      <c r="P13" s="71"/>
    </row>
    <row r="14" spans="1:16" s="111" customFormat="1" ht="14.25" x14ac:dyDescent="0.3">
      <c r="A14" s="111" t="s">
        <v>120</v>
      </c>
      <c r="D14" s="213">
        <v>100</v>
      </c>
      <c r="E14" s="71">
        <v>2.6</v>
      </c>
      <c r="F14" s="71">
        <v>1.3</v>
      </c>
      <c r="G14" s="214">
        <v>1000</v>
      </c>
      <c r="H14" s="71">
        <v>2600</v>
      </c>
      <c r="J14" s="71">
        <v>5050</v>
      </c>
      <c r="K14" s="71">
        <v>7650</v>
      </c>
      <c r="L14" s="71"/>
      <c r="O14" s="71"/>
      <c r="P14" s="71"/>
    </row>
    <row r="15" spans="1:16" s="111" customFormat="1" ht="14.25" x14ac:dyDescent="0.3">
      <c r="A15" s="111" t="s">
        <v>342</v>
      </c>
      <c r="D15" s="213">
        <v>100</v>
      </c>
      <c r="E15" s="71">
        <v>7.8</v>
      </c>
      <c r="F15" s="71">
        <v>2.1</v>
      </c>
      <c r="G15" s="214">
        <v>995</v>
      </c>
      <c r="H15" s="71">
        <v>7761</v>
      </c>
      <c r="J15" s="71"/>
      <c r="K15" s="71">
        <v>7761</v>
      </c>
      <c r="L15" s="71"/>
      <c r="O15" s="71"/>
      <c r="P15" s="71"/>
    </row>
    <row r="16" spans="1:16" s="111" customFormat="1" ht="14.25" x14ac:dyDescent="0.3">
      <c r="A16" s="111" t="s">
        <v>245</v>
      </c>
      <c r="D16" s="213">
        <v>100</v>
      </c>
      <c r="E16" s="71">
        <v>7.4</v>
      </c>
      <c r="F16" s="71">
        <v>2.7</v>
      </c>
      <c r="G16" s="214">
        <v>1000</v>
      </c>
      <c r="H16" s="71">
        <v>7400</v>
      </c>
      <c r="J16" s="71"/>
      <c r="K16" s="71">
        <v>7400</v>
      </c>
      <c r="L16" s="71"/>
      <c r="O16" s="71"/>
      <c r="P16" s="71"/>
    </row>
    <row r="17" spans="1:22" s="111" customFormat="1" ht="16.5" x14ac:dyDescent="0.3">
      <c r="A17" s="111" t="s">
        <v>343</v>
      </c>
      <c r="D17" s="213">
        <v>100</v>
      </c>
      <c r="E17" s="71">
        <v>2</v>
      </c>
      <c r="F17" s="71">
        <v>0.8</v>
      </c>
      <c r="G17" s="214">
        <v>1000</v>
      </c>
      <c r="H17" s="71">
        <v>2000</v>
      </c>
      <c r="I17" s="71">
        <v>2162</v>
      </c>
      <c r="J17" s="71"/>
      <c r="K17" s="71">
        <v>4162</v>
      </c>
      <c r="L17" s="71"/>
      <c r="O17" s="88"/>
      <c r="P17" s="217"/>
      <c r="Q17" s="217"/>
      <c r="R17" s="217"/>
      <c r="S17" s="218"/>
      <c r="T17" s="219"/>
      <c r="U17" s="220"/>
      <c r="V17" s="88"/>
    </row>
    <row r="18" spans="1:22" s="111" customFormat="1" ht="16.5" x14ac:dyDescent="0.3">
      <c r="A18" s="111" t="s">
        <v>344</v>
      </c>
      <c r="D18" s="213">
        <v>44</v>
      </c>
      <c r="E18" s="71"/>
      <c r="F18" s="71"/>
      <c r="G18" s="214"/>
      <c r="H18" s="71">
        <v>0</v>
      </c>
      <c r="I18" s="71">
        <v>1009</v>
      </c>
      <c r="J18" s="71"/>
      <c r="K18" s="71">
        <v>1009</v>
      </c>
      <c r="L18" s="71"/>
      <c r="O18" s="88"/>
      <c r="P18" s="221"/>
      <c r="Q18" s="221"/>
      <c r="R18" s="221"/>
      <c r="S18" s="221"/>
      <c r="T18" s="221"/>
      <c r="U18" s="222"/>
      <c r="V18" s="88"/>
    </row>
    <row r="19" spans="1:22" s="111" customFormat="1" ht="14.25" x14ac:dyDescent="0.3">
      <c r="A19" s="211" t="s">
        <v>30</v>
      </c>
      <c r="B19" s="211"/>
      <c r="C19" s="211"/>
      <c r="D19" s="223"/>
      <c r="E19" s="224">
        <v>23.799999999999997</v>
      </c>
      <c r="F19" s="224">
        <v>8</v>
      </c>
      <c r="G19" s="224"/>
      <c r="H19" s="224">
        <v>23897</v>
      </c>
      <c r="I19" s="224">
        <v>12636</v>
      </c>
      <c r="J19" s="224">
        <v>9710</v>
      </c>
      <c r="K19" s="224">
        <v>46243</v>
      </c>
      <c r="L19" s="224">
        <v>338</v>
      </c>
      <c r="M19" s="211">
        <v>0</v>
      </c>
    </row>
    <row r="20" spans="1:22" s="111" customFormat="1" ht="14.25" x14ac:dyDescent="0.3">
      <c r="A20" s="212" t="s">
        <v>31</v>
      </c>
      <c r="B20" s="212"/>
      <c r="C20" s="212"/>
      <c r="D20" s="225"/>
      <c r="E20" s="226">
        <v>15.799999999999997</v>
      </c>
      <c r="F20" s="226"/>
      <c r="G20" s="226"/>
      <c r="H20" s="226">
        <v>15936</v>
      </c>
      <c r="I20" s="226">
        <f>I19-L19</f>
        <v>12298</v>
      </c>
      <c r="J20" s="226">
        <v>9710</v>
      </c>
      <c r="K20" s="226">
        <v>37944</v>
      </c>
      <c r="L20" s="212"/>
      <c r="M20" s="212"/>
    </row>
    <row r="21" spans="1:22" s="111" customFormat="1" ht="14.25" x14ac:dyDescent="0.3">
      <c r="C21" s="111" t="s">
        <v>32</v>
      </c>
    </row>
    <row r="22" spans="1:22" s="111" customFormat="1" ht="14.25" x14ac:dyDescent="0.3"/>
    <row r="23" spans="1:22" s="111" customFormat="1" ht="14.25" x14ac:dyDescent="0.3">
      <c r="A23" s="111" t="s">
        <v>35</v>
      </c>
    </row>
    <row r="24" spans="1:22" s="111" customFormat="1" ht="14.25" x14ac:dyDescent="0.3">
      <c r="A24" s="227" t="s">
        <v>36</v>
      </c>
      <c r="B24" s="227"/>
      <c r="C24" s="227"/>
      <c r="D24" s="227" t="s">
        <v>37</v>
      </c>
      <c r="E24" s="227" t="s">
        <v>38</v>
      </c>
      <c r="F24" s="227"/>
      <c r="G24" s="227" t="s">
        <v>39</v>
      </c>
    </row>
    <row r="25" spans="1:22" s="111" customFormat="1" ht="14.25" x14ac:dyDescent="0.3">
      <c r="A25" s="111" t="s">
        <v>40</v>
      </c>
      <c r="I25" s="228" t="s">
        <v>33</v>
      </c>
      <c r="J25" s="229">
        <v>4.5999999999999996</v>
      </c>
    </row>
    <row r="26" spans="1:22" s="111" customFormat="1" ht="14.25" x14ac:dyDescent="0.3">
      <c r="A26" s="111" t="s">
        <v>187</v>
      </c>
      <c r="D26" s="111" t="s">
        <v>41</v>
      </c>
      <c r="E26" s="71">
        <v>5</v>
      </c>
      <c r="F26" s="71"/>
      <c r="G26" s="71">
        <v>932</v>
      </c>
      <c r="I26" s="228" t="s">
        <v>34</v>
      </c>
      <c r="J26" s="229">
        <v>5</v>
      </c>
    </row>
    <row r="27" spans="1:22" s="111" customFormat="1" ht="14.25" x14ac:dyDescent="0.3">
      <c r="A27" s="111" t="s">
        <v>45</v>
      </c>
    </row>
    <row r="28" spans="1:22" s="111" customFormat="1" ht="14.25" x14ac:dyDescent="0.3">
      <c r="A28" s="111" t="s">
        <v>47</v>
      </c>
      <c r="D28" s="111" t="s">
        <v>48</v>
      </c>
      <c r="E28" s="71">
        <v>16</v>
      </c>
      <c r="G28" s="71">
        <v>996</v>
      </c>
      <c r="I28" s="230" t="s">
        <v>247</v>
      </c>
      <c r="J28" s="230"/>
    </row>
    <row r="29" spans="1:22" s="111" customFormat="1" ht="14.25" x14ac:dyDescent="0.3">
      <c r="A29" s="111" t="s">
        <v>50</v>
      </c>
      <c r="D29" s="111" t="s">
        <v>48</v>
      </c>
      <c r="E29" s="71">
        <v>8</v>
      </c>
      <c r="I29" s="231" t="s">
        <v>345</v>
      </c>
      <c r="J29" s="232">
        <v>54</v>
      </c>
    </row>
    <row r="30" spans="1:22" s="111" customFormat="1" ht="14.25" x14ac:dyDescent="0.3">
      <c r="A30" s="111" t="s">
        <v>8</v>
      </c>
      <c r="E30" s="71">
        <v>24</v>
      </c>
      <c r="I30" s="231" t="s">
        <v>346</v>
      </c>
      <c r="J30" s="232">
        <v>29</v>
      </c>
    </row>
    <row r="31" spans="1:22" s="111" customFormat="1" ht="14.25" x14ac:dyDescent="0.3">
      <c r="A31" s="211" t="s">
        <v>137</v>
      </c>
      <c r="B31" s="211"/>
      <c r="C31" s="211" t="s">
        <v>101</v>
      </c>
      <c r="D31" s="211"/>
      <c r="E31" s="211"/>
      <c r="F31" s="211"/>
      <c r="G31" s="211"/>
      <c r="I31" s="231" t="s">
        <v>321</v>
      </c>
      <c r="J31" s="232">
        <v>17</v>
      </c>
    </row>
    <row r="32" spans="1:22" s="111" customFormat="1" ht="14.25" x14ac:dyDescent="0.3">
      <c r="A32" s="88"/>
      <c r="B32" s="89" t="s">
        <v>138</v>
      </c>
      <c r="C32" s="233">
        <v>100</v>
      </c>
      <c r="D32" s="88" t="s">
        <v>41</v>
      </c>
      <c r="E32" s="234">
        <v>127</v>
      </c>
      <c r="F32" s="234"/>
      <c r="G32" s="234">
        <v>24</v>
      </c>
    </row>
    <row r="33" spans="1:16" s="111" customFormat="1" ht="14.25" x14ac:dyDescent="0.3">
      <c r="A33" s="88"/>
      <c r="B33" s="89" t="s">
        <v>301</v>
      </c>
      <c r="C33" s="233">
        <v>40</v>
      </c>
      <c r="D33" s="88" t="s">
        <v>41</v>
      </c>
      <c r="E33" s="234">
        <v>41</v>
      </c>
      <c r="F33" s="234"/>
      <c r="G33" s="234">
        <v>26</v>
      </c>
    </row>
    <row r="34" spans="1:16" s="111" customFormat="1" ht="14.25" x14ac:dyDescent="0.3">
      <c r="A34" s="88"/>
      <c r="B34" s="89" t="s">
        <v>303</v>
      </c>
      <c r="C34" s="233">
        <v>60</v>
      </c>
      <c r="D34" s="88" t="s">
        <v>41</v>
      </c>
      <c r="E34" s="234">
        <v>36</v>
      </c>
      <c r="F34" s="234"/>
      <c r="G34" s="234">
        <v>26</v>
      </c>
    </row>
    <row r="35" spans="1:16" s="111" customFormat="1" ht="14.25" x14ac:dyDescent="0.3">
      <c r="A35" s="212"/>
      <c r="B35" s="89"/>
      <c r="C35" s="235"/>
      <c r="D35" s="212"/>
      <c r="E35" s="212"/>
      <c r="F35" s="212"/>
      <c r="G35" s="212"/>
    </row>
    <row r="36" spans="1:16" s="111" customFormat="1" ht="14.25" x14ac:dyDescent="0.3">
      <c r="A36" s="211" t="s">
        <v>51</v>
      </c>
      <c r="B36" s="211"/>
      <c r="C36" s="211"/>
      <c r="D36" s="211"/>
      <c r="E36" s="211"/>
      <c r="F36" s="211"/>
      <c r="G36" s="211"/>
      <c r="H36" s="236" t="s">
        <v>195</v>
      </c>
    </row>
    <row r="37" spans="1:16" s="111" customFormat="1" ht="14.25" x14ac:dyDescent="0.3">
      <c r="A37" s="88" t="s">
        <v>54</v>
      </c>
      <c r="B37" s="88"/>
      <c r="C37" s="88"/>
      <c r="D37" s="88"/>
      <c r="E37" s="88"/>
      <c r="F37" s="88"/>
      <c r="G37" s="98" t="s">
        <v>347</v>
      </c>
      <c r="H37" s="71">
        <v>3734</v>
      </c>
      <c r="O37" s="237"/>
      <c r="P37" s="238"/>
    </row>
    <row r="38" spans="1:16" s="111" customFormat="1" ht="14.25" x14ac:dyDescent="0.3">
      <c r="A38" s="88" t="s">
        <v>55</v>
      </c>
      <c r="B38" s="88"/>
      <c r="C38" s="88"/>
      <c r="D38" s="88"/>
      <c r="E38" s="88"/>
      <c r="F38" s="88"/>
      <c r="G38" s="99">
        <v>32</v>
      </c>
      <c r="H38" s="71"/>
      <c r="O38" s="237"/>
      <c r="P38" s="238"/>
    </row>
    <row r="39" spans="1:16" s="111" customFormat="1" ht="14.25" x14ac:dyDescent="0.3">
      <c r="A39" s="88" t="s">
        <v>56</v>
      </c>
      <c r="B39" s="88"/>
      <c r="C39" s="88"/>
      <c r="D39" s="88"/>
      <c r="E39" s="88"/>
      <c r="F39" s="88"/>
      <c r="G39" s="99">
        <v>48352</v>
      </c>
      <c r="H39" s="71">
        <v>119478</v>
      </c>
      <c r="O39" s="237"/>
      <c r="P39" s="238"/>
    </row>
    <row r="40" spans="1:16" s="111" customFormat="1" ht="14.25" x14ac:dyDescent="0.3">
      <c r="A40" s="88" t="s">
        <v>57</v>
      </c>
      <c r="B40" s="88"/>
      <c r="C40" s="88"/>
      <c r="D40" s="88"/>
      <c r="E40" s="88"/>
      <c r="F40" s="88"/>
      <c r="G40" s="99">
        <v>2109</v>
      </c>
      <c r="H40" s="71">
        <v>5211</v>
      </c>
    </row>
    <row r="41" spans="1:16" s="111" customFormat="1" ht="14.25" x14ac:dyDescent="0.3">
      <c r="A41" s="88" t="s">
        <v>58</v>
      </c>
      <c r="B41" s="88"/>
      <c r="C41" s="88"/>
      <c r="D41" s="88"/>
      <c r="E41" s="88"/>
      <c r="F41" s="88"/>
      <c r="G41" s="99">
        <v>10408</v>
      </c>
      <c r="H41" s="71">
        <v>24883</v>
      </c>
    </row>
    <row r="42" spans="1:16" s="111" customFormat="1" ht="14.25" x14ac:dyDescent="0.3">
      <c r="A42" s="88"/>
      <c r="B42" s="88"/>
      <c r="C42" s="88"/>
      <c r="D42" s="88"/>
      <c r="E42" s="88"/>
      <c r="F42" s="88"/>
      <c r="G42" s="99"/>
    </row>
    <row r="43" spans="1:16" s="111" customFormat="1" ht="14.25" x14ac:dyDescent="0.3">
      <c r="A43" s="88" t="s">
        <v>59</v>
      </c>
      <c r="B43" s="88"/>
      <c r="C43" s="88"/>
      <c r="D43" s="88"/>
      <c r="E43" s="88"/>
      <c r="F43" s="88"/>
      <c r="G43" s="99">
        <v>30.604235605559232</v>
      </c>
    </row>
    <row r="44" spans="1:16" s="111" customFormat="1" ht="14.25" x14ac:dyDescent="0.3">
      <c r="A44" s="212" t="s">
        <v>60</v>
      </c>
      <c r="B44" s="212"/>
      <c r="C44" s="212"/>
      <c r="D44" s="212"/>
      <c r="E44" s="212"/>
      <c r="F44" s="212"/>
      <c r="G44" s="239">
        <v>25.11</v>
      </c>
    </row>
    <row r="45" spans="1:16" s="111" customFormat="1" ht="14.25" x14ac:dyDescent="0.3"/>
    <row r="46" spans="1:16" s="111" customFormat="1" ht="14.25" x14ac:dyDescent="0.3">
      <c r="A46" s="111" t="s">
        <v>170</v>
      </c>
      <c r="C46" s="111" t="s">
        <v>348</v>
      </c>
    </row>
    <row r="47" spans="1:16" s="111" customFormat="1" ht="14.25" x14ac:dyDescent="0.3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49"/>
  <sheetViews>
    <sheetView workbookViewId="0">
      <selection sqref="A1:A4"/>
    </sheetView>
  </sheetViews>
  <sheetFormatPr defaultRowHeight="15" x14ac:dyDescent="0.25"/>
  <sheetData>
    <row r="1" spans="1:13" ht="15.75" x14ac:dyDescent="0.3">
      <c r="A1" s="3" t="s">
        <v>63</v>
      </c>
      <c r="B1" s="159" t="s">
        <v>361</v>
      </c>
      <c r="D1" s="67"/>
      <c r="E1" s="67"/>
      <c r="F1" s="67"/>
      <c r="G1" s="67"/>
      <c r="H1" s="67"/>
      <c r="I1" s="67"/>
      <c r="J1" s="67"/>
    </row>
    <row r="2" spans="1:13" ht="15.75" x14ac:dyDescent="0.3">
      <c r="A2" s="3" t="s">
        <v>0</v>
      </c>
      <c r="B2" s="159" t="s">
        <v>360</v>
      </c>
      <c r="D2" s="67"/>
      <c r="E2" s="67"/>
      <c r="F2" s="67"/>
      <c r="G2" s="67"/>
      <c r="H2" s="67"/>
      <c r="I2" s="67"/>
      <c r="J2" s="67"/>
    </row>
    <row r="3" spans="1:13" x14ac:dyDescent="0.25">
      <c r="A3" s="3" t="s">
        <v>2</v>
      </c>
      <c r="B3" s="159" t="s">
        <v>278</v>
      </c>
    </row>
    <row r="4" spans="1:13" x14ac:dyDescent="0.25">
      <c r="A4" s="3" t="s">
        <v>4</v>
      </c>
      <c r="B4" s="159" t="s">
        <v>107</v>
      </c>
    </row>
    <row r="5" spans="1:13" s="62" customFormat="1" x14ac:dyDescent="0.25">
      <c r="A5" s="62" t="s">
        <v>6</v>
      </c>
      <c r="D5" s="62" t="s">
        <v>7</v>
      </c>
      <c r="E5" s="62" t="s">
        <v>8</v>
      </c>
      <c r="F5" s="62" t="s">
        <v>9</v>
      </c>
      <c r="G5" s="62" t="s">
        <v>10</v>
      </c>
      <c r="H5" s="62" t="s">
        <v>11</v>
      </c>
      <c r="I5" s="62" t="s">
        <v>12</v>
      </c>
      <c r="J5" s="62" t="s">
        <v>13</v>
      </c>
      <c r="K5" s="62" t="s">
        <v>14</v>
      </c>
      <c r="L5" s="62" t="s">
        <v>15</v>
      </c>
    </row>
    <row r="6" spans="1:13" s="62" customFormat="1" x14ac:dyDescent="0.25">
      <c r="D6" s="62" t="s">
        <v>16</v>
      </c>
      <c r="E6" s="62" t="s">
        <v>17</v>
      </c>
      <c r="F6" s="62" t="s">
        <v>17</v>
      </c>
      <c r="G6" s="62" t="s">
        <v>18</v>
      </c>
      <c r="H6" s="62" t="s">
        <v>19</v>
      </c>
      <c r="I6" s="62" t="s">
        <v>20</v>
      </c>
      <c r="J6" s="62" t="s">
        <v>19</v>
      </c>
      <c r="K6" s="62" t="s">
        <v>19</v>
      </c>
      <c r="L6" s="62" t="s">
        <v>12</v>
      </c>
      <c r="M6" s="62" t="s">
        <v>13</v>
      </c>
    </row>
    <row r="7" spans="1:13" s="62" customFormat="1" x14ac:dyDescent="0.25">
      <c r="D7" s="62" t="s">
        <v>21</v>
      </c>
      <c r="H7" s="62" t="s">
        <v>22</v>
      </c>
      <c r="I7" s="62" t="s">
        <v>19</v>
      </c>
      <c r="J7" s="62" t="s">
        <v>22</v>
      </c>
      <c r="K7" s="62" t="s">
        <v>22</v>
      </c>
    </row>
    <row r="8" spans="1:13" s="62" customFormat="1" x14ac:dyDescent="0.25">
      <c r="I8" s="62" t="s">
        <v>22</v>
      </c>
    </row>
    <row r="9" spans="1:13" x14ac:dyDescent="0.25">
      <c r="A9" t="s">
        <v>351</v>
      </c>
      <c r="D9">
        <v>44</v>
      </c>
      <c r="E9">
        <v>0.5</v>
      </c>
      <c r="F9">
        <v>0.5</v>
      </c>
      <c r="G9">
        <v>1200</v>
      </c>
      <c r="H9">
        <v>600</v>
      </c>
      <c r="J9">
        <v>3025</v>
      </c>
      <c r="K9">
        <v>3625</v>
      </c>
    </row>
    <row r="10" spans="1:13" x14ac:dyDescent="0.25">
      <c r="A10" t="s">
        <v>65</v>
      </c>
      <c r="D10">
        <v>48</v>
      </c>
      <c r="E10">
        <v>6.19</v>
      </c>
      <c r="F10">
        <v>3</v>
      </c>
      <c r="G10">
        <v>1000</v>
      </c>
      <c r="H10">
        <v>6190</v>
      </c>
      <c r="K10">
        <v>6190</v>
      </c>
    </row>
    <row r="11" spans="1:13" x14ac:dyDescent="0.25">
      <c r="A11" t="s">
        <v>352</v>
      </c>
      <c r="D11">
        <v>50</v>
      </c>
      <c r="H11">
        <v>0</v>
      </c>
      <c r="I11">
        <v>6341</v>
      </c>
      <c r="K11">
        <v>6341</v>
      </c>
    </row>
    <row r="12" spans="1:13" x14ac:dyDescent="0.25">
      <c r="A12" t="s">
        <v>264</v>
      </c>
      <c r="D12">
        <v>100</v>
      </c>
      <c r="E12">
        <v>6.11</v>
      </c>
      <c r="F12">
        <v>4.2</v>
      </c>
      <c r="G12">
        <v>980</v>
      </c>
      <c r="H12">
        <v>5988</v>
      </c>
      <c r="J12">
        <v>7691</v>
      </c>
      <c r="K12">
        <v>13679</v>
      </c>
    </row>
    <row r="13" spans="1:13" x14ac:dyDescent="0.25">
      <c r="A13" t="s">
        <v>94</v>
      </c>
      <c r="D13">
        <v>100</v>
      </c>
      <c r="E13">
        <v>4</v>
      </c>
      <c r="F13">
        <v>2.9</v>
      </c>
      <c r="G13">
        <v>990</v>
      </c>
      <c r="H13">
        <v>3960</v>
      </c>
      <c r="J13">
        <v>4224</v>
      </c>
      <c r="K13">
        <v>8184</v>
      </c>
    </row>
    <row r="14" spans="1:13" x14ac:dyDescent="0.25">
      <c r="A14" t="s">
        <v>353</v>
      </c>
      <c r="D14">
        <v>64</v>
      </c>
      <c r="E14">
        <v>5.64</v>
      </c>
      <c r="F14">
        <v>3.82</v>
      </c>
      <c r="G14">
        <v>980</v>
      </c>
      <c r="H14">
        <v>5527</v>
      </c>
      <c r="K14">
        <v>5527</v>
      </c>
    </row>
    <row r="15" spans="1:13" x14ac:dyDescent="0.25">
      <c r="A15" t="s">
        <v>354</v>
      </c>
      <c r="D15">
        <v>44</v>
      </c>
      <c r="E15">
        <v>1.4</v>
      </c>
      <c r="F15">
        <v>0.94</v>
      </c>
      <c r="G15">
        <v>1200</v>
      </c>
      <c r="H15">
        <v>1680</v>
      </c>
      <c r="J15">
        <v>2481</v>
      </c>
      <c r="K15">
        <v>4161</v>
      </c>
    </row>
    <row r="16" spans="1:13" x14ac:dyDescent="0.25">
      <c r="A16" t="s">
        <v>68</v>
      </c>
      <c r="D16">
        <v>74</v>
      </c>
      <c r="E16">
        <v>1.3</v>
      </c>
      <c r="F16">
        <v>1.2</v>
      </c>
      <c r="G16">
        <v>1100</v>
      </c>
      <c r="H16">
        <v>1430</v>
      </c>
      <c r="J16">
        <v>1379</v>
      </c>
      <c r="K16">
        <v>2809</v>
      </c>
    </row>
    <row r="17" spans="1:13" x14ac:dyDescent="0.25">
      <c r="A17" t="s">
        <v>355</v>
      </c>
      <c r="D17">
        <v>100</v>
      </c>
      <c r="E17">
        <v>7.37</v>
      </c>
      <c r="F17">
        <v>4.53</v>
      </c>
      <c r="G17">
        <v>990</v>
      </c>
      <c r="H17">
        <v>7296</v>
      </c>
      <c r="K17">
        <v>7296</v>
      </c>
    </row>
    <row r="18" spans="1:13" x14ac:dyDescent="0.25">
      <c r="A18" t="s">
        <v>70</v>
      </c>
      <c r="E18">
        <v>32.51</v>
      </c>
      <c r="F18">
        <v>21.09</v>
      </c>
      <c r="H18">
        <v>32671</v>
      </c>
      <c r="I18">
        <v>6341</v>
      </c>
      <c r="J18">
        <v>18800</v>
      </c>
      <c r="K18">
        <v>57812</v>
      </c>
      <c r="L18">
        <v>0</v>
      </c>
      <c r="M18">
        <v>0</v>
      </c>
    </row>
    <row r="19" spans="1:13" x14ac:dyDescent="0.25">
      <c r="A19" t="s">
        <v>71</v>
      </c>
      <c r="E19">
        <v>11.419999999999998</v>
      </c>
      <c r="H19">
        <v>11231</v>
      </c>
      <c r="I19">
        <v>6341</v>
      </c>
      <c r="J19">
        <v>18800</v>
      </c>
      <c r="K19">
        <v>36372</v>
      </c>
    </row>
    <row r="21" spans="1:13" x14ac:dyDescent="0.25">
      <c r="C21" t="s">
        <v>32</v>
      </c>
    </row>
    <row r="23" spans="1:13" x14ac:dyDescent="0.25">
      <c r="A23" t="s">
        <v>35</v>
      </c>
    </row>
    <row r="24" spans="1:13" x14ac:dyDescent="0.25">
      <c r="A24" t="s">
        <v>36</v>
      </c>
      <c r="D24" t="s">
        <v>37</v>
      </c>
      <c r="E24" t="s">
        <v>38</v>
      </c>
      <c r="G24" t="s">
        <v>39</v>
      </c>
    </row>
    <row r="25" spans="1:13" x14ac:dyDescent="0.25">
      <c r="A25" t="s">
        <v>40</v>
      </c>
      <c r="J25" t="s">
        <v>72</v>
      </c>
      <c r="K25" t="s">
        <v>73</v>
      </c>
    </row>
    <row r="26" spans="1:13" x14ac:dyDescent="0.25">
      <c r="A26" t="s">
        <v>187</v>
      </c>
      <c r="D26" t="s">
        <v>41</v>
      </c>
      <c r="E26">
        <v>0.4</v>
      </c>
      <c r="G26">
        <v>19227</v>
      </c>
      <c r="J26" t="s">
        <v>356</v>
      </c>
      <c r="K26">
        <v>41</v>
      </c>
    </row>
    <row r="27" spans="1:13" x14ac:dyDescent="0.25">
      <c r="J27" t="s">
        <v>357</v>
      </c>
      <c r="K27">
        <v>33</v>
      </c>
    </row>
    <row r="28" spans="1:13" x14ac:dyDescent="0.25">
      <c r="J28" t="s">
        <v>358</v>
      </c>
      <c r="K28">
        <v>15</v>
      </c>
    </row>
    <row r="29" spans="1:13" x14ac:dyDescent="0.25">
      <c r="A29" t="s">
        <v>45</v>
      </c>
      <c r="J29" t="s">
        <v>359</v>
      </c>
      <c r="K29">
        <v>11</v>
      </c>
    </row>
    <row r="30" spans="1:13" x14ac:dyDescent="0.25">
      <c r="A30" t="s">
        <v>47</v>
      </c>
      <c r="D30" t="s">
        <v>48</v>
      </c>
      <c r="E30">
        <v>11</v>
      </c>
      <c r="G30">
        <v>1021</v>
      </c>
    </row>
    <row r="31" spans="1:13" x14ac:dyDescent="0.25">
      <c r="A31" t="s">
        <v>50</v>
      </c>
      <c r="D31" t="s">
        <v>48</v>
      </c>
      <c r="E31">
        <v>21</v>
      </c>
      <c r="J31" t="s">
        <v>33</v>
      </c>
      <c r="K31">
        <v>2</v>
      </c>
    </row>
    <row r="32" spans="1:13" x14ac:dyDescent="0.25">
      <c r="A32" t="s">
        <v>8</v>
      </c>
      <c r="E32">
        <v>32</v>
      </c>
      <c r="J32" t="s">
        <v>34</v>
      </c>
      <c r="K32">
        <v>1</v>
      </c>
    </row>
    <row r="34" spans="1:9" x14ac:dyDescent="0.25">
      <c r="A34" t="s">
        <v>100</v>
      </c>
      <c r="C34" t="s">
        <v>101</v>
      </c>
    </row>
    <row r="35" spans="1:9" x14ac:dyDescent="0.25">
      <c r="A35" t="s">
        <v>102</v>
      </c>
      <c r="B35" t="s">
        <v>103</v>
      </c>
      <c r="C35">
        <v>100</v>
      </c>
      <c r="D35" t="s">
        <v>41</v>
      </c>
      <c r="E35">
        <v>72</v>
      </c>
      <c r="G35">
        <v>24</v>
      </c>
    </row>
    <row r="36" spans="1:9" x14ac:dyDescent="0.25">
      <c r="B36" t="s">
        <v>104</v>
      </c>
      <c r="C36">
        <v>86</v>
      </c>
      <c r="D36" t="s">
        <v>41</v>
      </c>
      <c r="E36">
        <v>50</v>
      </c>
      <c r="G36">
        <v>26</v>
      </c>
    </row>
    <row r="37" spans="1:9" x14ac:dyDescent="0.25">
      <c r="B37" t="s">
        <v>105</v>
      </c>
      <c r="C37">
        <v>74</v>
      </c>
      <c r="D37" t="s">
        <v>41</v>
      </c>
      <c r="E37">
        <v>46</v>
      </c>
      <c r="G37">
        <v>26</v>
      </c>
    </row>
    <row r="39" spans="1:9" x14ac:dyDescent="0.25">
      <c r="A39" t="s">
        <v>51</v>
      </c>
      <c r="I39" t="s">
        <v>75</v>
      </c>
    </row>
    <row r="40" spans="1:9" x14ac:dyDescent="0.25">
      <c r="A40" t="s">
        <v>76</v>
      </c>
      <c r="G40">
        <v>4732</v>
      </c>
      <c r="I40">
        <v>11693</v>
      </c>
    </row>
    <row r="41" spans="1:9" x14ac:dyDescent="0.25">
      <c r="A41" t="s">
        <v>55</v>
      </c>
      <c r="G41">
        <v>23</v>
      </c>
    </row>
    <row r="42" spans="1:9" x14ac:dyDescent="0.25">
      <c r="A42" t="s">
        <v>77</v>
      </c>
      <c r="G42">
        <v>108836</v>
      </c>
      <c r="I42">
        <v>268934</v>
      </c>
    </row>
    <row r="43" spans="1:9" x14ac:dyDescent="0.25">
      <c r="A43" t="s">
        <v>78</v>
      </c>
      <c r="G43">
        <v>51024</v>
      </c>
      <c r="I43">
        <v>126080</v>
      </c>
    </row>
    <row r="44" spans="1:9" x14ac:dyDescent="0.25">
      <c r="A44" t="s">
        <v>79</v>
      </c>
      <c r="G44">
        <v>72464</v>
      </c>
      <c r="I44">
        <v>179059</v>
      </c>
    </row>
    <row r="46" spans="1:9" x14ac:dyDescent="0.25">
      <c r="A46" t="s">
        <v>80</v>
      </c>
      <c r="G46">
        <v>12.21724429416737</v>
      </c>
    </row>
    <row r="47" spans="1:9" x14ac:dyDescent="0.25">
      <c r="A47" t="s">
        <v>81</v>
      </c>
      <c r="G47">
        <v>7.6863905325443787</v>
      </c>
    </row>
    <row r="49" spans="1:1" x14ac:dyDescent="0.25">
      <c r="A49" t="s">
        <v>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53"/>
  <sheetViews>
    <sheetView workbookViewId="0">
      <selection sqref="A1:A4"/>
    </sheetView>
  </sheetViews>
  <sheetFormatPr defaultRowHeight="15" x14ac:dyDescent="0.25"/>
  <sheetData>
    <row r="1" spans="1:13" ht="15.75" x14ac:dyDescent="0.3">
      <c r="A1" s="3" t="s">
        <v>63</v>
      </c>
      <c r="B1" s="159" t="s">
        <v>375</v>
      </c>
      <c r="D1" s="111"/>
      <c r="E1" s="111"/>
      <c r="F1" s="111"/>
      <c r="G1" s="111"/>
      <c r="H1" s="111"/>
      <c r="I1" s="111"/>
      <c r="J1" s="111"/>
      <c r="K1" s="111"/>
    </row>
    <row r="2" spans="1:13" ht="15.75" x14ac:dyDescent="0.3">
      <c r="A2" s="3" t="s">
        <v>0</v>
      </c>
      <c r="B2" s="242" t="s">
        <v>172</v>
      </c>
      <c r="D2" s="111"/>
      <c r="E2" s="111"/>
      <c r="F2" s="111"/>
      <c r="G2" s="111"/>
      <c r="H2" s="111"/>
      <c r="I2" s="111"/>
      <c r="J2" s="111"/>
      <c r="K2" s="111"/>
    </row>
    <row r="3" spans="1:13" ht="15.75" x14ac:dyDescent="0.3">
      <c r="A3" s="3" t="s">
        <v>2</v>
      </c>
      <c r="B3" s="159" t="s">
        <v>376</v>
      </c>
      <c r="D3" s="111"/>
      <c r="E3" s="111"/>
      <c r="F3" s="111"/>
      <c r="G3" s="111"/>
      <c r="H3" s="111"/>
      <c r="I3" s="111"/>
      <c r="J3" s="111"/>
      <c r="K3" s="111"/>
    </row>
    <row r="4" spans="1:13" x14ac:dyDescent="0.25">
      <c r="A4" s="3" t="s">
        <v>4</v>
      </c>
      <c r="B4" s="159" t="s">
        <v>377</v>
      </c>
    </row>
    <row r="5" spans="1:13" s="62" customFormat="1" x14ac:dyDescent="0.25">
      <c r="A5" s="62" t="s">
        <v>6</v>
      </c>
      <c r="D5" s="62" t="s">
        <v>7</v>
      </c>
      <c r="E5" s="62" t="s">
        <v>8</v>
      </c>
      <c r="F5" s="62" t="s">
        <v>9</v>
      </c>
      <c r="G5" s="62" t="s">
        <v>10</v>
      </c>
      <c r="H5" s="62" t="s">
        <v>11</v>
      </c>
      <c r="I5" s="62" t="s">
        <v>12</v>
      </c>
      <c r="J5" s="62" t="s">
        <v>13</v>
      </c>
      <c r="K5" s="62" t="s">
        <v>14</v>
      </c>
      <c r="L5" s="62" t="s">
        <v>15</v>
      </c>
    </row>
    <row r="6" spans="1:13" s="62" customFormat="1" x14ac:dyDescent="0.25">
      <c r="D6" s="62" t="s">
        <v>16</v>
      </c>
      <c r="E6" s="62" t="s">
        <v>17</v>
      </c>
      <c r="F6" s="62" t="s">
        <v>17</v>
      </c>
      <c r="G6" s="62" t="s">
        <v>18</v>
      </c>
      <c r="H6" s="62" t="s">
        <v>19</v>
      </c>
      <c r="I6" s="62" t="s">
        <v>20</v>
      </c>
      <c r="J6" s="62" t="s">
        <v>19</v>
      </c>
      <c r="K6" s="62" t="s">
        <v>19</v>
      </c>
      <c r="L6" s="62" t="s">
        <v>12</v>
      </c>
      <c r="M6" s="62" t="s">
        <v>13</v>
      </c>
    </row>
    <row r="7" spans="1:13" s="62" customFormat="1" x14ac:dyDescent="0.25">
      <c r="D7" s="62" t="s">
        <v>21</v>
      </c>
      <c r="H7" s="62" t="s">
        <v>22</v>
      </c>
      <c r="I7" s="62" t="s">
        <v>19</v>
      </c>
      <c r="J7" s="62" t="s">
        <v>22</v>
      </c>
      <c r="K7" s="62" t="s">
        <v>22</v>
      </c>
    </row>
    <row r="8" spans="1:13" s="62" customFormat="1" x14ac:dyDescent="0.25">
      <c r="I8" s="62" t="s">
        <v>22</v>
      </c>
    </row>
    <row r="9" spans="1:13" x14ac:dyDescent="0.25">
      <c r="A9" t="s">
        <v>23</v>
      </c>
      <c r="D9">
        <v>80</v>
      </c>
      <c r="E9">
        <v>7.6</v>
      </c>
      <c r="F9">
        <v>2.2999999999999998</v>
      </c>
      <c r="G9">
        <v>853.1</v>
      </c>
      <c r="H9">
        <v>6484</v>
      </c>
      <c r="K9">
        <v>6484</v>
      </c>
    </row>
    <row r="10" spans="1:13" x14ac:dyDescent="0.25">
      <c r="A10" t="s">
        <v>362</v>
      </c>
      <c r="D10">
        <v>56</v>
      </c>
      <c r="E10">
        <v>8.75</v>
      </c>
      <c r="F10">
        <v>3.43</v>
      </c>
      <c r="G10">
        <v>884.6</v>
      </c>
      <c r="H10">
        <v>7740</v>
      </c>
      <c r="K10">
        <v>7740</v>
      </c>
    </row>
    <row r="11" spans="1:13" x14ac:dyDescent="0.25">
      <c r="A11" t="s">
        <v>174</v>
      </c>
      <c r="D11" t="s">
        <v>363</v>
      </c>
      <c r="H11">
        <v>0</v>
      </c>
      <c r="I11" t="s">
        <v>364</v>
      </c>
      <c r="K11">
        <v>0</v>
      </c>
      <c r="L11">
        <v>0</v>
      </c>
    </row>
    <row r="12" spans="1:13" x14ac:dyDescent="0.25">
      <c r="A12" t="s">
        <v>365</v>
      </c>
      <c r="D12">
        <v>100</v>
      </c>
      <c r="E12">
        <v>7.2</v>
      </c>
      <c r="F12">
        <v>2.5999999999999996</v>
      </c>
      <c r="G12">
        <v>787</v>
      </c>
      <c r="H12">
        <v>5666</v>
      </c>
      <c r="K12">
        <v>5666</v>
      </c>
    </row>
    <row r="13" spans="1:13" x14ac:dyDescent="0.25">
      <c r="A13" t="s">
        <v>366</v>
      </c>
      <c r="D13">
        <v>100</v>
      </c>
      <c r="E13">
        <v>12.5</v>
      </c>
      <c r="F13">
        <v>7.9</v>
      </c>
      <c r="G13">
        <v>929.4</v>
      </c>
      <c r="H13">
        <v>11617</v>
      </c>
      <c r="J13">
        <v>14686</v>
      </c>
      <c r="K13">
        <v>26303</v>
      </c>
      <c r="M13">
        <v>504</v>
      </c>
    </row>
    <row r="14" spans="1:13" x14ac:dyDescent="0.25">
      <c r="A14" t="s">
        <v>120</v>
      </c>
      <c r="D14">
        <v>100</v>
      </c>
      <c r="E14">
        <v>7.54</v>
      </c>
      <c r="F14">
        <v>5.71</v>
      </c>
      <c r="G14">
        <v>930.6</v>
      </c>
      <c r="H14">
        <v>7017</v>
      </c>
      <c r="J14">
        <v>11932</v>
      </c>
      <c r="K14">
        <v>18949</v>
      </c>
    </row>
    <row r="15" spans="1:13" x14ac:dyDescent="0.25">
      <c r="A15" t="s">
        <v>121</v>
      </c>
      <c r="D15">
        <v>100</v>
      </c>
      <c r="E15">
        <v>8.9</v>
      </c>
      <c r="F15">
        <v>4.3</v>
      </c>
      <c r="G15">
        <v>788.4</v>
      </c>
      <c r="H15">
        <v>7017</v>
      </c>
      <c r="K15">
        <v>7017</v>
      </c>
    </row>
    <row r="16" spans="1:13" x14ac:dyDescent="0.25">
      <c r="A16" t="s">
        <v>27</v>
      </c>
      <c r="D16">
        <v>94</v>
      </c>
      <c r="E16">
        <v>9.3000000000000007</v>
      </c>
      <c r="F16">
        <v>8.9</v>
      </c>
      <c r="G16">
        <v>1000</v>
      </c>
      <c r="H16">
        <v>9300</v>
      </c>
      <c r="J16">
        <v>7263</v>
      </c>
      <c r="K16">
        <v>16563</v>
      </c>
    </row>
    <row r="17" spans="1:13" x14ac:dyDescent="0.25">
      <c r="A17" t="s">
        <v>367</v>
      </c>
      <c r="D17">
        <v>100</v>
      </c>
      <c r="E17">
        <v>11.08</v>
      </c>
      <c r="F17">
        <v>7.11</v>
      </c>
      <c r="G17">
        <v>862.7</v>
      </c>
      <c r="H17">
        <v>9559</v>
      </c>
      <c r="J17">
        <v>17330</v>
      </c>
      <c r="K17">
        <v>26889</v>
      </c>
      <c r="M17">
        <v>1129</v>
      </c>
    </row>
    <row r="18" spans="1:13" x14ac:dyDescent="0.25">
      <c r="A18" t="s">
        <v>368</v>
      </c>
      <c r="D18">
        <v>100</v>
      </c>
      <c r="E18">
        <v>17.329999999999998</v>
      </c>
      <c r="F18">
        <v>15.92</v>
      </c>
      <c r="G18">
        <v>962</v>
      </c>
      <c r="H18">
        <v>16671</v>
      </c>
      <c r="K18">
        <v>16671</v>
      </c>
    </row>
    <row r="19" spans="1:13" x14ac:dyDescent="0.25">
      <c r="A19" t="s">
        <v>159</v>
      </c>
      <c r="D19">
        <v>100</v>
      </c>
      <c r="E19">
        <v>31.7</v>
      </c>
      <c r="F19">
        <v>18.5</v>
      </c>
      <c r="G19">
        <v>578.4</v>
      </c>
      <c r="H19">
        <v>18335</v>
      </c>
      <c r="K19">
        <v>18335</v>
      </c>
    </row>
    <row r="20" spans="1:13" x14ac:dyDescent="0.25">
      <c r="A20" t="s">
        <v>30</v>
      </c>
      <c r="E20">
        <v>121.89999999999999</v>
      </c>
      <c r="F20">
        <v>76.67</v>
      </c>
      <c r="H20">
        <v>99406</v>
      </c>
      <c r="I20">
        <v>0</v>
      </c>
      <c r="J20">
        <v>51211</v>
      </c>
      <c r="K20">
        <v>150617</v>
      </c>
      <c r="L20">
        <v>0</v>
      </c>
      <c r="M20">
        <v>1633</v>
      </c>
    </row>
    <row r="21" spans="1:13" x14ac:dyDescent="0.25">
      <c r="A21" t="s">
        <v>31</v>
      </c>
      <c r="E21">
        <v>45.22999999999999</v>
      </c>
      <c r="H21">
        <v>36675</v>
      </c>
      <c r="I21">
        <v>0</v>
      </c>
      <c r="J21">
        <v>49578</v>
      </c>
      <c r="K21">
        <v>86253</v>
      </c>
    </row>
    <row r="23" spans="1:13" x14ac:dyDescent="0.25">
      <c r="C23" t="s">
        <v>32</v>
      </c>
    </row>
    <row r="25" spans="1:13" x14ac:dyDescent="0.25">
      <c r="A25" t="s">
        <v>35</v>
      </c>
    </row>
    <row r="26" spans="1:13" x14ac:dyDescent="0.25">
      <c r="A26" t="s">
        <v>36</v>
      </c>
      <c r="D26" t="s">
        <v>37</v>
      </c>
      <c r="E26" t="s">
        <v>38</v>
      </c>
      <c r="G26" t="s">
        <v>39</v>
      </c>
    </row>
    <row r="27" spans="1:13" x14ac:dyDescent="0.25">
      <c r="A27" t="s">
        <v>40</v>
      </c>
      <c r="D27" t="s">
        <v>256</v>
      </c>
      <c r="I27" t="s">
        <v>369</v>
      </c>
      <c r="J27">
        <v>0.83</v>
      </c>
    </row>
    <row r="28" spans="1:13" x14ac:dyDescent="0.25">
      <c r="A28" t="s">
        <v>187</v>
      </c>
      <c r="D28" t="s">
        <v>41</v>
      </c>
      <c r="E28">
        <v>12.3</v>
      </c>
      <c r="G28">
        <v>1194</v>
      </c>
      <c r="I28" t="s">
        <v>191</v>
      </c>
      <c r="J28">
        <v>0.17</v>
      </c>
    </row>
    <row r="31" spans="1:13" x14ac:dyDescent="0.25">
      <c r="A31" t="s">
        <v>45</v>
      </c>
    </row>
    <row r="32" spans="1:13" x14ac:dyDescent="0.25">
      <c r="A32" t="s">
        <v>47</v>
      </c>
      <c r="D32" t="s">
        <v>48</v>
      </c>
      <c r="E32">
        <v>45</v>
      </c>
      <c r="G32">
        <v>815</v>
      </c>
      <c r="I32" t="s">
        <v>33</v>
      </c>
      <c r="J32">
        <v>0.48</v>
      </c>
    </row>
    <row r="33" spans="1:10" x14ac:dyDescent="0.25">
      <c r="A33" t="s">
        <v>50</v>
      </c>
      <c r="D33" t="s">
        <v>48</v>
      </c>
      <c r="E33">
        <v>77</v>
      </c>
      <c r="I33" t="s">
        <v>34</v>
      </c>
      <c r="J33">
        <v>0.5</v>
      </c>
    </row>
    <row r="34" spans="1:10" x14ac:dyDescent="0.25">
      <c r="A34" t="s">
        <v>8</v>
      </c>
      <c r="E34">
        <v>122</v>
      </c>
    </row>
    <row r="36" spans="1:10" x14ac:dyDescent="0.25">
      <c r="A36" t="s">
        <v>137</v>
      </c>
      <c r="C36" t="s">
        <v>101</v>
      </c>
    </row>
    <row r="38" spans="1:10" x14ac:dyDescent="0.25">
      <c r="A38" t="s">
        <v>167</v>
      </c>
      <c r="B38" t="s">
        <v>370</v>
      </c>
      <c r="C38">
        <v>50</v>
      </c>
      <c r="D38" t="s">
        <v>168</v>
      </c>
      <c r="E38">
        <v>24</v>
      </c>
      <c r="G38">
        <v>170</v>
      </c>
    </row>
    <row r="39" spans="1:10" x14ac:dyDescent="0.25">
      <c r="A39" t="s">
        <v>371</v>
      </c>
      <c r="B39" t="s">
        <v>370</v>
      </c>
      <c r="C39">
        <v>58</v>
      </c>
      <c r="D39" t="s">
        <v>41</v>
      </c>
      <c r="E39">
        <v>175</v>
      </c>
      <c r="G39">
        <v>26</v>
      </c>
    </row>
    <row r="40" spans="1:10" x14ac:dyDescent="0.25">
      <c r="A40" t="s">
        <v>140</v>
      </c>
      <c r="B40" t="s">
        <v>372</v>
      </c>
      <c r="C40">
        <v>48</v>
      </c>
      <c r="D40" t="s">
        <v>41</v>
      </c>
      <c r="E40">
        <v>127</v>
      </c>
      <c r="G40">
        <v>26</v>
      </c>
    </row>
    <row r="42" spans="1:10" x14ac:dyDescent="0.25">
      <c r="A42" t="s">
        <v>51</v>
      </c>
      <c r="I42" t="s">
        <v>373</v>
      </c>
    </row>
    <row r="43" spans="1:10" x14ac:dyDescent="0.25">
      <c r="A43" t="s">
        <v>54</v>
      </c>
      <c r="G43">
        <v>4473</v>
      </c>
      <c r="I43">
        <v>11053</v>
      </c>
    </row>
    <row r="44" spans="1:10" x14ac:dyDescent="0.25">
      <c r="A44" t="s">
        <v>55</v>
      </c>
      <c r="G44">
        <v>99</v>
      </c>
    </row>
    <row r="45" spans="1:10" x14ac:dyDescent="0.25">
      <c r="A45" t="s">
        <v>56</v>
      </c>
      <c r="G45">
        <v>442827</v>
      </c>
      <c r="I45">
        <v>1094226</v>
      </c>
    </row>
    <row r="46" spans="1:10" x14ac:dyDescent="0.25">
      <c r="A46" t="s">
        <v>57</v>
      </c>
      <c r="G46">
        <v>292210</v>
      </c>
      <c r="I46">
        <v>722051</v>
      </c>
    </row>
    <row r="47" spans="1:10" x14ac:dyDescent="0.25">
      <c r="A47" t="s">
        <v>58</v>
      </c>
      <c r="G47">
        <v>356574</v>
      </c>
      <c r="I47">
        <v>881094</v>
      </c>
    </row>
    <row r="49" spans="1:7" x14ac:dyDescent="0.25">
      <c r="A49" t="s">
        <v>59</v>
      </c>
      <c r="G49">
        <v>33.672479320366641</v>
      </c>
    </row>
    <row r="50" spans="1:7" x14ac:dyDescent="0.25">
      <c r="A50" t="s">
        <v>60</v>
      </c>
      <c r="G50">
        <v>19.283031522468143</v>
      </c>
    </row>
    <row r="52" spans="1:7" x14ac:dyDescent="0.25">
      <c r="A52" t="s">
        <v>170</v>
      </c>
    </row>
    <row r="53" spans="1:7" x14ac:dyDescent="0.25">
      <c r="B53" t="s">
        <v>374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51"/>
  <sheetViews>
    <sheetView workbookViewId="0">
      <selection sqref="A1:A4"/>
    </sheetView>
  </sheetViews>
  <sheetFormatPr defaultRowHeight="15" x14ac:dyDescent="0.25"/>
  <sheetData>
    <row r="1" spans="1:11" ht="15.75" x14ac:dyDescent="0.3">
      <c r="A1" s="3" t="s">
        <v>63</v>
      </c>
      <c r="B1" s="159" t="s">
        <v>397</v>
      </c>
      <c r="C1" s="159"/>
      <c r="D1" s="159"/>
      <c r="E1" s="184"/>
      <c r="F1" s="184"/>
      <c r="G1" s="184"/>
      <c r="H1" s="184"/>
      <c r="I1" s="184"/>
      <c r="J1" s="184"/>
    </row>
    <row r="2" spans="1:11" ht="15.75" x14ac:dyDescent="0.3">
      <c r="A2" s="3" t="s">
        <v>0</v>
      </c>
      <c r="B2" s="159" t="s">
        <v>398</v>
      </c>
      <c r="C2" s="159"/>
      <c r="D2" s="159"/>
      <c r="E2" s="184"/>
      <c r="F2" s="184"/>
      <c r="G2" s="184"/>
      <c r="H2" s="184"/>
      <c r="I2" s="184"/>
      <c r="J2" s="184"/>
    </row>
    <row r="3" spans="1:11" ht="15.75" x14ac:dyDescent="0.3">
      <c r="A3" s="3" t="s">
        <v>2</v>
      </c>
      <c r="B3" s="159" t="s">
        <v>145</v>
      </c>
      <c r="C3" s="159"/>
      <c r="D3" s="159"/>
      <c r="E3" s="184"/>
      <c r="F3" s="184"/>
      <c r="G3" s="184"/>
      <c r="H3" s="184"/>
      <c r="I3" s="184"/>
      <c r="J3" s="184"/>
    </row>
    <row r="4" spans="1:11" x14ac:dyDescent="0.25">
      <c r="A4" s="3" t="s">
        <v>4</v>
      </c>
      <c r="B4" s="159" t="s">
        <v>399</v>
      </c>
      <c r="C4" s="159"/>
      <c r="D4" s="159"/>
    </row>
    <row r="5" spans="1:11" s="62" customFormat="1" x14ac:dyDescent="0.25">
      <c r="A5" s="62" t="s">
        <v>6</v>
      </c>
      <c r="D5" s="62" t="s">
        <v>7</v>
      </c>
      <c r="E5" s="62" t="s">
        <v>8</v>
      </c>
      <c r="F5" s="62" t="s">
        <v>9</v>
      </c>
      <c r="G5" s="62" t="s">
        <v>10</v>
      </c>
      <c r="H5" s="62" t="s">
        <v>11</v>
      </c>
      <c r="I5" s="62" t="s">
        <v>12</v>
      </c>
      <c r="J5" s="62" t="s">
        <v>13</v>
      </c>
      <c r="K5" s="62" t="s">
        <v>14</v>
      </c>
    </row>
    <row r="6" spans="1:11" s="62" customFormat="1" x14ac:dyDescent="0.25">
      <c r="D6" s="62" t="s">
        <v>16</v>
      </c>
      <c r="E6" s="62" t="s">
        <v>17</v>
      </c>
      <c r="F6" s="62" t="s">
        <v>17</v>
      </c>
      <c r="G6" s="62" t="s">
        <v>18</v>
      </c>
      <c r="H6" s="62" t="s">
        <v>19</v>
      </c>
      <c r="I6" s="62" t="s">
        <v>20</v>
      </c>
      <c r="J6" s="62" t="s">
        <v>19</v>
      </c>
      <c r="K6" s="62" t="s">
        <v>19</v>
      </c>
    </row>
    <row r="7" spans="1:11" s="62" customFormat="1" x14ac:dyDescent="0.25">
      <c r="D7" s="62" t="s">
        <v>21</v>
      </c>
      <c r="H7" s="62" t="s">
        <v>22</v>
      </c>
      <c r="I7" s="62" t="s">
        <v>19</v>
      </c>
      <c r="J7" s="62" t="s">
        <v>22</v>
      </c>
      <c r="K7" s="62" t="s">
        <v>22</v>
      </c>
    </row>
    <row r="8" spans="1:11" s="62" customFormat="1" x14ac:dyDescent="0.25">
      <c r="I8" s="62" t="s">
        <v>22</v>
      </c>
    </row>
    <row r="10" spans="1:11" x14ac:dyDescent="0.25">
      <c r="A10" t="s">
        <v>65</v>
      </c>
      <c r="D10">
        <v>80</v>
      </c>
      <c r="E10">
        <v>9</v>
      </c>
      <c r="F10">
        <v>6.9</v>
      </c>
      <c r="G10">
        <v>900</v>
      </c>
      <c r="H10">
        <v>8100</v>
      </c>
      <c r="K10">
        <v>8100</v>
      </c>
    </row>
    <row r="11" spans="1:11" x14ac:dyDescent="0.25">
      <c r="A11" t="s">
        <v>378</v>
      </c>
      <c r="D11">
        <v>50</v>
      </c>
      <c r="H11">
        <v>0</v>
      </c>
      <c r="I11">
        <v>10673</v>
      </c>
      <c r="K11">
        <v>10673</v>
      </c>
    </row>
    <row r="12" spans="1:11" x14ac:dyDescent="0.25">
      <c r="A12" t="s">
        <v>379</v>
      </c>
      <c r="D12" t="s">
        <v>335</v>
      </c>
      <c r="H12">
        <v>0</v>
      </c>
      <c r="I12" t="s">
        <v>380</v>
      </c>
      <c r="K12">
        <v>0</v>
      </c>
    </row>
    <row r="13" spans="1:11" x14ac:dyDescent="0.25">
      <c r="A13" t="s">
        <v>381</v>
      </c>
      <c r="D13" t="s">
        <v>382</v>
      </c>
      <c r="E13" t="s">
        <v>383</v>
      </c>
      <c r="F13" t="s">
        <v>384</v>
      </c>
      <c r="G13">
        <v>900</v>
      </c>
      <c r="H13" t="s">
        <v>385</v>
      </c>
      <c r="K13">
        <v>0</v>
      </c>
    </row>
    <row r="14" spans="1:11" x14ac:dyDescent="0.25">
      <c r="A14" t="s">
        <v>386</v>
      </c>
      <c r="D14">
        <v>100</v>
      </c>
      <c r="E14">
        <v>9.35</v>
      </c>
      <c r="F14">
        <v>5.69</v>
      </c>
      <c r="G14">
        <v>900</v>
      </c>
      <c r="H14">
        <v>8415</v>
      </c>
      <c r="K14">
        <v>8415</v>
      </c>
    </row>
    <row r="15" spans="1:11" x14ac:dyDescent="0.25">
      <c r="A15" t="s">
        <v>387</v>
      </c>
      <c r="D15">
        <v>100</v>
      </c>
      <c r="E15">
        <v>8.1220992502677625</v>
      </c>
      <c r="F15">
        <v>5.091038914673331</v>
      </c>
      <c r="G15">
        <v>800</v>
      </c>
      <c r="H15">
        <v>6496</v>
      </c>
      <c r="J15">
        <v>13292</v>
      </c>
      <c r="K15">
        <v>19788</v>
      </c>
    </row>
    <row r="16" spans="1:11" x14ac:dyDescent="0.25">
      <c r="A16" t="s">
        <v>94</v>
      </c>
      <c r="D16">
        <v>100</v>
      </c>
      <c r="E16">
        <v>8.6819707247411646</v>
      </c>
      <c r="F16">
        <v>7.3253123884327023</v>
      </c>
      <c r="G16">
        <v>800</v>
      </c>
      <c r="H16">
        <v>6944</v>
      </c>
      <c r="J16">
        <v>5788</v>
      </c>
      <c r="K16">
        <v>12732</v>
      </c>
    </row>
    <row r="17" spans="1:11" x14ac:dyDescent="0.25">
      <c r="A17" t="s">
        <v>121</v>
      </c>
      <c r="D17">
        <v>100</v>
      </c>
      <c r="E17">
        <v>14.61</v>
      </c>
      <c r="F17">
        <v>9.49</v>
      </c>
      <c r="G17">
        <v>850</v>
      </c>
      <c r="H17">
        <v>12419</v>
      </c>
      <c r="K17">
        <v>12419</v>
      </c>
    </row>
    <row r="18" spans="1:11" x14ac:dyDescent="0.25">
      <c r="A18" t="s">
        <v>68</v>
      </c>
      <c r="D18">
        <v>100</v>
      </c>
      <c r="E18">
        <v>11.051410210639059</v>
      </c>
      <c r="F18">
        <v>9.2306319171724382</v>
      </c>
      <c r="G18">
        <v>870</v>
      </c>
      <c r="H18">
        <v>9614</v>
      </c>
      <c r="J18">
        <v>11304</v>
      </c>
      <c r="K18">
        <v>20918</v>
      </c>
    </row>
    <row r="19" spans="1:11" x14ac:dyDescent="0.25">
      <c r="A19" t="s">
        <v>388</v>
      </c>
      <c r="D19">
        <v>100</v>
      </c>
      <c r="E19">
        <v>9.82</v>
      </c>
      <c r="F19">
        <v>8.14</v>
      </c>
      <c r="G19">
        <v>873.7</v>
      </c>
      <c r="H19">
        <v>8580</v>
      </c>
      <c r="J19">
        <v>19340</v>
      </c>
      <c r="K19">
        <v>27920</v>
      </c>
    </row>
    <row r="20" spans="1:11" x14ac:dyDescent="0.25">
      <c r="A20" t="s">
        <v>28</v>
      </c>
      <c r="D20">
        <v>100</v>
      </c>
      <c r="E20">
        <v>23.24</v>
      </c>
      <c r="F20">
        <v>14.77</v>
      </c>
      <c r="G20">
        <v>900</v>
      </c>
      <c r="H20">
        <v>20916</v>
      </c>
      <c r="K20">
        <v>20916</v>
      </c>
    </row>
    <row r="22" spans="1:11" x14ac:dyDescent="0.25">
      <c r="A22" t="s">
        <v>70</v>
      </c>
      <c r="E22">
        <v>93.875480185647987</v>
      </c>
      <c r="F22">
        <v>66.636983220278466</v>
      </c>
      <c r="H22">
        <v>81484</v>
      </c>
      <c r="I22">
        <v>10673</v>
      </c>
      <c r="J22">
        <v>49724</v>
      </c>
      <c r="K22">
        <v>141881</v>
      </c>
    </row>
    <row r="23" spans="1:11" x14ac:dyDescent="0.25">
      <c r="A23" t="s">
        <v>71</v>
      </c>
      <c r="E23">
        <v>27.238496965369521</v>
      </c>
      <c r="H23">
        <v>23652</v>
      </c>
      <c r="I23">
        <v>10673</v>
      </c>
      <c r="J23">
        <v>49724</v>
      </c>
      <c r="K23">
        <v>84049</v>
      </c>
    </row>
    <row r="25" spans="1:11" x14ac:dyDescent="0.25">
      <c r="C25" t="s">
        <v>32</v>
      </c>
    </row>
    <row r="26" spans="1:11" x14ac:dyDescent="0.25">
      <c r="A26" t="s">
        <v>35</v>
      </c>
    </row>
    <row r="27" spans="1:11" x14ac:dyDescent="0.25">
      <c r="A27" t="s">
        <v>36</v>
      </c>
      <c r="D27" t="s">
        <v>37</v>
      </c>
      <c r="E27" t="s">
        <v>38</v>
      </c>
      <c r="G27" t="s">
        <v>39</v>
      </c>
    </row>
    <row r="28" spans="1:11" x14ac:dyDescent="0.25">
      <c r="A28" t="s">
        <v>40</v>
      </c>
    </row>
    <row r="29" spans="1:11" x14ac:dyDescent="0.25">
      <c r="A29" t="s">
        <v>320</v>
      </c>
      <c r="D29" t="s">
        <v>41</v>
      </c>
      <c r="E29">
        <v>10.6</v>
      </c>
      <c r="G29">
        <v>1254</v>
      </c>
      <c r="I29" t="s">
        <v>72</v>
      </c>
      <c r="J29" t="s">
        <v>73</v>
      </c>
    </row>
    <row r="30" spans="1:11" x14ac:dyDescent="0.25">
      <c r="I30" t="s">
        <v>389</v>
      </c>
      <c r="J30">
        <v>30</v>
      </c>
    </row>
    <row r="31" spans="1:11" x14ac:dyDescent="0.25">
      <c r="A31" t="s">
        <v>45</v>
      </c>
      <c r="I31" t="s">
        <v>99</v>
      </c>
      <c r="J31">
        <v>56</v>
      </c>
    </row>
    <row r="32" spans="1:11" x14ac:dyDescent="0.25">
      <c r="A32" t="s">
        <v>47</v>
      </c>
      <c r="D32" t="s">
        <v>48</v>
      </c>
      <c r="E32">
        <v>27</v>
      </c>
      <c r="G32">
        <v>876</v>
      </c>
      <c r="I32" t="s">
        <v>191</v>
      </c>
      <c r="J32">
        <v>14</v>
      </c>
    </row>
    <row r="33" spans="1:10" x14ac:dyDescent="0.25">
      <c r="A33" t="s">
        <v>50</v>
      </c>
      <c r="D33" t="s">
        <v>48</v>
      </c>
      <c r="E33">
        <v>67</v>
      </c>
    </row>
    <row r="34" spans="1:10" x14ac:dyDescent="0.25">
      <c r="A34" t="s">
        <v>8</v>
      </c>
      <c r="D34" t="s">
        <v>48</v>
      </c>
      <c r="E34">
        <v>94</v>
      </c>
    </row>
    <row r="36" spans="1:10" x14ac:dyDescent="0.25">
      <c r="A36" t="s">
        <v>100</v>
      </c>
      <c r="C36" t="s">
        <v>101</v>
      </c>
      <c r="I36" t="s">
        <v>33</v>
      </c>
      <c r="J36">
        <v>0.47</v>
      </c>
    </row>
    <row r="37" spans="1:10" x14ac:dyDescent="0.25">
      <c r="B37" t="s">
        <v>103</v>
      </c>
      <c r="C37">
        <v>80</v>
      </c>
      <c r="D37" t="s">
        <v>41</v>
      </c>
      <c r="E37">
        <v>96</v>
      </c>
      <c r="G37">
        <v>24</v>
      </c>
      <c r="I37" t="s">
        <v>34</v>
      </c>
      <c r="J37">
        <v>0.25</v>
      </c>
    </row>
    <row r="38" spans="1:10" x14ac:dyDescent="0.25">
      <c r="B38" t="s">
        <v>104</v>
      </c>
      <c r="C38">
        <v>58</v>
      </c>
      <c r="D38" t="s">
        <v>41</v>
      </c>
      <c r="E38">
        <v>53</v>
      </c>
      <c r="G38">
        <v>26</v>
      </c>
    </row>
    <row r="39" spans="1:10" x14ac:dyDescent="0.25">
      <c r="B39" t="s">
        <v>105</v>
      </c>
      <c r="C39">
        <v>50</v>
      </c>
      <c r="D39" t="s">
        <v>41</v>
      </c>
      <c r="E39">
        <v>81</v>
      </c>
      <c r="G39">
        <v>26</v>
      </c>
    </row>
    <row r="42" spans="1:10" x14ac:dyDescent="0.25">
      <c r="A42" t="s">
        <v>51</v>
      </c>
      <c r="E42" t="s">
        <v>390</v>
      </c>
      <c r="G42" t="s">
        <v>391</v>
      </c>
    </row>
    <row r="43" spans="1:10" x14ac:dyDescent="0.25">
      <c r="A43" t="s">
        <v>392</v>
      </c>
      <c r="E43">
        <v>2340</v>
      </c>
      <c r="G43">
        <v>5782</v>
      </c>
    </row>
    <row r="44" spans="1:10" x14ac:dyDescent="0.25">
      <c r="A44" t="s">
        <v>55</v>
      </c>
      <c r="E44">
        <v>72</v>
      </c>
    </row>
    <row r="45" spans="1:10" x14ac:dyDescent="0.25">
      <c r="A45" t="s">
        <v>393</v>
      </c>
      <c r="E45">
        <v>168480</v>
      </c>
      <c r="G45">
        <v>416314</v>
      </c>
    </row>
    <row r="46" spans="1:10" x14ac:dyDescent="0.25">
      <c r="A46" t="s">
        <v>394</v>
      </c>
      <c r="E46">
        <v>26599</v>
      </c>
      <c r="G46">
        <v>65726</v>
      </c>
    </row>
    <row r="47" spans="1:10" x14ac:dyDescent="0.25">
      <c r="A47" t="s">
        <v>395</v>
      </c>
      <c r="E47">
        <v>84431</v>
      </c>
      <c r="G47">
        <v>208629.00100000002</v>
      </c>
    </row>
    <row r="49" spans="1:5" x14ac:dyDescent="0.25">
      <c r="A49" t="s">
        <v>80</v>
      </c>
      <c r="E49">
        <v>60.632905982905982</v>
      </c>
    </row>
    <row r="50" spans="1:5" x14ac:dyDescent="0.25">
      <c r="A50" t="s">
        <v>81</v>
      </c>
      <c r="E50">
        <v>35.91837606837607</v>
      </c>
    </row>
    <row r="51" spans="1:5" x14ac:dyDescent="0.25">
      <c r="A51" t="s">
        <v>82</v>
      </c>
      <c r="B51" t="s">
        <v>396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R52"/>
  <sheetViews>
    <sheetView workbookViewId="0">
      <selection sqref="A1:A4"/>
    </sheetView>
  </sheetViews>
  <sheetFormatPr defaultRowHeight="15" x14ac:dyDescent="0.25"/>
  <sheetData>
    <row r="1" spans="1:18" ht="15.75" x14ac:dyDescent="0.3">
      <c r="A1" s="3" t="s">
        <v>63</v>
      </c>
      <c r="B1" s="159" t="s">
        <v>415</v>
      </c>
      <c r="C1" s="252"/>
      <c r="D1" s="252"/>
      <c r="E1" s="252"/>
      <c r="F1" s="252"/>
      <c r="G1" s="252"/>
      <c r="H1" s="252"/>
      <c r="I1" s="252"/>
      <c r="J1" s="252"/>
      <c r="K1" s="252"/>
    </row>
    <row r="2" spans="1:18" ht="15.75" x14ac:dyDescent="0.3">
      <c r="A2" s="3" t="s">
        <v>0</v>
      </c>
      <c r="B2" s="159" t="s">
        <v>414</v>
      </c>
      <c r="C2" s="252"/>
      <c r="D2" s="252"/>
      <c r="E2" s="252"/>
      <c r="F2" s="252"/>
      <c r="G2" s="252"/>
      <c r="H2" s="252"/>
      <c r="I2" s="252"/>
      <c r="J2" s="252"/>
      <c r="K2" s="252"/>
    </row>
    <row r="3" spans="1:18" x14ac:dyDescent="0.25">
      <c r="A3" s="3" t="s">
        <v>2</v>
      </c>
      <c r="B3" s="159" t="s">
        <v>413</v>
      </c>
    </row>
    <row r="4" spans="1:18" x14ac:dyDescent="0.25">
      <c r="A4" s="3" t="s">
        <v>4</v>
      </c>
      <c r="B4" s="159" t="s">
        <v>412</v>
      </c>
    </row>
    <row r="5" spans="1:18" s="204" customFormat="1" ht="12.75" x14ac:dyDescent="0.25">
      <c r="A5" s="201" t="s">
        <v>6</v>
      </c>
      <c r="B5" s="201"/>
      <c r="C5" s="201"/>
      <c r="D5" s="202" t="s">
        <v>7</v>
      </c>
      <c r="E5" s="202" t="s">
        <v>8</v>
      </c>
      <c r="F5" s="202" t="s">
        <v>9</v>
      </c>
      <c r="G5" s="202" t="s">
        <v>10</v>
      </c>
      <c r="H5" s="202" t="s">
        <v>11</v>
      </c>
      <c r="I5" s="202" t="s">
        <v>12</v>
      </c>
      <c r="J5" s="202" t="s">
        <v>13</v>
      </c>
      <c r="K5" s="202" t="s">
        <v>14</v>
      </c>
      <c r="L5" s="203" t="s">
        <v>15</v>
      </c>
      <c r="M5" s="202"/>
    </row>
    <row r="6" spans="1:18" s="204" customFormat="1" ht="12.75" x14ac:dyDescent="0.25">
      <c r="A6" s="205"/>
      <c r="B6" s="205"/>
      <c r="C6" s="205"/>
      <c r="D6" s="206" t="s">
        <v>16</v>
      </c>
      <c r="E6" s="206" t="s">
        <v>17</v>
      </c>
      <c r="F6" s="206" t="s">
        <v>17</v>
      </c>
      <c r="G6" s="206" t="s">
        <v>18</v>
      </c>
      <c r="H6" s="206" t="s">
        <v>19</v>
      </c>
      <c r="I6" s="206" t="s">
        <v>20</v>
      </c>
      <c r="J6" s="206" t="s">
        <v>19</v>
      </c>
      <c r="K6" s="206" t="s">
        <v>19</v>
      </c>
      <c r="L6" s="206" t="s">
        <v>12</v>
      </c>
      <c r="M6" s="206" t="s">
        <v>13</v>
      </c>
    </row>
    <row r="7" spans="1:18" s="204" customFormat="1" ht="12.75" x14ac:dyDescent="0.25">
      <c r="A7" s="205"/>
      <c r="B7" s="205"/>
      <c r="C7" s="205"/>
      <c r="D7" s="206" t="s">
        <v>21</v>
      </c>
      <c r="E7" s="206"/>
      <c r="F7" s="206"/>
      <c r="G7" s="206"/>
      <c r="H7" s="206" t="s">
        <v>22</v>
      </c>
      <c r="I7" s="206" t="s">
        <v>19</v>
      </c>
      <c r="J7" s="206" t="s">
        <v>22</v>
      </c>
      <c r="K7" s="206" t="s">
        <v>22</v>
      </c>
      <c r="L7" s="206"/>
      <c r="M7" s="206"/>
    </row>
    <row r="8" spans="1:18" s="204" customFormat="1" ht="12.75" x14ac:dyDescent="0.25">
      <c r="A8" s="207"/>
      <c r="B8" s="207"/>
      <c r="C8" s="207"/>
      <c r="D8" s="208"/>
      <c r="E8" s="208"/>
      <c r="F8" s="208"/>
      <c r="G8" s="208"/>
      <c r="H8" s="208"/>
      <c r="I8" s="208" t="s">
        <v>22</v>
      </c>
      <c r="J8" s="208"/>
      <c r="K8" s="208"/>
      <c r="L8" s="208"/>
      <c r="M8" s="208"/>
      <c r="P8" s="209"/>
      <c r="Q8" s="209"/>
      <c r="R8" s="209"/>
    </row>
    <row r="9" spans="1:18" s="8" customFormat="1" ht="12.75" x14ac:dyDescent="0.25">
      <c r="A9" s="8" t="s">
        <v>23</v>
      </c>
      <c r="D9" s="13">
        <v>100</v>
      </c>
      <c r="E9" s="10">
        <v>8.9</v>
      </c>
      <c r="F9" s="10">
        <v>3.23</v>
      </c>
      <c r="G9" s="11">
        <v>805</v>
      </c>
      <c r="H9" s="10">
        <v>7165</v>
      </c>
      <c r="I9" s="10"/>
      <c r="J9" s="10"/>
      <c r="K9" s="10">
        <f>+H9+I9+J9</f>
        <v>7165</v>
      </c>
      <c r="L9" s="10"/>
      <c r="M9" s="10"/>
      <c r="P9" s="243"/>
      <c r="Q9" s="10"/>
      <c r="R9" s="243"/>
    </row>
    <row r="10" spans="1:18" s="8" customFormat="1" ht="12.75" x14ac:dyDescent="0.25">
      <c r="A10" s="8" t="s">
        <v>400</v>
      </c>
      <c r="D10" s="244">
        <v>74</v>
      </c>
      <c r="E10" s="10"/>
      <c r="F10" s="10"/>
      <c r="G10" s="11"/>
      <c r="H10" s="10">
        <f t="shared" ref="H10" si="0">+E10*G10</f>
        <v>0</v>
      </c>
      <c r="I10" s="10">
        <v>8380</v>
      </c>
      <c r="J10" s="10"/>
      <c r="K10" s="10">
        <f t="shared" ref="K10:K18" si="1">+H10+I10+J10</f>
        <v>8380</v>
      </c>
      <c r="L10" s="245">
        <v>1633</v>
      </c>
      <c r="M10" s="10"/>
      <c r="P10" s="243"/>
      <c r="Q10" s="10"/>
      <c r="R10" s="243"/>
    </row>
    <row r="11" spans="1:18" s="8" customFormat="1" ht="12.75" x14ac:dyDescent="0.25">
      <c r="A11" s="8" t="s">
        <v>401</v>
      </c>
      <c r="D11" s="9" t="s">
        <v>402</v>
      </c>
      <c r="E11" s="10" t="s">
        <v>403</v>
      </c>
      <c r="F11" s="10" t="s">
        <v>404</v>
      </c>
      <c r="G11" s="11">
        <v>850</v>
      </c>
      <c r="H11" s="166" t="s">
        <v>405</v>
      </c>
      <c r="I11" s="10"/>
      <c r="J11" s="10"/>
      <c r="K11" s="10">
        <v>0</v>
      </c>
      <c r="L11" s="245"/>
      <c r="M11" s="10"/>
      <c r="P11" s="243"/>
      <c r="Q11" s="10"/>
      <c r="R11" s="243"/>
    </row>
    <row r="12" spans="1:18" s="8" customFormat="1" ht="14.25" x14ac:dyDescent="0.3">
      <c r="A12" s="8" t="s">
        <v>406</v>
      </c>
      <c r="D12" s="13">
        <v>100</v>
      </c>
      <c r="E12" s="10">
        <v>10.61</v>
      </c>
      <c r="F12" s="10">
        <v>3.05</v>
      </c>
      <c r="G12" s="11">
        <v>810</v>
      </c>
      <c r="H12" s="10">
        <v>8594</v>
      </c>
      <c r="I12" s="10"/>
      <c r="J12" s="166"/>
      <c r="K12" s="10">
        <f t="shared" si="1"/>
        <v>8594</v>
      </c>
      <c r="L12" s="245"/>
      <c r="M12" s="10"/>
      <c r="P12" s="246"/>
      <c r="Q12" s="10"/>
      <c r="R12" s="247"/>
    </row>
    <row r="13" spans="1:18" s="8" customFormat="1" ht="14.25" x14ac:dyDescent="0.3">
      <c r="A13" s="8" t="s">
        <v>309</v>
      </c>
      <c r="D13" s="13">
        <v>100</v>
      </c>
      <c r="E13" s="166">
        <v>15.59</v>
      </c>
      <c r="F13" s="10">
        <v>8.2200000000000006</v>
      </c>
      <c r="G13" s="11">
        <v>793</v>
      </c>
      <c r="H13" s="10">
        <v>12363</v>
      </c>
      <c r="I13" s="10"/>
      <c r="J13" s="10">
        <f>+E27*G27</f>
        <v>152315</v>
      </c>
      <c r="K13" s="10">
        <f t="shared" si="1"/>
        <v>164678</v>
      </c>
      <c r="L13" s="245"/>
      <c r="M13" s="245">
        <v>19437</v>
      </c>
      <c r="P13" s="246"/>
      <c r="Q13" s="10"/>
      <c r="R13" s="247"/>
    </row>
    <row r="14" spans="1:18" s="8" customFormat="1" ht="14.25" x14ac:dyDescent="0.3">
      <c r="A14" s="8" t="s">
        <v>311</v>
      </c>
      <c r="D14" s="13">
        <v>100</v>
      </c>
      <c r="E14" s="166">
        <v>13.3</v>
      </c>
      <c r="F14" s="10">
        <v>4.63</v>
      </c>
      <c r="G14" s="11">
        <v>761</v>
      </c>
      <c r="H14" s="10">
        <v>10121</v>
      </c>
      <c r="I14" s="10"/>
      <c r="J14" s="10"/>
      <c r="K14" s="10">
        <f t="shared" si="1"/>
        <v>10121</v>
      </c>
      <c r="L14" s="245"/>
      <c r="M14" s="245"/>
      <c r="P14" s="246"/>
      <c r="Q14" s="10"/>
      <c r="R14" s="247"/>
    </row>
    <row r="15" spans="1:18" s="8" customFormat="1" ht="14.25" x14ac:dyDescent="0.3">
      <c r="A15" s="8" t="s">
        <v>120</v>
      </c>
      <c r="D15" s="13">
        <v>100</v>
      </c>
      <c r="E15" s="8">
        <v>6.6</v>
      </c>
      <c r="F15" s="10">
        <v>5.88</v>
      </c>
      <c r="G15" s="11">
        <v>760</v>
      </c>
      <c r="H15" s="10">
        <f t="shared" ref="H15:H17" si="2">E15*G15</f>
        <v>5016</v>
      </c>
      <c r="I15" s="10"/>
      <c r="J15" s="166">
        <v>22204</v>
      </c>
      <c r="K15" s="10">
        <f t="shared" si="1"/>
        <v>27220</v>
      </c>
      <c r="L15" s="245"/>
      <c r="M15" s="245"/>
      <c r="P15" s="246"/>
      <c r="R15" s="247"/>
    </row>
    <row r="16" spans="1:18" s="8" customFormat="1" ht="14.25" x14ac:dyDescent="0.3">
      <c r="A16" s="8" t="s">
        <v>27</v>
      </c>
      <c r="D16" s="13">
        <v>100</v>
      </c>
      <c r="E16" s="10">
        <v>14.22</v>
      </c>
      <c r="F16" s="10">
        <v>13.3</v>
      </c>
      <c r="G16" s="11">
        <v>1000</v>
      </c>
      <c r="H16" s="10">
        <f t="shared" si="2"/>
        <v>14220</v>
      </c>
      <c r="I16" s="10"/>
      <c r="J16" s="166">
        <v>17315</v>
      </c>
      <c r="K16" s="10">
        <f t="shared" si="1"/>
        <v>31535</v>
      </c>
      <c r="L16" s="245"/>
      <c r="M16" s="245"/>
      <c r="P16" s="246"/>
      <c r="Q16" s="10"/>
      <c r="R16" s="247"/>
    </row>
    <row r="17" spans="1:18" s="8" customFormat="1" ht="14.25" x14ac:dyDescent="0.3">
      <c r="A17" s="8" t="s">
        <v>122</v>
      </c>
      <c r="D17" s="9">
        <v>100</v>
      </c>
      <c r="E17" s="10">
        <v>18.559999999999999</v>
      </c>
      <c r="F17" s="10">
        <v>18.559999999999999</v>
      </c>
      <c r="G17" s="11">
        <v>800</v>
      </c>
      <c r="H17" s="10">
        <f t="shared" si="2"/>
        <v>14847.999999999998</v>
      </c>
      <c r="I17" s="10"/>
      <c r="J17" s="10"/>
      <c r="K17" s="10">
        <f t="shared" si="1"/>
        <v>14847.999999999998</v>
      </c>
      <c r="L17" s="245"/>
      <c r="M17" s="245"/>
      <c r="O17" s="10"/>
      <c r="P17" s="246"/>
      <c r="Q17" s="10"/>
      <c r="R17" s="247"/>
    </row>
    <row r="18" spans="1:18" s="8" customFormat="1" ht="12.75" x14ac:dyDescent="0.25">
      <c r="A18" s="8" t="s">
        <v>312</v>
      </c>
      <c r="D18" s="13">
        <v>100</v>
      </c>
      <c r="E18" s="10">
        <v>25.13</v>
      </c>
      <c r="F18" s="10">
        <v>9.0500000000000007</v>
      </c>
      <c r="G18" s="11">
        <v>825</v>
      </c>
      <c r="H18" s="10">
        <v>20732</v>
      </c>
      <c r="I18" s="10"/>
      <c r="J18" s="10"/>
      <c r="K18" s="10">
        <f t="shared" si="1"/>
        <v>20732</v>
      </c>
      <c r="L18" s="245"/>
      <c r="M18" s="245"/>
      <c r="P18" s="248"/>
      <c r="Q18" s="10"/>
      <c r="R18" s="243"/>
    </row>
    <row r="19" spans="1:18" s="8" customFormat="1" ht="12.75" x14ac:dyDescent="0.25">
      <c r="A19" s="5" t="s">
        <v>30</v>
      </c>
      <c r="B19" s="5"/>
      <c r="C19" s="5"/>
      <c r="D19" s="14"/>
      <c r="E19" s="15">
        <f>SUM(E9:E18)</f>
        <v>112.91</v>
      </c>
      <c r="F19" s="15">
        <f>SUM(F9:F18)</f>
        <v>65.92</v>
      </c>
      <c r="G19" s="15"/>
      <c r="H19" s="15">
        <f>SUM(H9:H18)</f>
        <v>93059</v>
      </c>
      <c r="I19" s="15">
        <f t="shared" ref="I19" si="3">SUM(I9:I18)</f>
        <v>8380</v>
      </c>
      <c r="J19" s="15">
        <f>SUM(J9:J18)</f>
        <v>191834</v>
      </c>
      <c r="K19" s="15">
        <f>SUM(K9:K18)</f>
        <v>293273</v>
      </c>
      <c r="L19" s="249">
        <f>SUM(L9:L18)</f>
        <v>1633</v>
      </c>
      <c r="M19" s="249">
        <f>SUM(M9:M18)</f>
        <v>19437</v>
      </c>
      <c r="P19" s="10"/>
      <c r="Q19" s="10"/>
      <c r="R19" s="10"/>
    </row>
    <row r="20" spans="1:18" s="8" customFormat="1" ht="12.75" x14ac:dyDescent="0.25">
      <c r="A20" s="7" t="s">
        <v>31</v>
      </c>
      <c r="B20" s="7"/>
      <c r="C20" s="7"/>
      <c r="D20" s="16"/>
      <c r="E20" s="17">
        <f>SUM(E19-F19)</f>
        <v>46.989999999999995</v>
      </c>
      <c r="F20" s="17"/>
      <c r="G20" s="17"/>
      <c r="H20" s="17">
        <f>SUM(E31*G31)</f>
        <v>38681</v>
      </c>
      <c r="I20" s="17">
        <f>I19-L19</f>
        <v>6747</v>
      </c>
      <c r="J20" s="17">
        <f>J19-M19</f>
        <v>172397</v>
      </c>
      <c r="K20" s="17">
        <f>H20+I20+J20</f>
        <v>217825</v>
      </c>
      <c r="L20" s="17"/>
      <c r="M20" s="17"/>
    </row>
    <row r="21" spans="1:18" s="8" customFormat="1" ht="12.75" x14ac:dyDescent="0.25">
      <c r="K21" s="245"/>
    </row>
    <row r="22" spans="1:18" s="8" customFormat="1" ht="12.75" x14ac:dyDescent="0.25">
      <c r="C22" s="8" t="s">
        <v>32</v>
      </c>
      <c r="K22" s="10"/>
    </row>
    <row r="23" spans="1:18" s="8" customFormat="1" ht="12.75" x14ac:dyDescent="0.25">
      <c r="I23" s="10"/>
    </row>
    <row r="24" spans="1:18" s="8" customFormat="1" ht="14.25" x14ac:dyDescent="0.3">
      <c r="A24" s="8" t="s">
        <v>35</v>
      </c>
      <c r="J24" s="250" t="s">
        <v>72</v>
      </c>
      <c r="K24" s="251"/>
    </row>
    <row r="25" spans="1:18" s="8" customFormat="1" ht="14.25" x14ac:dyDescent="0.3">
      <c r="A25" s="18" t="s">
        <v>36</v>
      </c>
      <c r="B25" s="18"/>
      <c r="C25" s="18"/>
      <c r="D25" s="18" t="s">
        <v>37</v>
      </c>
      <c r="E25" s="18" t="s">
        <v>38</v>
      </c>
      <c r="F25" s="18"/>
      <c r="G25" s="18" t="s">
        <v>39</v>
      </c>
      <c r="I25" s="252"/>
      <c r="J25" s="253"/>
      <c r="K25" s="254" t="s">
        <v>134</v>
      </c>
    </row>
    <row r="26" spans="1:18" s="8" customFormat="1" ht="12.75" x14ac:dyDescent="0.25">
      <c r="A26" s="8" t="s">
        <v>40</v>
      </c>
      <c r="J26" s="255" t="s">
        <v>407</v>
      </c>
      <c r="K26" s="256">
        <v>96</v>
      </c>
    </row>
    <row r="27" spans="1:18" s="8" customFormat="1" ht="12.75" x14ac:dyDescent="0.25">
      <c r="A27" s="8" t="s">
        <v>187</v>
      </c>
      <c r="D27" s="8" t="s">
        <v>315</v>
      </c>
      <c r="E27" s="166">
        <v>743</v>
      </c>
      <c r="G27" s="166">
        <v>205</v>
      </c>
      <c r="J27" s="255" t="s">
        <v>191</v>
      </c>
      <c r="K27" s="256">
        <v>4</v>
      </c>
    </row>
    <row r="28" spans="1:18" s="8" customFormat="1" ht="12.75" x14ac:dyDescent="0.25">
      <c r="G28" s="253"/>
      <c r="J28" s="253"/>
      <c r="K28" s="257"/>
    </row>
    <row r="29" spans="1:18" s="8" customFormat="1" ht="12.75" x14ac:dyDescent="0.25">
      <c r="J29" s="253"/>
      <c r="K29" s="257"/>
    </row>
    <row r="30" spans="1:18" s="8" customFormat="1" ht="12.75" x14ac:dyDescent="0.25">
      <c r="A30" s="8" t="s">
        <v>45</v>
      </c>
      <c r="J30" s="253"/>
      <c r="K30" s="258"/>
    </row>
    <row r="31" spans="1:18" s="8" customFormat="1" ht="12.75" x14ac:dyDescent="0.25">
      <c r="A31" s="8" t="s">
        <v>47</v>
      </c>
      <c r="D31" s="8" t="s">
        <v>48</v>
      </c>
      <c r="E31" s="10">
        <v>47</v>
      </c>
      <c r="G31" s="10">
        <v>823</v>
      </c>
      <c r="J31" s="253"/>
      <c r="K31" s="258"/>
    </row>
    <row r="32" spans="1:18" s="8" customFormat="1" ht="12.75" x14ac:dyDescent="0.25">
      <c r="A32" s="8" t="s">
        <v>50</v>
      </c>
      <c r="D32" s="8" t="s">
        <v>48</v>
      </c>
      <c r="E32" s="10">
        <v>66</v>
      </c>
      <c r="J32" s="259" t="s">
        <v>408</v>
      </c>
      <c r="K32" s="260">
        <v>0.45</v>
      </c>
    </row>
    <row r="33" spans="1:14" s="8" customFormat="1" ht="12.75" x14ac:dyDescent="0.25">
      <c r="A33" s="8" t="s">
        <v>8</v>
      </c>
      <c r="E33" s="10">
        <f>+E31+E32</f>
        <v>113</v>
      </c>
      <c r="J33" s="255" t="s">
        <v>409</v>
      </c>
      <c r="K33" s="261">
        <v>0.5</v>
      </c>
    </row>
    <row r="34" spans="1:14" s="8" customFormat="1" ht="12.75" x14ac:dyDescent="0.25">
      <c r="J34" s="253"/>
      <c r="K34" s="262"/>
    </row>
    <row r="35" spans="1:14" s="8" customFormat="1" ht="12.75" x14ac:dyDescent="0.25">
      <c r="A35" s="5" t="s">
        <v>137</v>
      </c>
      <c r="B35" s="5"/>
      <c r="C35" s="5" t="s">
        <v>101</v>
      </c>
      <c r="D35" s="5"/>
      <c r="E35" s="5"/>
      <c r="F35" s="5"/>
      <c r="G35" s="5"/>
      <c r="K35" s="263"/>
    </row>
    <row r="36" spans="1:14" s="8" customFormat="1" ht="12.75" x14ac:dyDescent="0.25">
      <c r="A36" s="6" t="s">
        <v>140</v>
      </c>
      <c r="B36" s="264">
        <v>1</v>
      </c>
      <c r="C36" s="265">
        <v>0.57999999999999996</v>
      </c>
      <c r="D36" s="6" t="s">
        <v>41</v>
      </c>
      <c r="E36" s="266">
        <v>147</v>
      </c>
      <c r="F36" s="6"/>
      <c r="G36" s="266">
        <v>26</v>
      </c>
      <c r="J36" s="10"/>
    </row>
    <row r="37" spans="1:14" s="8" customFormat="1" ht="12.75" x14ac:dyDescent="0.25">
      <c r="A37" s="6" t="s">
        <v>410</v>
      </c>
      <c r="B37" s="264">
        <v>11</v>
      </c>
      <c r="C37" s="265">
        <v>0.68</v>
      </c>
      <c r="D37" s="6" t="s">
        <v>168</v>
      </c>
      <c r="E37" s="266">
        <v>26</v>
      </c>
      <c r="F37" s="6"/>
      <c r="G37" s="266">
        <v>198</v>
      </c>
    </row>
    <row r="38" spans="1:14" s="8" customFormat="1" ht="12.75" x14ac:dyDescent="0.25">
      <c r="A38" s="6" t="s">
        <v>411</v>
      </c>
      <c r="B38" s="264">
        <v>111</v>
      </c>
      <c r="C38" s="265">
        <v>0.98</v>
      </c>
      <c r="D38" s="6" t="s">
        <v>41</v>
      </c>
      <c r="E38" s="266">
        <v>509</v>
      </c>
      <c r="F38" s="6"/>
      <c r="G38" s="266">
        <v>26</v>
      </c>
    </row>
    <row r="39" spans="1:14" s="8" customFormat="1" ht="12.75" x14ac:dyDescent="0.25">
      <c r="A39" s="6"/>
      <c r="B39" s="264"/>
      <c r="C39" s="267"/>
      <c r="D39" s="6"/>
      <c r="E39" s="6"/>
      <c r="F39" s="6"/>
      <c r="G39" s="6"/>
    </row>
    <row r="40" spans="1:14" s="8" customFormat="1" ht="12.75" x14ac:dyDescent="0.25">
      <c r="A40" s="162"/>
      <c r="B40" s="193"/>
      <c r="C40" s="194"/>
      <c r="D40" s="162"/>
      <c r="E40" s="162"/>
      <c r="F40" s="162"/>
      <c r="G40" s="162"/>
    </row>
    <row r="41" spans="1:14" s="8" customFormat="1" ht="12.75" x14ac:dyDescent="0.25"/>
    <row r="42" spans="1:14" s="8" customFormat="1" ht="12.75" x14ac:dyDescent="0.25">
      <c r="A42" s="5" t="s">
        <v>51</v>
      </c>
      <c r="B42" s="5"/>
      <c r="C42" s="5"/>
      <c r="D42" s="5"/>
      <c r="E42" s="5"/>
      <c r="F42" s="5"/>
      <c r="G42" s="5"/>
      <c r="J42" s="8" t="s">
        <v>75</v>
      </c>
    </row>
    <row r="43" spans="1:14" s="8" customFormat="1" ht="12.75" x14ac:dyDescent="0.25">
      <c r="A43" s="6" t="s">
        <v>54</v>
      </c>
      <c r="B43" s="6"/>
      <c r="C43" s="6"/>
      <c r="D43" s="6"/>
      <c r="E43" s="6"/>
      <c r="F43" s="6"/>
      <c r="G43" s="196">
        <v>6033</v>
      </c>
      <c r="J43" s="10">
        <v>14908</v>
      </c>
    </row>
    <row r="44" spans="1:14" s="8" customFormat="1" ht="12.75" x14ac:dyDescent="0.25">
      <c r="A44" s="6" t="s">
        <v>55</v>
      </c>
      <c r="B44" s="6"/>
      <c r="C44" s="6"/>
      <c r="D44" s="6"/>
      <c r="E44" s="6"/>
      <c r="F44" s="6"/>
      <c r="G44" s="197">
        <v>77</v>
      </c>
      <c r="J44" s="10"/>
    </row>
    <row r="45" spans="1:14" s="8" customFormat="1" ht="12.75" x14ac:dyDescent="0.25">
      <c r="A45" s="6" t="s">
        <v>56</v>
      </c>
      <c r="B45" s="6"/>
      <c r="C45" s="6"/>
      <c r="D45" s="6"/>
      <c r="E45" s="6"/>
      <c r="F45" s="6"/>
      <c r="G45" s="32">
        <f>SUM(G43*G44)</f>
        <v>464541</v>
      </c>
      <c r="J45" s="10">
        <v>1147881</v>
      </c>
    </row>
    <row r="46" spans="1:14" s="8" customFormat="1" ht="12.75" x14ac:dyDescent="0.25">
      <c r="A46" s="6" t="s">
        <v>57</v>
      </c>
      <c r="B46" s="6"/>
      <c r="C46" s="6"/>
      <c r="D46" s="6"/>
      <c r="E46" s="6"/>
      <c r="F46" s="6"/>
      <c r="G46" s="32">
        <f>SUM(G45-K19)</f>
        <v>171268</v>
      </c>
      <c r="J46" s="10">
        <v>423203</v>
      </c>
    </row>
    <row r="47" spans="1:14" s="8" customFormat="1" ht="12.75" x14ac:dyDescent="0.25">
      <c r="A47" s="6" t="s">
        <v>58</v>
      </c>
      <c r="B47" s="6"/>
      <c r="C47" s="6"/>
      <c r="D47" s="6"/>
      <c r="E47" s="6"/>
      <c r="F47" s="6"/>
      <c r="G47" s="32">
        <v>246716</v>
      </c>
      <c r="J47" s="10">
        <v>609635</v>
      </c>
      <c r="N47" s="268"/>
    </row>
    <row r="48" spans="1:14" s="8" customFormat="1" ht="12.75" x14ac:dyDescent="0.25">
      <c r="A48" s="6"/>
      <c r="B48" s="6"/>
      <c r="C48" s="6"/>
      <c r="D48" s="6"/>
      <c r="E48" s="6"/>
      <c r="F48" s="6"/>
      <c r="G48" s="32"/>
    </row>
    <row r="49" spans="1:7" s="8" customFormat="1" ht="12.75" x14ac:dyDescent="0.25">
      <c r="A49" s="6" t="s">
        <v>59</v>
      </c>
      <c r="B49" s="6"/>
      <c r="C49" s="6"/>
      <c r="D49" s="6"/>
      <c r="E49" s="6"/>
      <c r="F49" s="6"/>
      <c r="G49" s="32">
        <f>SUM(K19/G43)</f>
        <v>48.611470246974974</v>
      </c>
    </row>
    <row r="50" spans="1:7" s="8" customFormat="1" ht="12.75" x14ac:dyDescent="0.25">
      <c r="A50" s="7" t="s">
        <v>60</v>
      </c>
      <c r="B50" s="7"/>
      <c r="C50" s="7"/>
      <c r="D50" s="7"/>
      <c r="E50" s="7"/>
      <c r="F50" s="7"/>
      <c r="G50" s="33">
        <f>SUM(K20/G43)</f>
        <v>36.105585943974802</v>
      </c>
    </row>
    <row r="51" spans="1:7" s="8" customFormat="1" ht="12.75" x14ac:dyDescent="0.25"/>
    <row r="52" spans="1:7" s="8" customFormat="1" ht="12.75" x14ac:dyDescent="0.25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47"/>
  <sheetViews>
    <sheetView workbookViewId="0">
      <selection sqref="A1:A4"/>
    </sheetView>
  </sheetViews>
  <sheetFormatPr defaultRowHeight="15" x14ac:dyDescent="0.25"/>
  <sheetData>
    <row r="1" spans="1:13" ht="15.75" x14ac:dyDescent="0.3">
      <c r="A1" s="3" t="s">
        <v>63</v>
      </c>
      <c r="B1" s="159" t="s">
        <v>434</v>
      </c>
      <c r="C1" s="159"/>
      <c r="D1" s="67"/>
      <c r="E1" s="67"/>
      <c r="F1" s="67"/>
      <c r="G1" s="67"/>
      <c r="H1" s="67"/>
      <c r="I1" s="67"/>
      <c r="J1" s="67"/>
      <c r="K1" s="67"/>
      <c r="L1" s="67"/>
    </row>
    <row r="2" spans="1:13" ht="15.75" x14ac:dyDescent="0.3">
      <c r="A2" s="3" t="s">
        <v>0</v>
      </c>
      <c r="B2" s="159" t="s">
        <v>197</v>
      </c>
      <c r="C2" s="159"/>
      <c r="D2" s="67"/>
      <c r="E2" s="67"/>
      <c r="F2" s="67"/>
      <c r="G2" s="67"/>
      <c r="H2" s="67"/>
      <c r="I2" s="67"/>
      <c r="J2" s="67"/>
      <c r="K2" s="67"/>
      <c r="L2" s="67"/>
    </row>
    <row r="3" spans="1:13" ht="15.75" x14ac:dyDescent="0.3">
      <c r="A3" s="3" t="s">
        <v>2</v>
      </c>
      <c r="B3" s="159" t="s">
        <v>435</v>
      </c>
      <c r="C3" s="159"/>
      <c r="D3" s="67"/>
      <c r="E3" s="67"/>
      <c r="F3" s="67"/>
      <c r="G3" s="67"/>
      <c r="H3" s="67"/>
      <c r="I3" s="67"/>
      <c r="J3" s="67"/>
      <c r="K3" s="67"/>
      <c r="L3" s="67"/>
    </row>
    <row r="4" spans="1:13" ht="15.75" x14ac:dyDescent="0.3">
      <c r="A4" s="3" t="s">
        <v>4</v>
      </c>
      <c r="B4" s="159" t="s">
        <v>436</v>
      </c>
      <c r="C4" s="159"/>
      <c r="D4" s="67"/>
      <c r="E4" s="67"/>
      <c r="F4" s="67"/>
      <c r="G4" s="67"/>
      <c r="H4" s="67"/>
      <c r="I4" s="67"/>
      <c r="J4" s="67"/>
      <c r="K4" s="67"/>
      <c r="L4" s="67"/>
    </row>
    <row r="5" spans="1:13" s="62" customFormat="1" x14ac:dyDescent="0.25">
      <c r="A5" s="62" t="s">
        <v>6</v>
      </c>
      <c r="D5" s="62" t="s">
        <v>7</v>
      </c>
      <c r="E5" s="62" t="s">
        <v>8</v>
      </c>
      <c r="F5" s="62" t="s">
        <v>9</v>
      </c>
      <c r="G5" s="62" t="s">
        <v>10</v>
      </c>
      <c r="H5" s="62" t="s">
        <v>11</v>
      </c>
      <c r="I5" s="62" t="s">
        <v>12</v>
      </c>
      <c r="J5" s="62" t="s">
        <v>13</v>
      </c>
      <c r="K5" s="62" t="s">
        <v>14</v>
      </c>
      <c r="L5" s="62" t="s">
        <v>15</v>
      </c>
    </row>
    <row r="6" spans="1:13" s="62" customFormat="1" x14ac:dyDescent="0.25">
      <c r="D6" s="62" t="s">
        <v>16</v>
      </c>
      <c r="E6" s="62" t="s">
        <v>17</v>
      </c>
      <c r="F6" s="62" t="s">
        <v>17</v>
      </c>
      <c r="G6" s="62" t="s">
        <v>18</v>
      </c>
      <c r="H6" s="62" t="s">
        <v>19</v>
      </c>
      <c r="I6" s="62" t="s">
        <v>20</v>
      </c>
      <c r="J6" s="62" t="s">
        <v>19</v>
      </c>
      <c r="K6" s="62" t="s">
        <v>19</v>
      </c>
      <c r="L6" s="62" t="s">
        <v>12</v>
      </c>
      <c r="M6" s="62" t="s">
        <v>13</v>
      </c>
    </row>
    <row r="7" spans="1:13" s="62" customFormat="1" x14ac:dyDescent="0.25">
      <c r="D7" s="62" t="s">
        <v>21</v>
      </c>
      <c r="H7" s="62" t="s">
        <v>22</v>
      </c>
      <c r="I7" s="62" t="s">
        <v>19</v>
      </c>
      <c r="J7" s="62" t="s">
        <v>22</v>
      </c>
      <c r="K7" s="62" t="s">
        <v>22</v>
      </c>
    </row>
    <row r="8" spans="1:13" s="62" customFormat="1" x14ac:dyDescent="0.25">
      <c r="I8" s="62" t="s">
        <v>22</v>
      </c>
    </row>
    <row r="9" spans="1:13" x14ac:dyDescent="0.25">
      <c r="A9" t="s">
        <v>65</v>
      </c>
      <c r="D9">
        <v>84</v>
      </c>
      <c r="E9">
        <v>10.85</v>
      </c>
      <c r="F9">
        <v>4.72</v>
      </c>
      <c r="G9">
        <v>1072.57</v>
      </c>
      <c r="H9">
        <v>11637</v>
      </c>
      <c r="K9">
        <v>11637</v>
      </c>
    </row>
    <row r="10" spans="1:13" x14ac:dyDescent="0.25">
      <c r="A10" t="s">
        <v>416</v>
      </c>
      <c r="D10">
        <v>80</v>
      </c>
      <c r="H10">
        <v>0</v>
      </c>
      <c r="I10">
        <v>8034</v>
      </c>
      <c r="K10">
        <v>8034</v>
      </c>
    </row>
    <row r="11" spans="1:13" x14ac:dyDescent="0.25">
      <c r="A11" t="s">
        <v>417</v>
      </c>
      <c r="D11" t="s">
        <v>418</v>
      </c>
      <c r="E11" t="s">
        <v>419</v>
      </c>
      <c r="F11" t="s">
        <v>420</v>
      </c>
      <c r="G11" t="s">
        <v>421</v>
      </c>
      <c r="H11" t="s">
        <v>422</v>
      </c>
      <c r="K11" t="s">
        <v>422</v>
      </c>
    </row>
    <row r="12" spans="1:13" x14ac:dyDescent="0.25">
      <c r="A12" t="s">
        <v>423</v>
      </c>
      <c r="D12">
        <v>100</v>
      </c>
      <c r="E12">
        <v>11.87</v>
      </c>
      <c r="F12">
        <v>4.41</v>
      </c>
      <c r="G12">
        <v>1097</v>
      </c>
      <c r="H12">
        <v>13021</v>
      </c>
      <c r="J12" t="s">
        <v>424</v>
      </c>
      <c r="K12">
        <v>14644</v>
      </c>
    </row>
    <row r="13" spans="1:13" x14ac:dyDescent="0.25">
      <c r="A13" t="s">
        <v>425</v>
      </c>
      <c r="D13">
        <v>100</v>
      </c>
      <c r="E13">
        <v>9.56</v>
      </c>
      <c r="F13">
        <v>2.61</v>
      </c>
      <c r="G13">
        <v>1094</v>
      </c>
      <c r="H13">
        <v>10459</v>
      </c>
      <c r="J13">
        <v>164450</v>
      </c>
      <c r="K13">
        <v>174909</v>
      </c>
    </row>
    <row r="14" spans="1:13" x14ac:dyDescent="0.25">
      <c r="A14" t="s">
        <v>120</v>
      </c>
      <c r="D14">
        <v>100</v>
      </c>
      <c r="E14">
        <v>12.37</v>
      </c>
      <c r="F14">
        <v>4.8099999999999996</v>
      </c>
      <c r="G14">
        <v>1009</v>
      </c>
      <c r="H14">
        <v>12481</v>
      </c>
      <c r="J14">
        <v>32630</v>
      </c>
      <c r="K14">
        <v>45111</v>
      </c>
    </row>
    <row r="15" spans="1:13" x14ac:dyDescent="0.25">
      <c r="A15" t="s">
        <v>342</v>
      </c>
      <c r="D15">
        <v>100</v>
      </c>
      <c r="E15">
        <v>12.66</v>
      </c>
      <c r="F15">
        <v>5.56</v>
      </c>
      <c r="G15">
        <v>919</v>
      </c>
      <c r="H15">
        <v>11635</v>
      </c>
      <c r="K15">
        <v>11635</v>
      </c>
    </row>
    <row r="16" spans="1:13" x14ac:dyDescent="0.25">
      <c r="A16" t="s">
        <v>27</v>
      </c>
      <c r="D16">
        <v>100</v>
      </c>
      <c r="E16">
        <v>4</v>
      </c>
      <c r="F16">
        <v>2.62</v>
      </c>
      <c r="G16">
        <v>1401</v>
      </c>
      <c r="H16">
        <v>5604</v>
      </c>
      <c r="J16">
        <v>12154</v>
      </c>
      <c r="K16">
        <v>17758</v>
      </c>
    </row>
    <row r="17" spans="1:13" x14ac:dyDescent="0.25">
      <c r="A17" t="s">
        <v>122</v>
      </c>
      <c r="D17">
        <v>90</v>
      </c>
      <c r="E17">
        <v>21.19</v>
      </c>
      <c r="F17">
        <v>19.260000000000002</v>
      </c>
      <c r="G17">
        <v>1143</v>
      </c>
      <c r="H17">
        <v>24220</v>
      </c>
      <c r="I17">
        <v>15137</v>
      </c>
      <c r="K17">
        <v>39357</v>
      </c>
    </row>
    <row r="18" spans="1:13" x14ac:dyDescent="0.25">
      <c r="A18" t="s">
        <v>426</v>
      </c>
      <c r="D18">
        <v>100</v>
      </c>
      <c r="E18">
        <v>21.46</v>
      </c>
      <c r="F18">
        <v>4.95</v>
      </c>
      <c r="G18">
        <v>944</v>
      </c>
      <c r="H18">
        <v>20258</v>
      </c>
      <c r="K18">
        <v>20258</v>
      </c>
    </row>
    <row r="19" spans="1:13" x14ac:dyDescent="0.25">
      <c r="A19" t="s">
        <v>30</v>
      </c>
      <c r="E19">
        <v>103.96000000000001</v>
      </c>
      <c r="F19">
        <v>48.94</v>
      </c>
      <c r="H19">
        <v>109315</v>
      </c>
      <c r="I19">
        <v>23171</v>
      </c>
      <c r="J19">
        <v>210857</v>
      </c>
      <c r="K19">
        <v>343343</v>
      </c>
      <c r="L19">
        <v>0</v>
      </c>
      <c r="M19">
        <v>0</v>
      </c>
    </row>
    <row r="20" spans="1:13" x14ac:dyDescent="0.25">
      <c r="A20" t="s">
        <v>31</v>
      </c>
      <c r="H20">
        <v>58960</v>
      </c>
      <c r="I20">
        <v>23171</v>
      </c>
      <c r="J20">
        <v>210857</v>
      </c>
      <c r="K20">
        <v>292988</v>
      </c>
    </row>
    <row r="21" spans="1:13" x14ac:dyDescent="0.25">
      <c r="A21" t="s">
        <v>124</v>
      </c>
    </row>
    <row r="22" spans="1:13" x14ac:dyDescent="0.25">
      <c r="C22" t="s">
        <v>32</v>
      </c>
    </row>
    <row r="24" spans="1:13" x14ac:dyDescent="0.25">
      <c r="A24" t="s">
        <v>35</v>
      </c>
    </row>
    <row r="25" spans="1:13" x14ac:dyDescent="0.25">
      <c r="A25" t="s">
        <v>36</v>
      </c>
      <c r="D25" t="s">
        <v>37</v>
      </c>
      <c r="E25" t="s">
        <v>38</v>
      </c>
      <c r="G25" t="s">
        <v>39</v>
      </c>
    </row>
    <row r="26" spans="1:13" x14ac:dyDescent="0.25">
      <c r="A26" t="s">
        <v>40</v>
      </c>
      <c r="D26" t="s">
        <v>41</v>
      </c>
      <c r="E26">
        <v>715</v>
      </c>
      <c r="G26">
        <v>230</v>
      </c>
    </row>
    <row r="28" spans="1:13" x14ac:dyDescent="0.25">
      <c r="A28" t="s">
        <v>45</v>
      </c>
    </row>
    <row r="29" spans="1:13" x14ac:dyDescent="0.25">
      <c r="A29" t="s">
        <v>47</v>
      </c>
      <c r="D29" t="s">
        <v>48</v>
      </c>
      <c r="E29">
        <v>55</v>
      </c>
      <c r="G29">
        <v>1072</v>
      </c>
    </row>
    <row r="30" spans="1:13" x14ac:dyDescent="0.25">
      <c r="A30" t="s">
        <v>50</v>
      </c>
      <c r="D30" t="s">
        <v>48</v>
      </c>
      <c r="E30">
        <v>47</v>
      </c>
      <c r="J30" t="s">
        <v>33</v>
      </c>
      <c r="K30">
        <v>0.4</v>
      </c>
    </row>
    <row r="31" spans="1:13" x14ac:dyDescent="0.25">
      <c r="A31" t="s">
        <v>8</v>
      </c>
      <c r="E31">
        <v>102</v>
      </c>
      <c r="J31" t="s">
        <v>34</v>
      </c>
      <c r="K31">
        <v>0.5</v>
      </c>
    </row>
    <row r="33" spans="1:11" x14ac:dyDescent="0.25">
      <c r="A33" t="s">
        <v>137</v>
      </c>
      <c r="C33" t="s">
        <v>101</v>
      </c>
      <c r="J33" t="s">
        <v>72</v>
      </c>
      <c r="K33" t="s">
        <v>427</v>
      </c>
    </row>
    <row r="34" spans="1:11" x14ac:dyDescent="0.25">
      <c r="A34" t="s">
        <v>428</v>
      </c>
      <c r="C34">
        <v>100</v>
      </c>
      <c r="D34" t="s">
        <v>41</v>
      </c>
      <c r="E34">
        <v>398</v>
      </c>
      <c r="G34">
        <v>26</v>
      </c>
      <c r="J34" t="s">
        <v>407</v>
      </c>
      <c r="K34">
        <v>100</v>
      </c>
    </row>
    <row r="36" spans="1:11" x14ac:dyDescent="0.25">
      <c r="A36" t="s">
        <v>429</v>
      </c>
      <c r="C36">
        <v>74</v>
      </c>
      <c r="D36" t="s">
        <v>430</v>
      </c>
      <c r="E36">
        <v>1.8</v>
      </c>
      <c r="G36">
        <v>12379</v>
      </c>
    </row>
    <row r="37" spans="1:11" x14ac:dyDescent="0.25">
      <c r="A37" t="s">
        <v>51</v>
      </c>
      <c r="I37" t="s">
        <v>431</v>
      </c>
    </row>
    <row r="38" spans="1:11" x14ac:dyDescent="0.25">
      <c r="A38" t="s">
        <v>54</v>
      </c>
      <c r="G38" t="s">
        <v>432</v>
      </c>
      <c r="I38">
        <v>11619</v>
      </c>
    </row>
    <row r="39" spans="1:11" x14ac:dyDescent="0.25">
      <c r="A39" t="s">
        <v>55</v>
      </c>
      <c r="G39">
        <v>81</v>
      </c>
    </row>
    <row r="40" spans="1:11" x14ac:dyDescent="0.25">
      <c r="A40" t="s">
        <v>56</v>
      </c>
      <c r="G40">
        <v>380862</v>
      </c>
      <c r="I40">
        <v>941110.00199999998</v>
      </c>
    </row>
    <row r="41" spans="1:11" x14ac:dyDescent="0.25">
      <c r="A41" t="s">
        <v>57</v>
      </c>
      <c r="G41">
        <v>37519</v>
      </c>
      <c r="I41">
        <v>92709</v>
      </c>
    </row>
    <row r="42" spans="1:11" x14ac:dyDescent="0.25">
      <c r="A42" t="s">
        <v>58</v>
      </c>
      <c r="G42">
        <v>87874</v>
      </c>
      <c r="I42">
        <v>217137</v>
      </c>
    </row>
    <row r="44" spans="1:11" x14ac:dyDescent="0.25">
      <c r="A44" t="s">
        <v>59</v>
      </c>
      <c r="G44">
        <v>73.02</v>
      </c>
    </row>
    <row r="45" spans="1:11" x14ac:dyDescent="0.25">
      <c r="A45" t="s">
        <v>60</v>
      </c>
      <c r="G45">
        <v>62.31</v>
      </c>
    </row>
    <row r="47" spans="1:11" x14ac:dyDescent="0.25">
      <c r="A47" t="s">
        <v>433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Q56"/>
  <sheetViews>
    <sheetView workbookViewId="0">
      <selection sqref="A1:A4"/>
    </sheetView>
  </sheetViews>
  <sheetFormatPr defaultRowHeight="15" x14ac:dyDescent="0.25"/>
  <sheetData>
    <row r="1" spans="1:17" x14ac:dyDescent="0.25">
      <c r="A1" s="3" t="s">
        <v>63</v>
      </c>
      <c r="B1" s="159" t="s">
        <v>448</v>
      </c>
      <c r="C1" s="159"/>
      <c r="D1" s="270"/>
      <c r="E1" s="270"/>
      <c r="F1" s="270"/>
      <c r="G1" s="270"/>
      <c r="H1" s="270"/>
      <c r="I1" s="270"/>
    </row>
    <row r="2" spans="1:17" x14ac:dyDescent="0.25">
      <c r="A2" s="3" t="s">
        <v>0</v>
      </c>
      <c r="B2" s="159" t="s">
        <v>449</v>
      </c>
      <c r="C2" s="159"/>
      <c r="D2" s="270"/>
      <c r="E2" s="270"/>
      <c r="F2" s="270"/>
      <c r="G2" s="270"/>
      <c r="H2" s="270"/>
      <c r="I2" s="270"/>
    </row>
    <row r="3" spans="1:17" x14ac:dyDescent="0.25">
      <c r="A3" s="3" t="s">
        <v>2</v>
      </c>
      <c r="B3" s="159" t="s">
        <v>450</v>
      </c>
      <c r="C3" s="159"/>
      <c r="D3" s="270"/>
      <c r="E3" s="270"/>
      <c r="F3" s="270"/>
      <c r="G3" s="270"/>
      <c r="H3" s="270"/>
      <c r="I3" s="270"/>
    </row>
    <row r="4" spans="1:17" x14ac:dyDescent="0.25">
      <c r="A4" s="3" t="s">
        <v>4</v>
      </c>
      <c r="B4" s="159" t="s">
        <v>451</v>
      </c>
      <c r="C4" s="159"/>
    </row>
    <row r="5" spans="1:17" s="282" customFormat="1" x14ac:dyDescent="0.25">
      <c r="A5" s="278" t="s">
        <v>6</v>
      </c>
      <c r="B5" s="278"/>
      <c r="C5" s="278"/>
      <c r="D5" s="279" t="s">
        <v>7</v>
      </c>
      <c r="E5" s="279" t="s">
        <v>8</v>
      </c>
      <c r="F5" s="279" t="s">
        <v>9</v>
      </c>
      <c r="G5" s="279" t="s">
        <v>10</v>
      </c>
      <c r="H5" s="279" t="s">
        <v>11</v>
      </c>
      <c r="I5" s="279" t="s">
        <v>12</v>
      </c>
      <c r="J5" s="279" t="s">
        <v>13</v>
      </c>
      <c r="K5" s="279" t="s">
        <v>14</v>
      </c>
      <c r="L5" s="280" t="s">
        <v>15</v>
      </c>
      <c r="M5" s="279"/>
      <c r="N5" s="281"/>
      <c r="O5" s="281"/>
    </row>
    <row r="6" spans="1:17" s="282" customFormat="1" x14ac:dyDescent="0.25">
      <c r="A6" s="283"/>
      <c r="B6" s="283"/>
      <c r="C6" s="283"/>
      <c r="D6" s="284" t="s">
        <v>16</v>
      </c>
      <c r="E6" s="284" t="s">
        <v>17</v>
      </c>
      <c r="F6" s="284" t="s">
        <v>17</v>
      </c>
      <c r="G6" s="284" t="s">
        <v>18</v>
      </c>
      <c r="H6" s="284" t="s">
        <v>19</v>
      </c>
      <c r="I6" s="284" t="s">
        <v>20</v>
      </c>
      <c r="J6" s="284" t="s">
        <v>19</v>
      </c>
      <c r="K6" s="284" t="s">
        <v>19</v>
      </c>
      <c r="L6" s="285" t="s">
        <v>12</v>
      </c>
      <c r="M6" s="284" t="s">
        <v>13</v>
      </c>
      <c r="N6" s="281"/>
      <c r="O6" s="281"/>
    </row>
    <row r="7" spans="1:17" s="282" customFormat="1" x14ac:dyDescent="0.25">
      <c r="A7" s="283"/>
      <c r="B7" s="283"/>
      <c r="C7" s="283"/>
      <c r="D7" s="284" t="s">
        <v>21</v>
      </c>
      <c r="E7" s="284"/>
      <c r="F7" s="284"/>
      <c r="G7" s="284"/>
      <c r="H7" s="284" t="s">
        <v>22</v>
      </c>
      <c r="I7" s="284" t="s">
        <v>19</v>
      </c>
      <c r="J7" s="284" t="s">
        <v>22</v>
      </c>
      <c r="K7" s="284" t="s">
        <v>22</v>
      </c>
      <c r="L7" s="284"/>
      <c r="M7" s="284"/>
      <c r="N7" s="281"/>
      <c r="O7" s="281"/>
    </row>
    <row r="8" spans="1:17" s="282" customFormat="1" x14ac:dyDescent="0.25">
      <c r="A8" s="286"/>
      <c r="B8" s="286"/>
      <c r="C8" s="286"/>
      <c r="D8" s="287"/>
      <c r="E8" s="287"/>
      <c r="F8" s="287"/>
      <c r="G8" s="287"/>
      <c r="H8" s="287"/>
      <c r="I8" s="287" t="s">
        <v>22</v>
      </c>
      <c r="J8" s="287"/>
      <c r="K8" s="287"/>
      <c r="L8" s="287"/>
      <c r="M8" s="287"/>
      <c r="N8" s="281"/>
      <c r="O8" s="288"/>
    </row>
    <row r="9" spans="1:17" s="114" customFormat="1" x14ac:dyDescent="0.25">
      <c r="A9" s="114" t="s">
        <v>280</v>
      </c>
      <c r="D9" s="271">
        <v>50</v>
      </c>
      <c r="E9" s="118">
        <v>0.78</v>
      </c>
      <c r="F9" s="118">
        <v>0.47</v>
      </c>
      <c r="G9" s="272">
        <v>1355</v>
      </c>
      <c r="H9" s="118">
        <f t="shared" ref="H9:H22" si="0">SUM(E9*G9)</f>
        <v>1056.9000000000001</v>
      </c>
      <c r="J9" s="118"/>
      <c r="K9" s="118">
        <v>1056</v>
      </c>
      <c r="O9" s="118"/>
      <c r="P9" s="118"/>
      <c r="Q9" s="118"/>
    </row>
    <row r="10" spans="1:17" s="114" customFormat="1" x14ac:dyDescent="0.25">
      <c r="A10" s="114" t="s">
        <v>24</v>
      </c>
      <c r="D10" s="271">
        <v>90</v>
      </c>
      <c r="E10" s="118"/>
      <c r="F10" s="118"/>
      <c r="G10" s="272"/>
      <c r="H10" s="118">
        <f t="shared" si="0"/>
        <v>0</v>
      </c>
      <c r="I10" s="114">
        <v>5443</v>
      </c>
      <c r="J10" s="273"/>
      <c r="K10" s="273">
        <v>5443</v>
      </c>
      <c r="O10" s="118"/>
      <c r="P10" s="118"/>
      <c r="Q10" s="118"/>
    </row>
    <row r="11" spans="1:17" s="114" customFormat="1" x14ac:dyDescent="0.25">
      <c r="A11" s="114" t="s">
        <v>25</v>
      </c>
      <c r="D11" s="271" t="s">
        <v>437</v>
      </c>
      <c r="E11" s="118"/>
      <c r="F11" s="118"/>
      <c r="G11" s="272"/>
      <c r="H11" s="118"/>
      <c r="I11" s="114" t="s">
        <v>438</v>
      </c>
      <c r="J11" s="118"/>
      <c r="K11" s="118">
        <f t="shared" ref="K11" si="1">SUM(H11:J11)</f>
        <v>0</v>
      </c>
      <c r="O11" s="118"/>
      <c r="P11" s="118"/>
      <c r="Q11" s="118"/>
    </row>
    <row r="12" spans="1:17" s="114" customFormat="1" x14ac:dyDescent="0.25">
      <c r="A12" s="114" t="s">
        <v>202</v>
      </c>
      <c r="D12" s="271">
        <v>70</v>
      </c>
      <c r="E12" s="118">
        <v>12.43</v>
      </c>
      <c r="F12" s="118">
        <v>0.73</v>
      </c>
      <c r="G12" s="272">
        <v>999.7</v>
      </c>
      <c r="H12" s="118">
        <v>12426</v>
      </c>
      <c r="J12" s="118"/>
      <c r="K12" s="273">
        <v>12426</v>
      </c>
      <c r="O12" s="118"/>
      <c r="P12" s="118"/>
      <c r="Q12" s="118"/>
    </row>
    <row r="13" spans="1:17" s="114" customFormat="1" x14ac:dyDescent="0.25">
      <c r="A13" s="114" t="s">
        <v>439</v>
      </c>
      <c r="D13" s="271">
        <v>100</v>
      </c>
      <c r="E13" s="118">
        <v>4</v>
      </c>
      <c r="F13" s="118">
        <v>1.1200000000000001</v>
      </c>
      <c r="G13" s="272">
        <v>541.34</v>
      </c>
      <c r="H13" s="118">
        <v>2165</v>
      </c>
      <c r="J13" s="118"/>
      <c r="K13" s="273">
        <v>2165</v>
      </c>
      <c r="O13" s="118"/>
      <c r="P13" s="118"/>
      <c r="Q13" s="118"/>
    </row>
    <row r="14" spans="1:17" s="114" customFormat="1" x14ac:dyDescent="0.25">
      <c r="A14" s="114" t="s">
        <v>440</v>
      </c>
      <c r="D14" s="271">
        <v>100</v>
      </c>
      <c r="E14" s="118">
        <v>12.92</v>
      </c>
      <c r="F14" s="118">
        <v>0.4</v>
      </c>
      <c r="G14" s="272">
        <v>616.83000000000004</v>
      </c>
      <c r="H14" s="118">
        <v>7969</v>
      </c>
      <c r="J14" s="118">
        <v>65592</v>
      </c>
      <c r="K14" s="273">
        <v>72562</v>
      </c>
      <c r="M14" s="114">
        <v>3130</v>
      </c>
      <c r="O14" s="118"/>
      <c r="P14" s="118"/>
      <c r="Q14" s="118"/>
    </row>
    <row r="15" spans="1:17" s="114" customFormat="1" x14ac:dyDescent="0.25">
      <c r="A15" s="114" t="s">
        <v>120</v>
      </c>
      <c r="D15" s="271">
        <v>100</v>
      </c>
      <c r="E15" s="118">
        <v>4.3099999999999996</v>
      </c>
      <c r="F15" s="118">
        <v>3.46</v>
      </c>
      <c r="G15" s="272">
        <v>1034.78</v>
      </c>
      <c r="H15" s="118">
        <v>4459</v>
      </c>
      <c r="J15" s="118">
        <v>31205</v>
      </c>
      <c r="K15" s="273">
        <v>35665</v>
      </c>
      <c r="O15" s="118"/>
      <c r="P15" s="118"/>
      <c r="Q15" s="118"/>
    </row>
    <row r="16" spans="1:17" s="114" customFormat="1" x14ac:dyDescent="0.25">
      <c r="A16" s="114" t="s">
        <v>441</v>
      </c>
      <c r="D16" s="271">
        <v>86</v>
      </c>
      <c r="E16" s="118">
        <v>10.76</v>
      </c>
      <c r="F16" s="118">
        <v>0.44</v>
      </c>
      <c r="G16" s="272">
        <v>583.23</v>
      </c>
      <c r="H16" s="118">
        <v>6275</v>
      </c>
      <c r="J16" s="118"/>
      <c r="K16" s="273">
        <v>6275</v>
      </c>
      <c r="O16" s="118"/>
      <c r="P16" s="118"/>
      <c r="Q16" s="118"/>
    </row>
    <row r="17" spans="1:17" s="114" customFormat="1" x14ac:dyDescent="0.25">
      <c r="A17" s="114" t="s">
        <v>225</v>
      </c>
      <c r="D17" s="271">
        <v>93</v>
      </c>
      <c r="E17" s="118">
        <v>0.89</v>
      </c>
      <c r="F17" s="118">
        <v>0.72</v>
      </c>
      <c r="G17" s="272">
        <v>1022</v>
      </c>
      <c r="H17" s="118">
        <v>909</v>
      </c>
      <c r="J17" s="118">
        <v>1233</v>
      </c>
      <c r="K17" s="273">
        <v>2142</v>
      </c>
      <c r="O17" s="118"/>
      <c r="P17" s="118"/>
      <c r="Q17" s="118"/>
    </row>
    <row r="18" spans="1:17" s="114" customFormat="1" x14ac:dyDescent="0.25">
      <c r="A18" s="114" t="s">
        <v>27</v>
      </c>
      <c r="D18" s="271">
        <v>97</v>
      </c>
      <c r="E18" s="118">
        <v>2.65</v>
      </c>
      <c r="F18" s="118">
        <v>1.58</v>
      </c>
      <c r="G18" s="272">
        <v>1298.25</v>
      </c>
      <c r="H18" s="118">
        <v>3440</v>
      </c>
      <c r="J18" s="118">
        <v>2443</v>
      </c>
      <c r="K18" s="273">
        <v>5884</v>
      </c>
      <c r="L18" s="274"/>
      <c r="O18" s="118"/>
      <c r="P18" s="118"/>
      <c r="Q18" s="118"/>
    </row>
    <row r="19" spans="1:17" s="114" customFormat="1" x14ac:dyDescent="0.25">
      <c r="A19" s="114" t="s">
        <v>442</v>
      </c>
      <c r="D19" s="271">
        <v>100</v>
      </c>
      <c r="E19" s="118">
        <v>17.440000000000001</v>
      </c>
      <c r="F19" s="118">
        <v>12</v>
      </c>
      <c r="G19" s="272">
        <v>1257</v>
      </c>
      <c r="H19" s="118">
        <v>21922</v>
      </c>
      <c r="I19" s="114">
        <v>6036</v>
      </c>
      <c r="J19" s="118"/>
      <c r="K19" s="273">
        <v>27958</v>
      </c>
      <c r="O19" s="118"/>
      <c r="P19" s="118"/>
      <c r="Q19" s="118"/>
    </row>
    <row r="20" spans="1:17" s="114" customFormat="1" x14ac:dyDescent="0.25">
      <c r="A20" s="114" t="s">
        <v>28</v>
      </c>
      <c r="D20" s="271">
        <v>100</v>
      </c>
      <c r="E20" s="118">
        <v>21.74</v>
      </c>
      <c r="F20" s="118">
        <v>2.61</v>
      </c>
      <c r="G20" s="272">
        <v>648.70000000000005</v>
      </c>
      <c r="H20" s="118">
        <v>14102</v>
      </c>
      <c r="J20" s="118"/>
      <c r="K20" s="273">
        <v>14102</v>
      </c>
      <c r="O20" s="118"/>
      <c r="P20" s="118"/>
      <c r="Q20" s="118"/>
    </row>
    <row r="21" spans="1:17" s="114" customFormat="1" x14ac:dyDescent="0.25">
      <c r="A21" s="114" t="s">
        <v>266</v>
      </c>
      <c r="D21" s="271">
        <v>63</v>
      </c>
      <c r="E21" s="118">
        <v>13.26</v>
      </c>
      <c r="F21" s="118">
        <v>1.47</v>
      </c>
      <c r="G21" s="272">
        <v>835.22</v>
      </c>
      <c r="H21" s="118">
        <v>11075</v>
      </c>
      <c r="J21" s="118"/>
      <c r="K21" s="273">
        <v>11075</v>
      </c>
      <c r="O21" s="118"/>
      <c r="P21" s="118"/>
      <c r="Q21" s="118"/>
    </row>
    <row r="22" spans="1:17" s="114" customFormat="1" x14ac:dyDescent="0.25">
      <c r="A22" s="114" t="s">
        <v>443</v>
      </c>
      <c r="D22" s="271">
        <v>47</v>
      </c>
      <c r="E22" s="118"/>
      <c r="F22" s="118"/>
      <c r="G22" s="272"/>
      <c r="H22" s="118">
        <f t="shared" si="0"/>
        <v>0</v>
      </c>
      <c r="I22" s="114">
        <v>3946</v>
      </c>
      <c r="J22" s="118"/>
      <c r="K22" s="118">
        <v>3946</v>
      </c>
    </row>
    <row r="23" spans="1:17" s="114" customFormat="1" x14ac:dyDescent="0.25">
      <c r="A23" s="113" t="s">
        <v>30</v>
      </c>
      <c r="B23" s="113"/>
      <c r="C23" s="113"/>
      <c r="D23" s="119"/>
      <c r="E23" s="120">
        <f>SUM(E9:E22)</f>
        <v>101.18</v>
      </c>
      <c r="F23" s="120">
        <f>SUM(F9:F22)</f>
        <v>25</v>
      </c>
      <c r="G23" s="120"/>
      <c r="H23" s="120">
        <v>85798</v>
      </c>
      <c r="I23" s="113">
        <f>SUM(I9:I22)</f>
        <v>15425</v>
      </c>
      <c r="J23" s="120">
        <f>SUM(J9:J22)</f>
        <v>100473</v>
      </c>
      <c r="K23" s="120">
        <f>SUM(H23:J23)</f>
        <v>201696</v>
      </c>
      <c r="L23" s="113">
        <f>SUM(L9:L22)</f>
        <v>0</v>
      </c>
      <c r="M23" s="113">
        <f>SUM(M9:M22)</f>
        <v>3130</v>
      </c>
    </row>
    <row r="24" spans="1:17" s="114" customFormat="1" x14ac:dyDescent="0.25">
      <c r="A24" s="117" t="s">
        <v>31</v>
      </c>
      <c r="B24" s="117"/>
      <c r="C24" s="117"/>
      <c r="D24" s="121"/>
      <c r="E24" s="122">
        <f>SUM(E23-F23)</f>
        <v>76.180000000000007</v>
      </c>
      <c r="F24" s="122"/>
      <c r="G24" s="122"/>
      <c r="H24" s="122">
        <v>64598</v>
      </c>
      <c r="I24" s="117">
        <f>I23-L23</f>
        <v>15425</v>
      </c>
      <c r="J24" s="122">
        <f>J23-M23</f>
        <v>97343</v>
      </c>
      <c r="K24" s="122">
        <f>SUM(H24:J24)</f>
        <v>177366</v>
      </c>
      <c r="L24" s="117"/>
      <c r="M24" s="117"/>
    </row>
    <row r="25" spans="1:17" s="114" customFormat="1" x14ac:dyDescent="0.25"/>
    <row r="26" spans="1:17" s="114" customFormat="1" x14ac:dyDescent="0.25">
      <c r="C26" s="270" t="s">
        <v>32</v>
      </c>
      <c r="D26" s="270"/>
    </row>
    <row r="27" spans="1:17" s="114" customFormat="1" x14ac:dyDescent="0.25"/>
    <row r="28" spans="1:17" s="114" customFormat="1" x14ac:dyDescent="0.25">
      <c r="A28" s="114" t="s">
        <v>35</v>
      </c>
    </row>
    <row r="29" spans="1:17" s="114" customFormat="1" x14ac:dyDescent="0.25">
      <c r="A29" s="123" t="s">
        <v>36</v>
      </c>
      <c r="B29" s="123"/>
      <c r="C29" s="123"/>
      <c r="D29" s="123" t="s">
        <v>37</v>
      </c>
      <c r="E29" s="123" t="s">
        <v>38</v>
      </c>
      <c r="F29" s="123"/>
      <c r="G29" s="123" t="s">
        <v>39</v>
      </c>
      <c r="J29" s="270" t="s">
        <v>72</v>
      </c>
    </row>
    <row r="30" spans="1:17" s="114" customFormat="1" x14ac:dyDescent="0.25">
      <c r="A30" s="114" t="s">
        <v>40</v>
      </c>
      <c r="J30" s="275" t="s">
        <v>444</v>
      </c>
      <c r="K30" s="114">
        <v>100</v>
      </c>
    </row>
    <row r="31" spans="1:17" s="114" customFormat="1" x14ac:dyDescent="0.25">
      <c r="A31" s="114" t="s">
        <v>234</v>
      </c>
      <c r="D31" s="114" t="s">
        <v>256</v>
      </c>
    </row>
    <row r="32" spans="1:17" s="114" customFormat="1" x14ac:dyDescent="0.25">
      <c r="E32" s="118">
        <v>765</v>
      </c>
      <c r="F32" s="118"/>
      <c r="G32" s="118">
        <v>85</v>
      </c>
    </row>
    <row r="33" spans="1:11" s="114" customFormat="1" x14ac:dyDescent="0.25">
      <c r="J33" s="270" t="s">
        <v>33</v>
      </c>
      <c r="K33" s="114">
        <v>0.9</v>
      </c>
    </row>
    <row r="34" spans="1:11" s="114" customFormat="1" x14ac:dyDescent="0.25">
      <c r="A34" s="114" t="s">
        <v>45</v>
      </c>
      <c r="J34" s="270" t="s">
        <v>34</v>
      </c>
      <c r="K34" s="114">
        <v>1</v>
      </c>
    </row>
    <row r="35" spans="1:11" s="114" customFormat="1" x14ac:dyDescent="0.25">
      <c r="A35" s="114" t="s">
        <v>47</v>
      </c>
      <c r="D35" s="114" t="s">
        <v>48</v>
      </c>
      <c r="E35" s="118">
        <v>76</v>
      </c>
      <c r="G35" s="118">
        <v>849</v>
      </c>
    </row>
    <row r="36" spans="1:11" s="114" customFormat="1" x14ac:dyDescent="0.25">
      <c r="A36" s="114" t="s">
        <v>50</v>
      </c>
      <c r="D36" s="114" t="s">
        <v>48</v>
      </c>
      <c r="E36" s="118">
        <f>SUM(F23)</f>
        <v>25</v>
      </c>
    </row>
    <row r="37" spans="1:11" s="114" customFormat="1" x14ac:dyDescent="0.25">
      <c r="A37" s="114" t="s">
        <v>8</v>
      </c>
      <c r="E37" s="118">
        <f>SUM(E35:E36)</f>
        <v>101</v>
      </c>
    </row>
    <row r="38" spans="1:11" s="114" customFormat="1" x14ac:dyDescent="0.25"/>
    <row r="39" spans="1:11" s="114" customFormat="1" x14ac:dyDescent="0.25">
      <c r="A39" s="113" t="s">
        <v>137</v>
      </c>
      <c r="B39" s="113"/>
      <c r="C39" s="113" t="s">
        <v>101</v>
      </c>
      <c r="D39" s="113"/>
      <c r="E39" s="113"/>
      <c r="F39" s="113"/>
      <c r="G39" s="113"/>
    </row>
    <row r="40" spans="1:11" s="114" customFormat="1" x14ac:dyDescent="0.25">
      <c r="A40" s="115"/>
      <c r="B40" s="116" t="s">
        <v>138</v>
      </c>
      <c r="C40" s="276">
        <v>73.33</v>
      </c>
      <c r="D40" s="115">
        <v>24</v>
      </c>
      <c r="E40" s="115">
        <v>60.17</v>
      </c>
      <c r="F40" s="115"/>
      <c r="G40" s="115">
        <f>E40*D40</f>
        <v>1444.08</v>
      </c>
    </row>
    <row r="41" spans="1:11" s="114" customFormat="1" x14ac:dyDescent="0.25">
      <c r="A41" s="115"/>
      <c r="B41" s="116" t="s">
        <v>301</v>
      </c>
      <c r="C41" s="276">
        <v>86.6</v>
      </c>
      <c r="D41" s="115">
        <v>24</v>
      </c>
      <c r="E41" s="115">
        <v>91.98</v>
      </c>
      <c r="F41" s="115"/>
      <c r="G41" s="115">
        <f t="shared" ref="G41:G42" si="2">E41*D41</f>
        <v>2207.52</v>
      </c>
    </row>
    <row r="42" spans="1:11" s="114" customFormat="1" x14ac:dyDescent="0.25">
      <c r="A42" s="115"/>
      <c r="B42" s="116" t="s">
        <v>303</v>
      </c>
      <c r="C42" s="276">
        <v>23</v>
      </c>
      <c r="D42" s="115">
        <v>24</v>
      </c>
      <c r="E42" s="115">
        <v>42.53</v>
      </c>
      <c r="F42" s="115"/>
      <c r="G42" s="115">
        <f t="shared" si="2"/>
        <v>1020.72</v>
      </c>
    </row>
    <row r="43" spans="1:11" s="114" customFormat="1" x14ac:dyDescent="0.25">
      <c r="B43" s="277" t="s">
        <v>445</v>
      </c>
      <c r="C43" s="276">
        <v>86.62</v>
      </c>
      <c r="D43" s="115">
        <v>24</v>
      </c>
      <c r="E43" s="115">
        <v>0.8</v>
      </c>
      <c r="F43" s="115"/>
      <c r="G43" s="115">
        <v>26533</v>
      </c>
    </row>
    <row r="44" spans="1:11" s="114" customFormat="1" x14ac:dyDescent="0.25">
      <c r="A44" s="269" t="s">
        <v>51</v>
      </c>
      <c r="B44" s="269"/>
      <c r="C44" s="269"/>
      <c r="D44" s="269"/>
      <c r="E44" s="269"/>
      <c r="F44" s="269"/>
      <c r="G44" s="269" t="s">
        <v>446</v>
      </c>
      <c r="H44" s="270" t="s">
        <v>447</v>
      </c>
    </row>
    <row r="45" spans="1:11" s="114" customFormat="1" x14ac:dyDescent="0.25">
      <c r="A45" s="115" t="s">
        <v>54</v>
      </c>
      <c r="B45" s="115"/>
      <c r="C45" s="115"/>
      <c r="D45" s="115"/>
      <c r="E45" s="115"/>
      <c r="F45" s="115"/>
      <c r="G45" s="124">
        <v>5601</v>
      </c>
      <c r="H45" s="114">
        <f>G45*2.46</f>
        <v>13778.46</v>
      </c>
    </row>
    <row r="46" spans="1:11" s="114" customFormat="1" x14ac:dyDescent="0.25">
      <c r="A46" s="115" t="s">
        <v>55</v>
      </c>
      <c r="B46" s="115"/>
      <c r="C46" s="115"/>
      <c r="D46" s="115"/>
      <c r="E46" s="115"/>
      <c r="F46" s="115"/>
      <c r="G46" s="125">
        <v>68.28</v>
      </c>
    </row>
    <row r="47" spans="1:11" s="114" customFormat="1" x14ac:dyDescent="0.25">
      <c r="A47" s="115" t="s">
        <v>56</v>
      </c>
      <c r="B47" s="115"/>
      <c r="C47" s="115"/>
      <c r="D47" s="115"/>
      <c r="E47" s="115"/>
      <c r="F47" s="115"/>
      <c r="G47" s="125">
        <v>382436</v>
      </c>
      <c r="H47" s="277">
        <v>940793</v>
      </c>
    </row>
    <row r="48" spans="1:11" s="114" customFormat="1" x14ac:dyDescent="0.25">
      <c r="A48" s="115" t="s">
        <v>57</v>
      </c>
      <c r="B48" s="115"/>
      <c r="C48" s="115"/>
      <c r="D48" s="115"/>
      <c r="E48" s="115"/>
      <c r="F48" s="115"/>
      <c r="G48" s="125">
        <v>180740</v>
      </c>
      <c r="H48" s="277">
        <v>444621</v>
      </c>
    </row>
    <row r="49" spans="1:8" s="114" customFormat="1" x14ac:dyDescent="0.25">
      <c r="A49" s="115" t="s">
        <v>58</v>
      </c>
      <c r="B49" s="115"/>
      <c r="C49" s="115"/>
      <c r="D49" s="115"/>
      <c r="E49" s="115"/>
      <c r="F49" s="115"/>
      <c r="G49" s="125">
        <v>205070</v>
      </c>
      <c r="H49" s="277">
        <v>504472</v>
      </c>
    </row>
    <row r="50" spans="1:8" s="114" customFormat="1" x14ac:dyDescent="0.25">
      <c r="A50" s="115"/>
      <c r="B50" s="115"/>
      <c r="C50" s="115"/>
      <c r="D50" s="115"/>
      <c r="E50" s="115"/>
      <c r="F50" s="115"/>
      <c r="G50" s="125"/>
    </row>
    <row r="51" spans="1:8" s="114" customFormat="1" x14ac:dyDescent="0.25">
      <c r="A51" s="115" t="s">
        <v>59</v>
      </c>
      <c r="B51" s="115"/>
      <c r="C51" s="115"/>
      <c r="D51" s="115"/>
      <c r="E51" s="115"/>
      <c r="F51" s="115"/>
      <c r="G51" s="125">
        <f>SUM(K23/G45)</f>
        <v>36.010712372790572</v>
      </c>
    </row>
    <row r="52" spans="1:8" s="114" customFormat="1" x14ac:dyDescent="0.25">
      <c r="A52" s="117" t="s">
        <v>60</v>
      </c>
      <c r="B52" s="117"/>
      <c r="C52" s="117"/>
      <c r="D52" s="117"/>
      <c r="E52" s="117"/>
      <c r="F52" s="117"/>
      <c r="G52" s="126">
        <f>SUM(K24/G45)</f>
        <v>31.666845206213175</v>
      </c>
    </row>
    <row r="53" spans="1:8" s="114" customFormat="1" x14ac:dyDescent="0.25"/>
    <row r="54" spans="1:8" s="114" customFormat="1" x14ac:dyDescent="0.25">
      <c r="A54" s="114" t="s">
        <v>170</v>
      </c>
    </row>
    <row r="55" spans="1:8" s="114" customFormat="1" x14ac:dyDescent="0.25"/>
    <row r="56" spans="1:8" s="114" customFormat="1" x14ac:dyDescent="0.25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53"/>
  <sheetViews>
    <sheetView workbookViewId="0">
      <selection activeCell="E25" sqref="E25"/>
    </sheetView>
  </sheetViews>
  <sheetFormatPr defaultRowHeight="15" x14ac:dyDescent="0.25"/>
  <sheetData>
    <row r="1" spans="1:15" ht="15.75" x14ac:dyDescent="0.3">
      <c r="A1" s="3" t="s">
        <v>63</v>
      </c>
      <c r="B1" s="159" t="s">
        <v>462</v>
      </c>
      <c r="C1" s="159"/>
      <c r="D1" s="111"/>
      <c r="E1" s="111"/>
      <c r="F1" s="111"/>
      <c r="G1" s="111"/>
      <c r="H1" s="111"/>
      <c r="I1" s="111"/>
    </row>
    <row r="2" spans="1:15" ht="15.75" x14ac:dyDescent="0.3">
      <c r="A2" s="3" t="s">
        <v>0</v>
      </c>
      <c r="B2" s="159" t="s">
        <v>463</v>
      </c>
      <c r="C2" s="159"/>
      <c r="D2" s="111"/>
      <c r="E2" s="111"/>
      <c r="F2" s="111"/>
      <c r="G2" s="111"/>
      <c r="H2" s="111"/>
      <c r="I2" s="111"/>
    </row>
    <row r="3" spans="1:15" ht="15.75" x14ac:dyDescent="0.3">
      <c r="A3" s="3" t="s">
        <v>2</v>
      </c>
      <c r="B3" s="159" t="s">
        <v>145</v>
      </c>
      <c r="C3" s="159"/>
      <c r="D3" s="111"/>
      <c r="E3" s="111"/>
      <c r="F3" s="111"/>
      <c r="G3" s="111"/>
      <c r="H3" s="111"/>
      <c r="I3" s="111"/>
    </row>
    <row r="4" spans="1:15" x14ac:dyDescent="0.25">
      <c r="A4" s="3" t="s">
        <v>4</v>
      </c>
      <c r="B4" s="159" t="s">
        <v>464</v>
      </c>
      <c r="C4" s="159"/>
    </row>
    <row r="5" spans="1:15" s="240" customFormat="1" ht="14.25" x14ac:dyDescent="0.3">
      <c r="A5" s="102" t="s">
        <v>6</v>
      </c>
      <c r="B5" s="102"/>
      <c r="C5" s="102"/>
      <c r="D5" s="103" t="s">
        <v>7</v>
      </c>
      <c r="E5" s="103" t="s">
        <v>8</v>
      </c>
      <c r="F5" s="103" t="s">
        <v>9</v>
      </c>
      <c r="G5" s="103" t="s">
        <v>10</v>
      </c>
      <c r="H5" s="103" t="s">
        <v>11</v>
      </c>
      <c r="I5" s="103" t="s">
        <v>12</v>
      </c>
      <c r="J5" s="103" t="s">
        <v>13</v>
      </c>
      <c r="K5" s="103" t="s">
        <v>14</v>
      </c>
      <c r="L5" s="104" t="s">
        <v>15</v>
      </c>
      <c r="M5" s="103"/>
    </row>
    <row r="6" spans="1:15" s="240" customFormat="1" ht="14.25" x14ac:dyDescent="0.3">
      <c r="A6" s="105"/>
      <c r="B6" s="105"/>
      <c r="C6" s="105"/>
      <c r="D6" s="106" t="s">
        <v>16</v>
      </c>
      <c r="E6" s="106" t="s">
        <v>17</v>
      </c>
      <c r="F6" s="106" t="s">
        <v>17</v>
      </c>
      <c r="G6" s="106" t="s">
        <v>18</v>
      </c>
      <c r="H6" s="106" t="s">
        <v>19</v>
      </c>
      <c r="I6" s="106" t="s">
        <v>20</v>
      </c>
      <c r="J6" s="106" t="s">
        <v>19</v>
      </c>
      <c r="K6" s="106" t="s">
        <v>19</v>
      </c>
      <c r="L6" s="107" t="s">
        <v>12</v>
      </c>
      <c r="M6" s="106" t="s">
        <v>13</v>
      </c>
    </row>
    <row r="7" spans="1:15" s="240" customFormat="1" ht="14.25" x14ac:dyDescent="0.3">
      <c r="A7" s="105"/>
      <c r="B7" s="105"/>
      <c r="C7" s="105"/>
      <c r="D7" s="106" t="s">
        <v>21</v>
      </c>
      <c r="E7" s="106"/>
      <c r="F7" s="106"/>
      <c r="G7" s="106"/>
      <c r="H7" s="106" t="s">
        <v>22</v>
      </c>
      <c r="I7" s="106" t="s">
        <v>19</v>
      </c>
      <c r="J7" s="106" t="s">
        <v>22</v>
      </c>
      <c r="K7" s="106" t="s">
        <v>22</v>
      </c>
      <c r="L7" s="106"/>
      <c r="M7" s="106"/>
    </row>
    <row r="8" spans="1:15" s="240" customFormat="1" ht="14.25" x14ac:dyDescent="0.3">
      <c r="A8" s="108"/>
      <c r="B8" s="108"/>
      <c r="C8" s="108"/>
      <c r="D8" s="109"/>
      <c r="E8" s="109"/>
      <c r="F8" s="109"/>
      <c r="G8" s="109"/>
      <c r="H8" s="109"/>
      <c r="I8" s="109" t="s">
        <v>22</v>
      </c>
      <c r="J8" s="109"/>
      <c r="K8" s="109"/>
      <c r="L8" s="109"/>
      <c r="M8" s="109"/>
    </row>
    <row r="9" spans="1:15" s="111" customFormat="1" ht="14.25" x14ac:dyDescent="0.3">
      <c r="A9" s="111" t="s">
        <v>23</v>
      </c>
      <c r="D9" s="213">
        <v>80</v>
      </c>
      <c r="E9" s="71">
        <v>2.59</v>
      </c>
      <c r="F9" s="71">
        <v>0.45</v>
      </c>
      <c r="G9" s="214">
        <v>1000</v>
      </c>
      <c r="H9" s="71">
        <f t="shared" ref="H9:H20" si="0">SUM(E9*G9)</f>
        <v>2590</v>
      </c>
      <c r="J9" s="71"/>
      <c r="K9" s="71">
        <f t="shared" ref="K9:K11" si="1">SUM(H9:J9)</f>
        <v>2590</v>
      </c>
    </row>
    <row r="10" spans="1:15" s="111" customFormat="1" ht="14.25" x14ac:dyDescent="0.3">
      <c r="A10" s="111" t="s">
        <v>452</v>
      </c>
      <c r="D10" s="213">
        <v>100</v>
      </c>
      <c r="E10" s="71"/>
      <c r="F10" s="71"/>
      <c r="G10" s="214"/>
      <c r="H10" s="71">
        <f t="shared" si="0"/>
        <v>0</v>
      </c>
      <c r="I10" s="71">
        <v>3350</v>
      </c>
      <c r="J10" s="71"/>
      <c r="K10" s="71">
        <f t="shared" si="1"/>
        <v>3350</v>
      </c>
    </row>
    <row r="11" spans="1:15" s="111" customFormat="1" ht="14.25" x14ac:dyDescent="0.3">
      <c r="A11" s="289" t="s">
        <v>453</v>
      </c>
      <c r="B11" s="213"/>
      <c r="D11" s="213">
        <v>100</v>
      </c>
      <c r="E11" s="71">
        <v>4.8499999999999996</v>
      </c>
      <c r="F11" s="71">
        <v>0.15</v>
      </c>
      <c r="G11" s="214">
        <v>800</v>
      </c>
      <c r="H11" s="71">
        <f t="shared" si="0"/>
        <v>3879.9999999999995</v>
      </c>
      <c r="J11" s="71"/>
      <c r="K11" s="71">
        <f t="shared" si="1"/>
        <v>3879.9999999999995</v>
      </c>
      <c r="O11" s="290"/>
    </row>
    <row r="12" spans="1:15" s="111" customFormat="1" ht="14.25" x14ac:dyDescent="0.3">
      <c r="A12" s="111" t="s">
        <v>387</v>
      </c>
      <c r="D12" s="213">
        <v>100</v>
      </c>
      <c r="E12" s="71">
        <v>11.14</v>
      </c>
      <c r="F12" s="71">
        <v>0.66</v>
      </c>
      <c r="G12" s="214">
        <v>700</v>
      </c>
      <c r="H12" s="71">
        <f t="shared" si="0"/>
        <v>7798</v>
      </c>
      <c r="J12" s="71">
        <f>E29*G29</f>
        <v>83352</v>
      </c>
      <c r="K12" s="71">
        <f>SUM(H12:J12)</f>
        <v>91150</v>
      </c>
      <c r="L12" s="71">
        <v>345</v>
      </c>
      <c r="O12" s="290"/>
    </row>
    <row r="13" spans="1:15" s="111" customFormat="1" ht="14.25" x14ac:dyDescent="0.3">
      <c r="A13" s="111" t="s">
        <v>120</v>
      </c>
      <c r="D13" s="213">
        <v>100</v>
      </c>
      <c r="E13" s="71">
        <v>1.94</v>
      </c>
      <c r="F13" s="71">
        <v>1.03</v>
      </c>
      <c r="G13" s="214">
        <v>1063</v>
      </c>
      <c r="H13" s="71">
        <v>2062</v>
      </c>
      <c r="J13" s="111">
        <f>E35*G35+E36*G36+E37*G37+E38*G38+E39*G39</f>
        <v>19275</v>
      </c>
      <c r="K13" s="71">
        <f>SUM(H13:J13)</f>
        <v>21337</v>
      </c>
      <c r="O13" s="290"/>
    </row>
    <row r="14" spans="1:15" s="111" customFormat="1" ht="14.25" x14ac:dyDescent="0.3">
      <c r="A14" s="111" t="s">
        <v>225</v>
      </c>
      <c r="D14" s="213">
        <v>90</v>
      </c>
      <c r="E14" s="71">
        <v>0.56999999999999995</v>
      </c>
      <c r="F14" s="71">
        <v>0.42</v>
      </c>
      <c r="G14" s="214">
        <v>1144</v>
      </c>
      <c r="H14" s="71">
        <v>652</v>
      </c>
      <c r="J14" s="291">
        <v>1662</v>
      </c>
      <c r="K14" s="71">
        <f t="shared" ref="K14:K20" si="2">SUM(H14:J14)</f>
        <v>2314</v>
      </c>
      <c r="O14" s="290"/>
    </row>
    <row r="15" spans="1:15" s="111" customFormat="1" ht="14.25" x14ac:dyDescent="0.3">
      <c r="A15" s="111" t="s">
        <v>454</v>
      </c>
      <c r="D15" s="213">
        <v>60</v>
      </c>
      <c r="E15" s="71">
        <v>10.45</v>
      </c>
      <c r="F15" s="71">
        <v>0.27</v>
      </c>
      <c r="G15" s="214">
        <v>800</v>
      </c>
      <c r="H15" s="71">
        <f t="shared" si="0"/>
        <v>8360</v>
      </c>
      <c r="J15" s="71"/>
      <c r="K15" s="71">
        <f t="shared" si="2"/>
        <v>8360</v>
      </c>
      <c r="O15" s="290"/>
    </row>
    <row r="16" spans="1:15" s="111" customFormat="1" ht="14.25" x14ac:dyDescent="0.3">
      <c r="A16" s="111" t="s">
        <v>27</v>
      </c>
      <c r="D16" s="213">
        <v>90</v>
      </c>
      <c r="E16" s="71">
        <v>0.7</v>
      </c>
      <c r="F16" s="71">
        <v>0.36</v>
      </c>
      <c r="G16" s="214">
        <v>1084</v>
      </c>
      <c r="H16" s="71">
        <v>759</v>
      </c>
      <c r="J16" s="71">
        <v>2906</v>
      </c>
      <c r="K16" s="71">
        <f t="shared" si="2"/>
        <v>3665</v>
      </c>
      <c r="O16" s="290"/>
    </row>
    <row r="17" spans="1:15" s="111" customFormat="1" ht="14.25" x14ac:dyDescent="0.3">
      <c r="A17" s="111" t="s">
        <v>122</v>
      </c>
      <c r="D17" s="213">
        <v>100</v>
      </c>
      <c r="E17" s="71">
        <v>24.58</v>
      </c>
      <c r="F17" s="71">
        <v>11.99</v>
      </c>
      <c r="G17" s="214">
        <v>1069</v>
      </c>
      <c r="H17" s="71">
        <v>26276</v>
      </c>
      <c r="I17" s="111">
        <v>9010</v>
      </c>
      <c r="J17" s="71">
        <v>0</v>
      </c>
      <c r="K17" s="71">
        <f t="shared" si="2"/>
        <v>35286</v>
      </c>
      <c r="O17" s="290"/>
    </row>
    <row r="18" spans="1:15" s="111" customFormat="1" ht="14.25" x14ac:dyDescent="0.3">
      <c r="A18" s="111" t="s">
        <v>28</v>
      </c>
      <c r="D18" s="213">
        <v>100</v>
      </c>
      <c r="E18" s="71">
        <v>13.23</v>
      </c>
      <c r="F18" s="71">
        <v>0.5</v>
      </c>
      <c r="G18" s="214">
        <v>800</v>
      </c>
      <c r="H18" s="71">
        <f t="shared" si="0"/>
        <v>10584</v>
      </c>
      <c r="J18" s="71"/>
      <c r="K18" s="71">
        <f t="shared" si="2"/>
        <v>10584</v>
      </c>
      <c r="O18" s="290"/>
    </row>
    <row r="19" spans="1:15" s="111" customFormat="1" ht="14.25" x14ac:dyDescent="0.3">
      <c r="A19" s="111" t="s">
        <v>266</v>
      </c>
      <c r="D19" s="213">
        <v>98</v>
      </c>
      <c r="E19" s="71">
        <v>21.9</v>
      </c>
      <c r="F19" s="71">
        <v>2.2999999999999998</v>
      </c>
      <c r="G19" s="214">
        <v>1000</v>
      </c>
      <c r="H19" s="71">
        <f t="shared" si="0"/>
        <v>21900</v>
      </c>
      <c r="J19" s="71">
        <v>0</v>
      </c>
      <c r="K19" s="71">
        <f t="shared" si="2"/>
        <v>21900</v>
      </c>
      <c r="O19" s="290"/>
    </row>
    <row r="20" spans="1:15" s="111" customFormat="1" ht="14.25" x14ac:dyDescent="0.3">
      <c r="A20" s="111" t="s">
        <v>267</v>
      </c>
      <c r="D20" s="213">
        <v>84</v>
      </c>
      <c r="E20" s="71">
        <v>0.35</v>
      </c>
      <c r="F20" s="71">
        <v>0.35</v>
      </c>
      <c r="G20" s="214">
        <v>800</v>
      </c>
      <c r="H20" s="71">
        <f t="shared" si="0"/>
        <v>280</v>
      </c>
      <c r="I20" s="111">
        <v>2089</v>
      </c>
      <c r="J20" s="71"/>
      <c r="K20" s="71">
        <f t="shared" si="2"/>
        <v>2369</v>
      </c>
    </row>
    <row r="21" spans="1:15" s="111" customFormat="1" ht="14.25" x14ac:dyDescent="0.3">
      <c r="A21" s="211" t="s">
        <v>30</v>
      </c>
      <c r="B21" s="211"/>
      <c r="C21" s="211"/>
      <c r="D21" s="223"/>
      <c r="E21" s="224">
        <f>SUM(E9:E20)</f>
        <v>92.299999999999983</v>
      </c>
      <c r="F21" s="224">
        <f>SUM(F9:F20)</f>
        <v>18.48</v>
      </c>
      <c r="G21" s="224"/>
      <c r="H21" s="224">
        <f>SUM(H9:H20)</f>
        <v>85141</v>
      </c>
      <c r="I21" s="224">
        <f>SUM(I9:I20)</f>
        <v>14449</v>
      </c>
      <c r="J21" s="224">
        <f>SUM(J9:J20)</f>
        <v>107195</v>
      </c>
      <c r="K21" s="224">
        <f>SUM(H21:J21)</f>
        <v>206785</v>
      </c>
      <c r="L21" s="224">
        <f>SUM(L9:L20)</f>
        <v>345</v>
      </c>
      <c r="M21" s="211">
        <f>SUM(M9:M20)</f>
        <v>0</v>
      </c>
    </row>
    <row r="22" spans="1:15" s="111" customFormat="1" ht="14.25" x14ac:dyDescent="0.3">
      <c r="A22" s="212" t="s">
        <v>31</v>
      </c>
      <c r="B22" s="212"/>
      <c r="C22" s="212"/>
      <c r="D22" s="225"/>
      <c r="E22" s="226">
        <f>SUM(E21-F21)</f>
        <v>73.819999999999979</v>
      </c>
      <c r="F22" s="226"/>
      <c r="G22" s="226"/>
      <c r="H22" s="226">
        <f>SUM(E31*G31)</f>
        <v>68450</v>
      </c>
      <c r="I22" s="226">
        <f>I21-L21</f>
        <v>14104</v>
      </c>
      <c r="J22" s="226">
        <f>J21-M21</f>
        <v>107195</v>
      </c>
      <c r="K22" s="226">
        <f>SUM(H22:J22)</f>
        <v>189749</v>
      </c>
      <c r="L22" s="212"/>
      <c r="M22" s="212"/>
    </row>
    <row r="23" spans="1:15" s="111" customFormat="1" ht="14.25" x14ac:dyDescent="0.3"/>
    <row r="24" spans="1:15" s="111" customFormat="1" ht="14.25" x14ac:dyDescent="0.3">
      <c r="C24" s="111" t="s">
        <v>32</v>
      </c>
    </row>
    <row r="25" spans="1:15" s="111" customFormat="1" ht="14.25" x14ac:dyDescent="0.3"/>
    <row r="26" spans="1:15" s="111" customFormat="1" ht="14.25" x14ac:dyDescent="0.3">
      <c r="A26" s="111" t="s">
        <v>35</v>
      </c>
    </row>
    <row r="27" spans="1:15" s="111" customFormat="1" ht="14.25" x14ac:dyDescent="0.3">
      <c r="A27" s="227" t="s">
        <v>36</v>
      </c>
      <c r="B27" s="227"/>
      <c r="C27" s="227"/>
      <c r="D27" s="227" t="s">
        <v>37</v>
      </c>
      <c r="E27" s="227" t="s">
        <v>38</v>
      </c>
      <c r="F27" s="227"/>
      <c r="G27" s="227" t="s">
        <v>39</v>
      </c>
      <c r="I27" s="228" t="s">
        <v>33</v>
      </c>
      <c r="J27" s="228">
        <v>1.8</v>
      </c>
    </row>
    <row r="28" spans="1:15" s="111" customFormat="1" ht="14.25" x14ac:dyDescent="0.3">
      <c r="A28" s="111" t="s">
        <v>40</v>
      </c>
      <c r="I28" s="228" t="s">
        <v>34</v>
      </c>
      <c r="J28" s="228">
        <v>2</v>
      </c>
    </row>
    <row r="29" spans="1:15" s="111" customFormat="1" ht="14.25" x14ac:dyDescent="0.3">
      <c r="A29" s="111" t="s">
        <v>187</v>
      </c>
      <c r="D29" s="111" t="s">
        <v>41</v>
      </c>
      <c r="E29" s="71">
        <v>604</v>
      </c>
      <c r="F29" s="71"/>
      <c r="G29" s="71">
        <v>138</v>
      </c>
    </row>
    <row r="30" spans="1:15" s="111" customFormat="1" ht="14.25" x14ac:dyDescent="0.3">
      <c r="A30" s="111" t="s">
        <v>45</v>
      </c>
    </row>
    <row r="31" spans="1:15" s="111" customFormat="1" ht="14.25" x14ac:dyDescent="0.3">
      <c r="A31" s="111" t="s">
        <v>47</v>
      </c>
      <c r="D31" s="111" t="s">
        <v>48</v>
      </c>
      <c r="E31" s="234">
        <v>74</v>
      </c>
      <c r="G31" s="71">
        <v>925</v>
      </c>
      <c r="I31" s="228" t="s">
        <v>455</v>
      </c>
      <c r="J31" s="292">
        <v>0.63</v>
      </c>
    </row>
    <row r="32" spans="1:15" s="111" customFormat="1" ht="14.25" x14ac:dyDescent="0.3">
      <c r="A32" s="111" t="s">
        <v>50</v>
      </c>
      <c r="D32" s="111" t="s">
        <v>48</v>
      </c>
      <c r="E32" s="71">
        <v>18</v>
      </c>
      <c r="I32" s="228" t="s">
        <v>456</v>
      </c>
      <c r="J32" s="292">
        <v>0.2</v>
      </c>
    </row>
    <row r="33" spans="1:10" s="111" customFormat="1" ht="14.25" x14ac:dyDescent="0.3">
      <c r="A33" s="111" t="s">
        <v>8</v>
      </c>
      <c r="E33" s="71">
        <f>SUM(E31:E32)</f>
        <v>92</v>
      </c>
      <c r="I33" s="228" t="s">
        <v>457</v>
      </c>
      <c r="J33" s="292">
        <v>0.1</v>
      </c>
    </row>
    <row r="34" spans="1:10" s="111" customFormat="1" ht="14.25" x14ac:dyDescent="0.3">
      <c r="A34" s="211" t="s">
        <v>137</v>
      </c>
      <c r="B34" s="211"/>
      <c r="C34" s="211" t="s">
        <v>101</v>
      </c>
      <c r="D34" s="211"/>
      <c r="E34" s="211"/>
      <c r="F34" s="211"/>
      <c r="G34" s="211"/>
      <c r="I34" s="228" t="s">
        <v>458</v>
      </c>
      <c r="J34" s="292">
        <v>7.0000000000000007E-2</v>
      </c>
    </row>
    <row r="35" spans="1:10" s="111" customFormat="1" ht="14.25" x14ac:dyDescent="0.3">
      <c r="A35" s="88" t="s">
        <v>102</v>
      </c>
      <c r="B35" s="89" t="s">
        <v>301</v>
      </c>
      <c r="C35" s="233">
        <v>58</v>
      </c>
      <c r="D35" s="88" t="s">
        <v>41</v>
      </c>
      <c r="E35" s="234">
        <v>61</v>
      </c>
      <c r="F35" s="88"/>
      <c r="G35" s="234">
        <v>26</v>
      </c>
    </row>
    <row r="36" spans="1:10" s="111" customFormat="1" ht="14.25" x14ac:dyDescent="0.3">
      <c r="A36" s="88"/>
      <c r="B36" s="89" t="s">
        <v>138</v>
      </c>
      <c r="C36" s="233">
        <v>90</v>
      </c>
      <c r="D36" s="88" t="s">
        <v>41</v>
      </c>
      <c r="E36" s="234">
        <v>53</v>
      </c>
      <c r="F36" s="88"/>
      <c r="G36" s="234">
        <v>24</v>
      </c>
    </row>
    <row r="37" spans="1:10" s="111" customFormat="1" ht="14.25" x14ac:dyDescent="0.3">
      <c r="A37" s="88"/>
      <c r="B37" s="89" t="s">
        <v>429</v>
      </c>
      <c r="C37" s="233">
        <v>80</v>
      </c>
      <c r="D37" s="88" t="s">
        <v>459</v>
      </c>
      <c r="E37" s="234">
        <v>1</v>
      </c>
      <c r="F37" s="88"/>
      <c r="G37" s="234">
        <v>11607</v>
      </c>
    </row>
    <row r="38" spans="1:10" s="111" customFormat="1" ht="14.25" x14ac:dyDescent="0.3">
      <c r="A38" s="111" t="s">
        <v>302</v>
      </c>
      <c r="B38" s="89" t="s">
        <v>460</v>
      </c>
      <c r="C38" s="233">
        <v>98</v>
      </c>
      <c r="D38" s="88" t="s">
        <v>41</v>
      </c>
      <c r="E38" s="234">
        <v>101</v>
      </c>
      <c r="F38" s="88"/>
      <c r="G38" s="234">
        <v>26</v>
      </c>
    </row>
    <row r="39" spans="1:10" s="111" customFormat="1" ht="14.25" x14ac:dyDescent="0.3">
      <c r="A39" s="88"/>
      <c r="B39" s="89" t="s">
        <v>461</v>
      </c>
      <c r="C39" s="233">
        <v>40</v>
      </c>
      <c r="D39" s="88" t="s">
        <v>41</v>
      </c>
      <c r="E39" s="234">
        <v>84</v>
      </c>
      <c r="F39" s="88"/>
      <c r="G39" s="234">
        <v>26</v>
      </c>
    </row>
    <row r="40" spans="1:10" s="111" customFormat="1" ht="14.25" x14ac:dyDescent="0.3">
      <c r="A40" s="211" t="s">
        <v>51</v>
      </c>
      <c r="B40" s="211"/>
      <c r="C40" s="211"/>
      <c r="D40" s="211"/>
      <c r="E40" s="211"/>
      <c r="F40" s="211"/>
      <c r="G40" s="293" t="s">
        <v>194</v>
      </c>
      <c r="H40" s="236" t="s">
        <v>195</v>
      </c>
    </row>
    <row r="41" spans="1:10" s="111" customFormat="1" ht="14.25" x14ac:dyDescent="0.3">
      <c r="A41" s="88" t="s">
        <v>54</v>
      </c>
      <c r="B41" s="88"/>
      <c r="C41" s="88"/>
      <c r="D41" s="88"/>
      <c r="E41" s="88"/>
      <c r="F41" s="88"/>
      <c r="G41" s="98">
        <v>3936</v>
      </c>
      <c r="H41" s="71">
        <v>9726</v>
      </c>
    </row>
    <row r="42" spans="1:10" s="111" customFormat="1" ht="14.25" x14ac:dyDescent="0.3">
      <c r="A42" s="88" t="s">
        <v>55</v>
      </c>
      <c r="B42" s="88"/>
      <c r="C42" s="88"/>
      <c r="D42" s="88"/>
      <c r="E42" s="88"/>
      <c r="F42" s="88"/>
      <c r="G42" s="99">
        <v>78</v>
      </c>
      <c r="H42" s="71"/>
    </row>
    <row r="43" spans="1:10" s="111" customFormat="1" ht="14.25" x14ac:dyDescent="0.3">
      <c r="A43" s="88" t="s">
        <v>56</v>
      </c>
      <c r="B43" s="88"/>
      <c r="C43" s="88"/>
      <c r="D43" s="88"/>
      <c r="E43" s="88"/>
      <c r="F43" s="88"/>
      <c r="G43" s="99">
        <f>SUM(G41*G42)</f>
        <v>307008</v>
      </c>
      <c r="H43" s="71">
        <v>758617</v>
      </c>
    </row>
    <row r="44" spans="1:10" s="111" customFormat="1" ht="14.25" x14ac:dyDescent="0.3">
      <c r="A44" s="88" t="s">
        <v>57</v>
      </c>
      <c r="B44" s="88"/>
      <c r="C44" s="88"/>
      <c r="D44" s="88"/>
      <c r="E44" s="88"/>
      <c r="F44" s="88"/>
      <c r="G44" s="99">
        <f>SUM(G43-K21)</f>
        <v>100223</v>
      </c>
      <c r="H44" s="71">
        <v>247651</v>
      </c>
    </row>
    <row r="45" spans="1:10" s="111" customFormat="1" ht="14.25" x14ac:dyDescent="0.3">
      <c r="A45" s="88" t="s">
        <v>58</v>
      </c>
      <c r="B45" s="88"/>
      <c r="C45" s="88"/>
      <c r="D45" s="88"/>
      <c r="E45" s="88"/>
      <c r="F45" s="88"/>
      <c r="G45" s="99">
        <f>SUM(G43-K22)</f>
        <v>117259</v>
      </c>
      <c r="H45" s="71">
        <v>289747</v>
      </c>
    </row>
    <row r="46" spans="1:10" s="111" customFormat="1" ht="14.25" x14ac:dyDescent="0.3">
      <c r="A46" s="88" t="s">
        <v>59</v>
      </c>
      <c r="B46" s="88"/>
      <c r="C46" s="88"/>
      <c r="D46" s="88"/>
      <c r="E46" s="88"/>
      <c r="F46" s="88"/>
      <c r="G46" s="99">
        <f>SUM(K21/G41)</f>
        <v>52.536839430894311</v>
      </c>
    </row>
    <row r="47" spans="1:10" s="111" customFormat="1" ht="14.25" x14ac:dyDescent="0.3">
      <c r="A47" s="212" t="s">
        <v>60</v>
      </c>
      <c r="B47" s="212"/>
      <c r="C47" s="212"/>
      <c r="D47" s="212"/>
      <c r="E47" s="212"/>
      <c r="F47" s="212"/>
      <c r="G47" s="239">
        <f>SUM(K22/G41)</f>
        <v>48.208587398373986</v>
      </c>
    </row>
    <row r="48" spans="1:10" s="111" customFormat="1" ht="14.25" x14ac:dyDescent="0.3"/>
    <row r="49" spans="1:1" s="111" customFormat="1" ht="14.25" x14ac:dyDescent="0.3">
      <c r="A49" s="111" t="s">
        <v>170</v>
      </c>
    </row>
    <row r="50" spans="1:1" s="111" customFormat="1" ht="14.25" x14ac:dyDescent="0.3"/>
    <row r="51" spans="1:1" s="111" customFormat="1" ht="14.25" x14ac:dyDescent="0.3"/>
    <row r="52" spans="1:1" s="111" customFormat="1" ht="14.25" x14ac:dyDescent="0.3"/>
    <row r="53" spans="1:1" s="111" customFormat="1" ht="14.25" x14ac:dyDescent="0.3"/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55"/>
  <sheetViews>
    <sheetView workbookViewId="0">
      <selection sqref="A1:A4"/>
    </sheetView>
  </sheetViews>
  <sheetFormatPr defaultRowHeight="15" x14ac:dyDescent="0.25"/>
  <sheetData>
    <row r="1" spans="1:13" x14ac:dyDescent="0.25">
      <c r="A1" s="3" t="s">
        <v>63</v>
      </c>
      <c r="B1" s="159" t="s">
        <v>476</v>
      </c>
      <c r="D1" s="8"/>
      <c r="E1" s="8"/>
      <c r="F1" s="8"/>
      <c r="G1" s="8"/>
      <c r="H1" s="8"/>
      <c r="I1" s="8"/>
    </row>
    <row r="2" spans="1:13" x14ac:dyDescent="0.25">
      <c r="A2" s="3" t="s">
        <v>0</v>
      </c>
      <c r="B2" s="159" t="s">
        <v>477</v>
      </c>
      <c r="D2" s="8"/>
      <c r="E2" s="8"/>
      <c r="F2" s="8"/>
      <c r="G2" s="8"/>
      <c r="H2" s="8"/>
      <c r="I2" s="8"/>
    </row>
    <row r="3" spans="1:13" x14ac:dyDescent="0.25">
      <c r="A3" s="3" t="s">
        <v>2</v>
      </c>
      <c r="B3" s="159" t="s">
        <v>478</v>
      </c>
    </row>
    <row r="4" spans="1:13" x14ac:dyDescent="0.25">
      <c r="A4" s="3" t="s">
        <v>4</v>
      </c>
      <c r="B4" s="159" t="s">
        <v>475</v>
      </c>
    </row>
    <row r="5" spans="1:13" s="204" customFormat="1" ht="12.75" x14ac:dyDescent="0.25">
      <c r="A5" s="201" t="s">
        <v>6</v>
      </c>
      <c r="B5" s="201"/>
      <c r="C5" s="201"/>
      <c r="D5" s="202" t="s">
        <v>7</v>
      </c>
      <c r="E5" s="202" t="s">
        <v>8</v>
      </c>
      <c r="F5" s="202" t="s">
        <v>9</v>
      </c>
      <c r="G5" s="202" t="s">
        <v>10</v>
      </c>
      <c r="H5" s="202" t="s">
        <v>11</v>
      </c>
      <c r="I5" s="202" t="s">
        <v>12</v>
      </c>
      <c r="J5" s="202" t="s">
        <v>13</v>
      </c>
      <c r="K5" s="202" t="s">
        <v>14</v>
      </c>
      <c r="L5" s="203" t="s">
        <v>15</v>
      </c>
      <c r="M5" s="202"/>
    </row>
    <row r="6" spans="1:13" s="204" customFormat="1" ht="12.75" x14ac:dyDescent="0.25">
      <c r="A6" s="205"/>
      <c r="B6" s="205"/>
      <c r="C6" s="205"/>
      <c r="D6" s="206" t="s">
        <v>16</v>
      </c>
      <c r="E6" s="206" t="s">
        <v>17</v>
      </c>
      <c r="F6" s="206" t="s">
        <v>17</v>
      </c>
      <c r="G6" s="206" t="s">
        <v>18</v>
      </c>
      <c r="H6" s="206" t="s">
        <v>19</v>
      </c>
      <c r="I6" s="206" t="s">
        <v>20</v>
      </c>
      <c r="J6" s="206" t="s">
        <v>19</v>
      </c>
      <c r="K6" s="206" t="s">
        <v>19</v>
      </c>
      <c r="L6" s="206" t="s">
        <v>12</v>
      </c>
      <c r="M6" s="206" t="s">
        <v>13</v>
      </c>
    </row>
    <row r="7" spans="1:13" s="204" customFormat="1" ht="12.75" x14ac:dyDescent="0.25">
      <c r="A7" s="205"/>
      <c r="B7" s="205"/>
      <c r="C7" s="205"/>
      <c r="D7" s="206" t="s">
        <v>21</v>
      </c>
      <c r="E7" s="206"/>
      <c r="F7" s="206"/>
      <c r="G7" s="206"/>
      <c r="H7" s="206" t="s">
        <v>22</v>
      </c>
      <c r="I7" s="206" t="s">
        <v>19</v>
      </c>
      <c r="J7" s="206" t="s">
        <v>22</v>
      </c>
      <c r="K7" s="206" t="s">
        <v>22</v>
      </c>
      <c r="L7" s="206"/>
      <c r="M7" s="206"/>
    </row>
    <row r="8" spans="1:13" s="204" customFormat="1" ht="12.75" x14ac:dyDescent="0.25">
      <c r="A8" s="207"/>
      <c r="B8" s="207"/>
      <c r="C8" s="207"/>
      <c r="D8" s="208"/>
      <c r="E8" s="208"/>
      <c r="F8" s="208"/>
      <c r="G8" s="208"/>
      <c r="H8" s="208"/>
      <c r="I8" s="208" t="s">
        <v>22</v>
      </c>
      <c r="J8" s="208"/>
      <c r="K8" s="208"/>
      <c r="L8" s="208"/>
      <c r="M8" s="208"/>
    </row>
    <row r="9" spans="1:13" s="8" customFormat="1" ht="12.75" x14ac:dyDescent="0.25">
      <c r="A9" s="8" t="s">
        <v>465</v>
      </c>
      <c r="D9" s="294">
        <v>100</v>
      </c>
      <c r="E9" s="166"/>
      <c r="F9" s="166"/>
      <c r="G9" s="167"/>
      <c r="H9" s="166">
        <f t="shared" ref="H9:H19" si="0">SUM(E9*G9)</f>
        <v>0</v>
      </c>
      <c r="I9" s="166">
        <v>7722</v>
      </c>
      <c r="J9" s="166"/>
      <c r="K9" s="166">
        <f t="shared" ref="K9:K19" si="1">SUM(H9:J9)</f>
        <v>7722</v>
      </c>
      <c r="L9" s="166"/>
      <c r="M9" s="166"/>
    </row>
    <row r="10" spans="1:13" s="8" customFormat="1" ht="12.75" x14ac:dyDescent="0.25">
      <c r="A10" s="8" t="s">
        <v>386</v>
      </c>
      <c r="D10" s="294">
        <v>100</v>
      </c>
      <c r="E10" s="166">
        <v>8.43</v>
      </c>
      <c r="F10" s="166">
        <v>2.33</v>
      </c>
      <c r="G10" s="167">
        <v>1000</v>
      </c>
      <c r="H10" s="166">
        <f t="shared" si="0"/>
        <v>8430</v>
      </c>
      <c r="I10" s="166"/>
      <c r="J10" s="166"/>
      <c r="K10" s="166">
        <f t="shared" si="1"/>
        <v>8430</v>
      </c>
      <c r="L10" s="166"/>
      <c r="M10" s="166"/>
    </row>
    <row r="11" spans="1:13" s="8" customFormat="1" ht="12.75" x14ac:dyDescent="0.25">
      <c r="A11" s="8" t="s">
        <v>466</v>
      </c>
      <c r="D11" s="294">
        <v>100</v>
      </c>
      <c r="E11" s="166">
        <v>13.39</v>
      </c>
      <c r="F11" s="166">
        <v>2.23</v>
      </c>
      <c r="G11" s="167">
        <v>827.5</v>
      </c>
      <c r="H11" s="166">
        <v>11080</v>
      </c>
      <c r="I11" s="166"/>
      <c r="J11" s="166">
        <f>SUM(E27*G27)</f>
        <v>78244</v>
      </c>
      <c r="K11" s="166">
        <f t="shared" si="1"/>
        <v>89324</v>
      </c>
      <c r="L11" s="166"/>
      <c r="M11" s="166"/>
    </row>
    <row r="12" spans="1:13" s="8" customFormat="1" ht="12.75" x14ac:dyDescent="0.25">
      <c r="A12" s="8" t="s">
        <v>120</v>
      </c>
      <c r="D12" s="294">
        <v>100</v>
      </c>
      <c r="E12" s="166">
        <v>4.0999999999999996</v>
      </c>
      <c r="F12" s="166">
        <v>2.0699999999999998</v>
      </c>
      <c r="G12" s="167">
        <v>1041.18</v>
      </c>
      <c r="H12" s="166">
        <v>4269</v>
      </c>
      <c r="I12" s="166"/>
      <c r="J12" s="166">
        <f>SUM((E37*G37)+(E38*G38)+(E39*G39)+(E41*G41))</f>
        <v>18680</v>
      </c>
      <c r="K12" s="166">
        <f t="shared" si="1"/>
        <v>22949</v>
      </c>
      <c r="L12" s="166"/>
      <c r="M12" s="166"/>
    </row>
    <row r="13" spans="1:13" s="8" customFormat="1" ht="12.75" x14ac:dyDescent="0.25">
      <c r="A13" s="8" t="s">
        <v>467</v>
      </c>
      <c r="D13" s="294">
        <v>100</v>
      </c>
      <c r="E13" s="166">
        <v>10.91</v>
      </c>
      <c r="F13" s="166">
        <v>4.5</v>
      </c>
      <c r="G13" s="167">
        <v>912.5</v>
      </c>
      <c r="H13" s="166">
        <v>9955</v>
      </c>
      <c r="I13" s="166"/>
      <c r="J13" s="166"/>
      <c r="K13" s="166">
        <f t="shared" si="1"/>
        <v>9955</v>
      </c>
      <c r="L13" s="166"/>
      <c r="M13" s="166"/>
    </row>
    <row r="14" spans="1:13" s="8" customFormat="1" ht="12.75" x14ac:dyDescent="0.25">
      <c r="A14" s="8" t="s">
        <v>225</v>
      </c>
      <c r="D14" s="294">
        <v>90</v>
      </c>
      <c r="E14" s="166">
        <v>1.48</v>
      </c>
      <c r="F14" s="166">
        <v>0.81</v>
      </c>
      <c r="G14" s="167">
        <v>1272.73</v>
      </c>
      <c r="H14" s="166">
        <v>1884</v>
      </c>
      <c r="I14" s="166"/>
      <c r="J14" s="166">
        <v>1969</v>
      </c>
      <c r="K14" s="166">
        <f t="shared" si="1"/>
        <v>3853</v>
      </c>
      <c r="L14" s="166"/>
      <c r="M14" s="166"/>
    </row>
    <row r="15" spans="1:13" s="8" customFormat="1" ht="12.75" x14ac:dyDescent="0.25">
      <c r="A15" s="8" t="s">
        <v>27</v>
      </c>
      <c r="D15" s="294">
        <v>96</v>
      </c>
      <c r="E15" s="166">
        <v>3.42</v>
      </c>
      <c r="F15" s="166">
        <v>1.33</v>
      </c>
      <c r="G15" s="167">
        <v>1182.3499999999999</v>
      </c>
      <c r="H15" s="166">
        <v>4043</v>
      </c>
      <c r="I15" s="166"/>
      <c r="J15" s="166">
        <v>7173</v>
      </c>
      <c r="K15" s="166">
        <f t="shared" si="1"/>
        <v>11216</v>
      </c>
      <c r="L15" s="166"/>
      <c r="M15" s="166"/>
    </row>
    <row r="16" spans="1:13" s="8" customFormat="1" ht="12.75" x14ac:dyDescent="0.25">
      <c r="A16" s="8" t="s">
        <v>122</v>
      </c>
      <c r="D16" s="294">
        <v>100</v>
      </c>
      <c r="E16" s="166">
        <v>18.600000000000001</v>
      </c>
      <c r="F16" s="166">
        <v>13.8</v>
      </c>
      <c r="G16" s="167">
        <v>960</v>
      </c>
      <c r="H16" s="166">
        <f t="shared" si="0"/>
        <v>17856</v>
      </c>
      <c r="I16" s="166">
        <v>12603</v>
      </c>
      <c r="J16" s="166"/>
      <c r="K16" s="166">
        <f t="shared" si="1"/>
        <v>30459</v>
      </c>
      <c r="L16" s="166"/>
      <c r="M16" s="166"/>
    </row>
    <row r="17" spans="1:13" s="8" customFormat="1" ht="12.75" x14ac:dyDescent="0.25">
      <c r="A17" s="8" t="s">
        <v>159</v>
      </c>
      <c r="D17" s="294">
        <v>100</v>
      </c>
      <c r="E17" s="166">
        <v>13.54</v>
      </c>
      <c r="F17" s="166">
        <v>5.8</v>
      </c>
      <c r="G17" s="167">
        <v>625.86</v>
      </c>
      <c r="H17" s="166">
        <v>8474</v>
      </c>
      <c r="I17" s="166"/>
      <c r="J17" s="166"/>
      <c r="K17" s="166">
        <f t="shared" si="1"/>
        <v>8474</v>
      </c>
      <c r="L17" s="166"/>
      <c r="M17" s="166"/>
    </row>
    <row r="18" spans="1:13" s="8" customFormat="1" ht="12.75" x14ac:dyDescent="0.25">
      <c r="A18" s="8" t="s">
        <v>468</v>
      </c>
      <c r="D18" s="294">
        <v>94</v>
      </c>
      <c r="E18" s="166">
        <v>18.84</v>
      </c>
      <c r="F18" s="166">
        <v>5.2</v>
      </c>
      <c r="G18" s="167">
        <v>700</v>
      </c>
      <c r="H18" s="166">
        <f t="shared" si="0"/>
        <v>13188</v>
      </c>
      <c r="I18" s="166"/>
      <c r="J18" s="166"/>
      <c r="K18" s="166">
        <f t="shared" si="1"/>
        <v>13188</v>
      </c>
      <c r="L18" s="166"/>
      <c r="M18" s="166"/>
    </row>
    <row r="19" spans="1:13" s="8" customFormat="1" ht="12.75" x14ac:dyDescent="0.25">
      <c r="A19" s="8" t="s">
        <v>469</v>
      </c>
      <c r="D19" s="165">
        <v>42</v>
      </c>
      <c r="E19" s="166">
        <v>1</v>
      </c>
      <c r="F19" s="166">
        <v>0.8</v>
      </c>
      <c r="G19" s="167">
        <v>800</v>
      </c>
      <c r="H19" s="166">
        <f t="shared" si="0"/>
        <v>800</v>
      </c>
      <c r="I19" s="166">
        <v>2161</v>
      </c>
      <c r="J19" s="166"/>
      <c r="K19" s="166">
        <f t="shared" si="1"/>
        <v>2961</v>
      </c>
      <c r="L19" s="166"/>
      <c r="M19" s="166"/>
    </row>
    <row r="20" spans="1:13" s="8" customFormat="1" ht="12.75" x14ac:dyDescent="0.25">
      <c r="A20" s="5" t="s">
        <v>30</v>
      </c>
      <c r="B20" s="5"/>
      <c r="C20" s="5"/>
      <c r="D20" s="176"/>
      <c r="E20" s="177">
        <f>SUM(E9:E19)</f>
        <v>93.710000000000008</v>
      </c>
      <c r="F20" s="177">
        <f>SUM(F9:F19)</f>
        <v>38.869999999999997</v>
      </c>
      <c r="G20" s="177"/>
      <c r="H20" s="177">
        <f>SUM(H9:H19)</f>
        <v>79979</v>
      </c>
      <c r="I20" s="177">
        <f>SUM(I9:I19)</f>
        <v>22486</v>
      </c>
      <c r="J20" s="177">
        <f>SUM(J9:J19)</f>
        <v>106066</v>
      </c>
      <c r="K20" s="177">
        <f>SUM(H20:J20)</f>
        <v>208531</v>
      </c>
      <c r="L20" s="177">
        <f>SUM(L9:L19)</f>
        <v>0</v>
      </c>
      <c r="M20" s="177">
        <f>SUM(M9:M19)</f>
        <v>0</v>
      </c>
    </row>
    <row r="21" spans="1:13" s="8" customFormat="1" ht="12.75" x14ac:dyDescent="0.25">
      <c r="A21" s="7" t="s">
        <v>31</v>
      </c>
      <c r="B21" s="7"/>
      <c r="C21" s="7"/>
      <c r="D21" s="178"/>
      <c r="E21" s="179">
        <f>SUM(E20-F20)</f>
        <v>54.840000000000011</v>
      </c>
      <c r="F21" s="179"/>
      <c r="G21" s="179"/>
      <c r="H21" s="179">
        <f>SUM(E32*G32)</f>
        <v>44550</v>
      </c>
      <c r="I21" s="179">
        <f>I20-L20</f>
        <v>22486</v>
      </c>
      <c r="J21" s="179">
        <f>J20-M20</f>
        <v>106066</v>
      </c>
      <c r="K21" s="179">
        <f>SUM(H21:J21)</f>
        <v>173102</v>
      </c>
      <c r="L21" s="163"/>
      <c r="M21" s="163"/>
    </row>
    <row r="22" spans="1:13" s="8" customFormat="1" ht="12.75" x14ac:dyDescent="0.25">
      <c r="D22" s="61"/>
      <c r="E22" s="61"/>
      <c r="F22" s="61"/>
      <c r="G22" s="61"/>
      <c r="H22" s="61"/>
      <c r="I22" s="61"/>
      <c r="J22" s="61"/>
      <c r="K22" s="61"/>
      <c r="L22" s="61"/>
      <c r="M22" s="61"/>
    </row>
    <row r="23" spans="1:13" s="8" customFormat="1" ht="12.75" x14ac:dyDescent="0.25">
      <c r="C23" s="8" t="s">
        <v>32</v>
      </c>
      <c r="D23" s="61"/>
      <c r="E23" s="61"/>
      <c r="F23" s="61"/>
      <c r="G23" s="61"/>
      <c r="H23" s="61"/>
      <c r="I23" s="61"/>
      <c r="J23" s="61"/>
      <c r="K23" s="61"/>
      <c r="L23" s="61"/>
      <c r="M23" s="61"/>
    </row>
    <row r="24" spans="1:13" s="8" customFormat="1" ht="12.75" x14ac:dyDescent="0.25">
      <c r="D24" s="61"/>
      <c r="E24" s="61"/>
      <c r="F24" s="61"/>
      <c r="G24" s="61"/>
      <c r="H24" s="61"/>
      <c r="I24" s="61"/>
      <c r="J24" s="61"/>
      <c r="K24" s="61"/>
      <c r="L24" s="61"/>
      <c r="M24" s="61"/>
    </row>
    <row r="25" spans="1:13" s="8" customFormat="1" ht="12.75" x14ac:dyDescent="0.25">
      <c r="A25" s="8" t="s">
        <v>35</v>
      </c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</row>
    <row r="26" spans="1:13" s="8" customFormat="1" ht="12.75" x14ac:dyDescent="0.25">
      <c r="A26" s="18" t="s">
        <v>36</v>
      </c>
      <c r="B26" s="18"/>
      <c r="C26" s="183"/>
      <c r="D26" s="183" t="s">
        <v>37</v>
      </c>
      <c r="E26" s="183" t="s">
        <v>38</v>
      </c>
      <c r="F26" s="183"/>
      <c r="G26" s="183" t="s">
        <v>39</v>
      </c>
      <c r="H26" s="61"/>
      <c r="I26" s="61"/>
      <c r="J26" s="61"/>
      <c r="K26" s="61"/>
      <c r="L26" s="61"/>
      <c r="M26" s="61"/>
    </row>
    <row r="27" spans="1:13" s="8" customFormat="1" ht="12.75" x14ac:dyDescent="0.25">
      <c r="A27" s="8" t="s">
        <v>40</v>
      </c>
      <c r="C27" s="61"/>
      <c r="D27" s="61" t="s">
        <v>41</v>
      </c>
      <c r="E27" s="166">
        <v>631</v>
      </c>
      <c r="F27" s="166"/>
      <c r="G27" s="166">
        <v>124</v>
      </c>
      <c r="H27" s="61"/>
      <c r="I27" s="61"/>
      <c r="J27" s="295" t="s">
        <v>72</v>
      </c>
      <c r="K27" s="296" t="s">
        <v>134</v>
      </c>
      <c r="L27" s="61"/>
      <c r="M27" s="61"/>
    </row>
    <row r="28" spans="1:13" s="8" customFormat="1" ht="12.75" x14ac:dyDescent="0.25">
      <c r="A28" s="8" t="s">
        <v>67</v>
      </c>
      <c r="C28" s="61"/>
      <c r="D28" s="61"/>
      <c r="E28" s="166"/>
      <c r="F28" s="166"/>
      <c r="G28" s="166"/>
      <c r="H28" s="61"/>
      <c r="I28" s="61"/>
      <c r="J28" s="297" t="s">
        <v>470</v>
      </c>
      <c r="K28" s="298">
        <v>100</v>
      </c>
      <c r="L28" s="61"/>
      <c r="M28" s="61"/>
    </row>
    <row r="29" spans="1:13" s="8" customFormat="1" ht="12.75" x14ac:dyDescent="0.25">
      <c r="C29" s="61"/>
      <c r="D29" s="61"/>
      <c r="E29" s="166"/>
      <c r="F29" s="166"/>
      <c r="G29" s="166"/>
      <c r="H29" s="61"/>
      <c r="I29" s="61"/>
      <c r="J29" s="299"/>
      <c r="K29" s="300"/>
      <c r="L29" s="61"/>
      <c r="M29" s="61"/>
    </row>
    <row r="30" spans="1:13" s="8" customFormat="1" ht="12.75" x14ac:dyDescent="0.25">
      <c r="C30" s="61"/>
      <c r="D30" s="61"/>
      <c r="E30" s="166"/>
      <c r="F30" s="166"/>
      <c r="G30" s="166"/>
      <c r="H30" s="61"/>
      <c r="I30" s="61"/>
      <c r="J30" s="299"/>
      <c r="K30" s="300"/>
      <c r="L30" s="61"/>
      <c r="M30" s="61"/>
    </row>
    <row r="31" spans="1:13" s="8" customFormat="1" ht="12.75" x14ac:dyDescent="0.25">
      <c r="A31" s="8" t="s">
        <v>45</v>
      </c>
      <c r="C31" s="61"/>
      <c r="D31" s="61"/>
      <c r="E31" s="166"/>
      <c r="F31" s="166"/>
      <c r="G31" s="166"/>
      <c r="H31" s="61"/>
      <c r="I31" s="61"/>
      <c r="J31" s="297" t="s">
        <v>408</v>
      </c>
      <c r="K31" s="298">
        <v>1.6</v>
      </c>
      <c r="L31" s="61"/>
      <c r="M31" s="61"/>
    </row>
    <row r="32" spans="1:13" s="8" customFormat="1" ht="13.5" x14ac:dyDescent="0.25">
      <c r="A32" s="8" t="s">
        <v>47</v>
      </c>
      <c r="C32" s="61"/>
      <c r="D32" s="61" t="s">
        <v>48</v>
      </c>
      <c r="E32" s="166">
        <v>55</v>
      </c>
      <c r="F32" s="166"/>
      <c r="G32" s="166">
        <v>810</v>
      </c>
      <c r="H32" s="61"/>
      <c r="I32" s="301"/>
      <c r="J32" s="297" t="s">
        <v>314</v>
      </c>
      <c r="K32" s="302">
        <v>1</v>
      </c>
      <c r="L32" s="61"/>
      <c r="M32" s="61"/>
    </row>
    <row r="33" spans="1:13" s="8" customFormat="1" ht="13.5" x14ac:dyDescent="0.25">
      <c r="A33" s="8" t="s">
        <v>50</v>
      </c>
      <c r="C33" s="61"/>
      <c r="D33" s="61" t="s">
        <v>48</v>
      </c>
      <c r="E33" s="166">
        <v>39</v>
      </c>
      <c r="F33" s="166"/>
      <c r="G33" s="166"/>
      <c r="H33" s="61"/>
      <c r="I33" s="301"/>
      <c r="J33" s="301"/>
      <c r="K33" s="301"/>
      <c r="L33" s="61"/>
      <c r="M33" s="61"/>
    </row>
    <row r="34" spans="1:13" s="8" customFormat="1" ht="13.5" x14ac:dyDescent="0.25">
      <c r="A34" s="8" t="s">
        <v>8</v>
      </c>
      <c r="C34" s="61"/>
      <c r="D34" s="61"/>
      <c r="E34" s="166">
        <f>SUM(E32:E33)</f>
        <v>94</v>
      </c>
      <c r="F34" s="166"/>
      <c r="G34" s="166"/>
      <c r="H34" s="61"/>
      <c r="I34" s="301"/>
      <c r="J34" s="301"/>
      <c r="K34" s="301"/>
      <c r="L34" s="61"/>
      <c r="M34" s="61"/>
    </row>
    <row r="35" spans="1:13" s="8" customFormat="1" ht="13.5" x14ac:dyDescent="0.25">
      <c r="C35" s="61"/>
      <c r="D35" s="61"/>
      <c r="E35" s="61"/>
      <c r="F35" s="61"/>
      <c r="G35" s="61"/>
      <c r="H35" s="61"/>
      <c r="I35" s="301"/>
      <c r="J35" s="301"/>
      <c r="L35" s="61"/>
      <c r="M35" s="61"/>
    </row>
    <row r="36" spans="1:13" s="8" customFormat="1" ht="13.5" x14ac:dyDescent="0.25">
      <c r="A36" s="5" t="s">
        <v>137</v>
      </c>
      <c r="B36" s="5"/>
      <c r="C36" s="160" t="s">
        <v>101</v>
      </c>
      <c r="D36" s="160"/>
      <c r="E36" s="160"/>
      <c r="F36" s="160"/>
      <c r="G36" s="160"/>
      <c r="H36" s="61"/>
      <c r="I36" s="301"/>
      <c r="K36" s="61"/>
      <c r="L36" s="61"/>
      <c r="M36" s="61"/>
    </row>
    <row r="37" spans="1:13" s="8" customFormat="1" ht="13.5" x14ac:dyDescent="0.25">
      <c r="A37" s="6"/>
      <c r="B37" s="6" t="s">
        <v>103</v>
      </c>
      <c r="C37" s="194" t="s">
        <v>471</v>
      </c>
      <c r="D37" s="162" t="s">
        <v>41</v>
      </c>
      <c r="E37" s="166">
        <v>64</v>
      </c>
      <c r="F37" s="195"/>
      <c r="G37" s="195">
        <v>24</v>
      </c>
      <c r="H37" s="61"/>
      <c r="I37" s="301"/>
      <c r="K37" s="61"/>
      <c r="L37" s="61"/>
      <c r="M37" s="61"/>
    </row>
    <row r="38" spans="1:13" s="8" customFormat="1" ht="13.5" x14ac:dyDescent="0.25">
      <c r="A38" s="6"/>
      <c r="B38" s="6" t="s">
        <v>104</v>
      </c>
      <c r="C38" s="194" t="s">
        <v>472</v>
      </c>
      <c r="D38" s="162" t="s">
        <v>41</v>
      </c>
      <c r="E38" s="166">
        <v>44</v>
      </c>
      <c r="F38" s="195"/>
      <c r="G38" s="303">
        <v>26</v>
      </c>
      <c r="H38" s="61"/>
      <c r="I38" s="301"/>
      <c r="K38" s="61"/>
      <c r="L38" s="61"/>
      <c r="M38" s="61"/>
    </row>
    <row r="39" spans="1:13" s="8" customFormat="1" ht="13.5" x14ac:dyDescent="0.25">
      <c r="A39" s="6"/>
      <c r="B39" s="6" t="s">
        <v>105</v>
      </c>
      <c r="C39" s="194" t="s">
        <v>473</v>
      </c>
      <c r="D39" s="162" t="s">
        <v>41</v>
      </c>
      <c r="E39" s="166">
        <v>52</v>
      </c>
      <c r="F39" s="195"/>
      <c r="G39" s="195">
        <v>26</v>
      </c>
      <c r="H39" s="61"/>
      <c r="I39" s="195"/>
      <c r="J39" s="301"/>
      <c r="K39" s="61"/>
      <c r="L39" s="61"/>
      <c r="M39" s="61"/>
    </row>
    <row r="40" spans="1:13" s="8" customFormat="1" ht="13.5" x14ac:dyDescent="0.25">
      <c r="A40" s="6"/>
      <c r="B40" s="6"/>
      <c r="C40" s="304"/>
      <c r="D40" s="162"/>
      <c r="E40" s="166"/>
      <c r="F40" s="195"/>
      <c r="G40" s="195"/>
      <c r="H40" s="61"/>
      <c r="I40" s="195"/>
      <c r="J40" s="301"/>
      <c r="K40" s="61"/>
      <c r="L40" s="61"/>
      <c r="M40" s="61"/>
    </row>
    <row r="41" spans="1:13" s="8" customFormat="1" ht="13.5" x14ac:dyDescent="0.25">
      <c r="A41" s="6"/>
      <c r="B41" s="6" t="s">
        <v>429</v>
      </c>
      <c r="C41" s="304">
        <v>0.96</v>
      </c>
      <c r="D41" s="162" t="s">
        <v>474</v>
      </c>
      <c r="E41" s="166">
        <v>1.6</v>
      </c>
      <c r="F41" s="195"/>
      <c r="G41" s="195">
        <v>9155</v>
      </c>
      <c r="H41" s="61"/>
      <c r="I41" s="195"/>
      <c r="J41" s="301"/>
      <c r="K41" s="61"/>
      <c r="L41" s="61"/>
      <c r="M41" s="61"/>
    </row>
    <row r="42" spans="1:13" s="8" customFormat="1" ht="13.5" x14ac:dyDescent="0.25">
      <c r="A42" s="6"/>
      <c r="B42" s="6"/>
      <c r="C42" s="267"/>
      <c r="D42" s="162"/>
      <c r="E42" s="61"/>
      <c r="F42" s="195"/>
      <c r="G42" s="195"/>
      <c r="H42" s="61"/>
      <c r="I42" s="195"/>
      <c r="J42" s="301"/>
      <c r="K42" s="61"/>
      <c r="L42" s="61"/>
      <c r="M42" s="61"/>
    </row>
    <row r="43" spans="1:13" s="8" customFormat="1" ht="12.75" x14ac:dyDescent="0.25">
      <c r="A43" s="7"/>
      <c r="B43" s="6"/>
      <c r="C43" s="305"/>
      <c r="D43" s="7"/>
      <c r="E43" s="17"/>
      <c r="F43" s="17"/>
      <c r="G43" s="17"/>
    </row>
    <row r="44" spans="1:13" s="8" customFormat="1" ht="12.75" x14ac:dyDescent="0.25">
      <c r="A44" s="5" t="s">
        <v>51</v>
      </c>
      <c r="B44" s="5"/>
      <c r="C44" s="5"/>
      <c r="D44" s="5"/>
      <c r="E44" s="5"/>
      <c r="F44" s="5"/>
      <c r="G44" s="160"/>
      <c r="I44" s="8" t="s">
        <v>75</v>
      </c>
    </row>
    <row r="45" spans="1:13" s="8" customFormat="1" ht="12.75" x14ac:dyDescent="0.25">
      <c r="A45" s="6" t="s">
        <v>54</v>
      </c>
      <c r="B45" s="6"/>
      <c r="C45" s="6"/>
      <c r="D45" s="6"/>
      <c r="E45" s="6"/>
      <c r="F45" s="6"/>
      <c r="G45" s="196">
        <v>4594</v>
      </c>
      <c r="H45" s="31"/>
      <c r="I45" s="10">
        <v>11352</v>
      </c>
    </row>
    <row r="46" spans="1:13" s="8" customFormat="1" ht="12.75" x14ac:dyDescent="0.25">
      <c r="A46" s="6" t="s">
        <v>55</v>
      </c>
      <c r="B46" s="6"/>
      <c r="C46" s="6"/>
      <c r="D46" s="6"/>
      <c r="E46" s="6"/>
      <c r="F46" s="6"/>
      <c r="G46" s="197">
        <v>73</v>
      </c>
      <c r="I46" s="10"/>
    </row>
    <row r="47" spans="1:13" s="8" customFormat="1" ht="12.75" x14ac:dyDescent="0.25">
      <c r="A47" s="6" t="s">
        <v>56</v>
      </c>
      <c r="B47" s="6"/>
      <c r="C47" s="6"/>
      <c r="D47" s="6"/>
      <c r="E47" s="6"/>
      <c r="F47" s="6"/>
      <c r="G47" s="197">
        <f>SUM(G45*G46)</f>
        <v>335362</v>
      </c>
      <c r="I47" s="10">
        <v>828680</v>
      </c>
    </row>
    <row r="48" spans="1:13" s="8" customFormat="1" ht="12.75" x14ac:dyDescent="0.25">
      <c r="A48" s="6" t="s">
        <v>57</v>
      </c>
      <c r="B48" s="6"/>
      <c r="C48" s="6"/>
      <c r="D48" s="6"/>
      <c r="E48" s="6"/>
      <c r="F48" s="6"/>
      <c r="G48" s="197">
        <f>SUM(G47-K20)</f>
        <v>126831</v>
      </c>
      <c r="I48" s="10">
        <v>313399</v>
      </c>
    </row>
    <row r="49" spans="1:9" s="8" customFormat="1" ht="12.75" x14ac:dyDescent="0.25">
      <c r="A49" s="6" t="s">
        <v>58</v>
      </c>
      <c r="B49" s="6"/>
      <c r="C49" s="6"/>
      <c r="D49" s="6"/>
      <c r="E49" s="6"/>
      <c r="F49" s="6"/>
      <c r="G49" s="197">
        <f>SUM(G47-K21)</f>
        <v>162260</v>
      </c>
      <c r="I49" s="10">
        <v>400944</v>
      </c>
    </row>
    <row r="50" spans="1:9" s="8" customFormat="1" ht="12.75" x14ac:dyDescent="0.25">
      <c r="A50" s="6"/>
      <c r="B50" s="6"/>
      <c r="C50" s="6"/>
      <c r="D50" s="6"/>
      <c r="E50" s="6"/>
      <c r="F50" s="6"/>
      <c r="G50" s="197"/>
    </row>
    <row r="51" spans="1:9" s="8" customFormat="1" ht="12.75" x14ac:dyDescent="0.25">
      <c r="A51" s="6" t="s">
        <v>59</v>
      </c>
      <c r="B51" s="6"/>
      <c r="C51" s="6"/>
      <c r="D51" s="6"/>
      <c r="E51" s="6"/>
      <c r="F51" s="6"/>
      <c r="G51" s="197">
        <f>SUM(K20/G45)</f>
        <v>45.39203308663474</v>
      </c>
    </row>
    <row r="52" spans="1:9" s="8" customFormat="1" ht="12.75" x14ac:dyDescent="0.25">
      <c r="A52" s="7" t="s">
        <v>60</v>
      </c>
      <c r="B52" s="7"/>
      <c r="C52" s="7"/>
      <c r="D52" s="7"/>
      <c r="E52" s="7"/>
      <c r="F52" s="7"/>
      <c r="G52" s="198">
        <f>SUM(K21/G45)</f>
        <v>37.680017414018288</v>
      </c>
    </row>
    <row r="53" spans="1:9" s="8" customFormat="1" ht="12.75" x14ac:dyDescent="0.25"/>
    <row r="54" spans="1:9" s="8" customFormat="1" ht="13.5" x14ac:dyDescent="0.25">
      <c r="A54" s="34"/>
    </row>
    <row r="55" spans="1:9" s="8" customFormat="1" ht="12.75" x14ac:dyDescent="0.25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56"/>
  <sheetViews>
    <sheetView tabSelected="1" topLeftCell="B19" workbookViewId="0">
      <selection activeCell="N27" sqref="N27"/>
    </sheetView>
  </sheetViews>
  <sheetFormatPr defaultRowHeight="15" x14ac:dyDescent="0.25"/>
  <cols>
    <col min="2" max="2" width="17" customWidth="1"/>
  </cols>
  <sheetData>
    <row r="1" spans="1:13" x14ac:dyDescent="0.25">
      <c r="A1" s="3" t="s">
        <v>63</v>
      </c>
      <c r="B1" s="159" t="s">
        <v>490</v>
      </c>
      <c r="C1" s="306"/>
      <c r="D1" s="306"/>
      <c r="E1" s="306"/>
      <c r="F1" s="306"/>
      <c r="G1" s="306"/>
      <c r="H1" s="306"/>
    </row>
    <row r="2" spans="1:13" x14ac:dyDescent="0.25">
      <c r="A2" s="3" t="s">
        <v>0</v>
      </c>
      <c r="B2" s="159" t="s">
        <v>172</v>
      </c>
      <c r="C2" s="306"/>
      <c r="D2" s="306"/>
      <c r="E2" s="306"/>
      <c r="F2" s="306"/>
      <c r="G2" s="306"/>
      <c r="H2" s="306"/>
    </row>
    <row r="3" spans="1:13" x14ac:dyDescent="0.25">
      <c r="A3" s="3" t="s">
        <v>2</v>
      </c>
      <c r="B3" s="159" t="s">
        <v>491</v>
      </c>
      <c r="C3" s="306"/>
      <c r="D3" s="306"/>
      <c r="E3" s="306"/>
      <c r="F3" s="306"/>
      <c r="G3" s="306"/>
      <c r="H3" s="306"/>
    </row>
    <row r="4" spans="1:13" x14ac:dyDescent="0.25">
      <c r="A4" s="3" t="s">
        <v>4</v>
      </c>
      <c r="B4" s="159" t="s">
        <v>492</v>
      </c>
    </row>
    <row r="5" spans="1:13" s="62" customFormat="1" x14ac:dyDescent="0.25">
      <c r="A5" s="62" t="s">
        <v>6</v>
      </c>
      <c r="D5" s="62" t="s">
        <v>7</v>
      </c>
      <c r="E5" s="62" t="s">
        <v>8</v>
      </c>
      <c r="F5" s="62" t="s">
        <v>9</v>
      </c>
      <c r="G5" s="62" t="s">
        <v>10</v>
      </c>
      <c r="H5" s="62" t="s">
        <v>11</v>
      </c>
      <c r="I5" s="62" t="s">
        <v>12</v>
      </c>
      <c r="J5" s="62" t="s">
        <v>13</v>
      </c>
      <c r="K5" s="62" t="s">
        <v>14</v>
      </c>
      <c r="L5" s="62" t="s">
        <v>15</v>
      </c>
    </row>
    <row r="6" spans="1:13" s="62" customFormat="1" x14ac:dyDescent="0.25">
      <c r="D6" s="62" t="s">
        <v>16</v>
      </c>
      <c r="E6" s="62" t="s">
        <v>17</v>
      </c>
      <c r="F6" s="62" t="s">
        <v>17</v>
      </c>
      <c r="G6" s="62" t="s">
        <v>18</v>
      </c>
      <c r="H6" s="62" t="s">
        <v>19</v>
      </c>
      <c r="I6" s="62" t="s">
        <v>20</v>
      </c>
      <c r="J6" s="62" t="s">
        <v>19</v>
      </c>
      <c r="K6" s="62" t="s">
        <v>19</v>
      </c>
      <c r="L6" s="62" t="s">
        <v>12</v>
      </c>
      <c r="M6" s="62" t="s">
        <v>13</v>
      </c>
    </row>
    <row r="7" spans="1:13" s="62" customFormat="1" x14ac:dyDescent="0.25">
      <c r="D7" s="62" t="s">
        <v>21</v>
      </c>
      <c r="H7" s="62" t="s">
        <v>22</v>
      </c>
      <c r="I7" s="62" t="s">
        <v>19</v>
      </c>
      <c r="J7" s="62" t="s">
        <v>22</v>
      </c>
      <c r="K7" s="62" t="s">
        <v>22</v>
      </c>
    </row>
    <row r="8" spans="1:13" s="62" customFormat="1" x14ac:dyDescent="0.25">
      <c r="I8" s="62" t="s">
        <v>22</v>
      </c>
    </row>
    <row r="9" spans="1:13" x14ac:dyDescent="0.25">
      <c r="A9" t="s">
        <v>479</v>
      </c>
      <c r="D9">
        <v>100</v>
      </c>
      <c r="E9">
        <v>3.98</v>
      </c>
      <c r="F9">
        <v>3.98</v>
      </c>
      <c r="G9">
        <v>900</v>
      </c>
      <c r="H9">
        <v>3582</v>
      </c>
      <c r="J9">
        <v>1004</v>
      </c>
      <c r="K9">
        <v>4586</v>
      </c>
    </row>
    <row r="10" spans="1:13" x14ac:dyDescent="0.25">
      <c r="A10" t="s">
        <v>23</v>
      </c>
      <c r="D10">
        <v>84</v>
      </c>
      <c r="E10">
        <v>7.89</v>
      </c>
      <c r="F10">
        <v>3.9</v>
      </c>
      <c r="G10">
        <v>916</v>
      </c>
      <c r="H10">
        <v>7227</v>
      </c>
      <c r="K10">
        <v>7227</v>
      </c>
    </row>
    <row r="11" spans="1:13" x14ac:dyDescent="0.25">
      <c r="A11" t="s">
        <v>362</v>
      </c>
      <c r="D11">
        <v>64</v>
      </c>
      <c r="E11">
        <v>11.9</v>
      </c>
      <c r="F11">
        <v>6.8</v>
      </c>
      <c r="G11">
        <v>966</v>
      </c>
      <c r="H11">
        <v>11495</v>
      </c>
      <c r="K11">
        <v>11495</v>
      </c>
    </row>
    <row r="12" spans="1:13" x14ac:dyDescent="0.25">
      <c r="A12" t="s">
        <v>174</v>
      </c>
      <c r="D12" t="s">
        <v>480</v>
      </c>
      <c r="H12">
        <v>0</v>
      </c>
      <c r="I12" t="s">
        <v>481</v>
      </c>
      <c r="K12">
        <v>0</v>
      </c>
      <c r="L12">
        <v>0</v>
      </c>
    </row>
    <row r="13" spans="1:13" x14ac:dyDescent="0.25">
      <c r="A13" t="s">
        <v>365</v>
      </c>
      <c r="D13">
        <v>100</v>
      </c>
      <c r="E13">
        <v>8.4</v>
      </c>
      <c r="F13">
        <v>4.0199999999999996</v>
      </c>
      <c r="G13">
        <v>940.42</v>
      </c>
      <c r="H13">
        <v>7900</v>
      </c>
      <c r="K13">
        <v>7900</v>
      </c>
    </row>
    <row r="14" spans="1:13" x14ac:dyDescent="0.25">
      <c r="A14" t="s">
        <v>482</v>
      </c>
      <c r="D14">
        <v>100</v>
      </c>
      <c r="E14">
        <v>7.2</v>
      </c>
      <c r="F14">
        <v>3.4</v>
      </c>
      <c r="G14">
        <v>929.6</v>
      </c>
      <c r="H14">
        <v>6693</v>
      </c>
      <c r="K14">
        <v>6693</v>
      </c>
    </row>
    <row r="15" spans="1:13" x14ac:dyDescent="0.25">
      <c r="A15" t="s">
        <v>157</v>
      </c>
      <c r="D15">
        <v>100</v>
      </c>
      <c r="E15">
        <v>9.1999999999999993</v>
      </c>
      <c r="F15">
        <v>5.17</v>
      </c>
      <c r="G15">
        <v>608.20000000000005</v>
      </c>
      <c r="H15">
        <v>5595</v>
      </c>
      <c r="J15">
        <v>7636</v>
      </c>
      <c r="K15">
        <v>13231</v>
      </c>
    </row>
    <row r="16" spans="1:13" x14ac:dyDescent="0.25">
      <c r="A16" t="s">
        <v>120</v>
      </c>
      <c r="D16">
        <v>100</v>
      </c>
      <c r="E16">
        <v>5.83</v>
      </c>
      <c r="F16">
        <v>5.24</v>
      </c>
      <c r="G16">
        <v>916.6</v>
      </c>
      <c r="H16">
        <v>5344</v>
      </c>
      <c r="J16">
        <v>17692</v>
      </c>
      <c r="K16">
        <v>23036</v>
      </c>
    </row>
    <row r="17" spans="1:13" x14ac:dyDescent="0.25">
      <c r="A17" t="s">
        <v>121</v>
      </c>
      <c r="D17">
        <v>100</v>
      </c>
      <c r="E17">
        <v>16.54</v>
      </c>
      <c r="F17">
        <v>7.2</v>
      </c>
      <c r="G17">
        <v>743.5</v>
      </c>
      <c r="H17">
        <v>12297</v>
      </c>
      <c r="K17">
        <v>12297</v>
      </c>
    </row>
    <row r="18" spans="1:13" x14ac:dyDescent="0.25">
      <c r="A18" t="s">
        <v>27</v>
      </c>
      <c r="D18">
        <v>100</v>
      </c>
      <c r="E18">
        <v>23.8</v>
      </c>
      <c r="F18">
        <v>22.1</v>
      </c>
      <c r="G18">
        <v>900</v>
      </c>
      <c r="H18">
        <v>21420</v>
      </c>
      <c r="J18">
        <v>21429</v>
      </c>
      <c r="K18">
        <v>42849</v>
      </c>
    </row>
    <row r="19" spans="1:13" x14ac:dyDescent="0.25">
      <c r="A19" t="s">
        <v>367</v>
      </c>
      <c r="D19">
        <v>100</v>
      </c>
      <c r="E19">
        <v>9.69</v>
      </c>
      <c r="F19">
        <v>6.9</v>
      </c>
      <c r="G19">
        <v>956.6</v>
      </c>
      <c r="H19">
        <v>9269</v>
      </c>
      <c r="J19">
        <v>13329</v>
      </c>
      <c r="K19">
        <v>22598</v>
      </c>
    </row>
    <row r="20" spans="1:13" x14ac:dyDescent="0.25">
      <c r="A20" t="s">
        <v>483</v>
      </c>
      <c r="D20">
        <v>68</v>
      </c>
      <c r="E20">
        <v>9.1</v>
      </c>
      <c r="F20">
        <v>5.09</v>
      </c>
      <c r="G20">
        <v>725</v>
      </c>
      <c r="H20">
        <v>6597</v>
      </c>
      <c r="K20">
        <v>6597</v>
      </c>
    </row>
    <row r="21" spans="1:13" x14ac:dyDescent="0.25">
      <c r="A21" t="s">
        <v>368</v>
      </c>
      <c r="D21">
        <v>100</v>
      </c>
      <c r="E21">
        <v>14.2</v>
      </c>
      <c r="F21">
        <v>13.700000000000001</v>
      </c>
      <c r="G21">
        <v>900</v>
      </c>
      <c r="H21">
        <v>12780</v>
      </c>
      <c r="K21">
        <v>12780</v>
      </c>
    </row>
    <row r="22" spans="1:13" x14ac:dyDescent="0.25">
      <c r="A22" t="s">
        <v>159</v>
      </c>
      <c r="D22">
        <v>100</v>
      </c>
      <c r="E22">
        <v>41.17</v>
      </c>
      <c r="F22">
        <v>28</v>
      </c>
      <c r="G22">
        <v>793.6</v>
      </c>
      <c r="H22">
        <v>32673</v>
      </c>
      <c r="K22">
        <v>32673</v>
      </c>
    </row>
    <row r="23" spans="1:13" x14ac:dyDescent="0.25">
      <c r="A23" t="s">
        <v>30</v>
      </c>
      <c r="E23">
        <v>168.89999999999998</v>
      </c>
      <c r="F23">
        <v>115.50000000000001</v>
      </c>
      <c r="H23">
        <v>142872</v>
      </c>
      <c r="I23">
        <v>0</v>
      </c>
      <c r="J23">
        <v>61090</v>
      </c>
      <c r="K23">
        <v>203962</v>
      </c>
      <c r="L23">
        <v>0</v>
      </c>
      <c r="M23">
        <v>0</v>
      </c>
    </row>
    <row r="24" spans="1:13" x14ac:dyDescent="0.25">
      <c r="A24" t="s">
        <v>31</v>
      </c>
      <c r="E24">
        <v>53.399999999999963</v>
      </c>
      <c r="H24">
        <v>45050</v>
      </c>
      <c r="I24">
        <v>0</v>
      </c>
      <c r="J24">
        <v>61090</v>
      </c>
      <c r="K24">
        <v>106140</v>
      </c>
    </row>
    <row r="26" spans="1:13" x14ac:dyDescent="0.25">
      <c r="C26" t="s">
        <v>32</v>
      </c>
    </row>
    <row r="28" spans="1:13" x14ac:dyDescent="0.25">
      <c r="A28" t="s">
        <v>35</v>
      </c>
    </row>
    <row r="29" spans="1:13" x14ac:dyDescent="0.25">
      <c r="A29" t="s">
        <v>36</v>
      </c>
      <c r="D29" t="s">
        <v>37</v>
      </c>
      <c r="E29" t="s">
        <v>38</v>
      </c>
      <c r="G29" t="s">
        <v>39</v>
      </c>
    </row>
    <row r="30" spans="1:13" x14ac:dyDescent="0.25">
      <c r="A30" t="s">
        <v>40</v>
      </c>
    </row>
    <row r="31" spans="1:13" x14ac:dyDescent="0.25">
      <c r="A31" t="s">
        <v>187</v>
      </c>
      <c r="D31" t="s">
        <v>484</v>
      </c>
      <c r="E31">
        <v>92</v>
      </c>
      <c r="G31">
        <v>83</v>
      </c>
    </row>
    <row r="34" spans="1:11" x14ac:dyDescent="0.25">
      <c r="A34" t="s">
        <v>45</v>
      </c>
      <c r="J34" t="s">
        <v>33</v>
      </c>
      <c r="K34">
        <v>0.36</v>
      </c>
    </row>
    <row r="35" spans="1:11" x14ac:dyDescent="0.25">
      <c r="A35" t="s">
        <v>47</v>
      </c>
      <c r="D35" t="s">
        <v>48</v>
      </c>
      <c r="E35">
        <v>53</v>
      </c>
      <c r="G35">
        <v>850</v>
      </c>
      <c r="J35" t="s">
        <v>34</v>
      </c>
      <c r="K35">
        <v>0.25</v>
      </c>
    </row>
    <row r="36" spans="1:11" x14ac:dyDescent="0.25">
      <c r="A36" t="s">
        <v>50</v>
      </c>
      <c r="D36" t="s">
        <v>48</v>
      </c>
      <c r="E36">
        <v>115</v>
      </c>
    </row>
    <row r="37" spans="1:11" x14ac:dyDescent="0.25">
      <c r="A37" t="s">
        <v>8</v>
      </c>
      <c r="E37">
        <v>168</v>
      </c>
      <c r="J37" t="s">
        <v>485</v>
      </c>
      <c r="K37" t="s">
        <v>134</v>
      </c>
    </row>
    <row r="38" spans="1:11" x14ac:dyDescent="0.25">
      <c r="J38" t="s">
        <v>486</v>
      </c>
      <c r="K38">
        <v>63</v>
      </c>
    </row>
    <row r="39" spans="1:11" x14ac:dyDescent="0.25">
      <c r="A39" t="s">
        <v>137</v>
      </c>
      <c r="C39" t="s">
        <v>101</v>
      </c>
      <c r="J39" t="s">
        <v>487</v>
      </c>
      <c r="K39">
        <v>23</v>
      </c>
    </row>
    <row r="40" spans="1:11" x14ac:dyDescent="0.25">
      <c r="J40" t="s">
        <v>191</v>
      </c>
      <c r="K40">
        <v>14</v>
      </c>
    </row>
    <row r="41" spans="1:11" x14ac:dyDescent="0.25">
      <c r="A41" t="s">
        <v>167</v>
      </c>
      <c r="C41">
        <v>84</v>
      </c>
      <c r="D41" t="s">
        <v>168</v>
      </c>
      <c r="E41">
        <v>31</v>
      </c>
      <c r="G41">
        <v>168</v>
      </c>
    </row>
    <row r="42" spans="1:11" x14ac:dyDescent="0.25">
      <c r="A42" t="s">
        <v>371</v>
      </c>
      <c r="C42">
        <v>64</v>
      </c>
      <c r="D42" t="s">
        <v>41</v>
      </c>
      <c r="E42">
        <v>235</v>
      </c>
      <c r="G42">
        <v>26</v>
      </c>
    </row>
    <row r="43" spans="1:11" x14ac:dyDescent="0.25">
      <c r="A43" t="s">
        <v>140</v>
      </c>
      <c r="C43">
        <v>50</v>
      </c>
      <c r="D43" t="s">
        <v>41</v>
      </c>
      <c r="E43">
        <v>199</v>
      </c>
      <c r="G43">
        <v>26</v>
      </c>
    </row>
    <row r="44" spans="1:11" x14ac:dyDescent="0.25">
      <c r="A44" t="s">
        <v>488</v>
      </c>
      <c r="C44">
        <v>44</v>
      </c>
      <c r="D44" t="s">
        <v>41</v>
      </c>
      <c r="E44">
        <v>50</v>
      </c>
      <c r="G44">
        <v>24</v>
      </c>
    </row>
    <row r="45" spans="1:11" x14ac:dyDescent="0.25">
      <c r="A45" t="s">
        <v>51</v>
      </c>
    </row>
    <row r="46" spans="1:11" x14ac:dyDescent="0.25">
      <c r="A46" t="s">
        <v>54</v>
      </c>
      <c r="G46">
        <v>7342</v>
      </c>
      <c r="I46" t="s">
        <v>373</v>
      </c>
    </row>
    <row r="47" spans="1:11" x14ac:dyDescent="0.25">
      <c r="A47" t="s">
        <v>55</v>
      </c>
      <c r="G47">
        <v>58</v>
      </c>
      <c r="I47">
        <v>18142</v>
      </c>
    </row>
    <row r="48" spans="1:11" x14ac:dyDescent="0.25">
      <c r="A48" t="s">
        <v>56</v>
      </c>
      <c r="G48">
        <v>425836</v>
      </c>
    </row>
    <row r="49" spans="1:9" x14ac:dyDescent="0.25">
      <c r="A49" t="s">
        <v>57</v>
      </c>
      <c r="G49">
        <v>221874</v>
      </c>
      <c r="I49">
        <v>1052241</v>
      </c>
    </row>
    <row r="50" spans="1:9" x14ac:dyDescent="0.25">
      <c r="A50" t="s">
        <v>58</v>
      </c>
      <c r="G50">
        <v>319696</v>
      </c>
      <c r="I50">
        <v>548251</v>
      </c>
    </row>
    <row r="51" spans="1:9" x14ac:dyDescent="0.25">
      <c r="I51">
        <v>789969</v>
      </c>
    </row>
    <row r="52" spans="1:9" x14ac:dyDescent="0.25">
      <c r="A52" t="s">
        <v>59</v>
      </c>
      <c r="G52">
        <v>27.780168891310268</v>
      </c>
    </row>
    <row r="53" spans="1:9" x14ac:dyDescent="0.25">
      <c r="A53" t="s">
        <v>60</v>
      </c>
      <c r="G53">
        <v>14.456551348406428</v>
      </c>
    </row>
    <row r="55" spans="1:9" x14ac:dyDescent="0.25">
      <c r="A55" t="s">
        <v>170</v>
      </c>
    </row>
    <row r="56" spans="1:9" x14ac:dyDescent="0.25">
      <c r="B56" t="s">
        <v>489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1.Black Gram (Vavuniya)</vt:lpstr>
      <vt:lpstr>2.Black Gram (Anuradhapura)</vt:lpstr>
      <vt:lpstr>3.Brinjal (Anuradhapura)</vt:lpstr>
      <vt:lpstr>4.Cabbage (Nuwara Eliya)</vt:lpstr>
      <vt:lpstr>5.Capsicum(Badulla)</vt:lpstr>
      <vt:lpstr>6.Carrot(Nuwara Eliya)</vt:lpstr>
      <vt:lpstr>7.Chilli (Anuradhapura)</vt:lpstr>
      <vt:lpstr>8.Cowpea (Ampara)</vt:lpstr>
      <vt:lpstr>9.Gingelly (Hambantota)</vt:lpstr>
      <vt:lpstr>10.Green Grame (Hambantota)</vt:lpstr>
      <vt:lpstr>11. ground nut ( Monaragala)</vt:lpstr>
      <vt:lpstr>12.Kurakkan (Anuradhapura)</vt:lpstr>
      <vt:lpstr>13.Maize (Ampara)</vt:lpstr>
      <vt:lpstr>14.Maize (Anuradhapura)</vt:lpstr>
      <vt:lpstr>15.Maize (Monaragala)</vt:lpstr>
      <vt:lpstr>16.Pumpkin (Anuradhapura)</vt:lpstr>
      <vt:lpstr>17.Polebean( Badulla)</vt:lpstr>
      <vt:lpstr>18.Polebean (Matale)</vt:lpstr>
      <vt:lpstr>19.Potato (Badulla)</vt:lpstr>
      <vt:lpstr>20.Potato (Nuwaraeliya0</vt:lpstr>
      <vt:lpstr>21.Red onion (Jaffna)</vt:lpstr>
      <vt:lpstr>22.Red Onion (Puttalam)</vt:lpstr>
      <vt:lpstr>23.Red Onion (Trincomalee)</vt:lpstr>
      <vt:lpstr>24.Tomato (Badulla)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2017-02-09T05:10:24Z</dcterms:created>
  <dcterms:modified xsi:type="dcterms:W3CDTF">2017-07-12T09:06:48Z</dcterms:modified>
</cp:coreProperties>
</file>