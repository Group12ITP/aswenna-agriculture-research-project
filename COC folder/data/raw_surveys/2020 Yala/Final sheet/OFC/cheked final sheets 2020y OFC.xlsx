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 firstSheet="2" activeTab="6"/>
  </bookViews>
  <sheets>
    <sheet name="Carro -NE 2020" sheetId="1" r:id="rId1"/>
    <sheet name="Potato-NE 2020" sheetId="2" r:id="rId2"/>
    <sheet name="Manioc-Gamph 2020" sheetId="3" r:id="rId3"/>
    <sheet name="Potato -Badulla 2020" sheetId="8" r:id="rId4"/>
    <sheet name="SPOtato-Matale 2020" sheetId="9" r:id="rId5"/>
    <sheet name="Sheet1" sheetId="11" r:id="rId6"/>
    <sheet name="Sheet2" sheetId="12" r:id="rId7"/>
  </sheets>
  <calcPr calcId="144525"/>
</workbook>
</file>

<file path=xl/calcChain.xml><?xml version="1.0" encoding="utf-8"?>
<calcChain xmlns="http://schemas.openxmlformats.org/spreadsheetml/2006/main">
  <c r="G45" i="11" l="1"/>
  <c r="H25" i="11"/>
  <c r="E25" i="11"/>
  <c r="M24" i="11"/>
  <c r="L24" i="11"/>
  <c r="I24" i="11"/>
  <c r="I25" i="11" s="1"/>
  <c r="F24" i="11"/>
  <c r="E24" i="11"/>
  <c r="Z23" i="11"/>
  <c r="X23" i="11"/>
  <c r="H23" i="11"/>
  <c r="K23" i="11" s="1"/>
  <c r="Z22" i="11"/>
  <c r="X22" i="11"/>
  <c r="H22" i="11"/>
  <c r="K22" i="11" s="1"/>
  <c r="Z21" i="11"/>
  <c r="X21" i="11"/>
  <c r="K21" i="11"/>
  <c r="Z20" i="11"/>
  <c r="X20" i="11"/>
  <c r="K20" i="11"/>
  <c r="H20" i="11"/>
  <c r="Z19" i="11"/>
  <c r="X19" i="11"/>
  <c r="K19" i="11"/>
  <c r="Z18" i="11"/>
  <c r="X18" i="11"/>
  <c r="J18" i="11"/>
  <c r="K18" i="11" s="1"/>
  <c r="Z17" i="11"/>
  <c r="X17" i="11"/>
  <c r="H17" i="11"/>
  <c r="K17" i="11" s="1"/>
  <c r="Z16" i="11"/>
  <c r="X16" i="11"/>
  <c r="K16" i="11"/>
  <c r="Z10" i="11"/>
  <c r="X10" i="11"/>
  <c r="H10" i="11"/>
  <c r="K10" i="11" s="1"/>
  <c r="Z9" i="11"/>
  <c r="X9" i="11"/>
  <c r="K9" i="11"/>
  <c r="Z8" i="11"/>
  <c r="Z24" i="11" s="1"/>
  <c r="X8" i="11"/>
  <c r="X24" i="11" s="1"/>
  <c r="H8" i="11"/>
  <c r="K8" i="11" s="1"/>
  <c r="H24" i="11" l="1"/>
  <c r="J24" i="11"/>
  <c r="J25" i="11" s="1"/>
  <c r="K25" i="11" s="1"/>
  <c r="G49" i="11" l="1"/>
  <c r="G47" i="11"/>
  <c r="K24" i="11"/>
  <c r="G48" i="11" l="1"/>
  <c r="G46" i="11"/>
  <c r="E43" i="9" l="1"/>
  <c r="E34" i="9"/>
  <c r="H22" i="9"/>
  <c r="J21" i="9"/>
  <c r="J22" i="9" s="1"/>
  <c r="I21" i="9"/>
  <c r="I22" i="9" s="1"/>
  <c r="G21" i="9"/>
  <c r="F21" i="9"/>
  <c r="E21" i="9"/>
  <c r="E22" i="9" s="1"/>
  <c r="K20" i="9"/>
  <c r="K19" i="9"/>
  <c r="H18" i="9"/>
  <c r="K18" i="9" s="1"/>
  <c r="H17" i="9"/>
  <c r="K16" i="9"/>
  <c r="K15" i="9"/>
  <c r="K14" i="9"/>
  <c r="K13" i="9"/>
  <c r="K12" i="9"/>
  <c r="K11" i="9"/>
  <c r="K10" i="9"/>
  <c r="K8" i="9"/>
  <c r="H7" i="9"/>
  <c r="K7" i="9" s="1"/>
  <c r="H21" i="9" l="1"/>
  <c r="K22" i="9"/>
  <c r="E47" i="9" s="1"/>
  <c r="E45" i="9"/>
  <c r="K17" i="9"/>
  <c r="K21" i="9" s="1"/>
  <c r="E46" i="9" s="1"/>
  <c r="E44" i="9" l="1"/>
  <c r="E45" i="8" l="1"/>
  <c r="G45" i="8" s="1"/>
  <c r="G43" i="8"/>
  <c r="F21" i="8"/>
  <c r="K20" i="8"/>
  <c r="H21" i="8" s="1"/>
  <c r="J20" i="8"/>
  <c r="G21" i="8" s="1"/>
  <c r="I21" i="8" s="1"/>
  <c r="E49" i="8" s="1"/>
  <c r="H20" i="8"/>
  <c r="G20" i="8"/>
  <c r="E20" i="8"/>
  <c r="D20" i="8"/>
  <c r="C20" i="8"/>
  <c r="C21" i="8" s="1"/>
  <c r="I19" i="8"/>
  <c r="F19" i="8"/>
  <c r="I18" i="8"/>
  <c r="I16" i="8"/>
  <c r="I15" i="8"/>
  <c r="I14" i="8"/>
  <c r="I13" i="8"/>
  <c r="I12" i="8"/>
  <c r="I11" i="8"/>
  <c r="H11" i="8"/>
  <c r="I10" i="8"/>
  <c r="F9" i="8"/>
  <c r="I9" i="8" s="1"/>
  <c r="I8" i="8"/>
  <c r="I20" i="8" s="1"/>
  <c r="E48" i="8" s="1"/>
  <c r="F20" i="8" l="1"/>
  <c r="E47" i="8"/>
  <c r="G47" i="8" s="1"/>
  <c r="E46" i="8"/>
  <c r="G46" i="8" s="1"/>
  <c r="F38" i="3" l="1"/>
  <c r="G20" i="3"/>
  <c r="K19" i="3"/>
  <c r="H19" i="3"/>
  <c r="H20" i="3" s="1"/>
  <c r="G19" i="3"/>
  <c r="F19" i="3"/>
  <c r="E19" i="3"/>
  <c r="D19" i="3"/>
  <c r="J16" i="3"/>
  <c r="I15" i="3"/>
  <c r="J15" i="3" s="1"/>
  <c r="J14" i="3"/>
  <c r="J9" i="3"/>
  <c r="J8" i="3"/>
  <c r="J19" i="3" s="1"/>
  <c r="F41" i="3" s="1"/>
  <c r="I19" i="3" l="1"/>
  <c r="I20" i="3" s="1"/>
  <c r="J20" i="3" s="1"/>
  <c r="F39" i="3"/>
  <c r="F42" i="3" l="1"/>
  <c r="F40" i="3"/>
  <c r="F40" i="2" l="1"/>
  <c r="G19" i="2"/>
  <c r="L18" i="2"/>
  <c r="K18" i="2"/>
  <c r="H19" i="2" s="1"/>
  <c r="H18" i="2"/>
  <c r="G18" i="2"/>
  <c r="F18" i="2"/>
  <c r="E18" i="2"/>
  <c r="D18" i="2"/>
  <c r="D19" i="2" s="1"/>
  <c r="J17" i="2"/>
  <c r="G16" i="2"/>
  <c r="J15" i="2"/>
  <c r="J14" i="2"/>
  <c r="J13" i="2"/>
  <c r="J12" i="2"/>
  <c r="I12" i="2"/>
  <c r="I11" i="2"/>
  <c r="I18" i="2" s="1"/>
  <c r="I19" i="2" s="1"/>
  <c r="J10" i="2"/>
  <c r="G9" i="2"/>
  <c r="J9" i="2" s="1"/>
  <c r="J8" i="2"/>
  <c r="G8" i="2"/>
  <c r="G7" i="2"/>
  <c r="J7" i="2" s="1"/>
  <c r="J18" i="2" l="1"/>
  <c r="J19" i="2"/>
  <c r="J11" i="2"/>
  <c r="F41" i="2" l="1"/>
  <c r="F43" i="2"/>
  <c r="F44" i="2"/>
  <c r="F42" i="2"/>
  <c r="F42" i="1" l="1"/>
  <c r="F43" i="1" s="1"/>
  <c r="H43" i="1" s="1"/>
  <c r="H40" i="1"/>
  <c r="N35" i="1"/>
  <c r="N30" i="1"/>
  <c r="N29" i="1"/>
  <c r="I22" i="1"/>
  <c r="H22" i="1"/>
  <c r="G22" i="1"/>
  <c r="J22" i="1" s="1"/>
  <c r="F46" i="1" s="1"/>
  <c r="H21" i="1"/>
  <c r="F21" i="1"/>
  <c r="E21" i="1"/>
  <c r="D21" i="1"/>
  <c r="D22" i="1" s="1"/>
  <c r="P18" i="1"/>
  <c r="O18" i="1"/>
  <c r="J18" i="1"/>
  <c r="P17" i="1"/>
  <c r="O17" i="1"/>
  <c r="J17" i="1"/>
  <c r="P16" i="1"/>
  <c r="O16" i="1"/>
  <c r="J16" i="1"/>
  <c r="P15" i="1"/>
  <c r="O15" i="1"/>
  <c r="J15" i="1"/>
  <c r="P14" i="1"/>
  <c r="O14" i="1"/>
  <c r="J14" i="1"/>
  <c r="J21" i="1" s="1"/>
  <c r="F45" i="1" s="1"/>
  <c r="G13" i="1"/>
  <c r="G21" i="1" s="1"/>
  <c r="P12" i="1"/>
  <c r="O12" i="1"/>
  <c r="P10" i="1"/>
  <c r="O10" i="1"/>
  <c r="J10" i="1"/>
  <c r="P9" i="1"/>
  <c r="P21" i="1" s="1"/>
  <c r="O9" i="1"/>
  <c r="O21" i="1" s="1"/>
  <c r="J9" i="1"/>
  <c r="F44" i="1" l="1"/>
  <c r="H44" i="1" s="1"/>
  <c r="H42" i="1"/>
</calcChain>
</file>

<file path=xl/sharedStrings.xml><?xml version="1.0" encoding="utf-8"?>
<sst xmlns="http://schemas.openxmlformats.org/spreadsheetml/2006/main" count="558" uniqueCount="253">
  <si>
    <t>Table:</t>
  </si>
  <si>
    <t>COST OF CULTIVATION PER ACRE OF IRRIGATED    (IRRIGATED)</t>
  </si>
  <si>
    <t xml:space="preserve">finalized </t>
  </si>
  <si>
    <t>DISTRICT: Nuwaraeliya       2020 YALA SEASON - Carrot</t>
  </si>
  <si>
    <t>Tabulated &amp; analyzed by : G.L.Nagahawatta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</si>
  <si>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</si>
  <si>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</si>
  <si>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</si>
  <si>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</si>
  <si>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</si>
  <si>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</si>
  <si>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</si>
  <si>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</si>
  <si>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</si>
  <si>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</si>
  <si>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</si>
  <si>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</si>
  <si>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</si>
  <si>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</si>
  <si>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</si>
  <si>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</si>
  <si>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</si>
  <si>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2019yala</t>
  </si>
  <si>
    <t>General Land Preparation</t>
  </si>
  <si>
    <t>1st Plough with 2wt</t>
  </si>
  <si>
    <t>( 1 st Plough manually)</t>
  </si>
  <si>
    <t>(13)</t>
  </si>
  <si>
    <t>(12950.73)</t>
  </si>
  <si>
    <t>Preparation beds &amp; ridges(manually)</t>
  </si>
  <si>
    <t>3868.00*</t>
  </si>
  <si>
    <t>Preparation beds &amp; ridges(contract)</t>
  </si>
  <si>
    <t>(3)</t>
  </si>
  <si>
    <t>(43000)</t>
  </si>
  <si>
    <t>Seeding</t>
  </si>
  <si>
    <t>Fertilizer Application</t>
  </si>
  <si>
    <t>Weeding &amp; thining out</t>
  </si>
  <si>
    <t>Pest &amp; Disease Control</t>
  </si>
  <si>
    <t>Water Management      (Machinary)</t>
  </si>
  <si>
    <t>Harvesting and drawing**</t>
  </si>
  <si>
    <t>Harvesting and drawing manually</t>
  </si>
  <si>
    <t>(6)</t>
  </si>
  <si>
    <t>(46612.90)</t>
  </si>
  <si>
    <t>Total Including Imputed Cost</t>
  </si>
  <si>
    <t xml:space="preserve">Total Excluding Imputed Cost </t>
  </si>
  <si>
    <t>*</t>
  </si>
  <si>
    <t>Adding lime</t>
  </si>
  <si>
    <t>**</t>
  </si>
  <si>
    <t>Rest is done by buyers</t>
  </si>
  <si>
    <t>Quantity and Price of Inputs</t>
  </si>
  <si>
    <t>Input</t>
  </si>
  <si>
    <t>Unit</t>
  </si>
  <si>
    <t>Quantity</t>
  </si>
  <si>
    <t>Unit Price (Rs)</t>
  </si>
  <si>
    <t xml:space="preserve">                            variety    (ext %)</t>
  </si>
  <si>
    <t>SEED</t>
  </si>
  <si>
    <t>Tarkish</t>
  </si>
  <si>
    <t>Seed</t>
  </si>
  <si>
    <t>kg</t>
  </si>
  <si>
    <t>Teracota</t>
  </si>
  <si>
    <t>LABOUR</t>
  </si>
  <si>
    <t>Other</t>
  </si>
  <si>
    <t>Hired Labour</t>
  </si>
  <si>
    <t>md</t>
  </si>
  <si>
    <t>kuruda</t>
  </si>
  <si>
    <t xml:space="preserve">Mean </t>
  </si>
  <si>
    <t>Family Labour</t>
  </si>
  <si>
    <t>Mode</t>
  </si>
  <si>
    <t>FIELD FERTILIZER</t>
  </si>
  <si>
    <t>No Reporting %</t>
  </si>
  <si>
    <t>Potato mix</t>
  </si>
  <si>
    <t>Poultry</t>
  </si>
  <si>
    <t xml:space="preserve">Vegetable mix     </t>
  </si>
  <si>
    <t>YIELD AND RETURNS</t>
  </si>
  <si>
    <t>Per Ac</t>
  </si>
  <si>
    <t>Per ha</t>
  </si>
  <si>
    <t>Average yield (kg)</t>
  </si>
  <si>
    <t>Price of produce (Rs/kg)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</si>
  <si>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</si>
  <si>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</si>
  <si>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</si>
  <si>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</si>
  <si>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</si>
  <si>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t>Special remarks-</t>
  </si>
  <si>
    <t>* 1/3 of the sample reported as low yeild due to rain</t>
  </si>
  <si>
    <t xml:space="preserve">    </t>
  </si>
  <si>
    <t>COST OF CULTIVATION PER ACRE OF  Potato  (IRRigated)</t>
  </si>
  <si>
    <t>DISTRICT: -N'eliya</t>
  </si>
  <si>
    <t>Season :-2020 Yala</t>
  </si>
  <si>
    <t>Tabulated &amp; analyzed by :-S.N.Kamalinie------------</t>
  </si>
  <si>
    <t>Cost (Rs/ac)</t>
  </si>
  <si>
    <t xml:space="preserve"> % of Report</t>
  </si>
  <si>
    <t>1  Plough with 2wt</t>
  </si>
  <si>
    <t xml:space="preserve"> (Do manually)</t>
  </si>
  <si>
    <t>(07)</t>
  </si>
  <si>
    <t>Prperation beds &amp; ridges</t>
  </si>
  <si>
    <t>Digging holes &amp; Seeding</t>
  </si>
  <si>
    <t>Weeding &amp; earthing up</t>
  </si>
  <si>
    <t>Water Management (pump)</t>
  </si>
  <si>
    <t>water Management (manually)</t>
  </si>
  <si>
    <t>(40)</t>
  </si>
  <si>
    <t>Harvesting &amp; drawing</t>
  </si>
  <si>
    <t>RELATED INFORMATION</t>
  </si>
  <si>
    <t>Variety %  of ext.</t>
  </si>
  <si>
    <t>Mean</t>
  </si>
  <si>
    <t>Ganola  -100</t>
  </si>
  <si>
    <t xml:space="preserve">Seeding </t>
  </si>
  <si>
    <t xml:space="preserve">Hired </t>
  </si>
  <si>
    <t xml:space="preserve">Family </t>
  </si>
  <si>
    <t>% Reporting</t>
  </si>
  <si>
    <t>potato</t>
  </si>
  <si>
    <t>Per ac.</t>
  </si>
  <si>
    <t>Per hec.</t>
  </si>
  <si>
    <t>Average Yield (kg)</t>
  </si>
  <si>
    <t>Price of Produce (Rs/kg)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</si>
  <si>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</si>
  <si>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</si>
  <si>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</si>
  <si>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</si>
  <si>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</si>
  <si>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t xml:space="preserve">Note: </t>
  </si>
  <si>
    <t>1.Due to the adequate rainfall during the season, the labor required to irrigate was less</t>
  </si>
  <si>
    <t>2. The cost of seeds was high due to the reduced supply of seed potatoes due to the prevailing adverse conditions</t>
  </si>
  <si>
    <t>COST OF CULTIVATION PER ACRE OF MANIOC (Rainfed )</t>
  </si>
  <si>
    <t>DISTRICT: GAMPAHA  2020 Yala  SEASON</t>
  </si>
  <si>
    <t>finalized on 2022-2-17</t>
  </si>
  <si>
    <t>Tabulated &amp; analyzed by : K.T.I.Wijewardana</t>
  </si>
  <si>
    <t>1 Plough with 4wt</t>
  </si>
  <si>
    <t>1 Plough with Backo</t>
  </si>
  <si>
    <t>(50909.00)</t>
  </si>
  <si>
    <t>1 &amp; 2  Plough with 4wt</t>
  </si>
  <si>
    <t>(26)</t>
  </si>
  <si>
    <t>(960.00)</t>
  </si>
  <si>
    <t>(7619.00)</t>
  </si>
  <si>
    <t>1 &amp; 2  Plough with Backo</t>
  </si>
  <si>
    <t>(68571..00)</t>
  </si>
  <si>
    <t>1, 2 &amp; 3 plough with 4wt</t>
  </si>
  <si>
    <t>(1500.00)</t>
  </si>
  <si>
    <t>Digging holes &amp; transplanting</t>
  </si>
  <si>
    <t>Weeding &amp; earthing up(Manual)</t>
  </si>
  <si>
    <t>Harvesting &amp; drawing by buyer</t>
  </si>
  <si>
    <t>(do - manually)</t>
  </si>
  <si>
    <t>(32)</t>
  </si>
  <si>
    <t>(13380.00)</t>
  </si>
  <si>
    <t xml:space="preserve"> T.P. / Seeding </t>
  </si>
  <si>
    <t>Sticks</t>
  </si>
  <si>
    <t>Variety</t>
  </si>
  <si>
    <t>%</t>
  </si>
  <si>
    <t>Kalu Peradeni</t>
  </si>
  <si>
    <t>Coconut fertilizer</t>
  </si>
  <si>
    <t>Per ac</t>
  </si>
  <si>
    <t>General land preparation</t>
  </si>
  <si>
    <t>Fertilizer application</t>
  </si>
  <si>
    <t>Transport produce to stores</t>
  </si>
  <si>
    <t>Total including imputed cost</t>
  </si>
  <si>
    <t xml:space="preserve">Total excluding imputed cost </t>
  </si>
  <si>
    <t>(23)</t>
  </si>
  <si>
    <t>Weed control with weedicides</t>
  </si>
  <si>
    <t>Pest &amp; disease control</t>
  </si>
  <si>
    <t>Water management</t>
  </si>
  <si>
    <t>Family</t>
  </si>
  <si>
    <t>COST OF CULTIVATION PER ACRE OF  Potato   (IRRIGATED  )</t>
  </si>
  <si>
    <t>DISTRICT: --Badulla-      2020y  SEASON</t>
  </si>
  <si>
    <t>Finalyzed on 2021-4-28</t>
  </si>
  <si>
    <t>1  plough with 2wt</t>
  </si>
  <si>
    <t>Digging holes and seeding</t>
  </si>
  <si>
    <t xml:space="preserve">weed control with weedicude </t>
  </si>
  <si>
    <t>Water management (manually)</t>
  </si>
  <si>
    <t>water management (by pumping))</t>
  </si>
  <si>
    <t>(17)</t>
  </si>
  <si>
    <t>(8484.00)</t>
  </si>
  <si>
    <t>Harvesting and drawing</t>
  </si>
  <si>
    <t xml:space="preserve">Variety </t>
  </si>
  <si>
    <t xml:space="preserve"> Seeding </t>
  </si>
  <si>
    <t>Ganola</t>
  </si>
  <si>
    <t>Hired</t>
  </si>
  <si>
    <t>A</t>
  </si>
  <si>
    <t>B</t>
  </si>
  <si>
    <t>C</t>
  </si>
  <si>
    <t>TDM</t>
  </si>
  <si>
    <t>D</t>
  </si>
  <si>
    <t>(30)</t>
  </si>
  <si>
    <t>(270)</t>
  </si>
  <si>
    <t>(34)</t>
  </si>
  <si>
    <t>per ac</t>
  </si>
  <si>
    <t>Unit cost (Incl.imputed cost) (Rs/kg)</t>
  </si>
  <si>
    <t>Unit cost (Excl. imputed cost (Rs/kg)</t>
  </si>
  <si>
    <t>COST OF CULTIVATION SWEET POTATO (Irrigated)</t>
  </si>
  <si>
    <t>2020  yala</t>
  </si>
  <si>
    <t xml:space="preserve">DISTRICT: </t>
  </si>
  <si>
    <t>Matale</t>
  </si>
  <si>
    <t>Analized by W.M.S.K Weerasinghe</t>
  </si>
  <si>
    <t>Finalized on 2021-8-3</t>
  </si>
  <si>
    <t>(37)</t>
  </si>
  <si>
    <t>(5256.00)</t>
  </si>
  <si>
    <t>(1600.00)</t>
  </si>
  <si>
    <t>(28370.00)</t>
  </si>
  <si>
    <t>Processing material &amp; planting</t>
  </si>
  <si>
    <t>Cuttings</t>
  </si>
  <si>
    <t>mean</t>
  </si>
  <si>
    <t>mode</t>
  </si>
  <si>
    <t>T.S.P</t>
  </si>
  <si>
    <t>Potato Mixture</t>
  </si>
  <si>
    <t>(6300.00)</t>
  </si>
  <si>
    <t>Wariyapola red -100</t>
  </si>
  <si>
    <t xml:space="preserve">Variety % ext </t>
  </si>
  <si>
    <t>Harvesting &amp; processing</t>
  </si>
  <si>
    <t>Totalincluding imputed cost</t>
  </si>
  <si>
    <t>Preparation of beds &amp; ridges (contract)</t>
  </si>
  <si>
    <t>1st 2nd plough with 4wt</t>
  </si>
  <si>
    <t>1st 2nd plough with 2wt</t>
  </si>
  <si>
    <t>1st 2nd plough with mannual</t>
  </si>
  <si>
    <t>Preparation of beds &amp; ridges (mannual)</t>
  </si>
  <si>
    <t>Profit incl. imputed iost (Rs)</t>
  </si>
  <si>
    <t>General land Preparation</t>
  </si>
  <si>
    <t>COST OF CULTIVATION PER ACRE OF TOMMATO  (IRRIGATED)</t>
  </si>
  <si>
    <t xml:space="preserve">DISTRICT: --Kandy- </t>
  </si>
  <si>
    <t>finalized 09/03/2022</t>
  </si>
  <si>
    <t xml:space="preserve">Season -   2020   YALA   - </t>
  </si>
  <si>
    <t>2019 y</t>
  </si>
  <si>
    <t xml:space="preserve">2018y </t>
  </si>
  <si>
    <t>All Nursery Preperation</t>
  </si>
  <si>
    <t>Genaral land preparation</t>
  </si>
  <si>
    <t>glp</t>
  </si>
  <si>
    <t>1st  &amp; 2nd Plough with 2wt</t>
  </si>
  <si>
    <t>(1st  &amp; 2nd Plough with manual)</t>
  </si>
  <si>
    <t>.(7)</t>
  </si>
  <si>
    <t>.(38400.00)</t>
  </si>
  <si>
    <t>(1st  Plough with 2wt)</t>
  </si>
  <si>
    <t>`(16)</t>
  </si>
  <si>
    <t>`(1320.00)</t>
  </si>
  <si>
    <t>`(5100.00)</t>
  </si>
  <si>
    <t>(1st Plough with manually)</t>
  </si>
  <si>
    <t>`(11)</t>
  </si>
  <si>
    <t>`(18600.00)</t>
  </si>
  <si>
    <t>(1st  ' 2nd  &amp; 3rd  Plough with 2wt)</t>
  </si>
  <si>
    <t>.(13)</t>
  </si>
  <si>
    <t>.(2468.00)</t>
  </si>
  <si>
    <t>.(10460.00)</t>
  </si>
  <si>
    <t>(1st  ' 2nd  &amp; 3rd  Plough with  manually)</t>
  </si>
  <si>
    <t>.(45000.00)</t>
  </si>
  <si>
    <t>Digging holes and Transplanting</t>
  </si>
  <si>
    <t>Fixing Support</t>
  </si>
  <si>
    <t>Water Management</t>
  </si>
  <si>
    <t>Harvesting  and Darwing</t>
  </si>
  <si>
    <t>variety % of ext</t>
  </si>
  <si>
    <t xml:space="preserve">Seed </t>
  </si>
  <si>
    <t>Padma        -60</t>
  </si>
  <si>
    <t>Abiman     -20</t>
  </si>
  <si>
    <t>Red bullet -05</t>
  </si>
  <si>
    <t>Other         -15</t>
  </si>
  <si>
    <t>Vegi mix</t>
  </si>
  <si>
    <t>Nill Keta</t>
  </si>
  <si>
    <t>27 % of the farmers reported low yeild due to pest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</si>
</sst>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0_)"/>
    <numFmt numFmtId="166" formatCode="0.0"/>
    <numFmt numFmtId="167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i/>
      <sz val="14"/>
      <color rgb="FFC00000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202124"/>
      <name val="Times New Roman"/>
      <family val="1"/>
    </font>
    <font>
      <sz val="10"/>
      <name val="Cambria"/>
      <family val="1"/>
      <scheme val="major"/>
    </font>
    <font>
      <i/>
      <sz val="12"/>
      <color rgb="FFFF0000"/>
      <name val="Cambria"/>
      <family val="1"/>
      <scheme val="major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rgb="FFC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rgb="FFFF0000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4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65" fontId="2" fillId="0" borderId="0" xfId="0" applyNumberFormat="1" applyFont="1" applyProtection="1"/>
    <xf numFmtId="2" fontId="2" fillId="0" borderId="0" xfId="0" applyNumberFormat="1" applyFont="1"/>
    <xf numFmtId="1" fontId="2" fillId="0" borderId="0" xfId="0" applyNumberFormat="1" applyFont="1" applyProtection="1"/>
    <xf numFmtId="49" fontId="2" fillId="0" borderId="0" xfId="0" applyNumberFormat="1" applyFont="1" applyAlignment="1" applyProtection="1">
      <alignment horizontal="right"/>
    </xf>
    <xf numFmtId="49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5" fillId="0" borderId="0" xfId="0" applyFont="1"/>
    <xf numFmtId="2" fontId="2" fillId="0" borderId="0" xfId="0" applyNumberFormat="1" applyFont="1" applyFill="1"/>
    <xf numFmtId="2" fontId="5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Protection="1"/>
    <xf numFmtId="165" fontId="2" fillId="0" borderId="1" xfId="0" applyNumberFormat="1" applyFont="1" applyBorder="1" applyProtection="1"/>
    <xf numFmtId="2" fontId="2" fillId="0" borderId="1" xfId="0" applyNumberFormat="1" applyFont="1" applyBorder="1"/>
    <xf numFmtId="165" fontId="2" fillId="0" borderId="2" xfId="0" applyNumberFormat="1" applyFont="1" applyBorder="1" applyProtection="1"/>
    <xf numFmtId="2" fontId="2" fillId="0" borderId="2" xfId="0" applyNumberFormat="1" applyFont="1" applyBorder="1"/>
    <xf numFmtId="165" fontId="2" fillId="0" borderId="0" xfId="0" applyNumberFormat="1" applyFont="1" applyBorder="1" applyProtection="1"/>
    <xf numFmtId="2" fontId="2" fillId="0" borderId="0" xfId="0" applyNumberFormat="1" applyFont="1" applyBorder="1"/>
    <xf numFmtId="0" fontId="6" fillId="0" borderId="0" xfId="0" applyFont="1" applyBorder="1"/>
    <xf numFmtId="0" fontId="2" fillId="0" borderId="3" xfId="0" applyFont="1" applyBorder="1"/>
    <xf numFmtId="0" fontId="6" fillId="0" borderId="3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right" vertical="top"/>
    </xf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/>
    <xf numFmtId="0" fontId="4" fillId="0" borderId="0" xfId="0" applyFont="1" applyBorder="1"/>
    <xf numFmtId="0" fontId="7" fillId="0" borderId="4" xfId="0" applyFont="1" applyFill="1" applyBorder="1" applyAlignment="1">
      <alignment horizontal="left" vertical="top"/>
    </xf>
    <xf numFmtId="2" fontId="7" fillId="0" borderId="4" xfId="0" applyNumberFormat="1" applyFont="1" applyFill="1" applyBorder="1" applyAlignment="1">
      <alignment horizontal="left" vertical="top"/>
    </xf>
    <xf numFmtId="166" fontId="5" fillId="0" borderId="0" xfId="0" applyNumberFormat="1" applyFont="1" applyFill="1" applyBorder="1" applyAlignment="1">
      <alignment horizontal="left" vertical="top"/>
    </xf>
    <xf numFmtId="0" fontId="2" fillId="0" borderId="0" xfId="0" applyFont="1" applyFill="1"/>
    <xf numFmtId="0" fontId="5" fillId="0" borderId="1" xfId="0" applyFont="1" applyFill="1" applyBorder="1"/>
    <xf numFmtId="1" fontId="2" fillId="0" borderId="0" xfId="0" applyNumberFormat="1" applyFont="1" applyBorder="1"/>
    <xf numFmtId="0" fontId="5" fillId="0" borderId="0" xfId="0" applyFont="1" applyFill="1" applyBorder="1"/>
    <xf numFmtId="2" fontId="5" fillId="0" borderId="0" xfId="0" applyNumberFormat="1" applyFont="1" applyFill="1" applyBorder="1"/>
    <xf numFmtId="166" fontId="5" fillId="0" borderId="0" xfId="0" applyNumberFormat="1" applyFont="1" applyBorder="1" applyAlignment="1">
      <alignment horizontal="left" vertical="top"/>
    </xf>
    <xf numFmtId="1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left" vertical="top"/>
    </xf>
    <xf numFmtId="0" fontId="8" fillId="0" borderId="0" xfId="0" applyFont="1" applyFill="1"/>
    <xf numFmtId="165" fontId="2" fillId="0" borderId="0" xfId="0" applyNumberFormat="1" applyFont="1" applyBorder="1" applyAlignment="1" applyProtection="1">
      <alignment horizontal="right"/>
    </xf>
    <xf numFmtId="165" fontId="2" fillId="0" borderId="0" xfId="0" applyNumberFormat="1" applyFont="1" applyBorder="1"/>
    <xf numFmtId="167" fontId="2" fillId="0" borderId="0" xfId="0" applyNumberFormat="1" applyFont="1" applyBorder="1"/>
    <xf numFmtId="167" fontId="2" fillId="0" borderId="2" xfId="0" applyNumberFormat="1" applyFont="1" applyBorder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 indent="5"/>
    </xf>
    <xf numFmtId="0" fontId="7" fillId="0" borderId="1" xfId="0" applyFont="1" applyBorder="1" applyAlignment="1"/>
    <xf numFmtId="0" fontId="7" fillId="0" borderId="1" xfId="0" applyFont="1" applyBorder="1" applyAlignment="1">
      <alignment horizontal="right"/>
    </xf>
    <xf numFmtId="0" fontId="7" fillId="0" borderId="2" xfId="0" applyFont="1" applyBorder="1" applyAlignment="1"/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0" xfId="0" applyFont="1" applyBorder="1"/>
    <xf numFmtId="165" fontId="7" fillId="0" borderId="0" xfId="0" applyNumberFormat="1" applyFont="1" applyBorder="1" applyProtection="1"/>
    <xf numFmtId="2" fontId="7" fillId="0" borderId="0" xfId="0" applyNumberFormat="1" applyFont="1" applyBorder="1"/>
    <xf numFmtId="2" fontId="7" fillId="0" borderId="0" xfId="0" applyNumberFormat="1" applyFont="1" applyBorder="1" applyProtection="1"/>
    <xf numFmtId="1" fontId="7" fillId="0" borderId="0" xfId="0" applyNumberFormat="1" applyFont="1" applyBorder="1"/>
    <xf numFmtId="165" fontId="7" fillId="0" borderId="0" xfId="0" applyNumberFormat="1" applyFont="1" applyProtection="1"/>
    <xf numFmtId="2" fontId="7" fillId="0" borderId="0" xfId="0" applyNumberFormat="1" applyFont="1"/>
    <xf numFmtId="2" fontId="7" fillId="0" borderId="0" xfId="0" applyNumberFormat="1" applyFont="1" applyProtection="1"/>
    <xf numFmtId="1" fontId="7" fillId="0" borderId="0" xfId="0" applyNumberFormat="1" applyFont="1"/>
    <xf numFmtId="165" fontId="7" fillId="0" borderId="0" xfId="0" quotePrefix="1" applyNumberFormat="1" applyFont="1" applyProtection="1"/>
    <xf numFmtId="2" fontId="9" fillId="0" borderId="0" xfId="0" applyNumberFormat="1" applyFont="1"/>
    <xf numFmtId="0" fontId="7" fillId="0" borderId="1" xfId="0" applyFont="1" applyBorder="1"/>
    <xf numFmtId="165" fontId="7" fillId="0" borderId="1" xfId="0" applyNumberFormat="1" applyFont="1" applyBorder="1" applyProtection="1"/>
    <xf numFmtId="2" fontId="7" fillId="0" borderId="1" xfId="0" applyNumberFormat="1" applyFont="1" applyBorder="1"/>
    <xf numFmtId="0" fontId="7" fillId="0" borderId="2" xfId="0" applyFont="1" applyBorder="1"/>
    <xf numFmtId="165" fontId="7" fillId="0" borderId="2" xfId="0" applyNumberFormat="1" applyFont="1" applyBorder="1" applyProtection="1"/>
    <xf numFmtId="2" fontId="7" fillId="0" borderId="2" xfId="0" applyNumberFormat="1" applyFont="1" applyBorder="1"/>
    <xf numFmtId="0" fontId="7" fillId="0" borderId="3" xfId="0" applyFont="1" applyBorder="1"/>
    <xf numFmtId="0" fontId="7" fillId="0" borderId="3" xfId="0" applyFont="1" applyBorder="1" applyAlignment="1">
      <alignment horizontal="left" indent="2"/>
    </xf>
    <xf numFmtId="9" fontId="7" fillId="0" borderId="0" xfId="0" applyNumberFormat="1" applyFont="1"/>
    <xf numFmtId="0" fontId="7" fillId="0" borderId="7" xfId="0" applyFont="1" applyBorder="1"/>
    <xf numFmtId="0" fontId="7" fillId="0" borderId="8" xfId="0" applyFont="1" applyBorder="1"/>
    <xf numFmtId="0" fontId="7" fillId="0" borderId="0" xfId="0" applyFont="1" applyAlignment="1">
      <alignment horizontal="left" indent="3"/>
    </xf>
    <xf numFmtId="0" fontId="7" fillId="0" borderId="9" xfId="0" applyFont="1" applyBorder="1"/>
    <xf numFmtId="0" fontId="7" fillId="0" borderId="10" xfId="0" applyFont="1" applyBorder="1"/>
    <xf numFmtId="0" fontId="9" fillId="0" borderId="0" xfId="0" applyFont="1"/>
    <xf numFmtId="0" fontId="7" fillId="0" borderId="0" xfId="0" applyFont="1" applyAlignment="1">
      <alignment horizontal="center"/>
    </xf>
    <xf numFmtId="0" fontId="7" fillId="0" borderId="0" xfId="0" quotePrefix="1" applyFont="1" applyBorder="1"/>
    <xf numFmtId="167" fontId="7" fillId="0" borderId="0" xfId="0" applyNumberFormat="1" applyFont="1" applyBorder="1" applyProtection="1"/>
    <xf numFmtId="167" fontId="7" fillId="0" borderId="0" xfId="0" applyNumberFormat="1" applyFont="1" applyBorder="1"/>
    <xf numFmtId="167" fontId="7" fillId="0" borderId="2" xfId="0" applyNumberFormat="1" applyFont="1" applyBorder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11" fillId="0" borderId="0" xfId="0" applyFont="1" applyBorder="1"/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165" fontId="11" fillId="0" borderId="0" xfId="0" applyNumberFormat="1" applyFont="1" applyAlignment="1" applyProtection="1">
      <alignment horizontal="right"/>
    </xf>
    <xf numFmtId="2" fontId="11" fillId="0" borderId="0" xfId="0" applyNumberFormat="1" applyFont="1" applyFill="1" applyAlignment="1">
      <alignment horizontal="right"/>
    </xf>
    <xf numFmtId="2" fontId="11" fillId="0" borderId="0" xfId="0" applyNumberFormat="1" applyFont="1" applyAlignment="1">
      <alignment horizontal="right"/>
    </xf>
    <xf numFmtId="2" fontId="11" fillId="0" borderId="0" xfId="0" applyNumberFormat="1" applyFont="1" applyAlignment="1" applyProtection="1">
      <alignment horizontal="right"/>
    </xf>
    <xf numFmtId="0" fontId="11" fillId="0" borderId="0" xfId="0" applyFont="1" applyAlignment="1">
      <alignment horizontal="right"/>
    </xf>
    <xf numFmtId="2" fontId="11" fillId="0" borderId="0" xfId="0" applyNumberFormat="1" applyFont="1" applyFill="1"/>
    <xf numFmtId="1" fontId="11" fillId="0" borderId="0" xfId="0" applyNumberFormat="1" applyFont="1" applyAlignment="1">
      <alignment horizontal="right"/>
    </xf>
    <xf numFmtId="166" fontId="11" fillId="0" borderId="0" xfId="0" applyNumberFormat="1" applyFont="1"/>
    <xf numFmtId="165" fontId="11" fillId="0" borderId="0" xfId="0" applyNumberFormat="1" applyFont="1" applyFill="1" applyAlignment="1" applyProtection="1">
      <alignment horizontal="right"/>
    </xf>
    <xf numFmtId="2" fontId="11" fillId="0" borderId="0" xfId="0" applyNumberFormat="1" applyFont="1"/>
    <xf numFmtId="165" fontId="11" fillId="0" borderId="0" xfId="0" quotePrefix="1" applyNumberFormat="1" applyFont="1" applyAlignment="1" applyProtection="1">
      <alignment horizontal="right"/>
    </xf>
    <xf numFmtId="2" fontId="11" fillId="0" borderId="0" xfId="0" quotePrefix="1" applyNumberFormat="1" applyFont="1" applyAlignment="1">
      <alignment horizontal="right"/>
    </xf>
    <xf numFmtId="2" fontId="11" fillId="0" borderId="0" xfId="0" quotePrefix="1" applyNumberFormat="1" applyFont="1" applyAlignment="1" applyProtection="1">
      <alignment horizontal="right"/>
    </xf>
    <xf numFmtId="1" fontId="11" fillId="0" borderId="0" xfId="0" quotePrefix="1" applyNumberFormat="1" applyFont="1" applyAlignment="1">
      <alignment horizontal="right"/>
    </xf>
    <xf numFmtId="165" fontId="11" fillId="0" borderId="0" xfId="0" quotePrefix="1" applyNumberFormat="1" applyFont="1" applyFill="1" applyAlignment="1" applyProtection="1">
      <alignment horizontal="right"/>
    </xf>
    <xf numFmtId="167" fontId="11" fillId="0" borderId="0" xfId="0" applyNumberFormat="1" applyFont="1" applyProtection="1"/>
    <xf numFmtId="2" fontId="11" fillId="0" borderId="0" xfId="0" applyNumberFormat="1" applyFont="1" applyFill="1" applyAlignment="1" applyProtection="1">
      <alignment horizontal="right"/>
    </xf>
    <xf numFmtId="0" fontId="11" fillId="0" borderId="0" xfId="0" applyFont="1" applyFill="1" applyAlignment="1">
      <alignment horizontal="right"/>
    </xf>
    <xf numFmtId="2" fontId="11" fillId="0" borderId="0" xfId="0" quotePrefix="1" applyNumberFormat="1" applyFont="1" applyFill="1" applyAlignment="1">
      <alignment horizontal="right"/>
    </xf>
    <xf numFmtId="165" fontId="11" fillId="0" borderId="1" xfId="0" applyNumberFormat="1" applyFont="1" applyBorder="1" applyProtection="1"/>
    <xf numFmtId="2" fontId="11" fillId="0" borderId="1" xfId="0" applyNumberFormat="1" applyFont="1" applyBorder="1"/>
    <xf numFmtId="165" fontId="11" fillId="0" borderId="2" xfId="0" applyNumberFormat="1" applyFont="1" applyBorder="1" applyProtection="1"/>
    <xf numFmtId="2" fontId="11" fillId="0" borderId="2" xfId="0" applyNumberFormat="1" applyFont="1" applyBorder="1"/>
    <xf numFmtId="0" fontId="11" fillId="0" borderId="3" xfId="0" applyFont="1" applyBorder="1"/>
    <xf numFmtId="1" fontId="11" fillId="0" borderId="0" xfId="0" applyNumberFormat="1" applyFont="1"/>
    <xf numFmtId="0" fontId="11" fillId="0" borderId="0" xfId="0" applyFont="1" applyFill="1"/>
    <xf numFmtId="0" fontId="11" fillId="0" borderId="0" xfId="0" applyFont="1" applyAlignment="1">
      <alignment horizontal="left" vertical="top"/>
    </xf>
    <xf numFmtId="2" fontId="11" fillId="0" borderId="0" xfId="0" applyNumberFormat="1" applyFont="1" applyAlignment="1">
      <alignment horizontal="left" vertical="top"/>
    </xf>
    <xf numFmtId="1" fontId="11" fillId="0" borderId="0" xfId="0" quotePrefix="1" applyNumberFormat="1" applyFont="1" applyBorder="1"/>
    <xf numFmtId="1" fontId="11" fillId="0" borderId="0" xfId="0" applyNumberFormat="1" applyFont="1" applyBorder="1"/>
    <xf numFmtId="2" fontId="11" fillId="0" borderId="0" xfId="0" applyNumberFormat="1" applyFont="1" applyBorder="1"/>
    <xf numFmtId="1" fontId="11" fillId="0" borderId="0" xfId="0" applyNumberFormat="1" applyFont="1" applyAlignment="1">
      <alignment horizontal="left" vertical="top"/>
    </xf>
    <xf numFmtId="167" fontId="11" fillId="0" borderId="0" xfId="0" applyNumberFormat="1" applyFont="1" applyBorder="1" applyProtection="1"/>
    <xf numFmtId="167" fontId="11" fillId="0" borderId="0" xfId="0" applyNumberFormat="1" applyFont="1" applyBorder="1"/>
    <xf numFmtId="167" fontId="11" fillId="0" borderId="2" xfId="0" applyNumberFormat="1" applyFont="1" applyBorder="1"/>
    <xf numFmtId="0" fontId="13" fillId="0" borderId="0" xfId="0" applyFont="1"/>
    <xf numFmtId="167" fontId="7" fillId="0" borderId="0" xfId="0" applyNumberFormat="1" applyFont="1" applyFill="1" applyBorder="1" applyProtection="1"/>
    <xf numFmtId="0" fontId="7" fillId="0" borderId="0" xfId="0" applyFont="1" applyFill="1"/>
    <xf numFmtId="2" fontId="7" fillId="0" borderId="0" xfId="0" applyNumberFormat="1" applyFont="1" applyFill="1" applyAlignment="1">
      <alignment horizontal="right"/>
    </xf>
    <xf numFmtId="165" fontId="7" fillId="0" borderId="0" xfId="0" applyNumberFormat="1" applyFont="1" applyFill="1" applyAlignment="1" applyProtection="1">
      <alignment horizontal="right"/>
    </xf>
    <xf numFmtId="0" fontId="16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167" fontId="7" fillId="0" borderId="0" xfId="0" applyNumberFormat="1" applyFont="1" applyProtection="1"/>
    <xf numFmtId="0" fontId="14" fillId="0" borderId="0" xfId="0" applyFont="1"/>
    <xf numFmtId="165" fontId="7" fillId="0" borderId="0" xfId="0" quotePrefix="1" applyNumberFormat="1" applyFont="1" applyAlignment="1" applyProtection="1">
      <alignment horizontal="right"/>
    </xf>
    <xf numFmtId="0" fontId="7" fillId="0" borderId="0" xfId="0" quotePrefix="1" applyFont="1" applyAlignment="1">
      <alignment horizontal="right" indent="1"/>
    </xf>
    <xf numFmtId="0" fontId="14" fillId="0" borderId="1" xfId="0" applyFont="1" applyBorder="1"/>
    <xf numFmtId="0" fontId="14" fillId="0" borderId="2" xfId="0" applyFont="1" applyBorder="1"/>
    <xf numFmtId="0" fontId="14" fillId="0" borderId="3" xfId="0" applyFont="1" applyBorder="1"/>
    <xf numFmtId="0" fontId="7" fillId="0" borderId="0" xfId="0" applyFont="1" applyAlignment="1">
      <alignment horizontal="right"/>
    </xf>
    <xf numFmtId="9" fontId="7" fillId="0" borderId="0" xfId="0" applyNumberFormat="1" applyFont="1" applyAlignment="1">
      <alignment horizontal="right"/>
    </xf>
    <xf numFmtId="0" fontId="7" fillId="0" borderId="4" xfId="0" applyFont="1" applyBorder="1"/>
    <xf numFmtId="2" fontId="7" fillId="0" borderId="4" xfId="0" applyNumberFormat="1" applyFont="1" applyBorder="1"/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0" fontId="14" fillId="0" borderId="0" xfId="0" quotePrefix="1" applyFont="1" applyBorder="1"/>
    <xf numFmtId="0" fontId="9" fillId="0" borderId="2" xfId="0" applyFont="1" applyBorder="1"/>
    <xf numFmtId="0" fontId="9" fillId="0" borderId="0" xfId="0" applyFont="1" applyBorder="1" applyAlignment="1">
      <alignment horizontal="left"/>
    </xf>
    <xf numFmtId="0" fontId="9" fillId="0" borderId="2" xfId="0" quotePrefix="1" applyFont="1" applyBorder="1"/>
    <xf numFmtId="1" fontId="7" fillId="0" borderId="0" xfId="0" applyNumberFormat="1" applyFont="1" applyAlignment="1">
      <alignment horizontal="right"/>
    </xf>
    <xf numFmtId="0" fontId="17" fillId="0" borderId="0" xfId="0" applyFont="1" applyAlignment="1"/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0" xfId="0" applyFont="1" applyAlignment="1"/>
    <xf numFmtId="1" fontId="18" fillId="0" borderId="0" xfId="0" applyNumberFormat="1" applyFont="1" applyFill="1" applyAlignment="1" applyProtection="1"/>
    <xf numFmtId="2" fontId="18" fillId="0" borderId="0" xfId="0" applyNumberFormat="1" applyFont="1" applyFill="1" applyAlignment="1"/>
    <xf numFmtId="167" fontId="18" fillId="0" borderId="0" xfId="0" applyNumberFormat="1" applyFont="1" applyFill="1" applyAlignment="1" applyProtection="1"/>
    <xf numFmtId="164" fontId="18" fillId="0" borderId="0" xfId="1" applyFont="1" applyFill="1" applyAlignment="1"/>
    <xf numFmtId="0" fontId="18" fillId="0" borderId="0" xfId="0" applyFont="1" applyFill="1" applyAlignment="1"/>
    <xf numFmtId="165" fontId="18" fillId="0" borderId="0" xfId="0" quotePrefix="1" applyNumberFormat="1" applyFont="1" applyFill="1" applyAlignment="1" applyProtection="1"/>
    <xf numFmtId="2" fontId="18" fillId="0" borderId="0" xfId="0" quotePrefix="1" applyNumberFormat="1" applyFont="1" applyFill="1" applyAlignment="1"/>
    <xf numFmtId="164" fontId="18" fillId="0" borderId="0" xfId="1" applyFont="1" applyFill="1" applyAlignment="1" applyProtection="1"/>
    <xf numFmtId="49" fontId="18" fillId="0" borderId="0" xfId="0" applyNumberFormat="1" applyFont="1" applyFill="1" applyAlignment="1" applyProtection="1">
      <alignment horizontal="right"/>
    </xf>
    <xf numFmtId="49" fontId="18" fillId="0" borderId="0" xfId="0" applyNumberFormat="1" applyFont="1" applyFill="1" applyAlignment="1">
      <alignment horizontal="right"/>
    </xf>
    <xf numFmtId="0" fontId="18" fillId="0" borderId="0" xfId="0" applyFont="1"/>
    <xf numFmtId="164" fontId="18" fillId="0" borderId="0" xfId="1" quotePrefix="1" applyFont="1" applyFill="1" applyAlignment="1"/>
    <xf numFmtId="0" fontId="18" fillId="0" borderId="0" xfId="0" applyFont="1" applyFill="1" applyBorder="1" applyAlignment="1"/>
    <xf numFmtId="164" fontId="18" fillId="0" borderId="0" xfId="1" applyFont="1" applyFill="1" applyBorder="1" applyAlignment="1"/>
    <xf numFmtId="165" fontId="18" fillId="0" borderId="0" xfId="0" applyNumberFormat="1" applyFont="1" applyFill="1" applyAlignment="1" applyProtection="1"/>
    <xf numFmtId="0" fontId="18" fillId="3" borderId="0" xfId="0" applyFont="1" applyFill="1" applyBorder="1" applyAlignment="1"/>
    <xf numFmtId="1" fontId="18" fillId="0" borderId="0" xfId="0" applyNumberFormat="1" applyFont="1" applyFill="1" applyAlignment="1"/>
    <xf numFmtId="2" fontId="18" fillId="0" borderId="0" xfId="0" applyNumberFormat="1" applyFont="1" applyFill="1" applyBorder="1" applyAlignment="1"/>
    <xf numFmtId="0" fontId="18" fillId="0" borderId="1" xfId="0" applyFont="1" applyBorder="1" applyAlignment="1"/>
    <xf numFmtId="165" fontId="18" fillId="0" borderId="1" xfId="0" applyNumberFormat="1" applyFont="1" applyFill="1" applyBorder="1" applyAlignment="1" applyProtection="1"/>
    <xf numFmtId="2" fontId="18" fillId="0" borderId="1" xfId="0" applyNumberFormat="1" applyFont="1" applyFill="1" applyBorder="1" applyAlignment="1"/>
    <xf numFmtId="167" fontId="18" fillId="0" borderId="1" xfId="0" applyNumberFormat="1" applyFont="1" applyFill="1" applyBorder="1" applyAlignment="1"/>
    <xf numFmtId="165" fontId="18" fillId="0" borderId="1" xfId="0" applyNumberFormat="1" applyFont="1" applyFill="1" applyBorder="1" applyAlignment="1"/>
    <xf numFmtId="0" fontId="18" fillId="0" borderId="2" xfId="0" applyFont="1" applyBorder="1" applyAlignment="1"/>
    <xf numFmtId="165" fontId="18" fillId="0" borderId="2" xfId="0" applyNumberFormat="1" applyFont="1" applyFill="1" applyBorder="1" applyAlignment="1" applyProtection="1"/>
    <xf numFmtId="2" fontId="18" fillId="0" borderId="2" xfId="0" applyNumberFormat="1" applyFont="1" applyFill="1" applyBorder="1" applyAlignment="1"/>
    <xf numFmtId="164" fontId="18" fillId="0" borderId="2" xfId="1" applyFont="1" applyFill="1" applyBorder="1" applyAlignment="1"/>
    <xf numFmtId="0" fontId="18" fillId="0" borderId="2" xfId="0" applyFont="1" applyFill="1" applyBorder="1" applyAlignment="1"/>
    <xf numFmtId="0" fontId="18" fillId="0" borderId="0" xfId="0" applyFont="1" applyBorder="1" applyAlignment="1"/>
    <xf numFmtId="165" fontId="18" fillId="0" borderId="0" xfId="0" applyNumberFormat="1" applyFont="1" applyBorder="1" applyAlignment="1" applyProtection="1"/>
    <xf numFmtId="2" fontId="18" fillId="0" borderId="0" xfId="0" applyNumberFormat="1" applyFont="1" applyBorder="1" applyAlignment="1"/>
    <xf numFmtId="1" fontId="18" fillId="0" borderId="0" xfId="0" applyNumberFormat="1" applyFont="1" applyBorder="1" applyAlignment="1"/>
    <xf numFmtId="2" fontId="18" fillId="0" borderId="0" xfId="0" applyNumberFormat="1" applyFont="1" applyAlignment="1"/>
    <xf numFmtId="10" fontId="18" fillId="0" borderId="0" xfId="0" applyNumberFormat="1" applyFont="1" applyAlignment="1"/>
    <xf numFmtId="0" fontId="18" fillId="0" borderId="3" xfId="0" applyFont="1" applyBorder="1" applyAlignment="1"/>
    <xf numFmtId="9" fontId="18" fillId="0" borderId="0" xfId="0" applyNumberFormat="1" applyFont="1"/>
    <xf numFmtId="0" fontId="18" fillId="0" borderId="0" xfId="0" applyFont="1" applyFill="1"/>
    <xf numFmtId="0" fontId="18" fillId="0" borderId="7" xfId="0" applyFont="1" applyBorder="1"/>
    <xf numFmtId="2" fontId="18" fillId="0" borderId="8" xfId="0" applyNumberFormat="1" applyFont="1" applyBorder="1"/>
    <xf numFmtId="1" fontId="18" fillId="0" borderId="2" xfId="0" applyNumberFormat="1" applyFont="1" applyBorder="1" applyAlignment="1"/>
    <xf numFmtId="0" fontId="18" fillId="0" borderId="9" xfId="0" applyFont="1" applyBorder="1"/>
    <xf numFmtId="2" fontId="18" fillId="0" borderId="10" xfId="0" applyNumberFormat="1" applyFont="1" applyBorder="1"/>
    <xf numFmtId="0" fontId="17" fillId="0" borderId="0" xfId="0" applyFont="1" applyBorder="1" applyAlignment="1"/>
    <xf numFmtId="2" fontId="18" fillId="0" borderId="2" xfId="0" applyNumberFormat="1" applyFont="1" applyBorder="1" applyAlignment="1"/>
    <xf numFmtId="2" fontId="17" fillId="0" borderId="0" xfId="0" applyNumberFormat="1" applyFont="1" applyBorder="1" applyAlignment="1"/>
    <xf numFmtId="2" fontId="18" fillId="0" borderId="0" xfId="0" applyNumberFormat="1" applyFont="1" applyFill="1" applyBorder="1" applyAlignment="1" applyProtection="1"/>
    <xf numFmtId="1" fontId="18" fillId="0" borderId="0" xfId="0" applyNumberFormat="1" applyFont="1" applyAlignment="1"/>
    <xf numFmtId="9" fontId="18" fillId="0" borderId="0" xfId="0" applyNumberFormat="1" applyFont="1" applyAlignment="1"/>
    <xf numFmtId="0" fontId="19" fillId="0" borderId="0" xfId="0" applyFont="1" applyAlignment="1"/>
    <xf numFmtId="0" fontId="20" fillId="0" borderId="0" xfId="0" quotePrefix="1" applyFont="1" applyBorder="1" applyAlignment="1"/>
    <xf numFmtId="0" fontId="18" fillId="0" borderId="3" xfId="0" applyFont="1" applyBorder="1"/>
    <xf numFmtId="0" fontId="15" fillId="0" borderId="0" xfId="0" applyFont="1"/>
    <xf numFmtId="0" fontId="7" fillId="4" borderId="0" xfId="0" applyFont="1" applyFill="1"/>
    <xf numFmtId="0" fontId="7" fillId="0" borderId="0" xfId="0" applyFont="1" applyFill="1" applyAlignment="1">
      <alignment horizontal="center"/>
    </xf>
    <xf numFmtId="0" fontId="21" fillId="0" borderId="0" xfId="0" applyFont="1"/>
    <xf numFmtId="0" fontId="7" fillId="0" borderId="11" xfId="0" applyFont="1" applyBorder="1"/>
    <xf numFmtId="2" fontId="7" fillId="0" borderId="0" xfId="0" applyNumberFormat="1" applyFont="1" applyFill="1"/>
    <xf numFmtId="2" fontId="7" fillId="0" borderId="0" xfId="0" applyNumberFormat="1" applyFont="1" applyFill="1" applyProtection="1"/>
    <xf numFmtId="2" fontId="7" fillId="0" borderId="12" xfId="0" applyNumberFormat="1" applyFont="1" applyFill="1" applyBorder="1"/>
    <xf numFmtId="2" fontId="7" fillId="0" borderId="12" xfId="0" applyNumberFormat="1" applyFont="1" applyBorder="1"/>
    <xf numFmtId="0" fontId="7" fillId="0" borderId="11" xfId="0" applyFont="1" applyFill="1" applyBorder="1"/>
    <xf numFmtId="1" fontId="7" fillId="0" borderId="0" xfId="0" applyNumberFormat="1" applyFont="1" applyFill="1"/>
    <xf numFmtId="0" fontId="7" fillId="0" borderId="1" xfId="0" applyFont="1" applyFill="1" applyBorder="1"/>
    <xf numFmtId="165" fontId="7" fillId="0" borderId="1" xfId="0" applyNumberFormat="1" applyFont="1" applyFill="1" applyBorder="1" applyProtection="1"/>
    <xf numFmtId="2" fontId="7" fillId="0" borderId="1" xfId="0" applyNumberFormat="1" applyFont="1" applyFill="1" applyBorder="1"/>
    <xf numFmtId="1" fontId="7" fillId="0" borderId="5" xfId="0" applyNumberFormat="1" applyFont="1" applyFill="1" applyBorder="1"/>
    <xf numFmtId="0" fontId="7" fillId="0" borderId="2" xfId="0" applyFont="1" applyFill="1" applyBorder="1"/>
    <xf numFmtId="165" fontId="7" fillId="0" borderId="2" xfId="0" applyNumberFormat="1" applyFont="1" applyFill="1" applyBorder="1" applyProtection="1"/>
    <xf numFmtId="2" fontId="7" fillId="0" borderId="2" xfId="0" applyNumberFormat="1" applyFont="1" applyFill="1" applyBorder="1"/>
    <xf numFmtId="0" fontId="7" fillId="0" borderId="12" xfId="0" applyFont="1" applyFill="1" applyBorder="1"/>
    <xf numFmtId="0" fontId="7" fillId="0" borderId="3" xfId="0" applyFont="1" applyFill="1" applyBorder="1"/>
    <xf numFmtId="0" fontId="7" fillId="0" borderId="3" xfId="0" applyFont="1" applyFill="1" applyBorder="1" applyAlignment="1">
      <alignment horizontal="left" indent="2"/>
    </xf>
    <xf numFmtId="9" fontId="7" fillId="0" borderId="0" xfId="0" applyNumberFormat="1" applyFont="1" applyFill="1"/>
    <xf numFmtId="0" fontId="7" fillId="0" borderId="4" xfId="0" applyFont="1" applyFill="1" applyBorder="1"/>
    <xf numFmtId="0" fontId="7" fillId="0" borderId="0" xfId="0" applyFont="1" applyFill="1" applyBorder="1" applyAlignment="1">
      <alignment horizontal="left" indent="2"/>
    </xf>
    <xf numFmtId="0" fontId="7" fillId="0" borderId="0" xfId="0" applyFont="1" applyFill="1" applyBorder="1"/>
    <xf numFmtId="1" fontId="7" fillId="0" borderId="0" xfId="0" applyNumberFormat="1" applyFont="1" applyFill="1" applyBorder="1"/>
    <xf numFmtId="2" fontId="7" fillId="0" borderId="0" xfId="0" applyNumberFormat="1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quotePrefix="1" applyFont="1" applyFill="1" applyBorder="1"/>
    <xf numFmtId="0" fontId="15" fillId="0" borderId="1" xfId="0" applyFont="1" applyFill="1" applyBorder="1" applyAlignment="1">
      <alignment horizontal="center"/>
    </xf>
    <xf numFmtId="167" fontId="7" fillId="0" borderId="0" xfId="0" applyNumberFormat="1" applyFont="1" applyFill="1" applyBorder="1"/>
    <xf numFmtId="167" fontId="7" fillId="0" borderId="2" xfId="0" applyNumberFormat="1" applyFont="1" applyFill="1" applyBorder="1"/>
    <xf numFmtId="0" fontId="14" fillId="0" borderId="0" xfId="0" applyFont="1" applyAlignment="1">
      <alignment horizontal="left" vertical="top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selection sqref="A1:XFD1048576"/>
    </sheetView>
  </sheetViews>
  <sheetFormatPr defaultRowHeight="11.25" x14ac:dyDescent="0.2"/>
  <cols>
    <col min="1" max="1" width="23.28515625" style="4" customWidth="1"/>
    <col min="2" max="2" width="6.42578125" style="4" customWidth="1"/>
    <col min="3" max="3" width="4.5703125" style="4" customWidth="1"/>
    <col min="4" max="4" width="6.85546875" style="4" customWidth="1"/>
    <col min="5" max="5" width="6" style="4" customWidth="1"/>
    <col min="6" max="6" width="11" style="4" customWidth="1"/>
    <col min="7" max="7" width="13.28515625" style="4" customWidth="1"/>
    <col min="8" max="8" width="9" style="4" customWidth="1"/>
    <col min="9" max="9" width="7.140625" style="4" customWidth="1"/>
    <col min="10" max="10" width="8" style="4" customWidth="1"/>
    <col min="11" max="11" width="5.7109375" style="4" customWidth="1"/>
    <col min="12" max="12" width="7.5703125" style="4" customWidth="1"/>
    <col min="13" max="14" width="9.140625" style="4"/>
    <col min="15" max="15" width="15.140625" style="4" bestFit="1" customWidth="1"/>
    <col min="16" max="16384" width="9.140625" style="4"/>
  </cols>
  <sheetData>
    <row r="1" spans="1:16" ht="18.7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3" t="s">
        <v>2</v>
      </c>
    </row>
    <row r="2" spans="1:16" ht="18.75" x14ac:dyDescent="0.3">
      <c r="A2" s="1"/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5">
        <v>44520</v>
      </c>
    </row>
    <row r="3" spans="1:16" ht="12" x14ac:dyDescent="0.2">
      <c r="A3" s="1"/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1"/>
    </row>
    <row r="4" spans="1:16" ht="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1"/>
    </row>
    <row r="5" spans="1:16" ht="12" x14ac:dyDescent="0.2">
      <c r="A5" s="6" t="s">
        <v>5</v>
      </c>
      <c r="B5" s="6"/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 t="s">
        <v>14</v>
      </c>
      <c r="L5" s="7"/>
      <c r="M5" s="2"/>
      <c r="N5" s="1"/>
    </row>
    <row r="6" spans="1:16" ht="12" x14ac:dyDescent="0.2">
      <c r="A6" s="9"/>
      <c r="B6" s="9"/>
      <c r="C6" s="10" t="s">
        <v>15</v>
      </c>
      <c r="D6" s="10" t="s">
        <v>16</v>
      </c>
      <c r="E6" s="10" t="s">
        <v>16</v>
      </c>
      <c r="F6" s="10" t="s">
        <v>17</v>
      </c>
      <c r="G6" s="10" t="s">
        <v>18</v>
      </c>
      <c r="H6" s="10" t="s">
        <v>19</v>
      </c>
      <c r="I6" s="10" t="s">
        <v>18</v>
      </c>
      <c r="J6" s="10" t="s">
        <v>18</v>
      </c>
      <c r="K6" s="11" t="s">
        <v>11</v>
      </c>
      <c r="L6" s="11" t="s">
        <v>12</v>
      </c>
      <c r="M6" s="2"/>
      <c r="N6" s="1"/>
    </row>
    <row r="7" spans="1:16" ht="12" x14ac:dyDescent="0.2">
      <c r="A7" s="9"/>
      <c r="B7" s="9"/>
      <c r="C7" s="10" t="s">
        <v>20</v>
      </c>
      <c r="D7" s="10"/>
      <c r="E7" s="10"/>
      <c r="F7" s="10"/>
      <c r="G7" s="10" t="s">
        <v>21</v>
      </c>
      <c r="H7" s="10" t="s">
        <v>18</v>
      </c>
      <c r="I7" s="10" t="s">
        <v>21</v>
      </c>
      <c r="J7" s="10" t="s">
        <v>21</v>
      </c>
      <c r="K7" s="10"/>
      <c r="L7" s="10"/>
      <c r="M7" s="2"/>
      <c r="N7" s="1"/>
      <c r="O7" s="4" t="s">
        <v>22</v>
      </c>
      <c r="P7" s="4">
        <v>2018</v>
      </c>
    </row>
    <row r="8" spans="1:16" ht="12" x14ac:dyDescent="0.2">
      <c r="A8" s="12"/>
      <c r="B8" s="12"/>
      <c r="C8" s="13"/>
      <c r="D8" s="13"/>
      <c r="E8" s="13"/>
      <c r="F8" s="13"/>
      <c r="G8" s="13"/>
      <c r="H8" s="13" t="s">
        <v>21</v>
      </c>
      <c r="I8" s="13"/>
      <c r="J8" s="13"/>
      <c r="K8" s="13"/>
      <c r="L8" s="13"/>
      <c r="M8" s="2"/>
      <c r="N8" s="1"/>
    </row>
    <row r="9" spans="1:16" ht="12" x14ac:dyDescent="0.2">
      <c r="A9" s="1" t="s">
        <v>23</v>
      </c>
      <c r="B9" s="1"/>
      <c r="C9" s="14">
        <v>80.645161290322577</v>
      </c>
      <c r="D9" s="15">
        <v>8.75</v>
      </c>
      <c r="E9" s="15">
        <v>1.99</v>
      </c>
      <c r="F9" s="16">
        <v>1735.8974358974358</v>
      </c>
      <c r="G9" s="15">
        <v>15189</v>
      </c>
      <c r="H9" s="1"/>
      <c r="I9" s="15"/>
      <c r="J9" s="15">
        <f>+I9+G9+H9</f>
        <v>15189</v>
      </c>
      <c r="K9" s="1"/>
      <c r="L9" s="1"/>
      <c r="M9" s="2"/>
      <c r="N9" s="1"/>
      <c r="O9" s="4">
        <f>17609/1318</f>
        <v>13.360394537177541</v>
      </c>
      <c r="P9" s="4">
        <f>17237/1362</f>
        <v>12.655653450807636</v>
      </c>
    </row>
    <row r="10" spans="1:16" ht="12" x14ac:dyDescent="0.2">
      <c r="A10" s="1" t="s">
        <v>24</v>
      </c>
      <c r="B10" s="1"/>
      <c r="C10" s="14">
        <v>87.096774193548384</v>
      </c>
      <c r="D10" s="15">
        <v>0.93741403026134817</v>
      </c>
      <c r="E10" s="15">
        <v>0.92022008253094922</v>
      </c>
      <c r="F10" s="16">
        <v>2000</v>
      </c>
      <c r="G10" s="15">
        <v>1875</v>
      </c>
      <c r="H10" s="15">
        <v>8230</v>
      </c>
      <c r="I10" s="15"/>
      <c r="J10" s="15">
        <f t="shared" ref="J10:J18" si="0">+I10+G10+H10</f>
        <v>10105</v>
      </c>
      <c r="K10" s="1"/>
      <c r="L10" s="1"/>
      <c r="M10" s="2"/>
      <c r="N10" s="1"/>
      <c r="O10" s="4">
        <f>2100/1318</f>
        <v>1.5933232169954477</v>
      </c>
      <c r="P10" s="4">
        <f>1594/1362</f>
        <v>1.1703377386196769</v>
      </c>
    </row>
    <row r="11" spans="1:16" ht="11.25" customHeight="1" x14ac:dyDescent="0.2">
      <c r="A11" s="1" t="s">
        <v>25</v>
      </c>
      <c r="B11" s="1"/>
      <c r="C11" s="17" t="s">
        <v>26</v>
      </c>
      <c r="D11" s="15"/>
      <c r="E11" s="15"/>
      <c r="F11" s="16"/>
      <c r="G11" s="18" t="s">
        <v>27</v>
      </c>
      <c r="H11" s="1"/>
      <c r="I11" s="15"/>
      <c r="J11" s="15"/>
      <c r="K11" s="1"/>
      <c r="L11" s="1"/>
      <c r="M11" s="2"/>
      <c r="N11" s="1"/>
    </row>
    <row r="12" spans="1:16" ht="12" x14ac:dyDescent="0.2">
      <c r="A12" s="1" t="s">
        <v>28</v>
      </c>
      <c r="B12" s="1"/>
      <c r="C12" s="14">
        <v>96.774193548387103</v>
      </c>
      <c r="D12" s="15">
        <v>15.28</v>
      </c>
      <c r="E12" s="15">
        <v>2.61</v>
      </c>
      <c r="F12" s="16">
        <v>1792.3753665689151</v>
      </c>
      <c r="G12" s="15">
        <v>27388</v>
      </c>
      <c r="H12" s="1"/>
      <c r="I12" s="19" t="s">
        <v>29</v>
      </c>
      <c r="J12" s="15">
        <v>31256</v>
      </c>
      <c r="K12" s="1"/>
      <c r="L12" s="1"/>
      <c r="M12" s="2"/>
      <c r="N12" s="1"/>
      <c r="O12" s="4">
        <f>25560/1318</f>
        <v>19.393019726858878</v>
      </c>
      <c r="P12" s="4">
        <f>23744/1362</f>
        <v>17.433186490455213</v>
      </c>
    </row>
    <row r="13" spans="1:16" ht="12" x14ac:dyDescent="0.2">
      <c r="A13" s="1" t="s">
        <v>30</v>
      </c>
      <c r="B13" s="1"/>
      <c r="C13" s="17" t="s">
        <v>31</v>
      </c>
      <c r="D13" s="15"/>
      <c r="E13" s="15"/>
      <c r="F13" s="16"/>
      <c r="G13" s="15">
        <f t="shared" ref="G13" si="1">+D13*F13</f>
        <v>0</v>
      </c>
      <c r="H13" s="1"/>
      <c r="I13" s="18" t="s">
        <v>32</v>
      </c>
      <c r="J13" s="15"/>
      <c r="K13" s="1"/>
      <c r="L13" s="1"/>
      <c r="M13" s="2"/>
      <c r="N13" s="1"/>
    </row>
    <row r="14" spans="1:16" ht="12" x14ac:dyDescent="0.2">
      <c r="A14" s="1" t="s">
        <v>33</v>
      </c>
      <c r="B14" s="1"/>
      <c r="C14" s="14">
        <v>100</v>
      </c>
      <c r="D14" s="15">
        <v>9.74</v>
      </c>
      <c r="E14" s="15">
        <v>2.16</v>
      </c>
      <c r="F14" s="16">
        <v>1589.6583662328942</v>
      </c>
      <c r="G14" s="15">
        <v>15483</v>
      </c>
      <c r="H14" s="1"/>
      <c r="I14" s="15">
        <v>12242</v>
      </c>
      <c r="J14" s="15">
        <f t="shared" si="0"/>
        <v>27725</v>
      </c>
      <c r="K14" s="1"/>
      <c r="L14" s="1"/>
      <c r="M14" s="2"/>
      <c r="N14" s="1"/>
      <c r="O14" s="4">
        <f>19691/1318</f>
        <v>14.940060698027315</v>
      </c>
      <c r="P14" s="4">
        <f>16701/1362</f>
        <v>12.262114537444933</v>
      </c>
    </row>
    <row r="15" spans="1:16" ht="12" x14ac:dyDescent="0.2">
      <c r="A15" s="20" t="s">
        <v>34</v>
      </c>
      <c r="B15" s="1"/>
      <c r="C15" s="14">
        <v>100</v>
      </c>
      <c r="D15" s="21">
        <v>6.76</v>
      </c>
      <c r="E15" s="15">
        <v>3.45</v>
      </c>
      <c r="F15" s="16">
        <v>1645.679012345679</v>
      </c>
      <c r="G15" s="15">
        <v>11125</v>
      </c>
      <c r="H15" s="1"/>
      <c r="I15" s="22">
        <v>19554</v>
      </c>
      <c r="J15" s="15">
        <f>+I15+G15+H15</f>
        <v>30679</v>
      </c>
      <c r="K15" s="1"/>
      <c r="L15" s="1"/>
      <c r="M15" s="2"/>
      <c r="N15" s="1"/>
      <c r="O15" s="4">
        <f>27898/1318</f>
        <v>21.166919575113809</v>
      </c>
      <c r="P15" s="4">
        <f>13594/1362</f>
        <v>9.9809104258443462</v>
      </c>
    </row>
    <row r="16" spans="1:16" ht="12" x14ac:dyDescent="0.2">
      <c r="A16" s="1" t="s">
        <v>35</v>
      </c>
      <c r="B16" s="1"/>
      <c r="C16" s="14">
        <v>100</v>
      </c>
      <c r="D16" s="15">
        <v>17</v>
      </c>
      <c r="E16" s="15">
        <v>1.4</v>
      </c>
      <c r="F16" s="16">
        <v>1037.2952223142777</v>
      </c>
      <c r="G16" s="15">
        <v>17634</v>
      </c>
      <c r="H16" s="1"/>
      <c r="J16" s="15">
        <f t="shared" si="0"/>
        <v>17634</v>
      </c>
      <c r="K16" s="1"/>
      <c r="L16" s="1"/>
      <c r="M16" s="2"/>
      <c r="N16" s="1"/>
      <c r="O16" s="4">
        <f>20717/1318</f>
        <v>15.718512898330804</v>
      </c>
      <c r="P16" s="4">
        <f>20935/1362</f>
        <v>15.370778267254039</v>
      </c>
    </row>
    <row r="17" spans="1:16" ht="12" x14ac:dyDescent="0.2">
      <c r="A17" s="1" t="s">
        <v>36</v>
      </c>
      <c r="B17" s="1"/>
      <c r="C17" s="14">
        <v>100</v>
      </c>
      <c r="D17" s="15">
        <v>7.59</v>
      </c>
      <c r="E17" s="15">
        <v>4.25</v>
      </c>
      <c r="F17" s="16">
        <v>1388.8198757763976</v>
      </c>
      <c r="G17" s="15">
        <v>10541</v>
      </c>
      <c r="H17" s="1"/>
      <c r="I17" s="15">
        <v>17395</v>
      </c>
      <c r="J17" s="15">
        <f t="shared" si="0"/>
        <v>27936</v>
      </c>
      <c r="K17" s="1"/>
      <c r="L17" s="1"/>
      <c r="M17" s="2"/>
      <c r="N17" s="1"/>
      <c r="O17" s="4">
        <f>10200/1318</f>
        <v>7.7389984825493174</v>
      </c>
      <c r="P17" s="4">
        <f>12192/1362</f>
        <v>8.9515418502202646</v>
      </c>
    </row>
    <row r="18" spans="1:16" ht="12" x14ac:dyDescent="0.2">
      <c r="A18" s="1" t="s">
        <v>37</v>
      </c>
      <c r="B18" s="1"/>
      <c r="C18" s="14">
        <v>100</v>
      </c>
      <c r="D18" s="15">
        <v>16.075474586650337</v>
      </c>
      <c r="E18" s="15">
        <v>10.196723821187998</v>
      </c>
      <c r="F18" s="16">
        <v>1525</v>
      </c>
      <c r="G18" s="15">
        <v>24515</v>
      </c>
      <c r="H18" s="15">
        <v>12446</v>
      </c>
      <c r="I18" s="15"/>
      <c r="J18" s="15">
        <f t="shared" si="0"/>
        <v>36961</v>
      </c>
      <c r="K18" s="1"/>
      <c r="L18" s="1"/>
      <c r="M18" s="2"/>
      <c r="N18" s="1"/>
      <c r="O18" s="4">
        <f>30416/1318</f>
        <v>23.077389984825494</v>
      </c>
      <c r="P18" s="4">
        <f>31601/1362</f>
        <v>23.201908957415565</v>
      </c>
    </row>
    <row r="19" spans="1:16" ht="12" x14ac:dyDescent="0.2">
      <c r="A19" s="1" t="s">
        <v>38</v>
      </c>
      <c r="B19" s="1"/>
      <c r="C19" s="14">
        <v>93.548387096774192</v>
      </c>
      <c r="D19" s="23"/>
      <c r="E19" s="23"/>
      <c r="F19" s="24"/>
      <c r="G19" s="15"/>
      <c r="H19" s="1"/>
      <c r="I19" s="15"/>
      <c r="J19" s="15"/>
      <c r="K19" s="1"/>
      <c r="L19" s="1"/>
      <c r="M19" s="2"/>
      <c r="N19" s="1"/>
    </row>
    <row r="20" spans="1:16" ht="12" x14ac:dyDescent="0.2">
      <c r="A20" s="1" t="s">
        <v>39</v>
      </c>
      <c r="B20" s="1"/>
      <c r="C20" s="17" t="s">
        <v>40</v>
      </c>
      <c r="D20" s="15"/>
      <c r="E20" s="15"/>
      <c r="F20" s="16"/>
      <c r="G20" s="18" t="s">
        <v>41</v>
      </c>
      <c r="H20" s="1"/>
      <c r="I20" s="15"/>
      <c r="J20" s="15"/>
      <c r="K20" s="1"/>
      <c r="L20" s="1"/>
      <c r="M20" s="2"/>
      <c r="N20" s="1"/>
    </row>
    <row r="21" spans="1:16" ht="12" x14ac:dyDescent="0.2">
      <c r="A21" s="6" t="s">
        <v>42</v>
      </c>
      <c r="B21" s="6"/>
      <c r="C21" s="25"/>
      <c r="D21" s="26">
        <f>SUM(D9:D20)</f>
        <v>82.132888616911686</v>
      </c>
      <c r="E21" s="26">
        <f>SUM(E9:E20)</f>
        <v>26.976943903718951</v>
      </c>
      <c r="F21" s="26">
        <f>SUM(F9:F20)</f>
        <v>12714.7252791356</v>
      </c>
      <c r="G21" s="26">
        <f>SUM(G9:G20)</f>
        <v>123750</v>
      </c>
      <c r="H21" s="26">
        <f>SUM(H9:H20)</f>
        <v>20676</v>
      </c>
      <c r="I21" s="26">
        <v>53059</v>
      </c>
      <c r="J21" s="26">
        <f>SUM(J9:J20)</f>
        <v>197485</v>
      </c>
      <c r="K21" s="6"/>
      <c r="L21" s="6"/>
      <c r="M21" s="2"/>
      <c r="N21" s="1"/>
      <c r="O21" s="4">
        <f>SUM(O9:O20)</f>
        <v>116.98861911987862</v>
      </c>
      <c r="P21" s="4">
        <f>SUM(P9:P20)</f>
        <v>101.02643171806167</v>
      </c>
    </row>
    <row r="22" spans="1:16" ht="12" x14ac:dyDescent="0.2">
      <c r="A22" s="12" t="s">
        <v>43</v>
      </c>
      <c r="B22" s="12"/>
      <c r="C22" s="27"/>
      <c r="D22" s="28">
        <f>+D21-E21</f>
        <v>55.155944713192739</v>
      </c>
      <c r="E22" s="28"/>
      <c r="F22" s="28"/>
      <c r="G22" s="28">
        <f>+D31*F31</f>
        <v>82995</v>
      </c>
      <c r="H22" s="28">
        <f>+H21-K21</f>
        <v>20676</v>
      </c>
      <c r="I22" s="28">
        <f>+I21-L21</f>
        <v>53059</v>
      </c>
      <c r="J22" s="28">
        <f>+G22+H22+I22</f>
        <v>156730</v>
      </c>
      <c r="K22" s="12"/>
      <c r="L22" s="12"/>
      <c r="M22" s="2"/>
      <c r="N22" s="1"/>
    </row>
    <row r="23" spans="1:16" ht="12" x14ac:dyDescent="0.2">
      <c r="A23" s="4" t="s">
        <v>44</v>
      </c>
      <c r="B23" s="1" t="s">
        <v>45</v>
      </c>
      <c r="C23" s="29"/>
      <c r="D23" s="30"/>
      <c r="E23" s="30"/>
      <c r="F23" s="30"/>
      <c r="G23" s="30"/>
      <c r="H23" s="9"/>
      <c r="I23" s="30"/>
      <c r="J23" s="30"/>
      <c r="K23" s="9"/>
      <c r="L23" s="9"/>
      <c r="M23" s="2"/>
      <c r="N23" s="1"/>
    </row>
    <row r="24" spans="1:16" ht="12" x14ac:dyDescent="0.2">
      <c r="A24" s="31" t="s">
        <v>46</v>
      </c>
      <c r="B24" s="9" t="s">
        <v>47</v>
      </c>
      <c r="C24" s="29"/>
      <c r="D24" s="30"/>
      <c r="E24" s="30"/>
      <c r="F24" s="30"/>
      <c r="G24" s="30"/>
      <c r="H24" s="9"/>
      <c r="I24" s="30"/>
      <c r="J24" s="30"/>
      <c r="K24" s="9"/>
      <c r="L24" s="9"/>
      <c r="M24" s="2"/>
      <c r="N24" s="1"/>
    </row>
    <row r="25" spans="1:16" ht="12" x14ac:dyDescent="0.2">
      <c r="A25" s="31"/>
      <c r="B25" s="9"/>
      <c r="C25" s="29"/>
      <c r="D25" s="30"/>
      <c r="E25" s="30"/>
      <c r="F25" s="30"/>
      <c r="G25" s="30"/>
      <c r="H25" s="9"/>
      <c r="I25" s="30"/>
      <c r="J25" s="30"/>
      <c r="K25" s="9"/>
      <c r="L25" s="9"/>
      <c r="M25" s="2"/>
      <c r="N25" s="1"/>
    </row>
    <row r="26" spans="1:16" ht="12" x14ac:dyDescent="0.2">
      <c r="A26" s="1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1"/>
    </row>
    <row r="27" spans="1:16" ht="12" x14ac:dyDescent="0.2">
      <c r="A27" s="32" t="s">
        <v>49</v>
      </c>
      <c r="B27" s="32"/>
      <c r="C27" s="32" t="s">
        <v>50</v>
      </c>
      <c r="D27" s="32" t="s">
        <v>51</v>
      </c>
      <c r="E27" s="32"/>
      <c r="F27" s="32" t="s">
        <v>52</v>
      </c>
      <c r="G27" s="33" t="s">
        <v>53</v>
      </c>
      <c r="M27" s="2"/>
      <c r="N27" s="1"/>
    </row>
    <row r="28" spans="1:16" ht="12" x14ac:dyDescent="0.2">
      <c r="A28" s="1" t="s">
        <v>54</v>
      </c>
      <c r="D28" s="1"/>
      <c r="E28" s="1"/>
      <c r="F28" s="1"/>
      <c r="G28" s="34" t="s">
        <v>55</v>
      </c>
      <c r="H28" s="35">
        <v>54.838709677419352</v>
      </c>
      <c r="M28" s="2"/>
      <c r="N28" s="1"/>
    </row>
    <row r="29" spans="1:16" ht="12" x14ac:dyDescent="0.2">
      <c r="A29" s="20" t="s">
        <v>56</v>
      </c>
      <c r="B29" s="1"/>
      <c r="C29" s="1" t="s">
        <v>57</v>
      </c>
      <c r="D29" s="15">
        <v>1.47</v>
      </c>
      <c r="E29" s="1"/>
      <c r="F29" s="36">
        <v>8327.7661795407112</v>
      </c>
      <c r="G29" s="34" t="s">
        <v>58</v>
      </c>
      <c r="H29" s="35">
        <v>19.35483870967742</v>
      </c>
      <c r="I29" s="9"/>
      <c r="N29" s="2">
        <f>+D29*F29</f>
        <v>12241.816283924845</v>
      </c>
    </row>
    <row r="30" spans="1:16" ht="12" x14ac:dyDescent="0.2">
      <c r="A30" s="1" t="s">
        <v>59</v>
      </c>
      <c r="B30" s="1"/>
      <c r="C30" s="1"/>
      <c r="D30" s="1"/>
      <c r="E30" s="1"/>
      <c r="F30" s="1"/>
      <c r="G30" s="34" t="s">
        <v>60</v>
      </c>
      <c r="H30" s="35">
        <v>16.129032258064516</v>
      </c>
      <c r="I30" s="37"/>
      <c r="L30" s="1"/>
      <c r="N30" s="2">
        <f>+D35*F35+D36*F36+D37*F37</f>
        <v>19554</v>
      </c>
    </row>
    <row r="31" spans="1:16" ht="12.75" x14ac:dyDescent="0.2">
      <c r="A31" s="1" t="s">
        <v>61</v>
      </c>
      <c r="B31" s="1"/>
      <c r="C31" s="1" t="s">
        <v>62</v>
      </c>
      <c r="D31" s="15">
        <v>55</v>
      </c>
      <c r="E31" s="1"/>
      <c r="F31" s="15">
        <v>1509</v>
      </c>
      <c r="G31" s="34" t="s">
        <v>63</v>
      </c>
      <c r="H31" s="35">
        <v>9.67741935483871</v>
      </c>
      <c r="I31" s="38" t="s">
        <v>64</v>
      </c>
      <c r="J31" s="39">
        <v>0.52674731182795698</v>
      </c>
      <c r="L31" s="1"/>
      <c r="M31" s="2"/>
      <c r="N31" s="1"/>
    </row>
    <row r="32" spans="1:16" ht="12.75" x14ac:dyDescent="0.2">
      <c r="A32" s="1" t="s">
        <v>65</v>
      </c>
      <c r="B32" s="1"/>
      <c r="C32" s="1" t="s">
        <v>62</v>
      </c>
      <c r="D32" s="15">
        <v>27</v>
      </c>
      <c r="E32" s="1"/>
      <c r="F32" s="1"/>
      <c r="G32" s="9"/>
      <c r="I32" s="38" t="s">
        <v>66</v>
      </c>
      <c r="J32" s="38">
        <v>0.5</v>
      </c>
      <c r="L32" s="1"/>
      <c r="M32" s="2"/>
      <c r="N32" s="1"/>
    </row>
    <row r="33" spans="1:16" ht="12" x14ac:dyDescent="0.2">
      <c r="A33" s="1" t="s">
        <v>7</v>
      </c>
      <c r="B33" s="1"/>
      <c r="C33" s="1" t="s">
        <v>62</v>
      </c>
      <c r="D33" s="15">
        <v>82</v>
      </c>
      <c r="E33" s="1"/>
      <c r="F33" s="1"/>
      <c r="G33" s="9"/>
      <c r="J33" s="40"/>
      <c r="K33" s="41"/>
      <c r="L33" s="1"/>
      <c r="M33" s="2"/>
      <c r="N33" s="1"/>
    </row>
    <row r="34" spans="1:16" ht="12" x14ac:dyDescent="0.2">
      <c r="A34" s="6" t="s">
        <v>67</v>
      </c>
      <c r="B34" s="6" t="s">
        <v>68</v>
      </c>
      <c r="C34" s="42"/>
      <c r="D34" s="42"/>
      <c r="E34" s="6"/>
      <c r="F34" s="6"/>
      <c r="G34" s="9"/>
      <c r="J34" s="40"/>
      <c r="K34" s="41"/>
      <c r="L34" s="1"/>
      <c r="M34" s="2"/>
      <c r="N34" s="1"/>
    </row>
    <row r="35" spans="1:16" ht="12" x14ac:dyDescent="0.2">
      <c r="A35" s="9" t="s">
        <v>69</v>
      </c>
      <c r="B35" s="43">
        <v>96.774193548387103</v>
      </c>
      <c r="C35" s="44" t="s">
        <v>57</v>
      </c>
      <c r="D35" s="45">
        <v>260</v>
      </c>
      <c r="E35" s="43"/>
      <c r="F35" s="30">
        <v>30</v>
      </c>
      <c r="G35" s="9"/>
      <c r="J35" s="46"/>
      <c r="K35" s="1"/>
      <c r="L35" s="1"/>
      <c r="M35" s="2"/>
      <c r="N35" s="36">
        <f>332+D37</f>
        <v>484</v>
      </c>
      <c r="O35" s="4">
        <v>388</v>
      </c>
      <c r="P35" s="4">
        <v>374</v>
      </c>
    </row>
    <row r="36" spans="1:16" ht="12" x14ac:dyDescent="0.2">
      <c r="A36" s="1" t="s">
        <v>70</v>
      </c>
      <c r="B36" s="47">
        <v>57.575757575757578</v>
      </c>
      <c r="C36" s="44" t="s">
        <v>57</v>
      </c>
      <c r="D36" s="45">
        <v>1378</v>
      </c>
      <c r="E36" s="43"/>
      <c r="F36" s="30">
        <v>5</v>
      </c>
      <c r="G36" s="9"/>
      <c r="J36" s="46"/>
      <c r="K36" s="1"/>
      <c r="L36" s="1"/>
      <c r="M36" s="2"/>
      <c r="O36" s="4">
        <v>1247</v>
      </c>
      <c r="P36" s="4">
        <v>1252</v>
      </c>
    </row>
    <row r="37" spans="1:16" ht="12" x14ac:dyDescent="0.2">
      <c r="A37" s="48" t="s">
        <v>71</v>
      </c>
      <c r="B37" s="47">
        <v>45.161290322580641</v>
      </c>
      <c r="C37" s="44" t="s">
        <v>57</v>
      </c>
      <c r="D37" s="45">
        <v>152</v>
      </c>
      <c r="E37" s="43"/>
      <c r="F37" s="30">
        <v>32</v>
      </c>
      <c r="G37" s="1"/>
      <c r="J37" s="1"/>
      <c r="K37" s="1"/>
      <c r="L37" s="1"/>
      <c r="M37" s="2"/>
      <c r="N37" s="1"/>
    </row>
    <row r="38" spans="1:16" ht="12" x14ac:dyDescent="0.2">
      <c r="A38" s="1"/>
      <c r="C38" s="49"/>
      <c r="D38" s="44"/>
      <c r="E38" s="9"/>
      <c r="F38" s="30"/>
      <c r="G38" s="1"/>
      <c r="J38" s="1"/>
      <c r="K38" s="1"/>
      <c r="L38" s="1"/>
      <c r="M38" s="2"/>
      <c r="N38" s="1"/>
    </row>
    <row r="39" spans="1:16" ht="12" x14ac:dyDescent="0.2">
      <c r="A39" s="6" t="s">
        <v>72</v>
      </c>
      <c r="B39" s="6"/>
      <c r="C39" s="6"/>
      <c r="D39" s="6"/>
      <c r="E39" s="6"/>
      <c r="F39" s="6" t="s">
        <v>73</v>
      </c>
      <c r="G39" s="6"/>
      <c r="H39" s="6" t="s">
        <v>74</v>
      </c>
      <c r="I39" s="1"/>
      <c r="J39" s="1"/>
      <c r="K39" s="1"/>
      <c r="L39" s="1"/>
      <c r="M39" s="2"/>
      <c r="N39" s="1"/>
    </row>
    <row r="40" spans="1:16" ht="12" x14ac:dyDescent="0.2">
      <c r="A40" s="9" t="s">
        <v>75</v>
      </c>
      <c r="B40" s="9"/>
      <c r="C40" s="9"/>
      <c r="D40" s="9"/>
      <c r="E40" s="9"/>
      <c r="F40" s="50">
        <v>5074</v>
      </c>
      <c r="G40" s="9"/>
      <c r="H40" s="43">
        <f>+F40*2.471</f>
        <v>12537.854000000001</v>
      </c>
      <c r="I40" s="1"/>
      <c r="J40" s="1"/>
      <c r="K40" s="1"/>
      <c r="L40" s="1"/>
      <c r="M40" s="2"/>
      <c r="N40" s="1"/>
    </row>
    <row r="41" spans="1:16" ht="12" x14ac:dyDescent="0.2">
      <c r="A41" s="9" t="s">
        <v>76</v>
      </c>
      <c r="B41" s="9"/>
      <c r="C41" s="9"/>
      <c r="D41" s="9"/>
      <c r="E41" s="9"/>
      <c r="F41" s="51">
        <v>93</v>
      </c>
      <c r="G41" s="9"/>
      <c r="H41" s="43"/>
      <c r="I41" s="1"/>
      <c r="J41" s="1"/>
      <c r="K41" s="1"/>
      <c r="L41" s="1"/>
      <c r="M41" s="2"/>
      <c r="N41" s="1"/>
    </row>
    <row r="42" spans="1:16" ht="12" x14ac:dyDescent="0.2">
      <c r="A42" s="9" t="s">
        <v>77</v>
      </c>
      <c r="B42" s="9"/>
      <c r="C42" s="9"/>
      <c r="D42" s="9"/>
      <c r="E42" s="9"/>
      <c r="F42" s="52">
        <f>+F40*F41</f>
        <v>471882</v>
      </c>
      <c r="G42" s="9"/>
      <c r="H42" s="43">
        <f>+F42*2.471</f>
        <v>1166020.422</v>
      </c>
      <c r="I42" s="1"/>
      <c r="J42" s="1"/>
      <c r="K42" s="1"/>
      <c r="L42" s="1"/>
      <c r="M42" s="2"/>
      <c r="N42" s="1"/>
    </row>
    <row r="43" spans="1:16" ht="12" x14ac:dyDescent="0.2">
      <c r="A43" s="9" t="s">
        <v>78</v>
      </c>
      <c r="B43" s="9"/>
      <c r="C43" s="9"/>
      <c r="D43" s="9"/>
      <c r="E43" s="9"/>
      <c r="F43" s="52">
        <f>+F42-J21</f>
        <v>274397</v>
      </c>
      <c r="G43" s="9"/>
      <c r="H43" s="43">
        <f>+F43*2.471</f>
        <v>678034.98700000008</v>
      </c>
      <c r="I43" s="1"/>
      <c r="J43" s="1"/>
      <c r="K43" s="1"/>
      <c r="L43" s="1"/>
      <c r="M43" s="2"/>
      <c r="N43" s="1"/>
    </row>
    <row r="44" spans="1:16" ht="12" x14ac:dyDescent="0.2">
      <c r="A44" s="9" t="s">
        <v>79</v>
      </c>
      <c r="B44" s="9"/>
      <c r="C44" s="9"/>
      <c r="D44" s="9"/>
      <c r="E44" s="9"/>
      <c r="F44" s="52">
        <f>+F42-J22</f>
        <v>315152</v>
      </c>
      <c r="G44" s="9"/>
      <c r="H44" s="43">
        <f>+F44*2.471</f>
        <v>778740.59200000006</v>
      </c>
      <c r="I44" s="1"/>
      <c r="J44" s="1"/>
      <c r="K44" s="1"/>
      <c r="L44" s="1"/>
      <c r="M44" s="2"/>
      <c r="N44" s="1"/>
    </row>
    <row r="45" spans="1:16" ht="12" x14ac:dyDescent="0.2">
      <c r="A45" s="9" t="s">
        <v>80</v>
      </c>
      <c r="B45" s="9"/>
      <c r="C45" s="9"/>
      <c r="D45" s="9"/>
      <c r="E45" s="9"/>
      <c r="F45" s="52">
        <f>+J21/F40</f>
        <v>38.92096964919196</v>
      </c>
      <c r="G45" s="9"/>
      <c r="H45" s="9"/>
      <c r="I45" s="1"/>
      <c r="J45" s="1"/>
      <c r="K45" s="1"/>
      <c r="L45" s="1"/>
      <c r="M45" s="2"/>
      <c r="N45" s="1"/>
    </row>
    <row r="46" spans="1:16" ht="12" x14ac:dyDescent="0.2">
      <c r="A46" s="12" t="s">
        <v>81</v>
      </c>
      <c r="B46" s="12"/>
      <c r="C46" s="12"/>
      <c r="D46" s="12"/>
      <c r="E46" s="12"/>
      <c r="F46" s="53">
        <f>+J22/F40</f>
        <v>30.88884509262909</v>
      </c>
      <c r="G46" s="12"/>
      <c r="H46" s="12"/>
      <c r="I46" s="1"/>
      <c r="J46" s="1"/>
      <c r="K46" s="1"/>
      <c r="L46" s="1"/>
      <c r="M46" s="2"/>
      <c r="N46" s="1"/>
    </row>
    <row r="47" spans="1:16" ht="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6" ht="12" x14ac:dyDescent="0.2">
      <c r="A48" s="1" t="s">
        <v>82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2" ht="12.75" x14ac:dyDescent="0.2">
      <c r="A49" s="54" t="s">
        <v>83</v>
      </c>
      <c r="B49" s="55"/>
      <c r="C49" s="55"/>
      <c r="D49" s="55"/>
      <c r="E49" s="1"/>
      <c r="F49" s="1"/>
      <c r="G49" s="1"/>
      <c r="H49" s="1"/>
      <c r="I49" s="1"/>
      <c r="J49" s="1"/>
      <c r="K49" s="1"/>
      <c r="L49" s="1"/>
    </row>
    <row r="50" spans="1:12" ht="12" x14ac:dyDescent="0.2">
      <c r="A50" s="1"/>
      <c r="B50" s="1"/>
      <c r="C50" s="1"/>
      <c r="D50" s="1"/>
      <c r="E50" s="1"/>
      <c r="F50" s="1"/>
      <c r="G50" s="1"/>
      <c r="H50" s="1"/>
      <c r="I50" s="1"/>
      <c r="L50" s="1"/>
    </row>
    <row r="57" spans="1:12" x14ac:dyDescent="0.2">
      <c r="F57" s="4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topLeftCell="A16" workbookViewId="0">
      <selection activeCell="A16" sqref="A1:XFD1048576"/>
    </sheetView>
  </sheetViews>
  <sheetFormatPr defaultColWidth="9.140625" defaultRowHeight="12.75" x14ac:dyDescent="0.2"/>
  <cols>
    <col min="1" max="1" width="17.5703125" style="54" customWidth="1"/>
    <col min="2" max="2" width="5.7109375" style="54" customWidth="1"/>
    <col min="3" max="3" width="7.5703125" style="54" customWidth="1"/>
    <col min="4" max="4" width="7.42578125" style="54" customWidth="1"/>
    <col min="5" max="5" width="7.140625" style="54" customWidth="1"/>
    <col min="6" max="6" width="9.28515625" style="54" customWidth="1"/>
    <col min="7" max="7" width="11.28515625" style="54" customWidth="1"/>
    <col min="8" max="8" width="7.7109375" style="54" customWidth="1"/>
    <col min="9" max="9" width="9.85546875" style="54" customWidth="1"/>
    <col min="10" max="10" width="8.85546875" style="54" customWidth="1"/>
    <col min="11" max="11" width="8.5703125" style="54" customWidth="1"/>
    <col min="12" max="12" width="8.42578125" style="54" customWidth="1"/>
    <col min="13" max="16384" width="9.140625" style="54"/>
  </cols>
  <sheetData>
    <row r="1" spans="1:20" x14ac:dyDescent="0.2">
      <c r="A1" s="56" t="s">
        <v>85</v>
      </c>
    </row>
    <row r="2" spans="1:20" x14ac:dyDescent="0.2">
      <c r="A2" s="56" t="s">
        <v>86</v>
      </c>
    </row>
    <row r="3" spans="1:20" x14ac:dyDescent="0.2">
      <c r="A3" s="56" t="s">
        <v>87</v>
      </c>
    </row>
    <row r="4" spans="1:20" x14ac:dyDescent="0.2">
      <c r="A4" s="56" t="s">
        <v>88</v>
      </c>
    </row>
    <row r="5" spans="1:20" x14ac:dyDescent="0.2">
      <c r="A5" s="57" t="s">
        <v>5</v>
      </c>
      <c r="B5" s="57"/>
      <c r="C5" s="58"/>
      <c r="D5" s="58" t="s">
        <v>7</v>
      </c>
      <c r="E5" s="58" t="s">
        <v>8</v>
      </c>
      <c r="F5" s="58" t="s">
        <v>9</v>
      </c>
      <c r="G5" s="259" t="s">
        <v>89</v>
      </c>
      <c r="H5" s="259"/>
      <c r="I5" s="259"/>
      <c r="J5" s="259"/>
      <c r="K5" s="260" t="s">
        <v>14</v>
      </c>
      <c r="L5" s="261"/>
    </row>
    <row r="6" spans="1:20" x14ac:dyDescent="0.2">
      <c r="A6" s="59"/>
      <c r="B6" s="59"/>
      <c r="C6" s="60" t="s">
        <v>90</v>
      </c>
      <c r="D6" s="60" t="s">
        <v>16</v>
      </c>
      <c r="E6" s="60" t="s">
        <v>16</v>
      </c>
      <c r="F6" s="60" t="s">
        <v>17</v>
      </c>
      <c r="G6" s="61" t="s">
        <v>10</v>
      </c>
      <c r="H6" s="61" t="s">
        <v>11</v>
      </c>
      <c r="I6" s="61" t="s">
        <v>12</v>
      </c>
      <c r="J6" s="61" t="s">
        <v>13</v>
      </c>
      <c r="K6" s="62" t="s">
        <v>11</v>
      </c>
      <c r="L6" s="60" t="s">
        <v>12</v>
      </c>
    </row>
    <row r="7" spans="1:20" s="63" customFormat="1" ht="16.5" customHeight="1" x14ac:dyDescent="0.2">
      <c r="A7" s="63" t="s">
        <v>23</v>
      </c>
      <c r="C7" s="64">
        <v>90</v>
      </c>
      <c r="D7" s="65">
        <v>9.6</v>
      </c>
      <c r="E7" s="65">
        <v>0.98</v>
      </c>
      <c r="F7" s="66">
        <v>1575</v>
      </c>
      <c r="G7" s="65">
        <f>+D7*F7</f>
        <v>15120</v>
      </c>
      <c r="I7" s="65"/>
      <c r="J7" s="65">
        <f>+G7+H7+I7</f>
        <v>15120</v>
      </c>
      <c r="O7" s="67"/>
      <c r="Q7" s="65"/>
    </row>
    <row r="8" spans="1:20" x14ac:dyDescent="0.2">
      <c r="A8" s="54" t="s">
        <v>91</v>
      </c>
      <c r="C8" s="68">
        <v>93</v>
      </c>
      <c r="D8" s="69">
        <v>1.1000000000000001</v>
      </c>
      <c r="E8" s="69">
        <v>0.83</v>
      </c>
      <c r="F8" s="70">
        <v>1520</v>
      </c>
      <c r="G8" s="69">
        <f t="shared" ref="G8:G16" si="0">+D8*F8</f>
        <v>1672.0000000000002</v>
      </c>
      <c r="H8" s="69">
        <v>9624</v>
      </c>
      <c r="I8" s="69"/>
      <c r="J8" s="69">
        <f t="shared" ref="J8:J14" si="1">+G8+H8+I8</f>
        <v>11296</v>
      </c>
      <c r="K8" s="69">
        <v>3420</v>
      </c>
      <c r="O8" s="71"/>
      <c r="Q8" s="69"/>
      <c r="S8" s="69"/>
    </row>
    <row r="9" spans="1:20" x14ac:dyDescent="0.2">
      <c r="A9" s="54" t="s">
        <v>92</v>
      </c>
      <c r="C9" s="72" t="s">
        <v>93</v>
      </c>
      <c r="D9" s="69"/>
      <c r="E9" s="69"/>
      <c r="F9" s="70"/>
      <c r="G9" s="69">
        <f t="shared" si="0"/>
        <v>0</v>
      </c>
      <c r="H9" s="69"/>
      <c r="I9" s="69"/>
      <c r="J9" s="69">
        <f t="shared" si="1"/>
        <v>0</v>
      </c>
      <c r="K9" s="69"/>
      <c r="O9" s="71"/>
      <c r="Q9" s="69"/>
      <c r="S9" s="69"/>
    </row>
    <row r="10" spans="1:20" x14ac:dyDescent="0.2">
      <c r="A10" s="54" t="s">
        <v>94</v>
      </c>
      <c r="C10" s="68">
        <v>100</v>
      </c>
      <c r="D10" s="69">
        <v>10.32</v>
      </c>
      <c r="E10" s="69">
        <v>1.26</v>
      </c>
      <c r="F10" s="70">
        <v>1583</v>
      </c>
      <c r="G10" s="69">
        <v>16337</v>
      </c>
      <c r="I10" s="69">
        <v>3394</v>
      </c>
      <c r="J10" s="69">
        <f t="shared" si="1"/>
        <v>19731</v>
      </c>
      <c r="O10" s="71"/>
      <c r="Q10" s="69"/>
    </row>
    <row r="11" spans="1:20" x14ac:dyDescent="0.2">
      <c r="A11" s="54" t="s">
        <v>95</v>
      </c>
      <c r="C11" s="68">
        <v>100</v>
      </c>
      <c r="D11" s="69">
        <v>12.66</v>
      </c>
      <c r="E11" s="69">
        <v>1.67</v>
      </c>
      <c r="F11" s="70">
        <v>1414</v>
      </c>
      <c r="G11" s="69">
        <v>17901</v>
      </c>
      <c r="I11" s="69">
        <f>+D26*F26</f>
        <v>184888</v>
      </c>
      <c r="J11" s="69">
        <f>+G11+H11+I11</f>
        <v>202789</v>
      </c>
      <c r="L11" s="69">
        <v>56698</v>
      </c>
      <c r="O11" s="71"/>
      <c r="Q11" s="73"/>
      <c r="T11" s="69"/>
    </row>
    <row r="12" spans="1:20" x14ac:dyDescent="0.2">
      <c r="A12" s="54" t="s">
        <v>34</v>
      </c>
      <c r="C12" s="68">
        <v>100</v>
      </c>
      <c r="D12" s="69">
        <v>10.19</v>
      </c>
      <c r="E12" s="69">
        <v>2.27</v>
      </c>
      <c r="F12" s="70">
        <v>1560</v>
      </c>
      <c r="G12" s="69">
        <v>15896</v>
      </c>
      <c r="I12" s="69">
        <f>+D35*F35+D36*F36</f>
        <v>24513</v>
      </c>
      <c r="J12" s="69">
        <f>+G12+H12+I12</f>
        <v>40409</v>
      </c>
      <c r="O12" s="71"/>
      <c r="Q12" s="73"/>
    </row>
    <row r="13" spans="1:20" x14ac:dyDescent="0.2">
      <c r="A13" s="54" t="s">
        <v>96</v>
      </c>
      <c r="C13" s="68">
        <v>100</v>
      </c>
      <c r="D13" s="69">
        <v>10.64</v>
      </c>
      <c r="E13" s="69">
        <v>2.56</v>
      </c>
      <c r="F13" s="70">
        <v>1565</v>
      </c>
      <c r="G13" s="69">
        <v>16652</v>
      </c>
      <c r="I13" s="69"/>
      <c r="J13" s="69">
        <f t="shared" si="1"/>
        <v>16652</v>
      </c>
      <c r="O13" s="71"/>
      <c r="Q13" s="69"/>
    </row>
    <row r="14" spans="1:20" x14ac:dyDescent="0.2">
      <c r="A14" s="54" t="s">
        <v>36</v>
      </c>
      <c r="C14" s="68">
        <v>100</v>
      </c>
      <c r="D14" s="69">
        <v>12.25</v>
      </c>
      <c r="E14" s="69">
        <v>7.16</v>
      </c>
      <c r="F14" s="70">
        <v>1533</v>
      </c>
      <c r="G14" s="69">
        <v>18779</v>
      </c>
      <c r="I14" s="69">
        <v>26737</v>
      </c>
      <c r="J14" s="69">
        <f t="shared" si="1"/>
        <v>45516</v>
      </c>
      <c r="O14" s="71"/>
      <c r="Q14" s="69"/>
    </row>
    <row r="15" spans="1:20" x14ac:dyDescent="0.2">
      <c r="A15" s="54" t="s">
        <v>97</v>
      </c>
      <c r="C15" s="68">
        <v>60</v>
      </c>
      <c r="D15" s="69">
        <v>6.97</v>
      </c>
      <c r="E15" s="69">
        <v>6.33</v>
      </c>
      <c r="F15" s="70">
        <v>1414</v>
      </c>
      <c r="G15" s="69">
        <v>9856</v>
      </c>
      <c r="H15" s="69">
        <v>5761</v>
      </c>
      <c r="I15" s="69"/>
      <c r="J15" s="69">
        <f>+G15+H15+I15</f>
        <v>15617</v>
      </c>
      <c r="O15" s="71"/>
      <c r="Q15" s="69"/>
    </row>
    <row r="16" spans="1:20" x14ac:dyDescent="0.2">
      <c r="A16" s="54" t="s">
        <v>98</v>
      </c>
      <c r="C16" s="72" t="s">
        <v>99</v>
      </c>
      <c r="D16" s="69"/>
      <c r="E16" s="69"/>
      <c r="F16" s="70"/>
      <c r="G16" s="69">
        <f t="shared" si="0"/>
        <v>0</v>
      </c>
      <c r="H16" s="69"/>
      <c r="I16" s="69"/>
      <c r="J16" s="69"/>
      <c r="O16" s="71"/>
      <c r="Q16" s="69"/>
    </row>
    <row r="17" spans="1:17" x14ac:dyDescent="0.2">
      <c r="A17" s="54" t="s">
        <v>100</v>
      </c>
      <c r="C17" s="68">
        <v>100</v>
      </c>
      <c r="D17" s="69">
        <v>20.98</v>
      </c>
      <c r="E17" s="69">
        <v>2.2799999999999998</v>
      </c>
      <c r="F17" s="70">
        <v>1583</v>
      </c>
      <c r="G17" s="69">
        <v>33211</v>
      </c>
      <c r="I17" s="69"/>
      <c r="J17" s="69">
        <f>+G17+H17+I17</f>
        <v>33211</v>
      </c>
      <c r="O17" s="71"/>
      <c r="Q17" s="69"/>
    </row>
    <row r="18" spans="1:17" x14ac:dyDescent="0.2">
      <c r="A18" s="74" t="s">
        <v>42</v>
      </c>
      <c r="B18" s="74"/>
      <c r="C18" s="75"/>
      <c r="D18" s="76">
        <f t="shared" ref="D18" si="2">SUM(D7:D17)</f>
        <v>94.71</v>
      </c>
      <c r="E18" s="76">
        <f>SUM(E7:E17)</f>
        <v>25.340000000000003</v>
      </c>
      <c r="F18" s="76">
        <f t="shared" ref="F18" si="3">SUM(F7:F17)</f>
        <v>13747</v>
      </c>
      <c r="G18" s="76">
        <f>SUM(G7:G17)</f>
        <v>145424</v>
      </c>
      <c r="H18" s="76">
        <f t="shared" ref="H18" si="4">SUM(H7:H17)</f>
        <v>15385</v>
      </c>
      <c r="I18" s="76">
        <f>SUM(I7:I17)</f>
        <v>239532</v>
      </c>
      <c r="J18" s="76">
        <f>SUM(J7:J17)</f>
        <v>400341</v>
      </c>
      <c r="K18" s="76">
        <f>SUM(K7:K17)</f>
        <v>3420</v>
      </c>
      <c r="L18" s="76">
        <f t="shared" ref="L18" si="5">SUM(L7:L17)</f>
        <v>56698</v>
      </c>
      <c r="O18" s="71"/>
    </row>
    <row r="19" spans="1:17" x14ac:dyDescent="0.2">
      <c r="A19" s="77" t="s">
        <v>43</v>
      </c>
      <c r="B19" s="77"/>
      <c r="C19" s="78"/>
      <c r="D19" s="79">
        <f>+D18-E18</f>
        <v>69.36999999999999</v>
      </c>
      <c r="E19" s="79"/>
      <c r="F19" s="79"/>
      <c r="G19" s="79">
        <f>+D30*F30</f>
        <v>107170</v>
      </c>
      <c r="H19" s="79">
        <f>+H18-K18</f>
        <v>11965</v>
      </c>
      <c r="I19" s="79">
        <f>+I18-L18</f>
        <v>182834</v>
      </c>
      <c r="J19" s="79">
        <f>SUM(G19:I19)</f>
        <v>301969</v>
      </c>
      <c r="K19" s="77"/>
      <c r="L19" s="77"/>
    </row>
    <row r="21" spans="1:17" x14ac:dyDescent="0.2">
      <c r="B21" s="54" t="s">
        <v>101</v>
      </c>
    </row>
    <row r="23" spans="1:17" x14ac:dyDescent="0.2">
      <c r="A23" s="54" t="s">
        <v>48</v>
      </c>
    </row>
    <row r="24" spans="1:17" x14ac:dyDescent="0.2">
      <c r="A24" s="80" t="s">
        <v>49</v>
      </c>
      <c r="B24" s="80"/>
      <c r="C24" s="80" t="s">
        <v>50</v>
      </c>
      <c r="D24" s="80" t="s">
        <v>51</v>
      </c>
      <c r="E24" s="80"/>
      <c r="F24" s="80" t="s">
        <v>52</v>
      </c>
      <c r="G24" s="81" t="s">
        <v>102</v>
      </c>
      <c r="H24" s="80"/>
      <c r="J24" s="82"/>
      <c r="K24" s="83" t="s">
        <v>103</v>
      </c>
      <c r="L24" s="84">
        <v>0.72</v>
      </c>
    </row>
    <row r="25" spans="1:17" x14ac:dyDescent="0.2">
      <c r="A25" s="54" t="s">
        <v>54</v>
      </c>
      <c r="G25" s="85" t="s">
        <v>104</v>
      </c>
      <c r="H25" s="82"/>
      <c r="J25" s="82"/>
      <c r="K25" s="86" t="s">
        <v>66</v>
      </c>
      <c r="L25" s="87">
        <v>0.5</v>
      </c>
    </row>
    <row r="26" spans="1:17" x14ac:dyDescent="0.2">
      <c r="A26" s="88" t="s">
        <v>105</v>
      </c>
      <c r="C26" s="54" t="s">
        <v>57</v>
      </c>
      <c r="D26" s="69">
        <v>764</v>
      </c>
      <c r="F26" s="69">
        <v>242</v>
      </c>
      <c r="G26" s="85"/>
      <c r="H26" s="82"/>
    </row>
    <row r="29" spans="1:17" x14ac:dyDescent="0.2">
      <c r="A29" s="54" t="s">
        <v>59</v>
      </c>
    </row>
    <row r="30" spans="1:17" x14ac:dyDescent="0.2">
      <c r="A30" s="54" t="s">
        <v>106</v>
      </c>
      <c r="C30" s="54" t="s">
        <v>62</v>
      </c>
      <c r="D30" s="69">
        <v>70</v>
      </c>
      <c r="F30" s="69">
        <v>1531</v>
      </c>
    </row>
    <row r="31" spans="1:17" x14ac:dyDescent="0.2">
      <c r="A31" s="54" t="s">
        <v>107</v>
      </c>
      <c r="C31" s="54" t="s">
        <v>62</v>
      </c>
      <c r="D31" s="69">
        <v>25</v>
      </c>
    </row>
    <row r="32" spans="1:17" x14ac:dyDescent="0.2">
      <c r="A32" s="54" t="s">
        <v>7</v>
      </c>
      <c r="C32" s="54" t="s">
        <v>62</v>
      </c>
      <c r="D32" s="69">
        <v>95</v>
      </c>
      <c r="J32" s="89"/>
    </row>
    <row r="33" spans="1:11" x14ac:dyDescent="0.2">
      <c r="D33" s="69"/>
    </row>
    <row r="34" spans="1:11" x14ac:dyDescent="0.2">
      <c r="A34" s="74" t="s">
        <v>67</v>
      </c>
      <c r="B34" s="74" t="s">
        <v>108</v>
      </c>
      <c r="C34" s="74"/>
      <c r="D34" s="74"/>
      <c r="E34" s="74"/>
      <c r="F34" s="74"/>
    </row>
    <row r="35" spans="1:11" x14ac:dyDescent="0.2">
      <c r="A35" s="63" t="s">
        <v>70</v>
      </c>
      <c r="B35" s="90">
        <v>60</v>
      </c>
      <c r="C35" s="63" t="s">
        <v>57</v>
      </c>
      <c r="D35" s="65">
        <v>1908</v>
      </c>
      <c r="E35" s="63"/>
      <c r="F35" s="65">
        <v>5</v>
      </c>
    </row>
    <row r="36" spans="1:11" x14ac:dyDescent="0.2">
      <c r="A36" s="63" t="s">
        <v>109</v>
      </c>
      <c r="B36" s="90">
        <v>50</v>
      </c>
      <c r="C36" s="63" t="s">
        <v>57</v>
      </c>
      <c r="D36" s="65">
        <v>483</v>
      </c>
      <c r="E36" s="63"/>
      <c r="F36" s="65">
        <v>31</v>
      </c>
    </row>
    <row r="37" spans="1:11" x14ac:dyDescent="0.2">
      <c r="A37" s="74" t="s">
        <v>72</v>
      </c>
      <c r="B37" s="74"/>
      <c r="C37" s="74"/>
      <c r="D37" s="74"/>
      <c r="E37" s="74"/>
      <c r="F37" s="58" t="s">
        <v>110</v>
      </c>
      <c r="G37" s="58" t="s">
        <v>111</v>
      </c>
    </row>
    <row r="38" spans="1:11" x14ac:dyDescent="0.2">
      <c r="A38" s="63" t="s">
        <v>112</v>
      </c>
      <c r="B38" s="63"/>
      <c r="C38" s="63"/>
      <c r="D38" s="63"/>
      <c r="E38" s="63"/>
      <c r="F38" s="91">
        <v>6660</v>
      </c>
      <c r="G38" s="65">
        <v>16457</v>
      </c>
      <c r="I38" s="69"/>
      <c r="K38" s="71"/>
    </row>
    <row r="39" spans="1:11" x14ac:dyDescent="0.2">
      <c r="A39" s="63" t="s">
        <v>113</v>
      </c>
      <c r="B39" s="63"/>
      <c r="C39" s="63"/>
      <c r="D39" s="63"/>
      <c r="E39" s="63"/>
      <c r="F39" s="92">
        <v>133</v>
      </c>
      <c r="G39" s="65"/>
      <c r="I39" s="69"/>
    </row>
    <row r="40" spans="1:11" x14ac:dyDescent="0.2">
      <c r="A40" s="63" t="s">
        <v>114</v>
      </c>
      <c r="B40" s="63"/>
      <c r="C40" s="63"/>
      <c r="D40" s="63"/>
      <c r="E40" s="63"/>
      <c r="F40" s="92">
        <f>+F38*F39</f>
        <v>885780</v>
      </c>
      <c r="G40" s="65">
        <v>2188762</v>
      </c>
      <c r="I40" s="69"/>
      <c r="K40" s="71"/>
    </row>
    <row r="41" spans="1:11" x14ac:dyDescent="0.2">
      <c r="A41" s="63" t="s">
        <v>115</v>
      </c>
      <c r="B41" s="63"/>
      <c r="C41" s="63"/>
      <c r="D41" s="63"/>
      <c r="E41" s="63"/>
      <c r="F41" s="92">
        <f>+F40-J18</f>
        <v>485439</v>
      </c>
      <c r="G41" s="65">
        <v>1199520</v>
      </c>
      <c r="I41" s="69"/>
      <c r="K41" s="71"/>
    </row>
    <row r="42" spans="1:11" x14ac:dyDescent="0.2">
      <c r="A42" s="63" t="s">
        <v>116</v>
      </c>
      <c r="B42" s="63"/>
      <c r="C42" s="63"/>
      <c r="D42" s="63"/>
      <c r="E42" s="63"/>
      <c r="F42" s="92">
        <f>+F40-J19</f>
        <v>583811</v>
      </c>
      <c r="G42" s="65">
        <v>1442597</v>
      </c>
      <c r="I42" s="69"/>
      <c r="K42" s="71"/>
    </row>
    <row r="43" spans="1:11" x14ac:dyDescent="0.2">
      <c r="A43" s="63" t="s">
        <v>117</v>
      </c>
      <c r="B43" s="63"/>
      <c r="C43" s="63"/>
      <c r="D43" s="63"/>
      <c r="E43" s="63"/>
      <c r="F43" s="92">
        <f>+J18/F38</f>
        <v>60.111261261261262</v>
      </c>
      <c r="G43" s="63"/>
    </row>
    <row r="44" spans="1:11" x14ac:dyDescent="0.2">
      <c r="A44" s="77" t="s">
        <v>118</v>
      </c>
      <c r="B44" s="77"/>
      <c r="C44" s="77"/>
      <c r="D44" s="77"/>
      <c r="E44" s="77"/>
      <c r="F44" s="93">
        <f>+J19/F38</f>
        <v>45.340690690690693</v>
      </c>
      <c r="G44" s="77"/>
    </row>
    <row r="46" spans="1:11" x14ac:dyDescent="0.2">
      <c r="A46" s="54" t="s">
        <v>119</v>
      </c>
      <c r="B46" s="94" t="s">
        <v>120</v>
      </c>
    </row>
    <row r="47" spans="1:11" x14ac:dyDescent="0.2">
      <c r="B47" s="94" t="s">
        <v>121</v>
      </c>
    </row>
    <row r="73" spans="6:6" x14ac:dyDescent="0.2">
      <c r="F73" s="54" t="s">
        <v>84</v>
      </c>
    </row>
  </sheetData>
  <mergeCells count="2">
    <mergeCell ref="G5:J5"/>
    <mergeCell ref="K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7" workbookViewId="0">
      <selection activeCell="A7" sqref="A1:XFD1048576"/>
    </sheetView>
  </sheetViews>
  <sheetFormatPr defaultColWidth="8.85546875" defaultRowHeight="12.75" x14ac:dyDescent="0.2"/>
  <cols>
    <col min="1" max="1" width="20.5703125" style="140" customWidth="1"/>
    <col min="2" max="2" width="3.7109375" style="140" customWidth="1"/>
    <col min="3" max="3" width="5.85546875" style="140" customWidth="1"/>
    <col min="4" max="4" width="7.140625" style="140" customWidth="1"/>
    <col min="5" max="5" width="6" style="140" customWidth="1"/>
    <col min="6" max="6" width="10" style="140" customWidth="1"/>
    <col min="7" max="7" width="9.7109375" style="140" customWidth="1"/>
    <col min="8" max="8" width="10" style="140" customWidth="1"/>
    <col min="9" max="9" width="8.7109375" style="140" customWidth="1"/>
    <col min="10" max="11" width="8.28515625" style="140" customWidth="1"/>
    <col min="12" max="12" width="7.7109375" style="140" customWidth="1"/>
    <col min="13" max="16384" width="8.85546875" style="140"/>
  </cols>
  <sheetData>
    <row r="1" spans="1:16" s="95" customFormat="1" x14ac:dyDescent="0.2">
      <c r="A1" s="95" t="s">
        <v>0</v>
      </c>
      <c r="B1" s="95" t="s">
        <v>122</v>
      </c>
    </row>
    <row r="2" spans="1:16" s="95" customFormat="1" ht="15.75" x14ac:dyDescent="0.25">
      <c r="B2" s="95" t="s">
        <v>123</v>
      </c>
      <c r="N2" s="96" t="s">
        <v>124</v>
      </c>
    </row>
    <row r="3" spans="1:16" s="95" customFormat="1" x14ac:dyDescent="0.2">
      <c r="B3" s="95" t="s">
        <v>125</v>
      </c>
    </row>
    <row r="4" spans="1:16" s="95" customFormat="1" x14ac:dyDescent="0.2">
      <c r="A4" s="97" t="s">
        <v>5</v>
      </c>
      <c r="B4" s="97"/>
      <c r="C4" s="98" t="s">
        <v>6</v>
      </c>
      <c r="D4" s="98" t="s">
        <v>7</v>
      </c>
      <c r="E4" s="98" t="s">
        <v>8</v>
      </c>
      <c r="F4" s="98" t="s">
        <v>9</v>
      </c>
      <c r="G4" s="98" t="s">
        <v>10</v>
      </c>
      <c r="H4" s="98" t="s">
        <v>11</v>
      </c>
      <c r="I4" s="98" t="s">
        <v>12</v>
      </c>
      <c r="J4" s="98" t="s">
        <v>13</v>
      </c>
      <c r="K4" s="99" t="s">
        <v>14</v>
      </c>
      <c r="L4" s="98"/>
    </row>
    <row r="5" spans="1:16" s="95" customFormat="1" x14ac:dyDescent="0.2">
      <c r="A5" s="100"/>
      <c r="B5" s="100"/>
      <c r="C5" s="101" t="s">
        <v>15</v>
      </c>
      <c r="D5" s="101" t="s">
        <v>16</v>
      </c>
      <c r="E5" s="101" t="s">
        <v>16</v>
      </c>
      <c r="F5" s="101" t="s">
        <v>17</v>
      </c>
      <c r="G5" s="101" t="s">
        <v>18</v>
      </c>
      <c r="H5" s="101" t="s">
        <v>19</v>
      </c>
      <c r="I5" s="101" t="s">
        <v>18</v>
      </c>
      <c r="J5" s="101" t="s">
        <v>18</v>
      </c>
      <c r="K5" s="102" t="s">
        <v>11</v>
      </c>
      <c r="L5" s="101" t="s">
        <v>12</v>
      </c>
    </row>
    <row r="6" spans="1:16" s="95" customFormat="1" x14ac:dyDescent="0.2">
      <c r="A6" s="100"/>
      <c r="B6" s="100"/>
      <c r="C6" s="101" t="s">
        <v>20</v>
      </c>
      <c r="D6" s="101"/>
      <c r="E6" s="101"/>
      <c r="F6" s="101"/>
      <c r="G6" s="101" t="s">
        <v>21</v>
      </c>
      <c r="H6" s="101" t="s">
        <v>18</v>
      </c>
      <c r="I6" s="101" t="s">
        <v>21</v>
      </c>
      <c r="J6" s="101" t="s">
        <v>21</v>
      </c>
      <c r="K6" s="101"/>
      <c r="L6" s="101"/>
    </row>
    <row r="7" spans="1:16" s="95" customFormat="1" x14ac:dyDescent="0.2">
      <c r="A7" s="103"/>
      <c r="B7" s="103"/>
      <c r="C7" s="104"/>
      <c r="D7" s="104"/>
      <c r="E7" s="104"/>
      <c r="F7" s="104"/>
      <c r="G7" s="104"/>
      <c r="H7" s="104" t="s">
        <v>21</v>
      </c>
      <c r="I7" s="104"/>
      <c r="J7" s="104"/>
      <c r="K7" s="104"/>
      <c r="L7" s="104"/>
    </row>
    <row r="8" spans="1:16" s="95" customFormat="1" ht="16.5" customHeight="1" x14ac:dyDescent="0.2">
      <c r="A8" s="95" t="s">
        <v>213</v>
      </c>
      <c r="C8" s="105">
        <v>67.741935483870961</v>
      </c>
      <c r="D8" s="106">
        <v>4.3097826086956523</v>
      </c>
      <c r="E8" s="107">
        <v>2.9836956521739131</v>
      </c>
      <c r="F8" s="108">
        <v>1565</v>
      </c>
      <c r="G8" s="107">
        <v>6745</v>
      </c>
      <c r="H8" s="109"/>
      <c r="I8" s="107"/>
      <c r="J8" s="106">
        <f>G8+H8+I8</f>
        <v>6745</v>
      </c>
      <c r="N8" s="110"/>
      <c r="O8" s="111"/>
      <c r="P8" s="112"/>
    </row>
    <row r="9" spans="1:16" s="95" customFormat="1" ht="16.5" customHeight="1" x14ac:dyDescent="0.2">
      <c r="A9" s="95" t="s">
        <v>126</v>
      </c>
      <c r="C9" s="113">
        <v>59</v>
      </c>
      <c r="D9" s="106">
        <v>1.424342105263158</v>
      </c>
      <c r="E9" s="107">
        <v>1.424342105263158</v>
      </c>
      <c r="F9" s="108">
        <v>1500</v>
      </c>
      <c r="G9" s="107">
        <v>2137</v>
      </c>
      <c r="H9" s="107">
        <v>7944</v>
      </c>
      <c r="I9" s="107"/>
      <c r="J9" s="106">
        <f>G9+H9+I9</f>
        <v>10081</v>
      </c>
      <c r="K9" s="114">
        <v>209</v>
      </c>
      <c r="N9" s="110"/>
      <c r="O9" s="111"/>
      <c r="P9" s="112"/>
    </row>
    <row r="10" spans="1:16" s="95" customFormat="1" ht="16.5" customHeight="1" x14ac:dyDescent="0.2">
      <c r="A10" s="95" t="s">
        <v>127</v>
      </c>
      <c r="C10" s="115" t="s">
        <v>40</v>
      </c>
      <c r="D10" s="116"/>
      <c r="E10" s="116"/>
      <c r="F10" s="117"/>
      <c r="G10" s="107"/>
      <c r="H10" s="118" t="s">
        <v>128</v>
      </c>
      <c r="I10" s="107"/>
      <c r="J10" s="106"/>
      <c r="N10" s="110"/>
      <c r="O10" s="111"/>
      <c r="P10" s="112"/>
    </row>
    <row r="11" spans="1:16" s="95" customFormat="1" ht="16.5" customHeight="1" x14ac:dyDescent="0.2">
      <c r="A11" s="95" t="s">
        <v>129</v>
      </c>
      <c r="C11" s="119" t="s">
        <v>130</v>
      </c>
      <c r="D11" s="116"/>
      <c r="E11" s="116"/>
      <c r="F11" s="117"/>
      <c r="G11" s="116" t="s">
        <v>131</v>
      </c>
      <c r="H11" s="118" t="s">
        <v>132</v>
      </c>
      <c r="I11" s="107"/>
      <c r="J11" s="106"/>
      <c r="N11" s="110"/>
      <c r="O11" s="111"/>
      <c r="P11" s="112"/>
    </row>
    <row r="12" spans="1:16" s="95" customFormat="1" ht="16.5" customHeight="1" x14ac:dyDescent="0.2">
      <c r="A12" s="95" t="s">
        <v>133</v>
      </c>
      <c r="C12" s="115" t="s">
        <v>31</v>
      </c>
      <c r="D12" s="116"/>
      <c r="E12" s="116"/>
      <c r="F12" s="117"/>
      <c r="G12" s="107"/>
      <c r="H12" s="118" t="s">
        <v>134</v>
      </c>
      <c r="I12" s="107"/>
      <c r="J12" s="106"/>
      <c r="N12" s="110"/>
      <c r="O12" s="111"/>
      <c r="P12" s="112"/>
    </row>
    <row r="13" spans="1:16" s="95" customFormat="1" ht="16.5" customHeight="1" x14ac:dyDescent="0.2">
      <c r="A13" s="95" t="s">
        <v>135</v>
      </c>
      <c r="C13" s="115" t="s">
        <v>40</v>
      </c>
      <c r="D13" s="116"/>
      <c r="E13" s="116"/>
      <c r="F13" s="117"/>
      <c r="G13" s="116" t="s">
        <v>136</v>
      </c>
      <c r="H13" s="118"/>
      <c r="I13" s="107"/>
      <c r="J13" s="106"/>
      <c r="N13" s="110"/>
      <c r="O13" s="111"/>
      <c r="P13" s="112"/>
    </row>
    <row r="14" spans="1:16" s="95" customFormat="1" ht="16.5" customHeight="1" x14ac:dyDescent="0.2">
      <c r="A14" s="120" t="s">
        <v>137</v>
      </c>
      <c r="C14" s="113">
        <v>100</v>
      </c>
      <c r="D14" s="106">
        <v>7.58</v>
      </c>
      <c r="E14" s="106">
        <v>3.27</v>
      </c>
      <c r="F14" s="121">
        <v>1534</v>
      </c>
      <c r="G14" s="107">
        <v>11628</v>
      </c>
      <c r="H14" s="122"/>
      <c r="I14" s="106"/>
      <c r="J14" s="106">
        <f>G14+H14+I14</f>
        <v>11628</v>
      </c>
      <c r="N14" s="110"/>
      <c r="O14" s="111"/>
      <c r="P14" s="112"/>
    </row>
    <row r="15" spans="1:16" s="95" customFormat="1" ht="16.5" customHeight="1" x14ac:dyDescent="0.2">
      <c r="A15" s="95" t="s">
        <v>151</v>
      </c>
      <c r="C15" s="105">
        <v>100</v>
      </c>
      <c r="D15" s="107">
        <v>2.2951388888888888</v>
      </c>
      <c r="E15" s="107">
        <v>1.4201388888888888</v>
      </c>
      <c r="F15" s="108">
        <v>1579</v>
      </c>
      <c r="G15" s="107">
        <v>3624</v>
      </c>
      <c r="H15" s="109"/>
      <c r="I15" s="107">
        <f>+D34*F34</f>
        <v>13160</v>
      </c>
      <c r="J15" s="106">
        <f>G15+H15+I15</f>
        <v>16784</v>
      </c>
      <c r="N15" s="110"/>
      <c r="O15" s="111"/>
      <c r="P15" s="112"/>
    </row>
    <row r="16" spans="1:16" s="95" customFormat="1" ht="16.5" customHeight="1" x14ac:dyDescent="0.2">
      <c r="A16" s="95" t="s">
        <v>138</v>
      </c>
      <c r="C16" s="113">
        <v>87.096774193548384</v>
      </c>
      <c r="D16" s="106">
        <v>8.08</v>
      </c>
      <c r="E16" s="106">
        <v>3.57</v>
      </c>
      <c r="F16" s="121">
        <v>1521</v>
      </c>
      <c r="G16" s="107">
        <v>12290</v>
      </c>
      <c r="H16" s="122"/>
      <c r="I16" s="106"/>
      <c r="J16" s="106">
        <f>G16+H16+I16</f>
        <v>12290</v>
      </c>
      <c r="N16" s="110"/>
      <c r="O16" s="111"/>
      <c r="P16" s="112"/>
    </row>
    <row r="17" spans="1:15" s="95" customFormat="1" x14ac:dyDescent="0.2">
      <c r="A17" s="95" t="s">
        <v>139</v>
      </c>
      <c r="C17" s="115">
        <v>67.741935483870961</v>
      </c>
      <c r="D17" s="116"/>
      <c r="E17" s="116"/>
      <c r="F17" s="108"/>
      <c r="G17" s="107"/>
      <c r="H17" s="109"/>
      <c r="I17" s="123"/>
      <c r="J17" s="106"/>
      <c r="N17" s="110"/>
      <c r="O17" s="111"/>
    </row>
    <row r="18" spans="1:15" s="95" customFormat="1" x14ac:dyDescent="0.2">
      <c r="A18" s="95" t="s">
        <v>140</v>
      </c>
      <c r="C18" s="115" t="s">
        <v>141</v>
      </c>
      <c r="D18" s="116"/>
      <c r="E18" s="116"/>
      <c r="F18" s="117"/>
      <c r="G18" s="116" t="s">
        <v>142</v>
      </c>
      <c r="H18" s="109"/>
      <c r="I18" s="107"/>
      <c r="J18" s="106"/>
      <c r="N18" s="110"/>
      <c r="O18" s="111"/>
    </row>
    <row r="19" spans="1:15" s="95" customFormat="1" x14ac:dyDescent="0.2">
      <c r="A19" s="97" t="s">
        <v>153</v>
      </c>
      <c r="B19" s="97"/>
      <c r="C19" s="124"/>
      <c r="D19" s="125">
        <f t="shared" ref="D19:K19" si="0">SUM(D8:D18)</f>
        <v>23.689263602847699</v>
      </c>
      <c r="E19" s="125">
        <f t="shared" si="0"/>
        <v>12.668176646325961</v>
      </c>
      <c r="F19" s="125">
        <f t="shared" si="0"/>
        <v>7699</v>
      </c>
      <c r="G19" s="125">
        <f t="shared" si="0"/>
        <v>36424</v>
      </c>
      <c r="H19" s="125">
        <f t="shared" si="0"/>
        <v>7944</v>
      </c>
      <c r="I19" s="125">
        <f t="shared" si="0"/>
        <v>13160</v>
      </c>
      <c r="J19" s="125">
        <f t="shared" si="0"/>
        <v>57528</v>
      </c>
      <c r="K19" s="125">
        <f t="shared" si="0"/>
        <v>209</v>
      </c>
      <c r="L19" s="97">
        <v>0</v>
      </c>
    </row>
    <row r="20" spans="1:15" s="95" customFormat="1" x14ac:dyDescent="0.2">
      <c r="A20" s="103" t="s">
        <v>154</v>
      </c>
      <c r="B20" s="103"/>
      <c r="C20" s="126"/>
      <c r="D20" s="127">
        <v>11.56435848306479</v>
      </c>
      <c r="E20" s="127"/>
      <c r="F20" s="127"/>
      <c r="G20" s="127">
        <f>+D29*F29</f>
        <v>18216</v>
      </c>
      <c r="H20" s="127">
        <f>+H19-K19</f>
        <v>7735</v>
      </c>
      <c r="I20" s="127">
        <f>+I19-L19</f>
        <v>13160</v>
      </c>
      <c r="J20" s="127">
        <f>SUM(G20:I20)</f>
        <v>39111</v>
      </c>
      <c r="K20" s="103"/>
      <c r="L20" s="103"/>
    </row>
    <row r="21" spans="1:15" s="95" customFormat="1" x14ac:dyDescent="0.2"/>
    <row r="22" spans="1:15" s="95" customFormat="1" x14ac:dyDescent="0.2">
      <c r="B22" s="95" t="s">
        <v>101</v>
      </c>
    </row>
    <row r="23" spans="1:15" s="95" customFormat="1" x14ac:dyDescent="0.2"/>
    <row r="24" spans="1:15" s="95" customFormat="1" x14ac:dyDescent="0.2">
      <c r="A24" s="95" t="s">
        <v>48</v>
      </c>
    </row>
    <row r="25" spans="1:15" s="95" customFormat="1" x14ac:dyDescent="0.2">
      <c r="A25" s="128" t="s">
        <v>49</v>
      </c>
      <c r="B25" s="128"/>
      <c r="C25" s="128" t="s">
        <v>50</v>
      </c>
      <c r="D25" s="128" t="s">
        <v>51</v>
      </c>
      <c r="E25" s="128"/>
      <c r="F25" s="128" t="s">
        <v>52</v>
      </c>
    </row>
    <row r="26" spans="1:15" s="95" customFormat="1" x14ac:dyDescent="0.2">
      <c r="A26" s="95" t="s">
        <v>54</v>
      </c>
      <c r="H26" s="95" t="s">
        <v>103</v>
      </c>
      <c r="I26" s="114">
        <v>1.25</v>
      </c>
      <c r="L26" s="129"/>
      <c r="M26" s="129"/>
    </row>
    <row r="27" spans="1:15" s="95" customFormat="1" x14ac:dyDescent="0.2">
      <c r="A27" s="95" t="s">
        <v>143</v>
      </c>
      <c r="C27" s="95" t="s">
        <v>144</v>
      </c>
      <c r="D27" s="110">
        <v>4143</v>
      </c>
      <c r="F27" s="130">
        <v>0</v>
      </c>
      <c r="H27" s="95" t="s">
        <v>66</v>
      </c>
      <c r="I27" s="114">
        <v>1</v>
      </c>
      <c r="L27" s="129"/>
      <c r="M27" s="129"/>
    </row>
    <row r="28" spans="1:15" s="95" customFormat="1" x14ac:dyDescent="0.2">
      <c r="A28" s="95" t="s">
        <v>59</v>
      </c>
      <c r="L28" s="129"/>
      <c r="M28" s="129"/>
    </row>
    <row r="29" spans="1:15" s="95" customFormat="1" x14ac:dyDescent="0.2">
      <c r="A29" s="95" t="s">
        <v>106</v>
      </c>
      <c r="C29" s="95" t="s">
        <v>62</v>
      </c>
      <c r="D29" s="114">
        <v>12</v>
      </c>
      <c r="F29" s="114">
        <v>1518</v>
      </c>
      <c r="H29" s="95" t="s">
        <v>145</v>
      </c>
      <c r="I29" s="95" t="s">
        <v>146</v>
      </c>
      <c r="L29" s="129"/>
      <c r="M29" s="129"/>
    </row>
    <row r="30" spans="1:15" s="95" customFormat="1" x14ac:dyDescent="0.2">
      <c r="A30" s="95" t="s">
        <v>107</v>
      </c>
      <c r="C30" s="95" t="s">
        <v>62</v>
      </c>
      <c r="D30" s="114">
        <v>13</v>
      </c>
      <c r="H30" s="131" t="s">
        <v>147</v>
      </c>
      <c r="I30" s="132">
        <v>100</v>
      </c>
      <c r="L30" s="129"/>
      <c r="M30" s="129"/>
    </row>
    <row r="31" spans="1:15" s="95" customFormat="1" x14ac:dyDescent="0.2">
      <c r="A31" s="95" t="s">
        <v>7</v>
      </c>
      <c r="C31" s="95" t="s">
        <v>62</v>
      </c>
      <c r="D31" s="114">
        <v>24</v>
      </c>
      <c r="H31" s="131"/>
      <c r="I31" s="132"/>
      <c r="M31" s="129"/>
    </row>
    <row r="32" spans="1:15" s="95" customFormat="1" x14ac:dyDescent="0.2">
      <c r="H32" s="131"/>
      <c r="I32" s="132"/>
    </row>
    <row r="33" spans="1:11" s="95" customFormat="1" x14ac:dyDescent="0.2">
      <c r="A33" s="97" t="s">
        <v>67</v>
      </c>
      <c r="B33" s="97" t="s">
        <v>108</v>
      </c>
      <c r="C33" s="97"/>
      <c r="D33" s="97"/>
      <c r="E33" s="97"/>
      <c r="F33" s="97"/>
      <c r="H33" s="131"/>
      <c r="I33" s="132"/>
    </row>
    <row r="34" spans="1:11" s="95" customFormat="1" x14ac:dyDescent="0.2">
      <c r="A34" s="102" t="s">
        <v>148</v>
      </c>
      <c r="B34" s="133">
        <v>96.774193548387103</v>
      </c>
      <c r="C34" s="100" t="s">
        <v>57</v>
      </c>
      <c r="D34" s="134">
        <v>470</v>
      </c>
      <c r="E34" s="100"/>
      <c r="F34" s="135">
        <v>28</v>
      </c>
      <c r="H34" s="131"/>
      <c r="I34" s="132"/>
    </row>
    <row r="35" spans="1:11" s="95" customFormat="1" x14ac:dyDescent="0.2">
      <c r="A35" s="97" t="s">
        <v>72</v>
      </c>
      <c r="B35" s="97"/>
      <c r="C35" s="97"/>
      <c r="D35" s="97"/>
      <c r="E35" s="97"/>
      <c r="F35" s="97" t="s">
        <v>149</v>
      </c>
      <c r="G35" s="97" t="s">
        <v>74</v>
      </c>
      <c r="I35" s="131"/>
      <c r="J35" s="131"/>
      <c r="K35" s="136"/>
    </row>
    <row r="36" spans="1:11" s="95" customFormat="1" x14ac:dyDescent="0.2">
      <c r="A36" s="100" t="s">
        <v>112</v>
      </c>
      <c r="B36" s="100"/>
      <c r="C36" s="100"/>
      <c r="D36" s="100"/>
      <c r="E36" s="100"/>
      <c r="F36" s="137">
        <v>6236</v>
      </c>
      <c r="G36" s="114">
        <v>15409</v>
      </c>
      <c r="H36" s="134"/>
      <c r="I36" s="131"/>
      <c r="J36" s="131"/>
      <c r="K36" s="131"/>
    </row>
    <row r="37" spans="1:11" s="95" customFormat="1" x14ac:dyDescent="0.2">
      <c r="A37" s="100" t="s">
        <v>76</v>
      </c>
      <c r="B37" s="100"/>
      <c r="C37" s="100"/>
      <c r="D37" s="100"/>
      <c r="E37" s="100"/>
      <c r="F37" s="138">
        <v>51</v>
      </c>
      <c r="G37" s="114"/>
      <c r="H37" s="134"/>
    </row>
    <row r="38" spans="1:11" s="95" customFormat="1" x14ac:dyDescent="0.2">
      <c r="A38" s="100" t="s">
        <v>77</v>
      </c>
      <c r="B38" s="100"/>
      <c r="C38" s="100"/>
      <c r="D38" s="100"/>
      <c r="E38" s="100"/>
      <c r="F38" s="138">
        <f>+F36*F37</f>
        <v>318036</v>
      </c>
      <c r="G38" s="114">
        <v>785867</v>
      </c>
      <c r="H38" s="134"/>
    </row>
    <row r="39" spans="1:11" s="95" customFormat="1" x14ac:dyDescent="0.2">
      <c r="A39" s="100" t="s">
        <v>78</v>
      </c>
      <c r="B39" s="100"/>
      <c r="C39" s="100"/>
      <c r="D39" s="100"/>
      <c r="E39" s="100"/>
      <c r="F39" s="138">
        <f>+F38-J19</f>
        <v>260508</v>
      </c>
      <c r="G39" s="114">
        <v>643715</v>
      </c>
      <c r="H39" s="134"/>
    </row>
    <row r="40" spans="1:11" s="95" customFormat="1" x14ac:dyDescent="0.2">
      <c r="A40" s="100" t="s">
        <v>79</v>
      </c>
      <c r="B40" s="100"/>
      <c r="C40" s="100"/>
      <c r="D40" s="100"/>
      <c r="E40" s="100"/>
      <c r="F40" s="138">
        <f>+F38-J20</f>
        <v>278925</v>
      </c>
      <c r="G40" s="114">
        <v>689224</v>
      </c>
      <c r="H40" s="134"/>
    </row>
    <row r="41" spans="1:11" s="95" customFormat="1" x14ac:dyDescent="0.2">
      <c r="A41" s="100" t="s">
        <v>80</v>
      </c>
      <c r="B41" s="100"/>
      <c r="C41" s="100"/>
      <c r="D41" s="100"/>
      <c r="E41" s="100"/>
      <c r="F41" s="138">
        <f>+J19/F36</f>
        <v>9.225144323284157</v>
      </c>
    </row>
    <row r="42" spans="1:11" s="95" customFormat="1" x14ac:dyDescent="0.2">
      <c r="A42" s="103" t="s">
        <v>81</v>
      </c>
      <c r="B42" s="103"/>
      <c r="C42" s="103"/>
      <c r="D42" s="103"/>
      <c r="E42" s="103"/>
      <c r="F42" s="139">
        <f>+J20/F36</f>
        <v>6.2718088518280952</v>
      </c>
      <c r="G42" s="10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13" workbookViewId="0">
      <selection activeCell="A13" sqref="A1:XFD1048576"/>
    </sheetView>
  </sheetViews>
  <sheetFormatPr defaultColWidth="9.140625" defaultRowHeight="12.75" x14ac:dyDescent="0.2"/>
  <cols>
    <col min="1" max="1" width="26.42578125" style="54" customWidth="1"/>
    <col min="2" max="2" width="9.140625" style="54"/>
    <col min="3" max="3" width="8.140625" style="54" customWidth="1"/>
    <col min="4" max="4" width="7.5703125" style="54" customWidth="1"/>
    <col min="5" max="5" width="11.140625" style="54" customWidth="1"/>
    <col min="6" max="6" width="11.28515625" style="54" customWidth="1"/>
    <col min="7" max="7" width="10.7109375" style="54" customWidth="1"/>
    <col min="8" max="8" width="10.5703125" style="54" bestFit="1" customWidth="1"/>
    <col min="9" max="9" width="10" style="54" customWidth="1"/>
    <col min="10" max="10" width="7.7109375" style="54" customWidth="1"/>
    <col min="11" max="11" width="9.5703125" style="54" customWidth="1"/>
    <col min="12" max="12" width="11.5703125" style="54" customWidth="1"/>
    <col min="13" max="16384" width="9.140625" style="54"/>
  </cols>
  <sheetData>
    <row r="1" spans="1:13" x14ac:dyDescent="0.2">
      <c r="A1" s="54" t="s">
        <v>0</v>
      </c>
      <c r="B1" s="54" t="s">
        <v>160</v>
      </c>
    </row>
    <row r="2" spans="1:13" ht="13.5" x14ac:dyDescent="0.25">
      <c r="B2" s="54" t="s">
        <v>161</v>
      </c>
      <c r="L2" s="145" t="s">
        <v>162</v>
      </c>
    </row>
    <row r="4" spans="1:13" x14ac:dyDescent="0.2">
      <c r="A4" s="74" t="s">
        <v>5</v>
      </c>
      <c r="B4" s="58" t="s">
        <v>6</v>
      </c>
      <c r="C4" s="58" t="s">
        <v>7</v>
      </c>
      <c r="D4" s="58" t="s">
        <v>8</v>
      </c>
      <c r="E4" s="58" t="s">
        <v>9</v>
      </c>
      <c r="F4" s="58" t="s">
        <v>10</v>
      </c>
      <c r="G4" s="58" t="s">
        <v>11</v>
      </c>
      <c r="H4" s="58" t="s">
        <v>12</v>
      </c>
      <c r="I4" s="58" t="s">
        <v>13</v>
      </c>
      <c r="J4" s="146" t="s">
        <v>14</v>
      </c>
      <c r="K4" s="58"/>
    </row>
    <row r="5" spans="1:13" x14ac:dyDescent="0.2">
      <c r="A5" s="63"/>
      <c r="B5" s="147" t="s">
        <v>15</v>
      </c>
      <c r="C5" s="147" t="s">
        <v>16</v>
      </c>
      <c r="D5" s="147" t="s">
        <v>16</v>
      </c>
      <c r="E5" s="147" t="s">
        <v>17</v>
      </c>
      <c r="F5" s="147" t="s">
        <v>18</v>
      </c>
      <c r="G5" s="147" t="s">
        <v>19</v>
      </c>
      <c r="H5" s="147" t="s">
        <v>18</v>
      </c>
      <c r="I5" s="147" t="s">
        <v>18</v>
      </c>
      <c r="J5" s="148" t="s">
        <v>11</v>
      </c>
      <c r="K5" s="147" t="s">
        <v>12</v>
      </c>
    </row>
    <row r="6" spans="1:13" x14ac:dyDescent="0.2">
      <c r="A6" s="63"/>
      <c r="B6" s="147" t="s">
        <v>20</v>
      </c>
      <c r="C6" s="147"/>
      <c r="D6" s="147"/>
      <c r="E6" s="147"/>
      <c r="F6" s="147" t="s">
        <v>21</v>
      </c>
      <c r="G6" s="147" t="s">
        <v>18</v>
      </c>
      <c r="H6" s="147" t="s">
        <v>21</v>
      </c>
      <c r="I6" s="147" t="s">
        <v>21</v>
      </c>
      <c r="J6" s="147"/>
      <c r="K6" s="147"/>
    </row>
    <row r="7" spans="1:13" x14ac:dyDescent="0.2">
      <c r="A7" s="77"/>
      <c r="B7" s="60"/>
      <c r="C7" s="60"/>
      <c r="D7" s="60"/>
      <c r="E7" s="60"/>
      <c r="F7" s="60"/>
      <c r="G7" s="60" t="s">
        <v>21</v>
      </c>
      <c r="H7" s="60"/>
      <c r="I7" s="60"/>
      <c r="J7" s="60"/>
      <c r="K7" s="60"/>
    </row>
    <row r="8" spans="1:13" x14ac:dyDescent="0.2">
      <c r="A8" s="54" t="s">
        <v>150</v>
      </c>
      <c r="B8" s="68">
        <v>87</v>
      </c>
      <c r="C8" s="54">
        <v>8.4600000000000009</v>
      </c>
      <c r="D8" s="54">
        <v>2.57</v>
      </c>
      <c r="E8" s="149">
        <v>1325</v>
      </c>
      <c r="F8" s="69">
        <v>11210</v>
      </c>
      <c r="I8" s="69">
        <f t="shared" ref="I8:I19" si="0">SUM(F8:H8)</f>
        <v>11210</v>
      </c>
      <c r="M8" s="71"/>
    </row>
    <row r="9" spans="1:13" x14ac:dyDescent="0.2">
      <c r="A9" s="54" t="s">
        <v>163</v>
      </c>
      <c r="B9" s="68">
        <v>100</v>
      </c>
      <c r="C9" s="54">
        <v>4.58</v>
      </c>
      <c r="D9" s="54">
        <v>1.25</v>
      </c>
      <c r="E9" s="149">
        <v>1200</v>
      </c>
      <c r="F9" s="69">
        <f t="shared" ref="F9:F19" si="1">SUM(C9*E9)</f>
        <v>5496</v>
      </c>
      <c r="G9" s="69">
        <v>11022</v>
      </c>
      <c r="I9" s="69">
        <f t="shared" si="0"/>
        <v>16518</v>
      </c>
      <c r="J9" s="69">
        <v>2620</v>
      </c>
      <c r="K9" s="69"/>
    </row>
    <row r="10" spans="1:13" x14ac:dyDescent="0.2">
      <c r="A10" s="150" t="s">
        <v>94</v>
      </c>
      <c r="B10" s="68">
        <v>100</v>
      </c>
      <c r="C10" s="54">
        <v>9.5399999999999991</v>
      </c>
      <c r="D10" s="54">
        <v>2.75</v>
      </c>
      <c r="E10" s="149">
        <v>1316</v>
      </c>
      <c r="F10" s="69">
        <v>12555</v>
      </c>
      <c r="H10" s="69">
        <v>2968</v>
      </c>
      <c r="I10" s="69">
        <f t="shared" si="0"/>
        <v>15523</v>
      </c>
      <c r="J10" s="69"/>
      <c r="K10" s="69"/>
      <c r="M10" s="71"/>
    </row>
    <row r="11" spans="1:13" x14ac:dyDescent="0.2">
      <c r="A11" s="150" t="s">
        <v>164</v>
      </c>
      <c r="B11" s="68">
        <v>100</v>
      </c>
      <c r="C11" s="54">
        <v>14.57</v>
      </c>
      <c r="D11" s="54">
        <v>5.5</v>
      </c>
      <c r="E11" s="149">
        <v>1164</v>
      </c>
      <c r="F11" s="69">
        <v>16959</v>
      </c>
      <c r="H11" s="69">
        <f>+E28*G28</f>
        <v>170984</v>
      </c>
      <c r="I11" s="69">
        <f t="shared" si="0"/>
        <v>187943</v>
      </c>
      <c r="J11" s="69"/>
      <c r="K11" s="69">
        <v>31269</v>
      </c>
      <c r="M11" s="71"/>
    </row>
    <row r="12" spans="1:13" x14ac:dyDescent="0.2">
      <c r="A12" s="150" t="s">
        <v>151</v>
      </c>
      <c r="B12" s="68">
        <v>100</v>
      </c>
      <c r="C12" s="54">
        <v>4.71</v>
      </c>
      <c r="D12" s="54">
        <v>3.94</v>
      </c>
      <c r="E12" s="149">
        <v>1292</v>
      </c>
      <c r="F12" s="69">
        <v>6085</v>
      </c>
      <c r="H12" s="69">
        <v>21589</v>
      </c>
      <c r="I12" s="69">
        <f t="shared" si="0"/>
        <v>27674</v>
      </c>
      <c r="J12" s="69"/>
      <c r="K12" s="69"/>
      <c r="M12" s="71"/>
    </row>
    <row r="13" spans="1:13" x14ac:dyDescent="0.2">
      <c r="A13" s="150" t="s">
        <v>96</v>
      </c>
      <c r="B13" s="68">
        <v>100</v>
      </c>
      <c r="C13" s="69">
        <v>10.79</v>
      </c>
      <c r="D13" s="69">
        <v>3.84</v>
      </c>
      <c r="E13" s="70">
        <v>1281</v>
      </c>
      <c r="F13" s="69">
        <v>13822</v>
      </c>
      <c r="H13" s="69"/>
      <c r="I13" s="69">
        <f t="shared" si="0"/>
        <v>13822</v>
      </c>
      <c r="J13" s="69"/>
      <c r="K13" s="69"/>
      <c r="M13" s="71"/>
    </row>
    <row r="14" spans="1:13" x14ac:dyDescent="0.2">
      <c r="A14" s="150" t="s">
        <v>165</v>
      </c>
      <c r="B14" s="68">
        <v>60</v>
      </c>
      <c r="C14" s="69">
        <v>0.78</v>
      </c>
      <c r="D14" s="69">
        <v>0.7</v>
      </c>
      <c r="E14" s="70">
        <v>1300</v>
      </c>
      <c r="F14" s="69">
        <v>1014</v>
      </c>
      <c r="H14" s="69"/>
      <c r="I14" s="69">
        <f t="shared" si="0"/>
        <v>1014</v>
      </c>
      <c r="J14" s="69"/>
      <c r="K14" s="69"/>
      <c r="M14" s="71"/>
    </row>
    <row r="15" spans="1:13" x14ac:dyDescent="0.2">
      <c r="A15" s="150" t="s">
        <v>157</v>
      </c>
      <c r="B15" s="68">
        <v>100</v>
      </c>
      <c r="C15" s="69">
        <v>8.8699999999999992</v>
      </c>
      <c r="D15" s="69">
        <v>7.56</v>
      </c>
      <c r="E15" s="70">
        <v>1300</v>
      </c>
      <c r="F15" s="69">
        <v>11531</v>
      </c>
      <c r="H15" s="69"/>
      <c r="I15" s="69">
        <f t="shared" si="0"/>
        <v>11531</v>
      </c>
      <c r="J15" s="69"/>
      <c r="K15" s="69"/>
      <c r="M15" s="71"/>
    </row>
    <row r="16" spans="1:13" x14ac:dyDescent="0.2">
      <c r="A16" s="150" t="s">
        <v>166</v>
      </c>
      <c r="B16" s="68">
        <v>83</v>
      </c>
      <c r="C16" s="69">
        <v>17.48</v>
      </c>
      <c r="D16" s="69">
        <v>2.74</v>
      </c>
      <c r="E16" s="70">
        <v>1300</v>
      </c>
      <c r="F16" s="69">
        <v>22724</v>
      </c>
      <c r="H16" s="69"/>
      <c r="I16" s="69">
        <f t="shared" si="0"/>
        <v>22724</v>
      </c>
      <c r="J16" s="69"/>
      <c r="K16" s="69"/>
      <c r="M16" s="71"/>
    </row>
    <row r="17" spans="1:13" x14ac:dyDescent="0.2">
      <c r="A17" s="150" t="s">
        <v>167</v>
      </c>
      <c r="B17" s="151" t="s">
        <v>168</v>
      </c>
      <c r="C17" s="69"/>
      <c r="D17" s="69"/>
      <c r="E17" s="70"/>
      <c r="F17" s="69"/>
      <c r="G17" s="152" t="s">
        <v>169</v>
      </c>
      <c r="H17" s="69"/>
      <c r="I17" s="69"/>
      <c r="J17" s="69"/>
      <c r="K17" s="69"/>
      <c r="M17" s="71"/>
    </row>
    <row r="18" spans="1:13" x14ac:dyDescent="0.2">
      <c r="A18" s="150" t="s">
        <v>170</v>
      </c>
      <c r="B18" s="68">
        <v>100</v>
      </c>
      <c r="C18" s="69">
        <v>22.52</v>
      </c>
      <c r="D18" s="69">
        <v>6.95</v>
      </c>
      <c r="E18" s="70">
        <v>1279</v>
      </c>
      <c r="F18" s="69">
        <v>28803</v>
      </c>
      <c r="H18" s="69"/>
      <c r="I18" s="69">
        <f t="shared" si="0"/>
        <v>28803</v>
      </c>
      <c r="J18" s="69"/>
      <c r="K18" s="69"/>
      <c r="M18" s="71"/>
    </row>
    <row r="19" spans="1:13" x14ac:dyDescent="0.2">
      <c r="A19" s="150" t="s">
        <v>152</v>
      </c>
      <c r="B19" s="68">
        <v>83</v>
      </c>
      <c r="C19" s="69">
        <v>1.06</v>
      </c>
      <c r="D19" s="69">
        <v>0.85</v>
      </c>
      <c r="E19" s="70">
        <v>1500</v>
      </c>
      <c r="F19" s="69">
        <f t="shared" si="1"/>
        <v>1590</v>
      </c>
      <c r="G19" s="69">
        <v>5722</v>
      </c>
      <c r="H19" s="69"/>
      <c r="I19" s="69">
        <f t="shared" si="0"/>
        <v>7312</v>
      </c>
      <c r="J19" s="69">
        <v>999</v>
      </c>
      <c r="K19" s="69"/>
      <c r="M19" s="71"/>
    </row>
    <row r="20" spans="1:13" x14ac:dyDescent="0.2">
      <c r="A20" s="153" t="s">
        <v>153</v>
      </c>
      <c r="B20" s="75"/>
      <c r="C20" s="76">
        <f t="shared" ref="C20:K20" si="2">SUM(C8:C19)</f>
        <v>103.36</v>
      </c>
      <c r="D20" s="76">
        <f t="shared" si="2"/>
        <v>38.650000000000006</v>
      </c>
      <c r="E20" s="76">
        <f t="shared" si="2"/>
        <v>14257</v>
      </c>
      <c r="F20" s="76">
        <f>SUM(F8:F19)</f>
        <v>131789</v>
      </c>
      <c r="G20" s="76">
        <f t="shared" si="2"/>
        <v>16744</v>
      </c>
      <c r="H20" s="76">
        <f t="shared" si="2"/>
        <v>195541</v>
      </c>
      <c r="I20" s="76">
        <f t="shared" si="2"/>
        <v>344074</v>
      </c>
      <c r="J20" s="76">
        <f t="shared" si="2"/>
        <v>3619</v>
      </c>
      <c r="K20" s="76">
        <f t="shared" si="2"/>
        <v>31269</v>
      </c>
    </row>
    <row r="21" spans="1:13" x14ac:dyDescent="0.2">
      <c r="A21" s="154" t="s">
        <v>154</v>
      </c>
      <c r="B21" s="78"/>
      <c r="C21" s="79">
        <f>SUM(C20-D20)</f>
        <v>64.709999999999994</v>
      </c>
      <c r="D21" s="79"/>
      <c r="E21" s="79"/>
      <c r="F21" s="79">
        <f>SUM(E32*G32)</f>
        <v>83200</v>
      </c>
      <c r="G21" s="79">
        <f>G20-J20</f>
        <v>13125</v>
      </c>
      <c r="H21" s="79">
        <f>H20-K20</f>
        <v>164272</v>
      </c>
      <c r="I21" s="79">
        <f>SUM(F21:H21)</f>
        <v>260597</v>
      </c>
      <c r="J21" s="77"/>
      <c r="K21" s="77"/>
    </row>
    <row r="22" spans="1:13" x14ac:dyDescent="0.2">
      <c r="A22" s="150"/>
    </row>
    <row r="23" spans="1:13" x14ac:dyDescent="0.2">
      <c r="A23" s="150"/>
      <c r="C23" s="54" t="s">
        <v>101</v>
      </c>
    </row>
    <row r="24" spans="1:13" x14ac:dyDescent="0.2">
      <c r="A24" s="150"/>
    </row>
    <row r="25" spans="1:13" x14ac:dyDescent="0.2">
      <c r="A25" s="150" t="s">
        <v>48</v>
      </c>
    </row>
    <row r="26" spans="1:13" x14ac:dyDescent="0.2">
      <c r="A26" s="155" t="s">
        <v>49</v>
      </c>
      <c r="B26" s="80"/>
      <c r="C26" s="80"/>
      <c r="D26" s="80" t="s">
        <v>50</v>
      </c>
      <c r="E26" s="80" t="s">
        <v>51</v>
      </c>
      <c r="F26" s="80"/>
      <c r="G26" s="80" t="s">
        <v>52</v>
      </c>
      <c r="H26" s="61" t="s">
        <v>171</v>
      </c>
      <c r="I26" s="61" t="s">
        <v>146</v>
      </c>
      <c r="K26" s="82"/>
    </row>
    <row r="27" spans="1:13" x14ac:dyDescent="0.2">
      <c r="A27" s="150" t="s">
        <v>54</v>
      </c>
      <c r="K27" s="82"/>
    </row>
    <row r="28" spans="1:13" x14ac:dyDescent="0.2">
      <c r="A28" s="150" t="s">
        <v>172</v>
      </c>
      <c r="D28" s="54" t="s">
        <v>57</v>
      </c>
      <c r="E28" s="69">
        <v>737</v>
      </c>
      <c r="F28" s="69"/>
      <c r="G28" s="69">
        <v>232</v>
      </c>
      <c r="H28" s="156" t="s">
        <v>173</v>
      </c>
      <c r="I28" s="157">
        <v>1</v>
      </c>
    </row>
    <row r="29" spans="1:13" x14ac:dyDescent="0.2">
      <c r="A29" s="150"/>
      <c r="K29" s="82"/>
    </row>
    <row r="30" spans="1:13" x14ac:dyDescent="0.2">
      <c r="A30" s="150"/>
    </row>
    <row r="31" spans="1:13" x14ac:dyDescent="0.2">
      <c r="A31" s="150" t="s">
        <v>59</v>
      </c>
    </row>
    <row r="32" spans="1:13" x14ac:dyDescent="0.2">
      <c r="A32" s="150" t="s">
        <v>174</v>
      </c>
      <c r="D32" s="54" t="s">
        <v>62</v>
      </c>
      <c r="E32" s="69">
        <v>65</v>
      </c>
      <c r="G32" s="69">
        <v>1280</v>
      </c>
    </row>
    <row r="33" spans="1:11" x14ac:dyDescent="0.2">
      <c r="A33" s="150" t="s">
        <v>159</v>
      </c>
      <c r="D33" s="54" t="s">
        <v>62</v>
      </c>
      <c r="E33" s="69">
        <v>38</v>
      </c>
      <c r="I33" s="158" t="s">
        <v>103</v>
      </c>
      <c r="J33" s="158">
        <v>0.64</v>
      </c>
    </row>
    <row r="34" spans="1:11" x14ac:dyDescent="0.2">
      <c r="A34" s="150" t="s">
        <v>7</v>
      </c>
      <c r="D34" s="54" t="s">
        <v>62</v>
      </c>
      <c r="E34" s="69">
        <v>103</v>
      </c>
      <c r="I34" s="158" t="s">
        <v>66</v>
      </c>
      <c r="J34" s="159">
        <v>0.5</v>
      </c>
      <c r="K34" s="89"/>
    </row>
    <row r="35" spans="1:11" x14ac:dyDescent="0.2">
      <c r="A35" s="150"/>
    </row>
    <row r="36" spans="1:11" x14ac:dyDescent="0.2">
      <c r="A36" s="153" t="s">
        <v>67</v>
      </c>
      <c r="B36" s="74"/>
      <c r="C36" s="74" t="s">
        <v>108</v>
      </c>
      <c r="D36" s="74"/>
      <c r="E36" s="74"/>
      <c r="F36" s="74"/>
      <c r="G36" s="74"/>
    </row>
    <row r="37" spans="1:11" x14ac:dyDescent="0.2">
      <c r="A37" s="160"/>
      <c r="B37" s="161" t="s">
        <v>175</v>
      </c>
      <c r="C37" s="162"/>
      <c r="D37" s="160" t="s">
        <v>57</v>
      </c>
      <c r="E37" s="63"/>
      <c r="F37" s="63"/>
      <c r="G37" s="65"/>
    </row>
    <row r="38" spans="1:11" x14ac:dyDescent="0.2">
      <c r="A38" s="160" t="s">
        <v>70</v>
      </c>
      <c r="B38" s="161" t="s">
        <v>176</v>
      </c>
      <c r="C38" s="162">
        <v>53</v>
      </c>
      <c r="D38" s="160" t="s">
        <v>57</v>
      </c>
      <c r="E38" s="65">
        <v>741</v>
      </c>
      <c r="F38" s="63"/>
      <c r="G38" s="65">
        <v>6.5</v>
      </c>
    </row>
    <row r="39" spans="1:11" x14ac:dyDescent="0.2">
      <c r="A39" s="160" t="s">
        <v>109</v>
      </c>
      <c r="B39" s="161" t="s">
        <v>177</v>
      </c>
      <c r="C39" s="162">
        <v>97</v>
      </c>
      <c r="D39" s="160" t="s">
        <v>57</v>
      </c>
      <c r="E39" s="65">
        <v>599</v>
      </c>
      <c r="F39" s="63"/>
      <c r="G39" s="65">
        <v>28</v>
      </c>
    </row>
    <row r="40" spans="1:11" x14ac:dyDescent="0.2">
      <c r="A40" s="160" t="s">
        <v>178</v>
      </c>
      <c r="B40" s="161" t="s">
        <v>179</v>
      </c>
      <c r="C40" s="162" t="s">
        <v>180</v>
      </c>
      <c r="D40" s="160" t="s">
        <v>57</v>
      </c>
      <c r="E40" s="90" t="s">
        <v>181</v>
      </c>
      <c r="F40" s="63"/>
      <c r="G40" s="90" t="s">
        <v>182</v>
      </c>
    </row>
    <row r="41" spans="1:11" x14ac:dyDescent="0.2">
      <c r="A41" s="163"/>
      <c r="B41" s="164"/>
      <c r="C41" s="165"/>
      <c r="D41" s="163"/>
      <c r="E41" s="77"/>
      <c r="F41" s="77"/>
      <c r="G41" s="77"/>
    </row>
    <row r="42" spans="1:11" x14ac:dyDescent="0.2">
      <c r="A42" s="153" t="s">
        <v>72</v>
      </c>
      <c r="B42" s="74"/>
      <c r="C42" s="74"/>
      <c r="D42" s="74"/>
      <c r="E42" s="74" t="s">
        <v>183</v>
      </c>
      <c r="F42" s="74"/>
      <c r="G42" s="54" t="s">
        <v>111</v>
      </c>
    </row>
    <row r="43" spans="1:11" x14ac:dyDescent="0.2">
      <c r="A43" s="160" t="s">
        <v>75</v>
      </c>
      <c r="B43" s="63"/>
      <c r="C43" s="63"/>
      <c r="D43" s="63"/>
      <c r="E43" s="91">
        <v>5980</v>
      </c>
      <c r="F43" s="63"/>
      <c r="G43" s="166">
        <f>+E43*2.47</f>
        <v>14770.6</v>
      </c>
    </row>
    <row r="44" spans="1:11" x14ac:dyDescent="0.2">
      <c r="A44" s="160" t="s">
        <v>76</v>
      </c>
      <c r="B44" s="63"/>
      <c r="C44" s="63"/>
      <c r="D44" s="63"/>
      <c r="E44" s="92">
        <v>109</v>
      </c>
      <c r="F44" s="63"/>
      <c r="G44" s="166"/>
    </row>
    <row r="45" spans="1:11" x14ac:dyDescent="0.2">
      <c r="A45" s="160" t="s">
        <v>77</v>
      </c>
      <c r="B45" s="63"/>
      <c r="C45" s="63"/>
      <c r="D45" s="63"/>
      <c r="E45" s="92">
        <f>SUM(E43*E44)</f>
        <v>651820</v>
      </c>
      <c r="F45" s="63"/>
      <c r="G45" s="166">
        <f>+E45*2.47</f>
        <v>1609995.4000000001</v>
      </c>
    </row>
    <row r="46" spans="1:11" x14ac:dyDescent="0.2">
      <c r="A46" s="160" t="s">
        <v>212</v>
      </c>
      <c r="B46" s="63"/>
      <c r="C46" s="63"/>
      <c r="D46" s="63"/>
      <c r="E46" s="92">
        <f>SUM(E45-I20)</f>
        <v>307746</v>
      </c>
      <c r="F46" s="63"/>
      <c r="G46" s="166">
        <f>+E46*2.47</f>
        <v>760132.62000000011</v>
      </c>
    </row>
    <row r="47" spans="1:11" x14ac:dyDescent="0.2">
      <c r="A47" s="160" t="s">
        <v>79</v>
      </c>
      <c r="B47" s="63"/>
      <c r="C47" s="63"/>
      <c r="D47" s="63"/>
      <c r="E47" s="92">
        <f>SUM(E45-I21)</f>
        <v>391223</v>
      </c>
      <c r="F47" s="63"/>
      <c r="G47" s="166">
        <f>+E47*2.47</f>
        <v>966320.81</v>
      </c>
    </row>
    <row r="48" spans="1:11" x14ac:dyDescent="0.2">
      <c r="A48" s="160" t="s">
        <v>184</v>
      </c>
      <c r="B48" s="63"/>
      <c r="C48" s="63"/>
      <c r="D48" s="63"/>
      <c r="E48" s="92">
        <f>SUM(I20/E43)</f>
        <v>57.53745819397993</v>
      </c>
      <c r="F48" s="63"/>
    </row>
    <row r="49" spans="1:7" x14ac:dyDescent="0.2">
      <c r="A49" s="154" t="s">
        <v>185</v>
      </c>
      <c r="B49" s="77"/>
      <c r="C49" s="77"/>
      <c r="D49" s="77"/>
      <c r="E49" s="93">
        <f>SUM(I21/E43)</f>
        <v>43.578093645484948</v>
      </c>
      <c r="F49" s="77"/>
    </row>
    <row r="51" spans="1:7" x14ac:dyDescent="0.2">
      <c r="A51" s="54" t="s">
        <v>82</v>
      </c>
    </row>
    <row r="60" spans="1:7" x14ac:dyDescent="0.2">
      <c r="G60" s="54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31" workbookViewId="0">
      <selection activeCell="A31" sqref="A1:XFD1048576"/>
    </sheetView>
  </sheetViews>
  <sheetFormatPr defaultColWidth="10.85546875" defaultRowHeight="15.75" x14ac:dyDescent="0.25"/>
  <cols>
    <col min="1" max="7" width="10.85546875" style="174"/>
    <col min="8" max="8" width="12" style="174" customWidth="1"/>
    <col min="9" max="9" width="12.5703125" style="174" customWidth="1"/>
    <col min="10" max="16384" width="10.85546875" style="174"/>
  </cols>
  <sheetData>
    <row r="1" spans="1:19" s="167" customFormat="1" ht="16.5" customHeight="1" x14ac:dyDescent="0.25">
      <c r="A1" s="167" t="s">
        <v>0</v>
      </c>
      <c r="B1" s="167" t="s">
        <v>186</v>
      </c>
      <c r="G1" s="167" t="s">
        <v>187</v>
      </c>
    </row>
    <row r="2" spans="1:19" s="167" customFormat="1" ht="16.5" customHeight="1" x14ac:dyDescent="0.25">
      <c r="B2" s="167" t="s">
        <v>188</v>
      </c>
      <c r="C2" s="167" t="s">
        <v>189</v>
      </c>
      <c r="H2" s="167" t="s">
        <v>190</v>
      </c>
      <c r="O2" s="223" t="s">
        <v>191</v>
      </c>
    </row>
    <row r="3" spans="1:19" s="169" customFormat="1" x14ac:dyDescent="0.25">
      <c r="A3" s="168" t="s">
        <v>5</v>
      </c>
      <c r="B3" s="168"/>
      <c r="C3" s="168"/>
      <c r="D3" s="168" t="s">
        <v>6</v>
      </c>
      <c r="E3" s="168" t="s">
        <v>7</v>
      </c>
      <c r="F3" s="168" t="s">
        <v>8</v>
      </c>
      <c r="G3" s="168" t="s">
        <v>9</v>
      </c>
      <c r="H3" s="168" t="s">
        <v>10</v>
      </c>
      <c r="I3" s="168" t="s">
        <v>11</v>
      </c>
      <c r="J3" s="168" t="s">
        <v>12</v>
      </c>
      <c r="K3" s="168" t="s">
        <v>13</v>
      </c>
      <c r="L3" s="168" t="s">
        <v>14</v>
      </c>
      <c r="M3" s="168"/>
    </row>
    <row r="4" spans="1:19" s="169" customFormat="1" x14ac:dyDescent="0.25">
      <c r="A4" s="170"/>
      <c r="B4" s="170"/>
      <c r="C4" s="170"/>
      <c r="D4" s="170" t="s">
        <v>15</v>
      </c>
      <c r="E4" s="170" t="s">
        <v>16</v>
      </c>
      <c r="F4" s="170" t="s">
        <v>16</v>
      </c>
      <c r="G4" s="170" t="s">
        <v>17</v>
      </c>
      <c r="H4" s="170" t="s">
        <v>18</v>
      </c>
      <c r="I4" s="170" t="s">
        <v>19</v>
      </c>
      <c r="J4" s="170" t="s">
        <v>18</v>
      </c>
      <c r="K4" s="170" t="s">
        <v>18</v>
      </c>
      <c r="L4" s="170" t="s">
        <v>11</v>
      </c>
      <c r="M4" s="170" t="s">
        <v>12</v>
      </c>
      <c r="N4" s="171"/>
    </row>
    <row r="5" spans="1:19" s="169" customFormat="1" x14ac:dyDescent="0.25">
      <c r="A5" s="170"/>
      <c r="B5" s="170"/>
      <c r="C5" s="170"/>
      <c r="D5" s="170" t="s">
        <v>20</v>
      </c>
      <c r="E5" s="170"/>
      <c r="F5" s="170"/>
      <c r="G5" s="170"/>
      <c r="H5" s="170" t="s">
        <v>21</v>
      </c>
      <c r="I5" s="170" t="s">
        <v>18</v>
      </c>
      <c r="J5" s="170" t="s">
        <v>21</v>
      </c>
      <c r="K5" s="170" t="s">
        <v>21</v>
      </c>
      <c r="L5" s="170"/>
      <c r="M5" s="170"/>
      <c r="N5" s="172"/>
    </row>
    <row r="6" spans="1:19" s="169" customFormat="1" x14ac:dyDescent="0.25">
      <c r="A6" s="173"/>
      <c r="B6" s="173"/>
      <c r="C6" s="173"/>
      <c r="D6" s="173"/>
      <c r="E6" s="173"/>
      <c r="F6" s="173"/>
      <c r="G6" s="173"/>
      <c r="H6" s="173"/>
      <c r="I6" s="173" t="s">
        <v>21</v>
      </c>
      <c r="J6" s="173"/>
      <c r="K6" s="173"/>
      <c r="L6" s="173"/>
      <c r="M6" s="173"/>
      <c r="N6" s="172"/>
    </row>
    <row r="7" spans="1:19" ht="17.25" customHeight="1" x14ac:dyDescent="0.25">
      <c r="A7" s="174" t="s">
        <v>150</v>
      </c>
      <c r="D7" s="175">
        <v>43.332999999999998</v>
      </c>
      <c r="E7" s="176">
        <v>1.6040000000000001</v>
      </c>
      <c r="F7" s="176">
        <v>0.83440309999999995</v>
      </c>
      <c r="G7" s="177">
        <v>1250</v>
      </c>
      <c r="H7" s="176">
        <f>+E7*G7</f>
        <v>2005.0000000000002</v>
      </c>
      <c r="I7" s="178"/>
      <c r="J7" s="178"/>
      <c r="K7" s="176">
        <f>SUM(H7:J7)</f>
        <v>2005.0000000000002</v>
      </c>
      <c r="L7" s="178"/>
      <c r="M7" s="178"/>
      <c r="N7" s="179"/>
      <c r="R7" s="176"/>
    </row>
    <row r="8" spans="1:19" ht="17.25" customHeight="1" x14ac:dyDescent="0.25">
      <c r="A8" s="174" t="s">
        <v>208</v>
      </c>
      <c r="D8" s="180">
        <v>60</v>
      </c>
      <c r="E8" s="181">
        <v>0.48</v>
      </c>
      <c r="F8" s="179">
        <v>0.48</v>
      </c>
      <c r="G8" s="182"/>
      <c r="H8" s="178"/>
      <c r="I8" s="181">
        <v>8630</v>
      </c>
      <c r="J8" s="178"/>
      <c r="K8" s="176">
        <f t="shared" ref="K8:K20" si="0">SUM(H8:J8)</f>
        <v>8630</v>
      </c>
      <c r="L8" s="181">
        <v>360</v>
      </c>
      <c r="M8" s="178"/>
      <c r="N8" s="176"/>
      <c r="R8" s="181"/>
    </row>
    <row r="9" spans="1:19" ht="17.25" customHeight="1" x14ac:dyDescent="0.25">
      <c r="A9" s="174" t="s">
        <v>209</v>
      </c>
      <c r="D9" s="183" t="s">
        <v>192</v>
      </c>
      <c r="E9" s="178"/>
      <c r="F9" s="178"/>
      <c r="G9" s="182"/>
      <c r="H9" s="186" t="s">
        <v>202</v>
      </c>
      <c r="I9" s="184" t="s">
        <v>193</v>
      </c>
      <c r="J9" s="178"/>
      <c r="K9" s="176">
        <v>0</v>
      </c>
      <c r="L9" s="184"/>
      <c r="M9" s="178"/>
      <c r="N9" s="176"/>
      <c r="R9" s="178"/>
    </row>
    <row r="10" spans="1:19" ht="17.25" customHeight="1" x14ac:dyDescent="0.25">
      <c r="A10" s="185" t="s">
        <v>210</v>
      </c>
      <c r="D10" s="183" t="s">
        <v>31</v>
      </c>
      <c r="E10" s="178"/>
      <c r="F10" s="178"/>
      <c r="G10" s="178"/>
      <c r="H10" s="186" t="s">
        <v>194</v>
      </c>
      <c r="I10" s="178"/>
      <c r="J10" s="178"/>
      <c r="K10" s="176">
        <f t="shared" si="0"/>
        <v>0</v>
      </c>
      <c r="L10" s="178"/>
      <c r="M10" s="178"/>
      <c r="N10" s="176"/>
      <c r="R10" s="178"/>
    </row>
    <row r="11" spans="1:19" ht="17.25" customHeight="1" x14ac:dyDescent="0.25">
      <c r="A11" s="174" t="s">
        <v>211</v>
      </c>
      <c r="D11" s="180">
        <v>76.67</v>
      </c>
      <c r="E11" s="179">
        <v>14.86</v>
      </c>
      <c r="F11" s="179">
        <v>3.54</v>
      </c>
      <c r="G11" s="176">
        <v>1442</v>
      </c>
      <c r="H11" s="176">
        <v>21428</v>
      </c>
      <c r="I11" s="178"/>
      <c r="J11" s="178"/>
      <c r="K11" s="176">
        <f t="shared" si="0"/>
        <v>21428</v>
      </c>
      <c r="L11" s="178"/>
      <c r="M11" s="178"/>
      <c r="N11" s="176"/>
      <c r="O11" s="203"/>
      <c r="P11" s="203"/>
      <c r="Q11" s="203"/>
      <c r="R11" s="187"/>
      <c r="S11" s="203"/>
    </row>
    <row r="12" spans="1:19" s="179" customFormat="1" ht="17.25" customHeight="1" x14ac:dyDescent="0.25">
      <c r="A12" s="174" t="s">
        <v>207</v>
      </c>
      <c r="B12" s="174"/>
      <c r="C12" s="174"/>
      <c r="D12" s="183" t="s">
        <v>155</v>
      </c>
      <c r="E12" s="178">
        <v>0</v>
      </c>
      <c r="F12" s="178">
        <v>0</v>
      </c>
      <c r="G12" s="178">
        <v>0</v>
      </c>
      <c r="H12" s="184" t="s">
        <v>195</v>
      </c>
      <c r="I12" s="178"/>
      <c r="J12" s="178"/>
      <c r="K12" s="176">
        <f t="shared" si="0"/>
        <v>0</v>
      </c>
      <c r="L12" s="178"/>
      <c r="M12" s="178"/>
      <c r="N12" s="176"/>
      <c r="O12" s="187"/>
      <c r="P12" s="187"/>
      <c r="Q12" s="187"/>
      <c r="R12" s="188"/>
      <c r="S12" s="187"/>
    </row>
    <row r="13" spans="1:19" ht="17.25" customHeight="1" x14ac:dyDescent="0.25">
      <c r="A13" s="179" t="s">
        <v>196</v>
      </c>
      <c r="B13" s="179"/>
      <c r="C13" s="179"/>
      <c r="D13" s="189">
        <v>100</v>
      </c>
      <c r="E13" s="176">
        <v>11.54</v>
      </c>
      <c r="F13" s="179">
        <v>3.8</v>
      </c>
      <c r="G13" s="177">
        <v>1077</v>
      </c>
      <c r="H13" s="176">
        <v>12429</v>
      </c>
      <c r="I13" s="178"/>
      <c r="J13" s="178"/>
      <c r="K13" s="176">
        <f t="shared" si="0"/>
        <v>12429</v>
      </c>
      <c r="L13" s="178"/>
      <c r="M13" s="178"/>
      <c r="N13" s="176"/>
      <c r="O13" s="203"/>
      <c r="P13" s="203"/>
      <c r="Q13" s="203"/>
      <c r="R13" s="190"/>
      <c r="S13" s="203"/>
    </row>
    <row r="14" spans="1:19" ht="17.25" customHeight="1" x14ac:dyDescent="0.25">
      <c r="A14" s="174" t="s">
        <v>151</v>
      </c>
      <c r="C14" s="179"/>
      <c r="D14" s="189">
        <v>87</v>
      </c>
      <c r="E14" s="179">
        <v>1.97</v>
      </c>
      <c r="F14" s="179">
        <v>1.45</v>
      </c>
      <c r="G14" s="177">
        <v>1381</v>
      </c>
      <c r="H14" s="176">
        <v>2721</v>
      </c>
      <c r="I14" s="178"/>
      <c r="J14" s="176">
        <v>4770</v>
      </c>
      <c r="K14" s="176">
        <f>SUM(H14:J14)</f>
        <v>7491</v>
      </c>
      <c r="L14" s="178"/>
      <c r="M14" s="178"/>
      <c r="N14" s="191"/>
      <c r="O14" s="203"/>
      <c r="P14" s="203"/>
      <c r="Q14" s="203"/>
      <c r="R14" s="187"/>
      <c r="S14" s="203"/>
    </row>
    <row r="15" spans="1:19" ht="17.25" customHeight="1" x14ac:dyDescent="0.25">
      <c r="A15" s="174" t="s">
        <v>96</v>
      </c>
      <c r="D15" s="189">
        <v>70</v>
      </c>
      <c r="E15" s="176">
        <v>7.92</v>
      </c>
      <c r="F15" s="179">
        <v>3.89</v>
      </c>
      <c r="G15" s="177">
        <v>1135</v>
      </c>
      <c r="H15" s="176">
        <v>8989</v>
      </c>
      <c r="I15" s="178"/>
      <c r="J15" s="178">
        <v>0</v>
      </c>
      <c r="K15" s="176">
        <f t="shared" si="0"/>
        <v>8989</v>
      </c>
      <c r="L15" s="178"/>
      <c r="M15" s="178"/>
      <c r="N15" s="191"/>
      <c r="O15" s="203"/>
      <c r="P15" s="203"/>
      <c r="Q15" s="224"/>
      <c r="R15" s="192"/>
      <c r="S15" s="203"/>
    </row>
    <row r="16" spans="1:19" ht="17.25" customHeight="1" x14ac:dyDescent="0.25">
      <c r="A16" s="174" t="s">
        <v>156</v>
      </c>
      <c r="D16" s="189">
        <v>73.33</v>
      </c>
      <c r="E16" s="179">
        <v>1.1200000000000001</v>
      </c>
      <c r="F16" s="179">
        <v>0.88</v>
      </c>
      <c r="G16" s="177">
        <v>1500</v>
      </c>
      <c r="H16" s="176">
        <v>1680</v>
      </c>
      <c r="I16" s="178"/>
      <c r="J16" s="176">
        <v>4077</v>
      </c>
      <c r="K16" s="176">
        <f t="shared" si="0"/>
        <v>5757</v>
      </c>
      <c r="L16" s="178"/>
      <c r="M16" s="178"/>
      <c r="N16" s="191"/>
      <c r="O16" s="203"/>
      <c r="P16" s="203"/>
      <c r="Q16" s="203"/>
      <c r="R16" s="187"/>
      <c r="S16" s="203"/>
    </row>
    <row r="17" spans="1:19" x14ac:dyDescent="0.25">
      <c r="A17" s="174" t="s">
        <v>157</v>
      </c>
      <c r="D17" s="189">
        <v>83</v>
      </c>
      <c r="E17" s="176">
        <v>3.1</v>
      </c>
      <c r="F17" s="179">
        <v>1.91</v>
      </c>
      <c r="G17" s="177">
        <v>1500</v>
      </c>
      <c r="H17" s="176">
        <f>+E17*G17</f>
        <v>4650</v>
      </c>
      <c r="I17" s="178"/>
      <c r="J17" s="176">
        <v>7257</v>
      </c>
      <c r="K17" s="176">
        <f t="shared" si="0"/>
        <v>11907</v>
      </c>
      <c r="L17" s="178"/>
      <c r="M17" s="178"/>
      <c r="N17" s="191"/>
      <c r="O17" s="203"/>
      <c r="P17" s="203"/>
      <c r="Q17" s="203"/>
      <c r="R17" s="192"/>
      <c r="S17" s="203"/>
    </row>
    <row r="18" spans="1:19" x14ac:dyDescent="0.25">
      <c r="A18" s="174" t="s">
        <v>158</v>
      </c>
      <c r="D18" s="189">
        <v>100</v>
      </c>
      <c r="E18" s="179">
        <v>6.28</v>
      </c>
      <c r="F18" s="179">
        <v>6.62</v>
      </c>
      <c r="G18" s="177">
        <v>1500</v>
      </c>
      <c r="H18" s="176">
        <f>+E18*G18</f>
        <v>9420</v>
      </c>
      <c r="I18" s="178"/>
      <c r="J18" s="178"/>
      <c r="K18" s="176">
        <f t="shared" si="0"/>
        <v>9420</v>
      </c>
      <c r="L18" s="178"/>
      <c r="M18" s="178"/>
      <c r="N18" s="191"/>
      <c r="O18" s="203"/>
      <c r="P18" s="203"/>
      <c r="Q18" s="203"/>
      <c r="R18" s="187"/>
      <c r="S18" s="203"/>
    </row>
    <row r="19" spans="1:19" x14ac:dyDescent="0.25">
      <c r="A19" s="174" t="s">
        <v>205</v>
      </c>
      <c r="D19" s="189">
        <v>100</v>
      </c>
      <c r="E19" s="179">
        <v>27.29</v>
      </c>
      <c r="F19" s="179">
        <v>8.52</v>
      </c>
      <c r="G19" s="177">
        <v>1206</v>
      </c>
      <c r="H19" s="176">
        <v>32912</v>
      </c>
      <c r="I19" s="178"/>
      <c r="J19" s="178"/>
      <c r="K19" s="176">
        <f t="shared" si="0"/>
        <v>32912</v>
      </c>
      <c r="L19" s="178"/>
      <c r="M19" s="178"/>
      <c r="N19" s="191"/>
      <c r="O19" s="203"/>
      <c r="P19" s="203"/>
      <c r="Q19" s="203"/>
      <c r="R19" s="187"/>
      <c r="S19" s="203"/>
    </row>
    <row r="20" spans="1:19" x14ac:dyDescent="0.25">
      <c r="A20" s="174" t="s">
        <v>152</v>
      </c>
      <c r="D20" s="189">
        <v>73</v>
      </c>
      <c r="E20" s="179">
        <v>2.5099999999999998</v>
      </c>
      <c r="F20" s="179">
        <v>1.0900000000000001</v>
      </c>
      <c r="G20" s="177">
        <v>1326</v>
      </c>
      <c r="H20" s="176">
        <v>3328</v>
      </c>
      <c r="I20" s="176">
        <v>3290</v>
      </c>
      <c r="J20" s="178"/>
      <c r="K20" s="176">
        <f t="shared" si="0"/>
        <v>6618</v>
      </c>
      <c r="L20" s="178"/>
      <c r="M20" s="178"/>
      <c r="N20" s="191"/>
      <c r="O20" s="203"/>
      <c r="P20" s="203"/>
      <c r="Q20" s="203"/>
      <c r="R20" s="187"/>
      <c r="S20" s="203"/>
    </row>
    <row r="21" spans="1:19" x14ac:dyDescent="0.25">
      <c r="A21" s="193" t="s">
        <v>206</v>
      </c>
      <c r="B21" s="193"/>
      <c r="C21" s="193"/>
      <c r="D21" s="194"/>
      <c r="E21" s="195">
        <f>E7+E8+E11+E13+E14+E15+E16+E17+E18+E19+E20</f>
        <v>78.673999999999992</v>
      </c>
      <c r="F21" s="195">
        <f>F7+F8+F11+F13+F14+F15+F16+F17+F18+F19+F20</f>
        <v>33.014403100000003</v>
      </c>
      <c r="G21" s="196">
        <f>G7+G11+G13+G14+G15+G16+G17+G18+G19+G20</f>
        <v>13317</v>
      </c>
      <c r="H21" s="195">
        <f>H7+H11+H13+H14+H15+H16+H17+H18+H19+H20</f>
        <v>99562</v>
      </c>
      <c r="I21" s="195">
        <f>I8+I20</f>
        <v>11920</v>
      </c>
      <c r="J21" s="195">
        <f>J14+J16+J17</f>
        <v>16104</v>
      </c>
      <c r="K21" s="195">
        <f>K7+K8+K11+K13+K14+K15+K16+K17+K18+K19+K20</f>
        <v>127586</v>
      </c>
      <c r="L21" s="195">
        <v>360</v>
      </c>
      <c r="M21" s="197"/>
      <c r="N21" s="179"/>
      <c r="O21" s="203"/>
      <c r="P21" s="192"/>
      <c r="Q21" s="192"/>
      <c r="R21" s="192"/>
      <c r="S21" s="203"/>
    </row>
    <row r="22" spans="1:19" x14ac:dyDescent="0.25">
      <c r="A22" s="198" t="s">
        <v>154</v>
      </c>
      <c r="B22" s="198"/>
      <c r="C22" s="198"/>
      <c r="D22" s="199"/>
      <c r="E22" s="200">
        <f>+E21-F21</f>
        <v>45.65959689999999</v>
      </c>
      <c r="F22" s="201">
        <v>0</v>
      </c>
      <c r="G22" s="201">
        <v>0</v>
      </c>
      <c r="H22" s="200">
        <f>+E32*G32</f>
        <v>57960</v>
      </c>
      <c r="I22" s="200">
        <f>+I21-L21</f>
        <v>11560</v>
      </c>
      <c r="J22" s="200">
        <f>+J21-M21</f>
        <v>16104</v>
      </c>
      <c r="K22" s="200">
        <f>+H22+I22+J22</f>
        <v>85624</v>
      </c>
      <c r="L22" s="202"/>
      <c r="M22" s="202"/>
      <c r="N22" s="179"/>
      <c r="O22" s="203"/>
      <c r="P22" s="203"/>
      <c r="Q22" s="203"/>
      <c r="R22" s="192"/>
      <c r="S22" s="203"/>
    </row>
    <row r="23" spans="1:19" x14ac:dyDescent="0.25">
      <c r="A23" s="203"/>
      <c r="B23" s="203"/>
      <c r="C23" s="203"/>
      <c r="D23" s="204"/>
      <c r="E23" s="203"/>
      <c r="F23" s="203"/>
      <c r="G23" s="203"/>
      <c r="H23" s="205"/>
      <c r="I23" s="205"/>
      <c r="J23" s="206"/>
      <c r="K23" s="206"/>
      <c r="L23" s="203"/>
      <c r="M23" s="203"/>
      <c r="O23" s="203"/>
      <c r="P23" s="203"/>
      <c r="Q23" s="203"/>
      <c r="R23" s="203"/>
      <c r="S23" s="203"/>
    </row>
    <row r="24" spans="1:19" x14ac:dyDescent="0.25">
      <c r="O24" s="203"/>
      <c r="P24" s="203"/>
      <c r="Q24" s="203"/>
      <c r="R24" s="203"/>
      <c r="S24" s="203"/>
    </row>
    <row r="25" spans="1:19" x14ac:dyDescent="0.25">
      <c r="C25" s="167" t="s">
        <v>101</v>
      </c>
      <c r="H25" s="207"/>
      <c r="L25" s="179"/>
      <c r="O25" s="203"/>
      <c r="P25" s="203"/>
      <c r="Q25" s="203"/>
      <c r="R25" s="203"/>
      <c r="S25" s="203"/>
    </row>
    <row r="26" spans="1:19" x14ac:dyDescent="0.25">
      <c r="K26" s="208"/>
      <c r="L26" s="179"/>
      <c r="O26" s="203"/>
      <c r="P26" s="203"/>
      <c r="Q26" s="203"/>
      <c r="R26" s="203"/>
      <c r="S26" s="203"/>
    </row>
    <row r="27" spans="1:19" x14ac:dyDescent="0.25">
      <c r="A27" s="167" t="s">
        <v>48</v>
      </c>
      <c r="L27" s="179"/>
      <c r="O27" s="203"/>
      <c r="P27" s="203"/>
      <c r="Q27" s="203"/>
      <c r="R27" s="203"/>
      <c r="S27" s="203"/>
    </row>
    <row r="28" spans="1:19" x14ac:dyDescent="0.25">
      <c r="A28" s="209" t="s">
        <v>49</v>
      </c>
      <c r="B28" s="209"/>
      <c r="C28" s="209"/>
      <c r="D28" s="209" t="s">
        <v>50</v>
      </c>
      <c r="E28" s="209" t="s">
        <v>51</v>
      </c>
      <c r="F28" s="209"/>
      <c r="G28" s="209" t="s">
        <v>52</v>
      </c>
      <c r="H28" s="225" t="s">
        <v>204</v>
      </c>
      <c r="L28" s="179"/>
      <c r="O28" s="203"/>
      <c r="P28" s="203"/>
      <c r="Q28" s="203"/>
      <c r="R28" s="203"/>
      <c r="S28" s="203"/>
    </row>
    <row r="29" spans="1:19" x14ac:dyDescent="0.25">
      <c r="A29" s="174" t="s">
        <v>54</v>
      </c>
      <c r="H29" s="174" t="s">
        <v>203</v>
      </c>
      <c r="K29" s="210"/>
      <c r="L29" s="211"/>
      <c r="O29" s="203"/>
      <c r="P29" s="203"/>
      <c r="Q29" s="203"/>
      <c r="R29" s="203"/>
      <c r="S29" s="203"/>
    </row>
    <row r="30" spans="1:19" x14ac:dyDescent="0.25">
      <c r="A30" s="174" t="s">
        <v>197</v>
      </c>
      <c r="E30" s="174">
        <v>1048</v>
      </c>
      <c r="G30" s="207">
        <v>0</v>
      </c>
    </row>
    <row r="31" spans="1:19" x14ac:dyDescent="0.25">
      <c r="A31" s="174" t="s">
        <v>59</v>
      </c>
      <c r="J31" s="185"/>
      <c r="K31" s="185"/>
      <c r="L31" s="211"/>
      <c r="M31" s="203"/>
    </row>
    <row r="32" spans="1:19" x14ac:dyDescent="0.25">
      <c r="A32" s="203" t="s">
        <v>174</v>
      </c>
      <c r="B32" s="203"/>
      <c r="C32" s="203"/>
      <c r="D32" s="203" t="s">
        <v>62</v>
      </c>
      <c r="E32" s="206">
        <v>46</v>
      </c>
      <c r="F32" s="206"/>
      <c r="G32" s="205">
        <v>1260</v>
      </c>
      <c r="L32" s="211"/>
      <c r="M32" s="203"/>
    </row>
    <row r="33" spans="1:12" x14ac:dyDescent="0.25">
      <c r="A33" s="203" t="s">
        <v>107</v>
      </c>
      <c r="B33" s="203"/>
      <c r="C33" s="203"/>
      <c r="D33" s="203" t="s">
        <v>62</v>
      </c>
      <c r="E33" s="206">
        <v>33</v>
      </c>
      <c r="F33" s="206"/>
      <c r="G33" s="206"/>
      <c r="J33" s="212" t="s">
        <v>198</v>
      </c>
      <c r="K33" s="213">
        <v>1.24</v>
      </c>
      <c r="L33" s="211"/>
    </row>
    <row r="34" spans="1:12" x14ac:dyDescent="0.25">
      <c r="A34" s="198" t="s">
        <v>7</v>
      </c>
      <c r="B34" s="198"/>
      <c r="C34" s="198"/>
      <c r="D34" s="198" t="s">
        <v>62</v>
      </c>
      <c r="E34" s="214">
        <f>SUM(E32:E33)</f>
        <v>79</v>
      </c>
      <c r="F34" s="214"/>
      <c r="G34" s="214"/>
      <c r="J34" s="215" t="s">
        <v>199</v>
      </c>
      <c r="K34" s="216">
        <v>1</v>
      </c>
    </row>
    <row r="35" spans="1:12" x14ac:dyDescent="0.25">
      <c r="A35" s="203"/>
      <c r="B35" s="203"/>
      <c r="C35" s="203"/>
      <c r="D35" s="203"/>
      <c r="E35" s="206"/>
      <c r="F35" s="206"/>
      <c r="G35" s="206"/>
      <c r="K35" s="203"/>
    </row>
    <row r="36" spans="1:12" x14ac:dyDescent="0.25">
      <c r="A36" s="217" t="s">
        <v>67</v>
      </c>
      <c r="B36" s="203"/>
      <c r="C36" s="217" t="s">
        <v>108</v>
      </c>
      <c r="D36" s="203"/>
      <c r="E36" s="203"/>
      <c r="F36" s="203"/>
      <c r="G36" s="203"/>
    </row>
    <row r="37" spans="1:12" x14ac:dyDescent="0.25">
      <c r="A37" s="203" t="s">
        <v>200</v>
      </c>
      <c r="B37" s="203"/>
      <c r="C37" s="203">
        <v>50</v>
      </c>
      <c r="D37" s="203" t="s">
        <v>57</v>
      </c>
      <c r="E37" s="205">
        <v>73</v>
      </c>
      <c r="F37" s="203"/>
      <c r="G37" s="205">
        <v>34</v>
      </c>
    </row>
    <row r="38" spans="1:12" x14ac:dyDescent="0.25">
      <c r="A38" s="198" t="s">
        <v>201</v>
      </c>
      <c r="B38" s="198"/>
      <c r="C38" s="198">
        <v>50</v>
      </c>
      <c r="D38" s="198" t="s">
        <v>57</v>
      </c>
      <c r="E38" s="218">
        <v>88</v>
      </c>
      <c r="F38" s="198"/>
      <c r="G38" s="218">
        <v>26</v>
      </c>
    </row>
    <row r="39" spans="1:12" x14ac:dyDescent="0.25">
      <c r="A39" s="203"/>
      <c r="B39" s="203"/>
      <c r="C39" s="203"/>
      <c r="D39" s="203"/>
      <c r="E39" s="203"/>
      <c r="F39" s="203"/>
      <c r="G39" s="205"/>
    </row>
    <row r="40" spans="1:12" x14ac:dyDescent="0.25">
      <c r="A40" s="217" t="s">
        <v>72</v>
      </c>
      <c r="B40" s="203"/>
      <c r="C40" s="203"/>
      <c r="D40" s="203"/>
      <c r="E40" s="219" t="s">
        <v>149</v>
      </c>
      <c r="F40" s="167"/>
      <c r="G40" s="167" t="s">
        <v>74</v>
      </c>
    </row>
    <row r="41" spans="1:12" x14ac:dyDescent="0.25">
      <c r="A41" s="203" t="s">
        <v>75</v>
      </c>
      <c r="B41" s="203"/>
      <c r="C41" s="203"/>
      <c r="D41" s="203"/>
      <c r="E41" s="220">
        <v>7904</v>
      </c>
      <c r="F41" s="221"/>
      <c r="G41" s="207">
        <v>19531</v>
      </c>
      <c r="J41" s="221"/>
      <c r="K41" s="221"/>
    </row>
    <row r="42" spans="1:12" x14ac:dyDescent="0.25">
      <c r="A42" s="203" t="s">
        <v>113</v>
      </c>
      <c r="B42" s="203"/>
      <c r="C42" s="203"/>
      <c r="D42" s="203"/>
      <c r="E42" s="205">
        <v>38</v>
      </c>
      <c r="G42" s="207"/>
      <c r="J42" s="221"/>
      <c r="K42" s="221"/>
    </row>
    <row r="43" spans="1:12" x14ac:dyDescent="0.25">
      <c r="A43" s="203" t="s">
        <v>77</v>
      </c>
      <c r="B43" s="203"/>
      <c r="C43" s="203"/>
      <c r="D43" s="203"/>
      <c r="E43" s="205">
        <f>+E41*E42</f>
        <v>300352</v>
      </c>
      <c r="F43" s="221"/>
      <c r="G43" s="207">
        <v>742170</v>
      </c>
      <c r="J43" s="221"/>
      <c r="K43" s="221"/>
    </row>
    <row r="44" spans="1:12" x14ac:dyDescent="0.25">
      <c r="A44" s="203" t="s">
        <v>78</v>
      </c>
      <c r="B44" s="203"/>
      <c r="C44" s="203"/>
      <c r="D44" s="203"/>
      <c r="E44" s="205">
        <f>+E43-K21</f>
        <v>172766</v>
      </c>
      <c r="F44" s="221"/>
      <c r="G44" s="207">
        <v>426905</v>
      </c>
      <c r="J44" s="221"/>
      <c r="K44" s="221"/>
    </row>
    <row r="45" spans="1:12" x14ac:dyDescent="0.25">
      <c r="A45" s="203" t="s">
        <v>79</v>
      </c>
      <c r="B45" s="203"/>
      <c r="C45" s="203"/>
      <c r="D45" s="203"/>
      <c r="E45" s="205">
        <f>+E43-K22</f>
        <v>214728</v>
      </c>
      <c r="F45" s="221"/>
      <c r="G45" s="207">
        <v>530593</v>
      </c>
      <c r="J45" s="221"/>
      <c r="K45" s="221"/>
    </row>
    <row r="46" spans="1:12" x14ac:dyDescent="0.25">
      <c r="A46" s="203" t="s">
        <v>80</v>
      </c>
      <c r="B46" s="203"/>
      <c r="C46" s="203"/>
      <c r="D46" s="203"/>
      <c r="E46" s="205">
        <f>+K21/E41</f>
        <v>16.141953441295545</v>
      </c>
      <c r="K46" s="221"/>
    </row>
    <row r="47" spans="1:12" x14ac:dyDescent="0.25">
      <c r="A47" s="198" t="s">
        <v>81</v>
      </c>
      <c r="B47" s="198"/>
      <c r="C47" s="198"/>
      <c r="D47" s="198"/>
      <c r="E47" s="218">
        <f>+K22/E41</f>
        <v>10.832995951417004</v>
      </c>
      <c r="F47" s="198"/>
      <c r="G47" s="198"/>
      <c r="K47" s="221"/>
    </row>
    <row r="50" spans="3:3" x14ac:dyDescent="0.25">
      <c r="C50" s="2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"/>
  <sheetViews>
    <sheetView workbookViewId="0">
      <selection activeCell="Q21" sqref="Q21"/>
    </sheetView>
  </sheetViews>
  <sheetFormatPr defaultColWidth="9.140625" defaultRowHeight="12.75" x14ac:dyDescent="0.2"/>
  <cols>
    <col min="1" max="1" width="9.140625" style="54"/>
    <col min="2" max="2" width="5.7109375" style="54" customWidth="1"/>
    <col min="3" max="3" width="13" style="54" customWidth="1"/>
    <col min="4" max="4" width="5.5703125" style="54" customWidth="1"/>
    <col min="5" max="5" width="8.7109375" style="54" customWidth="1"/>
    <col min="6" max="6" width="5.42578125" style="54" customWidth="1"/>
    <col min="7" max="7" width="8.85546875" style="54" customWidth="1"/>
    <col min="8" max="8" width="8.7109375" style="54" customWidth="1"/>
    <col min="9" max="9" width="9.7109375" style="54" customWidth="1"/>
    <col min="10" max="10" width="11" style="54" customWidth="1"/>
    <col min="11" max="11" width="10.7109375" style="54" customWidth="1"/>
    <col min="12" max="12" width="7.7109375" style="54" customWidth="1"/>
    <col min="13" max="13" width="6.85546875" style="54" customWidth="1"/>
    <col min="14" max="14" width="4.140625" style="54" customWidth="1"/>
    <col min="15" max="16384" width="9.140625" style="54"/>
  </cols>
  <sheetData>
    <row r="1" spans="1:27" x14ac:dyDescent="0.2">
      <c r="A1" s="54" t="s">
        <v>0</v>
      </c>
      <c r="B1" s="226" t="s">
        <v>214</v>
      </c>
      <c r="N1" s="227"/>
    </row>
    <row r="2" spans="1:27" ht="15.75" x14ac:dyDescent="0.25">
      <c r="B2" s="226" t="s">
        <v>215</v>
      </c>
      <c r="C2" s="228"/>
      <c r="N2" s="227"/>
      <c r="P2" s="229" t="s">
        <v>216</v>
      </c>
    </row>
    <row r="3" spans="1:27" x14ac:dyDescent="0.2">
      <c r="B3" s="226" t="s">
        <v>217</v>
      </c>
      <c r="N3" s="227"/>
    </row>
    <row r="4" spans="1:27" x14ac:dyDescent="0.2">
      <c r="A4" s="74" t="s">
        <v>5</v>
      </c>
      <c r="B4" s="74"/>
      <c r="C4" s="74"/>
      <c r="D4" s="58" t="s">
        <v>6</v>
      </c>
      <c r="E4" s="58" t="s">
        <v>7</v>
      </c>
      <c r="F4" s="58" t="s">
        <v>8</v>
      </c>
      <c r="G4" s="58" t="s">
        <v>9</v>
      </c>
      <c r="H4" s="58" t="s">
        <v>10</v>
      </c>
      <c r="I4" s="58" t="s">
        <v>11</v>
      </c>
      <c r="J4" s="58" t="s">
        <v>12</v>
      </c>
      <c r="K4" s="58" t="s">
        <v>13</v>
      </c>
      <c r="L4" s="146" t="s">
        <v>14</v>
      </c>
      <c r="M4" s="58"/>
      <c r="N4" s="227"/>
    </row>
    <row r="5" spans="1:27" x14ac:dyDescent="0.2">
      <c r="A5" s="63"/>
      <c r="B5" s="63"/>
      <c r="C5" s="63"/>
      <c r="D5" s="147" t="s">
        <v>15</v>
      </c>
      <c r="E5" s="147" t="s">
        <v>16</v>
      </c>
      <c r="F5" s="147" t="s">
        <v>16</v>
      </c>
      <c r="G5" s="147" t="s">
        <v>17</v>
      </c>
      <c r="H5" s="147" t="s">
        <v>18</v>
      </c>
      <c r="I5" s="147" t="s">
        <v>19</v>
      </c>
      <c r="J5" s="147" t="s">
        <v>18</v>
      </c>
      <c r="K5" s="147" t="s">
        <v>18</v>
      </c>
      <c r="L5" s="148" t="s">
        <v>11</v>
      </c>
      <c r="M5" s="147" t="s">
        <v>12</v>
      </c>
      <c r="N5" s="227"/>
    </row>
    <row r="6" spans="1:27" x14ac:dyDescent="0.2">
      <c r="A6" s="63"/>
      <c r="B6" s="63"/>
      <c r="C6" s="63"/>
      <c r="D6" s="147" t="s">
        <v>20</v>
      </c>
      <c r="E6" s="147"/>
      <c r="F6" s="147"/>
      <c r="G6" s="147"/>
      <c r="H6" s="147" t="s">
        <v>21</v>
      </c>
      <c r="I6" s="147" t="s">
        <v>18</v>
      </c>
      <c r="J6" s="147" t="s">
        <v>21</v>
      </c>
      <c r="K6" s="147" t="s">
        <v>21</v>
      </c>
      <c r="L6" s="147"/>
      <c r="M6" s="147"/>
      <c r="N6" s="227"/>
      <c r="AA6" s="230"/>
    </row>
    <row r="7" spans="1:27" x14ac:dyDescent="0.2">
      <c r="A7" s="77"/>
      <c r="B7" s="77"/>
      <c r="C7" s="77"/>
      <c r="D7" s="60"/>
      <c r="E7" s="60"/>
      <c r="F7" s="60"/>
      <c r="G7" s="60"/>
      <c r="H7" s="60"/>
      <c r="I7" s="60" t="s">
        <v>21</v>
      </c>
      <c r="J7" s="60"/>
      <c r="K7" s="60"/>
      <c r="L7" s="60"/>
      <c r="M7" s="60"/>
      <c r="N7" s="227"/>
      <c r="X7" s="262" t="s">
        <v>218</v>
      </c>
      <c r="Y7" s="263"/>
      <c r="Z7" s="54" t="s">
        <v>219</v>
      </c>
      <c r="AA7" s="230"/>
    </row>
    <row r="8" spans="1:27" s="142" customFormat="1" x14ac:dyDescent="0.2">
      <c r="A8" s="142" t="s">
        <v>220</v>
      </c>
      <c r="D8" s="144">
        <v>100</v>
      </c>
      <c r="E8" s="231">
        <v>7.23</v>
      </c>
      <c r="F8" s="231">
        <v>7.15</v>
      </c>
      <c r="G8" s="232">
        <v>1500</v>
      </c>
      <c r="H8" s="143">
        <f>SUM(E8*G8)</f>
        <v>10845</v>
      </c>
      <c r="I8" s="231"/>
      <c r="J8" s="231">
        <v>1707</v>
      </c>
      <c r="K8" s="231">
        <f>SUM(H8:J8)</f>
        <v>12552</v>
      </c>
      <c r="L8" s="231"/>
      <c r="N8" s="227"/>
      <c r="W8" s="54"/>
      <c r="X8" s="233">
        <f>9539/1243</f>
        <v>7.6741753821399836</v>
      </c>
      <c r="Y8" s="230"/>
      <c r="Z8" s="234">
        <f>10080/1200</f>
        <v>8.4</v>
      </c>
      <c r="AA8" s="235"/>
    </row>
    <row r="9" spans="1:27" s="142" customFormat="1" x14ac:dyDescent="0.2">
      <c r="A9" s="142" t="s">
        <v>221</v>
      </c>
      <c r="D9" s="144">
        <v>53</v>
      </c>
      <c r="E9" s="231">
        <v>5.9</v>
      </c>
      <c r="F9" s="231">
        <v>4.29</v>
      </c>
      <c r="G9" s="232">
        <v>1571</v>
      </c>
      <c r="H9" s="143">
        <v>9269</v>
      </c>
      <c r="I9" s="231"/>
      <c r="J9" s="231"/>
      <c r="K9" s="231">
        <f t="shared" ref="K9:K10" si="0">SUM(H9:J9)</f>
        <v>9269</v>
      </c>
      <c r="L9" s="231"/>
      <c r="N9" s="227"/>
      <c r="W9" s="142" t="s">
        <v>222</v>
      </c>
      <c r="X9" s="233">
        <f>8568/1243</f>
        <v>6.8930008045052293</v>
      </c>
      <c r="Y9" s="235"/>
      <c r="Z9" s="233">
        <f>8710/1200</f>
        <v>7.2583333333333337</v>
      </c>
      <c r="AA9" s="235"/>
    </row>
    <row r="10" spans="1:27" s="142" customFormat="1" x14ac:dyDescent="0.2">
      <c r="A10" s="142" t="s">
        <v>223</v>
      </c>
      <c r="D10" s="144">
        <v>40</v>
      </c>
      <c r="E10" s="231">
        <v>0.86</v>
      </c>
      <c r="F10" s="231">
        <v>0.86</v>
      </c>
      <c r="G10" s="232">
        <v>1150</v>
      </c>
      <c r="H10" s="143">
        <f>SUM(E10*G10)</f>
        <v>989</v>
      </c>
      <c r="I10" s="231">
        <v>8867</v>
      </c>
      <c r="J10" s="231"/>
      <c r="K10" s="231">
        <f t="shared" si="0"/>
        <v>9856</v>
      </c>
      <c r="L10" s="231">
        <v>4000</v>
      </c>
      <c r="N10" s="227"/>
      <c r="X10" s="233">
        <f>(1650+1350)/1243</f>
        <v>2.4135156878519712</v>
      </c>
      <c r="Y10" s="235"/>
      <c r="Z10" s="233">
        <f>14820/1200</f>
        <v>12.35</v>
      </c>
      <c r="AA10" s="235"/>
    </row>
    <row r="11" spans="1:27" s="142" customFormat="1" x14ac:dyDescent="0.2">
      <c r="A11" s="142" t="s">
        <v>224</v>
      </c>
      <c r="D11" s="144" t="s">
        <v>225</v>
      </c>
      <c r="E11" s="231"/>
      <c r="F11" s="231"/>
      <c r="G11" s="232"/>
      <c r="H11" s="143" t="s">
        <v>226</v>
      </c>
      <c r="I11" s="231"/>
      <c r="J11" s="231"/>
      <c r="K11" s="231"/>
      <c r="L11" s="231"/>
      <c r="N11" s="227"/>
      <c r="X11" s="233"/>
      <c r="Y11" s="235"/>
      <c r="Z11" s="233"/>
      <c r="AA11" s="235"/>
    </row>
    <row r="12" spans="1:27" s="142" customFormat="1" x14ac:dyDescent="0.2">
      <c r="A12" s="142" t="s">
        <v>227</v>
      </c>
      <c r="D12" s="144" t="s">
        <v>228</v>
      </c>
      <c r="E12" s="231"/>
      <c r="F12" s="231"/>
      <c r="G12" s="232"/>
      <c r="H12" s="143" t="s">
        <v>229</v>
      </c>
      <c r="I12" s="231" t="s">
        <v>230</v>
      </c>
      <c r="J12" s="231"/>
      <c r="K12" s="231"/>
      <c r="L12" s="231"/>
      <c r="N12" s="227"/>
      <c r="X12" s="233"/>
      <c r="Y12" s="235"/>
      <c r="Z12" s="233"/>
      <c r="AA12" s="235"/>
    </row>
    <row r="13" spans="1:27" s="142" customFormat="1" x14ac:dyDescent="0.2">
      <c r="A13" s="142" t="s">
        <v>231</v>
      </c>
      <c r="D13" s="144" t="s">
        <v>232</v>
      </c>
      <c r="E13" s="231"/>
      <c r="F13" s="231"/>
      <c r="G13" s="232"/>
      <c r="H13" s="143" t="s">
        <v>233</v>
      </c>
      <c r="I13" s="231"/>
      <c r="J13" s="231"/>
      <c r="K13" s="231"/>
      <c r="L13" s="231"/>
      <c r="N13" s="227"/>
      <c r="X13" s="233"/>
      <c r="Y13" s="235"/>
      <c r="Z13" s="233"/>
      <c r="AA13" s="235"/>
    </row>
    <row r="14" spans="1:27" s="142" customFormat="1" x14ac:dyDescent="0.2">
      <c r="A14" s="142" t="s">
        <v>234</v>
      </c>
      <c r="D14" s="144" t="s">
        <v>235</v>
      </c>
      <c r="E14" s="231"/>
      <c r="F14" s="231"/>
      <c r="G14" s="232"/>
      <c r="H14" s="143" t="s">
        <v>236</v>
      </c>
      <c r="I14" s="231" t="s">
        <v>237</v>
      </c>
      <c r="J14" s="231"/>
      <c r="K14" s="231"/>
      <c r="L14" s="231"/>
      <c r="N14" s="227"/>
      <c r="X14" s="233"/>
      <c r="Y14" s="235"/>
      <c r="Z14" s="233"/>
      <c r="AA14" s="235"/>
    </row>
    <row r="15" spans="1:27" s="142" customFormat="1" x14ac:dyDescent="0.2">
      <c r="A15" s="142" t="s">
        <v>238</v>
      </c>
      <c r="D15" s="144" t="s">
        <v>235</v>
      </c>
      <c r="E15" s="231"/>
      <c r="F15" s="231"/>
      <c r="G15" s="232"/>
      <c r="H15" s="143" t="s">
        <v>239</v>
      </c>
      <c r="I15" s="231"/>
      <c r="J15" s="231"/>
      <c r="K15" s="231"/>
      <c r="L15" s="231"/>
      <c r="N15" s="227"/>
      <c r="X15" s="233"/>
      <c r="Y15" s="235"/>
      <c r="Z15" s="233"/>
      <c r="AA15" s="235"/>
    </row>
    <row r="16" spans="1:27" s="142" customFormat="1" x14ac:dyDescent="0.2">
      <c r="A16" s="142" t="s">
        <v>94</v>
      </c>
      <c r="D16" s="144">
        <v>100</v>
      </c>
      <c r="E16" s="231">
        <v>8.42</v>
      </c>
      <c r="F16" s="231">
        <v>5.82</v>
      </c>
      <c r="G16" s="232">
        <v>1532</v>
      </c>
      <c r="H16" s="143">
        <v>12899</v>
      </c>
      <c r="I16" s="231"/>
      <c r="J16" s="143"/>
      <c r="K16" s="231">
        <f t="shared" ref="K16:K23" si="1">SUM(H16:J16)</f>
        <v>12899</v>
      </c>
      <c r="L16" s="231"/>
      <c r="N16" s="227"/>
      <c r="W16" s="236"/>
      <c r="X16" s="233">
        <f>12842/1243</f>
        <v>10.331456154465004</v>
      </c>
      <c r="Y16" s="235"/>
      <c r="Z16" s="233">
        <f>13706/1200</f>
        <v>11.421666666666667</v>
      </c>
      <c r="AA16" s="235"/>
    </row>
    <row r="17" spans="1:27" s="142" customFormat="1" x14ac:dyDescent="0.2">
      <c r="A17" s="142" t="s">
        <v>240</v>
      </c>
      <c r="D17" s="144">
        <v>100</v>
      </c>
      <c r="E17" s="231">
        <v>12.95</v>
      </c>
      <c r="F17" s="231">
        <v>9.57</v>
      </c>
      <c r="G17" s="232">
        <v>1500</v>
      </c>
      <c r="H17" s="143">
        <f>+G17*E17</f>
        <v>19425</v>
      </c>
      <c r="I17" s="231"/>
      <c r="J17" s="231">
        <v>17338</v>
      </c>
      <c r="K17" s="231">
        <f t="shared" si="1"/>
        <v>36763</v>
      </c>
      <c r="L17" s="231"/>
      <c r="N17" s="227"/>
      <c r="W17" s="236"/>
      <c r="X17" s="233">
        <f>11824/1243</f>
        <v>9.5124698310539024</v>
      </c>
      <c r="Y17" s="235"/>
      <c r="Z17" s="233">
        <f>11712/1200</f>
        <v>9.76</v>
      </c>
      <c r="AA17" s="235"/>
    </row>
    <row r="18" spans="1:27" s="142" customFormat="1" x14ac:dyDescent="0.2">
      <c r="A18" s="142" t="s">
        <v>34</v>
      </c>
      <c r="D18" s="144">
        <v>100</v>
      </c>
      <c r="E18" s="231">
        <v>6.69</v>
      </c>
      <c r="F18" s="231">
        <v>5.96</v>
      </c>
      <c r="G18" s="232">
        <v>1150</v>
      </c>
      <c r="H18" s="143">
        <v>7694</v>
      </c>
      <c r="I18" s="231"/>
      <c r="J18" s="231">
        <f>+E40*G40+E41*G41</f>
        <v>14421</v>
      </c>
      <c r="K18" s="231">
        <f t="shared" si="1"/>
        <v>22115</v>
      </c>
      <c r="L18" s="231"/>
      <c r="N18" s="227"/>
      <c r="W18" s="236"/>
      <c r="X18" s="233">
        <f>10518/1243</f>
        <v>8.4617860016090098</v>
      </c>
      <c r="Y18" s="235"/>
      <c r="Z18" s="233">
        <f>10080/1200</f>
        <v>8.4</v>
      </c>
      <c r="AA18" s="235"/>
    </row>
    <row r="19" spans="1:27" s="142" customFormat="1" x14ac:dyDescent="0.2">
      <c r="A19" s="142" t="s">
        <v>96</v>
      </c>
      <c r="D19" s="144">
        <v>100</v>
      </c>
      <c r="E19" s="231">
        <v>14.9</v>
      </c>
      <c r="F19" s="231">
        <v>9.5299999999999994</v>
      </c>
      <c r="G19" s="232">
        <v>1309</v>
      </c>
      <c r="H19" s="143">
        <v>19504</v>
      </c>
      <c r="I19" s="231"/>
      <c r="J19" s="231"/>
      <c r="K19" s="231">
        <f t="shared" si="1"/>
        <v>19504</v>
      </c>
      <c r="L19" s="231"/>
      <c r="N19" s="227"/>
      <c r="W19" s="236"/>
      <c r="X19" s="233">
        <f>19446/1243</f>
        <v>15.644408688656476</v>
      </c>
      <c r="Y19" s="235"/>
      <c r="Z19" s="233">
        <f>17857/1200</f>
        <v>14.880833333333333</v>
      </c>
      <c r="AA19" s="235"/>
    </row>
    <row r="20" spans="1:27" s="142" customFormat="1" x14ac:dyDescent="0.2">
      <c r="A20" s="142" t="s">
        <v>36</v>
      </c>
      <c r="D20" s="144">
        <v>100</v>
      </c>
      <c r="E20" s="231">
        <v>8.6</v>
      </c>
      <c r="F20" s="231">
        <v>8.6</v>
      </c>
      <c r="G20" s="232">
        <v>1150</v>
      </c>
      <c r="H20" s="143">
        <f>+G20*E20</f>
        <v>9890</v>
      </c>
      <c r="I20" s="231"/>
      <c r="J20" s="231">
        <v>14612</v>
      </c>
      <c r="K20" s="231">
        <f t="shared" si="1"/>
        <v>24502</v>
      </c>
      <c r="L20" s="231"/>
      <c r="N20" s="227"/>
      <c r="W20" s="236"/>
      <c r="X20" s="233">
        <f>11467/1243</f>
        <v>9.2252614641995176</v>
      </c>
      <c r="Y20" s="235"/>
      <c r="Z20" s="233">
        <f>12154/1200</f>
        <v>10.128333333333334</v>
      </c>
      <c r="AA20" s="235"/>
    </row>
    <row r="21" spans="1:27" s="142" customFormat="1" x14ac:dyDescent="0.2">
      <c r="A21" s="142" t="s">
        <v>241</v>
      </c>
      <c r="D21" s="144">
        <v>100</v>
      </c>
      <c r="E21" s="231">
        <v>16.62</v>
      </c>
      <c r="F21" s="231">
        <v>14</v>
      </c>
      <c r="G21" s="232">
        <v>1462</v>
      </c>
      <c r="H21" s="143">
        <v>24298</v>
      </c>
      <c r="I21" s="231"/>
      <c r="J21" s="231">
        <v>16068</v>
      </c>
      <c r="K21" s="231">
        <f t="shared" si="1"/>
        <v>40366</v>
      </c>
      <c r="L21" s="231"/>
      <c r="M21" s="231">
        <v>9328</v>
      </c>
      <c r="N21" s="227"/>
      <c r="W21" s="236"/>
      <c r="X21" s="233">
        <f>20429/1243</f>
        <v>16.435237329042639</v>
      </c>
      <c r="Y21" s="235"/>
      <c r="Z21" s="233">
        <f>19133/1200</f>
        <v>15.944166666666666</v>
      </c>
      <c r="AA21" s="235"/>
    </row>
    <row r="22" spans="1:27" s="142" customFormat="1" x14ac:dyDescent="0.2">
      <c r="A22" s="142" t="s">
        <v>242</v>
      </c>
      <c r="D22" s="144">
        <v>87</v>
      </c>
      <c r="E22" s="231">
        <v>12.6</v>
      </c>
      <c r="F22" s="231">
        <v>12.6</v>
      </c>
      <c r="G22" s="232">
        <v>1150</v>
      </c>
      <c r="H22" s="143">
        <f>+G22*E22</f>
        <v>14490</v>
      </c>
      <c r="I22" s="231"/>
      <c r="J22" s="231"/>
      <c r="K22" s="231">
        <f t="shared" si="1"/>
        <v>14490</v>
      </c>
      <c r="L22" s="231"/>
      <c r="N22" s="227"/>
      <c r="W22" s="236"/>
      <c r="X22" s="233">
        <f>13942/1243</f>
        <v>11.216411906677394</v>
      </c>
      <c r="Y22" s="235"/>
      <c r="Z22" s="233">
        <f>12845/1200</f>
        <v>10.704166666666667</v>
      </c>
      <c r="AA22" s="235"/>
    </row>
    <row r="23" spans="1:27" s="142" customFormat="1" x14ac:dyDescent="0.2">
      <c r="A23" s="142" t="s">
        <v>243</v>
      </c>
      <c r="D23" s="144">
        <v>100</v>
      </c>
      <c r="E23" s="231">
        <v>23.56</v>
      </c>
      <c r="F23" s="231">
        <v>18.34</v>
      </c>
      <c r="G23" s="232">
        <v>1500</v>
      </c>
      <c r="H23" s="143">
        <f>+G23*E23</f>
        <v>35340</v>
      </c>
      <c r="I23" s="231"/>
      <c r="J23" s="231"/>
      <c r="K23" s="231">
        <f t="shared" si="1"/>
        <v>35340</v>
      </c>
      <c r="L23" s="231"/>
      <c r="N23" s="227"/>
      <c r="W23" s="236"/>
      <c r="X23" s="233">
        <f>42438/1243</f>
        <v>34.141592920353979</v>
      </c>
      <c r="Y23" s="235"/>
      <c r="Z23" s="233">
        <f>28498/1200</f>
        <v>23.748333333333335</v>
      </c>
      <c r="AA23" s="235"/>
    </row>
    <row r="24" spans="1:27" s="142" customFormat="1" x14ac:dyDescent="0.2">
      <c r="A24" s="237" t="s">
        <v>153</v>
      </c>
      <c r="B24" s="237"/>
      <c r="C24" s="237"/>
      <c r="D24" s="238"/>
      <c r="E24" s="239">
        <f>SUM(E8:E23)</f>
        <v>118.33</v>
      </c>
      <c r="F24" s="239">
        <f>SUM(F8:F23)</f>
        <v>96.72</v>
      </c>
      <c r="G24" s="239"/>
      <c r="H24" s="239">
        <f>SUM(H8:H23)</f>
        <v>164643</v>
      </c>
      <c r="I24" s="239">
        <f>SUM(I8:I23)</f>
        <v>8867</v>
      </c>
      <c r="J24" s="239">
        <f>SUM(J8:J23)</f>
        <v>64146</v>
      </c>
      <c r="K24" s="239">
        <f>SUM(H24:J24)</f>
        <v>237656</v>
      </c>
      <c r="L24" s="239">
        <f>SUM(L8:L23)</f>
        <v>4000</v>
      </c>
      <c r="M24" s="239">
        <f>SUM(M8:M23)</f>
        <v>9328</v>
      </c>
      <c r="N24" s="227"/>
      <c r="X24" s="240">
        <f>SUM(X8:X23)</f>
        <v>131.94931617055511</v>
      </c>
      <c r="Y24" s="235"/>
      <c r="Z24" s="240">
        <f>SUM(Z8:Z23)</f>
        <v>132.99583333333334</v>
      </c>
      <c r="AA24" s="235"/>
    </row>
    <row r="25" spans="1:27" s="142" customFormat="1" x14ac:dyDescent="0.2">
      <c r="A25" s="241" t="s">
        <v>154</v>
      </c>
      <c r="B25" s="241"/>
      <c r="C25" s="241"/>
      <c r="D25" s="242"/>
      <c r="E25" s="243">
        <f>SUM(E24-F24)</f>
        <v>21.61</v>
      </c>
      <c r="F25" s="243"/>
      <c r="G25" s="243"/>
      <c r="H25" s="243">
        <f>SUM(E35*G35)</f>
        <v>29295</v>
      </c>
      <c r="I25" s="243">
        <f>I24-L24</f>
        <v>4867</v>
      </c>
      <c r="J25" s="243">
        <f>J24-M24</f>
        <v>54818</v>
      </c>
      <c r="K25" s="243">
        <f>SUM(H25:J25)</f>
        <v>88980</v>
      </c>
      <c r="L25" s="243"/>
      <c r="M25" s="241"/>
      <c r="N25" s="227"/>
      <c r="X25" s="244"/>
      <c r="Y25" s="235"/>
      <c r="Z25" s="244"/>
      <c r="AA25" s="235"/>
    </row>
    <row r="26" spans="1:27" s="142" customFormat="1" x14ac:dyDescent="0.2">
      <c r="N26" s="227"/>
      <c r="X26" s="244"/>
      <c r="Y26" s="235"/>
      <c r="Z26" s="244"/>
      <c r="AA26" s="235"/>
    </row>
    <row r="27" spans="1:27" s="142" customFormat="1" x14ac:dyDescent="0.2">
      <c r="C27" s="142" t="s">
        <v>101</v>
      </c>
      <c r="N27" s="227"/>
      <c r="X27" s="244"/>
      <c r="Y27" s="235"/>
      <c r="Z27" s="244"/>
      <c r="AA27" s="235"/>
    </row>
    <row r="28" spans="1:27" s="142" customFormat="1" x14ac:dyDescent="0.2">
      <c r="N28" s="227"/>
      <c r="X28" s="244"/>
      <c r="Y28" s="235"/>
      <c r="Z28" s="244"/>
      <c r="AA28" s="235"/>
    </row>
    <row r="29" spans="1:27" s="142" customFormat="1" x14ac:dyDescent="0.2">
      <c r="A29" s="142" t="s">
        <v>48</v>
      </c>
      <c r="N29" s="227"/>
      <c r="X29" s="244"/>
      <c r="Y29" s="235"/>
      <c r="Z29" s="244"/>
      <c r="AA29" s="235"/>
    </row>
    <row r="30" spans="1:27" s="142" customFormat="1" x14ac:dyDescent="0.2">
      <c r="A30" s="245" t="s">
        <v>49</v>
      </c>
      <c r="B30" s="245"/>
      <c r="C30" s="245"/>
      <c r="D30" s="245" t="s">
        <v>50</v>
      </c>
      <c r="E30" s="245" t="s">
        <v>51</v>
      </c>
      <c r="F30" s="245"/>
      <c r="G30" s="245" t="s">
        <v>52</v>
      </c>
      <c r="H30" s="246" t="s">
        <v>244</v>
      </c>
      <c r="K30" s="247"/>
      <c r="N30" s="227"/>
      <c r="X30" s="244"/>
      <c r="Y30" s="235"/>
      <c r="Z30" s="244"/>
      <c r="AA30" s="235"/>
    </row>
    <row r="31" spans="1:27" s="142" customFormat="1" x14ac:dyDescent="0.2">
      <c r="A31" s="142" t="s">
        <v>54</v>
      </c>
      <c r="J31" s="248" t="s">
        <v>103</v>
      </c>
      <c r="K31" s="248">
        <v>0.5</v>
      </c>
      <c r="N31" s="227"/>
      <c r="X31" s="244"/>
      <c r="Y31" s="235"/>
      <c r="Z31" s="244"/>
      <c r="AA31" s="235"/>
    </row>
    <row r="32" spans="1:27" s="142" customFormat="1" x14ac:dyDescent="0.2">
      <c r="A32" s="142" t="s">
        <v>245</v>
      </c>
      <c r="D32" s="142" t="s">
        <v>57</v>
      </c>
      <c r="E32" s="142">
        <v>8.7999999999999995E-2</v>
      </c>
      <c r="G32" s="231">
        <v>197023</v>
      </c>
      <c r="H32" s="249" t="s">
        <v>246</v>
      </c>
      <c r="J32" s="248" t="s">
        <v>66</v>
      </c>
      <c r="K32" s="248">
        <v>0.25</v>
      </c>
      <c r="N32" s="227"/>
      <c r="X32" s="244">
        <v>7.0000000000000007E-2</v>
      </c>
      <c r="Y32" s="235">
        <v>133178</v>
      </c>
      <c r="Z32" s="244">
        <v>0.10199999999999999</v>
      </c>
      <c r="AA32" s="235">
        <v>119170</v>
      </c>
    </row>
    <row r="33" spans="1:27" s="142" customFormat="1" x14ac:dyDescent="0.2">
      <c r="H33" s="249" t="s">
        <v>247</v>
      </c>
      <c r="J33" s="250"/>
      <c r="K33" s="251"/>
      <c r="N33" s="227"/>
      <c r="X33" s="244"/>
      <c r="Y33" s="235"/>
      <c r="Z33" s="244"/>
      <c r="AA33" s="235"/>
    </row>
    <row r="34" spans="1:27" s="142" customFormat="1" x14ac:dyDescent="0.2">
      <c r="A34" s="142" t="s">
        <v>59</v>
      </c>
      <c r="H34" s="249" t="s">
        <v>248</v>
      </c>
      <c r="J34" s="250"/>
      <c r="K34" s="251"/>
      <c r="N34" s="227"/>
      <c r="X34" s="244"/>
      <c r="Y34" s="235"/>
      <c r="Z34" s="244"/>
      <c r="AA34" s="235"/>
    </row>
    <row r="35" spans="1:27" s="142" customFormat="1" x14ac:dyDescent="0.2">
      <c r="A35" s="142" t="s">
        <v>106</v>
      </c>
      <c r="D35" s="142" t="s">
        <v>62</v>
      </c>
      <c r="E35" s="231">
        <v>21</v>
      </c>
      <c r="G35" s="231">
        <v>1395</v>
      </c>
      <c r="H35" s="249" t="s">
        <v>249</v>
      </c>
      <c r="J35" s="250"/>
      <c r="K35" s="251"/>
      <c r="N35" s="227"/>
      <c r="X35" s="244"/>
      <c r="Y35" s="235">
        <v>1243</v>
      </c>
      <c r="Z35" s="244">
        <v>1200</v>
      </c>
      <c r="AA35" s="235"/>
    </row>
    <row r="36" spans="1:27" s="142" customFormat="1" x14ac:dyDescent="0.2">
      <c r="A36" s="142" t="s">
        <v>107</v>
      </c>
      <c r="D36" s="142" t="s">
        <v>62</v>
      </c>
      <c r="E36" s="231">
        <v>97</v>
      </c>
      <c r="J36" s="250"/>
      <c r="K36" s="251"/>
      <c r="N36" s="227"/>
      <c r="X36" s="244"/>
      <c r="Y36" s="235"/>
      <c r="Z36" s="244"/>
      <c r="AA36" s="235"/>
    </row>
    <row r="37" spans="1:27" s="142" customFormat="1" x14ac:dyDescent="0.2">
      <c r="A37" s="142" t="s">
        <v>7</v>
      </c>
      <c r="D37" s="142" t="s">
        <v>62</v>
      </c>
      <c r="E37" s="231">
        <v>118</v>
      </c>
      <c r="J37" s="250"/>
      <c r="K37" s="252"/>
      <c r="N37" s="227"/>
      <c r="X37" s="244"/>
      <c r="Y37" s="235"/>
      <c r="Z37" s="244"/>
      <c r="AA37" s="235"/>
    </row>
    <row r="38" spans="1:27" s="142" customFormat="1" x14ac:dyDescent="0.2">
      <c r="A38" s="237" t="s">
        <v>67</v>
      </c>
      <c r="B38" s="237"/>
      <c r="C38" s="237" t="s">
        <v>108</v>
      </c>
      <c r="D38" s="237"/>
      <c r="E38" s="237"/>
      <c r="F38" s="237"/>
      <c r="G38" s="237"/>
      <c r="K38" s="247"/>
      <c r="N38" s="227"/>
      <c r="X38" s="244"/>
      <c r="Y38" s="235"/>
      <c r="Z38" s="244"/>
      <c r="AA38" s="235"/>
    </row>
    <row r="39" spans="1:27" s="142" customFormat="1" x14ac:dyDescent="0.2">
      <c r="A39" s="250"/>
      <c r="B39" s="253"/>
      <c r="C39" s="254"/>
      <c r="D39" s="250"/>
      <c r="E39" s="252"/>
      <c r="F39" s="250"/>
      <c r="G39" s="252"/>
      <c r="K39" s="247"/>
      <c r="N39" s="227"/>
      <c r="X39" s="244"/>
      <c r="Y39" s="235"/>
      <c r="Z39" s="244"/>
      <c r="AA39" s="235"/>
    </row>
    <row r="40" spans="1:27" s="142" customFormat="1" x14ac:dyDescent="0.2">
      <c r="A40" s="250" t="s">
        <v>250</v>
      </c>
      <c r="B40" s="253"/>
      <c r="C40" s="254">
        <v>90</v>
      </c>
      <c r="D40" s="250" t="s">
        <v>57</v>
      </c>
      <c r="E40" s="252">
        <v>266</v>
      </c>
      <c r="F40" s="252"/>
      <c r="G40" s="252">
        <v>30</v>
      </c>
      <c r="K40" s="247"/>
      <c r="N40" s="227"/>
      <c r="X40" s="244"/>
      <c r="Y40" s="235">
        <v>334</v>
      </c>
      <c r="Z40" s="244">
        <v>285</v>
      </c>
      <c r="AA40" s="235"/>
    </row>
    <row r="41" spans="1:27" s="142" customFormat="1" x14ac:dyDescent="0.2">
      <c r="A41" s="250" t="s">
        <v>251</v>
      </c>
      <c r="B41" s="253"/>
      <c r="C41" s="254">
        <v>70</v>
      </c>
      <c r="D41" s="250" t="s">
        <v>57</v>
      </c>
      <c r="E41" s="252">
        <v>57</v>
      </c>
      <c r="F41" s="252"/>
      <c r="G41" s="252">
        <v>113</v>
      </c>
      <c r="N41" s="227"/>
      <c r="X41" s="244"/>
      <c r="Y41" s="235">
        <v>47</v>
      </c>
      <c r="Z41" s="244">
        <v>56</v>
      </c>
      <c r="AA41" s="235"/>
    </row>
    <row r="42" spans="1:27" s="142" customFormat="1" x14ac:dyDescent="0.2">
      <c r="A42" s="237" t="s">
        <v>72</v>
      </c>
      <c r="B42" s="237"/>
      <c r="C42" s="237"/>
      <c r="D42" s="237"/>
      <c r="E42" s="237"/>
      <c r="F42" s="237"/>
      <c r="G42" s="255" t="s">
        <v>149</v>
      </c>
      <c r="H42" s="237"/>
      <c r="I42" s="255" t="s">
        <v>111</v>
      </c>
      <c r="N42" s="227"/>
      <c r="X42" s="244"/>
      <c r="Y42" s="235"/>
      <c r="Z42" s="244"/>
      <c r="AA42" s="235"/>
    </row>
    <row r="43" spans="1:27" s="142" customFormat="1" x14ac:dyDescent="0.2">
      <c r="A43" s="250" t="s">
        <v>75</v>
      </c>
      <c r="B43" s="250"/>
      <c r="C43" s="250"/>
      <c r="D43" s="250"/>
      <c r="E43" s="250"/>
      <c r="F43" s="250"/>
      <c r="G43" s="141">
        <v>4115</v>
      </c>
      <c r="H43" s="142" t="s">
        <v>44</v>
      </c>
      <c r="I43" s="231">
        <v>10168</v>
      </c>
      <c r="N43" s="227"/>
      <c r="X43" s="244"/>
      <c r="Y43" s="235">
        <v>7110</v>
      </c>
      <c r="Z43" s="244">
        <v>7016</v>
      </c>
      <c r="AA43" s="235"/>
    </row>
    <row r="44" spans="1:27" s="142" customFormat="1" x14ac:dyDescent="0.2">
      <c r="A44" s="250" t="s">
        <v>76</v>
      </c>
      <c r="B44" s="250"/>
      <c r="C44" s="250"/>
      <c r="D44" s="250"/>
      <c r="E44" s="250"/>
      <c r="F44" s="250"/>
      <c r="G44" s="256">
        <v>81</v>
      </c>
      <c r="I44" s="231"/>
      <c r="N44" s="227"/>
      <c r="X44" s="244"/>
      <c r="Y44" s="235">
        <v>58</v>
      </c>
      <c r="Z44" s="244">
        <v>52</v>
      </c>
      <c r="AA44" s="235"/>
    </row>
    <row r="45" spans="1:27" s="142" customFormat="1" x14ac:dyDescent="0.2">
      <c r="A45" s="250" t="s">
        <v>77</v>
      </c>
      <c r="B45" s="250"/>
      <c r="C45" s="250"/>
      <c r="D45" s="250"/>
      <c r="E45" s="250"/>
      <c r="F45" s="250"/>
      <c r="G45" s="256">
        <f>SUM(G43*G44)</f>
        <v>333315</v>
      </c>
      <c r="I45" s="231">
        <v>823621</v>
      </c>
      <c r="N45" s="227"/>
    </row>
    <row r="46" spans="1:27" s="142" customFormat="1" x14ac:dyDescent="0.2">
      <c r="A46" s="250" t="s">
        <v>78</v>
      </c>
      <c r="B46" s="250"/>
      <c r="C46" s="250"/>
      <c r="D46" s="250"/>
      <c r="E46" s="250"/>
      <c r="F46" s="250"/>
      <c r="G46" s="256">
        <f>SUM(G45-K24)</f>
        <v>95659</v>
      </c>
      <c r="I46" s="231">
        <v>236373</v>
      </c>
      <c r="N46" s="227"/>
    </row>
    <row r="47" spans="1:27" s="142" customFormat="1" x14ac:dyDescent="0.2">
      <c r="A47" s="250" t="s">
        <v>79</v>
      </c>
      <c r="B47" s="250"/>
      <c r="C47" s="250"/>
      <c r="D47" s="250"/>
      <c r="E47" s="250"/>
      <c r="F47" s="250"/>
      <c r="G47" s="256">
        <f>SUM(G45-K25)</f>
        <v>244335</v>
      </c>
      <c r="I47" s="231">
        <v>603752</v>
      </c>
      <c r="N47" s="227"/>
    </row>
    <row r="48" spans="1:27" s="142" customFormat="1" x14ac:dyDescent="0.2">
      <c r="A48" s="250" t="s">
        <v>80</v>
      </c>
      <c r="B48" s="250"/>
      <c r="C48" s="250"/>
      <c r="D48" s="250"/>
      <c r="E48" s="250"/>
      <c r="F48" s="250"/>
      <c r="G48" s="256">
        <f>SUM(K24/G43)</f>
        <v>57.75358444714459</v>
      </c>
      <c r="N48" s="227"/>
    </row>
    <row r="49" spans="1:14" s="142" customFormat="1" x14ac:dyDescent="0.2">
      <c r="A49" s="241" t="s">
        <v>81</v>
      </c>
      <c r="B49" s="241"/>
      <c r="C49" s="241"/>
      <c r="D49" s="241"/>
      <c r="E49" s="241"/>
      <c r="F49" s="241"/>
      <c r="G49" s="257">
        <f>SUM(K25/G43)</f>
        <v>21.623329283110571</v>
      </c>
      <c r="H49" s="241"/>
      <c r="I49" s="241"/>
      <c r="N49" s="227"/>
    </row>
    <row r="50" spans="1:14" x14ac:dyDescent="0.2">
      <c r="N50" s="227"/>
    </row>
    <row r="51" spans="1:14" x14ac:dyDescent="0.2">
      <c r="A51" s="54" t="s">
        <v>82</v>
      </c>
    </row>
    <row r="52" spans="1:14" x14ac:dyDescent="0.2">
      <c r="A52" s="54" t="s">
        <v>252</v>
      </c>
      <c r="K52" s="258"/>
      <c r="L52" s="258"/>
    </row>
    <row r="53" spans="1:14" x14ac:dyDescent="0.2">
      <c r="K53" s="258"/>
      <c r="L53" s="258"/>
    </row>
    <row r="54" spans="1:14" x14ac:dyDescent="0.2">
      <c r="K54" s="258"/>
      <c r="L54" s="258"/>
    </row>
    <row r="60" spans="1:14" x14ac:dyDescent="0.2">
      <c r="G60" s="54" t="s">
        <v>84</v>
      </c>
    </row>
  </sheetData>
  <mergeCells count="1">
    <mergeCell ref="X7:Y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Carro -NE 2020</vt:lpstr>
      <vt:lpstr>Potato-NE 2020</vt:lpstr>
      <vt:lpstr>Manioc-Gamph 2020</vt:lpstr>
      <vt:lpstr>Potato -Badulla 2020</vt:lpstr>
      <vt:lpstr>SPOtato-Matale 2020</vt:lpstr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</cp:lastModifiedBy>
  <dcterms:created xsi:type="dcterms:W3CDTF">2022-03-04T06:00:50Z</dcterms:created>
  <dcterms:modified xsi:type="dcterms:W3CDTF">2024-03-12T05:30:12Z</dcterms:modified>
</cp:coreProperties>
</file>