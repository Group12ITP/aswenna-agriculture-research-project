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7995" firstSheet="10" activeTab="13"/>
  </bookViews>
  <sheets>
    <sheet name="1.Anuradhapura" sheetId="1" r:id="rId1"/>
    <sheet name="2.Ampara (East)" sheetId="2" r:id="rId2"/>
    <sheet name="3.Ampara (West)" sheetId="3" r:id="rId3"/>
    <sheet name="4.Hambantota" sheetId="4" r:id="rId4"/>
    <sheet name="5.Kurunegala" sheetId="5" r:id="rId5"/>
    <sheet name="6.System H" sheetId="6" r:id="rId6"/>
    <sheet name="7.Polonnaruwa" sheetId="8" r:id="rId7"/>
    <sheet name="8.System B" sheetId="9" r:id="rId8"/>
    <sheet name="9.System C" sheetId="10" r:id="rId9"/>
    <sheet name="10. Trincomalee" sheetId="11" r:id="rId10"/>
    <sheet name="11.Kurunegala" sheetId="12" r:id="rId11"/>
    <sheet name="12.Kandy" sheetId="13" r:id="rId12"/>
    <sheet name="13.Kalutara" sheetId="14" r:id="rId13"/>
    <sheet name="14.Gampaha" sheetId="15" r:id="rId14"/>
    <sheet name="Sheet1" sheetId="16" r:id="rId15"/>
  </sheets>
  <calcPr calcId="144525"/>
  <fileRecoveryPr repairLoad="1"/>
</workbook>
</file>

<file path=xl/calcChain.xml><?xml version="1.0" encoding="utf-8"?>
<calcChain xmlns="http://schemas.openxmlformats.org/spreadsheetml/2006/main">
  <c r="J24" i="15" l="1"/>
  <c r="H24" i="15"/>
  <c r="G51" i="14" l="1"/>
  <c r="G50" i="14"/>
  <c r="G47" i="14"/>
  <c r="G48" i="14" s="1"/>
  <c r="I48" i="14" s="1"/>
  <c r="I45" i="14"/>
  <c r="L34" i="14"/>
  <c r="L33" i="14"/>
  <c r="L32" i="14"/>
  <c r="F26" i="14"/>
  <c r="E37" i="14" s="1"/>
  <c r="E26" i="14"/>
  <c r="E36" i="14" s="1"/>
  <c r="E24" i="14"/>
  <c r="H20" i="14"/>
  <c r="L35" i="14" s="1"/>
  <c r="G62" i="13"/>
  <c r="G61" i="13"/>
  <c r="G58" i="13"/>
  <c r="G59" i="13" s="1"/>
  <c r="I59" i="13" s="1"/>
  <c r="I56" i="13"/>
  <c r="J46" i="13"/>
  <c r="J44" i="13"/>
  <c r="J43" i="13"/>
  <c r="J42" i="13"/>
  <c r="J41" i="13"/>
  <c r="G27" i="13"/>
  <c r="F27" i="13"/>
  <c r="E27" i="13"/>
  <c r="E28" i="13" s="1"/>
  <c r="E38" i="14" l="1"/>
  <c r="G36" i="14" s="1"/>
  <c r="G49" i="14"/>
  <c r="I49" i="14" s="1"/>
  <c r="I47" i="14"/>
  <c r="E27" i="14"/>
  <c r="G60" i="13"/>
  <c r="I60" i="13" s="1"/>
  <c r="I58" i="13"/>
  <c r="F50" i="12" l="1"/>
  <c r="F46" i="12"/>
  <c r="F47" i="12" s="1"/>
  <c r="I47" i="12" s="1"/>
  <c r="F48" i="12" l="1"/>
  <c r="I48" i="12" s="1"/>
  <c r="I46" i="12"/>
  <c r="F21" i="11" l="1"/>
  <c r="E21" i="11"/>
  <c r="E22" i="11" s="1"/>
  <c r="K20" i="11"/>
  <c r="K19" i="11"/>
  <c r="K18" i="11"/>
  <c r="K17" i="11"/>
  <c r="K16" i="11"/>
  <c r="K15" i="11"/>
  <c r="K14" i="11"/>
  <c r="K13" i="11"/>
  <c r="H12" i="11"/>
  <c r="K11" i="11"/>
  <c r="K10" i="11"/>
  <c r="K9" i="11"/>
  <c r="K21" i="11" s="1"/>
  <c r="G56" i="10" l="1"/>
  <c r="I53" i="10"/>
  <c r="J43" i="10"/>
  <c r="E36" i="10"/>
  <c r="M25" i="10"/>
  <c r="L25" i="10"/>
  <c r="K25" i="10"/>
  <c r="G55" i="10" s="1"/>
  <c r="J25" i="10"/>
  <c r="I25" i="10"/>
  <c r="H25" i="10"/>
  <c r="G35" i="10" s="1"/>
  <c r="G25" i="10"/>
  <c r="F25" i="10"/>
  <c r="E25" i="10"/>
  <c r="E26" i="10" s="1"/>
  <c r="E35" i="10" s="1"/>
  <c r="E37" i="10" s="1"/>
  <c r="L43" i="9" l="1"/>
  <c r="L45" i="9" s="1"/>
  <c r="I41" i="9"/>
  <c r="L44" i="9" l="1"/>
  <c r="G53" i="8" l="1"/>
  <c r="G52" i="8"/>
  <c r="K33" i="8"/>
  <c r="L21" i="8"/>
  <c r="G21" i="8"/>
  <c r="F21" i="8"/>
  <c r="E21" i="8"/>
  <c r="G32" i="8" s="1"/>
  <c r="K20" i="8"/>
  <c r="H15" i="8"/>
  <c r="H10" i="8"/>
  <c r="E22" i="8" l="1"/>
  <c r="G51" i="6" l="1"/>
  <c r="G50" i="6"/>
  <c r="F51" i="5"/>
  <c r="F47" i="5"/>
  <c r="F48" i="5" s="1"/>
  <c r="I48" i="5" s="1"/>
  <c r="I45" i="5"/>
  <c r="K36" i="5"/>
  <c r="J24" i="5"/>
  <c r="K23" i="5"/>
  <c r="K22" i="5"/>
  <c r="K18" i="5"/>
  <c r="K17" i="5"/>
  <c r="K16" i="5"/>
  <c r="K15" i="5"/>
  <c r="K14" i="5"/>
  <c r="K13" i="5"/>
  <c r="K12" i="5"/>
  <c r="K10" i="5"/>
  <c r="K9" i="5"/>
  <c r="K24" i="5" s="1"/>
  <c r="F50" i="5" s="1"/>
  <c r="F49" i="5" l="1"/>
  <c r="I49" i="5" s="1"/>
  <c r="I47" i="5"/>
  <c r="G51" i="4" l="1"/>
  <c r="M21" i="4"/>
  <c r="L21" i="4"/>
  <c r="J21" i="4"/>
  <c r="J22" i="4" s="1"/>
  <c r="I21" i="4"/>
  <c r="I22" i="4" s="1"/>
  <c r="G21" i="4"/>
  <c r="F21" i="4"/>
  <c r="E21" i="4"/>
  <c r="E22" i="4" s="1"/>
  <c r="K20" i="4"/>
  <c r="K19" i="4"/>
  <c r="K18" i="4"/>
  <c r="K17" i="4"/>
  <c r="K16" i="4"/>
  <c r="K15" i="4"/>
  <c r="K14" i="4"/>
  <c r="K13" i="4"/>
  <c r="K11" i="4"/>
  <c r="K10" i="4"/>
  <c r="K21" i="4" s="1"/>
  <c r="G55" i="4" s="1"/>
  <c r="K22" i="4" l="1"/>
  <c r="G56" i="4" s="1"/>
  <c r="G53" i="4"/>
  <c r="G52" i="4"/>
  <c r="G44" i="3" l="1"/>
  <c r="G43" i="3"/>
  <c r="I42" i="3"/>
  <c r="I41" i="3"/>
  <c r="I40" i="3"/>
  <c r="G42" i="2" l="1"/>
  <c r="G41" i="2"/>
  <c r="I36" i="2"/>
  <c r="G50" i="1" l="1"/>
  <c r="G49" i="1"/>
  <c r="I44" i="1"/>
  <c r="K32" i="1"/>
  <c r="H9" i="1"/>
</calcChain>
</file>

<file path=xl/comments1.xml><?xml version="1.0" encoding="utf-8"?>
<comments xmlns="http://schemas.openxmlformats.org/spreadsheetml/2006/main">
  <authors>
    <author>Shamika</author>
  </authors>
  <commentList>
    <comment ref="M18" authorId="0">
      <text>
        <r>
          <rPr>
            <b/>
            <sz val="9"/>
            <color indexed="81"/>
            <rFont val="Tahoma"/>
            <family val="2"/>
          </rPr>
          <t>Shamika:</t>
        </r>
        <r>
          <rPr>
            <sz val="9"/>
            <color indexed="81"/>
            <rFont val="Tahoma"/>
            <family val="2"/>
          </rPr>
          <t xml:space="preserve">
calculate this again</t>
        </r>
      </text>
    </comment>
    <comment ref="K25" authorId="0">
      <text>
        <r>
          <rPr>
            <b/>
            <sz val="9"/>
            <color indexed="81"/>
            <rFont val="Tahoma"/>
            <family val="2"/>
          </rPr>
          <t>Shamika:</t>
        </r>
        <r>
          <rPr>
            <sz val="9"/>
            <color indexed="81"/>
            <rFont val="Tahoma"/>
            <family val="2"/>
          </rPr>
          <t xml:space="preserve">
check this value</t>
        </r>
      </text>
    </comment>
  </commentList>
</comments>
</file>

<file path=xl/sharedStrings.xml><?xml version="1.0" encoding="utf-8"?>
<sst xmlns="http://schemas.openxmlformats.org/spreadsheetml/2006/main" count="1353" uniqueCount="326">
  <si>
    <t>Operation</t>
  </si>
  <si>
    <t xml:space="preserve">  No</t>
  </si>
  <si>
    <t>Total</t>
  </si>
  <si>
    <t xml:space="preserve"> Family</t>
  </si>
  <si>
    <t xml:space="preserve">  Wage</t>
  </si>
  <si>
    <t xml:space="preserve">  Labour</t>
  </si>
  <si>
    <t xml:space="preserve">  Machinary</t>
  </si>
  <si>
    <t xml:space="preserve">  Material</t>
  </si>
  <si>
    <t xml:space="preserve">  Total </t>
  </si>
  <si>
    <t xml:space="preserve">Inputed </t>
  </si>
  <si>
    <t>Power</t>
  </si>
  <si>
    <t>Report</t>
  </si>
  <si>
    <t>Labour</t>
  </si>
  <si>
    <t xml:space="preserve"> Labour</t>
  </si>
  <si>
    <t xml:space="preserve">  Rate</t>
  </si>
  <si>
    <t xml:space="preserve">  Cost</t>
  </si>
  <si>
    <t xml:space="preserve">  &amp; Equipm't</t>
  </si>
  <si>
    <t>Input</t>
  </si>
  <si>
    <t>Cost</t>
  </si>
  <si>
    <t xml:space="preserve">  %</t>
  </si>
  <si>
    <t xml:space="preserve">  Rs/ac</t>
  </si>
  <si>
    <t xml:space="preserve">  Cost Rs/ac</t>
  </si>
  <si>
    <t>General Land Preparation</t>
  </si>
  <si>
    <t>1st,2nd &amp; 3rd plough with 2wt</t>
  </si>
  <si>
    <t>1st,2nd &amp; 3rd plough with 4wt</t>
  </si>
  <si>
    <t>Plastering Bunds</t>
  </si>
  <si>
    <t>Levelling &amp; broadcasting</t>
  </si>
  <si>
    <t>Fertilizer Application</t>
  </si>
  <si>
    <t>Weed Control with weediside</t>
  </si>
  <si>
    <t>Pest &amp; Disease Control</t>
  </si>
  <si>
    <t>Watermanagement</t>
  </si>
  <si>
    <t>Harvesting &amp; drawing on combine harvester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</si>
  <si>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</si>
  <si>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</si>
  <si>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</si>
  <si>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</si>
  <si>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</si>
  <si>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Unit</t>
  </si>
  <si>
    <t xml:space="preserve"> Quantity</t>
  </si>
  <si>
    <t>Unit Price (Rs)</t>
  </si>
  <si>
    <t>Mean</t>
  </si>
  <si>
    <t>SEED</t>
  </si>
  <si>
    <t>Mode</t>
  </si>
  <si>
    <t>Broadcasting</t>
  </si>
  <si>
    <t>kg</t>
  </si>
  <si>
    <t xml:space="preserve">Varieties distribution % </t>
  </si>
  <si>
    <t>LABOUR</t>
  </si>
  <si>
    <t>Bg 352</t>
  </si>
  <si>
    <t>Hired Labour</t>
  </si>
  <si>
    <t>md</t>
  </si>
  <si>
    <t>Bg 358</t>
  </si>
  <si>
    <t>Family Labour</t>
  </si>
  <si>
    <t>Bg 359</t>
  </si>
  <si>
    <t>FERTILIZER</t>
  </si>
  <si>
    <t>% Reporting</t>
  </si>
  <si>
    <t>other</t>
  </si>
  <si>
    <t>Basal</t>
  </si>
  <si>
    <t>TSP</t>
  </si>
  <si>
    <t>Urea</t>
  </si>
  <si>
    <t>MOP</t>
  </si>
  <si>
    <t>Top dressing</t>
  </si>
  <si>
    <t>YIELD AND RETURNS</t>
  </si>
  <si>
    <t>Per ac</t>
  </si>
  <si>
    <t>per hactare</t>
  </si>
  <si>
    <t>Avereage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</si>
  <si>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</si>
  <si>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</si>
  <si>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</si>
  <si>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</si>
  <si>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</si>
  <si>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</si>
  <si>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Anuradhapura</t>
  </si>
  <si>
    <t>Niyangoda</t>
  </si>
  <si>
    <t>Paddy (IRRIGATED)</t>
  </si>
  <si>
    <t>Fam</t>
  </si>
  <si>
    <t>Wage</t>
  </si>
  <si>
    <t>OWN INPUTS</t>
  </si>
  <si>
    <t>Lab</t>
  </si>
  <si>
    <t>Rate</t>
  </si>
  <si>
    <t xml:space="preserve">  &amp; Equpim't</t>
  </si>
  <si>
    <t>Weed Control With Weedicides</t>
  </si>
  <si>
    <t>Water Management</t>
  </si>
  <si>
    <t>Harvesting with Combined Harvester</t>
  </si>
  <si>
    <t>Additional Drying</t>
  </si>
  <si>
    <t>Transport Produce to Stores</t>
  </si>
  <si>
    <t>Quantity</t>
  </si>
  <si>
    <t>Variety</t>
  </si>
  <si>
    <t>% of Ext.</t>
  </si>
  <si>
    <t>AT 362</t>
  </si>
  <si>
    <t>BG 94/1</t>
  </si>
  <si>
    <t>BG 357</t>
  </si>
  <si>
    <t>BG 358</t>
  </si>
  <si>
    <t>Other</t>
  </si>
  <si>
    <t>FIELD FERTILIZER</t>
  </si>
  <si>
    <t xml:space="preserve">Basal </t>
  </si>
  <si>
    <t xml:space="preserve">  Top Dress.</t>
  </si>
  <si>
    <t>1. Urea</t>
  </si>
  <si>
    <t>11. MOP</t>
  </si>
  <si>
    <t>Average Yield (kg/ac)</t>
  </si>
  <si>
    <t>Price of Produce (Rs/kg)</t>
  </si>
  <si>
    <t>Ampara (East)</t>
  </si>
  <si>
    <t>Kumudu</t>
  </si>
  <si>
    <t xml:space="preserve">1, 2, &amp; 3  Plough with 4wt </t>
  </si>
  <si>
    <t>(16)</t>
  </si>
  <si>
    <t>(Harvesting with Manual)</t>
  </si>
  <si>
    <t>(10)</t>
  </si>
  <si>
    <t>,(11000)</t>
  </si>
  <si>
    <t>111. TSP</t>
  </si>
  <si>
    <t>Per ha</t>
  </si>
  <si>
    <t>Ampara west)</t>
  </si>
  <si>
    <t>Pre weedicide application</t>
  </si>
  <si>
    <t>(30)</t>
  </si>
  <si>
    <t>Hambantota</t>
  </si>
  <si>
    <t>Nilantha</t>
  </si>
  <si>
    <t>(22)</t>
  </si>
  <si>
    <t>Extent (%)</t>
  </si>
  <si>
    <t>Bg300</t>
  </si>
  <si>
    <t>Kurunegala</t>
  </si>
  <si>
    <t xml:space="preserve">  </t>
  </si>
  <si>
    <t>General land preparation</t>
  </si>
  <si>
    <t>1st,2nd&amp;3rd plough with 2wt</t>
  </si>
  <si>
    <t>Plastering bunds</t>
  </si>
  <si>
    <t>Levelling and Boardcarsting</t>
  </si>
  <si>
    <t>Fertilizer application</t>
  </si>
  <si>
    <t>Weed control with weedicides</t>
  </si>
  <si>
    <t>Pest &amp;Disease control</t>
  </si>
  <si>
    <t>Water management</t>
  </si>
  <si>
    <t>Total including imputed cost</t>
  </si>
  <si>
    <t xml:space="preserve">Total excluding imputed cost </t>
  </si>
  <si>
    <t>Bg352</t>
  </si>
  <si>
    <t>Bg360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</si>
  <si>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</si>
  <si>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</si>
  <si>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</si>
  <si>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</si>
  <si>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</si>
  <si>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</si>
  <si>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System H</t>
  </si>
  <si>
    <t>%</t>
  </si>
  <si>
    <t>Bg 360</t>
  </si>
  <si>
    <t>All Top Dress.</t>
  </si>
  <si>
    <t>1, 2, &amp; 3  Plough with Tract</t>
  </si>
  <si>
    <t xml:space="preserve"> MOP</t>
  </si>
  <si>
    <t>Polonnaruwa</t>
  </si>
  <si>
    <t>contract</t>
  </si>
  <si>
    <t>System B</t>
  </si>
  <si>
    <t>~(10000)</t>
  </si>
  <si>
    <t xml:space="preserve"> '- - Top Dress.</t>
  </si>
  <si>
    <t>System C</t>
  </si>
  <si>
    <t>1, 2, &amp; 3  Plough with 2wt</t>
  </si>
  <si>
    <t>Samba</t>
  </si>
  <si>
    <t>Trincomalee</t>
  </si>
  <si>
    <t>Paddy (Rainfed)</t>
  </si>
  <si>
    <t>Kandy</t>
  </si>
  <si>
    <t>All nursery preparation</t>
  </si>
  <si>
    <t>(12)</t>
  </si>
  <si>
    <t>(40)</t>
  </si>
  <si>
    <t>Drying</t>
  </si>
  <si>
    <t>BG 359</t>
  </si>
  <si>
    <t>BG 352</t>
  </si>
  <si>
    <t>Kalutara</t>
  </si>
  <si>
    <t>Table:</t>
  </si>
  <si>
    <t xml:space="preserve">COST OF CULTIVATION PER ACRE OF PADDY  2014-15 MAHA SEASON - </t>
  </si>
  <si>
    <t>DISTRICT: Kalutara(IRRIGATED)</t>
  </si>
  <si>
    <t>Gampaha</t>
  </si>
  <si>
    <t xml:space="preserve">1, 2, &amp; 3  Plough with 2WT </t>
  </si>
  <si>
    <t>(1, 2, &amp; 3  Plough with 4WT)</t>
  </si>
  <si>
    <t>(Harvesting by manualy)</t>
  </si>
  <si>
    <t>(Thrashin by Agromate)</t>
  </si>
  <si>
    <t>(Thrashin by Tsunami)</t>
  </si>
  <si>
    <t>Transport Produce to Stores with tractor</t>
  </si>
  <si>
    <t>2015 Yala</t>
  </si>
  <si>
    <t>68</t>
  </si>
  <si>
    <t>"(32)</t>
  </si>
  <si>
    <t>"7553)</t>
  </si>
  <si>
    <t xml:space="preserve">Varieties distribution </t>
  </si>
  <si>
    <t>BG-352</t>
  </si>
  <si>
    <t>BG-358</t>
  </si>
  <si>
    <t>BG-302</t>
  </si>
  <si>
    <t>Own imputs</t>
  </si>
  <si>
    <t>BG 94.1</t>
  </si>
  <si>
    <t>1. TSP</t>
  </si>
  <si>
    <t>1, 2, &amp; 3  Plough with 4Wt</t>
  </si>
  <si>
    <t>(1, 2, &amp; 3  Plough with 2Wt)</t>
  </si>
  <si>
    <t>(6500)</t>
  </si>
  <si>
    <t>At 362</t>
  </si>
  <si>
    <t>BW 367</t>
  </si>
  <si>
    <t>Top Dress.</t>
  </si>
  <si>
    <t>Note- Supply of Combined Harvesters is higher in the area</t>
  </si>
  <si>
    <t>(47)</t>
  </si>
  <si>
    <t>(8062)</t>
  </si>
  <si>
    <t xml:space="preserve">Harvesting on combine harvester &amp; drying </t>
  </si>
  <si>
    <t xml:space="preserve">variety </t>
  </si>
  <si>
    <t>At362</t>
  </si>
  <si>
    <t>Special remarks-</t>
  </si>
  <si>
    <t xml:space="preserve">  *Low yeild due to  rain </t>
  </si>
  <si>
    <t>(36)</t>
  </si>
  <si>
    <t>(7667)</t>
  </si>
  <si>
    <t>(2823)</t>
  </si>
  <si>
    <t>(9158)</t>
  </si>
  <si>
    <t>(Harvesting by Reeper)</t>
  </si>
  <si>
    <t>(6)</t>
  </si>
  <si>
    <t>(5554)</t>
  </si>
  <si>
    <t>(3600)</t>
  </si>
  <si>
    <t>(Thrashing by Tsunami)</t>
  </si>
  <si>
    <t>(42)</t>
  </si>
  <si>
    <t>(1003)</t>
  </si>
  <si>
    <t>(3105)</t>
  </si>
  <si>
    <t>Bg 300</t>
  </si>
  <si>
    <t>Bg 366</t>
  </si>
  <si>
    <t>per ha</t>
  </si>
  <si>
    <t>(8243.00)</t>
  </si>
  <si>
    <t>Harvesting &amp; drawing Mannually</t>
  </si>
  <si>
    <t>`(46)</t>
  </si>
  <si>
    <t>(9346)</t>
  </si>
  <si>
    <t>Threshing and winnowing with Tsunami</t>
  </si>
  <si>
    <t>BG 300</t>
  </si>
  <si>
    <t>BG 367</t>
  </si>
  <si>
    <t>(8000)</t>
  </si>
  <si>
    <t>~(33)</t>
  </si>
  <si>
    <t>~(894)</t>
  </si>
  <si>
    <t xml:space="preserve">Harvesting on combine harvester  </t>
  </si>
  <si>
    <t>~(40)</t>
  </si>
  <si>
    <t>Thresing &amp; winnowing thresher</t>
  </si>
  <si>
    <t>,(40)</t>
  </si>
  <si>
    <t>,(3944)</t>
  </si>
  <si>
    <t>Transport produce to stores(2wt)</t>
  </si>
  <si>
    <t>(do with 4wt)</t>
  </si>
  <si>
    <t>(8461.54)</t>
  </si>
  <si>
    <t>(do manually)</t>
  </si>
  <si>
    <t>(10230)</t>
  </si>
  <si>
    <t>Threshing &amp; winnowing with thresher</t>
  </si>
  <si>
    <t>(4045)</t>
  </si>
  <si>
    <t>BG360</t>
  </si>
  <si>
    <t>Pokuru</t>
  </si>
  <si>
    <t>BG358</t>
  </si>
  <si>
    <t>Per ha.</t>
  </si>
  <si>
    <t>Note-Comparing with previous season ( 2014/15 maha ) the total cost has increased due to drying operation</t>
  </si>
  <si>
    <t>(1st &amp; 2nd 3rd plough with 4wt)</t>
  </si>
  <si>
    <t>(8058)</t>
  </si>
  <si>
    <t>Strow application</t>
  </si>
  <si>
    <t>Harvesting &amp; drawing with com/har</t>
  </si>
  <si>
    <t>dowith manually</t>
  </si>
  <si>
    <t>'(16)</t>
  </si>
  <si>
    <t>(7795)</t>
  </si>
  <si>
    <t>Threshing&amp; winnowing with 4w thresher</t>
  </si>
  <si>
    <t>(1.11)</t>
  </si>
  <si>
    <t>(3333)</t>
  </si>
  <si>
    <t>Driying</t>
  </si>
  <si>
    <t>Pokuru samab</t>
  </si>
  <si>
    <t>TOP Dressing</t>
  </si>
  <si>
    <t>1st,2nd&amp;3rd plough with 4wt</t>
  </si>
  <si>
    <t>(6263)</t>
  </si>
  <si>
    <t>(351.50)</t>
  </si>
  <si>
    <t>Havesting &amp;processing with combine harvester</t>
  </si>
  <si>
    <t>Bg367</t>
  </si>
  <si>
    <t>Bg366</t>
  </si>
  <si>
    <t>Bg350</t>
  </si>
  <si>
    <t>Bg363</t>
  </si>
  <si>
    <t>(1, 2, &amp; 3  Plough with 2WT)</t>
  </si>
  <si>
    <t>(7400)</t>
  </si>
  <si>
    <t>Harvesting &amp; Drawing with Combined Harvester</t>
  </si>
  <si>
    <t>Transport Produce to Stores with 2WT</t>
  </si>
  <si>
    <t>At 307</t>
  </si>
  <si>
    <t>Bg 250</t>
  </si>
  <si>
    <t>Bg 379-2</t>
  </si>
  <si>
    <t>1st plough with 2wt</t>
  </si>
  <si>
    <t>1st plough with Buffalo</t>
  </si>
  <si>
    <t>(2480)</t>
  </si>
  <si>
    <t>1st  plough with Manually</t>
  </si>
  <si>
    <t>(8)</t>
  </si>
  <si>
    <t>.(8000)</t>
  </si>
  <si>
    <t xml:space="preserve"> 2nd  plough  with 2wt</t>
  </si>
  <si>
    <t xml:space="preserve"> 2nd  plough  with buffalo</t>
  </si>
  <si>
    <t>(2133)</t>
  </si>
  <si>
    <t xml:space="preserve"> 2nd  plough manually</t>
  </si>
  <si>
    <t>.(11400)</t>
  </si>
  <si>
    <t>(Trnsplanting)</t>
  </si>
  <si>
    <t>.(5931)</t>
  </si>
  <si>
    <t>.(285)</t>
  </si>
  <si>
    <t>Harvesting &amp; drawing (Mannualy)</t>
  </si>
  <si>
    <t>Threshing with Agrimec</t>
  </si>
  <si>
    <t>Threshing with sunami</t>
  </si>
  <si>
    <t>(4000)</t>
  </si>
  <si>
    <t>Threshing &amp;winnowing with Buffalo</t>
  </si>
  <si>
    <t>(1360)</t>
  </si>
  <si>
    <t>BG379/2</t>
  </si>
  <si>
    <t>94/1</t>
  </si>
  <si>
    <t>TOP derssing</t>
  </si>
  <si>
    <t>1 &amp; 2  Plough with 2wt</t>
  </si>
  <si>
    <t>(Do Mannually)</t>
  </si>
  <si>
    <t>.(9284)</t>
  </si>
  <si>
    <t>(Do with buffaloes)</t>
  </si>
  <si>
    <t>.(8666)</t>
  </si>
  <si>
    <t>Leveling and Broadcasting</t>
  </si>
  <si>
    <t>Harvesting and drawing  Mannual</t>
  </si>
  <si>
    <t>70</t>
  </si>
  <si>
    <t>(With Combined Harvester)</t>
  </si>
  <si>
    <t>(8784.00)</t>
  </si>
  <si>
    <t xml:space="preserve">Threshing with thresher </t>
  </si>
  <si>
    <t>1.94</t>
  </si>
  <si>
    <t>1.63</t>
  </si>
  <si>
    <t>1023</t>
  </si>
  <si>
    <t>Winnowing with fan</t>
  </si>
  <si>
    <t>BW 272/6/B</t>
  </si>
  <si>
    <t>LD 368</t>
  </si>
  <si>
    <t xml:space="preserve"> Persent reported </t>
  </si>
  <si>
    <t>100%</t>
  </si>
  <si>
    <t>(Plough with Buffalo)</t>
  </si>
  <si>
    <t>,(4)</t>
  </si>
  <si>
    <t>;(4400)</t>
  </si>
  <si>
    <t>Pest &amp; disease control</t>
  </si>
  <si>
    <t xml:space="preserve">              (Harvesting &amp; Drawing by manualy)</t>
  </si>
  <si>
    <t>.(28)</t>
  </si>
  <si>
    <t>.(12785)</t>
  </si>
  <si>
    <t xml:space="preserve">             (Harvesting &amp; Drawing by Reeper)</t>
  </si>
  <si>
    <t>.(4)</t>
  </si>
  <si>
    <t>.(17)</t>
  </si>
  <si>
    <t>(3484)</t>
  </si>
  <si>
    <t>.(15)</t>
  </si>
  <si>
    <t>;(3029)</t>
  </si>
  <si>
    <t xml:space="preserve">Transport Produce to Stores </t>
  </si>
  <si>
    <t>Bg 11-11</t>
  </si>
  <si>
    <t>Bg 350</t>
  </si>
  <si>
    <t>Bw 367</t>
  </si>
  <si>
    <t>per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</si>
</sst>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0.00_)"/>
    <numFmt numFmtId="165" formatCode="0_)"/>
    <numFmt numFmtId="166" formatCode="0.000"/>
    <numFmt numFmtId="167" formatCode="0.000_)"/>
    <numFmt numFmtId="168" formatCode="0.0_)"/>
    <numFmt numFmtId="169" formatCode="0.0"/>
    <numFmt numFmtId="170" formatCode="0_);\(0\)"/>
  </numFmts>
  <fonts count="29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color rgb="FF00B050"/>
      <name val="Calibri"/>
      <family val="2"/>
      <scheme val="minor"/>
    </font>
    <font>
      <sz val="9"/>
      <name val="Times New Roman"/>
      <family val="1"/>
    </font>
    <font>
      <sz val="8"/>
      <name val="Comic Sans MS"/>
      <family val="4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sz val="10"/>
      <color theme="1"/>
      <name val="Times New Roman"/>
      <family val="1"/>
    </font>
    <font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Times New Roman"/>
      <family val="1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u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rgb="FFC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7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466">
    <xf numFmtId="0" fontId="0" fillId="0" borderId="0" xfId="0"/>
    <xf numFmtId="0" fontId="0" fillId="2" borderId="0" xfId="0" applyFill="1"/>
    <xf numFmtId="164" fontId="1" fillId="0" borderId="1" xfId="0" applyNumberFormat="1" applyFont="1" applyBorder="1" applyProtection="1"/>
    <xf numFmtId="164" fontId="1" fillId="0" borderId="0" xfId="0" applyNumberFormat="1" applyFont="1" applyBorder="1" applyProtection="1"/>
    <xf numFmtId="164" fontId="1" fillId="0" borderId="2" xfId="0" applyNumberFormat="1" applyFont="1" applyBorder="1" applyProtection="1"/>
    <xf numFmtId="164" fontId="1" fillId="0" borderId="0" xfId="0" applyNumberFormat="1" applyFont="1" applyProtection="1"/>
    <xf numFmtId="164" fontId="1" fillId="0" borderId="0" xfId="0" applyNumberFormat="1" applyFont="1" applyFill="1" applyBorder="1" applyProtection="1"/>
    <xf numFmtId="164" fontId="2" fillId="0" borderId="0" xfId="0" applyNumberFormat="1" applyFont="1" applyProtection="1"/>
    <xf numFmtId="164" fontId="1" fillId="0" borderId="2" xfId="0" applyNumberFormat="1" applyFont="1" applyBorder="1" applyAlignment="1" applyProtection="1">
      <alignment horizontal="fill"/>
    </xf>
    <xf numFmtId="165" fontId="1" fillId="0" borderId="0" xfId="0" applyNumberFormat="1" applyFont="1" applyProtection="1"/>
    <xf numFmtId="164" fontId="1" fillId="0" borderId="0" xfId="0" quotePrefix="1" applyNumberFormat="1" applyFont="1" applyProtection="1"/>
    <xf numFmtId="165" fontId="1" fillId="0" borderId="0" xfId="0" quotePrefix="1" applyNumberFormat="1" applyFont="1" applyProtection="1"/>
    <xf numFmtId="49" fontId="1" fillId="0" borderId="0" xfId="0" applyNumberFormat="1" applyFont="1" applyProtection="1"/>
    <xf numFmtId="165" fontId="1" fillId="0" borderId="2" xfId="0" applyNumberFormat="1" applyFont="1" applyBorder="1" applyProtection="1"/>
    <xf numFmtId="164" fontId="1" fillId="0" borderId="2" xfId="0" applyNumberFormat="1" applyFont="1" applyFill="1" applyBorder="1" applyProtection="1"/>
    <xf numFmtId="165" fontId="1" fillId="0" borderId="0" xfId="0" applyNumberFormat="1" applyFont="1" applyFill="1" applyBorder="1" applyProtection="1"/>
    <xf numFmtId="1" fontId="1" fillId="0" borderId="0" xfId="0" quotePrefix="1" applyNumberFormat="1" applyFont="1" applyProtection="1"/>
    <xf numFmtId="164" fontId="1" fillId="0" borderId="0" xfId="0" applyNumberFormat="1" applyFont="1" applyFill="1" applyProtection="1"/>
    <xf numFmtId="164" fontId="1" fillId="0" borderId="2" xfId="0" applyNumberFormat="1" applyFont="1" applyFill="1" applyBorder="1" applyAlignment="1" applyProtection="1">
      <alignment horizontal="fill"/>
    </xf>
    <xf numFmtId="165" fontId="1" fillId="0" borderId="1" xfId="0" applyNumberFormat="1" applyFont="1" applyBorder="1" applyProtection="1"/>
    <xf numFmtId="164" fontId="1" fillId="0" borderId="0" xfId="0" applyNumberFormat="1" applyFont="1" applyBorder="1" applyAlignment="1" applyProtection="1">
      <alignment horizontal="fill"/>
    </xf>
    <xf numFmtId="165" fontId="0" fillId="0" borderId="0" xfId="0" applyNumberFormat="1"/>
    <xf numFmtId="2" fontId="5" fillId="0" borderId="0" xfId="0" applyNumberFormat="1" applyFont="1" applyFill="1"/>
    <xf numFmtId="0" fontId="0" fillId="0" borderId="0" xfId="0" applyFill="1"/>
    <xf numFmtId="165" fontId="1" fillId="0" borderId="0" xfId="0" applyNumberFormat="1" applyFont="1" applyBorder="1" applyProtection="1"/>
    <xf numFmtId="165" fontId="0" fillId="0" borderId="0" xfId="0" applyNumberFormat="1" applyBorder="1"/>
    <xf numFmtId="164" fontId="0" fillId="0" borderId="0" xfId="0" applyNumberFormat="1"/>
    <xf numFmtId="0" fontId="0" fillId="0" borderId="0" xfId="0" applyBorder="1"/>
    <xf numFmtId="164" fontId="1" fillId="2" borderId="0" xfId="0" applyNumberFormat="1" applyFont="1" applyFill="1" applyBorder="1" applyProtection="1"/>
    <xf numFmtId="0" fontId="0" fillId="2" borderId="0" xfId="0" applyFill="1" applyBorder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0" xfId="0" applyFont="1" applyBorder="1"/>
    <xf numFmtId="0" fontId="9" fillId="0" borderId="2" xfId="0" applyFont="1" applyBorder="1"/>
    <xf numFmtId="165" fontId="9" fillId="0" borderId="0" xfId="0" quotePrefix="1" applyNumberFormat="1" applyFont="1" applyProtection="1"/>
    <xf numFmtId="2" fontId="9" fillId="0" borderId="0" xfId="0" applyNumberFormat="1" applyFont="1"/>
    <xf numFmtId="1" fontId="9" fillId="0" borderId="0" xfId="0" applyNumberFormat="1" applyFont="1"/>
    <xf numFmtId="165" fontId="9" fillId="0" borderId="0" xfId="0" applyNumberFormat="1" applyFont="1" applyProtection="1"/>
    <xf numFmtId="165" fontId="9" fillId="0" borderId="1" xfId="0" applyNumberFormat="1" applyFont="1" applyBorder="1" applyProtection="1"/>
    <xf numFmtId="2" fontId="9" fillId="0" borderId="1" xfId="0" applyNumberFormat="1" applyFont="1" applyBorder="1"/>
    <xf numFmtId="1" fontId="9" fillId="0" borderId="1" xfId="0" applyNumberFormat="1" applyFont="1" applyBorder="1"/>
    <xf numFmtId="165" fontId="9" fillId="0" borderId="2" xfId="0" applyNumberFormat="1" applyFont="1" applyBorder="1" applyProtection="1"/>
    <xf numFmtId="2" fontId="9" fillId="0" borderId="2" xfId="0" applyNumberFormat="1" applyFont="1" applyBorder="1"/>
    <xf numFmtId="1" fontId="9" fillId="0" borderId="2" xfId="0" applyNumberFormat="1" applyFont="1" applyBorder="1"/>
    <xf numFmtId="0" fontId="9" fillId="0" borderId="4" xfId="0" applyFont="1" applyBorder="1"/>
    <xf numFmtId="0" fontId="9" fillId="0" borderId="3" xfId="0" applyFont="1" applyBorder="1"/>
    <xf numFmtId="0" fontId="9" fillId="0" borderId="0" xfId="0" quotePrefix="1" applyFont="1" applyBorder="1" applyAlignment="1">
      <alignment horizontal="left"/>
    </xf>
    <xf numFmtId="1" fontId="9" fillId="0" borderId="0" xfId="0" applyNumberFormat="1" applyFont="1" applyBorder="1"/>
    <xf numFmtId="2" fontId="9" fillId="0" borderId="0" xfId="0" applyNumberFormat="1" applyFont="1" applyBorder="1"/>
    <xf numFmtId="165" fontId="9" fillId="0" borderId="0" xfId="0" applyNumberFormat="1" applyFont="1" applyBorder="1" applyProtection="1"/>
    <xf numFmtId="165" fontId="9" fillId="0" borderId="0" xfId="0" applyNumberFormat="1" applyFont="1" applyFill="1"/>
    <xf numFmtId="165" fontId="9" fillId="0" borderId="0" xfId="0" applyNumberFormat="1" applyFont="1"/>
    <xf numFmtId="164" fontId="9" fillId="0" borderId="0" xfId="0" applyNumberFormat="1" applyFont="1" applyBorder="1"/>
    <xf numFmtId="165" fontId="9" fillId="0" borderId="0" xfId="0" applyNumberFormat="1" applyFont="1" applyBorder="1"/>
    <xf numFmtId="164" fontId="9" fillId="0" borderId="2" xfId="0" applyNumberFormat="1" applyFont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left"/>
    </xf>
    <xf numFmtId="0" fontId="9" fillId="2" borderId="0" xfId="0" applyFont="1" applyFill="1"/>
    <xf numFmtId="0" fontId="9" fillId="2" borderId="0" xfId="0" applyFont="1" applyFill="1" applyBorder="1"/>
    <xf numFmtId="0" fontId="9" fillId="2" borderId="0" xfId="0" applyFont="1" applyFill="1" applyBorder="1" applyAlignment="1">
      <alignment horizontal="righ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10" fillId="0" borderId="0" xfId="0" applyFont="1"/>
    <xf numFmtId="0" fontId="1" fillId="0" borderId="0" xfId="0" applyFont="1" applyBorder="1"/>
    <xf numFmtId="0" fontId="1" fillId="0" borderId="2" xfId="0" applyFont="1" applyBorder="1"/>
    <xf numFmtId="0" fontId="1" fillId="0" borderId="0" xfId="0" applyFont="1"/>
    <xf numFmtId="2" fontId="1" fillId="0" borderId="0" xfId="0" applyNumberFormat="1" applyFont="1" applyProtection="1"/>
    <xf numFmtId="1" fontId="1" fillId="0" borderId="0" xfId="0" applyNumberFormat="1" applyFont="1"/>
    <xf numFmtId="1" fontId="1" fillId="0" borderId="0" xfId="0" quotePrefix="1" applyNumberFormat="1" applyFont="1"/>
    <xf numFmtId="2" fontId="1" fillId="0" borderId="0" xfId="0" quotePrefix="1" applyNumberFormat="1" applyFont="1"/>
    <xf numFmtId="0" fontId="9" fillId="0" borderId="3" xfId="0" applyFont="1" applyBorder="1" applyAlignment="1">
      <alignment horizontal="center" vertical="center"/>
    </xf>
    <xf numFmtId="2" fontId="9" fillId="0" borderId="3" xfId="0" applyNumberFormat="1" applyFont="1" applyFill="1" applyBorder="1"/>
    <xf numFmtId="0" fontId="9" fillId="0" borderId="0" xfId="0" applyFont="1" applyFill="1"/>
    <xf numFmtId="164" fontId="1" fillId="0" borderId="0" xfId="0" applyNumberFormat="1" applyFont="1" applyBorder="1"/>
    <xf numFmtId="165" fontId="1" fillId="0" borderId="0" xfId="0" applyNumberFormat="1" applyFont="1" applyBorder="1"/>
    <xf numFmtId="164" fontId="1" fillId="0" borderId="2" xfId="0" applyNumberFormat="1" applyFont="1" applyBorder="1"/>
    <xf numFmtId="166" fontId="1" fillId="0" borderId="0" xfId="0" applyNumberFormat="1" applyFont="1"/>
    <xf numFmtId="164" fontId="9" fillId="0" borderId="0" xfId="0" applyNumberFormat="1" applyFont="1" applyBorder="1" applyProtection="1"/>
    <xf numFmtId="164" fontId="9" fillId="0" borderId="2" xfId="0" applyNumberFormat="1" applyFont="1" applyBorder="1" applyProtection="1"/>
    <xf numFmtId="164" fontId="9" fillId="0" borderId="0" xfId="0" applyNumberFormat="1" applyFont="1" applyProtection="1"/>
    <xf numFmtId="1" fontId="11" fillId="0" borderId="0" xfId="0" applyNumberFormat="1" applyFont="1" applyProtection="1"/>
    <xf numFmtId="165" fontId="11" fillId="0" borderId="0" xfId="0" applyNumberFormat="1" applyFont="1" applyProtection="1"/>
    <xf numFmtId="2" fontId="9" fillId="0" borderId="0" xfId="0" applyNumberFormat="1" applyFont="1" applyBorder="1" applyProtection="1"/>
    <xf numFmtId="1" fontId="9" fillId="0" borderId="0" xfId="0" applyNumberFormat="1" applyFont="1" applyProtection="1"/>
    <xf numFmtId="164" fontId="9" fillId="0" borderId="0" xfId="0" quotePrefix="1" applyNumberFormat="1" applyFont="1" applyProtection="1"/>
    <xf numFmtId="164" fontId="11" fillId="0" borderId="0" xfId="0" applyNumberFormat="1" applyFont="1" applyProtection="1"/>
    <xf numFmtId="164" fontId="9" fillId="0" borderId="1" xfId="0" applyNumberFormat="1" applyFont="1" applyBorder="1" applyProtection="1"/>
    <xf numFmtId="164" fontId="9" fillId="0" borderId="0" xfId="0" applyNumberFormat="1" applyFont="1" applyBorder="1" applyAlignment="1" applyProtection="1">
      <alignment horizontal="fill"/>
    </xf>
    <xf numFmtId="164" fontId="12" fillId="0" borderId="0" xfId="0" applyNumberFormat="1" applyFont="1" applyProtection="1"/>
    <xf numFmtId="164" fontId="9" fillId="0" borderId="4" xfId="0" applyNumberFormat="1" applyFont="1" applyBorder="1" applyProtection="1"/>
    <xf numFmtId="164" fontId="12" fillId="0" borderId="0" xfId="0" applyNumberFormat="1" applyFont="1" applyBorder="1" applyProtection="1"/>
    <xf numFmtId="164" fontId="9" fillId="0" borderId="0" xfId="0" applyNumberFormat="1" applyFont="1" applyFill="1" applyProtection="1"/>
    <xf numFmtId="164" fontId="11" fillId="0" borderId="0" xfId="0" applyNumberFormat="1" applyFont="1" applyBorder="1" applyProtection="1"/>
    <xf numFmtId="0" fontId="11" fillId="0" borderId="0" xfId="0" applyNumberFormat="1" applyFont="1" applyBorder="1" applyProtection="1"/>
    <xf numFmtId="0" fontId="11" fillId="0" borderId="0" xfId="0" applyFont="1" applyBorder="1"/>
    <xf numFmtId="164" fontId="9" fillId="2" borderId="0" xfId="0" applyNumberFormat="1" applyFont="1" applyFill="1" applyBorder="1" applyProtection="1"/>
    <xf numFmtId="164" fontId="9" fillId="2" borderId="2" xfId="0" applyNumberFormat="1" applyFont="1" applyFill="1" applyBorder="1" applyProtection="1"/>
    <xf numFmtId="0" fontId="8" fillId="2" borderId="0" xfId="0" applyFont="1" applyFill="1"/>
    <xf numFmtId="165" fontId="9" fillId="0" borderId="0" xfId="0" quotePrefix="1" applyNumberFormat="1" applyFont="1" applyAlignment="1" applyProtection="1">
      <alignment horizontal="center"/>
    </xf>
    <xf numFmtId="0" fontId="9" fillId="0" borderId="0" xfId="0" quotePrefix="1" applyFont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 applyAlignment="1" applyProtection="1">
      <alignment horizontal="center"/>
    </xf>
    <xf numFmtId="2" fontId="9" fillId="0" borderId="0" xfId="0" quotePrefix="1" applyNumberFormat="1" applyFont="1"/>
    <xf numFmtId="165" fontId="9" fillId="0" borderId="0" xfId="0" quotePrefix="1" applyNumberFormat="1" applyFont="1" applyAlignment="1">
      <alignment horizontal="right"/>
    </xf>
    <xf numFmtId="165" fontId="9" fillId="0" borderId="1" xfId="0" applyNumberFormat="1" applyFont="1" applyBorder="1"/>
    <xf numFmtId="165" fontId="9" fillId="0" borderId="2" xfId="0" applyNumberFormat="1" applyFont="1" applyBorder="1"/>
    <xf numFmtId="0" fontId="9" fillId="0" borderId="3" xfId="0" applyFont="1" applyFill="1" applyBorder="1"/>
    <xf numFmtId="1" fontId="9" fillId="0" borderId="3" xfId="0" applyNumberFormat="1" applyFont="1" applyFill="1" applyBorder="1"/>
    <xf numFmtId="2" fontId="9" fillId="0" borderId="0" xfId="0" applyNumberFormat="1" applyFont="1" applyFill="1" applyBorder="1"/>
    <xf numFmtId="0" fontId="9" fillId="0" borderId="0" xfId="0" quotePrefix="1" applyFont="1" applyBorder="1"/>
    <xf numFmtId="2" fontId="9" fillId="0" borderId="0" xfId="0" quotePrefix="1" applyNumberFormat="1" applyFont="1" applyBorder="1"/>
    <xf numFmtId="0" fontId="9" fillId="0" borderId="0" xfId="0" applyFont="1" applyFill="1" applyBorder="1"/>
    <xf numFmtId="0" fontId="13" fillId="0" borderId="0" xfId="0" applyFont="1"/>
    <xf numFmtId="0" fontId="8" fillId="3" borderId="0" xfId="0" applyFont="1" applyFill="1"/>
    <xf numFmtId="0" fontId="14" fillId="0" borderId="0" xfId="0" applyFont="1"/>
    <xf numFmtId="0" fontId="14" fillId="0" borderId="1" xfId="0" applyFont="1" applyBorder="1"/>
    <xf numFmtId="0" fontId="14" fillId="0" borderId="0" xfId="0" applyFont="1" applyBorder="1"/>
    <xf numFmtId="0" fontId="14" fillId="0" borderId="2" xfId="0" applyFont="1" applyBorder="1"/>
    <xf numFmtId="1" fontId="14" fillId="0" borderId="0" xfId="0" applyNumberFormat="1" applyFont="1"/>
    <xf numFmtId="2" fontId="14" fillId="0" borderId="2" xfId="0" applyNumberFormat="1" applyFont="1" applyBorder="1"/>
    <xf numFmtId="2" fontId="14" fillId="0" borderId="0" xfId="0" applyNumberFormat="1" applyFont="1" applyBorder="1"/>
    <xf numFmtId="0" fontId="14" fillId="0" borderId="0" xfId="0" quotePrefix="1" applyFont="1" applyBorder="1"/>
    <xf numFmtId="0" fontId="14" fillId="0" borderId="2" xfId="0" quotePrefix="1" applyFont="1" applyBorder="1"/>
    <xf numFmtId="165" fontId="14" fillId="0" borderId="0" xfId="0" applyNumberFormat="1" applyFont="1" applyBorder="1" applyProtection="1"/>
    <xf numFmtId="165" fontId="16" fillId="0" borderId="0" xfId="0" applyNumberFormat="1" applyFont="1" applyFill="1"/>
    <xf numFmtId="164" fontId="14" fillId="0" borderId="0" xfId="0" applyNumberFormat="1" applyFont="1" applyBorder="1"/>
    <xf numFmtId="164" fontId="14" fillId="0" borderId="0" xfId="0" applyNumberFormat="1" applyFont="1" applyBorder="1" applyProtection="1"/>
    <xf numFmtId="165" fontId="14" fillId="0" borderId="0" xfId="0" applyNumberFormat="1" applyFont="1" applyBorder="1"/>
    <xf numFmtId="165" fontId="14" fillId="0" borderId="0" xfId="0" applyNumberFormat="1" applyFont="1"/>
    <xf numFmtId="164" fontId="14" fillId="0" borderId="2" xfId="0" applyNumberFormat="1" applyFont="1" applyBorder="1"/>
    <xf numFmtId="0" fontId="17" fillId="0" borderId="0" xfId="0" applyFont="1"/>
    <xf numFmtId="0" fontId="9" fillId="0" borderId="0" xfId="0" applyFont="1" applyBorder="1" applyAlignment="1">
      <alignment horizontal="left"/>
    </xf>
    <xf numFmtId="1" fontId="9" fillId="0" borderId="0" xfId="0" quotePrefix="1" applyNumberFormat="1" applyFont="1"/>
    <xf numFmtId="1" fontId="9" fillId="0" borderId="0" xfId="0" applyNumberFormat="1" applyFont="1" applyFill="1"/>
    <xf numFmtId="0" fontId="18" fillId="0" borderId="0" xfId="0" applyFont="1"/>
    <xf numFmtId="0" fontId="6" fillId="0" borderId="0" xfId="0" applyFont="1"/>
    <xf numFmtId="165" fontId="9" fillId="0" borderId="0" xfId="0" quotePrefix="1" applyNumberFormat="1" applyFont="1" applyAlignment="1" applyProtection="1">
      <alignment horizontal="right"/>
    </xf>
    <xf numFmtId="2" fontId="9" fillId="0" borderId="0" xfId="0" quotePrefix="1" applyNumberFormat="1" applyFont="1" applyAlignment="1">
      <alignment horizontal="right"/>
    </xf>
    <xf numFmtId="0" fontId="9" fillId="0" borderId="8" xfId="0" applyFont="1" applyBorder="1"/>
    <xf numFmtId="0" fontId="9" fillId="0" borderId="10" xfId="0" applyFont="1" applyBorder="1"/>
    <xf numFmtId="0" fontId="4" fillId="2" borderId="0" xfId="0" applyFont="1" applyFill="1" applyBorder="1"/>
    <xf numFmtId="0" fontId="4" fillId="0" borderId="0" xfId="0" applyFont="1" applyBorder="1"/>
    <xf numFmtId="49" fontId="9" fillId="0" borderId="0" xfId="0" applyNumberFormat="1" applyFont="1" applyProtection="1"/>
    <xf numFmtId="165" fontId="9" fillId="0" borderId="0" xfId="0" applyNumberFormat="1" applyFont="1" applyFill="1" applyProtection="1"/>
    <xf numFmtId="164" fontId="9" fillId="0" borderId="0" xfId="0" quotePrefix="1" applyNumberFormat="1" applyFont="1" applyBorder="1" applyProtection="1"/>
    <xf numFmtId="164" fontId="9" fillId="0" borderId="0" xfId="0" applyNumberFormat="1" applyFont="1" applyFill="1" applyBorder="1" applyProtection="1"/>
    <xf numFmtId="164" fontId="9" fillId="0" borderId="2" xfId="0" applyNumberFormat="1" applyFont="1" applyBorder="1" applyAlignment="1" applyProtection="1">
      <alignment horizontal="fill"/>
    </xf>
    <xf numFmtId="0" fontId="4" fillId="0" borderId="0" xfId="0" applyFont="1" applyFill="1" applyBorder="1"/>
    <xf numFmtId="164" fontId="9" fillId="0" borderId="3" xfId="0" applyNumberFormat="1" applyFont="1" applyFill="1" applyBorder="1" applyProtection="1"/>
    <xf numFmtId="164" fontId="12" fillId="0" borderId="3" xfId="0" applyNumberFormat="1" applyFont="1" applyBorder="1" applyProtection="1"/>
    <xf numFmtId="165" fontId="9" fillId="0" borderId="0" xfId="0" applyNumberFormat="1" applyFont="1" applyFill="1" applyBorder="1" applyProtection="1"/>
    <xf numFmtId="164" fontId="9" fillId="0" borderId="2" xfId="0" applyNumberFormat="1" applyFont="1" applyFill="1" applyBorder="1" applyProtection="1"/>
    <xf numFmtId="165" fontId="9" fillId="0" borderId="0" xfId="0" applyNumberFormat="1" applyFont="1" applyAlignment="1" applyProtection="1">
      <alignment horizontal="right"/>
    </xf>
    <xf numFmtId="165" fontId="4" fillId="0" borderId="0" xfId="0" applyNumberFormat="1" applyFont="1" applyBorder="1"/>
    <xf numFmtId="49" fontId="9" fillId="0" borderId="0" xfId="0" applyNumberFormat="1" applyFont="1" applyFill="1" applyBorder="1" applyAlignment="1" applyProtection="1">
      <alignment horizontal="left"/>
    </xf>
    <xf numFmtId="164" fontId="9" fillId="0" borderId="0" xfId="0" applyNumberFormat="1" applyFont="1" applyFill="1" applyBorder="1" applyAlignment="1" applyProtection="1">
      <alignment horizontal="left"/>
    </xf>
    <xf numFmtId="164" fontId="9" fillId="0" borderId="0" xfId="0" applyNumberFormat="1" applyFont="1" applyFill="1" applyBorder="1" applyAlignment="1" applyProtection="1">
      <alignment horizontal="right"/>
    </xf>
    <xf numFmtId="165" fontId="9" fillId="0" borderId="0" xfId="0" applyNumberFormat="1" applyFont="1" applyFill="1" applyBorder="1" applyAlignment="1" applyProtection="1">
      <alignment horizontal="right"/>
    </xf>
    <xf numFmtId="165" fontId="20" fillId="0" borderId="0" xfId="0" applyNumberFormat="1" applyFont="1" applyFill="1" applyBorder="1" applyAlignment="1">
      <alignment horizontal="right"/>
    </xf>
    <xf numFmtId="165" fontId="9" fillId="0" borderId="0" xfId="0" applyNumberFormat="1" applyFont="1" applyFill="1" applyBorder="1" applyAlignment="1" applyProtection="1">
      <alignment horizontal="left"/>
    </xf>
    <xf numFmtId="165" fontId="20" fillId="0" borderId="0" xfId="0" applyNumberFormat="1" applyFont="1" applyFill="1" applyBorder="1"/>
    <xf numFmtId="165" fontId="9" fillId="0" borderId="0" xfId="0" applyNumberFormat="1" applyFont="1" applyFill="1" applyBorder="1" applyAlignment="1" applyProtection="1">
      <alignment horizontal="right" vertical="center"/>
    </xf>
    <xf numFmtId="164" fontId="4" fillId="0" borderId="0" xfId="0" applyNumberFormat="1" applyFont="1" applyFill="1" applyBorder="1"/>
    <xf numFmtId="0" fontId="9" fillId="0" borderId="0" xfId="0" applyNumberFormat="1" applyFont="1" applyFill="1" applyBorder="1" applyAlignment="1" applyProtection="1">
      <alignment horizontal="left"/>
    </xf>
    <xf numFmtId="165" fontId="9" fillId="0" borderId="0" xfId="0" applyNumberFormat="1" applyFont="1" applyFill="1" applyBorder="1" applyAlignment="1">
      <alignment horizontal="right"/>
    </xf>
    <xf numFmtId="164" fontId="9" fillId="0" borderId="1" xfId="0" applyNumberFormat="1" applyFont="1" applyBorder="1" applyAlignment="1" applyProtection="1">
      <alignment horizontal="left"/>
    </xf>
    <xf numFmtId="165" fontId="9" fillId="0" borderId="1" xfId="0" applyNumberFormat="1" applyFont="1" applyBorder="1" applyAlignment="1" applyProtection="1">
      <alignment horizontal="right"/>
    </xf>
    <xf numFmtId="164" fontId="9" fillId="0" borderId="2" xfId="0" applyNumberFormat="1" applyFont="1" applyBorder="1" applyAlignment="1" applyProtection="1">
      <alignment horizontal="left"/>
    </xf>
    <xf numFmtId="165" fontId="9" fillId="0" borderId="2" xfId="0" applyNumberFormat="1" applyFont="1" applyBorder="1" applyAlignment="1" applyProtection="1">
      <alignment horizontal="right"/>
    </xf>
    <xf numFmtId="0" fontId="20" fillId="0" borderId="0" xfId="0" applyFont="1" applyBorder="1"/>
    <xf numFmtId="164" fontId="21" fillId="0" borderId="0" xfId="0" applyNumberFormat="1" applyFont="1" applyBorder="1" applyAlignment="1" applyProtection="1">
      <alignment horizontal="left"/>
    </xf>
    <xf numFmtId="164" fontId="21" fillId="0" borderId="0" xfId="0" applyNumberFormat="1" applyFont="1" applyBorder="1" applyProtection="1"/>
    <xf numFmtId="164" fontId="9" fillId="0" borderId="0" xfId="0" applyNumberFormat="1" applyFont="1" applyBorder="1" applyAlignment="1" applyProtection="1">
      <alignment horizontal="right"/>
    </xf>
    <xf numFmtId="164" fontId="9" fillId="0" borderId="0" xfId="0" applyNumberFormat="1" applyFont="1" applyBorder="1" applyAlignment="1" applyProtection="1">
      <alignment horizontal="left"/>
    </xf>
    <xf numFmtId="164" fontId="9" fillId="0" borderId="4" xfId="0" applyNumberFormat="1" applyFont="1" applyBorder="1" applyAlignment="1" applyProtection="1">
      <alignment horizontal="left"/>
    </xf>
    <xf numFmtId="164" fontId="9" fillId="0" borderId="4" xfId="0" applyNumberFormat="1" applyFont="1" applyBorder="1" applyAlignment="1" applyProtection="1">
      <alignment horizontal="right"/>
    </xf>
    <xf numFmtId="0" fontId="20" fillId="0" borderId="0" xfId="0" applyFont="1" applyBorder="1" applyAlignment="1">
      <alignment horizontal="right"/>
    </xf>
    <xf numFmtId="0" fontId="22" fillId="0" borderId="0" xfId="0" applyFont="1" applyBorder="1"/>
    <xf numFmtId="0" fontId="22" fillId="0" borderId="0" xfId="0" applyFont="1" applyBorder="1" applyAlignment="1">
      <alignment horizontal="left"/>
    </xf>
    <xf numFmtId="1" fontId="20" fillId="0" borderId="0" xfId="0" applyNumberFormat="1" applyFont="1" applyBorder="1" applyAlignment="1">
      <alignment horizontal="left"/>
    </xf>
    <xf numFmtId="2" fontId="5" fillId="0" borderId="0" xfId="0" applyNumberFormat="1" applyFont="1" applyFill="1" applyBorder="1"/>
    <xf numFmtId="0" fontId="5" fillId="0" borderId="0" xfId="0" applyNumberFormat="1" applyFont="1" applyFill="1" applyBorder="1" applyAlignment="1" applyProtection="1">
      <alignment horizontal="right"/>
    </xf>
    <xf numFmtId="0" fontId="20" fillId="0" borderId="0" xfId="0" applyFont="1" applyBorder="1" applyAlignment="1">
      <alignment horizontal="left"/>
    </xf>
    <xf numFmtId="2" fontId="20" fillId="0" borderId="0" xfId="0" applyNumberFormat="1" applyFont="1" applyBorder="1" applyAlignment="1">
      <alignment horizontal="right"/>
    </xf>
    <xf numFmtId="2" fontId="20" fillId="0" borderId="0" xfId="0" applyNumberFormat="1" applyFont="1" applyBorder="1" applyAlignment="1">
      <alignment horizontal="left"/>
    </xf>
    <xf numFmtId="1" fontId="20" fillId="0" borderId="0" xfId="0" applyNumberFormat="1" applyFont="1" applyBorder="1"/>
    <xf numFmtId="165" fontId="9" fillId="0" borderId="0" xfId="0" applyNumberFormat="1" applyFont="1" applyBorder="1" applyAlignment="1" applyProtection="1">
      <alignment horizontal="center"/>
    </xf>
    <xf numFmtId="1" fontId="20" fillId="0" borderId="0" xfId="0" applyNumberFormat="1" applyFont="1" applyBorder="1" applyAlignment="1">
      <alignment horizontal="right"/>
    </xf>
    <xf numFmtId="1" fontId="9" fillId="0" borderId="0" xfId="0" applyNumberFormat="1" applyFont="1" applyBorder="1" applyAlignment="1" applyProtection="1">
      <alignment horizontal="right"/>
    </xf>
    <xf numFmtId="2" fontId="5" fillId="0" borderId="0" xfId="0" applyNumberFormat="1" applyFont="1" applyFill="1" applyBorder="1" applyAlignment="1">
      <alignment horizontal="right"/>
    </xf>
    <xf numFmtId="1" fontId="9" fillId="0" borderId="0" xfId="0" quotePrefix="1" applyNumberFormat="1" applyFont="1" applyBorder="1" applyAlignment="1" applyProtection="1">
      <alignment horizontal="right"/>
    </xf>
    <xf numFmtId="2" fontId="20" fillId="0" borderId="0" xfId="0" applyNumberFormat="1" applyFont="1" applyBorder="1"/>
    <xf numFmtId="164" fontId="9" fillId="0" borderId="0" xfId="0" applyNumberFormat="1" applyFont="1" applyBorder="1" applyAlignment="1" applyProtection="1">
      <alignment horizontal="center"/>
    </xf>
    <xf numFmtId="165" fontId="9" fillId="0" borderId="0" xfId="0" quotePrefix="1" applyNumberFormat="1" applyFont="1" applyBorder="1" applyProtection="1"/>
    <xf numFmtId="2" fontId="3" fillId="0" borderId="0" xfId="0" applyNumberFormat="1" applyFont="1" applyFill="1" applyBorder="1"/>
    <xf numFmtId="165" fontId="20" fillId="0" borderId="0" xfId="0" applyNumberFormat="1" applyFont="1" applyBorder="1"/>
    <xf numFmtId="164" fontId="9" fillId="0" borderId="0" xfId="0" quotePrefix="1" applyNumberFormat="1" applyFont="1" applyBorder="1" applyAlignment="1" applyProtection="1">
      <alignment horizontal="left"/>
    </xf>
    <xf numFmtId="164" fontId="9" fillId="0" borderId="2" xfId="0" applyNumberFormat="1" applyFont="1" applyBorder="1" applyAlignment="1" applyProtection="1">
      <alignment horizontal="right"/>
    </xf>
    <xf numFmtId="165" fontId="9" fillId="0" borderId="0" xfId="0" applyNumberFormat="1" applyFont="1" applyBorder="1" applyAlignment="1" applyProtection="1">
      <alignment horizontal="right"/>
    </xf>
    <xf numFmtId="0" fontId="4" fillId="0" borderId="0" xfId="0" applyFont="1" applyBorder="1" applyAlignment="1">
      <alignment horizontal="right"/>
    </xf>
    <xf numFmtId="164" fontId="9" fillId="0" borderId="2" xfId="0" applyNumberFormat="1" applyFont="1" applyFill="1" applyBorder="1" applyAlignment="1" applyProtection="1">
      <alignment horizontal="right"/>
    </xf>
    <xf numFmtId="1" fontId="11" fillId="0" borderId="0" xfId="0" applyNumberFormat="1" applyFont="1"/>
    <xf numFmtId="165" fontId="11" fillId="0" borderId="0" xfId="0" quotePrefix="1" applyNumberFormat="1" applyFont="1" applyProtection="1"/>
    <xf numFmtId="2" fontId="11" fillId="0" borderId="0" xfId="0" applyNumberFormat="1" applyFont="1"/>
    <xf numFmtId="0" fontId="9" fillId="0" borderId="5" xfId="0" applyFont="1" applyBorder="1"/>
    <xf numFmtId="2" fontId="7" fillId="0" borderId="0" xfId="0" applyNumberFormat="1" applyFont="1"/>
    <xf numFmtId="0" fontId="9" fillId="0" borderId="0" xfId="0" applyFont="1" applyFill="1" applyAlignment="1">
      <alignment horizontal="right"/>
    </xf>
    <xf numFmtId="1" fontId="9" fillId="0" borderId="0" xfId="0" applyNumberFormat="1" applyFont="1" applyAlignment="1">
      <alignment horizontal="right"/>
    </xf>
    <xf numFmtId="164" fontId="9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65" fontId="9" fillId="0" borderId="0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165" fontId="11" fillId="0" borderId="0" xfId="0" quotePrefix="1" applyNumberFormat="1" applyFont="1" applyAlignment="1" applyProtection="1">
      <alignment horizontal="right"/>
    </xf>
    <xf numFmtId="1" fontId="9" fillId="0" borderId="0" xfId="0" applyNumberFormat="1" applyFont="1" applyAlignment="1">
      <alignment horizontal="right" vertical="center"/>
    </xf>
    <xf numFmtId="1" fontId="9" fillId="0" borderId="0" xfId="0" quotePrefix="1" applyNumberFormat="1" applyFont="1" applyAlignment="1" applyProtection="1">
      <alignment horizontal="right"/>
    </xf>
    <xf numFmtId="1" fontId="9" fillId="0" borderId="0" xfId="0" quotePrefix="1" applyNumberFormat="1" applyFont="1" applyAlignment="1">
      <alignment horizontal="right" vertical="center"/>
    </xf>
    <xf numFmtId="1" fontId="9" fillId="0" borderId="0" xfId="0" quotePrefix="1" applyNumberFormat="1" applyFont="1" applyAlignment="1">
      <alignment horizontal="right"/>
    </xf>
    <xf numFmtId="0" fontId="12" fillId="0" borderId="3" xfId="0" applyFont="1" applyBorder="1" applyAlignment="1">
      <alignment horizontal="center" vertical="center"/>
    </xf>
    <xf numFmtId="0" fontId="9" fillId="0" borderId="3" xfId="0" applyNumberFormat="1" applyFont="1" applyFill="1" applyBorder="1" applyProtection="1"/>
    <xf numFmtId="0" fontId="11" fillId="0" borderId="0" xfId="0" quotePrefix="1" applyFont="1" applyBorder="1" applyAlignment="1">
      <alignment horizontal="left"/>
    </xf>
    <xf numFmtId="164" fontId="1" fillId="3" borderId="0" xfId="0" applyNumberFormat="1" applyFont="1" applyFill="1" applyProtection="1"/>
    <xf numFmtId="164" fontId="0" fillId="0" borderId="0" xfId="0" applyNumberFormat="1" applyBorder="1" applyProtection="1"/>
    <xf numFmtId="2" fontId="1" fillId="0" borderId="2" xfId="0" applyNumberFormat="1" applyFont="1" applyBorder="1" applyProtection="1"/>
    <xf numFmtId="164" fontId="1" fillId="0" borderId="3" xfId="0" applyNumberFormat="1" applyFont="1" applyBorder="1" applyProtection="1"/>
    <xf numFmtId="0" fontId="0" fillId="0" borderId="6" xfId="0" applyBorder="1"/>
    <xf numFmtId="0" fontId="0" fillId="0" borderId="14" xfId="0" applyBorder="1"/>
    <xf numFmtId="2" fontId="9" fillId="0" borderId="9" xfId="0" applyNumberFormat="1" applyFont="1" applyFill="1" applyBorder="1"/>
    <xf numFmtId="1" fontId="5" fillId="0" borderId="13" xfId="0" applyNumberFormat="1" applyFont="1" applyFill="1" applyBorder="1"/>
    <xf numFmtId="2" fontId="9" fillId="0" borderId="0" xfId="0" applyNumberFormat="1" applyFont="1" applyFill="1"/>
    <xf numFmtId="1" fontId="5" fillId="0" borderId="0" xfId="0" applyNumberFormat="1" applyFont="1" applyFill="1"/>
    <xf numFmtId="164" fontId="2" fillId="0" borderId="0" xfId="0" applyNumberFormat="1" applyFont="1" applyBorder="1" applyProtection="1"/>
    <xf numFmtId="164" fontId="1" fillId="0" borderId="1" xfId="0" applyNumberFormat="1" applyFont="1" applyFill="1" applyBorder="1" applyProtection="1"/>
    <xf numFmtId="2" fontId="1" fillId="0" borderId="0" xfId="0" applyNumberFormat="1" applyFont="1" applyFill="1" applyBorder="1" applyProtection="1"/>
    <xf numFmtId="164" fontId="1" fillId="0" borderId="0" xfId="0" applyNumberFormat="1" applyFont="1" applyFill="1" applyBorder="1" applyAlignment="1" applyProtection="1">
      <alignment horizontal="fill"/>
    </xf>
    <xf numFmtId="0" fontId="23" fillId="0" borderId="0" xfId="0" applyFont="1"/>
    <xf numFmtId="0" fontId="7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169" fontId="9" fillId="0" borderId="0" xfId="0" applyNumberFormat="1" applyFont="1"/>
    <xf numFmtId="1" fontId="9" fillId="0" borderId="0" xfId="0" quotePrefix="1" applyNumberFormat="1" applyFont="1" applyProtection="1"/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2" fontId="9" fillId="0" borderId="6" xfId="0" applyNumberFormat="1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6" fillId="0" borderId="5" xfId="0" applyFont="1" applyBorder="1"/>
    <xf numFmtId="1" fontId="16" fillId="0" borderId="12" xfId="0" applyNumberFormat="1" applyFont="1" applyBorder="1" applyAlignment="1">
      <alignment horizontal="center"/>
    </xf>
    <xf numFmtId="0" fontId="16" fillId="0" borderId="8" xfId="0" applyFont="1" applyBorder="1"/>
    <xf numFmtId="1" fontId="16" fillId="0" borderId="15" xfId="0" applyNumberFormat="1" applyFont="1" applyBorder="1" applyAlignment="1">
      <alignment horizontal="center"/>
    </xf>
    <xf numFmtId="0" fontId="16" fillId="0" borderId="10" xfId="0" applyFont="1" applyBorder="1"/>
    <xf numFmtId="1" fontId="16" fillId="0" borderId="13" xfId="0" applyNumberFormat="1" applyFont="1" applyBorder="1" applyAlignment="1">
      <alignment horizontal="center"/>
    </xf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2" fontId="16" fillId="0" borderId="0" xfId="0" applyNumberFormat="1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2" fontId="9" fillId="4" borderId="2" xfId="0" applyNumberFormat="1" applyFont="1" applyFill="1" applyBorder="1"/>
    <xf numFmtId="1" fontId="9" fillId="4" borderId="2" xfId="0" applyNumberFormat="1" applyFont="1" applyFill="1" applyBorder="1"/>
    <xf numFmtId="165" fontId="9" fillId="4" borderId="0" xfId="0" applyNumberFormat="1" applyFont="1" applyFill="1" applyBorder="1"/>
    <xf numFmtId="1" fontId="9" fillId="4" borderId="0" xfId="0" applyNumberFormat="1" applyFont="1" applyFill="1"/>
    <xf numFmtId="49" fontId="9" fillId="0" borderId="0" xfId="0" quotePrefix="1" applyNumberFormat="1" applyFont="1" applyAlignment="1" applyProtection="1">
      <alignment horizontal="right"/>
    </xf>
    <xf numFmtId="165" fontId="16" fillId="0" borderId="0" xfId="0" applyNumberFormat="1" applyFont="1"/>
    <xf numFmtId="165" fontId="9" fillId="0" borderId="0" xfId="0" applyNumberFormat="1" applyFont="1" applyAlignment="1" applyProtection="1">
      <alignment vertical="center"/>
    </xf>
    <xf numFmtId="0" fontId="9" fillId="0" borderId="0" xfId="0" applyNumberFormat="1" applyFont="1" applyFill="1" applyProtection="1"/>
    <xf numFmtId="165" fontId="11" fillId="0" borderId="0" xfId="0" applyNumberFormat="1" applyFont="1" applyAlignment="1" applyProtection="1">
      <alignment horizontal="right"/>
    </xf>
    <xf numFmtId="0" fontId="16" fillId="0" borderId="0" xfId="0" applyFont="1"/>
    <xf numFmtId="0" fontId="16" fillId="0" borderId="0" xfId="0" applyFont="1" applyFill="1" applyBorder="1"/>
    <xf numFmtId="164" fontId="9" fillId="0" borderId="3" xfId="0" applyNumberFormat="1" applyFont="1" applyBorder="1" applyProtection="1"/>
    <xf numFmtId="0" fontId="24" fillId="0" borderId="3" xfId="0" applyFont="1" applyFill="1" applyBorder="1"/>
    <xf numFmtId="0" fontId="24" fillId="0" borderId="3" xfId="0" applyFont="1" applyFill="1" applyBorder="1" applyAlignment="1">
      <alignment horizontal="center"/>
    </xf>
    <xf numFmtId="1" fontId="9" fillId="0" borderId="3" xfId="0" applyNumberFormat="1" applyFont="1" applyFill="1" applyBorder="1" applyProtection="1"/>
    <xf numFmtId="0" fontId="9" fillId="0" borderId="0" xfId="0" applyNumberFormat="1" applyFont="1" applyFill="1" applyBorder="1" applyProtection="1"/>
    <xf numFmtId="2" fontId="16" fillId="0" borderId="0" xfId="0" applyNumberFormat="1" applyFont="1"/>
    <xf numFmtId="2" fontId="25" fillId="0" borderId="0" xfId="0" applyNumberFormat="1" applyFont="1"/>
    <xf numFmtId="2" fontId="12" fillId="0" borderId="0" xfId="0" applyNumberFormat="1" applyFont="1" applyFill="1"/>
    <xf numFmtId="165" fontId="16" fillId="0" borderId="0" xfId="0" applyNumberFormat="1" applyFont="1" applyBorder="1"/>
    <xf numFmtId="0" fontId="16" fillId="0" borderId="2" xfId="0" applyFont="1" applyBorder="1"/>
    <xf numFmtId="2" fontId="9" fillId="0" borderId="0" xfId="0" applyNumberFormat="1" applyFont="1" applyFill="1" applyProtection="1"/>
    <xf numFmtId="164" fontId="9" fillId="0" borderId="2" xfId="0" applyNumberFormat="1" applyFont="1" applyFill="1" applyBorder="1" applyAlignment="1" applyProtection="1">
      <alignment horizontal="fill"/>
    </xf>
    <xf numFmtId="164" fontId="9" fillId="0" borderId="11" xfId="0" applyNumberFormat="1" applyFont="1" applyBorder="1" applyProtection="1"/>
    <xf numFmtId="164" fontId="9" fillId="0" borderId="12" xfId="0" applyNumberFormat="1" applyFont="1" applyBorder="1" applyProtection="1"/>
    <xf numFmtId="164" fontId="9" fillId="0" borderId="9" xfId="0" applyNumberFormat="1" applyFont="1" applyBorder="1" applyProtection="1"/>
    <xf numFmtId="164" fontId="9" fillId="0" borderId="13" xfId="0" applyNumberFormat="1" applyFont="1" applyBorder="1" applyProtection="1"/>
    <xf numFmtId="0" fontId="8" fillId="4" borderId="0" xfId="0" applyFont="1" applyFill="1"/>
    <xf numFmtId="0" fontId="0" fillId="4" borderId="0" xfId="0" applyFill="1"/>
    <xf numFmtId="164" fontId="9" fillId="4" borderId="1" xfId="0" applyNumberFormat="1" applyFont="1" applyFill="1" applyBorder="1" applyProtection="1"/>
    <xf numFmtId="165" fontId="9" fillId="4" borderId="1" xfId="0" applyNumberFormat="1" applyFont="1" applyFill="1" applyBorder="1" applyProtection="1"/>
    <xf numFmtId="0" fontId="16" fillId="4" borderId="0" xfId="0" applyFont="1" applyFill="1"/>
    <xf numFmtId="0" fontId="16" fillId="4" borderId="0" xfId="0" applyFont="1" applyFill="1" applyBorder="1"/>
    <xf numFmtId="164" fontId="9" fillId="4" borderId="0" xfId="0" applyNumberFormat="1" applyFont="1" applyFill="1" applyBorder="1" applyProtection="1"/>
    <xf numFmtId="165" fontId="9" fillId="4" borderId="0" xfId="0" applyNumberFormat="1" applyFont="1" applyFill="1" applyBorder="1" applyProtection="1"/>
    <xf numFmtId="164" fontId="9" fillId="4" borderId="2" xfId="0" applyNumberFormat="1" applyFont="1" applyFill="1" applyBorder="1" applyProtection="1"/>
    <xf numFmtId="165" fontId="9" fillId="4" borderId="2" xfId="0" applyNumberFormat="1" applyFont="1" applyFill="1" applyBorder="1" applyProtection="1"/>
    <xf numFmtId="164" fontId="9" fillId="4" borderId="0" xfId="0" applyNumberFormat="1" applyFont="1" applyFill="1" applyProtection="1"/>
    <xf numFmtId="165" fontId="9" fillId="4" borderId="0" xfId="0" applyNumberFormat="1" applyFont="1" applyFill="1" applyProtection="1"/>
    <xf numFmtId="165" fontId="9" fillId="4" borderId="0" xfId="0" quotePrefix="1" applyNumberFormat="1" applyFont="1" applyFill="1" applyProtection="1"/>
    <xf numFmtId="49" fontId="9" fillId="4" borderId="0" xfId="0" applyNumberFormat="1" applyFont="1" applyFill="1" applyProtection="1"/>
    <xf numFmtId="165" fontId="16" fillId="4" borderId="0" xfId="0" applyNumberFormat="1" applyFont="1" applyFill="1"/>
    <xf numFmtId="164" fontId="9" fillId="4" borderId="0" xfId="0" quotePrefix="1" applyNumberFormat="1" applyFont="1" applyFill="1" applyProtection="1"/>
    <xf numFmtId="164" fontId="9" fillId="4" borderId="2" xfId="0" applyNumberFormat="1" applyFont="1" applyFill="1" applyBorder="1" applyAlignment="1" applyProtection="1">
      <alignment horizontal="fill"/>
    </xf>
    <xf numFmtId="164" fontId="9" fillId="4" borderId="11" xfId="0" applyNumberFormat="1" applyFont="1" applyFill="1" applyBorder="1" applyProtection="1"/>
    <xf numFmtId="164" fontId="9" fillId="4" borderId="12" xfId="0" applyNumberFormat="1" applyFont="1" applyFill="1" applyBorder="1" applyProtection="1"/>
    <xf numFmtId="164" fontId="9" fillId="4" borderId="9" xfId="0" applyNumberFormat="1" applyFont="1" applyFill="1" applyBorder="1" applyProtection="1"/>
    <xf numFmtId="164" fontId="9" fillId="4" borderId="13" xfId="0" applyNumberFormat="1" applyFont="1" applyFill="1" applyBorder="1" applyProtection="1"/>
    <xf numFmtId="0" fontId="16" fillId="4" borderId="11" xfId="0" applyFont="1" applyFill="1" applyBorder="1"/>
    <xf numFmtId="0" fontId="16" fillId="4" borderId="12" xfId="0" applyFont="1" applyFill="1" applyBorder="1"/>
    <xf numFmtId="2" fontId="9" fillId="4" borderId="9" xfId="0" applyNumberFormat="1" applyFont="1" applyFill="1" applyBorder="1"/>
    <xf numFmtId="1" fontId="9" fillId="4" borderId="13" xfId="0" applyNumberFormat="1" applyFont="1" applyFill="1" applyBorder="1"/>
    <xf numFmtId="0" fontId="9" fillId="4" borderId="3" xfId="0" applyFont="1" applyFill="1" applyBorder="1"/>
    <xf numFmtId="0" fontId="15" fillId="4" borderId="3" xfId="0" applyFont="1" applyFill="1" applyBorder="1"/>
    <xf numFmtId="2" fontId="9" fillId="4" borderId="0" xfId="0" applyNumberFormat="1" applyFont="1" applyFill="1"/>
    <xf numFmtId="1" fontId="16" fillId="4" borderId="0" xfId="0" applyNumberFormat="1" applyFont="1" applyFill="1"/>
    <xf numFmtId="165" fontId="16" fillId="4" borderId="0" xfId="0" applyNumberFormat="1" applyFont="1" applyFill="1" applyBorder="1"/>
    <xf numFmtId="1" fontId="9" fillId="4" borderId="0" xfId="0" quotePrefix="1" applyNumberFormat="1" applyFont="1" applyFill="1" applyProtection="1"/>
    <xf numFmtId="1" fontId="9" fillId="4" borderId="0" xfId="0" applyNumberFormat="1" applyFont="1" applyFill="1" applyProtection="1"/>
    <xf numFmtId="164" fontId="9" fillId="4" borderId="0" xfId="0" applyNumberFormat="1" applyFont="1" applyFill="1" applyBorder="1" applyAlignment="1" applyProtection="1">
      <alignment horizontal="fill"/>
    </xf>
    <xf numFmtId="0" fontId="9" fillId="4" borderId="0" xfId="0" applyFont="1" applyFill="1" applyBorder="1"/>
    <xf numFmtId="164" fontId="9" fillId="4" borderId="0" xfId="0" applyNumberFormat="1" applyFont="1" applyFill="1" applyBorder="1"/>
    <xf numFmtId="164" fontId="9" fillId="4" borderId="0" xfId="0" applyNumberFormat="1" applyFont="1" applyFill="1"/>
    <xf numFmtId="0" fontId="9" fillId="4" borderId="0" xfId="0" applyFont="1" applyFill="1"/>
    <xf numFmtId="167" fontId="9" fillId="4" borderId="0" xfId="0" applyNumberFormat="1" applyFont="1" applyFill="1" applyBorder="1"/>
    <xf numFmtId="167" fontId="9" fillId="4" borderId="0" xfId="0" applyNumberFormat="1" applyFont="1" applyFill="1"/>
    <xf numFmtId="0" fontId="9" fillId="4" borderId="2" xfId="0" applyFont="1" applyFill="1" applyBorder="1"/>
    <xf numFmtId="167" fontId="9" fillId="4" borderId="2" xfId="0" applyNumberFormat="1" applyFont="1" applyFill="1" applyBorder="1"/>
    <xf numFmtId="165" fontId="9" fillId="0" borderId="0" xfId="0" quotePrefix="1" applyNumberFormat="1" applyFont="1" applyFill="1" applyAlignment="1" applyProtection="1">
      <alignment horizontal="right"/>
    </xf>
    <xf numFmtId="1" fontId="9" fillId="0" borderId="0" xfId="0" applyNumberFormat="1" applyFont="1" applyFill="1" applyProtection="1"/>
    <xf numFmtId="0" fontId="16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0" xfId="0" quotePrefix="1" applyFont="1" applyFill="1" applyBorder="1" applyAlignment="1">
      <alignment horizontal="left"/>
    </xf>
    <xf numFmtId="2" fontId="16" fillId="0" borderId="0" xfId="0" applyNumberFormat="1" applyFont="1" applyBorder="1"/>
    <xf numFmtId="168" fontId="1" fillId="0" borderId="0" xfId="0" applyNumberFormat="1" applyFont="1" applyProtection="1"/>
    <xf numFmtId="168" fontId="1" fillId="0" borderId="0" xfId="0" quotePrefix="1" applyNumberFormat="1" applyFont="1" applyProtection="1"/>
    <xf numFmtId="168" fontId="0" fillId="0" borderId="0" xfId="0" applyNumberFormat="1"/>
    <xf numFmtId="0" fontId="1" fillId="0" borderId="0" xfId="0" quotePrefix="1" applyFont="1"/>
    <xf numFmtId="168" fontId="1" fillId="0" borderId="0" xfId="0" quotePrefix="1" applyNumberFormat="1" applyFont="1" applyBorder="1" applyProtection="1"/>
    <xf numFmtId="168" fontId="1" fillId="0" borderId="0" xfId="0" applyNumberFormat="1" applyFont="1" applyBorder="1" applyProtection="1"/>
    <xf numFmtId="168" fontId="1" fillId="0" borderId="2" xfId="0" applyNumberFormat="1" applyFont="1" applyBorder="1" applyProtection="1"/>
    <xf numFmtId="164" fontId="1" fillId="0" borderId="11" xfId="0" applyNumberFormat="1" applyFont="1" applyBorder="1" applyProtection="1"/>
    <xf numFmtId="164" fontId="1" fillId="0" borderId="12" xfId="0" applyNumberFormat="1" applyFont="1" applyBorder="1" applyProtection="1"/>
    <xf numFmtId="164" fontId="1" fillId="0" borderId="9" xfId="0" applyNumberFormat="1" applyFont="1" applyBorder="1" applyProtection="1"/>
    <xf numFmtId="164" fontId="1" fillId="0" borderId="13" xfId="0" applyNumberFormat="1" applyFont="1" applyBorder="1" applyProtection="1"/>
    <xf numFmtId="165" fontId="1" fillId="0" borderId="12" xfId="0" applyNumberFormat="1" applyFont="1" applyBorder="1" applyProtection="1"/>
    <xf numFmtId="164" fontId="1" fillId="0" borderId="7" xfId="0" applyNumberFormat="1" applyFont="1" applyBorder="1" applyProtection="1"/>
    <xf numFmtId="165" fontId="1" fillId="0" borderId="15" xfId="0" applyNumberFormat="1" applyFont="1" applyBorder="1" applyProtection="1"/>
    <xf numFmtId="164" fontId="1" fillId="0" borderId="7" xfId="0" applyNumberFormat="1" applyFont="1" applyFill="1" applyBorder="1" applyProtection="1"/>
    <xf numFmtId="165" fontId="1" fillId="0" borderId="15" xfId="0" applyNumberFormat="1" applyFont="1" applyFill="1" applyBorder="1" applyProtection="1"/>
    <xf numFmtId="164" fontId="1" fillId="0" borderId="9" xfId="0" applyNumberFormat="1" applyFont="1" applyFill="1" applyBorder="1" applyProtection="1"/>
    <xf numFmtId="165" fontId="0" fillId="0" borderId="13" xfId="0" applyNumberFormat="1" applyBorder="1"/>
    <xf numFmtId="165" fontId="1" fillId="4" borderId="1" xfId="0" applyNumberFormat="1" applyFont="1" applyFill="1" applyBorder="1" applyProtection="1"/>
    <xf numFmtId="165" fontId="1" fillId="4" borderId="2" xfId="0" applyNumberFormat="1" applyFont="1" applyFill="1" applyBorder="1" applyProtection="1"/>
    <xf numFmtId="165" fontId="1" fillId="4" borderId="0" xfId="0" applyNumberFormat="1" applyFont="1" applyFill="1" applyProtection="1"/>
    <xf numFmtId="165" fontId="9" fillId="0" borderId="0" xfId="0" quotePrefix="1" applyNumberFormat="1" applyFont="1"/>
    <xf numFmtId="165" fontId="9" fillId="0" borderId="1" xfId="0" applyNumberFormat="1" applyFont="1" applyBorder="1" applyAlignment="1">
      <alignment horizontal="right"/>
    </xf>
    <xf numFmtId="165" fontId="9" fillId="0" borderId="2" xfId="0" applyNumberFormat="1" applyFont="1" applyBorder="1" applyAlignment="1">
      <alignment horizontal="right"/>
    </xf>
    <xf numFmtId="165" fontId="9" fillId="4" borderId="1" xfId="0" applyNumberFormat="1" applyFont="1" applyFill="1" applyBorder="1" applyAlignment="1">
      <alignment horizontal="right"/>
    </xf>
    <xf numFmtId="2" fontId="9" fillId="0" borderId="11" xfId="0" applyNumberFormat="1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1" fontId="9" fillId="0" borderId="8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" fontId="9" fillId="0" borderId="0" xfId="0" applyNumberFormat="1" applyFont="1" applyBorder="1" applyProtection="1"/>
    <xf numFmtId="1" fontId="9" fillId="4" borderId="1" xfId="0" applyNumberFormat="1" applyFont="1" applyFill="1" applyBorder="1"/>
    <xf numFmtId="1" fontId="9" fillId="4" borderId="0" xfId="0" applyNumberFormat="1" applyFont="1" applyFill="1" applyBorder="1"/>
    <xf numFmtId="2" fontId="9" fillId="4" borderId="0" xfId="0" applyNumberFormat="1" applyFont="1" applyFill="1" applyBorder="1"/>
    <xf numFmtId="0" fontId="20" fillId="0" borderId="0" xfId="0" applyFont="1"/>
    <xf numFmtId="0" fontId="9" fillId="0" borderId="0" xfId="0" quotePrefix="1" applyNumberFormat="1" applyFont="1" applyFill="1" applyAlignment="1" applyProtection="1">
      <alignment horizontal="right"/>
    </xf>
    <xf numFmtId="2" fontId="20" fillId="0" borderId="3" xfId="0" applyNumberFormat="1" applyFont="1" applyBorder="1"/>
    <xf numFmtId="49" fontId="9" fillId="0" borderId="3" xfId="0" applyNumberFormat="1" applyFont="1" applyFill="1" applyBorder="1"/>
    <xf numFmtId="0" fontId="20" fillId="0" borderId="3" xfId="0" applyFont="1" applyBorder="1"/>
    <xf numFmtId="0" fontId="5" fillId="0" borderId="0" xfId="1" applyFont="1" applyFill="1" applyBorder="1" applyAlignment="1">
      <alignment horizontal="left" vertical="top"/>
    </xf>
    <xf numFmtId="2" fontId="20" fillId="0" borderId="0" xfId="0" applyNumberFormat="1" applyFont="1"/>
    <xf numFmtId="165" fontId="9" fillId="0" borderId="0" xfId="0" quotePrefix="1" applyNumberFormat="1" applyFont="1" applyFill="1" applyProtection="1"/>
    <xf numFmtId="2" fontId="9" fillId="4" borderId="0" xfId="0" applyNumberFormat="1" applyFont="1" applyFill="1" applyProtection="1"/>
    <xf numFmtId="0" fontId="11" fillId="4" borderId="0" xfId="0" applyNumberFormat="1" applyFont="1" applyFill="1" applyProtection="1"/>
    <xf numFmtId="49" fontId="9" fillId="4" borderId="0" xfId="0" applyNumberFormat="1" applyFont="1" applyFill="1" applyBorder="1" applyAlignment="1" applyProtection="1">
      <alignment horizontal="center"/>
    </xf>
    <xf numFmtId="0" fontId="9" fillId="4" borderId="0" xfId="0" applyNumberFormat="1" applyFont="1" applyFill="1" applyBorder="1" applyAlignment="1" applyProtection="1">
      <alignment horizontal="center"/>
    </xf>
    <xf numFmtId="0" fontId="11" fillId="4" borderId="0" xfId="0" applyNumberFormat="1" applyFont="1" applyFill="1" applyBorder="1" applyAlignment="1" applyProtection="1">
      <alignment horizontal="right"/>
    </xf>
    <xf numFmtId="165" fontId="11" fillId="4" borderId="0" xfId="0" applyNumberFormat="1" applyFont="1" applyFill="1" applyAlignment="1" applyProtection="1">
      <alignment horizontal="right"/>
    </xf>
    <xf numFmtId="165" fontId="9" fillId="4" borderId="0" xfId="0" applyNumberFormat="1" applyFont="1" applyFill="1" applyBorder="1" applyAlignment="1" applyProtection="1">
      <alignment horizontal="right"/>
    </xf>
    <xf numFmtId="165" fontId="9" fillId="4" borderId="0" xfId="0" applyNumberFormat="1" applyFont="1" applyFill="1" applyAlignment="1" applyProtection="1">
      <alignment horizontal="right"/>
    </xf>
    <xf numFmtId="0" fontId="9" fillId="4" borderId="0" xfId="0" applyNumberFormat="1" applyFont="1" applyFill="1" applyAlignment="1" applyProtection="1">
      <alignment horizontal="center"/>
    </xf>
    <xf numFmtId="0" fontId="9" fillId="4" borderId="0" xfId="0" applyNumberFormat="1" applyFont="1" applyFill="1" applyAlignment="1" applyProtection="1">
      <alignment horizontal="right"/>
    </xf>
    <xf numFmtId="0" fontId="9" fillId="4" borderId="0" xfId="0" quotePrefix="1" applyNumberFormat="1" applyFont="1" applyFill="1" applyProtection="1"/>
    <xf numFmtId="0" fontId="11" fillId="4" borderId="0" xfId="0" quotePrefix="1" applyNumberFormat="1" applyFont="1" applyFill="1" applyProtection="1"/>
    <xf numFmtId="0" fontId="9" fillId="4" borderId="0" xfId="0" quotePrefix="1" applyNumberFormat="1" applyFont="1" applyFill="1" applyAlignment="1" applyProtection="1">
      <alignment horizontal="center"/>
    </xf>
    <xf numFmtId="0" fontId="9" fillId="4" borderId="0" xfId="0" quotePrefix="1" applyNumberFormat="1" applyFont="1" applyFill="1" applyAlignment="1" applyProtection="1">
      <alignment horizontal="right"/>
    </xf>
    <xf numFmtId="165" fontId="9" fillId="4" borderId="0" xfId="0" quotePrefix="1" applyNumberFormat="1" applyFont="1" applyFill="1" applyAlignment="1" applyProtection="1">
      <alignment horizontal="right"/>
    </xf>
    <xf numFmtId="2" fontId="9" fillId="4" borderId="0" xfId="0" applyNumberFormat="1" applyFont="1" applyFill="1" applyAlignment="1" applyProtection="1">
      <alignment horizontal="center"/>
    </xf>
    <xf numFmtId="0" fontId="9" fillId="4" borderId="0" xfId="0" applyNumberFormat="1" applyFont="1" applyFill="1" applyProtection="1"/>
    <xf numFmtId="169" fontId="9" fillId="4" borderId="0" xfId="0" applyNumberFormat="1" applyFont="1" applyFill="1" applyAlignment="1" applyProtection="1">
      <alignment horizontal="center"/>
    </xf>
    <xf numFmtId="165" fontId="20" fillId="4" borderId="0" xfId="0" applyNumberFormat="1" applyFont="1" applyFill="1" applyAlignment="1">
      <alignment horizontal="right"/>
    </xf>
    <xf numFmtId="0" fontId="11" fillId="4" borderId="2" xfId="0" applyNumberFormat="1" applyFont="1" applyFill="1" applyBorder="1" applyProtection="1"/>
    <xf numFmtId="0" fontId="9" fillId="4" borderId="2" xfId="0" applyNumberFormat="1" applyFont="1" applyFill="1" applyBorder="1" applyAlignment="1" applyProtection="1">
      <alignment horizontal="center"/>
    </xf>
    <xf numFmtId="0" fontId="9" fillId="4" borderId="2" xfId="0" applyNumberFormat="1" applyFont="1" applyFill="1" applyBorder="1" applyAlignment="1" applyProtection="1">
      <alignment horizontal="right"/>
    </xf>
    <xf numFmtId="165" fontId="9" fillId="4" borderId="2" xfId="0" applyNumberFormat="1" applyFont="1" applyFill="1" applyBorder="1" applyAlignment="1" applyProtection="1">
      <alignment horizontal="right"/>
    </xf>
    <xf numFmtId="165" fontId="9" fillId="4" borderId="1" xfId="0" applyNumberFormat="1" applyFont="1" applyFill="1" applyBorder="1" applyAlignment="1" applyProtection="1">
      <alignment horizontal="right"/>
    </xf>
    <xf numFmtId="0" fontId="18" fillId="4" borderId="0" xfId="0" applyFont="1" applyFill="1"/>
    <xf numFmtId="0" fontId="4" fillId="4" borderId="0" xfId="0" applyFont="1" applyFill="1"/>
    <xf numFmtId="0" fontId="4" fillId="4" borderId="0" xfId="0" applyFont="1" applyFill="1" applyBorder="1"/>
    <xf numFmtId="0" fontId="9" fillId="4" borderId="1" xfId="0" applyFont="1" applyFill="1" applyBorder="1"/>
    <xf numFmtId="0" fontId="9" fillId="4" borderId="0" xfId="0" applyFont="1" applyFill="1" applyBorder="1" applyAlignment="1">
      <alignment horizontal="right"/>
    </xf>
    <xf numFmtId="2" fontId="9" fillId="4" borderId="0" xfId="0" applyNumberFormat="1" applyFont="1" applyFill="1" applyBorder="1" applyAlignment="1">
      <alignment horizontal="right"/>
    </xf>
    <xf numFmtId="1" fontId="9" fillId="4" borderId="0" xfId="0" applyNumberFormat="1" applyFont="1" applyFill="1" applyBorder="1" applyAlignment="1">
      <alignment horizontal="right"/>
    </xf>
    <xf numFmtId="2" fontId="11" fillId="4" borderId="0" xfId="0" applyNumberFormat="1" applyFont="1" applyFill="1"/>
    <xf numFmtId="165" fontId="11" fillId="4" borderId="0" xfId="0" quotePrefix="1" applyNumberFormat="1" applyFont="1" applyFill="1" applyAlignment="1" applyProtection="1">
      <alignment horizontal="right"/>
    </xf>
    <xf numFmtId="170" fontId="9" fillId="4" borderId="0" xfId="0" quotePrefix="1" applyNumberFormat="1" applyFont="1" applyFill="1" applyAlignment="1" applyProtection="1">
      <alignment horizontal="right"/>
    </xf>
    <xf numFmtId="170" fontId="11" fillId="4" borderId="0" xfId="0" applyNumberFormat="1" applyFont="1" applyFill="1" applyAlignment="1" applyProtection="1">
      <alignment horizontal="right"/>
    </xf>
    <xf numFmtId="1" fontId="11" fillId="4" borderId="0" xfId="0" applyNumberFormat="1" applyFont="1" applyFill="1" applyProtection="1"/>
    <xf numFmtId="49" fontId="9" fillId="4" borderId="0" xfId="0" applyNumberFormat="1" applyFont="1" applyFill="1" applyAlignment="1" applyProtection="1">
      <alignment horizontal="right"/>
    </xf>
    <xf numFmtId="1" fontId="9" fillId="4" borderId="0" xfId="0" applyNumberFormat="1" applyFont="1" applyFill="1" applyAlignment="1">
      <alignment horizontal="right"/>
    </xf>
    <xf numFmtId="1" fontId="9" fillId="4" borderId="0" xfId="0" applyNumberFormat="1" applyFont="1" applyFill="1" applyAlignment="1" applyProtection="1">
      <alignment horizontal="right"/>
    </xf>
    <xf numFmtId="49" fontId="11" fillId="4" borderId="0" xfId="0" applyNumberFormat="1" applyFont="1" applyFill="1" applyAlignment="1" applyProtection="1">
      <alignment horizontal="right"/>
    </xf>
    <xf numFmtId="165" fontId="9" fillId="4" borderId="0" xfId="0" applyNumberFormat="1" applyFont="1" applyFill="1" applyAlignment="1" applyProtection="1">
      <alignment horizontal="right" vertical="center"/>
    </xf>
    <xf numFmtId="1" fontId="9" fillId="4" borderId="0" xfId="2" applyNumberFormat="1" applyFont="1" applyFill="1"/>
    <xf numFmtId="1" fontId="26" fillId="4" borderId="0" xfId="0" applyNumberFormat="1" applyFont="1" applyFill="1"/>
    <xf numFmtId="2" fontId="16" fillId="4" borderId="1" xfId="0" applyNumberFormat="1" applyFont="1" applyFill="1" applyBorder="1"/>
    <xf numFmtId="1" fontId="16" fillId="4" borderId="1" xfId="0" applyNumberFormat="1" applyFont="1" applyFill="1" applyBorder="1"/>
    <xf numFmtId="2" fontId="16" fillId="4" borderId="2" xfId="0" applyNumberFormat="1" applyFont="1" applyFill="1" applyBorder="1"/>
    <xf numFmtId="1" fontId="16" fillId="4" borderId="2" xfId="0" applyNumberFormat="1" applyFont="1" applyFill="1" applyBorder="1"/>
    <xf numFmtId="0" fontId="9" fillId="4" borderId="4" xfId="0" applyFont="1" applyFill="1" applyBorder="1"/>
    <xf numFmtId="0" fontId="9" fillId="4" borderId="0" xfId="0" applyFont="1" applyFill="1" applyBorder="1" applyAlignment="1">
      <alignment horizontal="center"/>
    </xf>
    <xf numFmtId="9" fontId="9" fillId="4" borderId="0" xfId="3" applyFont="1" applyFill="1" applyBorder="1"/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wrapText="1"/>
    </xf>
    <xf numFmtId="9" fontId="9" fillId="4" borderId="0" xfId="0" quotePrefix="1" applyNumberFormat="1" applyFont="1" applyFill="1" applyBorder="1" applyAlignment="1">
      <alignment horizontal="left"/>
    </xf>
    <xf numFmtId="0" fontId="9" fillId="4" borderId="0" xfId="0" quotePrefix="1" applyFont="1" applyFill="1" applyBorder="1"/>
    <xf numFmtId="0" fontId="9" fillId="4" borderId="1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65" fontId="9" fillId="4" borderId="0" xfId="0" applyNumberFormat="1" applyFont="1" applyFill="1"/>
    <xf numFmtId="164" fontId="9" fillId="4" borderId="2" xfId="0" applyNumberFormat="1" applyFont="1" applyFill="1" applyBorder="1"/>
    <xf numFmtId="0" fontId="9" fillId="0" borderId="0" xfId="0" applyFont="1" applyFill="1" applyAlignment="1">
      <alignment horizontal="left"/>
    </xf>
    <xf numFmtId="165" fontId="9" fillId="0" borderId="0" xfId="0" applyNumberFormat="1" applyFont="1" applyAlignment="1" applyProtection="1"/>
    <xf numFmtId="165" fontId="9" fillId="0" borderId="0" xfId="0" applyNumberFormat="1" applyFont="1" applyAlignment="1" applyProtection="1">
      <alignment horizontal="left"/>
    </xf>
    <xf numFmtId="0" fontId="9" fillId="0" borderId="5" xfId="0" applyFont="1" applyFill="1" applyBorder="1" applyAlignment="1">
      <alignment horizontal="left"/>
    </xf>
    <xf numFmtId="2" fontId="9" fillId="0" borderId="8" xfId="0" applyNumberFormat="1" applyFont="1" applyFill="1" applyBorder="1" applyAlignment="1" applyProtection="1">
      <alignment horizontal="left"/>
    </xf>
    <xf numFmtId="0" fontId="9" fillId="0" borderId="8" xfId="0" applyNumberFormat="1" applyFont="1" applyFill="1" applyBorder="1" applyAlignment="1" applyProtection="1">
      <alignment horizontal="left"/>
    </xf>
    <xf numFmtId="2" fontId="9" fillId="0" borderId="8" xfId="0" applyNumberFormat="1" applyFont="1" applyFill="1" applyBorder="1" applyAlignment="1">
      <alignment horizontal="left"/>
    </xf>
    <xf numFmtId="0" fontId="9" fillId="0" borderId="10" xfId="0" applyNumberFormat="1" applyFont="1" applyFill="1" applyBorder="1" applyAlignment="1" applyProtection="1">
      <alignment horizontal="left"/>
    </xf>
    <xf numFmtId="164" fontId="9" fillId="2" borderId="1" xfId="0" applyNumberFormat="1" applyFont="1" applyFill="1" applyBorder="1" applyAlignment="1" applyProtection="1">
      <alignment horizontal="fill"/>
    </xf>
    <xf numFmtId="164" fontId="9" fillId="2" borderId="1" xfId="0" applyNumberFormat="1" applyFont="1" applyFill="1" applyBorder="1" applyAlignment="1" applyProtection="1">
      <alignment horizontal="left"/>
    </xf>
    <xf numFmtId="164" fontId="9" fillId="2" borderId="1" xfId="0" applyNumberFormat="1" applyFont="1" applyFill="1" applyBorder="1" applyProtection="1"/>
    <xf numFmtId="0" fontId="20" fillId="2" borderId="0" xfId="0" applyFont="1" applyFill="1"/>
    <xf numFmtId="0" fontId="20" fillId="2" borderId="0" xfId="0" applyFont="1" applyFill="1" applyBorder="1"/>
    <xf numFmtId="164" fontId="1" fillId="2" borderId="0" xfId="0" applyNumberFormat="1" applyFont="1" applyFill="1" applyProtection="1"/>
    <xf numFmtId="164" fontId="1" fillId="2" borderId="2" xfId="0" applyNumberFormat="1" applyFont="1" applyFill="1" applyBorder="1" applyAlignment="1" applyProtection="1">
      <alignment horizontal="fill"/>
    </xf>
    <xf numFmtId="165" fontId="9" fillId="2" borderId="1" xfId="0" applyNumberFormat="1" applyFont="1" applyFill="1" applyBorder="1" applyProtection="1"/>
    <xf numFmtId="0" fontId="16" fillId="2" borderId="0" xfId="0" applyFont="1" applyFill="1"/>
    <xf numFmtId="0" fontId="16" fillId="2" borderId="0" xfId="0" applyFont="1" applyFill="1" applyBorder="1"/>
    <xf numFmtId="165" fontId="9" fillId="2" borderId="0" xfId="0" applyNumberFormat="1" applyFont="1" applyFill="1" applyBorder="1" applyProtection="1"/>
    <xf numFmtId="165" fontId="9" fillId="2" borderId="2" xfId="0" applyNumberFormat="1" applyFont="1" applyFill="1" applyBorder="1" applyProtection="1"/>
    <xf numFmtId="165" fontId="1" fillId="2" borderId="0" xfId="0" applyNumberFormat="1" applyFont="1" applyFill="1" applyBorder="1" applyProtection="1"/>
    <xf numFmtId="164" fontId="12" fillId="2" borderId="1" xfId="0" applyNumberFormat="1" applyFont="1" applyFill="1" applyBorder="1" applyProtection="1"/>
    <xf numFmtId="164" fontId="12" fillId="2" borderId="1" xfId="0" applyNumberFormat="1" applyFont="1" applyFill="1" applyBorder="1" applyAlignment="1" applyProtection="1">
      <alignment horizontal="left"/>
    </xf>
    <xf numFmtId="164" fontId="12" fillId="2" borderId="1" xfId="0" applyNumberFormat="1" applyFont="1" applyFill="1" applyBorder="1" applyAlignment="1" applyProtection="1">
      <alignment horizontal="right"/>
    </xf>
    <xf numFmtId="164" fontId="12" fillId="2" borderId="0" xfId="0" applyNumberFormat="1" applyFont="1" applyFill="1" applyBorder="1" applyProtection="1"/>
    <xf numFmtId="164" fontId="12" fillId="2" borderId="0" xfId="0" applyNumberFormat="1" applyFont="1" applyFill="1" applyBorder="1" applyAlignment="1" applyProtection="1">
      <alignment horizontal="left"/>
    </xf>
    <xf numFmtId="164" fontId="12" fillId="2" borderId="0" xfId="0" applyNumberFormat="1" applyFont="1" applyFill="1" applyBorder="1" applyAlignment="1" applyProtection="1">
      <alignment horizontal="right"/>
    </xf>
    <xf numFmtId="164" fontId="12" fillId="2" borderId="2" xfId="0" applyNumberFormat="1" applyFont="1" applyFill="1" applyBorder="1" applyProtection="1"/>
    <xf numFmtId="164" fontId="12" fillId="2" borderId="2" xfId="0" applyNumberFormat="1" applyFont="1" applyFill="1" applyBorder="1" applyAlignment="1" applyProtection="1">
      <alignment horizontal="left"/>
    </xf>
    <xf numFmtId="164" fontId="12" fillId="2" borderId="2" xfId="0" applyNumberFormat="1" applyFont="1" applyFill="1" applyBorder="1" applyAlignment="1" applyProtection="1">
      <alignment horizontal="right"/>
    </xf>
    <xf numFmtId="0" fontId="9" fillId="4" borderId="0" xfId="0" applyFont="1" applyFill="1" applyAlignment="1">
      <alignment horizontal="center"/>
    </xf>
  </cellXfs>
  <cellStyles count="4">
    <cellStyle name="Comma" xfId="2" builtinId="3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M51"/>
  <sheetViews>
    <sheetView topLeftCell="A10" workbookViewId="0">
      <selection activeCell="D45" sqref="D45"/>
    </sheetView>
  </sheetViews>
  <sheetFormatPr defaultRowHeight="15" x14ac:dyDescent="0.25"/>
  <sheetData>
    <row r="1" spans="1:17" x14ac:dyDescent="0.25">
      <c r="A1" s="30" t="s">
        <v>73</v>
      </c>
      <c r="B1" s="30"/>
    </row>
    <row r="2" spans="1:17" x14ac:dyDescent="0.25">
      <c r="A2" s="30" t="s">
        <v>71</v>
      </c>
      <c r="B2" s="30"/>
    </row>
    <row r="3" spans="1:17" x14ac:dyDescent="0.25">
      <c r="A3" s="30" t="s">
        <v>171</v>
      </c>
      <c r="B3" s="30"/>
    </row>
    <row r="4" spans="1:17" x14ac:dyDescent="0.25">
      <c r="A4" s="30" t="s">
        <v>72</v>
      </c>
      <c r="B4" s="30"/>
    </row>
    <row r="5" spans="1:17" s="142" customFormat="1" ht="12" x14ac:dyDescent="0.2">
      <c r="A5" s="456" t="s">
        <v>0</v>
      </c>
      <c r="B5" s="456"/>
      <c r="C5" s="456"/>
      <c r="D5" s="457" t="s">
        <v>1</v>
      </c>
      <c r="E5" s="457" t="s">
        <v>2</v>
      </c>
      <c r="F5" s="456" t="s">
        <v>3</v>
      </c>
      <c r="G5" s="457" t="s">
        <v>4</v>
      </c>
      <c r="H5" s="456" t="s">
        <v>5</v>
      </c>
      <c r="I5" s="458" t="s">
        <v>6</v>
      </c>
      <c r="J5" s="456" t="s">
        <v>7</v>
      </c>
      <c r="K5" s="457" t="s">
        <v>8</v>
      </c>
      <c r="L5" s="456" t="s">
        <v>9</v>
      </c>
      <c r="M5" s="456" t="s">
        <v>10</v>
      </c>
    </row>
    <row r="6" spans="1:17" s="142" customFormat="1" ht="12" x14ac:dyDescent="0.2">
      <c r="A6" s="459"/>
      <c r="B6" s="459"/>
      <c r="C6" s="459"/>
      <c r="D6" s="460" t="s">
        <v>11</v>
      </c>
      <c r="E6" s="460" t="s">
        <v>12</v>
      </c>
      <c r="F6" s="459" t="s">
        <v>13</v>
      </c>
      <c r="G6" s="460" t="s">
        <v>14</v>
      </c>
      <c r="H6" s="459" t="s">
        <v>15</v>
      </c>
      <c r="I6" s="461" t="s">
        <v>16</v>
      </c>
      <c r="J6" s="459" t="s">
        <v>15</v>
      </c>
      <c r="K6" s="460" t="s">
        <v>15</v>
      </c>
      <c r="L6" s="459" t="s">
        <v>17</v>
      </c>
      <c r="M6" s="459" t="s">
        <v>18</v>
      </c>
    </row>
    <row r="7" spans="1:17" s="142" customFormat="1" ht="12" x14ac:dyDescent="0.2">
      <c r="A7" s="462"/>
      <c r="B7" s="462"/>
      <c r="C7" s="462"/>
      <c r="D7" s="463" t="s">
        <v>19</v>
      </c>
      <c r="E7" s="463"/>
      <c r="F7" s="462"/>
      <c r="G7" s="463"/>
      <c r="H7" s="462" t="s">
        <v>20</v>
      </c>
      <c r="I7" s="464" t="s">
        <v>21</v>
      </c>
      <c r="J7" s="462" t="s">
        <v>20</v>
      </c>
      <c r="K7" s="463" t="s">
        <v>20</v>
      </c>
      <c r="L7" s="462" t="s">
        <v>18</v>
      </c>
      <c r="M7" s="462"/>
    </row>
    <row r="8" spans="1:17" s="143" customFormat="1" ht="12" x14ac:dyDescent="0.2">
      <c r="A8" s="147" t="s">
        <v>24</v>
      </c>
      <c r="B8" s="147"/>
      <c r="C8" s="147"/>
      <c r="D8" s="156" t="s">
        <v>172</v>
      </c>
      <c r="E8" s="157">
        <v>0.34</v>
      </c>
      <c r="F8" s="158">
        <v>0.34</v>
      </c>
      <c r="G8" s="159">
        <v>1178</v>
      </c>
      <c r="H8" s="152">
        <v>401</v>
      </c>
      <c r="I8" s="159">
        <v>7716</v>
      </c>
      <c r="J8" s="159"/>
      <c r="K8" s="159">
        <v>8117</v>
      </c>
      <c r="L8" s="160"/>
      <c r="M8" s="159">
        <v>1992</v>
      </c>
      <c r="N8" s="149"/>
    </row>
    <row r="9" spans="1:17" s="143" customFormat="1" ht="12" x14ac:dyDescent="0.2">
      <c r="A9" s="147" t="s">
        <v>23</v>
      </c>
      <c r="B9" s="147"/>
      <c r="C9" s="147"/>
      <c r="D9" s="161" t="s">
        <v>173</v>
      </c>
      <c r="E9" s="157"/>
      <c r="F9" s="158"/>
      <c r="G9" s="159"/>
      <c r="H9" s="152">
        <f t="shared" ref="H9" si="0">+G9*E9</f>
        <v>0</v>
      </c>
      <c r="I9" s="159" t="s">
        <v>174</v>
      </c>
      <c r="J9" s="162"/>
      <c r="K9" s="159"/>
      <c r="L9" s="160"/>
      <c r="M9" s="160"/>
      <c r="N9" s="149"/>
      <c r="Q9" s="159"/>
    </row>
    <row r="10" spans="1:17" s="143" customFormat="1" ht="12" x14ac:dyDescent="0.2">
      <c r="A10" s="147" t="s">
        <v>25</v>
      </c>
      <c r="B10" s="147"/>
      <c r="C10" s="147"/>
      <c r="D10" s="161">
        <v>100</v>
      </c>
      <c r="E10" s="157">
        <v>4</v>
      </c>
      <c r="F10" s="158">
        <v>1.8</v>
      </c>
      <c r="G10" s="163">
        <v>1178</v>
      </c>
      <c r="H10" s="152">
        <v>4712</v>
      </c>
      <c r="I10" s="160"/>
      <c r="J10" s="159"/>
      <c r="K10" s="159">
        <v>4712</v>
      </c>
      <c r="L10" s="159"/>
      <c r="M10" s="159"/>
      <c r="N10" s="164"/>
      <c r="Q10" s="159"/>
    </row>
    <row r="11" spans="1:17" s="143" customFormat="1" ht="12" x14ac:dyDescent="0.2">
      <c r="A11" s="147" t="s">
        <v>26</v>
      </c>
      <c r="B11" s="147"/>
      <c r="C11" s="147"/>
      <c r="D11" s="161">
        <v>100</v>
      </c>
      <c r="E11" s="157">
        <v>2</v>
      </c>
      <c r="F11" s="158">
        <v>1.4</v>
      </c>
      <c r="G11" s="159">
        <v>1190</v>
      </c>
      <c r="H11" s="152">
        <v>2380</v>
      </c>
      <c r="I11" s="160"/>
      <c r="J11" s="159">
        <v>2667</v>
      </c>
      <c r="K11" s="159">
        <v>5047</v>
      </c>
      <c r="L11" s="159">
        <v>896</v>
      </c>
      <c r="M11" s="159"/>
      <c r="N11" s="149"/>
      <c r="Q11" s="159"/>
    </row>
    <row r="12" spans="1:17" s="143" customFormat="1" ht="12" x14ac:dyDescent="0.2">
      <c r="A12" s="147" t="s">
        <v>27</v>
      </c>
      <c r="B12" s="147"/>
      <c r="C12" s="147"/>
      <c r="D12" s="161">
        <v>100</v>
      </c>
      <c r="E12" s="157">
        <v>1.01</v>
      </c>
      <c r="F12" s="158">
        <v>0.85</v>
      </c>
      <c r="G12" s="159">
        <v>1200</v>
      </c>
      <c r="H12" s="152">
        <v>1212</v>
      </c>
      <c r="I12" s="160"/>
      <c r="J12" s="159">
        <v>896</v>
      </c>
      <c r="K12" s="159">
        <v>2108</v>
      </c>
      <c r="L12" s="159"/>
      <c r="M12" s="159"/>
      <c r="N12" s="149"/>
      <c r="Q12" s="159"/>
    </row>
    <row r="13" spans="1:17" s="143" customFormat="1" ht="12" x14ac:dyDescent="0.2">
      <c r="A13" s="147" t="s">
        <v>28</v>
      </c>
      <c r="B13" s="147"/>
      <c r="C13" s="147"/>
      <c r="D13" s="161">
        <v>98</v>
      </c>
      <c r="E13" s="157">
        <v>1</v>
      </c>
      <c r="F13" s="158">
        <v>0.5</v>
      </c>
      <c r="G13" s="159">
        <v>1185</v>
      </c>
      <c r="H13" s="152">
        <v>1185</v>
      </c>
      <c r="I13" s="160"/>
      <c r="J13" s="159">
        <v>2147</v>
      </c>
      <c r="K13" s="159">
        <v>3332</v>
      </c>
      <c r="L13" s="159"/>
      <c r="M13" s="159"/>
      <c r="N13" s="149"/>
      <c r="Q13" s="159"/>
    </row>
    <row r="14" spans="1:17" s="143" customFormat="1" ht="12" x14ac:dyDescent="0.2">
      <c r="A14" s="147" t="s">
        <v>29</v>
      </c>
      <c r="B14" s="147"/>
      <c r="C14" s="147"/>
      <c r="D14" s="165">
        <v>43</v>
      </c>
      <c r="E14" s="157">
        <v>0.65</v>
      </c>
      <c r="F14" s="158">
        <v>0.61</v>
      </c>
      <c r="G14" s="159">
        <v>1200</v>
      </c>
      <c r="H14" s="152">
        <v>780</v>
      </c>
      <c r="I14" s="160"/>
      <c r="J14" s="159">
        <v>538</v>
      </c>
      <c r="K14" s="159">
        <v>1318</v>
      </c>
      <c r="L14" s="159"/>
      <c r="M14" s="159"/>
      <c r="N14" s="149"/>
      <c r="Q14" s="159"/>
    </row>
    <row r="15" spans="1:17" s="143" customFormat="1" ht="12" x14ac:dyDescent="0.2">
      <c r="A15" s="147" t="s">
        <v>30</v>
      </c>
      <c r="B15" s="147"/>
      <c r="C15" s="147"/>
      <c r="D15" s="161">
        <v>100</v>
      </c>
      <c r="E15" s="157">
        <v>4.22</v>
      </c>
      <c r="F15" s="158">
        <v>4.22</v>
      </c>
      <c r="G15" s="159">
        <v>1200</v>
      </c>
      <c r="H15" s="152">
        <v>5064</v>
      </c>
      <c r="I15" s="160"/>
      <c r="J15" s="159"/>
      <c r="K15" s="159">
        <v>5064</v>
      </c>
      <c r="L15" s="159"/>
      <c r="M15" s="159"/>
      <c r="N15" s="149"/>
      <c r="Q15" s="159"/>
    </row>
    <row r="16" spans="1:17" s="143" customFormat="1" ht="12" x14ac:dyDescent="0.2">
      <c r="A16" s="147" t="s">
        <v>31</v>
      </c>
      <c r="B16" s="147"/>
      <c r="C16" s="147"/>
      <c r="D16" s="161">
        <v>100</v>
      </c>
      <c r="E16" s="157">
        <v>1.3</v>
      </c>
      <c r="F16" s="158">
        <v>0.5</v>
      </c>
      <c r="G16" s="159">
        <v>1133</v>
      </c>
      <c r="H16" s="152">
        <v>1473</v>
      </c>
      <c r="I16" s="166">
        <v>9508</v>
      </c>
      <c r="J16" s="159"/>
      <c r="K16" s="159">
        <v>10981</v>
      </c>
      <c r="L16" s="159"/>
      <c r="M16" s="159"/>
      <c r="N16" s="149"/>
      <c r="Q16" s="159"/>
    </row>
    <row r="17" spans="1:17" s="143" customFormat="1" ht="12" x14ac:dyDescent="0.2">
      <c r="A17" s="147" t="s">
        <v>32</v>
      </c>
      <c r="B17" s="147"/>
      <c r="C17" s="147"/>
      <c r="D17" s="161">
        <v>66</v>
      </c>
      <c r="E17" s="157">
        <v>0.4</v>
      </c>
      <c r="F17" s="147">
        <v>0.32</v>
      </c>
      <c r="G17" s="159">
        <v>1133</v>
      </c>
      <c r="H17" s="152">
        <v>453</v>
      </c>
      <c r="I17" s="159">
        <v>714</v>
      </c>
      <c r="J17" s="159"/>
      <c r="K17" s="159">
        <v>1167</v>
      </c>
      <c r="L17" s="160"/>
      <c r="M17" s="159"/>
      <c r="N17" s="149"/>
      <c r="Q17" s="159"/>
    </row>
    <row r="18" spans="1:17" s="143" customFormat="1" ht="12" x14ac:dyDescent="0.2">
      <c r="A18" s="88" t="s">
        <v>33</v>
      </c>
      <c r="B18" s="88"/>
      <c r="C18" s="88"/>
      <c r="D18" s="167"/>
      <c r="E18" s="167">
        <v>16.79</v>
      </c>
      <c r="F18" s="88">
        <v>7.69</v>
      </c>
      <c r="G18" s="168">
        <v>8286</v>
      </c>
      <c r="H18" s="39">
        <v>17660</v>
      </c>
      <c r="I18" s="168">
        <v>17938</v>
      </c>
      <c r="J18" s="39">
        <v>6248</v>
      </c>
      <c r="K18" s="168">
        <v>41846</v>
      </c>
      <c r="L18" s="168">
        <v>896</v>
      </c>
      <c r="M18" s="168">
        <v>1992</v>
      </c>
      <c r="P18" s="155"/>
      <c r="Q18" s="159"/>
    </row>
    <row r="19" spans="1:17" s="143" customFormat="1" ht="12" x14ac:dyDescent="0.2">
      <c r="A19" s="80" t="s">
        <v>34</v>
      </c>
      <c r="B19" s="80"/>
      <c r="C19" s="80"/>
      <c r="D19" s="169"/>
      <c r="E19" s="169">
        <v>9.0999999999999979</v>
      </c>
      <c r="F19" s="80"/>
      <c r="G19" s="169"/>
      <c r="H19" s="42">
        <v>9772</v>
      </c>
      <c r="I19" s="170">
        <v>15946</v>
      </c>
      <c r="J19" s="42">
        <v>5457</v>
      </c>
      <c r="K19" s="170">
        <v>31175</v>
      </c>
      <c r="L19" s="170"/>
      <c r="M19" s="170"/>
      <c r="Q19" s="155"/>
    </row>
    <row r="20" spans="1:17" s="143" customFormat="1" ht="12" x14ac:dyDescent="0.2">
      <c r="A20" s="171"/>
      <c r="B20" s="79"/>
      <c r="C20" s="79"/>
      <c r="D20" s="172" t="s">
        <v>35</v>
      </c>
      <c r="E20" s="172"/>
      <c r="F20" s="173"/>
      <c r="G20" s="172"/>
      <c r="H20" s="79"/>
      <c r="I20" s="174"/>
      <c r="J20" s="79"/>
      <c r="K20" s="175"/>
      <c r="L20" s="79"/>
      <c r="M20" s="79"/>
      <c r="Q20" s="155"/>
    </row>
    <row r="21" spans="1:17" s="143" customFormat="1" ht="12" x14ac:dyDescent="0.2">
      <c r="A21" s="79" t="s">
        <v>36</v>
      </c>
      <c r="B21" s="79"/>
      <c r="C21" s="171"/>
      <c r="D21" s="175"/>
      <c r="E21" s="175"/>
      <c r="F21" s="89"/>
      <c r="G21" s="175"/>
      <c r="H21" s="89"/>
      <c r="I21" s="174"/>
      <c r="J21" s="79"/>
      <c r="K21" s="175"/>
      <c r="L21" s="79"/>
      <c r="M21" s="79"/>
      <c r="P21" s="155"/>
      <c r="Q21" s="155"/>
    </row>
    <row r="22" spans="1:17" s="143" customFormat="1" ht="12" x14ac:dyDescent="0.2">
      <c r="A22" s="91" t="s">
        <v>17</v>
      </c>
      <c r="B22" s="91"/>
      <c r="C22" s="91"/>
      <c r="D22" s="176" t="s">
        <v>37</v>
      </c>
      <c r="E22" s="176" t="s">
        <v>38</v>
      </c>
      <c r="F22" s="91"/>
      <c r="G22" s="176" t="s">
        <v>39</v>
      </c>
      <c r="H22" s="91"/>
      <c r="I22" s="177"/>
      <c r="J22" s="91"/>
      <c r="K22" s="176"/>
      <c r="L22" s="91"/>
      <c r="M22" s="91"/>
    </row>
    <row r="23" spans="1:17" s="143" customFormat="1" ht="12" x14ac:dyDescent="0.2">
      <c r="A23" s="89"/>
      <c r="B23" s="89"/>
      <c r="C23" s="89"/>
      <c r="D23" s="175"/>
      <c r="E23" s="175"/>
      <c r="F23" s="89"/>
      <c r="G23" s="175"/>
      <c r="H23" s="89"/>
      <c r="I23" s="178"/>
      <c r="J23" s="147" t="s">
        <v>40</v>
      </c>
      <c r="K23" s="157">
        <v>2.2999999999999998</v>
      </c>
      <c r="L23" s="171"/>
      <c r="M23" s="79"/>
    </row>
    <row r="24" spans="1:17" s="143" customFormat="1" ht="12" x14ac:dyDescent="0.2">
      <c r="A24" s="79" t="s">
        <v>41</v>
      </c>
      <c r="B24" s="79"/>
      <c r="C24" s="79"/>
      <c r="D24" s="175"/>
      <c r="E24" s="175"/>
      <c r="F24" s="79"/>
      <c r="G24" s="175"/>
      <c r="H24" s="79"/>
      <c r="I24" s="178"/>
      <c r="J24" s="147" t="s">
        <v>42</v>
      </c>
      <c r="K24" s="157">
        <v>2</v>
      </c>
      <c r="L24" s="171"/>
      <c r="M24" s="79"/>
      <c r="O24" s="155"/>
    </row>
    <row r="25" spans="1:17" s="143" customFormat="1" ht="12" x14ac:dyDescent="0.2">
      <c r="A25" s="79" t="s">
        <v>43</v>
      </c>
      <c r="B25" s="79"/>
      <c r="C25" s="79"/>
      <c r="D25" s="175" t="s">
        <v>44</v>
      </c>
      <c r="E25" s="175">
        <v>49.92</v>
      </c>
      <c r="F25" s="79"/>
      <c r="G25" s="175">
        <v>53.42</v>
      </c>
      <c r="H25" s="79"/>
      <c r="I25" s="174"/>
      <c r="J25" s="147"/>
      <c r="K25" s="157"/>
      <c r="L25" s="147"/>
      <c r="M25" s="79"/>
      <c r="O25" s="155"/>
    </row>
    <row r="26" spans="1:17" s="143" customFormat="1" ht="12" x14ac:dyDescent="0.2">
      <c r="A26" s="147"/>
      <c r="B26" s="147"/>
      <c r="C26" s="147"/>
      <c r="D26" s="157"/>
      <c r="E26" s="157"/>
      <c r="F26" s="147"/>
      <c r="G26" s="157"/>
      <c r="H26" s="79"/>
      <c r="I26" s="174"/>
      <c r="J26" s="79"/>
      <c r="K26" s="175"/>
      <c r="L26" s="79"/>
      <c r="M26" s="79"/>
      <c r="O26" s="155"/>
    </row>
    <row r="27" spans="1:17" s="143" customFormat="1" ht="12" x14ac:dyDescent="0.2">
      <c r="A27" s="147" t="s">
        <v>46</v>
      </c>
      <c r="B27" s="147"/>
      <c r="C27" s="147"/>
      <c r="D27" s="157"/>
      <c r="E27" s="157"/>
      <c r="F27" s="147"/>
      <c r="G27" s="157"/>
      <c r="H27" s="79"/>
      <c r="I27" s="174"/>
      <c r="J27" s="179" t="s">
        <v>175</v>
      </c>
      <c r="K27" s="180"/>
      <c r="L27" s="179"/>
      <c r="M27" s="79"/>
      <c r="O27" s="155"/>
    </row>
    <row r="28" spans="1:17" s="143" customFormat="1" ht="12" x14ac:dyDescent="0.2">
      <c r="A28" s="147" t="s">
        <v>48</v>
      </c>
      <c r="B28" s="147"/>
      <c r="C28" s="147"/>
      <c r="D28" s="157" t="s">
        <v>49</v>
      </c>
      <c r="E28" s="161">
        <v>9</v>
      </c>
      <c r="F28" s="152"/>
      <c r="G28" s="50">
        <v>1052</v>
      </c>
      <c r="H28" s="79"/>
      <c r="I28" s="178"/>
      <c r="J28" s="171" t="s">
        <v>176</v>
      </c>
      <c r="K28" s="181">
        <v>17.261904761904763</v>
      </c>
      <c r="L28" s="171"/>
      <c r="M28" s="171"/>
    </row>
    <row r="29" spans="1:17" s="143" customFormat="1" ht="12" x14ac:dyDescent="0.2">
      <c r="A29" s="147" t="s">
        <v>51</v>
      </c>
      <c r="B29" s="147"/>
      <c r="C29" s="147"/>
      <c r="D29" s="157" t="s">
        <v>49</v>
      </c>
      <c r="E29" s="161">
        <v>8</v>
      </c>
      <c r="F29" s="152"/>
      <c r="G29" s="161"/>
      <c r="H29" s="79"/>
      <c r="I29" s="178"/>
      <c r="J29" s="182" t="s">
        <v>177</v>
      </c>
      <c r="K29" s="181">
        <v>34.523809523809526</v>
      </c>
      <c r="L29" s="171"/>
      <c r="M29" s="171"/>
    </row>
    <row r="30" spans="1:17" s="143" customFormat="1" ht="12" x14ac:dyDescent="0.2">
      <c r="A30" s="147" t="s">
        <v>2</v>
      </c>
      <c r="B30" s="147"/>
      <c r="C30" s="147"/>
      <c r="D30" s="157" t="s">
        <v>49</v>
      </c>
      <c r="E30" s="161">
        <v>17</v>
      </c>
      <c r="F30" s="152"/>
      <c r="G30" s="161"/>
      <c r="H30" s="171"/>
      <c r="I30" s="183"/>
      <c r="J30" s="182" t="s">
        <v>178</v>
      </c>
      <c r="K30" s="181">
        <v>11.904761904761903</v>
      </c>
      <c r="L30" s="171"/>
      <c r="M30" s="171"/>
    </row>
    <row r="31" spans="1:17" s="143" customFormat="1" ht="12" x14ac:dyDescent="0.2">
      <c r="A31" s="147"/>
      <c r="B31" s="147"/>
      <c r="C31" s="147"/>
      <c r="D31" s="157"/>
      <c r="E31" s="157"/>
      <c r="F31" s="147"/>
      <c r="G31" s="157"/>
      <c r="H31" s="79"/>
      <c r="I31" s="183"/>
      <c r="J31" s="182" t="s">
        <v>92</v>
      </c>
      <c r="K31" s="184">
        <v>36</v>
      </c>
      <c r="L31" s="171"/>
      <c r="M31" s="171"/>
    </row>
    <row r="32" spans="1:17" s="143" customFormat="1" ht="12" x14ac:dyDescent="0.2">
      <c r="A32" s="79" t="s">
        <v>53</v>
      </c>
      <c r="B32" s="79" t="s">
        <v>54</v>
      </c>
      <c r="C32" s="79"/>
      <c r="D32" s="157"/>
      <c r="E32" s="157"/>
      <c r="F32" s="147"/>
      <c r="G32" s="157"/>
      <c r="H32" s="79"/>
      <c r="I32" s="178"/>
      <c r="J32" s="182"/>
      <c r="K32" s="181">
        <f>SUM(K28:K31)</f>
        <v>99.690476190476204</v>
      </c>
      <c r="L32" s="171"/>
      <c r="M32" s="171"/>
    </row>
    <row r="33" spans="1:13" s="143" customFormat="1" ht="12" x14ac:dyDescent="0.2">
      <c r="A33" s="92" t="s">
        <v>56</v>
      </c>
      <c r="B33" s="50"/>
      <c r="C33" s="50"/>
      <c r="D33" s="175"/>
      <c r="E33" s="184"/>
      <c r="F33" s="79"/>
      <c r="G33" s="175"/>
      <c r="H33" s="79"/>
      <c r="I33" s="185"/>
      <c r="J33" s="171"/>
      <c r="K33" s="186"/>
      <c r="L33" s="187"/>
      <c r="M33" s="171"/>
    </row>
    <row r="34" spans="1:13" s="143" customFormat="1" ht="12" x14ac:dyDescent="0.2">
      <c r="A34" s="79" t="s">
        <v>57</v>
      </c>
      <c r="B34" s="188">
        <v>100</v>
      </c>
      <c r="C34" s="146"/>
      <c r="D34" s="175" t="s">
        <v>44</v>
      </c>
      <c r="E34" s="189">
        <v>20</v>
      </c>
      <c r="F34" s="190"/>
      <c r="G34" s="190">
        <v>7</v>
      </c>
      <c r="H34" s="79"/>
      <c r="I34" s="191"/>
      <c r="J34" s="79"/>
      <c r="K34" s="175"/>
      <c r="L34" s="171"/>
      <c r="M34" s="171"/>
    </row>
    <row r="35" spans="1:13" s="143" customFormat="1" ht="12" x14ac:dyDescent="0.2">
      <c r="A35" s="79" t="s">
        <v>58</v>
      </c>
      <c r="B35" s="188">
        <v>557</v>
      </c>
      <c r="C35" s="79"/>
      <c r="D35" s="175" t="s">
        <v>44</v>
      </c>
      <c r="E35" s="189">
        <v>18</v>
      </c>
      <c r="F35" s="190"/>
      <c r="G35" s="192">
        <v>7</v>
      </c>
      <c r="H35" s="79"/>
      <c r="I35" s="174"/>
      <c r="J35" s="79"/>
      <c r="K35" s="175"/>
      <c r="L35" s="171"/>
      <c r="M35" s="171"/>
    </row>
    <row r="36" spans="1:13" s="143" customFormat="1" ht="12" x14ac:dyDescent="0.2">
      <c r="A36" s="79" t="s">
        <v>59</v>
      </c>
      <c r="B36" s="188">
        <v>40</v>
      </c>
      <c r="C36" s="79"/>
      <c r="D36" s="175" t="s">
        <v>44</v>
      </c>
      <c r="E36" s="192">
        <v>8</v>
      </c>
      <c r="F36" s="190"/>
      <c r="G36" s="192">
        <v>7</v>
      </c>
      <c r="H36" s="79"/>
      <c r="I36" s="174"/>
      <c r="J36" s="79"/>
      <c r="K36" s="175"/>
      <c r="L36" s="171"/>
      <c r="M36" s="193"/>
    </row>
    <row r="37" spans="1:13" s="143" customFormat="1" ht="12" x14ac:dyDescent="0.2">
      <c r="A37" s="146"/>
      <c r="B37" s="194"/>
      <c r="C37" s="195"/>
      <c r="D37" s="175"/>
      <c r="E37" s="192"/>
      <c r="F37" s="190"/>
      <c r="G37" s="192"/>
      <c r="H37" s="79"/>
      <c r="I37" s="174"/>
      <c r="J37" s="79"/>
      <c r="K37" s="175"/>
      <c r="L37" s="171"/>
      <c r="M37" s="171"/>
    </row>
    <row r="38" spans="1:13" s="143" customFormat="1" ht="12" x14ac:dyDescent="0.2">
      <c r="A38" s="92" t="s">
        <v>60</v>
      </c>
      <c r="B38" s="194"/>
      <c r="C38" s="50"/>
      <c r="D38" s="175"/>
      <c r="E38" s="190"/>
      <c r="F38" s="190"/>
      <c r="G38" s="190"/>
      <c r="H38" s="79"/>
      <c r="I38" s="158"/>
      <c r="J38" s="50"/>
      <c r="K38" s="175"/>
      <c r="L38" s="79"/>
      <c r="M38" s="79"/>
    </row>
    <row r="39" spans="1:13" s="143" customFormat="1" ht="12" x14ac:dyDescent="0.2">
      <c r="A39" s="79" t="s">
        <v>58</v>
      </c>
      <c r="B39" s="188">
        <v>100</v>
      </c>
      <c r="C39" s="196"/>
      <c r="D39" s="175" t="s">
        <v>44</v>
      </c>
      <c r="E39" s="190">
        <v>65</v>
      </c>
      <c r="F39" s="190"/>
      <c r="G39" s="190">
        <v>7</v>
      </c>
      <c r="H39" s="79"/>
      <c r="I39" s="174"/>
      <c r="J39" s="197"/>
      <c r="K39" s="175"/>
      <c r="L39" s="79"/>
      <c r="M39" s="79"/>
    </row>
    <row r="40" spans="1:13" s="143" customFormat="1" ht="12" x14ac:dyDescent="0.2">
      <c r="A40" s="79" t="s">
        <v>59</v>
      </c>
      <c r="B40" s="188">
        <v>100</v>
      </c>
      <c r="C40" s="196"/>
      <c r="D40" s="175" t="s">
        <v>44</v>
      </c>
      <c r="E40" s="192">
        <v>17</v>
      </c>
      <c r="F40" s="190"/>
      <c r="G40" s="192">
        <v>7</v>
      </c>
      <c r="H40" s="79"/>
      <c r="I40" s="174"/>
      <c r="J40" s="50"/>
      <c r="K40" s="175"/>
      <c r="L40" s="79"/>
      <c r="M40" s="79"/>
    </row>
    <row r="41" spans="1:13" s="143" customFormat="1" ht="12" x14ac:dyDescent="0.2">
      <c r="A41" s="79"/>
      <c r="B41" s="50"/>
      <c r="C41" s="195"/>
      <c r="D41" s="175"/>
      <c r="E41" s="198"/>
      <c r="F41" s="79"/>
      <c r="G41" s="198"/>
      <c r="H41" s="79"/>
      <c r="I41" s="174"/>
      <c r="J41" s="79"/>
      <c r="K41" s="175"/>
      <c r="L41" s="79"/>
      <c r="M41" s="79"/>
    </row>
    <row r="42" spans="1:13" s="143" customFormat="1" ht="12" x14ac:dyDescent="0.2">
      <c r="A42" s="80" t="s">
        <v>61</v>
      </c>
      <c r="B42" s="80"/>
      <c r="C42" s="80"/>
      <c r="D42" s="169"/>
      <c r="E42" s="169"/>
      <c r="F42" s="80"/>
      <c r="G42" s="169" t="s">
        <v>62</v>
      </c>
      <c r="H42" s="80"/>
      <c r="I42" s="199" t="s">
        <v>63</v>
      </c>
      <c r="J42" s="80"/>
      <c r="K42" s="169"/>
      <c r="L42" s="80"/>
      <c r="M42" s="79"/>
    </row>
    <row r="43" spans="1:13" s="143" customFormat="1" ht="12" x14ac:dyDescent="0.2">
      <c r="A43" s="89"/>
      <c r="B43" s="89"/>
      <c r="C43" s="79"/>
      <c r="D43" s="175"/>
      <c r="E43" s="175"/>
      <c r="F43" s="79"/>
      <c r="G43" s="175"/>
      <c r="H43" s="79"/>
      <c r="I43" s="178"/>
      <c r="J43" s="79"/>
      <c r="K43" s="175"/>
      <c r="L43" s="79"/>
      <c r="M43" s="79"/>
    </row>
    <row r="44" spans="1:13" s="143" customFormat="1" ht="12" x14ac:dyDescent="0.2">
      <c r="A44" s="79" t="s">
        <v>64</v>
      </c>
      <c r="B44" s="79"/>
      <c r="C44" s="79"/>
      <c r="D44" s="175"/>
      <c r="E44" s="175"/>
      <c r="F44" s="79"/>
      <c r="G44" s="174">
        <v>1890</v>
      </c>
      <c r="H44" s="174"/>
      <c r="I44" s="200">
        <f>+G44*2.471</f>
        <v>4670.1900000000005</v>
      </c>
      <c r="J44" s="79"/>
      <c r="K44" s="175"/>
      <c r="L44" s="79"/>
      <c r="M44" s="79"/>
    </row>
    <row r="45" spans="1:13" s="143" customFormat="1" ht="12" x14ac:dyDescent="0.2">
      <c r="A45" s="79" t="s">
        <v>65</v>
      </c>
      <c r="B45" s="79"/>
      <c r="C45" s="79"/>
      <c r="D45" s="175"/>
      <c r="E45" s="175"/>
      <c r="F45" s="147"/>
      <c r="G45" s="158">
        <v>34</v>
      </c>
      <c r="H45" s="158"/>
      <c r="I45" s="200"/>
      <c r="J45" s="79"/>
      <c r="K45" s="157"/>
      <c r="L45" s="79"/>
      <c r="M45" s="79"/>
    </row>
    <row r="46" spans="1:13" s="143" customFormat="1" ht="12" x14ac:dyDescent="0.2">
      <c r="A46" s="79" t="s">
        <v>66</v>
      </c>
      <c r="B46" s="79"/>
      <c r="C46" s="79"/>
      <c r="D46" s="175"/>
      <c r="E46" s="175"/>
      <c r="F46" s="147"/>
      <c r="G46" s="159">
        <v>64260</v>
      </c>
      <c r="H46" s="159"/>
      <c r="I46" s="200">
        <v>158786</v>
      </c>
      <c r="J46" s="158"/>
      <c r="K46" s="158"/>
      <c r="L46" s="79"/>
      <c r="M46" s="79"/>
    </row>
    <row r="47" spans="1:13" s="143" customFormat="1" ht="12" x14ac:dyDescent="0.2">
      <c r="A47" s="79" t="s">
        <v>67</v>
      </c>
      <c r="B47" s="79"/>
      <c r="C47" s="79"/>
      <c r="D47" s="175"/>
      <c r="E47" s="175"/>
      <c r="F47" s="147"/>
      <c r="G47" s="159">
        <v>22414</v>
      </c>
      <c r="H47" s="159"/>
      <c r="I47" s="200">
        <v>55385</v>
      </c>
      <c r="J47" s="158"/>
      <c r="K47" s="158"/>
      <c r="L47" s="79"/>
      <c r="M47" s="79"/>
    </row>
    <row r="48" spans="1:13" s="143" customFormat="1" ht="12" x14ac:dyDescent="0.2">
      <c r="A48" s="79" t="s">
        <v>68</v>
      </c>
      <c r="B48" s="79"/>
      <c r="C48" s="79"/>
      <c r="D48" s="175"/>
      <c r="E48" s="175"/>
      <c r="F48" s="147"/>
      <c r="G48" s="159">
        <v>33085</v>
      </c>
      <c r="H48" s="159"/>
      <c r="I48" s="200">
        <v>81753</v>
      </c>
      <c r="J48" s="158"/>
      <c r="K48" s="158"/>
      <c r="L48" s="79"/>
      <c r="M48" s="79"/>
    </row>
    <row r="49" spans="1:39" s="143" customFormat="1" ht="12" x14ac:dyDescent="0.2">
      <c r="A49" s="79" t="s">
        <v>69</v>
      </c>
      <c r="B49" s="79"/>
      <c r="C49" s="79"/>
      <c r="D49" s="175"/>
      <c r="E49" s="175"/>
      <c r="F49" s="147"/>
      <c r="G49" s="158">
        <f>+K18/G44</f>
        <v>22.140740740740739</v>
      </c>
      <c r="H49" s="201"/>
      <c r="I49" s="200"/>
      <c r="J49" s="79"/>
      <c r="K49" s="157"/>
      <c r="L49" s="79"/>
      <c r="M49" s="79"/>
    </row>
    <row r="50" spans="1:39" s="143" customFormat="1" ht="12" x14ac:dyDescent="0.2">
      <c r="A50" s="80" t="s">
        <v>70</v>
      </c>
      <c r="B50" s="80"/>
      <c r="C50" s="80"/>
      <c r="D50" s="169"/>
      <c r="E50" s="169"/>
      <c r="F50" s="153"/>
      <c r="G50" s="202">
        <f>+K19/G44</f>
        <v>16.494708994708994</v>
      </c>
      <c r="H50" s="201"/>
      <c r="I50" s="200"/>
      <c r="J50" s="79"/>
      <c r="K50" s="157"/>
      <c r="L50" s="79"/>
      <c r="M50" s="79"/>
    </row>
    <row r="51" spans="1:39" x14ac:dyDescent="0.25">
      <c r="A51" s="8"/>
      <c r="B51" s="8"/>
      <c r="C51" s="8"/>
      <c r="D51" s="8"/>
      <c r="E51" s="8"/>
      <c r="F51" s="18"/>
      <c r="G51" s="18"/>
      <c r="H51" s="14"/>
      <c r="I51" s="14"/>
      <c r="J51" s="5"/>
      <c r="K51" s="5"/>
      <c r="L51" s="5"/>
      <c r="M51" s="5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M43"/>
  <sheetViews>
    <sheetView topLeftCell="A13" workbookViewId="0">
      <selection activeCell="A5" sqref="A5:XFD8"/>
    </sheetView>
  </sheetViews>
  <sheetFormatPr defaultRowHeight="15" x14ac:dyDescent="0.25"/>
  <sheetData>
    <row r="1" spans="1:13" x14ac:dyDescent="0.25">
      <c r="A1" s="30" t="s">
        <v>73</v>
      </c>
      <c r="B1" s="30"/>
    </row>
    <row r="2" spans="1:13" x14ac:dyDescent="0.25">
      <c r="A2" s="30" t="s">
        <v>100</v>
      </c>
      <c r="B2" s="30"/>
    </row>
    <row r="3" spans="1:13" x14ac:dyDescent="0.25">
      <c r="A3" s="30" t="s">
        <v>171</v>
      </c>
      <c r="B3" s="30"/>
    </row>
    <row r="4" spans="1:13" x14ac:dyDescent="0.25">
      <c r="A4" s="30" t="s">
        <v>101</v>
      </c>
      <c r="B4" s="30"/>
    </row>
    <row r="5" spans="1:13" s="59" customFormat="1" ht="12" x14ac:dyDescent="0.2">
      <c r="A5" s="56" t="s">
        <v>0</v>
      </c>
      <c r="B5" s="56"/>
      <c r="C5" s="56"/>
      <c r="D5" s="57" t="s">
        <v>1</v>
      </c>
      <c r="E5" s="57" t="s">
        <v>2</v>
      </c>
      <c r="F5" s="57" t="s">
        <v>74</v>
      </c>
      <c r="G5" s="57" t="s">
        <v>75</v>
      </c>
      <c r="H5" s="57" t="s">
        <v>5</v>
      </c>
      <c r="I5" s="57" t="s">
        <v>6</v>
      </c>
      <c r="J5" s="57" t="s">
        <v>7</v>
      </c>
      <c r="K5" s="57" t="s">
        <v>8</v>
      </c>
      <c r="L5" s="58" t="s">
        <v>179</v>
      </c>
      <c r="M5" s="57"/>
    </row>
    <row r="6" spans="1:13" s="59" customFormat="1" ht="12" x14ac:dyDescent="0.2">
      <c r="A6" s="60"/>
      <c r="B6" s="60"/>
      <c r="C6" s="60"/>
      <c r="D6" s="61" t="s">
        <v>11</v>
      </c>
      <c r="E6" s="61" t="s">
        <v>77</v>
      </c>
      <c r="F6" s="61" t="s">
        <v>77</v>
      </c>
      <c r="G6" s="61" t="s">
        <v>78</v>
      </c>
      <c r="H6" s="61" t="s">
        <v>15</v>
      </c>
      <c r="I6" s="61" t="s">
        <v>79</v>
      </c>
      <c r="J6" s="61" t="s">
        <v>15</v>
      </c>
      <c r="K6" s="61" t="s">
        <v>15</v>
      </c>
      <c r="L6" s="61" t="s">
        <v>6</v>
      </c>
      <c r="M6" s="61" t="s">
        <v>7</v>
      </c>
    </row>
    <row r="7" spans="1:13" s="59" customFormat="1" ht="12" x14ac:dyDescent="0.2">
      <c r="A7" s="60"/>
      <c r="B7" s="60"/>
      <c r="C7" s="60"/>
      <c r="D7" s="61" t="s">
        <v>19</v>
      </c>
      <c r="E7" s="61"/>
      <c r="F7" s="61"/>
      <c r="G7" s="61"/>
      <c r="H7" s="61" t="s">
        <v>20</v>
      </c>
      <c r="I7" s="61" t="s">
        <v>15</v>
      </c>
      <c r="J7" s="61" t="s">
        <v>20</v>
      </c>
      <c r="K7" s="61" t="s">
        <v>20</v>
      </c>
      <c r="L7" s="61"/>
      <c r="M7" s="61"/>
    </row>
    <row r="8" spans="1:13" s="59" customFormat="1" ht="12" x14ac:dyDescent="0.2">
      <c r="A8" s="62"/>
      <c r="B8" s="62"/>
      <c r="C8" s="62"/>
      <c r="D8" s="63"/>
      <c r="E8" s="63"/>
      <c r="F8" s="63"/>
      <c r="G8" s="63"/>
      <c r="H8" s="63"/>
      <c r="I8" s="63" t="s">
        <v>20</v>
      </c>
      <c r="J8" s="63"/>
      <c r="K8" s="63"/>
      <c r="L8" s="63"/>
      <c r="M8" s="63"/>
    </row>
    <row r="9" spans="1:13" s="32" customFormat="1" ht="12" x14ac:dyDescent="0.2">
      <c r="A9" s="32" t="s">
        <v>141</v>
      </c>
      <c r="D9" s="35">
        <v>100</v>
      </c>
      <c r="E9" s="36">
        <v>0.57999999999999996</v>
      </c>
      <c r="F9" s="36">
        <v>0.56000000000000005</v>
      </c>
      <c r="G9" s="85">
        <v>1000</v>
      </c>
      <c r="H9" s="37">
        <v>580</v>
      </c>
      <c r="I9" s="37">
        <v>5579</v>
      </c>
      <c r="J9" s="37"/>
      <c r="K9" s="37">
        <v>6159</v>
      </c>
      <c r="L9" s="37">
        <v>168</v>
      </c>
      <c r="M9" s="37"/>
    </row>
    <row r="10" spans="1:13" s="32" customFormat="1" ht="12" x14ac:dyDescent="0.2">
      <c r="A10" s="32" t="s">
        <v>25</v>
      </c>
      <c r="D10" s="35">
        <v>100</v>
      </c>
      <c r="E10" s="36">
        <v>2.0499999999999998</v>
      </c>
      <c r="F10" s="36">
        <v>0.37</v>
      </c>
      <c r="G10" s="85">
        <v>1100</v>
      </c>
      <c r="H10" s="37">
        <v>2255</v>
      </c>
      <c r="I10" s="37"/>
      <c r="J10" s="37"/>
      <c r="K10" s="37">
        <v>2255</v>
      </c>
      <c r="L10" s="37"/>
      <c r="M10" s="37"/>
    </row>
    <row r="11" spans="1:13" s="32" customFormat="1" ht="12" x14ac:dyDescent="0.2">
      <c r="A11" s="32" t="s">
        <v>43</v>
      </c>
      <c r="D11" s="35">
        <v>100</v>
      </c>
      <c r="E11" s="36">
        <v>1.1399999999999999</v>
      </c>
      <c r="F11" s="36">
        <v>0.19</v>
      </c>
      <c r="G11" s="85">
        <v>1160</v>
      </c>
      <c r="H11" s="37">
        <v>1322</v>
      </c>
      <c r="I11" s="37"/>
      <c r="J11" s="203">
        <v>4698</v>
      </c>
      <c r="K11" s="37">
        <v>6020</v>
      </c>
      <c r="L11" s="37"/>
      <c r="M11" s="37">
        <v>1436</v>
      </c>
    </row>
    <row r="12" spans="1:13" s="32" customFormat="1" ht="12" x14ac:dyDescent="0.2">
      <c r="A12" s="32" t="s">
        <v>27</v>
      </c>
      <c r="D12" s="35">
        <v>100</v>
      </c>
      <c r="E12" s="36">
        <v>1.21</v>
      </c>
      <c r="F12" s="36">
        <v>0.56999999999999995</v>
      </c>
      <c r="G12" s="85">
        <v>1097</v>
      </c>
      <c r="H12" s="37">
        <v>1327</v>
      </c>
      <c r="I12" s="37"/>
      <c r="J12" s="37">
        <v>875</v>
      </c>
      <c r="K12" s="37">
        <v>2202</v>
      </c>
      <c r="L12" s="37"/>
      <c r="M12" s="37"/>
    </row>
    <row r="13" spans="1:13" s="32" customFormat="1" ht="12" x14ac:dyDescent="0.2">
      <c r="A13" s="32" t="s">
        <v>80</v>
      </c>
      <c r="D13" s="35">
        <v>100</v>
      </c>
      <c r="E13" s="36">
        <v>0.66</v>
      </c>
      <c r="F13" s="36">
        <v>0.26</v>
      </c>
      <c r="G13" s="85">
        <v>1213</v>
      </c>
      <c r="H13" s="37">
        <v>801</v>
      </c>
      <c r="I13" s="37"/>
      <c r="J13" s="37">
        <v>3186</v>
      </c>
      <c r="K13" s="37">
        <v>3987</v>
      </c>
      <c r="L13" s="37"/>
      <c r="M13" s="37"/>
    </row>
    <row r="14" spans="1:13" s="32" customFormat="1" ht="12" x14ac:dyDescent="0.2">
      <c r="A14" s="32" t="s">
        <v>29</v>
      </c>
      <c r="D14" s="204">
        <v>78</v>
      </c>
      <c r="E14" s="36">
        <v>0.55000000000000004</v>
      </c>
      <c r="F14" s="36">
        <v>0.22</v>
      </c>
      <c r="G14" s="85">
        <v>1213</v>
      </c>
      <c r="H14" s="37">
        <v>667</v>
      </c>
      <c r="I14" s="37"/>
      <c r="J14" s="37">
        <v>1558</v>
      </c>
      <c r="K14" s="37">
        <v>2225</v>
      </c>
      <c r="L14" s="37"/>
      <c r="M14" s="37"/>
    </row>
    <row r="15" spans="1:13" s="32" customFormat="1" ht="12" x14ac:dyDescent="0.2">
      <c r="A15" s="32" t="s">
        <v>81</v>
      </c>
      <c r="D15" s="35">
        <v>100</v>
      </c>
      <c r="E15" s="36">
        <v>4.8</v>
      </c>
      <c r="F15" s="36">
        <v>4.8</v>
      </c>
      <c r="G15" s="85">
        <v>1000</v>
      </c>
      <c r="H15" s="37">
        <v>4800</v>
      </c>
      <c r="I15" s="37"/>
      <c r="J15" s="37"/>
      <c r="K15" s="37">
        <v>4800</v>
      </c>
      <c r="L15" s="37"/>
      <c r="M15" s="37"/>
    </row>
    <row r="16" spans="1:13" s="32" customFormat="1" ht="12" x14ac:dyDescent="0.2">
      <c r="A16" s="32" t="s">
        <v>82</v>
      </c>
      <c r="D16" s="35">
        <v>100</v>
      </c>
      <c r="E16" s="36">
        <v>0.77</v>
      </c>
      <c r="F16" s="36">
        <v>0.22</v>
      </c>
      <c r="G16" s="85">
        <v>1599</v>
      </c>
      <c r="H16" s="37">
        <v>1231</v>
      </c>
      <c r="I16" s="37">
        <v>6309</v>
      </c>
      <c r="J16" s="37"/>
      <c r="K16" s="37">
        <v>7540</v>
      </c>
      <c r="L16" s="37"/>
      <c r="M16" s="37"/>
    </row>
    <row r="17" spans="1:13" s="32" customFormat="1" ht="12" x14ac:dyDescent="0.2">
      <c r="A17" s="32" t="s">
        <v>83</v>
      </c>
      <c r="D17" s="83">
        <v>74</v>
      </c>
      <c r="E17" s="36">
        <v>1.4</v>
      </c>
      <c r="F17" s="36">
        <v>0.25</v>
      </c>
      <c r="G17" s="85">
        <v>1834</v>
      </c>
      <c r="H17" s="37">
        <v>2568</v>
      </c>
      <c r="I17" s="37"/>
      <c r="J17" s="37"/>
      <c r="K17" s="37">
        <v>2568</v>
      </c>
      <c r="L17" s="37"/>
      <c r="M17" s="37"/>
    </row>
    <row r="18" spans="1:13" s="32" customFormat="1" ht="12" x14ac:dyDescent="0.2">
      <c r="A18" s="32" t="s">
        <v>84</v>
      </c>
      <c r="D18" s="35">
        <v>70</v>
      </c>
      <c r="E18" s="205">
        <v>0.3</v>
      </c>
      <c r="F18" s="205">
        <v>0.3</v>
      </c>
      <c r="G18" s="82">
        <v>1000</v>
      </c>
      <c r="H18" s="37">
        <v>300</v>
      </c>
      <c r="I18" s="37">
        <v>1479</v>
      </c>
      <c r="J18" s="37"/>
      <c r="K18" s="37">
        <v>1779</v>
      </c>
      <c r="L18" s="37"/>
      <c r="M18" s="37"/>
    </row>
    <row r="19" spans="1:13" s="32" customFormat="1" ht="12" x14ac:dyDescent="0.2">
      <c r="A19" s="31" t="s">
        <v>33</v>
      </c>
      <c r="B19" s="31"/>
      <c r="C19" s="31"/>
      <c r="D19" s="39"/>
      <c r="E19" s="40">
        <v>13.459999999999999</v>
      </c>
      <c r="F19" s="40">
        <v>7.7399999999999993</v>
      </c>
      <c r="G19" s="41"/>
      <c r="H19" s="41">
        <v>15851</v>
      </c>
      <c r="I19" s="41">
        <v>13367</v>
      </c>
      <c r="J19" s="41">
        <v>10317</v>
      </c>
      <c r="K19" s="41">
        <v>39535</v>
      </c>
      <c r="L19" s="41">
        <v>168</v>
      </c>
      <c r="M19" s="41">
        <v>1436</v>
      </c>
    </row>
    <row r="20" spans="1:13" s="32" customFormat="1" ht="12" x14ac:dyDescent="0.2">
      <c r="A20" s="34" t="s">
        <v>34</v>
      </c>
      <c r="B20" s="34"/>
      <c r="C20" s="34"/>
      <c r="D20" s="42"/>
      <c r="E20" s="43">
        <v>5.72</v>
      </c>
      <c r="F20" s="43"/>
      <c r="G20" s="44"/>
      <c r="H20" s="44">
        <v>7316</v>
      </c>
      <c r="I20" s="44">
        <v>13199</v>
      </c>
      <c r="J20" s="44">
        <v>8881</v>
      </c>
      <c r="K20" s="44">
        <v>29396</v>
      </c>
      <c r="L20" s="44"/>
      <c r="M20" s="44"/>
    </row>
    <row r="21" spans="1:13" s="32" customFormat="1" ht="12" x14ac:dyDescent="0.2">
      <c r="C21" s="32" t="s">
        <v>35</v>
      </c>
      <c r="H21" s="37"/>
      <c r="I21" s="37"/>
      <c r="J21" s="37"/>
      <c r="K21" s="37"/>
    </row>
    <row r="22" spans="1:13" s="32" customFormat="1" ht="12" x14ac:dyDescent="0.2">
      <c r="A22" s="32" t="s">
        <v>36</v>
      </c>
      <c r="K22" s="37"/>
    </row>
    <row r="23" spans="1:13" s="32" customFormat="1" ht="12" x14ac:dyDescent="0.2">
      <c r="A23" s="45" t="s">
        <v>17</v>
      </c>
      <c r="B23" s="45"/>
      <c r="C23" s="45"/>
      <c r="D23" s="45" t="s">
        <v>37</v>
      </c>
      <c r="E23" s="45" t="s">
        <v>85</v>
      </c>
      <c r="F23" s="45"/>
      <c r="G23" s="45" t="s">
        <v>39</v>
      </c>
      <c r="J23" s="46" t="s">
        <v>86</v>
      </c>
      <c r="K23" s="46" t="s">
        <v>87</v>
      </c>
    </row>
    <row r="24" spans="1:13" s="32" customFormat="1" ht="12" x14ac:dyDescent="0.2">
      <c r="A24" s="32" t="s">
        <v>41</v>
      </c>
      <c r="J24" s="206" t="s">
        <v>88</v>
      </c>
      <c r="K24" s="206">
        <v>63</v>
      </c>
    </row>
    <row r="25" spans="1:13" s="32" customFormat="1" ht="12" x14ac:dyDescent="0.2">
      <c r="A25" s="32" t="s">
        <v>43</v>
      </c>
      <c r="D25" s="32" t="s">
        <v>44</v>
      </c>
      <c r="E25" s="36">
        <v>69.260000000000005</v>
      </c>
      <c r="G25" s="36">
        <v>67.84</v>
      </c>
      <c r="J25" s="140" t="s">
        <v>180</v>
      </c>
      <c r="K25" s="140">
        <v>23</v>
      </c>
    </row>
    <row r="26" spans="1:13" s="32" customFormat="1" ht="12" x14ac:dyDescent="0.2">
      <c r="A26" s="32" t="s">
        <v>46</v>
      </c>
      <c r="J26" s="141" t="s">
        <v>90</v>
      </c>
      <c r="K26" s="141">
        <v>14</v>
      </c>
    </row>
    <row r="27" spans="1:13" s="32" customFormat="1" ht="12" x14ac:dyDescent="0.2">
      <c r="A27" s="32" t="s">
        <v>48</v>
      </c>
      <c r="D27" s="32" t="s">
        <v>49</v>
      </c>
      <c r="E27" s="32">
        <v>6</v>
      </c>
      <c r="G27" s="37">
        <v>1219</v>
      </c>
      <c r="I27" s="33"/>
    </row>
    <row r="28" spans="1:13" s="32" customFormat="1" ht="12" x14ac:dyDescent="0.2">
      <c r="A28" s="32" t="s">
        <v>51</v>
      </c>
      <c r="D28" s="32" t="s">
        <v>49</v>
      </c>
      <c r="E28" s="32">
        <v>7</v>
      </c>
      <c r="I28" s="33"/>
    </row>
    <row r="29" spans="1:13" s="32" customFormat="1" ht="12" x14ac:dyDescent="0.2">
      <c r="A29" s="32" t="s">
        <v>2</v>
      </c>
      <c r="E29" s="32">
        <v>13</v>
      </c>
      <c r="I29" s="33"/>
      <c r="J29" s="32" t="s">
        <v>40</v>
      </c>
      <c r="K29" s="32">
        <v>4.42</v>
      </c>
    </row>
    <row r="30" spans="1:13" s="32" customFormat="1" ht="12" x14ac:dyDescent="0.2">
      <c r="A30" s="31" t="s">
        <v>93</v>
      </c>
      <c r="B30" s="31"/>
      <c r="C30" s="31" t="s">
        <v>54</v>
      </c>
      <c r="D30" s="31"/>
      <c r="E30" s="31"/>
      <c r="F30" s="31"/>
      <c r="G30" s="31"/>
      <c r="I30" s="33"/>
      <c r="J30" s="32" t="s">
        <v>42</v>
      </c>
      <c r="K30" s="32">
        <v>4</v>
      </c>
    </row>
    <row r="31" spans="1:13" s="32" customFormat="1" ht="12" x14ac:dyDescent="0.2">
      <c r="A31" s="33" t="s">
        <v>94</v>
      </c>
      <c r="B31" s="33" t="s">
        <v>181</v>
      </c>
      <c r="C31" s="47">
        <v>70</v>
      </c>
      <c r="D31" s="33" t="s">
        <v>44</v>
      </c>
      <c r="E31" s="49">
        <v>17</v>
      </c>
      <c r="F31" s="49"/>
      <c r="G31" s="49">
        <v>7</v>
      </c>
      <c r="I31" s="33"/>
      <c r="J31" s="33"/>
      <c r="K31" s="33"/>
    </row>
    <row r="32" spans="1:13" s="32" customFormat="1" ht="12" x14ac:dyDescent="0.2">
      <c r="A32" s="33" t="s">
        <v>147</v>
      </c>
      <c r="B32" s="33" t="s">
        <v>96</v>
      </c>
      <c r="C32" s="47">
        <v>100</v>
      </c>
      <c r="D32" s="33" t="s">
        <v>44</v>
      </c>
      <c r="E32" s="49">
        <v>88</v>
      </c>
      <c r="F32" s="49"/>
      <c r="G32" s="49">
        <v>7</v>
      </c>
      <c r="I32" s="33"/>
      <c r="J32" s="33"/>
    </row>
    <row r="33" spans="1:10" s="32" customFormat="1" ht="12.75" x14ac:dyDescent="0.2">
      <c r="A33" s="33"/>
      <c r="B33" s="33" t="s">
        <v>97</v>
      </c>
      <c r="C33" s="47">
        <v>100</v>
      </c>
      <c r="D33" s="33" t="s">
        <v>44</v>
      </c>
      <c r="E33" s="49">
        <v>20</v>
      </c>
      <c r="F33" s="49"/>
      <c r="G33" s="49">
        <v>7</v>
      </c>
      <c r="I33" s="207"/>
      <c r="J33" s="33"/>
    </row>
    <row r="34" spans="1:10" s="32" customFormat="1" ht="12.75" x14ac:dyDescent="0.2">
      <c r="B34" s="33"/>
      <c r="C34" s="111"/>
      <c r="D34" s="33"/>
      <c r="E34" s="49"/>
      <c r="F34" s="49"/>
      <c r="G34" s="49"/>
      <c r="H34" s="36"/>
      <c r="I34" s="207"/>
      <c r="J34" s="33"/>
    </row>
    <row r="35" spans="1:10" s="32" customFormat="1" ht="12" x14ac:dyDescent="0.2">
      <c r="A35" s="31" t="s">
        <v>61</v>
      </c>
      <c r="B35" s="31"/>
      <c r="C35" s="31"/>
      <c r="D35" s="31"/>
      <c r="E35" s="31"/>
      <c r="F35" s="31"/>
      <c r="G35" s="31"/>
    </row>
    <row r="36" spans="1:10" s="32" customFormat="1" ht="12" x14ac:dyDescent="0.2">
      <c r="A36" s="33" t="s">
        <v>98</v>
      </c>
      <c r="B36" s="33"/>
      <c r="C36" s="33"/>
      <c r="D36" s="33"/>
      <c r="E36" s="33"/>
      <c r="F36" s="33"/>
      <c r="G36" s="188">
        <v>2334</v>
      </c>
      <c r="H36" s="208"/>
      <c r="I36" s="209">
        <f>+G36*2.471</f>
        <v>5767.3140000000003</v>
      </c>
    </row>
    <row r="37" spans="1:10" s="32" customFormat="1" ht="12" x14ac:dyDescent="0.2">
      <c r="A37" s="33" t="s">
        <v>99</v>
      </c>
      <c r="B37" s="33"/>
      <c r="C37" s="33"/>
      <c r="D37" s="33"/>
      <c r="E37" s="33"/>
      <c r="F37" s="33"/>
      <c r="G37" s="210">
        <v>34</v>
      </c>
      <c r="H37" s="211"/>
      <c r="I37" s="211"/>
    </row>
    <row r="38" spans="1:10" s="32" customFormat="1" ht="12" x14ac:dyDescent="0.2">
      <c r="A38" s="33" t="s">
        <v>66</v>
      </c>
      <c r="B38" s="33"/>
      <c r="C38" s="33"/>
      <c r="D38" s="33"/>
      <c r="E38" s="33"/>
      <c r="F38" s="33"/>
      <c r="G38" s="212">
        <v>79356</v>
      </c>
      <c r="H38" s="211"/>
      <c r="I38" s="209">
        <v>196089</v>
      </c>
    </row>
    <row r="39" spans="1:10" s="32" customFormat="1" ht="12" x14ac:dyDescent="0.2">
      <c r="A39" s="33" t="s">
        <v>67</v>
      </c>
      <c r="B39" s="33"/>
      <c r="C39" s="33"/>
      <c r="D39" s="33"/>
      <c r="E39" s="33"/>
      <c r="F39" s="33"/>
      <c r="G39" s="212">
        <v>39821</v>
      </c>
      <c r="H39" s="211"/>
      <c r="I39" s="209">
        <v>98398</v>
      </c>
    </row>
    <row r="40" spans="1:10" s="32" customFormat="1" ht="12" x14ac:dyDescent="0.2">
      <c r="A40" s="33" t="s">
        <v>68</v>
      </c>
      <c r="B40" s="33"/>
      <c r="C40" s="33"/>
      <c r="D40" s="33"/>
      <c r="E40" s="33"/>
      <c r="F40" s="33"/>
      <c r="G40" s="212">
        <v>49960</v>
      </c>
      <c r="H40" s="211"/>
      <c r="I40" s="209">
        <v>123451</v>
      </c>
    </row>
    <row r="41" spans="1:10" s="32" customFormat="1" ht="12" x14ac:dyDescent="0.2">
      <c r="A41" s="33" t="s">
        <v>69</v>
      </c>
      <c r="B41" s="33"/>
      <c r="C41" s="33"/>
      <c r="D41" s="33"/>
      <c r="E41" s="33"/>
      <c r="F41" s="33"/>
      <c r="G41" s="213">
        <f>+K19/G36</f>
        <v>16.938731790916879</v>
      </c>
      <c r="H41" s="211"/>
      <c r="I41" s="211"/>
    </row>
    <row r="42" spans="1:10" s="32" customFormat="1" ht="12" x14ac:dyDescent="0.2">
      <c r="A42" s="34" t="s">
        <v>70</v>
      </c>
      <c r="B42" s="34"/>
      <c r="C42" s="34"/>
      <c r="D42" s="34"/>
      <c r="E42" s="34"/>
      <c r="F42" s="34"/>
      <c r="G42" s="213">
        <f>+K20/G36</f>
        <v>12.594687232219366</v>
      </c>
      <c r="H42" s="211"/>
      <c r="I42" s="211"/>
    </row>
    <row r="43" spans="1:10" s="32" customFormat="1" ht="12" x14ac:dyDescent="0.2">
      <c r="G43" s="211"/>
      <c r="H43" s="211"/>
      <c r="I43" s="2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M48"/>
  <sheetViews>
    <sheetView topLeftCell="A16" workbookViewId="0">
      <selection activeCell="A5" sqref="A5:XFD8"/>
    </sheetView>
  </sheetViews>
  <sheetFormatPr defaultRowHeight="15" x14ac:dyDescent="0.25"/>
  <sheetData>
    <row r="1" spans="1:13" x14ac:dyDescent="0.25">
      <c r="A1" s="30" t="s">
        <v>73</v>
      </c>
      <c r="B1" s="30"/>
    </row>
    <row r="2" spans="1:13" x14ac:dyDescent="0.25">
      <c r="A2" s="30" t="s">
        <v>109</v>
      </c>
      <c r="B2" s="30"/>
    </row>
    <row r="3" spans="1:13" x14ac:dyDescent="0.25">
      <c r="A3" s="30" t="s">
        <v>171</v>
      </c>
      <c r="B3" s="30"/>
    </row>
    <row r="4" spans="1:13" x14ac:dyDescent="0.25">
      <c r="A4" s="30" t="s">
        <v>101</v>
      </c>
      <c r="B4" s="30"/>
    </row>
    <row r="5" spans="1:13" s="59" customFormat="1" ht="12" x14ac:dyDescent="0.2">
      <c r="A5" s="56" t="s">
        <v>0</v>
      </c>
      <c r="B5" s="56"/>
      <c r="C5" s="56"/>
      <c r="D5" s="57" t="s">
        <v>1</v>
      </c>
      <c r="E5" s="57" t="s">
        <v>2</v>
      </c>
      <c r="F5" s="57" t="s">
        <v>74</v>
      </c>
      <c r="G5" s="57" t="s">
        <v>75</v>
      </c>
      <c r="H5" s="57" t="s">
        <v>5</v>
      </c>
      <c r="I5" s="57" t="s">
        <v>6</v>
      </c>
      <c r="J5" s="57" t="s">
        <v>7</v>
      </c>
      <c r="K5" s="57" t="s">
        <v>8</v>
      </c>
      <c r="L5" s="58" t="s">
        <v>76</v>
      </c>
      <c r="M5" s="57"/>
    </row>
    <row r="6" spans="1:13" s="59" customFormat="1" ht="12" x14ac:dyDescent="0.2">
      <c r="A6" s="60"/>
      <c r="B6" s="60"/>
      <c r="C6" s="60"/>
      <c r="D6" s="61" t="s">
        <v>11</v>
      </c>
      <c r="E6" s="61" t="s">
        <v>77</v>
      </c>
      <c r="F6" s="61" t="s">
        <v>77</v>
      </c>
      <c r="G6" s="61" t="s">
        <v>78</v>
      </c>
      <c r="H6" s="61" t="s">
        <v>15</v>
      </c>
      <c r="I6" s="61" t="s">
        <v>79</v>
      </c>
      <c r="J6" s="61" t="s">
        <v>15</v>
      </c>
      <c r="K6" s="61" t="s">
        <v>15</v>
      </c>
      <c r="L6" s="61" t="s">
        <v>6</v>
      </c>
      <c r="M6" s="61" t="s">
        <v>7</v>
      </c>
    </row>
    <row r="7" spans="1:13" s="59" customFormat="1" ht="12" x14ac:dyDescent="0.2">
      <c r="A7" s="60"/>
      <c r="B7" s="60"/>
      <c r="C7" s="60"/>
      <c r="D7" s="61" t="s">
        <v>19</v>
      </c>
      <c r="E7" s="61"/>
      <c r="F7" s="61"/>
      <c r="G7" s="61"/>
      <c r="H7" s="61" t="s">
        <v>20</v>
      </c>
      <c r="I7" s="61" t="s">
        <v>15</v>
      </c>
      <c r="J7" s="61" t="s">
        <v>20</v>
      </c>
      <c r="K7" s="61" t="s">
        <v>20</v>
      </c>
      <c r="L7" s="61"/>
      <c r="M7" s="61"/>
    </row>
    <row r="8" spans="1:13" s="59" customFormat="1" ht="12" x14ac:dyDescent="0.2">
      <c r="A8" s="62"/>
      <c r="B8" s="62"/>
      <c r="C8" s="62"/>
      <c r="D8" s="63"/>
      <c r="E8" s="63"/>
      <c r="F8" s="63"/>
      <c r="G8" s="63"/>
      <c r="H8" s="63"/>
      <c r="I8" s="63" t="s">
        <v>20</v>
      </c>
      <c r="J8" s="63"/>
      <c r="K8" s="63"/>
      <c r="L8" s="63"/>
      <c r="M8" s="63"/>
    </row>
    <row r="9" spans="1:13" s="32" customFormat="1" ht="12" x14ac:dyDescent="0.2">
      <c r="A9" s="32" t="s">
        <v>22</v>
      </c>
      <c r="D9" s="214">
        <v>54</v>
      </c>
      <c r="E9" s="36">
        <v>0.68</v>
      </c>
      <c r="F9" s="36">
        <v>0.66</v>
      </c>
      <c r="G9" s="85">
        <v>800</v>
      </c>
      <c r="H9" s="37">
        <v>544</v>
      </c>
      <c r="I9" s="215"/>
      <c r="J9" s="37"/>
      <c r="K9" s="37">
        <v>544</v>
      </c>
      <c r="L9" s="37"/>
      <c r="M9" s="37"/>
    </row>
    <row r="10" spans="1:13" s="32" customFormat="1" ht="12" x14ac:dyDescent="0.2">
      <c r="A10" s="32" t="s">
        <v>182</v>
      </c>
      <c r="D10" s="214">
        <v>84</v>
      </c>
      <c r="E10" s="36">
        <v>0.61</v>
      </c>
      <c r="F10" s="36">
        <v>0.61</v>
      </c>
      <c r="G10" s="85">
        <v>1000</v>
      </c>
      <c r="H10" s="37">
        <v>610</v>
      </c>
      <c r="I10" s="215">
        <v>6304</v>
      </c>
      <c r="J10" s="37"/>
      <c r="K10" s="37">
        <v>6914</v>
      </c>
      <c r="L10" s="37">
        <v>548</v>
      </c>
      <c r="M10" s="37"/>
    </row>
    <row r="11" spans="1:13" s="32" customFormat="1" ht="12" x14ac:dyDescent="0.2">
      <c r="A11" s="32" t="s">
        <v>183</v>
      </c>
      <c r="D11" s="214" t="s">
        <v>103</v>
      </c>
      <c r="E11" s="139"/>
      <c r="F11" s="139"/>
      <c r="G11" s="216"/>
      <c r="H11" s="209"/>
      <c r="I11" s="217" t="s">
        <v>184</v>
      </c>
      <c r="J11" s="209"/>
      <c r="K11" s="209"/>
      <c r="L11" s="218"/>
      <c r="M11" s="37"/>
    </row>
    <row r="12" spans="1:13" s="32" customFormat="1" ht="12" x14ac:dyDescent="0.2">
      <c r="A12" s="32" t="s">
        <v>25</v>
      </c>
      <c r="D12" s="154">
        <v>100</v>
      </c>
      <c r="E12" s="36">
        <v>3.4</v>
      </c>
      <c r="F12" s="36">
        <v>1.43</v>
      </c>
      <c r="G12" s="85">
        <v>1000</v>
      </c>
      <c r="H12" s="37">
        <v>3400</v>
      </c>
      <c r="I12" s="215"/>
      <c r="J12" s="37"/>
      <c r="K12" s="37">
        <v>3400</v>
      </c>
      <c r="L12" s="37"/>
      <c r="M12" s="37"/>
    </row>
    <row r="13" spans="1:13" s="32" customFormat="1" ht="12" x14ac:dyDescent="0.2">
      <c r="A13" s="32" t="s">
        <v>43</v>
      </c>
      <c r="D13" s="138">
        <v>100</v>
      </c>
      <c r="E13" s="36">
        <v>2.4189723320158101</v>
      </c>
      <c r="F13" s="36">
        <v>1.0355731225296443</v>
      </c>
      <c r="G13" s="85">
        <v>1009</v>
      </c>
      <c r="H13" s="37">
        <v>2441</v>
      </c>
      <c r="I13" s="215"/>
      <c r="J13" s="37">
        <v>3046</v>
      </c>
      <c r="K13" s="37">
        <v>5487</v>
      </c>
      <c r="L13" s="37"/>
      <c r="M13" s="37">
        <v>949</v>
      </c>
    </row>
    <row r="14" spans="1:13" s="32" customFormat="1" ht="12" x14ac:dyDescent="0.2">
      <c r="A14" s="32" t="s">
        <v>27</v>
      </c>
      <c r="D14" s="138">
        <v>100</v>
      </c>
      <c r="E14" s="36">
        <v>0.96</v>
      </c>
      <c r="F14" s="36">
        <v>0.96</v>
      </c>
      <c r="G14" s="85">
        <v>1000</v>
      </c>
      <c r="H14" s="37">
        <v>960</v>
      </c>
      <c r="I14" s="215"/>
      <c r="J14" s="37">
        <v>889</v>
      </c>
      <c r="K14" s="37">
        <v>1849</v>
      </c>
      <c r="L14" s="37"/>
      <c r="M14" s="37"/>
    </row>
    <row r="15" spans="1:13" s="32" customFormat="1" ht="12" x14ac:dyDescent="0.2">
      <c r="A15" s="32" t="s">
        <v>80</v>
      </c>
      <c r="D15" s="138">
        <v>100</v>
      </c>
      <c r="E15" s="36">
        <v>0.59</v>
      </c>
      <c r="F15" s="36">
        <v>0.44</v>
      </c>
      <c r="G15" s="85">
        <v>1201</v>
      </c>
      <c r="H15" s="37">
        <v>709</v>
      </c>
      <c r="I15" s="215"/>
      <c r="J15" s="37">
        <v>2222</v>
      </c>
      <c r="K15" s="37">
        <v>2931</v>
      </c>
      <c r="L15" s="37"/>
      <c r="M15" s="37"/>
    </row>
    <row r="16" spans="1:13" s="32" customFormat="1" ht="12" x14ac:dyDescent="0.2">
      <c r="A16" s="32" t="s">
        <v>29</v>
      </c>
      <c r="D16" s="214">
        <v>58</v>
      </c>
      <c r="E16" s="36">
        <v>0.53</v>
      </c>
      <c r="F16" s="36">
        <v>0.36</v>
      </c>
      <c r="G16" s="85">
        <v>963</v>
      </c>
      <c r="H16" s="37">
        <v>510</v>
      </c>
      <c r="I16" s="215"/>
      <c r="J16" s="37">
        <v>1244</v>
      </c>
      <c r="K16" s="37">
        <v>1754</v>
      </c>
      <c r="L16" s="37"/>
      <c r="M16" s="37"/>
    </row>
    <row r="17" spans="1:13" s="32" customFormat="1" ht="12" x14ac:dyDescent="0.2">
      <c r="A17" s="32" t="s">
        <v>81</v>
      </c>
      <c r="D17" s="138">
        <v>100</v>
      </c>
      <c r="E17" s="36">
        <v>5.77</v>
      </c>
      <c r="F17" s="36">
        <v>5.77</v>
      </c>
      <c r="G17" s="85">
        <v>1000</v>
      </c>
      <c r="H17" s="37">
        <v>5770</v>
      </c>
      <c r="I17" s="215"/>
      <c r="J17" s="37"/>
      <c r="K17" s="37">
        <v>5770</v>
      </c>
      <c r="L17" s="37"/>
      <c r="M17" s="37"/>
    </row>
    <row r="18" spans="1:13" s="32" customFormat="1" ht="12" x14ac:dyDescent="0.2">
      <c r="A18" s="32" t="s">
        <v>82</v>
      </c>
      <c r="D18" s="214">
        <v>88</v>
      </c>
      <c r="E18" s="36">
        <v>0.81</v>
      </c>
      <c r="F18" s="36">
        <v>0.56000000000000005</v>
      </c>
      <c r="G18" s="85">
        <v>954</v>
      </c>
      <c r="H18" s="37">
        <v>773</v>
      </c>
      <c r="I18" s="215">
        <v>7194</v>
      </c>
      <c r="J18" s="37"/>
      <c r="K18" s="37">
        <v>7967</v>
      </c>
      <c r="L18" s="37"/>
      <c r="M18" s="37"/>
    </row>
    <row r="19" spans="1:13" s="32" customFormat="1" ht="12" x14ac:dyDescent="0.2">
      <c r="A19" s="32" t="s">
        <v>104</v>
      </c>
      <c r="D19" s="214" t="s">
        <v>155</v>
      </c>
      <c r="E19" s="139"/>
      <c r="F19" s="139"/>
      <c r="G19" s="216"/>
      <c r="H19" s="203" t="s">
        <v>106</v>
      </c>
      <c r="I19" s="215"/>
      <c r="J19" s="37"/>
      <c r="K19" s="37"/>
      <c r="L19" s="37"/>
      <c r="M19" s="37"/>
    </row>
    <row r="20" spans="1:13" s="32" customFormat="1" ht="12" x14ac:dyDescent="0.2">
      <c r="A20" s="32" t="s">
        <v>83</v>
      </c>
      <c r="D20" s="154">
        <v>50</v>
      </c>
      <c r="E20" s="36">
        <v>1.48</v>
      </c>
      <c r="F20" s="36">
        <v>1.02</v>
      </c>
      <c r="G20" s="85">
        <v>1000</v>
      </c>
      <c r="H20" s="37">
        <v>1480</v>
      </c>
      <c r="I20" s="215"/>
      <c r="J20" s="37"/>
      <c r="K20" s="37">
        <v>1480</v>
      </c>
      <c r="L20" s="37"/>
      <c r="M20" s="37"/>
    </row>
    <row r="21" spans="1:13" s="32" customFormat="1" ht="12" x14ac:dyDescent="0.2">
      <c r="A21" s="32" t="s">
        <v>84</v>
      </c>
      <c r="D21" s="214">
        <v>84</v>
      </c>
      <c r="E21" s="36">
        <v>0.89</v>
      </c>
      <c r="F21" s="36">
        <v>0.36</v>
      </c>
      <c r="G21" s="85">
        <v>1000</v>
      </c>
      <c r="H21" s="37">
        <v>890</v>
      </c>
      <c r="I21" s="215">
        <v>960</v>
      </c>
      <c r="J21" s="37"/>
      <c r="K21" s="37">
        <v>1850</v>
      </c>
      <c r="L21" s="37"/>
      <c r="M21" s="37"/>
    </row>
    <row r="22" spans="1:13" s="32" customFormat="1" ht="12" x14ac:dyDescent="0.2">
      <c r="A22" s="31" t="s">
        <v>33</v>
      </c>
      <c r="B22" s="31"/>
      <c r="C22" s="31"/>
      <c r="D22" s="39"/>
      <c r="E22" s="40">
        <v>18.138972332015811</v>
      </c>
      <c r="F22" s="40">
        <v>13.205573122529644</v>
      </c>
      <c r="G22" s="41"/>
      <c r="H22" s="41">
        <v>18087</v>
      </c>
      <c r="I22" s="41">
        <v>14458</v>
      </c>
      <c r="J22" s="41">
        <v>7401</v>
      </c>
      <c r="K22" s="41">
        <v>39946</v>
      </c>
      <c r="L22" s="41">
        <v>548</v>
      </c>
      <c r="M22" s="41">
        <v>949</v>
      </c>
    </row>
    <row r="23" spans="1:13" s="32" customFormat="1" ht="12" x14ac:dyDescent="0.2">
      <c r="A23" s="34" t="s">
        <v>34</v>
      </c>
      <c r="B23" s="34"/>
      <c r="C23" s="34"/>
      <c r="D23" s="42"/>
      <c r="E23" s="43">
        <v>4.9333992094861667</v>
      </c>
      <c r="F23" s="43"/>
      <c r="G23" s="44"/>
      <c r="H23" s="44">
        <v>5024</v>
      </c>
      <c r="I23" s="43">
        <v>13910</v>
      </c>
      <c r="J23" s="44">
        <v>6452</v>
      </c>
      <c r="K23" s="44">
        <v>25386</v>
      </c>
      <c r="L23" s="44"/>
      <c r="M23" s="44"/>
    </row>
    <row r="24" spans="1:13" s="32" customFormat="1" ht="12" x14ac:dyDescent="0.2">
      <c r="C24" s="32" t="s">
        <v>35</v>
      </c>
    </row>
    <row r="25" spans="1:13" s="32" customFormat="1" ht="12" x14ac:dyDescent="0.2">
      <c r="A25" s="32" t="s">
        <v>36</v>
      </c>
      <c r="H25" s="37"/>
      <c r="I25" s="37"/>
      <c r="J25" s="37"/>
      <c r="K25" s="37"/>
      <c r="L25" s="36"/>
    </row>
    <row r="26" spans="1:13" s="32" customFormat="1" ht="12" x14ac:dyDescent="0.2">
      <c r="A26" s="45" t="s">
        <v>17</v>
      </c>
      <c r="B26" s="45"/>
      <c r="C26" s="45"/>
      <c r="D26" s="45" t="s">
        <v>37</v>
      </c>
      <c r="E26" s="45" t="s">
        <v>85</v>
      </c>
      <c r="F26" s="45"/>
      <c r="G26" s="45" t="s">
        <v>39</v>
      </c>
      <c r="I26" s="219" t="s">
        <v>86</v>
      </c>
      <c r="J26" s="219" t="s">
        <v>87</v>
      </c>
      <c r="K26" s="37"/>
    </row>
    <row r="27" spans="1:13" s="32" customFormat="1" ht="12" x14ac:dyDescent="0.2">
      <c r="A27" s="32" t="s">
        <v>41</v>
      </c>
      <c r="I27" s="46" t="s">
        <v>150</v>
      </c>
      <c r="J27" s="46">
        <v>23</v>
      </c>
    </row>
    <row r="28" spans="1:13" s="32" customFormat="1" ht="12" x14ac:dyDescent="0.2">
      <c r="A28" s="32" t="s">
        <v>43</v>
      </c>
      <c r="D28" s="32" t="s">
        <v>44</v>
      </c>
      <c r="E28" s="36">
        <v>46.18</v>
      </c>
      <c r="G28" s="36">
        <v>65.95</v>
      </c>
      <c r="I28" s="46" t="s">
        <v>90</v>
      </c>
      <c r="J28" s="46">
        <v>23</v>
      </c>
      <c r="K28" s="33"/>
      <c r="L28" s="33"/>
    </row>
    <row r="29" spans="1:13" s="32" customFormat="1" ht="12" x14ac:dyDescent="0.2">
      <c r="A29" s="32" t="s">
        <v>46</v>
      </c>
      <c r="I29" s="46" t="s">
        <v>89</v>
      </c>
      <c r="J29" s="46">
        <v>13</v>
      </c>
    </row>
    <row r="30" spans="1:13" s="32" customFormat="1" ht="12" x14ac:dyDescent="0.2">
      <c r="A30" s="32" t="s">
        <v>48</v>
      </c>
      <c r="D30" s="32" t="s">
        <v>49</v>
      </c>
      <c r="E30" s="32">
        <v>5</v>
      </c>
      <c r="G30" s="37">
        <v>1005</v>
      </c>
      <c r="I30" s="46" t="s">
        <v>185</v>
      </c>
      <c r="J30" s="46">
        <v>13</v>
      </c>
    </row>
    <row r="31" spans="1:13" s="32" customFormat="1" ht="12" x14ac:dyDescent="0.2">
      <c r="A31" s="32" t="s">
        <v>51</v>
      </c>
      <c r="D31" s="32" t="s">
        <v>49</v>
      </c>
      <c r="E31" s="32">
        <v>13</v>
      </c>
      <c r="I31" s="220" t="s">
        <v>186</v>
      </c>
      <c r="J31" s="46">
        <v>8</v>
      </c>
    </row>
    <row r="32" spans="1:13" s="32" customFormat="1" ht="12" x14ac:dyDescent="0.2">
      <c r="A32" s="32" t="s">
        <v>2</v>
      </c>
      <c r="E32" s="32">
        <v>18</v>
      </c>
      <c r="I32" s="46" t="s">
        <v>92</v>
      </c>
      <c r="J32" s="46">
        <v>20</v>
      </c>
    </row>
    <row r="33" spans="1:13" s="32" customFormat="1" ht="12" x14ac:dyDescent="0.2">
      <c r="A33" s="31" t="s">
        <v>93</v>
      </c>
      <c r="B33" s="31"/>
      <c r="C33" s="31" t="s">
        <v>54</v>
      </c>
      <c r="D33" s="31"/>
      <c r="E33" s="31"/>
      <c r="F33" s="31"/>
      <c r="G33" s="31"/>
      <c r="J33" s="32">
        <v>100</v>
      </c>
    </row>
    <row r="34" spans="1:13" s="32" customFormat="1" ht="12" x14ac:dyDescent="0.2">
      <c r="A34" s="33" t="s">
        <v>94</v>
      </c>
      <c r="B34" s="133" t="s">
        <v>181</v>
      </c>
      <c r="C34" s="221">
        <v>100</v>
      </c>
      <c r="D34" s="33" t="s">
        <v>44</v>
      </c>
      <c r="E34" s="48">
        <v>20</v>
      </c>
      <c r="F34" s="49"/>
      <c r="G34" s="49">
        <v>7</v>
      </c>
      <c r="I34" s="33"/>
    </row>
    <row r="35" spans="1:13" s="32" customFormat="1" ht="12" x14ac:dyDescent="0.2">
      <c r="A35" s="33" t="s">
        <v>187</v>
      </c>
      <c r="B35" s="133" t="s">
        <v>96</v>
      </c>
      <c r="C35" s="47">
        <v>100</v>
      </c>
      <c r="D35" s="33" t="s">
        <v>44</v>
      </c>
      <c r="E35" s="48">
        <v>86</v>
      </c>
      <c r="F35" s="49"/>
      <c r="G35" s="49">
        <v>7</v>
      </c>
      <c r="I35" s="32" t="s">
        <v>40</v>
      </c>
      <c r="J35" s="32">
        <v>2.11</v>
      </c>
    </row>
    <row r="36" spans="1:13" s="32" customFormat="1" ht="12" x14ac:dyDescent="0.2">
      <c r="A36" s="33"/>
      <c r="B36" s="133" t="s">
        <v>97</v>
      </c>
      <c r="C36" s="47">
        <v>100</v>
      </c>
      <c r="D36" s="33" t="s">
        <v>44</v>
      </c>
      <c r="E36" s="48">
        <v>21</v>
      </c>
      <c r="F36" s="49"/>
      <c r="G36" s="49">
        <v>7</v>
      </c>
      <c r="I36" s="32" t="s">
        <v>42</v>
      </c>
      <c r="J36" s="32">
        <v>2</v>
      </c>
    </row>
    <row r="37" spans="1:13" s="32" customFormat="1" ht="12" x14ac:dyDescent="0.2">
      <c r="A37" s="31" t="s">
        <v>61</v>
      </c>
      <c r="B37" s="31"/>
      <c r="C37" s="31"/>
      <c r="D37" s="31"/>
      <c r="E37" s="40"/>
      <c r="F37" s="31"/>
      <c r="G37" s="31"/>
    </row>
    <row r="38" spans="1:13" s="32" customFormat="1" ht="12" x14ac:dyDescent="0.2">
      <c r="A38" s="33" t="s">
        <v>98</v>
      </c>
      <c r="B38" s="33"/>
      <c r="C38" s="33"/>
      <c r="D38" s="33"/>
      <c r="E38" s="33"/>
      <c r="F38" s="33"/>
      <c r="G38" s="50">
        <v>2034</v>
      </c>
      <c r="H38" s="74"/>
      <c r="I38" s="32">
        <v>5026</v>
      </c>
    </row>
    <row r="39" spans="1:13" s="32" customFormat="1" ht="12" x14ac:dyDescent="0.2">
      <c r="A39" s="33" t="s">
        <v>99</v>
      </c>
      <c r="B39" s="33"/>
      <c r="C39" s="33"/>
      <c r="D39" s="33"/>
      <c r="E39" s="33"/>
      <c r="F39" s="33"/>
      <c r="G39" s="53">
        <v>42</v>
      </c>
    </row>
    <row r="40" spans="1:13" s="32" customFormat="1" ht="12" x14ac:dyDescent="0.2">
      <c r="A40" s="33" t="s">
        <v>66</v>
      </c>
      <c r="B40" s="33"/>
      <c r="C40" s="33"/>
      <c r="D40" s="33"/>
      <c r="E40" s="33"/>
      <c r="F40" s="33"/>
      <c r="G40" s="53">
        <v>85428</v>
      </c>
      <c r="I40" s="32">
        <f t="shared" ref="I40:I42" si="0">+G40*2.471</f>
        <v>211092.58800000002</v>
      </c>
    </row>
    <row r="41" spans="1:13" s="32" customFormat="1" ht="12" x14ac:dyDescent="0.2">
      <c r="A41" s="33" t="s">
        <v>67</v>
      </c>
      <c r="B41" s="33"/>
      <c r="C41" s="33"/>
      <c r="D41" s="33"/>
      <c r="E41" s="33"/>
      <c r="F41" s="33"/>
      <c r="G41" s="53">
        <v>45482</v>
      </c>
      <c r="I41" s="32">
        <f t="shared" si="0"/>
        <v>112386.022</v>
      </c>
    </row>
    <row r="42" spans="1:13" s="32" customFormat="1" ht="12" x14ac:dyDescent="0.2">
      <c r="A42" s="33" t="s">
        <v>68</v>
      </c>
      <c r="B42" s="33"/>
      <c r="C42" s="33"/>
      <c r="D42" s="33"/>
      <c r="E42" s="33"/>
      <c r="F42" s="33"/>
      <c r="G42" s="53">
        <v>60042</v>
      </c>
      <c r="I42" s="32">
        <f t="shared" si="0"/>
        <v>148363.78200000001</v>
      </c>
    </row>
    <row r="43" spans="1:13" s="32" customFormat="1" ht="12" x14ac:dyDescent="0.2">
      <c r="A43" s="33" t="s">
        <v>69</v>
      </c>
      <c r="B43" s="33"/>
      <c r="C43" s="33"/>
      <c r="D43" s="33"/>
      <c r="E43" s="33"/>
      <c r="F43" s="33"/>
      <c r="G43" s="53">
        <f>SUM(K22/G38)</f>
        <v>19.63913470993117</v>
      </c>
    </row>
    <row r="44" spans="1:13" s="32" customFormat="1" ht="12" x14ac:dyDescent="0.2">
      <c r="A44" s="34" t="s">
        <v>70</v>
      </c>
      <c r="B44" s="34"/>
      <c r="C44" s="34"/>
      <c r="D44" s="34"/>
      <c r="E44" s="34"/>
      <c r="F44" s="34"/>
      <c r="G44" s="55">
        <f>SUM(K23/G38)</f>
        <v>12.480825958702065</v>
      </c>
    </row>
    <row r="45" spans="1:13" s="32" customFormat="1" ht="12" x14ac:dyDescent="0.2">
      <c r="A45" s="114" t="s">
        <v>188</v>
      </c>
    </row>
    <row r="46" spans="1:13" s="64" customFormat="1" ht="12.75" x14ac:dyDescent="0.25">
      <c r="A46" s="65"/>
      <c r="B46" s="65"/>
      <c r="C46" s="65"/>
      <c r="D46" s="65"/>
      <c r="E46" s="65"/>
      <c r="F46" s="65"/>
      <c r="G46" s="75"/>
      <c r="H46" s="67"/>
      <c r="I46" s="67"/>
      <c r="J46" s="67"/>
      <c r="K46" s="67"/>
      <c r="L46" s="67"/>
      <c r="M46" s="67"/>
    </row>
    <row r="47" spans="1:13" s="64" customFormat="1" ht="12.75" x14ac:dyDescent="0.25">
      <c r="A47" s="66"/>
      <c r="B47" s="66"/>
      <c r="C47" s="66"/>
      <c r="D47" s="66"/>
      <c r="E47" s="66"/>
      <c r="F47" s="66"/>
      <c r="G47" s="77"/>
      <c r="H47" s="67"/>
      <c r="I47" s="67"/>
      <c r="J47" s="67"/>
      <c r="K47" s="67"/>
      <c r="L47" s="67"/>
      <c r="M47" s="78"/>
    </row>
    <row r="48" spans="1:13" s="64" customFormat="1" ht="12.75" x14ac:dyDescent="0.25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D59"/>
  <sheetViews>
    <sheetView topLeftCell="B28" workbookViewId="0">
      <selection activeCell="A5" sqref="A5:XFD9"/>
    </sheetView>
  </sheetViews>
  <sheetFormatPr defaultRowHeight="15" x14ac:dyDescent="0.25"/>
  <sheetData>
    <row r="1" spans="1:30" x14ac:dyDescent="0.25">
      <c r="A1" s="30" t="s">
        <v>73</v>
      </c>
      <c r="B1" s="30"/>
    </row>
    <row r="2" spans="1:30" x14ac:dyDescent="0.25">
      <c r="A2" s="30" t="s">
        <v>112</v>
      </c>
      <c r="B2" s="30"/>
    </row>
    <row r="3" spans="1:30" x14ac:dyDescent="0.25">
      <c r="A3" s="30" t="s">
        <v>171</v>
      </c>
      <c r="B3" s="30"/>
    </row>
    <row r="4" spans="1:30" x14ac:dyDescent="0.25">
      <c r="A4" s="30" t="s">
        <v>113</v>
      </c>
      <c r="B4" s="30"/>
    </row>
    <row r="5" spans="1:30" s="1" customFormat="1" x14ac:dyDescent="0.25">
      <c r="A5" s="448" t="s">
        <v>0</v>
      </c>
      <c r="B5" s="448"/>
      <c r="C5" s="448"/>
      <c r="D5" s="448" t="s">
        <v>1</v>
      </c>
      <c r="E5" s="448" t="s">
        <v>2</v>
      </c>
      <c r="F5" s="448" t="s">
        <v>3</v>
      </c>
      <c r="G5" s="448" t="s">
        <v>4</v>
      </c>
      <c r="H5" s="448" t="s">
        <v>5</v>
      </c>
      <c r="I5" s="448" t="s">
        <v>6</v>
      </c>
      <c r="J5" s="448" t="s">
        <v>7</v>
      </c>
      <c r="K5" s="448" t="s">
        <v>8</v>
      </c>
      <c r="L5" s="448" t="s">
        <v>9</v>
      </c>
      <c r="M5" s="448" t="s">
        <v>10</v>
      </c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9"/>
      <c r="AC5" s="29"/>
      <c r="AD5" s="29"/>
    </row>
    <row r="6" spans="1:30" s="1" customFormat="1" x14ac:dyDescent="0.25">
      <c r="A6" s="448"/>
      <c r="B6" s="448"/>
      <c r="C6" s="448"/>
      <c r="D6" s="448" t="s">
        <v>11</v>
      </c>
      <c r="E6" s="448" t="s">
        <v>12</v>
      </c>
      <c r="F6" s="448" t="s">
        <v>13</v>
      </c>
      <c r="G6" s="448" t="s">
        <v>14</v>
      </c>
      <c r="H6" s="448" t="s">
        <v>15</v>
      </c>
      <c r="I6" s="448" t="s">
        <v>16</v>
      </c>
      <c r="J6" s="448" t="s">
        <v>15</v>
      </c>
      <c r="K6" s="448" t="s">
        <v>15</v>
      </c>
      <c r="L6" s="448" t="s">
        <v>17</v>
      </c>
      <c r="M6" s="448" t="s">
        <v>18</v>
      </c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9"/>
      <c r="AC6" s="29"/>
      <c r="AD6" s="29"/>
    </row>
    <row r="7" spans="1:30" s="1" customFormat="1" x14ac:dyDescent="0.25">
      <c r="A7" s="448"/>
      <c r="B7" s="448"/>
      <c r="C7" s="448"/>
      <c r="D7" s="448" t="s">
        <v>19</v>
      </c>
      <c r="E7" s="448"/>
      <c r="F7" s="448"/>
      <c r="G7" s="448"/>
      <c r="H7" s="448" t="s">
        <v>20</v>
      </c>
      <c r="I7" s="448" t="s">
        <v>21</v>
      </c>
      <c r="J7" s="448" t="s">
        <v>20</v>
      </c>
      <c r="K7" s="448" t="s">
        <v>20</v>
      </c>
      <c r="L7" s="448" t="s">
        <v>18</v>
      </c>
      <c r="M7" s="44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9"/>
      <c r="AC7" s="29"/>
      <c r="AD7" s="29"/>
    </row>
    <row r="8" spans="1:30" s="1" customFormat="1" x14ac:dyDescent="0.25">
      <c r="A8" s="448"/>
      <c r="B8" s="448"/>
      <c r="C8" s="448"/>
      <c r="D8" s="448"/>
      <c r="E8" s="448"/>
      <c r="F8" s="448"/>
      <c r="G8" s="448"/>
      <c r="H8" s="448"/>
      <c r="I8" s="448" t="s">
        <v>118</v>
      </c>
      <c r="J8" s="448"/>
      <c r="K8" s="448"/>
      <c r="L8" s="448"/>
      <c r="M8" s="448"/>
      <c r="O8" s="28"/>
      <c r="P8" s="28"/>
      <c r="Q8" s="28"/>
      <c r="R8" s="455"/>
      <c r="S8" s="28"/>
      <c r="T8" s="28"/>
      <c r="U8" s="28"/>
      <c r="V8" s="28"/>
      <c r="W8" s="28"/>
      <c r="X8" s="28"/>
      <c r="Y8" s="28"/>
      <c r="Z8" s="28"/>
      <c r="AA8" s="28"/>
      <c r="AB8" s="29"/>
      <c r="AC8" s="29"/>
      <c r="AD8" s="29"/>
    </row>
    <row r="9" spans="1:30" s="1" customFormat="1" x14ac:dyDescent="0.25">
      <c r="A9" s="449"/>
      <c r="B9" s="449"/>
      <c r="C9" s="449"/>
      <c r="D9" s="449"/>
      <c r="E9" s="449"/>
      <c r="F9" s="449"/>
      <c r="G9" s="449"/>
      <c r="H9" s="449"/>
      <c r="I9" s="449"/>
      <c r="J9" s="449"/>
      <c r="K9" s="449"/>
      <c r="L9" s="448"/>
      <c r="M9" s="448"/>
      <c r="O9" s="28"/>
      <c r="P9" s="28"/>
      <c r="Q9" s="28"/>
      <c r="R9" s="455"/>
      <c r="S9" s="28"/>
      <c r="T9" s="28"/>
      <c r="U9" s="28"/>
      <c r="V9" s="28"/>
      <c r="W9" s="28"/>
      <c r="X9" s="28"/>
      <c r="Y9" s="28"/>
      <c r="Z9" s="28"/>
      <c r="AA9" s="28"/>
      <c r="AB9" s="29"/>
      <c r="AC9" s="29"/>
      <c r="AD9" s="29"/>
    </row>
    <row r="10" spans="1:30" x14ac:dyDescent="0.25">
      <c r="A10" s="5" t="s">
        <v>22</v>
      </c>
      <c r="B10" s="5"/>
      <c r="C10" s="5"/>
      <c r="D10" s="9">
        <v>100</v>
      </c>
      <c r="E10" s="5">
        <v>0.6</v>
      </c>
      <c r="F10" s="5">
        <v>0.5</v>
      </c>
      <c r="G10" s="5">
        <v>1133</v>
      </c>
      <c r="H10" s="5">
        <v>680</v>
      </c>
      <c r="I10" s="5"/>
      <c r="J10" s="5"/>
      <c r="K10" s="5">
        <f>+J10+I10+H10</f>
        <v>680</v>
      </c>
      <c r="L10" s="5"/>
      <c r="M10" s="5"/>
      <c r="O10" s="3"/>
      <c r="P10" s="3"/>
      <c r="Q10" s="3"/>
      <c r="R10" s="24"/>
      <c r="S10" s="3"/>
      <c r="T10" s="3"/>
      <c r="U10" s="3"/>
      <c r="V10" s="3"/>
      <c r="W10" s="3"/>
      <c r="X10" s="3"/>
      <c r="Y10" s="3"/>
      <c r="Z10" s="3"/>
      <c r="AA10" s="3"/>
      <c r="AB10" s="27"/>
      <c r="AC10" s="27"/>
      <c r="AD10" s="27"/>
    </row>
    <row r="11" spans="1:30" x14ac:dyDescent="0.25">
      <c r="A11" s="5" t="s">
        <v>23</v>
      </c>
      <c r="B11" s="5"/>
      <c r="C11" s="5"/>
      <c r="D11" s="11">
        <v>53</v>
      </c>
      <c r="E11" s="5">
        <v>0.35</v>
      </c>
      <c r="F11" s="5">
        <v>0.35</v>
      </c>
      <c r="G11" s="5">
        <v>0</v>
      </c>
      <c r="H11" s="5">
        <v>0</v>
      </c>
      <c r="I11" s="10">
        <v>7000</v>
      </c>
      <c r="J11" s="5"/>
      <c r="K11" s="5">
        <f t="shared" ref="K11:K20" si="0">+J11+I11+H11</f>
        <v>7000</v>
      </c>
      <c r="L11" s="5"/>
      <c r="M11" s="5">
        <v>1085</v>
      </c>
      <c r="O11" s="3"/>
      <c r="P11" s="3"/>
      <c r="Q11" s="3"/>
      <c r="R11" s="24"/>
      <c r="S11" s="3"/>
      <c r="T11" s="3"/>
      <c r="U11" s="3"/>
      <c r="V11" s="3"/>
      <c r="W11" s="3"/>
      <c r="X11" s="3"/>
      <c r="Y11" s="3"/>
      <c r="Z11" s="3"/>
      <c r="AA11" s="3"/>
      <c r="AB11" s="27"/>
      <c r="AC11" s="27"/>
      <c r="AD11" s="27"/>
    </row>
    <row r="12" spans="1:30" x14ac:dyDescent="0.25">
      <c r="A12" s="5" t="s">
        <v>24</v>
      </c>
      <c r="B12" s="5"/>
      <c r="C12" s="5"/>
      <c r="D12" s="12" t="s">
        <v>189</v>
      </c>
      <c r="E12" s="5"/>
      <c r="F12" s="5"/>
      <c r="G12" s="5"/>
      <c r="H12" s="5">
        <v>0</v>
      </c>
      <c r="I12" s="12" t="s">
        <v>190</v>
      </c>
      <c r="J12" s="5"/>
      <c r="K12" s="5"/>
      <c r="L12" s="5"/>
      <c r="M12" s="5"/>
      <c r="O12" s="3"/>
      <c r="P12" s="3"/>
      <c r="Q12" s="3"/>
      <c r="R12" s="24"/>
      <c r="S12" s="3"/>
      <c r="T12" s="3"/>
      <c r="U12" s="3"/>
      <c r="V12" s="3"/>
      <c r="W12" s="3"/>
      <c r="X12" s="3"/>
      <c r="Y12" s="3"/>
      <c r="Z12" s="3"/>
      <c r="AA12" s="3"/>
      <c r="AB12" s="27"/>
      <c r="AC12" s="27"/>
      <c r="AD12" s="27"/>
    </row>
    <row r="13" spans="1:30" x14ac:dyDescent="0.25">
      <c r="A13" s="5" t="s">
        <v>25</v>
      </c>
      <c r="B13" s="5"/>
      <c r="C13" s="5"/>
      <c r="D13" s="11">
        <v>100</v>
      </c>
      <c r="E13" s="5">
        <v>4.62</v>
      </c>
      <c r="F13" s="5">
        <v>1.01</v>
      </c>
      <c r="G13" s="5">
        <v>1135</v>
      </c>
      <c r="H13" s="5">
        <v>5244</v>
      </c>
      <c r="I13" s="10"/>
      <c r="J13" s="17"/>
      <c r="K13" s="5">
        <f t="shared" si="0"/>
        <v>5244</v>
      </c>
      <c r="L13" s="17"/>
      <c r="M13" s="5"/>
      <c r="O13" s="3"/>
      <c r="P13" s="3"/>
      <c r="Q13" s="3"/>
      <c r="R13" s="24"/>
      <c r="S13" s="3"/>
      <c r="T13" s="3"/>
      <c r="U13" s="3"/>
      <c r="V13" s="3"/>
      <c r="W13" s="3"/>
      <c r="X13" s="3"/>
      <c r="Y13" s="3"/>
      <c r="Z13" s="3"/>
      <c r="AA13" s="3"/>
      <c r="AB13" s="27"/>
      <c r="AC13" s="27"/>
      <c r="AD13" s="27"/>
    </row>
    <row r="14" spans="1:30" x14ac:dyDescent="0.25">
      <c r="A14" s="5" t="s">
        <v>26</v>
      </c>
      <c r="B14" s="5"/>
      <c r="C14" s="5"/>
      <c r="D14" s="9">
        <v>100</v>
      </c>
      <c r="E14" s="5">
        <v>2.2999999999999998</v>
      </c>
      <c r="F14" s="5">
        <v>0.4</v>
      </c>
      <c r="G14" s="5">
        <v>1126</v>
      </c>
      <c r="H14" s="5">
        <v>2590</v>
      </c>
      <c r="J14" s="222">
        <v>3847</v>
      </c>
      <c r="K14" s="5">
        <f t="shared" si="0"/>
        <v>6437</v>
      </c>
      <c r="L14" s="17">
        <v>1913</v>
      </c>
      <c r="M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27"/>
      <c r="AC14" s="27"/>
      <c r="AD14" s="27"/>
    </row>
    <row r="15" spans="1:30" x14ac:dyDescent="0.25">
      <c r="A15" s="5" t="s">
        <v>27</v>
      </c>
      <c r="B15" s="5"/>
      <c r="C15" s="5"/>
      <c r="D15" s="9">
        <v>100</v>
      </c>
      <c r="E15" s="5">
        <v>0.7</v>
      </c>
      <c r="F15" s="5">
        <v>0.61</v>
      </c>
      <c r="G15" s="5">
        <v>1133</v>
      </c>
      <c r="H15" s="5">
        <v>793</v>
      </c>
      <c r="J15" s="17">
        <v>952</v>
      </c>
      <c r="K15" s="5">
        <f t="shared" si="0"/>
        <v>1745</v>
      </c>
      <c r="L15" s="17"/>
      <c r="M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27"/>
      <c r="AC15" s="27"/>
      <c r="AD15" s="27"/>
    </row>
    <row r="16" spans="1:30" x14ac:dyDescent="0.25">
      <c r="A16" s="5" t="s">
        <v>28</v>
      </c>
      <c r="B16" s="5"/>
      <c r="C16" s="5"/>
      <c r="D16" s="9">
        <v>100</v>
      </c>
      <c r="E16" s="5">
        <v>0.5</v>
      </c>
      <c r="F16" s="5">
        <v>0.2</v>
      </c>
      <c r="G16" s="5">
        <v>1234</v>
      </c>
      <c r="H16" s="5">
        <v>617</v>
      </c>
      <c r="I16" s="5"/>
      <c r="J16" s="5">
        <v>2349</v>
      </c>
      <c r="K16" s="5">
        <f t="shared" si="0"/>
        <v>2966</v>
      </c>
      <c r="L16" s="5"/>
      <c r="M16" s="5"/>
      <c r="N16" s="26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7"/>
      <c r="AC16" s="27"/>
      <c r="AD16" s="27"/>
    </row>
    <row r="17" spans="1:30" x14ac:dyDescent="0.25">
      <c r="A17" s="5" t="s">
        <v>29</v>
      </c>
      <c r="B17" s="5"/>
      <c r="C17" s="5"/>
      <c r="D17" s="9">
        <v>67</v>
      </c>
      <c r="E17" s="5">
        <v>0.4</v>
      </c>
      <c r="F17" s="5">
        <v>0.2</v>
      </c>
      <c r="G17" s="5">
        <v>1212</v>
      </c>
      <c r="H17" s="5">
        <v>485</v>
      </c>
      <c r="I17" s="5"/>
      <c r="J17" s="5">
        <v>1143</v>
      </c>
      <c r="K17" s="5">
        <f t="shared" si="0"/>
        <v>1628</v>
      </c>
      <c r="L17" s="5"/>
      <c r="M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7"/>
      <c r="AC17" s="27"/>
      <c r="AD17" s="27"/>
    </row>
    <row r="18" spans="1:30" x14ac:dyDescent="0.25">
      <c r="A18" s="5" t="s">
        <v>30</v>
      </c>
      <c r="B18" s="5"/>
      <c r="C18" s="5"/>
      <c r="D18" s="9">
        <v>100</v>
      </c>
      <c r="E18" s="5">
        <v>5.97</v>
      </c>
      <c r="F18" s="5">
        <v>5.45</v>
      </c>
      <c r="G18" s="5">
        <v>1000</v>
      </c>
      <c r="H18" s="5">
        <v>5970</v>
      </c>
      <c r="I18" s="5"/>
      <c r="J18" s="5"/>
      <c r="K18" s="5">
        <f t="shared" si="0"/>
        <v>5970</v>
      </c>
      <c r="L18" s="5"/>
      <c r="M18" s="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27"/>
      <c r="AC18" s="27"/>
      <c r="AD18" s="27"/>
    </row>
    <row r="19" spans="1:30" x14ac:dyDescent="0.25">
      <c r="A19" s="5" t="s">
        <v>191</v>
      </c>
      <c r="B19" s="5"/>
      <c r="C19" s="5"/>
      <c r="D19" s="9">
        <v>100</v>
      </c>
      <c r="E19" s="5">
        <v>1.59</v>
      </c>
      <c r="F19" s="5">
        <v>0.44</v>
      </c>
      <c r="G19" s="5">
        <v>1141</v>
      </c>
      <c r="H19" s="5">
        <v>1814</v>
      </c>
      <c r="I19" s="5">
        <v>8183</v>
      </c>
      <c r="J19" s="5"/>
      <c r="K19" s="5">
        <f t="shared" si="0"/>
        <v>9997</v>
      </c>
      <c r="L19" s="5"/>
      <c r="M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27"/>
      <c r="AC19" s="27"/>
      <c r="AD19" s="27"/>
    </row>
    <row r="20" spans="1:30" x14ac:dyDescent="0.25">
      <c r="A20" s="4" t="s">
        <v>32</v>
      </c>
      <c r="B20" s="4"/>
      <c r="C20" s="4"/>
      <c r="D20" s="13">
        <v>87</v>
      </c>
      <c r="E20" s="4">
        <v>0.3</v>
      </c>
      <c r="F20" s="4">
        <v>0.1</v>
      </c>
      <c r="G20" s="4">
        <v>1000</v>
      </c>
      <c r="H20" s="5">
        <v>300</v>
      </c>
      <c r="I20" s="4">
        <v>957</v>
      </c>
      <c r="J20" s="4"/>
      <c r="K20" s="5">
        <f t="shared" si="0"/>
        <v>1257</v>
      </c>
      <c r="L20" s="5"/>
      <c r="M20" s="5">
        <v>59</v>
      </c>
      <c r="O20" s="223"/>
      <c r="P20" s="3"/>
      <c r="Q20" s="3"/>
      <c r="R20" s="3"/>
      <c r="S20" s="3"/>
      <c r="T20" s="3"/>
      <c r="U20" s="20"/>
      <c r="V20" s="20"/>
      <c r="W20" s="3"/>
      <c r="X20" s="3"/>
      <c r="Y20" s="3"/>
      <c r="Z20" s="3"/>
      <c r="AA20" s="3"/>
      <c r="AB20" s="27"/>
      <c r="AC20" s="27"/>
      <c r="AD20" s="27"/>
    </row>
    <row r="21" spans="1:30" x14ac:dyDescent="0.25">
      <c r="A21" s="2" t="s">
        <v>33</v>
      </c>
      <c r="B21" s="2"/>
      <c r="C21" s="2"/>
      <c r="D21" s="2"/>
      <c r="E21" s="2">
        <f>SUM(E10:E20)</f>
        <v>17.330000000000002</v>
      </c>
      <c r="F21" s="2">
        <f>SUM(F10:F20)</f>
        <v>9.26</v>
      </c>
      <c r="G21" s="2">
        <f>SUM(G10:G20)</f>
        <v>10114</v>
      </c>
      <c r="H21" s="2">
        <v>18492</v>
      </c>
      <c r="I21" s="2">
        <f>SUM(I10:I20)</f>
        <v>16140</v>
      </c>
      <c r="J21" s="2">
        <f>SUM(J10:J20)</f>
        <v>8291</v>
      </c>
      <c r="K21" s="2">
        <f>SUM(K10:K20)</f>
        <v>42924</v>
      </c>
      <c r="L21" s="5">
        <f>SUM(L10:L20)</f>
        <v>1913</v>
      </c>
      <c r="M21" s="5">
        <f>SUM(M10:M20)</f>
        <v>1144</v>
      </c>
      <c r="O21" s="20"/>
      <c r="P21" s="20"/>
      <c r="Q21" s="20"/>
      <c r="R21" s="20"/>
      <c r="S21" s="20"/>
      <c r="T21" s="20"/>
      <c r="U21" s="3"/>
      <c r="V21" s="3"/>
      <c r="W21" s="3"/>
      <c r="X21" s="3"/>
      <c r="Y21" s="3"/>
      <c r="Z21" s="3"/>
      <c r="AA21" s="3"/>
      <c r="AB21" s="27"/>
      <c r="AC21" s="27"/>
      <c r="AD21" s="27"/>
    </row>
    <row r="22" spans="1:30" x14ac:dyDescent="0.25">
      <c r="A22" s="4" t="s">
        <v>34</v>
      </c>
      <c r="B22" s="4"/>
      <c r="C22" s="4"/>
      <c r="D22" s="4"/>
      <c r="E22" s="4">
        <f>SUM(E21-F21)</f>
        <v>8.0700000000000021</v>
      </c>
      <c r="F22" s="4"/>
      <c r="G22" s="4"/>
      <c r="H22" s="4">
        <v>8611</v>
      </c>
      <c r="I22" s="4">
        <f>+I21-M26</f>
        <v>16140</v>
      </c>
      <c r="J22" s="4">
        <f>+J21-L21</f>
        <v>6378</v>
      </c>
      <c r="K22" s="224">
        <f>+J22+I22+H22</f>
        <v>31129</v>
      </c>
      <c r="L22" s="5"/>
      <c r="M22" s="5"/>
      <c r="O22" s="3"/>
      <c r="P22" s="3"/>
      <c r="Q22" s="3"/>
      <c r="R22" s="3"/>
      <c r="S22" s="3"/>
      <c r="T22" s="3"/>
      <c r="U22" s="20"/>
      <c r="V22" s="20"/>
      <c r="W22" s="3"/>
      <c r="X22" s="3"/>
      <c r="Y22" s="3"/>
      <c r="Z22" s="3"/>
      <c r="AA22" s="3"/>
      <c r="AB22" s="27"/>
      <c r="AC22" s="27"/>
      <c r="AD22" s="27"/>
    </row>
    <row r="23" spans="1:30" x14ac:dyDescent="0.25">
      <c r="A23" s="5"/>
      <c r="B23" s="5"/>
      <c r="C23" s="5" t="s">
        <v>35</v>
      </c>
      <c r="D23" s="5"/>
      <c r="E23" s="5"/>
      <c r="F23" s="5"/>
      <c r="G23" s="5"/>
      <c r="H23" s="5"/>
      <c r="I23" s="5"/>
      <c r="J23" s="5"/>
      <c r="K23" s="5"/>
      <c r="L23" s="5"/>
      <c r="M23" s="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27"/>
      <c r="AC23" s="27"/>
      <c r="AD23" s="27"/>
    </row>
    <row r="24" spans="1:30" x14ac:dyDescent="0.25">
      <c r="A24" s="5" t="s">
        <v>36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27"/>
      <c r="AC24" s="27"/>
      <c r="AD24" s="27"/>
    </row>
    <row r="25" spans="1:30" x14ac:dyDescent="0.25">
      <c r="A25" s="8"/>
      <c r="B25" s="8"/>
      <c r="C25" s="8"/>
      <c r="D25" s="8"/>
      <c r="E25" s="8"/>
      <c r="F25" s="8"/>
      <c r="G25" s="8"/>
      <c r="H25" s="8"/>
      <c r="I25" s="5"/>
      <c r="J25" s="5"/>
      <c r="K25" s="5"/>
      <c r="L25" s="5"/>
      <c r="M25" s="5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27"/>
      <c r="AC25" s="27"/>
      <c r="AD25" s="27"/>
    </row>
    <row r="26" spans="1:30" x14ac:dyDescent="0.25">
      <c r="A26" s="5" t="s">
        <v>17</v>
      </c>
      <c r="B26" s="5"/>
      <c r="C26" s="5"/>
      <c r="D26" s="5" t="s">
        <v>37</v>
      </c>
      <c r="E26" s="5" t="s">
        <v>38</v>
      </c>
      <c r="F26" s="5"/>
      <c r="G26" s="5" t="s">
        <v>39</v>
      </c>
      <c r="H26" s="5"/>
      <c r="I26" s="5"/>
      <c r="J26" s="5"/>
      <c r="K26" s="5"/>
      <c r="L26" s="5"/>
      <c r="M26" s="5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27"/>
      <c r="AC26" s="27"/>
      <c r="AD26" s="27"/>
    </row>
    <row r="27" spans="1:30" x14ac:dyDescent="0.25">
      <c r="A27" s="8"/>
      <c r="B27" s="8"/>
      <c r="C27" s="8"/>
      <c r="D27" s="8"/>
      <c r="E27" s="8"/>
      <c r="F27" s="8"/>
      <c r="G27" s="8"/>
      <c r="H27" s="8"/>
      <c r="I27" s="5"/>
      <c r="J27" s="5"/>
      <c r="K27" s="5"/>
      <c r="L27" s="225" t="s">
        <v>40</v>
      </c>
      <c r="M27" s="225">
        <v>2.4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27"/>
      <c r="AC27" s="27"/>
      <c r="AD27" s="27"/>
    </row>
    <row r="28" spans="1:30" x14ac:dyDescent="0.25">
      <c r="A28" s="5" t="s">
        <v>41</v>
      </c>
      <c r="B28" s="5"/>
      <c r="C28" s="5"/>
      <c r="D28" s="5"/>
      <c r="E28" s="5"/>
      <c r="F28" s="5"/>
      <c r="G28" s="5"/>
      <c r="H28" s="5"/>
      <c r="K28" s="5"/>
      <c r="L28" s="225" t="s">
        <v>42</v>
      </c>
      <c r="M28" s="225">
        <v>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27"/>
      <c r="AC28" s="27"/>
      <c r="AD28" s="27"/>
    </row>
    <row r="29" spans="1:30" x14ac:dyDescent="0.25">
      <c r="A29" s="5" t="s">
        <v>43</v>
      </c>
      <c r="B29" s="5"/>
      <c r="C29" s="5"/>
      <c r="D29" s="5" t="s">
        <v>44</v>
      </c>
      <c r="E29" s="5">
        <v>72.099999999999994</v>
      </c>
      <c r="F29" s="5"/>
      <c r="G29" s="5">
        <v>53.3</v>
      </c>
      <c r="H29" s="5"/>
      <c r="K29" s="5"/>
      <c r="L29" s="5"/>
      <c r="M29" s="5"/>
      <c r="O29" s="6"/>
      <c r="P29" s="6"/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27"/>
      <c r="AC29" s="27"/>
      <c r="AD29" s="27"/>
    </row>
    <row r="30" spans="1:30" x14ac:dyDescent="0.25">
      <c r="A30" s="17"/>
      <c r="B30" s="17"/>
      <c r="C30" s="17"/>
      <c r="D30" s="17"/>
      <c r="E30" s="17"/>
      <c r="F30" s="17"/>
      <c r="G30" s="17"/>
      <c r="H30" s="5"/>
      <c r="K30" s="5"/>
      <c r="L30" s="226" t="s">
        <v>192</v>
      </c>
      <c r="M30" s="227" t="s">
        <v>138</v>
      </c>
      <c r="O30" s="17"/>
      <c r="P30" s="23"/>
      <c r="Q30" s="6"/>
      <c r="R30" s="3"/>
      <c r="S30" s="3"/>
      <c r="T30" s="3"/>
      <c r="U30" s="3"/>
      <c r="V30" s="3"/>
      <c r="W30" s="3"/>
      <c r="X30" s="3"/>
      <c r="Y30" s="3"/>
      <c r="Z30" s="3"/>
      <c r="AA30" s="3"/>
      <c r="AB30" s="27"/>
      <c r="AC30" s="27"/>
      <c r="AD30" s="27"/>
    </row>
    <row r="31" spans="1:30" x14ac:dyDescent="0.25">
      <c r="A31" s="17" t="s">
        <v>46</v>
      </c>
      <c r="B31" s="17"/>
      <c r="C31" s="17"/>
      <c r="D31" s="17"/>
      <c r="E31" s="17"/>
      <c r="F31" s="17"/>
      <c r="G31" s="17"/>
      <c r="H31" s="5"/>
      <c r="K31" s="5"/>
      <c r="L31" s="228" t="s">
        <v>193</v>
      </c>
      <c r="M31" s="229">
        <v>100</v>
      </c>
      <c r="O31" s="17"/>
      <c r="P31" s="23"/>
      <c r="Q31" s="6"/>
      <c r="R31" s="3"/>
      <c r="S31" s="3"/>
      <c r="T31" s="3"/>
      <c r="U31" s="3"/>
      <c r="V31" s="3"/>
      <c r="W31" s="3"/>
      <c r="X31" s="3"/>
      <c r="Y31" s="3"/>
      <c r="Z31" s="3"/>
      <c r="AA31" s="3"/>
      <c r="AB31" s="27"/>
      <c r="AC31" s="27"/>
      <c r="AD31" s="27"/>
    </row>
    <row r="32" spans="1:30" x14ac:dyDescent="0.25">
      <c r="A32" s="17" t="s">
        <v>48</v>
      </c>
      <c r="B32" s="17"/>
      <c r="C32" s="17"/>
      <c r="D32" s="17" t="s">
        <v>49</v>
      </c>
      <c r="E32" s="17">
        <v>8</v>
      </c>
      <c r="F32" s="17"/>
      <c r="G32" s="17">
        <v>1067</v>
      </c>
      <c r="H32" s="5"/>
      <c r="K32" s="5"/>
      <c r="L32" s="5"/>
      <c r="O32" s="6"/>
      <c r="P32" s="15"/>
      <c r="Q32" s="15"/>
      <c r="R32" s="3"/>
      <c r="S32" s="3"/>
      <c r="T32" s="3"/>
      <c r="U32" s="3"/>
      <c r="V32" s="3"/>
      <c r="W32" s="3"/>
      <c r="X32" s="3"/>
      <c r="Y32" s="3"/>
      <c r="Z32" s="3"/>
      <c r="AA32" s="3"/>
      <c r="AB32" s="27"/>
      <c r="AC32" s="27"/>
      <c r="AD32" s="27"/>
    </row>
    <row r="33" spans="1:30" x14ac:dyDescent="0.25">
      <c r="A33" s="17" t="s">
        <v>51</v>
      </c>
      <c r="B33" s="17"/>
      <c r="C33" s="17"/>
      <c r="D33" s="17" t="s">
        <v>49</v>
      </c>
      <c r="E33" s="17">
        <v>9</v>
      </c>
      <c r="F33" s="17"/>
      <c r="G33" s="17"/>
      <c r="H33" s="5"/>
      <c r="I33" s="230"/>
      <c r="J33" s="231"/>
      <c r="K33" s="5"/>
      <c r="L33" s="5"/>
      <c r="O33" s="3"/>
      <c r="P33" s="24"/>
      <c r="Q33" s="24"/>
      <c r="R33" s="3"/>
      <c r="S33" s="3"/>
      <c r="T33" s="3"/>
      <c r="U33" s="3"/>
      <c r="V33" s="3"/>
      <c r="W33" s="3"/>
      <c r="X33" s="3"/>
      <c r="Y33" s="3"/>
      <c r="Z33" s="3"/>
      <c r="AA33" s="3"/>
      <c r="AB33" s="27"/>
      <c r="AC33" s="27"/>
      <c r="AD33" s="27"/>
    </row>
    <row r="34" spans="1:30" x14ac:dyDescent="0.25">
      <c r="A34" s="17" t="s">
        <v>2</v>
      </c>
      <c r="B34" s="17"/>
      <c r="C34" s="17"/>
      <c r="D34" s="17" t="s">
        <v>49</v>
      </c>
      <c r="E34" s="17">
        <v>17</v>
      </c>
      <c r="F34" s="17"/>
      <c r="G34" s="17"/>
      <c r="H34" s="5"/>
      <c r="I34" s="230"/>
      <c r="J34" s="231"/>
      <c r="K34" s="5"/>
      <c r="L34" s="5"/>
      <c r="M34" s="5"/>
      <c r="O34" s="3"/>
      <c r="P34" s="24"/>
      <c r="Q34" s="24"/>
      <c r="R34" s="3"/>
      <c r="S34" s="3"/>
      <c r="T34" s="3"/>
      <c r="U34" s="3"/>
      <c r="V34" s="3"/>
      <c r="W34" s="3"/>
      <c r="X34" s="3"/>
      <c r="Y34" s="3"/>
      <c r="Z34" s="3"/>
      <c r="AA34" s="3"/>
      <c r="AB34" s="27"/>
      <c r="AC34" s="27"/>
      <c r="AD34" s="27"/>
    </row>
    <row r="35" spans="1:30" x14ac:dyDescent="0.25">
      <c r="A35" s="17"/>
      <c r="B35" s="17"/>
      <c r="C35" s="17"/>
      <c r="D35" s="17"/>
      <c r="E35" s="17"/>
      <c r="F35" s="17"/>
      <c r="G35" s="17"/>
      <c r="H35" s="5"/>
      <c r="I35" s="230"/>
      <c r="J35" s="231"/>
      <c r="K35" s="5"/>
      <c r="L35" s="5"/>
      <c r="O35" s="3"/>
      <c r="P35" s="24"/>
      <c r="Q35" s="24"/>
      <c r="R35" s="3"/>
      <c r="S35" s="3"/>
      <c r="T35" s="3"/>
      <c r="U35" s="3"/>
      <c r="V35" s="3"/>
      <c r="W35" s="3"/>
      <c r="X35" s="3"/>
      <c r="Y35" s="3"/>
      <c r="Z35" s="3"/>
      <c r="AA35" s="3"/>
      <c r="AB35" s="27"/>
      <c r="AC35" s="27"/>
      <c r="AD35" s="27"/>
    </row>
    <row r="36" spans="1:30" x14ac:dyDescent="0.25">
      <c r="A36" s="17" t="s">
        <v>53</v>
      </c>
      <c r="B36" s="17" t="s">
        <v>54</v>
      </c>
      <c r="C36" s="17"/>
      <c r="D36" s="17"/>
      <c r="E36" s="17"/>
      <c r="F36" s="17"/>
      <c r="G36" s="17"/>
      <c r="H36" s="5"/>
      <c r="I36" s="230"/>
      <c r="J36" s="231"/>
      <c r="K36" s="5"/>
      <c r="L36" s="5"/>
      <c r="O36" s="3"/>
      <c r="P36" s="24"/>
      <c r="Q36" s="24"/>
      <c r="R36" s="3"/>
      <c r="S36" s="3"/>
      <c r="T36" s="3"/>
      <c r="U36" s="3"/>
      <c r="V36" s="3"/>
      <c r="W36" s="3"/>
      <c r="X36" s="3"/>
      <c r="Y36" s="3"/>
      <c r="Z36" s="3"/>
      <c r="AA36" s="3"/>
      <c r="AB36" s="27"/>
      <c r="AC36" s="27"/>
      <c r="AD36" s="27"/>
    </row>
    <row r="37" spans="1:30" x14ac:dyDescent="0.25">
      <c r="A37" s="7" t="s">
        <v>56</v>
      </c>
      <c r="B37" s="9"/>
      <c r="C37" s="9"/>
      <c r="D37" s="5"/>
      <c r="F37" s="5"/>
      <c r="G37" s="5"/>
      <c r="H37" s="5"/>
      <c r="I37" s="230"/>
      <c r="J37" s="231"/>
      <c r="K37" s="5"/>
      <c r="L37" s="5"/>
      <c r="M37" s="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27"/>
      <c r="AC37" s="27"/>
      <c r="AD37" s="27"/>
    </row>
    <row r="38" spans="1:30" x14ac:dyDescent="0.25">
      <c r="A38" s="5" t="s">
        <v>57</v>
      </c>
      <c r="B38" s="9">
        <v>100</v>
      </c>
      <c r="C38" s="10">
        <v>22</v>
      </c>
      <c r="D38" s="5" t="s">
        <v>44</v>
      </c>
      <c r="F38" s="5"/>
      <c r="G38" s="5">
        <v>7</v>
      </c>
      <c r="H38" s="3"/>
      <c r="I38" s="6"/>
      <c r="J38" s="25"/>
      <c r="K38" s="5"/>
      <c r="L38" s="5"/>
      <c r="M38" s="5"/>
      <c r="O38" s="20"/>
      <c r="P38" s="20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27"/>
      <c r="AC38" s="27"/>
      <c r="AD38" s="27"/>
    </row>
    <row r="39" spans="1:30" x14ac:dyDescent="0.25">
      <c r="A39" s="5" t="s">
        <v>58</v>
      </c>
      <c r="B39" s="9">
        <v>43.3</v>
      </c>
      <c r="C39" s="5">
        <v>16</v>
      </c>
      <c r="D39" s="5" t="s">
        <v>44</v>
      </c>
      <c r="F39" s="5"/>
      <c r="G39" s="10">
        <v>7</v>
      </c>
      <c r="H39" s="5"/>
      <c r="I39" s="3"/>
      <c r="J39" s="24"/>
      <c r="K39" s="5"/>
      <c r="L39" s="5"/>
      <c r="M39" s="5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27"/>
      <c r="AC39" s="27"/>
      <c r="AD39" s="27"/>
    </row>
    <row r="40" spans="1:30" x14ac:dyDescent="0.25">
      <c r="A40" s="5" t="s">
        <v>59</v>
      </c>
      <c r="B40" s="9">
        <v>36.67</v>
      </c>
      <c r="C40" s="5">
        <v>3</v>
      </c>
      <c r="D40" s="5" t="s">
        <v>44</v>
      </c>
      <c r="E40" s="10"/>
      <c r="F40" s="5"/>
      <c r="G40" s="10">
        <v>7</v>
      </c>
      <c r="H40" s="5"/>
      <c r="I40" s="3"/>
      <c r="J40" s="24"/>
      <c r="K40" s="5"/>
      <c r="L40" s="5"/>
      <c r="M40" s="5"/>
      <c r="O40" s="3"/>
      <c r="P40" s="3"/>
      <c r="Q40" s="3"/>
      <c r="R40" s="3"/>
      <c r="S40" s="3"/>
      <c r="T40" s="3"/>
      <c r="U40" s="3"/>
      <c r="V40" s="3"/>
      <c r="W40" s="27"/>
      <c r="X40" s="3"/>
      <c r="Y40" s="3"/>
      <c r="Z40" s="3"/>
      <c r="AA40" s="3"/>
      <c r="AB40" s="27"/>
      <c r="AC40" s="27"/>
      <c r="AD40" s="27"/>
    </row>
    <row r="41" spans="1:30" x14ac:dyDescent="0.25">
      <c r="A41" s="10"/>
      <c r="B41" s="5"/>
      <c r="C41" s="11"/>
      <c r="D41" s="5"/>
      <c r="E41" s="10"/>
      <c r="F41" s="5"/>
      <c r="G41" s="10"/>
      <c r="H41" s="5"/>
      <c r="I41" s="3"/>
      <c r="J41" s="24"/>
      <c r="K41" s="5"/>
      <c r="L41" s="5"/>
      <c r="M41" s="5"/>
      <c r="O41" s="3"/>
      <c r="P41" s="3"/>
      <c r="Q41" s="3"/>
      <c r="R41" s="3"/>
      <c r="S41" s="3"/>
      <c r="T41" s="3"/>
      <c r="U41" s="3"/>
      <c r="V41" s="3"/>
      <c r="W41" s="27"/>
      <c r="X41" s="3"/>
      <c r="Y41" s="3"/>
      <c r="Z41" s="3"/>
      <c r="AA41" s="3"/>
      <c r="AB41" s="27"/>
      <c r="AC41" s="27"/>
      <c r="AD41" s="27"/>
    </row>
    <row r="42" spans="1:30" x14ac:dyDescent="0.25">
      <c r="A42" s="7" t="s">
        <v>60</v>
      </c>
      <c r="B42" s="5"/>
      <c r="C42" s="9"/>
      <c r="D42" s="5"/>
      <c r="E42" s="5"/>
      <c r="F42" s="5"/>
      <c r="G42" s="5"/>
      <c r="H42" s="5"/>
      <c r="I42" s="3"/>
      <c r="J42" s="24"/>
      <c r="K42" s="5"/>
      <c r="L42" s="5"/>
      <c r="M42" s="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27"/>
      <c r="AC42" s="27"/>
      <c r="AD42" s="27"/>
    </row>
    <row r="43" spans="1:30" x14ac:dyDescent="0.25">
      <c r="A43" s="5" t="s">
        <v>58</v>
      </c>
      <c r="B43" s="22">
        <v>100</v>
      </c>
      <c r="C43">
        <v>74</v>
      </c>
      <c r="D43" s="5" t="s">
        <v>44</v>
      </c>
      <c r="E43" s="5"/>
      <c r="F43" s="5"/>
      <c r="G43" s="5">
        <v>7</v>
      </c>
      <c r="H43" s="5"/>
      <c r="I43" s="6"/>
      <c r="J43" s="25"/>
      <c r="K43" s="5"/>
      <c r="L43" s="5"/>
      <c r="M43" s="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27"/>
      <c r="AC43" s="27"/>
      <c r="AD43" s="27"/>
    </row>
    <row r="44" spans="1:30" x14ac:dyDescent="0.25">
      <c r="A44" s="5" t="s">
        <v>59</v>
      </c>
      <c r="B44" s="22">
        <v>93</v>
      </c>
      <c r="C44">
        <v>21</v>
      </c>
      <c r="D44" s="5" t="s">
        <v>44</v>
      </c>
      <c r="E44" s="10"/>
      <c r="F44" s="5"/>
      <c r="G44" s="10">
        <v>7</v>
      </c>
      <c r="H44" s="5"/>
      <c r="I44" s="3"/>
      <c r="J44" s="24"/>
      <c r="K44" s="5"/>
      <c r="L44" s="5"/>
      <c r="M44" s="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27"/>
      <c r="AC44" s="27"/>
      <c r="AD44" s="27"/>
    </row>
    <row r="45" spans="1:30" x14ac:dyDescent="0.25">
      <c r="A45" s="5"/>
      <c r="B45" s="9"/>
      <c r="C45" s="11"/>
      <c r="D45" s="5"/>
      <c r="E45" s="10"/>
      <c r="F45" s="5"/>
      <c r="G45" s="10"/>
      <c r="H45" s="5"/>
      <c r="I45" s="232"/>
      <c r="J45" s="232"/>
      <c r="K45" s="5"/>
      <c r="L45" s="5"/>
      <c r="M45" s="5"/>
      <c r="O45" s="27"/>
      <c r="P45" s="27"/>
      <c r="Q45" s="27"/>
      <c r="R45" s="27"/>
      <c r="S45" s="27"/>
      <c r="T45" s="27"/>
      <c r="U45" s="3"/>
      <c r="V45" s="3"/>
      <c r="W45" s="3"/>
      <c r="X45" s="3"/>
      <c r="Y45" s="3"/>
      <c r="Z45" s="3"/>
      <c r="AA45" s="3"/>
      <c r="AB45" s="27"/>
      <c r="AC45" s="27"/>
      <c r="AD45" s="27"/>
    </row>
    <row r="46" spans="1:30" x14ac:dyDescent="0.25">
      <c r="A46" s="5"/>
      <c r="B46" s="9"/>
      <c r="C46" s="11"/>
      <c r="D46" s="5"/>
      <c r="E46" s="10"/>
      <c r="F46" s="5"/>
      <c r="G46" s="10"/>
      <c r="H46" s="5"/>
      <c r="I46" s="5"/>
      <c r="J46" s="5"/>
      <c r="K46" s="5"/>
      <c r="L46" s="5"/>
      <c r="M46" s="5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spans="1:30" x14ac:dyDescent="0.25">
      <c r="A47" s="5" t="s">
        <v>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spans="1:30" x14ac:dyDescent="0.25">
      <c r="A48" s="20"/>
      <c r="B48" s="20"/>
      <c r="C48" s="3"/>
      <c r="D48" s="5"/>
      <c r="E48" s="5"/>
      <c r="F48" s="5"/>
      <c r="G48" s="5"/>
      <c r="H48" s="5"/>
      <c r="I48" s="5" t="s">
        <v>63</v>
      </c>
      <c r="J48" s="5"/>
      <c r="K48" s="5"/>
      <c r="L48" s="5"/>
      <c r="M48" s="5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spans="1:30" x14ac:dyDescent="0.25">
      <c r="A49" s="2" t="s">
        <v>64</v>
      </c>
      <c r="B49" s="2"/>
      <c r="C49" s="2"/>
      <c r="D49" s="233"/>
      <c r="E49" s="233"/>
      <c r="F49" s="233"/>
      <c r="G49" s="233">
        <v>2251</v>
      </c>
      <c r="H49" s="233"/>
      <c r="I49" s="233">
        <v>5562</v>
      </c>
      <c r="J49" s="17"/>
      <c r="K49" s="5"/>
      <c r="L49" s="5"/>
      <c r="M49" s="5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1:30" x14ac:dyDescent="0.25">
      <c r="A50" s="3" t="s">
        <v>65</v>
      </c>
      <c r="B50" s="3"/>
      <c r="C50" s="3"/>
      <c r="D50" s="6"/>
      <c r="E50" s="6"/>
      <c r="F50" s="6"/>
      <c r="G50" s="6">
        <v>36</v>
      </c>
      <c r="H50" s="6"/>
      <c r="I50" s="6"/>
      <c r="J50" s="17"/>
      <c r="K50" s="5"/>
      <c r="L50" s="5"/>
      <c r="M50" s="5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1:30" x14ac:dyDescent="0.25">
      <c r="A51" s="3" t="s">
        <v>66</v>
      </c>
      <c r="B51" s="3"/>
      <c r="C51" s="3"/>
      <c r="D51" s="6"/>
      <c r="E51" s="6"/>
      <c r="F51" s="6"/>
      <c r="G51" s="6">
        <f>+G50*G49</f>
        <v>81036</v>
      </c>
      <c r="H51" s="6"/>
      <c r="I51" s="6">
        <v>200240</v>
      </c>
      <c r="J51" s="17"/>
      <c r="K51" s="5"/>
      <c r="L51" s="5"/>
      <c r="M51" s="5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spans="1:30" x14ac:dyDescent="0.25">
      <c r="A52" s="3" t="s">
        <v>67</v>
      </c>
      <c r="B52" s="3"/>
      <c r="C52" s="3"/>
      <c r="D52" s="6"/>
      <c r="E52" s="6"/>
      <c r="F52" s="6"/>
      <c r="G52" s="6">
        <f>+G51-K21</f>
        <v>38112</v>
      </c>
      <c r="H52" s="6"/>
      <c r="I52" s="6">
        <v>94176</v>
      </c>
      <c r="J52" s="17"/>
      <c r="K52" s="5"/>
      <c r="L52" s="5"/>
      <c r="M52" s="5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spans="1:30" x14ac:dyDescent="0.25">
      <c r="A53" s="3" t="s">
        <v>68</v>
      </c>
      <c r="B53" s="3"/>
      <c r="C53" s="3"/>
      <c r="D53" s="6"/>
      <c r="E53" s="6"/>
      <c r="F53" s="6"/>
      <c r="G53" s="234">
        <f>+G51-K22</f>
        <v>49907</v>
      </c>
      <c r="H53" s="6"/>
      <c r="I53" s="6">
        <v>123320</v>
      </c>
      <c r="J53" s="17"/>
      <c r="K53" s="5"/>
      <c r="L53" s="5"/>
      <c r="M53" s="5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1:30" x14ac:dyDescent="0.25">
      <c r="A54" s="3"/>
      <c r="B54" s="3"/>
      <c r="C54" s="3"/>
      <c r="D54" s="6"/>
      <c r="E54" s="6"/>
      <c r="F54" s="6"/>
      <c r="G54" s="6"/>
      <c r="H54" s="6"/>
      <c r="I54" s="6"/>
      <c r="J54" s="17"/>
      <c r="K54" s="5"/>
      <c r="L54" s="5"/>
      <c r="M54" s="5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1:30" x14ac:dyDescent="0.25">
      <c r="A55" s="3" t="s">
        <v>69</v>
      </c>
      <c r="B55" s="3"/>
      <c r="C55" s="3"/>
      <c r="D55" s="6"/>
      <c r="E55" s="6"/>
      <c r="F55" s="6"/>
      <c r="G55" s="6">
        <f>+K21/G49</f>
        <v>19.068858285206574</v>
      </c>
      <c r="H55" s="6"/>
      <c r="I55" s="6"/>
      <c r="J55" s="17"/>
      <c r="K55" s="5"/>
      <c r="L55" s="5"/>
      <c r="M55" s="5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spans="1:30" x14ac:dyDescent="0.25">
      <c r="A56" s="3" t="s">
        <v>70</v>
      </c>
      <c r="B56" s="3"/>
      <c r="C56" s="3"/>
      <c r="D56" s="6"/>
      <c r="E56" s="6"/>
      <c r="F56" s="6"/>
      <c r="G56" s="6">
        <f>+K22/G49</f>
        <v>13.828964904486895</v>
      </c>
      <c r="H56" s="6"/>
      <c r="I56" s="6"/>
      <c r="J56" s="17"/>
      <c r="K56" s="5"/>
      <c r="L56" s="5"/>
      <c r="M56" s="5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 spans="1:30" x14ac:dyDescent="0.25">
      <c r="A57" s="20"/>
      <c r="B57" s="20"/>
      <c r="C57" s="20"/>
      <c r="D57" s="235"/>
      <c r="E57" s="235"/>
      <c r="F57" s="235"/>
      <c r="G57" s="235"/>
      <c r="H57" s="6"/>
      <c r="I57" s="6"/>
      <c r="J57" s="17"/>
      <c r="K57" s="5"/>
      <c r="L57" s="5"/>
      <c r="M57" s="5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spans="1:30" x14ac:dyDescent="0.25">
      <c r="A58" s="2"/>
      <c r="B58" s="2"/>
      <c r="C58" s="2"/>
      <c r="D58" s="2"/>
      <c r="E58" s="2"/>
      <c r="F58" s="2"/>
      <c r="G58" s="2"/>
      <c r="H58" s="2"/>
      <c r="I58" s="2"/>
      <c r="J58" s="5"/>
      <c r="K58" s="5"/>
      <c r="L58" s="3"/>
      <c r="M58" s="5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spans="1:30" x14ac:dyDescent="0.25">
      <c r="A59" s="236" t="s">
        <v>194</v>
      </c>
      <c r="B59" s="237" t="s">
        <v>195</v>
      </c>
      <c r="C59" s="238"/>
      <c r="D59" s="3"/>
      <c r="E59" s="3"/>
      <c r="F59" s="3"/>
      <c r="G59" s="3"/>
      <c r="H59" s="3"/>
      <c r="I59" s="3"/>
      <c r="J59" s="3"/>
      <c r="K59" s="3"/>
      <c r="L59" s="3"/>
      <c r="M59" s="5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P88"/>
  <sheetViews>
    <sheetView topLeftCell="A10" workbookViewId="0">
      <selection activeCell="A5" sqref="A5:XFD8"/>
    </sheetView>
  </sheetViews>
  <sheetFormatPr defaultRowHeight="15" x14ac:dyDescent="0.25"/>
  <sheetData>
    <row r="1" spans="1:16" x14ac:dyDescent="0.25">
      <c r="A1" s="30" t="s">
        <v>73</v>
      </c>
      <c r="B1" s="30"/>
    </row>
    <row r="2" spans="1:16" x14ac:dyDescent="0.25">
      <c r="A2" s="30" t="s">
        <v>117</v>
      </c>
      <c r="B2" s="30"/>
    </row>
    <row r="3" spans="1:16" x14ac:dyDescent="0.25">
      <c r="A3" s="30" t="s">
        <v>171</v>
      </c>
      <c r="B3" s="30"/>
    </row>
    <row r="4" spans="1:16" x14ac:dyDescent="0.25">
      <c r="A4" s="99"/>
      <c r="B4" s="30"/>
    </row>
    <row r="5" spans="1:16" s="59" customFormat="1" ht="12" x14ac:dyDescent="0.2">
      <c r="A5" s="56" t="s">
        <v>0</v>
      </c>
      <c r="B5" s="56"/>
      <c r="C5" s="56"/>
      <c r="D5" s="57" t="s">
        <v>1</v>
      </c>
      <c r="E5" s="57" t="s">
        <v>2</v>
      </c>
      <c r="F5" s="57" t="s">
        <v>74</v>
      </c>
      <c r="G5" s="57" t="s">
        <v>75</v>
      </c>
      <c r="H5" s="57" t="s">
        <v>5</v>
      </c>
      <c r="I5" s="57" t="s">
        <v>6</v>
      </c>
      <c r="J5" s="57" t="s">
        <v>7</v>
      </c>
      <c r="K5" s="57" t="s">
        <v>8</v>
      </c>
      <c r="L5" s="58" t="s">
        <v>76</v>
      </c>
      <c r="M5" s="57"/>
    </row>
    <row r="6" spans="1:16" s="59" customFormat="1" ht="12" x14ac:dyDescent="0.2">
      <c r="A6" s="60"/>
      <c r="B6" s="60"/>
      <c r="C6" s="60"/>
      <c r="D6" s="61" t="s">
        <v>11</v>
      </c>
      <c r="E6" s="61" t="s">
        <v>77</v>
      </c>
      <c r="F6" s="61" t="s">
        <v>77</v>
      </c>
      <c r="G6" s="61" t="s">
        <v>78</v>
      </c>
      <c r="H6" s="61" t="s">
        <v>15</v>
      </c>
      <c r="I6" s="61" t="s">
        <v>79</v>
      </c>
      <c r="J6" s="61" t="s">
        <v>15</v>
      </c>
      <c r="K6" s="61" t="s">
        <v>15</v>
      </c>
      <c r="L6" s="61" t="s">
        <v>6</v>
      </c>
      <c r="M6" s="61" t="s">
        <v>7</v>
      </c>
    </row>
    <row r="7" spans="1:16" s="59" customFormat="1" ht="12" x14ac:dyDescent="0.2">
      <c r="A7" s="60"/>
      <c r="B7" s="60"/>
      <c r="C7" s="60"/>
      <c r="D7" s="61" t="s">
        <v>19</v>
      </c>
      <c r="E7" s="61"/>
      <c r="F7" s="61"/>
      <c r="G7" s="61"/>
      <c r="H7" s="61" t="s">
        <v>20</v>
      </c>
      <c r="I7" s="61" t="s">
        <v>15</v>
      </c>
      <c r="J7" s="61" t="s">
        <v>20</v>
      </c>
      <c r="K7" s="61" t="s">
        <v>20</v>
      </c>
      <c r="L7" s="61"/>
      <c r="M7" s="61"/>
    </row>
    <row r="8" spans="1:16" s="59" customFormat="1" ht="12" x14ac:dyDescent="0.2">
      <c r="A8" s="62"/>
      <c r="B8" s="62"/>
      <c r="C8" s="62"/>
      <c r="D8" s="63"/>
      <c r="E8" s="63"/>
      <c r="F8" s="63"/>
      <c r="G8" s="63"/>
      <c r="H8" s="63"/>
      <c r="I8" s="63" t="s">
        <v>20</v>
      </c>
      <c r="J8" s="63"/>
      <c r="K8" s="63"/>
      <c r="L8" s="63"/>
      <c r="M8" s="63"/>
    </row>
    <row r="9" spans="1:16" s="32" customFormat="1" ht="12" x14ac:dyDescent="0.2">
      <c r="A9" s="32" t="s">
        <v>22</v>
      </c>
      <c r="D9" s="35">
        <v>100</v>
      </c>
      <c r="E9" s="36">
        <v>0.88</v>
      </c>
      <c r="F9" s="36">
        <v>0.63</v>
      </c>
      <c r="G9" s="85">
        <v>826</v>
      </c>
      <c r="H9" s="37">
        <v>727</v>
      </c>
      <c r="I9" s="37"/>
      <c r="J9" s="37"/>
      <c r="K9" s="37">
        <f>+J9+I9+H9</f>
        <v>727</v>
      </c>
      <c r="L9" s="37"/>
      <c r="M9" s="37"/>
      <c r="N9" s="239"/>
      <c r="O9" s="239"/>
      <c r="P9" s="239"/>
    </row>
    <row r="10" spans="1:16" s="32" customFormat="1" ht="12" x14ac:dyDescent="0.2">
      <c r="A10" s="32" t="s">
        <v>165</v>
      </c>
      <c r="D10" s="35">
        <v>64</v>
      </c>
      <c r="E10" s="36"/>
      <c r="F10" s="36"/>
      <c r="G10" s="85"/>
      <c r="H10" s="37"/>
      <c r="I10" s="37">
        <v>6805</v>
      </c>
      <c r="J10" s="37"/>
      <c r="K10" s="37">
        <f t="shared" ref="K10:K23" si="0">+J10+I10+H10</f>
        <v>6805</v>
      </c>
      <c r="L10" s="37">
        <v>1433</v>
      </c>
      <c r="M10" s="37"/>
      <c r="N10" s="239"/>
      <c r="O10" s="239"/>
      <c r="P10" s="239"/>
    </row>
    <row r="11" spans="1:16" s="32" customFormat="1" ht="12" x14ac:dyDescent="0.2">
      <c r="A11" s="32" t="s">
        <v>166</v>
      </c>
      <c r="D11" s="35" t="s">
        <v>196</v>
      </c>
      <c r="E11" s="36"/>
      <c r="F11" s="36"/>
      <c r="G11" s="85"/>
      <c r="H11" s="37"/>
      <c r="I11" s="134" t="s">
        <v>197</v>
      </c>
      <c r="J11" s="37"/>
      <c r="K11" s="37"/>
      <c r="L11" s="134" t="s">
        <v>198</v>
      </c>
      <c r="M11" s="37"/>
      <c r="N11" s="239"/>
      <c r="O11" s="239"/>
      <c r="P11" s="239"/>
    </row>
    <row r="12" spans="1:16" s="32" customFormat="1" ht="12" x14ac:dyDescent="0.2">
      <c r="A12" s="32" t="s">
        <v>25</v>
      </c>
      <c r="D12" s="35">
        <v>100</v>
      </c>
      <c r="E12" s="36">
        <v>4.9000000000000004</v>
      </c>
      <c r="F12" s="36">
        <v>3.19</v>
      </c>
      <c r="G12" s="85">
        <v>1015</v>
      </c>
      <c r="H12" s="37">
        <v>4974</v>
      </c>
      <c r="I12" s="37"/>
      <c r="J12" s="37"/>
      <c r="K12" s="37">
        <f t="shared" si="0"/>
        <v>4974</v>
      </c>
      <c r="L12" s="37"/>
      <c r="M12" s="37"/>
      <c r="N12" s="239"/>
      <c r="O12" s="239"/>
      <c r="P12" s="239"/>
    </row>
    <row r="13" spans="1:16" s="32" customFormat="1" ht="12" x14ac:dyDescent="0.2">
      <c r="A13" s="32" t="s">
        <v>43</v>
      </c>
      <c r="D13" s="35">
        <v>100</v>
      </c>
      <c r="E13" s="36">
        <v>3.13</v>
      </c>
      <c r="F13" s="36">
        <v>2.4</v>
      </c>
      <c r="G13" s="85">
        <v>876</v>
      </c>
      <c r="H13" s="37">
        <v>2742</v>
      </c>
      <c r="I13" s="37"/>
      <c r="J13" s="37">
        <v>2751</v>
      </c>
      <c r="K13" s="37">
        <f t="shared" si="0"/>
        <v>5493</v>
      </c>
      <c r="L13" s="37"/>
      <c r="M13" s="37">
        <v>672</v>
      </c>
      <c r="N13" s="239"/>
      <c r="O13" s="239"/>
      <c r="P13" s="239"/>
    </row>
    <row r="14" spans="1:16" s="32" customFormat="1" ht="12" x14ac:dyDescent="0.2">
      <c r="A14" s="32" t="s">
        <v>27</v>
      </c>
      <c r="D14" s="35">
        <v>100</v>
      </c>
      <c r="E14" s="36">
        <v>0.95</v>
      </c>
      <c r="F14" s="36">
        <v>0.82</v>
      </c>
      <c r="G14" s="85">
        <v>1000</v>
      </c>
      <c r="H14" s="37">
        <v>950</v>
      </c>
      <c r="I14" s="37"/>
      <c r="J14" s="37">
        <v>819</v>
      </c>
      <c r="K14" s="37">
        <f t="shared" si="0"/>
        <v>1769</v>
      </c>
      <c r="L14" s="37"/>
      <c r="M14" s="37"/>
      <c r="N14" s="239"/>
      <c r="O14" s="239"/>
      <c r="P14" s="239"/>
    </row>
    <row r="15" spans="1:16" s="32" customFormat="1" ht="12" x14ac:dyDescent="0.2">
      <c r="A15" s="32" t="s">
        <v>80</v>
      </c>
      <c r="D15" s="35">
        <v>80</v>
      </c>
      <c r="E15" s="36">
        <v>0.5</v>
      </c>
      <c r="F15" s="36">
        <v>0.28999999999999998</v>
      </c>
      <c r="G15" s="85">
        <v>827</v>
      </c>
      <c r="H15" s="37">
        <v>414</v>
      </c>
      <c r="I15" s="37"/>
      <c r="J15" s="37">
        <v>2139</v>
      </c>
      <c r="K15" s="37">
        <f t="shared" si="0"/>
        <v>2553</v>
      </c>
      <c r="L15" s="37"/>
      <c r="M15" s="37"/>
      <c r="N15" s="239"/>
      <c r="O15" s="239"/>
      <c r="P15" s="239"/>
    </row>
    <row r="16" spans="1:16" s="32" customFormat="1" ht="12" x14ac:dyDescent="0.2">
      <c r="A16" s="32" t="s">
        <v>29</v>
      </c>
      <c r="D16" s="35">
        <v>50</v>
      </c>
      <c r="E16" s="36">
        <v>0.62</v>
      </c>
      <c r="F16" s="36">
        <v>0.49</v>
      </c>
      <c r="G16" s="85">
        <v>1050</v>
      </c>
      <c r="H16" s="37">
        <v>651</v>
      </c>
      <c r="I16" s="37"/>
      <c r="J16" s="37">
        <v>1228</v>
      </c>
      <c r="K16" s="37">
        <f t="shared" si="0"/>
        <v>1879</v>
      </c>
      <c r="L16" s="37"/>
      <c r="M16" s="37"/>
      <c r="N16" s="239"/>
      <c r="O16" s="239"/>
      <c r="P16" s="239"/>
    </row>
    <row r="17" spans="1:16" s="32" customFormat="1" ht="12" x14ac:dyDescent="0.2">
      <c r="A17" s="32" t="s">
        <v>81</v>
      </c>
      <c r="D17" s="35">
        <v>100</v>
      </c>
      <c r="E17" s="36">
        <v>7.01</v>
      </c>
      <c r="F17" s="36">
        <v>7.01</v>
      </c>
      <c r="G17" s="85">
        <v>923</v>
      </c>
      <c r="H17" s="37">
        <v>6470</v>
      </c>
      <c r="I17" s="37"/>
      <c r="J17" s="37"/>
      <c r="K17" s="37">
        <f t="shared" si="0"/>
        <v>6470</v>
      </c>
      <c r="L17" s="37"/>
      <c r="M17" s="37"/>
      <c r="N17" s="239"/>
      <c r="O17" s="239"/>
      <c r="P17" s="239"/>
    </row>
    <row r="18" spans="1:16" s="32" customFormat="1" ht="12" x14ac:dyDescent="0.2">
      <c r="A18" s="32" t="s">
        <v>82</v>
      </c>
      <c r="D18" s="35">
        <v>58</v>
      </c>
      <c r="E18" s="36">
        <v>1.17</v>
      </c>
      <c r="F18" s="36">
        <v>0.84</v>
      </c>
      <c r="G18" s="85">
        <v>848</v>
      </c>
      <c r="H18" s="37">
        <v>992</v>
      </c>
      <c r="I18" s="37">
        <v>9065</v>
      </c>
      <c r="J18" s="37"/>
      <c r="K18" s="37">
        <f t="shared" si="0"/>
        <v>10057</v>
      </c>
      <c r="L18" s="37"/>
      <c r="M18" s="37"/>
      <c r="N18" s="239"/>
      <c r="O18" s="239"/>
      <c r="P18" s="239"/>
    </row>
    <row r="19" spans="1:16" s="32" customFormat="1" ht="12" x14ac:dyDescent="0.2">
      <c r="A19" s="32" t="s">
        <v>167</v>
      </c>
      <c r="D19" s="35" t="s">
        <v>196</v>
      </c>
      <c r="E19" s="104"/>
      <c r="F19" s="104"/>
      <c r="G19" s="240"/>
      <c r="H19" s="134" t="s">
        <v>199</v>
      </c>
      <c r="I19" s="37"/>
      <c r="J19" s="37"/>
      <c r="K19" s="37"/>
      <c r="L19" s="37"/>
      <c r="M19" s="37"/>
      <c r="N19" s="239"/>
      <c r="O19" s="239"/>
      <c r="P19" s="239"/>
    </row>
    <row r="20" spans="1:16" s="32" customFormat="1" ht="12" x14ac:dyDescent="0.2">
      <c r="A20" s="32" t="s">
        <v>200</v>
      </c>
      <c r="D20" s="35" t="s">
        <v>201</v>
      </c>
      <c r="E20" s="104"/>
      <c r="F20" s="104"/>
      <c r="G20" s="240"/>
      <c r="H20" s="134" t="s">
        <v>202</v>
      </c>
      <c r="I20" s="134" t="s">
        <v>203</v>
      </c>
      <c r="J20" s="37"/>
      <c r="K20" s="37"/>
      <c r="L20" s="37"/>
      <c r="M20" s="37"/>
      <c r="N20" s="239"/>
      <c r="O20" s="239"/>
      <c r="P20" s="239"/>
    </row>
    <row r="21" spans="1:16" s="32" customFormat="1" ht="12" x14ac:dyDescent="0.2">
      <c r="A21" s="32" t="s">
        <v>204</v>
      </c>
      <c r="D21" s="35" t="s">
        <v>205</v>
      </c>
      <c r="E21" s="104"/>
      <c r="F21" s="104"/>
      <c r="G21" s="240"/>
      <c r="H21" s="134" t="s">
        <v>206</v>
      </c>
      <c r="I21" s="134" t="s">
        <v>207</v>
      </c>
      <c r="J21" s="37"/>
      <c r="K21" s="37"/>
      <c r="L21" s="37"/>
      <c r="M21" s="37"/>
      <c r="N21" s="239"/>
      <c r="P21" s="239"/>
    </row>
    <row r="22" spans="1:16" s="32" customFormat="1" ht="12" x14ac:dyDescent="0.2">
      <c r="A22" s="32" t="s">
        <v>83</v>
      </c>
      <c r="D22" s="35">
        <v>44</v>
      </c>
      <c r="E22" s="36">
        <v>1.36</v>
      </c>
      <c r="F22" s="36">
        <v>1.36</v>
      </c>
      <c r="G22" s="85">
        <v>923</v>
      </c>
      <c r="H22" s="37">
        <v>1255</v>
      </c>
      <c r="I22" s="37"/>
      <c r="J22" s="37"/>
      <c r="K22" s="37">
        <f t="shared" si="0"/>
        <v>1255</v>
      </c>
      <c r="L22" s="37"/>
      <c r="M22" s="37"/>
      <c r="N22" s="239"/>
      <c r="O22" s="239"/>
      <c r="P22" s="239"/>
    </row>
    <row r="23" spans="1:16" s="32" customFormat="1" ht="12" x14ac:dyDescent="0.2">
      <c r="A23" s="32" t="s">
        <v>170</v>
      </c>
      <c r="D23" s="35">
        <v>86</v>
      </c>
      <c r="E23" s="36">
        <v>0.56999999999999995</v>
      </c>
      <c r="F23" s="36">
        <v>0.56999999999999995</v>
      </c>
      <c r="G23" s="85">
        <v>1000</v>
      </c>
      <c r="H23" s="37">
        <v>570</v>
      </c>
      <c r="I23" s="37">
        <v>636</v>
      </c>
      <c r="J23" s="37"/>
      <c r="K23" s="37">
        <f t="shared" si="0"/>
        <v>1206</v>
      </c>
      <c r="L23" s="37">
        <v>199</v>
      </c>
      <c r="M23" s="37"/>
      <c r="N23" s="239"/>
      <c r="O23" s="239"/>
      <c r="P23" s="239"/>
    </row>
    <row r="24" spans="1:16" s="32" customFormat="1" ht="12" x14ac:dyDescent="0.2">
      <c r="A24" s="31" t="s">
        <v>33</v>
      </c>
      <c r="B24" s="31"/>
      <c r="C24" s="31"/>
      <c r="D24" s="39"/>
      <c r="E24" s="40">
        <v>21.09</v>
      </c>
      <c r="F24" s="40">
        <v>17.600000000000001</v>
      </c>
      <c r="G24" s="41"/>
      <c r="H24" s="41">
        <v>19745</v>
      </c>
      <c r="I24" s="41">
        <v>16506</v>
      </c>
      <c r="J24" s="41">
        <f>SUM(J9:J23)</f>
        <v>6937</v>
      </c>
      <c r="K24" s="41">
        <f>SUM(K9:K23)</f>
        <v>43188</v>
      </c>
      <c r="L24" s="41">
        <v>1672</v>
      </c>
      <c r="M24" s="41">
        <v>672</v>
      </c>
      <c r="O24" s="37"/>
    </row>
    <row r="25" spans="1:16" s="32" customFormat="1" ht="12" x14ac:dyDescent="0.2">
      <c r="A25" s="34" t="s">
        <v>34</v>
      </c>
      <c r="B25" s="34"/>
      <c r="C25" s="34"/>
      <c r="D25" s="42"/>
      <c r="E25" s="255">
        <v>3.49</v>
      </c>
      <c r="F25" s="255"/>
      <c r="G25" s="256"/>
      <c r="H25" s="256">
        <v>3267</v>
      </c>
      <c r="I25" s="256">
        <v>14834</v>
      </c>
      <c r="J25" s="256"/>
      <c r="K25" s="256">
        <v>18101</v>
      </c>
      <c r="L25" s="44"/>
      <c r="M25" s="44"/>
    </row>
    <row r="26" spans="1:16" s="32" customFormat="1" ht="12" x14ac:dyDescent="0.2"/>
    <row r="27" spans="1:16" s="32" customFormat="1" ht="12" x14ac:dyDescent="0.2">
      <c r="C27" s="32" t="s">
        <v>35</v>
      </c>
    </row>
    <row r="28" spans="1:16" s="32" customFormat="1" ht="12" x14ac:dyDescent="0.2">
      <c r="H28" s="37"/>
    </row>
    <row r="29" spans="1:16" s="32" customFormat="1" ht="12" x14ac:dyDescent="0.2">
      <c r="A29" s="32" t="s">
        <v>36</v>
      </c>
    </row>
    <row r="30" spans="1:16" s="32" customFormat="1" ht="12" x14ac:dyDescent="0.2">
      <c r="A30" s="45" t="s">
        <v>17</v>
      </c>
      <c r="B30" s="45"/>
      <c r="C30" s="45"/>
      <c r="D30" s="241" t="s">
        <v>37</v>
      </c>
      <c r="E30" s="241" t="s">
        <v>85</v>
      </c>
      <c r="F30" s="241"/>
      <c r="G30" s="241" t="s">
        <v>39</v>
      </c>
      <c r="J30" s="242"/>
      <c r="K30" s="242"/>
    </row>
    <row r="31" spans="1:16" s="32" customFormat="1" ht="12" x14ac:dyDescent="0.2">
      <c r="A31" s="32" t="s">
        <v>41</v>
      </c>
      <c r="J31" s="243" t="s">
        <v>86</v>
      </c>
      <c r="K31" s="244" t="s">
        <v>138</v>
      </c>
    </row>
    <row r="32" spans="1:16" s="32" customFormat="1" ht="12" x14ac:dyDescent="0.2">
      <c r="A32" s="32" t="s">
        <v>43</v>
      </c>
      <c r="D32" s="242" t="s">
        <v>44</v>
      </c>
      <c r="E32" s="213">
        <v>42.37</v>
      </c>
      <c r="G32" s="36">
        <v>64.94</v>
      </c>
      <c r="J32" s="245" t="s">
        <v>208</v>
      </c>
      <c r="K32" s="246">
        <v>37</v>
      </c>
    </row>
    <row r="33" spans="1:14" s="32" customFormat="1" ht="12" x14ac:dyDescent="0.2">
      <c r="D33" s="36"/>
      <c r="J33" s="247" t="s">
        <v>47</v>
      </c>
      <c r="K33" s="248">
        <v>47</v>
      </c>
    </row>
    <row r="34" spans="1:14" s="32" customFormat="1" ht="12" x14ac:dyDescent="0.2">
      <c r="D34" s="36"/>
      <c r="J34" s="247" t="s">
        <v>139</v>
      </c>
      <c r="K34" s="248">
        <v>3</v>
      </c>
    </row>
    <row r="35" spans="1:14" s="32" customFormat="1" ht="12" x14ac:dyDescent="0.2">
      <c r="A35" s="32" t="s">
        <v>46</v>
      </c>
      <c r="D35" s="36"/>
      <c r="J35" s="249" t="s">
        <v>209</v>
      </c>
      <c r="K35" s="250">
        <v>13</v>
      </c>
    </row>
    <row r="36" spans="1:14" s="32" customFormat="1" ht="12" x14ac:dyDescent="0.2">
      <c r="A36" s="32" t="s">
        <v>48</v>
      </c>
      <c r="D36" s="32" t="s">
        <v>49</v>
      </c>
      <c r="E36" s="36">
        <v>3</v>
      </c>
      <c r="G36" s="36">
        <v>940</v>
      </c>
      <c r="I36" s="251"/>
      <c r="J36" s="252"/>
      <c r="K36" s="253">
        <f>SUM(K32:K35)</f>
        <v>100</v>
      </c>
    </row>
    <row r="37" spans="1:14" s="32" customFormat="1" ht="12" x14ac:dyDescent="0.2">
      <c r="A37" s="32" t="s">
        <v>51</v>
      </c>
      <c r="D37" s="32" t="s">
        <v>49</v>
      </c>
      <c r="E37" s="36">
        <v>18</v>
      </c>
      <c r="I37" s="251"/>
      <c r="J37" s="252"/>
      <c r="K37" s="253"/>
    </row>
    <row r="38" spans="1:14" s="32" customFormat="1" ht="12" x14ac:dyDescent="0.2">
      <c r="A38" s="32" t="s">
        <v>2</v>
      </c>
      <c r="D38" s="32" t="s">
        <v>49</v>
      </c>
      <c r="E38" s="36">
        <v>21</v>
      </c>
      <c r="I38" s="251"/>
      <c r="J38" s="254" t="s">
        <v>40</v>
      </c>
      <c r="K38" s="253">
        <v>1.58</v>
      </c>
    </row>
    <row r="39" spans="1:14" s="32" customFormat="1" ht="12" x14ac:dyDescent="0.2">
      <c r="D39" s="36"/>
      <c r="I39" s="251"/>
      <c r="J39" s="254" t="s">
        <v>42</v>
      </c>
      <c r="K39" s="253">
        <v>1</v>
      </c>
    </row>
    <row r="40" spans="1:14" s="32" customFormat="1" ht="12" x14ac:dyDescent="0.2">
      <c r="A40" s="31" t="s">
        <v>93</v>
      </c>
      <c r="B40" s="31"/>
      <c r="C40" s="31" t="s">
        <v>54</v>
      </c>
      <c r="D40" s="31"/>
      <c r="E40" s="31"/>
      <c r="F40" s="31"/>
      <c r="G40" s="31"/>
      <c r="I40" s="251"/>
      <c r="J40" s="252"/>
      <c r="K40" s="253"/>
    </row>
    <row r="41" spans="1:14" s="32" customFormat="1" ht="12" x14ac:dyDescent="0.2">
      <c r="A41" s="33" t="s">
        <v>94</v>
      </c>
      <c r="B41" s="32" t="s">
        <v>57</v>
      </c>
      <c r="C41" s="112">
        <v>100</v>
      </c>
      <c r="D41" s="33"/>
      <c r="E41" s="36">
        <v>21</v>
      </c>
      <c r="F41" s="49"/>
      <c r="G41" s="49">
        <v>7</v>
      </c>
      <c r="I41" s="49"/>
      <c r="J41" s="251"/>
    </row>
    <row r="42" spans="1:14" s="32" customFormat="1" ht="12" x14ac:dyDescent="0.2">
      <c r="A42" s="33" t="s">
        <v>140</v>
      </c>
      <c r="B42" s="33" t="s">
        <v>58</v>
      </c>
      <c r="C42" s="112">
        <v>100</v>
      </c>
      <c r="D42" s="33"/>
      <c r="E42" s="36">
        <v>75</v>
      </c>
      <c r="F42" s="49"/>
      <c r="G42" s="49">
        <v>7</v>
      </c>
      <c r="I42" s="49"/>
    </row>
    <row r="43" spans="1:14" s="32" customFormat="1" ht="12" x14ac:dyDescent="0.2">
      <c r="A43" s="33"/>
      <c r="B43" s="33" t="s">
        <v>59</v>
      </c>
      <c r="C43" s="112">
        <v>100</v>
      </c>
      <c r="D43" s="33"/>
      <c r="E43" s="36">
        <v>21</v>
      </c>
      <c r="F43" s="49"/>
      <c r="G43" s="49">
        <v>7</v>
      </c>
      <c r="I43" s="49"/>
      <c r="J43" s="251"/>
    </row>
    <row r="44" spans="1:14" s="32" customFormat="1" ht="12" x14ac:dyDescent="0.2">
      <c r="A44" s="31" t="s">
        <v>61</v>
      </c>
      <c r="B44" s="31"/>
      <c r="C44" s="31"/>
      <c r="D44" s="31"/>
      <c r="E44" s="31"/>
      <c r="F44" s="31"/>
      <c r="G44" s="31"/>
      <c r="I44" s="32" t="s">
        <v>210</v>
      </c>
    </row>
    <row r="45" spans="1:14" s="32" customFormat="1" ht="12" x14ac:dyDescent="0.2">
      <c r="A45" s="33" t="s">
        <v>98</v>
      </c>
      <c r="B45" s="33"/>
      <c r="C45" s="33"/>
      <c r="D45" s="33"/>
      <c r="E45" s="33"/>
      <c r="F45" s="48">
        <v>1896</v>
      </c>
      <c r="G45" s="79"/>
      <c r="H45" s="74"/>
      <c r="I45" s="37">
        <f>+F45*2.471</f>
        <v>4685.0160000000005</v>
      </c>
      <c r="N45" s="36"/>
    </row>
    <row r="46" spans="1:14" s="32" customFormat="1" ht="12" x14ac:dyDescent="0.2">
      <c r="A46" s="33" t="s">
        <v>99</v>
      </c>
      <c r="B46" s="33"/>
      <c r="C46" s="33"/>
      <c r="D46" s="33"/>
      <c r="E46" s="33"/>
      <c r="F46" s="49">
        <v>36.25</v>
      </c>
      <c r="G46" s="53"/>
      <c r="I46" s="37"/>
    </row>
    <row r="47" spans="1:14" s="32" customFormat="1" ht="12" x14ac:dyDescent="0.2">
      <c r="A47" s="33" t="s">
        <v>66</v>
      </c>
      <c r="B47" s="33"/>
      <c r="C47" s="33"/>
      <c r="D47" s="33"/>
      <c r="E47" s="33"/>
      <c r="F47" s="54">
        <f>+F45*F46</f>
        <v>68730</v>
      </c>
      <c r="I47" s="37">
        <f>+F47*2.471</f>
        <v>169831.83000000002</v>
      </c>
    </row>
    <row r="48" spans="1:14" s="32" customFormat="1" ht="12" x14ac:dyDescent="0.2">
      <c r="A48" s="33" t="s">
        <v>67</v>
      </c>
      <c r="B48" s="33"/>
      <c r="C48" s="33"/>
      <c r="D48" s="33"/>
      <c r="E48" s="33"/>
      <c r="F48" s="54">
        <f>+F47-K24</f>
        <v>25542</v>
      </c>
      <c r="I48" s="37">
        <f>+F48*2.471</f>
        <v>63114.281999999999</v>
      </c>
    </row>
    <row r="49" spans="1:12" s="32" customFormat="1" ht="12" x14ac:dyDescent="0.2">
      <c r="A49" s="33" t="s">
        <v>68</v>
      </c>
      <c r="B49" s="33"/>
      <c r="C49" s="33"/>
      <c r="D49" s="33"/>
      <c r="E49" s="33"/>
      <c r="F49" s="257">
        <f>+F47-K25</f>
        <v>50629</v>
      </c>
      <c r="I49" s="258">
        <f>+F49*2.471</f>
        <v>125104.25900000001</v>
      </c>
    </row>
    <row r="50" spans="1:12" s="32" customFormat="1" ht="12" x14ac:dyDescent="0.2">
      <c r="A50" s="33" t="s">
        <v>69</v>
      </c>
      <c r="B50" s="33"/>
      <c r="C50" s="33"/>
      <c r="D50" s="33"/>
      <c r="E50" s="33"/>
      <c r="F50" s="49">
        <f>+K24/F45</f>
        <v>22.778481012658229</v>
      </c>
      <c r="G50" s="53"/>
    </row>
    <row r="51" spans="1:12" s="32" customFormat="1" ht="12" x14ac:dyDescent="0.2">
      <c r="A51" s="34" t="s">
        <v>70</v>
      </c>
      <c r="B51" s="34"/>
      <c r="C51" s="34"/>
      <c r="D51" s="34"/>
      <c r="E51" s="34"/>
      <c r="F51" s="255">
        <f>+K25/F45</f>
        <v>9.5469409282700415</v>
      </c>
      <c r="G51" s="55"/>
    </row>
    <row r="52" spans="1:12" s="32" customFormat="1" ht="12" x14ac:dyDescent="0.2">
      <c r="A52" s="33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33"/>
    </row>
    <row r="53" spans="1:12" s="32" customFormat="1" ht="12" x14ac:dyDescent="0.2">
      <c r="A53" s="33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33"/>
    </row>
    <row r="54" spans="1:12" s="32" customFormat="1" ht="12" x14ac:dyDescent="0.2">
      <c r="A54" s="33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33"/>
    </row>
    <row r="55" spans="1:12" s="32" customFormat="1" ht="12" x14ac:dyDescent="0.2">
      <c r="A55" s="33"/>
      <c r="B55" s="96"/>
      <c r="C55" s="96"/>
      <c r="D55" s="96"/>
      <c r="E55" s="96"/>
      <c r="F55" s="96"/>
      <c r="G55" s="96"/>
      <c r="H55" s="96"/>
      <c r="I55" s="33"/>
      <c r="J55" s="96"/>
      <c r="K55" s="96"/>
      <c r="L55" s="33"/>
    </row>
    <row r="56" spans="1:12" s="32" customFormat="1" ht="12" x14ac:dyDescent="0.2">
      <c r="A56" s="33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33"/>
    </row>
    <row r="57" spans="1:12" s="32" customFormat="1" ht="12" x14ac:dyDescent="0.2">
      <c r="A57" s="33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33"/>
    </row>
    <row r="58" spans="1:12" s="32" customFormat="1" ht="12" x14ac:dyDescent="0.2">
      <c r="A58" s="33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33"/>
    </row>
    <row r="59" spans="1:12" s="32" customFormat="1" ht="12" x14ac:dyDescent="0.2">
      <c r="A59" s="33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33"/>
    </row>
    <row r="60" spans="1:12" s="32" customFormat="1" ht="12" x14ac:dyDescent="0.2">
      <c r="A60" s="33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33"/>
    </row>
    <row r="61" spans="1:12" s="32" customFormat="1" ht="12" x14ac:dyDescent="0.2">
      <c r="A61" s="33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33"/>
    </row>
    <row r="62" spans="1:12" s="32" customFormat="1" ht="12" x14ac:dyDescent="0.2">
      <c r="A62" s="33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33"/>
    </row>
    <row r="63" spans="1:12" s="32" customFormat="1" ht="12" x14ac:dyDescent="0.2">
      <c r="A63" s="33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33"/>
    </row>
    <row r="64" spans="1:12" s="32" customFormat="1" ht="12" x14ac:dyDescent="0.2">
      <c r="A64" s="33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33"/>
    </row>
    <row r="65" spans="1:12" s="32" customFormat="1" ht="12" x14ac:dyDescent="0.2">
      <c r="A65" s="33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33"/>
    </row>
    <row r="66" spans="1:12" s="32" customFormat="1" ht="12" x14ac:dyDescent="0.2">
      <c r="A66" s="33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33"/>
    </row>
    <row r="67" spans="1:12" s="32" customFormat="1" ht="12" x14ac:dyDescent="0.2">
      <c r="A67" s="33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33"/>
    </row>
    <row r="68" spans="1:12" s="32" customFormat="1" ht="12" x14ac:dyDescent="0.2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s="32" customFormat="1" ht="12" x14ac:dyDescent="0.2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s="32" customFormat="1" ht="12" x14ac:dyDescent="0.2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s="32" customFormat="1" ht="12" x14ac:dyDescent="0.2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s="32" customFormat="1" ht="12" x14ac:dyDescent="0.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s="32" customFormat="1" ht="12" x14ac:dyDescent="0.2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s="32" customFormat="1" ht="12" x14ac:dyDescent="0.2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s="32" customFormat="1" ht="12" x14ac:dyDescent="0.2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s="32" customFormat="1" ht="12" x14ac:dyDescent="0.2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s="32" customFormat="1" ht="12" x14ac:dyDescent="0.2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s="32" customFormat="1" ht="12" x14ac:dyDescent="0.2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s="32" customFormat="1" ht="12" x14ac:dyDescent="0.2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s="32" customFormat="1" ht="12" x14ac:dyDescent="0.2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s="32" customFormat="1" ht="12" x14ac:dyDescent="0.2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s="32" customFormat="1" ht="12" x14ac:dyDescent="0.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s="32" customFormat="1" ht="12" x14ac:dyDescent="0.2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s="32" customFormat="1" ht="12" x14ac:dyDescent="0.2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s="32" customFormat="1" ht="12" x14ac:dyDescent="0.2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s="32" customFormat="1" ht="12" x14ac:dyDescent="0.2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  <row r="87" spans="1:12" s="32" customFormat="1" ht="12" x14ac:dyDescent="0.2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</row>
    <row r="88" spans="1:12" s="32" customFormat="1" ht="12" x14ac:dyDescent="0.2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M52"/>
  <sheetViews>
    <sheetView topLeftCell="A28" workbookViewId="0">
      <selection activeCell="A5" sqref="A5:XFD7"/>
    </sheetView>
  </sheetViews>
  <sheetFormatPr defaultRowHeight="15" x14ac:dyDescent="0.25"/>
  <sheetData>
    <row r="1" spans="1:13" x14ac:dyDescent="0.25">
      <c r="A1" s="30" t="s">
        <v>73</v>
      </c>
      <c r="B1" s="30"/>
    </row>
    <row r="2" spans="1:13" x14ac:dyDescent="0.25">
      <c r="A2" s="30" t="s">
        <v>137</v>
      </c>
      <c r="B2" s="30"/>
    </row>
    <row r="3" spans="1:13" x14ac:dyDescent="0.25">
      <c r="A3" s="30" t="s">
        <v>171</v>
      </c>
      <c r="B3" s="30"/>
    </row>
    <row r="4" spans="1:13" x14ac:dyDescent="0.25">
      <c r="A4" s="115" t="s">
        <v>72</v>
      </c>
      <c r="B4" s="30"/>
    </row>
    <row r="5" spans="1:13" s="452" customFormat="1" ht="12" x14ac:dyDescent="0.2">
      <c r="A5" s="445" t="s">
        <v>0</v>
      </c>
      <c r="B5" s="445"/>
      <c r="C5" s="445"/>
      <c r="D5" s="445" t="s">
        <v>1</v>
      </c>
      <c r="E5" s="445" t="s">
        <v>2</v>
      </c>
      <c r="F5" s="445" t="s">
        <v>3</v>
      </c>
      <c r="G5" s="445" t="s">
        <v>4</v>
      </c>
      <c r="H5" s="445" t="s">
        <v>5</v>
      </c>
      <c r="I5" s="445" t="s">
        <v>6</v>
      </c>
      <c r="J5" s="445" t="s">
        <v>7</v>
      </c>
      <c r="K5" s="445" t="s">
        <v>8</v>
      </c>
      <c r="L5" s="445" t="s">
        <v>9</v>
      </c>
      <c r="M5" s="445" t="s">
        <v>10</v>
      </c>
    </row>
    <row r="6" spans="1:13" s="452" customFormat="1" ht="12" x14ac:dyDescent="0.2">
      <c r="A6" s="97"/>
      <c r="B6" s="97"/>
      <c r="C6" s="97"/>
      <c r="D6" s="97" t="s">
        <v>11</v>
      </c>
      <c r="E6" s="97" t="s">
        <v>12</v>
      </c>
      <c r="F6" s="97" t="s">
        <v>13</v>
      </c>
      <c r="G6" s="97" t="s">
        <v>14</v>
      </c>
      <c r="H6" s="97" t="s">
        <v>15</v>
      </c>
      <c r="I6" s="97" t="s">
        <v>16</v>
      </c>
      <c r="J6" s="97" t="s">
        <v>15</v>
      </c>
      <c r="K6" s="97" t="s">
        <v>15</v>
      </c>
      <c r="L6" s="97" t="s">
        <v>17</v>
      </c>
      <c r="M6" s="97" t="s">
        <v>18</v>
      </c>
    </row>
    <row r="7" spans="1:13" s="452" customFormat="1" ht="12" x14ac:dyDescent="0.2">
      <c r="A7" s="98"/>
      <c r="B7" s="98"/>
      <c r="C7" s="98"/>
      <c r="D7" s="98"/>
      <c r="E7" s="98"/>
      <c r="F7" s="98"/>
      <c r="G7" s="98"/>
      <c r="H7" s="98" t="s">
        <v>20</v>
      </c>
      <c r="I7" s="98" t="s">
        <v>21</v>
      </c>
      <c r="J7" s="98" t="s">
        <v>20</v>
      </c>
      <c r="K7" s="98" t="s">
        <v>20</v>
      </c>
      <c r="L7" s="98" t="s">
        <v>18</v>
      </c>
      <c r="M7" s="98"/>
    </row>
    <row r="8" spans="1:13" s="251" customFormat="1" ht="12" x14ac:dyDescent="0.2">
      <c r="A8" s="79" t="s">
        <v>119</v>
      </c>
      <c r="B8" s="79"/>
      <c r="C8" s="79"/>
      <c r="D8" s="95">
        <v>64</v>
      </c>
      <c r="E8" s="94">
        <v>0.6</v>
      </c>
      <c r="F8" s="94">
        <v>0.6</v>
      </c>
      <c r="G8" s="50">
        <v>1000</v>
      </c>
      <c r="H8" s="50">
        <v>600</v>
      </c>
      <c r="I8" s="50"/>
      <c r="J8" s="50"/>
      <c r="K8" s="50">
        <v>600</v>
      </c>
      <c r="L8" s="50"/>
      <c r="M8" s="50"/>
    </row>
    <row r="9" spans="1:13" s="251" customFormat="1" ht="12" x14ac:dyDescent="0.2">
      <c r="A9" s="81" t="s">
        <v>23</v>
      </c>
      <c r="B9" s="81"/>
      <c r="C9" s="81"/>
      <c r="D9" s="83">
        <v>64</v>
      </c>
      <c r="E9" s="87">
        <v>0.57999999999999996</v>
      </c>
      <c r="F9" s="87">
        <v>0.57999999999999996</v>
      </c>
      <c r="G9" s="38">
        <v>1000</v>
      </c>
      <c r="H9" s="145">
        <v>580</v>
      </c>
      <c r="I9" s="38">
        <v>7307</v>
      </c>
      <c r="J9" s="38"/>
      <c r="K9" s="50">
        <v>7887</v>
      </c>
      <c r="L9" s="38"/>
      <c r="M9" s="38">
        <v>779</v>
      </c>
    </row>
    <row r="10" spans="1:13" s="251" customFormat="1" ht="12" x14ac:dyDescent="0.2">
      <c r="A10" s="81" t="s">
        <v>24</v>
      </c>
      <c r="B10" s="81"/>
      <c r="C10" s="81"/>
      <c r="D10" s="259" t="s">
        <v>196</v>
      </c>
      <c r="E10" s="81"/>
      <c r="F10" s="81"/>
      <c r="G10" s="38"/>
      <c r="H10" s="38"/>
      <c r="I10" s="35" t="s">
        <v>211</v>
      </c>
      <c r="J10" s="38"/>
      <c r="K10" s="50"/>
      <c r="L10" s="260"/>
      <c r="M10" s="38"/>
    </row>
    <row r="11" spans="1:13" s="251" customFormat="1" ht="12" x14ac:dyDescent="0.2">
      <c r="A11" s="81" t="s">
        <v>25</v>
      </c>
      <c r="B11" s="81"/>
      <c r="C11" s="81"/>
      <c r="D11" s="38">
        <v>100</v>
      </c>
      <c r="E11" s="81">
        <v>4.49</v>
      </c>
      <c r="F11" s="81">
        <v>1.56</v>
      </c>
      <c r="G11" s="261">
        <v>1066</v>
      </c>
      <c r="H11" s="38">
        <v>4786</v>
      </c>
      <c r="I11" s="260"/>
      <c r="J11" s="38"/>
      <c r="K11" s="50">
        <v>4786</v>
      </c>
      <c r="L11" s="38"/>
      <c r="M11" s="38"/>
    </row>
    <row r="12" spans="1:13" s="251" customFormat="1" ht="12" x14ac:dyDescent="0.2">
      <c r="A12" s="81" t="s">
        <v>26</v>
      </c>
      <c r="B12" s="81"/>
      <c r="C12" s="81"/>
      <c r="D12" s="38">
        <v>100</v>
      </c>
      <c r="E12" s="81">
        <v>2.81</v>
      </c>
      <c r="F12" s="81">
        <v>1.03</v>
      </c>
      <c r="G12" s="38">
        <v>1034</v>
      </c>
      <c r="H12" s="38">
        <v>2906</v>
      </c>
      <c r="I12" s="260"/>
      <c r="J12" s="145">
        <v>3219</v>
      </c>
      <c r="K12" s="50">
        <v>6125</v>
      </c>
      <c r="L12" s="38">
        <v>1113</v>
      </c>
      <c r="M12" s="38"/>
    </row>
    <row r="13" spans="1:13" s="251" customFormat="1" ht="12" x14ac:dyDescent="0.2">
      <c r="A13" s="81" t="s">
        <v>27</v>
      </c>
      <c r="B13" s="81"/>
      <c r="C13" s="81"/>
      <c r="D13" s="38">
        <v>100</v>
      </c>
      <c r="E13" s="87">
        <v>1.01</v>
      </c>
      <c r="F13" s="87">
        <v>1.01</v>
      </c>
      <c r="G13" s="38">
        <v>1000</v>
      </c>
      <c r="H13" s="38">
        <v>1010</v>
      </c>
      <c r="I13" s="38"/>
      <c r="J13" s="145">
        <v>987</v>
      </c>
      <c r="K13" s="50">
        <v>1997</v>
      </c>
      <c r="L13" s="38"/>
      <c r="M13" s="38"/>
    </row>
    <row r="14" spans="1:13" s="251" customFormat="1" ht="12" x14ac:dyDescent="0.2">
      <c r="A14" s="81" t="s">
        <v>28</v>
      </c>
      <c r="B14" s="81"/>
      <c r="C14" s="81"/>
      <c r="D14" s="83">
        <v>98</v>
      </c>
      <c r="E14" s="87">
        <v>0.41</v>
      </c>
      <c r="F14" s="87">
        <v>0.41</v>
      </c>
      <c r="G14" s="38">
        <v>1057</v>
      </c>
      <c r="H14" s="38">
        <v>433</v>
      </c>
      <c r="I14" s="38"/>
      <c r="J14" s="38">
        <v>2171</v>
      </c>
      <c r="K14" s="50">
        <v>2604</v>
      </c>
      <c r="L14" s="38"/>
      <c r="M14" s="38"/>
    </row>
    <row r="15" spans="1:13" s="251" customFormat="1" ht="12" x14ac:dyDescent="0.2">
      <c r="A15" s="81" t="s">
        <v>29</v>
      </c>
      <c r="B15" s="81"/>
      <c r="C15" s="81"/>
      <c r="D15" s="262">
        <v>50</v>
      </c>
      <c r="E15" s="81">
        <v>0.56999999999999995</v>
      </c>
      <c r="F15" s="81">
        <v>0.55000000000000004</v>
      </c>
      <c r="G15" s="38">
        <v>978</v>
      </c>
      <c r="H15" s="38">
        <v>557</v>
      </c>
      <c r="I15" s="38"/>
      <c r="J15" s="145">
        <v>1170</v>
      </c>
      <c r="K15" s="50">
        <v>1727</v>
      </c>
      <c r="L15" s="38"/>
      <c r="M15" s="38"/>
    </row>
    <row r="16" spans="1:13" s="251" customFormat="1" ht="12" x14ac:dyDescent="0.2">
      <c r="A16" s="81" t="s">
        <v>30</v>
      </c>
      <c r="B16" s="81"/>
      <c r="C16" s="81"/>
      <c r="D16" s="38">
        <v>100</v>
      </c>
      <c r="E16" s="81">
        <v>4.8600000000000003</v>
      </c>
      <c r="F16" s="81">
        <v>4.8600000000000003</v>
      </c>
      <c r="G16" s="38">
        <v>978</v>
      </c>
      <c r="H16" s="38">
        <v>4753</v>
      </c>
      <c r="I16" s="38"/>
      <c r="J16" s="38"/>
      <c r="K16" s="50">
        <v>4753</v>
      </c>
      <c r="L16" s="38"/>
      <c r="M16" s="38"/>
    </row>
    <row r="17" spans="1:13" s="251" customFormat="1" ht="12" x14ac:dyDescent="0.2">
      <c r="A17" s="81" t="s">
        <v>212</v>
      </c>
      <c r="B17" s="81"/>
      <c r="C17" s="81"/>
      <c r="D17" s="83">
        <v>54</v>
      </c>
      <c r="E17" s="87">
        <v>9.5</v>
      </c>
      <c r="F17" s="87">
        <v>3</v>
      </c>
      <c r="G17" s="38">
        <v>966</v>
      </c>
      <c r="H17" s="38">
        <v>9177</v>
      </c>
      <c r="I17" s="38"/>
      <c r="J17" s="38"/>
      <c r="K17" s="50">
        <v>9177</v>
      </c>
      <c r="L17" s="38"/>
      <c r="M17" s="38"/>
    </row>
    <row r="18" spans="1:13" s="251" customFormat="1" ht="12" x14ac:dyDescent="0.2">
      <c r="A18" s="81" t="s">
        <v>31</v>
      </c>
      <c r="B18" s="81"/>
      <c r="C18" s="81"/>
      <c r="D18" s="263" t="s">
        <v>213</v>
      </c>
      <c r="E18" s="87"/>
      <c r="F18" s="87"/>
      <c r="G18" s="38"/>
      <c r="H18" s="35"/>
      <c r="I18" s="35" t="s">
        <v>214</v>
      </c>
      <c r="J18" s="38"/>
      <c r="K18" s="50"/>
      <c r="L18" s="38"/>
      <c r="M18" s="38"/>
    </row>
    <row r="19" spans="1:13" s="251" customFormat="1" ht="12" x14ac:dyDescent="0.2">
      <c r="A19" s="81" t="s">
        <v>215</v>
      </c>
      <c r="B19" s="81"/>
      <c r="C19" s="81"/>
      <c r="D19" s="83">
        <v>54</v>
      </c>
      <c r="E19" s="87">
        <v>1.1599999999999999</v>
      </c>
      <c r="F19" s="87">
        <v>0.24</v>
      </c>
      <c r="G19" s="83">
        <v>1023</v>
      </c>
      <c r="H19" s="38">
        <v>1187</v>
      </c>
      <c r="I19" s="204">
        <v>3499</v>
      </c>
      <c r="J19" s="38"/>
      <c r="K19" s="50">
        <v>4686</v>
      </c>
      <c r="L19" s="38"/>
      <c r="M19" s="38"/>
    </row>
    <row r="20" spans="1:13" s="251" customFormat="1" ht="12" x14ac:dyDescent="0.2">
      <c r="A20" s="80" t="s">
        <v>32</v>
      </c>
      <c r="B20" s="80"/>
      <c r="C20" s="80"/>
      <c r="D20" s="42">
        <v>40</v>
      </c>
      <c r="E20" s="80">
        <v>0.14000000000000001</v>
      </c>
      <c r="F20" s="80">
        <v>0.12</v>
      </c>
      <c r="G20" s="152">
        <v>1000</v>
      </c>
      <c r="H20" s="38">
        <v>140</v>
      </c>
      <c r="I20" s="42">
        <v>696</v>
      </c>
      <c r="J20" s="42"/>
      <c r="K20" s="50">
        <v>836</v>
      </c>
      <c r="L20" s="260"/>
      <c r="M20" s="38"/>
    </row>
    <row r="21" spans="1:13" s="251" customFormat="1" ht="12" x14ac:dyDescent="0.2">
      <c r="A21" s="88" t="s">
        <v>33</v>
      </c>
      <c r="B21" s="88"/>
      <c r="C21" s="88"/>
      <c r="D21" s="88"/>
      <c r="E21" s="88">
        <v>26.130000000000003</v>
      </c>
      <c r="F21" s="88">
        <v>13.96</v>
      </c>
      <c r="G21" s="39">
        <v>11102</v>
      </c>
      <c r="H21" s="39">
        <v>26129</v>
      </c>
      <c r="I21" s="39">
        <v>11502</v>
      </c>
      <c r="J21" s="39">
        <v>7547</v>
      </c>
      <c r="K21" s="39">
        <v>45178</v>
      </c>
      <c r="L21" s="39">
        <v>1113</v>
      </c>
      <c r="M21" s="39">
        <v>779</v>
      </c>
    </row>
    <row r="22" spans="1:13" s="251" customFormat="1" ht="12" x14ac:dyDescent="0.2">
      <c r="A22" s="80" t="s">
        <v>34</v>
      </c>
      <c r="B22" s="80"/>
      <c r="C22" s="80"/>
      <c r="D22" s="80"/>
      <c r="E22" s="80">
        <v>12.170000000000002</v>
      </c>
      <c r="F22" s="80"/>
      <c r="G22" s="42"/>
      <c r="H22" s="42">
        <v>12170</v>
      </c>
      <c r="I22" s="42">
        <v>10723</v>
      </c>
      <c r="J22" s="42">
        <v>6433</v>
      </c>
      <c r="K22" s="42">
        <v>29326</v>
      </c>
      <c r="L22" s="42"/>
      <c r="M22" s="42"/>
    </row>
    <row r="23" spans="1:13" s="251" customFormat="1" ht="12" x14ac:dyDescent="0.2">
      <c r="A23" s="264"/>
      <c r="B23" s="81"/>
      <c r="C23" s="81"/>
      <c r="D23" s="81" t="s">
        <v>35</v>
      </c>
      <c r="E23" s="81"/>
      <c r="F23" s="81"/>
      <c r="G23" s="81"/>
      <c r="H23" s="81"/>
      <c r="I23" s="81"/>
      <c r="J23" s="81"/>
      <c r="K23" s="81"/>
      <c r="L23" s="81"/>
      <c r="M23" s="81"/>
    </row>
    <row r="24" spans="1:13" s="251" customFormat="1" ht="12" x14ac:dyDescent="0.2">
      <c r="A24" s="81" t="s">
        <v>36</v>
      </c>
      <c r="B24" s="81"/>
      <c r="C24" s="264"/>
      <c r="D24" s="81"/>
      <c r="E24" s="148"/>
      <c r="F24" s="148"/>
      <c r="G24" s="148"/>
      <c r="H24" s="89"/>
      <c r="I24" s="79"/>
      <c r="J24" s="38"/>
      <c r="K24" s="81"/>
      <c r="L24" s="81"/>
      <c r="M24" s="81"/>
    </row>
    <row r="25" spans="1:13" s="251" customFormat="1" ht="12" x14ac:dyDescent="0.2">
      <c r="A25" s="88" t="s">
        <v>17</v>
      </c>
      <c r="B25" s="88"/>
      <c r="C25" s="88"/>
      <c r="D25" s="88" t="s">
        <v>37</v>
      </c>
      <c r="E25" s="81" t="s">
        <v>38</v>
      </c>
      <c r="F25" s="81"/>
      <c r="G25" s="81" t="s">
        <v>39</v>
      </c>
      <c r="H25" s="79"/>
      <c r="I25" s="81"/>
      <c r="J25" s="50"/>
      <c r="K25" s="81"/>
      <c r="L25" s="81"/>
      <c r="M25" s="81"/>
    </row>
    <row r="26" spans="1:13" s="251" customFormat="1" ht="12" x14ac:dyDescent="0.2">
      <c r="A26" s="148"/>
      <c r="B26" s="148"/>
      <c r="C26" s="148"/>
      <c r="D26" s="148"/>
      <c r="E26" s="148"/>
      <c r="F26" s="148"/>
      <c r="G26" s="148"/>
      <c r="H26" s="89"/>
      <c r="I26" s="264"/>
      <c r="J26" s="265"/>
      <c r="K26" s="150" t="s">
        <v>40</v>
      </c>
      <c r="L26" s="150">
        <v>1.68</v>
      </c>
      <c r="M26" s="81"/>
    </row>
    <row r="27" spans="1:13" s="251" customFormat="1" ht="12" x14ac:dyDescent="0.2">
      <c r="A27" s="81" t="s">
        <v>41</v>
      </c>
      <c r="B27" s="81"/>
      <c r="C27" s="81"/>
      <c r="D27" s="81"/>
      <c r="E27" s="81"/>
      <c r="F27" s="81"/>
      <c r="G27" s="81"/>
      <c r="H27" s="81"/>
      <c r="I27" s="264"/>
      <c r="J27" s="265"/>
      <c r="K27" s="150" t="s">
        <v>42</v>
      </c>
      <c r="L27" s="150">
        <v>1</v>
      </c>
      <c r="M27" s="81"/>
    </row>
    <row r="28" spans="1:13" s="251" customFormat="1" ht="12" x14ac:dyDescent="0.2">
      <c r="A28" s="81" t="s">
        <v>43</v>
      </c>
      <c r="B28" s="81"/>
      <c r="C28" s="81"/>
      <c r="D28" s="93" t="s">
        <v>44</v>
      </c>
      <c r="E28" s="93">
        <v>47.64</v>
      </c>
      <c r="F28" s="93"/>
      <c r="G28" s="93">
        <v>67.56</v>
      </c>
      <c r="H28" s="81"/>
      <c r="I28" s="81"/>
      <c r="J28" s="147"/>
      <c r="K28" s="147"/>
      <c r="L28" s="147"/>
      <c r="M28" s="81"/>
    </row>
    <row r="29" spans="1:13" s="251" customFormat="1" ht="12" x14ac:dyDescent="0.2">
      <c r="A29" s="147"/>
      <c r="B29" s="147"/>
      <c r="C29" s="147"/>
      <c r="D29" s="147"/>
      <c r="E29" s="147"/>
      <c r="F29" s="147"/>
      <c r="G29" s="147"/>
      <c r="H29" s="81"/>
      <c r="I29" s="79"/>
      <c r="J29" s="81"/>
      <c r="K29" s="151" t="s">
        <v>45</v>
      </c>
      <c r="L29" s="266"/>
      <c r="M29" s="81"/>
    </row>
    <row r="30" spans="1:13" s="251" customFormat="1" ht="12" x14ac:dyDescent="0.2">
      <c r="A30" s="147" t="s">
        <v>46</v>
      </c>
      <c r="B30" s="147"/>
      <c r="C30" s="147"/>
      <c r="D30" s="147"/>
      <c r="E30" s="147"/>
      <c r="F30" s="147"/>
      <c r="G30" s="147"/>
      <c r="H30" s="81"/>
      <c r="I30" s="81"/>
      <c r="J30" s="79"/>
      <c r="K30" s="267" t="s">
        <v>86</v>
      </c>
      <c r="L30" s="268" t="s">
        <v>138</v>
      </c>
      <c r="M30" s="81"/>
    </row>
    <row r="31" spans="1:13" s="251" customFormat="1" ht="12" x14ac:dyDescent="0.2">
      <c r="A31" s="147" t="s">
        <v>48</v>
      </c>
      <c r="B31" s="147"/>
      <c r="C31" s="147"/>
      <c r="D31" s="147" t="s">
        <v>49</v>
      </c>
      <c r="E31" s="152">
        <v>12</v>
      </c>
      <c r="F31" s="147"/>
      <c r="G31" s="152">
        <v>999.97971680061232</v>
      </c>
      <c r="H31" s="81"/>
      <c r="I31" s="264"/>
      <c r="J31" s="264"/>
      <c r="K31" s="73" t="s">
        <v>159</v>
      </c>
      <c r="L31" s="269">
        <v>36.659999999999997</v>
      </c>
      <c r="M31" s="264"/>
    </row>
    <row r="32" spans="1:13" s="251" customFormat="1" ht="12" x14ac:dyDescent="0.2">
      <c r="A32" s="147" t="s">
        <v>51</v>
      </c>
      <c r="B32" s="147"/>
      <c r="C32" s="147"/>
      <c r="D32" s="147" t="s">
        <v>49</v>
      </c>
      <c r="E32" s="152">
        <v>14</v>
      </c>
      <c r="F32" s="147"/>
      <c r="G32" s="147"/>
      <c r="H32" s="81"/>
      <c r="I32" s="264"/>
      <c r="J32" s="264"/>
      <c r="K32" s="73" t="s">
        <v>216</v>
      </c>
      <c r="L32" s="269">
        <v>13.33</v>
      </c>
      <c r="M32" s="264"/>
    </row>
    <row r="33" spans="1:13" s="251" customFormat="1" ht="12" x14ac:dyDescent="0.2">
      <c r="A33" s="147" t="s">
        <v>2</v>
      </c>
      <c r="B33" s="147"/>
      <c r="C33" s="147"/>
      <c r="D33" s="147" t="s">
        <v>49</v>
      </c>
      <c r="E33" s="152">
        <v>26</v>
      </c>
      <c r="F33" s="147"/>
      <c r="G33" s="147"/>
      <c r="H33" s="81"/>
      <c r="I33" s="270"/>
      <c r="J33" s="230"/>
      <c r="K33" s="73" t="s">
        <v>91</v>
      </c>
      <c r="L33" s="109">
        <v>13.33</v>
      </c>
      <c r="M33" s="264"/>
    </row>
    <row r="34" spans="1:13" s="251" customFormat="1" ht="12" x14ac:dyDescent="0.2">
      <c r="A34" s="147"/>
      <c r="B34" s="147"/>
      <c r="C34" s="147"/>
      <c r="D34" s="147"/>
      <c r="E34" s="147"/>
      <c r="F34" s="147"/>
      <c r="G34" s="147"/>
      <c r="H34" s="81"/>
      <c r="I34" s="270"/>
      <c r="J34" s="230"/>
      <c r="K34" s="73" t="s">
        <v>217</v>
      </c>
      <c r="L34" s="109">
        <v>10</v>
      </c>
      <c r="M34" s="264"/>
    </row>
    <row r="35" spans="1:13" s="251" customFormat="1" ht="12" x14ac:dyDescent="0.2">
      <c r="A35" s="80" t="s">
        <v>53</v>
      </c>
      <c r="B35" s="80" t="s">
        <v>54</v>
      </c>
      <c r="C35" s="80"/>
      <c r="D35" s="153"/>
      <c r="E35" s="153"/>
      <c r="F35" s="153"/>
      <c r="G35" s="153"/>
      <c r="H35" s="81"/>
      <c r="I35" s="264"/>
      <c r="J35" s="230"/>
      <c r="K35" s="73" t="s">
        <v>92</v>
      </c>
      <c r="L35" s="109">
        <v>26.64</v>
      </c>
      <c r="M35" s="264"/>
    </row>
    <row r="36" spans="1:13" s="251" customFormat="1" ht="12" x14ac:dyDescent="0.2">
      <c r="A36" s="90" t="s">
        <v>56</v>
      </c>
      <c r="B36" s="38"/>
      <c r="C36" s="38"/>
      <c r="D36" s="81"/>
      <c r="E36" s="264"/>
      <c r="F36" s="81"/>
      <c r="G36" s="81"/>
      <c r="H36" s="81"/>
      <c r="I36" s="271"/>
      <c r="J36" s="264"/>
      <c r="K36" s="110"/>
      <c r="L36" s="110"/>
      <c r="M36" s="264"/>
    </row>
    <row r="37" spans="1:13" s="251" customFormat="1" ht="12" x14ac:dyDescent="0.2">
      <c r="A37" s="81" t="s">
        <v>57</v>
      </c>
      <c r="B37" s="83">
        <v>100</v>
      </c>
      <c r="C37" s="86"/>
      <c r="D37" s="81" t="s">
        <v>44</v>
      </c>
      <c r="E37" s="272">
        <v>29</v>
      </c>
      <c r="F37" s="81"/>
      <c r="G37" s="81">
        <v>7</v>
      </c>
      <c r="H37" s="81"/>
      <c r="I37" s="230"/>
      <c r="J37" s="81"/>
      <c r="K37" s="110"/>
      <c r="L37" s="110"/>
      <c r="M37" s="264"/>
    </row>
    <row r="38" spans="1:13" s="251" customFormat="1" ht="12" x14ac:dyDescent="0.2">
      <c r="A38" s="81" t="s">
        <v>58</v>
      </c>
      <c r="B38" s="83">
        <v>48</v>
      </c>
      <c r="C38" s="81"/>
      <c r="D38" s="81" t="s">
        <v>44</v>
      </c>
      <c r="E38" s="272">
        <v>24</v>
      </c>
      <c r="F38" s="81"/>
      <c r="G38" s="86">
        <v>7</v>
      </c>
      <c r="H38" s="81"/>
      <c r="I38" s="81"/>
      <c r="J38" s="81"/>
      <c r="K38" s="110"/>
      <c r="L38" s="110"/>
      <c r="M38" s="264"/>
    </row>
    <row r="39" spans="1:13" s="251" customFormat="1" ht="12" x14ac:dyDescent="0.2">
      <c r="A39" s="90" t="s">
        <v>60</v>
      </c>
      <c r="B39" s="81"/>
      <c r="C39" s="38"/>
      <c r="D39" s="81"/>
      <c r="E39" s="81"/>
      <c r="F39" s="81"/>
      <c r="G39" s="81"/>
      <c r="H39" s="81"/>
      <c r="I39" s="147"/>
      <c r="J39" s="50"/>
      <c r="K39" s="110"/>
      <c r="L39" s="110"/>
      <c r="M39" s="81"/>
    </row>
    <row r="40" spans="1:13" s="251" customFormat="1" ht="12" x14ac:dyDescent="0.2">
      <c r="A40" s="81" t="s">
        <v>58</v>
      </c>
      <c r="B40" s="81">
        <v>100</v>
      </c>
      <c r="C40" s="273"/>
      <c r="D40" s="81" t="s">
        <v>44</v>
      </c>
      <c r="E40" s="81">
        <v>68</v>
      </c>
      <c r="F40" s="81"/>
      <c r="G40" s="81">
        <v>7</v>
      </c>
      <c r="H40" s="81"/>
      <c r="I40" s="79"/>
      <c r="J40" s="274"/>
      <c r="K40" s="230"/>
      <c r="L40" s="230"/>
      <c r="M40" s="230"/>
    </row>
    <row r="41" spans="1:13" s="251" customFormat="1" ht="12" x14ac:dyDescent="0.2">
      <c r="A41" s="81" t="s">
        <v>59</v>
      </c>
      <c r="B41" s="83">
        <v>88</v>
      </c>
      <c r="C41" s="273"/>
      <c r="D41" s="81" t="s">
        <v>44</v>
      </c>
      <c r="E41" s="86">
        <v>20</v>
      </c>
      <c r="F41" s="81"/>
      <c r="G41" s="86">
        <v>7</v>
      </c>
      <c r="H41" s="81"/>
      <c r="I41" s="81"/>
      <c r="J41" s="50"/>
      <c r="K41" s="81"/>
      <c r="L41" s="81"/>
      <c r="M41" s="81"/>
    </row>
    <row r="42" spans="1:13" s="251" customFormat="1" ht="12" x14ac:dyDescent="0.2">
      <c r="A42" s="81"/>
      <c r="B42" s="38"/>
      <c r="C42" s="35"/>
      <c r="D42" s="81"/>
      <c r="E42" s="86"/>
      <c r="F42" s="81"/>
      <c r="G42" s="86"/>
      <c r="H42" s="81"/>
      <c r="I42" s="81"/>
      <c r="J42" s="81"/>
      <c r="K42" s="81"/>
      <c r="L42" s="81"/>
      <c r="M42" s="81"/>
    </row>
    <row r="43" spans="1:13" s="251" customFormat="1" ht="12" x14ac:dyDescent="0.2">
      <c r="A43" s="81" t="s">
        <v>61</v>
      </c>
      <c r="B43" s="81"/>
      <c r="C43" s="81"/>
      <c r="D43" s="81"/>
      <c r="E43" s="81"/>
      <c r="F43" s="81"/>
      <c r="G43" s="90" t="s">
        <v>62</v>
      </c>
      <c r="H43" s="81"/>
      <c r="I43" s="90" t="s">
        <v>63</v>
      </c>
      <c r="J43" s="81"/>
      <c r="K43" s="81"/>
      <c r="L43" s="81"/>
      <c r="M43" s="81"/>
    </row>
    <row r="44" spans="1:13" s="251" customFormat="1" ht="12" x14ac:dyDescent="0.2">
      <c r="A44" s="148"/>
      <c r="B44" s="148"/>
      <c r="C44" s="80"/>
      <c r="D44" s="80"/>
      <c r="E44" s="80"/>
      <c r="F44" s="80"/>
      <c r="G44" s="80"/>
      <c r="H44" s="80"/>
      <c r="I44" s="275"/>
      <c r="J44" s="80"/>
      <c r="K44" s="81"/>
      <c r="L44" s="81"/>
      <c r="M44" s="81"/>
    </row>
    <row r="45" spans="1:13" s="251" customFormat="1" ht="12" x14ac:dyDescent="0.2">
      <c r="A45" s="81" t="s">
        <v>64</v>
      </c>
      <c r="B45" s="81"/>
      <c r="C45" s="81"/>
      <c r="D45" s="81"/>
      <c r="E45" s="81"/>
      <c r="F45" s="81"/>
      <c r="G45" s="81">
        <v>2050</v>
      </c>
      <c r="H45" s="81"/>
      <c r="I45" s="38">
        <v>5066</v>
      </c>
      <c r="J45" s="81"/>
      <c r="K45" s="81"/>
      <c r="L45" s="81"/>
      <c r="M45" s="81"/>
    </row>
    <row r="46" spans="1:13" s="251" customFormat="1" ht="12" x14ac:dyDescent="0.2">
      <c r="A46" s="81" t="s">
        <v>65</v>
      </c>
      <c r="B46" s="81"/>
      <c r="C46" s="81"/>
      <c r="D46" s="81"/>
      <c r="E46" s="81"/>
      <c r="F46" s="93"/>
      <c r="G46" s="93">
        <v>37</v>
      </c>
      <c r="H46" s="93"/>
      <c r="I46" s="38"/>
      <c r="J46" s="81"/>
      <c r="K46" s="81"/>
      <c r="L46" s="81"/>
      <c r="M46" s="81"/>
    </row>
    <row r="47" spans="1:13" s="251" customFormat="1" ht="12" x14ac:dyDescent="0.2">
      <c r="A47" s="81" t="s">
        <v>66</v>
      </c>
      <c r="B47" s="81"/>
      <c r="C47" s="81"/>
      <c r="D47" s="81"/>
      <c r="E47" s="81"/>
      <c r="F47" s="93"/>
      <c r="G47" s="93">
        <v>75850</v>
      </c>
      <c r="H47" s="93"/>
      <c r="I47" s="38">
        <v>187425</v>
      </c>
      <c r="J47" s="81"/>
      <c r="K47" s="81"/>
      <c r="L47" s="81"/>
      <c r="M47" s="81"/>
    </row>
    <row r="48" spans="1:13" s="251" customFormat="1" ht="12" x14ac:dyDescent="0.2">
      <c r="A48" s="81" t="s">
        <v>67</v>
      </c>
      <c r="B48" s="81"/>
      <c r="C48" s="81"/>
      <c r="D48" s="81"/>
      <c r="E48" s="81"/>
      <c r="F48" s="93"/>
      <c r="G48" s="93">
        <v>30672</v>
      </c>
      <c r="H48" s="93"/>
      <c r="I48" s="38">
        <v>75791</v>
      </c>
      <c r="J48" s="81"/>
      <c r="K48" s="81"/>
      <c r="L48" s="81"/>
      <c r="M48" s="81"/>
    </row>
    <row r="49" spans="1:13" s="251" customFormat="1" ht="12" x14ac:dyDescent="0.2">
      <c r="A49" s="81" t="s">
        <v>68</v>
      </c>
      <c r="B49" s="81"/>
      <c r="C49" s="81"/>
      <c r="D49" s="81"/>
      <c r="E49" s="81"/>
      <c r="F49" s="93"/>
      <c r="G49" s="276">
        <v>46524</v>
      </c>
      <c r="H49" s="93"/>
      <c r="I49" s="38">
        <v>114961</v>
      </c>
      <c r="J49" s="81"/>
      <c r="K49" s="81"/>
      <c r="L49" s="81"/>
      <c r="M49" s="81"/>
    </row>
    <row r="50" spans="1:13" s="251" customFormat="1" ht="12" x14ac:dyDescent="0.2">
      <c r="A50" s="81" t="s">
        <v>69</v>
      </c>
      <c r="B50" s="81"/>
      <c r="C50" s="81"/>
      <c r="D50" s="81"/>
      <c r="E50" s="81"/>
      <c r="F50" s="93"/>
      <c r="G50" s="93">
        <f>+K21/G45</f>
        <v>22.038048780487806</v>
      </c>
      <c r="H50" s="93"/>
      <c r="J50" s="81"/>
      <c r="K50" s="81"/>
      <c r="L50" s="81"/>
      <c r="M50" s="81"/>
    </row>
    <row r="51" spans="1:13" s="251" customFormat="1" ht="12" x14ac:dyDescent="0.2">
      <c r="A51" s="81" t="s">
        <v>70</v>
      </c>
      <c r="B51" s="81"/>
      <c r="C51" s="81"/>
      <c r="D51" s="81"/>
      <c r="E51" s="81"/>
      <c r="F51" s="93"/>
      <c r="G51" s="93">
        <f>+K22/G45</f>
        <v>14.305365853658536</v>
      </c>
      <c r="H51" s="93"/>
      <c r="J51" s="81"/>
      <c r="K51" s="81"/>
      <c r="L51" s="81"/>
      <c r="M51" s="81"/>
    </row>
    <row r="52" spans="1:13" s="251" customFormat="1" ht="12" x14ac:dyDescent="0.2">
      <c r="A52" s="148"/>
      <c r="B52" s="148"/>
      <c r="C52" s="148"/>
      <c r="D52" s="148"/>
      <c r="E52" s="148"/>
      <c r="F52" s="277"/>
      <c r="G52" s="277"/>
      <c r="H52" s="153"/>
      <c r="I52" s="153"/>
      <c r="J52" s="81"/>
      <c r="K52" s="81"/>
      <c r="L52" s="81"/>
      <c r="M52" s="8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D59"/>
  <sheetViews>
    <sheetView topLeftCell="A31" workbookViewId="0">
      <selection activeCell="K51" sqref="K51"/>
    </sheetView>
  </sheetViews>
  <sheetFormatPr defaultRowHeight="15" x14ac:dyDescent="0.25"/>
  <cols>
    <col min="1" max="16384" width="9.140625" style="283"/>
  </cols>
  <sheetData>
    <row r="1" spans="1:30" x14ac:dyDescent="0.25">
      <c r="A1" s="282" t="s">
        <v>73</v>
      </c>
      <c r="B1" s="282"/>
    </row>
    <row r="2" spans="1:30" x14ac:dyDescent="0.25">
      <c r="A2" s="282" t="s">
        <v>143</v>
      </c>
      <c r="B2" s="282"/>
    </row>
    <row r="3" spans="1:30" x14ac:dyDescent="0.25">
      <c r="A3" s="282" t="s">
        <v>171</v>
      </c>
      <c r="B3" s="282"/>
    </row>
    <row r="5" spans="1:30" s="451" customFormat="1" ht="12" x14ac:dyDescent="0.2">
      <c r="A5" s="445" t="s">
        <v>0</v>
      </c>
      <c r="B5" s="445"/>
      <c r="C5" s="445"/>
      <c r="D5" s="445" t="s">
        <v>1</v>
      </c>
      <c r="E5" s="445" t="s">
        <v>2</v>
      </c>
      <c r="F5" s="445" t="s">
        <v>3</v>
      </c>
      <c r="G5" s="445" t="s">
        <v>4</v>
      </c>
      <c r="H5" s="450" t="s">
        <v>5</v>
      </c>
      <c r="I5" s="450" t="s">
        <v>6</v>
      </c>
      <c r="J5" s="450" t="s">
        <v>7</v>
      </c>
      <c r="K5" s="450" t="s">
        <v>8</v>
      </c>
      <c r="L5" s="450" t="s">
        <v>9</v>
      </c>
      <c r="M5" s="450" t="s">
        <v>10</v>
      </c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</row>
    <row r="6" spans="1:30" s="451" customFormat="1" ht="12" x14ac:dyDescent="0.2">
      <c r="A6" s="97"/>
      <c r="B6" s="97"/>
      <c r="C6" s="97"/>
      <c r="D6" s="97" t="s">
        <v>11</v>
      </c>
      <c r="E6" s="97" t="s">
        <v>12</v>
      </c>
      <c r="F6" s="97" t="s">
        <v>13</v>
      </c>
      <c r="G6" s="97" t="s">
        <v>14</v>
      </c>
      <c r="H6" s="453" t="s">
        <v>15</v>
      </c>
      <c r="I6" s="453" t="s">
        <v>16</v>
      </c>
      <c r="J6" s="453" t="s">
        <v>15</v>
      </c>
      <c r="K6" s="453" t="s">
        <v>15</v>
      </c>
      <c r="L6" s="453" t="s">
        <v>17</v>
      </c>
      <c r="M6" s="453" t="s">
        <v>18</v>
      </c>
      <c r="O6" s="452"/>
      <c r="P6" s="452"/>
      <c r="Q6" s="452"/>
      <c r="R6" s="452"/>
      <c r="S6" s="452"/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</row>
    <row r="7" spans="1:30" s="451" customFormat="1" ht="12" x14ac:dyDescent="0.2">
      <c r="A7" s="98"/>
      <c r="B7" s="98"/>
      <c r="C7" s="98"/>
      <c r="D7" s="98" t="s">
        <v>19</v>
      </c>
      <c r="E7" s="98"/>
      <c r="F7" s="98"/>
      <c r="G7" s="98"/>
      <c r="H7" s="454" t="s">
        <v>20</v>
      </c>
      <c r="I7" s="454" t="s">
        <v>21</v>
      </c>
      <c r="J7" s="454" t="s">
        <v>20</v>
      </c>
      <c r="K7" s="454" t="s">
        <v>20</v>
      </c>
      <c r="L7" s="454" t="s">
        <v>18</v>
      </c>
      <c r="M7" s="454"/>
      <c r="O7" s="452"/>
      <c r="P7" s="452"/>
      <c r="Q7" s="452"/>
      <c r="R7" s="452"/>
      <c r="S7" s="452"/>
      <c r="T7" s="452"/>
      <c r="U7" s="452"/>
      <c r="V7" s="452"/>
      <c r="W7" s="452"/>
      <c r="X7" s="452"/>
      <c r="Y7" s="452"/>
      <c r="Z7" s="452"/>
      <c r="AA7" s="452"/>
      <c r="AB7" s="452"/>
      <c r="AC7" s="452"/>
      <c r="AD7" s="452"/>
    </row>
    <row r="8" spans="1:30" s="286" customFormat="1" ht="12" x14ac:dyDescent="0.2">
      <c r="A8" s="292" t="s">
        <v>22</v>
      </c>
      <c r="B8" s="292"/>
      <c r="C8" s="292"/>
      <c r="D8" s="293">
        <v>100</v>
      </c>
      <c r="E8" s="292">
        <v>0.43</v>
      </c>
      <c r="F8" s="292">
        <v>0.33</v>
      </c>
      <c r="G8" s="292">
        <v>1000</v>
      </c>
      <c r="H8" s="293">
        <v>430</v>
      </c>
      <c r="I8" s="293"/>
      <c r="J8" s="293"/>
      <c r="K8" s="293">
        <v>430</v>
      </c>
      <c r="L8" s="293"/>
      <c r="M8" s="293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</row>
    <row r="9" spans="1:30" s="286" customFormat="1" ht="12" x14ac:dyDescent="0.2">
      <c r="A9" s="292" t="s">
        <v>23</v>
      </c>
      <c r="B9" s="292"/>
      <c r="C9" s="292"/>
      <c r="D9" s="294">
        <v>90</v>
      </c>
      <c r="E9" s="292">
        <v>0.93</v>
      </c>
      <c r="F9" s="292">
        <v>0.93</v>
      </c>
      <c r="G9" s="292">
        <v>1000</v>
      </c>
      <c r="H9" s="293">
        <v>930</v>
      </c>
      <c r="I9" s="294">
        <v>9000</v>
      </c>
      <c r="J9" s="293"/>
      <c r="K9" s="293">
        <v>9930</v>
      </c>
      <c r="L9" s="293"/>
      <c r="M9" s="293">
        <v>1539</v>
      </c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</row>
    <row r="10" spans="1:30" s="286" customFormat="1" ht="12" x14ac:dyDescent="0.2">
      <c r="A10" s="292" t="s">
        <v>24</v>
      </c>
      <c r="B10" s="292"/>
      <c r="C10" s="292"/>
      <c r="D10" s="295" t="s">
        <v>105</v>
      </c>
      <c r="E10" s="292"/>
      <c r="F10" s="292"/>
      <c r="G10" s="292"/>
      <c r="H10" s="293">
        <f t="shared" ref="H10:H15" si="0">+G10*E10</f>
        <v>0</v>
      </c>
      <c r="I10" s="293" t="s">
        <v>218</v>
      </c>
      <c r="J10" s="293"/>
      <c r="K10" s="293"/>
      <c r="L10" s="293"/>
      <c r="M10" s="293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</row>
    <row r="11" spans="1:30" s="286" customFormat="1" ht="12" x14ac:dyDescent="0.2">
      <c r="A11" s="292" t="s">
        <v>25</v>
      </c>
      <c r="B11" s="292"/>
      <c r="C11" s="292"/>
      <c r="D11" s="294">
        <v>100</v>
      </c>
      <c r="E11" s="292">
        <v>5.79</v>
      </c>
      <c r="F11" s="292">
        <v>1.92</v>
      </c>
      <c r="G11" s="292">
        <v>1000</v>
      </c>
      <c r="H11" s="293">
        <v>5790</v>
      </c>
      <c r="I11" s="294"/>
      <c r="J11" s="293"/>
      <c r="K11" s="293">
        <v>5790</v>
      </c>
      <c r="L11" s="293"/>
      <c r="M11" s="293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</row>
    <row r="12" spans="1:30" s="286" customFormat="1" ht="12" x14ac:dyDescent="0.2">
      <c r="A12" s="292" t="s">
        <v>26</v>
      </c>
      <c r="B12" s="292"/>
      <c r="C12" s="292"/>
      <c r="D12" s="293">
        <v>100</v>
      </c>
      <c r="E12" s="292">
        <v>2.5099999999999998</v>
      </c>
      <c r="F12" s="292">
        <v>0.73</v>
      </c>
      <c r="G12" s="292">
        <v>1000</v>
      </c>
      <c r="H12" s="293">
        <v>2510</v>
      </c>
      <c r="I12" s="296"/>
      <c r="J12" s="293">
        <v>2913</v>
      </c>
      <c r="K12" s="293">
        <v>5423</v>
      </c>
      <c r="L12" s="293"/>
      <c r="M12" s="293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</row>
    <row r="13" spans="1:30" s="286" customFormat="1" ht="12" x14ac:dyDescent="0.2">
      <c r="A13" s="292" t="s">
        <v>27</v>
      </c>
      <c r="B13" s="292"/>
      <c r="C13" s="292"/>
      <c r="D13" s="293">
        <v>100</v>
      </c>
      <c r="E13" s="292">
        <v>0.56000000000000005</v>
      </c>
      <c r="F13" s="292">
        <v>0.56000000000000005</v>
      </c>
      <c r="G13" s="292">
        <v>1000</v>
      </c>
      <c r="H13" s="293">
        <v>560</v>
      </c>
      <c r="I13" s="296"/>
      <c r="J13" s="293">
        <v>1011</v>
      </c>
      <c r="K13" s="293">
        <v>1571</v>
      </c>
      <c r="L13" s="293"/>
      <c r="M13" s="293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</row>
    <row r="14" spans="1:30" s="286" customFormat="1" ht="12" x14ac:dyDescent="0.2">
      <c r="A14" s="292" t="s">
        <v>28</v>
      </c>
      <c r="B14" s="292"/>
      <c r="C14" s="292"/>
      <c r="D14" s="293">
        <v>90</v>
      </c>
      <c r="E14" s="292">
        <v>0.91</v>
      </c>
      <c r="F14" s="292">
        <v>0.46</v>
      </c>
      <c r="G14" s="292">
        <v>1000</v>
      </c>
      <c r="H14" s="293">
        <v>910</v>
      </c>
      <c r="I14" s="293"/>
      <c r="J14" s="293">
        <v>2702</v>
      </c>
      <c r="K14" s="293">
        <v>3612</v>
      </c>
      <c r="L14" s="293"/>
      <c r="M14" s="293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</row>
    <row r="15" spans="1:30" s="286" customFormat="1" ht="12" x14ac:dyDescent="0.2">
      <c r="A15" s="292" t="s">
        <v>29</v>
      </c>
      <c r="B15" s="292"/>
      <c r="C15" s="292"/>
      <c r="D15" s="293" t="s">
        <v>219</v>
      </c>
      <c r="E15" s="292"/>
      <c r="F15" s="292"/>
      <c r="G15" s="292"/>
      <c r="H15" s="293">
        <f t="shared" si="0"/>
        <v>0</v>
      </c>
      <c r="I15" s="293"/>
      <c r="J15" s="293" t="s">
        <v>220</v>
      </c>
      <c r="K15" s="293"/>
      <c r="L15" s="293"/>
      <c r="M15" s="293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</row>
    <row r="16" spans="1:30" s="286" customFormat="1" ht="12" x14ac:dyDescent="0.2">
      <c r="A16" s="292" t="s">
        <v>30</v>
      </c>
      <c r="B16" s="292"/>
      <c r="C16" s="292"/>
      <c r="D16" s="293">
        <v>100</v>
      </c>
      <c r="E16" s="292">
        <v>5.46</v>
      </c>
      <c r="F16" s="292">
        <v>5.46</v>
      </c>
      <c r="G16" s="292">
        <v>1000</v>
      </c>
      <c r="H16" s="293">
        <v>5460</v>
      </c>
      <c r="I16" s="293"/>
      <c r="J16" s="293"/>
      <c r="K16" s="293">
        <v>5460</v>
      </c>
      <c r="L16" s="293"/>
      <c r="M16" s="293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</row>
    <row r="17" spans="1:30" s="286" customFormat="1" ht="12" x14ac:dyDescent="0.2">
      <c r="A17" s="292" t="s">
        <v>221</v>
      </c>
      <c r="B17" s="292"/>
      <c r="C17" s="292"/>
      <c r="D17" s="293">
        <v>60</v>
      </c>
      <c r="E17" s="292">
        <v>0.53</v>
      </c>
      <c r="F17" s="292">
        <v>0.12</v>
      </c>
      <c r="G17" s="292">
        <v>1000</v>
      </c>
      <c r="H17" s="293">
        <v>530</v>
      </c>
      <c r="I17" s="293">
        <v>9417</v>
      </c>
      <c r="J17" s="293"/>
      <c r="K17" s="293">
        <v>9947</v>
      </c>
      <c r="L17" s="293"/>
      <c r="M17" s="293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</row>
    <row r="18" spans="1:30" s="286" customFormat="1" ht="12" x14ac:dyDescent="0.2">
      <c r="A18" s="286" t="s">
        <v>144</v>
      </c>
      <c r="D18" s="293" t="s">
        <v>222</v>
      </c>
      <c r="E18" s="297"/>
      <c r="F18" s="297"/>
      <c r="G18" s="288"/>
      <c r="H18" s="293"/>
      <c r="I18" s="289" t="s">
        <v>146</v>
      </c>
      <c r="J18" s="289"/>
      <c r="K18" s="293"/>
      <c r="L18" s="293"/>
      <c r="M18" s="296"/>
      <c r="N18" s="287"/>
      <c r="O18" s="287"/>
      <c r="P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</row>
    <row r="19" spans="1:30" s="286" customFormat="1" ht="12" x14ac:dyDescent="0.2">
      <c r="A19" s="286" t="s">
        <v>223</v>
      </c>
      <c r="D19" s="293" t="s">
        <v>224</v>
      </c>
      <c r="E19" s="297"/>
      <c r="F19" s="297"/>
      <c r="G19" s="288"/>
      <c r="H19" s="293"/>
      <c r="I19" s="289" t="s">
        <v>225</v>
      </c>
      <c r="J19" s="289"/>
      <c r="K19" s="293"/>
      <c r="L19" s="293"/>
      <c r="M19" s="296"/>
      <c r="N19" s="287"/>
      <c r="O19" s="287"/>
      <c r="P19" s="287"/>
    </row>
    <row r="20" spans="1:30" s="286" customFormat="1" ht="12" x14ac:dyDescent="0.2">
      <c r="A20" s="290" t="s">
        <v>226</v>
      </c>
      <c r="B20" s="290"/>
      <c r="C20" s="290"/>
      <c r="D20" s="291">
        <v>80</v>
      </c>
      <c r="E20" s="290">
        <v>0.32</v>
      </c>
      <c r="F20" s="290">
        <v>0.32</v>
      </c>
      <c r="G20" s="290">
        <v>1000</v>
      </c>
      <c r="H20" s="293">
        <v>320</v>
      </c>
      <c r="I20" s="291">
        <v>475</v>
      </c>
      <c r="J20" s="291"/>
      <c r="K20" s="293">
        <f t="shared" ref="K20" si="1">+J20+I20+H20</f>
        <v>795</v>
      </c>
      <c r="L20" s="293"/>
      <c r="M20" s="293">
        <v>58</v>
      </c>
      <c r="N20" s="287"/>
      <c r="O20" s="287"/>
      <c r="P20" s="287"/>
    </row>
    <row r="21" spans="1:30" s="286" customFormat="1" ht="12" x14ac:dyDescent="0.2">
      <c r="A21" s="284" t="s">
        <v>33</v>
      </c>
      <c r="B21" s="284"/>
      <c r="C21" s="284"/>
      <c r="D21" s="284"/>
      <c r="E21" s="284">
        <f t="shared" ref="E21:G21" si="2">SUM(E8:E20)</f>
        <v>17.440000000000001</v>
      </c>
      <c r="F21" s="284">
        <f t="shared" si="2"/>
        <v>10.83</v>
      </c>
      <c r="G21" s="284">
        <f t="shared" si="2"/>
        <v>9000</v>
      </c>
      <c r="H21" s="285">
        <v>17440</v>
      </c>
      <c r="I21" s="285">
        <v>18892</v>
      </c>
      <c r="J21" s="285">
        <v>6626</v>
      </c>
      <c r="K21" s="285">
        <v>42958</v>
      </c>
      <c r="L21" s="285">
        <f>SUM(L8:L20)</f>
        <v>0</v>
      </c>
      <c r="M21" s="285">
        <v>1597</v>
      </c>
      <c r="N21" s="287"/>
      <c r="O21" s="287"/>
      <c r="P21" s="287"/>
    </row>
    <row r="22" spans="1:30" s="286" customFormat="1" ht="12" x14ac:dyDescent="0.2">
      <c r="A22" s="290" t="s">
        <v>34</v>
      </c>
      <c r="B22" s="290"/>
      <c r="C22" s="290"/>
      <c r="D22" s="290"/>
      <c r="E22" s="290">
        <f>SUM(E21-F21)</f>
        <v>6.6100000000000012</v>
      </c>
      <c r="F22" s="290"/>
      <c r="G22" s="290"/>
      <c r="H22" s="291">
        <v>6610</v>
      </c>
      <c r="I22" s="291">
        <v>18892</v>
      </c>
      <c r="J22" s="291">
        <v>6626</v>
      </c>
      <c r="K22" s="291">
        <v>32128</v>
      </c>
      <c r="L22" s="291"/>
      <c r="M22" s="291"/>
      <c r="N22" s="287"/>
      <c r="O22" s="287"/>
      <c r="P22" s="287"/>
    </row>
    <row r="23" spans="1:30" s="286" customFormat="1" ht="12" x14ac:dyDescent="0.2">
      <c r="A23" s="292"/>
      <c r="B23" s="292"/>
      <c r="C23" s="292" t="s">
        <v>35</v>
      </c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87"/>
      <c r="O23" s="287"/>
      <c r="P23" s="287"/>
    </row>
    <row r="24" spans="1:30" s="286" customFormat="1" ht="12" x14ac:dyDescent="0.2">
      <c r="A24" s="292" t="s">
        <v>36</v>
      </c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87"/>
      <c r="O24" s="287"/>
      <c r="P24" s="287"/>
    </row>
    <row r="25" spans="1:30" s="286" customFormat="1" ht="12" x14ac:dyDescent="0.2">
      <c r="A25" s="298"/>
      <c r="B25" s="298"/>
      <c r="C25" s="298"/>
      <c r="D25" s="298"/>
      <c r="E25" s="298"/>
      <c r="F25" s="298"/>
      <c r="G25" s="298"/>
      <c r="H25" s="298"/>
      <c r="I25" s="292"/>
      <c r="J25" s="292"/>
      <c r="K25" s="292"/>
      <c r="L25" s="292"/>
      <c r="M25" s="292"/>
      <c r="N25" s="287"/>
      <c r="O25" s="287"/>
      <c r="P25" s="287"/>
    </row>
    <row r="26" spans="1:30" s="286" customFormat="1" ht="12" x14ac:dyDescent="0.2">
      <c r="A26" s="292" t="s">
        <v>17</v>
      </c>
      <c r="B26" s="292"/>
      <c r="C26" s="292"/>
      <c r="D26" s="292" t="s">
        <v>37</v>
      </c>
      <c r="E26" s="292" t="s">
        <v>38</v>
      </c>
      <c r="F26" s="292"/>
      <c r="G26" s="292" t="s">
        <v>39</v>
      </c>
      <c r="H26" s="292"/>
      <c r="I26" s="292"/>
      <c r="J26" s="299" t="s">
        <v>40</v>
      </c>
      <c r="K26" s="300">
        <v>4.09</v>
      </c>
      <c r="L26" s="292"/>
      <c r="M26" s="292"/>
      <c r="N26" s="287"/>
      <c r="O26" s="287"/>
      <c r="P26" s="287"/>
    </row>
    <row r="27" spans="1:30" s="286" customFormat="1" ht="12" x14ac:dyDescent="0.2">
      <c r="A27" s="298"/>
      <c r="B27" s="298"/>
      <c r="C27" s="298"/>
      <c r="D27" s="298"/>
      <c r="E27" s="298"/>
      <c r="F27" s="298"/>
      <c r="G27" s="298"/>
      <c r="H27" s="298"/>
      <c r="I27" s="292"/>
      <c r="J27" s="301" t="s">
        <v>42</v>
      </c>
      <c r="K27" s="302">
        <v>2.5</v>
      </c>
      <c r="N27" s="287"/>
      <c r="O27" s="287"/>
      <c r="P27" s="287"/>
    </row>
    <row r="28" spans="1:30" s="286" customFormat="1" ht="12" x14ac:dyDescent="0.2">
      <c r="A28" s="292" t="s">
        <v>41</v>
      </c>
      <c r="B28" s="292"/>
      <c r="C28" s="292"/>
      <c r="D28" s="292"/>
      <c r="E28" s="292"/>
      <c r="F28" s="292"/>
      <c r="G28" s="292"/>
      <c r="H28" s="292"/>
      <c r="J28" s="292"/>
      <c r="K28" s="292"/>
      <c r="N28" s="287"/>
      <c r="O28" s="287"/>
      <c r="P28" s="287"/>
    </row>
    <row r="29" spans="1:30" s="286" customFormat="1" ht="12" x14ac:dyDescent="0.2">
      <c r="A29" s="292" t="s">
        <v>43</v>
      </c>
      <c r="B29" s="292"/>
      <c r="C29" s="292"/>
      <c r="D29" s="292" t="s">
        <v>44</v>
      </c>
      <c r="E29" s="292">
        <v>42.22</v>
      </c>
      <c r="F29" s="292"/>
      <c r="G29" s="292">
        <v>69</v>
      </c>
      <c r="H29" s="292"/>
      <c r="J29" s="303" t="s">
        <v>192</v>
      </c>
      <c r="K29" s="304" t="s">
        <v>138</v>
      </c>
      <c r="N29" s="287"/>
      <c r="O29" s="287"/>
      <c r="P29" s="287"/>
    </row>
    <row r="30" spans="1:30" s="286" customFormat="1" ht="12" x14ac:dyDescent="0.2">
      <c r="A30" s="292"/>
      <c r="B30" s="292"/>
      <c r="C30" s="292"/>
      <c r="D30" s="292"/>
      <c r="E30" s="292"/>
      <c r="F30" s="292"/>
      <c r="G30" s="292"/>
      <c r="H30" s="292"/>
      <c r="J30" s="305"/>
      <c r="K30" s="306"/>
      <c r="N30" s="287"/>
      <c r="O30" s="287"/>
      <c r="P30" s="287"/>
    </row>
    <row r="31" spans="1:30" s="286" customFormat="1" ht="12" x14ac:dyDescent="0.2">
      <c r="A31" s="292" t="s">
        <v>46</v>
      </c>
      <c r="B31" s="292"/>
      <c r="C31" s="292"/>
      <c r="D31" s="292"/>
      <c r="E31" s="292"/>
      <c r="F31" s="292"/>
      <c r="G31" s="292"/>
      <c r="H31" s="292"/>
      <c r="J31" s="307" t="s">
        <v>159</v>
      </c>
      <c r="K31" s="307">
        <v>77</v>
      </c>
      <c r="N31" s="287"/>
      <c r="O31" s="287"/>
      <c r="P31" s="287"/>
    </row>
    <row r="32" spans="1:30" s="286" customFormat="1" x14ac:dyDescent="0.25">
      <c r="A32" s="292" t="s">
        <v>48</v>
      </c>
      <c r="B32" s="292"/>
      <c r="C32" s="292"/>
      <c r="D32" s="292" t="s">
        <v>49</v>
      </c>
      <c r="E32" s="293">
        <v>7</v>
      </c>
      <c r="F32" s="292"/>
      <c r="G32" s="292">
        <f>SUM(H21/E21)</f>
        <v>999.99999999999989</v>
      </c>
      <c r="H32" s="292"/>
      <c r="J32" s="308" t="s">
        <v>55</v>
      </c>
      <c r="K32" s="307">
        <v>23</v>
      </c>
      <c r="N32" s="287"/>
      <c r="O32" s="287"/>
      <c r="P32" s="287"/>
    </row>
    <row r="33" spans="1:16" s="286" customFormat="1" ht="12" x14ac:dyDescent="0.2">
      <c r="A33" s="292" t="s">
        <v>51</v>
      </c>
      <c r="B33" s="292"/>
      <c r="C33" s="292"/>
      <c r="D33" s="292" t="s">
        <v>49</v>
      </c>
      <c r="E33" s="293">
        <v>11</v>
      </c>
      <c r="F33" s="292"/>
      <c r="G33" s="292"/>
      <c r="H33" s="292"/>
      <c r="I33" s="309"/>
      <c r="J33" s="292"/>
      <c r="K33" s="292">
        <f>SUM(K31:K32)</f>
        <v>100</v>
      </c>
      <c r="N33" s="287"/>
      <c r="O33" s="287"/>
      <c r="P33" s="287"/>
    </row>
    <row r="34" spans="1:16" s="286" customFormat="1" ht="12" x14ac:dyDescent="0.2">
      <c r="A34" s="292" t="s">
        <v>2</v>
      </c>
      <c r="B34" s="292"/>
      <c r="C34" s="292"/>
      <c r="D34" s="292" t="s">
        <v>49</v>
      </c>
      <c r="E34" s="293">
        <v>18</v>
      </c>
      <c r="F34" s="292"/>
      <c r="G34" s="292"/>
      <c r="H34" s="292"/>
      <c r="I34" s="309"/>
      <c r="J34" s="258"/>
      <c r="K34" s="292"/>
      <c r="N34" s="287"/>
      <c r="O34" s="287"/>
      <c r="P34" s="287"/>
    </row>
    <row r="35" spans="1:16" s="286" customFormat="1" ht="12" x14ac:dyDescent="0.2">
      <c r="A35" s="292"/>
      <c r="B35" s="292"/>
      <c r="C35" s="292"/>
      <c r="D35" s="292"/>
      <c r="E35" s="292"/>
      <c r="F35" s="292"/>
      <c r="G35" s="292"/>
      <c r="H35" s="292"/>
      <c r="I35" s="309"/>
      <c r="J35" s="258"/>
      <c r="K35" s="292"/>
      <c r="L35" s="292"/>
      <c r="N35" s="287"/>
      <c r="O35" s="287"/>
      <c r="P35" s="287"/>
    </row>
    <row r="36" spans="1:16" s="286" customFormat="1" ht="12" x14ac:dyDescent="0.2">
      <c r="A36" s="292" t="s">
        <v>53</v>
      </c>
      <c r="B36" s="292" t="s">
        <v>54</v>
      </c>
      <c r="C36" s="292"/>
      <c r="D36" s="292"/>
      <c r="E36" s="292"/>
      <c r="F36" s="292"/>
      <c r="G36" s="292"/>
      <c r="H36" s="292"/>
      <c r="I36" s="309"/>
      <c r="J36" s="258"/>
      <c r="K36" s="292"/>
      <c r="L36" s="292"/>
      <c r="N36" s="287"/>
      <c r="O36" s="287"/>
      <c r="P36" s="287"/>
    </row>
    <row r="37" spans="1:16" s="286" customFormat="1" ht="12" x14ac:dyDescent="0.2">
      <c r="A37" s="292" t="s">
        <v>56</v>
      </c>
      <c r="B37" s="293"/>
      <c r="C37" s="293"/>
      <c r="D37" s="292"/>
      <c r="F37" s="292"/>
      <c r="G37" s="292"/>
      <c r="H37" s="292"/>
      <c r="I37" s="309"/>
      <c r="J37" s="258"/>
      <c r="K37" s="292"/>
      <c r="L37" s="292"/>
      <c r="M37" s="292"/>
      <c r="N37" s="287"/>
      <c r="O37" s="287"/>
      <c r="P37" s="287"/>
    </row>
    <row r="38" spans="1:16" s="286" customFormat="1" ht="12" x14ac:dyDescent="0.2">
      <c r="A38" s="292" t="s">
        <v>57</v>
      </c>
      <c r="B38" s="293">
        <v>100</v>
      </c>
      <c r="C38" s="297"/>
      <c r="D38" s="292" t="s">
        <v>44</v>
      </c>
      <c r="E38" s="310">
        <v>26</v>
      </c>
      <c r="F38" s="292"/>
      <c r="G38" s="292">
        <v>7</v>
      </c>
      <c r="H38" s="288"/>
      <c r="I38" s="288"/>
      <c r="J38" s="311"/>
      <c r="K38" s="292"/>
      <c r="L38" s="292"/>
      <c r="M38" s="292"/>
      <c r="N38" s="287"/>
      <c r="O38" s="287"/>
      <c r="P38" s="287"/>
    </row>
    <row r="39" spans="1:16" s="286" customFormat="1" ht="12" x14ac:dyDescent="0.2">
      <c r="A39" s="292" t="s">
        <v>58</v>
      </c>
      <c r="B39" s="293">
        <v>50</v>
      </c>
      <c r="C39" s="292"/>
      <c r="D39" s="292" t="s">
        <v>44</v>
      </c>
      <c r="E39" s="310">
        <v>10</v>
      </c>
      <c r="F39" s="292"/>
      <c r="G39" s="297">
        <v>7</v>
      </c>
      <c r="H39" s="288"/>
      <c r="I39" s="288"/>
      <c r="J39" s="289"/>
      <c r="K39" s="292"/>
      <c r="L39" s="292"/>
      <c r="M39" s="292"/>
      <c r="N39" s="287"/>
      <c r="O39" s="287"/>
      <c r="P39" s="287"/>
    </row>
    <row r="40" spans="1:16" s="286" customFormat="1" ht="12" x14ac:dyDescent="0.2">
      <c r="A40" s="292" t="s">
        <v>59</v>
      </c>
      <c r="B40" s="293">
        <v>60</v>
      </c>
      <c r="C40" s="292"/>
      <c r="D40" s="292" t="s">
        <v>44</v>
      </c>
      <c r="E40" s="312">
        <v>10</v>
      </c>
      <c r="F40" s="292"/>
      <c r="G40" s="297">
        <v>7</v>
      </c>
      <c r="H40" s="288"/>
      <c r="I40" s="288"/>
      <c r="J40" s="289"/>
      <c r="K40" s="292"/>
      <c r="L40" s="292"/>
      <c r="M40" s="292"/>
      <c r="N40" s="287"/>
      <c r="O40" s="287"/>
      <c r="P40" s="287"/>
    </row>
    <row r="41" spans="1:16" s="286" customFormat="1" ht="12" x14ac:dyDescent="0.2">
      <c r="A41" s="297"/>
      <c r="B41" s="292"/>
      <c r="C41" s="294"/>
      <c r="D41" s="292"/>
      <c r="E41" s="312"/>
      <c r="F41" s="292"/>
      <c r="G41" s="297"/>
      <c r="H41" s="288"/>
      <c r="I41" s="288"/>
      <c r="J41" s="289"/>
      <c r="K41" s="292"/>
      <c r="L41" s="292"/>
      <c r="M41" s="292"/>
      <c r="N41" s="287"/>
      <c r="O41" s="287"/>
      <c r="P41" s="287"/>
    </row>
    <row r="42" spans="1:16" s="286" customFormat="1" ht="12" x14ac:dyDescent="0.2">
      <c r="A42" s="292" t="s">
        <v>60</v>
      </c>
      <c r="B42" s="292"/>
      <c r="C42" s="293"/>
      <c r="D42" s="292"/>
      <c r="E42" s="313"/>
      <c r="F42" s="292"/>
      <c r="G42" s="292"/>
      <c r="H42" s="288"/>
      <c r="I42" s="288"/>
      <c r="J42" s="289"/>
      <c r="K42" s="292"/>
      <c r="L42" s="292"/>
      <c r="M42" s="292"/>
      <c r="N42" s="287"/>
      <c r="O42" s="287"/>
      <c r="P42" s="287"/>
    </row>
    <row r="43" spans="1:16" s="286" customFormat="1" ht="12" x14ac:dyDescent="0.2">
      <c r="A43" s="292" t="s">
        <v>58</v>
      </c>
      <c r="B43" s="292">
        <v>100</v>
      </c>
      <c r="C43" s="309"/>
      <c r="D43" s="292" t="s">
        <v>44</v>
      </c>
      <c r="E43" s="313">
        <v>81</v>
      </c>
      <c r="F43" s="292"/>
      <c r="G43" s="292">
        <v>7</v>
      </c>
      <c r="H43" s="288"/>
      <c r="I43" s="288"/>
      <c r="J43" s="311"/>
      <c r="K43" s="292"/>
      <c r="L43" s="292"/>
      <c r="M43" s="292"/>
      <c r="N43" s="287"/>
      <c r="O43" s="287"/>
      <c r="P43" s="287"/>
    </row>
    <row r="44" spans="1:16" s="286" customFormat="1" ht="12" x14ac:dyDescent="0.2">
      <c r="A44" s="292" t="s">
        <v>59</v>
      </c>
      <c r="B44" s="293">
        <v>100</v>
      </c>
      <c r="C44" s="309"/>
      <c r="D44" s="292" t="s">
        <v>44</v>
      </c>
      <c r="E44" s="312">
        <v>18</v>
      </c>
      <c r="F44" s="292"/>
      <c r="G44" s="297">
        <v>7</v>
      </c>
      <c r="H44" s="288"/>
      <c r="I44" s="288"/>
      <c r="J44" s="289"/>
      <c r="K44" s="292"/>
      <c r="L44" s="292"/>
      <c r="M44" s="292"/>
      <c r="N44" s="287"/>
      <c r="O44" s="287"/>
      <c r="P44" s="287"/>
    </row>
    <row r="45" spans="1:16" s="286" customFormat="1" ht="12" x14ac:dyDescent="0.2">
      <c r="A45" s="292" t="s">
        <v>61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87"/>
      <c r="O45" s="287"/>
      <c r="P45" s="287"/>
    </row>
    <row r="46" spans="1:16" s="286" customFormat="1" ht="12" x14ac:dyDescent="0.2">
      <c r="A46" s="314"/>
      <c r="B46" s="314"/>
      <c r="C46" s="288"/>
      <c r="D46" s="292"/>
      <c r="E46" s="292"/>
      <c r="F46" s="292"/>
      <c r="G46" s="292"/>
      <c r="H46" s="292"/>
      <c r="I46" s="292" t="s">
        <v>63</v>
      </c>
      <c r="J46" s="292"/>
      <c r="K46" s="292"/>
      <c r="L46" s="292"/>
      <c r="M46" s="292"/>
      <c r="N46" s="287"/>
      <c r="O46" s="287"/>
      <c r="P46" s="287"/>
    </row>
    <row r="47" spans="1:16" s="286" customFormat="1" ht="12" x14ac:dyDescent="0.2">
      <c r="A47" s="284" t="s">
        <v>64</v>
      </c>
      <c r="B47" s="284"/>
      <c r="C47" s="284"/>
      <c r="D47" s="284"/>
      <c r="E47" s="284"/>
      <c r="F47" s="284"/>
      <c r="G47" s="284">
        <v>2057</v>
      </c>
      <c r="H47" s="284"/>
      <c r="I47" s="285">
        <v>5083</v>
      </c>
      <c r="J47" s="292"/>
      <c r="K47" s="293"/>
      <c r="L47" s="293"/>
      <c r="M47" s="293"/>
      <c r="N47" s="287"/>
      <c r="O47" s="287"/>
      <c r="P47" s="287"/>
    </row>
    <row r="48" spans="1:16" s="286" customFormat="1" ht="12" x14ac:dyDescent="0.2">
      <c r="A48" s="288" t="s">
        <v>65</v>
      </c>
      <c r="B48" s="288"/>
      <c r="C48" s="288"/>
      <c r="D48" s="288"/>
      <c r="E48" s="288"/>
      <c r="F48" s="288"/>
      <c r="G48" s="288">
        <v>39</v>
      </c>
      <c r="H48" s="288"/>
      <c r="I48" s="288"/>
      <c r="J48" s="292"/>
      <c r="K48" s="293"/>
      <c r="L48" s="293"/>
      <c r="M48" s="293"/>
      <c r="N48" s="287"/>
      <c r="O48" s="287"/>
      <c r="P48" s="287"/>
    </row>
    <row r="49" spans="1:16" s="286" customFormat="1" ht="12" x14ac:dyDescent="0.2">
      <c r="A49" s="288" t="s">
        <v>66</v>
      </c>
      <c r="B49" s="288"/>
      <c r="C49" s="288"/>
      <c r="D49" s="288"/>
      <c r="E49" s="288"/>
      <c r="F49" s="288"/>
      <c r="G49" s="289">
        <v>80223</v>
      </c>
      <c r="H49" s="289"/>
      <c r="I49" s="289">
        <v>198231.033</v>
      </c>
      <c r="J49" s="292"/>
      <c r="K49" s="293"/>
      <c r="L49" s="293"/>
      <c r="M49" s="293"/>
      <c r="N49" s="287"/>
      <c r="O49" s="287"/>
      <c r="P49" s="287"/>
    </row>
    <row r="50" spans="1:16" s="286" customFormat="1" ht="12" x14ac:dyDescent="0.2">
      <c r="A50" s="288" t="s">
        <v>67</v>
      </c>
      <c r="B50" s="288"/>
      <c r="C50" s="288"/>
      <c r="D50" s="288"/>
      <c r="E50" s="288"/>
      <c r="F50" s="288"/>
      <c r="G50" s="289">
        <v>37265.42</v>
      </c>
      <c r="H50" s="289"/>
      <c r="I50" s="289">
        <v>92082.85282</v>
      </c>
      <c r="J50" s="292"/>
      <c r="K50" s="293"/>
      <c r="L50" s="293"/>
      <c r="M50" s="293"/>
      <c r="N50" s="287"/>
      <c r="O50" s="287"/>
      <c r="P50" s="287"/>
    </row>
    <row r="51" spans="1:16" s="286" customFormat="1" ht="12" x14ac:dyDescent="0.2">
      <c r="A51" s="288" t="s">
        <v>68</v>
      </c>
      <c r="B51" s="288"/>
      <c r="C51" s="288"/>
      <c r="D51" s="288"/>
      <c r="E51" s="288"/>
      <c r="F51" s="288"/>
      <c r="G51" s="289">
        <v>48095.42</v>
      </c>
      <c r="H51" s="289"/>
      <c r="I51" s="289">
        <v>118843.78281999999</v>
      </c>
      <c r="J51" s="292"/>
      <c r="K51" s="293"/>
      <c r="L51" s="293"/>
      <c r="M51" s="293"/>
      <c r="N51" s="287"/>
      <c r="O51" s="287"/>
      <c r="P51" s="287"/>
    </row>
    <row r="52" spans="1:16" s="286" customFormat="1" ht="12" x14ac:dyDescent="0.2">
      <c r="A52" s="288" t="s">
        <v>69</v>
      </c>
      <c r="B52" s="288"/>
      <c r="C52" s="288"/>
      <c r="D52" s="288"/>
      <c r="E52" s="288"/>
      <c r="F52" s="288"/>
      <c r="G52" s="292">
        <f>+K21/G47</f>
        <v>20.883811375789985</v>
      </c>
      <c r="H52" s="288"/>
      <c r="I52" s="288"/>
      <c r="J52" s="292"/>
      <c r="L52" s="293"/>
      <c r="M52" s="293"/>
      <c r="N52" s="287"/>
      <c r="O52" s="287"/>
      <c r="P52" s="287"/>
    </row>
    <row r="53" spans="1:16" s="286" customFormat="1" ht="12" x14ac:dyDescent="0.2">
      <c r="A53" s="288" t="s">
        <v>70</v>
      </c>
      <c r="B53" s="288"/>
      <c r="C53" s="288"/>
      <c r="D53" s="288"/>
      <c r="E53" s="288"/>
      <c r="F53" s="288"/>
      <c r="G53" s="292">
        <f>+K22/G47</f>
        <v>15.618862421001458</v>
      </c>
      <c r="H53" s="288"/>
      <c r="I53" s="288"/>
      <c r="J53" s="292"/>
      <c r="L53" s="293"/>
      <c r="M53" s="293"/>
      <c r="N53" s="287"/>
      <c r="O53" s="287"/>
      <c r="P53" s="287"/>
    </row>
    <row r="54" spans="1:16" s="318" customFormat="1" ht="12" x14ac:dyDescent="0.2">
      <c r="A54" s="315"/>
      <c r="B54" s="315"/>
      <c r="C54" s="315"/>
      <c r="D54" s="315"/>
      <c r="E54" s="315"/>
      <c r="F54" s="315"/>
      <c r="G54" s="316"/>
      <c r="H54" s="317"/>
      <c r="I54" s="288"/>
      <c r="J54" s="317"/>
    </row>
    <row r="55" spans="1:16" s="318" customFormat="1" ht="12" x14ac:dyDescent="0.2">
      <c r="A55" s="315"/>
      <c r="B55" s="315"/>
      <c r="C55" s="315"/>
      <c r="D55" s="315"/>
      <c r="E55" s="315"/>
      <c r="F55" s="315"/>
      <c r="G55" s="316"/>
      <c r="H55" s="317"/>
      <c r="I55" s="288"/>
      <c r="J55" s="317"/>
    </row>
    <row r="56" spans="1:16" s="318" customFormat="1" ht="12" x14ac:dyDescent="0.2">
      <c r="A56" s="315"/>
      <c r="B56" s="315"/>
      <c r="C56" s="315"/>
      <c r="D56" s="315"/>
      <c r="E56" s="315"/>
      <c r="F56" s="315"/>
      <c r="G56" s="316"/>
      <c r="H56" s="317"/>
      <c r="I56" s="288"/>
      <c r="J56" s="317"/>
    </row>
    <row r="57" spans="1:16" s="318" customFormat="1" ht="12" x14ac:dyDescent="0.2">
      <c r="A57" s="315"/>
      <c r="B57" s="315"/>
      <c r="C57" s="315"/>
      <c r="D57" s="315"/>
      <c r="E57" s="315"/>
      <c r="F57" s="315"/>
      <c r="G57" s="319"/>
      <c r="H57" s="320"/>
      <c r="I57" s="320"/>
    </row>
    <row r="58" spans="1:16" s="318" customFormat="1" ht="12" x14ac:dyDescent="0.2">
      <c r="A58" s="321"/>
      <c r="B58" s="321"/>
      <c r="C58" s="321"/>
      <c r="D58" s="321"/>
      <c r="E58" s="321"/>
      <c r="F58" s="321"/>
      <c r="G58" s="322"/>
      <c r="H58" s="320"/>
      <c r="I58" s="320"/>
    </row>
    <row r="59" spans="1:16" s="318" customFormat="1" ht="12" x14ac:dyDescent="0.2"/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63"/>
  <sheetViews>
    <sheetView workbookViewId="0">
      <selection activeCell="A5" sqref="A5:XFD8"/>
    </sheetView>
  </sheetViews>
  <sheetFormatPr defaultRowHeight="15" x14ac:dyDescent="0.25"/>
  <sheetData>
    <row r="1" spans="1:13" x14ac:dyDescent="0.25">
      <c r="A1" s="30" t="s">
        <v>73</v>
      </c>
      <c r="B1" s="30"/>
    </row>
    <row r="2" spans="1:13" x14ac:dyDescent="0.25">
      <c r="A2" s="30" t="s">
        <v>145</v>
      </c>
      <c r="B2" s="30"/>
    </row>
    <row r="3" spans="1:13" x14ac:dyDescent="0.25">
      <c r="A3" s="30" t="s">
        <v>171</v>
      </c>
      <c r="B3" s="30"/>
    </row>
    <row r="4" spans="1:13" x14ac:dyDescent="0.25">
      <c r="A4" s="1"/>
    </row>
    <row r="5" spans="1:13" s="59" customFormat="1" ht="12" x14ac:dyDescent="0.2">
      <c r="A5" s="56" t="s">
        <v>0</v>
      </c>
      <c r="B5" s="56"/>
      <c r="C5" s="56"/>
      <c r="D5" s="57" t="s">
        <v>1</v>
      </c>
      <c r="E5" s="57" t="s">
        <v>2</v>
      </c>
      <c r="F5" s="57" t="s">
        <v>74</v>
      </c>
      <c r="G5" s="57" t="s">
        <v>75</v>
      </c>
      <c r="H5" s="57" t="s">
        <v>5</v>
      </c>
      <c r="I5" s="57" t="s">
        <v>6</v>
      </c>
      <c r="J5" s="57" t="s">
        <v>7</v>
      </c>
      <c r="K5" s="57" t="s">
        <v>8</v>
      </c>
      <c r="L5" s="58" t="s">
        <v>76</v>
      </c>
      <c r="M5" s="57"/>
    </row>
    <row r="6" spans="1:13" s="59" customFormat="1" ht="12" x14ac:dyDescent="0.2">
      <c r="A6" s="60"/>
      <c r="B6" s="60"/>
      <c r="C6" s="60"/>
      <c r="D6" s="61" t="s">
        <v>11</v>
      </c>
      <c r="E6" s="61" t="s">
        <v>77</v>
      </c>
      <c r="F6" s="61" t="s">
        <v>77</v>
      </c>
      <c r="G6" s="61" t="s">
        <v>78</v>
      </c>
      <c r="H6" s="61" t="s">
        <v>15</v>
      </c>
      <c r="I6" s="61" t="s">
        <v>79</v>
      </c>
      <c r="J6" s="61" t="s">
        <v>15</v>
      </c>
      <c r="K6" s="61" t="s">
        <v>15</v>
      </c>
      <c r="L6" s="61" t="s">
        <v>6</v>
      </c>
      <c r="M6" s="61" t="s">
        <v>7</v>
      </c>
    </row>
    <row r="7" spans="1:13" s="59" customFormat="1" ht="12" x14ac:dyDescent="0.2">
      <c r="A7" s="60"/>
      <c r="B7" s="60"/>
      <c r="C7" s="60"/>
      <c r="D7" s="61" t="s">
        <v>19</v>
      </c>
      <c r="E7" s="61"/>
      <c r="F7" s="61"/>
      <c r="G7" s="61"/>
      <c r="H7" s="61" t="s">
        <v>20</v>
      </c>
      <c r="I7" s="61" t="s">
        <v>15</v>
      </c>
      <c r="J7" s="61" t="s">
        <v>20</v>
      </c>
      <c r="K7" s="61" t="s">
        <v>20</v>
      </c>
      <c r="L7" s="61"/>
      <c r="M7" s="61"/>
    </row>
    <row r="8" spans="1:13" s="59" customFormat="1" ht="12" x14ac:dyDescent="0.2">
      <c r="A8" s="62"/>
      <c r="B8" s="62"/>
      <c r="C8" s="62"/>
      <c r="D8" s="63"/>
      <c r="E8" s="63"/>
      <c r="F8" s="63"/>
      <c r="G8" s="63"/>
      <c r="H8" s="63"/>
      <c r="I8" s="63" t="s">
        <v>20</v>
      </c>
      <c r="J8" s="63"/>
      <c r="K8" s="63"/>
      <c r="L8" s="63"/>
      <c r="M8" s="63"/>
    </row>
    <row r="9" spans="1:13" s="32" customFormat="1" ht="12" x14ac:dyDescent="0.2">
      <c r="A9" s="32" t="s">
        <v>22</v>
      </c>
      <c r="D9" s="323">
        <v>44</v>
      </c>
      <c r="E9" s="230">
        <v>0.7</v>
      </c>
      <c r="F9" s="230">
        <v>0.56999999999999995</v>
      </c>
      <c r="G9" s="324">
        <v>1000</v>
      </c>
      <c r="H9" s="37">
        <v>700</v>
      </c>
      <c r="I9" s="37"/>
      <c r="J9" s="135"/>
      <c r="K9" s="37">
        <v>700</v>
      </c>
      <c r="L9" s="37"/>
      <c r="M9" s="37"/>
    </row>
    <row r="10" spans="1:13" s="32" customFormat="1" ht="12" x14ac:dyDescent="0.2">
      <c r="A10" s="32" t="s">
        <v>149</v>
      </c>
      <c r="D10" s="323">
        <v>64</v>
      </c>
      <c r="E10" s="230">
        <v>1.34</v>
      </c>
      <c r="F10" s="230">
        <v>1.1299999999999999</v>
      </c>
      <c r="G10" s="324">
        <v>1000</v>
      </c>
      <c r="H10" s="37">
        <v>1340</v>
      </c>
      <c r="I10" s="37">
        <v>7469</v>
      </c>
      <c r="J10" s="37"/>
      <c r="K10" s="37">
        <v>8809</v>
      </c>
      <c r="L10" s="37">
        <v>1344</v>
      </c>
      <c r="M10" s="37"/>
    </row>
    <row r="11" spans="1:13" s="32" customFormat="1" ht="12" x14ac:dyDescent="0.2">
      <c r="A11" s="32" t="s">
        <v>227</v>
      </c>
      <c r="D11" s="323" t="s">
        <v>196</v>
      </c>
      <c r="E11" s="230"/>
      <c r="F11" s="230"/>
      <c r="G11" s="324"/>
      <c r="H11" s="37"/>
      <c r="I11" s="134" t="s">
        <v>228</v>
      </c>
      <c r="J11" s="37"/>
      <c r="K11" s="37"/>
      <c r="L11" s="135"/>
      <c r="M11" s="135"/>
    </row>
    <row r="12" spans="1:13" s="32" customFormat="1" ht="12" x14ac:dyDescent="0.2">
      <c r="A12" s="32" t="s">
        <v>25</v>
      </c>
      <c r="D12" s="323">
        <v>100</v>
      </c>
      <c r="E12" s="230">
        <v>4.78</v>
      </c>
      <c r="F12" s="230">
        <v>2.69</v>
      </c>
      <c r="G12" s="324">
        <v>1000</v>
      </c>
      <c r="H12" s="37">
        <v>4780</v>
      </c>
      <c r="I12" s="135"/>
      <c r="J12" s="37"/>
      <c r="K12" s="37">
        <v>4780</v>
      </c>
      <c r="L12" s="135"/>
      <c r="M12" s="135"/>
    </row>
    <row r="13" spans="1:13" s="32" customFormat="1" ht="12" x14ac:dyDescent="0.2">
      <c r="A13" s="32" t="s">
        <v>43</v>
      </c>
      <c r="D13" s="323">
        <v>100</v>
      </c>
      <c r="E13" s="230">
        <v>2.4500000000000002</v>
      </c>
      <c r="F13" s="230">
        <v>0.73</v>
      </c>
      <c r="G13" s="324">
        <v>1006</v>
      </c>
      <c r="H13" s="37">
        <v>2465</v>
      </c>
      <c r="I13" s="37"/>
      <c r="J13" s="135">
        <v>2562</v>
      </c>
      <c r="K13" s="37">
        <v>5027</v>
      </c>
      <c r="L13" s="135"/>
      <c r="M13" s="135">
        <v>871</v>
      </c>
    </row>
    <row r="14" spans="1:13" s="32" customFormat="1" ht="12" x14ac:dyDescent="0.2">
      <c r="A14" s="32" t="s">
        <v>27</v>
      </c>
      <c r="D14" s="323">
        <v>100</v>
      </c>
      <c r="E14" s="230">
        <v>1</v>
      </c>
      <c r="F14" s="230">
        <v>0.69</v>
      </c>
      <c r="G14" s="324">
        <v>936</v>
      </c>
      <c r="H14" s="37">
        <v>936</v>
      </c>
      <c r="I14" s="37"/>
      <c r="J14" s="135">
        <v>994</v>
      </c>
      <c r="K14" s="37">
        <v>1930</v>
      </c>
      <c r="L14" s="135"/>
      <c r="M14" s="135"/>
    </row>
    <row r="15" spans="1:13" s="32" customFormat="1" ht="12" x14ac:dyDescent="0.2">
      <c r="A15" s="32" t="s">
        <v>80</v>
      </c>
      <c r="D15" s="323">
        <v>94</v>
      </c>
      <c r="E15" s="230">
        <v>0.55000000000000004</v>
      </c>
      <c r="F15" s="230">
        <v>0.41</v>
      </c>
      <c r="G15" s="324">
        <v>1437</v>
      </c>
      <c r="H15" s="37">
        <v>790</v>
      </c>
      <c r="I15" s="37"/>
      <c r="J15" s="135">
        <v>2678</v>
      </c>
      <c r="K15" s="37">
        <v>3468</v>
      </c>
      <c r="L15" s="135"/>
      <c r="M15" s="135"/>
    </row>
    <row r="16" spans="1:13" s="32" customFormat="1" ht="12" x14ac:dyDescent="0.2">
      <c r="A16" s="32" t="s">
        <v>29</v>
      </c>
      <c r="D16" s="323">
        <v>64</v>
      </c>
      <c r="E16" s="230">
        <v>0.46</v>
      </c>
      <c r="F16" s="230">
        <v>0.42</v>
      </c>
      <c r="G16" s="324">
        <v>971</v>
      </c>
      <c r="H16" s="37">
        <v>447</v>
      </c>
      <c r="I16" s="37"/>
      <c r="J16" s="135">
        <v>756</v>
      </c>
      <c r="K16" s="37">
        <v>1203</v>
      </c>
      <c r="L16" s="135"/>
      <c r="M16" s="135"/>
    </row>
    <row r="17" spans="1:17" s="32" customFormat="1" ht="12" x14ac:dyDescent="0.2">
      <c r="A17" s="32" t="s">
        <v>81</v>
      </c>
      <c r="D17" s="323">
        <v>100</v>
      </c>
      <c r="E17" s="230">
        <v>5.17</v>
      </c>
      <c r="F17" s="230">
        <v>5.17</v>
      </c>
      <c r="G17" s="324">
        <v>971</v>
      </c>
      <c r="H17" s="37">
        <v>5020</v>
      </c>
      <c r="I17" s="37"/>
      <c r="J17" s="135"/>
      <c r="K17" s="37">
        <v>5020</v>
      </c>
      <c r="L17" s="135"/>
      <c r="M17" s="135"/>
    </row>
    <row r="18" spans="1:17" s="32" customFormat="1" ht="12" x14ac:dyDescent="0.2">
      <c r="A18" s="32" t="s">
        <v>82</v>
      </c>
      <c r="D18" s="323">
        <v>88</v>
      </c>
      <c r="E18" s="230">
        <v>1.49</v>
      </c>
      <c r="F18" s="230">
        <v>0.4</v>
      </c>
      <c r="G18" s="324">
        <v>1000</v>
      </c>
      <c r="H18" s="37">
        <v>1490</v>
      </c>
      <c r="I18" s="37">
        <v>7914</v>
      </c>
      <c r="J18" s="37"/>
      <c r="K18" s="37">
        <v>9404</v>
      </c>
      <c r="L18" s="37"/>
      <c r="M18" s="37"/>
    </row>
    <row r="19" spans="1:17" s="32" customFormat="1" ht="12" x14ac:dyDescent="0.2">
      <c r="B19" s="32" t="s">
        <v>229</v>
      </c>
      <c r="D19" s="323" t="s">
        <v>155</v>
      </c>
      <c r="E19" s="230"/>
      <c r="F19" s="230"/>
      <c r="G19" s="324"/>
      <c r="H19" s="134" t="s">
        <v>230</v>
      </c>
      <c r="I19" s="37"/>
      <c r="J19" s="37"/>
      <c r="K19" s="37"/>
      <c r="L19" s="37"/>
      <c r="M19" s="37"/>
    </row>
    <row r="20" spans="1:17" s="32" customFormat="1" ht="12" x14ac:dyDescent="0.2">
      <c r="A20" s="32" t="s">
        <v>231</v>
      </c>
      <c r="D20" s="323" t="s">
        <v>155</v>
      </c>
      <c r="E20" s="230"/>
      <c r="F20" s="230"/>
      <c r="G20" s="324"/>
      <c r="H20" s="37"/>
      <c r="I20" s="134" t="s">
        <v>232</v>
      </c>
      <c r="J20" s="37"/>
      <c r="K20" s="37"/>
      <c r="L20" s="37"/>
      <c r="M20" s="37"/>
    </row>
    <row r="21" spans="1:17" s="32" customFormat="1" ht="12" x14ac:dyDescent="0.2">
      <c r="A21" s="32" t="s">
        <v>157</v>
      </c>
      <c r="D21" s="323">
        <v>84</v>
      </c>
      <c r="E21" s="230">
        <v>3.28</v>
      </c>
      <c r="F21" s="230">
        <v>1.76</v>
      </c>
      <c r="G21" s="324">
        <v>1004</v>
      </c>
      <c r="H21" s="37">
        <v>3293</v>
      </c>
      <c r="I21" s="135"/>
      <c r="J21" s="37"/>
      <c r="K21" s="37">
        <v>3293</v>
      </c>
      <c r="L21" s="37"/>
      <c r="M21" s="37"/>
    </row>
    <row r="22" spans="1:17" s="32" customFormat="1" ht="12" x14ac:dyDescent="0.2">
      <c r="A22" s="32" t="s">
        <v>84</v>
      </c>
      <c r="D22" s="323">
        <v>100</v>
      </c>
      <c r="E22" s="230">
        <v>0.3</v>
      </c>
      <c r="F22" s="230">
        <v>0.26</v>
      </c>
      <c r="G22" s="324">
        <v>1004</v>
      </c>
      <c r="H22" s="37">
        <v>301</v>
      </c>
      <c r="I22" s="135">
        <v>797</v>
      </c>
      <c r="J22" s="37"/>
      <c r="K22" s="37">
        <v>1098</v>
      </c>
      <c r="L22" s="37"/>
      <c r="M22" s="37"/>
    </row>
    <row r="23" spans="1:17" s="32" customFormat="1" ht="12" x14ac:dyDescent="0.2">
      <c r="A23" s="31" t="s">
        <v>33</v>
      </c>
      <c r="B23" s="31"/>
      <c r="C23" s="31"/>
      <c r="D23" s="39"/>
      <c r="E23" s="40">
        <v>21.520000000000003</v>
      </c>
      <c r="F23" s="40">
        <v>14.229999999999999</v>
      </c>
      <c r="G23" s="40"/>
      <c r="H23" s="41">
        <v>21562</v>
      </c>
      <c r="I23" s="41">
        <v>16180</v>
      </c>
      <c r="J23" s="41">
        <v>6990</v>
      </c>
      <c r="K23" s="41">
        <v>44732</v>
      </c>
      <c r="L23" s="41">
        <v>1344</v>
      </c>
      <c r="M23" s="41">
        <v>871</v>
      </c>
    </row>
    <row r="24" spans="1:17" s="32" customFormat="1" ht="12" x14ac:dyDescent="0.2">
      <c r="A24" s="34" t="s">
        <v>34</v>
      </c>
      <c r="B24" s="34"/>
      <c r="C24" s="34"/>
      <c r="D24" s="42"/>
      <c r="E24" s="43">
        <v>7.2900000000000045</v>
      </c>
      <c r="F24" s="43"/>
      <c r="G24" s="43"/>
      <c r="H24" s="44">
        <v>6562</v>
      </c>
      <c r="I24" s="44">
        <v>14835</v>
      </c>
      <c r="J24" s="44">
        <v>6119</v>
      </c>
      <c r="K24" s="44">
        <v>27517</v>
      </c>
      <c r="L24" s="44"/>
      <c r="M24" s="44"/>
    </row>
    <row r="25" spans="1:17" s="32" customFormat="1" ht="12" x14ac:dyDescent="0.2">
      <c r="C25" s="32" t="s">
        <v>35</v>
      </c>
    </row>
    <row r="26" spans="1:17" s="32" customFormat="1" ht="12" x14ac:dyDescent="0.2">
      <c r="A26" s="32" t="s">
        <v>36</v>
      </c>
    </row>
    <row r="27" spans="1:17" s="32" customFormat="1" ht="12" x14ac:dyDescent="0.2">
      <c r="A27" s="45" t="s">
        <v>17</v>
      </c>
      <c r="B27" s="45"/>
      <c r="C27" s="45"/>
      <c r="D27" s="45" t="s">
        <v>37</v>
      </c>
      <c r="E27" s="45" t="s">
        <v>85</v>
      </c>
      <c r="F27" s="45"/>
      <c r="G27" s="45" t="s">
        <v>39</v>
      </c>
      <c r="I27" s="46" t="s">
        <v>86</v>
      </c>
      <c r="J27" s="46" t="s">
        <v>87</v>
      </c>
      <c r="O27" s="37"/>
    </row>
    <row r="28" spans="1:17" s="32" customFormat="1" ht="12" x14ac:dyDescent="0.2">
      <c r="A28" s="32" t="s">
        <v>41</v>
      </c>
      <c r="E28" s="36">
        <v>42</v>
      </c>
      <c r="G28" s="36">
        <v>61</v>
      </c>
      <c r="I28" s="46" t="s">
        <v>233</v>
      </c>
      <c r="J28" s="72">
        <v>43</v>
      </c>
      <c r="O28" s="37"/>
    </row>
    <row r="29" spans="1:17" s="32" customFormat="1" ht="12" x14ac:dyDescent="0.2">
      <c r="A29" s="32" t="s">
        <v>43</v>
      </c>
      <c r="D29" s="32" t="s">
        <v>44</v>
      </c>
      <c r="E29" s="36"/>
      <c r="G29" s="36"/>
      <c r="I29" s="46" t="s">
        <v>159</v>
      </c>
      <c r="J29" s="72">
        <v>11</v>
      </c>
    </row>
    <row r="30" spans="1:17" s="32" customFormat="1" ht="12" x14ac:dyDescent="0.2">
      <c r="A30" s="32" t="s">
        <v>46</v>
      </c>
      <c r="I30" s="46" t="s">
        <v>216</v>
      </c>
      <c r="J30" s="72">
        <v>10</v>
      </c>
      <c r="L30" s="32" t="s">
        <v>42</v>
      </c>
      <c r="M30" s="32">
        <v>2.5</v>
      </c>
      <c r="Q30" s="37"/>
    </row>
    <row r="31" spans="1:17" s="32" customFormat="1" ht="12" x14ac:dyDescent="0.2">
      <c r="A31" s="32" t="s">
        <v>48</v>
      </c>
      <c r="D31" s="32" t="s">
        <v>49</v>
      </c>
      <c r="E31" s="230">
        <v>7</v>
      </c>
      <c r="F31" s="74"/>
      <c r="G31" s="135">
        <v>937</v>
      </c>
      <c r="I31" s="46" t="s">
        <v>186</v>
      </c>
      <c r="J31" s="72">
        <v>10</v>
      </c>
      <c r="L31" s="32" t="s">
        <v>40</v>
      </c>
      <c r="M31" s="32">
        <v>2.5</v>
      </c>
      <c r="Q31" s="37"/>
    </row>
    <row r="32" spans="1:17" s="32" customFormat="1" ht="12" x14ac:dyDescent="0.2">
      <c r="A32" s="32" t="s">
        <v>51</v>
      </c>
      <c r="D32" s="32" t="s">
        <v>49</v>
      </c>
      <c r="E32" s="230">
        <v>16</v>
      </c>
      <c r="F32" s="74"/>
      <c r="G32" s="74"/>
      <c r="I32" s="46" t="s">
        <v>234</v>
      </c>
      <c r="J32" s="72">
        <v>10</v>
      </c>
      <c r="Q32" s="37"/>
    </row>
    <row r="33" spans="1:17" s="32" customFormat="1" ht="12" x14ac:dyDescent="0.2">
      <c r="A33" s="32" t="s">
        <v>2</v>
      </c>
      <c r="E33" s="230">
        <v>23</v>
      </c>
      <c r="F33" s="74"/>
      <c r="G33" s="74"/>
      <c r="I33" s="46" t="s">
        <v>235</v>
      </c>
      <c r="J33" s="72">
        <v>7</v>
      </c>
      <c r="Q33" s="37"/>
    </row>
    <row r="34" spans="1:17" s="32" customFormat="1" ht="12" x14ac:dyDescent="0.2">
      <c r="A34" s="31" t="s">
        <v>93</v>
      </c>
      <c r="B34" s="31"/>
      <c r="C34" s="31" t="s">
        <v>54</v>
      </c>
      <c r="D34" s="31"/>
      <c r="E34" s="31"/>
      <c r="F34" s="31"/>
      <c r="G34" s="31"/>
      <c r="I34" s="325" t="s">
        <v>92</v>
      </c>
      <c r="J34" s="326">
        <v>9</v>
      </c>
      <c r="Q34" s="37"/>
    </row>
    <row r="35" spans="1:17" s="32" customFormat="1" ht="12" x14ac:dyDescent="0.2">
      <c r="A35" s="33" t="s">
        <v>94</v>
      </c>
      <c r="B35" s="33" t="s">
        <v>96</v>
      </c>
      <c r="C35" s="327">
        <v>44</v>
      </c>
      <c r="D35" s="33" t="s">
        <v>44</v>
      </c>
      <c r="E35" s="48">
        <v>13</v>
      </c>
      <c r="F35" s="49"/>
      <c r="G35" s="49">
        <v>7</v>
      </c>
      <c r="I35" s="251"/>
    </row>
    <row r="36" spans="1:17" s="32" customFormat="1" ht="12" x14ac:dyDescent="0.2">
      <c r="A36" s="33"/>
      <c r="B36" s="33" t="s">
        <v>107</v>
      </c>
      <c r="C36" s="47">
        <v>100</v>
      </c>
      <c r="D36" s="33" t="s">
        <v>44</v>
      </c>
      <c r="E36" s="48">
        <v>29</v>
      </c>
      <c r="F36" s="49"/>
      <c r="G36" s="49">
        <v>7</v>
      </c>
      <c r="I36" s="251"/>
    </row>
    <row r="37" spans="1:17" s="32" customFormat="1" ht="12" x14ac:dyDescent="0.2">
      <c r="A37" s="33" t="s">
        <v>95</v>
      </c>
      <c r="B37" s="33" t="s">
        <v>96</v>
      </c>
      <c r="C37" s="47">
        <v>100</v>
      </c>
      <c r="D37" s="33" t="s">
        <v>44</v>
      </c>
      <c r="E37" s="48">
        <v>81</v>
      </c>
      <c r="F37" s="49"/>
      <c r="G37" s="49">
        <v>7</v>
      </c>
      <c r="I37" s="251"/>
      <c r="J37" s="251"/>
      <c r="K37" s="251"/>
    </row>
    <row r="38" spans="1:17" s="32" customFormat="1" ht="12" x14ac:dyDescent="0.2">
      <c r="A38" s="33"/>
      <c r="B38" s="33" t="s">
        <v>97</v>
      </c>
      <c r="C38" s="47">
        <v>100</v>
      </c>
      <c r="D38" s="33" t="s">
        <v>44</v>
      </c>
      <c r="E38" s="48">
        <v>19</v>
      </c>
      <c r="F38" s="49"/>
      <c r="G38" s="49">
        <v>7</v>
      </c>
      <c r="I38" s="251"/>
      <c r="J38" s="328"/>
    </row>
    <row r="39" spans="1:17" s="32" customFormat="1" ht="12" x14ac:dyDescent="0.2">
      <c r="I39" s="251"/>
      <c r="J39" s="251"/>
    </row>
    <row r="40" spans="1:17" s="32" customFormat="1" ht="12" x14ac:dyDescent="0.2">
      <c r="A40" s="31" t="s">
        <v>61</v>
      </c>
      <c r="B40" s="31"/>
      <c r="C40" s="31"/>
      <c r="D40" s="31"/>
      <c r="E40" s="31"/>
      <c r="F40" s="31"/>
      <c r="G40" s="31"/>
      <c r="I40" s="32" t="s">
        <v>236</v>
      </c>
    </row>
    <row r="41" spans="1:17" s="32" customFormat="1" ht="12" x14ac:dyDescent="0.2">
      <c r="A41" s="33" t="s">
        <v>98</v>
      </c>
      <c r="B41" s="33"/>
      <c r="C41" s="33"/>
      <c r="D41" s="33"/>
      <c r="E41" s="33"/>
      <c r="F41" s="33"/>
      <c r="G41" s="79">
        <v>2031</v>
      </c>
      <c r="H41" s="74"/>
      <c r="I41" s="37">
        <f>+G41*2.471</f>
        <v>5018.6010000000006</v>
      </c>
    </row>
    <row r="42" spans="1:17" s="32" customFormat="1" ht="12" x14ac:dyDescent="0.2">
      <c r="A42" s="33" t="s">
        <v>99</v>
      </c>
      <c r="B42" s="33"/>
      <c r="C42" s="33"/>
      <c r="D42" s="33"/>
      <c r="E42" s="33"/>
      <c r="F42" s="33"/>
      <c r="G42" s="53">
        <v>43</v>
      </c>
      <c r="I42" s="37"/>
    </row>
    <row r="43" spans="1:17" s="32" customFormat="1" ht="12" x14ac:dyDescent="0.2">
      <c r="A43" s="33" t="s">
        <v>66</v>
      </c>
      <c r="B43" s="33"/>
      <c r="C43" s="33"/>
      <c r="D43" s="33"/>
      <c r="E43" s="33"/>
      <c r="F43" s="33"/>
      <c r="G43" s="54">
        <v>87333</v>
      </c>
      <c r="H43" s="52"/>
      <c r="I43" s="37">
        <v>215800</v>
      </c>
      <c r="L43" s="32">
        <f>+G41*G42</f>
        <v>87333</v>
      </c>
    </row>
    <row r="44" spans="1:17" s="32" customFormat="1" ht="12" x14ac:dyDescent="0.2">
      <c r="A44" s="33" t="s">
        <v>67</v>
      </c>
      <c r="B44" s="33"/>
      <c r="C44" s="33"/>
      <c r="D44" s="33"/>
      <c r="E44" s="33"/>
      <c r="F44" s="33"/>
      <c r="G44" s="54">
        <v>42601</v>
      </c>
      <c r="H44" s="52"/>
      <c r="I44" s="37">
        <v>105267</v>
      </c>
      <c r="L44" s="37">
        <f>+L43-K23</f>
        <v>42601</v>
      </c>
    </row>
    <row r="45" spans="1:17" s="32" customFormat="1" ht="12" x14ac:dyDescent="0.2">
      <c r="A45" s="33" t="s">
        <v>68</v>
      </c>
      <c r="B45" s="33"/>
      <c r="C45" s="33"/>
      <c r="D45" s="33"/>
      <c r="E45" s="33"/>
      <c r="F45" s="33"/>
      <c r="G45" s="54">
        <v>59816</v>
      </c>
      <c r="H45" s="52"/>
      <c r="I45" s="37">
        <v>147805</v>
      </c>
      <c r="L45" s="37">
        <f>+L43-K24</f>
        <v>59816</v>
      </c>
    </row>
    <row r="46" spans="1:17" s="32" customFormat="1" ht="12" x14ac:dyDescent="0.2">
      <c r="A46" s="33" t="s">
        <v>69</v>
      </c>
      <c r="B46" s="33"/>
      <c r="C46" s="33"/>
      <c r="D46" s="33"/>
      <c r="E46" s="33"/>
      <c r="F46" s="33"/>
      <c r="G46" s="53">
        <v>22.024529788281633</v>
      </c>
      <c r="I46" s="36"/>
    </row>
    <row r="47" spans="1:17" s="32" customFormat="1" ht="12" x14ac:dyDescent="0.2">
      <c r="A47" s="34" t="s">
        <v>70</v>
      </c>
      <c r="B47" s="34"/>
      <c r="C47" s="34"/>
      <c r="D47" s="34"/>
      <c r="E47" s="34"/>
      <c r="F47" s="34"/>
      <c r="G47" s="55">
        <v>13.548349709930854</v>
      </c>
      <c r="I47" s="36"/>
    </row>
    <row r="48" spans="1:17" s="32" customFormat="1" ht="12" x14ac:dyDescent="0.2"/>
    <row r="49" spans="1:11" s="32" customFormat="1" x14ac:dyDescent="0.25">
      <c r="A49" t="s">
        <v>237</v>
      </c>
    </row>
    <row r="50" spans="1:11" s="116" customFormat="1" ht="11.25" hidden="1" x14ac:dyDescent="0.2">
      <c r="A50" s="118"/>
      <c r="B50" s="118"/>
      <c r="C50" s="123"/>
      <c r="D50" s="118"/>
      <c r="E50" s="122"/>
      <c r="F50" s="122"/>
      <c r="G50" s="122"/>
    </row>
    <row r="51" spans="1:11" s="116" customFormat="1" ht="11.25" hidden="1" x14ac:dyDescent="0.2">
      <c r="A51" s="119"/>
      <c r="B51" s="118"/>
      <c r="C51" s="124"/>
      <c r="D51" s="119"/>
      <c r="E51" s="121"/>
      <c r="F51" s="121"/>
      <c r="G51" s="121"/>
    </row>
    <row r="52" spans="1:11" s="116" customFormat="1" ht="11.25" x14ac:dyDescent="0.2">
      <c r="A52" s="117"/>
      <c r="B52" s="117"/>
      <c r="C52" s="117"/>
      <c r="D52" s="117"/>
      <c r="E52" s="117"/>
      <c r="F52" s="117"/>
      <c r="G52" s="117"/>
    </row>
    <row r="53" spans="1:11" s="116" customFormat="1" ht="12" x14ac:dyDescent="0.2">
      <c r="A53" s="118"/>
      <c r="B53" s="118"/>
      <c r="C53" s="118"/>
      <c r="D53" s="118"/>
      <c r="E53" s="118"/>
      <c r="F53" s="118"/>
      <c r="G53" s="125"/>
      <c r="H53" s="126"/>
      <c r="I53" s="125"/>
      <c r="K53" s="120"/>
    </row>
    <row r="54" spans="1:11" s="116" customFormat="1" ht="11.25" x14ac:dyDescent="0.2">
      <c r="A54" s="118"/>
      <c r="B54" s="118"/>
      <c r="C54" s="118"/>
      <c r="D54" s="118"/>
      <c r="E54" s="118"/>
      <c r="F54" s="118"/>
      <c r="G54" s="127"/>
      <c r="I54" s="128"/>
    </row>
    <row r="55" spans="1:11" s="116" customFormat="1" ht="11.25" x14ac:dyDescent="0.2">
      <c r="A55" s="118"/>
      <c r="B55" s="118"/>
      <c r="C55" s="118"/>
      <c r="D55" s="118"/>
      <c r="E55" s="118"/>
      <c r="F55" s="118"/>
      <c r="G55" s="129"/>
      <c r="H55" s="130"/>
      <c r="I55" s="125"/>
      <c r="K55" s="120"/>
    </row>
    <row r="56" spans="1:11" s="116" customFormat="1" ht="11.25" x14ac:dyDescent="0.2">
      <c r="A56" s="118"/>
      <c r="B56" s="118"/>
      <c r="C56" s="118"/>
      <c r="D56" s="118"/>
      <c r="E56" s="118"/>
      <c r="F56" s="118"/>
      <c r="G56" s="76"/>
      <c r="H56" s="130"/>
      <c r="I56" s="125"/>
      <c r="K56" s="120"/>
    </row>
    <row r="57" spans="1:11" s="116" customFormat="1" ht="11.25" x14ac:dyDescent="0.2">
      <c r="A57" s="118"/>
      <c r="B57" s="118"/>
      <c r="C57" s="118"/>
      <c r="D57" s="118"/>
      <c r="E57" s="118"/>
      <c r="F57" s="118"/>
      <c r="G57" s="76"/>
      <c r="H57" s="130"/>
      <c r="I57" s="125"/>
      <c r="K57" s="120"/>
    </row>
    <row r="58" spans="1:11" s="116" customFormat="1" ht="11.25" x14ac:dyDescent="0.2">
      <c r="A58" s="118"/>
      <c r="B58" s="118"/>
      <c r="C58" s="118"/>
      <c r="D58" s="118"/>
      <c r="E58" s="118"/>
      <c r="F58" s="118"/>
      <c r="G58" s="127"/>
    </row>
    <row r="59" spans="1:11" s="116" customFormat="1" ht="11.25" x14ac:dyDescent="0.2">
      <c r="A59" s="119"/>
      <c r="B59" s="119"/>
      <c r="C59" s="119"/>
      <c r="D59" s="119"/>
      <c r="E59" s="119"/>
      <c r="F59" s="119"/>
      <c r="G59" s="131"/>
    </row>
    <row r="60" spans="1:11" s="116" customFormat="1" ht="11.25" x14ac:dyDescent="0.2"/>
    <row r="61" spans="1:11" s="116" customFormat="1" ht="13.5" x14ac:dyDescent="0.25">
      <c r="A61" s="132"/>
    </row>
    <row r="62" spans="1:11" s="116" customFormat="1" ht="11.25" x14ac:dyDescent="0.2"/>
    <row r="63" spans="1:11" s="116" customFormat="1" ht="11.25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M57"/>
  <sheetViews>
    <sheetView topLeftCell="A25" workbookViewId="0">
      <selection activeCell="A5" sqref="A5:XFD9"/>
    </sheetView>
  </sheetViews>
  <sheetFormatPr defaultRowHeight="15" x14ac:dyDescent="0.25"/>
  <sheetData>
    <row r="1" spans="1:13" x14ac:dyDescent="0.25">
      <c r="A1" s="30" t="s">
        <v>73</v>
      </c>
      <c r="B1" s="30"/>
    </row>
    <row r="2" spans="1:13" x14ac:dyDescent="0.25">
      <c r="A2" s="30" t="s">
        <v>148</v>
      </c>
      <c r="B2" s="30"/>
    </row>
    <row r="3" spans="1:13" x14ac:dyDescent="0.25">
      <c r="A3" s="30" t="s">
        <v>171</v>
      </c>
      <c r="B3" s="30"/>
    </row>
    <row r="4" spans="1:13" x14ac:dyDescent="0.25">
      <c r="A4" s="1"/>
    </row>
    <row r="5" spans="1:13" s="1" customFormat="1" x14ac:dyDescent="0.25">
      <c r="A5" s="448" t="s">
        <v>0</v>
      </c>
      <c r="B5" s="448"/>
      <c r="C5" s="448"/>
      <c r="D5" s="448" t="s">
        <v>1</v>
      </c>
      <c r="E5" s="448" t="s">
        <v>2</v>
      </c>
      <c r="F5" s="448" t="s">
        <v>3</v>
      </c>
      <c r="G5" s="448" t="s">
        <v>4</v>
      </c>
      <c r="H5" s="448" t="s">
        <v>5</v>
      </c>
      <c r="I5" s="448" t="s">
        <v>6</v>
      </c>
      <c r="J5" s="448" t="s">
        <v>7</v>
      </c>
      <c r="K5" s="448" t="s">
        <v>8</v>
      </c>
      <c r="L5" s="448" t="s">
        <v>9</v>
      </c>
      <c r="M5" s="448" t="s">
        <v>10</v>
      </c>
    </row>
    <row r="6" spans="1:13" s="1" customFormat="1" x14ac:dyDescent="0.25">
      <c r="A6" s="448"/>
      <c r="B6" s="448"/>
      <c r="C6" s="448"/>
      <c r="D6" s="448" t="s">
        <v>11</v>
      </c>
      <c r="E6" s="448" t="s">
        <v>12</v>
      </c>
      <c r="F6" s="448" t="s">
        <v>13</v>
      </c>
      <c r="G6" s="448" t="s">
        <v>14</v>
      </c>
      <c r="H6" s="448" t="s">
        <v>15</v>
      </c>
      <c r="I6" s="448" t="s">
        <v>16</v>
      </c>
      <c r="J6" s="448" t="s">
        <v>15</v>
      </c>
      <c r="K6" s="448" t="s">
        <v>15</v>
      </c>
      <c r="L6" s="448" t="s">
        <v>17</v>
      </c>
      <c r="M6" s="448" t="s">
        <v>18</v>
      </c>
    </row>
    <row r="7" spans="1:13" s="1" customFormat="1" x14ac:dyDescent="0.25">
      <c r="A7" s="448"/>
      <c r="B7" s="448"/>
      <c r="C7" s="448"/>
      <c r="D7" s="448" t="s">
        <v>19</v>
      </c>
      <c r="E7" s="448"/>
      <c r="F7" s="448"/>
      <c r="G7" s="448"/>
      <c r="H7" s="448" t="s">
        <v>20</v>
      </c>
      <c r="I7" s="448" t="s">
        <v>21</v>
      </c>
      <c r="J7" s="448" t="s">
        <v>20</v>
      </c>
      <c r="K7" s="448" t="s">
        <v>20</v>
      </c>
      <c r="L7" s="448" t="s">
        <v>18</v>
      </c>
      <c r="M7" s="448"/>
    </row>
    <row r="8" spans="1:13" s="1" customFormat="1" x14ac:dyDescent="0.25">
      <c r="A8" s="448"/>
      <c r="B8" s="448"/>
      <c r="C8" s="448"/>
      <c r="D8" s="448"/>
      <c r="E8" s="448"/>
      <c r="F8" s="448"/>
      <c r="G8" s="448"/>
      <c r="H8" s="448"/>
      <c r="I8" s="448" t="s">
        <v>118</v>
      </c>
      <c r="J8" s="448"/>
      <c r="K8" s="448"/>
      <c r="L8" s="448"/>
      <c r="M8" s="448"/>
    </row>
    <row r="9" spans="1:13" s="1" customFormat="1" x14ac:dyDescent="0.25">
      <c r="A9" s="449"/>
      <c r="B9" s="449"/>
      <c r="C9" s="449"/>
      <c r="D9" s="449"/>
      <c r="E9" s="449"/>
      <c r="F9" s="449"/>
      <c r="G9" s="449"/>
      <c r="H9" s="449"/>
      <c r="I9" s="449"/>
      <c r="J9" s="449"/>
      <c r="K9" s="449"/>
      <c r="L9" s="448"/>
      <c r="M9" s="448"/>
    </row>
    <row r="10" spans="1:13" x14ac:dyDescent="0.25">
      <c r="A10" s="5" t="s">
        <v>22</v>
      </c>
      <c r="B10" s="5"/>
      <c r="C10" s="5"/>
      <c r="D10" s="9">
        <v>100</v>
      </c>
      <c r="E10" s="5">
        <v>0.64</v>
      </c>
      <c r="F10" s="5">
        <v>0.63</v>
      </c>
      <c r="G10" s="5">
        <v>1000</v>
      </c>
      <c r="H10" s="329">
        <v>640</v>
      </c>
      <c r="I10" s="329"/>
      <c r="J10" s="329"/>
      <c r="K10" s="329">
        <v>640</v>
      </c>
      <c r="L10" s="9"/>
      <c r="M10" s="9"/>
    </row>
    <row r="11" spans="1:13" x14ac:dyDescent="0.25">
      <c r="A11" s="5" t="s">
        <v>23</v>
      </c>
      <c r="B11" s="5"/>
      <c r="C11" s="5"/>
      <c r="D11" s="11">
        <v>84</v>
      </c>
      <c r="E11" s="5">
        <v>0.96</v>
      </c>
      <c r="F11" s="5">
        <v>0.96</v>
      </c>
      <c r="G11" s="5">
        <v>1000</v>
      </c>
      <c r="H11" s="329">
        <v>960</v>
      </c>
      <c r="I11" s="330">
        <v>7398</v>
      </c>
      <c r="J11" s="329"/>
      <c r="K11" s="329">
        <v>8358</v>
      </c>
      <c r="L11" s="9"/>
      <c r="M11" s="9">
        <v>2833</v>
      </c>
    </row>
    <row r="12" spans="1:13" x14ac:dyDescent="0.25">
      <c r="A12" s="5" t="s">
        <v>238</v>
      </c>
      <c r="B12" s="5"/>
      <c r="C12" s="5"/>
      <c r="D12" s="11" t="s">
        <v>103</v>
      </c>
      <c r="E12" s="5"/>
      <c r="F12" s="5"/>
      <c r="G12" s="5"/>
      <c r="H12" s="329">
        <v>0</v>
      </c>
      <c r="I12" s="330" t="s">
        <v>239</v>
      </c>
      <c r="J12" s="329"/>
      <c r="K12" s="329">
        <v>0</v>
      </c>
      <c r="L12" s="9"/>
      <c r="M12" s="9"/>
    </row>
    <row r="13" spans="1:13" x14ac:dyDescent="0.25">
      <c r="A13" s="5" t="s">
        <v>25</v>
      </c>
      <c r="B13" s="5"/>
      <c r="C13" s="5"/>
      <c r="D13" s="9">
        <v>100</v>
      </c>
      <c r="E13" s="5">
        <v>5.09</v>
      </c>
      <c r="F13" s="5">
        <v>1.89</v>
      </c>
      <c r="G13" s="5">
        <v>1000</v>
      </c>
      <c r="H13" s="329">
        <v>5090</v>
      </c>
      <c r="I13" s="329"/>
      <c r="J13" s="329"/>
      <c r="K13" s="329">
        <v>5090</v>
      </c>
      <c r="L13" s="9"/>
      <c r="M13" s="9"/>
    </row>
    <row r="14" spans="1:13" x14ac:dyDescent="0.25">
      <c r="A14" s="5" t="s">
        <v>26</v>
      </c>
      <c r="B14" s="5"/>
      <c r="C14" s="5"/>
      <c r="D14" s="9">
        <v>100</v>
      </c>
      <c r="E14" s="5">
        <v>2.23</v>
      </c>
      <c r="F14" s="5">
        <v>0.68</v>
      </c>
      <c r="G14" s="5">
        <v>1016</v>
      </c>
      <c r="H14" s="329">
        <v>2266</v>
      </c>
      <c r="I14" s="331"/>
      <c r="J14" s="329">
        <v>2797.0076000000004</v>
      </c>
      <c r="K14" s="329">
        <v>5063</v>
      </c>
      <c r="L14" s="9">
        <v>553</v>
      </c>
      <c r="M14" s="9"/>
    </row>
    <row r="15" spans="1:13" x14ac:dyDescent="0.25">
      <c r="A15" s="5" t="s">
        <v>27</v>
      </c>
      <c r="B15" s="5"/>
      <c r="C15" s="5"/>
      <c r="D15" s="9">
        <v>100</v>
      </c>
      <c r="E15" s="5">
        <v>0.84</v>
      </c>
      <c r="F15" s="5">
        <v>0.84</v>
      </c>
      <c r="G15" s="5">
        <v>1000</v>
      </c>
      <c r="H15" s="329">
        <v>840</v>
      </c>
      <c r="I15" s="331"/>
      <c r="J15" s="329">
        <v>924</v>
      </c>
      <c r="K15" s="329">
        <v>1764</v>
      </c>
      <c r="L15" s="9"/>
      <c r="M15" s="9"/>
    </row>
    <row r="16" spans="1:13" x14ac:dyDescent="0.25">
      <c r="A16" s="5" t="s">
        <v>240</v>
      </c>
      <c r="B16" s="5"/>
      <c r="C16" s="5"/>
      <c r="D16" s="9"/>
      <c r="E16" s="5"/>
      <c r="F16" s="5"/>
      <c r="G16" s="5"/>
      <c r="H16" s="329">
        <v>0</v>
      </c>
      <c r="I16" s="329"/>
      <c r="J16" s="329"/>
      <c r="K16" s="329">
        <v>0</v>
      </c>
      <c r="L16" s="9"/>
      <c r="M16" s="9"/>
    </row>
    <row r="17" spans="1:13" x14ac:dyDescent="0.25">
      <c r="A17" s="5" t="s">
        <v>28</v>
      </c>
      <c r="B17" s="5"/>
      <c r="C17" s="5"/>
      <c r="D17" s="9">
        <v>100</v>
      </c>
      <c r="E17" s="5">
        <v>0.62</v>
      </c>
      <c r="F17" s="5">
        <v>0.44</v>
      </c>
      <c r="G17" s="5">
        <v>1088</v>
      </c>
      <c r="H17" s="329">
        <v>675</v>
      </c>
      <c r="I17" s="329"/>
      <c r="J17" s="329">
        <v>2436</v>
      </c>
      <c r="K17" s="329">
        <v>3111</v>
      </c>
      <c r="L17" s="9"/>
      <c r="M17" s="9"/>
    </row>
    <row r="18" spans="1:13" x14ac:dyDescent="0.25">
      <c r="A18" s="5" t="s">
        <v>29</v>
      </c>
      <c r="B18" s="5"/>
      <c r="C18" s="5"/>
      <c r="D18" s="9">
        <v>70</v>
      </c>
      <c r="E18" s="5">
        <v>0.62</v>
      </c>
      <c r="F18" s="5">
        <v>0.39</v>
      </c>
      <c r="G18" s="5">
        <v>1000</v>
      </c>
      <c r="H18" s="329">
        <v>620</v>
      </c>
      <c r="I18" s="329"/>
      <c r="J18" s="329">
        <v>1464</v>
      </c>
      <c r="K18" s="329">
        <v>2084</v>
      </c>
      <c r="L18" s="9"/>
      <c r="M18" s="9"/>
    </row>
    <row r="19" spans="1:13" x14ac:dyDescent="0.25">
      <c r="A19" s="5" t="s">
        <v>30</v>
      </c>
      <c r="B19" s="5"/>
      <c r="C19" s="5"/>
      <c r="D19" s="9">
        <v>100</v>
      </c>
      <c r="E19" s="5">
        <v>5.16</v>
      </c>
      <c r="F19" s="5">
        <v>5.16</v>
      </c>
      <c r="G19" s="5">
        <v>1000</v>
      </c>
      <c r="H19" s="329">
        <v>5160</v>
      </c>
      <c r="I19" s="329"/>
      <c r="J19" s="329"/>
      <c r="K19" s="329">
        <v>5160</v>
      </c>
      <c r="L19" s="9"/>
      <c r="M19" s="9"/>
    </row>
    <row r="20" spans="1:13" x14ac:dyDescent="0.25">
      <c r="A20" s="5" t="s">
        <v>241</v>
      </c>
      <c r="B20" s="5"/>
      <c r="C20" s="5"/>
      <c r="D20" s="9">
        <v>84</v>
      </c>
      <c r="E20" s="5">
        <v>0.53</v>
      </c>
      <c r="F20" s="5">
        <v>0.53</v>
      </c>
      <c r="G20" s="5">
        <v>1000</v>
      </c>
      <c r="H20" s="329">
        <v>530</v>
      </c>
      <c r="I20" s="329">
        <v>8450</v>
      </c>
      <c r="J20" s="329"/>
      <c r="K20" s="329">
        <v>8980</v>
      </c>
      <c r="L20" s="9"/>
      <c r="M20" s="9"/>
    </row>
    <row r="21" spans="1:13" x14ac:dyDescent="0.25">
      <c r="A21" s="5" t="s">
        <v>242</v>
      </c>
      <c r="B21" s="137"/>
      <c r="C21" s="137"/>
      <c r="D21" s="332" t="s">
        <v>243</v>
      </c>
      <c r="E21" s="10"/>
      <c r="F21" s="10"/>
      <c r="G21" s="10"/>
      <c r="H21" s="330" t="s">
        <v>244</v>
      </c>
      <c r="I21" s="330"/>
      <c r="J21" s="329"/>
      <c r="K21" s="329">
        <v>0</v>
      </c>
      <c r="L21" s="9"/>
      <c r="M21" s="9"/>
    </row>
    <row r="22" spans="1:13" x14ac:dyDescent="0.25">
      <c r="A22" s="5" t="s">
        <v>245</v>
      </c>
      <c r="B22" s="5"/>
      <c r="C22" s="5"/>
      <c r="D22" s="11" t="s">
        <v>103</v>
      </c>
      <c r="E22" s="10" t="s">
        <v>246</v>
      </c>
      <c r="F22" s="10"/>
      <c r="G22" s="5"/>
      <c r="H22" s="329">
        <v>0</v>
      </c>
      <c r="I22" s="330" t="s">
        <v>247</v>
      </c>
      <c r="J22" s="329"/>
      <c r="K22" s="329">
        <v>0</v>
      </c>
      <c r="L22" s="9"/>
      <c r="M22" s="9"/>
    </row>
    <row r="23" spans="1:13" x14ac:dyDescent="0.25">
      <c r="A23" s="5" t="s">
        <v>248</v>
      </c>
      <c r="B23" s="5"/>
      <c r="C23" s="5"/>
      <c r="D23" s="11">
        <v>44</v>
      </c>
      <c r="E23" s="10">
        <v>1.22</v>
      </c>
      <c r="F23" s="10">
        <v>1.03</v>
      </c>
      <c r="G23" s="3">
        <v>1000</v>
      </c>
      <c r="H23" s="329">
        <v>1220</v>
      </c>
      <c r="I23" s="333"/>
      <c r="J23" s="334"/>
      <c r="K23" s="329">
        <v>1220</v>
      </c>
      <c r="L23" s="9"/>
      <c r="M23" s="9"/>
    </row>
    <row r="24" spans="1:13" x14ac:dyDescent="0.25">
      <c r="A24" s="4" t="s">
        <v>32</v>
      </c>
      <c r="B24" s="4"/>
      <c r="C24" s="4"/>
      <c r="D24" s="13">
        <v>90</v>
      </c>
      <c r="E24" s="4">
        <v>0.33</v>
      </c>
      <c r="F24" s="4">
        <v>0.33</v>
      </c>
      <c r="G24" s="4">
        <v>1000</v>
      </c>
      <c r="H24" s="329">
        <v>330</v>
      </c>
      <c r="I24" s="335">
        <v>779</v>
      </c>
      <c r="J24" s="335"/>
      <c r="K24" s="329">
        <v>1109</v>
      </c>
      <c r="L24" s="9"/>
      <c r="M24" s="9"/>
    </row>
    <row r="25" spans="1:13" x14ac:dyDescent="0.25">
      <c r="A25" s="2" t="s">
        <v>33</v>
      </c>
      <c r="B25" s="2"/>
      <c r="C25" s="2"/>
      <c r="D25" s="2"/>
      <c r="E25" s="2">
        <f t="shared" ref="E25:M25" si="0">SUM(E10:E24)</f>
        <v>18.239999999999995</v>
      </c>
      <c r="F25" s="2">
        <f t="shared" si="0"/>
        <v>12.879999999999997</v>
      </c>
      <c r="G25" s="2">
        <f t="shared" si="0"/>
        <v>11104</v>
      </c>
      <c r="H25" s="19">
        <f t="shared" si="0"/>
        <v>18331</v>
      </c>
      <c r="I25" s="19">
        <f t="shared" si="0"/>
        <v>16627</v>
      </c>
      <c r="J25" s="19">
        <f t="shared" si="0"/>
        <v>7621.0076000000008</v>
      </c>
      <c r="K25" s="347">
        <f t="shared" si="0"/>
        <v>42579</v>
      </c>
      <c r="L25" s="19">
        <f t="shared" si="0"/>
        <v>553</v>
      </c>
      <c r="M25" s="19">
        <f t="shared" si="0"/>
        <v>2833</v>
      </c>
    </row>
    <row r="26" spans="1:13" x14ac:dyDescent="0.25">
      <c r="A26" s="4" t="s">
        <v>34</v>
      </c>
      <c r="B26" s="4"/>
      <c r="C26" s="4"/>
      <c r="D26" s="4"/>
      <c r="E26" s="4">
        <f>SUM(E25-F25)</f>
        <v>5.3599999999999977</v>
      </c>
      <c r="F26" s="4"/>
      <c r="G26" s="4"/>
      <c r="H26" s="13">
        <v>5386.5178947368404</v>
      </c>
      <c r="I26" s="348">
        <v>16074</v>
      </c>
      <c r="J26" s="348">
        <v>4788.0076000000008</v>
      </c>
      <c r="K26" s="13">
        <v>26248.525494736841</v>
      </c>
      <c r="L26" s="9"/>
      <c r="M26" s="9"/>
    </row>
    <row r="27" spans="1:13" x14ac:dyDescent="0.25">
      <c r="A27" s="5"/>
      <c r="B27" s="5"/>
      <c r="C27" s="5" t="s">
        <v>35</v>
      </c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x14ac:dyDescent="0.25">
      <c r="A28" s="5" t="s">
        <v>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x14ac:dyDescent="0.25">
      <c r="A29" s="5" t="s">
        <v>17</v>
      </c>
      <c r="B29" s="5"/>
      <c r="C29" s="5"/>
      <c r="D29" s="5" t="s">
        <v>37</v>
      </c>
      <c r="E29" s="5" t="s">
        <v>38</v>
      </c>
      <c r="F29" s="5"/>
      <c r="G29" s="5" t="s">
        <v>39</v>
      </c>
      <c r="H29" s="5"/>
      <c r="I29" s="5"/>
      <c r="J29" s="5"/>
      <c r="K29" s="5"/>
      <c r="L29" s="5"/>
      <c r="M29" s="5"/>
    </row>
    <row r="30" spans="1:13" x14ac:dyDescent="0.25">
      <c r="A30" s="8"/>
      <c r="B30" s="8"/>
      <c r="C30" s="8"/>
      <c r="D30" s="8"/>
      <c r="E30" s="8"/>
      <c r="F30" s="8"/>
      <c r="G30" s="8"/>
      <c r="H30" s="8"/>
      <c r="I30" s="5"/>
      <c r="J30" s="5"/>
      <c r="K30" s="5"/>
      <c r="L30" s="5"/>
      <c r="M30" s="5"/>
    </row>
    <row r="31" spans="1:13" x14ac:dyDescent="0.25">
      <c r="A31" s="5" t="s">
        <v>41</v>
      </c>
      <c r="B31" s="5"/>
      <c r="C31" s="5"/>
      <c r="D31" s="5"/>
      <c r="E31" s="5"/>
      <c r="F31" s="5"/>
      <c r="G31" s="5"/>
      <c r="H31" s="5"/>
      <c r="I31" s="336" t="s">
        <v>40</v>
      </c>
      <c r="J31" s="337">
        <v>2.35</v>
      </c>
      <c r="K31" s="5"/>
      <c r="L31" s="5"/>
      <c r="M31" s="5"/>
    </row>
    <row r="32" spans="1:13" x14ac:dyDescent="0.25">
      <c r="A32" s="5" t="s">
        <v>43</v>
      </c>
      <c r="B32" s="5"/>
      <c r="C32" s="5"/>
      <c r="D32" s="5" t="s">
        <v>44</v>
      </c>
      <c r="E32" s="5">
        <v>40.21</v>
      </c>
      <c r="F32" s="5"/>
      <c r="G32" s="5">
        <v>69.56</v>
      </c>
      <c r="H32" s="5"/>
      <c r="I32" s="338" t="s">
        <v>42</v>
      </c>
      <c r="J32" s="339">
        <v>2.5</v>
      </c>
      <c r="K32" s="5"/>
      <c r="L32" s="5"/>
      <c r="M32" s="5"/>
    </row>
    <row r="33" spans="1:1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25">
      <c r="A34" s="5" t="s">
        <v>46</v>
      </c>
      <c r="B34" s="5"/>
      <c r="C34" s="5"/>
      <c r="D34" s="5"/>
      <c r="E34" s="5"/>
      <c r="F34" s="5"/>
      <c r="G34" s="5"/>
      <c r="H34" s="5"/>
      <c r="I34" s="336" t="s">
        <v>86</v>
      </c>
      <c r="J34" s="337" t="s">
        <v>138</v>
      </c>
      <c r="K34" s="5"/>
      <c r="L34" s="5"/>
      <c r="M34" s="5"/>
    </row>
    <row r="35" spans="1:13" x14ac:dyDescent="0.25">
      <c r="A35" s="5" t="s">
        <v>48</v>
      </c>
      <c r="B35" s="5"/>
      <c r="C35" s="5"/>
      <c r="D35" s="5" t="s">
        <v>49</v>
      </c>
      <c r="E35" s="9">
        <f>SUM(E26)</f>
        <v>5.3599999999999977</v>
      </c>
      <c r="F35" s="5"/>
      <c r="G35" s="349">
        <f>SUM(H25/E25)</f>
        <v>1004.9890350877196</v>
      </c>
      <c r="H35" s="5"/>
      <c r="I35" s="336" t="s">
        <v>139</v>
      </c>
      <c r="J35" s="340">
        <v>57</v>
      </c>
      <c r="K35" s="5"/>
      <c r="M35" s="5"/>
    </row>
    <row r="36" spans="1:13" x14ac:dyDescent="0.25">
      <c r="A36" s="5" t="s">
        <v>51</v>
      </c>
      <c r="B36" s="5"/>
      <c r="C36" s="5"/>
      <c r="D36" s="5" t="s">
        <v>49</v>
      </c>
      <c r="E36" s="9">
        <f>SUM(F25)</f>
        <v>12.879999999999997</v>
      </c>
      <c r="F36" s="5"/>
      <c r="G36" s="5"/>
      <c r="H36" s="5"/>
      <c r="I36" s="341" t="s">
        <v>47</v>
      </c>
      <c r="J36" s="342">
        <v>19</v>
      </c>
      <c r="K36" s="5"/>
    </row>
    <row r="37" spans="1:13" x14ac:dyDescent="0.25">
      <c r="A37" s="5" t="s">
        <v>2</v>
      </c>
      <c r="B37" s="5"/>
      <c r="C37" s="5"/>
      <c r="D37" s="5" t="s">
        <v>49</v>
      </c>
      <c r="E37" s="9">
        <f>E35+E36</f>
        <v>18.239999999999995</v>
      </c>
      <c r="F37" s="5"/>
      <c r="G37" s="5"/>
      <c r="H37" s="5"/>
      <c r="I37" s="343" t="s">
        <v>52</v>
      </c>
      <c r="J37" s="342">
        <v>11</v>
      </c>
      <c r="K37" s="5"/>
      <c r="L37" s="5"/>
      <c r="M37" s="5"/>
    </row>
    <row r="38" spans="1:13" x14ac:dyDescent="0.25">
      <c r="A38" s="5"/>
      <c r="B38" s="5"/>
      <c r="C38" s="5"/>
      <c r="D38" s="5"/>
      <c r="E38" s="5"/>
      <c r="F38" s="5"/>
      <c r="G38" s="5"/>
      <c r="H38" s="5"/>
      <c r="I38" s="341" t="s">
        <v>249</v>
      </c>
      <c r="J38" s="342">
        <v>6</v>
      </c>
      <c r="K38" s="5"/>
      <c r="L38" s="5"/>
      <c r="M38" s="5"/>
    </row>
    <row r="39" spans="1:13" x14ac:dyDescent="0.25">
      <c r="A39" s="5" t="s">
        <v>53</v>
      </c>
      <c r="B39" s="5" t="s">
        <v>54</v>
      </c>
      <c r="C39" s="5"/>
      <c r="D39" s="5"/>
      <c r="E39" s="5"/>
      <c r="F39" s="5"/>
      <c r="G39" s="5"/>
      <c r="H39" s="5"/>
      <c r="I39" s="341" t="s">
        <v>150</v>
      </c>
      <c r="J39" s="342">
        <v>5</v>
      </c>
      <c r="K39" s="5"/>
      <c r="L39" s="5"/>
      <c r="M39" s="5"/>
    </row>
    <row r="40" spans="1:13" x14ac:dyDescent="0.25">
      <c r="A40" s="7" t="s">
        <v>56</v>
      </c>
      <c r="B40" s="9"/>
      <c r="C40" s="9" t="s">
        <v>138</v>
      </c>
      <c r="D40" s="5"/>
      <c r="E40" s="5"/>
      <c r="F40" s="5"/>
      <c r="G40" s="5"/>
      <c r="H40" s="5"/>
      <c r="I40" s="343" t="s">
        <v>92</v>
      </c>
      <c r="J40" s="342">
        <v>2</v>
      </c>
      <c r="K40" s="5"/>
      <c r="L40" s="5"/>
      <c r="M40" s="5"/>
    </row>
    <row r="41" spans="1:13" x14ac:dyDescent="0.25">
      <c r="A41" s="5" t="s">
        <v>57</v>
      </c>
      <c r="B41" s="9"/>
      <c r="C41" s="9">
        <v>100</v>
      </c>
      <c r="D41" s="5" t="s">
        <v>44</v>
      </c>
      <c r="E41" s="5">
        <v>20</v>
      </c>
      <c r="F41" s="5"/>
      <c r="G41" s="5">
        <v>7</v>
      </c>
      <c r="H41" s="5"/>
      <c r="I41" s="343"/>
      <c r="J41" s="344"/>
      <c r="K41" s="5"/>
      <c r="L41" s="5"/>
      <c r="M41" s="5"/>
    </row>
    <row r="42" spans="1:13" x14ac:dyDescent="0.25">
      <c r="A42" s="5" t="s">
        <v>58</v>
      </c>
      <c r="B42" s="9"/>
      <c r="C42" s="11">
        <v>50</v>
      </c>
      <c r="D42" s="5" t="s">
        <v>44</v>
      </c>
      <c r="E42" s="10">
        <v>10</v>
      </c>
      <c r="F42" s="5"/>
      <c r="G42" s="10">
        <v>7</v>
      </c>
      <c r="H42" s="5"/>
      <c r="I42" s="345"/>
      <c r="J42" s="346"/>
      <c r="K42" s="5"/>
      <c r="L42" s="5"/>
      <c r="M42" s="5"/>
    </row>
    <row r="43" spans="1:13" x14ac:dyDescent="0.25">
      <c r="A43" s="5" t="s">
        <v>59</v>
      </c>
      <c r="B43" s="5"/>
      <c r="C43" s="11">
        <v>56</v>
      </c>
      <c r="D43" s="5" t="s">
        <v>44</v>
      </c>
      <c r="E43" s="10">
        <v>6</v>
      </c>
      <c r="F43" s="5"/>
      <c r="G43" s="10">
        <v>7</v>
      </c>
      <c r="H43" s="5"/>
      <c r="I43" s="3"/>
      <c r="J43" s="24">
        <f>SUM(J35:J42)</f>
        <v>100</v>
      </c>
      <c r="K43" s="5"/>
      <c r="L43" s="5"/>
      <c r="M43" s="5"/>
    </row>
    <row r="44" spans="1:13" x14ac:dyDescent="0.25">
      <c r="A44" s="5" t="s">
        <v>250</v>
      </c>
      <c r="B44" s="5"/>
      <c r="C44" s="11"/>
      <c r="D44" s="5"/>
      <c r="E44" s="10"/>
      <c r="F44" s="5"/>
      <c r="G44" s="10"/>
      <c r="H44" s="5"/>
      <c r="J44" s="24"/>
      <c r="K44" s="5"/>
      <c r="L44" s="5"/>
      <c r="M44" s="5"/>
    </row>
    <row r="45" spans="1:13" x14ac:dyDescent="0.25">
      <c r="A45" s="5" t="s">
        <v>58</v>
      </c>
      <c r="B45" s="5"/>
      <c r="C45" s="9">
        <v>100</v>
      </c>
      <c r="D45" s="5" t="s">
        <v>44</v>
      </c>
      <c r="E45" s="5">
        <v>79</v>
      </c>
      <c r="F45" s="5"/>
      <c r="G45" s="5">
        <v>7</v>
      </c>
      <c r="H45" s="5"/>
      <c r="I45" s="232"/>
      <c r="J45" s="232"/>
      <c r="K45" s="5"/>
      <c r="L45" s="5"/>
      <c r="M45" s="5"/>
    </row>
    <row r="46" spans="1:13" x14ac:dyDescent="0.25">
      <c r="A46" s="5" t="s">
        <v>59</v>
      </c>
      <c r="B46" s="5"/>
      <c r="C46" s="11">
        <v>100</v>
      </c>
      <c r="D46" s="5" t="s">
        <v>44</v>
      </c>
      <c r="E46" s="10">
        <v>17</v>
      </c>
      <c r="F46" s="5"/>
      <c r="G46" s="10">
        <v>7</v>
      </c>
      <c r="H46" s="5"/>
      <c r="J46" s="21"/>
      <c r="K46" s="5"/>
      <c r="L46" s="5"/>
      <c r="M46" s="5"/>
    </row>
    <row r="47" spans="1:13" x14ac:dyDescent="0.25">
      <c r="A47" s="5" t="s">
        <v>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x14ac:dyDescent="0.25">
      <c r="A48" s="8"/>
      <c r="B48" s="8"/>
      <c r="C48" s="4"/>
      <c r="D48" s="5"/>
      <c r="E48" s="5"/>
      <c r="F48" s="5"/>
      <c r="G48" s="5"/>
      <c r="H48" s="5"/>
      <c r="I48" s="5" t="s">
        <v>63</v>
      </c>
      <c r="J48" s="5"/>
      <c r="K48" s="5"/>
      <c r="L48" s="5"/>
      <c r="M48" s="5"/>
    </row>
    <row r="49" spans="1:13" x14ac:dyDescent="0.25">
      <c r="A49" s="5" t="s">
        <v>64</v>
      </c>
      <c r="B49" s="5"/>
      <c r="C49" s="5"/>
      <c r="D49" s="5"/>
      <c r="E49" s="5"/>
      <c r="F49" s="5"/>
      <c r="G49" s="5">
        <v>2120</v>
      </c>
      <c r="H49" s="5"/>
      <c r="I49" s="5">
        <v>5239</v>
      </c>
      <c r="J49" s="5"/>
      <c r="K49" s="5"/>
      <c r="L49" s="5"/>
      <c r="M49" s="5"/>
    </row>
    <row r="50" spans="1:13" x14ac:dyDescent="0.25">
      <c r="A50" s="5" t="s">
        <v>65</v>
      </c>
      <c r="B50" s="5"/>
      <c r="C50" s="5"/>
      <c r="D50" s="5"/>
      <c r="E50" s="5"/>
      <c r="F50" s="5"/>
      <c r="G50" s="5">
        <v>38.26</v>
      </c>
      <c r="H50" s="5"/>
      <c r="I50" s="5"/>
      <c r="J50" s="5"/>
      <c r="K50" s="5"/>
      <c r="L50" s="5"/>
      <c r="M50" s="5"/>
    </row>
    <row r="51" spans="1:13" x14ac:dyDescent="0.25">
      <c r="A51" s="5" t="s">
        <v>66</v>
      </c>
      <c r="B51" s="5"/>
      <c r="C51" s="5"/>
      <c r="D51" s="5"/>
      <c r="E51" s="5"/>
      <c r="F51" s="5"/>
      <c r="G51" s="5">
        <v>81111</v>
      </c>
      <c r="H51" s="5"/>
      <c r="I51" s="5">
        <v>200425</v>
      </c>
      <c r="J51" s="5"/>
      <c r="K51" s="5"/>
      <c r="L51" s="5"/>
      <c r="M51" s="5"/>
    </row>
    <row r="52" spans="1:13" x14ac:dyDescent="0.25">
      <c r="A52" s="5" t="s">
        <v>67</v>
      </c>
      <c r="B52" s="5"/>
      <c r="C52" s="5"/>
      <c r="D52" s="5"/>
      <c r="E52" s="5"/>
      <c r="F52" s="5"/>
      <c r="G52" s="5">
        <v>38533</v>
      </c>
      <c r="H52" s="5"/>
      <c r="I52" s="5">
        <v>95215</v>
      </c>
      <c r="J52" s="5"/>
      <c r="K52" s="5"/>
      <c r="L52" s="5"/>
      <c r="M52" s="5"/>
    </row>
    <row r="53" spans="1:13" x14ac:dyDescent="0.25">
      <c r="A53" s="5" t="s">
        <v>68</v>
      </c>
      <c r="B53" s="5"/>
      <c r="C53" s="5"/>
      <c r="D53" s="5"/>
      <c r="E53" s="5"/>
      <c r="F53" s="5"/>
      <c r="G53" s="68">
        <v>54862</v>
      </c>
      <c r="H53" s="5"/>
      <c r="I53" s="5">
        <f>+G53*2.471</f>
        <v>135564.00200000001</v>
      </c>
      <c r="J53" s="5"/>
      <c r="K53" s="5"/>
      <c r="L53" s="5"/>
      <c r="M53" s="5"/>
    </row>
    <row r="54" spans="1:1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x14ac:dyDescent="0.25">
      <c r="A55" s="5" t="s">
        <v>69</v>
      </c>
      <c r="B55" s="5"/>
      <c r="C55" s="5"/>
      <c r="D55" s="5"/>
      <c r="E55" s="5"/>
      <c r="F55" s="5"/>
      <c r="G55" s="5">
        <f>+K25/G49</f>
        <v>20.08443396226415</v>
      </c>
      <c r="H55" s="5"/>
      <c r="I55" s="5"/>
      <c r="J55" s="5"/>
      <c r="K55" s="5"/>
      <c r="L55" s="5"/>
      <c r="M55" s="5"/>
    </row>
    <row r="56" spans="1:13" x14ac:dyDescent="0.25">
      <c r="A56" s="5" t="s">
        <v>70</v>
      </c>
      <c r="B56" s="5"/>
      <c r="C56" s="5"/>
      <c r="D56" s="5"/>
      <c r="E56" s="5"/>
      <c r="F56" s="5"/>
      <c r="G56" s="5">
        <f>+K26/G49</f>
        <v>12.381379950347567</v>
      </c>
      <c r="H56" s="5"/>
      <c r="I56" s="5"/>
      <c r="J56" s="5"/>
      <c r="K56" s="5"/>
      <c r="L56" s="5"/>
      <c r="M56" s="5"/>
    </row>
    <row r="57" spans="1:13" x14ac:dyDescent="0.25">
      <c r="A57" s="8"/>
      <c r="B57" s="8"/>
      <c r="C57" s="8"/>
      <c r="D57" s="8"/>
      <c r="E57" s="8"/>
      <c r="F57" s="8"/>
      <c r="G57" s="8"/>
      <c r="H57" s="4"/>
      <c r="I57" s="5"/>
      <c r="J57" s="5"/>
      <c r="K57" s="5"/>
      <c r="L57" s="5"/>
      <c r="M57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M51"/>
  <sheetViews>
    <sheetView topLeftCell="A13" workbookViewId="0">
      <selection activeCell="A5" sqref="A5:XFD8"/>
    </sheetView>
  </sheetViews>
  <sheetFormatPr defaultRowHeight="15" x14ac:dyDescent="0.25"/>
  <sheetData>
    <row r="1" spans="1:13" x14ac:dyDescent="0.25">
      <c r="A1" s="30" t="s">
        <v>73</v>
      </c>
      <c r="B1" s="30"/>
    </row>
    <row r="2" spans="1:13" x14ac:dyDescent="0.25">
      <c r="A2" s="30" t="s">
        <v>151</v>
      </c>
      <c r="B2" s="30"/>
    </row>
    <row r="3" spans="1:13" x14ac:dyDescent="0.25">
      <c r="A3" s="30" t="s">
        <v>171</v>
      </c>
      <c r="B3" s="30"/>
    </row>
    <row r="4" spans="1:13" x14ac:dyDescent="0.25">
      <c r="A4" s="1"/>
    </row>
    <row r="5" spans="1:13" s="59" customFormat="1" ht="12" x14ac:dyDescent="0.2">
      <c r="A5" s="56" t="s">
        <v>0</v>
      </c>
      <c r="B5" s="56"/>
      <c r="C5" s="56"/>
      <c r="D5" s="57" t="s">
        <v>1</v>
      </c>
      <c r="E5" s="57" t="s">
        <v>2</v>
      </c>
      <c r="F5" s="57" t="s">
        <v>74</v>
      </c>
      <c r="G5" s="57" t="s">
        <v>75</v>
      </c>
      <c r="H5" s="57" t="s">
        <v>5</v>
      </c>
      <c r="I5" s="57" t="s">
        <v>6</v>
      </c>
      <c r="J5" s="57" t="s">
        <v>7</v>
      </c>
      <c r="K5" s="57" t="s">
        <v>8</v>
      </c>
      <c r="L5" s="58" t="s">
        <v>76</v>
      </c>
      <c r="M5" s="57"/>
    </row>
    <row r="6" spans="1:13" s="59" customFormat="1" ht="12" x14ac:dyDescent="0.2">
      <c r="A6" s="60"/>
      <c r="B6" s="60"/>
      <c r="C6" s="60"/>
      <c r="D6" s="61" t="s">
        <v>11</v>
      </c>
      <c r="E6" s="61" t="s">
        <v>77</v>
      </c>
      <c r="F6" s="61" t="s">
        <v>77</v>
      </c>
      <c r="G6" s="61" t="s">
        <v>78</v>
      </c>
      <c r="H6" s="61" t="s">
        <v>15</v>
      </c>
      <c r="I6" s="61" t="s">
        <v>79</v>
      </c>
      <c r="J6" s="61" t="s">
        <v>15</v>
      </c>
      <c r="K6" s="61" t="s">
        <v>15</v>
      </c>
      <c r="L6" s="61" t="s">
        <v>6</v>
      </c>
      <c r="M6" s="61" t="s">
        <v>7</v>
      </c>
    </row>
    <row r="7" spans="1:13" s="59" customFormat="1" ht="12" x14ac:dyDescent="0.2">
      <c r="A7" s="60"/>
      <c r="B7" s="60"/>
      <c r="C7" s="60"/>
      <c r="D7" s="61" t="s">
        <v>19</v>
      </c>
      <c r="E7" s="61"/>
      <c r="F7" s="61"/>
      <c r="G7" s="61"/>
      <c r="H7" s="61" t="s">
        <v>20</v>
      </c>
      <c r="I7" s="61" t="s">
        <v>15</v>
      </c>
      <c r="J7" s="61" t="s">
        <v>20</v>
      </c>
      <c r="K7" s="61" t="s">
        <v>20</v>
      </c>
      <c r="L7" s="61"/>
      <c r="M7" s="61"/>
    </row>
    <row r="8" spans="1:13" s="59" customFormat="1" ht="12" x14ac:dyDescent="0.2">
      <c r="A8" s="62"/>
      <c r="B8" s="62"/>
      <c r="C8" s="62"/>
      <c r="D8" s="63"/>
      <c r="E8" s="63"/>
      <c r="F8" s="63"/>
      <c r="G8" s="63"/>
      <c r="H8" s="63"/>
      <c r="I8" s="63" t="s">
        <v>20</v>
      </c>
      <c r="J8" s="63"/>
      <c r="K8" s="63"/>
      <c r="L8" s="63"/>
      <c r="M8" s="63"/>
    </row>
    <row r="9" spans="1:13" s="32" customFormat="1" ht="12" x14ac:dyDescent="0.2">
      <c r="A9" s="32" t="s">
        <v>110</v>
      </c>
      <c r="D9" s="100">
        <v>48</v>
      </c>
      <c r="E9" s="101">
        <v>0.56999999999999995</v>
      </c>
      <c r="F9" s="32">
        <v>0.24</v>
      </c>
      <c r="G9" s="35">
        <v>1374</v>
      </c>
      <c r="H9" s="102">
        <v>783</v>
      </c>
      <c r="I9" s="102"/>
      <c r="J9" s="102">
        <v>1084</v>
      </c>
      <c r="K9" s="102">
        <f>+H9+I9+J9</f>
        <v>1867</v>
      </c>
      <c r="L9" s="102"/>
      <c r="M9" s="52"/>
    </row>
    <row r="10" spans="1:13" s="32" customFormat="1" ht="12" x14ac:dyDescent="0.2">
      <c r="A10" s="32" t="s">
        <v>119</v>
      </c>
      <c r="D10" s="103">
        <v>72</v>
      </c>
      <c r="E10" s="32">
        <v>0.77</v>
      </c>
      <c r="F10" s="32">
        <v>0.54</v>
      </c>
      <c r="G10" s="38">
        <v>1000</v>
      </c>
      <c r="H10" s="102">
        <v>770</v>
      </c>
      <c r="I10" s="102"/>
      <c r="J10" s="102"/>
      <c r="K10" s="102">
        <f t="shared" ref="K10:K20" si="0">+H10+I10+J10</f>
        <v>770</v>
      </c>
      <c r="L10" s="102"/>
      <c r="M10" s="52"/>
    </row>
    <row r="11" spans="1:13" s="32" customFormat="1" ht="12" x14ac:dyDescent="0.2">
      <c r="A11" s="32" t="s">
        <v>251</v>
      </c>
      <c r="D11" s="100">
        <v>70</v>
      </c>
      <c r="E11" s="36">
        <v>0.39</v>
      </c>
      <c r="F11" s="36">
        <v>0.39</v>
      </c>
      <c r="G11" s="38">
        <v>1000</v>
      </c>
      <c r="H11" s="102">
        <v>390</v>
      </c>
      <c r="I11" s="105">
        <v>6674</v>
      </c>
      <c r="J11" s="102"/>
      <c r="K11" s="102">
        <f t="shared" si="0"/>
        <v>7064</v>
      </c>
      <c r="L11" s="105">
        <v>238</v>
      </c>
      <c r="M11" s="52"/>
    </row>
    <row r="12" spans="1:13" s="32" customFormat="1" ht="12" x14ac:dyDescent="0.2">
      <c r="A12" s="32" t="s">
        <v>120</v>
      </c>
      <c r="D12" s="100" t="s">
        <v>111</v>
      </c>
      <c r="E12" s="36"/>
      <c r="F12" s="36"/>
      <c r="G12" s="38"/>
      <c r="H12" s="102">
        <f t="shared" ref="H12" si="1">SUM(E12*G12)</f>
        <v>0</v>
      </c>
      <c r="I12" s="105" t="s">
        <v>252</v>
      </c>
      <c r="J12" s="102"/>
      <c r="K12" s="102"/>
      <c r="L12" s="105" t="s">
        <v>253</v>
      </c>
      <c r="M12" s="350"/>
    </row>
    <row r="13" spans="1:13" s="32" customFormat="1" ht="12" x14ac:dyDescent="0.2">
      <c r="A13" s="32" t="s">
        <v>121</v>
      </c>
      <c r="D13" s="100">
        <v>100</v>
      </c>
      <c r="E13" s="36">
        <v>4.04</v>
      </c>
      <c r="F13" s="36">
        <v>3.7</v>
      </c>
      <c r="G13" s="38">
        <v>1000</v>
      </c>
      <c r="H13" s="102">
        <v>4040</v>
      </c>
      <c r="I13" s="102"/>
      <c r="J13" s="102"/>
      <c r="K13" s="102">
        <f t="shared" si="0"/>
        <v>4040</v>
      </c>
      <c r="L13" s="102"/>
      <c r="M13" s="52"/>
    </row>
    <row r="14" spans="1:13" s="32" customFormat="1" ht="12" x14ac:dyDescent="0.2">
      <c r="A14" s="32" t="s">
        <v>122</v>
      </c>
      <c r="D14" s="100">
        <v>100</v>
      </c>
      <c r="E14" s="36">
        <v>2.27</v>
      </c>
      <c r="F14" s="36">
        <v>2.12</v>
      </c>
      <c r="G14" s="38">
        <v>1000</v>
      </c>
      <c r="H14" s="102">
        <v>2270</v>
      </c>
      <c r="I14" s="102"/>
      <c r="J14" s="102">
        <v>2698</v>
      </c>
      <c r="K14" s="102">
        <f t="shared" si="0"/>
        <v>4968</v>
      </c>
      <c r="L14" s="102"/>
      <c r="M14" s="52">
        <v>275</v>
      </c>
    </row>
    <row r="15" spans="1:13" s="32" customFormat="1" ht="12" x14ac:dyDescent="0.2">
      <c r="A15" s="32" t="s">
        <v>123</v>
      </c>
      <c r="D15" s="103">
        <v>100</v>
      </c>
      <c r="E15" s="36">
        <v>0.79</v>
      </c>
      <c r="F15" s="36">
        <v>0.71</v>
      </c>
      <c r="G15" s="38">
        <v>1000</v>
      </c>
      <c r="H15" s="102">
        <v>790</v>
      </c>
      <c r="I15" s="102"/>
      <c r="J15" s="102">
        <v>1022</v>
      </c>
      <c r="K15" s="102">
        <f t="shared" si="0"/>
        <v>1812</v>
      </c>
      <c r="L15" s="102"/>
      <c r="M15" s="52"/>
    </row>
    <row r="16" spans="1:13" s="32" customFormat="1" ht="12" x14ac:dyDescent="0.2">
      <c r="A16" s="32" t="s">
        <v>124</v>
      </c>
      <c r="D16" s="103">
        <v>94</v>
      </c>
      <c r="E16" s="36">
        <v>0.76</v>
      </c>
      <c r="F16" s="36">
        <v>0.21</v>
      </c>
      <c r="G16" s="38">
        <v>1269.23</v>
      </c>
      <c r="H16" s="102">
        <v>965</v>
      </c>
      <c r="I16" s="102"/>
      <c r="J16" s="102">
        <v>2280</v>
      </c>
      <c r="K16" s="102">
        <f t="shared" si="0"/>
        <v>3245</v>
      </c>
      <c r="L16" s="102"/>
      <c r="M16" s="52"/>
    </row>
    <row r="17" spans="1:13" s="32" customFormat="1" ht="12" x14ac:dyDescent="0.2">
      <c r="A17" s="32" t="s">
        <v>125</v>
      </c>
      <c r="D17" s="100">
        <v>84</v>
      </c>
      <c r="E17" s="36">
        <v>0.49</v>
      </c>
      <c r="F17" s="36">
        <v>0.3</v>
      </c>
      <c r="G17" s="38">
        <v>1502.63</v>
      </c>
      <c r="H17" s="102">
        <v>736</v>
      </c>
      <c r="I17" s="102"/>
      <c r="J17" s="102">
        <v>1010</v>
      </c>
      <c r="K17" s="102">
        <f t="shared" si="0"/>
        <v>1746</v>
      </c>
      <c r="L17" s="102"/>
      <c r="M17" s="52"/>
    </row>
    <row r="18" spans="1:13" s="32" customFormat="1" ht="12" x14ac:dyDescent="0.2">
      <c r="A18" s="32" t="s">
        <v>126</v>
      </c>
      <c r="D18" s="100">
        <v>100</v>
      </c>
      <c r="E18" s="36">
        <v>5.84</v>
      </c>
      <c r="F18" s="36">
        <v>5.84</v>
      </c>
      <c r="G18" s="38">
        <v>1000</v>
      </c>
      <c r="H18" s="102">
        <v>5840</v>
      </c>
      <c r="I18" s="102"/>
      <c r="J18" s="102"/>
      <c r="K18" s="102">
        <f t="shared" si="0"/>
        <v>5840</v>
      </c>
      <c r="L18" s="102"/>
      <c r="M18" s="52"/>
    </row>
    <row r="19" spans="1:13" s="32" customFormat="1" ht="12" x14ac:dyDescent="0.2">
      <c r="A19" s="32" t="s">
        <v>254</v>
      </c>
      <c r="D19" s="103">
        <v>100</v>
      </c>
      <c r="E19" s="36">
        <v>1.6</v>
      </c>
      <c r="F19" s="36">
        <v>0.09</v>
      </c>
      <c r="G19" s="38">
        <v>927</v>
      </c>
      <c r="H19" s="102">
        <v>1483</v>
      </c>
      <c r="I19" s="102">
        <v>8542</v>
      </c>
      <c r="J19" s="102"/>
      <c r="K19" s="102">
        <f t="shared" si="0"/>
        <v>10025</v>
      </c>
      <c r="L19" s="102"/>
      <c r="M19" s="52"/>
    </row>
    <row r="20" spans="1:13" s="32" customFormat="1" ht="12" x14ac:dyDescent="0.2">
      <c r="A20" s="32" t="s">
        <v>32</v>
      </c>
      <c r="D20" s="100">
        <v>84</v>
      </c>
      <c r="E20" s="36">
        <v>0.32</v>
      </c>
      <c r="F20" s="36">
        <v>0.32</v>
      </c>
      <c r="G20" s="38">
        <v>927</v>
      </c>
      <c r="H20" s="102">
        <v>297</v>
      </c>
      <c r="I20" s="102">
        <v>1108</v>
      </c>
      <c r="J20" s="102"/>
      <c r="K20" s="102">
        <f t="shared" si="0"/>
        <v>1405</v>
      </c>
      <c r="L20" s="105"/>
      <c r="M20" s="52"/>
    </row>
    <row r="21" spans="1:13" s="32" customFormat="1" ht="12" x14ac:dyDescent="0.2">
      <c r="A21" s="31" t="s">
        <v>127</v>
      </c>
      <c r="B21" s="31"/>
      <c r="C21" s="31"/>
      <c r="D21" s="39"/>
      <c r="E21" s="40">
        <f>SUM(E9:E20)</f>
        <v>17.84</v>
      </c>
      <c r="F21" s="40">
        <f>SUM(F9:F20)</f>
        <v>14.46</v>
      </c>
      <c r="G21" s="106"/>
      <c r="H21" s="351">
        <v>18364</v>
      </c>
      <c r="I21" s="351">
        <v>16324</v>
      </c>
      <c r="J21" s="351">
        <v>8094</v>
      </c>
      <c r="K21" s="353">
        <f>SUM(K9:K20)</f>
        <v>42782</v>
      </c>
      <c r="L21" s="106">
        <v>238</v>
      </c>
      <c r="M21" s="106">
        <v>275</v>
      </c>
    </row>
    <row r="22" spans="1:13" s="32" customFormat="1" ht="12" x14ac:dyDescent="0.2">
      <c r="A22" s="34" t="s">
        <v>128</v>
      </c>
      <c r="B22" s="34"/>
      <c r="C22" s="34"/>
      <c r="D22" s="42"/>
      <c r="E22" s="43">
        <f>SUM(E21-F21)</f>
        <v>3.379999999999999</v>
      </c>
      <c r="F22" s="43"/>
      <c r="G22" s="107"/>
      <c r="H22" s="352">
        <v>3377</v>
      </c>
      <c r="I22" s="352">
        <v>16086</v>
      </c>
      <c r="J22" s="352">
        <v>7819</v>
      </c>
      <c r="K22" s="352">
        <v>27282</v>
      </c>
      <c r="L22" s="107"/>
      <c r="M22" s="107"/>
    </row>
    <row r="23" spans="1:13" s="32" customFormat="1" ht="12" x14ac:dyDescent="0.2">
      <c r="C23" s="32" t="s">
        <v>35</v>
      </c>
    </row>
    <row r="24" spans="1:13" s="32" customFormat="1" ht="12" x14ac:dyDescent="0.2">
      <c r="A24" s="32" t="s">
        <v>36</v>
      </c>
    </row>
    <row r="25" spans="1:13" s="32" customFormat="1" ht="12" x14ac:dyDescent="0.2">
      <c r="A25" s="45" t="s">
        <v>17</v>
      </c>
      <c r="B25" s="45"/>
      <c r="C25" s="45"/>
      <c r="D25" s="45" t="s">
        <v>37</v>
      </c>
      <c r="E25" s="45" t="s">
        <v>85</v>
      </c>
      <c r="F25" s="45"/>
      <c r="G25" s="45" t="s">
        <v>39</v>
      </c>
      <c r="J25" s="33" t="s">
        <v>40</v>
      </c>
      <c r="K25" s="32">
        <v>3.27</v>
      </c>
    </row>
    <row r="26" spans="1:13" s="32" customFormat="1" ht="12" x14ac:dyDescent="0.2">
      <c r="A26" s="32" t="s">
        <v>41</v>
      </c>
      <c r="J26" s="33" t="s">
        <v>42</v>
      </c>
      <c r="K26" s="32">
        <v>2</v>
      </c>
    </row>
    <row r="27" spans="1:13" s="32" customFormat="1" ht="12" x14ac:dyDescent="0.2">
      <c r="A27" s="32" t="s">
        <v>43</v>
      </c>
      <c r="D27" s="32" t="s">
        <v>44</v>
      </c>
      <c r="E27" s="36">
        <v>43.34</v>
      </c>
      <c r="G27" s="36">
        <v>62.25</v>
      </c>
    </row>
    <row r="28" spans="1:13" s="32" customFormat="1" ht="12" x14ac:dyDescent="0.2">
      <c r="B28" s="101"/>
      <c r="E28" s="104"/>
    </row>
    <row r="29" spans="1:13" s="32" customFormat="1" ht="12" x14ac:dyDescent="0.2">
      <c r="A29" s="32" t="s">
        <v>46</v>
      </c>
      <c r="J29" s="73" t="s">
        <v>86</v>
      </c>
      <c r="K29" s="108" t="s">
        <v>87</v>
      </c>
    </row>
    <row r="30" spans="1:13" s="32" customFormat="1" ht="12" x14ac:dyDescent="0.2">
      <c r="A30" s="32" t="s">
        <v>48</v>
      </c>
      <c r="D30" s="32" t="s">
        <v>49</v>
      </c>
      <c r="E30" s="37">
        <v>3</v>
      </c>
      <c r="G30" s="37">
        <v>1020</v>
      </c>
      <c r="I30" s="33"/>
      <c r="J30" s="73" t="s">
        <v>255</v>
      </c>
      <c r="K30" s="108">
        <v>26</v>
      </c>
    </row>
    <row r="31" spans="1:13" s="32" customFormat="1" ht="12" x14ac:dyDescent="0.2">
      <c r="A31" s="32" t="s">
        <v>51</v>
      </c>
      <c r="D31" s="32" t="s">
        <v>49</v>
      </c>
      <c r="E31" s="37">
        <v>15</v>
      </c>
      <c r="I31" s="33"/>
      <c r="J31" s="73" t="s">
        <v>129</v>
      </c>
      <c r="K31" s="108">
        <v>22</v>
      </c>
    </row>
    <row r="32" spans="1:13" s="32" customFormat="1" ht="12" x14ac:dyDescent="0.2">
      <c r="A32" s="32" t="s">
        <v>2</v>
      </c>
      <c r="E32" s="37">
        <v>18</v>
      </c>
      <c r="I32" s="33"/>
      <c r="J32" s="73" t="s">
        <v>256</v>
      </c>
      <c r="K32" s="108">
        <v>20</v>
      </c>
    </row>
    <row r="33" spans="1:11" s="32" customFormat="1" ht="12" x14ac:dyDescent="0.2">
      <c r="I33" s="33"/>
      <c r="J33" s="73" t="s">
        <v>130</v>
      </c>
      <c r="K33" s="46">
        <v>10</v>
      </c>
    </row>
    <row r="34" spans="1:11" s="32" customFormat="1" ht="12" x14ac:dyDescent="0.2">
      <c r="A34" s="31" t="s">
        <v>53</v>
      </c>
      <c r="B34" s="31"/>
      <c r="C34" s="31" t="s">
        <v>54</v>
      </c>
      <c r="D34" s="31"/>
      <c r="E34" s="31"/>
      <c r="F34" s="31"/>
      <c r="G34" s="31"/>
      <c r="I34" s="33"/>
      <c r="J34" s="73" t="s">
        <v>235</v>
      </c>
      <c r="K34" s="46">
        <v>8</v>
      </c>
    </row>
    <row r="35" spans="1:11" s="32" customFormat="1" ht="12" x14ac:dyDescent="0.2">
      <c r="A35" s="33" t="s">
        <v>94</v>
      </c>
      <c r="B35" s="33" t="s">
        <v>96</v>
      </c>
      <c r="C35" s="111">
        <v>100</v>
      </c>
      <c r="D35" s="33"/>
      <c r="E35" s="49">
        <v>9</v>
      </c>
      <c r="F35" s="49"/>
      <c r="G35" s="49">
        <v>7</v>
      </c>
      <c r="I35" s="33"/>
      <c r="J35" s="73" t="s">
        <v>257</v>
      </c>
      <c r="K35" s="46">
        <v>7</v>
      </c>
    </row>
    <row r="36" spans="1:11" s="32" customFormat="1" ht="12" x14ac:dyDescent="0.2">
      <c r="A36" s="33"/>
      <c r="B36" s="33" t="s">
        <v>97</v>
      </c>
      <c r="C36" s="111">
        <v>100</v>
      </c>
      <c r="D36" s="33"/>
      <c r="E36" s="112">
        <v>11</v>
      </c>
      <c r="F36" s="49"/>
      <c r="G36" s="112">
        <v>7</v>
      </c>
      <c r="I36" s="33"/>
      <c r="J36" s="73" t="s">
        <v>258</v>
      </c>
      <c r="K36" s="46">
        <v>4</v>
      </c>
    </row>
    <row r="37" spans="1:11" s="32" customFormat="1" ht="12" x14ac:dyDescent="0.2">
      <c r="A37" s="33"/>
      <c r="B37" s="33" t="s">
        <v>107</v>
      </c>
      <c r="C37" s="111">
        <v>100</v>
      </c>
      <c r="D37" s="33"/>
      <c r="E37" s="49">
        <v>37</v>
      </c>
      <c r="F37" s="49"/>
      <c r="G37" s="49">
        <v>7</v>
      </c>
      <c r="I37" s="33"/>
      <c r="J37" s="73" t="s">
        <v>116</v>
      </c>
      <c r="K37" s="46">
        <v>3</v>
      </c>
    </row>
    <row r="38" spans="1:11" s="32" customFormat="1" ht="12" x14ac:dyDescent="0.2">
      <c r="A38" s="33" t="s">
        <v>147</v>
      </c>
      <c r="B38" s="33" t="s">
        <v>96</v>
      </c>
      <c r="C38" s="111">
        <v>100</v>
      </c>
      <c r="D38" s="33"/>
      <c r="E38" s="49">
        <v>74</v>
      </c>
      <c r="F38" s="49"/>
      <c r="G38" s="49">
        <v>7</v>
      </c>
      <c r="I38" s="33"/>
      <c r="J38" s="110"/>
      <c r="K38" s="33"/>
    </row>
    <row r="39" spans="1:11" s="32" customFormat="1" ht="12" x14ac:dyDescent="0.2">
      <c r="A39" s="33"/>
      <c r="B39" s="33" t="s">
        <v>97</v>
      </c>
      <c r="C39" s="111">
        <v>94</v>
      </c>
      <c r="D39" s="33"/>
      <c r="E39" s="49">
        <v>15</v>
      </c>
      <c r="F39" s="49"/>
      <c r="G39" s="49">
        <v>7</v>
      </c>
      <c r="I39" s="33"/>
      <c r="J39" s="110"/>
      <c r="K39" s="33"/>
    </row>
    <row r="40" spans="1:11" s="32" customFormat="1" ht="12" x14ac:dyDescent="0.2">
      <c r="B40" s="33"/>
      <c r="C40" s="111"/>
      <c r="D40" s="33"/>
      <c r="E40" s="49"/>
      <c r="F40" s="49"/>
      <c r="G40" s="49"/>
      <c r="I40" s="33"/>
      <c r="J40" s="33"/>
    </row>
    <row r="41" spans="1:11" s="32" customFormat="1" ht="12" x14ac:dyDescent="0.2">
      <c r="A41" s="31" t="s">
        <v>61</v>
      </c>
      <c r="B41" s="31"/>
      <c r="C41" s="31"/>
      <c r="D41" s="31"/>
      <c r="E41" s="31"/>
      <c r="F41" s="31"/>
      <c r="G41" s="31"/>
      <c r="K41" s="32" t="s">
        <v>210</v>
      </c>
    </row>
    <row r="42" spans="1:11" s="32" customFormat="1" ht="12" x14ac:dyDescent="0.2">
      <c r="A42" s="33" t="s">
        <v>131</v>
      </c>
      <c r="B42" s="33"/>
      <c r="C42" s="33"/>
      <c r="D42" s="33"/>
      <c r="E42" s="33"/>
      <c r="F42" s="33"/>
      <c r="G42" s="50">
        <v>1983</v>
      </c>
      <c r="H42" s="51"/>
      <c r="I42" s="52"/>
      <c r="J42" s="52"/>
      <c r="K42" s="52">
        <v>4900</v>
      </c>
    </row>
    <row r="43" spans="1:11" s="32" customFormat="1" ht="12" x14ac:dyDescent="0.2">
      <c r="A43" s="33" t="s">
        <v>99</v>
      </c>
      <c r="B43" s="33"/>
      <c r="C43" s="33"/>
      <c r="D43" s="33"/>
      <c r="E43" s="33"/>
      <c r="F43" s="33"/>
      <c r="G43" s="53">
        <v>33.57</v>
      </c>
    </row>
    <row r="44" spans="1:11" s="32" customFormat="1" ht="12" x14ac:dyDescent="0.2">
      <c r="A44" s="33" t="s">
        <v>132</v>
      </c>
      <c r="B44" s="33"/>
      <c r="C44" s="33"/>
      <c r="D44" s="33"/>
      <c r="E44" s="33"/>
      <c r="F44" s="33"/>
      <c r="G44" s="54">
        <v>66569</v>
      </c>
      <c r="H44" s="52"/>
      <c r="I44" s="52"/>
      <c r="J44" s="52"/>
      <c r="K44" s="52">
        <v>164492</v>
      </c>
    </row>
    <row r="45" spans="1:11" s="32" customFormat="1" ht="12" x14ac:dyDescent="0.2">
      <c r="A45" s="33" t="s">
        <v>133</v>
      </c>
      <c r="B45" s="33"/>
      <c r="C45" s="33"/>
      <c r="D45" s="33"/>
      <c r="E45" s="33"/>
      <c r="F45" s="33"/>
      <c r="G45" s="54">
        <v>23787</v>
      </c>
      <c r="H45" s="52"/>
      <c r="I45" s="52"/>
      <c r="J45" s="52"/>
      <c r="K45" s="52">
        <v>58278</v>
      </c>
    </row>
    <row r="46" spans="1:11" s="32" customFormat="1" ht="12" x14ac:dyDescent="0.2">
      <c r="A46" s="33" t="s">
        <v>134</v>
      </c>
      <c r="B46" s="33"/>
      <c r="C46" s="33"/>
      <c r="D46" s="33"/>
      <c r="E46" s="33"/>
      <c r="F46" s="33"/>
      <c r="G46" s="54">
        <v>39287</v>
      </c>
      <c r="H46" s="52"/>
      <c r="I46" s="52"/>
      <c r="J46" s="52"/>
      <c r="K46" s="52">
        <v>97078</v>
      </c>
    </row>
    <row r="47" spans="1:11" s="32" customFormat="1" ht="12" x14ac:dyDescent="0.2">
      <c r="A47" s="33" t="s">
        <v>135</v>
      </c>
      <c r="B47" s="33"/>
      <c r="C47" s="33"/>
      <c r="D47" s="33"/>
      <c r="E47" s="33"/>
      <c r="F47" s="33"/>
      <c r="G47" s="53">
        <v>21.57</v>
      </c>
    </row>
    <row r="48" spans="1:11" s="32" customFormat="1" ht="12" x14ac:dyDescent="0.2">
      <c r="A48" s="34" t="s">
        <v>136</v>
      </c>
      <c r="B48" s="34"/>
      <c r="C48" s="34"/>
      <c r="D48" s="34"/>
      <c r="E48" s="34"/>
      <c r="F48" s="34"/>
      <c r="G48" s="55">
        <v>13.76</v>
      </c>
    </row>
    <row r="49" s="32" customFormat="1" ht="12" x14ac:dyDescent="0.2"/>
    <row r="50" s="32" customFormat="1" ht="12" x14ac:dyDescent="0.2"/>
    <row r="51" s="32" customFormat="1" ht="12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P51"/>
  <sheetViews>
    <sheetView topLeftCell="D34" workbookViewId="0">
      <selection activeCell="A4" sqref="A4:XFD7"/>
    </sheetView>
  </sheetViews>
  <sheetFormatPr defaultRowHeight="15" x14ac:dyDescent="0.25"/>
  <cols>
    <col min="1" max="1" width="25.85546875" customWidth="1"/>
    <col min="6" max="6" width="8.7109375" customWidth="1"/>
  </cols>
  <sheetData>
    <row r="1" spans="1:16" x14ac:dyDescent="0.25">
      <c r="A1" s="136" t="s">
        <v>152</v>
      </c>
      <c r="B1" s="136"/>
    </row>
    <row r="2" spans="1:16" x14ac:dyDescent="0.25">
      <c r="A2" s="136" t="s">
        <v>117</v>
      </c>
      <c r="B2" s="136"/>
    </row>
    <row r="3" spans="1:16" x14ac:dyDescent="0.25">
      <c r="A3" s="30" t="s">
        <v>171</v>
      </c>
      <c r="B3" s="136"/>
    </row>
    <row r="4" spans="1:16" s="59" customFormat="1" ht="12" x14ac:dyDescent="0.2">
      <c r="A4" s="56" t="s">
        <v>0</v>
      </c>
      <c r="B4" s="56"/>
      <c r="C4" s="56"/>
      <c r="D4" s="57" t="s">
        <v>1</v>
      </c>
      <c r="E4" s="57" t="s">
        <v>2</v>
      </c>
      <c r="F4" s="57" t="s">
        <v>74</v>
      </c>
      <c r="G4" s="57" t="s">
        <v>75</v>
      </c>
      <c r="H4" s="57" t="s">
        <v>5</v>
      </c>
      <c r="I4" s="57" t="s">
        <v>6</v>
      </c>
      <c r="J4" s="57" t="s">
        <v>7</v>
      </c>
      <c r="K4" s="57" t="s">
        <v>8</v>
      </c>
      <c r="L4" s="58" t="s">
        <v>76</v>
      </c>
      <c r="M4" s="57"/>
    </row>
    <row r="5" spans="1:16" s="59" customFormat="1" ht="12" x14ac:dyDescent="0.2">
      <c r="A5" s="60"/>
      <c r="B5" s="60"/>
      <c r="C5" s="60"/>
      <c r="D5" s="61" t="s">
        <v>11</v>
      </c>
      <c r="E5" s="61" t="s">
        <v>77</v>
      </c>
      <c r="F5" s="61" t="s">
        <v>77</v>
      </c>
      <c r="G5" s="61" t="s">
        <v>78</v>
      </c>
      <c r="H5" s="61" t="s">
        <v>15</v>
      </c>
      <c r="I5" s="61" t="s">
        <v>79</v>
      </c>
      <c r="J5" s="61" t="s">
        <v>15</v>
      </c>
      <c r="K5" s="61" t="s">
        <v>15</v>
      </c>
      <c r="L5" s="61" t="s">
        <v>6</v>
      </c>
      <c r="M5" s="61" t="s">
        <v>7</v>
      </c>
    </row>
    <row r="6" spans="1:16" s="59" customFormat="1" ht="12" x14ac:dyDescent="0.2">
      <c r="A6" s="60"/>
      <c r="B6" s="60"/>
      <c r="C6" s="60"/>
      <c r="D6" s="61" t="s">
        <v>19</v>
      </c>
      <c r="E6" s="61"/>
      <c r="F6" s="61"/>
      <c r="G6" s="61"/>
      <c r="H6" s="61" t="s">
        <v>20</v>
      </c>
      <c r="I6" s="61" t="s">
        <v>15</v>
      </c>
      <c r="J6" s="61" t="s">
        <v>20</v>
      </c>
      <c r="K6" s="61" t="s">
        <v>20</v>
      </c>
      <c r="L6" s="61"/>
      <c r="M6" s="61"/>
    </row>
    <row r="7" spans="1:16" s="59" customFormat="1" ht="12" x14ac:dyDescent="0.2">
      <c r="A7" s="62"/>
      <c r="B7" s="62"/>
      <c r="C7" s="62"/>
      <c r="D7" s="63"/>
      <c r="E7" s="63"/>
      <c r="F7" s="63"/>
      <c r="G7" s="63"/>
      <c r="H7" s="63"/>
      <c r="I7" s="63" t="s">
        <v>20</v>
      </c>
      <c r="J7" s="63"/>
      <c r="K7" s="63"/>
      <c r="L7" s="63"/>
      <c r="M7" s="63"/>
    </row>
    <row r="8" spans="1:16" s="32" customFormat="1" ht="12" x14ac:dyDescent="0.2">
      <c r="A8" s="32" t="s">
        <v>22</v>
      </c>
      <c r="D8" s="35">
        <v>86</v>
      </c>
      <c r="E8" s="36">
        <v>0.92</v>
      </c>
      <c r="F8" s="36">
        <v>0.75</v>
      </c>
      <c r="G8" s="85">
        <v>1000</v>
      </c>
      <c r="H8" s="37">
        <v>920</v>
      </c>
      <c r="I8" s="37"/>
      <c r="J8" s="37"/>
      <c r="K8" s="37">
        <v>920</v>
      </c>
      <c r="L8" s="37"/>
      <c r="M8" s="37"/>
      <c r="N8" s="239"/>
      <c r="O8" s="239"/>
      <c r="P8" s="239"/>
    </row>
    <row r="9" spans="1:16" s="32" customFormat="1" ht="12" x14ac:dyDescent="0.2">
      <c r="A9" s="32" t="s">
        <v>102</v>
      </c>
      <c r="D9" s="35">
        <v>58</v>
      </c>
      <c r="E9" s="36">
        <v>0.87155963302752293</v>
      </c>
      <c r="F9" s="36">
        <v>0.87155963302752293</v>
      </c>
      <c r="G9" s="85">
        <v>876.7</v>
      </c>
      <c r="H9" s="37">
        <v>764</v>
      </c>
      <c r="I9" s="37">
        <v>8563</v>
      </c>
      <c r="J9" s="37"/>
      <c r="K9" s="37">
        <v>9327</v>
      </c>
      <c r="L9" s="37">
        <v>3348</v>
      </c>
      <c r="M9" s="37"/>
      <c r="N9" s="239"/>
      <c r="O9" s="239"/>
      <c r="P9" s="239"/>
    </row>
    <row r="10" spans="1:16" s="32" customFormat="1" ht="12" x14ac:dyDescent="0.2">
      <c r="A10" s="67" t="s">
        <v>259</v>
      </c>
      <c r="B10" s="67"/>
      <c r="C10" s="67"/>
      <c r="D10" s="11" t="s">
        <v>205</v>
      </c>
      <c r="E10" s="71"/>
      <c r="F10" s="71"/>
      <c r="G10" s="16"/>
      <c r="H10" s="70"/>
      <c r="I10" s="70" t="s">
        <v>260</v>
      </c>
      <c r="J10" s="69"/>
      <c r="K10" s="69"/>
      <c r="L10" s="70"/>
      <c r="M10" s="69"/>
      <c r="N10" s="239"/>
      <c r="O10" s="239"/>
      <c r="P10" s="239"/>
    </row>
    <row r="11" spans="1:16" s="32" customFormat="1" ht="12" x14ac:dyDescent="0.2">
      <c r="A11" s="32" t="s">
        <v>25</v>
      </c>
      <c r="D11" s="35">
        <v>100</v>
      </c>
      <c r="E11" s="36">
        <v>4.6203904555314539</v>
      </c>
      <c r="F11" s="36">
        <v>3.0911062906724514</v>
      </c>
      <c r="G11" s="85">
        <v>1017.5438596491229</v>
      </c>
      <c r="H11" s="37">
        <v>4701</v>
      </c>
      <c r="I11" s="37"/>
      <c r="J11" s="37"/>
      <c r="K11" s="37">
        <v>4701</v>
      </c>
      <c r="L11" s="37"/>
      <c r="M11" s="37"/>
      <c r="N11" s="239"/>
      <c r="O11" s="239"/>
      <c r="P11" s="239"/>
    </row>
    <row r="12" spans="1:16" s="32" customFormat="1" ht="12" x14ac:dyDescent="0.2">
      <c r="A12" s="32" t="s">
        <v>43</v>
      </c>
      <c r="D12" s="35">
        <v>100</v>
      </c>
      <c r="E12" s="36">
        <v>3.3615906288532673</v>
      </c>
      <c r="F12" s="36">
        <v>2.1778668310727496</v>
      </c>
      <c r="G12" s="85">
        <v>852.26480836236931</v>
      </c>
      <c r="H12" s="37">
        <v>2865</v>
      </c>
      <c r="I12" s="37"/>
      <c r="J12" s="37">
        <v>2985</v>
      </c>
      <c r="K12" s="37">
        <v>5850</v>
      </c>
      <c r="L12" s="37"/>
      <c r="M12" s="37">
        <v>941</v>
      </c>
      <c r="N12" s="239"/>
      <c r="O12" s="239"/>
      <c r="P12" s="239"/>
    </row>
    <row r="13" spans="1:16" s="32" customFormat="1" ht="12" x14ac:dyDescent="0.2">
      <c r="A13" s="32" t="s">
        <v>27</v>
      </c>
      <c r="D13" s="35">
        <v>100</v>
      </c>
      <c r="E13" s="36">
        <v>0.96875</v>
      </c>
      <c r="F13" s="36">
        <v>0.5984768907563025</v>
      </c>
      <c r="G13" s="85">
        <v>1000</v>
      </c>
      <c r="H13" s="37">
        <v>969</v>
      </c>
      <c r="I13" s="37"/>
      <c r="J13" s="37">
        <v>700</v>
      </c>
      <c r="K13" s="37">
        <v>1670</v>
      </c>
      <c r="L13" s="37"/>
      <c r="M13" s="37"/>
      <c r="N13" s="239"/>
      <c r="O13" s="239"/>
      <c r="P13" s="239"/>
    </row>
    <row r="14" spans="1:16" s="32" customFormat="1" ht="12" x14ac:dyDescent="0.2">
      <c r="A14" s="32" t="s">
        <v>80</v>
      </c>
      <c r="D14" s="35">
        <v>90</v>
      </c>
      <c r="E14" s="36">
        <v>0.71331981068289396</v>
      </c>
      <c r="F14" s="36">
        <v>0.44962812711291417</v>
      </c>
      <c r="G14" s="85">
        <v>924.19354838709683</v>
      </c>
      <c r="H14" s="37">
        <v>659</v>
      </c>
      <c r="I14" s="37"/>
      <c r="J14" s="37">
        <v>1956</v>
      </c>
      <c r="K14" s="37">
        <v>2615</v>
      </c>
      <c r="L14" s="37"/>
      <c r="M14" s="37"/>
      <c r="N14" s="239"/>
      <c r="O14" s="239"/>
      <c r="P14" s="239"/>
    </row>
    <row r="15" spans="1:16" s="32" customFormat="1" ht="12" x14ac:dyDescent="0.2">
      <c r="A15" s="32" t="s">
        <v>29</v>
      </c>
      <c r="D15" s="35">
        <v>48</v>
      </c>
      <c r="E15" s="36">
        <v>0.44949152542372883</v>
      </c>
      <c r="F15" s="36">
        <v>0.22067796610169491</v>
      </c>
      <c r="G15" s="85">
        <v>892.59259259259261</v>
      </c>
      <c r="H15" s="37">
        <v>401</v>
      </c>
      <c r="I15" s="37"/>
      <c r="J15" s="37">
        <v>1433</v>
      </c>
      <c r="K15" s="37">
        <v>1835</v>
      </c>
      <c r="L15" s="37"/>
      <c r="M15" s="37"/>
      <c r="N15" s="239"/>
      <c r="O15" s="239"/>
      <c r="P15" s="239"/>
    </row>
    <row r="16" spans="1:16" s="32" customFormat="1" ht="12" x14ac:dyDescent="0.2">
      <c r="A16" s="32" t="s">
        <v>261</v>
      </c>
      <c r="D16" s="35">
        <v>78</v>
      </c>
      <c r="E16" s="36">
        <v>1.08</v>
      </c>
      <c r="F16" s="36">
        <v>0.83578886310904876</v>
      </c>
      <c r="G16" s="85">
        <v>654.23728813559319</v>
      </c>
      <c r="H16" s="37">
        <v>707</v>
      </c>
      <c r="I16" s="37">
        <v>8641</v>
      </c>
      <c r="J16" s="37"/>
      <c r="K16" s="37">
        <v>9347</v>
      </c>
      <c r="L16" s="37"/>
      <c r="M16" s="37"/>
      <c r="N16" s="239"/>
      <c r="O16" s="239"/>
      <c r="P16" s="239"/>
    </row>
    <row r="17" spans="1:16" s="32" customFormat="1" ht="12" x14ac:dyDescent="0.2">
      <c r="A17" s="32" t="s">
        <v>83</v>
      </c>
      <c r="D17" s="35">
        <v>50</v>
      </c>
      <c r="E17" s="36">
        <v>1.7082474226804121</v>
      </c>
      <c r="F17" s="36">
        <v>1.6051546391752574</v>
      </c>
      <c r="G17" s="85">
        <v>1000</v>
      </c>
      <c r="H17" s="37">
        <v>1708</v>
      </c>
      <c r="I17" s="37"/>
      <c r="J17" s="37"/>
      <c r="K17" s="37">
        <v>1708</v>
      </c>
      <c r="L17" s="37"/>
      <c r="M17" s="37"/>
      <c r="N17" s="239"/>
      <c r="O17" s="239"/>
      <c r="P17" s="239"/>
    </row>
    <row r="18" spans="1:16" s="32" customFormat="1" ht="12" x14ac:dyDescent="0.2">
      <c r="A18" s="32" t="s">
        <v>262</v>
      </c>
      <c r="D18" s="38">
        <v>78</v>
      </c>
      <c r="E18" s="36">
        <v>0.7</v>
      </c>
      <c r="F18" s="36">
        <v>0.7</v>
      </c>
      <c r="G18" s="85">
        <v>876.7</v>
      </c>
      <c r="H18" s="37">
        <v>877</v>
      </c>
      <c r="I18" s="37">
        <v>482</v>
      </c>
      <c r="J18" s="37"/>
      <c r="K18" s="37">
        <v>1359</v>
      </c>
      <c r="L18" s="37">
        <v>261.72513848588767</v>
      </c>
      <c r="M18" s="37"/>
      <c r="N18" s="239"/>
      <c r="O18" s="239"/>
      <c r="P18" s="239"/>
    </row>
    <row r="19" spans="1:16" s="32" customFormat="1" ht="12" x14ac:dyDescent="0.2">
      <c r="A19" s="31" t="s">
        <v>33</v>
      </c>
      <c r="B19" s="31"/>
      <c r="C19" s="31"/>
      <c r="D19" s="39"/>
      <c r="E19" s="40">
        <v>15.393349476199278</v>
      </c>
      <c r="F19" s="40">
        <v>11.300259241027941</v>
      </c>
      <c r="G19" s="41"/>
      <c r="H19" s="366">
        <v>14571</v>
      </c>
      <c r="I19" s="41">
        <v>17686</v>
      </c>
      <c r="J19" s="41">
        <v>7074</v>
      </c>
      <c r="K19" s="366">
        <v>39331</v>
      </c>
      <c r="L19" s="41">
        <v>3348</v>
      </c>
      <c r="M19" s="41">
        <v>941</v>
      </c>
    </row>
    <row r="20" spans="1:16" s="32" customFormat="1" ht="12" x14ac:dyDescent="0.2">
      <c r="A20" s="34" t="s">
        <v>34</v>
      </c>
      <c r="B20" s="34"/>
      <c r="C20" s="34"/>
      <c r="D20" s="42"/>
      <c r="E20" s="43">
        <v>4.0930902351713367</v>
      </c>
      <c r="F20" s="43"/>
      <c r="G20" s="44"/>
      <c r="H20" s="256">
        <v>3874</v>
      </c>
      <c r="I20" s="256">
        <v>14338</v>
      </c>
      <c r="J20" s="44">
        <v>6133</v>
      </c>
      <c r="K20" s="256">
        <v>24345</v>
      </c>
      <c r="L20" s="44"/>
      <c r="M20" s="44"/>
    </row>
    <row r="21" spans="1:16" s="32" customFormat="1" ht="12" x14ac:dyDescent="0.2">
      <c r="I21" s="37"/>
      <c r="K21" s="37"/>
    </row>
    <row r="22" spans="1:16" s="32" customFormat="1" ht="12" x14ac:dyDescent="0.2">
      <c r="C22" s="32" t="s">
        <v>35</v>
      </c>
      <c r="L22" s="37"/>
      <c r="P22" s="37"/>
    </row>
    <row r="23" spans="1:16" s="32" customFormat="1" ht="12" x14ac:dyDescent="0.2">
      <c r="K23" s="37"/>
      <c r="M23" s="37"/>
    </row>
    <row r="24" spans="1:16" s="32" customFormat="1" ht="12" x14ac:dyDescent="0.2">
      <c r="A24" s="32" t="s">
        <v>36</v>
      </c>
    </row>
    <row r="25" spans="1:16" s="32" customFormat="1" ht="12" x14ac:dyDescent="0.2">
      <c r="A25" s="45" t="s">
        <v>17</v>
      </c>
      <c r="B25" s="45"/>
      <c r="C25" s="45"/>
      <c r="D25" s="241" t="s">
        <v>37</v>
      </c>
      <c r="E25" s="241" t="s">
        <v>85</v>
      </c>
      <c r="F25" s="241"/>
      <c r="G25" s="241" t="s">
        <v>39</v>
      </c>
      <c r="J25" s="242"/>
      <c r="K25" s="242"/>
    </row>
    <row r="26" spans="1:16" s="32" customFormat="1" ht="12" x14ac:dyDescent="0.2">
      <c r="A26" s="32" t="s">
        <v>41</v>
      </c>
      <c r="D26" s="242" t="s">
        <v>44</v>
      </c>
      <c r="J26" s="354" t="s">
        <v>86</v>
      </c>
      <c r="K26" s="355" t="s">
        <v>138</v>
      </c>
    </row>
    <row r="27" spans="1:16" s="32" customFormat="1" ht="12" x14ac:dyDescent="0.2">
      <c r="A27" s="32" t="s">
        <v>43</v>
      </c>
      <c r="E27" s="213">
        <v>43.403185247275779</v>
      </c>
      <c r="G27" s="36">
        <v>68.766233766233768</v>
      </c>
      <c r="J27" s="356" t="s">
        <v>263</v>
      </c>
      <c r="K27" s="357">
        <v>6.666666666666667</v>
      </c>
    </row>
    <row r="28" spans="1:16" s="32" customFormat="1" ht="12" x14ac:dyDescent="0.2">
      <c r="D28" s="36"/>
      <c r="J28" s="358" t="s">
        <v>264</v>
      </c>
      <c r="K28" s="359">
        <v>3.3333333333333335</v>
      </c>
    </row>
    <row r="29" spans="1:16" s="32" customFormat="1" ht="12" x14ac:dyDescent="0.2">
      <c r="D29" s="36"/>
      <c r="J29" s="358" t="s">
        <v>208</v>
      </c>
      <c r="K29" s="359">
        <v>33.333333333333329</v>
      </c>
    </row>
    <row r="30" spans="1:16" s="32" customFormat="1" ht="12" x14ac:dyDescent="0.2">
      <c r="A30" s="32" t="s">
        <v>46</v>
      </c>
      <c r="D30" s="36"/>
      <c r="J30" s="358" t="s">
        <v>47</v>
      </c>
      <c r="K30" s="359">
        <v>30</v>
      </c>
    </row>
    <row r="31" spans="1:16" s="32" customFormat="1" ht="12" x14ac:dyDescent="0.2">
      <c r="A31" s="32" t="s">
        <v>48</v>
      </c>
      <c r="D31" s="32" t="s">
        <v>49</v>
      </c>
      <c r="E31" s="37">
        <v>4</v>
      </c>
      <c r="F31" s="37"/>
      <c r="G31" s="37"/>
      <c r="I31" s="33"/>
      <c r="J31" s="358" t="s">
        <v>50</v>
      </c>
      <c r="K31" s="359">
        <v>13.333333333333334</v>
      </c>
    </row>
    <row r="32" spans="1:16" s="32" customFormat="1" ht="12" x14ac:dyDescent="0.2">
      <c r="A32" s="32" t="s">
        <v>51</v>
      </c>
      <c r="D32" s="32" t="s">
        <v>49</v>
      </c>
      <c r="E32" s="37">
        <v>11</v>
      </c>
      <c r="F32" s="37"/>
      <c r="G32" s="258">
        <v>971</v>
      </c>
      <c r="I32" s="33"/>
      <c r="J32" s="358" t="s">
        <v>52</v>
      </c>
      <c r="K32" s="359">
        <v>3.3333333333333335</v>
      </c>
    </row>
    <row r="33" spans="1:11" s="32" customFormat="1" ht="12" x14ac:dyDescent="0.2">
      <c r="A33" s="32" t="s">
        <v>2</v>
      </c>
      <c r="D33" s="32" t="s">
        <v>49</v>
      </c>
      <c r="E33" s="37">
        <v>15</v>
      </c>
      <c r="F33" s="37"/>
      <c r="G33" s="37"/>
      <c r="I33" s="33"/>
      <c r="J33" s="358" t="s">
        <v>209</v>
      </c>
      <c r="K33" s="359">
        <v>6.666666666666667</v>
      </c>
    </row>
    <row r="34" spans="1:11" s="32" customFormat="1" ht="12" x14ac:dyDescent="0.2">
      <c r="D34" s="36"/>
      <c r="I34" s="33"/>
      <c r="J34" s="360" t="s">
        <v>265</v>
      </c>
      <c r="K34" s="361">
        <v>3.3333333333333335</v>
      </c>
    </row>
    <row r="35" spans="1:11" s="32" customFormat="1" ht="12" x14ac:dyDescent="0.2">
      <c r="A35" s="31" t="s">
        <v>93</v>
      </c>
      <c r="B35" s="31"/>
      <c r="C35" s="31" t="s">
        <v>54</v>
      </c>
      <c r="D35" s="31"/>
      <c r="E35" s="31"/>
      <c r="F35" s="31"/>
      <c r="G35" s="31"/>
      <c r="I35" s="33"/>
      <c r="J35" s="362"/>
      <c r="K35" s="363"/>
    </row>
    <row r="36" spans="1:11" s="32" customFormat="1" ht="12" x14ac:dyDescent="0.2">
      <c r="A36" s="33" t="s">
        <v>94</v>
      </c>
      <c r="B36" s="32" t="s">
        <v>57</v>
      </c>
      <c r="C36" s="112">
        <v>96.666666666666671</v>
      </c>
      <c r="D36" s="33"/>
      <c r="E36" s="37">
        <v>17</v>
      </c>
      <c r="F36" s="49"/>
      <c r="G36" s="49">
        <v>6.9999999999999991</v>
      </c>
      <c r="I36" s="49"/>
      <c r="J36" s="33"/>
    </row>
    <row r="37" spans="1:11" s="32" customFormat="1" ht="12" x14ac:dyDescent="0.2">
      <c r="A37" s="33"/>
      <c r="B37" s="33"/>
      <c r="C37" s="112"/>
      <c r="D37" s="33"/>
      <c r="E37" s="37"/>
      <c r="F37" s="49"/>
      <c r="G37" s="112"/>
      <c r="I37" s="112"/>
      <c r="J37" s="364" t="s">
        <v>40</v>
      </c>
      <c r="K37" s="363">
        <v>1.167777777777778</v>
      </c>
    </row>
    <row r="38" spans="1:11" s="32" customFormat="1" ht="12" x14ac:dyDescent="0.2">
      <c r="A38" s="33"/>
      <c r="B38" s="33"/>
      <c r="C38" s="112"/>
      <c r="D38" s="33"/>
      <c r="E38" s="37"/>
      <c r="F38" s="49"/>
      <c r="G38" s="49"/>
      <c r="I38" s="49"/>
      <c r="J38" s="364" t="s">
        <v>42</v>
      </c>
      <c r="K38" s="363">
        <v>1</v>
      </c>
    </row>
    <row r="39" spans="1:11" s="32" customFormat="1" ht="12" x14ac:dyDescent="0.2">
      <c r="A39" s="33" t="s">
        <v>140</v>
      </c>
      <c r="B39" s="33" t="s">
        <v>58</v>
      </c>
      <c r="C39" s="112">
        <v>100</v>
      </c>
      <c r="D39" s="33"/>
      <c r="E39" s="37">
        <v>64</v>
      </c>
      <c r="F39" s="49"/>
      <c r="G39" s="49">
        <v>6.9999999999999991</v>
      </c>
      <c r="I39" s="49"/>
    </row>
    <row r="40" spans="1:11" s="32" customFormat="1" ht="12" x14ac:dyDescent="0.2">
      <c r="A40" s="33"/>
      <c r="B40" s="33" t="s">
        <v>59</v>
      </c>
      <c r="C40" s="112">
        <v>100</v>
      </c>
      <c r="D40" s="33"/>
      <c r="E40" s="37">
        <v>19</v>
      </c>
      <c r="F40" s="49"/>
      <c r="G40" s="49">
        <v>6.9999999999999991</v>
      </c>
      <c r="I40" s="49"/>
      <c r="J40" s="33"/>
    </row>
    <row r="41" spans="1:11" s="32" customFormat="1" ht="12" x14ac:dyDescent="0.2">
      <c r="B41" s="33"/>
      <c r="C41" s="111"/>
      <c r="D41" s="33"/>
      <c r="E41" s="37"/>
      <c r="F41" s="49"/>
      <c r="G41" s="49"/>
      <c r="I41" s="49"/>
      <c r="J41" s="33"/>
    </row>
    <row r="42" spans="1:11" s="32" customFormat="1" ht="12" x14ac:dyDescent="0.2">
      <c r="A42" s="33"/>
      <c r="B42" s="33"/>
      <c r="C42" s="111"/>
      <c r="D42" s="33"/>
      <c r="E42" s="49"/>
      <c r="F42" s="49"/>
      <c r="G42" s="49"/>
      <c r="I42" s="33"/>
      <c r="J42" s="49"/>
    </row>
    <row r="43" spans="1:11" s="32" customFormat="1" ht="12" x14ac:dyDescent="0.2">
      <c r="A43" s="31" t="s">
        <v>61</v>
      </c>
      <c r="B43" s="31"/>
      <c r="C43" s="31"/>
      <c r="D43" s="31"/>
      <c r="E43" s="31"/>
      <c r="F43" s="31"/>
      <c r="G43" s="31"/>
      <c r="I43" s="32" t="s">
        <v>210</v>
      </c>
    </row>
    <row r="44" spans="1:11" s="32" customFormat="1" ht="12" x14ac:dyDescent="0.2">
      <c r="A44" s="33" t="s">
        <v>98</v>
      </c>
      <c r="B44" s="33"/>
      <c r="C44" s="33"/>
      <c r="D44" s="33"/>
      <c r="E44" s="33"/>
      <c r="F44" s="48">
        <v>1417</v>
      </c>
      <c r="G44" s="365"/>
      <c r="H44" s="135"/>
      <c r="I44" s="258">
        <v>3502</v>
      </c>
    </row>
    <row r="45" spans="1:11" s="32" customFormat="1" ht="12" x14ac:dyDescent="0.2">
      <c r="A45" s="33" t="s">
        <v>99</v>
      </c>
      <c r="B45" s="33"/>
      <c r="C45" s="33"/>
      <c r="D45" s="33"/>
      <c r="E45" s="33"/>
      <c r="F45" s="49">
        <v>32.03</v>
      </c>
      <c r="G45" s="53"/>
      <c r="I45" s="37"/>
    </row>
    <row r="46" spans="1:11" s="32" customFormat="1" ht="12" x14ac:dyDescent="0.2">
      <c r="A46" s="33" t="s">
        <v>66</v>
      </c>
      <c r="B46" s="33"/>
      <c r="C46" s="33"/>
      <c r="D46" s="33"/>
      <c r="E46" s="33"/>
      <c r="F46" s="367">
        <f>+F44*F45</f>
        <v>45386.51</v>
      </c>
      <c r="G46" s="48"/>
      <c r="H46" s="37"/>
      <c r="I46" s="258">
        <f>+F46*2.471</f>
        <v>112150.06621</v>
      </c>
    </row>
    <row r="47" spans="1:11" s="32" customFormat="1" ht="12" x14ac:dyDescent="0.2">
      <c r="A47" s="33" t="s">
        <v>67</v>
      </c>
      <c r="B47" s="33"/>
      <c r="C47" s="33"/>
      <c r="D47" s="33"/>
      <c r="E47" s="33"/>
      <c r="F47" s="367">
        <f>+F46-K19</f>
        <v>6055.510000000002</v>
      </c>
      <c r="G47" s="48"/>
      <c r="H47" s="37"/>
      <c r="I47" s="258">
        <f t="shared" ref="I47:I48" si="0">+F47*2.471</f>
        <v>14963.165210000005</v>
      </c>
    </row>
    <row r="48" spans="1:11" s="32" customFormat="1" ht="12" x14ac:dyDescent="0.2">
      <c r="A48" s="33" t="s">
        <v>68</v>
      </c>
      <c r="B48" s="33"/>
      <c r="C48" s="33"/>
      <c r="D48" s="33"/>
      <c r="E48" s="33"/>
      <c r="F48" s="367">
        <f>+F46-K20</f>
        <v>21041.510000000002</v>
      </c>
      <c r="G48" s="48"/>
      <c r="H48" s="37"/>
      <c r="I48" s="258">
        <f t="shared" si="0"/>
        <v>51993.571210000009</v>
      </c>
    </row>
    <row r="49" spans="1:7" s="32" customFormat="1" ht="12" x14ac:dyDescent="0.2">
      <c r="A49" s="33" t="s">
        <v>69</v>
      </c>
      <c r="B49" s="33"/>
      <c r="C49" s="33"/>
      <c r="D49" s="33"/>
      <c r="E49" s="33"/>
      <c r="F49" s="368">
        <v>27.7498632852298</v>
      </c>
      <c r="G49" s="53"/>
    </row>
    <row r="50" spans="1:7" s="32" customFormat="1" ht="12" x14ac:dyDescent="0.2">
      <c r="A50" s="34" t="s">
        <v>70</v>
      </c>
      <c r="B50" s="34"/>
      <c r="C50" s="34"/>
      <c r="D50" s="34"/>
      <c r="E50" s="34"/>
      <c r="F50" s="255">
        <f>+K20/F44</f>
        <v>17.180663373323924</v>
      </c>
      <c r="G50" s="55"/>
    </row>
    <row r="51" spans="1:7" s="32" customFormat="1" ht="12" x14ac:dyDescent="0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M63"/>
  <sheetViews>
    <sheetView topLeftCell="A7" workbookViewId="0">
      <selection activeCell="A5" sqref="A5:XFD8"/>
    </sheetView>
  </sheetViews>
  <sheetFormatPr defaultRowHeight="15" x14ac:dyDescent="0.25"/>
  <sheetData>
    <row r="1" spans="1:13" x14ac:dyDescent="0.25">
      <c r="A1" s="136" t="s">
        <v>152</v>
      </c>
      <c r="B1" s="136"/>
    </row>
    <row r="2" spans="1:13" x14ac:dyDescent="0.25">
      <c r="A2" s="136" t="s">
        <v>153</v>
      </c>
      <c r="B2" s="136"/>
    </row>
    <row r="3" spans="1:13" x14ac:dyDescent="0.25">
      <c r="A3" s="30" t="s">
        <v>171</v>
      </c>
      <c r="B3" s="136"/>
    </row>
    <row r="4" spans="1:13" x14ac:dyDescent="0.25">
      <c r="A4" s="99"/>
      <c r="B4" s="30"/>
    </row>
    <row r="5" spans="1:13" s="446" customFormat="1" ht="12" x14ac:dyDescent="0.2">
      <c r="A5" s="443"/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5"/>
      <c r="M5" s="445"/>
    </row>
    <row r="6" spans="1:13" s="446" customFormat="1" ht="12" x14ac:dyDescent="0.2">
      <c r="A6" s="97" t="s">
        <v>0</v>
      </c>
      <c r="B6" s="97"/>
      <c r="C6" s="97"/>
      <c r="D6" s="97" t="s">
        <v>1</v>
      </c>
      <c r="E6" s="97" t="s">
        <v>2</v>
      </c>
      <c r="F6" s="97" t="s">
        <v>3</v>
      </c>
      <c r="G6" s="97" t="s">
        <v>4</v>
      </c>
      <c r="H6" s="97" t="s">
        <v>5</v>
      </c>
      <c r="I6" s="97" t="s">
        <v>6</v>
      </c>
      <c r="J6" s="97" t="s">
        <v>7</v>
      </c>
      <c r="K6" s="97" t="s">
        <v>8</v>
      </c>
      <c r="L6" s="97" t="s">
        <v>9</v>
      </c>
      <c r="M6" s="447"/>
    </row>
    <row r="7" spans="1:13" s="446" customFormat="1" ht="12" x14ac:dyDescent="0.2">
      <c r="A7" s="97"/>
      <c r="B7" s="97"/>
      <c r="C7" s="97"/>
      <c r="D7" s="97" t="s">
        <v>11</v>
      </c>
      <c r="E7" s="97" t="s">
        <v>12</v>
      </c>
      <c r="F7" s="97" t="s">
        <v>13</v>
      </c>
      <c r="G7" s="97" t="s">
        <v>14</v>
      </c>
      <c r="H7" s="97" t="s">
        <v>15</v>
      </c>
      <c r="I7" s="97" t="s">
        <v>16</v>
      </c>
      <c r="J7" s="97" t="s">
        <v>15</v>
      </c>
      <c r="K7" s="97" t="s">
        <v>15</v>
      </c>
      <c r="L7" s="97" t="s">
        <v>17</v>
      </c>
      <c r="M7" s="97" t="s">
        <v>10</v>
      </c>
    </row>
    <row r="8" spans="1:13" s="446" customFormat="1" ht="12" x14ac:dyDescent="0.2">
      <c r="A8" s="98"/>
      <c r="B8" s="98"/>
      <c r="C8" s="98"/>
      <c r="D8" s="98" t="s">
        <v>19</v>
      </c>
      <c r="E8" s="98"/>
      <c r="F8" s="98"/>
      <c r="G8" s="98"/>
      <c r="H8" s="98" t="s">
        <v>20</v>
      </c>
      <c r="I8" s="98" t="s">
        <v>21</v>
      </c>
      <c r="J8" s="98" t="s">
        <v>20</v>
      </c>
      <c r="K8" s="98" t="s">
        <v>20</v>
      </c>
      <c r="L8" s="98" t="s">
        <v>18</v>
      </c>
      <c r="M8" s="98" t="s">
        <v>18</v>
      </c>
    </row>
    <row r="9" spans="1:13" s="369" customFormat="1" ht="12" x14ac:dyDescent="0.2">
      <c r="A9" s="292" t="s">
        <v>154</v>
      </c>
      <c r="B9" s="314"/>
      <c r="C9" s="314"/>
      <c r="D9" s="378">
        <v>40</v>
      </c>
      <c r="E9" s="379">
        <v>2.8</v>
      </c>
      <c r="F9" s="380">
        <v>2.8</v>
      </c>
      <c r="G9" s="381">
        <v>1084</v>
      </c>
      <c r="H9" s="382">
        <v>3035</v>
      </c>
      <c r="I9" s="383"/>
      <c r="J9" s="383">
        <v>271</v>
      </c>
      <c r="K9" s="384">
        <v>3306</v>
      </c>
      <c r="L9" s="154"/>
      <c r="M9" s="144"/>
    </row>
    <row r="10" spans="1:13" s="369" customFormat="1" ht="12" x14ac:dyDescent="0.2">
      <c r="A10" s="292" t="s">
        <v>22</v>
      </c>
      <c r="B10" s="292"/>
      <c r="C10" s="292"/>
      <c r="D10" s="378">
        <v>74</v>
      </c>
      <c r="E10" s="385">
        <v>1.9</v>
      </c>
      <c r="F10" s="385">
        <v>1.6</v>
      </c>
      <c r="G10" s="386">
        <v>1084</v>
      </c>
      <c r="H10" s="384">
        <v>2060</v>
      </c>
      <c r="I10" s="384"/>
      <c r="J10" s="383"/>
      <c r="K10" s="384">
        <v>2060</v>
      </c>
      <c r="L10" s="154"/>
      <c r="M10" s="144"/>
    </row>
    <row r="11" spans="1:13" s="369" customFormat="1" ht="12" x14ac:dyDescent="0.2">
      <c r="A11" s="292" t="s">
        <v>266</v>
      </c>
      <c r="B11" s="292"/>
      <c r="C11" s="292"/>
      <c r="D11" s="387">
        <v>80</v>
      </c>
      <c r="E11" s="385">
        <v>0.6</v>
      </c>
      <c r="F11" s="385">
        <v>0.6</v>
      </c>
      <c r="G11" s="386">
        <v>1200</v>
      </c>
      <c r="H11" s="384">
        <v>720</v>
      </c>
      <c r="I11" s="382">
        <v>3350</v>
      </c>
      <c r="J11" s="383"/>
      <c r="K11" s="384">
        <v>4070</v>
      </c>
      <c r="L11" s="154"/>
    </row>
    <row r="12" spans="1:13" s="369" customFormat="1" ht="12" x14ac:dyDescent="0.2">
      <c r="A12" s="292" t="s">
        <v>267</v>
      </c>
      <c r="B12" s="292"/>
      <c r="C12" s="292"/>
      <c r="D12" s="388" t="s">
        <v>155</v>
      </c>
      <c r="E12" s="389"/>
      <c r="F12" s="385"/>
      <c r="G12" s="390"/>
      <c r="H12" s="384"/>
      <c r="I12" s="391" t="s">
        <v>268</v>
      </c>
      <c r="J12" s="383"/>
      <c r="K12" s="384"/>
      <c r="L12" s="154"/>
      <c r="M12" s="144"/>
    </row>
    <row r="13" spans="1:13" s="369" customFormat="1" ht="12" x14ac:dyDescent="0.2">
      <c r="A13" s="292" t="s">
        <v>269</v>
      </c>
      <c r="B13" s="292"/>
      <c r="C13" s="292"/>
      <c r="D13" s="388" t="s">
        <v>270</v>
      </c>
      <c r="E13" s="389"/>
      <c r="F13" s="389"/>
      <c r="G13" s="386"/>
      <c r="H13" s="382" t="s">
        <v>271</v>
      </c>
      <c r="I13" s="391"/>
      <c r="J13" s="383"/>
      <c r="K13" s="384"/>
      <c r="L13" s="154"/>
      <c r="M13" s="144"/>
    </row>
    <row r="14" spans="1:13" s="369" customFormat="1" ht="12" x14ac:dyDescent="0.2">
      <c r="A14" s="292" t="s">
        <v>272</v>
      </c>
      <c r="B14" s="292"/>
      <c r="C14" s="292"/>
      <c r="D14" s="388">
        <v>78</v>
      </c>
      <c r="E14" s="392">
        <v>0.56000000000000005</v>
      </c>
      <c r="F14" s="385">
        <v>0.53</v>
      </c>
      <c r="G14" s="386">
        <v>960</v>
      </c>
      <c r="H14" s="384">
        <v>538</v>
      </c>
      <c r="I14" s="384">
        <v>3192</v>
      </c>
      <c r="J14" s="383"/>
      <c r="K14" s="384">
        <v>3730</v>
      </c>
      <c r="L14" s="154"/>
      <c r="M14" s="144"/>
    </row>
    <row r="15" spans="1:13" s="369" customFormat="1" ht="12" x14ac:dyDescent="0.2">
      <c r="A15" s="292" t="s">
        <v>273</v>
      </c>
      <c r="B15" s="292"/>
      <c r="C15" s="292"/>
      <c r="D15" s="388" t="s">
        <v>105</v>
      </c>
      <c r="E15" s="389"/>
      <c r="F15" s="389"/>
      <c r="G15" s="386"/>
      <c r="H15" s="384"/>
      <c r="I15" s="391" t="s">
        <v>274</v>
      </c>
      <c r="J15" s="383"/>
      <c r="K15" s="384"/>
      <c r="L15" s="154"/>
      <c r="M15" s="144"/>
    </row>
    <row r="16" spans="1:13" s="369" customFormat="1" ht="12" x14ac:dyDescent="0.2">
      <c r="A16" s="292" t="s">
        <v>275</v>
      </c>
      <c r="B16" s="292"/>
      <c r="C16" s="292"/>
      <c r="D16" s="388" t="s">
        <v>114</v>
      </c>
      <c r="E16" s="389"/>
      <c r="F16" s="389"/>
      <c r="G16" s="386"/>
      <c r="H16" s="382" t="s">
        <v>276</v>
      </c>
      <c r="I16" s="391"/>
      <c r="J16" s="383"/>
      <c r="K16" s="384"/>
      <c r="L16" s="154"/>
      <c r="M16" s="144"/>
    </row>
    <row r="17" spans="1:13" s="369" customFormat="1" ht="12" x14ac:dyDescent="0.2">
      <c r="A17" s="292" t="s">
        <v>25</v>
      </c>
      <c r="B17" s="292"/>
      <c r="C17" s="292"/>
      <c r="D17" s="393">
        <v>100</v>
      </c>
      <c r="E17" s="385">
        <v>6.02</v>
      </c>
      <c r="F17" s="394">
        <v>4.16</v>
      </c>
      <c r="G17" s="386">
        <v>977</v>
      </c>
      <c r="H17" s="384">
        <v>5882</v>
      </c>
      <c r="I17" s="384"/>
      <c r="J17" s="383"/>
      <c r="K17" s="384">
        <v>5882</v>
      </c>
      <c r="L17" s="154"/>
      <c r="M17" s="144"/>
    </row>
    <row r="18" spans="1:13" s="369" customFormat="1" ht="12" x14ac:dyDescent="0.2">
      <c r="A18" s="292" t="s">
        <v>26</v>
      </c>
      <c r="B18" s="292"/>
      <c r="C18" s="292"/>
      <c r="D18" s="378">
        <v>60</v>
      </c>
      <c r="E18" s="385">
        <v>4.4000000000000004</v>
      </c>
      <c r="F18" s="385">
        <v>3.3</v>
      </c>
      <c r="G18" s="386">
        <v>760</v>
      </c>
      <c r="H18" s="384">
        <v>3344</v>
      </c>
      <c r="I18" s="384"/>
      <c r="J18" s="384">
        <v>2620</v>
      </c>
      <c r="K18" s="384">
        <v>5964</v>
      </c>
      <c r="L18" s="154">
        <v>831</v>
      </c>
      <c r="M18" s="144"/>
    </row>
    <row r="19" spans="1:13" s="369" customFormat="1" ht="12" x14ac:dyDescent="0.2">
      <c r="A19" s="292" t="s">
        <v>277</v>
      </c>
      <c r="B19" s="292"/>
      <c r="C19" s="292"/>
      <c r="D19" s="388" t="s">
        <v>156</v>
      </c>
      <c r="E19" s="385"/>
      <c r="F19" s="385"/>
      <c r="G19" s="386"/>
      <c r="H19" s="382" t="s">
        <v>278</v>
      </c>
      <c r="I19" s="384"/>
      <c r="J19" s="384" t="s">
        <v>279</v>
      </c>
      <c r="K19" s="384"/>
      <c r="L19" s="154"/>
      <c r="M19" s="144"/>
    </row>
    <row r="20" spans="1:13" s="369" customFormat="1" ht="12" x14ac:dyDescent="0.2">
      <c r="A20" s="292" t="s">
        <v>27</v>
      </c>
      <c r="B20" s="292"/>
      <c r="C20" s="292"/>
      <c r="D20" s="393">
        <v>100</v>
      </c>
      <c r="E20" s="394">
        <v>1.21</v>
      </c>
      <c r="F20" s="394">
        <v>1.02</v>
      </c>
      <c r="G20" s="386">
        <v>1000</v>
      </c>
      <c r="H20" s="384">
        <v>1210</v>
      </c>
      <c r="I20" s="395"/>
      <c r="J20" s="384">
        <v>770</v>
      </c>
      <c r="K20" s="384">
        <v>1980</v>
      </c>
      <c r="L20" s="154"/>
      <c r="M20" s="144"/>
    </row>
    <row r="21" spans="1:13" s="369" customFormat="1" ht="12" x14ac:dyDescent="0.2">
      <c r="A21" s="292" t="s">
        <v>28</v>
      </c>
      <c r="B21" s="292"/>
      <c r="C21" s="292"/>
      <c r="D21" s="388">
        <v>44</v>
      </c>
      <c r="E21" s="394">
        <v>0.77</v>
      </c>
      <c r="F21" s="394">
        <v>0.55000000000000004</v>
      </c>
      <c r="G21" s="390">
        <v>1100</v>
      </c>
      <c r="H21" s="384">
        <v>847</v>
      </c>
      <c r="I21" s="384"/>
      <c r="J21" s="384">
        <v>1572</v>
      </c>
      <c r="K21" s="384">
        <v>2419</v>
      </c>
      <c r="L21" s="154"/>
      <c r="M21" s="144"/>
    </row>
    <row r="22" spans="1:13" s="369" customFormat="1" ht="12" x14ac:dyDescent="0.2">
      <c r="A22" s="292" t="s">
        <v>280</v>
      </c>
      <c r="B22" s="292"/>
      <c r="C22" s="292"/>
      <c r="D22" s="393">
        <v>100</v>
      </c>
      <c r="E22" s="394">
        <v>11.5</v>
      </c>
      <c r="F22" s="394">
        <v>6</v>
      </c>
      <c r="G22" s="386">
        <v>899</v>
      </c>
      <c r="H22" s="384">
        <v>10339</v>
      </c>
      <c r="I22" s="384"/>
      <c r="J22" s="384"/>
      <c r="K22" s="384">
        <v>10339</v>
      </c>
      <c r="L22" s="154"/>
      <c r="M22" s="144"/>
    </row>
    <row r="23" spans="1:13" s="369" customFormat="1" ht="12" x14ac:dyDescent="0.2">
      <c r="A23" s="292" t="s">
        <v>281</v>
      </c>
      <c r="B23" s="292"/>
      <c r="C23" s="292"/>
      <c r="D23" s="378">
        <v>80</v>
      </c>
      <c r="E23" s="394">
        <v>2.5499999999999998</v>
      </c>
      <c r="F23" s="385">
        <v>1.07</v>
      </c>
      <c r="G23" s="386">
        <v>923</v>
      </c>
      <c r="H23" s="384">
        <v>2354</v>
      </c>
      <c r="I23" s="384">
        <v>3015</v>
      </c>
      <c r="J23" s="384"/>
      <c r="K23" s="384">
        <v>5369</v>
      </c>
      <c r="L23" s="154"/>
      <c r="M23" s="144"/>
    </row>
    <row r="24" spans="1:13" s="369" customFormat="1" ht="12" x14ac:dyDescent="0.2">
      <c r="A24" s="292" t="s">
        <v>282</v>
      </c>
      <c r="B24" s="292"/>
      <c r="C24" s="292"/>
      <c r="D24" s="387" t="s">
        <v>105</v>
      </c>
      <c r="E24" s="385"/>
      <c r="F24" s="385"/>
      <c r="G24" s="386"/>
      <c r="H24" s="384"/>
      <c r="I24" s="384" t="s">
        <v>283</v>
      </c>
      <c r="J24" s="384"/>
      <c r="K24" s="384"/>
      <c r="L24" s="154"/>
      <c r="M24" s="144"/>
    </row>
    <row r="25" spans="1:13" s="369" customFormat="1" ht="12" x14ac:dyDescent="0.2">
      <c r="A25" s="292" t="s">
        <v>284</v>
      </c>
      <c r="B25" s="292"/>
      <c r="C25" s="292"/>
      <c r="D25" s="387" t="s">
        <v>105</v>
      </c>
      <c r="E25" s="385"/>
      <c r="F25" s="385"/>
      <c r="G25" s="386"/>
      <c r="H25" s="384"/>
      <c r="I25" s="391" t="s">
        <v>285</v>
      </c>
      <c r="J25" s="384"/>
      <c r="K25" s="384"/>
      <c r="L25" s="154"/>
      <c r="M25" s="144"/>
    </row>
    <row r="26" spans="1:13" s="369" customFormat="1" ht="12" x14ac:dyDescent="0.2">
      <c r="A26" s="290" t="s">
        <v>32</v>
      </c>
      <c r="B26" s="290"/>
      <c r="C26" s="290"/>
      <c r="D26" s="396">
        <v>50</v>
      </c>
      <c r="E26" s="397">
        <v>0.71</v>
      </c>
      <c r="F26" s="397">
        <v>0.57999999999999996</v>
      </c>
      <c r="G26" s="398">
        <v>1000</v>
      </c>
      <c r="H26" s="384">
        <v>710</v>
      </c>
      <c r="I26" s="399">
        <v>530</v>
      </c>
      <c r="J26" s="399"/>
      <c r="K26" s="384">
        <v>1240</v>
      </c>
      <c r="L26" s="154"/>
      <c r="M26" s="144"/>
    </row>
    <row r="27" spans="1:13" s="369" customFormat="1" ht="12" x14ac:dyDescent="0.2">
      <c r="A27" s="284" t="s">
        <v>33</v>
      </c>
      <c r="B27" s="284"/>
      <c r="C27" s="284"/>
      <c r="D27" s="284"/>
      <c r="E27" s="284">
        <f t="shared" ref="E27:G27" si="0">SUM(E10:E26)</f>
        <v>30.220000000000002</v>
      </c>
      <c r="F27" s="284">
        <f t="shared" si="0"/>
        <v>19.41</v>
      </c>
      <c r="G27" s="284">
        <f t="shared" si="0"/>
        <v>9903</v>
      </c>
      <c r="H27" s="400">
        <v>31039</v>
      </c>
      <c r="I27" s="400">
        <v>10087</v>
      </c>
      <c r="J27" s="400">
        <v>5233</v>
      </c>
      <c r="K27" s="400">
        <v>46359</v>
      </c>
      <c r="L27" s="168">
        <v>831</v>
      </c>
      <c r="M27" s="88"/>
    </row>
    <row r="28" spans="1:13" s="369" customFormat="1" ht="12" x14ac:dyDescent="0.2">
      <c r="A28" s="290" t="s">
        <v>34</v>
      </c>
      <c r="B28" s="290"/>
      <c r="C28" s="290"/>
      <c r="D28" s="290"/>
      <c r="E28" s="290">
        <f>SUM(E27-F27)</f>
        <v>10.810000000000002</v>
      </c>
      <c r="F28" s="290"/>
      <c r="G28" s="290"/>
      <c r="H28" s="399">
        <v>11298</v>
      </c>
      <c r="I28" s="399">
        <v>10087</v>
      </c>
      <c r="J28" s="399">
        <v>4402</v>
      </c>
      <c r="K28" s="399">
        <v>25787</v>
      </c>
      <c r="L28" s="170"/>
      <c r="M28" s="80"/>
    </row>
    <row r="29" spans="1:13" s="369" customFormat="1" ht="12" x14ac:dyDescent="0.2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84"/>
      <c r="L29" s="81"/>
      <c r="M29" s="81"/>
    </row>
    <row r="30" spans="1:13" s="369" customFormat="1" ht="12" x14ac:dyDescent="0.2">
      <c r="A30" s="81"/>
      <c r="B30" s="81"/>
      <c r="C30" s="81" t="s">
        <v>35</v>
      </c>
      <c r="D30" s="81"/>
      <c r="E30" s="81"/>
      <c r="F30" s="81"/>
      <c r="G30" s="81"/>
      <c r="H30" s="38"/>
      <c r="I30" s="81"/>
      <c r="J30" s="81"/>
      <c r="K30" s="81"/>
      <c r="L30" s="81"/>
      <c r="M30" s="81"/>
    </row>
    <row r="31" spans="1:13" s="369" customFormat="1" ht="12" x14ac:dyDescent="0.2">
      <c r="A31" s="81"/>
      <c r="B31" s="81"/>
      <c r="C31" s="81"/>
      <c r="D31" s="81"/>
      <c r="E31" s="81"/>
      <c r="F31" s="81"/>
      <c r="G31" s="81"/>
      <c r="H31" s="38"/>
      <c r="I31" s="81"/>
      <c r="J31" s="81"/>
      <c r="K31" s="81"/>
      <c r="L31" s="81"/>
      <c r="M31" s="81"/>
    </row>
    <row r="32" spans="1:13" s="369" customFormat="1" ht="12" x14ac:dyDescent="0.2">
      <c r="A32" s="81" t="s">
        <v>36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</row>
    <row r="33" spans="1:13" s="369" customFormat="1" ht="12" x14ac:dyDescent="0.2">
      <c r="A33" s="148"/>
      <c r="B33" s="148"/>
      <c r="C33" s="148"/>
      <c r="D33" s="148"/>
      <c r="E33" s="148"/>
      <c r="F33" s="148"/>
      <c r="G33" s="148"/>
      <c r="H33" s="148"/>
      <c r="I33" s="81"/>
      <c r="J33" s="81"/>
      <c r="K33" s="81"/>
      <c r="L33" s="81"/>
      <c r="M33" s="81"/>
    </row>
    <row r="34" spans="1:13" s="369" customFormat="1" ht="12" x14ac:dyDescent="0.2">
      <c r="A34" s="81" t="s">
        <v>17</v>
      </c>
      <c r="B34" s="81"/>
      <c r="C34" s="81"/>
      <c r="D34" s="81" t="s">
        <v>37</v>
      </c>
      <c r="E34" s="81" t="s">
        <v>38</v>
      </c>
      <c r="F34" s="81"/>
      <c r="G34" s="81" t="s">
        <v>39</v>
      </c>
      <c r="H34" s="81"/>
      <c r="I34" s="81"/>
      <c r="J34" s="81"/>
      <c r="K34" s="81"/>
      <c r="L34" s="81"/>
      <c r="M34" s="81"/>
    </row>
    <row r="35" spans="1:13" s="369" customFormat="1" ht="12" x14ac:dyDescent="0.2">
      <c r="A35" s="148"/>
      <c r="B35" s="148"/>
      <c r="C35" s="148"/>
      <c r="D35" s="148"/>
      <c r="E35" s="148"/>
      <c r="F35" s="148"/>
      <c r="G35" s="148"/>
      <c r="H35" s="148"/>
      <c r="I35" s="81"/>
      <c r="J35" s="81"/>
      <c r="K35" s="81"/>
      <c r="L35" s="81"/>
      <c r="M35" s="81"/>
    </row>
    <row r="36" spans="1:13" s="369" customFormat="1" ht="12" x14ac:dyDescent="0.2">
      <c r="A36" s="81" t="s">
        <v>41</v>
      </c>
      <c r="B36" s="81"/>
      <c r="C36" s="81"/>
      <c r="D36" s="81"/>
      <c r="E36" s="81"/>
      <c r="F36" s="81"/>
      <c r="G36" s="81"/>
      <c r="H36" s="81"/>
      <c r="I36" s="278" t="s">
        <v>40</v>
      </c>
      <c r="J36" s="279">
        <v>0.85</v>
      </c>
      <c r="K36" s="81"/>
      <c r="L36" s="81"/>
      <c r="M36" s="81"/>
    </row>
    <row r="37" spans="1:13" s="369" customFormat="1" ht="12" x14ac:dyDescent="0.2">
      <c r="A37" s="81" t="s">
        <v>43</v>
      </c>
      <c r="B37" s="81"/>
      <c r="C37" s="154">
        <v>60</v>
      </c>
      <c r="D37" s="81" t="s">
        <v>44</v>
      </c>
      <c r="E37" s="81">
        <v>42.76</v>
      </c>
      <c r="F37" s="81"/>
      <c r="G37" s="81">
        <v>61.28</v>
      </c>
      <c r="H37" s="81"/>
      <c r="I37" s="280" t="s">
        <v>42</v>
      </c>
      <c r="J37" s="281">
        <v>0.5</v>
      </c>
      <c r="K37" s="81"/>
      <c r="L37" s="81"/>
      <c r="M37" s="81"/>
    </row>
    <row r="38" spans="1:13" s="369" customFormat="1" ht="12" x14ac:dyDescent="0.2">
      <c r="A38" s="81" t="s">
        <v>277</v>
      </c>
      <c r="B38" s="81"/>
      <c r="C38" s="370" t="s">
        <v>156</v>
      </c>
      <c r="E38" s="81"/>
      <c r="F38" s="81"/>
      <c r="G38" s="81"/>
      <c r="H38" s="81"/>
      <c r="I38" s="81"/>
      <c r="J38" s="81"/>
      <c r="K38" s="81"/>
      <c r="L38" s="81"/>
      <c r="M38" s="81"/>
    </row>
    <row r="39" spans="1:13" s="369" customFormat="1" ht="12" x14ac:dyDescent="0.2">
      <c r="A39" s="81" t="s">
        <v>46</v>
      </c>
      <c r="B39" s="81"/>
      <c r="C39" s="81"/>
      <c r="D39" s="81"/>
      <c r="E39" s="81"/>
      <c r="F39" s="81"/>
      <c r="G39" s="81"/>
      <c r="H39" s="81"/>
      <c r="I39" s="79"/>
      <c r="J39" s="79"/>
      <c r="K39" s="81"/>
      <c r="L39" s="81"/>
      <c r="M39" s="81"/>
    </row>
    <row r="40" spans="1:13" s="369" customFormat="1" ht="12" x14ac:dyDescent="0.2">
      <c r="A40" s="81" t="s">
        <v>48</v>
      </c>
      <c r="B40" s="81"/>
      <c r="C40" s="81"/>
      <c r="D40" s="81" t="s">
        <v>49</v>
      </c>
      <c r="E40" s="38">
        <v>11</v>
      </c>
      <c r="F40" s="81"/>
      <c r="G40" s="145">
        <v>1035</v>
      </c>
      <c r="H40" s="81"/>
      <c r="I40" s="113"/>
      <c r="J40" s="187"/>
      <c r="K40" s="81"/>
    </row>
    <row r="41" spans="1:13" s="369" customFormat="1" ht="12" x14ac:dyDescent="0.2">
      <c r="A41" s="81" t="s">
        <v>51</v>
      </c>
      <c r="B41" s="81"/>
      <c r="C41" s="81"/>
      <c r="D41" s="81" t="s">
        <v>49</v>
      </c>
      <c r="E41" s="38">
        <v>19</v>
      </c>
      <c r="F41" s="81"/>
      <c r="G41" s="81"/>
      <c r="H41" s="81"/>
      <c r="I41" s="73" t="s">
        <v>158</v>
      </c>
      <c r="J41" s="371">
        <f>7.25/25.5</f>
        <v>0.28431372549019607</v>
      </c>
      <c r="K41" s="50"/>
      <c r="L41" s="79"/>
      <c r="M41" s="81"/>
    </row>
    <row r="42" spans="1:13" s="369" customFormat="1" ht="12" x14ac:dyDescent="0.2">
      <c r="A42" s="81" t="s">
        <v>2</v>
      </c>
      <c r="B42" s="81"/>
      <c r="C42" s="81"/>
      <c r="D42" s="81" t="s">
        <v>49</v>
      </c>
      <c r="E42" s="38">
        <v>30</v>
      </c>
      <c r="F42" s="81"/>
      <c r="G42" s="81"/>
      <c r="H42" s="81"/>
      <c r="I42" s="73" t="s">
        <v>159</v>
      </c>
      <c r="J42" s="371">
        <f>6.25/25.5</f>
        <v>0.24509803921568626</v>
      </c>
      <c r="M42" s="74"/>
    </row>
    <row r="43" spans="1:13" s="369" customFormat="1" ht="12" x14ac:dyDescent="0.2">
      <c r="A43" s="81"/>
      <c r="B43" s="81"/>
      <c r="C43" s="81"/>
      <c r="D43" s="81"/>
      <c r="E43" s="38"/>
      <c r="F43" s="81"/>
      <c r="G43" s="81"/>
      <c r="H43" s="81"/>
      <c r="I43" s="372" t="s">
        <v>286</v>
      </c>
      <c r="J43" s="371">
        <f>2.5/25.5</f>
        <v>9.8039215686274508E-2</v>
      </c>
      <c r="K43" s="81"/>
      <c r="M43" s="74"/>
    </row>
    <row r="44" spans="1:13" s="369" customFormat="1" ht="12" x14ac:dyDescent="0.2">
      <c r="A44" s="81" t="s">
        <v>53</v>
      </c>
      <c r="B44" s="81" t="s">
        <v>54</v>
      </c>
      <c r="C44" s="81"/>
      <c r="D44" s="81"/>
      <c r="E44" s="38"/>
      <c r="F44" s="81"/>
      <c r="G44" s="81"/>
      <c r="H44" s="81"/>
      <c r="I44" s="372" t="s">
        <v>287</v>
      </c>
      <c r="J44" s="371">
        <f>2.75/25.5</f>
        <v>0.10784313725490197</v>
      </c>
      <c r="K44" s="79"/>
      <c r="L44" s="81"/>
      <c r="M44" s="74"/>
    </row>
    <row r="45" spans="1:13" s="369" customFormat="1" ht="12" x14ac:dyDescent="0.2">
      <c r="A45" s="81" t="s">
        <v>56</v>
      </c>
      <c r="B45" s="38"/>
      <c r="C45" s="38" t="s">
        <v>138</v>
      </c>
      <c r="D45" s="81"/>
      <c r="E45" s="38"/>
      <c r="F45" s="81"/>
      <c r="G45" s="81"/>
      <c r="H45" s="81"/>
      <c r="I45" s="373" t="s">
        <v>55</v>
      </c>
      <c r="J45" s="371">
        <v>0.26</v>
      </c>
      <c r="K45" s="81"/>
      <c r="L45" s="81"/>
      <c r="M45" s="374"/>
    </row>
    <row r="46" spans="1:13" s="369" customFormat="1" ht="12" x14ac:dyDescent="0.2">
      <c r="A46" s="81" t="s">
        <v>57</v>
      </c>
      <c r="B46" s="38"/>
      <c r="C46" s="38">
        <v>100</v>
      </c>
      <c r="D46" s="81" t="s">
        <v>44</v>
      </c>
      <c r="E46" s="38">
        <v>23</v>
      </c>
      <c r="F46" s="81"/>
      <c r="G46" s="81">
        <v>7</v>
      </c>
      <c r="H46" s="81"/>
      <c r="J46" s="375">
        <f>SUM(J41:J45)</f>
        <v>0.99529411764705888</v>
      </c>
      <c r="K46" s="81"/>
      <c r="L46" s="81"/>
      <c r="M46" s="374"/>
    </row>
    <row r="47" spans="1:13" s="369" customFormat="1" ht="12" x14ac:dyDescent="0.2">
      <c r="A47" s="81" t="s">
        <v>58</v>
      </c>
      <c r="B47" s="38"/>
      <c r="C47" s="35">
        <v>70</v>
      </c>
      <c r="D47" s="81" t="s">
        <v>44</v>
      </c>
      <c r="E47" s="38">
        <v>14</v>
      </c>
      <c r="F47" s="81"/>
      <c r="G47" s="86">
        <v>7</v>
      </c>
      <c r="H47" s="81"/>
      <c r="I47" s="79"/>
      <c r="J47" s="50"/>
      <c r="K47" s="81"/>
      <c r="L47" s="81"/>
      <c r="M47" s="374"/>
    </row>
    <row r="48" spans="1:13" s="369" customFormat="1" ht="12" x14ac:dyDescent="0.2">
      <c r="A48" s="81" t="s">
        <v>59</v>
      </c>
      <c r="B48" s="81"/>
      <c r="C48" s="38">
        <v>40</v>
      </c>
      <c r="D48" s="81" t="s">
        <v>44</v>
      </c>
      <c r="E48" s="38">
        <v>10</v>
      </c>
      <c r="F48" s="81"/>
      <c r="G48" s="86">
        <v>7</v>
      </c>
      <c r="H48" s="81"/>
      <c r="I48" s="79"/>
      <c r="J48" s="50"/>
      <c r="K48" s="81"/>
      <c r="L48" s="81"/>
      <c r="M48" s="374"/>
    </row>
    <row r="49" spans="1:13" s="369" customFormat="1" ht="12" x14ac:dyDescent="0.2">
      <c r="A49" s="86"/>
      <c r="B49" s="81"/>
      <c r="C49" s="35"/>
      <c r="D49" s="81"/>
      <c r="E49" s="35"/>
      <c r="F49" s="81"/>
      <c r="G49" s="86"/>
      <c r="H49" s="81"/>
      <c r="I49" s="79"/>
      <c r="J49" s="50"/>
      <c r="K49" s="81"/>
      <c r="L49" s="81"/>
      <c r="M49" s="374"/>
    </row>
    <row r="50" spans="1:13" s="369" customFormat="1" ht="12" x14ac:dyDescent="0.2">
      <c r="A50" s="81" t="s">
        <v>288</v>
      </c>
      <c r="B50" s="81"/>
      <c r="C50" s="38"/>
      <c r="D50" s="81"/>
      <c r="E50" s="38"/>
      <c r="F50" s="81"/>
      <c r="G50" s="81"/>
      <c r="H50" s="81"/>
      <c r="I50" s="79"/>
      <c r="J50" s="50"/>
      <c r="K50" s="81"/>
      <c r="L50" s="81"/>
      <c r="M50" s="374"/>
    </row>
    <row r="51" spans="1:13" s="369" customFormat="1" ht="12" x14ac:dyDescent="0.2">
      <c r="A51" s="81" t="s">
        <v>58</v>
      </c>
      <c r="B51" s="81"/>
      <c r="C51" s="145">
        <v>93</v>
      </c>
      <c r="D51" s="81" t="s">
        <v>44</v>
      </c>
      <c r="E51" s="145">
        <v>37</v>
      </c>
      <c r="F51" s="81"/>
      <c r="G51" s="81">
        <v>7</v>
      </c>
      <c r="H51" s="81"/>
      <c r="I51" s="171"/>
      <c r="J51" s="50"/>
      <c r="K51" s="81"/>
      <c r="L51" s="81"/>
      <c r="M51" s="374"/>
    </row>
    <row r="52" spans="1:13" s="369" customFormat="1" ht="12" x14ac:dyDescent="0.2">
      <c r="A52" s="81" t="s">
        <v>59</v>
      </c>
      <c r="B52" s="38"/>
      <c r="C52" s="376">
        <v>83</v>
      </c>
      <c r="D52" s="81" t="s">
        <v>44</v>
      </c>
      <c r="E52" s="35">
        <v>26</v>
      </c>
      <c r="F52" s="81"/>
      <c r="G52" s="86">
        <v>7</v>
      </c>
      <c r="H52" s="81"/>
      <c r="I52" s="171"/>
      <c r="J52" s="50"/>
      <c r="K52" s="81"/>
      <c r="L52" s="81"/>
      <c r="M52" s="374"/>
    </row>
    <row r="53" spans="1:13" s="369" customFormat="1" ht="12" x14ac:dyDescent="0.2">
      <c r="A53" s="81"/>
      <c r="B53" s="38"/>
      <c r="C53" s="35"/>
      <c r="D53" s="81"/>
      <c r="E53" s="86"/>
      <c r="F53" s="81"/>
      <c r="G53" s="86"/>
      <c r="H53" s="81"/>
      <c r="I53" s="147"/>
      <c r="J53" s="50"/>
      <c r="K53" s="81"/>
      <c r="L53" s="81"/>
      <c r="M53" s="110"/>
    </row>
    <row r="54" spans="1:13" s="369" customFormat="1" ht="12" x14ac:dyDescent="0.2">
      <c r="A54" s="81" t="s">
        <v>61</v>
      </c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110"/>
    </row>
    <row r="55" spans="1:13" s="369" customFormat="1" ht="12" x14ac:dyDescent="0.2">
      <c r="A55" s="148"/>
      <c r="B55" s="148"/>
      <c r="C55" s="80"/>
      <c r="D55" s="80"/>
      <c r="E55" s="80"/>
      <c r="F55" s="80"/>
      <c r="G55" s="80"/>
      <c r="H55" s="80"/>
      <c r="I55" s="80" t="s">
        <v>63</v>
      </c>
      <c r="J55" s="80"/>
      <c r="K55" s="81"/>
      <c r="L55" s="81"/>
      <c r="M55" s="110"/>
    </row>
    <row r="56" spans="1:13" s="369" customFormat="1" ht="12" x14ac:dyDescent="0.2">
      <c r="A56" s="81" t="s">
        <v>64</v>
      </c>
      <c r="B56" s="81"/>
      <c r="C56" s="81"/>
      <c r="D56" s="81"/>
      <c r="E56" s="81"/>
      <c r="F56" s="81"/>
      <c r="G56" s="81">
        <v>1298</v>
      </c>
      <c r="H56" s="81"/>
      <c r="I56" s="81">
        <f>+G56*2.471</f>
        <v>3207.3580000000002</v>
      </c>
      <c r="J56" s="81"/>
      <c r="K56" s="81"/>
      <c r="L56" s="81"/>
      <c r="M56" s="110"/>
    </row>
    <row r="57" spans="1:13" s="369" customFormat="1" ht="12" x14ac:dyDescent="0.2">
      <c r="A57" s="81" t="s">
        <v>65</v>
      </c>
      <c r="B57" s="81"/>
      <c r="C57" s="81"/>
      <c r="D57" s="81"/>
      <c r="E57" s="81"/>
      <c r="F57" s="81"/>
      <c r="G57" s="81">
        <v>40</v>
      </c>
      <c r="H57" s="81"/>
      <c r="I57" s="81"/>
      <c r="J57" s="81"/>
      <c r="K57" s="81"/>
      <c r="L57" s="81"/>
      <c r="M57" s="110"/>
    </row>
    <row r="58" spans="1:13" s="369" customFormat="1" ht="12" x14ac:dyDescent="0.2">
      <c r="A58" s="81" t="s">
        <v>66</v>
      </c>
      <c r="B58" s="81"/>
      <c r="C58" s="81"/>
      <c r="D58" s="81"/>
      <c r="E58" s="81"/>
      <c r="F58" s="81"/>
      <c r="G58" s="81">
        <f>+G56*G57</f>
        <v>51920</v>
      </c>
      <c r="H58" s="81"/>
      <c r="I58" s="81">
        <f>+G58*2.471</f>
        <v>128294.32</v>
      </c>
      <c r="J58" s="81"/>
      <c r="K58" s="81"/>
      <c r="L58" s="81"/>
      <c r="M58" s="110"/>
    </row>
    <row r="59" spans="1:13" s="369" customFormat="1" ht="12" x14ac:dyDescent="0.2">
      <c r="A59" s="81" t="s">
        <v>67</v>
      </c>
      <c r="B59" s="81"/>
      <c r="C59" s="81"/>
      <c r="D59" s="81"/>
      <c r="E59" s="81"/>
      <c r="F59" s="81"/>
      <c r="G59" s="292">
        <f>+G58-K27</f>
        <v>5561</v>
      </c>
      <c r="H59" s="81"/>
      <c r="I59" s="292">
        <f>+G59*2.471</f>
        <v>13741.231</v>
      </c>
      <c r="J59" s="81"/>
      <c r="K59" s="81"/>
      <c r="L59" s="81"/>
      <c r="M59" s="81"/>
    </row>
    <row r="60" spans="1:13" s="369" customFormat="1" ht="12" x14ac:dyDescent="0.2">
      <c r="A60" s="81" t="s">
        <v>68</v>
      </c>
      <c r="B60" s="81"/>
      <c r="C60" s="81"/>
      <c r="D60" s="81"/>
      <c r="E60" s="81"/>
      <c r="F60" s="81"/>
      <c r="G60" s="377">
        <f>+G58-K28</f>
        <v>26133</v>
      </c>
      <c r="H60" s="81"/>
      <c r="I60" s="81">
        <f>+G60*2.471</f>
        <v>64574.643000000004</v>
      </c>
      <c r="J60" s="81"/>
      <c r="K60" s="81"/>
      <c r="L60" s="81"/>
      <c r="M60" s="81"/>
    </row>
    <row r="61" spans="1:13" s="369" customFormat="1" ht="12" x14ac:dyDescent="0.2">
      <c r="A61" s="81" t="s">
        <v>69</v>
      </c>
      <c r="B61" s="81"/>
      <c r="C61" s="81"/>
      <c r="D61" s="81"/>
      <c r="E61" s="81"/>
      <c r="F61" s="81"/>
      <c r="G61" s="81">
        <f>+K27/G56</f>
        <v>35.715716486902927</v>
      </c>
      <c r="H61" s="81"/>
      <c r="I61" s="81"/>
      <c r="J61" s="81"/>
      <c r="K61" s="81"/>
      <c r="L61" s="81"/>
      <c r="M61" s="81"/>
    </row>
    <row r="62" spans="1:13" s="369" customFormat="1" ht="12" x14ac:dyDescent="0.2">
      <c r="A62" s="80" t="s">
        <v>70</v>
      </c>
      <c r="B62" s="80"/>
      <c r="C62" s="80"/>
      <c r="D62" s="80"/>
      <c r="E62" s="80"/>
      <c r="F62" s="80"/>
      <c r="G62" s="80">
        <f>+K28/G56</f>
        <v>19.866718027734976</v>
      </c>
      <c r="H62" s="80"/>
      <c r="I62" s="80"/>
      <c r="J62" s="80"/>
      <c r="K62" s="81"/>
      <c r="L62" s="81"/>
      <c r="M62" s="81"/>
    </row>
    <row r="63" spans="1:13" s="369" customFormat="1" ht="12" x14ac:dyDescent="0.2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AM53"/>
  <sheetViews>
    <sheetView workbookViewId="0">
      <selection activeCell="A8" sqref="A8:XFD11"/>
    </sheetView>
  </sheetViews>
  <sheetFormatPr defaultRowHeight="15" x14ac:dyDescent="0.25"/>
  <cols>
    <col min="1" max="16384" width="9.140625" style="283"/>
  </cols>
  <sheetData>
    <row r="1" spans="1:39" x14ac:dyDescent="0.25">
      <c r="A1" s="401" t="s">
        <v>152</v>
      </c>
      <c r="B1" s="401"/>
    </row>
    <row r="2" spans="1:39" x14ac:dyDescent="0.25">
      <c r="A2" s="401" t="s">
        <v>160</v>
      </c>
      <c r="B2" s="401"/>
    </row>
    <row r="3" spans="1:39" x14ac:dyDescent="0.25">
      <c r="A3" s="282" t="s">
        <v>171</v>
      </c>
      <c r="B3" s="401"/>
    </row>
    <row r="4" spans="1:39" x14ac:dyDescent="0.25">
      <c r="A4" s="282"/>
      <c r="B4" s="282"/>
    </row>
    <row r="5" spans="1:39" s="402" customFormat="1" ht="15" customHeight="1" x14ac:dyDescent="0.2">
      <c r="A5" s="292" t="s">
        <v>161</v>
      </c>
      <c r="B5" s="292" t="s">
        <v>162</v>
      </c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X5" s="403"/>
      <c r="Y5" s="403"/>
      <c r="Z5" s="403"/>
      <c r="AA5" s="403"/>
      <c r="AB5" s="403"/>
      <c r="AC5" s="403"/>
      <c r="AD5" s="403"/>
      <c r="AE5" s="403"/>
      <c r="AF5" s="403"/>
      <c r="AG5" s="403"/>
      <c r="AH5" s="403"/>
      <c r="AI5" s="403"/>
      <c r="AJ5" s="403"/>
      <c r="AK5" s="403"/>
      <c r="AL5" s="403"/>
      <c r="AM5" s="403"/>
    </row>
    <row r="6" spans="1:39" s="402" customFormat="1" ht="15" customHeight="1" x14ac:dyDescent="0.2">
      <c r="A6" s="292"/>
      <c r="B6" s="292" t="s">
        <v>163</v>
      </c>
      <c r="C6" s="292"/>
      <c r="D6" s="292"/>
      <c r="E6" s="292"/>
      <c r="F6" s="292"/>
      <c r="G6" s="292"/>
      <c r="H6" s="292"/>
      <c r="I6" s="292"/>
      <c r="J6" s="292"/>
      <c r="K6" s="292"/>
      <c r="L6" s="292"/>
      <c r="M6" s="292"/>
      <c r="X6" s="403"/>
      <c r="Y6" s="403"/>
      <c r="Z6" s="403"/>
      <c r="AA6" s="403"/>
      <c r="AB6" s="403"/>
      <c r="AC6" s="403"/>
      <c r="AD6" s="403"/>
      <c r="AE6" s="403"/>
      <c r="AF6" s="403"/>
      <c r="AG6" s="403"/>
      <c r="AH6" s="403"/>
      <c r="AI6" s="403"/>
      <c r="AJ6" s="403"/>
      <c r="AK6" s="403"/>
      <c r="AL6" s="403"/>
      <c r="AM6" s="403"/>
    </row>
    <row r="7" spans="1:39" s="402" customFormat="1" ht="12" x14ac:dyDescent="0.2">
      <c r="A7" s="298"/>
      <c r="B7" s="298"/>
      <c r="C7" s="298"/>
      <c r="D7" s="298"/>
      <c r="E7" s="298"/>
      <c r="F7" s="298"/>
      <c r="G7" s="298"/>
      <c r="H7" s="298"/>
      <c r="I7" s="298"/>
      <c r="J7" s="298"/>
      <c r="K7" s="298"/>
      <c r="L7" s="292"/>
      <c r="M7" s="292"/>
      <c r="X7" s="403"/>
      <c r="Y7" s="403"/>
      <c r="Z7" s="403"/>
      <c r="AA7" s="403"/>
      <c r="AB7" s="403"/>
      <c r="AC7" s="403"/>
      <c r="AD7" s="403"/>
      <c r="AE7" s="403"/>
      <c r="AF7" s="403"/>
      <c r="AG7" s="403"/>
      <c r="AH7" s="403"/>
      <c r="AI7" s="403"/>
      <c r="AJ7" s="403"/>
      <c r="AK7" s="403"/>
      <c r="AL7" s="403"/>
      <c r="AM7" s="403"/>
    </row>
    <row r="8" spans="1:39" s="59" customFormat="1" ht="12" x14ac:dyDescent="0.2">
      <c r="A8" s="56" t="s">
        <v>0</v>
      </c>
      <c r="B8" s="56"/>
      <c r="C8" s="56"/>
      <c r="D8" s="57" t="s">
        <v>1</v>
      </c>
      <c r="E8" s="57" t="s">
        <v>2</v>
      </c>
      <c r="F8" s="57" t="s">
        <v>74</v>
      </c>
      <c r="G8" s="57" t="s">
        <v>75</v>
      </c>
      <c r="H8" s="57" t="s">
        <v>5</v>
      </c>
      <c r="I8" s="57" t="s">
        <v>6</v>
      </c>
      <c r="J8" s="57" t="s">
        <v>7</v>
      </c>
      <c r="K8" s="57" t="s">
        <v>8</v>
      </c>
      <c r="L8" s="58" t="s">
        <v>76</v>
      </c>
      <c r="M8" s="57"/>
    </row>
    <row r="9" spans="1:39" s="59" customFormat="1" ht="12" x14ac:dyDescent="0.2">
      <c r="A9" s="60"/>
      <c r="B9" s="60"/>
      <c r="C9" s="60"/>
      <c r="D9" s="61" t="s">
        <v>11</v>
      </c>
      <c r="E9" s="61" t="s">
        <v>77</v>
      </c>
      <c r="F9" s="61" t="s">
        <v>77</v>
      </c>
      <c r="G9" s="61" t="s">
        <v>78</v>
      </c>
      <c r="H9" s="61" t="s">
        <v>15</v>
      </c>
      <c r="I9" s="61" t="s">
        <v>79</v>
      </c>
      <c r="J9" s="61" t="s">
        <v>15</v>
      </c>
      <c r="K9" s="61" t="s">
        <v>15</v>
      </c>
      <c r="L9" s="61" t="s">
        <v>6</v>
      </c>
      <c r="M9" s="61" t="s">
        <v>7</v>
      </c>
    </row>
    <row r="10" spans="1:39" s="59" customFormat="1" ht="12" x14ac:dyDescent="0.2">
      <c r="A10" s="60"/>
      <c r="B10" s="60"/>
      <c r="C10" s="60"/>
      <c r="D10" s="61" t="s">
        <v>19</v>
      </c>
      <c r="E10" s="61"/>
      <c r="F10" s="61"/>
      <c r="G10" s="61"/>
      <c r="H10" s="61" t="s">
        <v>20</v>
      </c>
      <c r="I10" s="61" t="s">
        <v>15</v>
      </c>
      <c r="J10" s="61" t="s">
        <v>20</v>
      </c>
      <c r="K10" s="61" t="s">
        <v>20</v>
      </c>
      <c r="L10" s="61"/>
      <c r="M10" s="61"/>
    </row>
    <row r="11" spans="1:39" s="59" customFormat="1" ht="12" x14ac:dyDescent="0.2">
      <c r="A11" s="62"/>
      <c r="B11" s="62"/>
      <c r="C11" s="62"/>
      <c r="D11" s="63"/>
      <c r="E11" s="63"/>
      <c r="F11" s="63"/>
      <c r="G11" s="63"/>
      <c r="H11" s="63"/>
      <c r="I11" s="63" t="s">
        <v>20</v>
      </c>
      <c r="J11" s="63"/>
      <c r="K11" s="63"/>
      <c r="L11" s="63"/>
      <c r="M11" s="63"/>
    </row>
    <row r="12" spans="1:39" s="318" customFormat="1" ht="12" x14ac:dyDescent="0.2">
      <c r="A12" s="315" t="s">
        <v>110</v>
      </c>
      <c r="B12" s="315"/>
      <c r="C12" s="315"/>
      <c r="D12" s="405">
        <v>48</v>
      </c>
      <c r="E12" s="406">
        <v>0.57999999999999996</v>
      </c>
      <c r="F12" s="405">
        <v>0.25</v>
      </c>
      <c r="G12" s="407">
        <v>1100</v>
      </c>
      <c r="H12" s="258">
        <v>638</v>
      </c>
      <c r="I12" s="407"/>
      <c r="J12" s="407">
        <v>1100</v>
      </c>
      <c r="K12" s="407">
        <v>1738</v>
      </c>
      <c r="L12" s="407"/>
      <c r="M12" s="407"/>
    </row>
    <row r="13" spans="1:39" s="318" customFormat="1" ht="12" x14ac:dyDescent="0.2">
      <c r="A13" s="318" t="s">
        <v>22</v>
      </c>
      <c r="D13" s="391">
        <v>70</v>
      </c>
      <c r="E13" s="408">
        <v>0.72</v>
      </c>
      <c r="F13" s="309">
        <v>0.72</v>
      </c>
      <c r="G13" s="313">
        <v>1100</v>
      </c>
      <c r="H13" s="258">
        <v>792</v>
      </c>
      <c r="I13" s="258"/>
      <c r="J13" s="258"/>
      <c r="K13" s="407">
        <v>792</v>
      </c>
      <c r="L13" s="258"/>
      <c r="M13" s="258"/>
    </row>
    <row r="14" spans="1:39" s="318" customFormat="1" ht="12" x14ac:dyDescent="0.2">
      <c r="A14" s="318" t="s">
        <v>289</v>
      </c>
      <c r="D14" s="409">
        <v>78</v>
      </c>
      <c r="E14" s="309">
        <v>0.7</v>
      </c>
      <c r="F14" s="309">
        <v>0.7</v>
      </c>
      <c r="G14" s="313">
        <v>1100</v>
      </c>
      <c r="H14" s="258">
        <v>770</v>
      </c>
      <c r="I14" s="258">
        <v>7370</v>
      </c>
      <c r="J14" s="258"/>
      <c r="K14" s="407">
        <v>8140</v>
      </c>
      <c r="L14" s="258">
        <v>1288</v>
      </c>
      <c r="M14" s="258"/>
    </row>
    <row r="15" spans="1:39" s="318" customFormat="1" ht="12" x14ac:dyDescent="0.2">
      <c r="A15" s="318" t="s">
        <v>290</v>
      </c>
      <c r="D15" s="410">
        <v>-16</v>
      </c>
      <c r="E15" s="309"/>
      <c r="F15" s="309"/>
      <c r="G15" s="313"/>
      <c r="H15" s="258" t="s">
        <v>291</v>
      </c>
      <c r="I15" s="258"/>
      <c r="J15" s="258"/>
      <c r="K15" s="407"/>
      <c r="L15" s="258"/>
      <c r="M15" s="258"/>
    </row>
    <row r="16" spans="1:39" s="318" customFormat="1" ht="12" x14ac:dyDescent="0.2">
      <c r="A16" s="318" t="s">
        <v>292</v>
      </c>
      <c r="D16" s="411">
        <v>-6</v>
      </c>
      <c r="E16" s="309"/>
      <c r="F16" s="309"/>
      <c r="G16" s="313"/>
      <c r="H16" s="258"/>
      <c r="I16" s="258" t="s">
        <v>293</v>
      </c>
      <c r="J16" s="258"/>
      <c r="K16" s="407"/>
      <c r="L16" s="258"/>
      <c r="M16" s="258"/>
    </row>
    <row r="17" spans="1:14" s="318" customFormat="1" ht="12" x14ac:dyDescent="0.2">
      <c r="A17" s="318" t="s">
        <v>25</v>
      </c>
      <c r="D17" s="391">
        <v>100</v>
      </c>
      <c r="E17" s="309">
        <v>4.8</v>
      </c>
      <c r="F17" s="309">
        <v>2.35</v>
      </c>
      <c r="G17" s="313">
        <v>1070</v>
      </c>
      <c r="H17" s="258">
        <v>5136</v>
      </c>
      <c r="I17" s="258"/>
      <c r="J17" s="258"/>
      <c r="K17" s="407">
        <v>5136</v>
      </c>
      <c r="L17" s="258"/>
      <c r="M17" s="258"/>
    </row>
    <row r="18" spans="1:14" s="318" customFormat="1" ht="12" x14ac:dyDescent="0.2">
      <c r="A18" s="318" t="s">
        <v>294</v>
      </c>
      <c r="D18" s="391">
        <v>100</v>
      </c>
      <c r="E18" s="408">
        <v>3.5</v>
      </c>
      <c r="F18" s="408">
        <v>1.81</v>
      </c>
      <c r="G18" s="313">
        <v>1045</v>
      </c>
      <c r="H18" s="258">
        <v>3658</v>
      </c>
      <c r="I18" s="258"/>
      <c r="J18" s="258">
        <v>3182</v>
      </c>
      <c r="K18" s="407">
        <v>6840</v>
      </c>
      <c r="L18" s="258"/>
      <c r="M18" s="258">
        <v>602</v>
      </c>
    </row>
    <row r="19" spans="1:14" s="318" customFormat="1" ht="12" x14ac:dyDescent="0.2">
      <c r="A19" s="318" t="s">
        <v>27</v>
      </c>
      <c r="D19" s="391">
        <v>100</v>
      </c>
      <c r="E19" s="408">
        <v>0.91</v>
      </c>
      <c r="F19" s="309">
        <v>0.91</v>
      </c>
      <c r="G19" s="313">
        <v>1045</v>
      </c>
      <c r="H19" s="258">
        <v>951</v>
      </c>
      <c r="I19" s="258"/>
      <c r="J19" s="258">
        <v>686</v>
      </c>
      <c r="K19" s="407">
        <v>1637</v>
      </c>
      <c r="L19" s="258"/>
      <c r="M19" s="258"/>
    </row>
    <row r="20" spans="1:14" s="318" customFormat="1" ht="12" x14ac:dyDescent="0.2">
      <c r="A20" s="318" t="s">
        <v>80</v>
      </c>
      <c r="D20" s="409">
        <v>84</v>
      </c>
      <c r="E20" s="309">
        <v>0.54</v>
      </c>
      <c r="F20" s="309">
        <v>0.44</v>
      </c>
      <c r="G20" s="412">
        <v>1070</v>
      </c>
      <c r="H20" s="258">
        <f>SUM(E20*G20)</f>
        <v>577.80000000000007</v>
      </c>
      <c r="I20" s="258"/>
      <c r="J20" s="258">
        <v>1547</v>
      </c>
      <c r="K20" s="407">
        <v>2125</v>
      </c>
      <c r="L20" s="258"/>
      <c r="M20" s="258"/>
    </row>
    <row r="21" spans="1:14" s="318" customFormat="1" ht="12" x14ac:dyDescent="0.2">
      <c r="A21" s="318" t="s">
        <v>295</v>
      </c>
      <c r="D21" s="413" t="s">
        <v>296</v>
      </c>
      <c r="E21" s="309">
        <v>8.2899999999999991</v>
      </c>
      <c r="F21" s="309">
        <v>2.38</v>
      </c>
      <c r="G21" s="313">
        <v>1120</v>
      </c>
      <c r="H21" s="258">
        <v>9285</v>
      </c>
      <c r="I21" s="414"/>
      <c r="J21" s="258"/>
      <c r="K21" s="407">
        <v>9285</v>
      </c>
      <c r="L21" s="258"/>
      <c r="M21" s="258"/>
    </row>
    <row r="22" spans="1:14" s="318" customFormat="1" ht="12" x14ac:dyDescent="0.2">
      <c r="A22" s="318" t="s">
        <v>297</v>
      </c>
      <c r="D22" s="413" t="s">
        <v>111</v>
      </c>
      <c r="E22" s="413"/>
      <c r="F22" s="413"/>
      <c r="G22" s="313"/>
      <c r="H22" s="415"/>
      <c r="I22" s="414" t="s">
        <v>298</v>
      </c>
      <c r="J22" s="415"/>
      <c r="K22" s="407"/>
      <c r="L22" s="258"/>
      <c r="M22" s="258"/>
    </row>
    <row r="23" spans="1:14" s="318" customFormat="1" ht="12" x14ac:dyDescent="0.2">
      <c r="A23" s="318" t="s">
        <v>299</v>
      </c>
      <c r="D23" s="413" t="s">
        <v>296</v>
      </c>
      <c r="E23" s="416" t="s">
        <v>300</v>
      </c>
      <c r="F23" s="413" t="s">
        <v>301</v>
      </c>
      <c r="G23" s="415" t="s">
        <v>302</v>
      </c>
      <c r="H23" s="415">
        <v>1985</v>
      </c>
      <c r="I23" s="415">
        <v>2342</v>
      </c>
      <c r="J23" s="415"/>
      <c r="K23" s="407">
        <v>4327</v>
      </c>
      <c r="L23" s="258"/>
      <c r="M23" s="258"/>
    </row>
    <row r="24" spans="1:14" s="318" customFormat="1" ht="12" x14ac:dyDescent="0.2">
      <c r="A24" s="318" t="s">
        <v>303</v>
      </c>
      <c r="D24" s="417">
        <v>70</v>
      </c>
      <c r="E24" s="408">
        <f>H24/G24</f>
        <v>1.3880742913000979</v>
      </c>
      <c r="F24" s="309">
        <v>1.39</v>
      </c>
      <c r="G24" s="313">
        <v>1023</v>
      </c>
      <c r="H24" s="258">
        <v>1420</v>
      </c>
      <c r="I24" s="418">
        <v>920</v>
      </c>
      <c r="J24" s="419"/>
      <c r="K24" s="407">
        <v>2340</v>
      </c>
      <c r="L24" s="419"/>
      <c r="M24" s="419"/>
    </row>
    <row r="25" spans="1:14" s="318" customFormat="1" ht="12" x14ac:dyDescent="0.2">
      <c r="A25" s="318" t="s">
        <v>84</v>
      </c>
      <c r="D25" s="409">
        <v>84</v>
      </c>
      <c r="E25" s="309">
        <v>0.51</v>
      </c>
      <c r="F25" s="309">
        <v>0.21</v>
      </c>
      <c r="G25" s="313">
        <v>600</v>
      </c>
      <c r="H25" s="258">
        <v>306</v>
      </c>
      <c r="I25" s="258">
        <v>706</v>
      </c>
      <c r="J25" s="419"/>
      <c r="K25" s="407">
        <v>1012</v>
      </c>
      <c r="L25" s="258">
        <v>200</v>
      </c>
      <c r="M25" s="419"/>
    </row>
    <row r="26" spans="1:14" s="318" customFormat="1" ht="12" x14ac:dyDescent="0.2">
      <c r="A26" s="404" t="s">
        <v>33</v>
      </c>
      <c r="B26" s="404"/>
      <c r="C26" s="404"/>
      <c r="D26" s="285"/>
      <c r="E26" s="420">
        <f>SUM(E12:E25)</f>
        <v>21.938074291300097</v>
      </c>
      <c r="F26" s="420">
        <f>F12+F13+F14+F17+F18+F19+F20+F21+F23+F24+F25</f>
        <v>12.790000000000003</v>
      </c>
      <c r="G26" s="421"/>
      <c r="H26" s="421">
        <v>25519</v>
      </c>
      <c r="I26" s="421">
        <v>11338</v>
      </c>
      <c r="J26" s="421">
        <v>6515</v>
      </c>
      <c r="K26" s="421">
        <v>43372</v>
      </c>
      <c r="L26" s="421">
        <v>1488</v>
      </c>
      <c r="M26" s="421">
        <v>602</v>
      </c>
    </row>
    <row r="27" spans="1:14" s="318" customFormat="1" ht="12" x14ac:dyDescent="0.2">
      <c r="A27" s="321" t="s">
        <v>34</v>
      </c>
      <c r="B27" s="321"/>
      <c r="C27" s="321"/>
      <c r="D27" s="291"/>
      <c r="E27" s="422">
        <f>(E26-F26)</f>
        <v>9.1480742913000945</v>
      </c>
      <c r="F27" s="422"/>
      <c r="G27" s="423"/>
      <c r="H27" s="423">
        <v>10641</v>
      </c>
      <c r="I27" s="423">
        <v>9850</v>
      </c>
      <c r="J27" s="423">
        <v>5913</v>
      </c>
      <c r="K27" s="423">
        <v>26404</v>
      </c>
      <c r="L27" s="423"/>
      <c r="M27" s="423"/>
    </row>
    <row r="28" spans="1:14" s="318" customFormat="1" ht="12" x14ac:dyDescent="0.2">
      <c r="H28" s="258"/>
    </row>
    <row r="29" spans="1:14" s="318" customFormat="1" ht="12" x14ac:dyDescent="0.2">
      <c r="C29" s="465" t="s">
        <v>35</v>
      </c>
      <c r="D29" s="465"/>
      <c r="E29" s="465"/>
    </row>
    <row r="30" spans="1:14" s="318" customFormat="1" ht="12" x14ac:dyDescent="0.2"/>
    <row r="31" spans="1:14" s="318" customFormat="1" ht="12" x14ac:dyDescent="0.2">
      <c r="A31" s="318" t="s">
        <v>36</v>
      </c>
      <c r="I31" s="318" t="s">
        <v>115</v>
      </c>
      <c r="N31" s="258"/>
    </row>
    <row r="32" spans="1:14" s="318" customFormat="1" ht="12" x14ac:dyDescent="0.2">
      <c r="A32" s="424" t="s">
        <v>17</v>
      </c>
      <c r="B32" s="424"/>
      <c r="C32" s="424"/>
      <c r="D32" s="424" t="s">
        <v>37</v>
      </c>
      <c r="E32" s="424" t="s">
        <v>85</v>
      </c>
      <c r="F32" s="424"/>
      <c r="G32" s="424" t="s">
        <v>39</v>
      </c>
      <c r="I32" s="368" t="s">
        <v>86</v>
      </c>
      <c r="J32" s="425" t="s">
        <v>138</v>
      </c>
      <c r="L32" s="258">
        <f>+K25+K24+K23+K21+K20+K19+K18+K17+K14+K13+K12</f>
        <v>43372</v>
      </c>
      <c r="M32" s="309"/>
    </row>
    <row r="33" spans="1:12" s="318" customFormat="1" ht="12" x14ac:dyDescent="0.2">
      <c r="I33" s="368" t="s">
        <v>304</v>
      </c>
      <c r="J33" s="426">
        <v>0.4083484573502722</v>
      </c>
      <c r="L33" s="258">
        <f>+J20+J19+J18+J12</f>
        <v>6515</v>
      </c>
    </row>
    <row r="34" spans="1:12" s="318" customFormat="1" ht="12" x14ac:dyDescent="0.2">
      <c r="A34" s="318" t="s">
        <v>41</v>
      </c>
      <c r="D34" s="318" t="s">
        <v>44</v>
      </c>
      <c r="E34" s="318">
        <v>41.46</v>
      </c>
      <c r="G34" s="318">
        <v>77.61</v>
      </c>
      <c r="I34" s="368" t="s">
        <v>158</v>
      </c>
      <c r="J34" s="426">
        <v>0.18148820326678763</v>
      </c>
      <c r="L34" s="258">
        <f>+I25+I24+I23+I14</f>
        <v>11338</v>
      </c>
    </row>
    <row r="35" spans="1:12" s="318" customFormat="1" ht="12" x14ac:dyDescent="0.2">
      <c r="A35" s="318" t="s">
        <v>46</v>
      </c>
      <c r="I35" s="368" t="s">
        <v>305</v>
      </c>
      <c r="J35" s="426">
        <v>9.0744101633393817E-2</v>
      </c>
      <c r="L35" s="258">
        <f>+H25+H24+H23+H21+H20+H19+H17+H14+H13+H12</f>
        <v>21860.799999999999</v>
      </c>
    </row>
    <row r="36" spans="1:12" s="318" customFormat="1" ht="12" x14ac:dyDescent="0.2">
      <c r="A36" s="318" t="s">
        <v>48</v>
      </c>
      <c r="D36" s="318" t="s">
        <v>49</v>
      </c>
      <c r="E36" s="258">
        <f>SUM(E26-F26)</f>
        <v>9.1480742913000945</v>
      </c>
      <c r="F36" s="258"/>
      <c r="G36" s="258">
        <f>SUM(H26/E38)</f>
        <v>1163.2288076497205</v>
      </c>
      <c r="I36" s="368" t="s">
        <v>216</v>
      </c>
      <c r="J36" s="426">
        <v>3.7810042347247427E-2</v>
      </c>
    </row>
    <row r="37" spans="1:12" s="318" customFormat="1" ht="12" x14ac:dyDescent="0.2">
      <c r="A37" s="318" t="s">
        <v>51</v>
      </c>
      <c r="D37" s="318" t="s">
        <v>49</v>
      </c>
      <c r="E37" s="258">
        <f>SUM(F26)</f>
        <v>12.790000000000003</v>
      </c>
      <c r="F37" s="258"/>
      <c r="G37" s="258"/>
      <c r="I37" s="368" t="s">
        <v>91</v>
      </c>
      <c r="J37" s="426">
        <v>3.7810042347247427E-2</v>
      </c>
    </row>
    <row r="38" spans="1:12" s="318" customFormat="1" ht="12" x14ac:dyDescent="0.2">
      <c r="A38" s="318" t="s">
        <v>2</v>
      </c>
      <c r="E38" s="258">
        <f>SUM(E36:E37)</f>
        <v>21.938074291300097</v>
      </c>
      <c r="F38" s="258"/>
      <c r="G38" s="258"/>
      <c r="I38" s="368" t="s">
        <v>92</v>
      </c>
      <c r="J38" s="426">
        <v>0.24379915305505143</v>
      </c>
    </row>
    <row r="39" spans="1:12" s="318" customFormat="1" ht="12" x14ac:dyDescent="0.2">
      <c r="I39" s="315"/>
      <c r="J39" s="426"/>
    </row>
    <row r="40" spans="1:12" s="318" customFormat="1" ht="24" x14ac:dyDescent="0.2">
      <c r="A40" s="427" t="s">
        <v>53</v>
      </c>
      <c r="B40" s="404"/>
      <c r="C40" s="428" t="s">
        <v>306</v>
      </c>
      <c r="D40" s="404"/>
      <c r="E40" s="404"/>
      <c r="F40" s="404"/>
      <c r="G40" s="404"/>
    </row>
    <row r="41" spans="1:12" s="318" customFormat="1" ht="12" x14ac:dyDescent="0.2">
      <c r="A41" s="315" t="s">
        <v>94</v>
      </c>
      <c r="B41" s="315" t="s">
        <v>57</v>
      </c>
      <c r="C41" s="429">
        <v>1</v>
      </c>
      <c r="D41" s="315" t="s">
        <v>44</v>
      </c>
      <c r="E41" s="258">
        <v>20.36</v>
      </c>
      <c r="F41" s="367"/>
      <c r="G41" s="368">
        <v>7</v>
      </c>
    </row>
    <row r="42" spans="1:12" s="318" customFormat="1" ht="12" x14ac:dyDescent="0.2">
      <c r="A42" s="315" t="s">
        <v>60</v>
      </c>
      <c r="B42" s="315" t="s">
        <v>58</v>
      </c>
      <c r="C42" s="430" t="s">
        <v>307</v>
      </c>
      <c r="D42" s="315" t="s">
        <v>44</v>
      </c>
      <c r="E42" s="258">
        <v>37.659999999999997</v>
      </c>
      <c r="F42" s="367"/>
      <c r="G42" s="368">
        <v>7</v>
      </c>
    </row>
    <row r="43" spans="1:12" s="318" customFormat="1" ht="12" x14ac:dyDescent="0.2">
      <c r="A43" s="315"/>
      <c r="B43" s="315" t="s">
        <v>142</v>
      </c>
      <c r="C43" s="430" t="s">
        <v>307</v>
      </c>
      <c r="D43" s="315" t="s">
        <v>44</v>
      </c>
      <c r="E43" s="258">
        <v>40.44</v>
      </c>
      <c r="F43" s="367"/>
      <c r="G43" s="368">
        <v>7</v>
      </c>
      <c r="J43" s="315"/>
    </row>
    <row r="44" spans="1:12" s="318" customFormat="1" ht="12" x14ac:dyDescent="0.2">
      <c r="A44" s="404" t="s">
        <v>61</v>
      </c>
      <c r="B44" s="404"/>
      <c r="C44" s="404"/>
      <c r="D44" s="404"/>
      <c r="E44" s="404"/>
      <c r="F44" s="404"/>
      <c r="G44" s="431" t="s">
        <v>62</v>
      </c>
      <c r="H44" s="432"/>
      <c r="I44" s="432" t="s">
        <v>108</v>
      </c>
    </row>
    <row r="45" spans="1:12" s="318" customFormat="1" ht="12" x14ac:dyDescent="0.2">
      <c r="A45" s="315" t="s">
        <v>98</v>
      </c>
      <c r="B45" s="315"/>
      <c r="C45" s="315"/>
      <c r="D45" s="315"/>
      <c r="E45" s="315"/>
      <c r="F45" s="315"/>
      <c r="G45" s="289">
        <v>1182.25</v>
      </c>
      <c r="H45" s="433"/>
      <c r="I45" s="433">
        <f>G45*2.47</f>
        <v>2920.1575000000003</v>
      </c>
    </row>
    <row r="46" spans="1:12" s="318" customFormat="1" ht="12" x14ac:dyDescent="0.2">
      <c r="A46" s="315" t="s">
        <v>99</v>
      </c>
      <c r="B46" s="315"/>
      <c r="C46" s="315"/>
      <c r="D46" s="315"/>
      <c r="E46" s="315"/>
      <c r="F46" s="315"/>
      <c r="G46" s="257">
        <v>31.33</v>
      </c>
      <c r="H46" s="433"/>
      <c r="I46" s="433"/>
    </row>
    <row r="47" spans="1:12" s="318" customFormat="1" ht="12" x14ac:dyDescent="0.2">
      <c r="A47" s="315" t="s">
        <v>66</v>
      </c>
      <c r="B47" s="315"/>
      <c r="C47" s="315"/>
      <c r="D47" s="315"/>
      <c r="E47" s="315"/>
      <c r="F47" s="315"/>
      <c r="G47" s="257">
        <f>SUM(G45*G46)</f>
        <v>37039.892499999994</v>
      </c>
      <c r="H47" s="433"/>
      <c r="I47" s="433">
        <f>G47*2.47</f>
        <v>91488.534474999993</v>
      </c>
    </row>
    <row r="48" spans="1:12" s="318" customFormat="1" ht="12" x14ac:dyDescent="0.2">
      <c r="A48" s="315" t="s">
        <v>67</v>
      </c>
      <c r="B48" s="315"/>
      <c r="C48" s="315"/>
      <c r="D48" s="315"/>
      <c r="E48" s="315"/>
      <c r="F48" s="315"/>
      <c r="G48" s="257">
        <f>SUM(G47-K26)</f>
        <v>-6332.1075000000055</v>
      </c>
      <c r="H48" s="433"/>
      <c r="I48" s="433">
        <f>G48*2.47</f>
        <v>-15640.305525000014</v>
      </c>
    </row>
    <row r="49" spans="1:13" s="318" customFormat="1" ht="12" x14ac:dyDescent="0.2">
      <c r="A49" s="315" t="s">
        <v>68</v>
      </c>
      <c r="B49" s="315"/>
      <c r="C49" s="315"/>
      <c r="D49" s="315"/>
      <c r="E49" s="315"/>
      <c r="F49" s="315"/>
      <c r="G49" s="257">
        <f>SUM(G47-K27)</f>
        <v>10635.892499999994</v>
      </c>
      <c r="H49" s="433"/>
      <c r="I49" s="433">
        <f>G49*2.47</f>
        <v>26270.654474999988</v>
      </c>
    </row>
    <row r="50" spans="1:13" s="318" customFormat="1" ht="12" x14ac:dyDescent="0.2">
      <c r="A50" s="315" t="s">
        <v>69</v>
      </c>
      <c r="B50" s="315"/>
      <c r="C50" s="315"/>
      <c r="D50" s="315"/>
      <c r="E50" s="315"/>
      <c r="F50" s="315"/>
      <c r="G50" s="316">
        <f>SUM(K26/G45)</f>
        <v>36.685980122647493</v>
      </c>
    </row>
    <row r="51" spans="1:13" s="318" customFormat="1" ht="12" x14ac:dyDescent="0.2">
      <c r="A51" s="321" t="s">
        <v>70</v>
      </c>
      <c r="B51" s="321"/>
      <c r="C51" s="321"/>
      <c r="D51" s="321"/>
      <c r="E51" s="321"/>
      <c r="F51" s="321"/>
      <c r="G51" s="434">
        <f>SUM(K27/G45)</f>
        <v>22.33368576866145</v>
      </c>
    </row>
    <row r="52" spans="1:13" s="318" customFormat="1" ht="12" x14ac:dyDescent="0.2"/>
    <row r="53" spans="1:13" s="403" customFormat="1" ht="12" x14ac:dyDescent="0.2">
      <c r="A53" s="28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</row>
  </sheetData>
  <mergeCells count="1">
    <mergeCell ref="C29:E29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O55"/>
  <sheetViews>
    <sheetView tabSelected="1" topLeftCell="A10" workbookViewId="0">
      <selection activeCell="D3" sqref="D3"/>
    </sheetView>
  </sheetViews>
  <sheetFormatPr defaultRowHeight="15" x14ac:dyDescent="0.25"/>
  <sheetData>
    <row r="1" spans="1:15" x14ac:dyDescent="0.25">
      <c r="A1" s="136" t="s">
        <v>152</v>
      </c>
      <c r="B1" s="136"/>
    </row>
    <row r="2" spans="1:15" x14ac:dyDescent="0.25">
      <c r="A2" s="136" t="s">
        <v>164</v>
      </c>
      <c r="B2" s="136"/>
    </row>
    <row r="3" spans="1:15" x14ac:dyDescent="0.25">
      <c r="A3" s="30" t="s">
        <v>171</v>
      </c>
      <c r="B3" s="136"/>
    </row>
    <row r="4" spans="1:15" x14ac:dyDescent="0.25">
      <c r="A4" s="99"/>
      <c r="B4" s="30"/>
    </row>
    <row r="5" spans="1:15" s="59" customFormat="1" ht="12" x14ac:dyDescent="0.2">
      <c r="A5" s="56" t="s">
        <v>0</v>
      </c>
      <c r="B5" s="56"/>
      <c r="C5" s="56"/>
      <c r="D5" s="57" t="s">
        <v>1</v>
      </c>
      <c r="E5" s="57" t="s">
        <v>2</v>
      </c>
      <c r="F5" s="57" t="s">
        <v>74</v>
      </c>
      <c r="G5" s="57" t="s">
        <v>75</v>
      </c>
      <c r="H5" s="57" t="s">
        <v>5</v>
      </c>
      <c r="I5" s="57" t="s">
        <v>6</v>
      </c>
      <c r="J5" s="57" t="s">
        <v>7</v>
      </c>
      <c r="K5" s="57" t="s">
        <v>8</v>
      </c>
      <c r="L5" s="58" t="s">
        <v>76</v>
      </c>
      <c r="M5" s="57"/>
    </row>
    <row r="6" spans="1:15" s="59" customFormat="1" ht="12" x14ac:dyDescent="0.2">
      <c r="A6" s="60"/>
      <c r="B6" s="60"/>
      <c r="C6" s="60"/>
      <c r="D6" s="61" t="s">
        <v>11</v>
      </c>
      <c r="E6" s="61" t="s">
        <v>77</v>
      </c>
      <c r="F6" s="61" t="s">
        <v>77</v>
      </c>
      <c r="G6" s="61" t="s">
        <v>78</v>
      </c>
      <c r="H6" s="61" t="s">
        <v>15</v>
      </c>
      <c r="I6" s="61" t="s">
        <v>79</v>
      </c>
      <c r="J6" s="61" t="s">
        <v>15</v>
      </c>
      <c r="K6" s="61" t="s">
        <v>15</v>
      </c>
      <c r="L6" s="61" t="s">
        <v>6</v>
      </c>
      <c r="M6" s="61" t="s">
        <v>7</v>
      </c>
    </row>
    <row r="7" spans="1:15" s="59" customFormat="1" ht="12" x14ac:dyDescent="0.2">
      <c r="A7" s="60"/>
      <c r="B7" s="60"/>
      <c r="C7" s="60"/>
      <c r="D7" s="61" t="s">
        <v>19</v>
      </c>
      <c r="E7" s="61"/>
      <c r="F7" s="61"/>
      <c r="G7" s="61"/>
      <c r="H7" s="61" t="s">
        <v>20</v>
      </c>
      <c r="I7" s="61" t="s">
        <v>15</v>
      </c>
      <c r="J7" s="61" t="s">
        <v>20</v>
      </c>
      <c r="K7" s="61" t="s">
        <v>20</v>
      </c>
      <c r="L7" s="61"/>
      <c r="M7" s="61"/>
    </row>
    <row r="8" spans="1:15" s="59" customFormat="1" ht="12" x14ac:dyDescent="0.2">
      <c r="A8" s="62"/>
      <c r="B8" s="62"/>
      <c r="C8" s="62"/>
      <c r="D8" s="63"/>
      <c r="E8" s="63"/>
      <c r="F8" s="63"/>
      <c r="G8" s="63"/>
      <c r="H8" s="63"/>
      <c r="I8" s="63" t="s">
        <v>20</v>
      </c>
      <c r="J8" s="63"/>
      <c r="K8" s="63"/>
      <c r="L8" s="63"/>
      <c r="M8" s="63"/>
    </row>
    <row r="9" spans="1:15" s="32" customFormat="1" ht="12" x14ac:dyDescent="0.2">
      <c r="A9" s="32" t="s">
        <v>22</v>
      </c>
      <c r="D9" s="35">
        <v>89.65517241379311</v>
      </c>
      <c r="E9" s="36">
        <v>0.84</v>
      </c>
      <c r="F9" s="36">
        <v>0.84</v>
      </c>
      <c r="G9" s="85">
        <v>1000</v>
      </c>
      <c r="H9" s="37">
        <v>840</v>
      </c>
      <c r="I9" s="37"/>
      <c r="J9" s="37"/>
      <c r="K9" s="37">
        <v>840</v>
      </c>
      <c r="L9" s="37"/>
      <c r="M9" s="37"/>
      <c r="N9" s="239"/>
      <c r="O9" s="239"/>
    </row>
    <row r="10" spans="1:15" s="32" customFormat="1" ht="12" x14ac:dyDescent="0.2">
      <c r="A10" s="32" t="s">
        <v>165</v>
      </c>
      <c r="D10" s="35">
        <v>96</v>
      </c>
      <c r="E10" s="36">
        <v>0.5</v>
      </c>
      <c r="F10" s="36">
        <v>0.5</v>
      </c>
      <c r="G10" s="85">
        <v>1000</v>
      </c>
      <c r="H10" s="37">
        <v>500</v>
      </c>
      <c r="I10" s="37">
        <v>7133</v>
      </c>
      <c r="J10" s="37"/>
      <c r="K10" s="37">
        <v>7633</v>
      </c>
      <c r="L10" s="37">
        <v>3611</v>
      </c>
      <c r="M10" s="37"/>
      <c r="N10" s="239"/>
      <c r="O10" s="239"/>
    </row>
    <row r="11" spans="1:15" s="32" customFormat="1" ht="12" x14ac:dyDescent="0.2">
      <c r="A11" s="435" t="s">
        <v>308</v>
      </c>
      <c r="D11" s="38" t="s">
        <v>309</v>
      </c>
      <c r="E11" s="36"/>
      <c r="F11" s="36"/>
      <c r="G11" s="85"/>
      <c r="H11" s="37"/>
      <c r="I11" s="37" t="s">
        <v>310</v>
      </c>
      <c r="J11" s="37"/>
      <c r="K11" s="37"/>
      <c r="L11" s="37"/>
      <c r="M11" s="37"/>
      <c r="N11" s="239"/>
      <c r="O11" s="239"/>
    </row>
    <row r="12" spans="1:15" s="32" customFormat="1" ht="12" x14ac:dyDescent="0.2">
      <c r="A12" s="32" t="s">
        <v>25</v>
      </c>
      <c r="D12" s="35">
        <v>100</v>
      </c>
      <c r="E12" s="36">
        <v>5.5144508670520231</v>
      </c>
      <c r="F12" s="36">
        <v>3.8843930635838149</v>
      </c>
      <c r="G12" s="85">
        <v>1015.2777777777778</v>
      </c>
      <c r="H12" s="37">
        <v>5599</v>
      </c>
      <c r="I12" s="37"/>
      <c r="J12" s="37"/>
      <c r="K12" s="37">
        <v>5599</v>
      </c>
      <c r="L12" s="37"/>
      <c r="M12" s="37"/>
      <c r="N12" s="239"/>
      <c r="O12" s="239"/>
    </row>
    <row r="13" spans="1:15" s="32" customFormat="1" ht="12" x14ac:dyDescent="0.2">
      <c r="A13" s="32" t="s">
        <v>43</v>
      </c>
      <c r="D13" s="35">
        <v>100</v>
      </c>
      <c r="E13" s="36">
        <v>4.3291139240506329</v>
      </c>
      <c r="F13" s="36">
        <v>2.7341772151898733</v>
      </c>
      <c r="G13" s="85">
        <v>1022.2222222222222</v>
      </c>
      <c r="H13" s="37">
        <v>4425</v>
      </c>
      <c r="I13" s="37"/>
      <c r="J13" s="37">
        <v>2875</v>
      </c>
      <c r="K13" s="37">
        <v>7300</v>
      </c>
      <c r="L13" s="37"/>
      <c r="M13" s="37">
        <v>756</v>
      </c>
      <c r="N13" s="239"/>
      <c r="O13" s="239"/>
    </row>
    <row r="14" spans="1:15" s="32" customFormat="1" ht="12" x14ac:dyDescent="0.2">
      <c r="A14" s="32" t="s">
        <v>27</v>
      </c>
      <c r="D14" s="35">
        <v>100</v>
      </c>
      <c r="E14" s="36">
        <v>1.2261055634807416</v>
      </c>
      <c r="F14" s="36">
        <v>0.81811697574893005</v>
      </c>
      <c r="G14" s="85">
        <v>1346.4411764705883</v>
      </c>
      <c r="H14" s="37">
        <v>1651</v>
      </c>
      <c r="I14" s="37"/>
      <c r="J14" s="37">
        <v>791</v>
      </c>
      <c r="K14" s="37">
        <v>2442</v>
      </c>
      <c r="L14" s="37"/>
      <c r="M14" s="37"/>
      <c r="N14" s="239"/>
      <c r="O14" s="239"/>
    </row>
    <row r="15" spans="1:15" s="32" customFormat="1" ht="13.5" customHeight="1" x14ac:dyDescent="0.2">
      <c r="A15" s="32" t="s">
        <v>80</v>
      </c>
      <c r="D15" s="35">
        <v>75.862068965517238</v>
      </c>
      <c r="E15" s="36">
        <v>0.68051575931232089</v>
      </c>
      <c r="F15" s="36">
        <v>0.12177650429799428</v>
      </c>
      <c r="G15" s="85">
        <v>1134.1935483870968</v>
      </c>
      <c r="H15" s="37">
        <v>772</v>
      </c>
      <c r="I15" s="37"/>
      <c r="J15" s="37">
        <v>1753</v>
      </c>
      <c r="K15" s="37">
        <v>2525</v>
      </c>
      <c r="L15" s="37"/>
      <c r="M15" s="37"/>
      <c r="N15" s="239"/>
      <c r="O15" s="239"/>
    </row>
    <row r="16" spans="1:15" s="32" customFormat="1" ht="13.5" customHeight="1" x14ac:dyDescent="0.2">
      <c r="A16" s="32" t="s">
        <v>311</v>
      </c>
      <c r="D16" s="35">
        <v>44.827586206896555</v>
      </c>
      <c r="E16" s="36">
        <v>0.640625</v>
      </c>
      <c r="F16" s="36">
        <v>0.109375</v>
      </c>
      <c r="G16" s="85">
        <v>1094.1176470588234</v>
      </c>
      <c r="H16" s="37">
        <v>701</v>
      </c>
      <c r="I16" s="37"/>
      <c r="J16" s="37">
        <v>1190</v>
      </c>
      <c r="K16" s="37">
        <v>1891</v>
      </c>
      <c r="L16" s="37"/>
      <c r="M16" s="37"/>
      <c r="N16" s="239"/>
      <c r="O16" s="239"/>
    </row>
    <row r="17" spans="1:15" s="32" customFormat="1" ht="12" x14ac:dyDescent="0.2">
      <c r="A17" s="32" t="s">
        <v>261</v>
      </c>
      <c r="D17" s="35">
        <v>68</v>
      </c>
      <c r="E17" s="36">
        <v>0.98</v>
      </c>
      <c r="F17" s="36">
        <v>0.98</v>
      </c>
      <c r="G17" s="85">
        <v>962.79069767441865</v>
      </c>
      <c r="H17" s="37">
        <v>944</v>
      </c>
      <c r="I17" s="37">
        <v>8158</v>
      </c>
      <c r="J17" s="37"/>
      <c r="K17" s="37">
        <v>9102</v>
      </c>
      <c r="L17" s="37">
        <v>727</v>
      </c>
      <c r="M17" s="37"/>
      <c r="N17" s="239"/>
      <c r="O17" s="239"/>
    </row>
    <row r="18" spans="1:15" s="32" customFormat="1" ht="12" x14ac:dyDescent="0.2">
      <c r="A18" s="32" t="s">
        <v>312</v>
      </c>
      <c r="D18" s="436" t="s">
        <v>313</v>
      </c>
      <c r="E18" s="36"/>
      <c r="F18" s="36"/>
      <c r="G18" s="85"/>
      <c r="H18" s="37" t="s">
        <v>314</v>
      </c>
      <c r="I18" s="37"/>
      <c r="J18" s="37"/>
      <c r="K18" s="37"/>
      <c r="L18" s="37"/>
      <c r="M18" s="37"/>
      <c r="N18" s="239"/>
      <c r="O18" s="239"/>
    </row>
    <row r="19" spans="1:15" s="32" customFormat="1" ht="12" x14ac:dyDescent="0.2">
      <c r="A19" s="32" t="s">
        <v>315</v>
      </c>
      <c r="D19" s="436" t="s">
        <v>316</v>
      </c>
      <c r="E19" s="36"/>
      <c r="F19" s="36"/>
      <c r="G19" s="85"/>
      <c r="H19" s="37"/>
      <c r="I19" s="134" t="s">
        <v>218</v>
      </c>
      <c r="J19" s="37"/>
      <c r="K19" s="37"/>
      <c r="L19" s="37"/>
      <c r="M19" s="37"/>
      <c r="N19" s="239"/>
      <c r="O19" s="239"/>
    </row>
    <row r="20" spans="1:15" s="32" customFormat="1" ht="12" x14ac:dyDescent="0.2">
      <c r="A20" s="32" t="s">
        <v>168</v>
      </c>
      <c r="D20" s="437" t="s">
        <v>317</v>
      </c>
      <c r="E20" s="36"/>
      <c r="F20" s="36"/>
      <c r="G20" s="85"/>
      <c r="H20" s="37"/>
      <c r="I20" s="134" t="s">
        <v>318</v>
      </c>
      <c r="J20" s="37"/>
      <c r="K20" s="37"/>
      <c r="L20" s="37"/>
      <c r="M20" s="37"/>
      <c r="N20" s="239"/>
    </row>
    <row r="21" spans="1:15" s="32" customFormat="1" ht="12" x14ac:dyDescent="0.2">
      <c r="A21" s="32" t="s">
        <v>169</v>
      </c>
      <c r="D21" s="437" t="s">
        <v>319</v>
      </c>
      <c r="E21" s="36"/>
      <c r="F21" s="36"/>
      <c r="G21" s="85"/>
      <c r="H21" s="37"/>
      <c r="I21" s="37" t="s">
        <v>320</v>
      </c>
      <c r="J21" s="37"/>
      <c r="K21" s="37"/>
      <c r="L21" s="37"/>
      <c r="M21" s="37"/>
      <c r="N21" s="239"/>
    </row>
    <row r="22" spans="1:15" s="32" customFormat="1" ht="12" x14ac:dyDescent="0.2">
      <c r="A22" s="32" t="s">
        <v>157</v>
      </c>
      <c r="D22" s="35">
        <v>51.724137931034484</v>
      </c>
      <c r="E22" s="36">
        <v>1.2528735632183907</v>
      </c>
      <c r="F22" s="36">
        <v>1.2528735632183907</v>
      </c>
      <c r="G22" s="85">
        <v>1051</v>
      </c>
      <c r="H22" s="37">
        <v>1317</v>
      </c>
      <c r="I22" s="37"/>
      <c r="J22" s="37"/>
      <c r="K22" s="37">
        <v>1317</v>
      </c>
      <c r="L22" s="37"/>
      <c r="M22" s="37"/>
      <c r="N22" s="239"/>
      <c r="O22" s="37"/>
    </row>
    <row r="23" spans="1:15" s="32" customFormat="1" ht="12" x14ac:dyDescent="0.2">
      <c r="A23" s="32" t="s">
        <v>321</v>
      </c>
      <c r="D23" s="35">
        <v>86</v>
      </c>
      <c r="E23" s="36">
        <v>0.28333333333333333</v>
      </c>
      <c r="F23" s="36">
        <v>0.28333333333333333</v>
      </c>
      <c r="G23" s="85">
        <v>1051</v>
      </c>
      <c r="H23" s="37">
        <v>298</v>
      </c>
      <c r="I23" s="37">
        <v>358</v>
      </c>
      <c r="J23" s="37"/>
      <c r="K23" s="37">
        <v>656</v>
      </c>
      <c r="L23" s="37"/>
      <c r="M23" s="37"/>
      <c r="N23" s="239"/>
      <c r="O23" s="37"/>
    </row>
    <row r="24" spans="1:15" s="32" customFormat="1" ht="12" x14ac:dyDescent="0.2">
      <c r="A24" s="31" t="s">
        <v>33</v>
      </c>
      <c r="B24" s="31"/>
      <c r="C24" s="31"/>
      <c r="D24" s="39"/>
      <c r="E24" s="40">
        <v>16.247018010447444</v>
      </c>
      <c r="F24" s="40">
        <v>11.524045655372337</v>
      </c>
      <c r="G24" s="41"/>
      <c r="H24" s="41">
        <f>+H23+H22+H17+H16+H15+H14+H13+H12+H10+H9</f>
        <v>17047</v>
      </c>
      <c r="I24" s="41">
        <v>15649</v>
      </c>
      <c r="J24" s="41">
        <f>SUM(J9:J23)</f>
        <v>6609</v>
      </c>
      <c r="K24" s="41">
        <v>39305</v>
      </c>
      <c r="L24" s="41">
        <v>4338</v>
      </c>
      <c r="M24" s="41">
        <v>756</v>
      </c>
    </row>
    <row r="25" spans="1:15" s="32" customFormat="1" ht="12" x14ac:dyDescent="0.2">
      <c r="A25" s="34" t="s">
        <v>34</v>
      </c>
      <c r="B25" s="34"/>
      <c r="C25" s="34"/>
      <c r="D25" s="42"/>
      <c r="E25" s="43">
        <v>4.7229723550751075</v>
      </c>
      <c r="F25" s="43"/>
      <c r="G25" s="43"/>
      <c r="H25" s="44">
        <v>4955</v>
      </c>
      <c r="I25" s="44">
        <v>11311</v>
      </c>
      <c r="J25" s="44">
        <v>5852</v>
      </c>
      <c r="K25" s="44">
        <v>22118</v>
      </c>
      <c r="L25" s="44"/>
      <c r="M25" s="44"/>
    </row>
    <row r="26" spans="1:15" s="32" customFormat="1" ht="12" x14ac:dyDescent="0.2"/>
    <row r="27" spans="1:15" s="32" customFormat="1" ht="12" x14ac:dyDescent="0.2">
      <c r="C27" s="32" t="s">
        <v>35</v>
      </c>
      <c r="J27" s="37"/>
      <c r="K27" s="37"/>
    </row>
    <row r="28" spans="1:15" s="32" customFormat="1" ht="12" x14ac:dyDescent="0.2">
      <c r="K28" s="37"/>
      <c r="M28" s="36"/>
      <c r="N28" s="36"/>
    </row>
    <row r="29" spans="1:15" s="32" customFormat="1" ht="12" x14ac:dyDescent="0.2">
      <c r="A29" s="32" t="s">
        <v>36</v>
      </c>
      <c r="M29" s="36"/>
      <c r="O29" s="37"/>
    </row>
    <row r="30" spans="1:15" s="32" customFormat="1" ht="12" x14ac:dyDescent="0.2">
      <c r="A30" s="45" t="s">
        <v>17</v>
      </c>
      <c r="B30" s="45"/>
      <c r="C30" s="45"/>
      <c r="D30" s="241" t="s">
        <v>37</v>
      </c>
      <c r="E30" s="241" t="s">
        <v>85</v>
      </c>
      <c r="F30" s="241"/>
      <c r="G30" s="241" t="s">
        <v>39</v>
      </c>
      <c r="J30" s="242"/>
      <c r="K30" s="242"/>
      <c r="O30" s="37"/>
    </row>
    <row r="31" spans="1:15" s="32" customFormat="1" ht="12" x14ac:dyDescent="0.2">
      <c r="A31" s="32" t="s">
        <v>41</v>
      </c>
      <c r="D31" s="242" t="s">
        <v>44</v>
      </c>
      <c r="J31" s="243" t="s">
        <v>86</v>
      </c>
      <c r="K31" s="244" t="s">
        <v>138</v>
      </c>
      <c r="O31" s="37"/>
    </row>
    <row r="32" spans="1:15" s="32" customFormat="1" ht="12" x14ac:dyDescent="0.2">
      <c r="A32" s="32" t="s">
        <v>43</v>
      </c>
      <c r="E32" s="213">
        <v>41.460674157303366</v>
      </c>
      <c r="G32" s="36">
        <v>69.340807174887885</v>
      </c>
      <c r="J32" s="438" t="s">
        <v>322</v>
      </c>
      <c r="K32" s="359">
        <v>3.4482758620689653</v>
      </c>
    </row>
    <row r="33" spans="1:13" s="32" customFormat="1" ht="12" x14ac:dyDescent="0.2">
      <c r="D33" s="36"/>
      <c r="J33" s="439" t="s">
        <v>323</v>
      </c>
      <c r="K33" s="359">
        <v>6.8965517241379306</v>
      </c>
    </row>
    <row r="34" spans="1:13" s="32" customFormat="1" ht="12" x14ac:dyDescent="0.2">
      <c r="D34" s="36"/>
      <c r="J34" s="439" t="s">
        <v>47</v>
      </c>
      <c r="K34" s="359">
        <v>20.689655172413794</v>
      </c>
    </row>
    <row r="35" spans="1:13" s="32" customFormat="1" ht="12" x14ac:dyDescent="0.2">
      <c r="A35" s="32" t="s">
        <v>46</v>
      </c>
      <c r="D35" s="36"/>
      <c r="J35" s="439" t="s">
        <v>50</v>
      </c>
      <c r="K35" s="359">
        <v>24.137931034482758</v>
      </c>
    </row>
    <row r="36" spans="1:13" s="32" customFormat="1" ht="12" x14ac:dyDescent="0.2">
      <c r="A36" s="32" t="s">
        <v>48</v>
      </c>
      <c r="D36" s="32" t="s">
        <v>49</v>
      </c>
      <c r="E36" s="37">
        <v>5</v>
      </c>
      <c r="F36" s="37"/>
      <c r="G36" s="37"/>
      <c r="H36" s="37"/>
      <c r="I36" s="33"/>
      <c r="J36" s="439" t="s">
        <v>52</v>
      </c>
      <c r="K36" s="359">
        <v>6.8965517241379306</v>
      </c>
    </row>
    <row r="37" spans="1:13" s="32" customFormat="1" ht="12" x14ac:dyDescent="0.2">
      <c r="A37" s="32" t="s">
        <v>51</v>
      </c>
      <c r="D37" s="32" t="s">
        <v>49</v>
      </c>
      <c r="E37" s="37">
        <v>12</v>
      </c>
      <c r="F37" s="37"/>
      <c r="G37" s="37">
        <v>1003</v>
      </c>
      <c r="I37" s="33"/>
      <c r="J37" s="440" t="s">
        <v>139</v>
      </c>
      <c r="K37" s="359">
        <v>3.4482758620689653</v>
      </c>
    </row>
    <row r="38" spans="1:13" s="32" customFormat="1" ht="12" x14ac:dyDescent="0.2">
      <c r="A38" s="32" t="s">
        <v>2</v>
      </c>
      <c r="D38" s="32" t="s">
        <v>49</v>
      </c>
      <c r="E38" s="37">
        <v>17</v>
      </c>
      <c r="F38" s="37"/>
      <c r="G38" s="37"/>
      <c r="I38" s="33"/>
      <c r="J38" s="439" t="s">
        <v>209</v>
      </c>
      <c r="K38" s="359">
        <v>6.8965517241379306</v>
      </c>
    </row>
    <row r="39" spans="1:13" s="32" customFormat="1" ht="12" x14ac:dyDescent="0.2">
      <c r="D39" s="36"/>
      <c r="I39" s="33"/>
      <c r="J39" s="441" t="s">
        <v>265</v>
      </c>
      <c r="K39" s="359">
        <v>10.344827586206897</v>
      </c>
    </row>
    <row r="40" spans="1:13" s="32" customFormat="1" ht="12" x14ac:dyDescent="0.2">
      <c r="A40" s="31" t="s">
        <v>93</v>
      </c>
      <c r="B40" s="31"/>
      <c r="C40" s="31" t="s">
        <v>54</v>
      </c>
      <c r="D40" s="31"/>
      <c r="E40" s="31"/>
      <c r="F40" s="31"/>
      <c r="G40" s="31"/>
      <c r="I40" s="33"/>
      <c r="J40" s="442" t="s">
        <v>324</v>
      </c>
      <c r="K40" s="361">
        <v>17.241379310344829</v>
      </c>
    </row>
    <row r="41" spans="1:13" s="32" customFormat="1" ht="12" x14ac:dyDescent="0.2">
      <c r="A41" s="33" t="s">
        <v>94</v>
      </c>
      <c r="B41" s="32" t="s">
        <v>57</v>
      </c>
      <c r="C41" s="112">
        <v>100</v>
      </c>
      <c r="D41" s="33"/>
      <c r="E41" s="37">
        <v>20</v>
      </c>
      <c r="F41" s="49"/>
      <c r="G41" s="49">
        <v>7</v>
      </c>
      <c r="I41" s="49"/>
      <c r="J41" s="33"/>
    </row>
    <row r="42" spans="1:13" s="32" customFormat="1" ht="12" x14ac:dyDescent="0.2">
      <c r="A42" s="33"/>
      <c r="B42" s="33"/>
      <c r="C42" s="112"/>
      <c r="D42" s="33"/>
      <c r="E42" s="37"/>
      <c r="F42" s="49"/>
      <c r="G42" s="112"/>
      <c r="I42" s="112"/>
      <c r="J42" s="33"/>
    </row>
    <row r="43" spans="1:13" s="32" customFormat="1" ht="12" x14ac:dyDescent="0.2">
      <c r="A43" s="33"/>
      <c r="B43" s="33"/>
      <c r="C43" s="112"/>
      <c r="D43" s="33"/>
      <c r="E43" s="37"/>
      <c r="F43" s="49"/>
      <c r="G43" s="49"/>
      <c r="I43" s="49"/>
      <c r="J43" s="364" t="s">
        <v>40</v>
      </c>
      <c r="K43" s="36">
        <v>1.1591954022988507</v>
      </c>
    </row>
    <row r="44" spans="1:13" s="32" customFormat="1" ht="12" x14ac:dyDescent="0.2">
      <c r="A44" s="33" t="s">
        <v>140</v>
      </c>
      <c r="B44" s="33" t="s">
        <v>58</v>
      </c>
      <c r="C44" s="112">
        <v>100</v>
      </c>
      <c r="D44" s="33"/>
      <c r="E44" s="37">
        <v>46</v>
      </c>
      <c r="F44" s="49"/>
      <c r="G44" s="49">
        <v>7</v>
      </c>
      <c r="I44" s="49"/>
      <c r="J44" s="364" t="s">
        <v>42</v>
      </c>
      <c r="K44" s="32">
        <v>1</v>
      </c>
    </row>
    <row r="45" spans="1:13" s="32" customFormat="1" ht="12" x14ac:dyDescent="0.2">
      <c r="A45" s="33"/>
      <c r="B45" s="33" t="s">
        <v>59</v>
      </c>
      <c r="C45" s="112">
        <v>100</v>
      </c>
      <c r="D45" s="33"/>
      <c r="E45" s="37">
        <v>47</v>
      </c>
      <c r="F45" s="49"/>
      <c r="G45" s="49">
        <v>7</v>
      </c>
      <c r="I45" s="49"/>
      <c r="J45" s="33"/>
    </row>
    <row r="46" spans="1:13" s="32" customFormat="1" ht="12" x14ac:dyDescent="0.2">
      <c r="B46" s="33"/>
      <c r="C46" s="111"/>
      <c r="D46" s="33"/>
      <c r="F46" s="49"/>
      <c r="G46" s="49"/>
      <c r="I46" s="49"/>
      <c r="J46" s="33"/>
    </row>
    <row r="47" spans="1:13" s="32" customFormat="1" ht="12" x14ac:dyDescent="0.2">
      <c r="A47" s="33"/>
      <c r="B47" s="33"/>
      <c r="C47" s="111"/>
      <c r="D47" s="33"/>
      <c r="E47" s="49"/>
      <c r="F47" s="49"/>
      <c r="G47" s="49"/>
      <c r="I47" s="33"/>
      <c r="J47" s="33"/>
      <c r="M47" s="37"/>
    </row>
    <row r="48" spans="1:13" s="32" customFormat="1" ht="12" x14ac:dyDescent="0.2">
      <c r="A48" s="31" t="s">
        <v>61</v>
      </c>
      <c r="B48" s="31"/>
      <c r="C48" s="31"/>
      <c r="D48" s="31"/>
      <c r="E48" s="31"/>
      <c r="F48" s="31"/>
      <c r="G48" s="31"/>
      <c r="H48" s="32" t="s">
        <v>325</v>
      </c>
    </row>
    <row r="49" spans="1:8" s="32" customFormat="1" ht="12" x14ac:dyDescent="0.2">
      <c r="A49" s="33" t="s">
        <v>98</v>
      </c>
      <c r="B49" s="33"/>
      <c r="C49" s="33"/>
      <c r="D49" s="33"/>
      <c r="E49" s="33"/>
      <c r="F49" s="48">
        <v>1488.1957773512477</v>
      </c>
      <c r="G49" s="365"/>
      <c r="H49" s="135">
        <v>3677</v>
      </c>
    </row>
    <row r="50" spans="1:8" s="32" customFormat="1" ht="12" x14ac:dyDescent="0.2">
      <c r="A50" s="33" t="s">
        <v>99</v>
      </c>
      <c r="B50" s="33"/>
      <c r="C50" s="33"/>
      <c r="D50" s="33"/>
      <c r="E50" s="33"/>
      <c r="F50" s="49">
        <v>32.186135580237455</v>
      </c>
      <c r="G50" s="49"/>
      <c r="H50" s="230"/>
    </row>
    <row r="51" spans="1:8" s="32" customFormat="1" ht="12" x14ac:dyDescent="0.2">
      <c r="A51" s="33" t="s">
        <v>66</v>
      </c>
      <c r="B51" s="33"/>
      <c r="C51" s="33"/>
      <c r="D51" s="33"/>
      <c r="E51" s="33"/>
      <c r="F51" s="48">
        <v>47889</v>
      </c>
      <c r="G51" s="48"/>
      <c r="H51" s="135">
        <v>118359</v>
      </c>
    </row>
    <row r="52" spans="1:8" s="32" customFormat="1" ht="12" x14ac:dyDescent="0.2">
      <c r="A52" s="33" t="s">
        <v>67</v>
      </c>
      <c r="B52" s="33"/>
      <c r="C52" s="33"/>
      <c r="D52" s="33"/>
      <c r="E52" s="33"/>
      <c r="F52" s="48">
        <v>8597</v>
      </c>
      <c r="G52" s="48"/>
      <c r="H52" s="135">
        <v>21243</v>
      </c>
    </row>
    <row r="53" spans="1:8" s="32" customFormat="1" ht="12" x14ac:dyDescent="0.2">
      <c r="A53" s="33" t="s">
        <v>68</v>
      </c>
      <c r="B53" s="33"/>
      <c r="C53" s="33"/>
      <c r="D53" s="33"/>
      <c r="E53" s="33"/>
      <c r="F53" s="48">
        <v>25781</v>
      </c>
      <c r="G53" s="48"/>
      <c r="H53" s="135">
        <v>63705</v>
      </c>
    </row>
    <row r="54" spans="1:8" s="32" customFormat="1" ht="12" x14ac:dyDescent="0.2">
      <c r="A54" s="33" t="s">
        <v>69</v>
      </c>
      <c r="B54" s="33"/>
      <c r="C54" s="33"/>
      <c r="D54" s="33"/>
      <c r="E54" s="33"/>
      <c r="F54" s="49">
        <v>26.409499615329082</v>
      </c>
      <c r="G54" s="53"/>
      <c r="H54" s="230"/>
    </row>
    <row r="55" spans="1:8" s="32" customFormat="1" ht="12" x14ac:dyDescent="0.2">
      <c r="A55" s="34" t="s">
        <v>70</v>
      </c>
      <c r="B55" s="34"/>
      <c r="C55" s="34"/>
      <c r="D55" s="34"/>
      <c r="E55" s="34"/>
      <c r="F55" s="43">
        <v>14.862389351080777</v>
      </c>
      <c r="G55" s="55"/>
      <c r="H55" s="2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1.Anuradhapura</vt:lpstr>
      <vt:lpstr>2.Ampara (East)</vt:lpstr>
      <vt:lpstr>3.Ampara (West)</vt:lpstr>
      <vt:lpstr>4.Hambantota</vt:lpstr>
      <vt:lpstr>5.Kurunegala</vt:lpstr>
      <vt:lpstr>6.System H</vt:lpstr>
      <vt:lpstr>7.Polonnaruwa</vt:lpstr>
      <vt:lpstr>8.System B</vt:lpstr>
      <vt:lpstr>9.System C</vt:lpstr>
      <vt:lpstr>10. Trincomalee</vt:lpstr>
      <vt:lpstr>11.Kurunegala</vt:lpstr>
      <vt:lpstr>12.Kandy</vt:lpstr>
      <vt:lpstr>13.Kalutara</vt:lpstr>
      <vt:lpstr>14.Gampaha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THISHANIE</cp:lastModifiedBy>
  <dcterms:created xsi:type="dcterms:W3CDTF">2017-03-09T06:23:50Z</dcterms:created>
  <dcterms:modified xsi:type="dcterms:W3CDTF">2025-06-23T08:50:02Z</dcterms:modified>
</cp:coreProperties>
</file>