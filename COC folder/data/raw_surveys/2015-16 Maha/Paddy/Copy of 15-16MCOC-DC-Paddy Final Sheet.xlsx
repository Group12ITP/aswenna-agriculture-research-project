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7995" firstSheet="10" activeTab="10"/>
  </bookViews>
  <sheets>
    <sheet name="1.Anuradhapura" sheetId="1" r:id="rId1"/>
    <sheet name="2.Ampara (East)" sheetId="2" r:id="rId2"/>
    <sheet name="3.Ampara (West)" sheetId="3" r:id="rId3"/>
    <sheet name="4.Hambantota" sheetId="4" r:id="rId4"/>
    <sheet name="5.Kurunegala" sheetId="5" r:id="rId5"/>
    <sheet name="6.System H" sheetId="6" r:id="rId6"/>
    <sheet name="7.Polonnaruwa" sheetId="8" r:id="rId7"/>
    <sheet name="8.System B" sheetId="9" r:id="rId8"/>
    <sheet name="9.System C" sheetId="10" r:id="rId9"/>
    <sheet name="10. Trincomalee" sheetId="11" r:id="rId10"/>
    <sheet name="11.Kurunegala" sheetId="12" r:id="rId11"/>
    <sheet name="12.Kandy" sheetId="13" r:id="rId12"/>
    <sheet name="13.Kalutara" sheetId="14" r:id="rId13"/>
    <sheet name="14.Gampaha" sheetId="15" r:id="rId14"/>
    <sheet name="Sheet1" sheetId="16" r:id="rId15"/>
  </sheets>
  <externalReferences>
    <externalReference r:id="rId16"/>
  </externalReferences>
  <calcPr calcId="144525"/>
</workbook>
</file>

<file path=xl/calcChain.xml><?xml version="1.0" encoding="utf-8"?>
<calcChain xmlns="http://schemas.openxmlformats.org/spreadsheetml/2006/main">
  <c r="F51" i="15" l="1"/>
  <c r="H51" i="15" s="1"/>
  <c r="F50" i="15"/>
  <c r="H50" i="15" s="1"/>
  <c r="H49" i="15"/>
  <c r="F47" i="15"/>
  <c r="F53" i="15" s="1"/>
  <c r="C43" i="15"/>
  <c r="C42" i="15"/>
  <c r="C41" i="15"/>
  <c r="C40" i="15"/>
  <c r="C39" i="15"/>
  <c r="H23" i="15"/>
  <c r="I22" i="15"/>
  <c r="F22" i="15"/>
  <c r="E22" i="15"/>
  <c r="E23" i="15" s="1"/>
  <c r="G21" i="15"/>
  <c r="D20" i="15"/>
  <c r="G16" i="15"/>
  <c r="F16" i="15"/>
  <c r="E16" i="15"/>
  <c r="D16" i="15"/>
  <c r="G15" i="15"/>
  <c r="G14" i="15"/>
  <c r="G13" i="15"/>
  <c r="G12" i="15"/>
  <c r="G10" i="15"/>
  <c r="F10" i="15"/>
  <c r="G9" i="15"/>
  <c r="H47" i="15" l="1"/>
  <c r="F52" i="15"/>
  <c r="G49" i="14" l="1"/>
  <c r="G48" i="14"/>
  <c r="G47" i="14"/>
  <c r="I46" i="14"/>
  <c r="G46" i="14"/>
  <c r="J39" i="14"/>
  <c r="L35" i="14"/>
  <c r="L27" i="14"/>
  <c r="K27" i="14"/>
  <c r="F25" i="14"/>
  <c r="E34" i="14" s="1"/>
  <c r="E25" i="14"/>
  <c r="E26" i="14" s="1"/>
  <c r="E33" i="14" l="1"/>
  <c r="P33" i="14" l="1"/>
  <c r="E35" i="14"/>
  <c r="G47" i="13" l="1"/>
  <c r="J45" i="13"/>
  <c r="H45" i="13"/>
  <c r="G43" i="13"/>
  <c r="J41" i="13"/>
  <c r="K35" i="13"/>
  <c r="E33" i="13"/>
  <c r="M22" i="13"/>
  <c r="L22" i="13"/>
  <c r="I22" i="13"/>
  <c r="I23" i="13" s="1"/>
  <c r="F22" i="13"/>
  <c r="E22" i="13"/>
  <c r="E23" i="13" s="1"/>
  <c r="K21" i="13"/>
  <c r="H21" i="13"/>
  <c r="H20" i="13"/>
  <c r="K20" i="13" s="1"/>
  <c r="K19" i="13"/>
  <c r="H19" i="13"/>
  <c r="J18" i="13"/>
  <c r="J22" i="13" s="1"/>
  <c r="J23" i="13" s="1"/>
  <c r="H18" i="13"/>
  <c r="J17" i="13"/>
  <c r="H17" i="13"/>
  <c r="K17" i="13" s="1"/>
  <c r="K15" i="13"/>
  <c r="H15" i="13"/>
  <c r="H14" i="13"/>
  <c r="H12" i="13"/>
  <c r="K11" i="13"/>
  <c r="H11" i="13"/>
  <c r="H10" i="13"/>
  <c r="K10" i="13" s="1"/>
  <c r="K9" i="13"/>
  <c r="H9" i="13"/>
  <c r="H22" i="13" s="1"/>
  <c r="G31" i="13" l="1"/>
  <c r="H23" i="13" s="1"/>
  <c r="K22" i="13"/>
  <c r="G46" i="13" s="1"/>
  <c r="K18" i="13"/>
  <c r="J43" i="13"/>
  <c r="G44" i="13" l="1"/>
  <c r="J44" i="13" s="1"/>
  <c r="F47" i="12" l="1"/>
  <c r="F46" i="12"/>
  <c r="F43" i="12"/>
  <c r="I43" i="12" s="1"/>
  <c r="I41" i="12"/>
  <c r="K21" i="12"/>
  <c r="K20" i="12"/>
  <c r="K16" i="12"/>
  <c r="K15" i="12"/>
  <c r="K14" i="12"/>
  <c r="K13" i="12"/>
  <c r="K12" i="12"/>
  <c r="K11" i="12"/>
  <c r="K9" i="12"/>
  <c r="K8" i="12"/>
  <c r="F45" i="12" l="1"/>
  <c r="I45" i="12" s="1"/>
  <c r="F44" i="12"/>
  <c r="I44" i="12" s="1"/>
  <c r="G42" i="11" l="1"/>
  <c r="I42" i="11" s="1"/>
  <c r="L32" i="11"/>
  <c r="M19" i="11"/>
  <c r="L19" i="11"/>
  <c r="J19" i="11"/>
  <c r="J20" i="11" s="1"/>
  <c r="G19" i="11"/>
  <c r="F19" i="11"/>
  <c r="E19" i="11"/>
  <c r="E20" i="11" s="1"/>
  <c r="G50" i="10"/>
  <c r="G49" i="10"/>
  <c r="J40" i="10"/>
  <c r="J23" i="10"/>
  <c r="G43" i="11" l="1"/>
  <c r="I43" i="11" s="1"/>
  <c r="G44" i="11"/>
  <c r="I44" i="11" s="1"/>
  <c r="K32" i="9" l="1"/>
  <c r="K31" i="9"/>
  <c r="K29" i="9"/>
  <c r="K28" i="9"/>
  <c r="K23" i="9"/>
  <c r="G47" i="9" s="1"/>
  <c r="F22" i="9"/>
  <c r="E23" i="9" s="1"/>
  <c r="E22" i="9"/>
  <c r="O13" i="9"/>
  <c r="K13" i="9"/>
  <c r="K22" i="9" s="1"/>
  <c r="G46" i="9" s="1"/>
  <c r="G49" i="8" l="1"/>
  <c r="E37" i="8"/>
  <c r="H23" i="8"/>
  <c r="M22" i="8"/>
  <c r="L22" i="8"/>
  <c r="I22" i="8"/>
  <c r="I23" i="8" s="1"/>
  <c r="F22" i="8"/>
  <c r="E22" i="8"/>
  <c r="E23" i="8" s="1"/>
  <c r="K21" i="8"/>
  <c r="H21" i="8"/>
  <c r="K20" i="8"/>
  <c r="H20" i="8"/>
  <c r="K19" i="8"/>
  <c r="K18" i="8"/>
  <c r="K17" i="8"/>
  <c r="H17" i="8"/>
  <c r="K16" i="8"/>
  <c r="H16" i="8"/>
  <c r="K15" i="8"/>
  <c r="H15" i="8"/>
  <c r="J14" i="8"/>
  <c r="H14" i="8"/>
  <c r="K14" i="8" s="1"/>
  <c r="J13" i="8"/>
  <c r="J22" i="8" s="1"/>
  <c r="J23" i="8" s="1"/>
  <c r="H13" i="8"/>
  <c r="K13" i="8" s="1"/>
  <c r="K12" i="8"/>
  <c r="H11" i="8"/>
  <c r="K11" i="8" s="1"/>
  <c r="H10" i="8"/>
  <c r="H22" i="8" s="1"/>
  <c r="K22" i="8" s="1"/>
  <c r="K9" i="8"/>
  <c r="G53" i="8" l="1"/>
  <c r="G50" i="8"/>
  <c r="K23" i="8"/>
  <c r="G54" i="8" s="1"/>
  <c r="G51" i="8"/>
  <c r="K10" i="8"/>
  <c r="K32" i="6" l="1"/>
  <c r="H24" i="6"/>
  <c r="E24" i="6"/>
  <c r="M23" i="6"/>
  <c r="L23" i="6"/>
  <c r="I24" i="6" s="1"/>
  <c r="K24" i="6" s="1"/>
  <c r="G57" i="6" s="1"/>
  <c r="J23" i="6"/>
  <c r="J24" i="6" s="1"/>
  <c r="I23" i="6"/>
  <c r="F23" i="6"/>
  <c r="E23" i="6"/>
  <c r="K23" i="6" l="1"/>
  <c r="G56" i="6" s="1"/>
  <c r="F50" i="5" l="1"/>
  <c r="H44" i="5"/>
  <c r="K37" i="5"/>
  <c r="K24" i="5"/>
  <c r="F49" i="5" s="1"/>
  <c r="K23" i="5"/>
  <c r="K22" i="5"/>
  <c r="K18" i="5"/>
  <c r="K17" i="5"/>
  <c r="K16" i="5"/>
  <c r="K15" i="5"/>
  <c r="K14" i="5"/>
  <c r="K13" i="5"/>
  <c r="K12" i="5"/>
  <c r="K10" i="5"/>
  <c r="K9" i="5"/>
  <c r="H44" i="4" l="1"/>
  <c r="H43" i="4"/>
  <c r="K33" i="4"/>
  <c r="K34" i="4" s="1"/>
  <c r="G47" i="3" l="1"/>
  <c r="G46" i="3"/>
  <c r="G45" i="3"/>
  <c r="J45" i="3" s="1"/>
  <c r="J44" i="3"/>
  <c r="G44" i="3"/>
  <c r="J43" i="3"/>
  <c r="J41" i="3"/>
  <c r="J35" i="3"/>
  <c r="M22" i="3"/>
  <c r="L22" i="3"/>
  <c r="F22" i="3"/>
  <c r="E22" i="3"/>
  <c r="E23" i="3" s="1"/>
  <c r="G39" i="2"/>
  <c r="M19" i="2"/>
  <c r="L19" i="2"/>
  <c r="I20" i="2" s="1"/>
  <c r="I19" i="2"/>
  <c r="F19" i="2"/>
  <c r="E28" i="2" s="1"/>
  <c r="E19" i="2"/>
  <c r="E20" i="2" s="1"/>
  <c r="K18" i="2"/>
  <c r="K17" i="2"/>
  <c r="K16" i="2"/>
  <c r="H16" i="2"/>
  <c r="K15" i="2"/>
  <c r="K14" i="2"/>
  <c r="J13" i="2"/>
  <c r="K13" i="2" s="1"/>
  <c r="K12" i="2"/>
  <c r="K11" i="2"/>
  <c r="H10" i="2"/>
  <c r="H19" i="2" s="1"/>
  <c r="K9" i="2"/>
  <c r="I51" i="1"/>
  <c r="G51" i="1"/>
  <c r="K51" i="1" s="1"/>
  <c r="I49" i="1"/>
  <c r="J40" i="1"/>
  <c r="I28" i="1"/>
  <c r="I27" i="1"/>
  <c r="M25" i="1"/>
  <c r="L25" i="1"/>
  <c r="I25" i="1"/>
  <c r="I26" i="1" s="1"/>
  <c r="G25" i="1"/>
  <c r="F25" i="1"/>
  <c r="E35" i="1" s="1"/>
  <c r="E25" i="1"/>
  <c r="E26" i="1" s="1"/>
  <c r="E34" i="1" s="1"/>
  <c r="N24" i="1"/>
  <c r="O24" i="1" s="1"/>
  <c r="H24" i="1"/>
  <c r="K24" i="1" s="1"/>
  <c r="N23" i="1"/>
  <c r="O23" i="1" s="1"/>
  <c r="H23" i="1"/>
  <c r="K23" i="1" s="1"/>
  <c r="N22" i="1"/>
  <c r="O22" i="1" s="1"/>
  <c r="N21" i="1"/>
  <c r="O21" i="1" s="1"/>
  <c r="N20" i="1"/>
  <c r="O20" i="1" s="1"/>
  <c r="H20" i="1"/>
  <c r="K20" i="1" s="1"/>
  <c r="N19" i="1"/>
  <c r="O19" i="1" s="1"/>
  <c r="H19" i="1"/>
  <c r="K19" i="1" s="1"/>
  <c r="N18" i="1"/>
  <c r="O18" i="1" s="1"/>
  <c r="H18" i="1"/>
  <c r="K18" i="1" s="1"/>
  <c r="N17" i="1"/>
  <c r="O17" i="1" s="1"/>
  <c r="H17" i="1"/>
  <c r="K17" i="1" s="1"/>
  <c r="N16" i="1"/>
  <c r="O16" i="1" s="1"/>
  <c r="J16" i="1"/>
  <c r="J25" i="1" s="1"/>
  <c r="J26" i="1" s="1"/>
  <c r="H16" i="1"/>
  <c r="N15" i="1"/>
  <c r="J15" i="1"/>
  <c r="H15" i="1"/>
  <c r="H27" i="1" s="1"/>
  <c r="N14" i="1"/>
  <c r="O14" i="1" s="1"/>
  <c r="H14" i="1"/>
  <c r="K14" i="1" s="1"/>
  <c r="N13" i="1"/>
  <c r="O13" i="1" s="1"/>
  <c r="N12" i="1"/>
  <c r="O12" i="1" s="1"/>
  <c r="N11" i="1"/>
  <c r="O11" i="1" s="1"/>
  <c r="N10" i="1"/>
  <c r="O10" i="1" s="1"/>
  <c r="H10" i="1"/>
  <c r="K10" i="1" s="1"/>
  <c r="N9" i="1"/>
  <c r="O9" i="1" s="1"/>
  <c r="H9" i="1"/>
  <c r="H25" i="1" s="1"/>
  <c r="K10" i="2" l="1"/>
  <c r="E29" i="2"/>
  <c r="E30" i="2" s="1"/>
  <c r="G28" i="2" s="1"/>
  <c r="H20" i="2" s="1"/>
  <c r="K20" i="2" s="1"/>
  <c r="J19" i="2"/>
  <c r="J20" i="2" s="1"/>
  <c r="E36" i="1"/>
  <c r="G34" i="1"/>
  <c r="H26" i="1" s="1"/>
  <c r="K26" i="1" s="1"/>
  <c r="K25" i="1"/>
  <c r="O15" i="1"/>
  <c r="K15" i="1"/>
  <c r="J27" i="1"/>
  <c r="J28" i="1" s="1"/>
  <c r="K28" i="1" s="1"/>
  <c r="K9" i="1"/>
  <c r="K16" i="1"/>
  <c r="K27" i="1" s="1"/>
  <c r="G44" i="2" l="1"/>
  <c r="G41" i="2"/>
  <c r="K19" i="2"/>
  <c r="G56" i="1"/>
  <c r="G53" i="1"/>
  <c r="I53" i="1" s="1"/>
  <c r="G55" i="1"/>
  <c r="G52" i="1"/>
  <c r="I52" i="1" s="1"/>
  <c r="G43" i="2" l="1"/>
  <c r="G40" i="2"/>
  <c r="G62" i="13" l="1"/>
  <c r="G61" i="13"/>
  <c r="G58" i="13"/>
  <c r="G59" i="13" s="1"/>
  <c r="I59" i="13" s="1"/>
  <c r="I56" i="13"/>
  <c r="G60" i="13" l="1"/>
  <c r="I60" i="13" s="1"/>
  <c r="I58" i="13"/>
  <c r="G51" i="4" l="1"/>
  <c r="G55" i="4"/>
  <c r="G56" i="4" l="1"/>
  <c r="G53" i="4"/>
  <c r="G52" i="4"/>
</calcChain>
</file>

<file path=xl/comments1.xml><?xml version="1.0" encoding="utf-8"?>
<comments xmlns="http://schemas.openxmlformats.org/spreadsheetml/2006/main">
  <authors>
    <author>DOA</author>
  </authors>
  <commentList>
    <comment ref="G44" authorId="0">
      <text>
        <r>
          <rPr>
            <b/>
            <sz val="8"/>
            <color indexed="81"/>
            <rFont val="Tahoma"/>
            <charset val="1"/>
          </rPr>
          <t>DOA:</t>
        </r>
        <r>
          <rPr>
            <sz val="8"/>
            <color indexed="81"/>
            <rFont val="Tahoma"/>
            <charset val="1"/>
          </rPr>
          <t xml:space="preserve">
Sold yield amount is low.</t>
        </r>
      </text>
    </comment>
  </commentList>
</comments>
</file>

<file path=xl/sharedStrings.xml><?xml version="1.0" encoding="utf-8"?>
<sst xmlns="http://schemas.openxmlformats.org/spreadsheetml/2006/main" count="1387" uniqueCount="340">
  <si>
    <t>Operation</t>
  </si>
  <si>
    <t xml:space="preserve">  No</t>
  </si>
  <si>
    <t>Total</t>
  </si>
  <si>
    <t xml:space="preserve"> Family</t>
  </si>
  <si>
    <t xml:space="preserve">  Wage</t>
  </si>
  <si>
    <t xml:space="preserve">  Labour</t>
  </si>
  <si>
    <t xml:space="preserve">  Machinary</t>
  </si>
  <si>
    <t xml:space="preserve">  Material</t>
  </si>
  <si>
    <t xml:space="preserve">  Total </t>
  </si>
  <si>
    <t xml:space="preserve">Inputed </t>
  </si>
  <si>
    <t>Power</t>
  </si>
  <si>
    <t>Report</t>
  </si>
  <si>
    <t>Labour</t>
  </si>
  <si>
    <t xml:space="preserve"> Labour</t>
  </si>
  <si>
    <t xml:space="preserve">  Rate</t>
  </si>
  <si>
    <t xml:space="preserve">  Cost</t>
  </si>
  <si>
    <t xml:space="preserve">  &amp; Equipm't</t>
  </si>
  <si>
    <t>Input</t>
  </si>
  <si>
    <t>Cost</t>
  </si>
  <si>
    <t xml:space="preserve">  %</t>
  </si>
  <si>
    <t xml:space="preserve">  Rs/ac</t>
  </si>
  <si>
    <t xml:space="preserve">  Cost Rs/ac</t>
  </si>
  <si>
    <t>General Land Preparation</t>
  </si>
  <si>
    <t>1st,2nd &amp; 3rd plough with 2wt</t>
  </si>
  <si>
    <t>1st,2nd &amp; 3rd plough with 4wt</t>
  </si>
  <si>
    <t>Plastering Bunds</t>
  </si>
  <si>
    <t>Levelling &amp; broadcasting</t>
  </si>
  <si>
    <t>Fertilizer Application</t>
  </si>
  <si>
    <t>Weed Control with weediside</t>
  </si>
  <si>
    <t>Pest &amp; Disease Control</t>
  </si>
  <si>
    <t>Watermanagement</t>
  </si>
  <si>
    <t>Harvesting &amp; drawing on combine harvester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</si>
  <si>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</si>
  <si>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</si>
  <si>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</si>
  <si>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</si>
  <si>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</si>
  <si>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Unit</t>
  </si>
  <si>
    <t xml:space="preserve"> Quantity</t>
  </si>
  <si>
    <t>Unit Price (Rs)</t>
  </si>
  <si>
    <t>Mean</t>
  </si>
  <si>
    <t>SEED</t>
  </si>
  <si>
    <t>Mode</t>
  </si>
  <si>
    <t>Broadcasting</t>
  </si>
  <si>
    <t>kg</t>
  </si>
  <si>
    <t xml:space="preserve">Varieties distribution % </t>
  </si>
  <si>
    <t>LABOUR</t>
  </si>
  <si>
    <t>Bg 352</t>
  </si>
  <si>
    <t>Hired Labour</t>
  </si>
  <si>
    <t>md</t>
  </si>
  <si>
    <t>Bg 358</t>
  </si>
  <si>
    <t>Family Labour</t>
  </si>
  <si>
    <t>FERTILIZER</t>
  </si>
  <si>
    <t>% Reporting</t>
  </si>
  <si>
    <t>other</t>
  </si>
  <si>
    <t>Basal</t>
  </si>
  <si>
    <t>TSP</t>
  </si>
  <si>
    <t>Urea</t>
  </si>
  <si>
    <t>MOP</t>
  </si>
  <si>
    <t>Top dressing</t>
  </si>
  <si>
    <t>YIELD AND RETURNS</t>
  </si>
  <si>
    <t>Per ac</t>
  </si>
  <si>
    <t>per hactare</t>
  </si>
  <si>
    <t>Avereage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</si>
  <si>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</si>
  <si>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</si>
  <si>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</si>
  <si>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</si>
  <si>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</si>
  <si>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</si>
  <si>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Anuradhapura</t>
  </si>
  <si>
    <t>Niyangoda</t>
  </si>
  <si>
    <t>Paddy (IRRIGATED)</t>
  </si>
  <si>
    <t>Fam</t>
  </si>
  <si>
    <t>Wage</t>
  </si>
  <si>
    <t>OWN INPUTS</t>
  </si>
  <si>
    <t>Lab</t>
  </si>
  <si>
    <t>Rate</t>
  </si>
  <si>
    <t xml:space="preserve">  &amp; Equpim't</t>
  </si>
  <si>
    <t>Weed Control With Weedicides</t>
  </si>
  <si>
    <t>Water Management</t>
  </si>
  <si>
    <t>Harvesting with Combined Harvester</t>
  </si>
  <si>
    <t>Additional Drying</t>
  </si>
  <si>
    <t>Transport Produce to Stores</t>
  </si>
  <si>
    <t>Quantity</t>
  </si>
  <si>
    <t>Variety</t>
  </si>
  <si>
    <t>% of Ext.</t>
  </si>
  <si>
    <t>AT 362</t>
  </si>
  <si>
    <t>BG 94/1</t>
  </si>
  <si>
    <t>BG 357</t>
  </si>
  <si>
    <t>BG 358</t>
  </si>
  <si>
    <t>Other</t>
  </si>
  <si>
    <t>FIELD FERTILIZER</t>
  </si>
  <si>
    <t xml:space="preserve">Basal </t>
  </si>
  <si>
    <t xml:space="preserve">  Top Dress.</t>
  </si>
  <si>
    <t>1. Urea</t>
  </si>
  <si>
    <t>11. MOP</t>
  </si>
  <si>
    <t>Average Yield (kg/ac)</t>
  </si>
  <si>
    <t>Price of Produce (Rs/kg)</t>
  </si>
  <si>
    <t>Ampara (East)</t>
  </si>
  <si>
    <t>Kumudu</t>
  </si>
  <si>
    <t>(16)</t>
  </si>
  <si>
    <t>(Harvesting with Manual)</t>
  </si>
  <si>
    <t>(10)</t>
  </si>
  <si>
    <t>111. TSP</t>
  </si>
  <si>
    <t>Per ha</t>
  </si>
  <si>
    <t>Ampara west)</t>
  </si>
  <si>
    <t>(30)</t>
  </si>
  <si>
    <t>Hambantota</t>
  </si>
  <si>
    <t>Nilantha</t>
  </si>
  <si>
    <t>(22)</t>
  </si>
  <si>
    <t>Kurunegala</t>
  </si>
  <si>
    <t>General land preparation</t>
  </si>
  <si>
    <t>Plastering bunds</t>
  </si>
  <si>
    <t>Levelling and Boardcarsting</t>
  </si>
  <si>
    <t>Fertilizer application</t>
  </si>
  <si>
    <t>Weed control with weedicides</t>
  </si>
  <si>
    <t>Water management</t>
  </si>
  <si>
    <t>Total including imputed cost</t>
  </si>
  <si>
    <t xml:space="preserve">Total excluding imputed cost </t>
  </si>
  <si>
    <t>Bg360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</si>
  <si>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</si>
  <si>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</si>
  <si>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</si>
  <si>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</si>
  <si>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</si>
  <si>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</si>
  <si>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System H</t>
  </si>
  <si>
    <t>%</t>
  </si>
  <si>
    <t>Bg 360</t>
  </si>
  <si>
    <t>All Top Dress.</t>
  </si>
  <si>
    <t>Polonnaruwa</t>
  </si>
  <si>
    <t>System B</t>
  </si>
  <si>
    <t xml:space="preserve"> '- - Top Dress.</t>
  </si>
  <si>
    <t>System C</t>
  </si>
  <si>
    <t>1, 2, &amp; 3  Plough with 2wt</t>
  </si>
  <si>
    <t>Trincomalee</t>
  </si>
  <si>
    <t>Paddy (Rainfed)</t>
  </si>
  <si>
    <t>Kandy</t>
  </si>
  <si>
    <t>(12)</t>
  </si>
  <si>
    <t>(40)</t>
  </si>
  <si>
    <t>BG 352</t>
  </si>
  <si>
    <t>Kalutara</t>
  </si>
  <si>
    <t>Table:</t>
  </si>
  <si>
    <t xml:space="preserve">COST OF CULTIVATION PER ACRE OF PADDY  2014-15 MAHA SEASON - </t>
  </si>
  <si>
    <t>DISTRICT: Kalutara(IRRIGATED)</t>
  </si>
  <si>
    <t>Gampaha</t>
  </si>
  <si>
    <t xml:space="preserve">1, 2, &amp; 3  Plough with 2WT </t>
  </si>
  <si>
    <t>(1, 2, &amp; 3  Plough with 4WT)</t>
  </si>
  <si>
    <t>(Harvesting by manualy)</t>
  </si>
  <si>
    <t>1. TSP</t>
  </si>
  <si>
    <t>BW 367</t>
  </si>
  <si>
    <t>Top Dress.</t>
  </si>
  <si>
    <t>Note- Supply of Combined Harvesters is higher in the area</t>
  </si>
  <si>
    <t>Special remarks-</t>
  </si>
  <si>
    <t xml:space="preserve">  *Low yeild due to  rain </t>
  </si>
  <si>
    <t>(Harvesting by Reeper)</t>
  </si>
  <si>
    <t>(42)</t>
  </si>
  <si>
    <t>Bg 300</t>
  </si>
  <si>
    <t>Bg 366</t>
  </si>
  <si>
    <t>BG 300</t>
  </si>
  <si>
    <t>BG 367</t>
  </si>
  <si>
    <t>(8000)</t>
  </si>
  <si>
    <t>,(40)</t>
  </si>
  <si>
    <t>Harvesting &amp; drawing with com/har</t>
  </si>
  <si>
    <t>Threshing&amp; winnowing with 4w thresher</t>
  </si>
  <si>
    <t>Driying</t>
  </si>
  <si>
    <t>TOP Dressing</t>
  </si>
  <si>
    <t>(1, 2, &amp; 3  Plough with 2WT)</t>
  </si>
  <si>
    <t>Harvesting &amp; drawing (Mannualy)</t>
  </si>
  <si>
    <t>(4000)</t>
  </si>
  <si>
    <t>BG379/2</t>
  </si>
  <si>
    <t>TOP derssing</t>
  </si>
  <si>
    <t>Pest &amp; disease control</t>
  </si>
  <si>
    <t>Bw 367</t>
  </si>
  <si>
    <t>15-16 Maha</t>
  </si>
  <si>
    <t>1, 2, &amp; 3  Plough with 4WT</t>
  </si>
  <si>
    <t>BG 307</t>
  </si>
  <si>
    <t>Kiri samba</t>
  </si>
  <si>
    <t>(20)</t>
  </si>
  <si>
    <t>(5567)</t>
  </si>
  <si>
    <t>.(6)</t>
  </si>
  <si>
    <t>,(16000)</t>
  </si>
  <si>
    <t>Transport Produce to Stores with 4WT</t>
  </si>
  <si>
    <t>Pokuru Samba</t>
  </si>
  <si>
    <t>mean</t>
  </si>
  <si>
    <t>mode</t>
  </si>
  <si>
    <t>1st,2nd plough with 4wt</t>
  </si>
  <si>
    <t>7718</t>
  </si>
  <si>
    <t>870</t>
  </si>
  <si>
    <t>1st,2nd  plough with 2wt</t>
  </si>
  <si>
    <t>.(18)</t>
  </si>
  <si>
    <t>.(7235</t>
  </si>
  <si>
    <t>1st,2nd   ,3rdlough with 4wt</t>
  </si>
  <si>
    <t>.(24)</t>
  </si>
  <si>
    <t>.(8089</t>
  </si>
  <si>
    <t>1st,2nd   ,3rdlough with 2wt</t>
  </si>
  <si>
    <t>.(20)</t>
  </si>
  <si>
    <t>.(8563)</t>
  </si>
  <si>
    <t>2848</t>
  </si>
  <si>
    <t>Pest &amp;deseas controle</t>
  </si>
  <si>
    <t>1388</t>
  </si>
  <si>
    <t>Harvesting &amp; drawing (C/H)</t>
  </si>
  <si>
    <t>9824</t>
  </si>
  <si>
    <t>1404</t>
  </si>
  <si>
    <t>.(30)</t>
  </si>
  <si>
    <t>.(11000)</t>
  </si>
  <si>
    <t>Threshing &amp; winnoving with tsunami</t>
  </si>
  <si>
    <t>(3228)</t>
  </si>
  <si>
    <t>Dring</t>
  </si>
  <si>
    <t>614</t>
  </si>
  <si>
    <t>BG352</t>
  </si>
  <si>
    <t>BG359</t>
  </si>
  <si>
    <t>BG300</t>
  </si>
  <si>
    <t>1,1.5</t>
  </si>
  <si>
    <t>Comparison to previous  yala, total cost has increased  due to   repotted  to GLP and Drying</t>
  </si>
  <si>
    <t>(26)</t>
  </si>
  <si>
    <t>(9302)</t>
  </si>
  <si>
    <t xml:space="preserve">Total cost is apperently higher compared to previous Maha due to high cost recorded  in plough (2wt cost,) weeding and combine harvesting </t>
  </si>
  <si>
    <t>(7029)</t>
  </si>
  <si>
    <t>(13)</t>
  </si>
  <si>
    <t>(14676)</t>
  </si>
  <si>
    <t>(4118)</t>
  </si>
  <si>
    <t>(Threshing by Tsunami)</t>
  </si>
  <si>
    <t>(3273)</t>
  </si>
  <si>
    <t>Transport Produce to Stores with Tractors</t>
  </si>
  <si>
    <t>Comparison to previous  yala, total cost has increased  due to   high wage rate</t>
  </si>
  <si>
    <t>1, 2, &amp; 3  Plough with 4wt</t>
  </si>
  <si>
    <t>.(50)</t>
  </si>
  <si>
    <t>,(8150)</t>
  </si>
  <si>
    <t xml:space="preserve">Broadcasting </t>
  </si>
  <si>
    <t>Do manually</t>
  </si>
  <si>
    <t>,(24)</t>
  </si>
  <si>
    <t>,(10440)</t>
  </si>
  <si>
    <t>on contract</t>
  </si>
  <si>
    <t>,(18)</t>
  </si>
  <si>
    <t>,(10667)</t>
  </si>
  <si>
    <t>.(42)</t>
  </si>
  <si>
    <t>.(3484)</t>
  </si>
  <si>
    <t>All Top D.</t>
  </si>
  <si>
    <t>`(30)</t>
  </si>
  <si>
    <t>`(7500.00)</t>
  </si>
  <si>
    <t>Harvesting with combined carvester</t>
  </si>
  <si>
    <t>Harvesting - Manually</t>
  </si>
  <si>
    <t>`(14)</t>
  </si>
  <si>
    <t>`(9.22)</t>
  </si>
  <si>
    <t>`(2.33)</t>
  </si>
  <si>
    <t>`(11064.00)</t>
  </si>
  <si>
    <t>BW367</t>
  </si>
  <si>
    <t>BG366</t>
  </si>
  <si>
    <t>BG 450</t>
  </si>
  <si>
    <t>ha</t>
  </si>
  <si>
    <t xml:space="preserve">Note- </t>
  </si>
  <si>
    <t xml:space="preserve">                        Do with 2wt</t>
  </si>
  <si>
    <t>(6957)</t>
  </si>
  <si>
    <t xml:space="preserve"> leveling &amp; Broadcasting</t>
  </si>
  <si>
    <t>Harvesting  &amp; processing   C/H</t>
  </si>
  <si>
    <t xml:space="preserve">    </t>
  </si>
  <si>
    <t>Contract</t>
  </si>
  <si>
    <t>(10396)</t>
  </si>
  <si>
    <t>(3840)</t>
  </si>
  <si>
    <t>Threshing  with thresher</t>
  </si>
  <si>
    <t>.(3500)</t>
  </si>
  <si>
    <t>BG 360</t>
  </si>
  <si>
    <t>urea</t>
  </si>
  <si>
    <t xml:space="preserve">Meen </t>
  </si>
  <si>
    <t>mop</t>
  </si>
  <si>
    <t>own</t>
  </si>
  <si>
    <t>,(8052)</t>
  </si>
  <si>
    <t>Do with manually</t>
  </si>
  <si>
    <t>'(10)</t>
  </si>
  <si>
    <t>(11900)</t>
  </si>
  <si>
    <t>(3000)</t>
  </si>
  <si>
    <t>BG368</t>
  </si>
  <si>
    <t>BG 366</t>
  </si>
  <si>
    <t>90</t>
  </si>
  <si>
    <t>(6000)</t>
  </si>
  <si>
    <t>Kirisamba</t>
  </si>
  <si>
    <t>Comparison to previous  yala, total cost has decreased due to  not repotted  to pre  weedicide application</t>
  </si>
  <si>
    <t>(10880)</t>
  </si>
  <si>
    <t>(2)</t>
  </si>
  <si>
    <t>(Threshing with thresher)</t>
  </si>
  <si>
    <t>(32)</t>
  </si>
  <si>
    <t>(3082)</t>
  </si>
  <si>
    <t>per /ha</t>
  </si>
  <si>
    <t xml:space="preserve">     Remaining</t>
  </si>
  <si>
    <t>(Parachute)</t>
  </si>
  <si>
    <t>(7)</t>
  </si>
  <si>
    <t>(Mud nursery)</t>
  </si>
  <si>
    <t>(Transplanting)</t>
  </si>
  <si>
    <t>(3)</t>
  </si>
  <si>
    <t>All Nursery preparation</t>
  </si>
  <si>
    <t>1st2nd Plough with 2wt</t>
  </si>
  <si>
    <t>1st 2nd &amp; 3rd Plough with 2wt</t>
  </si>
  <si>
    <t>(24)</t>
  </si>
  <si>
    <t>(8992)</t>
  </si>
  <si>
    <t>(1st2nd Plough manually)</t>
  </si>
  <si>
    <t>.(13710)</t>
  </si>
  <si>
    <t>1st 2nd &amp;3rd Plough with Buffaloes</t>
  </si>
  <si>
    <t>10)</t>
  </si>
  <si>
    <t>(9000)</t>
  </si>
  <si>
    <t>.(3300)</t>
  </si>
  <si>
    <t>(2018)</t>
  </si>
  <si>
    <t>Transplanting</t>
  </si>
  <si>
    <t>Havesting and drowing Manu</t>
  </si>
  <si>
    <t>Threshing&amp;winnowing with agrimec</t>
  </si>
  <si>
    <t>(36.90)</t>
  </si>
  <si>
    <t>(54.70)</t>
  </si>
  <si>
    <t>Bg358</t>
  </si>
  <si>
    <t>Bg359</t>
  </si>
  <si>
    <t>Bg379/2</t>
  </si>
  <si>
    <t>Bg94/1</t>
  </si>
  <si>
    <t xml:space="preserve"> Top Dress.</t>
  </si>
  <si>
    <t>)</t>
  </si>
  <si>
    <t>1&amp; 2  Plough with 2wt</t>
  </si>
  <si>
    <t xml:space="preserve">       (1&amp; 2  Plough with 4wt)</t>
  </si>
  <si>
    <t>.(12)</t>
  </si>
  <si>
    <t>.(8178)</t>
  </si>
  <si>
    <t xml:space="preserve">      ( Do manual)</t>
  </si>
  <si>
    <t>.(15479)</t>
  </si>
  <si>
    <t xml:space="preserve">      ( Buffaloes)</t>
  </si>
  <si>
    <t>.(8400)</t>
  </si>
  <si>
    <t>Harvesting &amp; drawing</t>
  </si>
  <si>
    <t>(with combine Harvester)</t>
  </si>
  <si>
    <t>(9604)</t>
  </si>
  <si>
    <t>Winnowing with thresher</t>
  </si>
  <si>
    <t>Ld368</t>
  </si>
  <si>
    <t>Seed</t>
  </si>
  <si>
    <t>kurulu thuda</t>
  </si>
  <si>
    <t>Ld365</t>
  </si>
  <si>
    <t>Ld356</t>
  </si>
  <si>
    <t>(1112)</t>
  </si>
  <si>
    <t>.(8699)</t>
  </si>
  <si>
    <t xml:space="preserve">  (manually)</t>
  </si>
  <si>
    <t>.(14774)</t>
  </si>
  <si>
    <t xml:space="preserve">  9Threshing with Agrimec)</t>
  </si>
  <si>
    <t>.(1190)</t>
  </si>
  <si>
    <t>,(3467)</t>
  </si>
  <si>
    <t>Transport Produce to Stores with Tractor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</si>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</sst>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_)"/>
    <numFmt numFmtId="165" formatCode="0_)"/>
    <numFmt numFmtId="168" formatCode="0.0_)"/>
    <numFmt numFmtId="169" formatCode="0.0"/>
    <numFmt numFmtId="171" formatCode="0.0000"/>
  </numFmts>
  <fonts count="35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color rgb="FF00B050"/>
      <name val="Calibri"/>
      <family val="2"/>
      <scheme val="minor"/>
    </font>
    <font>
      <sz val="9"/>
      <name val="Times New Roman"/>
      <family val="1"/>
    </font>
    <font>
      <sz val="8"/>
      <name val="Comic Sans MS"/>
      <family val="4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i/>
      <sz val="10"/>
      <color theme="1"/>
      <name val="Times New Roman"/>
      <family val="1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9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color theme="1"/>
      <name val="Times New Roman"/>
      <family val="1"/>
    </font>
    <font>
      <sz val="9"/>
      <color indexed="8"/>
      <name val="Calibri"/>
      <family val="2"/>
    </font>
    <font>
      <b/>
      <sz val="8"/>
      <color indexed="81"/>
      <name val="Tahoma"/>
      <charset val="1"/>
    </font>
    <font>
      <sz val="8"/>
      <color indexed="81"/>
      <name val="Tahoma"/>
      <charset val="1"/>
    </font>
    <font>
      <b/>
      <sz val="12"/>
      <name val="Calibri"/>
      <family val="2"/>
      <scheme val="minor"/>
    </font>
    <font>
      <sz val="10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395">
    <xf numFmtId="0" fontId="0" fillId="0" borderId="0" xfId="0"/>
    <xf numFmtId="0" fontId="7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2" fontId="9" fillId="2" borderId="2" xfId="0" applyNumberFormat="1" applyFont="1" applyFill="1" applyBorder="1"/>
    <xf numFmtId="1" fontId="9" fillId="2" borderId="2" xfId="0" applyNumberFormat="1" applyFont="1" applyFill="1" applyBorder="1"/>
    <xf numFmtId="165" fontId="9" fillId="2" borderId="0" xfId="0" applyNumberFormat="1" applyFont="1" applyFill="1" applyBorder="1"/>
    <xf numFmtId="1" fontId="9" fillId="2" borderId="0" xfId="0" applyNumberFormat="1" applyFont="1" applyFill="1"/>
    <xf numFmtId="0" fontId="8" fillId="2" borderId="0" xfId="0" applyFont="1" applyFill="1"/>
    <xf numFmtId="0" fontId="0" fillId="2" borderId="0" xfId="0" applyFill="1"/>
    <xf numFmtId="164" fontId="9" fillId="2" borderId="1" xfId="0" applyNumberFormat="1" applyFont="1" applyFill="1" applyBorder="1" applyProtection="1"/>
    <xf numFmtId="165" fontId="9" fillId="2" borderId="1" xfId="0" applyNumberFormat="1" applyFont="1" applyFill="1" applyBorder="1" applyProtection="1"/>
    <xf numFmtId="0" fontId="15" fillId="2" borderId="0" xfId="0" applyFont="1" applyFill="1"/>
    <xf numFmtId="0" fontId="15" fillId="2" borderId="0" xfId="0" applyFont="1" applyFill="1" applyBorder="1"/>
    <xf numFmtId="164" fontId="9" fillId="2" borderId="0" xfId="0" applyNumberFormat="1" applyFont="1" applyFill="1" applyBorder="1" applyProtection="1"/>
    <xf numFmtId="165" fontId="9" fillId="2" borderId="0" xfId="0" applyNumberFormat="1" applyFont="1" applyFill="1" applyBorder="1" applyProtection="1"/>
    <xf numFmtId="164" fontId="9" fillId="2" borderId="2" xfId="0" applyNumberFormat="1" applyFont="1" applyFill="1" applyBorder="1" applyProtection="1"/>
    <xf numFmtId="165" fontId="9" fillId="2" borderId="2" xfId="0" applyNumberFormat="1" applyFont="1" applyFill="1" applyBorder="1" applyProtection="1"/>
    <xf numFmtId="164" fontId="9" fillId="2" borderId="0" xfId="0" applyNumberFormat="1" applyFont="1" applyFill="1" applyProtection="1"/>
    <xf numFmtId="165" fontId="9" fillId="2" borderId="0" xfId="0" applyNumberFormat="1" applyFont="1" applyFill="1" applyProtection="1"/>
    <xf numFmtId="165" fontId="9" fillId="2" borderId="0" xfId="0" quotePrefix="1" applyNumberFormat="1" applyFont="1" applyFill="1" applyProtection="1"/>
    <xf numFmtId="165" fontId="15" fillId="2" borderId="0" xfId="0" applyNumberFormat="1" applyFont="1" applyFill="1"/>
    <xf numFmtId="164" fontId="9" fillId="2" borderId="0" xfId="0" quotePrefix="1" applyNumberFormat="1" applyFont="1" applyFill="1" applyProtection="1"/>
    <xf numFmtId="164" fontId="9" fillId="2" borderId="2" xfId="0" applyNumberFormat="1" applyFont="1" applyFill="1" applyBorder="1" applyAlignment="1" applyProtection="1">
      <alignment horizontal="fill"/>
    </xf>
    <xf numFmtId="0" fontId="9" fillId="2" borderId="3" xfId="0" applyFont="1" applyFill="1" applyBorder="1"/>
    <xf numFmtId="2" fontId="9" fillId="2" borderId="0" xfId="0" applyNumberFormat="1" applyFont="1" applyFill="1"/>
    <xf numFmtId="1" fontId="15" fillId="2" borderId="0" xfId="0" applyNumberFormat="1" applyFont="1" applyFill="1"/>
    <xf numFmtId="165" fontId="15" fillId="2" borderId="0" xfId="0" applyNumberFormat="1" applyFont="1" applyFill="1" applyBorder="1"/>
    <xf numFmtId="1" fontId="9" fillId="2" borderId="0" xfId="0" quotePrefix="1" applyNumberFormat="1" applyFont="1" applyFill="1" applyProtection="1"/>
    <xf numFmtId="1" fontId="9" fillId="2" borderId="0" xfId="0" applyNumberFormat="1" applyFont="1" applyFill="1" applyProtection="1"/>
    <xf numFmtId="164" fontId="9" fillId="2" borderId="0" xfId="0" applyNumberFormat="1" applyFont="1" applyFill="1" applyBorder="1" applyAlignment="1" applyProtection="1">
      <alignment horizontal="fill"/>
    </xf>
    <xf numFmtId="0" fontId="9" fillId="2" borderId="0" xfId="0" applyFont="1" applyFill="1" applyBorder="1"/>
    <xf numFmtId="164" fontId="9" fillId="2" borderId="0" xfId="0" applyNumberFormat="1" applyFont="1" applyFill="1" applyBorder="1"/>
    <xf numFmtId="0" fontId="9" fillId="2" borderId="0" xfId="0" applyFont="1" applyFill="1"/>
    <xf numFmtId="0" fontId="9" fillId="2" borderId="2" xfId="0" applyFont="1" applyFill="1" applyBorder="1"/>
    <xf numFmtId="165" fontId="1" fillId="2" borderId="1" xfId="0" applyNumberFormat="1" applyFont="1" applyFill="1" applyBorder="1" applyProtection="1"/>
    <xf numFmtId="165" fontId="1" fillId="2" borderId="2" xfId="0" applyNumberFormat="1" applyFont="1" applyFill="1" applyBorder="1" applyProtection="1"/>
    <xf numFmtId="165" fontId="1" fillId="2" borderId="0" xfId="0" applyNumberFormat="1" applyFont="1" applyFill="1" applyProtection="1"/>
    <xf numFmtId="1" fontId="9" fillId="2" borderId="1" xfId="0" applyNumberFormat="1" applyFont="1" applyFill="1" applyBorder="1"/>
    <xf numFmtId="1" fontId="9" fillId="2" borderId="0" xfId="0" applyNumberFormat="1" applyFont="1" applyFill="1" applyBorder="1"/>
    <xf numFmtId="2" fontId="9" fillId="2" borderId="0" xfId="0" applyNumberFormat="1" applyFont="1" applyFill="1" applyBorder="1"/>
    <xf numFmtId="2" fontId="9" fillId="2" borderId="0" xfId="0" applyNumberFormat="1" applyFont="1" applyFill="1" applyProtection="1"/>
    <xf numFmtId="165" fontId="9" fillId="2" borderId="0" xfId="0" applyNumberFormat="1" applyFont="1" applyFill="1" applyBorder="1" applyAlignment="1" applyProtection="1">
      <alignment horizontal="right"/>
    </xf>
    <xf numFmtId="165" fontId="9" fillId="2" borderId="0" xfId="0" applyNumberFormat="1" applyFont="1" applyFill="1" applyAlignment="1" applyProtection="1">
      <alignment horizontal="right"/>
    </xf>
    <xf numFmtId="165" fontId="9" fillId="2" borderId="0" xfId="0" quotePrefix="1" applyNumberFormat="1" applyFont="1" applyFill="1" applyAlignment="1" applyProtection="1">
      <alignment horizontal="right"/>
    </xf>
    <xf numFmtId="0" fontId="9" fillId="2" borderId="0" xfId="0" applyNumberFormat="1" applyFont="1" applyFill="1" applyProtection="1"/>
    <xf numFmtId="0" fontId="17" fillId="2" borderId="0" xfId="0" applyFont="1" applyFill="1"/>
    <xf numFmtId="0" fontId="4" fillId="2" borderId="0" xfId="0" applyFont="1" applyFill="1"/>
    <xf numFmtId="0" fontId="4" fillId="2" borderId="0" xfId="0" applyFont="1" applyFill="1" applyBorder="1"/>
    <xf numFmtId="0" fontId="9" fillId="2" borderId="1" xfId="0" applyFont="1" applyFill="1" applyBorder="1"/>
    <xf numFmtId="0" fontId="9" fillId="2" borderId="0" xfId="0" applyFont="1" applyFill="1" applyBorder="1" applyAlignment="1">
      <alignment horizontal="right"/>
    </xf>
    <xf numFmtId="2" fontId="9" fillId="2" borderId="0" xfId="0" applyNumberFormat="1" applyFont="1" applyFill="1" applyBorder="1" applyAlignment="1">
      <alignment horizontal="right"/>
    </xf>
    <xf numFmtId="49" fontId="9" fillId="2" borderId="0" xfId="0" applyNumberFormat="1" applyFont="1" applyFill="1" applyAlignment="1" applyProtection="1">
      <alignment horizontal="right"/>
    </xf>
    <xf numFmtId="1" fontId="9" fillId="2" borderId="0" xfId="0" applyNumberFormat="1" applyFont="1" applyFill="1" applyAlignment="1">
      <alignment horizontal="right"/>
    </xf>
    <xf numFmtId="1" fontId="9" fillId="2" borderId="0" xfId="0" applyNumberFormat="1" applyFont="1" applyFill="1" applyAlignment="1" applyProtection="1">
      <alignment horizontal="right"/>
    </xf>
    <xf numFmtId="2" fontId="15" fillId="2" borderId="1" xfId="0" applyNumberFormat="1" applyFont="1" applyFill="1" applyBorder="1"/>
    <xf numFmtId="1" fontId="15" fillId="2" borderId="1" xfId="0" applyNumberFormat="1" applyFont="1" applyFill="1" applyBorder="1"/>
    <xf numFmtId="2" fontId="15" fillId="2" borderId="2" xfId="0" applyNumberFormat="1" applyFont="1" applyFill="1" applyBorder="1"/>
    <xf numFmtId="1" fontId="15" fillId="2" borderId="2" xfId="0" applyNumberFormat="1" applyFont="1" applyFill="1" applyBorder="1"/>
    <xf numFmtId="0" fontId="9" fillId="2" borderId="4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quotePrefix="1" applyFont="1" applyFill="1" applyBorder="1"/>
    <xf numFmtId="0" fontId="9" fillId="2" borderId="1" xfId="0" applyFont="1" applyFill="1" applyBorder="1" applyAlignment="1">
      <alignment horizontal="center"/>
    </xf>
    <xf numFmtId="165" fontId="9" fillId="2" borderId="0" xfId="0" applyNumberFormat="1" applyFont="1" applyFill="1"/>
    <xf numFmtId="164" fontId="9" fillId="2" borderId="2" xfId="0" applyNumberFormat="1" applyFont="1" applyFill="1" applyBorder="1"/>
    <xf numFmtId="0" fontId="9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5" fontId="1" fillId="2" borderId="0" xfId="0" quotePrefix="1" applyNumberFormat="1" applyFont="1" applyFill="1" applyProtection="1"/>
    <xf numFmtId="1" fontId="1" fillId="2" borderId="0" xfId="0" applyNumberFormat="1" applyFont="1" applyFill="1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2" fontId="9" fillId="2" borderId="3" xfId="0" applyNumberFormat="1" applyFont="1" applyFill="1" applyBorder="1"/>
    <xf numFmtId="0" fontId="6" fillId="2" borderId="3" xfId="0" applyFont="1" applyFill="1" applyBorder="1"/>
    <xf numFmtId="0" fontId="6" fillId="2" borderId="0" xfId="0" applyFont="1" applyFill="1" applyBorder="1"/>
    <xf numFmtId="164" fontId="1" fillId="2" borderId="0" xfId="0" applyNumberFormat="1" applyFont="1" applyFill="1" applyBorder="1" applyProtection="1"/>
    <xf numFmtId="165" fontId="1" fillId="2" borderId="0" xfId="0" applyNumberFormat="1" applyFont="1" applyFill="1" applyBorder="1"/>
    <xf numFmtId="0" fontId="1" fillId="2" borderId="0" xfId="0" applyNumberFormat="1" applyFont="1" applyFill="1"/>
    <xf numFmtId="0" fontId="23" fillId="2" borderId="0" xfId="0" applyFont="1" applyFill="1"/>
    <xf numFmtId="164" fontId="1" fillId="2" borderId="2" xfId="0" applyNumberFormat="1" applyFont="1" applyFill="1" applyBorder="1" applyAlignment="1" applyProtection="1">
      <alignment horizontal="fill"/>
    </xf>
    <xf numFmtId="164" fontId="1" fillId="2" borderId="2" xfId="0" applyNumberFormat="1" applyFont="1" applyFill="1" applyBorder="1" applyProtection="1"/>
    <xf numFmtId="164" fontId="1" fillId="2" borderId="0" xfId="0" applyNumberFormat="1" applyFont="1" applyFill="1" applyProtection="1"/>
    <xf numFmtId="0" fontId="0" fillId="2" borderId="0" xfId="0" applyFill="1" applyBorder="1"/>
    <xf numFmtId="164" fontId="6" fillId="2" borderId="1" xfId="0" applyNumberFormat="1" applyFont="1" applyFill="1" applyBorder="1" applyAlignment="1" applyProtection="1">
      <alignment horizontal="fill"/>
    </xf>
    <xf numFmtId="164" fontId="6" fillId="2" borderId="1" xfId="0" applyNumberFormat="1" applyFont="1" applyFill="1" applyBorder="1" applyAlignment="1" applyProtection="1">
      <alignment horizontal="left"/>
    </xf>
    <xf numFmtId="164" fontId="6" fillId="2" borderId="1" xfId="0" applyNumberFormat="1" applyFont="1" applyFill="1" applyBorder="1" applyProtection="1"/>
    <xf numFmtId="0" fontId="24" fillId="2" borderId="0" xfId="0" applyFont="1" applyFill="1"/>
    <xf numFmtId="164" fontId="6" fillId="2" borderId="0" xfId="0" applyNumberFormat="1" applyFont="1" applyFill="1" applyBorder="1" applyProtection="1"/>
    <xf numFmtId="0" fontId="24" fillId="2" borderId="0" xfId="0" applyFont="1" applyFill="1" applyBorder="1"/>
    <xf numFmtId="164" fontId="6" fillId="2" borderId="2" xfId="0" applyNumberFormat="1" applyFont="1" applyFill="1" applyBorder="1" applyProtection="1"/>
    <xf numFmtId="0" fontId="6" fillId="2" borderId="0" xfId="0" applyNumberFormat="1" applyFont="1" applyFill="1" applyBorder="1" applyProtection="1"/>
    <xf numFmtId="2" fontId="6" fillId="2" borderId="0" xfId="0" applyNumberFormat="1" applyFont="1" applyFill="1" applyBorder="1" applyAlignment="1" applyProtection="1">
      <alignment horizontal="center"/>
    </xf>
    <xf numFmtId="0" fontId="6" fillId="2" borderId="0" xfId="0" applyNumberFormat="1" applyFont="1" applyFill="1" applyBorder="1" applyAlignment="1" applyProtection="1">
      <alignment horizontal="center"/>
    </xf>
    <xf numFmtId="165" fontId="6" fillId="2" borderId="0" xfId="0" applyNumberFormat="1" applyFont="1" applyFill="1" applyBorder="1" applyProtection="1"/>
    <xf numFmtId="165" fontId="6" fillId="2" borderId="0" xfId="0" applyNumberFormat="1" applyFont="1" applyFill="1" applyBorder="1" applyAlignment="1" applyProtection="1"/>
    <xf numFmtId="1" fontId="24" fillId="2" borderId="0" xfId="0" applyNumberFormat="1" applyFont="1" applyFill="1"/>
    <xf numFmtId="164" fontId="6" fillId="2" borderId="0" xfId="0" applyNumberFormat="1" applyFont="1" applyFill="1" applyProtection="1"/>
    <xf numFmtId="2" fontId="6" fillId="2" borderId="0" xfId="0" quotePrefix="1" applyNumberFormat="1" applyFont="1" applyFill="1" applyAlignment="1" applyProtection="1">
      <alignment horizontal="center"/>
    </xf>
    <xf numFmtId="169" fontId="6" fillId="2" borderId="0" xfId="0" applyNumberFormat="1" applyFont="1" applyFill="1" applyAlignment="1" applyProtection="1">
      <alignment horizontal="center"/>
    </xf>
    <xf numFmtId="0" fontId="6" fillId="2" borderId="0" xfId="0" applyNumberFormat="1" applyFont="1" applyFill="1" applyProtection="1"/>
    <xf numFmtId="165" fontId="6" fillId="2" borderId="0" xfId="0" applyNumberFormat="1" applyFont="1" applyFill="1" applyProtection="1"/>
    <xf numFmtId="49" fontId="6" fillId="2" borderId="0" xfId="0" applyNumberFormat="1" applyFont="1" applyFill="1" applyProtection="1"/>
    <xf numFmtId="165" fontId="24" fillId="2" borderId="0" xfId="0" applyNumberFormat="1" applyFont="1" applyFill="1"/>
    <xf numFmtId="2" fontId="6" fillId="2" borderId="0" xfId="0" applyNumberFormat="1" applyFont="1" applyFill="1" applyAlignment="1" applyProtection="1">
      <alignment horizontal="center"/>
    </xf>
    <xf numFmtId="0" fontId="6" fillId="2" borderId="0" xfId="0" applyNumberFormat="1" applyFont="1" applyFill="1" applyAlignment="1" applyProtection="1">
      <alignment horizontal="center"/>
    </xf>
    <xf numFmtId="0" fontId="6" fillId="2" borderId="0" xfId="0" quotePrefix="1" applyNumberFormat="1" applyFont="1" applyFill="1" applyProtection="1"/>
    <xf numFmtId="169" fontId="6" fillId="2" borderId="0" xfId="0" quotePrefix="1" applyNumberFormat="1" applyFont="1" applyFill="1" applyAlignment="1" applyProtection="1">
      <alignment horizontal="center"/>
    </xf>
    <xf numFmtId="165" fontId="6" fillId="2" borderId="0" xfId="0" quotePrefix="1" applyNumberFormat="1" applyFont="1" applyFill="1" applyProtection="1"/>
    <xf numFmtId="0" fontId="6" fillId="2" borderId="0" xfId="0" quotePrefix="1" applyNumberFormat="1" applyFont="1" applyFill="1" applyAlignment="1" applyProtection="1">
      <alignment horizontal="center"/>
    </xf>
    <xf numFmtId="1" fontId="6" fillId="2" borderId="2" xfId="0" applyNumberFormat="1" applyFont="1" applyFill="1" applyBorder="1" applyProtection="1"/>
    <xf numFmtId="2" fontId="6" fillId="2" borderId="2" xfId="0" applyNumberFormat="1" applyFont="1" applyFill="1" applyBorder="1" applyAlignment="1" applyProtection="1">
      <alignment horizontal="center"/>
    </xf>
    <xf numFmtId="0" fontId="6" fillId="2" borderId="2" xfId="0" applyNumberFormat="1" applyFont="1" applyFill="1" applyBorder="1" applyAlignment="1" applyProtection="1">
      <alignment horizontal="center"/>
    </xf>
    <xf numFmtId="0" fontId="6" fillId="2" borderId="2" xfId="0" applyNumberFormat="1" applyFont="1" applyFill="1" applyBorder="1" applyProtection="1"/>
    <xf numFmtId="165" fontId="6" fillId="2" borderId="2" xfId="0" applyNumberFormat="1" applyFont="1" applyFill="1" applyBorder="1" applyProtection="1"/>
    <xf numFmtId="165" fontId="6" fillId="2" borderId="1" xfId="0" applyNumberFormat="1" applyFont="1" applyFill="1" applyBorder="1" applyProtection="1"/>
    <xf numFmtId="171" fontId="24" fillId="2" borderId="0" xfId="0" applyNumberFormat="1" applyFont="1" applyFill="1" applyBorder="1"/>
    <xf numFmtId="164" fontId="24" fillId="2" borderId="0" xfId="0" applyNumberFormat="1" applyFont="1" applyFill="1"/>
    <xf numFmtId="164" fontId="6" fillId="2" borderId="2" xfId="0" applyNumberFormat="1" applyFont="1" applyFill="1" applyBorder="1" applyAlignment="1" applyProtection="1">
      <alignment horizontal="fill"/>
    </xf>
    <xf numFmtId="169" fontId="6" fillId="2" borderId="0" xfId="0" applyNumberFormat="1" applyFont="1" applyFill="1" applyBorder="1"/>
    <xf numFmtId="2" fontId="6" fillId="2" borderId="0" xfId="0" applyNumberFormat="1" applyFont="1" applyFill="1" applyBorder="1"/>
    <xf numFmtId="164" fontId="6" fillId="2" borderId="3" xfId="0" applyNumberFormat="1" applyFont="1" applyFill="1" applyBorder="1" applyAlignment="1" applyProtection="1">
      <alignment horizontal="center"/>
    </xf>
    <xf numFmtId="0" fontId="6" fillId="2" borderId="3" xfId="0" applyFont="1" applyFill="1" applyBorder="1" applyAlignment="1">
      <alignment horizontal="center"/>
    </xf>
    <xf numFmtId="1" fontId="24" fillId="2" borderId="3" xfId="0" applyNumberFormat="1" applyFont="1" applyFill="1" applyBorder="1" applyAlignment="1">
      <alignment horizontal="center"/>
    </xf>
    <xf numFmtId="0" fontId="6" fillId="2" borderId="0" xfId="0" applyFont="1" applyFill="1"/>
    <xf numFmtId="0" fontId="24" fillId="2" borderId="3" xfId="0" applyFont="1" applyFill="1" applyBorder="1" applyAlignment="1">
      <alignment horizontal="center"/>
    </xf>
    <xf numFmtId="164" fontId="22" fillId="2" borderId="0" xfId="0" applyNumberFormat="1" applyFont="1" applyFill="1" applyProtection="1"/>
    <xf numFmtId="0" fontId="7" fillId="2" borderId="0" xfId="1" applyFont="1" applyFill="1" applyBorder="1" applyAlignment="1">
      <alignment horizontal="left" vertical="top"/>
    </xf>
    <xf numFmtId="165" fontId="6" fillId="2" borderId="3" xfId="0" applyNumberFormat="1" applyFont="1" applyFill="1" applyBorder="1" applyAlignment="1" applyProtection="1">
      <alignment horizontal="center"/>
    </xf>
    <xf numFmtId="164" fontId="6" fillId="2" borderId="0" xfId="0" quotePrefix="1" applyNumberFormat="1" applyFont="1" applyFill="1" applyProtection="1"/>
    <xf numFmtId="164" fontId="6" fillId="2" borderId="6" xfId="0" applyNumberFormat="1" applyFont="1" applyFill="1" applyBorder="1" applyAlignment="1" applyProtection="1">
      <alignment horizontal="center"/>
    </xf>
    <xf numFmtId="164" fontId="6" fillId="2" borderId="7" xfId="0" applyNumberFormat="1" applyFont="1" applyFill="1" applyBorder="1" applyAlignment="1" applyProtection="1">
      <alignment horizontal="center"/>
    </xf>
    <xf numFmtId="164" fontId="6" fillId="2" borderId="5" xfId="0" applyNumberFormat="1" applyFont="1" applyFill="1" applyBorder="1" applyAlignment="1" applyProtection="1">
      <alignment horizontal="center"/>
    </xf>
    <xf numFmtId="164" fontId="6" fillId="2" borderId="8" xfId="0" applyNumberFormat="1" applyFont="1" applyFill="1" applyBorder="1" applyAlignment="1" applyProtection="1">
      <alignment horizontal="center"/>
    </xf>
    <xf numFmtId="2" fontId="6" fillId="2" borderId="0" xfId="0" applyNumberFormat="1" applyFont="1" applyFill="1" applyBorder="1" applyProtection="1"/>
    <xf numFmtId="0" fontId="25" fillId="2" borderId="0" xfId="0" applyFont="1" applyFill="1"/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10" fillId="2" borderId="0" xfId="0" applyFont="1" applyFill="1"/>
    <xf numFmtId="0" fontId="10" fillId="2" borderId="0" xfId="0" applyFont="1" applyFill="1" applyBorder="1"/>
    <xf numFmtId="0" fontId="10" fillId="2" borderId="0" xfId="0" applyFont="1" applyFill="1" applyBorder="1" applyAlignment="1">
      <alignment horizontal="right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right"/>
    </xf>
    <xf numFmtId="165" fontId="10" fillId="2" borderId="0" xfId="0" quotePrefix="1" applyNumberFormat="1" applyFont="1" applyFill="1" applyProtection="1"/>
    <xf numFmtId="2" fontId="10" fillId="2" borderId="0" xfId="0" applyNumberFormat="1" applyFont="1" applyFill="1"/>
    <xf numFmtId="2" fontId="10" fillId="2" borderId="0" xfId="0" applyNumberFormat="1" applyFont="1" applyFill="1" applyProtection="1"/>
    <xf numFmtId="165" fontId="10" fillId="2" borderId="1" xfId="0" applyNumberFormat="1" applyFont="1" applyFill="1" applyBorder="1" applyProtection="1"/>
    <xf numFmtId="2" fontId="10" fillId="2" borderId="1" xfId="0" applyNumberFormat="1" applyFont="1" applyFill="1" applyBorder="1"/>
    <xf numFmtId="165" fontId="10" fillId="2" borderId="2" xfId="0" applyNumberFormat="1" applyFont="1" applyFill="1" applyBorder="1" applyProtection="1"/>
    <xf numFmtId="2" fontId="10" fillId="2" borderId="2" xfId="0" applyNumberFormat="1" applyFont="1" applyFill="1" applyBorder="1"/>
    <xf numFmtId="0" fontId="10" fillId="2" borderId="4" xfId="0" applyFont="1" applyFill="1" applyBorder="1"/>
    <xf numFmtId="0" fontId="26" fillId="2" borderId="3" xfId="0" applyFont="1" applyFill="1" applyBorder="1" applyAlignment="1">
      <alignment horizontal="center" vertical="center"/>
    </xf>
    <xf numFmtId="2" fontId="5" fillId="2" borderId="3" xfId="0" applyNumberFormat="1" applyFont="1" applyFill="1" applyBorder="1"/>
    <xf numFmtId="0" fontId="0" fillId="2" borderId="3" xfId="0" applyFill="1" applyBorder="1"/>
    <xf numFmtId="0" fontId="10" fillId="2" borderId="0" xfId="0" quotePrefix="1" applyFont="1" applyFill="1" applyBorder="1" applyAlignment="1">
      <alignment horizontal="left"/>
    </xf>
    <xf numFmtId="2" fontId="10" fillId="2" borderId="0" xfId="0" applyNumberFormat="1" applyFont="1" applyFill="1" applyBorder="1"/>
    <xf numFmtId="164" fontId="10" fillId="2" borderId="0" xfId="0" applyNumberFormat="1" applyFont="1" applyFill="1" applyBorder="1" applyProtection="1"/>
    <xf numFmtId="0" fontId="5" fillId="2" borderId="0" xfId="0" applyFont="1" applyFill="1"/>
    <xf numFmtId="164" fontId="10" fillId="2" borderId="0" xfId="0" applyNumberFormat="1" applyFont="1" applyFill="1" applyBorder="1"/>
    <xf numFmtId="164" fontId="10" fillId="2" borderId="2" xfId="0" applyNumberFormat="1" applyFont="1" applyFill="1" applyBorder="1"/>
    <xf numFmtId="0" fontId="27" fillId="2" borderId="0" xfId="0" applyFont="1" applyFill="1"/>
    <xf numFmtId="0" fontId="13" fillId="2" borderId="0" xfId="0" applyFont="1" applyFill="1"/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right"/>
    </xf>
    <xf numFmtId="2" fontId="9" fillId="2" borderId="0" xfId="0" applyNumberFormat="1" applyFont="1" applyFill="1" applyAlignment="1">
      <alignment horizontal="right"/>
    </xf>
    <xf numFmtId="165" fontId="9" fillId="2" borderId="0" xfId="0" quotePrefix="1" applyNumberFormat="1" applyFont="1" applyFill="1" applyBorder="1" applyAlignment="1" applyProtection="1">
      <alignment horizontal="right"/>
    </xf>
    <xf numFmtId="2" fontId="9" fillId="2" borderId="0" xfId="0" applyNumberFormat="1" applyFont="1" applyFill="1" applyBorder="1" applyProtection="1"/>
    <xf numFmtId="2" fontId="9" fillId="2" borderId="0" xfId="0" quotePrefix="1" applyNumberFormat="1" applyFont="1" applyFill="1" applyAlignment="1">
      <alignment horizontal="right"/>
    </xf>
    <xf numFmtId="1" fontId="9" fillId="2" borderId="0" xfId="0" quotePrefix="1" applyNumberFormat="1" applyFont="1" applyFill="1" applyAlignment="1" applyProtection="1">
      <alignment horizontal="right"/>
    </xf>
    <xf numFmtId="1" fontId="9" fillId="2" borderId="0" xfId="0" quotePrefix="1" applyNumberFormat="1" applyFont="1" applyFill="1" applyAlignment="1">
      <alignment horizontal="right"/>
    </xf>
    <xf numFmtId="165" fontId="9" fillId="2" borderId="0" xfId="0" quotePrefix="1" applyNumberFormat="1" applyFont="1" applyFill="1" applyBorder="1" applyAlignment="1" applyProtection="1">
      <alignment horizontal="right" vertical="center"/>
    </xf>
    <xf numFmtId="2" fontId="9" fillId="2" borderId="0" xfId="0" quotePrefix="1" applyNumberFormat="1" applyFont="1" applyFill="1" applyBorder="1" applyAlignment="1">
      <alignment horizontal="center" vertical="center"/>
    </xf>
    <xf numFmtId="2" fontId="9" fillId="2" borderId="0" xfId="0" quotePrefix="1" applyNumberFormat="1" applyFont="1" applyFill="1" applyBorder="1" applyAlignment="1" applyProtection="1">
      <alignment horizontal="center" vertical="center"/>
    </xf>
    <xf numFmtId="2" fontId="9" fillId="2" borderId="0" xfId="0" applyNumberFormat="1" applyFont="1" applyFill="1" applyBorder="1" applyAlignment="1">
      <alignment horizontal="center" vertical="center"/>
    </xf>
    <xf numFmtId="2" fontId="9" fillId="2" borderId="0" xfId="0" quotePrefix="1" applyNumberFormat="1" applyFont="1" applyFill="1" applyBorder="1"/>
    <xf numFmtId="2" fontId="9" fillId="2" borderId="0" xfId="0" quotePrefix="1" applyNumberFormat="1" applyFont="1" applyFill="1" applyBorder="1" applyProtection="1"/>
    <xf numFmtId="2" fontId="9" fillId="2" borderId="0" xfId="0" quotePrefix="1" applyNumberFormat="1" applyFont="1" applyFill="1" applyBorder="1" applyAlignment="1">
      <alignment horizontal="right"/>
    </xf>
    <xf numFmtId="165" fontId="9" fillId="2" borderId="0" xfId="0" quotePrefix="1" applyNumberFormat="1" applyFont="1" applyFill="1" applyBorder="1" applyProtection="1"/>
    <xf numFmtId="2" fontId="9" fillId="2" borderId="1" xfId="0" applyNumberFormat="1" applyFont="1" applyFill="1" applyBorder="1"/>
    <xf numFmtId="0" fontId="12" fillId="2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" fontId="9" fillId="2" borderId="3" xfId="0" applyNumberFormat="1" applyFont="1" applyFill="1" applyBorder="1"/>
    <xf numFmtId="0" fontId="9" fillId="2" borderId="0" xfId="0" quotePrefix="1" applyFont="1" applyFill="1" applyBorder="1" applyAlignment="1">
      <alignment horizontal="left"/>
    </xf>
    <xf numFmtId="0" fontId="12" fillId="2" borderId="0" xfId="0" applyFont="1" applyFill="1" applyBorder="1"/>
    <xf numFmtId="1" fontId="9" fillId="2" borderId="0" xfId="0" quotePrefix="1" applyNumberFormat="1" applyFont="1" applyFill="1" applyBorder="1"/>
    <xf numFmtId="2" fontId="5" fillId="2" borderId="0" xfId="0" applyNumberFormat="1" applyFont="1" applyFill="1"/>
    <xf numFmtId="164" fontId="1" fillId="2" borderId="1" xfId="0" applyNumberFormat="1" applyFont="1" applyFill="1" applyBorder="1" applyProtection="1"/>
    <xf numFmtId="2" fontId="1" fillId="2" borderId="0" xfId="0" applyNumberFormat="1" applyFont="1" applyFill="1" applyAlignment="1"/>
    <xf numFmtId="2" fontId="1" fillId="2" borderId="0" xfId="0" applyNumberFormat="1" applyFont="1" applyFill="1" applyBorder="1" applyProtection="1"/>
    <xf numFmtId="49" fontId="1" fillId="2" borderId="0" xfId="0" applyNumberFormat="1" applyFont="1" applyFill="1" applyProtection="1"/>
    <xf numFmtId="165" fontId="0" fillId="2" borderId="0" xfId="0" applyNumberFormat="1" applyFill="1"/>
    <xf numFmtId="165" fontId="1" fillId="2" borderId="0" xfId="0" applyNumberFormat="1" applyFont="1" applyFill="1" applyAlignment="1" applyProtection="1">
      <alignment vertical="center"/>
    </xf>
    <xf numFmtId="164" fontId="0" fillId="2" borderId="0" xfId="0" applyNumberFormat="1" applyFill="1"/>
    <xf numFmtId="165" fontId="1" fillId="2" borderId="0" xfId="0" applyNumberFormat="1" applyFont="1" applyFill="1" applyBorder="1" applyProtection="1"/>
    <xf numFmtId="164" fontId="1" fillId="2" borderId="0" xfId="0" applyNumberFormat="1" applyFont="1" applyFill="1" applyBorder="1" applyAlignment="1" applyProtection="1">
      <alignment horizontal="fill"/>
    </xf>
    <xf numFmtId="164" fontId="1" fillId="2" borderId="9" xfId="0" applyNumberFormat="1" applyFont="1" applyFill="1" applyBorder="1" applyAlignment="1" applyProtection="1">
      <alignment horizontal="fill"/>
    </xf>
    <xf numFmtId="164" fontId="1" fillId="2" borderId="3" xfId="0" applyNumberFormat="1" applyFont="1" applyFill="1" applyBorder="1" applyProtection="1"/>
    <xf numFmtId="164" fontId="2" fillId="2" borderId="3" xfId="0" applyNumberFormat="1" applyFont="1" applyFill="1" applyBorder="1" applyProtection="1"/>
    <xf numFmtId="2" fontId="3" fillId="2" borderId="3" xfId="0" applyNumberFormat="1" applyFont="1" applyFill="1" applyBorder="1"/>
    <xf numFmtId="0" fontId="5" fillId="2" borderId="0" xfId="0" applyNumberFormat="1" applyFont="1" applyFill="1" applyBorder="1" applyProtection="1"/>
    <xf numFmtId="2" fontId="3" fillId="2" borderId="0" xfId="0" applyNumberFormat="1" applyFont="1" applyFill="1"/>
    <xf numFmtId="164" fontId="2" fillId="2" borderId="0" xfId="0" applyNumberFormat="1" applyFont="1" applyFill="1" applyProtection="1"/>
    <xf numFmtId="2" fontId="0" fillId="2" borderId="0" xfId="0" applyNumberFormat="1" applyFill="1"/>
    <xf numFmtId="165" fontId="1" fillId="2" borderId="0" xfId="0" applyNumberFormat="1" applyFont="1" applyFill="1" applyAlignment="1" applyProtection="1">
      <alignment horizontal="left"/>
    </xf>
    <xf numFmtId="164" fontId="1" fillId="2" borderId="0" xfId="0" quotePrefix="1" applyNumberFormat="1" applyFont="1" applyFill="1" applyProtection="1"/>
    <xf numFmtId="164" fontId="1" fillId="2" borderId="0" xfId="0" applyNumberFormat="1" applyFont="1" applyFill="1" applyAlignment="1" applyProtection="1">
      <alignment horizontal="right"/>
    </xf>
    <xf numFmtId="2" fontId="4" fillId="2" borderId="0" xfId="0" applyNumberFormat="1" applyFont="1" applyFill="1"/>
    <xf numFmtId="164" fontId="1" fillId="2" borderId="0" xfId="0" applyNumberFormat="1" applyFont="1" applyFill="1" applyAlignment="1" applyProtection="1">
      <alignment horizontal="left"/>
    </xf>
    <xf numFmtId="165" fontId="0" fillId="2" borderId="0" xfId="0" applyNumberFormat="1" applyFill="1" applyBorder="1"/>
    <xf numFmtId="164" fontId="1" fillId="2" borderId="4" xfId="0" applyNumberFormat="1" applyFont="1" applyFill="1" applyBorder="1" applyProtection="1"/>
    <xf numFmtId="164" fontId="2" fillId="2" borderId="0" xfId="0" applyNumberFormat="1" applyFont="1" applyFill="1" applyBorder="1" applyProtection="1"/>
    <xf numFmtId="0" fontId="19" fillId="2" borderId="0" xfId="0" applyFont="1" applyFill="1"/>
    <xf numFmtId="169" fontId="9" fillId="2" borderId="0" xfId="0" applyNumberFormat="1" applyFont="1" applyFill="1"/>
    <xf numFmtId="2" fontId="9" fillId="2" borderId="0" xfId="0" quotePrefix="1" applyNumberFormat="1" applyFont="1" applyFill="1"/>
    <xf numFmtId="2" fontId="9" fillId="2" borderId="0" xfId="0" quotePrefix="1" applyNumberFormat="1" applyFont="1" applyFill="1" applyProtection="1"/>
    <xf numFmtId="1" fontId="9" fillId="2" borderId="0" xfId="0" quotePrefix="1" applyNumberFormat="1" applyFont="1" applyFill="1"/>
    <xf numFmtId="164" fontId="9" fillId="2" borderId="0" xfId="0" quotePrefix="1" applyNumberFormat="1" applyFont="1" applyFill="1" applyAlignment="1" applyProtection="1"/>
    <xf numFmtId="0" fontId="15" fillId="2" borderId="0" xfId="0" applyFont="1" applyFill="1" applyBorder="1" applyAlignment="1">
      <alignment horizontal="center"/>
    </xf>
    <xf numFmtId="1" fontId="15" fillId="2" borderId="0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2" fontId="9" fillId="2" borderId="0" xfId="0" applyNumberFormat="1" applyFont="1" applyFill="1" applyAlignment="1">
      <alignment horizontal="center"/>
    </xf>
    <xf numFmtId="2" fontId="15" fillId="2" borderId="0" xfId="0" applyNumberFormat="1" applyFont="1" applyFill="1" applyBorder="1"/>
    <xf numFmtId="2" fontId="15" fillId="2" borderId="0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right"/>
    </xf>
    <xf numFmtId="1" fontId="9" fillId="2" borderId="0" xfId="0" applyNumberFormat="1" applyFont="1" applyFill="1" applyBorder="1" applyProtection="1"/>
    <xf numFmtId="0" fontId="11" fillId="2" borderId="0" xfId="0" applyFont="1" applyFill="1" applyBorder="1"/>
    <xf numFmtId="0" fontId="9" fillId="2" borderId="0" xfId="0" applyFont="1" applyFill="1" applyBorder="1" applyAlignment="1">
      <alignment horizontal="left"/>
    </xf>
    <xf numFmtId="1" fontId="19" fillId="2" borderId="0" xfId="0" applyNumberFormat="1" applyFont="1" applyFill="1"/>
    <xf numFmtId="165" fontId="15" fillId="2" borderId="0" xfId="0" applyNumberFormat="1" applyFont="1" applyFill="1" applyProtection="1"/>
    <xf numFmtId="2" fontId="15" fillId="2" borderId="0" xfId="0" applyNumberFormat="1" applyFont="1" applyFill="1"/>
    <xf numFmtId="1" fontId="15" fillId="2" borderId="0" xfId="0" applyNumberFormat="1" applyFont="1" applyFill="1" applyProtection="1"/>
    <xf numFmtId="0" fontId="0" fillId="2" borderId="0" xfId="0" applyFont="1" applyFill="1"/>
    <xf numFmtId="1" fontId="0" fillId="2" borderId="0" xfId="0" applyNumberFormat="1" applyFont="1" applyFill="1"/>
    <xf numFmtId="1" fontId="11" fillId="2" borderId="0" xfId="0" applyNumberFormat="1" applyFont="1" applyFill="1"/>
    <xf numFmtId="0" fontId="15" fillId="2" borderId="1" xfId="0" applyFont="1" applyFill="1" applyBorder="1"/>
    <xf numFmtId="165" fontId="15" fillId="2" borderId="1" xfId="0" applyNumberFormat="1" applyFont="1" applyFill="1" applyBorder="1" applyProtection="1"/>
    <xf numFmtId="0" fontId="15" fillId="2" borderId="2" xfId="0" applyFont="1" applyFill="1" applyBorder="1"/>
    <xf numFmtId="165" fontId="15" fillId="2" borderId="2" xfId="0" applyNumberFormat="1" applyFont="1" applyFill="1" applyBorder="1" applyProtection="1"/>
    <xf numFmtId="2" fontId="0" fillId="2" borderId="0" xfId="0" applyNumberFormat="1" applyFont="1" applyFill="1"/>
    <xf numFmtId="164" fontId="3" fillId="2" borderId="1" xfId="0" applyNumberFormat="1" applyFont="1" applyFill="1" applyBorder="1" applyProtection="1"/>
    <xf numFmtId="0" fontId="15" fillId="2" borderId="3" xfId="0" applyFont="1" applyFill="1" applyBorder="1"/>
    <xf numFmtId="2" fontId="15" fillId="2" borderId="3" xfId="0" applyNumberFormat="1" applyFont="1" applyFill="1" applyBorder="1"/>
    <xf numFmtId="0" fontId="5" fillId="2" borderId="3" xfId="0" applyFont="1" applyFill="1" applyBorder="1"/>
    <xf numFmtId="0" fontId="19" fillId="2" borderId="3" xfId="0" applyFont="1" applyFill="1" applyBorder="1"/>
    <xf numFmtId="0" fontId="15" fillId="2" borderId="0" xfId="0" applyFont="1" applyFill="1" applyBorder="1" applyAlignment="1">
      <alignment horizontal="left"/>
    </xf>
    <xf numFmtId="0" fontId="15" fillId="2" borderId="0" xfId="0" quotePrefix="1" applyFont="1" applyFill="1" applyBorder="1"/>
    <xf numFmtId="1" fontId="15" fillId="2" borderId="0" xfId="0" applyNumberFormat="1" applyFont="1" applyFill="1" applyBorder="1"/>
    <xf numFmtId="0" fontId="15" fillId="2" borderId="0" xfId="0" applyNumberFormat="1" applyFont="1" applyFill="1" applyBorder="1" applyProtection="1"/>
    <xf numFmtId="2" fontId="15" fillId="2" borderId="0" xfId="0" applyNumberFormat="1" applyFont="1" applyFill="1" applyBorder="1" applyProtection="1"/>
    <xf numFmtId="0" fontId="15" fillId="2" borderId="0" xfId="0" applyFont="1" applyFill="1" applyAlignment="1">
      <alignment horizontal="left"/>
    </xf>
    <xf numFmtId="0" fontId="15" fillId="2" borderId="2" xfId="0" quotePrefix="1" applyFont="1" applyFill="1" applyBorder="1"/>
    <xf numFmtId="0" fontId="15" fillId="2" borderId="10" xfId="0" applyFont="1" applyFill="1" applyBorder="1"/>
    <xf numFmtId="0" fontId="15" fillId="2" borderId="11" xfId="0" applyFont="1" applyFill="1" applyBorder="1"/>
    <xf numFmtId="0" fontId="28" fillId="2" borderId="1" xfId="0" applyFont="1" applyFill="1" applyBorder="1"/>
    <xf numFmtId="0" fontId="28" fillId="2" borderId="0" xfId="0" applyFont="1" applyFill="1"/>
    <xf numFmtId="164" fontId="15" fillId="2" borderId="0" xfId="0" applyNumberFormat="1" applyFont="1" applyFill="1" applyBorder="1" applyProtection="1"/>
    <xf numFmtId="164" fontId="15" fillId="2" borderId="0" xfId="0" applyNumberFormat="1" applyFont="1" applyFill="1" applyBorder="1"/>
    <xf numFmtId="165" fontId="0" fillId="2" borderId="0" xfId="0" applyNumberFormat="1" applyFont="1" applyFill="1"/>
    <xf numFmtId="164" fontId="15" fillId="2" borderId="2" xfId="0" applyNumberFormat="1" applyFont="1" applyFill="1" applyBorder="1"/>
    <xf numFmtId="165" fontId="10" fillId="2" borderId="0" xfId="0" applyNumberFormat="1" applyFont="1" applyFill="1" applyProtection="1"/>
    <xf numFmtId="1" fontId="10" fillId="2" borderId="0" xfId="0" applyNumberFormat="1" applyFont="1" applyFill="1"/>
    <xf numFmtId="1" fontId="10" fillId="2" borderId="1" xfId="0" applyNumberFormat="1" applyFont="1" applyFill="1" applyBorder="1"/>
    <xf numFmtId="2" fontId="5" fillId="2" borderId="3" xfId="0" applyNumberFormat="1" applyFont="1" applyFill="1" applyBorder="1" applyAlignment="1">
      <alignment horizontal="right"/>
    </xf>
    <xf numFmtId="0" fontId="0" fillId="2" borderId="3" xfId="0" applyFont="1" applyFill="1" applyBorder="1"/>
    <xf numFmtId="2" fontId="21" fillId="2" borderId="3" xfId="0" applyNumberFormat="1" applyFont="1" applyFill="1" applyBorder="1" applyAlignment="1">
      <alignment horizontal="right"/>
    </xf>
    <xf numFmtId="2" fontId="5" fillId="2" borderId="3" xfId="0" applyNumberFormat="1" applyFont="1" applyFill="1" applyBorder="1" applyAlignment="1" applyProtection="1">
      <alignment horizontal="right"/>
    </xf>
    <xf numFmtId="0" fontId="7" fillId="2" borderId="3" xfId="0" applyFont="1" applyFill="1" applyBorder="1"/>
    <xf numFmtId="0" fontId="7" fillId="2" borderId="0" xfId="0" applyFont="1" applyFill="1" applyBorder="1"/>
    <xf numFmtId="0" fontId="10" fillId="2" borderId="0" xfId="0" quotePrefix="1" applyFont="1" applyFill="1" applyBorder="1"/>
    <xf numFmtId="2" fontId="10" fillId="2" borderId="0" xfId="0" quotePrefix="1" applyNumberFormat="1" applyFont="1" applyFill="1" applyBorder="1"/>
    <xf numFmtId="0" fontId="9" fillId="2" borderId="2" xfId="0" applyFont="1" applyFill="1" applyBorder="1" applyAlignment="1">
      <alignment horizontal="center"/>
    </xf>
    <xf numFmtId="165" fontId="9" fillId="2" borderId="0" xfId="0" applyNumberFormat="1" applyFont="1" applyFill="1" applyAlignment="1" applyProtection="1">
      <alignment horizontal="center"/>
    </xf>
    <xf numFmtId="165" fontId="9" fillId="2" borderId="0" xfId="0" quotePrefix="1" applyNumberFormat="1" applyFont="1" applyFill="1" applyAlignment="1" applyProtection="1">
      <alignment horizontal="center"/>
    </xf>
    <xf numFmtId="165" fontId="9" fillId="2" borderId="1" xfId="0" applyNumberFormat="1" applyFont="1" applyFill="1" applyBorder="1" applyAlignment="1" applyProtection="1">
      <alignment horizontal="center"/>
    </xf>
    <xf numFmtId="1" fontId="9" fillId="2" borderId="1" xfId="0" applyNumberFormat="1" applyFont="1" applyFill="1" applyBorder="1" applyAlignment="1">
      <alignment horizontal="right"/>
    </xf>
    <xf numFmtId="165" fontId="9" fillId="2" borderId="2" xfId="0" applyNumberFormat="1" applyFont="1" applyFill="1" applyBorder="1" applyAlignment="1" applyProtection="1">
      <alignment horizontal="center"/>
    </xf>
    <xf numFmtId="1" fontId="9" fillId="2" borderId="2" xfId="0" applyNumberFormat="1" applyFont="1" applyFill="1" applyBorder="1" applyAlignment="1">
      <alignment horizontal="right"/>
    </xf>
    <xf numFmtId="1" fontId="12" fillId="2" borderId="0" xfId="0" applyNumberFormat="1" applyFont="1" applyFill="1" applyBorder="1" applyAlignment="1">
      <alignment horizontal="right"/>
    </xf>
    <xf numFmtId="1" fontId="12" fillId="2" borderId="0" xfId="0" applyNumberFormat="1" applyFont="1" applyFill="1" applyBorder="1"/>
    <xf numFmtId="164" fontId="9" fillId="2" borderId="3" xfId="0" applyNumberFormat="1" applyFont="1" applyFill="1" applyBorder="1" applyProtection="1"/>
    <xf numFmtId="0" fontId="9" fillId="2" borderId="3" xfId="0" applyFont="1" applyFill="1" applyBorder="1" applyAlignment="1">
      <alignment horizontal="right"/>
    </xf>
    <xf numFmtId="168" fontId="9" fillId="2" borderId="0" xfId="0" applyNumberFormat="1" applyFont="1" applyFill="1" applyBorder="1" applyProtection="1"/>
    <xf numFmtId="0" fontId="14" fillId="2" borderId="2" xfId="0" applyFont="1" applyFill="1" applyBorder="1"/>
    <xf numFmtId="0" fontId="14" fillId="2" borderId="0" xfId="0" applyFont="1" applyFill="1" applyBorder="1"/>
    <xf numFmtId="0" fontId="14" fillId="2" borderId="2" xfId="0" quotePrefix="1" applyFont="1" applyFill="1" applyBorder="1"/>
    <xf numFmtId="2" fontId="14" fillId="2" borderId="2" xfId="0" applyNumberFormat="1" applyFont="1" applyFill="1" applyBorder="1"/>
    <xf numFmtId="0" fontId="14" fillId="2" borderId="0" xfId="0" applyFont="1" applyFill="1"/>
    <xf numFmtId="0" fontId="14" fillId="2" borderId="1" xfId="0" applyFont="1" applyFill="1" applyBorder="1"/>
    <xf numFmtId="165" fontId="14" fillId="2" borderId="0" xfId="0" applyNumberFormat="1" applyFont="1" applyFill="1" applyBorder="1" applyProtection="1"/>
    <xf numFmtId="1" fontId="14" fillId="2" borderId="0" xfId="0" applyNumberFormat="1" applyFont="1" applyFill="1"/>
    <xf numFmtId="164" fontId="14" fillId="2" borderId="0" xfId="0" applyNumberFormat="1" applyFont="1" applyFill="1" applyBorder="1"/>
    <xf numFmtId="164" fontId="14" fillId="2" borderId="0" xfId="0" applyNumberFormat="1" applyFont="1" applyFill="1" applyBorder="1" applyProtection="1"/>
    <xf numFmtId="165" fontId="14" fillId="2" borderId="0" xfId="0" applyNumberFormat="1" applyFont="1" applyFill="1" applyBorder="1"/>
    <xf numFmtId="165" fontId="14" fillId="2" borderId="0" xfId="0" applyNumberFormat="1" applyFont="1" applyFill="1"/>
    <xf numFmtId="164" fontId="14" fillId="2" borderId="2" xfId="0" applyNumberFormat="1" applyFont="1" applyFill="1" applyBorder="1"/>
    <xf numFmtId="0" fontId="16" fillId="2" borderId="0" xfId="0" applyFont="1" applyFill="1"/>
    <xf numFmtId="0" fontId="1" fillId="2" borderId="0" xfId="0" quotePrefix="1" applyFont="1" applyFill="1"/>
    <xf numFmtId="165" fontId="1" fillId="2" borderId="0" xfId="0" quotePrefix="1" applyNumberFormat="1" applyFont="1" applyFill="1" applyBorder="1" applyProtection="1"/>
    <xf numFmtId="164" fontId="1" fillId="2" borderId="6" xfId="0" applyNumberFormat="1" applyFont="1" applyFill="1" applyBorder="1" applyProtection="1"/>
    <xf numFmtId="164" fontId="1" fillId="2" borderId="7" xfId="0" applyNumberFormat="1" applyFont="1" applyFill="1" applyBorder="1" applyProtection="1"/>
    <xf numFmtId="164" fontId="1" fillId="2" borderId="5" xfId="0" applyNumberFormat="1" applyFont="1" applyFill="1" applyBorder="1" applyProtection="1"/>
    <xf numFmtId="164" fontId="1" fillId="2" borderId="8" xfId="0" applyNumberFormat="1" applyFont="1" applyFill="1" applyBorder="1" applyProtection="1"/>
    <xf numFmtId="165" fontId="1" fillId="2" borderId="0" xfId="0" applyNumberFormat="1" applyFont="1" applyFill="1" applyAlignment="1" applyProtection="1">
      <alignment horizontal="center" vertical="center"/>
    </xf>
    <xf numFmtId="165" fontId="1" fillId="2" borderId="1" xfId="0" applyNumberFormat="1" applyFont="1" applyFill="1" applyBorder="1" applyAlignment="1" applyProtection="1">
      <alignment horizontal="right"/>
    </xf>
    <xf numFmtId="165" fontId="1" fillId="2" borderId="0" xfId="0" applyNumberFormat="1" applyFont="1" applyFill="1" applyAlignment="1" applyProtection="1">
      <alignment horizontal="right"/>
    </xf>
    <xf numFmtId="1" fontId="1" fillId="2" borderId="0" xfId="0" applyNumberFormat="1" applyFont="1" applyFill="1" applyAlignment="1" applyProtection="1">
      <alignment horizontal="right"/>
    </xf>
    <xf numFmtId="49" fontId="9" fillId="2" borderId="0" xfId="0" quotePrefix="1" applyNumberFormat="1" applyFont="1" applyFill="1" applyAlignment="1" applyProtection="1">
      <alignment horizontal="right"/>
    </xf>
    <xf numFmtId="1" fontId="4" fillId="2" borderId="0" xfId="0" applyNumberFormat="1" applyFont="1" applyFill="1"/>
    <xf numFmtId="1" fontId="9" fillId="2" borderId="0" xfId="0" applyNumberFormat="1" applyFont="1" applyFill="1" applyAlignment="1" applyProtection="1">
      <alignment vertical="center"/>
    </xf>
    <xf numFmtId="164" fontId="4" fillId="2" borderId="0" xfId="0" applyNumberFormat="1" applyFont="1" applyFill="1"/>
    <xf numFmtId="1" fontId="9" fillId="2" borderId="2" xfId="0" applyNumberFormat="1" applyFont="1" applyFill="1" applyBorder="1" applyProtection="1"/>
    <xf numFmtId="1" fontId="9" fillId="2" borderId="1" xfId="0" applyNumberFormat="1" applyFont="1" applyFill="1" applyBorder="1" applyProtection="1"/>
    <xf numFmtId="165" fontId="9" fillId="2" borderId="0" xfId="0" applyNumberFormat="1" applyFont="1" applyFill="1" applyBorder="1" applyAlignment="1" applyProtection="1">
      <alignment horizontal="fill"/>
    </xf>
    <xf numFmtId="0" fontId="20" fillId="2" borderId="3" xfId="0" applyFont="1" applyFill="1" applyBorder="1"/>
    <xf numFmtId="0" fontId="20" fillId="2" borderId="3" xfId="0" applyFont="1" applyFill="1" applyBorder="1" applyAlignment="1">
      <alignment horizontal="center"/>
    </xf>
    <xf numFmtId="0" fontId="5" fillId="2" borderId="3" xfId="0" applyNumberFormat="1" applyFont="1" applyFill="1" applyBorder="1" applyProtection="1"/>
    <xf numFmtId="1" fontId="9" fillId="2" borderId="3" xfId="0" applyNumberFormat="1" applyFont="1" applyFill="1" applyBorder="1" applyProtection="1"/>
    <xf numFmtId="164" fontId="12" fillId="2" borderId="0" xfId="0" applyNumberFormat="1" applyFont="1" applyFill="1" applyProtection="1"/>
    <xf numFmtId="1" fontId="29" fillId="2" borderId="0" xfId="0" applyNumberFormat="1" applyFont="1" applyFill="1"/>
    <xf numFmtId="165" fontId="4" fillId="2" borderId="0" xfId="0" applyNumberFormat="1" applyFont="1" applyFill="1" applyBorder="1"/>
    <xf numFmtId="164" fontId="12" fillId="2" borderId="2" xfId="0" applyNumberFormat="1" applyFont="1" applyFill="1" applyBorder="1" applyProtection="1"/>
    <xf numFmtId="0" fontId="21" fillId="2" borderId="0" xfId="0" applyFont="1" applyFill="1"/>
    <xf numFmtId="164" fontId="9" fillId="2" borderId="0" xfId="0" quotePrefix="1" applyNumberFormat="1" applyFont="1" applyFill="1" applyBorder="1" applyProtection="1"/>
    <xf numFmtId="164" fontId="12" fillId="2" borderId="0" xfId="0" applyNumberFormat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right"/>
    </xf>
    <xf numFmtId="0" fontId="6" fillId="2" borderId="2" xfId="0" applyFont="1" applyFill="1" applyBorder="1"/>
    <xf numFmtId="0" fontId="6" fillId="2" borderId="2" xfId="0" applyFont="1" applyFill="1" applyBorder="1" applyAlignment="1">
      <alignment horizontal="right"/>
    </xf>
    <xf numFmtId="165" fontId="6" fillId="2" borderId="0" xfId="0" quotePrefix="1" applyNumberFormat="1" applyFont="1" applyFill="1" applyAlignment="1" applyProtection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2" fontId="6" fillId="2" borderId="0" xfId="0" applyNumberFormat="1" applyFont="1" applyFill="1" applyAlignment="1"/>
    <xf numFmtId="1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2" fontId="6" fillId="2" borderId="0" xfId="0" applyNumberFormat="1" applyFont="1" applyFill="1"/>
    <xf numFmtId="165" fontId="6" fillId="2" borderId="0" xfId="0" applyNumberFormat="1" applyFont="1" applyFill="1" applyAlignment="1" applyProtection="1">
      <alignment horizontal="center"/>
    </xf>
    <xf numFmtId="165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 applyProtection="1">
      <alignment horizontal="center"/>
    </xf>
    <xf numFmtId="2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/>
    <xf numFmtId="2" fontId="6" fillId="2" borderId="0" xfId="0" applyNumberFormat="1" applyFont="1" applyFill="1" applyAlignment="1">
      <alignment horizontal="right"/>
    </xf>
    <xf numFmtId="2" fontId="6" fillId="2" borderId="0" xfId="0" quotePrefix="1" applyNumberFormat="1" applyFont="1" applyFill="1" applyAlignment="1">
      <alignment horizontal="center"/>
    </xf>
    <xf numFmtId="1" fontId="6" fillId="2" borderId="0" xfId="0" applyNumberFormat="1" applyFont="1" applyFill="1"/>
    <xf numFmtId="2" fontId="6" fillId="2" borderId="0" xfId="0" quotePrefix="1" applyNumberFormat="1" applyFont="1" applyFill="1" applyAlignment="1">
      <alignment horizontal="right"/>
    </xf>
    <xf numFmtId="2" fontId="6" fillId="2" borderId="1" xfId="0" applyNumberFormat="1" applyFont="1" applyFill="1" applyBorder="1"/>
    <xf numFmtId="1" fontId="6" fillId="2" borderId="1" xfId="0" applyNumberFormat="1" applyFont="1" applyFill="1" applyBorder="1"/>
    <xf numFmtId="2" fontId="6" fillId="2" borderId="2" xfId="0" applyNumberFormat="1" applyFont="1" applyFill="1" applyBorder="1"/>
    <xf numFmtId="1" fontId="6" fillId="2" borderId="2" xfId="0" applyNumberFormat="1" applyFont="1" applyFill="1" applyBorder="1"/>
    <xf numFmtId="0" fontId="6" fillId="2" borderId="4" xfId="0" applyFont="1" applyFill="1" applyBorder="1"/>
    <xf numFmtId="0" fontId="6" fillId="2" borderId="0" xfId="0" quotePrefix="1" applyFont="1" applyFill="1" applyAlignment="1">
      <alignment horizontal="right"/>
    </xf>
    <xf numFmtId="2" fontId="6" fillId="2" borderId="0" xfId="0" quotePrefix="1" applyNumberFormat="1" applyFont="1" applyFill="1"/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2" fontId="6" fillId="2" borderId="3" xfId="0" applyNumberFormat="1" applyFont="1" applyFill="1" applyBorder="1" applyAlignment="1">
      <alignment horizontal="left"/>
    </xf>
    <xf numFmtId="0" fontId="6" fillId="2" borderId="0" xfId="0" quotePrefix="1" applyFont="1" applyFill="1" applyBorder="1"/>
    <xf numFmtId="2" fontId="6" fillId="2" borderId="0" xfId="0" quotePrefix="1" applyNumberFormat="1" applyFont="1" applyFill="1" applyBorder="1"/>
    <xf numFmtId="164" fontId="6" fillId="2" borderId="0" xfId="0" applyNumberFormat="1" applyFont="1" applyFill="1" applyBorder="1"/>
    <xf numFmtId="165" fontId="6" fillId="2" borderId="0" xfId="0" applyNumberFormat="1" applyFont="1" applyFill="1" applyBorder="1"/>
    <xf numFmtId="164" fontId="6" fillId="2" borderId="2" xfId="0" applyNumberFormat="1" applyFont="1" applyFill="1" applyBorder="1"/>
    <xf numFmtId="0" fontId="18" fillId="2" borderId="0" xfId="0" applyFont="1" applyFill="1" applyBorder="1"/>
    <xf numFmtId="0" fontId="5" fillId="2" borderId="0" xfId="1" applyFont="1" applyFill="1" applyBorder="1" applyAlignment="1">
      <alignment horizontal="left" vertical="top"/>
    </xf>
    <xf numFmtId="0" fontId="18" fillId="2" borderId="0" xfId="0" applyFont="1" applyFill="1"/>
    <xf numFmtId="165" fontId="6" fillId="2" borderId="0" xfId="0" quotePrefix="1" applyNumberFormat="1" applyFont="1" applyFill="1" applyAlignment="1" applyProtection="1">
      <alignment horizontal="right"/>
    </xf>
    <xf numFmtId="1" fontId="6" fillId="2" borderId="0" xfId="0" applyNumberFormat="1" applyFont="1" applyFill="1" applyProtection="1"/>
    <xf numFmtId="165" fontId="6" fillId="2" borderId="0" xfId="0" applyNumberFormat="1" applyFont="1" applyFill="1" applyAlignment="1" applyProtection="1">
      <alignment horizontal="right"/>
    </xf>
    <xf numFmtId="1" fontId="6" fillId="2" borderId="0" xfId="0" quotePrefix="1" applyNumberFormat="1" applyFont="1" applyFill="1"/>
    <xf numFmtId="1" fontId="6" fillId="2" borderId="0" xfId="0" applyNumberFormat="1" applyFont="1" applyFill="1" applyBorder="1"/>
    <xf numFmtId="164" fontId="32" fillId="2" borderId="0" xfId="0" applyNumberFormat="1" applyFont="1" applyFill="1" applyBorder="1" applyProtection="1"/>
    <xf numFmtId="0" fontId="6" fillId="2" borderId="0" xfId="0" applyNumberFormat="1" applyFont="1" applyFill="1" applyBorder="1" applyAlignment="1" applyProtection="1">
      <alignment horizontal="left"/>
    </xf>
    <xf numFmtId="0" fontId="6" fillId="2" borderId="0" xfId="0" applyFont="1" applyFill="1" applyBorder="1" applyAlignment="1">
      <alignment horizontal="center" vertical="center"/>
    </xf>
    <xf numFmtId="0" fontId="33" fillId="2" borderId="0" xfId="0" applyFont="1" applyFill="1" applyBorder="1"/>
    <xf numFmtId="0" fontId="6" fillId="2" borderId="0" xfId="0" quotePrefix="1" applyFont="1" applyFill="1" applyBorder="1" applyAlignment="1">
      <alignment horizontal="left"/>
    </xf>
    <xf numFmtId="1" fontId="6" fillId="2" borderId="0" xfId="0" quotePrefix="1" applyNumberFormat="1" applyFont="1" applyFill="1" applyBorder="1"/>
    <xf numFmtId="2" fontId="33" fillId="2" borderId="0" xfId="0" applyNumberFormat="1" applyFont="1" applyFill="1" applyBorder="1"/>
    <xf numFmtId="165" fontId="6" fillId="2" borderId="0" xfId="0" applyNumberFormat="1" applyFont="1" applyFill="1"/>
    <xf numFmtId="169" fontId="1" fillId="2" borderId="0" xfId="0" applyNumberFormat="1" applyFont="1" applyFill="1"/>
    <xf numFmtId="0" fontId="34" fillId="2" borderId="0" xfId="0" applyFont="1" applyFill="1" applyBorder="1"/>
    <xf numFmtId="0" fontId="34" fillId="2" borderId="0" xfId="0" applyFont="1" applyFill="1" applyBorder="1" applyAlignment="1">
      <alignment horizontal="center"/>
    </xf>
    <xf numFmtId="1" fontId="34" fillId="2" borderId="0" xfId="0" applyNumberFormat="1" applyFont="1" applyFill="1" applyBorder="1" applyAlignment="1">
      <alignment horizontal="center"/>
    </xf>
    <xf numFmtId="1" fontId="9" fillId="2" borderId="0" xfId="0" applyNumberFormat="1" applyFont="1" applyFill="1" applyBorder="1" applyAlignment="1">
      <alignment horizontal="center"/>
    </xf>
    <xf numFmtId="2" fontId="12" fillId="2" borderId="3" xfId="0" applyNumberFormat="1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2" fontId="9" fillId="2" borderId="0" xfId="0" applyNumberFormat="1" applyFont="1" applyFill="1" applyBorder="1" applyAlignment="1" applyProtection="1">
      <alignment horizontal="left"/>
    </xf>
    <xf numFmtId="2" fontId="9" fillId="2" borderId="0" xfId="0" applyNumberFormat="1" applyFont="1" applyFill="1" applyBorder="1" applyAlignment="1">
      <alignment horizontal="center"/>
    </xf>
    <xf numFmtId="1" fontId="1" fillId="2" borderId="0" xfId="0" applyNumberFormat="1" applyFont="1" applyFill="1" applyBorder="1"/>
    <xf numFmtId="0" fontId="34" fillId="2" borderId="0" xfId="0" applyFont="1" applyFill="1"/>
    <xf numFmtId="2" fontId="15" fillId="2" borderId="3" xfId="0" applyNumberFormat="1" applyFont="1" applyFill="1" applyBorder="1" applyAlignment="1">
      <alignment horizontal="center"/>
    </xf>
    <xf numFmtId="2" fontId="9" fillId="2" borderId="3" xfId="0" applyNumberFormat="1" applyFont="1" applyFill="1" applyBorder="1" applyAlignment="1">
      <alignment horizontal="center"/>
    </xf>
    <xf numFmtId="2" fontId="15" fillId="2" borderId="3" xfId="0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Coc%20Raw%20data\15-16%20Maha\15-16%20Maha%20paddy\RF\Gampaha-15-16%20maha-pad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Data sheet"/>
      <sheetName val="Formula"/>
      <sheetName val="Formula 1"/>
      <sheetName val="Final table"/>
      <sheetName val="coc final"/>
    </sheetNames>
    <sheetDataSet>
      <sheetData sheetId="0"/>
      <sheetData sheetId="1">
        <row r="57">
          <cell r="AP57">
            <v>0</v>
          </cell>
          <cell r="DH57">
            <v>0.30898876404494385</v>
          </cell>
        </row>
        <row r="61">
          <cell r="DG61">
            <v>1309.090909090909</v>
          </cell>
        </row>
        <row r="62">
          <cell r="AO62">
            <v>79850</v>
          </cell>
        </row>
        <row r="63">
          <cell r="GD63" t="e">
            <v>#REF!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Z62"/>
  <sheetViews>
    <sheetView topLeftCell="A13" workbookViewId="0">
      <selection activeCell="E6" sqref="E6"/>
    </sheetView>
  </sheetViews>
  <sheetFormatPr defaultRowHeight="15" x14ac:dyDescent="0.25"/>
  <cols>
    <col min="1" max="16384" width="9.140625" style="8"/>
  </cols>
  <sheetData>
    <row r="1" spans="1:26" x14ac:dyDescent="0.25">
      <c r="A1" s="7" t="s">
        <v>72</v>
      </c>
      <c r="B1" s="7"/>
    </row>
    <row r="2" spans="1:26" x14ac:dyDescent="0.25">
      <c r="A2" s="7" t="s">
        <v>70</v>
      </c>
      <c r="B2" s="7"/>
    </row>
    <row r="3" spans="1:26" x14ac:dyDescent="0.25">
      <c r="A3" s="7" t="s">
        <v>175</v>
      </c>
      <c r="B3" s="7"/>
    </row>
    <row r="4" spans="1:26" x14ac:dyDescent="0.25">
      <c r="A4" s="7" t="s">
        <v>71</v>
      </c>
      <c r="B4" s="7"/>
    </row>
    <row r="5" spans="1:26" s="89" customFormat="1" ht="12.75" x14ac:dyDescent="0.2">
      <c r="A5" s="86"/>
      <c r="B5" s="87"/>
      <c r="C5" s="87"/>
      <c r="D5" s="87"/>
      <c r="E5" s="87"/>
      <c r="F5" s="87"/>
      <c r="G5" s="87"/>
      <c r="H5" s="87"/>
      <c r="I5" s="87"/>
      <c r="J5" s="87"/>
      <c r="K5" s="87"/>
      <c r="L5" s="88"/>
      <c r="M5" s="88"/>
    </row>
    <row r="6" spans="1:26" s="89" customFormat="1" ht="12.75" x14ac:dyDescent="0.2">
      <c r="A6" s="90" t="s">
        <v>0</v>
      </c>
      <c r="B6" s="90"/>
      <c r="C6" s="90"/>
      <c r="D6" s="90" t="s">
        <v>1</v>
      </c>
      <c r="E6" s="90" t="s">
        <v>2</v>
      </c>
      <c r="F6" s="90" t="s">
        <v>3</v>
      </c>
      <c r="G6" s="90" t="s">
        <v>4</v>
      </c>
      <c r="H6" s="90" t="s">
        <v>5</v>
      </c>
      <c r="I6" s="90" t="s">
        <v>6</v>
      </c>
      <c r="J6" s="90" t="s">
        <v>7</v>
      </c>
      <c r="K6" s="90" t="s">
        <v>8</v>
      </c>
      <c r="L6" s="90" t="s">
        <v>9</v>
      </c>
      <c r="M6" s="91"/>
    </row>
    <row r="7" spans="1:26" s="89" customFormat="1" ht="12.75" x14ac:dyDescent="0.2">
      <c r="A7" s="90"/>
      <c r="B7" s="90"/>
      <c r="C7" s="90"/>
      <c r="D7" s="90" t="s">
        <v>11</v>
      </c>
      <c r="E7" s="90" t="s">
        <v>12</v>
      </c>
      <c r="F7" s="90" t="s">
        <v>13</v>
      </c>
      <c r="G7" s="90" t="s">
        <v>14</v>
      </c>
      <c r="H7" s="90" t="s">
        <v>15</v>
      </c>
      <c r="I7" s="90" t="s">
        <v>16</v>
      </c>
      <c r="J7" s="90" t="s">
        <v>15</v>
      </c>
      <c r="K7" s="90" t="s">
        <v>15</v>
      </c>
      <c r="L7" s="90" t="s">
        <v>17</v>
      </c>
      <c r="M7" s="90" t="s">
        <v>10</v>
      </c>
    </row>
    <row r="8" spans="1:26" s="89" customFormat="1" ht="12.75" x14ac:dyDescent="0.2">
      <c r="A8" s="92"/>
      <c r="B8" s="92"/>
      <c r="C8" s="92"/>
      <c r="D8" s="92" t="s">
        <v>19</v>
      </c>
      <c r="E8" s="92"/>
      <c r="F8" s="92"/>
      <c r="G8" s="92"/>
      <c r="H8" s="92" t="s">
        <v>20</v>
      </c>
      <c r="I8" s="92" t="s">
        <v>21</v>
      </c>
      <c r="J8" s="92" t="s">
        <v>20</v>
      </c>
      <c r="K8" s="92" t="s">
        <v>20</v>
      </c>
      <c r="L8" s="92" t="s">
        <v>18</v>
      </c>
      <c r="M8" s="92" t="s">
        <v>18</v>
      </c>
    </row>
    <row r="9" spans="1:26" s="89" customFormat="1" ht="12.75" x14ac:dyDescent="0.2">
      <c r="A9" s="90" t="s">
        <v>22</v>
      </c>
      <c r="B9" s="90"/>
      <c r="C9" s="90"/>
      <c r="D9" s="93">
        <v>68</v>
      </c>
      <c r="E9" s="94">
        <v>0.73</v>
      </c>
      <c r="F9" s="95">
        <v>0.7</v>
      </c>
      <c r="G9" s="93">
        <v>1000</v>
      </c>
      <c r="H9" s="96">
        <f>+G9*E9</f>
        <v>730</v>
      </c>
      <c r="I9" s="96"/>
      <c r="J9" s="97"/>
      <c r="K9" s="96">
        <f>+J9+I9+H9</f>
        <v>730</v>
      </c>
      <c r="L9" s="96"/>
      <c r="M9" s="96"/>
      <c r="N9" s="98">
        <f>E9*G9</f>
        <v>730</v>
      </c>
      <c r="O9" s="99">
        <f>N9-H9</f>
        <v>0</v>
      </c>
    </row>
    <row r="10" spans="1:26" s="89" customFormat="1" ht="12.75" x14ac:dyDescent="0.2">
      <c r="A10" s="99" t="s">
        <v>187</v>
      </c>
      <c r="B10" s="99"/>
      <c r="C10" s="99"/>
      <c r="D10" s="89">
        <v>38</v>
      </c>
      <c r="E10" s="100">
        <v>0.61</v>
      </c>
      <c r="F10" s="101">
        <v>0.62</v>
      </c>
      <c r="G10" s="102">
        <v>1114</v>
      </c>
      <c r="H10" s="96">
        <f t="shared" ref="H10:H20" si="0">+G10*E10</f>
        <v>679.54</v>
      </c>
      <c r="I10" s="103" t="s">
        <v>188</v>
      </c>
      <c r="J10" s="97"/>
      <c r="K10" s="103">
        <f>+J10+I10+H10</f>
        <v>8397.5400000000009</v>
      </c>
      <c r="L10" s="103"/>
      <c r="M10" s="103" t="s">
        <v>189</v>
      </c>
      <c r="N10" s="98">
        <f t="shared" ref="N10:N24" si="1">E10*G10</f>
        <v>679.54</v>
      </c>
      <c r="O10" s="99">
        <f t="shared" ref="O10:O24" si="2">N10-H10</f>
        <v>0</v>
      </c>
      <c r="Y10" s="104"/>
      <c r="Z10" s="104"/>
    </row>
    <row r="11" spans="1:26" s="89" customFormat="1" ht="12.75" x14ac:dyDescent="0.2">
      <c r="A11" s="99" t="s">
        <v>190</v>
      </c>
      <c r="B11" s="99"/>
      <c r="C11" s="99"/>
      <c r="D11" s="89" t="s">
        <v>191</v>
      </c>
      <c r="E11" s="100"/>
      <c r="F11" s="100"/>
      <c r="H11" s="96"/>
      <c r="I11" s="103" t="s">
        <v>192</v>
      </c>
      <c r="J11" s="97"/>
      <c r="K11" s="103"/>
      <c r="L11" s="105"/>
      <c r="M11" s="105"/>
      <c r="N11" s="98">
        <f t="shared" si="1"/>
        <v>0</v>
      </c>
      <c r="O11" s="99">
        <f t="shared" si="2"/>
        <v>0</v>
      </c>
    </row>
    <row r="12" spans="1:26" s="89" customFormat="1" ht="12.75" x14ac:dyDescent="0.2">
      <c r="A12" s="99" t="s">
        <v>193</v>
      </c>
      <c r="B12" s="99"/>
      <c r="C12" s="99"/>
      <c r="D12" s="89" t="s">
        <v>194</v>
      </c>
      <c r="E12" s="100"/>
      <c r="F12" s="100"/>
      <c r="H12" s="96"/>
      <c r="I12" s="103" t="s">
        <v>195</v>
      </c>
      <c r="J12" s="97"/>
      <c r="K12" s="103"/>
      <c r="L12" s="105"/>
      <c r="M12" s="105"/>
      <c r="N12" s="98">
        <f t="shared" si="1"/>
        <v>0</v>
      </c>
      <c r="O12" s="99">
        <f t="shared" si="2"/>
        <v>0</v>
      </c>
    </row>
    <row r="13" spans="1:26" s="89" customFormat="1" ht="12.75" x14ac:dyDescent="0.2">
      <c r="A13" s="99" t="s">
        <v>196</v>
      </c>
      <c r="B13" s="99"/>
      <c r="C13" s="99"/>
      <c r="D13" s="89" t="s">
        <v>197</v>
      </c>
      <c r="E13" s="100"/>
      <c r="F13" s="100"/>
      <c r="H13" s="96"/>
      <c r="I13" s="103" t="s">
        <v>198</v>
      </c>
      <c r="J13" s="97"/>
      <c r="K13" s="103"/>
      <c r="L13" s="105"/>
      <c r="M13" s="105"/>
      <c r="N13" s="98">
        <f t="shared" si="1"/>
        <v>0</v>
      </c>
      <c r="O13" s="99">
        <f t="shared" si="2"/>
        <v>0</v>
      </c>
    </row>
    <row r="14" spans="1:26" s="89" customFormat="1" ht="12.75" x14ac:dyDescent="0.2">
      <c r="A14" s="99" t="s">
        <v>25</v>
      </c>
      <c r="B14" s="99"/>
      <c r="C14" s="99"/>
      <c r="D14" s="102">
        <v>100</v>
      </c>
      <c r="E14" s="106">
        <v>4.41</v>
      </c>
      <c r="F14" s="106">
        <v>1.65</v>
      </c>
      <c r="G14" s="102">
        <v>1000</v>
      </c>
      <c r="H14" s="96">
        <f t="shared" si="0"/>
        <v>4410</v>
      </c>
      <c r="I14" s="103"/>
      <c r="J14" s="97"/>
      <c r="K14" s="103">
        <f t="shared" ref="K14:K24" si="3">+J14+I14+H14</f>
        <v>4410</v>
      </c>
      <c r="L14" s="103"/>
      <c r="M14" s="103"/>
      <c r="N14" s="98">
        <f t="shared" si="1"/>
        <v>4410</v>
      </c>
      <c r="O14" s="99">
        <f t="shared" si="2"/>
        <v>0</v>
      </c>
    </row>
    <row r="15" spans="1:26" s="89" customFormat="1" ht="12.75" x14ac:dyDescent="0.2">
      <c r="A15" s="99" t="s">
        <v>26</v>
      </c>
      <c r="B15" s="99"/>
      <c r="C15" s="99"/>
      <c r="D15" s="102">
        <v>100</v>
      </c>
      <c r="E15" s="106">
        <v>2.73</v>
      </c>
      <c r="F15" s="107">
        <v>0.93</v>
      </c>
      <c r="G15" s="102">
        <v>1000</v>
      </c>
      <c r="H15" s="96">
        <f t="shared" si="0"/>
        <v>2730</v>
      </c>
      <c r="I15" s="103"/>
      <c r="J15" s="103">
        <f>+E32*G32</f>
        <v>3541.6061999999997</v>
      </c>
      <c r="K15" s="103">
        <f t="shared" si="3"/>
        <v>6271.6062000000002</v>
      </c>
      <c r="L15" s="103">
        <v>1124</v>
      </c>
      <c r="M15" s="103"/>
      <c r="N15" s="98">
        <f t="shared" si="1"/>
        <v>2730</v>
      </c>
      <c r="O15" s="99">
        <f t="shared" si="2"/>
        <v>0</v>
      </c>
    </row>
    <row r="16" spans="1:26" s="89" customFormat="1" ht="12.75" x14ac:dyDescent="0.2">
      <c r="A16" s="99" t="s">
        <v>27</v>
      </c>
      <c r="B16" s="99"/>
      <c r="C16" s="99"/>
      <c r="D16" s="102">
        <v>100</v>
      </c>
      <c r="E16" s="106">
        <v>0.71</v>
      </c>
      <c r="F16" s="106">
        <v>0.71</v>
      </c>
      <c r="G16" s="102">
        <v>1000</v>
      </c>
      <c r="H16" s="96">
        <f t="shared" si="0"/>
        <v>710</v>
      </c>
      <c r="I16" s="105"/>
      <c r="J16" s="103">
        <f>E40*G40+E41*G41+E42*G42+E44*G44+E45*G45+E46*G46</f>
        <v>1015</v>
      </c>
      <c r="K16" s="103">
        <f t="shared" si="3"/>
        <v>1725</v>
      </c>
      <c r="L16" s="103"/>
      <c r="M16" s="103"/>
      <c r="N16" s="98">
        <f t="shared" si="1"/>
        <v>710</v>
      </c>
      <c r="O16" s="99">
        <f t="shared" si="2"/>
        <v>0</v>
      </c>
    </row>
    <row r="17" spans="1:21" s="89" customFormat="1" ht="12.75" x14ac:dyDescent="0.2">
      <c r="A17" s="99" t="s">
        <v>28</v>
      </c>
      <c r="B17" s="99"/>
      <c r="C17" s="99"/>
      <c r="D17" s="108">
        <v>88</v>
      </c>
      <c r="E17" s="106">
        <v>0.44</v>
      </c>
      <c r="F17" s="101">
        <v>0.3</v>
      </c>
      <c r="G17" s="108">
        <v>1150</v>
      </c>
      <c r="H17" s="96">
        <f t="shared" si="0"/>
        <v>506</v>
      </c>
      <c r="I17" s="103"/>
      <c r="J17" s="103" t="s">
        <v>199</v>
      </c>
      <c r="K17" s="103">
        <f t="shared" si="3"/>
        <v>3354</v>
      </c>
      <c r="L17" s="103"/>
      <c r="M17" s="103"/>
      <c r="N17" s="98">
        <f t="shared" si="1"/>
        <v>506</v>
      </c>
      <c r="O17" s="99">
        <f t="shared" si="2"/>
        <v>0</v>
      </c>
    </row>
    <row r="18" spans="1:21" s="89" customFormat="1" ht="12.75" x14ac:dyDescent="0.2">
      <c r="A18" s="99" t="s">
        <v>200</v>
      </c>
      <c r="B18" s="99"/>
      <c r="C18" s="99"/>
      <c r="D18" s="108">
        <v>40</v>
      </c>
      <c r="E18" s="106">
        <v>0.43</v>
      </c>
      <c r="F18" s="101">
        <v>0.4</v>
      </c>
      <c r="G18" s="108">
        <v>1000</v>
      </c>
      <c r="H18" s="96">
        <f t="shared" si="0"/>
        <v>430</v>
      </c>
      <c r="I18" s="103"/>
      <c r="J18" s="103" t="s">
        <v>201</v>
      </c>
      <c r="K18" s="103">
        <f t="shared" si="3"/>
        <v>1818</v>
      </c>
      <c r="L18" s="103"/>
      <c r="M18" s="103"/>
      <c r="N18" s="98">
        <f t="shared" si="1"/>
        <v>430</v>
      </c>
      <c r="O18" s="99">
        <f t="shared" si="2"/>
        <v>0</v>
      </c>
    </row>
    <row r="19" spans="1:21" s="89" customFormat="1" ht="12.75" x14ac:dyDescent="0.2">
      <c r="A19" s="99" t="s">
        <v>117</v>
      </c>
      <c r="B19" s="99"/>
      <c r="C19" s="99"/>
      <c r="D19" s="108">
        <v>100</v>
      </c>
      <c r="E19" s="106">
        <v>4.8499999999999996</v>
      </c>
      <c r="F19" s="101">
        <v>4.8499999999999996</v>
      </c>
      <c r="G19" s="108">
        <v>1000</v>
      </c>
      <c r="H19" s="96">
        <f t="shared" si="0"/>
        <v>4850</v>
      </c>
      <c r="I19" s="103"/>
      <c r="J19" s="103"/>
      <c r="K19" s="103">
        <f t="shared" si="3"/>
        <v>4850</v>
      </c>
      <c r="L19" s="103"/>
      <c r="M19" s="103"/>
      <c r="N19" s="98">
        <f t="shared" si="1"/>
        <v>4850</v>
      </c>
      <c r="O19" s="99">
        <f t="shared" si="2"/>
        <v>0</v>
      </c>
    </row>
    <row r="20" spans="1:21" s="89" customFormat="1" ht="12.75" x14ac:dyDescent="0.2">
      <c r="A20" s="99" t="s">
        <v>202</v>
      </c>
      <c r="B20" s="99"/>
      <c r="C20" s="99"/>
      <c r="D20" s="102">
        <v>70</v>
      </c>
      <c r="E20" s="106">
        <v>1.52</v>
      </c>
      <c r="F20" s="101">
        <v>0.81</v>
      </c>
      <c r="G20" s="102">
        <v>1000</v>
      </c>
      <c r="H20" s="96">
        <f t="shared" si="0"/>
        <v>1520</v>
      </c>
      <c r="I20" s="103" t="s">
        <v>203</v>
      </c>
      <c r="J20" s="103"/>
      <c r="K20" s="103">
        <f t="shared" si="3"/>
        <v>11344</v>
      </c>
      <c r="L20" s="103"/>
      <c r="M20" s="103" t="s">
        <v>204</v>
      </c>
      <c r="N20" s="98">
        <f t="shared" si="1"/>
        <v>1520</v>
      </c>
      <c r="O20" s="99">
        <f t="shared" si="2"/>
        <v>0</v>
      </c>
    </row>
    <row r="21" spans="1:21" s="89" customFormat="1" ht="12.75" x14ac:dyDescent="0.2">
      <c r="A21" s="99" t="s">
        <v>169</v>
      </c>
      <c r="B21" s="99"/>
      <c r="C21" s="99"/>
      <c r="D21" s="102" t="s">
        <v>205</v>
      </c>
      <c r="E21" s="100"/>
      <c r="F21" s="109"/>
      <c r="G21" s="102"/>
      <c r="H21" s="103" t="s">
        <v>206</v>
      </c>
      <c r="I21" s="103"/>
      <c r="J21" s="103"/>
      <c r="K21" s="110"/>
      <c r="L21" s="103"/>
      <c r="M21" s="103"/>
      <c r="N21" s="98">
        <f t="shared" si="1"/>
        <v>0</v>
      </c>
      <c r="O21" s="99" t="e">
        <f t="shared" si="2"/>
        <v>#VALUE!</v>
      </c>
    </row>
    <row r="22" spans="1:21" s="89" customFormat="1" ht="12.75" x14ac:dyDescent="0.2">
      <c r="A22" s="99" t="s">
        <v>207</v>
      </c>
      <c r="B22" s="99"/>
      <c r="C22" s="99"/>
      <c r="D22" s="102" t="s">
        <v>205</v>
      </c>
      <c r="E22" s="100"/>
      <c r="F22" s="111"/>
      <c r="G22" s="108"/>
      <c r="H22" s="103"/>
      <c r="I22" s="110" t="s">
        <v>208</v>
      </c>
      <c r="J22" s="103"/>
      <c r="K22" s="103"/>
      <c r="L22" s="103"/>
      <c r="M22" s="103"/>
      <c r="N22" s="98">
        <f t="shared" si="1"/>
        <v>0</v>
      </c>
      <c r="O22" s="99">
        <f t="shared" si="2"/>
        <v>0</v>
      </c>
    </row>
    <row r="23" spans="1:21" s="89" customFormat="1" ht="12.75" x14ac:dyDescent="0.2">
      <c r="A23" s="99" t="s">
        <v>209</v>
      </c>
      <c r="B23" s="99"/>
      <c r="C23" s="99"/>
      <c r="D23" s="102">
        <v>54</v>
      </c>
      <c r="E23" s="106">
        <v>2.54</v>
      </c>
      <c r="F23" s="107">
        <v>2.4500000000000002</v>
      </c>
      <c r="G23" s="102">
        <v>1000</v>
      </c>
      <c r="H23" s="103">
        <f t="shared" ref="H23:H24" si="4">+G23*E23</f>
        <v>2540</v>
      </c>
      <c r="I23" s="103"/>
      <c r="J23" s="103"/>
      <c r="K23" s="103">
        <f t="shared" si="3"/>
        <v>2540</v>
      </c>
      <c r="L23" s="103"/>
      <c r="M23" s="103"/>
      <c r="N23" s="98">
        <f t="shared" si="1"/>
        <v>2540</v>
      </c>
      <c r="O23" s="99">
        <f t="shared" si="2"/>
        <v>0</v>
      </c>
    </row>
    <row r="24" spans="1:21" s="89" customFormat="1" ht="12.75" x14ac:dyDescent="0.2">
      <c r="A24" s="92" t="s">
        <v>32</v>
      </c>
      <c r="B24" s="92"/>
      <c r="C24" s="92"/>
      <c r="D24" s="112">
        <v>84</v>
      </c>
      <c r="E24" s="113">
        <v>0.41</v>
      </c>
      <c r="F24" s="114">
        <v>0.41</v>
      </c>
      <c r="G24" s="115">
        <v>1000</v>
      </c>
      <c r="H24" s="103">
        <f t="shared" si="4"/>
        <v>410</v>
      </c>
      <c r="I24" s="116" t="s">
        <v>210</v>
      </c>
      <c r="J24" s="116"/>
      <c r="K24" s="103">
        <f t="shared" si="3"/>
        <v>1024</v>
      </c>
      <c r="L24" s="103"/>
      <c r="M24" s="103"/>
      <c r="N24" s="98">
        <f t="shared" si="1"/>
        <v>410</v>
      </c>
      <c r="O24" s="99">
        <f t="shared" si="2"/>
        <v>0</v>
      </c>
    </row>
    <row r="25" spans="1:21" s="89" customFormat="1" ht="12.75" x14ac:dyDescent="0.2">
      <c r="A25" s="88" t="s">
        <v>33</v>
      </c>
      <c r="B25" s="88"/>
      <c r="C25" s="88"/>
      <c r="D25" s="88"/>
      <c r="E25" s="88">
        <f>SUM(E9:E24)</f>
        <v>19.38</v>
      </c>
      <c r="F25" s="88">
        <f>SUM(F9:F24)</f>
        <v>13.830000000000002</v>
      </c>
      <c r="G25" s="88">
        <f>SUM(G9:G24)</f>
        <v>11264</v>
      </c>
      <c r="H25" s="117">
        <f>SUM(H9:H24)</f>
        <v>19515.54</v>
      </c>
      <c r="I25" s="117">
        <f>+I24+I20+I10</f>
        <v>18156</v>
      </c>
      <c r="J25" s="117">
        <f>J18+J17+J16+J15+J14+J10+J11+J9+J19+J20+J21+J22+J23+J24</f>
        <v>8792.6062000000002</v>
      </c>
      <c r="K25" s="117">
        <f>SUM(H25:J25)</f>
        <v>46464.146200000003</v>
      </c>
      <c r="L25" s="117">
        <f>SUM(L9:L24)</f>
        <v>1124</v>
      </c>
      <c r="M25" s="117">
        <f>+M20+M10</f>
        <v>2274</v>
      </c>
      <c r="O25" s="90"/>
    </row>
    <row r="26" spans="1:21" s="89" customFormat="1" ht="12.75" x14ac:dyDescent="0.2">
      <c r="A26" s="92" t="s">
        <v>34</v>
      </c>
      <c r="B26" s="92"/>
      <c r="C26" s="92"/>
      <c r="D26" s="92"/>
      <c r="E26" s="92">
        <f>SUM(E25-F25)</f>
        <v>5.5499999999999972</v>
      </c>
      <c r="F26" s="92"/>
      <c r="G26" s="92"/>
      <c r="H26" s="116">
        <f>+G34*E34</f>
        <v>5588.8156346749201</v>
      </c>
      <c r="I26" s="116">
        <f>+I25-M25</f>
        <v>15882</v>
      </c>
      <c r="J26" s="116">
        <f>+J25-L25</f>
        <v>7668.6062000000002</v>
      </c>
      <c r="K26" s="116">
        <f>+J26+I26+H26</f>
        <v>29139.421834674922</v>
      </c>
      <c r="L26" s="116"/>
      <c r="M26" s="116"/>
      <c r="O26" s="118"/>
    </row>
    <row r="27" spans="1:21" s="89" customFormat="1" ht="12.75" x14ac:dyDescent="0.2">
      <c r="A27" s="99"/>
      <c r="B27" s="99"/>
      <c r="C27" s="99" t="s">
        <v>35</v>
      </c>
      <c r="D27" s="99"/>
      <c r="E27" s="99"/>
      <c r="F27" s="99"/>
      <c r="G27" s="99"/>
      <c r="H27" s="99">
        <f>+H24+H23+H20+H19+H18+H17+H16+H15+H14+H10+H9</f>
        <v>19515.54</v>
      </c>
      <c r="I27" s="103">
        <f>+I24+I20+I10</f>
        <v>18156</v>
      </c>
      <c r="J27" s="103">
        <f>+J18+J17+J16+J15</f>
        <v>8792.6062000000002</v>
      </c>
      <c r="K27" s="103">
        <f>+K24+K23+K20+K19+K18+K17+K16+K15+K14+K10+K9</f>
        <v>46464.146200000003</v>
      </c>
      <c r="L27" s="99"/>
      <c r="M27" s="99"/>
      <c r="O27" s="91"/>
    </row>
    <row r="28" spans="1:21" s="89" customFormat="1" ht="12.75" x14ac:dyDescent="0.2">
      <c r="A28" s="99" t="s">
        <v>36</v>
      </c>
      <c r="B28" s="99"/>
      <c r="C28" s="99"/>
      <c r="D28" s="99"/>
      <c r="E28" s="99"/>
      <c r="F28" s="99"/>
      <c r="G28" s="99"/>
      <c r="H28" s="99"/>
      <c r="I28" s="103">
        <f>+I27-M25</f>
        <v>15882</v>
      </c>
      <c r="J28" s="103">
        <f>+J27-L25</f>
        <v>7668.6062000000002</v>
      </c>
      <c r="K28" s="103">
        <f>+J28+I28+H26</f>
        <v>29139.421834674922</v>
      </c>
      <c r="L28" s="99"/>
      <c r="M28" s="99"/>
      <c r="O28" s="91"/>
    </row>
    <row r="29" spans="1:21" s="89" customFormat="1" ht="12.75" x14ac:dyDescent="0.2">
      <c r="A29" s="99" t="s">
        <v>17</v>
      </c>
      <c r="B29" s="99"/>
      <c r="C29" s="99"/>
      <c r="D29" s="99" t="s">
        <v>37</v>
      </c>
      <c r="E29" s="99" t="s">
        <v>38</v>
      </c>
      <c r="F29" s="99"/>
      <c r="G29" s="99" t="s">
        <v>39</v>
      </c>
      <c r="H29" s="99"/>
      <c r="I29" s="99"/>
      <c r="J29" s="99"/>
      <c r="K29" s="99"/>
      <c r="L29" s="99"/>
      <c r="M29" s="99"/>
      <c r="P29" s="119"/>
      <c r="Q29" s="77"/>
      <c r="R29" s="77"/>
      <c r="S29" s="77"/>
      <c r="T29" s="77"/>
      <c r="U29" s="77"/>
    </row>
    <row r="30" spans="1:21" s="89" customFormat="1" ht="12.75" x14ac:dyDescent="0.2">
      <c r="A30" s="120"/>
      <c r="B30" s="120"/>
      <c r="C30" s="120"/>
      <c r="D30" s="120"/>
      <c r="E30" s="120"/>
      <c r="F30" s="120"/>
      <c r="G30" s="120"/>
      <c r="H30" s="120"/>
      <c r="I30" s="99"/>
      <c r="J30" s="99"/>
      <c r="K30" s="99"/>
      <c r="L30" s="99"/>
      <c r="M30" s="99"/>
      <c r="P30" s="119"/>
      <c r="Q30" s="77"/>
      <c r="R30" s="77"/>
      <c r="S30" s="77"/>
      <c r="T30" s="77"/>
      <c r="U30" s="77"/>
    </row>
    <row r="31" spans="1:21" s="89" customFormat="1" ht="12.75" x14ac:dyDescent="0.2">
      <c r="A31" s="99" t="s">
        <v>41</v>
      </c>
      <c r="B31" s="99"/>
      <c r="C31" s="99"/>
      <c r="D31" s="99"/>
      <c r="E31" s="99"/>
      <c r="F31" s="99"/>
      <c r="G31" s="99"/>
      <c r="H31" s="99"/>
      <c r="K31" s="99"/>
      <c r="L31" s="99"/>
      <c r="M31" s="99"/>
      <c r="Q31" s="77"/>
      <c r="R31" s="77"/>
      <c r="S31" s="77"/>
      <c r="T31" s="77"/>
      <c r="U31" s="77"/>
    </row>
    <row r="32" spans="1:21" s="89" customFormat="1" ht="12.75" x14ac:dyDescent="0.2">
      <c r="A32" s="99" t="s">
        <v>43</v>
      </c>
      <c r="B32" s="99"/>
      <c r="C32" s="99"/>
      <c r="D32" s="99" t="s">
        <v>44</v>
      </c>
      <c r="E32" s="99">
        <v>49.23</v>
      </c>
      <c r="F32" s="99"/>
      <c r="G32" s="99">
        <v>71.94</v>
      </c>
      <c r="H32" s="99"/>
      <c r="I32" s="98"/>
      <c r="K32" s="99"/>
      <c r="L32" s="99"/>
      <c r="M32" s="99"/>
      <c r="Q32" s="77"/>
      <c r="R32" s="77"/>
      <c r="S32" s="77"/>
      <c r="T32" s="77"/>
      <c r="U32" s="77"/>
    </row>
    <row r="33" spans="1:21" s="89" customFormat="1" ht="12.75" x14ac:dyDescent="0.2">
      <c r="A33" s="99" t="s">
        <v>46</v>
      </c>
      <c r="B33" s="99"/>
      <c r="C33" s="99"/>
      <c r="D33" s="99"/>
      <c r="E33" s="99"/>
      <c r="F33" s="99"/>
      <c r="G33" s="99"/>
      <c r="H33" s="99"/>
      <c r="K33" s="99"/>
      <c r="L33" s="99"/>
      <c r="M33" s="99"/>
      <c r="Q33" s="77"/>
      <c r="R33" s="77"/>
      <c r="S33" s="121"/>
      <c r="T33" s="77"/>
      <c r="U33" s="77"/>
    </row>
    <row r="34" spans="1:21" s="89" customFormat="1" ht="12.75" x14ac:dyDescent="0.2">
      <c r="A34" s="99" t="s">
        <v>48</v>
      </c>
      <c r="B34" s="99"/>
      <c r="C34" s="99"/>
      <c r="D34" s="99" t="s">
        <v>49</v>
      </c>
      <c r="E34" s="99">
        <f>E26</f>
        <v>5.5499999999999972</v>
      </c>
      <c r="F34" s="99"/>
      <c r="G34" s="99">
        <f>+H25/E36</f>
        <v>1006.9938080495357</v>
      </c>
      <c r="H34" s="99"/>
      <c r="K34" s="99"/>
      <c r="M34" s="105"/>
      <c r="Q34" s="77"/>
      <c r="R34" s="77"/>
      <c r="S34" s="122"/>
      <c r="T34" s="77"/>
      <c r="U34" s="77"/>
    </row>
    <row r="35" spans="1:21" s="89" customFormat="1" ht="12.75" x14ac:dyDescent="0.2">
      <c r="A35" s="99" t="s">
        <v>51</v>
      </c>
      <c r="B35" s="99"/>
      <c r="C35" s="99"/>
      <c r="D35" s="99" t="s">
        <v>49</v>
      </c>
      <c r="E35" s="99">
        <f>F25</f>
        <v>13.830000000000002</v>
      </c>
      <c r="F35" s="99"/>
      <c r="H35" s="99"/>
      <c r="I35" s="123" t="s">
        <v>85</v>
      </c>
      <c r="J35" s="123" t="s">
        <v>128</v>
      </c>
      <c r="K35" s="96"/>
      <c r="L35" s="90"/>
      <c r="M35" s="99"/>
      <c r="Q35" s="77"/>
      <c r="R35" s="77"/>
      <c r="S35" s="121"/>
      <c r="T35" s="77"/>
      <c r="U35" s="77"/>
    </row>
    <row r="36" spans="1:21" s="89" customFormat="1" ht="12.75" x14ac:dyDescent="0.2">
      <c r="A36" s="99" t="s">
        <v>2</v>
      </c>
      <c r="B36" s="99"/>
      <c r="C36" s="99"/>
      <c r="D36" s="99" t="s">
        <v>49</v>
      </c>
      <c r="E36" s="99">
        <f>E35+E34</f>
        <v>19.38</v>
      </c>
      <c r="F36" s="99"/>
      <c r="G36" s="99"/>
      <c r="H36" s="99"/>
      <c r="I36" s="124" t="s">
        <v>211</v>
      </c>
      <c r="J36" s="125">
        <v>31.25</v>
      </c>
      <c r="M36" s="126"/>
      <c r="N36" s="98"/>
      <c r="Q36" s="77"/>
      <c r="R36" s="77"/>
      <c r="S36" s="121"/>
      <c r="T36" s="77"/>
      <c r="U36" s="77"/>
    </row>
    <row r="37" spans="1:21" s="89" customFormat="1" ht="12.75" x14ac:dyDescent="0.2">
      <c r="A37" s="99"/>
      <c r="B37" s="99"/>
      <c r="C37" s="99"/>
      <c r="D37" s="99"/>
      <c r="E37" s="99"/>
      <c r="F37" s="99"/>
      <c r="G37" s="99"/>
      <c r="H37" s="99"/>
      <c r="I37" s="124" t="s">
        <v>212</v>
      </c>
      <c r="J37" s="127">
        <v>20</v>
      </c>
      <c r="K37" s="99"/>
      <c r="M37" s="126"/>
      <c r="Q37" s="77"/>
      <c r="R37" s="77"/>
      <c r="S37" s="121"/>
      <c r="T37" s="77"/>
      <c r="U37" s="77"/>
    </row>
    <row r="38" spans="1:21" s="89" customFormat="1" ht="12.75" x14ac:dyDescent="0.2">
      <c r="A38" s="99" t="s">
        <v>52</v>
      </c>
      <c r="B38" s="99" t="s">
        <v>53</v>
      </c>
      <c r="C38" s="99"/>
      <c r="D38" s="99"/>
      <c r="E38" s="99"/>
      <c r="F38" s="99"/>
      <c r="G38" s="99"/>
      <c r="H38" s="99"/>
      <c r="I38" s="124" t="s">
        <v>213</v>
      </c>
      <c r="J38" s="125">
        <v>15.83</v>
      </c>
      <c r="K38" s="90"/>
      <c r="L38" s="99"/>
      <c r="M38" s="126"/>
      <c r="N38" s="98"/>
      <c r="Q38" s="77"/>
      <c r="R38" s="77"/>
      <c r="S38" s="121"/>
      <c r="T38" s="77"/>
      <c r="U38" s="77"/>
    </row>
    <row r="39" spans="1:21" s="89" customFormat="1" ht="12.75" x14ac:dyDescent="0.2">
      <c r="A39" s="128" t="s">
        <v>55</v>
      </c>
      <c r="B39" s="103"/>
      <c r="C39" s="103" t="s">
        <v>128</v>
      </c>
      <c r="D39" s="99"/>
      <c r="E39" s="99"/>
      <c r="F39" s="99"/>
      <c r="G39" s="99"/>
      <c r="H39" s="99"/>
      <c r="I39" s="124" t="s">
        <v>91</v>
      </c>
      <c r="J39" s="125">
        <v>32.92</v>
      </c>
      <c r="K39" s="99"/>
      <c r="L39" s="99"/>
      <c r="M39" s="129"/>
      <c r="N39" s="122"/>
      <c r="Q39" s="77"/>
      <c r="R39" s="77"/>
      <c r="S39" s="122"/>
      <c r="T39" s="77"/>
      <c r="U39" s="77"/>
    </row>
    <row r="40" spans="1:21" s="89" customFormat="1" ht="12.75" x14ac:dyDescent="0.2">
      <c r="A40" s="99" t="s">
        <v>56</v>
      </c>
      <c r="B40" s="103"/>
      <c r="C40" s="103">
        <v>100</v>
      </c>
      <c r="D40" s="99" t="s">
        <v>44</v>
      </c>
      <c r="E40" s="99">
        <v>29</v>
      </c>
      <c r="F40" s="99"/>
      <c r="G40" s="99">
        <v>7</v>
      </c>
      <c r="H40" s="99"/>
      <c r="I40" s="123"/>
      <c r="J40" s="130">
        <f>J39+J38+J37+J36</f>
        <v>100</v>
      </c>
      <c r="K40" s="99"/>
      <c r="L40" s="99"/>
      <c r="M40" s="129"/>
      <c r="N40" s="122"/>
      <c r="Q40" s="77"/>
      <c r="R40" s="77"/>
      <c r="S40" s="122"/>
      <c r="T40" s="77"/>
      <c r="U40" s="77"/>
    </row>
    <row r="41" spans="1:21" s="89" customFormat="1" ht="12.75" x14ac:dyDescent="0.2">
      <c r="A41" s="99" t="s">
        <v>57</v>
      </c>
      <c r="B41" s="103"/>
      <c r="C41" s="110">
        <v>48</v>
      </c>
      <c r="D41" s="99" t="s">
        <v>44</v>
      </c>
      <c r="E41" s="99">
        <v>14</v>
      </c>
      <c r="F41" s="99"/>
      <c r="G41" s="131">
        <v>7</v>
      </c>
      <c r="H41" s="99"/>
      <c r="K41" s="99"/>
      <c r="L41" s="99"/>
      <c r="M41" s="129"/>
      <c r="N41" s="122"/>
      <c r="Q41" s="77"/>
      <c r="R41" s="77"/>
      <c r="S41" s="77"/>
      <c r="T41" s="77"/>
      <c r="U41" s="77"/>
    </row>
    <row r="42" spans="1:21" s="89" customFormat="1" ht="12.75" hidden="1" x14ac:dyDescent="0.2">
      <c r="A42" s="99"/>
      <c r="B42" s="99"/>
      <c r="C42" s="103"/>
      <c r="D42" s="99"/>
      <c r="E42" s="99"/>
      <c r="F42" s="99"/>
      <c r="G42" s="131"/>
      <c r="H42" s="99"/>
      <c r="I42" s="90"/>
      <c r="J42" s="96"/>
      <c r="K42" s="99"/>
      <c r="L42" s="99"/>
      <c r="M42" s="129"/>
      <c r="N42" s="122"/>
      <c r="Q42" s="77"/>
      <c r="R42" s="77"/>
      <c r="S42" s="121"/>
      <c r="T42" s="77"/>
      <c r="U42" s="91"/>
    </row>
    <row r="43" spans="1:21" s="89" customFormat="1" ht="12.75" x14ac:dyDescent="0.2">
      <c r="A43" s="128" t="s">
        <v>172</v>
      </c>
      <c r="B43" s="99"/>
      <c r="C43" s="103"/>
      <c r="D43" s="99"/>
      <c r="E43" s="99"/>
      <c r="F43" s="99"/>
      <c r="G43" s="99"/>
      <c r="H43" s="99"/>
      <c r="I43" s="90"/>
      <c r="J43" s="96"/>
      <c r="K43" s="99"/>
      <c r="L43" s="99"/>
      <c r="M43" s="129"/>
      <c r="N43" s="122"/>
      <c r="Q43" s="77"/>
      <c r="R43" s="77"/>
      <c r="S43" s="77"/>
      <c r="T43" s="77"/>
      <c r="U43" s="77"/>
    </row>
    <row r="44" spans="1:21" s="89" customFormat="1" ht="12.75" x14ac:dyDescent="0.2">
      <c r="A44" s="99" t="s">
        <v>57</v>
      </c>
      <c r="B44" s="99"/>
      <c r="C44" s="103">
        <v>100</v>
      </c>
      <c r="D44" s="99" t="s">
        <v>44</v>
      </c>
      <c r="E44" s="99">
        <v>86</v>
      </c>
      <c r="F44" s="99"/>
      <c r="G44" s="99">
        <v>7</v>
      </c>
      <c r="H44" s="99"/>
      <c r="I44" s="132" t="s">
        <v>40</v>
      </c>
      <c r="J44" s="133">
        <v>2</v>
      </c>
      <c r="K44" s="99"/>
      <c r="L44" s="99"/>
      <c r="M44" s="129"/>
      <c r="N44" s="122"/>
      <c r="Q44" s="77"/>
      <c r="R44" s="77"/>
      <c r="S44" s="77"/>
      <c r="T44" s="77"/>
      <c r="U44" s="77"/>
    </row>
    <row r="45" spans="1:21" s="89" customFormat="1" ht="12.75" x14ac:dyDescent="0.2">
      <c r="A45" s="99" t="s">
        <v>58</v>
      </c>
      <c r="B45" s="103"/>
      <c r="C45" s="110">
        <v>100</v>
      </c>
      <c r="D45" s="99" t="s">
        <v>44</v>
      </c>
      <c r="E45" s="131">
        <v>16</v>
      </c>
      <c r="F45" s="99"/>
      <c r="G45" s="131">
        <v>7</v>
      </c>
      <c r="H45" s="99"/>
      <c r="I45" s="134" t="s">
        <v>42</v>
      </c>
      <c r="J45" s="135" t="s">
        <v>214</v>
      </c>
      <c r="K45" s="99"/>
      <c r="L45" s="99"/>
      <c r="M45" s="129"/>
      <c r="N45" s="122"/>
    </row>
    <row r="46" spans="1:21" s="89" customFormat="1" ht="12.75" hidden="1" x14ac:dyDescent="0.2">
      <c r="A46" s="99"/>
      <c r="B46" s="103"/>
      <c r="C46" s="110"/>
      <c r="D46" s="99"/>
      <c r="E46" s="131"/>
      <c r="F46" s="99"/>
      <c r="G46" s="131"/>
      <c r="H46" s="99"/>
      <c r="I46" s="90"/>
      <c r="J46" s="96"/>
      <c r="K46" s="99"/>
      <c r="L46" s="99"/>
      <c r="M46" s="122"/>
      <c r="N46" s="122"/>
    </row>
    <row r="47" spans="1:21" s="89" customFormat="1" ht="12.75" x14ac:dyDescent="0.2">
      <c r="A47" s="90" t="s">
        <v>60</v>
      </c>
      <c r="B47" s="90"/>
      <c r="C47" s="90"/>
      <c r="D47" s="90"/>
      <c r="E47" s="90"/>
      <c r="F47" s="90"/>
      <c r="G47" s="90"/>
      <c r="H47" s="90"/>
      <c r="I47" s="90"/>
      <c r="J47" s="99"/>
      <c r="K47" s="99"/>
      <c r="L47" s="99"/>
      <c r="M47" s="122"/>
      <c r="N47" s="122"/>
    </row>
    <row r="48" spans="1:21" s="89" customFormat="1" ht="12.75" x14ac:dyDescent="0.2">
      <c r="A48" s="120"/>
      <c r="B48" s="120"/>
      <c r="C48" s="92"/>
      <c r="D48" s="92"/>
      <c r="E48" s="92"/>
      <c r="F48" s="92"/>
      <c r="G48" s="92"/>
      <c r="H48" s="92"/>
      <c r="I48" s="92" t="s">
        <v>62</v>
      </c>
      <c r="J48" s="99"/>
      <c r="K48" s="99"/>
      <c r="L48" s="99"/>
      <c r="M48" s="122"/>
      <c r="N48" s="122"/>
    </row>
    <row r="49" spans="1:14" s="89" customFormat="1" ht="12.75" x14ac:dyDescent="0.2">
      <c r="A49" s="99" t="s">
        <v>63</v>
      </c>
      <c r="B49" s="99"/>
      <c r="C49" s="99"/>
      <c r="D49" s="99"/>
      <c r="E49" s="99"/>
      <c r="F49" s="99"/>
      <c r="G49" s="99">
        <v>2106</v>
      </c>
      <c r="H49" s="99"/>
      <c r="I49" s="99">
        <f>+G49*2.471</f>
        <v>5203.9260000000004</v>
      </c>
      <c r="J49" s="99"/>
      <c r="K49" s="99"/>
      <c r="L49" s="99"/>
      <c r="M49" s="122"/>
      <c r="N49" s="122"/>
    </row>
    <row r="50" spans="1:14" s="89" customFormat="1" ht="12.75" x14ac:dyDescent="0.2">
      <c r="A50" s="99" t="s">
        <v>64</v>
      </c>
      <c r="B50" s="99"/>
      <c r="C50" s="99"/>
      <c r="D50" s="99"/>
      <c r="E50" s="99"/>
      <c r="F50" s="99"/>
      <c r="G50" s="99">
        <v>33</v>
      </c>
      <c r="H50" s="99"/>
      <c r="I50" s="99"/>
      <c r="J50" s="99"/>
      <c r="K50" s="99"/>
      <c r="L50" s="99"/>
      <c r="M50" s="122"/>
      <c r="N50" s="122"/>
    </row>
    <row r="51" spans="1:14" s="89" customFormat="1" ht="12.75" x14ac:dyDescent="0.2">
      <c r="A51" s="99" t="s">
        <v>65</v>
      </c>
      <c r="B51" s="99"/>
      <c r="C51" s="99"/>
      <c r="D51" s="99"/>
      <c r="E51" s="99"/>
      <c r="F51" s="99"/>
      <c r="G51" s="99">
        <f>+G49*G50</f>
        <v>69498</v>
      </c>
      <c r="H51" s="99"/>
      <c r="I51" s="103">
        <f>+G51*2.471</f>
        <v>171729.55800000002</v>
      </c>
      <c r="J51" s="99"/>
      <c r="K51" s="103">
        <f>+G51*2.471</f>
        <v>171729.55800000002</v>
      </c>
      <c r="L51" s="99"/>
      <c r="M51" s="122"/>
      <c r="N51" s="122"/>
    </row>
    <row r="52" spans="1:14" s="89" customFormat="1" ht="12.75" x14ac:dyDescent="0.2">
      <c r="A52" s="99" t="s">
        <v>66</v>
      </c>
      <c r="B52" s="99"/>
      <c r="C52" s="99"/>
      <c r="D52" s="99"/>
      <c r="E52" s="99"/>
      <c r="F52" s="99"/>
      <c r="G52" s="99">
        <f>+G51-K25</f>
        <v>23033.853799999997</v>
      </c>
      <c r="H52" s="99"/>
      <c r="I52" s="99">
        <f>+G52*2.471</f>
        <v>56916.652739799996</v>
      </c>
      <c r="J52" s="99"/>
      <c r="K52" s="99"/>
      <c r="L52" s="99"/>
      <c r="M52" s="99"/>
    </row>
    <row r="53" spans="1:14" s="89" customFormat="1" ht="12.75" x14ac:dyDescent="0.2">
      <c r="A53" s="90" t="s">
        <v>67</v>
      </c>
      <c r="B53" s="90"/>
      <c r="C53" s="90"/>
      <c r="D53" s="90"/>
      <c r="E53" s="90"/>
      <c r="F53" s="90"/>
      <c r="G53" s="136">
        <f>+G51-K26</f>
        <v>40358.578165325074</v>
      </c>
      <c r="H53" s="90"/>
      <c r="I53" s="90">
        <f>+G53*2.471</f>
        <v>99726.046646518269</v>
      </c>
      <c r="J53" s="99"/>
      <c r="K53" s="99"/>
      <c r="L53" s="99"/>
      <c r="M53" s="99"/>
    </row>
    <row r="54" spans="1:14" s="89" customFormat="1" ht="12.75" hidden="1" x14ac:dyDescent="0.2">
      <c r="A54" s="90"/>
      <c r="B54" s="90"/>
      <c r="C54" s="90"/>
      <c r="D54" s="90"/>
      <c r="E54" s="90"/>
      <c r="F54" s="90"/>
      <c r="G54" s="90"/>
      <c r="H54" s="90"/>
      <c r="I54" s="90"/>
      <c r="J54" s="99"/>
      <c r="K54" s="99"/>
      <c r="L54" s="99"/>
      <c r="M54" s="99"/>
    </row>
    <row r="55" spans="1:14" s="89" customFormat="1" ht="12.75" x14ac:dyDescent="0.2">
      <c r="A55" s="90" t="s">
        <v>68</v>
      </c>
      <c r="B55" s="90"/>
      <c r="C55" s="90"/>
      <c r="D55" s="90"/>
      <c r="E55" s="90"/>
      <c r="F55" s="90"/>
      <c r="G55" s="90">
        <f>+K25/G49</f>
        <v>22.062747483380818</v>
      </c>
      <c r="H55" s="90"/>
      <c r="I55" s="90"/>
      <c r="J55" s="99"/>
      <c r="K55" s="99"/>
      <c r="L55" s="99"/>
      <c r="M55" s="99"/>
    </row>
    <row r="56" spans="1:14" s="89" customFormat="1" ht="12.75" x14ac:dyDescent="0.2">
      <c r="A56" s="92" t="s">
        <v>69</v>
      </c>
      <c r="B56" s="92"/>
      <c r="C56" s="92"/>
      <c r="D56" s="92"/>
      <c r="E56" s="92"/>
      <c r="F56" s="92"/>
      <c r="G56" s="92">
        <f>+K26/G49</f>
        <v>13.836382637547446</v>
      </c>
      <c r="H56" s="92"/>
      <c r="I56" s="92"/>
      <c r="J56" s="99"/>
      <c r="K56" s="99"/>
      <c r="L56" s="99"/>
      <c r="M56" s="99"/>
    </row>
    <row r="57" spans="1:14" s="89" customFormat="1" ht="12.75" hidden="1" x14ac:dyDescent="0.2">
      <c r="A57" s="120"/>
      <c r="B57" s="120"/>
      <c r="C57" s="120"/>
      <c r="D57" s="120"/>
      <c r="E57" s="120"/>
      <c r="F57" s="120"/>
      <c r="G57" s="120"/>
      <c r="H57" s="92"/>
      <c r="I57" s="99"/>
      <c r="J57" s="99"/>
      <c r="K57" s="99"/>
      <c r="L57" s="99"/>
      <c r="M57" s="99"/>
    </row>
    <row r="58" spans="1:14" s="89" customFormat="1" ht="12.75" hidden="1" x14ac:dyDescent="0.2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0"/>
      <c r="M58" s="90"/>
    </row>
    <row r="59" spans="1:14" s="89" customFormat="1" x14ac:dyDescent="0.25">
      <c r="A59" s="137" t="s">
        <v>215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91"/>
    </row>
    <row r="60" spans="1:14" s="89" customForma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90"/>
    </row>
    <row r="61" spans="1:14" s="89" customFormat="1" ht="12.75" x14ac:dyDescent="0.2">
      <c r="A61" s="90"/>
      <c r="B61" s="90"/>
      <c r="C61" s="90"/>
      <c r="G61" s="99"/>
      <c r="H61" s="99"/>
      <c r="I61" s="99"/>
      <c r="J61" s="99"/>
      <c r="K61" s="99"/>
      <c r="L61" s="99"/>
      <c r="M61" s="90"/>
    </row>
    <row r="62" spans="1:14" s="89" customFormat="1" ht="12.75" x14ac:dyDescent="0.2">
      <c r="A62" s="90"/>
      <c r="B62" s="90"/>
      <c r="C62" s="90"/>
      <c r="D62" s="96"/>
      <c r="E62" s="90"/>
      <c r="F62" s="90"/>
      <c r="G62" s="90"/>
      <c r="H62" s="99"/>
      <c r="I62" s="99"/>
      <c r="J62" s="99"/>
      <c r="K62" s="99"/>
      <c r="L62" s="99"/>
      <c r="M62" s="9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56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13" s="8" customFormat="1" x14ac:dyDescent="0.25">
      <c r="A1" s="7" t="s">
        <v>72</v>
      </c>
      <c r="B1" s="7"/>
    </row>
    <row r="2" spans="1:13" s="8" customFormat="1" x14ac:dyDescent="0.25">
      <c r="A2" s="7" t="s">
        <v>99</v>
      </c>
      <c r="B2" s="7"/>
    </row>
    <row r="3" spans="1:13" s="8" customFormat="1" x14ac:dyDescent="0.25">
      <c r="A3" s="7" t="s">
        <v>175</v>
      </c>
      <c r="B3" s="7"/>
    </row>
    <row r="4" spans="1:13" s="8" customFormat="1" x14ac:dyDescent="0.25">
      <c r="A4" s="7" t="s">
        <v>100</v>
      </c>
      <c r="B4" s="7"/>
    </row>
    <row r="5" spans="1:13" s="141" customFormat="1" ht="12.75" x14ac:dyDescent="0.25">
      <c r="A5" s="138" t="s">
        <v>0</v>
      </c>
      <c r="B5" s="138"/>
      <c r="C5" s="138"/>
      <c r="D5" s="139" t="s">
        <v>1</v>
      </c>
      <c r="E5" s="139" t="s">
        <v>2</v>
      </c>
      <c r="F5" s="139" t="s">
        <v>73</v>
      </c>
      <c r="G5" s="139" t="s">
        <v>74</v>
      </c>
      <c r="H5" s="139" t="s">
        <v>5</v>
      </c>
      <c r="I5" s="139" t="s">
        <v>6</v>
      </c>
      <c r="J5" s="139" t="s">
        <v>7</v>
      </c>
      <c r="K5" s="139" t="s">
        <v>8</v>
      </c>
      <c r="L5" s="140" t="s">
        <v>75</v>
      </c>
      <c r="M5" s="139"/>
    </row>
    <row r="6" spans="1:13" s="141" customFormat="1" ht="12.75" x14ac:dyDescent="0.25">
      <c r="A6" s="142"/>
      <c r="B6" s="142"/>
      <c r="C6" s="142"/>
      <c r="D6" s="143" t="s">
        <v>11</v>
      </c>
      <c r="E6" s="143" t="s">
        <v>76</v>
      </c>
      <c r="F6" s="143" t="s">
        <v>76</v>
      </c>
      <c r="G6" s="143" t="s">
        <v>77</v>
      </c>
      <c r="H6" s="143" t="s">
        <v>15</v>
      </c>
      <c r="I6" s="143" t="s">
        <v>78</v>
      </c>
      <c r="J6" s="143" t="s">
        <v>15</v>
      </c>
      <c r="K6" s="143" t="s">
        <v>15</v>
      </c>
      <c r="L6" s="143" t="s">
        <v>6</v>
      </c>
      <c r="M6" s="143" t="s">
        <v>7</v>
      </c>
    </row>
    <row r="7" spans="1:13" s="141" customFormat="1" ht="12.75" x14ac:dyDescent="0.25">
      <c r="A7" s="142"/>
      <c r="B7" s="142"/>
      <c r="C7" s="142"/>
      <c r="D7" s="143" t="s">
        <v>19</v>
      </c>
      <c r="E7" s="143"/>
      <c r="F7" s="143"/>
      <c r="G7" s="143"/>
      <c r="H7" s="143" t="s">
        <v>20</v>
      </c>
      <c r="I7" s="143" t="s">
        <v>15</v>
      </c>
      <c r="J7" s="143" t="s">
        <v>20</v>
      </c>
      <c r="K7" s="143" t="s">
        <v>20</v>
      </c>
      <c r="L7" s="143"/>
      <c r="M7" s="143"/>
    </row>
    <row r="8" spans="1:13" s="141" customFormat="1" ht="12.75" x14ac:dyDescent="0.25">
      <c r="A8" s="144"/>
      <c r="B8" s="144"/>
      <c r="C8" s="144"/>
      <c r="D8" s="145"/>
      <c r="E8" s="145"/>
      <c r="F8" s="145"/>
      <c r="G8" s="145"/>
      <c r="H8" s="145"/>
      <c r="I8" s="145" t="s">
        <v>20</v>
      </c>
      <c r="J8" s="145"/>
      <c r="K8" s="145"/>
      <c r="L8" s="145"/>
      <c r="M8" s="145"/>
    </row>
    <row r="9" spans="1:13" s="141" customFormat="1" ht="12.75" x14ac:dyDescent="0.25">
      <c r="A9" s="141" t="s">
        <v>22</v>
      </c>
      <c r="D9" s="146">
        <v>70</v>
      </c>
      <c r="E9" s="147">
        <v>0.61</v>
      </c>
      <c r="F9" s="147">
        <v>0.2</v>
      </c>
      <c r="G9" s="148">
        <v>1297</v>
      </c>
      <c r="H9" s="147">
        <v>791</v>
      </c>
      <c r="J9" s="147"/>
      <c r="K9" s="147">
        <f t="shared" ref="K9:K18" si="0">SUM(H9:J9)</f>
        <v>791</v>
      </c>
    </row>
    <row r="10" spans="1:13" s="141" customFormat="1" ht="12.75" x14ac:dyDescent="0.25">
      <c r="A10" s="141" t="s">
        <v>176</v>
      </c>
      <c r="D10" s="146">
        <v>100</v>
      </c>
      <c r="E10" s="147">
        <v>0.56999999999999995</v>
      </c>
      <c r="F10" s="147">
        <v>0.53</v>
      </c>
      <c r="G10" s="148">
        <v>1500</v>
      </c>
      <c r="H10" s="147">
        <f t="shared" ref="H10:H16" si="1">SUM(E10*G10)</f>
        <v>854.99999999999989</v>
      </c>
      <c r="I10" s="147">
        <v>4994</v>
      </c>
      <c r="J10" s="147"/>
      <c r="K10" s="147">
        <f t="shared" si="0"/>
        <v>5849</v>
      </c>
      <c r="L10" s="147">
        <v>124</v>
      </c>
      <c r="M10" s="147"/>
    </row>
    <row r="11" spans="1:13" s="141" customFormat="1" ht="12.75" x14ac:dyDescent="0.25">
      <c r="A11" s="141" t="s">
        <v>25</v>
      </c>
      <c r="D11" s="146">
        <v>100</v>
      </c>
      <c r="E11" s="147">
        <v>2.1800000000000002</v>
      </c>
      <c r="F11" s="147">
        <v>0.35</v>
      </c>
      <c r="G11" s="148">
        <v>1148</v>
      </c>
      <c r="H11" s="147">
        <v>2503</v>
      </c>
      <c r="I11" s="147"/>
      <c r="J11" s="147"/>
      <c r="K11" s="147">
        <f t="shared" si="0"/>
        <v>2503</v>
      </c>
      <c r="L11" s="147"/>
      <c r="M11" s="147"/>
    </row>
    <row r="12" spans="1:13" s="141" customFormat="1" ht="12.75" x14ac:dyDescent="0.25">
      <c r="A12" s="141" t="s">
        <v>43</v>
      </c>
      <c r="D12" s="146">
        <v>100</v>
      </c>
      <c r="E12" s="147">
        <v>1.1599999999999999</v>
      </c>
      <c r="F12" s="147">
        <v>0.1</v>
      </c>
      <c r="G12" s="148">
        <v>1536</v>
      </c>
      <c r="H12" s="147">
        <v>1782</v>
      </c>
      <c r="I12" s="147"/>
      <c r="J12" s="147">
        <v>4728</v>
      </c>
      <c r="K12" s="147">
        <f t="shared" si="0"/>
        <v>6510</v>
      </c>
      <c r="L12" s="147"/>
      <c r="M12" s="147"/>
    </row>
    <row r="13" spans="1:13" s="141" customFormat="1" ht="12.75" x14ac:dyDescent="0.25">
      <c r="A13" s="141" t="s">
        <v>27</v>
      </c>
      <c r="D13" s="146">
        <v>100</v>
      </c>
      <c r="E13" s="147">
        <v>1.25</v>
      </c>
      <c r="F13" s="147">
        <v>0.42</v>
      </c>
      <c r="G13" s="148">
        <v>1122</v>
      </c>
      <c r="H13" s="147">
        <v>1402</v>
      </c>
      <c r="I13" s="147"/>
      <c r="J13" s="147">
        <f>SUM(E33*G33+E34*G34+E35*G35)</f>
        <v>1028</v>
      </c>
      <c r="K13" s="147">
        <f t="shared" si="0"/>
        <v>2430</v>
      </c>
      <c r="L13" s="147"/>
      <c r="M13" s="147"/>
    </row>
    <row r="14" spans="1:13" s="141" customFormat="1" ht="12.75" x14ac:dyDescent="0.25">
      <c r="A14" s="141" t="s">
        <v>79</v>
      </c>
      <c r="D14" s="146">
        <v>100</v>
      </c>
      <c r="E14" s="147">
        <v>0.67</v>
      </c>
      <c r="F14" s="147">
        <v>0.22</v>
      </c>
      <c r="G14" s="148">
        <v>1301</v>
      </c>
      <c r="H14" s="147">
        <v>872</v>
      </c>
      <c r="I14" s="147"/>
      <c r="J14" s="147">
        <v>2844</v>
      </c>
      <c r="K14" s="147">
        <f t="shared" si="0"/>
        <v>3716</v>
      </c>
      <c r="L14" s="147"/>
      <c r="M14" s="147"/>
    </row>
    <row r="15" spans="1:13" s="141" customFormat="1" ht="12.75" x14ac:dyDescent="0.25">
      <c r="A15" s="141" t="s">
        <v>29</v>
      </c>
      <c r="D15" s="146">
        <v>74</v>
      </c>
      <c r="E15" s="147">
        <v>0.94</v>
      </c>
      <c r="F15" s="147">
        <v>0.4</v>
      </c>
      <c r="G15" s="148">
        <v>1182</v>
      </c>
      <c r="H15" s="147">
        <v>1111</v>
      </c>
      <c r="I15" s="147"/>
      <c r="J15" s="147">
        <v>1900</v>
      </c>
      <c r="K15" s="147">
        <f t="shared" si="0"/>
        <v>3011</v>
      </c>
      <c r="L15" s="147"/>
      <c r="M15" s="147"/>
    </row>
    <row r="16" spans="1:13" s="141" customFormat="1" ht="12.75" x14ac:dyDescent="0.25">
      <c r="A16" s="141" t="s">
        <v>80</v>
      </c>
      <c r="D16" s="146">
        <v>100</v>
      </c>
      <c r="E16" s="147">
        <v>5.87</v>
      </c>
      <c r="F16" s="147">
        <v>5.6</v>
      </c>
      <c r="G16" s="148">
        <v>1000</v>
      </c>
      <c r="H16" s="147">
        <f t="shared" si="1"/>
        <v>5870</v>
      </c>
      <c r="I16" s="147"/>
      <c r="J16" s="147"/>
      <c r="K16" s="147">
        <f t="shared" si="0"/>
        <v>5870</v>
      </c>
      <c r="L16" s="147"/>
      <c r="M16" s="147"/>
    </row>
    <row r="17" spans="1:13" s="141" customFormat="1" ht="12.75" x14ac:dyDescent="0.25">
      <c r="A17" s="141" t="s">
        <v>81</v>
      </c>
      <c r="D17" s="146">
        <v>100</v>
      </c>
      <c r="E17" s="147">
        <v>1.06</v>
      </c>
      <c r="F17" s="147">
        <v>0.19</v>
      </c>
      <c r="G17" s="148">
        <v>1406</v>
      </c>
      <c r="H17" s="147">
        <v>1490</v>
      </c>
      <c r="I17" s="147">
        <v>5944</v>
      </c>
      <c r="J17" s="147"/>
      <c r="K17" s="147">
        <f t="shared" si="0"/>
        <v>7434</v>
      </c>
      <c r="L17" s="147"/>
      <c r="M17" s="147"/>
    </row>
    <row r="18" spans="1:13" s="141" customFormat="1" ht="12.75" x14ac:dyDescent="0.25">
      <c r="A18" s="141" t="s">
        <v>83</v>
      </c>
      <c r="D18" s="146">
        <v>70</v>
      </c>
      <c r="E18" s="147">
        <v>0.82</v>
      </c>
      <c r="F18" s="147">
        <v>0.15</v>
      </c>
      <c r="G18" s="148">
        <v>1182</v>
      </c>
      <c r="H18" s="147">
        <v>969</v>
      </c>
      <c r="I18" s="147">
        <v>1485</v>
      </c>
      <c r="J18" s="147"/>
      <c r="K18" s="147">
        <f t="shared" si="0"/>
        <v>2454</v>
      </c>
      <c r="L18" s="147"/>
      <c r="M18" s="147"/>
    </row>
    <row r="19" spans="1:13" s="141" customFormat="1" ht="12.75" x14ac:dyDescent="0.25">
      <c r="A19" s="138" t="s">
        <v>33</v>
      </c>
      <c r="B19" s="138"/>
      <c r="C19" s="138"/>
      <c r="D19" s="149"/>
      <c r="E19" s="150">
        <f>SUM(E9:E18)</f>
        <v>15.13</v>
      </c>
      <c r="F19" s="150">
        <f>SUM(F9:F18)</f>
        <v>8.16</v>
      </c>
      <c r="G19" s="150"/>
      <c r="H19" s="150">
        <f>SUM(H9:H18)</f>
        <v>17645</v>
      </c>
      <c r="I19" s="150">
        <f>SUM(I9:I18)</f>
        <v>12423</v>
      </c>
      <c r="J19" s="150">
        <f>SUM(J9:J18)</f>
        <v>10500</v>
      </c>
      <c r="K19" s="150">
        <f>SUM(H19:J19)</f>
        <v>40568</v>
      </c>
      <c r="L19" s="150">
        <f>SUM(L9:L18)</f>
        <v>124</v>
      </c>
      <c r="M19" s="150">
        <f>SUM(M9:M18)</f>
        <v>0</v>
      </c>
    </row>
    <row r="20" spans="1:13" s="141" customFormat="1" ht="12.75" x14ac:dyDescent="0.25">
      <c r="A20" s="144" t="s">
        <v>34</v>
      </c>
      <c r="B20" s="144"/>
      <c r="C20" s="144"/>
      <c r="D20" s="151"/>
      <c r="E20" s="152">
        <f>SUM(E19-F19)</f>
        <v>6.9700000000000006</v>
      </c>
      <c r="F20" s="152"/>
      <c r="G20" s="152"/>
      <c r="H20" s="152">
        <f>SUM(E28*G28)</f>
        <v>8128.5955056179782</v>
      </c>
      <c r="I20" s="152">
        <f>I19-L19</f>
        <v>12299</v>
      </c>
      <c r="J20" s="152">
        <f>J19-M19</f>
        <v>10500</v>
      </c>
      <c r="K20" s="152">
        <f>SUM(H20:J20)</f>
        <v>30927.595505617977</v>
      </c>
      <c r="L20" s="144"/>
      <c r="M20" s="144"/>
    </row>
    <row r="21" spans="1:13" s="141" customFormat="1" ht="12.75" x14ac:dyDescent="0.25">
      <c r="C21" s="141" t="s">
        <v>35</v>
      </c>
    </row>
    <row r="22" spans="1:13" s="141" customFormat="1" ht="12.75" x14ac:dyDescent="0.25"/>
    <row r="23" spans="1:13" s="141" customFormat="1" ht="12.75" x14ac:dyDescent="0.25">
      <c r="A23" s="141" t="s">
        <v>36</v>
      </c>
    </row>
    <row r="24" spans="1:13" s="141" customFormat="1" ht="12.75" x14ac:dyDescent="0.25">
      <c r="A24" s="153" t="s">
        <v>17</v>
      </c>
      <c r="B24" s="153"/>
      <c r="C24" s="153"/>
      <c r="D24" s="153" t="s">
        <v>37</v>
      </c>
      <c r="E24" s="153" t="s">
        <v>84</v>
      </c>
      <c r="F24" s="153"/>
      <c r="G24" s="153" t="s">
        <v>39</v>
      </c>
      <c r="I24" s="154" t="s">
        <v>85</v>
      </c>
      <c r="J24" s="154" t="s">
        <v>86</v>
      </c>
    </row>
    <row r="25" spans="1:13" s="141" customFormat="1" x14ac:dyDescent="0.25">
      <c r="A25" s="141" t="s">
        <v>41</v>
      </c>
      <c r="I25" s="155" t="s">
        <v>88</v>
      </c>
      <c r="J25" s="156">
        <v>34</v>
      </c>
    </row>
    <row r="26" spans="1:13" s="141" customFormat="1" x14ac:dyDescent="0.25">
      <c r="A26" s="141" t="s">
        <v>43</v>
      </c>
      <c r="D26" s="141" t="s">
        <v>44</v>
      </c>
      <c r="E26" s="147">
        <v>69.98</v>
      </c>
      <c r="G26" s="147">
        <v>67.569999999999993</v>
      </c>
      <c r="I26" s="155" t="s">
        <v>87</v>
      </c>
      <c r="J26" s="156">
        <v>57</v>
      </c>
    </row>
    <row r="27" spans="1:13" s="141" customFormat="1" x14ac:dyDescent="0.25">
      <c r="A27" s="141" t="s">
        <v>46</v>
      </c>
      <c r="I27" s="155" t="s">
        <v>177</v>
      </c>
      <c r="J27" s="156">
        <v>2</v>
      </c>
    </row>
    <row r="28" spans="1:13" s="141" customFormat="1" x14ac:dyDescent="0.25">
      <c r="A28" s="141" t="s">
        <v>48</v>
      </c>
      <c r="D28" s="141" t="s">
        <v>49</v>
      </c>
      <c r="E28" s="141">
        <f>SUM(E19-F19)</f>
        <v>6.9700000000000006</v>
      </c>
      <c r="G28" s="147">
        <f>SUM(H19/E30)</f>
        <v>1166.2260409781891</v>
      </c>
      <c r="I28" s="155" t="s">
        <v>89</v>
      </c>
      <c r="J28" s="156">
        <v>4</v>
      </c>
    </row>
    <row r="29" spans="1:13" s="141" customFormat="1" x14ac:dyDescent="0.25">
      <c r="A29" s="141" t="s">
        <v>51</v>
      </c>
      <c r="D29" s="141" t="s">
        <v>49</v>
      </c>
      <c r="E29" s="141">
        <f>SUM(F19)</f>
        <v>8.16</v>
      </c>
      <c r="I29" s="155" t="s">
        <v>178</v>
      </c>
      <c r="J29" s="156">
        <v>3</v>
      </c>
    </row>
    <row r="30" spans="1:13" s="141" customFormat="1" x14ac:dyDescent="0.25">
      <c r="A30" s="141" t="s">
        <v>2</v>
      </c>
      <c r="E30" s="141">
        <f>SUM(E28:E29)</f>
        <v>15.13</v>
      </c>
      <c r="I30" s="85"/>
    </row>
    <row r="31" spans="1:13" s="141" customFormat="1" x14ac:dyDescent="0.25">
      <c r="I31" s="85" t="s">
        <v>40</v>
      </c>
      <c r="J31" s="141">
        <v>4.03</v>
      </c>
    </row>
    <row r="32" spans="1:13" s="141" customFormat="1" ht="12.75" x14ac:dyDescent="0.25">
      <c r="A32" s="138" t="s">
        <v>92</v>
      </c>
      <c r="B32" s="138"/>
      <c r="C32" s="138" t="s">
        <v>53</v>
      </c>
      <c r="D32" s="138"/>
      <c r="E32" s="138"/>
      <c r="F32" s="138"/>
      <c r="G32" s="138"/>
      <c r="I32" s="142" t="s">
        <v>42</v>
      </c>
      <c r="J32" s="141">
        <v>2</v>
      </c>
    </row>
    <row r="33" spans="1:11" s="141" customFormat="1" x14ac:dyDescent="0.25">
      <c r="A33" s="142" t="s">
        <v>93</v>
      </c>
      <c r="B33" s="142" t="s">
        <v>150</v>
      </c>
      <c r="C33" s="157">
        <v>90</v>
      </c>
      <c r="D33" s="142" t="s">
        <v>44</v>
      </c>
      <c r="E33" s="158">
        <v>22</v>
      </c>
      <c r="F33" s="158"/>
      <c r="G33" s="158">
        <v>9</v>
      </c>
      <c r="I33" s="85"/>
      <c r="J33" s="85"/>
      <c r="K33" s="85"/>
    </row>
    <row r="34" spans="1:11" s="141" customFormat="1" x14ac:dyDescent="0.25">
      <c r="A34" s="142" t="s">
        <v>133</v>
      </c>
      <c r="B34" s="142" t="s">
        <v>95</v>
      </c>
      <c r="C34" s="157">
        <v>100</v>
      </c>
      <c r="D34" s="142" t="s">
        <v>44</v>
      </c>
      <c r="E34" s="158">
        <v>75</v>
      </c>
      <c r="F34" s="158"/>
      <c r="G34" s="158">
        <v>8</v>
      </c>
      <c r="I34" s="85"/>
      <c r="J34" s="85"/>
    </row>
    <row r="35" spans="1:11" s="141" customFormat="1" x14ac:dyDescent="0.25">
      <c r="A35" s="142"/>
      <c r="B35" s="142" t="s">
        <v>96</v>
      </c>
      <c r="C35" s="157">
        <v>93</v>
      </c>
      <c r="D35" s="142" t="s">
        <v>44</v>
      </c>
      <c r="E35" s="158">
        <v>23</v>
      </c>
      <c r="F35" s="158"/>
      <c r="G35" s="158">
        <v>10</v>
      </c>
      <c r="I35" s="85"/>
    </row>
    <row r="36" spans="1:11" s="141" customFormat="1" ht="12.75" x14ac:dyDescent="0.25">
      <c r="A36" s="138" t="s">
        <v>60</v>
      </c>
      <c r="B36" s="138"/>
      <c r="C36" s="138"/>
      <c r="D36" s="138"/>
      <c r="E36" s="138"/>
      <c r="F36" s="138"/>
      <c r="G36" s="138"/>
    </row>
    <row r="37" spans="1:11" s="141" customFormat="1" ht="12.75" x14ac:dyDescent="0.25">
      <c r="A37" s="142" t="s">
        <v>97</v>
      </c>
      <c r="B37" s="142"/>
      <c r="C37" s="142"/>
      <c r="D37" s="142"/>
      <c r="E37" s="142"/>
      <c r="F37" s="142"/>
      <c r="G37" s="159">
        <v>2298</v>
      </c>
      <c r="H37" s="160"/>
    </row>
    <row r="38" spans="1:11" s="141" customFormat="1" ht="12.75" x14ac:dyDescent="0.25">
      <c r="A38" s="142" t="s">
        <v>98</v>
      </c>
      <c r="B38" s="142"/>
      <c r="C38" s="142"/>
      <c r="D38" s="142"/>
      <c r="E38" s="142"/>
      <c r="F38" s="142"/>
      <c r="G38" s="161">
        <v>29.59</v>
      </c>
    </row>
    <row r="39" spans="1:11" s="141" customFormat="1" ht="12.75" x14ac:dyDescent="0.25">
      <c r="A39" s="142" t="s">
        <v>65</v>
      </c>
      <c r="B39" s="142"/>
      <c r="C39" s="142"/>
      <c r="D39" s="142"/>
      <c r="E39" s="142"/>
      <c r="F39" s="142"/>
      <c r="G39" s="161">
        <f>SUM(G37*G38)</f>
        <v>67997.819999999992</v>
      </c>
    </row>
    <row r="40" spans="1:11" s="141" customFormat="1" ht="12.75" x14ac:dyDescent="0.25">
      <c r="A40" s="142" t="s">
        <v>66</v>
      </c>
      <c r="B40" s="142"/>
      <c r="C40" s="142"/>
      <c r="D40" s="142"/>
      <c r="E40" s="142"/>
      <c r="F40" s="142"/>
      <c r="G40" s="161">
        <f>SUM(G39-K19)</f>
        <v>27429.819999999992</v>
      </c>
    </row>
    <row r="41" spans="1:11" s="141" customFormat="1" ht="12.75" x14ac:dyDescent="0.25">
      <c r="A41" s="142" t="s">
        <v>67</v>
      </c>
      <c r="B41" s="142"/>
      <c r="C41" s="142"/>
      <c r="D41" s="142"/>
      <c r="E41" s="142"/>
      <c r="F41" s="142"/>
      <c r="G41" s="161">
        <f>SUM(G39-K20)</f>
        <v>37070.224494382011</v>
      </c>
    </row>
    <row r="42" spans="1:11" s="141" customFormat="1" ht="12.75" x14ac:dyDescent="0.25">
      <c r="A42" s="142"/>
      <c r="B42" s="142"/>
      <c r="C42" s="142"/>
      <c r="D42" s="142"/>
      <c r="E42" s="142"/>
      <c r="F42" s="142"/>
      <c r="G42" s="161"/>
    </row>
    <row r="43" spans="1:11" s="141" customFormat="1" ht="12.75" x14ac:dyDescent="0.25">
      <c r="A43" s="142" t="s">
        <v>68</v>
      </c>
      <c r="B43" s="142"/>
      <c r="C43" s="142"/>
      <c r="D43" s="142"/>
      <c r="E43" s="142"/>
      <c r="F43" s="142"/>
      <c r="G43" s="161">
        <f>SUM(K19/G37)</f>
        <v>17.653611836379461</v>
      </c>
    </row>
    <row r="44" spans="1:11" s="141" customFormat="1" ht="12.75" x14ac:dyDescent="0.25">
      <c r="A44" s="144" t="s">
        <v>69</v>
      </c>
      <c r="B44" s="144"/>
      <c r="C44" s="144"/>
      <c r="D44" s="144"/>
      <c r="E44" s="144"/>
      <c r="F44" s="144"/>
      <c r="G44" s="162">
        <f>SUM(K20/G37)</f>
        <v>13.458483683906866</v>
      </c>
    </row>
    <row r="45" spans="1:11" s="141" customFormat="1" ht="12.75" x14ac:dyDescent="0.25"/>
    <row r="46" spans="1:11" s="141" customFormat="1" ht="13.5" x14ac:dyDescent="0.25">
      <c r="A46" s="163" t="s">
        <v>153</v>
      </c>
    </row>
    <row r="47" spans="1:11" s="141" customFormat="1" ht="12.75" x14ac:dyDescent="0.25"/>
    <row r="48" spans="1:11" s="141" customFormat="1" ht="12.75" x14ac:dyDescent="0.25"/>
    <row r="49" spans="1:1" s="32" customFormat="1" ht="12" x14ac:dyDescent="0.2">
      <c r="A49" s="164"/>
    </row>
    <row r="50" spans="1:1" s="32" customFormat="1" ht="12" x14ac:dyDescent="0.2"/>
    <row r="51" spans="1:1" s="32" customFormat="1" ht="12" x14ac:dyDescent="0.2"/>
    <row r="52" spans="1:1" s="32" customFormat="1" ht="12" x14ac:dyDescent="0.2"/>
    <row r="53" spans="1:1" s="32" customFormat="1" ht="12" x14ac:dyDescent="0.2"/>
    <row r="54" spans="1:1" s="32" customFormat="1" ht="12" x14ac:dyDescent="0.2"/>
    <row r="55" spans="1:1" s="32" customFormat="1" ht="12" x14ac:dyDescent="0.2"/>
    <row r="56" spans="1:1" s="32" customFormat="1" ht="12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Y53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25" x14ac:dyDescent="0.25">
      <c r="A1" s="7" t="s">
        <v>72</v>
      </c>
      <c r="B1" s="7"/>
    </row>
    <row r="2" spans="1:25" x14ac:dyDescent="0.25">
      <c r="A2" s="7" t="s">
        <v>106</v>
      </c>
      <c r="B2" s="7"/>
    </row>
    <row r="3" spans="1:25" x14ac:dyDescent="0.25">
      <c r="A3" s="7" t="s">
        <v>175</v>
      </c>
      <c r="B3" s="7"/>
    </row>
    <row r="4" spans="1:25" x14ac:dyDescent="0.25">
      <c r="A4" s="7" t="s">
        <v>100</v>
      </c>
      <c r="B4" s="7"/>
    </row>
    <row r="5" spans="1:25" s="32" customFormat="1" ht="12" x14ac:dyDescent="0.2">
      <c r="A5" s="48" t="s">
        <v>0</v>
      </c>
      <c r="B5" s="48"/>
      <c r="C5" s="48"/>
      <c r="D5" s="165" t="s">
        <v>1</v>
      </c>
      <c r="E5" s="165" t="s">
        <v>2</v>
      </c>
      <c r="F5" s="165" t="s">
        <v>73</v>
      </c>
      <c r="G5" s="165" t="s">
        <v>74</v>
      </c>
      <c r="H5" s="165" t="s">
        <v>5</v>
      </c>
      <c r="I5" s="165" t="s">
        <v>6</v>
      </c>
      <c r="J5" s="165" t="s">
        <v>7</v>
      </c>
      <c r="K5" s="165" t="s">
        <v>8</v>
      </c>
      <c r="L5" s="166" t="s">
        <v>75</v>
      </c>
      <c r="M5" s="165"/>
    </row>
    <row r="6" spans="1:25" s="32" customFormat="1" ht="12" x14ac:dyDescent="0.2">
      <c r="A6" s="30"/>
      <c r="B6" s="30"/>
      <c r="C6" s="30"/>
      <c r="D6" s="49" t="s">
        <v>11</v>
      </c>
      <c r="E6" s="49" t="s">
        <v>76</v>
      </c>
      <c r="F6" s="49" t="s">
        <v>76</v>
      </c>
      <c r="G6" s="49" t="s">
        <v>77</v>
      </c>
      <c r="H6" s="49" t="s">
        <v>15</v>
      </c>
      <c r="I6" s="49" t="s">
        <v>78</v>
      </c>
      <c r="J6" s="49" t="s">
        <v>15</v>
      </c>
      <c r="K6" s="49" t="s">
        <v>15</v>
      </c>
      <c r="L6" s="49" t="s">
        <v>6</v>
      </c>
      <c r="M6" s="49" t="s">
        <v>7</v>
      </c>
    </row>
    <row r="7" spans="1:25" s="32" customFormat="1" ht="12" x14ac:dyDescent="0.2">
      <c r="A7" s="30"/>
      <c r="B7" s="30"/>
      <c r="C7" s="30"/>
      <c r="D7" s="49" t="s">
        <v>19</v>
      </c>
      <c r="E7" s="49"/>
      <c r="F7" s="49"/>
      <c r="G7" s="49"/>
      <c r="H7" s="49" t="s">
        <v>20</v>
      </c>
      <c r="I7" s="49" t="s">
        <v>15</v>
      </c>
      <c r="J7" s="49" t="s">
        <v>20</v>
      </c>
      <c r="K7" s="49" t="s">
        <v>20</v>
      </c>
      <c r="L7" s="49"/>
      <c r="M7" s="49"/>
    </row>
    <row r="8" spans="1:25" s="32" customFormat="1" ht="12" x14ac:dyDescent="0.2">
      <c r="A8" s="33"/>
      <c r="B8" s="33"/>
      <c r="C8" s="33"/>
      <c r="D8" s="167"/>
      <c r="E8" s="167"/>
      <c r="F8" s="167"/>
      <c r="G8" s="167"/>
      <c r="H8" s="167"/>
      <c r="I8" s="167" t="s">
        <v>20</v>
      </c>
      <c r="J8" s="167"/>
      <c r="K8" s="167"/>
      <c r="L8" s="167"/>
      <c r="M8" s="167"/>
    </row>
    <row r="9" spans="1:25" s="32" customFormat="1" ht="12" x14ac:dyDescent="0.2">
      <c r="A9" s="32" t="s">
        <v>22</v>
      </c>
      <c r="D9" s="43">
        <v>94</v>
      </c>
      <c r="E9" s="168">
        <v>0.52</v>
      </c>
      <c r="F9" s="168">
        <v>0.52</v>
      </c>
      <c r="G9" s="53">
        <v>1000</v>
      </c>
      <c r="H9" s="52">
        <v>520</v>
      </c>
      <c r="I9" s="52"/>
      <c r="J9" s="52"/>
      <c r="K9" s="52">
        <v>520</v>
      </c>
      <c r="L9" s="52"/>
      <c r="M9" s="6"/>
      <c r="N9" s="30"/>
      <c r="O9" s="30"/>
      <c r="P9" s="30"/>
      <c r="Q9" s="49"/>
      <c r="R9" s="49"/>
      <c r="S9" s="49"/>
      <c r="T9" s="49"/>
      <c r="U9" s="49"/>
      <c r="V9" s="49"/>
      <c r="W9" s="49"/>
      <c r="X9" s="49"/>
      <c r="Y9" s="49"/>
    </row>
    <row r="10" spans="1:25" s="32" customFormat="1" ht="12" x14ac:dyDescent="0.2">
      <c r="A10" s="32" t="s">
        <v>176</v>
      </c>
      <c r="D10" s="43">
        <v>80</v>
      </c>
      <c r="E10" s="168">
        <v>0.75</v>
      </c>
      <c r="F10" s="168">
        <v>0.71</v>
      </c>
      <c r="G10" s="53">
        <v>1200</v>
      </c>
      <c r="H10" s="52">
        <v>900</v>
      </c>
      <c r="I10" s="52">
        <v>6485</v>
      </c>
      <c r="J10" s="52"/>
      <c r="K10" s="52">
        <v>7385</v>
      </c>
      <c r="L10" s="52">
        <v>877</v>
      </c>
      <c r="M10" s="6"/>
      <c r="N10" s="30"/>
      <c r="O10" s="30"/>
      <c r="P10" s="30"/>
      <c r="Q10" s="169"/>
      <c r="R10" s="39"/>
      <c r="S10" s="39"/>
      <c r="T10" s="170"/>
      <c r="U10" s="39"/>
      <c r="V10" s="30"/>
      <c r="W10" s="39"/>
      <c r="X10" s="39"/>
      <c r="Y10" s="30"/>
    </row>
    <row r="11" spans="1:25" s="32" customFormat="1" ht="12" x14ac:dyDescent="0.2">
      <c r="A11" s="32" t="s">
        <v>168</v>
      </c>
      <c r="D11" s="43" t="s">
        <v>179</v>
      </c>
      <c r="E11" s="171"/>
      <c r="F11" s="171"/>
      <c r="G11" s="172"/>
      <c r="H11" s="52"/>
      <c r="I11" s="173" t="s">
        <v>180</v>
      </c>
      <c r="J11" s="52"/>
      <c r="K11" s="52"/>
      <c r="L11" s="173"/>
      <c r="M11" s="6"/>
      <c r="N11" s="30"/>
      <c r="O11" s="30"/>
      <c r="P11" s="30"/>
      <c r="Q11" s="169"/>
      <c r="R11" s="39"/>
      <c r="S11" s="39"/>
      <c r="T11" s="170"/>
      <c r="U11" s="39"/>
      <c r="V11" s="39"/>
      <c r="W11" s="39"/>
      <c r="X11" s="39"/>
      <c r="Y11" s="39"/>
    </row>
    <row r="12" spans="1:25" s="32" customFormat="1" ht="12" x14ac:dyDescent="0.2">
      <c r="A12" s="32" t="s">
        <v>25</v>
      </c>
      <c r="D12" s="42">
        <v>100</v>
      </c>
      <c r="E12" s="168">
        <v>2.96</v>
      </c>
      <c r="F12" s="168">
        <v>1.42</v>
      </c>
      <c r="G12" s="53">
        <v>1092</v>
      </c>
      <c r="H12" s="52">
        <v>3232</v>
      </c>
      <c r="I12" s="52"/>
      <c r="J12" s="52"/>
      <c r="K12" s="52">
        <v>3232</v>
      </c>
      <c r="L12" s="52"/>
      <c r="M12" s="6"/>
      <c r="N12" s="30"/>
      <c r="O12" s="30"/>
      <c r="P12" s="30"/>
      <c r="Q12" s="174"/>
      <c r="R12" s="175"/>
      <c r="S12" s="175"/>
      <c r="T12" s="176"/>
      <c r="U12" s="177"/>
      <c r="V12" s="177"/>
      <c r="W12" s="39"/>
      <c r="X12" s="39"/>
      <c r="Y12" s="50"/>
    </row>
    <row r="13" spans="1:25" s="32" customFormat="1" ht="12" x14ac:dyDescent="0.2">
      <c r="A13" s="32" t="s">
        <v>43</v>
      </c>
      <c r="D13" s="43">
        <v>100</v>
      </c>
      <c r="E13" s="168">
        <v>2.0099999999999998</v>
      </c>
      <c r="F13" s="168">
        <v>0.99</v>
      </c>
      <c r="G13" s="53">
        <v>1089</v>
      </c>
      <c r="H13" s="52">
        <v>2189</v>
      </c>
      <c r="I13" s="52"/>
      <c r="J13" s="52">
        <v>3102</v>
      </c>
      <c r="K13" s="52">
        <v>5291</v>
      </c>
      <c r="L13" s="6"/>
      <c r="M13" s="52">
        <v>932</v>
      </c>
      <c r="N13" s="30"/>
      <c r="O13" s="30"/>
      <c r="P13" s="30"/>
      <c r="Q13" s="169"/>
      <c r="R13" s="39"/>
      <c r="S13" s="39"/>
      <c r="T13" s="170"/>
      <c r="U13" s="39"/>
      <c r="V13" s="39"/>
      <c r="W13" s="39"/>
      <c r="X13" s="39"/>
      <c r="Y13" s="50"/>
    </row>
    <row r="14" spans="1:25" s="32" customFormat="1" ht="12" x14ac:dyDescent="0.2">
      <c r="A14" s="32" t="s">
        <v>27</v>
      </c>
      <c r="D14" s="43">
        <v>100</v>
      </c>
      <c r="E14" s="168">
        <v>0.98</v>
      </c>
      <c r="F14" s="168">
        <v>0.9</v>
      </c>
      <c r="G14" s="53">
        <v>1000</v>
      </c>
      <c r="H14" s="52">
        <v>980</v>
      </c>
      <c r="I14" s="52"/>
      <c r="J14" s="52">
        <v>931</v>
      </c>
      <c r="K14" s="52">
        <v>1911</v>
      </c>
      <c r="L14" s="52"/>
      <c r="M14" s="6"/>
      <c r="N14" s="30"/>
      <c r="O14" s="30"/>
      <c r="P14" s="30"/>
      <c r="Q14" s="169"/>
      <c r="R14" s="39"/>
      <c r="S14" s="39"/>
      <c r="T14" s="170"/>
      <c r="U14" s="39"/>
      <c r="V14" s="39"/>
      <c r="W14" s="39"/>
      <c r="X14" s="39"/>
      <c r="Y14" s="50"/>
    </row>
    <row r="15" spans="1:25" s="32" customFormat="1" ht="12" x14ac:dyDescent="0.2">
      <c r="A15" s="32" t="s">
        <v>79</v>
      </c>
      <c r="D15" s="43">
        <v>98</v>
      </c>
      <c r="E15" s="168">
        <v>0.64</v>
      </c>
      <c r="F15" s="168">
        <v>0.48</v>
      </c>
      <c r="G15" s="53">
        <v>1058</v>
      </c>
      <c r="H15" s="52">
        <v>677</v>
      </c>
      <c r="I15" s="52"/>
      <c r="J15" s="52">
        <v>2362</v>
      </c>
      <c r="K15" s="52">
        <v>3039</v>
      </c>
      <c r="L15" s="52"/>
      <c r="M15" s="6"/>
      <c r="N15" s="30"/>
      <c r="O15" s="30"/>
      <c r="P15" s="30"/>
      <c r="Q15" s="169"/>
      <c r="R15" s="39"/>
      <c r="S15" s="39"/>
      <c r="T15" s="170"/>
      <c r="U15" s="39"/>
      <c r="V15" s="39"/>
      <c r="W15" s="39"/>
      <c r="X15" s="39"/>
      <c r="Y15" s="50"/>
    </row>
    <row r="16" spans="1:25" s="32" customFormat="1" ht="12" x14ac:dyDescent="0.2">
      <c r="A16" s="32" t="s">
        <v>29</v>
      </c>
      <c r="D16" s="43">
        <v>74</v>
      </c>
      <c r="E16" s="168">
        <v>0.51</v>
      </c>
      <c r="F16" s="168">
        <v>0.38</v>
      </c>
      <c r="G16" s="53">
        <v>1188</v>
      </c>
      <c r="H16" s="52">
        <v>606</v>
      </c>
      <c r="I16" s="52"/>
      <c r="J16" s="52">
        <v>1002</v>
      </c>
      <c r="K16" s="52">
        <v>1608</v>
      </c>
      <c r="L16" s="52"/>
      <c r="M16" s="6"/>
      <c r="N16" s="30"/>
      <c r="O16" s="30"/>
      <c r="P16" s="30"/>
      <c r="Q16" s="169"/>
      <c r="R16" s="39"/>
      <c r="S16" s="39"/>
      <c r="T16" s="170"/>
      <c r="U16" s="39"/>
      <c r="V16" s="39"/>
      <c r="W16" s="39"/>
      <c r="X16" s="39"/>
      <c r="Y16" s="50"/>
    </row>
    <row r="17" spans="1:25" s="32" customFormat="1" ht="12" x14ac:dyDescent="0.2">
      <c r="A17" s="32" t="s">
        <v>80</v>
      </c>
      <c r="D17" s="43">
        <v>100</v>
      </c>
      <c r="E17" s="168">
        <v>5.04</v>
      </c>
      <c r="F17" s="168">
        <v>5.04</v>
      </c>
      <c r="G17" s="53">
        <v>1000</v>
      </c>
      <c r="H17" s="52">
        <v>5040</v>
      </c>
      <c r="I17" s="52"/>
      <c r="J17" s="52"/>
      <c r="K17" s="52">
        <v>5040</v>
      </c>
      <c r="L17" s="52"/>
      <c r="M17" s="6"/>
      <c r="N17" s="30"/>
      <c r="O17" s="30"/>
      <c r="P17" s="30"/>
      <c r="Q17" s="41"/>
      <c r="R17" s="39"/>
      <c r="S17" s="39"/>
      <c r="T17" s="170"/>
      <c r="U17" s="39"/>
      <c r="V17" s="39"/>
      <c r="W17" s="39"/>
      <c r="X17" s="39"/>
      <c r="Y17" s="50"/>
    </row>
    <row r="18" spans="1:25" s="32" customFormat="1" ht="12" x14ac:dyDescent="0.2">
      <c r="A18" s="32" t="s">
        <v>81</v>
      </c>
      <c r="D18" s="43">
        <v>94</v>
      </c>
      <c r="E18" s="168">
        <v>0.77</v>
      </c>
      <c r="F18" s="168">
        <v>0.5</v>
      </c>
      <c r="G18" s="53">
        <v>1133</v>
      </c>
      <c r="H18" s="52">
        <v>872</v>
      </c>
      <c r="I18" s="52">
        <v>7543</v>
      </c>
      <c r="J18" s="52"/>
      <c r="K18" s="52">
        <v>8415</v>
      </c>
      <c r="L18" s="52"/>
      <c r="M18" s="6"/>
      <c r="N18" s="30"/>
      <c r="O18" s="30"/>
      <c r="P18" s="30"/>
      <c r="Q18" s="169"/>
      <c r="R18" s="178"/>
      <c r="S18" s="178"/>
      <c r="T18" s="179"/>
      <c r="U18" s="39"/>
      <c r="V18" s="180"/>
      <c r="W18" s="39"/>
      <c r="X18" s="39"/>
      <c r="Y18" s="180"/>
    </row>
    <row r="19" spans="1:25" s="32" customFormat="1" ht="12" x14ac:dyDescent="0.2">
      <c r="A19" s="32" t="s">
        <v>102</v>
      </c>
      <c r="D19" s="42" t="s">
        <v>181</v>
      </c>
      <c r="E19" s="171"/>
      <c r="F19" s="171"/>
      <c r="G19" s="172"/>
      <c r="H19" s="52" t="s">
        <v>182</v>
      </c>
      <c r="I19" s="52"/>
      <c r="J19" s="52"/>
      <c r="K19" s="52"/>
      <c r="L19" s="52"/>
      <c r="M19" s="6"/>
      <c r="N19" s="30"/>
      <c r="O19" s="30"/>
      <c r="P19" s="30"/>
      <c r="Q19" s="181"/>
      <c r="R19" s="39"/>
      <c r="S19" s="39"/>
      <c r="T19" s="170"/>
      <c r="U19" s="39"/>
      <c r="V19" s="39"/>
      <c r="W19" s="39"/>
      <c r="X19" s="39"/>
      <c r="Y19" s="39"/>
    </row>
    <row r="20" spans="1:25" s="32" customFormat="1" ht="12" x14ac:dyDescent="0.2">
      <c r="A20" s="32" t="s">
        <v>82</v>
      </c>
      <c r="D20" s="43">
        <v>40</v>
      </c>
      <c r="E20" s="168">
        <v>2.1</v>
      </c>
      <c r="F20" s="168">
        <v>1.51</v>
      </c>
      <c r="G20" s="53">
        <v>1030</v>
      </c>
      <c r="H20" s="52">
        <v>2163</v>
      </c>
      <c r="I20" s="52"/>
      <c r="J20" s="52"/>
      <c r="K20" s="52">
        <v>2163</v>
      </c>
      <c r="L20" s="52"/>
      <c r="M20" s="6"/>
      <c r="N20" s="30"/>
      <c r="O20" s="30"/>
      <c r="P20" s="30"/>
      <c r="Q20" s="14"/>
      <c r="R20" s="39"/>
      <c r="S20" s="39"/>
      <c r="T20" s="39"/>
      <c r="U20" s="39"/>
      <c r="V20" s="39"/>
      <c r="W20" s="39"/>
      <c r="X20" s="39"/>
      <c r="Y20" s="30"/>
    </row>
    <row r="21" spans="1:25" s="32" customFormat="1" ht="12" x14ac:dyDescent="0.2">
      <c r="A21" s="32" t="s">
        <v>183</v>
      </c>
      <c r="D21" s="42">
        <v>100</v>
      </c>
      <c r="E21" s="168">
        <v>0.2</v>
      </c>
      <c r="F21" s="168">
        <v>0.2</v>
      </c>
      <c r="G21" s="53">
        <v>1030</v>
      </c>
      <c r="H21" s="52">
        <v>206</v>
      </c>
      <c r="I21" s="52">
        <v>987</v>
      </c>
      <c r="J21" s="52"/>
      <c r="K21" s="52">
        <v>1193</v>
      </c>
      <c r="L21" s="52"/>
      <c r="M21" s="6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</row>
    <row r="22" spans="1:25" s="32" customFormat="1" ht="12" x14ac:dyDescent="0.2">
      <c r="A22" s="48" t="s">
        <v>33</v>
      </c>
      <c r="B22" s="48"/>
      <c r="C22" s="48"/>
      <c r="D22" s="10"/>
      <c r="E22" s="182">
        <f>SUM(E9:E21)</f>
        <v>16.48</v>
      </c>
      <c r="F22" s="182">
        <f>SUM(F9:F21)</f>
        <v>12.649999999999999</v>
      </c>
      <c r="G22" s="37"/>
      <c r="H22" s="37">
        <v>17385</v>
      </c>
      <c r="I22" s="37">
        <v>15015</v>
      </c>
      <c r="J22" s="37">
        <v>7397</v>
      </c>
      <c r="K22" s="37">
        <v>39797</v>
      </c>
      <c r="L22" s="37">
        <f>SUM(L9:L21)</f>
        <v>877</v>
      </c>
      <c r="M22" s="37">
        <f>SUM(M13:M21)</f>
        <v>932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</row>
    <row r="23" spans="1:25" s="32" customFormat="1" ht="12" x14ac:dyDescent="0.2">
      <c r="A23" s="33" t="s">
        <v>34</v>
      </c>
      <c r="B23" s="33"/>
      <c r="C23" s="33"/>
      <c r="D23" s="16"/>
      <c r="E23" s="3">
        <f>SUM(E22-F22)</f>
        <v>3.8300000000000018</v>
      </c>
      <c r="F23" s="3"/>
      <c r="G23" s="4"/>
      <c r="H23" s="4">
        <v>4041</v>
      </c>
      <c r="I23" s="4">
        <v>14138</v>
      </c>
      <c r="J23" s="4">
        <v>6465</v>
      </c>
      <c r="K23" s="4">
        <v>24644</v>
      </c>
      <c r="L23" s="4"/>
      <c r="M23" s="4"/>
      <c r="N23" s="30"/>
      <c r="O23" s="30"/>
      <c r="P23" s="30"/>
      <c r="Q23" s="30"/>
      <c r="R23" s="30"/>
      <c r="S23" s="30"/>
      <c r="T23" s="30"/>
      <c r="U23" s="30"/>
      <c r="V23" s="183"/>
      <c r="W23" s="183"/>
      <c r="X23" s="30"/>
      <c r="Y23" s="30"/>
    </row>
    <row r="24" spans="1:25" s="32" customFormat="1" ht="12" x14ac:dyDescent="0.2">
      <c r="C24" s="32" t="s">
        <v>35</v>
      </c>
      <c r="H24" s="6"/>
      <c r="I24" s="6"/>
      <c r="J24" s="6"/>
      <c r="K24" s="24"/>
      <c r="N24" s="30"/>
      <c r="O24" s="30"/>
      <c r="P24" s="30"/>
      <c r="Q24" s="30"/>
      <c r="R24" s="39"/>
      <c r="S24" s="30"/>
      <c r="T24" s="39"/>
      <c r="U24" s="30"/>
      <c r="V24" s="39"/>
      <c r="W24" s="39"/>
      <c r="X24" s="30"/>
      <c r="Y24" s="30"/>
    </row>
    <row r="25" spans="1:25" s="32" customFormat="1" ht="12" x14ac:dyDescent="0.2">
      <c r="A25" s="32" t="s">
        <v>36</v>
      </c>
      <c r="K25" s="6"/>
      <c r="N25" s="30"/>
      <c r="O25" s="30"/>
      <c r="P25" s="30"/>
      <c r="Q25" s="30"/>
      <c r="R25" s="39"/>
      <c r="S25" s="30"/>
      <c r="T25" s="39"/>
      <c r="U25" s="30"/>
      <c r="V25" s="39"/>
      <c r="W25" s="39"/>
      <c r="X25" s="30"/>
      <c r="Y25" s="30"/>
    </row>
    <row r="26" spans="1:25" s="32" customFormat="1" ht="12" x14ac:dyDescent="0.2">
      <c r="A26" s="58" t="s">
        <v>17</v>
      </c>
      <c r="B26" s="58"/>
      <c r="C26" s="58"/>
      <c r="D26" s="58" t="s">
        <v>37</v>
      </c>
      <c r="E26" s="58" t="s">
        <v>84</v>
      </c>
      <c r="F26" s="58"/>
      <c r="G26" s="58" t="s">
        <v>39</v>
      </c>
      <c r="I26" s="184" t="s">
        <v>85</v>
      </c>
      <c r="J26" s="184" t="s">
        <v>86</v>
      </c>
      <c r="L26" s="6"/>
      <c r="M26" s="6"/>
      <c r="N26" s="38"/>
      <c r="O26" s="30"/>
      <c r="P26" s="30"/>
      <c r="Q26" s="30"/>
      <c r="R26" s="39"/>
      <c r="S26" s="30"/>
      <c r="T26" s="30"/>
      <c r="U26" s="30"/>
      <c r="V26" s="39"/>
      <c r="W26" s="39"/>
      <c r="X26" s="30"/>
      <c r="Y26" s="30"/>
    </row>
    <row r="27" spans="1:25" s="32" customFormat="1" ht="12" x14ac:dyDescent="0.2">
      <c r="A27" s="32" t="s">
        <v>41</v>
      </c>
      <c r="I27" s="75" t="s">
        <v>120</v>
      </c>
      <c r="J27" s="185">
        <v>30.487804878048781</v>
      </c>
      <c r="N27" s="30"/>
      <c r="O27" s="30"/>
      <c r="P27" s="30"/>
      <c r="Q27" s="30"/>
      <c r="R27" s="39"/>
      <c r="S27" s="30"/>
      <c r="T27" s="30"/>
      <c r="U27" s="30"/>
      <c r="V27" s="30"/>
      <c r="W27" s="30"/>
      <c r="X27" s="30"/>
      <c r="Y27" s="30"/>
    </row>
    <row r="28" spans="1:25" s="32" customFormat="1" ht="12" x14ac:dyDescent="0.2">
      <c r="A28" s="32" t="s">
        <v>43</v>
      </c>
      <c r="D28" s="32" t="s">
        <v>44</v>
      </c>
      <c r="E28" s="24">
        <v>45.62</v>
      </c>
      <c r="G28" s="24">
        <v>68</v>
      </c>
      <c r="I28" s="75" t="s">
        <v>88</v>
      </c>
      <c r="J28" s="185">
        <v>22.256097560975611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1:25" s="32" customFormat="1" ht="12" x14ac:dyDescent="0.2">
      <c r="A29" s="32" t="s">
        <v>46</v>
      </c>
      <c r="I29" s="75" t="s">
        <v>89</v>
      </c>
      <c r="J29" s="185">
        <v>16</v>
      </c>
      <c r="L29" s="6"/>
      <c r="N29" s="30"/>
      <c r="O29" s="30"/>
      <c r="P29" s="186"/>
      <c r="Q29" s="30"/>
      <c r="R29" s="39"/>
      <c r="S29" s="39"/>
      <c r="T29" s="39"/>
      <c r="U29" s="30"/>
      <c r="V29" s="30"/>
      <c r="W29" s="30"/>
      <c r="X29" s="30"/>
      <c r="Y29" s="30"/>
    </row>
    <row r="30" spans="1:25" s="32" customFormat="1" ht="12" x14ac:dyDescent="0.2">
      <c r="A30" s="32" t="s">
        <v>48</v>
      </c>
      <c r="D30" s="32" t="s">
        <v>49</v>
      </c>
      <c r="E30" s="6">
        <v>4</v>
      </c>
      <c r="F30" s="6"/>
      <c r="G30" s="6">
        <v>1023</v>
      </c>
      <c r="I30" s="75" t="s">
        <v>87</v>
      </c>
      <c r="J30" s="185">
        <v>9.7560975609756095</v>
      </c>
      <c r="L30" s="6"/>
      <c r="N30" s="30"/>
      <c r="O30" s="30"/>
      <c r="P30" s="186"/>
      <c r="Q30" s="30"/>
      <c r="R30" s="39"/>
      <c r="S30" s="39"/>
      <c r="T30" s="39"/>
      <c r="U30" s="30"/>
      <c r="V30" s="30"/>
      <c r="W30" s="30"/>
      <c r="X30" s="30"/>
      <c r="Y30" s="30"/>
    </row>
    <row r="31" spans="1:25" s="32" customFormat="1" ht="12" x14ac:dyDescent="0.2">
      <c r="A31" s="32" t="s">
        <v>51</v>
      </c>
      <c r="D31" s="32" t="s">
        <v>49</v>
      </c>
      <c r="E31" s="6">
        <v>13</v>
      </c>
      <c r="F31" s="6"/>
      <c r="G31" s="6"/>
      <c r="I31" s="75" t="s">
        <v>184</v>
      </c>
      <c r="J31" s="185">
        <v>8.536585365853659</v>
      </c>
      <c r="L31" s="24"/>
      <c r="N31" s="30"/>
      <c r="O31" s="30"/>
      <c r="P31" s="186"/>
      <c r="Q31" s="30"/>
      <c r="R31" s="39"/>
      <c r="S31" s="39"/>
      <c r="T31" s="39"/>
      <c r="U31" s="30"/>
      <c r="V31" s="30"/>
      <c r="W31" s="30"/>
      <c r="X31" s="30"/>
      <c r="Y31" s="30"/>
    </row>
    <row r="32" spans="1:25" s="32" customFormat="1" ht="12" x14ac:dyDescent="0.2">
      <c r="A32" s="32" t="s">
        <v>2</v>
      </c>
      <c r="E32" s="6">
        <v>17</v>
      </c>
      <c r="F32" s="6"/>
      <c r="G32" s="6"/>
      <c r="I32" s="75" t="s">
        <v>151</v>
      </c>
      <c r="J32" s="185">
        <v>4.8780487804878048</v>
      </c>
      <c r="L32" s="24"/>
      <c r="N32" s="187"/>
      <c r="O32" s="187"/>
      <c r="P32" s="187"/>
      <c r="Q32" s="187"/>
      <c r="R32" s="187"/>
      <c r="S32" s="187"/>
      <c r="T32" s="183"/>
      <c r="U32" s="183"/>
      <c r="V32" s="183"/>
      <c r="W32" s="30"/>
      <c r="X32" s="30"/>
      <c r="Y32" s="30"/>
    </row>
    <row r="33" spans="1:25" s="32" customFormat="1" ht="12" x14ac:dyDescent="0.2">
      <c r="I33" s="75" t="s">
        <v>90</v>
      </c>
      <c r="J33" s="185">
        <v>3.6585365853658534</v>
      </c>
      <c r="L33" s="24"/>
      <c r="N33" s="30"/>
      <c r="O33" s="30"/>
      <c r="P33" s="30"/>
      <c r="Q33" s="30"/>
      <c r="R33" s="30"/>
      <c r="S33" s="30"/>
      <c r="T33" s="13"/>
      <c r="U33" s="30"/>
      <c r="V33" s="39"/>
      <c r="W33" s="30"/>
      <c r="X33" s="30"/>
      <c r="Y33" s="30"/>
    </row>
    <row r="34" spans="1:25" s="32" customFormat="1" ht="12" x14ac:dyDescent="0.2">
      <c r="A34" s="48" t="s">
        <v>92</v>
      </c>
      <c r="B34" s="48"/>
      <c r="C34" s="48" t="s">
        <v>53</v>
      </c>
      <c r="D34" s="48"/>
      <c r="E34" s="48"/>
      <c r="F34" s="48"/>
      <c r="G34" s="48"/>
      <c r="I34" s="75" t="s">
        <v>91</v>
      </c>
      <c r="J34" s="185">
        <v>4</v>
      </c>
      <c r="L34" s="24"/>
      <c r="N34" s="30"/>
      <c r="O34" s="30"/>
      <c r="P34" s="30"/>
      <c r="Q34" s="30"/>
      <c r="R34" s="30"/>
      <c r="S34" s="30"/>
      <c r="T34" s="31"/>
      <c r="U34" s="30"/>
      <c r="V34" s="39"/>
      <c r="W34" s="30"/>
      <c r="X34" s="30"/>
      <c r="Y34" s="30"/>
    </row>
    <row r="35" spans="1:25" s="32" customFormat="1" ht="12" x14ac:dyDescent="0.2">
      <c r="A35" s="30" t="s">
        <v>93</v>
      </c>
      <c r="B35" s="30" t="s">
        <v>95</v>
      </c>
      <c r="C35" s="186">
        <v>40</v>
      </c>
      <c r="D35" s="30" t="s">
        <v>44</v>
      </c>
      <c r="E35" s="38">
        <v>7</v>
      </c>
      <c r="F35" s="39"/>
      <c r="G35" s="39">
        <v>7</v>
      </c>
      <c r="J35" s="6">
        <f>SUM(J27:J34)</f>
        <v>99.573170731707307</v>
      </c>
      <c r="L35" s="24"/>
      <c r="N35" s="30"/>
      <c r="O35" s="30"/>
      <c r="P35" s="30"/>
      <c r="Q35" s="30"/>
      <c r="R35" s="30"/>
      <c r="S35" s="30"/>
      <c r="T35" s="31"/>
      <c r="U35" s="30"/>
      <c r="V35" s="39"/>
      <c r="W35" s="30"/>
      <c r="X35" s="30"/>
      <c r="Y35" s="30"/>
    </row>
    <row r="36" spans="1:25" s="32" customFormat="1" ht="12" x14ac:dyDescent="0.2">
      <c r="A36" s="30"/>
      <c r="B36" s="30" t="s">
        <v>96</v>
      </c>
      <c r="C36" s="186">
        <v>50</v>
      </c>
      <c r="D36" s="30" t="s">
        <v>44</v>
      </c>
      <c r="E36" s="188">
        <v>4</v>
      </c>
      <c r="F36" s="39"/>
      <c r="G36" s="178">
        <v>7</v>
      </c>
      <c r="I36" s="39"/>
      <c r="J36" s="38"/>
      <c r="L36" s="24"/>
      <c r="N36" s="30"/>
      <c r="O36" s="30"/>
      <c r="P36" s="30"/>
      <c r="Q36" s="30"/>
      <c r="R36" s="30"/>
      <c r="S36" s="30"/>
      <c r="T36" s="31"/>
      <c r="U36" s="30"/>
      <c r="V36" s="39"/>
      <c r="W36" s="30"/>
      <c r="X36" s="30"/>
      <c r="Y36" s="30"/>
    </row>
    <row r="37" spans="1:25" s="32" customFormat="1" ht="12" x14ac:dyDescent="0.2">
      <c r="A37" s="30"/>
      <c r="B37" s="30" t="s">
        <v>104</v>
      </c>
      <c r="C37" s="186">
        <v>100</v>
      </c>
      <c r="D37" s="30" t="s">
        <v>44</v>
      </c>
      <c r="E37" s="38">
        <v>22</v>
      </c>
      <c r="F37" s="39"/>
      <c r="G37" s="39">
        <v>7</v>
      </c>
      <c r="I37" s="160" t="s">
        <v>185</v>
      </c>
      <c r="J37" s="189">
        <v>2</v>
      </c>
      <c r="L37" s="24"/>
      <c r="N37" s="30"/>
      <c r="O37" s="30"/>
      <c r="P37" s="30"/>
      <c r="Q37" s="30"/>
      <c r="R37" s="30"/>
      <c r="S37" s="30"/>
      <c r="T37" s="31"/>
      <c r="U37" s="30"/>
      <c r="V37" s="39"/>
      <c r="W37" s="30"/>
      <c r="X37" s="30"/>
      <c r="Y37" s="30"/>
    </row>
    <row r="38" spans="1:25" s="32" customFormat="1" ht="12" x14ac:dyDescent="0.2">
      <c r="A38" s="30" t="s">
        <v>152</v>
      </c>
      <c r="B38" s="30" t="s">
        <v>95</v>
      </c>
      <c r="C38" s="186">
        <v>100</v>
      </c>
      <c r="D38" s="30" t="s">
        <v>44</v>
      </c>
      <c r="E38" s="38">
        <v>82</v>
      </c>
      <c r="F38" s="39"/>
      <c r="G38" s="39">
        <v>7</v>
      </c>
      <c r="I38" s="160" t="s">
        <v>186</v>
      </c>
      <c r="J38" s="189">
        <v>2.7241379310344827</v>
      </c>
      <c r="L38" s="24"/>
      <c r="N38" s="30"/>
      <c r="O38" s="30"/>
      <c r="P38" s="30"/>
      <c r="Q38" s="30"/>
      <c r="R38" s="30"/>
      <c r="S38" s="30"/>
      <c r="T38" s="31"/>
      <c r="U38" s="30"/>
      <c r="V38" s="30"/>
      <c r="W38" s="30"/>
      <c r="X38" s="30"/>
      <c r="Y38" s="30"/>
    </row>
    <row r="39" spans="1:25" s="32" customFormat="1" ht="12" x14ac:dyDescent="0.2">
      <c r="A39" s="30"/>
      <c r="B39" s="30" t="s">
        <v>96</v>
      </c>
      <c r="C39" s="186">
        <v>100</v>
      </c>
      <c r="D39" s="30" t="s">
        <v>44</v>
      </c>
      <c r="E39" s="38">
        <v>17.84</v>
      </c>
      <c r="F39" s="39"/>
      <c r="G39" s="39">
        <v>7</v>
      </c>
      <c r="I39" s="30"/>
      <c r="L39" s="24"/>
      <c r="N39" s="30"/>
      <c r="O39" s="30"/>
      <c r="P39" s="30"/>
      <c r="Q39" s="30"/>
      <c r="R39" s="30"/>
      <c r="S39" s="30"/>
      <c r="T39" s="31"/>
      <c r="U39" s="30"/>
      <c r="V39" s="30"/>
      <c r="W39" s="30"/>
      <c r="X39" s="30"/>
      <c r="Y39" s="30"/>
    </row>
    <row r="40" spans="1:25" s="32" customFormat="1" ht="12" x14ac:dyDescent="0.2">
      <c r="A40" s="48" t="s">
        <v>60</v>
      </c>
      <c r="B40" s="48"/>
      <c r="C40" s="48"/>
      <c r="D40" s="48"/>
      <c r="E40" s="48"/>
      <c r="F40" s="48"/>
      <c r="G40" s="48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s="32" customFormat="1" ht="12" x14ac:dyDescent="0.2">
      <c r="A41" s="30" t="s">
        <v>97</v>
      </c>
      <c r="B41" s="30"/>
      <c r="C41" s="30"/>
      <c r="D41" s="30"/>
      <c r="E41" s="30"/>
      <c r="F41" s="30"/>
      <c r="G41" s="14">
        <v>1816</v>
      </c>
      <c r="H41" s="62"/>
      <c r="J41" s="62">
        <f>+G41*2.471</f>
        <v>4487.3360000000002</v>
      </c>
      <c r="N41" s="14"/>
      <c r="O41" s="30"/>
      <c r="P41" s="30"/>
      <c r="Q41" s="30"/>
      <c r="R41" s="38"/>
      <c r="S41" s="30"/>
      <c r="T41" s="30"/>
      <c r="U41" s="30"/>
      <c r="V41" s="30"/>
      <c r="W41" s="30"/>
      <c r="X41" s="30"/>
      <c r="Y41" s="30"/>
    </row>
    <row r="42" spans="1:25" s="32" customFormat="1" ht="12" x14ac:dyDescent="0.2">
      <c r="A42" s="30" t="s">
        <v>98</v>
      </c>
      <c r="B42" s="30"/>
      <c r="C42" s="30"/>
      <c r="D42" s="30"/>
      <c r="E42" s="30"/>
      <c r="F42" s="30"/>
      <c r="G42" s="31">
        <v>38.1</v>
      </c>
      <c r="H42" s="62"/>
      <c r="I42" s="62"/>
      <c r="J42" s="62"/>
      <c r="N42" s="31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s="32" customFormat="1" ht="12" x14ac:dyDescent="0.2">
      <c r="A43" s="30" t="s">
        <v>65</v>
      </c>
      <c r="B43" s="30"/>
      <c r="C43" s="30"/>
      <c r="D43" s="30"/>
      <c r="E43" s="30"/>
      <c r="F43" s="30"/>
      <c r="G43" s="5">
        <v>69190</v>
      </c>
      <c r="H43" s="62"/>
      <c r="I43" s="62"/>
      <c r="J43" s="62">
        <f t="shared" ref="J43:J45" si="0">+G43*2.471</f>
        <v>170968.49000000002</v>
      </c>
      <c r="N43" s="5"/>
      <c r="O43" s="30"/>
      <c r="P43" s="30"/>
      <c r="Q43" s="30"/>
      <c r="R43" s="38"/>
      <c r="S43" s="38"/>
      <c r="T43" s="30"/>
      <c r="U43" s="30"/>
      <c r="V43" s="30"/>
      <c r="W43" s="30"/>
      <c r="X43" s="30"/>
      <c r="Y43" s="30"/>
    </row>
    <row r="44" spans="1:25" s="32" customFormat="1" ht="12" x14ac:dyDescent="0.2">
      <c r="A44" s="30" t="s">
        <v>66</v>
      </c>
      <c r="B44" s="30"/>
      <c r="C44" s="30"/>
      <c r="D44" s="30"/>
      <c r="E44" s="30"/>
      <c r="F44" s="30"/>
      <c r="G44" s="5">
        <f>+G43-K22</f>
        <v>29393</v>
      </c>
      <c r="H44" s="62"/>
      <c r="I44" s="62"/>
      <c r="J44" s="62">
        <f t="shared" si="0"/>
        <v>72630.103000000003</v>
      </c>
      <c r="N44" s="5"/>
      <c r="O44" s="30"/>
      <c r="P44" s="30"/>
      <c r="Q44" s="30"/>
      <c r="R44" s="38"/>
      <c r="S44" s="38"/>
      <c r="T44" s="30"/>
      <c r="U44" s="30"/>
      <c r="V44" s="30"/>
      <c r="W44" s="30"/>
      <c r="X44" s="30"/>
      <c r="Y44" s="30"/>
    </row>
    <row r="45" spans="1:25" s="32" customFormat="1" ht="12" x14ac:dyDescent="0.2">
      <c r="A45" s="30" t="s">
        <v>67</v>
      </c>
      <c r="B45" s="30"/>
      <c r="C45" s="30"/>
      <c r="D45" s="30"/>
      <c r="E45" s="30"/>
      <c r="F45" s="30"/>
      <c r="G45" s="5">
        <f>+G43-K23</f>
        <v>44546</v>
      </c>
      <c r="H45" s="62"/>
      <c r="I45" s="62"/>
      <c r="J45" s="62">
        <f t="shared" si="0"/>
        <v>110073.166</v>
      </c>
      <c r="N45" s="5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s="32" customFormat="1" ht="12" x14ac:dyDescent="0.2">
      <c r="A46" s="30" t="s">
        <v>68</v>
      </c>
      <c r="B46" s="30"/>
      <c r="C46" s="30"/>
      <c r="D46" s="30"/>
      <c r="E46" s="30"/>
      <c r="F46" s="30"/>
      <c r="G46" s="31">
        <f>SUM(K22/G41)</f>
        <v>21.914647577092509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s="32" customFormat="1" ht="12" x14ac:dyDescent="0.2">
      <c r="A47" s="33" t="s">
        <v>69</v>
      </c>
      <c r="B47" s="33"/>
      <c r="C47" s="33"/>
      <c r="D47" s="33"/>
      <c r="E47" s="33"/>
      <c r="F47" s="33"/>
      <c r="G47" s="63">
        <f>SUM(K23/G41)</f>
        <v>13.570484581497798</v>
      </c>
    </row>
    <row r="48" spans="1:25" s="32" customFormat="1" ht="12" x14ac:dyDescent="0.2"/>
    <row r="49" spans="1:1" s="32" customFormat="1" ht="12" x14ac:dyDescent="0.2">
      <c r="A49" s="164"/>
    </row>
    <row r="50" spans="1:1" s="32" customFormat="1" ht="12" x14ac:dyDescent="0.2"/>
    <row r="51" spans="1:1" s="32" customFormat="1" ht="12" x14ac:dyDescent="0.2"/>
    <row r="52" spans="1:1" s="32" customFormat="1" ht="12" x14ac:dyDescent="0.2"/>
    <row r="53" spans="1:1" s="32" customFormat="1" ht="12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59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40" x14ac:dyDescent="0.25">
      <c r="A1" s="7" t="s">
        <v>72</v>
      </c>
      <c r="B1" s="7"/>
    </row>
    <row r="2" spans="1:40" x14ac:dyDescent="0.25">
      <c r="A2" s="7" t="s">
        <v>108</v>
      </c>
      <c r="B2" s="7"/>
    </row>
    <row r="3" spans="1:40" x14ac:dyDescent="0.25">
      <c r="A3" s="7" t="s">
        <v>175</v>
      </c>
      <c r="B3" s="7"/>
    </row>
    <row r="4" spans="1:40" x14ac:dyDescent="0.25">
      <c r="A4" s="7" t="s">
        <v>109</v>
      </c>
      <c r="B4" s="7"/>
    </row>
    <row r="5" spans="1:40" x14ac:dyDescent="0.25">
      <c r="B5" s="190" t="s">
        <v>0</v>
      </c>
      <c r="C5" s="190"/>
      <c r="D5" s="190"/>
      <c r="E5" s="190" t="s">
        <v>1</v>
      </c>
      <c r="F5" s="190" t="s">
        <v>2</v>
      </c>
      <c r="G5" s="190" t="s">
        <v>3</v>
      </c>
      <c r="H5" s="190" t="s">
        <v>4</v>
      </c>
      <c r="I5" s="190" t="s">
        <v>5</v>
      </c>
      <c r="J5" s="190" t="s">
        <v>6</v>
      </c>
      <c r="K5" s="190" t="s">
        <v>7</v>
      </c>
      <c r="L5" s="190" t="s">
        <v>8</v>
      </c>
      <c r="M5" s="190" t="s">
        <v>9</v>
      </c>
      <c r="N5" s="190" t="s">
        <v>10</v>
      </c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85"/>
      <c r="AM5" s="85"/>
      <c r="AN5" s="85"/>
    </row>
    <row r="6" spans="1:40" x14ac:dyDescent="0.25">
      <c r="B6" s="78"/>
      <c r="C6" s="78"/>
      <c r="D6" s="78"/>
      <c r="E6" s="78" t="s">
        <v>11</v>
      </c>
      <c r="F6" s="78" t="s">
        <v>12</v>
      </c>
      <c r="G6" s="78" t="s">
        <v>13</v>
      </c>
      <c r="H6" s="78" t="s">
        <v>14</v>
      </c>
      <c r="I6" s="78" t="s">
        <v>15</v>
      </c>
      <c r="J6" s="78" t="s">
        <v>16</v>
      </c>
      <c r="K6" s="78" t="s">
        <v>15</v>
      </c>
      <c r="L6" s="78" t="s">
        <v>15</v>
      </c>
      <c r="M6" s="78" t="s">
        <v>17</v>
      </c>
      <c r="N6" s="78" t="s">
        <v>18</v>
      </c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85"/>
      <c r="AM6" s="85"/>
      <c r="AN6" s="85"/>
    </row>
    <row r="7" spans="1:40" x14ac:dyDescent="0.25">
      <c r="B7" s="83"/>
      <c r="C7" s="83"/>
      <c r="D7" s="83"/>
      <c r="E7" s="83" t="s">
        <v>19</v>
      </c>
      <c r="F7" s="83"/>
      <c r="G7" s="83"/>
      <c r="H7" s="83"/>
      <c r="I7" s="83" t="s">
        <v>20</v>
      </c>
      <c r="J7" s="83" t="s">
        <v>21</v>
      </c>
      <c r="K7" s="83" t="s">
        <v>20</v>
      </c>
      <c r="L7" s="83" t="s">
        <v>20</v>
      </c>
      <c r="M7" s="83" t="s">
        <v>18</v>
      </c>
      <c r="N7" s="83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85"/>
      <c r="AM7" s="85"/>
      <c r="AN7" s="85"/>
    </row>
    <row r="8" spans="1:40" x14ac:dyDescent="0.25">
      <c r="B8" s="84" t="s">
        <v>22</v>
      </c>
      <c r="C8" s="84"/>
      <c r="D8" s="84"/>
      <c r="E8" s="36">
        <v>100</v>
      </c>
      <c r="F8" s="191">
        <v>0.9</v>
      </c>
      <c r="G8" s="191">
        <v>0.8</v>
      </c>
      <c r="H8" s="36">
        <v>1250</v>
      </c>
      <c r="I8" s="36">
        <v>1125</v>
      </c>
      <c r="J8" s="36"/>
      <c r="K8" s="36"/>
      <c r="L8" s="36">
        <v>1125</v>
      </c>
      <c r="M8" s="36"/>
      <c r="N8" s="36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192"/>
      <c r="AJ8" s="78"/>
      <c r="AK8" s="78"/>
      <c r="AL8" s="85"/>
      <c r="AM8" s="85"/>
      <c r="AN8" s="85"/>
    </row>
    <row r="9" spans="1:40" x14ac:dyDescent="0.25">
      <c r="B9" s="84" t="s">
        <v>23</v>
      </c>
      <c r="C9" s="84"/>
      <c r="D9" s="84"/>
      <c r="E9" s="36">
        <v>74</v>
      </c>
      <c r="F9" s="84">
        <v>0.36</v>
      </c>
      <c r="G9" s="84">
        <v>0.36</v>
      </c>
      <c r="H9" s="36">
        <v>1250</v>
      </c>
      <c r="I9" s="36">
        <v>450</v>
      </c>
      <c r="J9" s="36">
        <v>8404</v>
      </c>
      <c r="K9" s="36"/>
      <c r="L9" s="36">
        <v>8854</v>
      </c>
      <c r="M9" s="36"/>
      <c r="N9" s="36">
        <v>1077</v>
      </c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85"/>
      <c r="AM9" s="85"/>
      <c r="AN9" s="85"/>
    </row>
    <row r="10" spans="1:40" x14ac:dyDescent="0.25">
      <c r="B10" s="84" t="s">
        <v>24</v>
      </c>
      <c r="C10" s="84"/>
      <c r="D10" s="84"/>
      <c r="E10" s="193" t="s">
        <v>216</v>
      </c>
      <c r="F10" s="84"/>
      <c r="G10" s="84"/>
      <c r="H10" s="36"/>
      <c r="I10" s="36"/>
      <c r="J10" s="36" t="s">
        <v>217</v>
      </c>
      <c r="K10" s="36"/>
      <c r="L10" s="36"/>
      <c r="M10" s="194"/>
      <c r="N10" s="36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85"/>
      <c r="AM10" s="85"/>
      <c r="AN10" s="85"/>
    </row>
    <row r="11" spans="1:40" x14ac:dyDescent="0.25">
      <c r="B11" s="84" t="s">
        <v>25</v>
      </c>
      <c r="C11" s="84"/>
      <c r="D11" s="84"/>
      <c r="E11" s="36">
        <v>100</v>
      </c>
      <c r="F11" s="84">
        <v>5.0999999999999996</v>
      </c>
      <c r="G11" s="84">
        <v>1.2</v>
      </c>
      <c r="H11" s="195">
        <v>1269</v>
      </c>
      <c r="I11" s="36">
        <v>6472</v>
      </c>
      <c r="J11" s="194"/>
      <c r="K11" s="36"/>
      <c r="L11" s="36">
        <v>6472</v>
      </c>
      <c r="M11" s="36"/>
      <c r="N11" s="3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85"/>
      <c r="AM11" s="85"/>
      <c r="AN11" s="85"/>
    </row>
    <row r="12" spans="1:40" x14ac:dyDescent="0.25">
      <c r="B12" s="84" t="s">
        <v>26</v>
      </c>
      <c r="C12" s="84"/>
      <c r="D12" s="84"/>
      <c r="E12" s="36">
        <v>100</v>
      </c>
      <c r="F12" s="84">
        <v>2.5</v>
      </c>
      <c r="G12" s="84">
        <v>0.5</v>
      </c>
      <c r="H12" s="36">
        <v>1275</v>
      </c>
      <c r="I12" s="36">
        <v>3188</v>
      </c>
      <c r="J12" s="194"/>
      <c r="K12" s="36">
        <v>3448</v>
      </c>
      <c r="L12" s="36">
        <v>6636</v>
      </c>
      <c r="M12" s="36">
        <v>826</v>
      </c>
      <c r="N12" s="36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85"/>
      <c r="AM12" s="85"/>
      <c r="AN12" s="85"/>
    </row>
    <row r="13" spans="1:40" x14ac:dyDescent="0.25">
      <c r="B13" s="84" t="s">
        <v>27</v>
      </c>
      <c r="C13" s="84"/>
      <c r="D13" s="84"/>
      <c r="E13" s="36">
        <v>100</v>
      </c>
      <c r="F13" s="84">
        <v>0.8</v>
      </c>
      <c r="G13" s="84">
        <v>0.7</v>
      </c>
      <c r="H13" s="36">
        <v>1067</v>
      </c>
      <c r="I13" s="36">
        <v>854</v>
      </c>
      <c r="J13" s="36"/>
      <c r="K13" s="36">
        <v>910</v>
      </c>
      <c r="L13" s="36">
        <v>1764</v>
      </c>
      <c r="M13" s="36"/>
      <c r="N13" s="36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85"/>
      <c r="AM13" s="85"/>
      <c r="AN13" s="85"/>
    </row>
    <row r="14" spans="1:40" x14ac:dyDescent="0.25">
      <c r="B14" s="84" t="s">
        <v>28</v>
      </c>
      <c r="C14" s="84"/>
      <c r="D14" s="84"/>
      <c r="E14" s="36">
        <v>100</v>
      </c>
      <c r="F14" s="84">
        <v>0.5</v>
      </c>
      <c r="G14" s="84">
        <v>0.2</v>
      </c>
      <c r="H14" s="36">
        <v>1502</v>
      </c>
      <c r="I14" s="36">
        <v>751</v>
      </c>
      <c r="J14" s="36"/>
      <c r="K14" s="36">
        <v>4268</v>
      </c>
      <c r="L14" s="36">
        <v>5019</v>
      </c>
      <c r="M14" s="36"/>
      <c r="N14" s="36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85"/>
      <c r="AM14" s="85"/>
      <c r="AN14" s="85"/>
    </row>
    <row r="15" spans="1:40" x14ac:dyDescent="0.25">
      <c r="B15" s="84" t="s">
        <v>30</v>
      </c>
      <c r="C15" s="84"/>
      <c r="D15" s="84"/>
      <c r="E15" s="36">
        <v>100</v>
      </c>
      <c r="F15" s="84">
        <v>6</v>
      </c>
      <c r="G15" s="84">
        <v>6</v>
      </c>
      <c r="H15" s="36">
        <v>1136</v>
      </c>
      <c r="I15" s="36">
        <v>6816</v>
      </c>
      <c r="J15" s="36"/>
      <c r="K15" s="36"/>
      <c r="L15" s="36">
        <v>6816</v>
      </c>
      <c r="M15" s="36"/>
      <c r="N15" s="36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85"/>
      <c r="AM15" s="85"/>
      <c r="AN15" s="85"/>
    </row>
    <row r="16" spans="1:40" x14ac:dyDescent="0.25">
      <c r="B16" s="84" t="s">
        <v>31</v>
      </c>
      <c r="C16" s="84"/>
      <c r="D16" s="84"/>
      <c r="E16" s="36">
        <v>100</v>
      </c>
      <c r="F16" s="84">
        <v>1.7</v>
      </c>
      <c r="G16" s="84">
        <v>0.4</v>
      </c>
      <c r="H16" s="36">
        <v>1136</v>
      </c>
      <c r="I16" s="36">
        <v>1931</v>
      </c>
      <c r="J16" s="71">
        <v>9570</v>
      </c>
      <c r="K16" s="36"/>
      <c r="L16" s="36">
        <v>11501</v>
      </c>
      <c r="M16" s="36"/>
      <c r="N16" s="36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85"/>
      <c r="AM16" s="85"/>
      <c r="AN16" s="85"/>
    </row>
    <row r="17" spans="2:40" x14ac:dyDescent="0.25">
      <c r="B17" s="83" t="s">
        <v>32</v>
      </c>
      <c r="C17" s="83"/>
      <c r="D17" s="83"/>
      <c r="E17" s="35">
        <v>64</v>
      </c>
      <c r="F17" s="83">
        <v>0.1</v>
      </c>
      <c r="G17" s="83">
        <v>0.1</v>
      </c>
      <c r="H17" s="197">
        <v>1136</v>
      </c>
      <c r="I17" s="36">
        <v>114</v>
      </c>
      <c r="J17" s="35">
        <v>990</v>
      </c>
      <c r="K17" s="35"/>
      <c r="L17" s="36">
        <v>1104</v>
      </c>
      <c r="M17" s="194"/>
      <c r="N17" s="36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85"/>
      <c r="AM17" s="85"/>
      <c r="AN17" s="85"/>
    </row>
    <row r="18" spans="2:40" x14ac:dyDescent="0.25">
      <c r="B18" s="190" t="s">
        <v>33</v>
      </c>
      <c r="C18" s="190"/>
      <c r="D18" s="190"/>
      <c r="E18" s="190"/>
      <c r="F18" s="190">
        <v>17.96</v>
      </c>
      <c r="G18" s="190">
        <v>10.260000000000002</v>
      </c>
      <c r="H18" s="34">
        <v>9885</v>
      </c>
      <c r="I18" s="34">
        <v>21701</v>
      </c>
      <c r="J18" s="34">
        <v>18964</v>
      </c>
      <c r="K18" s="34">
        <v>8626</v>
      </c>
      <c r="L18" s="34">
        <v>49291</v>
      </c>
      <c r="M18" s="34">
        <v>826</v>
      </c>
      <c r="N18" s="34">
        <v>1077</v>
      </c>
      <c r="Y18" s="198"/>
      <c r="Z18" s="19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85"/>
      <c r="AM18" s="85"/>
      <c r="AN18" s="85"/>
    </row>
    <row r="19" spans="2:40" x14ac:dyDescent="0.25">
      <c r="B19" s="83" t="s">
        <v>34</v>
      </c>
      <c r="C19" s="83"/>
      <c r="D19" s="83"/>
      <c r="E19" s="83"/>
      <c r="F19" s="83">
        <v>7.6999999999999993</v>
      </c>
      <c r="G19" s="83"/>
      <c r="H19" s="35"/>
      <c r="I19" s="35">
        <v>9664</v>
      </c>
      <c r="J19" s="35">
        <v>17887</v>
      </c>
      <c r="K19" s="35">
        <v>7800</v>
      </c>
      <c r="L19" s="35">
        <v>35351</v>
      </c>
      <c r="M19" s="35"/>
      <c r="N19" s="35"/>
      <c r="Y19" s="78"/>
      <c r="Z19" s="78"/>
      <c r="AA19" s="78"/>
      <c r="AB19" s="78"/>
      <c r="AC19" s="78"/>
      <c r="AD19" s="78"/>
      <c r="AE19" s="78"/>
      <c r="AF19" s="78"/>
      <c r="AG19" s="85"/>
      <c r="AH19" s="78"/>
      <c r="AI19" s="78"/>
      <c r="AJ19" s="78"/>
      <c r="AK19" s="78"/>
      <c r="AL19" s="85"/>
      <c r="AM19" s="85"/>
      <c r="AN19" s="85"/>
    </row>
    <row r="20" spans="2:40" x14ac:dyDescent="0.25">
      <c r="C20" s="84"/>
      <c r="D20" s="84"/>
      <c r="E20" s="84" t="s">
        <v>35</v>
      </c>
      <c r="F20" s="84"/>
      <c r="G20" s="84"/>
      <c r="H20" s="84"/>
      <c r="I20" s="84"/>
      <c r="J20" s="84"/>
      <c r="K20" s="84"/>
      <c r="L20" s="84"/>
      <c r="M20" s="84"/>
      <c r="N20" s="84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85"/>
      <c r="AM20" s="85"/>
      <c r="AN20" s="85"/>
    </row>
    <row r="21" spans="2:40" x14ac:dyDescent="0.25">
      <c r="B21" s="84" t="s">
        <v>36</v>
      </c>
      <c r="C21" s="84"/>
      <c r="E21" s="84"/>
      <c r="F21" s="82"/>
      <c r="G21" s="82"/>
      <c r="H21" s="82"/>
      <c r="I21" s="198"/>
      <c r="J21" s="78"/>
      <c r="K21" s="84"/>
      <c r="L21" s="84"/>
      <c r="M21" s="36"/>
      <c r="N21" s="84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85"/>
      <c r="AM21" s="85"/>
      <c r="AN21" s="85"/>
    </row>
    <row r="22" spans="2:40" x14ac:dyDescent="0.25">
      <c r="B22" s="190" t="s">
        <v>17</v>
      </c>
      <c r="C22" s="190"/>
      <c r="D22" s="190"/>
      <c r="E22" s="190" t="s">
        <v>37</v>
      </c>
      <c r="F22" s="84" t="s">
        <v>38</v>
      </c>
      <c r="G22" s="84"/>
      <c r="H22" s="84" t="s">
        <v>39</v>
      </c>
      <c r="I22" s="78"/>
      <c r="J22" s="84"/>
      <c r="K22" s="78"/>
      <c r="L22" s="84"/>
      <c r="M22" s="84"/>
      <c r="N22" s="84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85"/>
      <c r="AM22" s="85"/>
      <c r="AN22" s="85"/>
    </row>
    <row r="23" spans="2:40" ht="15.75" thickBot="1" x14ac:dyDescent="0.3">
      <c r="B23" s="199"/>
      <c r="C23" s="82"/>
      <c r="D23" s="82"/>
      <c r="E23" s="82"/>
      <c r="F23" s="82"/>
      <c r="G23" s="82"/>
      <c r="H23" s="82"/>
      <c r="I23" s="198"/>
      <c r="K23" s="85"/>
      <c r="L23" s="200" t="s">
        <v>40</v>
      </c>
      <c r="M23" s="200">
        <v>2</v>
      </c>
      <c r="N23" s="84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85"/>
      <c r="AM23" s="85"/>
      <c r="AN23" s="85"/>
    </row>
    <row r="24" spans="2:40" x14ac:dyDescent="0.25">
      <c r="B24" s="84" t="s">
        <v>41</v>
      </c>
      <c r="C24" s="84"/>
      <c r="D24" s="84"/>
      <c r="E24" s="84"/>
      <c r="F24" s="84"/>
      <c r="G24" s="84"/>
      <c r="H24" s="84"/>
      <c r="I24" s="84"/>
      <c r="K24" s="85"/>
      <c r="L24" s="200" t="s">
        <v>42</v>
      </c>
      <c r="M24" s="200">
        <v>1</v>
      </c>
      <c r="N24" s="84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</row>
    <row r="25" spans="2:40" x14ac:dyDescent="0.25">
      <c r="B25" s="84" t="s">
        <v>43</v>
      </c>
      <c r="C25" s="84"/>
      <c r="D25" s="84"/>
      <c r="E25" s="84" t="s">
        <v>44</v>
      </c>
      <c r="F25" s="84">
        <v>69.400000000000006</v>
      </c>
      <c r="G25" s="84"/>
      <c r="H25" s="84">
        <v>49.67</v>
      </c>
      <c r="I25" s="84"/>
      <c r="J25" s="84"/>
      <c r="K25" s="78"/>
      <c r="L25" s="78"/>
      <c r="M25" s="78"/>
      <c r="N25" s="84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</row>
    <row r="26" spans="2:40" x14ac:dyDescent="0.25">
      <c r="B26" s="78"/>
      <c r="C26" s="78"/>
      <c r="D26" s="78"/>
      <c r="E26" s="78"/>
      <c r="F26" s="78"/>
      <c r="G26" s="78"/>
      <c r="H26" s="78"/>
      <c r="I26" s="84"/>
      <c r="J26" s="78"/>
      <c r="K26" s="84"/>
      <c r="L26" s="201" t="s">
        <v>45</v>
      </c>
      <c r="M26" s="201"/>
      <c r="N26" s="84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</row>
    <row r="27" spans="2:40" x14ac:dyDescent="0.25">
      <c r="B27" s="78" t="s">
        <v>46</v>
      </c>
      <c r="C27" s="78"/>
      <c r="D27" s="78"/>
      <c r="E27" s="78"/>
      <c r="F27" s="78"/>
      <c r="G27" s="78"/>
      <c r="H27" s="78"/>
      <c r="I27" s="84"/>
      <c r="J27" s="84"/>
      <c r="K27" s="78"/>
      <c r="L27" s="155" t="s">
        <v>87</v>
      </c>
      <c r="M27" s="202">
        <v>100</v>
      </c>
      <c r="N27" s="84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</row>
    <row r="28" spans="2:40" x14ac:dyDescent="0.25">
      <c r="B28" s="78" t="s">
        <v>48</v>
      </c>
      <c r="C28" s="78"/>
      <c r="D28" s="78"/>
      <c r="E28" s="78" t="s">
        <v>49</v>
      </c>
      <c r="F28" s="197">
        <v>8</v>
      </c>
      <c r="G28" s="197"/>
      <c r="H28" s="197">
        <v>1208</v>
      </c>
      <c r="I28" s="84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</row>
    <row r="29" spans="2:40" x14ac:dyDescent="0.25">
      <c r="B29" s="78" t="s">
        <v>51</v>
      </c>
      <c r="C29" s="78"/>
      <c r="D29" s="78"/>
      <c r="E29" s="78" t="s">
        <v>49</v>
      </c>
      <c r="F29" s="197">
        <v>10</v>
      </c>
      <c r="G29" s="197"/>
      <c r="H29" s="197"/>
      <c r="I29" s="84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</row>
    <row r="30" spans="2:40" x14ac:dyDescent="0.25">
      <c r="B30" s="78" t="s">
        <v>2</v>
      </c>
      <c r="C30" s="78"/>
      <c r="D30" s="78"/>
      <c r="E30" s="78" t="s">
        <v>49</v>
      </c>
      <c r="F30" s="197">
        <v>18</v>
      </c>
      <c r="G30" s="197"/>
      <c r="H30" s="197"/>
      <c r="I30" s="84"/>
      <c r="J30" s="203"/>
      <c r="K30" s="189"/>
      <c r="L30" s="204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</row>
    <row r="31" spans="2:40" x14ac:dyDescent="0.25">
      <c r="B31" s="83" t="s">
        <v>52</v>
      </c>
      <c r="C31" s="83" t="s">
        <v>53</v>
      </c>
      <c r="D31" s="83"/>
      <c r="E31" s="83"/>
      <c r="F31" s="83"/>
      <c r="G31" s="83"/>
      <c r="H31" s="83"/>
      <c r="I31" s="84"/>
      <c r="K31" s="189"/>
      <c r="L31" s="204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</row>
    <row r="32" spans="2:40" x14ac:dyDescent="0.25">
      <c r="B32" s="205" t="s">
        <v>55</v>
      </c>
      <c r="C32" s="36"/>
      <c r="D32" s="36"/>
      <c r="E32" s="84"/>
      <c r="G32" s="84"/>
      <c r="H32" s="84"/>
      <c r="I32" s="84"/>
      <c r="J32" s="206"/>
      <c r="L32" s="206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</row>
    <row r="33" spans="2:40" x14ac:dyDescent="0.25">
      <c r="B33" s="84" t="s">
        <v>56</v>
      </c>
      <c r="C33" s="207">
        <v>100</v>
      </c>
      <c r="D33" s="208"/>
      <c r="E33" s="209" t="s">
        <v>44</v>
      </c>
      <c r="F33" s="210">
        <v>23</v>
      </c>
      <c r="G33" s="84"/>
      <c r="H33" s="84">
        <v>7</v>
      </c>
      <c r="I33" s="84"/>
      <c r="J33" s="189"/>
      <c r="K33" s="84">
        <f>+F33+F35+F36</f>
        <v>130</v>
      </c>
      <c r="L33" s="84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</row>
    <row r="34" spans="2:40" x14ac:dyDescent="0.25">
      <c r="B34" s="205" t="s">
        <v>59</v>
      </c>
      <c r="C34" s="211"/>
      <c r="D34" s="36"/>
      <c r="E34" s="84"/>
      <c r="F34" s="84"/>
      <c r="G34" s="84"/>
      <c r="H34" s="84"/>
      <c r="I34" s="84"/>
      <c r="J34" s="78"/>
      <c r="K34" s="197">
        <f>+K33*7</f>
        <v>910</v>
      </c>
      <c r="L34" s="84"/>
      <c r="M34" s="84"/>
      <c r="N34" s="84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</row>
    <row r="35" spans="2:40" x14ac:dyDescent="0.25">
      <c r="B35" s="84" t="s">
        <v>57</v>
      </c>
      <c r="C35" s="211">
        <v>100</v>
      </c>
      <c r="D35" s="204"/>
      <c r="E35" s="209" t="s">
        <v>44</v>
      </c>
      <c r="F35" s="84">
        <v>87</v>
      </c>
      <c r="G35" s="84"/>
      <c r="H35" s="84">
        <v>7</v>
      </c>
      <c r="I35" s="84"/>
      <c r="J35" s="78"/>
      <c r="K35" s="212"/>
      <c r="L35" s="84"/>
      <c r="M35" s="84"/>
      <c r="N35" s="84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</row>
    <row r="36" spans="2:40" x14ac:dyDescent="0.25">
      <c r="B36" s="84" t="s">
        <v>58</v>
      </c>
      <c r="C36" s="207">
        <v>88</v>
      </c>
      <c r="D36" s="204"/>
      <c r="E36" s="209" t="s">
        <v>44</v>
      </c>
      <c r="F36" s="208">
        <v>20</v>
      </c>
      <c r="G36" s="84"/>
      <c r="H36" s="208">
        <v>7</v>
      </c>
      <c r="I36" s="84"/>
      <c r="J36" s="84"/>
      <c r="K36" s="197"/>
      <c r="L36" s="84"/>
      <c r="M36" s="84"/>
      <c r="N36" s="84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</row>
    <row r="37" spans="2:40" x14ac:dyDescent="0.25">
      <c r="B37" s="213" t="s">
        <v>60</v>
      </c>
      <c r="C37" s="213"/>
      <c r="D37" s="213"/>
      <c r="E37" s="213"/>
      <c r="F37" s="213"/>
      <c r="G37" s="213"/>
      <c r="H37" s="213" t="s">
        <v>61</v>
      </c>
      <c r="I37" s="213"/>
      <c r="J37" s="213" t="s">
        <v>62</v>
      </c>
      <c r="K37" s="84"/>
      <c r="L37" s="84"/>
      <c r="M37" s="84"/>
      <c r="N37" s="84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</row>
    <row r="38" spans="2:40" x14ac:dyDescent="0.25">
      <c r="B38" s="84" t="s">
        <v>63</v>
      </c>
      <c r="C38" s="84"/>
      <c r="D38" s="84"/>
      <c r="E38" s="84"/>
      <c r="F38" s="84"/>
      <c r="G38" s="84"/>
      <c r="H38" s="84">
        <v>2441</v>
      </c>
      <c r="I38" s="84"/>
      <c r="J38" s="36">
        <v>6032</v>
      </c>
      <c r="K38" s="84"/>
      <c r="L38" s="84"/>
      <c r="M38" s="84"/>
      <c r="N38" s="84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</row>
    <row r="39" spans="2:40" x14ac:dyDescent="0.25">
      <c r="B39" s="84" t="s">
        <v>64</v>
      </c>
      <c r="C39" s="84"/>
      <c r="D39" s="84"/>
      <c r="E39" s="84"/>
      <c r="F39" s="84"/>
      <c r="G39" s="84"/>
      <c r="H39" s="84">
        <v>28</v>
      </c>
      <c r="I39" s="84"/>
      <c r="J39" s="36"/>
      <c r="K39" s="84"/>
      <c r="L39" s="84"/>
      <c r="M39" s="84"/>
      <c r="N39" s="84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</row>
    <row r="40" spans="2:40" x14ac:dyDescent="0.25">
      <c r="B40" s="84" t="s">
        <v>65</v>
      </c>
      <c r="C40" s="84"/>
      <c r="D40" s="84"/>
      <c r="E40" s="84"/>
      <c r="F40" s="84"/>
      <c r="G40" s="84"/>
      <c r="H40" s="36">
        <v>68348</v>
      </c>
      <c r="I40" s="36"/>
      <c r="J40" s="36">
        <v>168888</v>
      </c>
      <c r="K40" s="84"/>
      <c r="L40" s="36"/>
      <c r="M40" s="84"/>
      <c r="N40" s="84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</row>
    <row r="41" spans="2:40" x14ac:dyDescent="0.25">
      <c r="B41" s="84" t="s">
        <v>66</v>
      </c>
      <c r="C41" s="84"/>
      <c r="D41" s="84"/>
      <c r="E41" s="84"/>
      <c r="F41" s="84"/>
      <c r="G41" s="84"/>
      <c r="H41" s="36">
        <v>19057</v>
      </c>
      <c r="I41" s="36"/>
      <c r="J41" s="36">
        <v>47090</v>
      </c>
      <c r="K41" s="84"/>
      <c r="L41" s="36"/>
      <c r="M41" s="84"/>
      <c r="N41" s="84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</row>
    <row r="42" spans="2:40" x14ac:dyDescent="0.25">
      <c r="B42" s="84" t="s">
        <v>67</v>
      </c>
      <c r="C42" s="84"/>
      <c r="D42" s="84"/>
      <c r="E42" s="84"/>
      <c r="F42" s="84"/>
      <c r="G42" s="84"/>
      <c r="H42" s="36">
        <v>32997</v>
      </c>
      <c r="I42" s="36"/>
      <c r="J42" s="36">
        <v>81536</v>
      </c>
      <c r="K42" s="84"/>
      <c r="L42" s="36"/>
      <c r="M42" s="84"/>
      <c r="N42" s="84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2:40" x14ac:dyDescent="0.25">
      <c r="B43" s="84" t="s">
        <v>68</v>
      </c>
      <c r="C43" s="84"/>
      <c r="D43" s="84"/>
      <c r="E43" s="84"/>
      <c r="F43" s="84"/>
      <c r="G43" s="84"/>
      <c r="H43" s="84">
        <f>+L18/H38</f>
        <v>20.192953707496926</v>
      </c>
      <c r="I43" s="84"/>
      <c r="K43" s="84"/>
      <c r="L43" s="84"/>
      <c r="M43" s="84"/>
      <c r="N43" s="84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  <row r="44" spans="2:40" x14ac:dyDescent="0.25">
      <c r="B44" s="84" t="s">
        <v>69</v>
      </c>
      <c r="C44" s="84"/>
      <c r="D44" s="84"/>
      <c r="E44" s="84"/>
      <c r="F44" s="84"/>
      <c r="G44" s="84"/>
      <c r="H44" s="84">
        <f>+L19/H38</f>
        <v>14.482179434657928</v>
      </c>
      <c r="I44" s="84"/>
      <c r="K44" s="84"/>
      <c r="L44" s="84"/>
      <c r="M44" s="84"/>
      <c r="N44" s="84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</row>
    <row r="45" spans="2:40" x14ac:dyDescent="0.25">
      <c r="B45" s="82"/>
      <c r="C45" s="82"/>
      <c r="D45" s="82"/>
      <c r="E45" s="82"/>
      <c r="F45" s="82"/>
      <c r="G45" s="82"/>
      <c r="H45" s="82"/>
      <c r="I45" s="83"/>
      <c r="J45" s="84"/>
      <c r="K45" s="84"/>
      <c r="L45" s="84"/>
      <c r="M45" s="84"/>
      <c r="N45" s="84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</row>
    <row r="46" spans="2:40" x14ac:dyDescent="0.25">
      <c r="B46" s="205" t="s">
        <v>218</v>
      </c>
      <c r="C46" s="214"/>
      <c r="D46" s="214"/>
      <c r="E46" s="214"/>
      <c r="F46" s="214"/>
      <c r="G46" s="214"/>
      <c r="H46" s="214"/>
      <c r="I46" s="214"/>
      <c r="J46" s="214"/>
      <c r="K46" s="214"/>
      <c r="L46" s="205"/>
      <c r="M46" s="214"/>
      <c r="N46" s="214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</row>
    <row r="47" spans="2:40" x14ac:dyDescent="0.25">
      <c r="B47" s="84"/>
      <c r="C47" s="84"/>
      <c r="D47" s="78"/>
      <c r="E47" s="78"/>
      <c r="F47" s="78"/>
      <c r="G47" s="78"/>
      <c r="H47" s="78"/>
      <c r="I47" s="78"/>
      <c r="J47" s="84"/>
      <c r="K47" s="78"/>
      <c r="L47" s="78"/>
      <c r="M47" s="78"/>
      <c r="N47" s="78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</row>
    <row r="48" spans="2:40" x14ac:dyDescent="0.25">
      <c r="L48" s="78"/>
      <c r="M48" s="78"/>
      <c r="N48" s="78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</row>
    <row r="49" spans="1:30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30" x14ac:dyDescent="0.25">
      <c r="A50" s="78" t="s">
        <v>64</v>
      </c>
      <c r="B50" s="78"/>
      <c r="C50" s="78"/>
      <c r="D50" s="78"/>
      <c r="E50" s="78"/>
      <c r="F50" s="78"/>
      <c r="G50" s="78">
        <v>36</v>
      </c>
      <c r="H50" s="78"/>
      <c r="I50" s="78"/>
      <c r="J50" s="84"/>
      <c r="K50" s="84"/>
      <c r="L50" s="84"/>
      <c r="M50" s="84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</row>
    <row r="51" spans="1:30" x14ac:dyDescent="0.25">
      <c r="A51" s="78" t="s">
        <v>65</v>
      </c>
      <c r="B51" s="78"/>
      <c r="C51" s="78"/>
      <c r="D51" s="78"/>
      <c r="E51" s="78"/>
      <c r="F51" s="78"/>
      <c r="G51" s="78">
        <f>+G50*G49</f>
        <v>0</v>
      </c>
      <c r="H51" s="78"/>
      <c r="I51" s="78">
        <v>200240</v>
      </c>
      <c r="J51" s="84"/>
      <c r="K51" s="84"/>
      <c r="L51" s="84"/>
      <c r="M51" s="84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</row>
    <row r="52" spans="1:30" x14ac:dyDescent="0.25">
      <c r="A52" s="78" t="s">
        <v>66</v>
      </c>
      <c r="B52" s="78"/>
      <c r="C52" s="78"/>
      <c r="D52" s="78"/>
      <c r="E52" s="78"/>
      <c r="F52" s="78"/>
      <c r="G52" s="78">
        <f>+G51-K21</f>
        <v>0</v>
      </c>
      <c r="H52" s="78"/>
      <c r="I52" s="78">
        <v>94176</v>
      </c>
      <c r="J52" s="84"/>
      <c r="K52" s="84"/>
      <c r="L52" s="84"/>
      <c r="M52" s="84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</row>
    <row r="53" spans="1:30" x14ac:dyDescent="0.25">
      <c r="A53" s="78" t="s">
        <v>67</v>
      </c>
      <c r="B53" s="78"/>
      <c r="C53" s="78"/>
      <c r="D53" s="78"/>
      <c r="E53" s="78"/>
      <c r="F53" s="78"/>
      <c r="G53" s="192">
        <f>+G51-K22</f>
        <v>0</v>
      </c>
      <c r="H53" s="78"/>
      <c r="I53" s="78">
        <v>123320</v>
      </c>
      <c r="J53" s="84"/>
      <c r="K53" s="84"/>
      <c r="L53" s="84"/>
      <c r="M53" s="84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</row>
    <row r="54" spans="1:30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84"/>
      <c r="K54" s="84"/>
      <c r="L54" s="84"/>
      <c r="M54" s="84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 spans="1:30" x14ac:dyDescent="0.25">
      <c r="A55" s="78" t="s">
        <v>68</v>
      </c>
      <c r="B55" s="78"/>
      <c r="C55" s="78"/>
      <c r="D55" s="78"/>
      <c r="E55" s="78"/>
      <c r="F55" s="78"/>
      <c r="G55" s="78" t="e">
        <f>+K21/G49</f>
        <v>#DIV/0!</v>
      </c>
      <c r="H55" s="78"/>
      <c r="I55" s="78"/>
      <c r="J55" s="84"/>
      <c r="K55" s="84"/>
      <c r="L55" s="84"/>
      <c r="M55" s="84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</row>
    <row r="56" spans="1:30" x14ac:dyDescent="0.25">
      <c r="A56" s="78" t="s">
        <v>69</v>
      </c>
      <c r="B56" s="78"/>
      <c r="C56" s="78"/>
      <c r="D56" s="78"/>
      <c r="E56" s="78"/>
      <c r="F56" s="78"/>
      <c r="G56" s="78" t="e">
        <f>+K22/G49</f>
        <v>#DIV/0!</v>
      </c>
      <c r="H56" s="78"/>
      <c r="I56" s="78"/>
      <c r="J56" s="84"/>
      <c r="K56" s="84"/>
      <c r="L56" s="84"/>
      <c r="M56" s="84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0" x14ac:dyDescent="0.25">
      <c r="A57" s="198"/>
      <c r="B57" s="198"/>
      <c r="C57" s="198"/>
      <c r="D57" s="198"/>
      <c r="E57" s="198"/>
      <c r="F57" s="198"/>
      <c r="G57" s="198"/>
      <c r="H57" s="78"/>
      <c r="I57" s="78"/>
      <c r="J57" s="84"/>
      <c r="K57" s="84"/>
      <c r="L57" s="84"/>
      <c r="M57" s="84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</row>
    <row r="58" spans="1:30" x14ac:dyDescent="0.25">
      <c r="A58" s="190"/>
      <c r="B58" s="190"/>
      <c r="C58" s="190"/>
      <c r="D58" s="190"/>
      <c r="E58" s="190"/>
      <c r="F58" s="190"/>
      <c r="G58" s="190"/>
      <c r="H58" s="190"/>
      <c r="I58" s="190"/>
      <c r="J58" s="84"/>
      <c r="K58" s="84"/>
      <c r="L58" s="78"/>
      <c r="M58" s="84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</row>
    <row r="59" spans="1:30" x14ac:dyDescent="0.25">
      <c r="A59" s="215" t="s">
        <v>154</v>
      </c>
      <c r="B59" s="1" t="s">
        <v>155</v>
      </c>
      <c r="C59" s="2"/>
      <c r="D59" s="78"/>
      <c r="E59" s="78"/>
      <c r="F59" s="78"/>
      <c r="G59" s="78"/>
      <c r="H59" s="78"/>
      <c r="I59" s="78"/>
      <c r="J59" s="78"/>
      <c r="K59" s="78"/>
      <c r="L59" s="78"/>
      <c r="M59" s="84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88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16" x14ac:dyDescent="0.25">
      <c r="A1" s="7" t="s">
        <v>72</v>
      </c>
      <c r="B1" s="7"/>
    </row>
    <row r="2" spans="1:16" x14ac:dyDescent="0.25">
      <c r="A2" s="7" t="s">
        <v>111</v>
      </c>
      <c r="B2" s="7"/>
    </row>
    <row r="3" spans="1:16" x14ac:dyDescent="0.25">
      <c r="A3" s="7" t="s">
        <v>175</v>
      </c>
      <c r="B3" s="7"/>
    </row>
    <row r="4" spans="1:16" x14ac:dyDescent="0.25">
      <c r="A4" s="7"/>
      <c r="B4" s="7"/>
    </row>
    <row r="5" spans="1:16" s="32" customFormat="1" ht="12" x14ac:dyDescent="0.2">
      <c r="A5" s="48" t="s">
        <v>0</v>
      </c>
      <c r="B5" s="48"/>
      <c r="C5" s="48"/>
      <c r="D5" s="165" t="s">
        <v>1</v>
      </c>
      <c r="E5" s="165" t="s">
        <v>2</v>
      </c>
      <c r="F5" s="165" t="s">
        <v>73</v>
      </c>
      <c r="G5" s="165" t="s">
        <v>74</v>
      </c>
      <c r="H5" s="165" t="s">
        <v>5</v>
      </c>
      <c r="I5" s="165" t="s">
        <v>6</v>
      </c>
      <c r="J5" s="165" t="s">
        <v>7</v>
      </c>
      <c r="K5" s="165" t="s">
        <v>8</v>
      </c>
      <c r="L5" s="166" t="s">
        <v>75</v>
      </c>
      <c r="M5" s="165"/>
    </row>
    <row r="6" spans="1:16" s="32" customFormat="1" ht="12" x14ac:dyDescent="0.2">
      <c r="A6" s="30"/>
      <c r="B6" s="30"/>
      <c r="C6" s="30"/>
      <c r="D6" s="49" t="s">
        <v>11</v>
      </c>
      <c r="E6" s="49" t="s">
        <v>76</v>
      </c>
      <c r="F6" s="49" t="s">
        <v>76</v>
      </c>
      <c r="G6" s="49" t="s">
        <v>77</v>
      </c>
      <c r="H6" s="49" t="s">
        <v>15</v>
      </c>
      <c r="I6" s="49" t="s">
        <v>78</v>
      </c>
      <c r="J6" s="49" t="s">
        <v>15</v>
      </c>
      <c r="K6" s="49" t="s">
        <v>15</v>
      </c>
      <c r="L6" s="49" t="s">
        <v>6</v>
      </c>
      <c r="M6" s="49" t="s">
        <v>7</v>
      </c>
    </row>
    <row r="7" spans="1:16" s="32" customFormat="1" ht="12" x14ac:dyDescent="0.2">
      <c r="A7" s="30"/>
      <c r="B7" s="30"/>
      <c r="C7" s="30"/>
      <c r="D7" s="49" t="s">
        <v>19</v>
      </c>
      <c r="E7" s="49"/>
      <c r="F7" s="49"/>
      <c r="G7" s="49"/>
      <c r="H7" s="49" t="s">
        <v>20</v>
      </c>
      <c r="I7" s="49" t="s">
        <v>15</v>
      </c>
      <c r="J7" s="49" t="s">
        <v>20</v>
      </c>
      <c r="K7" s="49" t="s">
        <v>20</v>
      </c>
      <c r="L7" s="49"/>
      <c r="M7" s="49"/>
    </row>
    <row r="8" spans="1:16" s="32" customFormat="1" ht="12" x14ac:dyDescent="0.2">
      <c r="A8" s="33"/>
      <c r="B8" s="33"/>
      <c r="C8" s="33"/>
      <c r="D8" s="167"/>
      <c r="E8" s="167"/>
      <c r="F8" s="167"/>
      <c r="G8" s="167"/>
      <c r="H8" s="167"/>
      <c r="I8" s="167" t="s">
        <v>20</v>
      </c>
      <c r="J8" s="167"/>
      <c r="K8" s="167"/>
      <c r="L8" s="167"/>
      <c r="M8" s="167"/>
    </row>
    <row r="9" spans="1:16" s="32" customFormat="1" ht="12" x14ac:dyDescent="0.2">
      <c r="A9" s="32" t="s">
        <v>22</v>
      </c>
      <c r="D9" s="43">
        <v>90</v>
      </c>
      <c r="E9" s="24">
        <v>0.8</v>
      </c>
      <c r="F9" s="24">
        <v>0.67</v>
      </c>
      <c r="G9" s="40">
        <v>1200</v>
      </c>
      <c r="H9" s="6">
        <v>960</v>
      </c>
      <c r="I9" s="6"/>
      <c r="J9" s="6"/>
      <c r="K9" s="6">
        <f>+J9+I9+H9</f>
        <v>960</v>
      </c>
      <c r="L9" s="6"/>
      <c r="M9" s="6"/>
      <c r="N9" s="216"/>
      <c r="O9" s="216"/>
      <c r="P9" s="216"/>
    </row>
    <row r="10" spans="1:16" s="32" customFormat="1" ht="12" x14ac:dyDescent="0.2">
      <c r="A10" s="32" t="s">
        <v>147</v>
      </c>
      <c r="D10" s="43">
        <v>60</v>
      </c>
      <c r="E10" s="24">
        <v>0.38</v>
      </c>
      <c r="F10" s="24">
        <v>0.38</v>
      </c>
      <c r="G10" s="40">
        <v>1081</v>
      </c>
      <c r="H10" s="6">
        <v>411</v>
      </c>
      <c r="I10" s="6">
        <v>6885</v>
      </c>
      <c r="J10" s="6"/>
      <c r="K10" s="6">
        <f t="shared" ref="K10:K23" si="0">+J10+I10+H10</f>
        <v>7296</v>
      </c>
      <c r="L10" s="6">
        <v>738</v>
      </c>
      <c r="M10" s="6"/>
      <c r="N10" s="216"/>
      <c r="O10" s="216"/>
      <c r="P10" s="216"/>
    </row>
    <row r="11" spans="1:16" s="32" customFormat="1" ht="12" x14ac:dyDescent="0.2">
      <c r="A11" s="32" t="s">
        <v>148</v>
      </c>
      <c r="D11" s="43" t="s">
        <v>140</v>
      </c>
      <c r="E11" s="217"/>
      <c r="F11" s="217"/>
      <c r="G11" s="218"/>
      <c r="H11" s="6"/>
      <c r="I11" s="219" t="s">
        <v>219</v>
      </c>
      <c r="J11" s="6"/>
      <c r="K11" s="6"/>
      <c r="L11" s="219"/>
      <c r="M11" s="6"/>
      <c r="N11" s="216"/>
      <c r="O11" s="216"/>
      <c r="P11" s="216"/>
    </row>
    <row r="12" spans="1:16" s="32" customFormat="1" ht="12" x14ac:dyDescent="0.2">
      <c r="A12" s="32" t="s">
        <v>25</v>
      </c>
      <c r="D12" s="43">
        <v>100</v>
      </c>
      <c r="E12" s="24">
        <v>4.6500000000000004</v>
      </c>
      <c r="F12" s="24">
        <v>2.27</v>
      </c>
      <c r="G12" s="40">
        <v>1144</v>
      </c>
      <c r="H12" s="6">
        <v>5320</v>
      </c>
      <c r="I12" s="6"/>
      <c r="J12" s="6"/>
      <c r="K12" s="6">
        <f t="shared" si="0"/>
        <v>5320</v>
      </c>
      <c r="L12" s="6"/>
      <c r="M12" s="6"/>
      <c r="N12" s="216"/>
      <c r="O12" s="216"/>
      <c r="P12" s="216"/>
    </row>
    <row r="13" spans="1:16" s="32" customFormat="1" ht="12" x14ac:dyDescent="0.2">
      <c r="A13" s="32" t="s">
        <v>43</v>
      </c>
      <c r="D13" s="43">
        <v>100</v>
      </c>
      <c r="E13" s="24">
        <v>3.23</v>
      </c>
      <c r="F13" s="24">
        <v>1.52</v>
      </c>
      <c r="G13" s="40">
        <v>982</v>
      </c>
      <c r="H13" s="6">
        <v>3172</v>
      </c>
      <c r="I13" s="6"/>
      <c r="J13" s="6">
        <v>2771</v>
      </c>
      <c r="K13" s="6">
        <f t="shared" si="0"/>
        <v>5943</v>
      </c>
      <c r="L13" s="6"/>
      <c r="M13" s="6">
        <v>341</v>
      </c>
      <c r="N13" s="216"/>
      <c r="O13" s="216"/>
      <c r="P13" s="216"/>
    </row>
    <row r="14" spans="1:16" s="32" customFormat="1" ht="12" x14ac:dyDescent="0.2">
      <c r="A14" s="32" t="s">
        <v>27</v>
      </c>
      <c r="D14" s="43">
        <v>100</v>
      </c>
      <c r="E14" s="24">
        <v>0.97</v>
      </c>
      <c r="F14" s="24">
        <v>0.68</v>
      </c>
      <c r="G14" s="40">
        <v>1147</v>
      </c>
      <c r="H14" s="6">
        <v>1113</v>
      </c>
      <c r="I14" s="6"/>
      <c r="J14" s="6">
        <v>840</v>
      </c>
      <c r="K14" s="6">
        <f t="shared" si="0"/>
        <v>1953</v>
      </c>
      <c r="L14" s="6"/>
      <c r="M14" s="6"/>
      <c r="N14" s="216"/>
      <c r="O14" s="216"/>
      <c r="P14" s="216"/>
    </row>
    <row r="15" spans="1:16" s="32" customFormat="1" ht="12" x14ac:dyDescent="0.2">
      <c r="A15" s="32" t="s">
        <v>79</v>
      </c>
      <c r="D15" s="43">
        <v>98</v>
      </c>
      <c r="E15" s="24">
        <v>0.64</v>
      </c>
      <c r="F15" s="24">
        <v>0.52</v>
      </c>
      <c r="G15" s="40">
        <v>1151</v>
      </c>
      <c r="H15" s="6">
        <v>737</v>
      </c>
      <c r="I15" s="6"/>
      <c r="J15" s="6">
        <v>2223</v>
      </c>
      <c r="K15" s="6">
        <f t="shared" si="0"/>
        <v>2960</v>
      </c>
      <c r="L15" s="6"/>
      <c r="M15" s="6"/>
      <c r="N15" s="216"/>
      <c r="O15" s="216"/>
      <c r="P15" s="216"/>
    </row>
    <row r="16" spans="1:16" s="32" customFormat="1" ht="12" x14ac:dyDescent="0.2">
      <c r="A16" s="32" t="s">
        <v>29</v>
      </c>
      <c r="D16" s="43">
        <v>50</v>
      </c>
      <c r="E16" s="24">
        <v>0.45</v>
      </c>
      <c r="F16" s="24">
        <v>0.19</v>
      </c>
      <c r="G16" s="40">
        <v>1084</v>
      </c>
      <c r="H16" s="6">
        <v>488</v>
      </c>
      <c r="I16" s="6"/>
      <c r="J16" s="6">
        <v>737</v>
      </c>
      <c r="K16" s="6">
        <f t="shared" si="0"/>
        <v>1225</v>
      </c>
      <c r="L16" s="6"/>
      <c r="M16" s="6"/>
      <c r="N16" s="216"/>
      <c r="O16" s="216"/>
      <c r="P16" s="216"/>
    </row>
    <row r="17" spans="1:17" s="32" customFormat="1" ht="12" x14ac:dyDescent="0.2">
      <c r="A17" s="32" t="s">
        <v>80</v>
      </c>
      <c r="D17" s="43">
        <v>100</v>
      </c>
      <c r="E17" s="24">
        <v>6.63</v>
      </c>
      <c r="F17" s="24">
        <v>6.63</v>
      </c>
      <c r="G17" s="40">
        <v>1081</v>
      </c>
      <c r="H17" s="6">
        <v>7167</v>
      </c>
      <c r="I17" s="6"/>
      <c r="J17" s="6"/>
      <c r="K17" s="6">
        <f t="shared" si="0"/>
        <v>7167</v>
      </c>
      <c r="L17" s="6"/>
      <c r="M17" s="6"/>
      <c r="N17" s="216"/>
      <c r="O17" s="216"/>
      <c r="P17" s="216"/>
    </row>
    <row r="18" spans="1:17" s="32" customFormat="1" ht="12" x14ac:dyDescent="0.2">
      <c r="A18" s="32" t="s">
        <v>81</v>
      </c>
      <c r="D18" s="43">
        <v>74</v>
      </c>
      <c r="E18" s="24">
        <v>1.3</v>
      </c>
      <c r="F18" s="24">
        <v>0.52</v>
      </c>
      <c r="G18" s="40">
        <v>1072</v>
      </c>
      <c r="H18" s="6">
        <v>1394</v>
      </c>
      <c r="I18" s="6">
        <v>8836</v>
      </c>
      <c r="J18" s="6"/>
      <c r="K18" s="6">
        <f t="shared" si="0"/>
        <v>10230</v>
      </c>
      <c r="L18" s="6">
        <v>119</v>
      </c>
      <c r="M18" s="6"/>
      <c r="N18" s="216"/>
      <c r="O18" s="216"/>
      <c r="P18" s="216"/>
    </row>
    <row r="19" spans="1:17" s="32" customFormat="1" ht="12" x14ac:dyDescent="0.2">
      <c r="A19" s="32" t="s">
        <v>149</v>
      </c>
      <c r="D19" s="43" t="s">
        <v>220</v>
      </c>
      <c r="E19" s="217"/>
      <c r="F19" s="217"/>
      <c r="G19" s="218"/>
      <c r="H19" s="219" t="s">
        <v>221</v>
      </c>
      <c r="I19" s="6"/>
      <c r="J19" s="6"/>
      <c r="K19" s="6"/>
      <c r="L19" s="6"/>
      <c r="M19" s="6"/>
      <c r="N19" s="216"/>
      <c r="O19" s="216"/>
      <c r="P19" s="216"/>
    </row>
    <row r="20" spans="1:17" s="32" customFormat="1" ht="12" x14ac:dyDescent="0.2">
      <c r="A20" s="32" t="s">
        <v>156</v>
      </c>
      <c r="D20" s="43" t="s">
        <v>220</v>
      </c>
      <c r="E20" s="217"/>
      <c r="F20" s="217"/>
      <c r="G20" s="218"/>
      <c r="H20" s="219"/>
      <c r="I20" s="219" t="s">
        <v>222</v>
      </c>
      <c r="J20" s="6"/>
      <c r="K20" s="6"/>
      <c r="L20" s="6"/>
      <c r="M20" s="6"/>
      <c r="N20" s="216"/>
      <c r="O20" s="216"/>
      <c r="P20" s="216"/>
    </row>
    <row r="21" spans="1:17" s="32" customFormat="1" ht="12" x14ac:dyDescent="0.2">
      <c r="A21" s="32" t="s">
        <v>223</v>
      </c>
      <c r="D21" s="43" t="s">
        <v>216</v>
      </c>
      <c r="E21" s="217"/>
      <c r="F21" s="217"/>
      <c r="G21" s="218"/>
      <c r="H21" s="219"/>
      <c r="I21" s="219" t="s">
        <v>224</v>
      </c>
      <c r="J21" s="6"/>
      <c r="K21" s="6"/>
      <c r="L21" s="219"/>
      <c r="M21" s="6"/>
      <c r="N21" s="216"/>
      <c r="P21" s="216"/>
    </row>
    <row r="22" spans="1:17" s="32" customFormat="1" ht="12" x14ac:dyDescent="0.2">
      <c r="A22" s="32" t="s">
        <v>82</v>
      </c>
      <c r="D22" s="43">
        <v>60</v>
      </c>
      <c r="E22" s="24">
        <v>1.57</v>
      </c>
      <c r="F22" s="24">
        <v>1.33</v>
      </c>
      <c r="G22" s="40">
        <v>1100</v>
      </c>
      <c r="H22" s="6">
        <v>1727</v>
      </c>
      <c r="I22" s="6"/>
      <c r="J22" s="6"/>
      <c r="K22" s="6">
        <f t="shared" si="0"/>
        <v>1727</v>
      </c>
      <c r="L22" s="6"/>
      <c r="M22" s="6"/>
      <c r="N22" s="216"/>
      <c r="O22" s="216"/>
      <c r="P22" s="216"/>
    </row>
    <row r="23" spans="1:17" s="32" customFormat="1" ht="12" x14ac:dyDescent="0.2">
      <c r="A23" s="32" t="s">
        <v>225</v>
      </c>
      <c r="D23" s="43">
        <v>88</v>
      </c>
      <c r="E23" s="21">
        <v>0.52</v>
      </c>
      <c r="F23" s="21">
        <v>0.46</v>
      </c>
      <c r="G23" s="220">
        <v>1000</v>
      </c>
      <c r="H23" s="6">
        <v>520</v>
      </c>
      <c r="I23" s="27">
        <v>740</v>
      </c>
      <c r="J23" s="27"/>
      <c r="K23" s="6">
        <f t="shared" si="0"/>
        <v>1260</v>
      </c>
      <c r="L23" s="27">
        <v>73</v>
      </c>
      <c r="M23" s="6"/>
      <c r="N23" s="216"/>
      <c r="O23" s="216"/>
      <c r="P23" s="216"/>
    </row>
    <row r="24" spans="1:17" s="32" customFormat="1" ht="12" x14ac:dyDescent="0.2">
      <c r="A24" s="48" t="s">
        <v>33</v>
      </c>
      <c r="B24" s="48"/>
      <c r="C24" s="48"/>
      <c r="D24" s="10"/>
      <c r="E24" s="182">
        <v>21.14</v>
      </c>
      <c r="F24" s="182">
        <v>15.17</v>
      </c>
      <c r="G24" s="182"/>
      <c r="H24" s="37">
        <v>23009</v>
      </c>
      <c r="I24" s="37">
        <v>16461</v>
      </c>
      <c r="J24" s="37">
        <v>6571</v>
      </c>
      <c r="K24" s="37">
        <f>+H24+I24+J24</f>
        <v>46041</v>
      </c>
      <c r="L24" s="37">
        <v>930</v>
      </c>
      <c r="M24" s="37">
        <v>341</v>
      </c>
      <c r="O24" s="24"/>
    </row>
    <row r="25" spans="1:17" s="32" customFormat="1" ht="12" x14ac:dyDescent="0.2">
      <c r="A25" s="33" t="s">
        <v>34</v>
      </c>
      <c r="B25" s="33"/>
      <c r="C25" s="33"/>
      <c r="D25" s="16"/>
      <c r="E25" s="3">
        <v>5.97</v>
      </c>
      <c r="F25" s="3"/>
      <c r="G25" s="3"/>
      <c r="H25" s="4">
        <v>6498</v>
      </c>
      <c r="I25" s="4">
        <v>15531</v>
      </c>
      <c r="J25" s="4">
        <v>6230</v>
      </c>
      <c r="K25" s="4">
        <v>28259</v>
      </c>
      <c r="L25" s="4"/>
      <c r="M25" s="4"/>
    </row>
    <row r="26" spans="1:17" s="32" customFormat="1" ht="12" x14ac:dyDescent="0.2">
      <c r="C26" s="32" t="s">
        <v>35</v>
      </c>
      <c r="H26" s="24"/>
      <c r="I26" s="6"/>
      <c r="J26" s="6"/>
      <c r="K26" s="6"/>
      <c r="O26" s="12"/>
      <c r="P26" s="221"/>
      <c r="Q26" s="222"/>
    </row>
    <row r="27" spans="1:17" s="32" customFormat="1" ht="12" x14ac:dyDescent="0.2">
      <c r="A27" s="32" t="s">
        <v>36</v>
      </c>
      <c r="H27" s="33"/>
      <c r="I27" s="6"/>
      <c r="J27" s="6"/>
      <c r="K27" s="6"/>
      <c r="L27" s="6"/>
      <c r="O27" s="12"/>
      <c r="P27" s="221"/>
      <c r="Q27" s="222"/>
    </row>
    <row r="28" spans="1:17" s="32" customFormat="1" ht="12" x14ac:dyDescent="0.2">
      <c r="A28" s="58" t="s">
        <v>17</v>
      </c>
      <c r="B28" s="58"/>
      <c r="C28" s="58"/>
      <c r="D28" s="223" t="s">
        <v>37</v>
      </c>
      <c r="E28" s="223" t="s">
        <v>84</v>
      </c>
      <c r="F28" s="223"/>
      <c r="G28" s="223" t="s">
        <v>39</v>
      </c>
      <c r="H28" s="33"/>
      <c r="K28" s="6"/>
      <c r="O28" s="12"/>
      <c r="P28" s="221"/>
      <c r="Q28" s="222"/>
    </row>
    <row r="29" spans="1:17" s="32" customFormat="1" ht="12" x14ac:dyDescent="0.2">
      <c r="A29" s="32" t="s">
        <v>41</v>
      </c>
      <c r="D29" s="64" t="s">
        <v>44</v>
      </c>
      <c r="J29" s="12"/>
      <c r="K29" s="222"/>
      <c r="O29" s="12"/>
      <c r="P29" s="221"/>
      <c r="Q29" s="222"/>
    </row>
    <row r="30" spans="1:17" s="32" customFormat="1" ht="12" x14ac:dyDescent="0.2">
      <c r="A30" s="32" t="s">
        <v>43</v>
      </c>
      <c r="E30" s="224">
        <v>40.24</v>
      </c>
      <c r="G30" s="24">
        <v>68.87</v>
      </c>
      <c r="J30" s="32" t="s">
        <v>85</v>
      </c>
      <c r="O30" s="12"/>
      <c r="P30" s="221"/>
      <c r="Q30" s="222"/>
    </row>
    <row r="31" spans="1:17" s="32" customFormat="1" ht="12" x14ac:dyDescent="0.2">
      <c r="D31" s="24"/>
      <c r="H31" s="24"/>
      <c r="J31" s="23" t="s">
        <v>47</v>
      </c>
      <c r="K31" s="75">
        <v>0.38</v>
      </c>
      <c r="O31" s="12"/>
      <c r="P31" s="221"/>
      <c r="Q31" s="222"/>
    </row>
    <row r="32" spans="1:17" s="32" customFormat="1" ht="12" x14ac:dyDescent="0.2">
      <c r="D32" s="24"/>
      <c r="J32" s="23" t="s">
        <v>174</v>
      </c>
      <c r="K32" s="75">
        <v>0.17948717948717949</v>
      </c>
      <c r="O32" s="12"/>
      <c r="P32" s="221"/>
      <c r="Q32" s="222"/>
    </row>
    <row r="33" spans="1:17" s="32" customFormat="1" ht="12" x14ac:dyDescent="0.2">
      <c r="A33" s="32" t="s">
        <v>46</v>
      </c>
      <c r="D33" s="24"/>
      <c r="J33" s="23" t="s">
        <v>158</v>
      </c>
      <c r="K33" s="75">
        <v>0.10256410256410256</v>
      </c>
      <c r="O33" s="225"/>
      <c r="P33" s="221"/>
      <c r="Q33" s="222"/>
    </row>
    <row r="34" spans="1:17" s="32" customFormat="1" ht="12" x14ac:dyDescent="0.2">
      <c r="A34" s="32" t="s">
        <v>48</v>
      </c>
      <c r="D34" s="32" t="s">
        <v>49</v>
      </c>
      <c r="E34" s="24">
        <v>6</v>
      </c>
      <c r="G34" s="6">
        <v>1096</v>
      </c>
      <c r="I34" s="12"/>
      <c r="J34" s="23" t="s">
        <v>50</v>
      </c>
      <c r="K34" s="75">
        <v>9.2307692307692313E-2</v>
      </c>
      <c r="O34" s="12"/>
      <c r="P34" s="221"/>
      <c r="Q34" s="222"/>
    </row>
    <row r="35" spans="1:17" s="32" customFormat="1" ht="12" x14ac:dyDescent="0.2">
      <c r="A35" s="32" t="s">
        <v>51</v>
      </c>
      <c r="D35" s="32" t="s">
        <v>49</v>
      </c>
      <c r="E35" s="24">
        <v>15</v>
      </c>
      <c r="I35" s="12"/>
      <c r="J35" s="23" t="s">
        <v>159</v>
      </c>
      <c r="K35" s="75">
        <v>7.179487179487179E-2</v>
      </c>
      <c r="O35" s="30"/>
      <c r="P35" s="30"/>
      <c r="Q35" s="38"/>
    </row>
    <row r="36" spans="1:17" s="32" customFormat="1" ht="12" x14ac:dyDescent="0.2">
      <c r="A36" s="32" t="s">
        <v>2</v>
      </c>
      <c r="D36" s="32" t="s">
        <v>49</v>
      </c>
      <c r="E36" s="24">
        <v>21</v>
      </c>
      <c r="I36" s="12"/>
      <c r="J36" s="23" t="s">
        <v>54</v>
      </c>
      <c r="K36" s="23">
        <v>0.17</v>
      </c>
    </row>
    <row r="37" spans="1:17" s="32" customFormat="1" ht="12" x14ac:dyDescent="0.2">
      <c r="A37" s="48" t="s">
        <v>92</v>
      </c>
      <c r="B37" s="48"/>
      <c r="C37" s="48" t="s">
        <v>53</v>
      </c>
      <c r="D37" s="48"/>
      <c r="E37" s="48"/>
      <c r="F37" s="48"/>
      <c r="G37" s="48"/>
      <c r="I37" s="12"/>
      <c r="K37" s="24">
        <f>SUM(K31:K36)</f>
        <v>0.99615384615384617</v>
      </c>
    </row>
    <row r="38" spans="1:17" s="32" customFormat="1" ht="12" x14ac:dyDescent="0.2">
      <c r="A38" s="30" t="s">
        <v>93</v>
      </c>
      <c r="B38" s="32" t="s">
        <v>56</v>
      </c>
      <c r="C38" s="178">
        <v>100</v>
      </c>
      <c r="D38" s="30"/>
      <c r="E38" s="24">
        <v>20</v>
      </c>
      <c r="F38" s="39"/>
      <c r="G38" s="39">
        <v>7</v>
      </c>
      <c r="I38" s="39"/>
      <c r="J38" s="12"/>
      <c r="K38" s="222"/>
    </row>
    <row r="39" spans="1:17" s="32" customFormat="1" ht="12" x14ac:dyDescent="0.2">
      <c r="A39" s="30"/>
      <c r="B39" s="30"/>
      <c r="C39" s="178"/>
      <c r="D39" s="30"/>
      <c r="E39" s="24"/>
      <c r="F39" s="39"/>
      <c r="G39" s="178"/>
      <c r="I39" s="178"/>
      <c r="J39" s="221"/>
      <c r="K39" s="226"/>
    </row>
    <row r="40" spans="1:17" s="32" customFormat="1" ht="12" x14ac:dyDescent="0.2">
      <c r="A40" s="30" t="s">
        <v>130</v>
      </c>
      <c r="B40" s="30" t="s">
        <v>57</v>
      </c>
      <c r="C40" s="178">
        <v>100</v>
      </c>
      <c r="D40" s="30"/>
      <c r="E40" s="24">
        <v>79</v>
      </c>
      <c r="F40" s="39"/>
      <c r="G40" s="39">
        <v>7</v>
      </c>
      <c r="I40" s="39"/>
      <c r="J40" s="221" t="s">
        <v>40</v>
      </c>
      <c r="K40" s="226">
        <v>1.63</v>
      </c>
    </row>
    <row r="41" spans="1:17" s="32" customFormat="1" ht="12" x14ac:dyDescent="0.2">
      <c r="A41" s="30"/>
      <c r="B41" s="30" t="s">
        <v>58</v>
      </c>
      <c r="C41" s="178">
        <v>100</v>
      </c>
      <c r="D41" s="30"/>
      <c r="E41" s="24">
        <v>21</v>
      </c>
      <c r="F41" s="39"/>
      <c r="G41" s="39">
        <v>7</v>
      </c>
      <c r="I41" s="39"/>
      <c r="J41" s="221" t="s">
        <v>42</v>
      </c>
      <c r="K41" s="226">
        <v>1</v>
      </c>
    </row>
    <row r="42" spans="1:17" s="32" customFormat="1" ht="12" x14ac:dyDescent="0.2">
      <c r="A42" s="48" t="s">
        <v>60</v>
      </c>
      <c r="B42" s="48"/>
      <c r="C42" s="48"/>
      <c r="D42" s="48"/>
      <c r="E42" s="182"/>
      <c r="F42" s="165" t="s">
        <v>61</v>
      </c>
      <c r="G42" s="48"/>
      <c r="H42" s="227" t="s">
        <v>105</v>
      </c>
    </row>
    <row r="43" spans="1:17" s="32" customFormat="1" ht="12" x14ac:dyDescent="0.2">
      <c r="A43" s="30"/>
      <c r="B43" s="30"/>
      <c r="C43" s="30"/>
      <c r="D43" s="30"/>
      <c r="E43" s="30"/>
      <c r="F43" s="30"/>
      <c r="G43" s="30"/>
    </row>
    <row r="44" spans="1:17" s="32" customFormat="1" ht="12" x14ac:dyDescent="0.2">
      <c r="A44" s="30" t="s">
        <v>97</v>
      </c>
      <c r="B44" s="30"/>
      <c r="C44" s="30"/>
      <c r="D44" s="30"/>
      <c r="E44" s="30"/>
      <c r="F44" s="38">
        <v>1938</v>
      </c>
      <c r="G44" s="228"/>
      <c r="H44" s="6">
        <f>+F44*2.471</f>
        <v>4788.7979999999998</v>
      </c>
      <c r="I44" s="6"/>
    </row>
    <row r="45" spans="1:17" s="32" customFormat="1" ht="12" x14ac:dyDescent="0.2">
      <c r="A45" s="30" t="s">
        <v>98</v>
      </c>
      <c r="B45" s="30"/>
      <c r="C45" s="30"/>
      <c r="D45" s="30"/>
      <c r="E45" s="30"/>
      <c r="F45" s="39">
        <v>31.88</v>
      </c>
      <c r="G45" s="31"/>
      <c r="H45" s="24"/>
      <c r="I45" s="6"/>
    </row>
    <row r="46" spans="1:17" s="32" customFormat="1" ht="12" x14ac:dyDescent="0.2">
      <c r="A46" s="30" t="s">
        <v>65</v>
      </c>
      <c r="B46" s="30"/>
      <c r="C46" s="30"/>
      <c r="D46" s="30"/>
      <c r="E46" s="30"/>
      <c r="F46" s="38">
        <v>61783</v>
      </c>
      <c r="G46" s="38"/>
      <c r="H46" s="6">
        <v>152666</v>
      </c>
      <c r="I46" s="6"/>
    </row>
    <row r="47" spans="1:17" s="32" customFormat="1" ht="12" x14ac:dyDescent="0.2">
      <c r="A47" s="30" t="s">
        <v>66</v>
      </c>
      <c r="B47" s="30"/>
      <c r="C47" s="30"/>
      <c r="D47" s="30"/>
      <c r="E47" s="30"/>
      <c r="F47" s="38">
        <v>15742</v>
      </c>
      <c r="G47" s="38"/>
      <c r="H47" s="6">
        <v>38898</v>
      </c>
      <c r="I47" s="6"/>
    </row>
    <row r="48" spans="1:17" s="32" customFormat="1" ht="12" x14ac:dyDescent="0.2">
      <c r="A48" s="30" t="s">
        <v>67</v>
      </c>
      <c r="B48" s="30"/>
      <c r="C48" s="30"/>
      <c r="D48" s="30"/>
      <c r="E48" s="30"/>
      <c r="F48" s="38">
        <v>33524</v>
      </c>
      <c r="G48" s="38"/>
      <c r="H48" s="6">
        <v>82838</v>
      </c>
      <c r="I48" s="6"/>
    </row>
    <row r="49" spans="1:12" s="32" customFormat="1" ht="12" x14ac:dyDescent="0.2">
      <c r="A49" s="30" t="s">
        <v>68</v>
      </c>
      <c r="B49" s="30"/>
      <c r="C49" s="30"/>
      <c r="D49" s="30"/>
      <c r="E49" s="30"/>
      <c r="F49" s="39">
        <f>+K24/F44</f>
        <v>23.756965944272444</v>
      </c>
      <c r="G49" s="31"/>
    </row>
    <row r="50" spans="1:12" s="32" customFormat="1" ht="12" x14ac:dyDescent="0.2">
      <c r="A50" s="33" t="s">
        <v>69</v>
      </c>
      <c r="B50" s="33"/>
      <c r="C50" s="33"/>
      <c r="D50" s="33"/>
      <c r="E50" s="33"/>
      <c r="F50" s="3">
        <f>+K25/F44</f>
        <v>14.581527347781218</v>
      </c>
      <c r="G50" s="63"/>
      <c r="H50" s="33"/>
    </row>
    <row r="51" spans="1:12" s="11" customFormat="1" ht="12" x14ac:dyDescent="0.2">
      <c r="A51" s="11" t="s">
        <v>226</v>
      </c>
    </row>
    <row r="52" spans="1:12" s="11" customFormat="1" ht="12" x14ac:dyDescent="0.2"/>
    <row r="54" spans="1:12" s="32" customFormat="1" ht="12" x14ac:dyDescent="0.2">
      <c r="A54" s="30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30"/>
    </row>
    <row r="55" spans="1:12" s="32" customFormat="1" ht="12" x14ac:dyDescent="0.2">
      <c r="A55" s="30"/>
      <c r="B55" s="229"/>
      <c r="C55" s="229"/>
      <c r="D55" s="229"/>
      <c r="E55" s="229"/>
      <c r="F55" s="229"/>
      <c r="G55" s="229"/>
      <c r="H55" s="229"/>
      <c r="I55" s="30"/>
      <c r="J55" s="229"/>
      <c r="K55" s="229"/>
      <c r="L55" s="30"/>
    </row>
    <row r="56" spans="1:12" s="32" customFormat="1" ht="12" x14ac:dyDescent="0.2">
      <c r="A56" s="30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30"/>
    </row>
    <row r="57" spans="1:12" s="32" customFormat="1" ht="12" x14ac:dyDescent="0.2">
      <c r="A57" s="30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30"/>
    </row>
    <row r="58" spans="1:12" s="32" customFormat="1" ht="12" x14ac:dyDescent="0.2">
      <c r="A58" s="30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30"/>
    </row>
    <row r="59" spans="1:12" s="32" customFormat="1" ht="12" x14ac:dyDescent="0.2">
      <c r="A59" s="30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30"/>
    </row>
    <row r="60" spans="1:12" s="32" customFormat="1" ht="12" x14ac:dyDescent="0.2">
      <c r="A60" s="30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30"/>
    </row>
    <row r="61" spans="1:12" s="32" customFormat="1" ht="12" x14ac:dyDescent="0.2">
      <c r="A61" s="30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30"/>
    </row>
    <row r="62" spans="1:12" s="32" customFormat="1" ht="12" x14ac:dyDescent="0.2">
      <c r="A62" s="30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30"/>
    </row>
    <row r="63" spans="1:12" s="32" customFormat="1" ht="12" x14ac:dyDescent="0.2">
      <c r="A63" s="30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30"/>
    </row>
    <row r="64" spans="1:12" s="32" customFormat="1" ht="12" x14ac:dyDescent="0.2">
      <c r="A64" s="30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30"/>
    </row>
    <row r="65" spans="1:12" s="32" customFormat="1" ht="12" x14ac:dyDescent="0.2">
      <c r="A65" s="30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30"/>
    </row>
    <row r="66" spans="1:12" s="32" customFormat="1" ht="12" x14ac:dyDescent="0.2">
      <c r="A66" s="30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30"/>
    </row>
    <row r="67" spans="1:12" s="32" customFormat="1" ht="12" x14ac:dyDescent="0.2">
      <c r="A67" s="30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30"/>
    </row>
    <row r="68" spans="1:12" s="32" customFormat="1" ht="12" x14ac:dyDescent="0.2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s="32" customFormat="1" ht="12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</row>
    <row r="70" spans="1:12" s="32" customFormat="1" ht="12" x14ac:dyDescent="0.2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 spans="1:12" s="32" customFormat="1" ht="12" x14ac:dyDescent="0.2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</row>
    <row r="72" spans="1:12" s="32" customFormat="1" ht="12" x14ac:dyDescent="0.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 spans="1:12" s="32" customFormat="1" ht="12" x14ac:dyDescent="0.2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</row>
    <row r="74" spans="1:12" s="32" customFormat="1" ht="12" x14ac:dyDescent="0.2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</row>
    <row r="75" spans="1:12" s="32" customFormat="1" ht="12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</row>
    <row r="76" spans="1:12" s="32" customFormat="1" ht="12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</row>
    <row r="77" spans="1:12" s="32" customFormat="1" ht="12" x14ac:dyDescent="0.2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</row>
    <row r="78" spans="1:12" s="32" customFormat="1" ht="12" x14ac:dyDescent="0.2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</row>
    <row r="79" spans="1:12" s="32" customFormat="1" ht="12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</row>
    <row r="80" spans="1:12" s="32" customFormat="1" ht="12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</row>
    <row r="81" spans="1:12" s="32" customFormat="1" ht="12" x14ac:dyDescent="0.2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</row>
    <row r="82" spans="1:12" s="32" customFormat="1" ht="12" x14ac:dyDescent="0.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</row>
    <row r="83" spans="1:12" s="32" customFormat="1" ht="12" x14ac:dyDescent="0.2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</row>
    <row r="84" spans="1:12" s="32" customFormat="1" ht="12" x14ac:dyDescent="0.2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</row>
    <row r="85" spans="1:12" s="32" customFormat="1" ht="12" x14ac:dyDescent="0.2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</row>
    <row r="86" spans="1:12" s="32" customFormat="1" ht="12" x14ac:dyDescent="0.2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</row>
    <row r="87" spans="1:12" s="32" customFormat="1" ht="12" x14ac:dyDescent="0.2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</row>
    <row r="88" spans="1:12" s="32" customFormat="1" ht="12" x14ac:dyDescent="0.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64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15" x14ac:dyDescent="0.25">
      <c r="A1" s="7" t="s">
        <v>72</v>
      </c>
      <c r="B1" s="7"/>
    </row>
    <row r="2" spans="1:15" x14ac:dyDescent="0.25">
      <c r="A2" s="7" t="s">
        <v>127</v>
      </c>
      <c r="B2" s="7"/>
    </row>
    <row r="3" spans="1:15" x14ac:dyDescent="0.25">
      <c r="A3" s="7" t="s">
        <v>175</v>
      </c>
      <c r="B3" s="7"/>
    </row>
    <row r="4" spans="1:15" x14ac:dyDescent="0.25">
      <c r="A4" s="7" t="s">
        <v>71</v>
      </c>
      <c r="B4" s="7"/>
    </row>
    <row r="5" spans="1:15" s="215" customFormat="1" x14ac:dyDescent="0.25">
      <c r="A5" s="48" t="s">
        <v>0</v>
      </c>
      <c r="B5" s="48"/>
      <c r="C5" s="48"/>
      <c r="D5" s="165" t="s">
        <v>1</v>
      </c>
      <c r="E5" s="165" t="s">
        <v>2</v>
      </c>
      <c r="F5" s="165" t="s">
        <v>73</v>
      </c>
      <c r="G5" s="165" t="s">
        <v>74</v>
      </c>
      <c r="H5" s="165" t="s">
        <v>5</v>
      </c>
      <c r="I5" s="165" t="s">
        <v>6</v>
      </c>
      <c r="J5" s="165" t="s">
        <v>7</v>
      </c>
      <c r="K5" s="165" t="s">
        <v>8</v>
      </c>
      <c r="L5" s="166" t="s">
        <v>75</v>
      </c>
      <c r="M5" s="165"/>
      <c r="N5" s="32"/>
    </row>
    <row r="6" spans="1:15" s="215" customFormat="1" x14ac:dyDescent="0.25">
      <c r="A6" s="30"/>
      <c r="B6" s="30"/>
      <c r="C6" s="30"/>
      <c r="D6" s="49" t="s">
        <v>11</v>
      </c>
      <c r="E6" s="49" t="s">
        <v>76</v>
      </c>
      <c r="F6" s="49" t="s">
        <v>76</v>
      </c>
      <c r="G6" s="49" t="s">
        <v>77</v>
      </c>
      <c r="H6" s="49" t="s">
        <v>15</v>
      </c>
      <c r="I6" s="49" t="s">
        <v>78</v>
      </c>
      <c r="J6" s="49" t="s">
        <v>15</v>
      </c>
      <c r="K6" s="49" t="s">
        <v>15</v>
      </c>
      <c r="L6" s="230" t="s">
        <v>6</v>
      </c>
      <c r="M6" s="49" t="s">
        <v>7</v>
      </c>
      <c r="N6" s="32"/>
    </row>
    <row r="7" spans="1:15" s="215" customFormat="1" x14ac:dyDescent="0.25">
      <c r="A7" s="30"/>
      <c r="B7" s="30"/>
      <c r="C7" s="30"/>
      <c r="D7" s="49" t="s">
        <v>19</v>
      </c>
      <c r="E7" s="49"/>
      <c r="F7" s="49"/>
      <c r="G7" s="49"/>
      <c r="H7" s="49" t="s">
        <v>20</v>
      </c>
      <c r="I7" s="49" t="s">
        <v>15</v>
      </c>
      <c r="J7" s="49" t="s">
        <v>20</v>
      </c>
      <c r="K7" s="49" t="s">
        <v>20</v>
      </c>
      <c r="L7" s="49"/>
      <c r="M7" s="49"/>
      <c r="N7" s="32"/>
    </row>
    <row r="8" spans="1:15" s="215" customFormat="1" x14ac:dyDescent="0.25">
      <c r="A8" s="33"/>
      <c r="B8" s="33"/>
      <c r="C8" s="33"/>
      <c r="D8" s="167"/>
      <c r="E8" s="167"/>
      <c r="F8" s="167"/>
      <c r="G8" s="167"/>
      <c r="H8" s="167"/>
      <c r="I8" s="167" t="s">
        <v>20</v>
      </c>
      <c r="J8" s="167"/>
      <c r="K8" s="167"/>
      <c r="L8" s="167"/>
      <c r="M8" s="167"/>
      <c r="N8" s="32"/>
    </row>
    <row r="9" spans="1:15" s="215" customFormat="1" x14ac:dyDescent="0.25">
      <c r="A9" s="32" t="s">
        <v>22</v>
      </c>
      <c r="B9" s="32"/>
      <c r="C9" s="32"/>
      <c r="D9" s="18">
        <v>78</v>
      </c>
      <c r="E9" s="24">
        <v>0.65</v>
      </c>
      <c r="F9" s="24">
        <v>0.65</v>
      </c>
      <c r="G9" s="28">
        <v>1000</v>
      </c>
      <c r="H9" s="6">
        <v>650</v>
      </c>
      <c r="I9" s="6"/>
      <c r="J9" s="6"/>
      <c r="K9" s="6">
        <v>650</v>
      </c>
      <c r="L9" s="6"/>
      <c r="M9" s="6"/>
      <c r="N9" s="32"/>
    </row>
    <row r="10" spans="1:15" s="215" customFormat="1" x14ac:dyDescent="0.25">
      <c r="A10" s="32" t="s">
        <v>135</v>
      </c>
      <c r="B10" s="32"/>
      <c r="C10" s="32"/>
      <c r="D10" s="18">
        <v>50</v>
      </c>
      <c r="E10" s="24">
        <v>0.82</v>
      </c>
      <c r="F10" s="24">
        <v>0.8</v>
      </c>
      <c r="G10" s="28">
        <v>1000</v>
      </c>
      <c r="H10" s="6">
        <v>820</v>
      </c>
      <c r="I10" s="6">
        <v>7638</v>
      </c>
      <c r="J10" s="6"/>
      <c r="K10" s="6">
        <v>8458</v>
      </c>
      <c r="L10" s="6">
        <v>3466</v>
      </c>
      <c r="M10" s="231"/>
      <c r="N10" s="32"/>
    </row>
    <row r="11" spans="1:15" s="215" customFormat="1" x14ac:dyDescent="0.25">
      <c r="A11" s="32" t="s">
        <v>227</v>
      </c>
      <c r="B11" s="32"/>
      <c r="C11" s="32"/>
      <c r="D11" s="18" t="s">
        <v>228</v>
      </c>
      <c r="E11" s="24"/>
      <c r="F11" s="24"/>
      <c r="G11" s="28"/>
      <c r="H11" s="6"/>
      <c r="I11" s="6" t="s">
        <v>229</v>
      </c>
      <c r="J11" s="6"/>
      <c r="K11" s="6"/>
      <c r="L11" s="6"/>
      <c r="M11" s="6"/>
      <c r="N11" s="32"/>
    </row>
    <row r="12" spans="1:15" s="215" customFormat="1" x14ac:dyDescent="0.25">
      <c r="A12" s="32" t="s">
        <v>25</v>
      </c>
      <c r="B12" s="32"/>
      <c r="C12" s="32"/>
      <c r="D12" s="18">
        <v>100</v>
      </c>
      <c r="E12" s="24">
        <v>6.01</v>
      </c>
      <c r="F12" s="24">
        <v>2.48</v>
      </c>
      <c r="G12" s="28">
        <v>1081</v>
      </c>
      <c r="H12" s="6">
        <v>6497</v>
      </c>
      <c r="I12" s="6"/>
      <c r="J12" s="6"/>
      <c r="K12" s="6">
        <v>6497</v>
      </c>
      <c r="L12" s="6"/>
      <c r="M12" s="6"/>
      <c r="N12" s="32"/>
    </row>
    <row r="13" spans="1:15" s="235" customFormat="1" x14ac:dyDescent="0.25">
      <c r="A13" s="11" t="s">
        <v>230</v>
      </c>
      <c r="B13" s="11"/>
      <c r="C13" s="11"/>
      <c r="D13" s="232">
        <v>100</v>
      </c>
      <c r="E13" s="233">
        <v>2.5499999999999998</v>
      </c>
      <c r="F13" s="233">
        <v>0.91</v>
      </c>
      <c r="G13" s="234">
        <v>1120</v>
      </c>
      <c r="H13" s="25">
        <v>2856</v>
      </c>
      <c r="I13" s="25"/>
      <c r="J13" s="25">
        <v>2852</v>
      </c>
      <c r="K13" s="25">
        <v>5708</v>
      </c>
      <c r="L13" s="25"/>
      <c r="M13" s="25">
        <v>748</v>
      </c>
      <c r="N13" s="11"/>
    </row>
    <row r="14" spans="1:15" s="235" customFormat="1" x14ac:dyDescent="0.25">
      <c r="A14" s="11" t="s">
        <v>27</v>
      </c>
      <c r="B14" s="11"/>
      <c r="C14" s="11"/>
      <c r="D14" s="232">
        <v>100</v>
      </c>
      <c r="E14" s="233">
        <v>0.77</v>
      </c>
      <c r="F14" s="233">
        <v>0.77</v>
      </c>
      <c r="G14" s="234">
        <v>1000</v>
      </c>
      <c r="H14" s="25">
        <v>770</v>
      </c>
      <c r="I14" s="25"/>
      <c r="J14" s="25">
        <v>910</v>
      </c>
      <c r="K14" s="25">
        <v>1680</v>
      </c>
      <c r="L14" s="25"/>
      <c r="M14" s="25"/>
      <c r="N14" s="11"/>
      <c r="O14" s="236"/>
    </row>
    <row r="15" spans="1:15" s="215" customFormat="1" x14ac:dyDescent="0.25">
      <c r="A15" s="32" t="s">
        <v>79</v>
      </c>
      <c r="B15" s="32"/>
      <c r="C15" s="32"/>
      <c r="D15" s="18">
        <v>98</v>
      </c>
      <c r="E15" s="24">
        <v>0.57999999999999996</v>
      </c>
      <c r="F15" s="24">
        <v>0.54</v>
      </c>
      <c r="G15" s="28">
        <v>1200</v>
      </c>
      <c r="H15" s="6">
        <v>696</v>
      </c>
      <c r="I15" s="6"/>
      <c r="J15" s="6">
        <v>2433</v>
      </c>
      <c r="K15" s="6">
        <v>3129</v>
      </c>
      <c r="L15" s="6"/>
      <c r="M15" s="237"/>
      <c r="N15" s="32"/>
    </row>
    <row r="16" spans="1:15" s="215" customFormat="1" x14ac:dyDescent="0.25">
      <c r="A16" s="32" t="s">
        <v>80</v>
      </c>
      <c r="B16" s="32"/>
      <c r="C16" s="32"/>
      <c r="D16" s="18">
        <v>100</v>
      </c>
      <c r="E16" s="24">
        <v>4.2</v>
      </c>
      <c r="F16" s="24">
        <v>4.2</v>
      </c>
      <c r="G16" s="28">
        <v>1200</v>
      </c>
      <c r="H16" s="6">
        <v>5040</v>
      </c>
      <c r="I16" s="6"/>
      <c r="J16" s="6"/>
      <c r="K16" s="6">
        <v>5040</v>
      </c>
      <c r="L16" s="6"/>
      <c r="M16" s="6"/>
      <c r="N16" s="32"/>
    </row>
    <row r="17" spans="1:15" s="215" customFormat="1" x14ac:dyDescent="0.25">
      <c r="A17" s="32" t="s">
        <v>29</v>
      </c>
      <c r="B17" s="32"/>
      <c r="C17" s="32"/>
      <c r="D17" s="18">
        <v>48</v>
      </c>
      <c r="E17" s="24">
        <v>0.57999999999999996</v>
      </c>
      <c r="F17" s="24">
        <v>0.47</v>
      </c>
      <c r="G17" s="28">
        <v>1000</v>
      </c>
      <c r="H17" s="6">
        <v>580</v>
      </c>
      <c r="I17" s="6"/>
      <c r="J17" s="6">
        <v>1007</v>
      </c>
      <c r="K17" s="6">
        <v>1587</v>
      </c>
      <c r="L17" s="6"/>
      <c r="M17" s="6"/>
      <c r="N17" s="32"/>
    </row>
    <row r="18" spans="1:15" s="215" customFormat="1" x14ac:dyDescent="0.25">
      <c r="A18" s="32" t="s">
        <v>81</v>
      </c>
      <c r="B18" s="32"/>
      <c r="C18" s="32"/>
      <c r="D18" s="18">
        <v>58</v>
      </c>
      <c r="E18" s="24">
        <v>1.66</v>
      </c>
      <c r="F18" s="24">
        <v>0.75</v>
      </c>
      <c r="G18" s="28">
        <v>1000</v>
      </c>
      <c r="H18" s="6">
        <v>1660</v>
      </c>
      <c r="I18" s="6">
        <v>9548</v>
      </c>
      <c r="J18" s="231"/>
      <c r="K18" s="6">
        <v>11208</v>
      </c>
      <c r="L18" s="6"/>
      <c r="M18" s="6"/>
      <c r="N18" s="32"/>
    </row>
    <row r="19" spans="1:15" s="215" customFormat="1" x14ac:dyDescent="0.25">
      <c r="A19" s="32"/>
      <c r="B19" s="32" t="s">
        <v>231</v>
      </c>
      <c r="C19" s="32"/>
      <c r="D19" s="18" t="s">
        <v>232</v>
      </c>
      <c r="E19" s="24"/>
      <c r="F19" s="24"/>
      <c r="G19" s="28"/>
      <c r="H19" s="6" t="s">
        <v>233</v>
      </c>
      <c r="I19" s="6"/>
      <c r="J19" s="231"/>
      <c r="K19" s="6"/>
      <c r="L19" s="6"/>
      <c r="M19" s="6"/>
      <c r="N19" s="32"/>
    </row>
    <row r="20" spans="1:15" s="215" customFormat="1" x14ac:dyDescent="0.25">
      <c r="A20" s="32"/>
      <c r="B20" s="32" t="s">
        <v>234</v>
      </c>
      <c r="C20" s="32"/>
      <c r="D20" s="18" t="s">
        <v>235</v>
      </c>
      <c r="E20" s="24"/>
      <c r="F20" s="24"/>
      <c r="G20" s="28"/>
      <c r="H20" s="6" t="s">
        <v>236</v>
      </c>
      <c r="I20" s="6"/>
      <c r="J20" s="231"/>
      <c r="K20" s="6"/>
      <c r="L20" s="6"/>
      <c r="M20" s="6"/>
      <c r="N20" s="32"/>
    </row>
    <row r="21" spans="1:15" s="215" customFormat="1" x14ac:dyDescent="0.25">
      <c r="A21" s="32" t="s">
        <v>165</v>
      </c>
      <c r="B21" s="32"/>
      <c r="C21" s="32"/>
      <c r="D21" s="18" t="s">
        <v>237</v>
      </c>
      <c r="E21" s="24"/>
      <c r="F21" s="24"/>
      <c r="G21" s="28"/>
      <c r="H21" s="6"/>
      <c r="I21" s="6" t="s">
        <v>238</v>
      </c>
      <c r="J21" s="231"/>
      <c r="K21" s="6"/>
      <c r="L21" s="6"/>
      <c r="M21" s="6"/>
      <c r="N21" s="32"/>
    </row>
    <row r="22" spans="1:15" s="215" customFormat="1" x14ac:dyDescent="0.25">
      <c r="A22" s="32" t="s">
        <v>83</v>
      </c>
      <c r="B22" s="32"/>
      <c r="C22" s="32"/>
      <c r="D22" s="18">
        <v>74</v>
      </c>
      <c r="E22" s="24">
        <v>0.26</v>
      </c>
      <c r="F22" s="24">
        <v>0.26</v>
      </c>
      <c r="G22" s="28">
        <v>1000</v>
      </c>
      <c r="H22" s="6">
        <v>260</v>
      </c>
      <c r="I22" s="6">
        <v>660</v>
      </c>
      <c r="J22" s="6"/>
      <c r="K22" s="6">
        <v>920</v>
      </c>
      <c r="L22" s="6">
        <v>155</v>
      </c>
      <c r="M22" s="6"/>
      <c r="N22" s="32"/>
    </row>
    <row r="23" spans="1:15" s="235" customFormat="1" x14ac:dyDescent="0.25">
      <c r="A23" s="238" t="s">
        <v>33</v>
      </c>
      <c r="B23" s="238"/>
      <c r="C23" s="238"/>
      <c r="D23" s="239"/>
      <c r="E23" s="54">
        <f>SUM(E9:E22)</f>
        <v>18.079999999999998</v>
      </c>
      <c r="F23" s="54">
        <f>SUM(F9:F22)</f>
        <v>11.83</v>
      </c>
      <c r="G23" s="55"/>
      <c r="H23" s="55">
        <v>19829</v>
      </c>
      <c r="I23" s="55">
        <f>SUM(I9:I22)</f>
        <v>17846</v>
      </c>
      <c r="J23" s="55">
        <f>SUM(J9:J22)</f>
        <v>7202</v>
      </c>
      <c r="K23" s="55">
        <f>SUM(H23:J23)</f>
        <v>44877</v>
      </c>
      <c r="L23" s="55">
        <f>SUM(L9:L22)</f>
        <v>3621</v>
      </c>
      <c r="M23" s="55">
        <f>SUM(M10:M22)</f>
        <v>748</v>
      </c>
      <c r="N23" s="11"/>
    </row>
    <row r="24" spans="1:15" s="235" customFormat="1" x14ac:dyDescent="0.25">
      <c r="A24" s="240" t="s">
        <v>34</v>
      </c>
      <c r="B24" s="240"/>
      <c r="C24" s="240"/>
      <c r="D24" s="241"/>
      <c r="E24" s="56">
        <f>SUM(E23-F23)</f>
        <v>6.2499999999999982</v>
      </c>
      <c r="F24" s="56"/>
      <c r="G24" s="57"/>
      <c r="H24" s="57">
        <f>SUM(E34*G34)</f>
        <v>6612</v>
      </c>
      <c r="I24" s="57">
        <f>I23-L23</f>
        <v>14225</v>
      </c>
      <c r="J24" s="57">
        <f>J23-M23</f>
        <v>6454</v>
      </c>
      <c r="K24" s="57">
        <f>SUM(H24:J24)</f>
        <v>27291</v>
      </c>
      <c r="L24" s="57"/>
      <c r="M24" s="57"/>
      <c r="N24" s="11"/>
      <c r="O24" s="242"/>
    </row>
    <row r="25" spans="1:15" s="215" customFormat="1" x14ac:dyDescent="0.25">
      <c r="A25" s="32"/>
      <c r="B25" s="32"/>
      <c r="C25" s="32"/>
      <c r="D25" s="32"/>
      <c r="E25" s="32"/>
      <c r="F25" s="32"/>
      <c r="G25" s="32"/>
      <c r="H25" s="6"/>
      <c r="I25" s="6"/>
      <c r="J25" s="6"/>
      <c r="K25" s="6"/>
      <c r="L25" s="6"/>
      <c r="M25" s="32"/>
      <c r="N25" s="32"/>
    </row>
    <row r="26" spans="1:15" s="215" customFormat="1" x14ac:dyDescent="0.25">
      <c r="A26" s="32"/>
      <c r="B26" s="32"/>
      <c r="C26" s="32" t="s">
        <v>35</v>
      </c>
      <c r="D26" s="32"/>
      <c r="E26" s="32"/>
      <c r="F26" s="32"/>
      <c r="G26" s="32"/>
      <c r="H26" s="32"/>
      <c r="I26" s="32"/>
      <c r="J26" s="32"/>
      <c r="K26" s="6"/>
      <c r="L26" s="32"/>
      <c r="M26" s="32"/>
      <c r="N26" s="32"/>
    </row>
    <row r="27" spans="1:15" s="215" customFormat="1" x14ac:dyDescent="0.25">
      <c r="A27" s="32" t="s">
        <v>36</v>
      </c>
      <c r="B27" s="32"/>
      <c r="C27" s="32"/>
      <c r="D27" s="32"/>
      <c r="E27" s="32"/>
      <c r="F27" s="32"/>
      <c r="G27" s="32"/>
      <c r="H27" s="32"/>
      <c r="I27" s="32"/>
      <c r="J27" s="243" t="s">
        <v>85</v>
      </c>
      <c r="K27" s="170"/>
      <c r="L27" s="32"/>
      <c r="M27" s="32"/>
      <c r="N27" s="32"/>
    </row>
    <row r="28" spans="1:15" s="215" customFormat="1" x14ac:dyDescent="0.25">
      <c r="A28" s="58" t="s">
        <v>17</v>
      </c>
      <c r="B28" s="58"/>
      <c r="C28" s="58"/>
      <c r="D28" s="58" t="s">
        <v>37</v>
      </c>
      <c r="E28" s="58" t="s">
        <v>84</v>
      </c>
      <c r="F28" s="58"/>
      <c r="G28" s="58" t="s">
        <v>39</v>
      </c>
      <c r="H28" s="32"/>
      <c r="I28" s="32"/>
      <c r="J28" s="244" t="s">
        <v>184</v>
      </c>
      <c r="K28" s="245">
        <v>0.24230769230769231</v>
      </c>
      <c r="L28" s="32"/>
      <c r="M28" s="32"/>
      <c r="N28" s="32"/>
    </row>
    <row r="29" spans="1:15" s="215" customFormat="1" x14ac:dyDescent="0.25">
      <c r="A29" s="32" t="s">
        <v>41</v>
      </c>
      <c r="B29" s="32"/>
      <c r="C29" s="32"/>
      <c r="D29" s="32"/>
      <c r="E29" s="32"/>
      <c r="F29" s="32"/>
      <c r="G29" s="32"/>
      <c r="H29" s="32"/>
      <c r="I29" s="32"/>
      <c r="J29" s="244" t="s">
        <v>90</v>
      </c>
      <c r="K29" s="245">
        <v>0.12692307692307692</v>
      </c>
      <c r="L29" s="32"/>
      <c r="M29" s="32"/>
      <c r="N29" s="32"/>
    </row>
    <row r="30" spans="1:15" s="235" customFormat="1" x14ac:dyDescent="0.25">
      <c r="A30" s="11" t="s">
        <v>230</v>
      </c>
      <c r="B30" s="11"/>
      <c r="C30" s="11"/>
      <c r="D30" s="11" t="s">
        <v>44</v>
      </c>
      <c r="E30" s="233">
        <v>46</v>
      </c>
      <c r="F30" s="233"/>
      <c r="G30" s="233">
        <v>62</v>
      </c>
      <c r="H30" s="11"/>
      <c r="I30" s="11"/>
      <c r="J30" s="244" t="s">
        <v>141</v>
      </c>
      <c r="K30" s="245">
        <v>0.11538461538461539</v>
      </c>
      <c r="L30" s="11"/>
      <c r="M30" s="11"/>
      <c r="N30" s="11"/>
    </row>
    <row r="31" spans="1:15" s="215" customForma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244" t="s">
        <v>54</v>
      </c>
      <c r="K31" s="244">
        <v>0.52</v>
      </c>
      <c r="L31" s="32"/>
      <c r="M31" s="32"/>
      <c r="N31" s="32"/>
    </row>
    <row r="32" spans="1:15" s="215" customForma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0"/>
      <c r="K32" s="170">
        <f>SUM(K28:K31)</f>
        <v>1.0046153846153847</v>
      </c>
      <c r="L32" s="32"/>
      <c r="M32" s="32"/>
      <c r="N32" s="32"/>
    </row>
    <row r="33" spans="1:14" s="215" customFormat="1" x14ac:dyDescent="0.25">
      <c r="A33" s="32" t="s">
        <v>46</v>
      </c>
      <c r="B33" s="32"/>
      <c r="C33" s="32"/>
      <c r="D33" s="32"/>
      <c r="E33" s="32"/>
      <c r="F33" s="32"/>
      <c r="G33" s="32"/>
      <c r="H33" s="32"/>
      <c r="I33" s="32"/>
      <c r="J33" s="30"/>
      <c r="K33" s="170"/>
      <c r="L33" s="32"/>
      <c r="M33" s="32"/>
      <c r="N33" s="32"/>
    </row>
    <row r="34" spans="1:14" s="215" customFormat="1" x14ac:dyDescent="0.25">
      <c r="A34" s="32" t="s">
        <v>48</v>
      </c>
      <c r="B34" s="32"/>
      <c r="C34" s="32"/>
      <c r="D34" s="32" t="s">
        <v>49</v>
      </c>
      <c r="E34" s="6">
        <v>6</v>
      </c>
      <c r="F34" s="6"/>
      <c r="G34" s="6">
        <v>1102</v>
      </c>
      <c r="H34" s="32"/>
      <c r="I34" s="32"/>
      <c r="J34" s="246" t="s">
        <v>185</v>
      </c>
      <c r="K34" s="155">
        <v>2.17</v>
      </c>
      <c r="L34" s="32"/>
      <c r="M34" s="32"/>
      <c r="N34" s="32"/>
    </row>
    <row r="35" spans="1:14" s="215" customFormat="1" x14ac:dyDescent="0.25">
      <c r="A35" s="32" t="s">
        <v>51</v>
      </c>
      <c r="B35" s="32"/>
      <c r="C35" s="32"/>
      <c r="D35" s="32" t="s">
        <v>49</v>
      </c>
      <c r="E35" s="6">
        <v>12</v>
      </c>
      <c r="F35" s="6"/>
      <c r="G35" s="6"/>
      <c r="H35" s="32"/>
      <c r="I35" s="32"/>
      <c r="J35" s="247" t="s">
        <v>186</v>
      </c>
      <c r="K35" s="155">
        <v>2.5</v>
      </c>
      <c r="L35" s="32"/>
      <c r="M35" s="32"/>
      <c r="N35" s="32"/>
    </row>
    <row r="36" spans="1:14" s="215" customFormat="1" x14ac:dyDescent="0.25">
      <c r="A36" s="32" t="s">
        <v>2</v>
      </c>
      <c r="B36" s="32"/>
      <c r="C36" s="32"/>
      <c r="D36" s="32"/>
      <c r="E36" s="6">
        <v>18</v>
      </c>
      <c r="F36" s="6"/>
      <c r="G36" s="6"/>
      <c r="H36" s="32"/>
      <c r="I36" s="32"/>
      <c r="J36" s="160"/>
      <c r="K36" s="189"/>
      <c r="L36" s="32"/>
      <c r="M36" s="32"/>
      <c r="N36" s="32"/>
    </row>
    <row r="37" spans="1:14" s="215" customFormat="1" x14ac:dyDescent="0.25">
      <c r="A37" s="48" t="s">
        <v>92</v>
      </c>
      <c r="B37" s="48"/>
      <c r="C37" s="48" t="s">
        <v>53</v>
      </c>
      <c r="D37" s="48"/>
      <c r="E37" s="48"/>
      <c r="F37" s="48"/>
      <c r="G37" s="48"/>
      <c r="H37" s="32"/>
      <c r="I37" s="32"/>
      <c r="J37" s="13"/>
      <c r="K37" s="170"/>
      <c r="L37" s="32"/>
      <c r="M37" s="32"/>
      <c r="N37" s="32"/>
    </row>
    <row r="38" spans="1:14" s="235" customFormat="1" x14ac:dyDescent="0.25">
      <c r="A38" s="12" t="s">
        <v>93</v>
      </c>
      <c r="B38" s="248"/>
      <c r="C38" s="249"/>
      <c r="D38" s="12"/>
      <c r="E38" s="250"/>
      <c r="F38" s="12"/>
      <c r="G38" s="225"/>
      <c r="H38" s="11"/>
      <c r="I38" s="11"/>
      <c r="J38" s="12"/>
      <c r="K38" s="225"/>
      <c r="L38" s="11"/>
      <c r="M38" s="11"/>
      <c r="N38" s="11"/>
    </row>
    <row r="39" spans="1:14" s="235" customFormat="1" x14ac:dyDescent="0.25">
      <c r="A39" s="12"/>
      <c r="B39" s="248" t="s">
        <v>56</v>
      </c>
      <c r="C39" s="249">
        <v>100</v>
      </c>
      <c r="D39" s="12" t="s">
        <v>44</v>
      </c>
      <c r="E39" s="250">
        <v>30</v>
      </c>
      <c r="F39" s="12"/>
      <c r="G39" s="225">
        <v>7</v>
      </c>
      <c r="H39" s="11"/>
      <c r="I39" s="11"/>
      <c r="J39" s="251"/>
      <c r="K39" s="252"/>
      <c r="L39" s="11"/>
      <c r="M39" s="11"/>
      <c r="N39" s="11"/>
    </row>
    <row r="40" spans="1:14" s="235" customFormat="1" hidden="1" x14ac:dyDescent="0.25">
      <c r="A40" s="12"/>
      <c r="B40" s="248"/>
      <c r="C40" s="249"/>
      <c r="D40" s="12"/>
      <c r="E40" s="250"/>
      <c r="F40" s="12"/>
      <c r="G40" s="225"/>
      <c r="H40" s="11"/>
      <c r="I40" s="11"/>
      <c r="L40" s="11"/>
      <c r="M40" s="11"/>
      <c r="N40" s="11"/>
    </row>
    <row r="41" spans="1:14" s="235" customFormat="1" hidden="1" x14ac:dyDescent="0.25">
      <c r="A41" s="12"/>
      <c r="B41" s="248"/>
      <c r="C41" s="249"/>
      <c r="D41" s="12"/>
      <c r="E41" s="250"/>
      <c r="F41" s="12"/>
      <c r="G41" s="225"/>
      <c r="H41" s="11"/>
      <c r="I41" s="11"/>
      <c r="L41" s="11"/>
      <c r="M41" s="11"/>
      <c r="N41" s="11"/>
    </row>
    <row r="42" spans="1:14" s="235" customFormat="1" hidden="1" x14ac:dyDescent="0.25">
      <c r="A42" s="11"/>
      <c r="B42" s="248"/>
      <c r="C42" s="249"/>
      <c r="D42" s="12"/>
      <c r="E42" s="250"/>
      <c r="F42" s="12"/>
      <c r="G42" s="225"/>
      <c r="H42" s="11"/>
      <c r="I42" s="11"/>
      <c r="L42" s="11"/>
      <c r="M42" s="11"/>
      <c r="N42" s="11"/>
    </row>
    <row r="43" spans="1:14" s="235" customFormat="1" x14ac:dyDescent="0.25">
      <c r="A43" s="11" t="s">
        <v>239</v>
      </c>
      <c r="B43" s="248" t="s">
        <v>57</v>
      </c>
      <c r="C43" s="249">
        <v>100</v>
      </c>
      <c r="D43" s="12" t="s">
        <v>44</v>
      </c>
      <c r="E43" s="250">
        <v>77</v>
      </c>
      <c r="F43" s="12"/>
      <c r="G43" s="225">
        <v>7</v>
      </c>
      <c r="H43" s="11"/>
      <c r="I43" s="11"/>
      <c r="L43" s="11"/>
      <c r="M43" s="11"/>
      <c r="N43" s="11"/>
    </row>
    <row r="44" spans="1:14" s="235" customFormat="1" x14ac:dyDescent="0.25">
      <c r="A44" s="12"/>
      <c r="B44" s="248" t="s">
        <v>58</v>
      </c>
      <c r="C44" s="249">
        <v>100</v>
      </c>
      <c r="D44" s="12" t="s">
        <v>44</v>
      </c>
      <c r="E44" s="250">
        <v>23</v>
      </c>
      <c r="F44" s="12"/>
      <c r="G44" s="225">
        <v>7</v>
      </c>
      <c r="H44" s="11"/>
      <c r="I44" s="11"/>
      <c r="J44" s="11"/>
      <c r="K44" s="11"/>
      <c r="L44" s="11"/>
      <c r="M44" s="11"/>
      <c r="N44" s="11"/>
    </row>
    <row r="45" spans="1:14" s="235" customFormat="1" hidden="1" x14ac:dyDescent="0.25">
      <c r="A45" s="12"/>
      <c r="B45" s="248"/>
      <c r="C45" s="249"/>
      <c r="D45" s="12"/>
      <c r="E45" s="12"/>
      <c r="F45" s="12"/>
      <c r="G45" s="12"/>
      <c r="H45" s="11"/>
      <c r="I45" s="11"/>
      <c r="J45" s="11"/>
      <c r="K45" s="11"/>
      <c r="L45" s="11"/>
      <c r="M45" s="11"/>
      <c r="N45" s="11"/>
    </row>
    <row r="46" spans="1:14" s="235" customFormat="1" hidden="1" x14ac:dyDescent="0.25">
      <c r="A46" s="12"/>
      <c r="B46" s="248"/>
      <c r="C46" s="249"/>
      <c r="D46" s="12"/>
      <c r="E46" s="12"/>
      <c r="F46" s="12"/>
      <c r="G46" s="12"/>
      <c r="H46" s="11"/>
      <c r="I46" s="11"/>
      <c r="J46" s="11"/>
      <c r="K46" s="11"/>
      <c r="L46" s="11"/>
      <c r="M46" s="11"/>
      <c r="N46" s="11"/>
    </row>
    <row r="47" spans="1:14" s="235" customFormat="1" hidden="1" x14ac:dyDescent="0.25">
      <c r="A47" s="12"/>
      <c r="B47" s="248"/>
      <c r="C47" s="249"/>
      <c r="D47" s="12"/>
      <c r="E47" s="12"/>
      <c r="F47" s="12"/>
      <c r="G47" s="12"/>
      <c r="H47" s="11"/>
      <c r="I47" s="11"/>
      <c r="J47" s="11"/>
      <c r="K47" s="11"/>
      <c r="L47" s="11"/>
      <c r="M47" s="11"/>
      <c r="N47" s="11"/>
    </row>
    <row r="48" spans="1:14" s="235" customFormat="1" hidden="1" x14ac:dyDescent="0.25">
      <c r="A48" s="11"/>
      <c r="B48" s="253"/>
      <c r="C48" s="249"/>
      <c r="D48" s="12"/>
      <c r="E48" s="12"/>
      <c r="F48" s="12"/>
      <c r="G48" s="12"/>
      <c r="H48" s="11"/>
      <c r="I48" s="11"/>
      <c r="J48" s="11"/>
      <c r="K48" s="11"/>
      <c r="L48" s="11"/>
      <c r="M48" s="11"/>
      <c r="N48" s="11"/>
    </row>
    <row r="49" spans="1:14" s="235" customFormat="1" hidden="1" x14ac:dyDescent="0.25">
      <c r="A49" s="240"/>
      <c r="B49" s="248"/>
      <c r="C49" s="254"/>
      <c r="D49" s="240"/>
      <c r="E49" s="240"/>
      <c r="F49" s="240"/>
      <c r="G49" s="240"/>
      <c r="H49" s="11"/>
      <c r="I49" s="11"/>
      <c r="J49" s="255"/>
      <c r="K49" s="256"/>
      <c r="L49" s="11"/>
      <c r="M49" s="11"/>
      <c r="N49" s="11"/>
    </row>
    <row r="50" spans="1:14" s="235" customFormat="1" x14ac:dyDescent="0.25">
      <c r="A50" s="238" t="s">
        <v>60</v>
      </c>
      <c r="B50" s="238"/>
      <c r="C50" s="238"/>
      <c r="D50" s="238"/>
      <c r="E50" s="55"/>
      <c r="F50" s="238"/>
      <c r="G50" s="257" t="s">
        <v>61</v>
      </c>
      <c r="I50" s="258" t="s">
        <v>105</v>
      </c>
      <c r="J50" s="12"/>
      <c r="K50" s="12"/>
      <c r="L50" s="11"/>
      <c r="M50" s="11"/>
      <c r="N50" s="11"/>
    </row>
    <row r="51" spans="1:14" s="235" customFormat="1" x14ac:dyDescent="0.25">
      <c r="A51" s="12" t="s">
        <v>97</v>
      </c>
      <c r="B51" s="12"/>
      <c r="C51" s="12"/>
      <c r="D51" s="12"/>
      <c r="E51" s="12"/>
      <c r="F51" s="12"/>
      <c r="G51" s="259">
        <v>2192</v>
      </c>
      <c r="I51" s="25">
        <v>5416</v>
      </c>
      <c r="J51" s="11"/>
      <c r="K51" s="11"/>
      <c r="L51" s="11"/>
      <c r="M51" s="11"/>
      <c r="N51" s="11"/>
    </row>
    <row r="52" spans="1:14" s="235" customFormat="1" x14ac:dyDescent="0.25">
      <c r="A52" s="12" t="s">
        <v>98</v>
      </c>
      <c r="B52" s="12"/>
      <c r="C52" s="12"/>
      <c r="D52" s="12"/>
      <c r="E52" s="12"/>
      <c r="F52" s="12"/>
      <c r="G52" s="260">
        <v>36.99</v>
      </c>
      <c r="I52" s="25"/>
      <c r="J52" s="11"/>
      <c r="K52" s="11"/>
      <c r="L52" s="11"/>
      <c r="M52" s="11"/>
      <c r="N52" s="11"/>
    </row>
    <row r="53" spans="1:14" s="235" customFormat="1" x14ac:dyDescent="0.25">
      <c r="A53" s="12" t="s">
        <v>65</v>
      </c>
      <c r="B53" s="12"/>
      <c r="C53" s="12"/>
      <c r="D53" s="12"/>
      <c r="E53" s="12"/>
      <c r="F53" s="12"/>
      <c r="G53" s="26">
        <v>81082</v>
      </c>
      <c r="H53" s="261"/>
      <c r="I53" s="25">
        <v>200354</v>
      </c>
      <c r="J53" s="11"/>
      <c r="K53" s="11"/>
      <c r="L53" s="11"/>
      <c r="M53" s="11"/>
      <c r="N53" s="11"/>
    </row>
    <row r="54" spans="1:14" s="235" customFormat="1" x14ac:dyDescent="0.25">
      <c r="A54" s="12" t="s">
        <v>66</v>
      </c>
      <c r="B54" s="12"/>
      <c r="C54" s="12"/>
      <c r="D54" s="12"/>
      <c r="E54" s="12"/>
      <c r="F54" s="12"/>
      <c r="G54" s="26">
        <v>36205</v>
      </c>
      <c r="H54" s="261"/>
      <c r="I54" s="25">
        <v>89463</v>
      </c>
      <c r="J54" s="11"/>
      <c r="K54" s="25"/>
      <c r="L54" s="11"/>
      <c r="M54" s="11"/>
      <c r="N54" s="11"/>
    </row>
    <row r="55" spans="1:14" s="235" customFormat="1" x14ac:dyDescent="0.25">
      <c r="A55" s="12" t="s">
        <v>67</v>
      </c>
      <c r="B55" s="12"/>
      <c r="C55" s="12"/>
      <c r="D55" s="12"/>
      <c r="E55" s="12"/>
      <c r="F55" s="12"/>
      <c r="G55" s="26">
        <v>53791</v>
      </c>
      <c r="H55" s="261"/>
      <c r="I55" s="25">
        <v>132918</v>
      </c>
      <c r="J55" s="11"/>
      <c r="K55" s="25"/>
      <c r="L55" s="11"/>
      <c r="M55" s="11"/>
      <c r="N55" s="11"/>
    </row>
    <row r="56" spans="1:14" s="235" customFormat="1" x14ac:dyDescent="0.25">
      <c r="A56" s="12" t="s">
        <v>68</v>
      </c>
      <c r="B56" s="12"/>
      <c r="C56" s="12"/>
      <c r="D56" s="12"/>
      <c r="E56" s="12"/>
      <c r="F56" s="12"/>
      <c r="G56" s="260">
        <f>SUM(K23/G51)</f>
        <v>20.473083941605839</v>
      </c>
      <c r="H56" s="11"/>
      <c r="I56" s="11"/>
      <c r="J56" s="11"/>
      <c r="K56" s="11"/>
      <c r="L56" s="11"/>
      <c r="M56" s="11"/>
      <c r="N56" s="11"/>
    </row>
    <row r="57" spans="1:14" s="235" customFormat="1" x14ac:dyDescent="0.25">
      <c r="A57" s="240" t="s">
        <v>69</v>
      </c>
      <c r="B57" s="240"/>
      <c r="C57" s="240"/>
      <c r="D57" s="240"/>
      <c r="E57" s="240"/>
      <c r="F57" s="240"/>
      <c r="G57" s="262">
        <f>SUM(K24/G51)</f>
        <v>12.450273722627736</v>
      </c>
      <c r="H57" s="11"/>
      <c r="I57" s="11"/>
      <c r="J57" s="11"/>
      <c r="K57" s="11"/>
      <c r="L57" s="11"/>
      <c r="M57" s="11"/>
      <c r="N57" s="11"/>
    </row>
    <row r="58" spans="1:14" s="235" customFormat="1" x14ac:dyDescent="0.25">
      <c r="A58" s="11"/>
      <c r="B58" s="11"/>
      <c r="C58" s="11"/>
      <c r="D58" s="11"/>
      <c r="E58" s="11"/>
      <c r="F58" s="11"/>
      <c r="G58" s="32"/>
      <c r="H58" s="32"/>
      <c r="I58" s="32"/>
      <c r="J58" s="32"/>
      <c r="K58" s="32"/>
      <c r="L58" s="32"/>
      <c r="M58" s="32"/>
      <c r="N58" s="32"/>
    </row>
    <row r="59" spans="1:14" s="215" customFormat="1" x14ac:dyDescent="0.25"/>
    <row r="60" spans="1:14" s="215" customFormat="1" x14ac:dyDescent="0.25"/>
    <row r="61" spans="1:14" s="215" customFormat="1" x14ac:dyDescent="0.25"/>
    <row r="62" spans="1:14" s="215" customFormat="1" x14ac:dyDescent="0.25"/>
    <row r="63" spans="1:14" s="215" customFormat="1" x14ac:dyDescent="0.25"/>
    <row r="64" spans="1:14" s="215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59"/>
  <sheetViews>
    <sheetView topLeftCell="A16" workbookViewId="0">
      <selection activeCell="A16" sqref="A1:XFD1048576"/>
    </sheetView>
  </sheetViews>
  <sheetFormatPr defaultRowHeight="15" x14ac:dyDescent="0.25"/>
  <cols>
    <col min="1" max="16384" width="9.140625" style="8"/>
  </cols>
  <sheetData>
    <row r="1" spans="1:13" x14ac:dyDescent="0.25">
      <c r="A1" s="7" t="s">
        <v>72</v>
      </c>
      <c r="B1" s="7"/>
    </row>
    <row r="2" spans="1:13" x14ac:dyDescent="0.25">
      <c r="A2" s="7" t="s">
        <v>131</v>
      </c>
      <c r="B2" s="7"/>
    </row>
    <row r="3" spans="1:13" x14ac:dyDescent="0.25">
      <c r="A3" s="7" t="s">
        <v>175</v>
      </c>
      <c r="B3" s="7"/>
    </row>
    <row r="5" spans="1:13" s="141" customFormat="1" ht="12.75" x14ac:dyDescent="0.25">
      <c r="A5" s="138" t="s">
        <v>0</v>
      </c>
      <c r="B5" s="138"/>
      <c r="C5" s="138"/>
      <c r="D5" s="139" t="s">
        <v>1</v>
      </c>
      <c r="E5" s="139" t="s">
        <v>2</v>
      </c>
      <c r="F5" s="139" t="s">
        <v>73</v>
      </c>
      <c r="G5" s="139" t="s">
        <v>74</v>
      </c>
      <c r="H5" s="139" t="s">
        <v>5</v>
      </c>
      <c r="I5" s="139" t="s">
        <v>6</v>
      </c>
      <c r="J5" s="139" t="s">
        <v>7</v>
      </c>
      <c r="K5" s="139" t="s">
        <v>8</v>
      </c>
      <c r="L5" s="140" t="s">
        <v>75</v>
      </c>
      <c r="M5" s="139"/>
    </row>
    <row r="6" spans="1:13" s="141" customFormat="1" ht="12.75" x14ac:dyDescent="0.25">
      <c r="A6" s="142"/>
      <c r="B6" s="142"/>
      <c r="C6" s="142"/>
      <c r="D6" s="143" t="s">
        <v>11</v>
      </c>
      <c r="E6" s="143" t="s">
        <v>76</v>
      </c>
      <c r="F6" s="143" t="s">
        <v>76</v>
      </c>
      <c r="G6" s="143" t="s">
        <v>77</v>
      </c>
      <c r="H6" s="143" t="s">
        <v>15</v>
      </c>
      <c r="I6" s="143" t="s">
        <v>78</v>
      </c>
      <c r="J6" s="143" t="s">
        <v>15</v>
      </c>
      <c r="K6" s="143" t="s">
        <v>15</v>
      </c>
      <c r="L6" s="143" t="s">
        <v>6</v>
      </c>
      <c r="M6" s="143" t="s">
        <v>7</v>
      </c>
    </row>
    <row r="7" spans="1:13" s="141" customFormat="1" ht="12.75" x14ac:dyDescent="0.25">
      <c r="A7" s="142"/>
      <c r="B7" s="142"/>
      <c r="C7" s="142"/>
      <c r="D7" s="143" t="s">
        <v>19</v>
      </c>
      <c r="E7" s="143"/>
      <c r="F7" s="143"/>
      <c r="G7" s="143"/>
      <c r="H7" s="143" t="s">
        <v>20</v>
      </c>
      <c r="I7" s="143" t="s">
        <v>15</v>
      </c>
      <c r="J7" s="143" t="s">
        <v>20</v>
      </c>
      <c r="K7" s="143" t="s">
        <v>20</v>
      </c>
      <c r="L7" s="143"/>
      <c r="M7" s="143"/>
    </row>
    <row r="8" spans="1:13" s="141" customFormat="1" ht="12.75" x14ac:dyDescent="0.25">
      <c r="A8" s="144"/>
      <c r="B8" s="144"/>
      <c r="C8" s="144"/>
      <c r="D8" s="145"/>
      <c r="E8" s="145"/>
      <c r="F8" s="145"/>
      <c r="G8" s="145"/>
      <c r="H8" s="145"/>
      <c r="I8" s="145" t="s">
        <v>20</v>
      </c>
      <c r="J8" s="145"/>
      <c r="K8" s="145"/>
      <c r="L8" s="145"/>
      <c r="M8" s="145"/>
    </row>
    <row r="9" spans="1:13" s="141" customFormat="1" ht="12.75" x14ac:dyDescent="0.25">
      <c r="A9" s="141" t="s">
        <v>112</v>
      </c>
      <c r="D9" s="146">
        <v>86</v>
      </c>
      <c r="E9" s="147">
        <v>0.7</v>
      </c>
      <c r="F9" s="147">
        <v>0.59</v>
      </c>
      <c r="G9" s="148">
        <v>1144</v>
      </c>
      <c r="H9" s="147">
        <v>801</v>
      </c>
      <c r="J9" s="147"/>
      <c r="K9" s="147">
        <f t="shared" ref="K9:K21" si="0">SUM(H9:J9)</f>
        <v>801</v>
      </c>
    </row>
    <row r="10" spans="1:13" s="141" customFormat="1" ht="12.75" x14ac:dyDescent="0.25">
      <c r="A10" s="141" t="s">
        <v>135</v>
      </c>
      <c r="D10" s="146">
        <v>70</v>
      </c>
      <c r="E10" s="147">
        <v>0.75</v>
      </c>
      <c r="F10" s="147">
        <v>0.75</v>
      </c>
      <c r="G10" s="148">
        <v>1144</v>
      </c>
      <c r="H10" s="147">
        <f t="shared" ref="H10" si="1">SUM(E10*G10)</f>
        <v>858</v>
      </c>
      <c r="I10" s="147">
        <v>9116</v>
      </c>
      <c r="J10" s="147"/>
      <c r="K10" s="147">
        <f t="shared" ref="K10" si="2">SUM(H10:J10)</f>
        <v>9974</v>
      </c>
      <c r="L10" s="141">
        <v>5501</v>
      </c>
    </row>
    <row r="11" spans="1:13" s="141" customFormat="1" ht="12.75" x14ac:dyDescent="0.25">
      <c r="A11" s="141" t="s">
        <v>227</v>
      </c>
      <c r="D11" s="263" t="s">
        <v>240</v>
      </c>
      <c r="E11" s="147"/>
      <c r="F11" s="147"/>
      <c r="G11" s="148"/>
      <c r="H11" s="147">
        <f t="shared" ref="H11:H21" si="3">SUM(E11*G11)</f>
        <v>0</v>
      </c>
      <c r="I11" s="147" t="s">
        <v>241</v>
      </c>
      <c r="J11" s="147"/>
      <c r="K11" s="147">
        <f t="shared" si="0"/>
        <v>0</v>
      </c>
      <c r="L11" s="147"/>
      <c r="M11" s="147"/>
    </row>
    <row r="12" spans="1:13" s="141" customFormat="1" ht="12.75" x14ac:dyDescent="0.25">
      <c r="A12" s="141" t="s">
        <v>113</v>
      </c>
      <c r="D12" s="146">
        <v>100</v>
      </c>
      <c r="E12" s="147">
        <v>5.25</v>
      </c>
      <c r="F12" s="147">
        <v>1.73</v>
      </c>
      <c r="G12" s="148">
        <v>1105</v>
      </c>
      <c r="H12" s="147">
        <v>5801</v>
      </c>
      <c r="I12" s="147"/>
      <c r="J12" s="147"/>
      <c r="K12" s="147">
        <f t="shared" si="0"/>
        <v>5801</v>
      </c>
      <c r="L12" s="147"/>
      <c r="M12" s="147"/>
    </row>
    <row r="13" spans="1:13" s="141" customFormat="1" ht="12.75" x14ac:dyDescent="0.25">
      <c r="A13" s="141" t="s">
        <v>43</v>
      </c>
      <c r="D13" s="146">
        <v>100</v>
      </c>
      <c r="E13" s="147">
        <v>2.16</v>
      </c>
      <c r="F13" s="147">
        <v>0.75</v>
      </c>
      <c r="G13" s="148">
        <v>1100</v>
      </c>
      <c r="H13" s="147">
        <f t="shared" si="3"/>
        <v>2376</v>
      </c>
      <c r="I13" s="147"/>
      <c r="J13" s="147">
        <f>SUM(E30*G30)</f>
        <v>2924</v>
      </c>
      <c r="K13" s="147">
        <f t="shared" si="0"/>
        <v>5300</v>
      </c>
      <c r="L13" s="147"/>
      <c r="M13" s="264">
        <v>1274</v>
      </c>
    </row>
    <row r="14" spans="1:13" s="141" customFormat="1" ht="12.75" x14ac:dyDescent="0.25">
      <c r="A14" s="141" t="s">
        <v>115</v>
      </c>
      <c r="D14" s="146">
        <v>100</v>
      </c>
      <c r="E14" s="147">
        <v>1.47</v>
      </c>
      <c r="F14" s="147">
        <v>1.03</v>
      </c>
      <c r="G14" s="148">
        <v>1000</v>
      </c>
      <c r="H14" s="147">
        <f t="shared" si="3"/>
        <v>1470</v>
      </c>
      <c r="I14" s="147"/>
      <c r="J14" s="147">
        <f>SUM(E40*G40+E41*G41+E42*G42+E43*G43+E44*G44+E45)</f>
        <v>1064</v>
      </c>
      <c r="K14" s="147">
        <f t="shared" si="0"/>
        <v>2534</v>
      </c>
      <c r="L14" s="147"/>
      <c r="M14" s="147"/>
    </row>
    <row r="15" spans="1:13" s="141" customFormat="1" ht="12.75" x14ac:dyDescent="0.25">
      <c r="A15" s="141" t="s">
        <v>116</v>
      </c>
      <c r="D15" s="146">
        <v>100</v>
      </c>
      <c r="E15" s="147">
        <v>0.75</v>
      </c>
      <c r="F15" s="147">
        <v>0.45</v>
      </c>
      <c r="G15" s="148">
        <v>1000</v>
      </c>
      <c r="H15" s="147">
        <f t="shared" si="3"/>
        <v>750</v>
      </c>
      <c r="I15" s="147"/>
      <c r="J15" s="147">
        <v>2936</v>
      </c>
      <c r="K15" s="147">
        <f t="shared" si="0"/>
        <v>3686</v>
      </c>
      <c r="L15" s="147"/>
      <c r="M15" s="147"/>
    </row>
    <row r="16" spans="1:13" s="141" customFormat="1" ht="12.75" x14ac:dyDescent="0.25">
      <c r="A16" s="141" t="s">
        <v>173</v>
      </c>
      <c r="D16" s="146">
        <v>44</v>
      </c>
      <c r="E16" s="147">
        <v>0.8</v>
      </c>
      <c r="F16" s="147">
        <v>0.41</v>
      </c>
      <c r="G16" s="148">
        <v>1400</v>
      </c>
      <c r="H16" s="147">
        <f t="shared" si="3"/>
        <v>1120</v>
      </c>
      <c r="I16" s="147"/>
      <c r="J16" s="147">
        <v>1356</v>
      </c>
      <c r="K16" s="147">
        <f t="shared" si="0"/>
        <v>2476</v>
      </c>
      <c r="L16" s="147"/>
      <c r="M16" s="147"/>
    </row>
    <row r="17" spans="1:13" s="141" customFormat="1" ht="12.75" x14ac:dyDescent="0.25">
      <c r="A17" s="141" t="s">
        <v>117</v>
      </c>
      <c r="D17" s="146">
        <v>100</v>
      </c>
      <c r="E17" s="147">
        <v>6.26</v>
      </c>
      <c r="F17" s="147">
        <v>6.26</v>
      </c>
      <c r="G17" s="148">
        <v>1000</v>
      </c>
      <c r="H17" s="147">
        <f t="shared" si="3"/>
        <v>6260</v>
      </c>
      <c r="I17" s="147"/>
      <c r="J17" s="147"/>
      <c r="K17" s="147">
        <f t="shared" si="0"/>
        <v>6260</v>
      </c>
      <c r="L17" s="147"/>
      <c r="M17" s="147"/>
    </row>
    <row r="18" spans="1:13" s="141" customFormat="1" ht="12.75" x14ac:dyDescent="0.25">
      <c r="A18" s="141" t="s">
        <v>242</v>
      </c>
      <c r="D18" s="146">
        <v>86</v>
      </c>
      <c r="E18" s="147">
        <v>1.31</v>
      </c>
      <c r="F18" s="147">
        <v>0.34</v>
      </c>
      <c r="G18" s="148">
        <v>1096</v>
      </c>
      <c r="H18" s="147">
        <v>1436</v>
      </c>
      <c r="I18" s="147">
        <v>9504</v>
      </c>
      <c r="J18" s="147"/>
      <c r="K18" s="147">
        <f t="shared" si="0"/>
        <v>10940</v>
      </c>
      <c r="L18" s="147"/>
      <c r="M18" s="147"/>
    </row>
    <row r="19" spans="1:13" s="141" customFormat="1" ht="12.75" x14ac:dyDescent="0.25">
      <c r="A19" s="141" t="s">
        <v>243</v>
      </c>
      <c r="D19" s="263" t="s">
        <v>244</v>
      </c>
      <c r="E19" s="147" t="s">
        <v>245</v>
      </c>
      <c r="F19" s="147" t="s">
        <v>246</v>
      </c>
      <c r="G19" s="148">
        <v>1200</v>
      </c>
      <c r="H19" s="147" t="s">
        <v>247</v>
      </c>
      <c r="I19" s="147"/>
      <c r="J19" s="147"/>
      <c r="K19" s="147">
        <f t="shared" si="0"/>
        <v>0</v>
      </c>
      <c r="L19" s="147"/>
      <c r="M19" s="147"/>
    </row>
    <row r="20" spans="1:13" s="141" customFormat="1" ht="12.75" x14ac:dyDescent="0.25">
      <c r="A20" s="141" t="s">
        <v>32</v>
      </c>
      <c r="D20" s="146">
        <v>94</v>
      </c>
      <c r="E20" s="147">
        <v>0.53</v>
      </c>
      <c r="F20" s="147">
        <v>0.19</v>
      </c>
      <c r="G20" s="148">
        <v>1000</v>
      </c>
      <c r="H20" s="147">
        <f t="shared" si="3"/>
        <v>530</v>
      </c>
      <c r="I20" s="147">
        <v>663</v>
      </c>
      <c r="J20" s="147"/>
      <c r="K20" s="147">
        <f t="shared" si="0"/>
        <v>1193</v>
      </c>
      <c r="L20" s="264">
        <v>343</v>
      </c>
      <c r="M20" s="147"/>
    </row>
    <row r="21" spans="1:13" s="141" customFormat="1" ht="12.75" x14ac:dyDescent="0.25">
      <c r="D21" s="263"/>
      <c r="E21" s="147"/>
      <c r="F21" s="147"/>
      <c r="G21" s="148"/>
      <c r="H21" s="147">
        <f t="shared" si="3"/>
        <v>0</v>
      </c>
      <c r="I21" s="147"/>
      <c r="J21" s="147"/>
      <c r="K21" s="147">
        <f t="shared" si="0"/>
        <v>0</v>
      </c>
      <c r="L21" s="147"/>
      <c r="M21" s="147"/>
    </row>
    <row r="22" spans="1:13" s="141" customFormat="1" ht="12.75" x14ac:dyDescent="0.25">
      <c r="A22" s="138" t="s">
        <v>118</v>
      </c>
      <c r="B22" s="138"/>
      <c r="C22" s="138"/>
      <c r="D22" s="149"/>
      <c r="E22" s="150">
        <f>SUM(E9:E21)</f>
        <v>19.98</v>
      </c>
      <c r="F22" s="150">
        <f>SUM(F9:F21)</f>
        <v>12.499999999999998</v>
      </c>
      <c r="G22" s="150"/>
      <c r="H22" s="150">
        <f>SUM(H9:H21)</f>
        <v>21402</v>
      </c>
      <c r="I22" s="150">
        <f>SUM(I9:I21)</f>
        <v>19283</v>
      </c>
      <c r="J22" s="150">
        <f>SUM(J9:J21)</f>
        <v>8280</v>
      </c>
      <c r="K22" s="150">
        <f>SUM(H22:J22)</f>
        <v>48965</v>
      </c>
      <c r="L22" s="265">
        <f>SUM(L9:L21)</f>
        <v>5844</v>
      </c>
      <c r="M22" s="265">
        <f>SUM(M9:M21)</f>
        <v>1274</v>
      </c>
    </row>
    <row r="23" spans="1:13" s="141" customFormat="1" ht="12.75" x14ac:dyDescent="0.25">
      <c r="A23" s="144" t="s">
        <v>119</v>
      </c>
      <c r="B23" s="144"/>
      <c r="C23" s="144"/>
      <c r="D23" s="151"/>
      <c r="E23" s="152">
        <f>SUM(E22-F22)</f>
        <v>7.4800000000000022</v>
      </c>
      <c r="F23" s="152"/>
      <c r="G23" s="152"/>
      <c r="H23" s="152">
        <f>SUM(E35*G35)</f>
        <v>7882</v>
      </c>
      <c r="I23" s="152">
        <f>I22-L22</f>
        <v>13439</v>
      </c>
      <c r="J23" s="152">
        <f>J22-M22</f>
        <v>7006</v>
      </c>
      <c r="K23" s="152">
        <f>SUM(H23:J23)</f>
        <v>28327</v>
      </c>
      <c r="L23" s="144"/>
      <c r="M23" s="144"/>
    </row>
    <row r="24" spans="1:13" s="141" customFormat="1" ht="12.75" x14ac:dyDescent="0.25"/>
    <row r="25" spans="1:13" s="141" customFormat="1" ht="12.75" x14ac:dyDescent="0.25">
      <c r="C25" s="141" t="s">
        <v>35</v>
      </c>
    </row>
    <row r="26" spans="1:13" s="141" customFormat="1" ht="12.75" x14ac:dyDescent="0.25"/>
    <row r="27" spans="1:13" s="141" customFormat="1" ht="12.75" x14ac:dyDescent="0.25">
      <c r="A27" s="141" t="s">
        <v>36</v>
      </c>
      <c r="J27" s="155" t="s">
        <v>85</v>
      </c>
      <c r="K27" s="246" t="s">
        <v>86</v>
      </c>
    </row>
    <row r="28" spans="1:13" s="141" customFormat="1" x14ac:dyDescent="0.25">
      <c r="A28" s="153" t="s">
        <v>17</v>
      </c>
      <c r="B28" s="153"/>
      <c r="C28" s="153"/>
      <c r="D28" s="153" t="s">
        <v>37</v>
      </c>
      <c r="E28" s="153" t="s">
        <v>84</v>
      </c>
      <c r="F28" s="153"/>
      <c r="G28" s="153" t="s">
        <v>39</v>
      </c>
      <c r="J28" s="156" t="s">
        <v>141</v>
      </c>
      <c r="K28" s="266">
        <v>49</v>
      </c>
    </row>
    <row r="29" spans="1:13" s="141" customFormat="1" x14ac:dyDescent="0.25">
      <c r="A29" s="141" t="s">
        <v>41</v>
      </c>
      <c r="J29" s="267" t="s">
        <v>248</v>
      </c>
      <c r="K29" s="266">
        <v>16</v>
      </c>
    </row>
    <row r="30" spans="1:13" s="141" customFormat="1" x14ac:dyDescent="0.25">
      <c r="A30" s="141" t="s">
        <v>43</v>
      </c>
      <c r="D30" s="141" t="s">
        <v>44</v>
      </c>
      <c r="E30" s="147">
        <v>43</v>
      </c>
      <c r="G30" s="147">
        <v>68</v>
      </c>
      <c r="J30" s="156" t="s">
        <v>90</v>
      </c>
      <c r="K30" s="268">
        <v>8</v>
      </c>
    </row>
    <row r="31" spans="1:13" s="141" customFormat="1" x14ac:dyDescent="0.25">
      <c r="J31" s="247" t="s">
        <v>171</v>
      </c>
      <c r="K31" s="269">
        <v>8</v>
      </c>
    </row>
    <row r="32" spans="1:13" s="141" customFormat="1" x14ac:dyDescent="0.25">
      <c r="J32" s="156" t="s">
        <v>184</v>
      </c>
      <c r="K32" s="269">
        <v>7</v>
      </c>
    </row>
    <row r="33" spans="1:11" s="141" customFormat="1" x14ac:dyDescent="0.25">
      <c r="J33" s="267" t="s">
        <v>249</v>
      </c>
      <c r="K33" s="269">
        <v>6</v>
      </c>
    </row>
    <row r="34" spans="1:11" s="141" customFormat="1" x14ac:dyDescent="0.25">
      <c r="A34" s="141" t="s">
        <v>46</v>
      </c>
      <c r="J34" s="267" t="s">
        <v>250</v>
      </c>
      <c r="K34" s="266">
        <v>6</v>
      </c>
    </row>
    <row r="35" spans="1:11" s="141" customFormat="1" x14ac:dyDescent="0.25">
      <c r="A35" s="141" t="s">
        <v>48</v>
      </c>
      <c r="D35" s="141" t="s">
        <v>49</v>
      </c>
      <c r="E35" s="147">
        <v>7</v>
      </c>
      <c r="G35" s="147">
        <v>1126</v>
      </c>
      <c r="I35" s="85"/>
    </row>
    <row r="36" spans="1:11" s="141" customFormat="1" x14ac:dyDescent="0.25">
      <c r="A36" s="141" t="s">
        <v>51</v>
      </c>
      <c r="D36" s="141" t="s">
        <v>49</v>
      </c>
      <c r="E36" s="147">
        <v>12</v>
      </c>
      <c r="I36" s="85"/>
      <c r="J36" s="270" t="s">
        <v>40</v>
      </c>
      <c r="K36" s="156">
        <v>2.72</v>
      </c>
    </row>
    <row r="37" spans="1:11" s="141" customFormat="1" x14ac:dyDescent="0.25">
      <c r="A37" s="141" t="s">
        <v>2</v>
      </c>
      <c r="E37" s="147">
        <f>SUM(E35:E36)</f>
        <v>19</v>
      </c>
      <c r="I37" s="85"/>
      <c r="J37" s="270" t="s">
        <v>42</v>
      </c>
      <c r="K37" s="156">
        <v>1.5</v>
      </c>
    </row>
    <row r="38" spans="1:11" s="141" customFormat="1" x14ac:dyDescent="0.25">
      <c r="I38" s="85"/>
      <c r="J38" s="271"/>
      <c r="K38" s="85"/>
    </row>
    <row r="39" spans="1:11" s="141" customFormat="1" x14ac:dyDescent="0.25">
      <c r="A39" s="138" t="s">
        <v>52</v>
      </c>
      <c r="B39" s="138"/>
      <c r="C39" s="138" t="s">
        <v>53</v>
      </c>
      <c r="D39" s="138"/>
      <c r="E39" s="138"/>
      <c r="F39" s="138"/>
      <c r="G39" s="138"/>
      <c r="I39" s="85"/>
      <c r="J39" s="85"/>
    </row>
    <row r="40" spans="1:11" s="141" customFormat="1" x14ac:dyDescent="0.25">
      <c r="A40" s="142" t="s">
        <v>93</v>
      </c>
      <c r="B40" s="142" t="s">
        <v>95</v>
      </c>
      <c r="C40" s="272">
        <v>64</v>
      </c>
      <c r="D40" s="142" t="s">
        <v>44</v>
      </c>
      <c r="E40" s="158">
        <v>23</v>
      </c>
      <c r="F40" s="158"/>
      <c r="G40" s="158">
        <v>7</v>
      </c>
      <c r="I40" s="85"/>
      <c r="J40" s="85"/>
    </row>
    <row r="41" spans="1:11" s="141" customFormat="1" x14ac:dyDescent="0.25">
      <c r="A41" s="142"/>
      <c r="B41" s="142"/>
      <c r="C41" s="272"/>
      <c r="D41" s="142"/>
      <c r="E41" s="273"/>
      <c r="F41" s="158"/>
      <c r="G41" s="273"/>
      <c r="I41" s="85"/>
      <c r="J41" s="85"/>
    </row>
    <row r="42" spans="1:11" s="141" customFormat="1" x14ac:dyDescent="0.25">
      <c r="A42" s="142"/>
      <c r="B42" s="142" t="s">
        <v>104</v>
      </c>
      <c r="C42" s="272">
        <v>100</v>
      </c>
      <c r="D42" s="142" t="s">
        <v>44</v>
      </c>
      <c r="E42" s="158">
        <v>19</v>
      </c>
      <c r="F42" s="158"/>
      <c r="G42" s="158">
        <v>7</v>
      </c>
      <c r="I42" s="85"/>
      <c r="J42" s="85"/>
    </row>
    <row r="43" spans="1:11" s="141" customFormat="1" x14ac:dyDescent="0.25">
      <c r="A43" s="142" t="s">
        <v>133</v>
      </c>
      <c r="B43" s="142" t="s">
        <v>95</v>
      </c>
      <c r="C43" s="272">
        <v>100</v>
      </c>
      <c r="D43" s="142" t="s">
        <v>44</v>
      </c>
      <c r="E43" s="158">
        <v>88</v>
      </c>
      <c r="F43" s="158"/>
      <c r="G43" s="158">
        <v>7</v>
      </c>
      <c r="I43" s="85"/>
      <c r="J43" s="85"/>
    </row>
    <row r="44" spans="1:11" s="141" customFormat="1" x14ac:dyDescent="0.25">
      <c r="A44" s="142"/>
      <c r="B44" s="142" t="s">
        <v>96</v>
      </c>
      <c r="C44" s="272">
        <v>100</v>
      </c>
      <c r="D44" s="142" t="s">
        <v>44</v>
      </c>
      <c r="E44" s="158">
        <v>22</v>
      </c>
      <c r="F44" s="158"/>
      <c r="G44" s="158">
        <v>7</v>
      </c>
      <c r="I44" s="85"/>
      <c r="J44" s="85"/>
    </row>
    <row r="45" spans="1:11" s="141" customFormat="1" ht="12.75" x14ac:dyDescent="0.25">
      <c r="B45" s="142"/>
      <c r="C45" s="272"/>
      <c r="D45" s="142"/>
      <c r="E45" s="158"/>
      <c r="F45" s="158"/>
      <c r="G45" s="158"/>
      <c r="I45" s="142"/>
      <c r="J45" s="142"/>
    </row>
    <row r="46" spans="1:11" s="141" customFormat="1" ht="12.75" x14ac:dyDescent="0.25">
      <c r="A46" s="138" t="s">
        <v>60</v>
      </c>
      <c r="B46" s="138"/>
      <c r="C46" s="138"/>
      <c r="D46" s="138"/>
      <c r="E46" s="138"/>
      <c r="F46" s="138"/>
      <c r="G46" s="138"/>
      <c r="I46" s="141" t="s">
        <v>251</v>
      </c>
    </row>
    <row r="47" spans="1:11" s="141" customFormat="1" ht="12.75" x14ac:dyDescent="0.25">
      <c r="A47" s="142" t="s">
        <v>121</v>
      </c>
      <c r="B47" s="142"/>
      <c r="C47" s="142"/>
      <c r="D47" s="142"/>
      <c r="E47" s="142"/>
      <c r="F47" s="142"/>
      <c r="G47" s="159">
        <v>2570</v>
      </c>
      <c r="H47" s="160"/>
      <c r="I47" s="147">
        <v>6350</v>
      </c>
    </row>
    <row r="48" spans="1:11" s="141" customFormat="1" ht="12.75" x14ac:dyDescent="0.25">
      <c r="A48" s="142" t="s">
        <v>98</v>
      </c>
      <c r="B48" s="142"/>
      <c r="C48" s="142"/>
      <c r="D48" s="142"/>
      <c r="E48" s="142"/>
      <c r="F48" s="142"/>
      <c r="G48" s="161">
        <v>36</v>
      </c>
      <c r="I48" s="147"/>
    </row>
    <row r="49" spans="1:9" s="141" customFormat="1" ht="12.75" x14ac:dyDescent="0.25">
      <c r="A49" s="142" t="s">
        <v>122</v>
      </c>
      <c r="B49" s="142"/>
      <c r="C49" s="142"/>
      <c r="D49" s="142"/>
      <c r="E49" s="142"/>
      <c r="F49" s="142"/>
      <c r="G49" s="161">
        <f>SUM(G47*G48)</f>
        <v>92520</v>
      </c>
      <c r="I49" s="147">
        <v>228617</v>
      </c>
    </row>
    <row r="50" spans="1:9" s="141" customFormat="1" ht="12.75" x14ac:dyDescent="0.25">
      <c r="A50" s="142" t="s">
        <v>123</v>
      </c>
      <c r="B50" s="142"/>
      <c r="C50" s="142"/>
      <c r="D50" s="142"/>
      <c r="E50" s="142"/>
      <c r="F50" s="142"/>
      <c r="G50" s="161">
        <f>SUM(G49-K22)</f>
        <v>43555</v>
      </c>
      <c r="I50" s="147">
        <v>107624</v>
      </c>
    </row>
    <row r="51" spans="1:9" s="141" customFormat="1" ht="12.75" x14ac:dyDescent="0.25">
      <c r="A51" s="142" t="s">
        <v>124</v>
      </c>
      <c r="B51" s="142"/>
      <c r="C51" s="142"/>
      <c r="D51" s="142"/>
      <c r="E51" s="142"/>
      <c r="F51" s="142"/>
      <c r="G51" s="161">
        <f>SUM(G49-K23)</f>
        <v>64193</v>
      </c>
      <c r="I51" s="147">
        <v>158621</v>
      </c>
    </row>
    <row r="52" spans="1:9" s="141" customFormat="1" ht="12.75" x14ac:dyDescent="0.25">
      <c r="A52" s="142"/>
      <c r="B52" s="142"/>
      <c r="C52" s="142"/>
      <c r="D52" s="142"/>
      <c r="E52" s="142"/>
      <c r="F52" s="142"/>
      <c r="G52" s="161"/>
    </row>
    <row r="53" spans="1:9" s="141" customFormat="1" ht="12.75" x14ac:dyDescent="0.25">
      <c r="A53" s="142" t="s">
        <v>125</v>
      </c>
      <c r="B53" s="142"/>
      <c r="C53" s="142"/>
      <c r="D53" s="142"/>
      <c r="E53" s="142"/>
      <c r="F53" s="142"/>
      <c r="G53" s="161">
        <f>SUM(K22/G47)</f>
        <v>19.052529182879379</v>
      </c>
    </row>
    <row r="54" spans="1:9" s="141" customFormat="1" ht="12.75" x14ac:dyDescent="0.25">
      <c r="A54" s="144" t="s">
        <v>126</v>
      </c>
      <c r="B54" s="144"/>
      <c r="C54" s="144"/>
      <c r="D54" s="144"/>
      <c r="E54" s="144"/>
      <c r="F54" s="144"/>
      <c r="G54" s="162">
        <f>SUM(K23/G47)</f>
        <v>11.022178988326848</v>
      </c>
    </row>
    <row r="55" spans="1:9" s="141" customFormat="1" ht="12.75" x14ac:dyDescent="0.25"/>
    <row r="56" spans="1:9" s="141" customFormat="1" ht="13.5" x14ac:dyDescent="0.25">
      <c r="A56" s="163" t="s">
        <v>252</v>
      </c>
    </row>
    <row r="57" spans="1:9" s="141" customFormat="1" ht="12.75" x14ac:dyDescent="0.25"/>
    <row r="58" spans="1:9" s="141" customFormat="1" ht="12.75" x14ac:dyDescent="0.25"/>
    <row r="59" spans="1:9" s="32" customFormat="1" ht="12" x14ac:dyDescent="0.2"/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63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15" x14ac:dyDescent="0.25">
      <c r="A1" s="7" t="s">
        <v>72</v>
      </c>
      <c r="B1" s="7"/>
    </row>
    <row r="2" spans="1:15" x14ac:dyDescent="0.25">
      <c r="A2" s="7" t="s">
        <v>132</v>
      </c>
      <c r="B2" s="7"/>
    </row>
    <row r="3" spans="1:15" x14ac:dyDescent="0.25">
      <c r="A3" s="7" t="s">
        <v>175</v>
      </c>
      <c r="B3" s="7"/>
    </row>
    <row r="5" spans="1:15" s="32" customFormat="1" ht="12" x14ac:dyDescent="0.2">
      <c r="A5" s="48" t="s">
        <v>0</v>
      </c>
      <c r="B5" s="48"/>
      <c r="C5" s="48"/>
      <c r="D5" s="61" t="s">
        <v>1</v>
      </c>
      <c r="E5" s="165" t="s">
        <v>2</v>
      </c>
      <c r="F5" s="165" t="s">
        <v>73</v>
      </c>
      <c r="G5" s="165" t="s">
        <v>74</v>
      </c>
      <c r="H5" s="165" t="s">
        <v>5</v>
      </c>
      <c r="I5" s="165" t="s">
        <v>6</v>
      </c>
      <c r="J5" s="165" t="s">
        <v>7</v>
      </c>
      <c r="K5" s="165" t="s">
        <v>8</v>
      </c>
      <c r="L5" s="166" t="s">
        <v>75</v>
      </c>
      <c r="M5" s="165"/>
    </row>
    <row r="6" spans="1:15" s="32" customFormat="1" ht="12" x14ac:dyDescent="0.2">
      <c r="A6" s="30"/>
      <c r="B6" s="30"/>
      <c r="C6" s="30"/>
      <c r="D6" s="59" t="s">
        <v>11</v>
      </c>
      <c r="E6" s="49" t="s">
        <v>76</v>
      </c>
      <c r="F6" s="49" t="s">
        <v>76</v>
      </c>
      <c r="G6" s="49" t="s">
        <v>77</v>
      </c>
      <c r="H6" s="49" t="s">
        <v>15</v>
      </c>
      <c r="I6" s="49" t="s">
        <v>78</v>
      </c>
      <c r="J6" s="49" t="s">
        <v>15</v>
      </c>
      <c r="K6" s="49" t="s">
        <v>15</v>
      </c>
      <c r="L6" s="230" t="s">
        <v>6</v>
      </c>
      <c r="M6" s="49" t="s">
        <v>7</v>
      </c>
    </row>
    <row r="7" spans="1:15" s="32" customFormat="1" ht="12" x14ac:dyDescent="0.2">
      <c r="A7" s="30"/>
      <c r="B7" s="30"/>
      <c r="C7" s="30"/>
      <c r="D7" s="59" t="s">
        <v>19</v>
      </c>
      <c r="E7" s="49"/>
      <c r="F7" s="49"/>
      <c r="G7" s="49"/>
      <c r="H7" s="49" t="s">
        <v>20</v>
      </c>
      <c r="I7" s="49" t="s">
        <v>15</v>
      </c>
      <c r="J7" s="49" t="s">
        <v>20</v>
      </c>
      <c r="K7" s="49" t="s">
        <v>20</v>
      </c>
      <c r="L7" s="49"/>
      <c r="M7" s="49"/>
    </row>
    <row r="8" spans="1:15" s="32" customFormat="1" ht="12" x14ac:dyDescent="0.2">
      <c r="A8" s="33"/>
      <c r="B8" s="33"/>
      <c r="C8" s="33"/>
      <c r="D8" s="274"/>
      <c r="E8" s="167"/>
      <c r="F8" s="167"/>
      <c r="G8" s="167"/>
      <c r="H8" s="167"/>
      <c r="I8" s="167" t="s">
        <v>20</v>
      </c>
      <c r="J8" s="167"/>
      <c r="K8" s="167"/>
      <c r="L8" s="167"/>
      <c r="M8" s="167"/>
    </row>
    <row r="9" spans="1:15" s="32" customFormat="1" ht="12" x14ac:dyDescent="0.2">
      <c r="A9" s="32" t="s">
        <v>22</v>
      </c>
      <c r="D9" s="275">
        <v>64</v>
      </c>
      <c r="E9" s="24">
        <v>0.6</v>
      </c>
      <c r="F9" s="24">
        <v>0.38</v>
      </c>
      <c r="G9" s="28">
        <v>1042</v>
      </c>
      <c r="H9" s="6">
        <v>625</v>
      </c>
      <c r="I9" s="52"/>
      <c r="J9" s="52"/>
      <c r="K9" s="6">
        <v>625</v>
      </c>
      <c r="L9" s="6"/>
      <c r="M9" s="6"/>
    </row>
    <row r="10" spans="1:15" s="32" customFormat="1" ht="12" x14ac:dyDescent="0.2">
      <c r="A10" s="32" t="s">
        <v>227</v>
      </c>
      <c r="D10" s="275">
        <v>74</v>
      </c>
      <c r="E10" s="24">
        <v>0.81</v>
      </c>
      <c r="F10" s="24">
        <v>0.53</v>
      </c>
      <c r="G10" s="28">
        <v>1188</v>
      </c>
      <c r="H10" s="6">
        <v>962</v>
      </c>
      <c r="I10" s="52">
        <v>7990</v>
      </c>
      <c r="J10" s="52"/>
      <c r="K10" s="6">
        <v>8952</v>
      </c>
      <c r="L10" s="6"/>
      <c r="M10" s="6"/>
    </row>
    <row r="11" spans="1:15" s="32" customFormat="1" ht="12" x14ac:dyDescent="0.2">
      <c r="A11" s="32" t="s">
        <v>253</v>
      </c>
      <c r="D11" s="276" t="s">
        <v>216</v>
      </c>
      <c r="E11" s="24"/>
      <c r="F11" s="24"/>
      <c r="G11" s="28"/>
      <c r="H11" s="6"/>
      <c r="I11" s="173" t="s">
        <v>254</v>
      </c>
      <c r="J11" s="52"/>
      <c r="K11" s="6"/>
      <c r="L11" s="6"/>
      <c r="M11" s="6"/>
    </row>
    <row r="12" spans="1:15" s="32" customFormat="1" ht="12" x14ac:dyDescent="0.2">
      <c r="A12" s="32" t="s">
        <v>25</v>
      </c>
      <c r="D12" s="275">
        <v>100</v>
      </c>
      <c r="E12" s="24">
        <v>4.3841999999999999</v>
      </c>
      <c r="F12" s="24">
        <v>1</v>
      </c>
      <c r="G12" s="28">
        <v>1112</v>
      </c>
      <c r="H12" s="6">
        <v>4875</v>
      </c>
      <c r="I12" s="6"/>
      <c r="J12" s="52"/>
      <c r="K12" s="6">
        <v>4875</v>
      </c>
      <c r="L12" s="6"/>
      <c r="M12" s="6"/>
    </row>
    <row r="13" spans="1:15" s="32" customFormat="1" ht="12" x14ac:dyDescent="0.2">
      <c r="A13" s="32" t="s">
        <v>255</v>
      </c>
      <c r="D13" s="275">
        <v>100</v>
      </c>
      <c r="E13" s="24">
        <v>2.04</v>
      </c>
      <c r="F13" s="24">
        <v>0.63</v>
      </c>
      <c r="G13" s="28">
        <v>1112</v>
      </c>
      <c r="H13" s="6">
        <v>2268</v>
      </c>
      <c r="I13" s="6"/>
      <c r="J13" s="52">
        <v>2846</v>
      </c>
      <c r="K13" s="6">
        <f>+J13+H13</f>
        <v>5114</v>
      </c>
      <c r="L13" s="6"/>
      <c r="M13" s="6">
        <v>730</v>
      </c>
      <c r="O13" s="6">
        <f>+J13+H13</f>
        <v>5114</v>
      </c>
    </row>
    <row r="14" spans="1:15" s="32" customFormat="1" ht="12" x14ac:dyDescent="0.2">
      <c r="A14" s="32" t="s">
        <v>27</v>
      </c>
      <c r="D14" s="275">
        <v>100</v>
      </c>
      <c r="E14" s="24">
        <v>0.34</v>
      </c>
      <c r="F14" s="24">
        <v>0.3</v>
      </c>
      <c r="G14" s="28">
        <v>1000</v>
      </c>
      <c r="H14" s="6">
        <v>340</v>
      </c>
      <c r="I14" s="6"/>
      <c r="J14" s="52">
        <v>1064</v>
      </c>
      <c r="K14" s="6">
        <v>1404</v>
      </c>
      <c r="L14" s="6"/>
      <c r="M14" s="6"/>
    </row>
    <row r="15" spans="1:15" s="32" customFormat="1" ht="12" x14ac:dyDescent="0.2">
      <c r="A15" s="32" t="s">
        <v>79</v>
      </c>
      <c r="D15" s="275">
        <v>100</v>
      </c>
      <c r="E15" s="24">
        <v>0.4</v>
      </c>
      <c r="F15" s="24">
        <v>0.25</v>
      </c>
      <c r="G15" s="28">
        <v>1377</v>
      </c>
      <c r="H15" s="6">
        <v>551</v>
      </c>
      <c r="I15" s="6"/>
      <c r="J15" s="52">
        <v>3554</v>
      </c>
      <c r="K15" s="6">
        <v>4105</v>
      </c>
      <c r="L15" s="6"/>
      <c r="M15" s="6"/>
    </row>
    <row r="16" spans="1:15" s="32" customFormat="1" ht="12" x14ac:dyDescent="0.2">
      <c r="A16" s="32" t="s">
        <v>29</v>
      </c>
      <c r="D16" s="275">
        <v>40</v>
      </c>
      <c r="E16" s="24">
        <v>0.33</v>
      </c>
      <c r="F16" s="24">
        <v>0.23</v>
      </c>
      <c r="G16" s="28">
        <v>1200</v>
      </c>
      <c r="H16" s="6">
        <v>396</v>
      </c>
      <c r="I16" s="6"/>
      <c r="J16" s="52">
        <v>1026</v>
      </c>
      <c r="K16" s="6">
        <v>1422</v>
      </c>
      <c r="L16" s="6"/>
      <c r="M16" s="6"/>
    </row>
    <row r="17" spans="1:13" s="32" customFormat="1" ht="12" x14ac:dyDescent="0.2">
      <c r="A17" s="32" t="s">
        <v>80</v>
      </c>
      <c r="D17" s="275">
        <v>100</v>
      </c>
      <c r="E17" s="24">
        <v>5.01</v>
      </c>
      <c r="F17" s="24">
        <v>5.01</v>
      </c>
      <c r="G17" s="28">
        <v>1200</v>
      </c>
      <c r="H17" s="6">
        <v>6012</v>
      </c>
      <c r="I17" s="6"/>
      <c r="J17" s="52"/>
      <c r="K17" s="6">
        <v>6012</v>
      </c>
      <c r="L17" s="6"/>
      <c r="M17" s="6"/>
    </row>
    <row r="18" spans="1:13" s="32" customFormat="1" ht="12" x14ac:dyDescent="0.2">
      <c r="A18" s="32" t="s">
        <v>256</v>
      </c>
      <c r="D18" s="275">
        <v>58</v>
      </c>
      <c r="E18" s="24">
        <v>1.64</v>
      </c>
      <c r="F18" s="24">
        <v>0.57999999999999996</v>
      </c>
      <c r="G18" s="28">
        <v>1095</v>
      </c>
      <c r="H18" s="6">
        <v>1796</v>
      </c>
      <c r="I18" s="52">
        <v>8833</v>
      </c>
      <c r="J18" s="6"/>
      <c r="K18" s="6">
        <v>10629</v>
      </c>
      <c r="L18" s="6"/>
      <c r="M18" s="6"/>
    </row>
    <row r="19" spans="1:13" s="32" customFormat="1" ht="12" x14ac:dyDescent="0.2">
      <c r="A19" s="32" t="s">
        <v>257</v>
      </c>
      <c r="B19" s="32" t="s">
        <v>258</v>
      </c>
      <c r="D19" s="276" t="s">
        <v>157</v>
      </c>
      <c r="E19" s="24"/>
      <c r="F19" s="24"/>
      <c r="G19" s="28"/>
      <c r="H19" s="173" t="s">
        <v>259</v>
      </c>
      <c r="I19" s="219" t="s">
        <v>260</v>
      </c>
      <c r="J19" s="52"/>
      <c r="K19" s="6"/>
      <c r="L19" s="6"/>
      <c r="M19" s="6"/>
    </row>
    <row r="20" spans="1:13" s="32" customFormat="1" ht="12" x14ac:dyDescent="0.2">
      <c r="A20" s="243" t="s">
        <v>261</v>
      </c>
      <c r="D20" s="275" t="s">
        <v>237</v>
      </c>
      <c r="E20" s="24"/>
      <c r="F20" s="24"/>
      <c r="G20" s="28"/>
      <c r="H20" s="173"/>
      <c r="I20" s="6" t="s">
        <v>262</v>
      </c>
      <c r="J20" s="52"/>
      <c r="K20" s="6"/>
      <c r="L20" s="6"/>
      <c r="M20" s="6"/>
    </row>
    <row r="21" spans="1:13" s="32" customFormat="1" ht="12" x14ac:dyDescent="0.2">
      <c r="A21" s="32" t="s">
        <v>83</v>
      </c>
      <c r="D21" s="275">
        <v>100</v>
      </c>
      <c r="E21" s="24">
        <v>0.31</v>
      </c>
      <c r="F21" s="24">
        <v>0.23</v>
      </c>
      <c r="G21" s="28">
        <v>1095</v>
      </c>
      <c r="H21" s="6">
        <v>339</v>
      </c>
      <c r="I21" s="6">
        <v>1218</v>
      </c>
      <c r="J21" s="52"/>
      <c r="K21" s="6">
        <v>1557</v>
      </c>
      <c r="L21" s="6">
        <v>112</v>
      </c>
      <c r="M21" s="6"/>
    </row>
    <row r="22" spans="1:13" s="32" customFormat="1" ht="12" x14ac:dyDescent="0.2">
      <c r="A22" s="48" t="s">
        <v>33</v>
      </c>
      <c r="B22" s="48"/>
      <c r="C22" s="48"/>
      <c r="D22" s="277"/>
      <c r="E22" s="182">
        <f>SUM(E9:E21)</f>
        <v>15.864200000000002</v>
      </c>
      <c r="F22" s="182">
        <f>SUM(F9:F21)</f>
        <v>9.14</v>
      </c>
      <c r="G22" s="37"/>
      <c r="H22" s="37">
        <v>18164</v>
      </c>
      <c r="I22" s="37">
        <v>18041</v>
      </c>
      <c r="J22" s="278">
        <v>8490</v>
      </c>
      <c r="K22" s="37">
        <f>SUM(K9:K21)</f>
        <v>44695</v>
      </c>
      <c r="L22" s="37">
        <v>112</v>
      </c>
      <c r="M22" s="37">
        <v>730</v>
      </c>
    </row>
    <row r="23" spans="1:13" s="32" customFormat="1" ht="12" x14ac:dyDescent="0.2">
      <c r="A23" s="33" t="s">
        <v>34</v>
      </c>
      <c r="B23" s="33"/>
      <c r="C23" s="33"/>
      <c r="D23" s="279"/>
      <c r="E23" s="3">
        <f>SUM(E22-F22)</f>
        <v>6.7242000000000015</v>
      </c>
      <c r="F23" s="3"/>
      <c r="G23" s="4"/>
      <c r="H23" s="4">
        <v>7945</v>
      </c>
      <c r="I23" s="4">
        <v>17929</v>
      </c>
      <c r="J23" s="280">
        <v>7760</v>
      </c>
      <c r="K23" s="4">
        <f>+J23+I23+H23</f>
        <v>33634</v>
      </c>
      <c r="L23" s="4"/>
      <c r="M23" s="4"/>
    </row>
    <row r="24" spans="1:13" s="32" customFormat="1" ht="12" x14ac:dyDescent="0.2">
      <c r="D24" s="64"/>
      <c r="H24" s="6"/>
      <c r="I24" s="6"/>
      <c r="J24" s="52"/>
      <c r="K24" s="6"/>
    </row>
    <row r="25" spans="1:13" s="32" customFormat="1" ht="12" x14ac:dyDescent="0.2">
      <c r="C25" s="32" t="s">
        <v>35</v>
      </c>
      <c r="D25" s="64"/>
      <c r="I25" s="6"/>
      <c r="J25" s="281"/>
      <c r="K25" s="6"/>
    </row>
    <row r="26" spans="1:13" s="32" customFormat="1" ht="12" x14ac:dyDescent="0.2">
      <c r="A26" s="32" t="s">
        <v>36</v>
      </c>
      <c r="D26" s="64"/>
      <c r="I26" s="30"/>
      <c r="J26" s="227"/>
      <c r="K26" s="282"/>
    </row>
    <row r="27" spans="1:13" s="32" customFormat="1" ht="12" x14ac:dyDescent="0.2">
      <c r="A27" s="58" t="s">
        <v>17</v>
      </c>
      <c r="B27" s="58"/>
      <c r="C27" s="58"/>
      <c r="D27" s="223" t="s">
        <v>37</v>
      </c>
      <c r="E27" s="58" t="s">
        <v>84</v>
      </c>
      <c r="F27" s="58"/>
      <c r="G27" s="58" t="s">
        <v>39</v>
      </c>
      <c r="I27" s="30"/>
      <c r="J27" s="13" t="s">
        <v>85</v>
      </c>
      <c r="K27" s="30"/>
    </row>
    <row r="28" spans="1:13" s="32" customFormat="1" ht="12" x14ac:dyDescent="0.2">
      <c r="A28" s="32" t="s">
        <v>41</v>
      </c>
      <c r="D28" s="64"/>
      <c r="I28" s="30"/>
      <c r="J28" s="283" t="s">
        <v>184</v>
      </c>
      <c r="K28" s="75">
        <f>30/71</f>
        <v>0.42253521126760563</v>
      </c>
    </row>
    <row r="29" spans="1:13" s="32" customFormat="1" ht="12" x14ac:dyDescent="0.2">
      <c r="A29" s="32" t="s">
        <v>43</v>
      </c>
      <c r="D29" s="64" t="s">
        <v>44</v>
      </c>
      <c r="E29" s="24">
        <v>40</v>
      </c>
      <c r="G29" s="32">
        <v>71.16</v>
      </c>
      <c r="I29" s="30"/>
      <c r="J29" s="283" t="s">
        <v>263</v>
      </c>
      <c r="K29" s="75">
        <f>13/71</f>
        <v>0.18309859154929578</v>
      </c>
    </row>
    <row r="30" spans="1:13" s="32" customFormat="1" ht="12" x14ac:dyDescent="0.2">
      <c r="A30" s="32" t="s">
        <v>46</v>
      </c>
      <c r="D30" s="64"/>
      <c r="I30" s="30"/>
      <c r="J30" s="23" t="s">
        <v>141</v>
      </c>
      <c r="K30" s="75">
        <v>9.8591549295774641E-2</v>
      </c>
    </row>
    <row r="31" spans="1:13" s="32" customFormat="1" ht="12" x14ac:dyDescent="0.2">
      <c r="A31" s="32" t="s">
        <v>48</v>
      </c>
      <c r="D31" s="64" t="s">
        <v>49</v>
      </c>
      <c r="E31" s="6">
        <v>7</v>
      </c>
      <c r="G31" s="6">
        <v>1135</v>
      </c>
      <c r="I31" s="30"/>
      <c r="J31" s="283" t="s">
        <v>90</v>
      </c>
      <c r="K31" s="75">
        <f>5/71</f>
        <v>7.0422535211267609E-2</v>
      </c>
    </row>
    <row r="32" spans="1:13" s="32" customFormat="1" ht="12" x14ac:dyDescent="0.2">
      <c r="A32" s="32" t="s">
        <v>51</v>
      </c>
      <c r="D32" s="64" t="s">
        <v>49</v>
      </c>
      <c r="E32" s="6">
        <v>9</v>
      </c>
      <c r="I32" s="30"/>
      <c r="J32" s="283" t="s">
        <v>160</v>
      </c>
      <c r="K32" s="75">
        <f>2.5/71</f>
        <v>3.5211267605633804E-2</v>
      </c>
    </row>
    <row r="33" spans="1:11" s="32" customFormat="1" ht="12" x14ac:dyDescent="0.2">
      <c r="A33" s="32" t="s">
        <v>2</v>
      </c>
      <c r="D33" s="64"/>
      <c r="E33" s="6">
        <v>16</v>
      </c>
      <c r="I33" s="30"/>
      <c r="J33" s="75" t="s">
        <v>54</v>
      </c>
      <c r="K33" s="75">
        <v>0.19</v>
      </c>
    </row>
    <row r="34" spans="1:11" s="32" customFormat="1" ht="12" x14ac:dyDescent="0.2">
      <c r="A34" s="48" t="s">
        <v>92</v>
      </c>
      <c r="B34" s="48"/>
      <c r="C34" s="48" t="s">
        <v>53</v>
      </c>
      <c r="D34" s="61"/>
      <c r="E34" s="48"/>
      <c r="F34" s="48"/>
      <c r="G34" s="48"/>
      <c r="I34" s="30"/>
      <c r="J34" s="49"/>
      <c r="K34" s="30"/>
    </row>
    <row r="35" spans="1:11" s="32" customFormat="1" ht="12" x14ac:dyDescent="0.2">
      <c r="A35" s="30" t="s">
        <v>93</v>
      </c>
      <c r="B35" s="230" t="s">
        <v>264</v>
      </c>
      <c r="C35" s="60">
        <v>60</v>
      </c>
      <c r="D35" s="59" t="s">
        <v>44</v>
      </c>
      <c r="E35" s="38">
        <v>35</v>
      </c>
      <c r="F35" s="30"/>
      <c r="G35" s="39">
        <v>7</v>
      </c>
      <c r="I35" s="30"/>
      <c r="J35" s="49"/>
      <c r="K35" s="30"/>
    </row>
    <row r="36" spans="1:11" s="32" customFormat="1" ht="12" x14ac:dyDescent="0.2">
      <c r="A36" s="30"/>
      <c r="B36" s="230" t="s">
        <v>56</v>
      </c>
      <c r="C36" s="60">
        <v>100</v>
      </c>
      <c r="D36" s="59" t="s">
        <v>44</v>
      </c>
      <c r="E36" s="38">
        <v>27</v>
      </c>
      <c r="F36" s="30"/>
      <c r="G36" s="39">
        <v>7</v>
      </c>
      <c r="I36" s="30"/>
      <c r="J36" s="49"/>
      <c r="K36" s="30"/>
    </row>
    <row r="37" spans="1:11" s="32" customFormat="1" ht="12" x14ac:dyDescent="0.2">
      <c r="A37" s="30"/>
      <c r="B37" s="230"/>
      <c r="C37" s="60"/>
      <c r="D37" s="59"/>
      <c r="E37" s="38"/>
      <c r="F37" s="30"/>
      <c r="G37" s="39"/>
      <c r="J37" s="284" t="s">
        <v>265</v>
      </c>
      <c r="K37" s="23">
        <v>2.2999999999999998</v>
      </c>
    </row>
    <row r="38" spans="1:11" s="32" customFormat="1" ht="12" x14ac:dyDescent="0.2">
      <c r="A38" s="32" t="s">
        <v>239</v>
      </c>
      <c r="B38" s="230" t="s">
        <v>264</v>
      </c>
      <c r="C38" s="60">
        <v>100</v>
      </c>
      <c r="D38" s="59" t="s">
        <v>44</v>
      </c>
      <c r="E38" s="38">
        <v>68</v>
      </c>
      <c r="F38" s="30"/>
      <c r="G38" s="39">
        <v>7</v>
      </c>
      <c r="J38" s="284" t="s">
        <v>42</v>
      </c>
      <c r="K38" s="23">
        <v>2.5</v>
      </c>
    </row>
    <row r="39" spans="1:11" s="32" customFormat="1" ht="12" x14ac:dyDescent="0.2">
      <c r="A39" s="30"/>
      <c r="B39" s="230" t="s">
        <v>266</v>
      </c>
      <c r="C39" s="60">
        <v>100</v>
      </c>
      <c r="D39" s="59" t="s">
        <v>44</v>
      </c>
      <c r="E39" s="38">
        <v>22</v>
      </c>
      <c r="F39" s="30"/>
      <c r="G39" s="39">
        <v>7</v>
      </c>
      <c r="J39" s="227"/>
    </row>
    <row r="40" spans="1:11" s="32" customFormat="1" ht="12" x14ac:dyDescent="0.2">
      <c r="A40" s="48" t="s">
        <v>60</v>
      </c>
      <c r="B40" s="48"/>
      <c r="C40" s="48"/>
      <c r="D40" s="61"/>
      <c r="E40" s="48"/>
      <c r="F40" s="48"/>
      <c r="G40" s="48"/>
      <c r="J40" s="227"/>
    </row>
    <row r="41" spans="1:11" s="32" customFormat="1" ht="12" x14ac:dyDescent="0.2">
      <c r="A41" s="30" t="s">
        <v>97</v>
      </c>
      <c r="B41" s="30"/>
      <c r="C41" s="30"/>
      <c r="D41" s="59"/>
      <c r="E41" s="30"/>
      <c r="F41" s="30"/>
      <c r="G41" s="285">
        <v>2173</v>
      </c>
      <c r="I41" s="6">
        <v>5369</v>
      </c>
      <c r="J41" s="227"/>
    </row>
    <row r="42" spans="1:11" s="32" customFormat="1" ht="12" x14ac:dyDescent="0.2">
      <c r="A42" s="30" t="s">
        <v>98</v>
      </c>
      <c r="B42" s="30"/>
      <c r="C42" s="30"/>
      <c r="D42" s="59"/>
      <c r="E42" s="30"/>
      <c r="F42" s="30"/>
      <c r="G42" s="31">
        <v>36.28</v>
      </c>
      <c r="I42" s="6"/>
      <c r="J42" s="227"/>
    </row>
    <row r="43" spans="1:11" s="32" customFormat="1" ht="12" x14ac:dyDescent="0.2">
      <c r="A43" s="30" t="s">
        <v>65</v>
      </c>
      <c r="B43" s="30"/>
      <c r="C43" s="30"/>
      <c r="D43" s="59"/>
      <c r="E43" s="30"/>
      <c r="F43" s="30"/>
      <c r="G43" s="5">
        <v>78836</v>
      </c>
      <c r="H43" s="62"/>
      <c r="I43" s="6">
        <v>194804</v>
      </c>
      <c r="J43" s="227"/>
    </row>
    <row r="44" spans="1:11" s="32" customFormat="1" ht="12" x14ac:dyDescent="0.2">
      <c r="A44" s="30" t="s">
        <v>66</v>
      </c>
      <c r="B44" s="30"/>
      <c r="C44" s="30"/>
      <c r="D44" s="59"/>
      <c r="E44" s="30"/>
      <c r="F44" s="30"/>
      <c r="G44" s="5">
        <v>34141</v>
      </c>
      <c r="H44" s="62"/>
      <c r="I44" s="6">
        <v>84362</v>
      </c>
      <c r="J44" s="227"/>
    </row>
    <row r="45" spans="1:11" s="32" customFormat="1" ht="12" x14ac:dyDescent="0.2">
      <c r="A45" s="30" t="s">
        <v>67</v>
      </c>
      <c r="B45" s="30"/>
      <c r="C45" s="30"/>
      <c r="D45" s="59"/>
      <c r="E45" s="30"/>
      <c r="F45" s="30"/>
      <c r="G45" s="5">
        <v>45202</v>
      </c>
      <c r="I45" s="6">
        <v>111694</v>
      </c>
      <c r="J45" s="227"/>
    </row>
    <row r="46" spans="1:11" s="32" customFormat="1" ht="12" x14ac:dyDescent="0.2">
      <c r="A46" s="30" t="s">
        <v>68</v>
      </c>
      <c r="B46" s="30"/>
      <c r="C46" s="30"/>
      <c r="D46" s="59"/>
      <c r="E46" s="30"/>
      <c r="F46" s="30"/>
      <c r="G46" s="31">
        <f>SUM(K22/G41)</f>
        <v>20.568338702254948</v>
      </c>
      <c r="H46" s="24"/>
      <c r="J46" s="227"/>
    </row>
    <row r="47" spans="1:11" s="32" customFormat="1" ht="12" x14ac:dyDescent="0.2">
      <c r="A47" s="33" t="s">
        <v>69</v>
      </c>
      <c r="B47" s="33"/>
      <c r="C47" s="33"/>
      <c r="D47" s="274"/>
      <c r="E47" s="33"/>
      <c r="F47" s="33"/>
      <c r="G47" s="63">
        <f>SUM(K23/G41)</f>
        <v>15.478140819144041</v>
      </c>
      <c r="H47" s="24"/>
      <c r="J47" s="227"/>
    </row>
    <row r="48" spans="1:11" s="32" customFormat="1" ht="12" x14ac:dyDescent="0.2">
      <c r="D48" s="64"/>
      <c r="J48" s="227"/>
    </row>
    <row r="49" spans="1:11" s="32" customFormat="1" ht="12" x14ac:dyDescent="0.2">
      <c r="A49" s="32" t="s">
        <v>154</v>
      </c>
      <c r="D49" s="64"/>
      <c r="J49" s="227"/>
    </row>
    <row r="50" spans="1:11" s="32" customFormat="1" ht="12" x14ac:dyDescent="0.2">
      <c r="D50" s="64"/>
      <c r="J50" s="227"/>
    </row>
    <row r="51" spans="1:11" s="290" customFormat="1" ht="11.25" hidden="1" x14ac:dyDescent="0.2">
      <c r="A51" s="286"/>
      <c r="B51" s="287"/>
      <c r="C51" s="288"/>
      <c r="D51" s="286"/>
      <c r="E51" s="289"/>
      <c r="F51" s="289"/>
      <c r="G51" s="289"/>
    </row>
    <row r="52" spans="1:11" s="290" customFormat="1" ht="11.25" x14ac:dyDescent="0.2">
      <c r="A52" s="291"/>
      <c r="B52" s="291"/>
      <c r="C52" s="291"/>
      <c r="D52" s="291"/>
      <c r="E52" s="291"/>
      <c r="F52" s="291"/>
      <c r="G52" s="291"/>
    </row>
    <row r="53" spans="1:11" s="290" customFormat="1" ht="12" x14ac:dyDescent="0.2">
      <c r="A53" s="287"/>
      <c r="B53" s="287"/>
      <c r="C53" s="287"/>
      <c r="D53" s="287"/>
      <c r="E53" s="287"/>
      <c r="F53" s="287"/>
      <c r="G53" s="292"/>
      <c r="H53" s="20"/>
      <c r="I53" s="292"/>
      <c r="K53" s="293"/>
    </row>
    <row r="54" spans="1:11" s="290" customFormat="1" ht="11.25" x14ac:dyDescent="0.2">
      <c r="A54" s="287"/>
      <c r="B54" s="287"/>
      <c r="C54" s="287"/>
      <c r="D54" s="287"/>
      <c r="E54" s="287"/>
      <c r="F54" s="287"/>
      <c r="G54" s="294"/>
      <c r="I54" s="295"/>
    </row>
    <row r="55" spans="1:11" s="290" customFormat="1" ht="11.25" x14ac:dyDescent="0.2">
      <c r="A55" s="287"/>
      <c r="B55" s="287"/>
      <c r="C55" s="287"/>
      <c r="D55" s="287"/>
      <c r="E55" s="287"/>
      <c r="F55" s="287"/>
      <c r="G55" s="296"/>
      <c r="H55" s="297"/>
      <c r="I55" s="292"/>
      <c r="K55" s="293"/>
    </row>
    <row r="56" spans="1:11" s="290" customFormat="1" ht="11.25" x14ac:dyDescent="0.2">
      <c r="A56" s="287"/>
      <c r="B56" s="287"/>
      <c r="C56" s="287"/>
      <c r="D56" s="287"/>
      <c r="E56" s="287"/>
      <c r="F56" s="287"/>
      <c r="G56" s="79"/>
      <c r="H56" s="297"/>
      <c r="I56" s="292"/>
      <c r="K56" s="293"/>
    </row>
    <row r="57" spans="1:11" s="290" customFormat="1" ht="11.25" x14ac:dyDescent="0.2">
      <c r="A57" s="287"/>
      <c r="B57" s="287"/>
      <c r="C57" s="287"/>
      <c r="D57" s="287"/>
      <c r="E57" s="287"/>
      <c r="F57" s="287"/>
      <c r="G57" s="79"/>
      <c r="H57" s="297"/>
      <c r="I57" s="292"/>
      <c r="K57" s="293"/>
    </row>
    <row r="58" spans="1:11" s="290" customFormat="1" ht="11.25" x14ac:dyDescent="0.2">
      <c r="A58" s="287"/>
      <c r="B58" s="287"/>
      <c r="C58" s="287"/>
      <c r="D58" s="287"/>
      <c r="E58" s="287"/>
      <c r="F58" s="287"/>
      <c r="G58" s="294"/>
    </row>
    <row r="59" spans="1:11" s="290" customFormat="1" ht="11.25" x14ac:dyDescent="0.2">
      <c r="A59" s="286"/>
      <c r="B59" s="286"/>
      <c r="C59" s="286"/>
      <c r="D59" s="286"/>
      <c r="E59" s="286"/>
      <c r="F59" s="286"/>
      <c r="G59" s="298"/>
    </row>
    <row r="60" spans="1:11" s="290" customFormat="1" ht="11.25" x14ac:dyDescent="0.2"/>
    <row r="61" spans="1:11" s="290" customFormat="1" ht="13.5" x14ac:dyDescent="0.25">
      <c r="A61" s="299"/>
    </row>
    <row r="62" spans="1:11" s="290" customFormat="1" ht="11.25" x14ac:dyDescent="0.2"/>
    <row r="63" spans="1:11" s="290" customFormat="1" ht="11.25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52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17" x14ac:dyDescent="0.25">
      <c r="A1" s="7" t="s">
        <v>72</v>
      </c>
      <c r="B1" s="7"/>
    </row>
    <row r="2" spans="1:17" x14ac:dyDescent="0.25">
      <c r="A2" s="7" t="s">
        <v>134</v>
      </c>
      <c r="B2" s="7"/>
    </row>
    <row r="3" spans="1:17" x14ac:dyDescent="0.25">
      <c r="A3" s="7" t="s">
        <v>175</v>
      </c>
      <c r="B3" s="7"/>
    </row>
    <row r="5" spans="1:17" x14ac:dyDescent="0.25">
      <c r="A5" s="190" t="s">
        <v>0</v>
      </c>
      <c r="B5" s="190"/>
      <c r="C5" s="190"/>
      <c r="D5" s="190" t="s">
        <v>1</v>
      </c>
      <c r="E5" s="190" t="s">
        <v>2</v>
      </c>
      <c r="F5" s="190" t="s">
        <v>3</v>
      </c>
      <c r="G5" s="190" t="s">
        <v>4</v>
      </c>
      <c r="H5" s="190" t="s">
        <v>5</v>
      </c>
      <c r="I5" s="190" t="s">
        <v>6</v>
      </c>
      <c r="J5" s="190" t="s">
        <v>7</v>
      </c>
      <c r="K5" s="190" t="s">
        <v>8</v>
      </c>
      <c r="L5" s="190" t="s">
        <v>9</v>
      </c>
      <c r="M5" s="190" t="s">
        <v>6</v>
      </c>
      <c r="O5" s="78"/>
      <c r="P5" s="78"/>
      <c r="Q5" s="78"/>
    </row>
    <row r="6" spans="1:17" x14ac:dyDescent="0.25">
      <c r="A6" s="78"/>
      <c r="B6" s="78"/>
      <c r="C6" s="78"/>
      <c r="D6" s="78" t="s">
        <v>11</v>
      </c>
      <c r="E6" s="78" t="s">
        <v>12</v>
      </c>
      <c r="F6" s="78" t="s">
        <v>13</v>
      </c>
      <c r="G6" s="78" t="s">
        <v>14</v>
      </c>
      <c r="H6" s="78" t="s">
        <v>15</v>
      </c>
      <c r="I6" s="78" t="s">
        <v>16</v>
      </c>
      <c r="J6" s="78" t="s">
        <v>15</v>
      </c>
      <c r="K6" s="78" t="s">
        <v>15</v>
      </c>
      <c r="L6" s="78" t="s">
        <v>17</v>
      </c>
      <c r="M6" s="78" t="s">
        <v>18</v>
      </c>
      <c r="O6" s="78"/>
      <c r="P6" s="78"/>
      <c r="Q6" s="78"/>
    </row>
    <row r="7" spans="1:17" x14ac:dyDescent="0.25">
      <c r="A7" s="83"/>
      <c r="B7" s="83"/>
      <c r="C7" s="83"/>
      <c r="D7" s="83" t="s">
        <v>19</v>
      </c>
      <c r="E7" s="83"/>
      <c r="F7" s="83"/>
      <c r="G7" s="83"/>
      <c r="H7" s="83" t="s">
        <v>20</v>
      </c>
      <c r="I7" s="83" t="s">
        <v>21</v>
      </c>
      <c r="J7" s="83" t="s">
        <v>20</v>
      </c>
      <c r="K7" s="83" t="s">
        <v>20</v>
      </c>
      <c r="L7" s="83" t="s">
        <v>18</v>
      </c>
      <c r="M7" s="83" t="s">
        <v>267</v>
      </c>
      <c r="O7" s="78"/>
      <c r="P7" s="78"/>
      <c r="Q7" s="78"/>
    </row>
    <row r="8" spans="1:17" x14ac:dyDescent="0.25">
      <c r="A8" s="84" t="s">
        <v>22</v>
      </c>
      <c r="B8" s="84"/>
      <c r="C8" s="84"/>
      <c r="D8" s="84">
        <v>46</v>
      </c>
      <c r="E8" s="84">
        <v>0.69</v>
      </c>
      <c r="F8" s="84">
        <v>0.54</v>
      </c>
      <c r="G8" s="36">
        <v>1000</v>
      </c>
      <c r="H8" s="36">
        <v>690</v>
      </c>
      <c r="I8" s="36"/>
      <c r="J8" s="36"/>
      <c r="K8" s="36">
        <v>690</v>
      </c>
      <c r="L8" s="36"/>
      <c r="M8" s="36"/>
      <c r="O8" s="78"/>
      <c r="P8" s="78"/>
      <c r="Q8" s="78"/>
    </row>
    <row r="9" spans="1:17" x14ac:dyDescent="0.25">
      <c r="A9" s="84" t="s">
        <v>23</v>
      </c>
      <c r="B9" s="84"/>
      <c r="C9" s="84"/>
      <c r="D9" s="208">
        <v>60</v>
      </c>
      <c r="E9" s="84">
        <v>0.6</v>
      </c>
      <c r="F9" s="84">
        <v>0.6</v>
      </c>
      <c r="G9" s="36">
        <v>1000</v>
      </c>
      <c r="H9" s="36">
        <v>600</v>
      </c>
      <c r="I9" s="71">
        <v>7752</v>
      </c>
      <c r="J9" s="36"/>
      <c r="K9" s="36">
        <v>8352</v>
      </c>
      <c r="L9" s="36"/>
      <c r="M9" s="36">
        <v>2949</v>
      </c>
      <c r="O9" s="78"/>
      <c r="P9" s="78"/>
      <c r="Q9" s="78"/>
    </row>
    <row r="10" spans="1:17" x14ac:dyDescent="0.25">
      <c r="A10" s="84" t="s">
        <v>24</v>
      </c>
      <c r="B10" s="84"/>
      <c r="C10" s="84"/>
      <c r="D10" s="84" t="s">
        <v>163</v>
      </c>
      <c r="E10" s="84"/>
      <c r="F10" s="84"/>
      <c r="G10" s="36"/>
      <c r="H10" s="36"/>
      <c r="I10" s="36" t="s">
        <v>268</v>
      </c>
      <c r="J10" s="36"/>
      <c r="K10" s="36"/>
      <c r="L10" s="36"/>
      <c r="M10" s="36"/>
      <c r="O10" s="78"/>
      <c r="P10" s="78"/>
      <c r="Q10" s="78"/>
    </row>
    <row r="11" spans="1:17" x14ac:dyDescent="0.25">
      <c r="A11" s="84" t="s">
        <v>25</v>
      </c>
      <c r="B11" s="84"/>
      <c r="C11" s="84"/>
      <c r="D11" s="84">
        <v>100</v>
      </c>
      <c r="E11" s="84">
        <v>4.78</v>
      </c>
      <c r="F11" s="84">
        <v>1.28</v>
      </c>
      <c r="G11" s="36">
        <v>1040.9100000000001</v>
      </c>
      <c r="H11" s="36">
        <v>4976</v>
      </c>
      <c r="I11" s="36"/>
      <c r="J11" s="36"/>
      <c r="K11" s="36">
        <v>4976</v>
      </c>
      <c r="L11" s="36"/>
      <c r="M11" s="36"/>
      <c r="N11" s="196"/>
      <c r="O11" s="78"/>
      <c r="P11" s="78"/>
      <c r="Q11" s="78"/>
    </row>
    <row r="12" spans="1:17" x14ac:dyDescent="0.25">
      <c r="A12" s="84" t="s">
        <v>26</v>
      </c>
      <c r="B12" s="84"/>
      <c r="C12" s="84"/>
      <c r="D12" s="84">
        <v>100</v>
      </c>
      <c r="E12" s="84">
        <v>2.8</v>
      </c>
      <c r="F12" s="84">
        <v>1.17</v>
      </c>
      <c r="G12" s="36">
        <v>1033</v>
      </c>
      <c r="H12" s="36">
        <v>2892</v>
      </c>
      <c r="I12" s="194"/>
      <c r="J12" s="36">
        <v>2522</v>
      </c>
      <c r="K12" s="36">
        <v>5414</v>
      </c>
      <c r="L12" s="36">
        <v>583</v>
      </c>
      <c r="M12" s="36"/>
      <c r="O12" s="78"/>
      <c r="P12" s="78"/>
      <c r="Q12" s="78"/>
    </row>
    <row r="13" spans="1:17" x14ac:dyDescent="0.25">
      <c r="A13" s="84" t="s">
        <v>27</v>
      </c>
      <c r="B13" s="84"/>
      <c r="C13" s="84"/>
      <c r="D13" s="84">
        <v>100</v>
      </c>
      <c r="E13" s="84">
        <v>0.76</v>
      </c>
      <c r="F13" s="84">
        <v>0.57999999999999996</v>
      </c>
      <c r="G13" s="36">
        <v>1175</v>
      </c>
      <c r="H13" s="36">
        <v>893</v>
      </c>
      <c r="I13" s="194"/>
      <c r="J13" s="36">
        <v>1036</v>
      </c>
      <c r="K13" s="36">
        <v>1929</v>
      </c>
      <c r="L13" s="36"/>
      <c r="M13" s="36"/>
      <c r="N13" s="194"/>
      <c r="O13" s="78"/>
      <c r="P13" s="78"/>
      <c r="Q13" s="78"/>
    </row>
    <row r="14" spans="1:17" x14ac:dyDescent="0.25">
      <c r="A14" s="84" t="s">
        <v>28</v>
      </c>
      <c r="B14" s="84"/>
      <c r="C14" s="84"/>
      <c r="D14" s="84">
        <v>100</v>
      </c>
      <c r="E14" s="84">
        <v>0.66</v>
      </c>
      <c r="F14" s="84">
        <v>0.35</v>
      </c>
      <c r="G14" s="36">
        <v>1385.71</v>
      </c>
      <c r="H14" s="36">
        <v>915</v>
      </c>
      <c r="I14" s="36"/>
      <c r="J14" s="36">
        <v>2647</v>
      </c>
      <c r="K14" s="36">
        <v>3562</v>
      </c>
      <c r="L14" s="36"/>
      <c r="M14" s="36"/>
      <c r="O14" s="78"/>
      <c r="P14" s="78"/>
      <c r="Q14" s="78"/>
    </row>
    <row r="15" spans="1:17" x14ac:dyDescent="0.25">
      <c r="A15" s="84" t="s">
        <v>29</v>
      </c>
      <c r="B15" s="84"/>
      <c r="C15" s="84"/>
      <c r="D15" s="84">
        <v>66</v>
      </c>
      <c r="E15" s="84">
        <v>0.39</v>
      </c>
      <c r="F15" s="84">
        <v>0.31</v>
      </c>
      <c r="G15" s="36">
        <v>1300</v>
      </c>
      <c r="H15" s="36">
        <v>507</v>
      </c>
      <c r="I15" s="36"/>
      <c r="J15" s="36">
        <v>1436</v>
      </c>
      <c r="K15" s="36">
        <v>1943</v>
      </c>
      <c r="L15" s="36"/>
      <c r="M15" s="36"/>
      <c r="O15" s="78"/>
      <c r="P15" s="78"/>
      <c r="Q15" s="78"/>
    </row>
    <row r="16" spans="1:17" x14ac:dyDescent="0.25">
      <c r="A16" s="84" t="s">
        <v>30</v>
      </c>
      <c r="B16" s="84"/>
      <c r="C16" s="84"/>
      <c r="D16" s="84">
        <v>100</v>
      </c>
      <c r="E16" s="84">
        <v>5.16</v>
      </c>
      <c r="F16" s="84">
        <v>5.16</v>
      </c>
      <c r="G16" s="36">
        <v>1050</v>
      </c>
      <c r="H16" s="36">
        <v>5418</v>
      </c>
      <c r="I16" s="36"/>
      <c r="J16" s="36"/>
      <c r="K16" s="36">
        <v>5418</v>
      </c>
      <c r="L16" s="36"/>
      <c r="M16" s="36"/>
      <c r="O16" s="78"/>
      <c r="P16" s="78"/>
      <c r="Q16" s="78"/>
    </row>
    <row r="17" spans="1:17" x14ac:dyDescent="0.25">
      <c r="A17" s="84" t="s">
        <v>164</v>
      </c>
      <c r="B17" s="84"/>
      <c r="C17" s="84"/>
      <c r="D17" s="84">
        <v>90</v>
      </c>
      <c r="E17" s="84">
        <v>0.52</v>
      </c>
      <c r="F17" s="84">
        <v>0.2</v>
      </c>
      <c r="G17" s="36">
        <v>1050</v>
      </c>
      <c r="H17" s="36">
        <v>546</v>
      </c>
      <c r="I17" s="36">
        <v>8562</v>
      </c>
      <c r="J17" s="36"/>
      <c r="K17" s="36">
        <v>9108</v>
      </c>
      <c r="L17" s="36"/>
      <c r="M17" s="36"/>
      <c r="O17" s="78"/>
      <c r="P17" s="78"/>
      <c r="Q17" s="78"/>
    </row>
    <row r="18" spans="1:17" x14ac:dyDescent="0.25">
      <c r="A18" s="84" t="s">
        <v>269</v>
      </c>
      <c r="B18" s="126"/>
      <c r="C18" s="126"/>
      <c r="D18" s="300" t="s">
        <v>270</v>
      </c>
      <c r="E18" s="208"/>
      <c r="F18" s="208"/>
      <c r="G18" s="71"/>
      <c r="H18" s="71" t="s">
        <v>271</v>
      </c>
      <c r="I18" s="71"/>
      <c r="J18" s="36"/>
      <c r="K18" s="36"/>
      <c r="L18" s="36"/>
      <c r="M18" s="36"/>
      <c r="O18" s="78"/>
      <c r="P18" s="78"/>
      <c r="Q18" s="78"/>
    </row>
    <row r="19" spans="1:17" x14ac:dyDescent="0.25">
      <c r="A19" s="84" t="s">
        <v>165</v>
      </c>
      <c r="B19" s="84"/>
      <c r="C19" s="84"/>
      <c r="D19" s="71" t="s">
        <v>103</v>
      </c>
      <c r="E19" s="208"/>
      <c r="F19" s="208"/>
      <c r="G19" s="36"/>
      <c r="H19" s="36"/>
      <c r="I19" s="71" t="s">
        <v>272</v>
      </c>
      <c r="J19" s="36"/>
      <c r="K19" s="36"/>
      <c r="L19" s="36"/>
      <c r="M19" s="36"/>
      <c r="O19" s="78"/>
      <c r="P19" s="197"/>
      <c r="Q19" s="197"/>
    </row>
    <row r="20" spans="1:17" x14ac:dyDescent="0.25">
      <c r="A20" s="84" t="s">
        <v>166</v>
      </c>
      <c r="B20" s="84"/>
      <c r="C20" s="84"/>
      <c r="D20" s="208">
        <v>60</v>
      </c>
      <c r="E20" s="208">
        <v>1.54</v>
      </c>
      <c r="F20" s="208">
        <v>1.08</v>
      </c>
      <c r="G20" s="197">
        <v>1025</v>
      </c>
      <c r="H20" s="36">
        <v>1579</v>
      </c>
      <c r="I20" s="301"/>
      <c r="J20" s="197"/>
      <c r="K20" s="36">
        <v>1579</v>
      </c>
      <c r="L20" s="36"/>
      <c r="M20" s="36"/>
      <c r="O20" s="78"/>
      <c r="P20" s="197"/>
      <c r="Q20" s="197"/>
    </row>
    <row r="21" spans="1:17" x14ac:dyDescent="0.25">
      <c r="A21" s="83" t="s">
        <v>32</v>
      </c>
      <c r="B21" s="83"/>
      <c r="C21" s="83"/>
      <c r="D21" s="83">
        <v>80</v>
      </c>
      <c r="E21" s="83">
        <v>0.2</v>
      </c>
      <c r="F21" s="83">
        <v>0.2</v>
      </c>
      <c r="G21" s="35">
        <v>1025</v>
      </c>
      <c r="H21" s="36">
        <v>205</v>
      </c>
      <c r="I21" s="35">
        <v>844</v>
      </c>
      <c r="J21" s="35"/>
      <c r="K21" s="36">
        <v>1049</v>
      </c>
      <c r="L21" s="36"/>
      <c r="M21" s="36"/>
      <c r="O21" s="78"/>
      <c r="P21" s="78"/>
      <c r="Q21" s="78"/>
    </row>
    <row r="22" spans="1:17" x14ac:dyDescent="0.25">
      <c r="A22" s="190" t="s">
        <v>33</v>
      </c>
      <c r="B22" s="190"/>
      <c r="C22" s="190"/>
      <c r="D22" s="190"/>
      <c r="E22" s="190">
        <v>18.100000000000001</v>
      </c>
      <c r="F22" s="190">
        <v>11.469999999999997</v>
      </c>
      <c r="G22" s="34">
        <v>12084.619999999999</v>
      </c>
      <c r="H22" s="34">
        <v>19221</v>
      </c>
      <c r="I22" s="34">
        <v>17158</v>
      </c>
      <c r="J22" s="34">
        <v>7641</v>
      </c>
      <c r="K22" s="34">
        <v>44020</v>
      </c>
      <c r="L22" s="34">
        <v>583</v>
      </c>
      <c r="M22" s="34">
        <v>2949</v>
      </c>
      <c r="O22" s="198"/>
      <c r="P22" s="198"/>
      <c r="Q22" s="78"/>
    </row>
    <row r="23" spans="1:17" x14ac:dyDescent="0.25">
      <c r="A23" s="83" t="s">
        <v>34</v>
      </c>
      <c r="B23" s="83"/>
      <c r="C23" s="83"/>
      <c r="D23" s="83"/>
      <c r="E23" s="83">
        <v>6.6300000000000043</v>
      </c>
      <c r="F23" s="83"/>
      <c r="G23" s="35"/>
      <c r="H23" s="35">
        <v>7079</v>
      </c>
      <c r="I23" s="35">
        <v>14209</v>
      </c>
      <c r="J23" s="35">
        <f>+J22-L22</f>
        <v>7058</v>
      </c>
      <c r="K23" s="35">
        <v>28346</v>
      </c>
      <c r="L23" s="36"/>
      <c r="M23" s="36"/>
      <c r="O23" s="78"/>
      <c r="P23" s="78"/>
      <c r="Q23" s="78"/>
    </row>
    <row r="24" spans="1:17" x14ac:dyDescent="0.25">
      <c r="A24" s="84"/>
      <c r="B24" s="84"/>
      <c r="C24" s="84" t="s">
        <v>35</v>
      </c>
      <c r="D24" s="84"/>
      <c r="E24" s="84"/>
      <c r="F24" s="84"/>
      <c r="G24" s="84"/>
      <c r="H24" s="84"/>
      <c r="I24" s="84"/>
      <c r="J24" s="84"/>
      <c r="K24" s="84"/>
      <c r="L24" s="36"/>
      <c r="M24" s="84"/>
      <c r="O24" s="78"/>
      <c r="P24" s="78"/>
      <c r="Q24" s="78"/>
    </row>
    <row r="25" spans="1:17" x14ac:dyDescent="0.25">
      <c r="A25" s="84" t="s">
        <v>36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O25" s="78"/>
      <c r="P25" s="78"/>
      <c r="Q25" s="78"/>
    </row>
    <row r="26" spans="1:17" x14ac:dyDescent="0.25">
      <c r="A26" s="82"/>
      <c r="B26" s="82"/>
      <c r="C26" s="82"/>
      <c r="D26" s="82"/>
      <c r="E26" s="82"/>
      <c r="F26" s="82"/>
      <c r="G26" s="82"/>
      <c r="H26" s="82"/>
      <c r="I26" s="84"/>
      <c r="J26" s="84"/>
      <c r="K26" s="84"/>
      <c r="L26" s="84"/>
      <c r="M26" s="84"/>
      <c r="O26" s="78"/>
      <c r="P26" s="78"/>
      <c r="Q26" s="78"/>
    </row>
    <row r="27" spans="1:17" x14ac:dyDescent="0.25">
      <c r="A27" s="84" t="s">
        <v>17</v>
      </c>
      <c r="B27" s="84"/>
      <c r="C27" s="84"/>
      <c r="D27" s="84" t="s">
        <v>37</v>
      </c>
      <c r="E27" s="84" t="s">
        <v>38</v>
      </c>
      <c r="F27" s="84"/>
      <c r="G27" s="84" t="s">
        <v>39</v>
      </c>
      <c r="H27" s="84"/>
      <c r="I27" s="84"/>
      <c r="J27" s="84"/>
      <c r="K27" s="84"/>
      <c r="L27" s="84"/>
      <c r="M27" s="84"/>
      <c r="O27" s="78"/>
      <c r="P27" s="78"/>
      <c r="Q27" s="78"/>
    </row>
    <row r="28" spans="1:17" x14ac:dyDescent="0.25">
      <c r="A28" s="84" t="s">
        <v>41</v>
      </c>
      <c r="B28" s="84"/>
      <c r="C28" s="84"/>
      <c r="D28" s="84"/>
      <c r="E28" s="84"/>
      <c r="F28" s="84"/>
      <c r="G28" s="84"/>
      <c r="H28" s="84"/>
      <c r="I28" s="302" t="s">
        <v>40</v>
      </c>
      <c r="J28" s="303">
        <v>3.24</v>
      </c>
      <c r="K28" s="84"/>
      <c r="L28" s="84"/>
      <c r="M28" s="84"/>
      <c r="O28" s="85"/>
      <c r="P28" s="85"/>
      <c r="Q28" s="85"/>
    </row>
    <row r="29" spans="1:17" x14ac:dyDescent="0.25">
      <c r="A29" s="84" t="s">
        <v>43</v>
      </c>
      <c r="B29" s="84"/>
      <c r="C29" s="84"/>
      <c r="D29" s="84" t="s">
        <v>44</v>
      </c>
      <c r="E29" s="84">
        <v>34.270000000000003</v>
      </c>
      <c r="F29" s="84"/>
      <c r="G29" s="84">
        <v>73.599999999999994</v>
      </c>
      <c r="H29" s="84"/>
      <c r="I29" s="304" t="s">
        <v>42</v>
      </c>
      <c r="J29" s="305">
        <v>2.5</v>
      </c>
      <c r="K29" s="84"/>
      <c r="L29" s="84"/>
      <c r="M29" s="84"/>
      <c r="O29" s="85"/>
      <c r="P29" s="85"/>
      <c r="Q29" s="85"/>
    </row>
    <row r="30" spans="1:17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O30" s="85"/>
      <c r="P30" s="85"/>
      <c r="Q30" s="85"/>
    </row>
    <row r="31" spans="1:17" x14ac:dyDescent="0.25">
      <c r="A31" s="84" t="s">
        <v>46</v>
      </c>
      <c r="B31" s="84"/>
      <c r="C31" s="84"/>
      <c r="D31" s="84"/>
      <c r="E31" s="84"/>
      <c r="F31" s="84"/>
      <c r="G31" s="84"/>
      <c r="H31" s="84"/>
      <c r="I31" s="283" t="s">
        <v>85</v>
      </c>
      <c r="J31" s="283"/>
      <c r="K31" s="84"/>
      <c r="O31" s="85"/>
      <c r="P31" s="85"/>
      <c r="Q31" s="85"/>
    </row>
    <row r="32" spans="1:17" x14ac:dyDescent="0.25">
      <c r="A32" s="84" t="s">
        <v>48</v>
      </c>
      <c r="B32" s="84"/>
      <c r="C32" s="84"/>
      <c r="D32" s="84" t="s">
        <v>49</v>
      </c>
      <c r="E32" s="36">
        <v>6.6300000000000043</v>
      </c>
      <c r="F32" s="84"/>
      <c r="G32" s="36">
        <v>1067.7788</v>
      </c>
      <c r="H32" s="84"/>
      <c r="I32" s="23" t="s">
        <v>178</v>
      </c>
      <c r="J32" s="283">
        <v>43</v>
      </c>
      <c r="K32" s="84"/>
      <c r="O32" s="85"/>
      <c r="P32" s="85"/>
      <c r="Q32" s="85"/>
    </row>
    <row r="33" spans="1:17" x14ac:dyDescent="0.25">
      <c r="A33" s="84" t="s">
        <v>51</v>
      </c>
      <c r="B33" s="84"/>
      <c r="C33" s="84"/>
      <c r="D33" s="84" t="s">
        <v>49</v>
      </c>
      <c r="E33" s="36">
        <v>11.469999999999997</v>
      </c>
      <c r="F33" s="84"/>
      <c r="G33" s="84"/>
      <c r="H33" s="84"/>
      <c r="I33" s="23" t="s">
        <v>141</v>
      </c>
      <c r="J33" s="75">
        <v>13</v>
      </c>
      <c r="K33" s="84"/>
      <c r="O33" s="85"/>
      <c r="P33" s="85"/>
      <c r="Q33" s="85"/>
    </row>
    <row r="34" spans="1:17" x14ac:dyDescent="0.25">
      <c r="A34" s="84" t="s">
        <v>2</v>
      </c>
      <c r="B34" s="84"/>
      <c r="C34" s="84"/>
      <c r="D34" s="84" t="s">
        <v>49</v>
      </c>
      <c r="E34" s="36">
        <v>18.100000000000001</v>
      </c>
      <c r="F34" s="84"/>
      <c r="G34" s="84"/>
      <c r="H34" s="84"/>
      <c r="I34" s="283" t="s">
        <v>273</v>
      </c>
      <c r="J34" s="283">
        <v>10</v>
      </c>
      <c r="K34" s="84"/>
      <c r="O34" s="85"/>
      <c r="P34" s="85"/>
      <c r="Q34" s="85"/>
    </row>
    <row r="35" spans="1:17" x14ac:dyDescent="0.25">
      <c r="A35" s="84" t="s">
        <v>52</v>
      </c>
      <c r="B35" s="84" t="s">
        <v>53</v>
      </c>
      <c r="C35" s="84"/>
      <c r="D35" s="84"/>
      <c r="E35" s="36"/>
      <c r="F35" s="84"/>
      <c r="G35" s="84"/>
      <c r="H35" s="84"/>
      <c r="I35" s="283" t="s">
        <v>263</v>
      </c>
      <c r="J35" s="283">
        <v>4</v>
      </c>
      <c r="K35" s="84"/>
      <c r="O35" s="85"/>
      <c r="P35" s="85"/>
      <c r="Q35" s="85"/>
    </row>
    <row r="36" spans="1:17" x14ac:dyDescent="0.25">
      <c r="A36" s="205" t="s">
        <v>55</v>
      </c>
      <c r="B36" s="36"/>
      <c r="C36" s="306" t="s">
        <v>128</v>
      </c>
      <c r="D36" s="84"/>
      <c r="E36" s="36"/>
      <c r="F36" s="84"/>
      <c r="G36" s="84"/>
      <c r="H36" s="84"/>
      <c r="I36" s="283" t="s">
        <v>88</v>
      </c>
      <c r="J36" s="283">
        <v>3</v>
      </c>
      <c r="K36" s="84"/>
      <c r="O36" s="85"/>
      <c r="P36" s="85"/>
      <c r="Q36" s="85"/>
    </row>
    <row r="37" spans="1:17" x14ac:dyDescent="0.25">
      <c r="A37" s="84" t="s">
        <v>56</v>
      </c>
      <c r="B37" s="36"/>
      <c r="C37" s="36">
        <v>100</v>
      </c>
      <c r="D37" s="84" t="s">
        <v>44</v>
      </c>
      <c r="E37" s="36">
        <v>22</v>
      </c>
      <c r="F37" s="84"/>
      <c r="G37" s="84">
        <v>7</v>
      </c>
      <c r="H37" s="84"/>
      <c r="I37" s="283" t="s">
        <v>274</v>
      </c>
      <c r="J37" s="283">
        <v>3</v>
      </c>
      <c r="K37" s="84"/>
      <c r="O37" s="85"/>
      <c r="P37" s="85"/>
      <c r="Q37" s="85"/>
    </row>
    <row r="38" spans="1:17" x14ac:dyDescent="0.25">
      <c r="A38" s="84" t="s">
        <v>57</v>
      </c>
      <c r="B38" s="36"/>
      <c r="C38" s="71">
        <v>50</v>
      </c>
      <c r="D38" s="84" t="s">
        <v>44</v>
      </c>
      <c r="E38" s="71">
        <v>7</v>
      </c>
      <c r="F38" s="84"/>
      <c r="G38" s="208">
        <v>7</v>
      </c>
      <c r="H38" s="84"/>
      <c r="I38" s="283" t="s">
        <v>160</v>
      </c>
      <c r="J38" s="283">
        <v>3</v>
      </c>
      <c r="K38" s="84"/>
      <c r="O38" s="85"/>
      <c r="P38" s="85"/>
      <c r="Q38" s="85"/>
    </row>
    <row r="39" spans="1:17" x14ac:dyDescent="0.25">
      <c r="A39" s="84" t="s">
        <v>58</v>
      </c>
      <c r="B39" s="84"/>
      <c r="C39" s="71">
        <v>48</v>
      </c>
      <c r="D39" s="84" t="s">
        <v>44</v>
      </c>
      <c r="E39" s="71">
        <v>9</v>
      </c>
      <c r="F39" s="84"/>
      <c r="G39" s="208">
        <v>7</v>
      </c>
      <c r="H39" s="84"/>
      <c r="I39" s="283" t="s">
        <v>91</v>
      </c>
      <c r="J39" s="283">
        <v>21</v>
      </c>
      <c r="K39" s="84"/>
      <c r="O39" s="85"/>
      <c r="P39" s="85"/>
      <c r="Q39" s="85"/>
    </row>
    <row r="40" spans="1:17" x14ac:dyDescent="0.25">
      <c r="A40" s="84" t="s">
        <v>167</v>
      </c>
      <c r="B40" s="84"/>
      <c r="C40" s="71"/>
      <c r="D40" s="84"/>
      <c r="E40" s="71"/>
      <c r="F40" s="84"/>
      <c r="G40" s="208"/>
      <c r="H40" s="84"/>
      <c r="I40" s="283"/>
      <c r="J40" s="283">
        <f>SUM(J32:J39)</f>
        <v>100</v>
      </c>
      <c r="K40" s="84"/>
      <c r="O40" s="85"/>
      <c r="P40" s="85"/>
      <c r="Q40" s="85"/>
    </row>
    <row r="41" spans="1:17" x14ac:dyDescent="0.25">
      <c r="A41" s="84" t="s">
        <v>57</v>
      </c>
      <c r="B41" s="84"/>
      <c r="C41" s="36">
        <v>100</v>
      </c>
      <c r="D41" s="84" t="s">
        <v>44</v>
      </c>
      <c r="E41" s="36">
        <v>89</v>
      </c>
      <c r="F41" s="84"/>
      <c r="G41" s="84">
        <v>7</v>
      </c>
      <c r="H41" s="84"/>
      <c r="I41" s="214"/>
      <c r="J41" s="214"/>
      <c r="K41" s="84"/>
      <c r="L41" s="84"/>
      <c r="M41" s="84"/>
      <c r="O41" s="85"/>
      <c r="P41" s="85"/>
      <c r="Q41" s="85"/>
    </row>
    <row r="42" spans="1:17" x14ac:dyDescent="0.25">
      <c r="A42" s="84" t="s">
        <v>58</v>
      </c>
      <c r="B42" s="84"/>
      <c r="C42" s="71">
        <v>100</v>
      </c>
      <c r="D42" s="84" t="s">
        <v>44</v>
      </c>
      <c r="E42" s="71">
        <v>21</v>
      </c>
      <c r="F42" s="84"/>
      <c r="G42" s="208">
        <v>7</v>
      </c>
      <c r="H42" s="84"/>
      <c r="J42" s="194"/>
      <c r="K42" s="84"/>
      <c r="L42" s="84"/>
      <c r="M42" s="84"/>
      <c r="O42" s="85"/>
      <c r="P42" s="85"/>
      <c r="Q42" s="85"/>
    </row>
    <row r="43" spans="1:17" x14ac:dyDescent="0.25">
      <c r="A43" s="84" t="s">
        <v>60</v>
      </c>
      <c r="B43" s="84"/>
      <c r="C43" s="84"/>
      <c r="D43" s="84"/>
      <c r="E43" s="36"/>
      <c r="F43" s="84"/>
      <c r="G43" s="84"/>
      <c r="H43" s="84"/>
      <c r="I43" s="83"/>
      <c r="J43" s="83"/>
      <c r="K43" s="84"/>
      <c r="L43" s="84"/>
      <c r="M43" s="84"/>
      <c r="O43" s="85"/>
      <c r="P43" s="85"/>
      <c r="Q43" s="85"/>
    </row>
    <row r="44" spans="1:17" x14ac:dyDescent="0.25">
      <c r="A44" s="190" t="s">
        <v>63</v>
      </c>
      <c r="B44" s="190"/>
      <c r="C44" s="190"/>
      <c r="D44" s="190"/>
      <c r="E44" s="190"/>
      <c r="F44" s="190"/>
      <c r="G44" s="307">
        <v>2049</v>
      </c>
      <c r="H44" s="190"/>
      <c r="I44" s="197">
        <v>5063</v>
      </c>
      <c r="J44" s="197"/>
      <c r="K44" s="190"/>
      <c r="L44" s="190"/>
      <c r="M44" s="190"/>
      <c r="O44" s="85"/>
      <c r="P44" s="85"/>
      <c r="Q44" s="85"/>
    </row>
    <row r="45" spans="1:17" x14ac:dyDescent="0.25">
      <c r="A45" s="84" t="s">
        <v>64</v>
      </c>
      <c r="B45" s="84"/>
      <c r="C45" s="84"/>
      <c r="D45" s="84"/>
      <c r="E45" s="84"/>
      <c r="F45" s="84"/>
      <c r="G45" s="209">
        <v>38.1</v>
      </c>
      <c r="H45" s="84"/>
      <c r="I45" s="197"/>
      <c r="J45" s="197"/>
      <c r="K45" s="84"/>
      <c r="L45" s="84"/>
      <c r="M45" s="36"/>
      <c r="O45" s="85"/>
      <c r="P45" s="85"/>
      <c r="Q45" s="85"/>
    </row>
    <row r="46" spans="1:17" x14ac:dyDescent="0.25">
      <c r="A46" s="84" t="s">
        <v>65</v>
      </c>
      <c r="B46" s="84"/>
      <c r="C46" s="84"/>
      <c r="D46" s="84"/>
      <c r="E46" s="84"/>
      <c r="F46" s="84"/>
      <c r="G46" s="308">
        <v>78067</v>
      </c>
      <c r="H46" s="84"/>
      <c r="I46" s="197">
        <v>192904</v>
      </c>
      <c r="J46" s="197"/>
      <c r="K46" s="84"/>
      <c r="L46" s="84"/>
      <c r="M46" s="36"/>
      <c r="O46" s="85"/>
      <c r="P46" s="85"/>
      <c r="Q46" s="85"/>
    </row>
    <row r="47" spans="1:17" x14ac:dyDescent="0.25">
      <c r="A47" s="84" t="s">
        <v>66</v>
      </c>
      <c r="B47" s="84"/>
      <c r="C47" s="84"/>
      <c r="D47" s="84"/>
      <c r="E47" s="84"/>
      <c r="F47" s="84"/>
      <c r="G47" s="308">
        <v>34047</v>
      </c>
      <c r="H47" s="84"/>
      <c r="I47" s="197">
        <v>84130</v>
      </c>
      <c r="J47" s="197"/>
      <c r="K47" s="84"/>
      <c r="L47" s="84"/>
      <c r="M47" s="36"/>
      <c r="O47" s="85"/>
      <c r="P47" s="85"/>
      <c r="Q47" s="85"/>
    </row>
    <row r="48" spans="1:17" x14ac:dyDescent="0.25">
      <c r="A48" s="84" t="s">
        <v>67</v>
      </c>
      <c r="B48" s="84"/>
      <c r="C48" s="84"/>
      <c r="D48" s="84"/>
      <c r="E48" s="84"/>
      <c r="F48" s="84"/>
      <c r="G48" s="309">
        <v>49721</v>
      </c>
      <c r="H48" s="84"/>
      <c r="I48" s="197">
        <v>122861</v>
      </c>
      <c r="J48" s="197"/>
      <c r="K48" s="84"/>
      <c r="L48" s="84"/>
      <c r="M48" s="84"/>
      <c r="O48" s="85"/>
      <c r="P48" s="85"/>
      <c r="Q48" s="85"/>
    </row>
    <row r="49" spans="1:17" x14ac:dyDescent="0.25">
      <c r="A49" s="84" t="s">
        <v>68</v>
      </c>
      <c r="B49" s="84"/>
      <c r="C49" s="84"/>
      <c r="D49" s="84"/>
      <c r="E49" s="84"/>
      <c r="F49" s="84"/>
      <c r="G49" s="84">
        <f>+K22/G44</f>
        <v>21.483650561249391</v>
      </c>
      <c r="I49" s="84"/>
      <c r="J49" s="84"/>
      <c r="K49" s="84"/>
      <c r="L49" s="84"/>
      <c r="M49" s="84"/>
      <c r="O49" s="85"/>
      <c r="P49" s="85"/>
      <c r="Q49" s="85"/>
    </row>
    <row r="50" spans="1:17" x14ac:dyDescent="0.25">
      <c r="A50" s="84" t="s">
        <v>69</v>
      </c>
      <c r="B50" s="84"/>
      <c r="C50" s="84"/>
      <c r="D50" s="84"/>
      <c r="E50" s="84"/>
      <c r="F50" s="84"/>
      <c r="G50" s="84">
        <f>+K23/G44</f>
        <v>13.834065397755003</v>
      </c>
      <c r="I50" s="84"/>
      <c r="J50" s="84"/>
      <c r="K50" s="84"/>
      <c r="L50" s="84"/>
      <c r="M50" s="84"/>
      <c r="O50" s="85"/>
      <c r="P50" s="85"/>
      <c r="Q50" s="85"/>
    </row>
    <row r="51" spans="1:17" x14ac:dyDescent="0.25">
      <c r="A51" s="82"/>
      <c r="B51" s="82"/>
      <c r="C51" s="82"/>
      <c r="D51" s="82"/>
      <c r="E51" s="82"/>
      <c r="F51" s="82"/>
      <c r="G51" s="82"/>
      <c r="H51" s="83"/>
      <c r="I51" s="83"/>
      <c r="J51" s="83"/>
      <c r="K51" s="83"/>
      <c r="L51" s="83"/>
      <c r="M51" s="83"/>
      <c r="O51" s="85"/>
      <c r="P51" s="85"/>
      <c r="Q51" s="85"/>
    </row>
    <row r="52" spans="1:17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78"/>
      <c r="M52" s="78"/>
      <c r="N52" s="85"/>
      <c r="O52" s="85"/>
      <c r="P52" s="85"/>
      <c r="Q52" s="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J192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36" x14ac:dyDescent="0.25">
      <c r="A1" s="7" t="s">
        <v>72</v>
      </c>
      <c r="B1" s="7"/>
    </row>
    <row r="2" spans="1:36" x14ac:dyDescent="0.25">
      <c r="A2" s="7" t="s">
        <v>136</v>
      </c>
      <c r="B2" s="7"/>
    </row>
    <row r="3" spans="1:36" x14ac:dyDescent="0.25">
      <c r="A3" s="7" t="s">
        <v>175</v>
      </c>
      <c r="B3" s="7"/>
    </row>
    <row r="5" spans="1:36" s="46" customFormat="1" ht="12.75" customHeight="1" x14ac:dyDescent="0.2">
      <c r="A5" s="9" t="s">
        <v>0</v>
      </c>
      <c r="B5" s="9"/>
      <c r="C5" s="9"/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47"/>
      <c r="AI5" s="47"/>
      <c r="AJ5" s="47"/>
    </row>
    <row r="6" spans="1:36" s="46" customFormat="1" ht="12.75" customHeight="1" x14ac:dyDescent="0.2">
      <c r="A6" s="13"/>
      <c r="B6" s="13"/>
      <c r="C6" s="13"/>
      <c r="D6" s="13" t="s">
        <v>11</v>
      </c>
      <c r="E6" s="13" t="s">
        <v>12</v>
      </c>
      <c r="F6" s="13" t="s">
        <v>13</v>
      </c>
      <c r="G6" s="13" t="s">
        <v>14</v>
      </c>
      <c r="H6" s="13" t="s">
        <v>15</v>
      </c>
      <c r="I6" s="13" t="s">
        <v>16</v>
      </c>
      <c r="J6" s="13" t="s">
        <v>15</v>
      </c>
      <c r="K6" s="13" t="s">
        <v>15</v>
      </c>
      <c r="L6" s="13" t="s">
        <v>17</v>
      </c>
      <c r="M6" s="13" t="s">
        <v>18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47"/>
      <c r="AI6" s="47"/>
      <c r="AJ6" s="47"/>
    </row>
    <row r="7" spans="1:36" s="46" customFormat="1" ht="10.5" customHeight="1" x14ac:dyDescent="0.2">
      <c r="A7" s="15"/>
      <c r="B7" s="15"/>
      <c r="C7" s="15"/>
      <c r="D7" s="15"/>
      <c r="E7" s="15"/>
      <c r="F7" s="15"/>
      <c r="G7" s="15"/>
      <c r="H7" s="15" t="s">
        <v>20</v>
      </c>
      <c r="I7" s="15" t="s">
        <v>21</v>
      </c>
      <c r="J7" s="15" t="s">
        <v>20</v>
      </c>
      <c r="K7" s="15" t="s">
        <v>20</v>
      </c>
      <c r="L7" s="15" t="s">
        <v>18</v>
      </c>
      <c r="M7" s="15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47"/>
      <c r="AI7" s="47"/>
      <c r="AJ7" s="47"/>
    </row>
    <row r="8" spans="1:36" s="46" customFormat="1" ht="13.5" customHeight="1" x14ac:dyDescent="0.2">
      <c r="A8" s="17" t="s">
        <v>112</v>
      </c>
      <c r="B8" s="13"/>
      <c r="C8" s="13"/>
      <c r="D8" s="228">
        <v>64</v>
      </c>
      <c r="E8" s="13">
        <v>0.95</v>
      </c>
      <c r="F8" s="13">
        <v>0.88</v>
      </c>
      <c r="G8" s="228">
        <v>1000</v>
      </c>
      <c r="H8" s="228">
        <v>950</v>
      </c>
      <c r="I8" s="13"/>
      <c r="J8" s="228"/>
      <c r="K8" s="228">
        <v>950</v>
      </c>
      <c r="L8" s="13"/>
      <c r="M8" s="228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47"/>
      <c r="AI8" s="47"/>
      <c r="AJ8" s="47"/>
    </row>
    <row r="9" spans="1:36" s="46" customFormat="1" ht="10.5" customHeight="1" x14ac:dyDescent="0.2">
      <c r="A9" s="17" t="s">
        <v>24</v>
      </c>
      <c r="B9" s="17"/>
      <c r="C9" s="17"/>
      <c r="D9" s="310" t="s">
        <v>275</v>
      </c>
      <c r="E9" s="17">
        <v>0.46</v>
      </c>
      <c r="F9" s="17">
        <v>0.43</v>
      </c>
      <c r="G9" s="28">
        <v>1000</v>
      </c>
      <c r="H9" s="28">
        <v>460</v>
      </c>
      <c r="I9" s="27">
        <v>6730</v>
      </c>
      <c r="J9" s="28"/>
      <c r="K9" s="228">
        <v>7190</v>
      </c>
      <c r="L9" s="311"/>
      <c r="M9" s="28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7"/>
      <c r="AI9" s="47"/>
      <c r="AJ9" s="47"/>
    </row>
    <row r="10" spans="1:36" s="46" customFormat="1" ht="12" customHeight="1" x14ac:dyDescent="0.2">
      <c r="A10" s="17" t="s">
        <v>23</v>
      </c>
      <c r="B10" s="17"/>
      <c r="C10" s="17"/>
      <c r="D10" s="51" t="s">
        <v>103</v>
      </c>
      <c r="E10" s="17"/>
      <c r="F10" s="17"/>
      <c r="G10" s="17"/>
      <c r="H10" s="28"/>
      <c r="I10" s="51" t="s">
        <v>276</v>
      </c>
      <c r="J10" s="28"/>
      <c r="K10" s="228"/>
      <c r="AB10" s="28"/>
      <c r="AC10" s="28"/>
      <c r="AE10" s="13"/>
      <c r="AF10" s="13"/>
      <c r="AG10" s="13"/>
      <c r="AH10" s="47"/>
      <c r="AI10" s="47"/>
      <c r="AJ10" s="47"/>
    </row>
    <row r="11" spans="1:36" s="46" customFormat="1" ht="12.75" customHeight="1" x14ac:dyDescent="0.2">
      <c r="A11" s="17" t="s">
        <v>25</v>
      </c>
      <c r="B11" s="17"/>
      <c r="C11" s="17"/>
      <c r="D11" s="18">
        <v>100</v>
      </c>
      <c r="E11" s="17">
        <v>4.16</v>
      </c>
      <c r="F11" s="17">
        <v>1.04</v>
      </c>
      <c r="G11" s="312">
        <v>1031</v>
      </c>
      <c r="H11" s="28">
        <v>4289</v>
      </c>
      <c r="I11" s="311"/>
      <c r="J11" s="28"/>
      <c r="K11" s="228">
        <v>4289</v>
      </c>
      <c r="L11" s="28"/>
      <c r="M11" s="28"/>
      <c r="N11" s="313"/>
      <c r="O11" s="313"/>
      <c r="P11" s="313"/>
      <c r="Q11" s="313"/>
      <c r="R11" s="313"/>
      <c r="S11" s="313"/>
      <c r="T11" s="3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47"/>
      <c r="AI11" s="47"/>
      <c r="AJ11" s="47"/>
    </row>
    <row r="12" spans="1:36" s="46" customFormat="1" ht="13.5" customHeight="1" x14ac:dyDescent="0.2">
      <c r="A12" s="17" t="s">
        <v>43</v>
      </c>
      <c r="B12" s="17"/>
      <c r="C12" s="17"/>
      <c r="D12" s="18">
        <v>100</v>
      </c>
      <c r="E12" s="17">
        <v>2.56</v>
      </c>
      <c r="F12" s="17">
        <v>0.44</v>
      </c>
      <c r="G12" s="28">
        <v>1034</v>
      </c>
      <c r="H12" s="28">
        <v>2647</v>
      </c>
      <c r="I12" s="311"/>
      <c r="J12" s="28">
        <v>3694</v>
      </c>
      <c r="K12" s="228">
        <v>6341</v>
      </c>
      <c r="L12" s="28">
        <v>708</v>
      </c>
      <c r="M12" s="28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47"/>
      <c r="AI12" s="47"/>
      <c r="AJ12" s="47"/>
    </row>
    <row r="13" spans="1:36" s="46" customFormat="1" ht="12" x14ac:dyDescent="0.2">
      <c r="A13" s="17" t="s">
        <v>27</v>
      </c>
      <c r="B13" s="17"/>
      <c r="C13" s="17"/>
      <c r="D13" s="18">
        <v>100</v>
      </c>
      <c r="E13" s="17">
        <v>0.82</v>
      </c>
      <c r="F13" s="17">
        <v>0.74</v>
      </c>
      <c r="G13" s="28">
        <v>1000</v>
      </c>
      <c r="H13" s="28">
        <v>820</v>
      </c>
      <c r="I13" s="28"/>
      <c r="J13" s="28">
        <v>1008</v>
      </c>
      <c r="K13" s="228">
        <v>1828</v>
      </c>
      <c r="L13" s="28"/>
      <c r="M13" s="28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47"/>
      <c r="AI13" s="47"/>
      <c r="AJ13" s="47"/>
    </row>
    <row r="14" spans="1:36" s="46" customFormat="1" ht="12" x14ac:dyDescent="0.2">
      <c r="A14" s="17" t="s">
        <v>28</v>
      </c>
      <c r="B14" s="17"/>
      <c r="C14" s="17"/>
      <c r="D14" s="18">
        <v>90</v>
      </c>
      <c r="E14" s="17">
        <v>0.56999999999999995</v>
      </c>
      <c r="F14" s="17">
        <v>0.39</v>
      </c>
      <c r="G14" s="28">
        <v>1159</v>
      </c>
      <c r="H14" s="28">
        <v>661</v>
      </c>
      <c r="I14" s="28"/>
      <c r="J14" s="28">
        <v>2171</v>
      </c>
      <c r="K14" s="228">
        <v>2832</v>
      </c>
      <c r="L14" s="28"/>
      <c r="M14" s="28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47"/>
      <c r="AI14" s="47"/>
      <c r="AJ14" s="47"/>
    </row>
    <row r="15" spans="1:36" s="46" customFormat="1" ht="12" x14ac:dyDescent="0.2">
      <c r="A15" s="17" t="s">
        <v>29</v>
      </c>
      <c r="B15" s="17"/>
      <c r="C15" s="17"/>
      <c r="D15" s="44">
        <v>80</v>
      </c>
      <c r="E15" s="17">
        <v>0.4</v>
      </c>
      <c r="F15" s="17">
        <v>0.3</v>
      </c>
      <c r="G15" s="28">
        <v>1243</v>
      </c>
      <c r="H15" s="28">
        <v>497</v>
      </c>
      <c r="I15" s="28"/>
      <c r="J15" s="28">
        <v>1170</v>
      </c>
      <c r="K15" s="228">
        <v>1667</v>
      </c>
      <c r="L15" s="28"/>
      <c r="M15" s="28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47"/>
      <c r="AI15" s="47"/>
      <c r="AJ15" s="47"/>
    </row>
    <row r="16" spans="1:36" s="46" customFormat="1" ht="12" customHeight="1" x14ac:dyDescent="0.2">
      <c r="A16" s="17" t="s">
        <v>30</v>
      </c>
      <c r="B16" s="17"/>
      <c r="C16" s="17"/>
      <c r="D16" s="18">
        <v>100</v>
      </c>
      <c r="E16" s="17">
        <v>5.59</v>
      </c>
      <c r="F16" s="17">
        <v>5.59</v>
      </c>
      <c r="G16" s="28">
        <v>1000</v>
      </c>
      <c r="H16" s="28">
        <v>5590</v>
      </c>
      <c r="I16" s="28"/>
      <c r="J16" s="28"/>
      <c r="K16" s="228">
        <v>5590</v>
      </c>
      <c r="L16" s="28"/>
      <c r="M16" s="28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47"/>
      <c r="AI16" s="47"/>
      <c r="AJ16" s="47"/>
    </row>
    <row r="17" spans="1:36" s="46" customFormat="1" ht="12" x14ac:dyDescent="0.2">
      <c r="A17" s="17" t="s">
        <v>31</v>
      </c>
      <c r="B17" s="17"/>
      <c r="C17" s="17"/>
      <c r="D17" s="42">
        <v>100</v>
      </c>
      <c r="E17" s="17">
        <v>0.97</v>
      </c>
      <c r="F17" s="17">
        <v>0.4</v>
      </c>
      <c r="G17" s="28">
        <v>1046</v>
      </c>
      <c r="H17" s="27">
        <v>1015</v>
      </c>
      <c r="I17" s="27">
        <v>8145</v>
      </c>
      <c r="J17" s="28"/>
      <c r="K17" s="228">
        <v>9160</v>
      </c>
      <c r="L17" s="28"/>
      <c r="M17" s="28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47"/>
      <c r="AI17" s="47"/>
      <c r="AJ17" s="47"/>
    </row>
    <row r="18" spans="1:36" s="46" customFormat="1" ht="12" x14ac:dyDescent="0.2">
      <c r="A18" s="15" t="s">
        <v>32</v>
      </c>
      <c r="B18" s="15"/>
      <c r="C18" s="15"/>
      <c r="D18" s="16">
        <v>40</v>
      </c>
      <c r="E18" s="15">
        <v>0.14000000000000001</v>
      </c>
      <c r="F18" s="15">
        <v>0.12</v>
      </c>
      <c r="G18" s="228">
        <v>1000</v>
      </c>
      <c r="H18" s="28">
        <v>140</v>
      </c>
      <c r="I18" s="314">
        <v>696</v>
      </c>
      <c r="J18" s="314"/>
      <c r="K18" s="228">
        <v>836</v>
      </c>
      <c r="L18" s="311"/>
      <c r="M18" s="28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47"/>
      <c r="AI18" s="47"/>
      <c r="AJ18" s="47"/>
    </row>
    <row r="19" spans="1:36" s="46" customFormat="1" ht="12" x14ac:dyDescent="0.2">
      <c r="A19" s="9" t="s">
        <v>33</v>
      </c>
      <c r="B19" s="9"/>
      <c r="C19" s="9"/>
      <c r="D19" s="9"/>
      <c r="E19" s="9">
        <f>SUM(E8:E18)</f>
        <v>16.62</v>
      </c>
      <c r="F19" s="9">
        <f>SUM(F8:F18)</f>
        <v>10.33</v>
      </c>
      <c r="G19" s="315">
        <f>SUM(G8:G18)</f>
        <v>10513</v>
      </c>
      <c r="H19" s="315">
        <v>17069</v>
      </c>
      <c r="I19" s="315">
        <v>15571</v>
      </c>
      <c r="J19" s="315">
        <f>+J15+J14+J13+J12</f>
        <v>8043</v>
      </c>
      <c r="K19" s="315">
        <v>40683</v>
      </c>
      <c r="L19" s="315">
        <f>SUM(L9:L18)</f>
        <v>708</v>
      </c>
      <c r="M19" s="315">
        <f>SUM(M9:M18)</f>
        <v>0</v>
      </c>
      <c r="U19" s="29"/>
      <c r="V19" s="29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47"/>
      <c r="AI19" s="47"/>
      <c r="AJ19" s="47"/>
    </row>
    <row r="20" spans="1:36" s="46" customFormat="1" ht="12" x14ac:dyDescent="0.2">
      <c r="A20" s="15" t="s">
        <v>34</v>
      </c>
      <c r="B20" s="15"/>
      <c r="C20" s="15"/>
      <c r="D20" s="15"/>
      <c r="E20" s="15">
        <f>SUM(E19-F19)</f>
        <v>6.2900000000000009</v>
      </c>
      <c r="F20" s="15"/>
      <c r="G20" s="15"/>
      <c r="H20" s="314">
        <v>6401</v>
      </c>
      <c r="I20" s="314">
        <v>15571</v>
      </c>
      <c r="J20" s="314">
        <f>+J19-L19</f>
        <v>7335</v>
      </c>
      <c r="K20" s="314">
        <v>29307</v>
      </c>
      <c r="L20" s="314"/>
      <c r="M20" s="314"/>
      <c r="U20" s="13"/>
      <c r="V20" s="13"/>
      <c r="W20" s="13"/>
      <c r="X20" s="13"/>
      <c r="Y20" s="13"/>
      <c r="Z20" s="13"/>
      <c r="AA20" s="13"/>
      <c r="AB20" s="13"/>
      <c r="AC20" s="47"/>
      <c r="AD20" s="13"/>
      <c r="AE20" s="13"/>
      <c r="AF20" s="13"/>
      <c r="AG20" s="13"/>
      <c r="AH20" s="47"/>
      <c r="AI20" s="47"/>
      <c r="AJ20" s="47"/>
    </row>
    <row r="21" spans="1:36" s="46" customFormat="1" ht="10.5" customHeight="1" x14ac:dyDescent="0.2">
      <c r="B21" s="17"/>
      <c r="C21" s="17"/>
      <c r="D21" s="17" t="s">
        <v>35</v>
      </c>
      <c r="E21" s="17"/>
      <c r="F21" s="17"/>
      <c r="G21" s="17"/>
      <c r="H21" s="17"/>
      <c r="I21" s="17"/>
      <c r="J21" s="18"/>
      <c r="K21" s="17"/>
      <c r="L21" s="28"/>
      <c r="M21" s="28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47"/>
      <c r="AI21" s="47"/>
      <c r="AJ21" s="47"/>
    </row>
    <row r="22" spans="1:36" s="46" customFormat="1" ht="12" x14ac:dyDescent="0.2">
      <c r="A22" s="17" t="s">
        <v>36</v>
      </c>
      <c r="B22" s="17"/>
      <c r="D22" s="17"/>
      <c r="E22" s="22"/>
      <c r="F22" s="22"/>
      <c r="G22" s="22"/>
      <c r="H22" s="316"/>
      <c r="I22" s="316"/>
      <c r="J22" s="316"/>
      <c r="K22" s="316"/>
      <c r="L22" s="17"/>
      <c r="M22" s="17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47"/>
      <c r="AI22" s="47"/>
      <c r="AJ22" s="47"/>
    </row>
    <row r="23" spans="1:36" s="46" customFormat="1" ht="12" x14ac:dyDescent="0.2">
      <c r="A23" s="9" t="s">
        <v>17</v>
      </c>
      <c r="B23" s="9"/>
      <c r="C23" s="9"/>
      <c r="D23" s="9" t="s">
        <v>37</v>
      </c>
      <c r="E23" s="17" t="s">
        <v>38</v>
      </c>
      <c r="F23" s="17"/>
      <c r="G23" s="17" t="s">
        <v>39</v>
      </c>
      <c r="H23" s="13"/>
      <c r="I23" s="17"/>
      <c r="J23" s="13"/>
      <c r="K23" s="17"/>
      <c r="L23" s="17"/>
      <c r="M23" s="17"/>
      <c r="N23" s="311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47"/>
      <c r="AI23" s="47"/>
      <c r="AJ23" s="47"/>
    </row>
    <row r="24" spans="1:36" s="46" customFormat="1" ht="12" x14ac:dyDescent="0.2">
      <c r="A24" s="15" t="s">
        <v>41</v>
      </c>
      <c r="B24" s="15"/>
      <c r="C24" s="15"/>
      <c r="D24" s="15"/>
      <c r="E24" s="15"/>
      <c r="F24" s="15"/>
      <c r="G24" s="15"/>
      <c r="H24" s="13"/>
      <c r="J24" s="47"/>
      <c r="K24" s="283" t="s">
        <v>42</v>
      </c>
      <c r="L24" s="283">
        <v>3</v>
      </c>
      <c r="M24" s="1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</row>
    <row r="25" spans="1:36" s="46" customFormat="1" ht="12" x14ac:dyDescent="0.2">
      <c r="A25" s="13" t="s">
        <v>43</v>
      </c>
      <c r="B25" s="13"/>
      <c r="C25" s="13"/>
      <c r="D25" s="13" t="s">
        <v>44</v>
      </c>
      <c r="E25" s="13">
        <v>47.64</v>
      </c>
      <c r="F25" s="13"/>
      <c r="G25" s="259">
        <v>77.55</v>
      </c>
      <c r="H25" s="13"/>
      <c r="I25" s="17"/>
      <c r="J25" s="13"/>
      <c r="K25" s="13"/>
      <c r="L25" s="13"/>
      <c r="M25" s="1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</row>
    <row r="26" spans="1:36" s="46" customFormat="1" ht="12.75" customHeight="1" x14ac:dyDescent="0.2">
      <c r="A26" s="13" t="s">
        <v>46</v>
      </c>
      <c r="B26" s="13"/>
      <c r="C26" s="13"/>
      <c r="D26" s="13"/>
      <c r="E26" s="13"/>
      <c r="F26" s="13"/>
      <c r="G26" s="13"/>
      <c r="H26" s="17"/>
      <c r="I26" s="17"/>
      <c r="J26" s="13"/>
      <c r="K26" s="317" t="s">
        <v>85</v>
      </c>
      <c r="L26" s="318" t="s">
        <v>128</v>
      </c>
      <c r="M26" s="17"/>
      <c r="N26" s="311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</row>
    <row r="27" spans="1:36" s="46" customFormat="1" ht="12" x14ac:dyDescent="0.2">
      <c r="A27" s="13" t="s">
        <v>48</v>
      </c>
      <c r="B27" s="13"/>
      <c r="C27" s="13"/>
      <c r="D27" s="13" t="s">
        <v>49</v>
      </c>
      <c r="E27" s="14">
        <v>6</v>
      </c>
      <c r="F27" s="13"/>
      <c r="G27" s="14">
        <v>1067</v>
      </c>
      <c r="H27" s="17"/>
      <c r="K27" s="319" t="s">
        <v>274</v>
      </c>
      <c r="L27" s="185">
        <v>26</v>
      </c>
      <c r="N27" s="39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</row>
    <row r="28" spans="1:36" s="46" customFormat="1" ht="12" x14ac:dyDescent="0.2">
      <c r="A28" s="13" t="s">
        <v>51</v>
      </c>
      <c r="B28" s="13"/>
      <c r="C28" s="13"/>
      <c r="D28" s="13" t="s">
        <v>49</v>
      </c>
      <c r="E28" s="14">
        <v>10</v>
      </c>
      <c r="F28" s="13"/>
      <c r="G28" s="13"/>
      <c r="H28" s="17"/>
      <c r="K28" s="319" t="s">
        <v>141</v>
      </c>
      <c r="L28" s="320">
        <v>16</v>
      </c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</row>
    <row r="29" spans="1:36" s="46" customFormat="1" ht="12" x14ac:dyDescent="0.2">
      <c r="A29" s="13" t="s">
        <v>2</v>
      </c>
      <c r="B29" s="13"/>
      <c r="C29" s="13"/>
      <c r="D29" s="13" t="s">
        <v>49</v>
      </c>
      <c r="E29" s="14">
        <v>16</v>
      </c>
      <c r="F29" s="13"/>
      <c r="G29" s="13"/>
      <c r="H29" s="17"/>
      <c r="I29" s="203"/>
      <c r="J29" s="189"/>
      <c r="K29" s="319" t="s">
        <v>161</v>
      </c>
      <c r="L29" s="185">
        <v>13</v>
      </c>
      <c r="N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</row>
    <row r="30" spans="1:36" s="46" customFormat="1" ht="12" x14ac:dyDescent="0.2">
      <c r="A30" s="15" t="s">
        <v>52</v>
      </c>
      <c r="B30" s="15" t="s">
        <v>53</v>
      </c>
      <c r="C30" s="15"/>
      <c r="D30" s="15"/>
      <c r="E30" s="15"/>
      <c r="F30" s="15"/>
      <c r="G30" s="15"/>
      <c r="H30" s="17"/>
      <c r="J30" s="189"/>
      <c r="K30" s="75" t="s">
        <v>277</v>
      </c>
      <c r="L30" s="185">
        <v>11</v>
      </c>
      <c r="N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</row>
    <row r="31" spans="1:36" s="46" customFormat="1" ht="12" x14ac:dyDescent="0.2">
      <c r="A31" s="321" t="s">
        <v>55</v>
      </c>
      <c r="B31" s="18"/>
      <c r="C31" s="18"/>
      <c r="D31" s="17"/>
      <c r="F31" s="17"/>
      <c r="G31" s="17"/>
      <c r="H31" s="17"/>
      <c r="I31" s="210"/>
      <c r="K31" s="75" t="s">
        <v>91</v>
      </c>
      <c r="L31" s="185">
        <v>34</v>
      </c>
      <c r="N31" s="39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</row>
    <row r="32" spans="1:36" s="46" customFormat="1" ht="12" x14ac:dyDescent="0.2">
      <c r="A32" s="17" t="s">
        <v>56</v>
      </c>
      <c r="B32" s="18">
        <v>100</v>
      </c>
      <c r="C32" s="21"/>
      <c r="D32" s="17" t="s">
        <v>44</v>
      </c>
      <c r="E32" s="322">
        <v>27</v>
      </c>
      <c r="F32" s="17"/>
      <c r="G32" s="17">
        <v>7</v>
      </c>
      <c r="H32" s="17"/>
      <c r="I32" s="189" t="s">
        <v>40</v>
      </c>
      <c r="J32" s="17">
        <v>3.04</v>
      </c>
      <c r="K32" s="39"/>
      <c r="L32" s="39">
        <f>SUM(L27:L31)</f>
        <v>100</v>
      </c>
      <c r="M32" s="311"/>
      <c r="N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</row>
    <row r="33" spans="1:36" s="46" customFormat="1" ht="12" x14ac:dyDescent="0.2">
      <c r="A33" s="17" t="s">
        <v>57</v>
      </c>
      <c r="B33" s="18">
        <v>70</v>
      </c>
      <c r="C33" s="17"/>
      <c r="D33" s="17" t="s">
        <v>44</v>
      </c>
      <c r="E33" s="322">
        <v>10</v>
      </c>
      <c r="F33" s="17"/>
      <c r="G33" s="21">
        <v>7</v>
      </c>
      <c r="H33" s="17"/>
      <c r="I33" s="17" t="s">
        <v>42</v>
      </c>
      <c r="J33" s="17">
        <v>3</v>
      </c>
      <c r="K33" s="39"/>
      <c r="L33" s="39"/>
      <c r="N33" s="39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</row>
    <row r="34" spans="1:36" s="46" customFormat="1" ht="12" x14ac:dyDescent="0.2">
      <c r="A34" s="17" t="s">
        <v>58</v>
      </c>
      <c r="B34" s="18">
        <v>58</v>
      </c>
      <c r="C34" s="17"/>
      <c r="D34" s="17" t="s">
        <v>44</v>
      </c>
      <c r="E34" s="27">
        <v>11</v>
      </c>
      <c r="F34" s="17"/>
      <c r="G34" s="21">
        <v>7</v>
      </c>
      <c r="H34" s="17"/>
      <c r="I34" s="17"/>
      <c r="J34" s="17"/>
      <c r="K34" s="39"/>
      <c r="L34" s="39"/>
      <c r="N34" s="39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</row>
    <row r="35" spans="1:36" s="46" customFormat="1" ht="3.75" customHeight="1" x14ac:dyDescent="0.2">
      <c r="A35" s="21"/>
      <c r="B35" s="17"/>
      <c r="C35" s="19"/>
      <c r="D35" s="17"/>
      <c r="E35" s="21"/>
      <c r="F35" s="17"/>
      <c r="G35" s="21"/>
      <c r="H35" s="17"/>
      <c r="I35" s="13"/>
      <c r="J35" s="17"/>
      <c r="K35" s="39"/>
      <c r="L35" s="39"/>
      <c r="N35" s="39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</row>
    <row r="36" spans="1:36" s="46" customFormat="1" ht="12" x14ac:dyDescent="0.2">
      <c r="A36" s="321" t="s">
        <v>59</v>
      </c>
      <c r="B36" s="17"/>
      <c r="C36" s="18"/>
      <c r="D36" s="17"/>
      <c r="E36" s="17"/>
      <c r="F36" s="17"/>
      <c r="G36" s="17"/>
      <c r="H36" s="17"/>
      <c r="I36" s="13"/>
      <c r="J36" s="14"/>
      <c r="K36" s="39"/>
      <c r="L36" s="39"/>
      <c r="M36" s="17"/>
      <c r="N36" s="39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</row>
    <row r="37" spans="1:36" s="46" customFormat="1" ht="12" x14ac:dyDescent="0.2">
      <c r="A37" s="17" t="s">
        <v>57</v>
      </c>
      <c r="B37" s="28">
        <v>100</v>
      </c>
      <c r="C37" s="204"/>
      <c r="D37" s="17" t="s">
        <v>44</v>
      </c>
      <c r="E37" s="18">
        <v>78</v>
      </c>
      <c r="F37" s="17"/>
      <c r="G37" s="17">
        <v>7</v>
      </c>
      <c r="H37" s="17"/>
      <c r="I37" s="13"/>
      <c r="J37" s="323"/>
      <c r="K37" s="24"/>
      <c r="L37" s="24"/>
      <c r="M37" s="24"/>
      <c r="N37" s="24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</row>
    <row r="38" spans="1:36" s="46" customFormat="1" ht="12" x14ac:dyDescent="0.2">
      <c r="A38" s="17" t="s">
        <v>58</v>
      </c>
      <c r="B38" s="18">
        <v>100</v>
      </c>
      <c r="C38" s="204"/>
      <c r="D38" s="17" t="s">
        <v>44</v>
      </c>
      <c r="E38" s="19">
        <v>18</v>
      </c>
      <c r="F38" s="17"/>
      <c r="G38" s="21">
        <v>7</v>
      </c>
      <c r="H38" s="17"/>
      <c r="I38" s="17"/>
      <c r="J38" s="14"/>
      <c r="K38" s="17"/>
      <c r="L38" s="17"/>
      <c r="M38" s="1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</row>
    <row r="39" spans="1:36" s="46" customFormat="1" ht="12" x14ac:dyDescent="0.2">
      <c r="A39" s="15" t="s">
        <v>60</v>
      </c>
      <c r="B39" s="15"/>
      <c r="C39" s="15"/>
      <c r="D39" s="15"/>
      <c r="E39" s="15"/>
      <c r="F39" s="15"/>
      <c r="G39" s="324" t="s">
        <v>61</v>
      </c>
      <c r="H39" s="15"/>
      <c r="I39" s="324" t="s">
        <v>62</v>
      </c>
      <c r="J39" s="15"/>
      <c r="K39" s="15"/>
      <c r="L39" s="15"/>
      <c r="M39" s="15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</row>
    <row r="40" spans="1:36" s="46" customFormat="1" ht="12" x14ac:dyDescent="0.2">
      <c r="A40" s="17" t="s">
        <v>63</v>
      </c>
      <c r="B40" s="17"/>
      <c r="C40" s="17"/>
      <c r="D40" s="17"/>
      <c r="E40" s="17"/>
      <c r="F40" s="17"/>
      <c r="G40" s="18">
        <v>2181</v>
      </c>
      <c r="H40" s="17"/>
      <c r="I40" s="18">
        <v>5389</v>
      </c>
      <c r="J40" s="17"/>
      <c r="K40" s="17"/>
      <c r="L40" s="17"/>
      <c r="M40" s="1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</row>
    <row r="41" spans="1:36" s="46" customFormat="1" ht="11.25" customHeight="1" x14ac:dyDescent="0.2">
      <c r="A41" s="17" t="s">
        <v>64</v>
      </c>
      <c r="B41" s="17"/>
      <c r="C41" s="17"/>
      <c r="D41" s="17"/>
      <c r="E41" s="17"/>
      <c r="F41" s="17"/>
      <c r="G41" s="17">
        <v>33</v>
      </c>
      <c r="H41" s="17"/>
      <c r="J41" s="17"/>
      <c r="K41" s="17"/>
      <c r="L41" s="17"/>
      <c r="M41" s="1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</row>
    <row r="42" spans="1:36" s="46" customFormat="1" ht="12" x14ac:dyDescent="0.2">
      <c r="A42" s="17" t="s">
        <v>65</v>
      </c>
      <c r="B42" s="17"/>
      <c r="C42" s="17"/>
      <c r="D42" s="17"/>
      <c r="E42" s="17"/>
      <c r="F42" s="17"/>
      <c r="G42" s="18">
        <f>+G41*2181</f>
        <v>71973</v>
      </c>
      <c r="H42" s="17"/>
      <c r="I42" s="18">
        <f>+G42*2.471</f>
        <v>177845.283</v>
      </c>
      <c r="J42" s="17"/>
      <c r="K42" s="17"/>
      <c r="M42" s="1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</row>
    <row r="43" spans="1:36" s="46" customFormat="1" ht="12" x14ac:dyDescent="0.2">
      <c r="A43" s="17" t="s">
        <v>66</v>
      </c>
      <c r="B43" s="17"/>
      <c r="C43" s="17"/>
      <c r="D43" s="17"/>
      <c r="E43" s="17"/>
      <c r="F43" s="17"/>
      <c r="G43" s="18">
        <f>+G42-K19</f>
        <v>31290</v>
      </c>
      <c r="H43" s="17"/>
      <c r="I43" s="18">
        <f>+G43*2.471</f>
        <v>77317.59</v>
      </c>
      <c r="J43" s="17"/>
      <c r="K43" s="17"/>
      <c r="M43" s="1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</row>
    <row r="44" spans="1:36" s="46" customFormat="1" ht="12" x14ac:dyDescent="0.2">
      <c r="A44" s="17" t="s">
        <v>67</v>
      </c>
      <c r="B44" s="17"/>
      <c r="C44" s="17"/>
      <c r="D44" s="17"/>
      <c r="E44" s="17"/>
      <c r="F44" s="17"/>
      <c r="G44" s="18">
        <f>+G42-K20</f>
        <v>42666</v>
      </c>
      <c r="H44" s="17"/>
      <c r="I44" s="18">
        <f>+G44*2.471</f>
        <v>105427.686</v>
      </c>
      <c r="J44" s="17"/>
      <c r="K44" s="17"/>
      <c r="M44" s="1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</row>
    <row r="45" spans="1:36" s="46" customFormat="1" ht="12" x14ac:dyDescent="0.2">
      <c r="A45" s="17" t="s">
        <v>68</v>
      </c>
      <c r="B45" s="17"/>
      <c r="C45" s="17"/>
      <c r="D45" s="17"/>
      <c r="E45" s="17"/>
      <c r="F45" s="17"/>
      <c r="G45" s="40">
        <v>18.649999999999999</v>
      </c>
      <c r="H45" s="17"/>
      <c r="I45" s="17"/>
      <c r="J45" s="17"/>
      <c r="K45" s="17"/>
      <c r="L45" s="17"/>
      <c r="M45" s="1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</row>
    <row r="46" spans="1:36" s="46" customFormat="1" ht="11.25" customHeight="1" x14ac:dyDescent="0.2">
      <c r="A46" s="17" t="s">
        <v>69</v>
      </c>
      <c r="B46" s="17"/>
      <c r="C46" s="17"/>
      <c r="D46" s="17"/>
      <c r="E46" s="17"/>
      <c r="F46" s="17"/>
      <c r="G46" s="40">
        <v>13.44</v>
      </c>
      <c r="H46" s="17"/>
      <c r="I46" s="17"/>
      <c r="J46" s="17"/>
      <c r="K46" s="17"/>
      <c r="L46" s="17"/>
      <c r="M46" s="1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</row>
    <row r="47" spans="1:36" s="46" customFormat="1" x14ac:dyDescent="0.25">
      <c r="A47" s="325" t="s">
        <v>278</v>
      </c>
      <c r="B47" s="17"/>
      <c r="C47" s="17"/>
      <c r="D47" s="17"/>
      <c r="E47" s="17"/>
      <c r="F47" s="17"/>
      <c r="G47" s="17"/>
      <c r="H47" s="17"/>
      <c r="I47" s="13"/>
      <c r="J47" s="17"/>
      <c r="K47" s="17"/>
      <c r="L47" s="13"/>
      <c r="M47" s="13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</row>
    <row r="48" spans="1:36" s="46" customFormat="1" ht="12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</row>
    <row r="49" spans="1:36" s="46" customFormat="1" ht="12" x14ac:dyDescent="0.2">
      <c r="A49" s="13"/>
      <c r="B49" s="13"/>
      <c r="C49" s="13"/>
      <c r="D49" s="13"/>
      <c r="E49" s="13"/>
      <c r="F49" s="13"/>
      <c r="G49" s="13"/>
      <c r="H49" s="13"/>
      <c r="I49" s="17"/>
      <c r="J49" s="13"/>
      <c r="K49" s="13"/>
      <c r="L49" s="13"/>
      <c r="M49" s="13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</row>
    <row r="50" spans="1:36" s="46" customFormat="1" ht="12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47"/>
      <c r="O50" s="47"/>
      <c r="P50" s="47"/>
      <c r="Q50" s="47"/>
      <c r="R50" s="47"/>
      <c r="S50" s="47"/>
      <c r="T50" s="47"/>
      <c r="U50" s="47"/>
      <c r="V50" s="47"/>
    </row>
    <row r="51" spans="1:36" s="46" customFormat="1" ht="12" x14ac:dyDescent="0.2">
      <c r="A51" s="17"/>
      <c r="B51" s="17"/>
      <c r="C51" s="17"/>
      <c r="D51" s="17"/>
      <c r="E51" s="17"/>
      <c r="F51" s="17"/>
      <c r="G51" s="17"/>
      <c r="H51" s="17"/>
      <c r="I51" s="29"/>
      <c r="J51" s="17"/>
      <c r="K51" s="17"/>
      <c r="L51" s="17"/>
      <c r="M51" s="17"/>
      <c r="N51" s="47"/>
      <c r="O51" s="47"/>
      <c r="P51" s="47"/>
      <c r="Q51" s="47"/>
      <c r="R51" s="47"/>
      <c r="S51" s="47"/>
      <c r="T51" s="47"/>
      <c r="U51" s="47"/>
      <c r="V51" s="47"/>
    </row>
    <row r="52" spans="1:36" s="47" customFormat="1" ht="12" x14ac:dyDescent="0.2">
      <c r="A52" s="29"/>
      <c r="B52" s="29"/>
      <c r="C52" s="29"/>
      <c r="D52" s="29"/>
      <c r="E52" s="29"/>
      <c r="F52" s="29"/>
      <c r="G52" s="29"/>
      <c r="H52" s="29"/>
      <c r="I52" s="13"/>
      <c r="J52" s="29"/>
      <c r="K52" s="29"/>
      <c r="L52" s="13"/>
      <c r="M52" s="13"/>
    </row>
    <row r="53" spans="1:36" s="47" customFormat="1" ht="12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36" s="47" customFormat="1" ht="12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36" s="47" customFormat="1" ht="12" x14ac:dyDescent="0.2">
      <c r="A55" s="13"/>
      <c r="B55" s="13"/>
      <c r="C55" s="13"/>
      <c r="D55" s="13"/>
      <c r="E55" s="13"/>
      <c r="F55" s="13"/>
      <c r="G55" s="13"/>
      <c r="H55" s="13"/>
      <c r="I55" s="14"/>
      <c r="J55" s="13"/>
      <c r="K55" s="13"/>
      <c r="L55" s="13"/>
      <c r="M55" s="13"/>
    </row>
    <row r="56" spans="1:36" s="47" customFormat="1" ht="12" x14ac:dyDescent="0.2">
      <c r="A56" s="13"/>
      <c r="B56" s="13"/>
      <c r="C56" s="13"/>
      <c r="D56" s="14"/>
      <c r="E56" s="13"/>
      <c r="F56" s="13"/>
      <c r="G56" s="13"/>
      <c r="H56" s="14"/>
      <c r="I56" s="181"/>
      <c r="J56" s="14"/>
      <c r="K56" s="14"/>
      <c r="L56" s="14"/>
      <c r="M56" s="14"/>
    </row>
    <row r="57" spans="1:36" s="47" customFormat="1" ht="12" x14ac:dyDescent="0.2">
      <c r="A57" s="13"/>
      <c r="B57" s="13"/>
      <c r="C57" s="13"/>
      <c r="D57" s="181"/>
      <c r="E57" s="13"/>
      <c r="F57" s="13"/>
      <c r="G57" s="13"/>
      <c r="H57" s="14"/>
      <c r="I57" s="14"/>
      <c r="J57" s="14"/>
      <c r="K57" s="14"/>
      <c r="L57" s="14"/>
      <c r="M57" s="14"/>
    </row>
    <row r="58" spans="1:36" s="47" customFormat="1" ht="12" x14ac:dyDescent="0.2">
      <c r="A58" s="13"/>
      <c r="B58" s="13"/>
      <c r="C58" s="13"/>
      <c r="D58" s="14"/>
      <c r="E58" s="13"/>
      <c r="F58" s="13"/>
      <c r="G58" s="13"/>
      <c r="H58" s="14"/>
      <c r="I58" s="323"/>
      <c r="J58" s="14"/>
      <c r="K58" s="14"/>
      <c r="L58" s="14"/>
      <c r="M58" s="14"/>
    </row>
    <row r="59" spans="1:36" s="47" customFormat="1" ht="12" x14ac:dyDescent="0.2">
      <c r="A59" s="13"/>
      <c r="B59" s="13"/>
      <c r="C59" s="13"/>
      <c r="D59" s="14"/>
      <c r="E59" s="13"/>
      <c r="F59" s="13"/>
      <c r="G59" s="13"/>
      <c r="H59" s="14"/>
      <c r="I59" s="323"/>
      <c r="J59" s="14"/>
      <c r="K59" s="14"/>
      <c r="L59" s="14"/>
      <c r="M59" s="14"/>
    </row>
    <row r="60" spans="1:36" s="47" customFormat="1" ht="12" x14ac:dyDescent="0.2">
      <c r="A60" s="13"/>
      <c r="B60" s="13"/>
      <c r="C60" s="13"/>
      <c r="D60" s="14"/>
      <c r="E60" s="13"/>
      <c r="F60" s="13"/>
      <c r="G60" s="13"/>
      <c r="H60" s="14"/>
      <c r="I60" s="14"/>
      <c r="J60" s="14"/>
      <c r="K60" s="14"/>
      <c r="L60" s="14"/>
      <c r="M60" s="14"/>
    </row>
    <row r="61" spans="1:36" s="47" customFormat="1" ht="12" x14ac:dyDescent="0.2">
      <c r="A61" s="13"/>
      <c r="B61" s="13"/>
      <c r="C61" s="13"/>
      <c r="D61" s="14"/>
      <c r="E61" s="13"/>
      <c r="F61" s="13"/>
      <c r="G61" s="13"/>
      <c r="H61" s="14"/>
      <c r="I61" s="14"/>
      <c r="J61" s="14"/>
      <c r="K61" s="14"/>
      <c r="L61" s="14"/>
      <c r="M61" s="14"/>
    </row>
    <row r="62" spans="1:36" s="47" customFormat="1" ht="12" x14ac:dyDescent="0.2">
      <c r="A62" s="13"/>
      <c r="B62" s="13"/>
      <c r="C62" s="13"/>
      <c r="D62" s="14"/>
      <c r="E62" s="13"/>
      <c r="F62" s="13"/>
      <c r="G62" s="13"/>
      <c r="H62" s="14"/>
      <c r="I62" s="14"/>
      <c r="J62" s="14"/>
      <c r="K62" s="14"/>
      <c r="L62" s="14"/>
      <c r="M62" s="14"/>
    </row>
    <row r="63" spans="1:36" s="47" customFormat="1" ht="12" x14ac:dyDescent="0.2">
      <c r="A63" s="13"/>
      <c r="B63" s="13"/>
      <c r="C63" s="13"/>
      <c r="D63" s="14"/>
      <c r="E63" s="13"/>
      <c r="F63" s="13"/>
      <c r="G63" s="13"/>
      <c r="H63" s="14"/>
      <c r="I63" s="14"/>
      <c r="J63" s="14"/>
      <c r="K63" s="14"/>
      <c r="L63" s="14"/>
      <c r="M63" s="14"/>
    </row>
    <row r="64" spans="1:36" s="47" customFormat="1" ht="12" x14ac:dyDescent="0.2">
      <c r="A64" s="13"/>
      <c r="B64" s="13"/>
      <c r="C64" s="13"/>
      <c r="D64" s="14"/>
      <c r="E64" s="13"/>
      <c r="F64" s="13"/>
      <c r="G64" s="13"/>
      <c r="H64" s="14"/>
      <c r="I64" s="181"/>
      <c r="J64" s="14"/>
      <c r="K64" s="14"/>
      <c r="L64" s="14"/>
      <c r="M64" s="14"/>
    </row>
    <row r="65" spans="1:13" s="47" customFormat="1" ht="12" x14ac:dyDescent="0.2">
      <c r="A65" s="13"/>
      <c r="B65" s="30"/>
      <c r="C65" s="30"/>
      <c r="D65" s="60"/>
      <c r="E65" s="326"/>
      <c r="F65" s="326"/>
      <c r="G65" s="326"/>
      <c r="H65" s="181"/>
      <c r="I65" s="181"/>
      <c r="J65" s="14"/>
      <c r="K65" s="14"/>
      <c r="L65" s="14"/>
      <c r="M65" s="14"/>
    </row>
    <row r="66" spans="1:13" s="47" customFormat="1" ht="12" x14ac:dyDescent="0.2">
      <c r="A66" s="13"/>
      <c r="B66" s="13"/>
      <c r="C66" s="13"/>
      <c r="D66" s="181"/>
      <c r="E66" s="13"/>
      <c r="F66" s="13"/>
      <c r="G66" s="13"/>
      <c r="H66" s="14"/>
      <c r="I66" s="14"/>
      <c r="J66" s="323"/>
      <c r="K66" s="14"/>
      <c r="L66" s="14"/>
      <c r="M66" s="14"/>
    </row>
    <row r="67" spans="1:13" s="47" customFormat="1" ht="12" x14ac:dyDescent="0.2">
      <c r="A67" s="13"/>
      <c r="B67" s="13"/>
      <c r="C67" s="13"/>
      <c r="D67" s="14"/>
      <c r="E67" s="13"/>
      <c r="F67" s="13"/>
      <c r="G67" s="13"/>
      <c r="H67" s="14"/>
      <c r="I67" s="14"/>
      <c r="J67" s="14"/>
      <c r="K67" s="14"/>
      <c r="L67" s="14"/>
      <c r="M67" s="14"/>
    </row>
    <row r="68" spans="1:13" s="47" customFormat="1" ht="12" x14ac:dyDescent="0.2">
      <c r="A68" s="13"/>
      <c r="B68" s="13"/>
      <c r="C68" s="13"/>
      <c r="D68" s="13"/>
      <c r="E68" s="13"/>
      <c r="F68" s="13"/>
      <c r="G68" s="13"/>
      <c r="H68" s="14"/>
      <c r="I68" s="14"/>
      <c r="J68" s="14"/>
      <c r="K68" s="14"/>
      <c r="L68" s="14"/>
      <c r="M68" s="14"/>
    </row>
    <row r="69" spans="1:13" s="47" customFormat="1" ht="12" x14ac:dyDescent="0.2">
      <c r="A69" s="13"/>
      <c r="B69" s="13"/>
      <c r="C69" s="13"/>
      <c r="D69" s="13"/>
      <c r="E69" s="13"/>
      <c r="F69" s="13"/>
      <c r="G69" s="13"/>
      <c r="H69" s="14"/>
      <c r="I69" s="13"/>
      <c r="J69" s="14"/>
      <c r="K69" s="14"/>
      <c r="L69" s="14"/>
      <c r="M69" s="14"/>
    </row>
    <row r="70" spans="1:13" s="47" customFormat="1" ht="12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 s="47" customFormat="1" ht="12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s="47" customFormat="1" ht="12" x14ac:dyDescent="0.2">
      <c r="A72" s="29"/>
      <c r="B72" s="29"/>
      <c r="C72" s="29"/>
      <c r="D72" s="29"/>
      <c r="E72" s="29"/>
      <c r="F72" s="29"/>
      <c r="G72" s="29"/>
      <c r="H72" s="29"/>
      <c r="I72" s="13"/>
      <c r="J72" s="13"/>
      <c r="K72" s="13"/>
      <c r="L72" s="13"/>
      <c r="M72" s="13"/>
    </row>
    <row r="73" spans="1:13" s="47" customFormat="1" ht="12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s="47" customFormat="1" ht="12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 s="47" customFormat="1" ht="12" x14ac:dyDescent="0.2">
      <c r="A75" s="13"/>
      <c r="B75" s="13"/>
      <c r="C75" s="13"/>
      <c r="D75" s="13"/>
      <c r="E75" s="285"/>
      <c r="F75" s="285"/>
      <c r="G75" s="285"/>
      <c r="H75" s="13"/>
      <c r="I75" s="13"/>
      <c r="J75" s="13"/>
      <c r="K75" s="13"/>
      <c r="L75" s="13"/>
      <c r="M75" s="13"/>
    </row>
    <row r="76" spans="1:13" s="47" customFormat="1" ht="12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spans="1:13" s="47" customFormat="1" ht="12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s="47" customFormat="1" ht="12" x14ac:dyDescent="0.2">
      <c r="A78" s="13"/>
      <c r="B78" s="13"/>
      <c r="C78" s="13"/>
      <c r="D78" s="13"/>
      <c r="E78" s="14"/>
      <c r="F78" s="14"/>
      <c r="G78" s="14"/>
      <c r="H78" s="13"/>
      <c r="I78" s="13"/>
      <c r="J78" s="14"/>
      <c r="K78" s="13"/>
      <c r="L78" s="13"/>
      <c r="M78" s="13"/>
    </row>
    <row r="79" spans="1:13" s="47" customFormat="1" ht="12" x14ac:dyDescent="0.2">
      <c r="A79" s="13"/>
      <c r="B79" s="13"/>
      <c r="C79" s="13"/>
      <c r="D79" s="13"/>
      <c r="E79" s="14"/>
      <c r="F79" s="14"/>
      <c r="G79" s="14"/>
      <c r="H79" s="13"/>
      <c r="I79" s="13"/>
      <c r="J79" s="14"/>
      <c r="K79" s="13"/>
      <c r="L79" s="13"/>
      <c r="M79" s="13"/>
    </row>
    <row r="80" spans="1:13" s="47" customFormat="1" ht="12" x14ac:dyDescent="0.2">
      <c r="A80" s="13"/>
      <c r="B80" s="13"/>
      <c r="C80" s="13"/>
      <c r="D80" s="13"/>
      <c r="E80" s="14"/>
      <c r="F80" s="14"/>
      <c r="G80" s="14"/>
      <c r="H80" s="13"/>
      <c r="I80" s="13"/>
      <c r="J80" s="14"/>
      <c r="K80" s="13"/>
      <c r="L80" s="13"/>
      <c r="M80" s="13"/>
    </row>
    <row r="81" spans="1:13" s="47" customFormat="1" ht="12" x14ac:dyDescent="0.2">
      <c r="A81" s="13"/>
      <c r="B81" s="13"/>
      <c r="C81" s="13"/>
      <c r="D81" s="13"/>
      <c r="E81" s="14"/>
      <c r="F81" s="14"/>
      <c r="G81" s="14"/>
      <c r="H81" s="13"/>
      <c r="I81" s="13"/>
      <c r="J81" s="14"/>
      <c r="K81" s="13"/>
      <c r="L81" s="13"/>
      <c r="M81" s="13"/>
    </row>
    <row r="82" spans="1:13" s="47" customFormat="1" ht="12" x14ac:dyDescent="0.2">
      <c r="A82" s="13"/>
      <c r="B82" s="13"/>
      <c r="C82" s="13"/>
      <c r="D82" s="13"/>
      <c r="E82" s="14"/>
      <c r="F82" s="14"/>
      <c r="G82" s="14"/>
      <c r="H82" s="13"/>
      <c r="I82" s="13"/>
      <c r="J82" s="14"/>
      <c r="K82" s="13"/>
      <c r="L82" s="13"/>
      <c r="M82" s="13"/>
    </row>
    <row r="83" spans="1:13" s="47" customFormat="1" ht="12" x14ac:dyDescent="0.2">
      <c r="A83" s="327"/>
      <c r="B83" s="14"/>
      <c r="C83" s="14"/>
      <c r="D83" s="13"/>
      <c r="E83" s="14"/>
      <c r="F83" s="14"/>
      <c r="G83" s="14"/>
      <c r="H83" s="13"/>
      <c r="I83" s="13"/>
      <c r="J83" s="14"/>
      <c r="K83" s="13"/>
      <c r="L83" s="13"/>
      <c r="M83" s="13"/>
    </row>
    <row r="84" spans="1:13" s="47" customFormat="1" ht="12" x14ac:dyDescent="0.2">
      <c r="A84" s="13"/>
      <c r="B84" s="14"/>
      <c r="C84" s="14"/>
      <c r="D84" s="13"/>
      <c r="E84" s="14"/>
      <c r="F84" s="14"/>
      <c r="G84" s="14"/>
      <c r="H84" s="13"/>
      <c r="I84" s="13"/>
      <c r="J84" s="323"/>
      <c r="K84" s="13"/>
      <c r="L84" s="13"/>
      <c r="M84" s="13"/>
    </row>
    <row r="85" spans="1:13" s="47" customFormat="1" ht="12" x14ac:dyDescent="0.2">
      <c r="A85" s="13"/>
      <c r="B85" s="14"/>
      <c r="C85" s="181"/>
      <c r="D85" s="13"/>
      <c r="E85" s="181"/>
      <c r="F85" s="14"/>
      <c r="G85" s="181"/>
      <c r="H85" s="13"/>
      <c r="I85" s="13"/>
      <c r="J85" s="14"/>
      <c r="K85" s="13"/>
      <c r="L85" s="13"/>
      <c r="M85" s="13"/>
    </row>
    <row r="86" spans="1:13" s="47" customFormat="1" ht="12" x14ac:dyDescent="0.2">
      <c r="A86" s="13"/>
      <c r="B86" s="13"/>
      <c r="C86" s="181"/>
      <c r="D86" s="13"/>
      <c r="E86" s="181"/>
      <c r="F86" s="14"/>
      <c r="G86" s="181"/>
      <c r="H86" s="13"/>
      <c r="I86" s="13"/>
      <c r="J86" s="14"/>
      <c r="K86" s="13"/>
      <c r="L86" s="13"/>
      <c r="M86" s="13"/>
    </row>
    <row r="87" spans="1:13" s="47" customFormat="1" ht="12" x14ac:dyDescent="0.2">
      <c r="A87" s="326"/>
      <c r="B87" s="13"/>
      <c r="C87" s="181"/>
      <c r="D87" s="13"/>
      <c r="E87" s="326"/>
      <c r="F87" s="13"/>
      <c r="G87" s="326"/>
      <c r="H87" s="13"/>
      <c r="I87" s="13"/>
      <c r="J87" s="14"/>
      <c r="K87" s="13"/>
      <c r="L87" s="13"/>
      <c r="M87" s="13"/>
    </row>
    <row r="88" spans="1:13" s="47" customFormat="1" ht="12" x14ac:dyDescent="0.2">
      <c r="A88" s="327"/>
      <c r="B88" s="13"/>
      <c r="C88" s="14"/>
      <c r="D88" s="13"/>
      <c r="E88" s="13"/>
      <c r="F88" s="13"/>
      <c r="G88" s="13"/>
      <c r="H88" s="13"/>
      <c r="I88" s="13"/>
      <c r="J88" s="14"/>
      <c r="K88" s="13"/>
      <c r="L88" s="13"/>
      <c r="M88" s="13"/>
    </row>
    <row r="89" spans="1:13" s="47" customFormat="1" ht="12" x14ac:dyDescent="0.2">
      <c r="A89" s="13"/>
      <c r="B89" s="13"/>
      <c r="C89" s="14"/>
      <c r="D89" s="13"/>
      <c r="E89" s="14"/>
      <c r="F89" s="14"/>
      <c r="G89" s="14"/>
      <c r="H89" s="13"/>
      <c r="I89" s="13"/>
      <c r="J89" s="323"/>
      <c r="K89" s="13"/>
      <c r="L89" s="13"/>
      <c r="M89" s="13"/>
    </row>
    <row r="90" spans="1:13" s="47" customFormat="1" ht="12" x14ac:dyDescent="0.2">
      <c r="A90" s="13"/>
      <c r="B90" s="14"/>
      <c r="C90" s="181"/>
      <c r="D90" s="13"/>
      <c r="E90" s="181"/>
      <c r="F90" s="14"/>
      <c r="G90" s="181"/>
      <c r="H90" s="13"/>
      <c r="I90" s="13"/>
      <c r="J90" s="14"/>
      <c r="K90" s="13"/>
      <c r="L90" s="13"/>
      <c r="M90" s="13"/>
    </row>
    <row r="91" spans="1:13" s="47" customFormat="1" ht="12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3" s="47" customFormat="1" ht="12" x14ac:dyDescent="0.2">
      <c r="A92" s="29"/>
      <c r="B92" s="29"/>
      <c r="C92" s="13"/>
      <c r="D92" s="13"/>
      <c r="E92" s="13"/>
      <c r="F92" s="13"/>
      <c r="G92" s="13"/>
      <c r="H92" s="13"/>
      <c r="I92" s="14"/>
      <c r="J92" s="13"/>
      <c r="K92" s="13"/>
      <c r="L92" s="13"/>
      <c r="M92" s="13"/>
    </row>
    <row r="93" spans="1:13" s="47" customFormat="1" ht="12" x14ac:dyDescent="0.2">
      <c r="A93" s="13"/>
      <c r="B93" s="13"/>
      <c r="C93" s="13"/>
      <c r="D93" s="13"/>
      <c r="E93" s="13"/>
      <c r="F93" s="13"/>
      <c r="G93" s="14"/>
      <c r="H93" s="14"/>
      <c r="I93" s="14"/>
      <c r="J93" s="13"/>
      <c r="K93" s="13"/>
      <c r="L93" s="13"/>
      <c r="M93" s="13"/>
    </row>
    <row r="94" spans="1:13" s="47" customFormat="1" ht="12" x14ac:dyDescent="0.2">
      <c r="A94" s="13"/>
      <c r="B94" s="13"/>
      <c r="C94" s="13"/>
      <c r="D94" s="13"/>
      <c r="E94" s="13"/>
      <c r="F94" s="13"/>
      <c r="G94" s="13"/>
      <c r="H94" s="13"/>
      <c r="I94" s="14"/>
      <c r="J94" s="13"/>
      <c r="K94" s="13"/>
      <c r="L94" s="13"/>
      <c r="M94" s="13"/>
    </row>
    <row r="95" spans="1:13" s="47" customFormat="1" ht="12" x14ac:dyDescent="0.2">
      <c r="A95" s="13"/>
      <c r="B95" s="13"/>
      <c r="C95" s="13"/>
      <c r="D95" s="13"/>
      <c r="E95" s="13"/>
      <c r="F95" s="13"/>
      <c r="G95" s="14"/>
      <c r="H95" s="14"/>
      <c r="I95" s="14"/>
      <c r="J95" s="13"/>
      <c r="K95" s="13"/>
      <c r="L95" s="13"/>
      <c r="M95" s="13"/>
    </row>
    <row r="96" spans="1:13" s="47" customFormat="1" ht="12" x14ac:dyDescent="0.2">
      <c r="A96" s="13"/>
      <c r="B96" s="13"/>
      <c r="C96" s="13"/>
      <c r="D96" s="13"/>
      <c r="E96" s="13"/>
      <c r="F96" s="13"/>
      <c r="G96" s="14"/>
      <c r="H96" s="14"/>
      <c r="I96" s="14"/>
      <c r="J96" s="13"/>
      <c r="K96" s="13"/>
      <c r="L96" s="13"/>
      <c r="M96" s="13"/>
    </row>
    <row r="97" spans="1:13" s="47" customFormat="1" ht="12" x14ac:dyDescent="0.2">
      <c r="A97" s="13"/>
      <c r="B97" s="13"/>
      <c r="C97" s="13"/>
      <c r="D97" s="13"/>
      <c r="E97" s="13"/>
      <c r="F97" s="13"/>
      <c r="G97" s="14"/>
      <c r="H97" s="14"/>
      <c r="I97" s="13"/>
      <c r="J97" s="13"/>
      <c r="K97" s="13"/>
      <c r="L97" s="13"/>
      <c r="M97" s="13"/>
    </row>
    <row r="98" spans="1:13" s="47" customFormat="1" ht="12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 s="47" customFormat="1" ht="12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spans="1:13" s="47" customFormat="1" ht="12" x14ac:dyDescent="0.2">
      <c r="A100" s="13"/>
      <c r="B100" s="13"/>
      <c r="C100" s="13"/>
      <c r="D100" s="13"/>
      <c r="E100" s="13"/>
      <c r="F100" s="13"/>
      <c r="G100" s="13"/>
      <c r="H100" s="13"/>
      <c r="J100" s="13"/>
      <c r="K100" s="13"/>
      <c r="L100" s="13"/>
      <c r="M100" s="13"/>
    </row>
    <row r="101" spans="1:13" s="47" customFormat="1" ht="12" x14ac:dyDescent="0.2"/>
    <row r="102" spans="1:13" s="47" customFormat="1" ht="12" x14ac:dyDescent="0.2"/>
    <row r="103" spans="1:13" s="47" customFormat="1" ht="12" x14ac:dyDescent="0.2"/>
    <row r="104" spans="1:13" s="47" customFormat="1" ht="12" x14ac:dyDescent="0.2"/>
    <row r="105" spans="1:13" s="47" customFormat="1" ht="12" x14ac:dyDescent="0.2"/>
    <row r="106" spans="1:13" s="47" customFormat="1" ht="12" x14ac:dyDescent="0.2"/>
    <row r="107" spans="1:13" s="47" customFormat="1" ht="12" x14ac:dyDescent="0.2"/>
    <row r="108" spans="1:13" s="47" customFormat="1" ht="12" x14ac:dyDescent="0.2"/>
    <row r="109" spans="1:13" s="47" customFormat="1" ht="12" x14ac:dyDescent="0.2"/>
    <row r="110" spans="1:13" s="47" customFormat="1" ht="12" x14ac:dyDescent="0.2"/>
    <row r="111" spans="1:13" s="47" customFormat="1" ht="12" x14ac:dyDescent="0.2"/>
    <row r="112" spans="1:13" s="47" customFormat="1" ht="12" x14ac:dyDescent="0.2"/>
    <row r="113" s="47" customFormat="1" ht="12" x14ac:dyDescent="0.2"/>
    <row r="114" s="47" customFormat="1" ht="12" x14ac:dyDescent="0.2"/>
    <row r="115" s="47" customFormat="1" ht="12" x14ac:dyDescent="0.2"/>
    <row r="116" s="47" customFormat="1" ht="12" x14ac:dyDescent="0.2"/>
    <row r="117" s="47" customFormat="1" ht="12" x14ac:dyDescent="0.2"/>
    <row r="118" s="47" customFormat="1" ht="12" x14ac:dyDescent="0.2"/>
    <row r="119" s="47" customFormat="1" ht="12" x14ac:dyDescent="0.2"/>
    <row r="120" s="47" customFormat="1" ht="12" x14ac:dyDescent="0.2"/>
    <row r="121" s="47" customFormat="1" ht="12" x14ac:dyDescent="0.2"/>
    <row r="122" s="47" customFormat="1" ht="12" x14ac:dyDescent="0.2"/>
    <row r="123" s="47" customFormat="1" ht="12" x14ac:dyDescent="0.2"/>
    <row r="124" s="47" customFormat="1" ht="12" x14ac:dyDescent="0.2"/>
    <row r="125" s="47" customFormat="1" ht="12" x14ac:dyDescent="0.2"/>
    <row r="126" s="47" customFormat="1" ht="12" x14ac:dyDescent="0.2"/>
    <row r="127" s="47" customFormat="1" ht="12" x14ac:dyDescent="0.2"/>
    <row r="128" s="47" customFormat="1" ht="12" x14ac:dyDescent="0.2"/>
    <row r="129" s="47" customFormat="1" ht="12" x14ac:dyDescent="0.2"/>
    <row r="130" s="47" customFormat="1" ht="12" x14ac:dyDescent="0.2"/>
    <row r="131" s="47" customFormat="1" ht="12" x14ac:dyDescent="0.2"/>
    <row r="132" s="47" customFormat="1" ht="12" x14ac:dyDescent="0.2"/>
    <row r="133" s="47" customFormat="1" ht="12" x14ac:dyDescent="0.2"/>
    <row r="134" s="47" customFormat="1" ht="12" x14ac:dyDescent="0.2"/>
    <row r="135" s="47" customFormat="1" ht="12" x14ac:dyDescent="0.2"/>
    <row r="136" s="47" customFormat="1" ht="12" x14ac:dyDescent="0.2"/>
    <row r="137" s="47" customFormat="1" ht="12" x14ac:dyDescent="0.2"/>
    <row r="138" s="47" customFormat="1" ht="12" x14ac:dyDescent="0.2"/>
    <row r="139" s="47" customFormat="1" ht="12" x14ac:dyDescent="0.2"/>
    <row r="140" s="47" customFormat="1" ht="12" x14ac:dyDescent="0.2"/>
    <row r="141" s="47" customFormat="1" ht="12" x14ac:dyDescent="0.2"/>
    <row r="142" s="47" customFormat="1" ht="12" x14ac:dyDescent="0.2"/>
    <row r="143" s="47" customFormat="1" ht="12" x14ac:dyDescent="0.2"/>
    <row r="144" s="47" customFormat="1" ht="12" x14ac:dyDescent="0.2"/>
    <row r="145" s="47" customFormat="1" ht="12" x14ac:dyDescent="0.2"/>
    <row r="146" s="47" customFormat="1" ht="12" x14ac:dyDescent="0.2"/>
    <row r="147" s="47" customFormat="1" ht="12" x14ac:dyDescent="0.2"/>
    <row r="148" s="47" customFormat="1" ht="12" x14ac:dyDescent="0.2"/>
    <row r="149" s="47" customFormat="1" ht="12" x14ac:dyDescent="0.2"/>
    <row r="150" s="47" customFormat="1" ht="12" x14ac:dyDescent="0.2"/>
    <row r="151" s="47" customFormat="1" ht="12" x14ac:dyDescent="0.2"/>
    <row r="152" s="47" customFormat="1" ht="12" x14ac:dyDescent="0.2"/>
    <row r="153" s="47" customFormat="1" ht="12" x14ac:dyDescent="0.2"/>
    <row r="154" s="47" customFormat="1" ht="12" x14ac:dyDescent="0.2"/>
    <row r="155" s="47" customFormat="1" ht="12" x14ac:dyDescent="0.2"/>
    <row r="156" s="47" customFormat="1" ht="12" x14ac:dyDescent="0.2"/>
    <row r="157" s="47" customFormat="1" ht="12" x14ac:dyDescent="0.2"/>
    <row r="158" s="47" customFormat="1" ht="12" x14ac:dyDescent="0.2"/>
    <row r="159" s="47" customFormat="1" ht="12" x14ac:dyDescent="0.2"/>
    <row r="160" s="47" customFormat="1" ht="12" x14ac:dyDescent="0.2"/>
    <row r="161" s="47" customFormat="1" ht="12" x14ac:dyDescent="0.2"/>
    <row r="162" s="47" customFormat="1" ht="12" x14ac:dyDescent="0.2"/>
    <row r="163" s="47" customFormat="1" ht="12" x14ac:dyDescent="0.2"/>
    <row r="164" s="47" customFormat="1" ht="12" x14ac:dyDescent="0.2"/>
    <row r="165" s="47" customFormat="1" ht="12" x14ac:dyDescent="0.2"/>
    <row r="166" s="47" customFormat="1" ht="12" x14ac:dyDescent="0.2"/>
    <row r="167" s="47" customFormat="1" ht="12" x14ac:dyDescent="0.2"/>
    <row r="168" s="47" customFormat="1" ht="12" x14ac:dyDescent="0.2"/>
    <row r="169" s="47" customFormat="1" ht="12" x14ac:dyDescent="0.2"/>
    <row r="170" s="47" customFormat="1" ht="12" x14ac:dyDescent="0.2"/>
    <row r="171" s="47" customFormat="1" ht="12" x14ac:dyDescent="0.2"/>
    <row r="172" s="47" customFormat="1" ht="12" x14ac:dyDescent="0.2"/>
    <row r="173" s="47" customFormat="1" ht="12" x14ac:dyDescent="0.2"/>
    <row r="174" s="47" customFormat="1" ht="12" x14ac:dyDescent="0.2"/>
    <row r="175" s="47" customFormat="1" ht="12" x14ac:dyDescent="0.2"/>
    <row r="176" s="47" customFormat="1" ht="12" x14ac:dyDescent="0.2"/>
    <row r="177" s="47" customFormat="1" ht="12" x14ac:dyDescent="0.2"/>
    <row r="178" s="47" customFormat="1" ht="12" x14ac:dyDescent="0.2"/>
    <row r="179" s="47" customFormat="1" ht="12" x14ac:dyDescent="0.2"/>
    <row r="180" s="47" customFormat="1" ht="12" x14ac:dyDescent="0.2"/>
    <row r="181" s="47" customFormat="1" ht="12" x14ac:dyDescent="0.2"/>
    <row r="182" s="47" customFormat="1" ht="12" x14ac:dyDescent="0.2"/>
    <row r="183" s="47" customFormat="1" ht="12" x14ac:dyDescent="0.2"/>
    <row r="184" s="47" customFormat="1" ht="12" x14ac:dyDescent="0.2"/>
    <row r="185" s="47" customFormat="1" ht="12" x14ac:dyDescent="0.2"/>
    <row r="186" s="47" customFormat="1" ht="12" x14ac:dyDescent="0.2"/>
    <row r="187" s="47" customFormat="1" ht="12" x14ac:dyDescent="0.2"/>
    <row r="188" s="47" customFormat="1" ht="12" x14ac:dyDescent="0.2"/>
    <row r="189" s="47" customFormat="1" ht="12" x14ac:dyDescent="0.2"/>
    <row r="190" s="47" customFormat="1" ht="12" x14ac:dyDescent="0.2"/>
    <row r="191" s="47" customFormat="1" ht="12" x14ac:dyDescent="0.2"/>
    <row r="192" s="47" customFormat="1" ht="12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59"/>
  <sheetViews>
    <sheetView tabSelected="1" workbookViewId="0">
      <selection sqref="A1:XFD1048576"/>
    </sheetView>
  </sheetViews>
  <sheetFormatPr defaultRowHeight="15" x14ac:dyDescent="0.25"/>
  <cols>
    <col min="1" max="1" width="25.85546875" style="8" customWidth="1"/>
    <col min="2" max="5" width="9.140625" style="8"/>
    <col min="6" max="6" width="8.7109375" style="8" customWidth="1"/>
    <col min="7" max="16384" width="9.140625" style="8"/>
  </cols>
  <sheetData>
    <row r="1" spans="1:16" x14ac:dyDescent="0.25">
      <c r="A1" s="45" t="s">
        <v>137</v>
      </c>
      <c r="B1" s="45"/>
    </row>
    <row r="2" spans="1:16" x14ac:dyDescent="0.25">
      <c r="A2" s="45" t="s">
        <v>111</v>
      </c>
      <c r="B2" s="45"/>
    </row>
    <row r="3" spans="1:16" x14ac:dyDescent="0.25">
      <c r="A3" s="7" t="s">
        <v>175</v>
      </c>
      <c r="B3" s="45"/>
    </row>
    <row r="4" spans="1:16" s="32" customFormat="1" ht="12" x14ac:dyDescent="0.2">
      <c r="A4" s="48" t="s">
        <v>0</v>
      </c>
      <c r="B4" s="48"/>
      <c r="C4" s="48"/>
      <c r="D4" s="165" t="s">
        <v>1</v>
      </c>
      <c r="E4" s="165" t="s">
        <v>2</v>
      </c>
      <c r="F4" s="165" t="s">
        <v>73</v>
      </c>
      <c r="G4" s="165" t="s">
        <v>74</v>
      </c>
      <c r="H4" s="165" t="s">
        <v>5</v>
      </c>
      <c r="I4" s="165" t="s">
        <v>6</v>
      </c>
      <c r="J4" s="165" t="s">
        <v>7</v>
      </c>
      <c r="K4" s="165" t="s">
        <v>8</v>
      </c>
      <c r="L4" s="166" t="s">
        <v>75</v>
      </c>
      <c r="M4" s="165"/>
    </row>
    <row r="5" spans="1:16" s="32" customFormat="1" ht="12" x14ac:dyDescent="0.2">
      <c r="A5" s="30"/>
      <c r="B5" s="30"/>
      <c r="C5" s="30"/>
      <c r="D5" s="49" t="s">
        <v>11</v>
      </c>
      <c r="E5" s="49" t="s">
        <v>76</v>
      </c>
      <c r="F5" s="49" t="s">
        <v>76</v>
      </c>
      <c r="G5" s="49" t="s">
        <v>77</v>
      </c>
      <c r="H5" s="49" t="s">
        <v>15</v>
      </c>
      <c r="I5" s="49" t="s">
        <v>78</v>
      </c>
      <c r="J5" s="49" t="s">
        <v>15</v>
      </c>
      <c r="K5" s="49" t="s">
        <v>15</v>
      </c>
      <c r="L5" s="49" t="s">
        <v>6</v>
      </c>
      <c r="M5" s="49" t="s">
        <v>7</v>
      </c>
    </row>
    <row r="6" spans="1:16" s="32" customFormat="1" ht="12" x14ac:dyDescent="0.2">
      <c r="A6" s="30"/>
      <c r="B6" s="30"/>
      <c r="C6" s="30"/>
      <c r="D6" s="49" t="s">
        <v>19</v>
      </c>
      <c r="E6" s="49"/>
      <c r="F6" s="49"/>
      <c r="G6" s="49"/>
      <c r="H6" s="49" t="s">
        <v>20</v>
      </c>
      <c r="I6" s="49" t="s">
        <v>15</v>
      </c>
      <c r="J6" s="49" t="s">
        <v>20</v>
      </c>
      <c r="K6" s="49" t="s">
        <v>20</v>
      </c>
      <c r="L6" s="49"/>
      <c r="M6" s="49"/>
    </row>
    <row r="7" spans="1:16" s="32" customFormat="1" ht="12" x14ac:dyDescent="0.2">
      <c r="A7" s="33"/>
      <c r="B7" s="33"/>
      <c r="C7" s="33"/>
      <c r="D7" s="167"/>
      <c r="E7" s="167"/>
      <c r="F7" s="167"/>
      <c r="G7" s="167"/>
      <c r="H7" s="167"/>
      <c r="I7" s="167" t="s">
        <v>20</v>
      </c>
      <c r="J7" s="167"/>
      <c r="K7" s="167"/>
      <c r="L7" s="167"/>
      <c r="M7" s="167"/>
    </row>
    <row r="8" spans="1:16" s="32" customFormat="1" ht="12" x14ac:dyDescent="0.2">
      <c r="A8" s="32" t="s">
        <v>22</v>
      </c>
      <c r="D8" s="43">
        <v>100</v>
      </c>
      <c r="E8" s="24">
        <v>1.18</v>
      </c>
      <c r="F8" s="24">
        <v>1.18</v>
      </c>
      <c r="G8" s="28">
        <v>1003</v>
      </c>
      <c r="H8" s="52">
        <v>1184</v>
      </c>
      <c r="I8" s="6"/>
      <c r="J8" s="6"/>
      <c r="K8" s="6">
        <f>+J8+I8+H8</f>
        <v>1184</v>
      </c>
      <c r="L8" s="6"/>
      <c r="M8" s="6"/>
      <c r="N8" s="6"/>
      <c r="O8" s="216"/>
      <c r="P8" s="216"/>
    </row>
    <row r="9" spans="1:16" s="32" customFormat="1" ht="12" x14ac:dyDescent="0.2">
      <c r="A9" s="32" t="s">
        <v>147</v>
      </c>
      <c r="D9" s="43">
        <v>84</v>
      </c>
      <c r="E9" s="24">
        <v>1.26</v>
      </c>
      <c r="F9" s="24">
        <v>1.26</v>
      </c>
      <c r="G9" s="28">
        <v>1003</v>
      </c>
      <c r="H9" s="52">
        <v>1264</v>
      </c>
      <c r="I9" s="6">
        <v>7119</v>
      </c>
      <c r="J9" s="6"/>
      <c r="K9" s="6">
        <f t="shared" ref="K9:K21" si="0">+J9+I9+H9</f>
        <v>8383</v>
      </c>
      <c r="L9" s="6">
        <v>4239</v>
      </c>
      <c r="M9" s="6"/>
      <c r="N9" s="6"/>
      <c r="O9" s="216"/>
      <c r="P9" s="216"/>
    </row>
    <row r="10" spans="1:16" s="32" customFormat="1" ht="12" x14ac:dyDescent="0.2">
      <c r="A10" s="32" t="s">
        <v>148</v>
      </c>
      <c r="D10" s="43" t="s">
        <v>101</v>
      </c>
      <c r="E10" s="217"/>
      <c r="F10" s="217"/>
      <c r="G10" s="27"/>
      <c r="H10" s="173"/>
      <c r="I10" s="219" t="s">
        <v>162</v>
      </c>
      <c r="J10" s="6"/>
      <c r="K10" s="6"/>
      <c r="L10" s="6"/>
      <c r="M10" s="6"/>
      <c r="N10" s="6"/>
      <c r="O10" s="216"/>
      <c r="P10" s="216"/>
    </row>
    <row r="11" spans="1:16" s="32" customFormat="1" ht="12.75" customHeight="1" x14ac:dyDescent="0.2">
      <c r="A11" s="32" t="s">
        <v>25</v>
      </c>
      <c r="D11" s="43">
        <v>100</v>
      </c>
      <c r="E11" s="24">
        <v>4.57</v>
      </c>
      <c r="F11" s="24">
        <v>3.94</v>
      </c>
      <c r="G11" s="28">
        <v>1157</v>
      </c>
      <c r="H11" s="52">
        <v>5287</v>
      </c>
      <c r="I11" s="6"/>
      <c r="J11" s="6"/>
      <c r="K11" s="6">
        <f t="shared" si="0"/>
        <v>5287</v>
      </c>
      <c r="L11" s="6"/>
      <c r="M11" s="6"/>
      <c r="N11" s="6"/>
      <c r="O11" s="216"/>
      <c r="P11" s="216"/>
    </row>
    <row r="12" spans="1:16" s="32" customFormat="1" ht="12" x14ac:dyDescent="0.2">
      <c r="A12" s="32" t="s">
        <v>43</v>
      </c>
      <c r="D12" s="42">
        <v>84</v>
      </c>
      <c r="E12" s="24">
        <v>3.39</v>
      </c>
      <c r="F12" s="24">
        <v>2.99</v>
      </c>
      <c r="G12" s="28">
        <v>1036</v>
      </c>
      <c r="H12" s="52">
        <v>3512</v>
      </c>
      <c r="I12" s="6"/>
      <c r="J12" s="6">
        <v>2755</v>
      </c>
      <c r="K12" s="6">
        <f t="shared" si="0"/>
        <v>6267</v>
      </c>
      <c r="L12" s="6"/>
      <c r="M12" s="6">
        <v>559</v>
      </c>
      <c r="N12" s="6"/>
      <c r="O12" s="216"/>
      <c r="P12" s="216"/>
    </row>
    <row r="13" spans="1:16" s="32" customFormat="1" ht="12" x14ac:dyDescent="0.2">
      <c r="A13" s="32" t="s">
        <v>27</v>
      </c>
      <c r="D13" s="43">
        <v>100</v>
      </c>
      <c r="E13" s="24">
        <v>0.94</v>
      </c>
      <c r="F13" s="24">
        <v>0.94</v>
      </c>
      <c r="G13" s="28">
        <v>1003</v>
      </c>
      <c r="H13" s="52">
        <v>943</v>
      </c>
      <c r="I13" s="6"/>
      <c r="J13" s="6">
        <v>742</v>
      </c>
      <c r="K13" s="6">
        <f t="shared" si="0"/>
        <v>1685</v>
      </c>
      <c r="L13" s="6"/>
      <c r="M13" s="6"/>
      <c r="N13" s="6"/>
      <c r="O13" s="216"/>
      <c r="P13" s="216"/>
    </row>
    <row r="14" spans="1:16" s="32" customFormat="1" ht="12" x14ac:dyDescent="0.2">
      <c r="A14" s="32" t="s">
        <v>79</v>
      </c>
      <c r="D14" s="43">
        <v>74</v>
      </c>
      <c r="E14" s="24">
        <v>0.51</v>
      </c>
      <c r="F14" s="24">
        <v>0.36</v>
      </c>
      <c r="G14" s="28">
        <v>1136</v>
      </c>
      <c r="H14" s="52">
        <v>579</v>
      </c>
      <c r="I14" s="6"/>
      <c r="J14" s="6">
        <v>2379</v>
      </c>
      <c r="K14" s="6">
        <f t="shared" si="0"/>
        <v>2958</v>
      </c>
      <c r="L14" s="6"/>
      <c r="M14" s="6"/>
      <c r="N14" s="6"/>
      <c r="O14" s="216"/>
      <c r="P14" s="216"/>
    </row>
    <row r="15" spans="1:16" s="32" customFormat="1" ht="12" x14ac:dyDescent="0.2">
      <c r="A15" s="32" t="s">
        <v>29</v>
      </c>
      <c r="D15" s="43">
        <v>50</v>
      </c>
      <c r="E15" s="24">
        <v>0.39</v>
      </c>
      <c r="F15" s="24">
        <v>0.33</v>
      </c>
      <c r="G15" s="28">
        <v>1000</v>
      </c>
      <c r="H15" s="52">
        <v>390</v>
      </c>
      <c r="I15" s="6"/>
      <c r="J15" s="6">
        <v>1283</v>
      </c>
      <c r="K15" s="6">
        <f t="shared" si="0"/>
        <v>1673</v>
      </c>
      <c r="L15" s="6"/>
      <c r="M15" s="6"/>
      <c r="N15" s="6"/>
      <c r="O15" s="216"/>
      <c r="P15" s="216"/>
    </row>
    <row r="16" spans="1:16" s="32" customFormat="1" ht="12" x14ac:dyDescent="0.2">
      <c r="A16" s="32" t="s">
        <v>81</v>
      </c>
      <c r="D16" s="43">
        <v>68</v>
      </c>
      <c r="E16" s="24">
        <v>1.48</v>
      </c>
      <c r="F16" s="24">
        <v>1.38</v>
      </c>
      <c r="G16" s="28">
        <v>800</v>
      </c>
      <c r="H16" s="52">
        <v>1184</v>
      </c>
      <c r="I16" s="6">
        <v>8577</v>
      </c>
      <c r="J16" s="6"/>
      <c r="K16" s="6">
        <f t="shared" si="0"/>
        <v>9761</v>
      </c>
      <c r="L16" s="6"/>
      <c r="M16" s="6"/>
      <c r="N16" s="6"/>
      <c r="O16" s="216"/>
      <c r="P16" s="216"/>
    </row>
    <row r="17" spans="1:17" s="32" customFormat="1" ht="12" x14ac:dyDescent="0.2">
      <c r="A17" s="32" t="s">
        <v>149</v>
      </c>
      <c r="D17" s="43" t="s">
        <v>107</v>
      </c>
      <c r="E17" s="217"/>
      <c r="F17" s="217"/>
      <c r="G17" s="27"/>
      <c r="H17" s="173" t="s">
        <v>279</v>
      </c>
      <c r="I17" s="6"/>
      <c r="J17" s="6"/>
      <c r="K17" s="6"/>
      <c r="L17" s="6"/>
      <c r="M17" s="6"/>
      <c r="N17" s="6"/>
      <c r="O17" s="216"/>
      <c r="P17" s="216"/>
    </row>
    <row r="18" spans="1:17" s="32" customFormat="1" ht="12" x14ac:dyDescent="0.2">
      <c r="A18" s="32" t="s">
        <v>156</v>
      </c>
      <c r="D18" s="43" t="s">
        <v>280</v>
      </c>
      <c r="E18" s="217"/>
      <c r="F18" s="217"/>
      <c r="G18" s="27"/>
      <c r="H18" s="173"/>
      <c r="I18" s="219" t="s">
        <v>170</v>
      </c>
      <c r="J18" s="6"/>
      <c r="K18" s="6"/>
      <c r="L18" s="6"/>
      <c r="M18" s="6"/>
      <c r="N18" s="6"/>
      <c r="O18" s="216"/>
      <c r="P18" s="216"/>
    </row>
    <row r="19" spans="1:17" s="32" customFormat="1" ht="12" x14ac:dyDescent="0.2">
      <c r="A19" s="32" t="s">
        <v>281</v>
      </c>
      <c r="D19" s="43" t="s">
        <v>282</v>
      </c>
      <c r="E19" s="217"/>
      <c r="F19" s="217"/>
      <c r="G19" s="27"/>
      <c r="H19" s="173"/>
      <c r="I19" s="219" t="s">
        <v>283</v>
      </c>
      <c r="J19" s="6"/>
      <c r="K19" s="6"/>
      <c r="L19" s="6"/>
      <c r="M19" s="6"/>
      <c r="N19" s="6"/>
      <c r="P19" s="216"/>
    </row>
    <row r="20" spans="1:17" s="32" customFormat="1" ht="12" x14ac:dyDescent="0.2">
      <c r="A20" s="32" t="s">
        <v>82</v>
      </c>
      <c r="D20" s="43">
        <v>84</v>
      </c>
      <c r="E20" s="24">
        <v>1.83</v>
      </c>
      <c r="F20" s="24">
        <v>1.72</v>
      </c>
      <c r="G20" s="28">
        <v>1200</v>
      </c>
      <c r="H20" s="52">
        <v>2196</v>
      </c>
      <c r="I20" s="6"/>
      <c r="J20" s="6"/>
      <c r="K20" s="6">
        <f t="shared" si="0"/>
        <v>2196</v>
      </c>
      <c r="L20" s="6"/>
      <c r="M20" s="6"/>
      <c r="N20" s="6"/>
      <c r="O20" s="216"/>
      <c r="P20" s="216"/>
    </row>
    <row r="21" spans="1:17" s="32" customFormat="1" ht="12" x14ac:dyDescent="0.2">
      <c r="A21" s="32" t="s">
        <v>183</v>
      </c>
      <c r="D21" s="19">
        <v>76</v>
      </c>
      <c r="E21" s="24">
        <v>0.9</v>
      </c>
      <c r="F21" s="24">
        <v>0.9</v>
      </c>
      <c r="G21" s="28">
        <v>1003</v>
      </c>
      <c r="H21" s="52">
        <v>902</v>
      </c>
      <c r="I21" s="6">
        <v>667</v>
      </c>
      <c r="J21" s="6"/>
      <c r="K21" s="6">
        <f t="shared" si="0"/>
        <v>1569</v>
      </c>
      <c r="L21" s="6"/>
      <c r="M21" s="6"/>
      <c r="N21" s="6"/>
      <c r="O21" s="216"/>
      <c r="P21" s="216"/>
    </row>
    <row r="22" spans="1:17" s="32" customFormat="1" ht="12" x14ac:dyDescent="0.2">
      <c r="A22" s="48" t="s">
        <v>33</v>
      </c>
      <c r="B22" s="48"/>
      <c r="C22" s="48"/>
      <c r="D22" s="10"/>
      <c r="E22" s="182">
        <v>16.45</v>
      </c>
      <c r="F22" s="182">
        <v>15</v>
      </c>
      <c r="G22" s="37"/>
      <c r="H22" s="278">
        <v>17441</v>
      </c>
      <c r="I22" s="37">
        <v>16363</v>
      </c>
      <c r="J22" s="37">
        <v>7159</v>
      </c>
      <c r="K22" s="37">
        <v>40963</v>
      </c>
      <c r="L22" s="37">
        <v>4239</v>
      </c>
      <c r="M22" s="37">
        <v>559</v>
      </c>
      <c r="N22" s="37"/>
    </row>
    <row r="23" spans="1:17" s="32" customFormat="1" ht="12" x14ac:dyDescent="0.2">
      <c r="A23" s="33" t="s">
        <v>34</v>
      </c>
      <c r="B23" s="33"/>
      <c r="C23" s="33"/>
      <c r="D23" s="16"/>
      <c r="E23" s="3">
        <v>1.45</v>
      </c>
      <c r="F23" s="3"/>
      <c r="G23" s="4"/>
      <c r="H23" s="280">
        <v>1537</v>
      </c>
      <c r="I23" s="4">
        <v>12124</v>
      </c>
      <c r="J23" s="4">
        <v>6600</v>
      </c>
      <c r="K23" s="4">
        <v>20261</v>
      </c>
      <c r="L23" s="4"/>
      <c r="M23" s="4"/>
      <c r="N23" s="4"/>
    </row>
    <row r="24" spans="1:17" s="32" customFormat="1" ht="12" x14ac:dyDescent="0.2">
      <c r="H24" s="24"/>
      <c r="I24" s="24"/>
      <c r="J24" s="24"/>
      <c r="K24" s="24"/>
      <c r="L24" s="6"/>
    </row>
    <row r="25" spans="1:17" s="32" customFormat="1" ht="12" x14ac:dyDescent="0.2">
      <c r="C25" s="32" t="s">
        <v>35</v>
      </c>
      <c r="K25" s="24"/>
      <c r="O25" s="12"/>
      <c r="P25" s="221"/>
      <c r="Q25" s="222"/>
    </row>
    <row r="26" spans="1:17" s="32" customFormat="1" ht="12" x14ac:dyDescent="0.2">
      <c r="J26" s="389" t="s">
        <v>85</v>
      </c>
      <c r="K26" s="59"/>
      <c r="O26" s="12"/>
      <c r="P26" s="221"/>
      <c r="Q26" s="222"/>
    </row>
    <row r="27" spans="1:17" s="32" customFormat="1" ht="12" x14ac:dyDescent="0.2">
      <c r="A27" s="32" t="s">
        <v>36</v>
      </c>
      <c r="J27" s="244" t="s">
        <v>129</v>
      </c>
      <c r="K27" s="392">
        <v>0.23300970873786409</v>
      </c>
      <c r="O27" s="12"/>
      <c r="P27" s="221"/>
      <c r="Q27" s="222"/>
    </row>
    <row r="28" spans="1:17" s="32" customFormat="1" ht="12" x14ac:dyDescent="0.2">
      <c r="A28" s="58" t="s">
        <v>17</v>
      </c>
      <c r="B28" s="58"/>
      <c r="C28" s="58"/>
      <c r="D28" s="223" t="s">
        <v>37</v>
      </c>
      <c r="E28" s="223" t="s">
        <v>84</v>
      </c>
      <c r="F28" s="223"/>
      <c r="G28" s="223" t="s">
        <v>39</v>
      </c>
      <c r="J28" s="244" t="s">
        <v>159</v>
      </c>
      <c r="K28" s="392">
        <v>0.23300970873786409</v>
      </c>
      <c r="O28" s="12"/>
      <c r="P28" s="221"/>
      <c r="Q28" s="222"/>
    </row>
    <row r="29" spans="1:17" s="32" customFormat="1" ht="12" x14ac:dyDescent="0.2">
      <c r="A29" s="32" t="s">
        <v>41</v>
      </c>
      <c r="D29" s="64" t="s">
        <v>44</v>
      </c>
      <c r="J29" s="244" t="s">
        <v>47</v>
      </c>
      <c r="K29" s="392">
        <v>0.1650485436893204</v>
      </c>
      <c r="O29" s="12"/>
      <c r="P29" s="221"/>
      <c r="Q29" s="222"/>
    </row>
    <row r="30" spans="1:17" s="32" customFormat="1" ht="12" x14ac:dyDescent="0.2">
      <c r="A30" s="32" t="s">
        <v>43</v>
      </c>
      <c r="E30" s="168">
        <v>40.700000000000003</v>
      </c>
      <c r="G30" s="24">
        <v>67.709999999999994</v>
      </c>
      <c r="I30" s="6"/>
      <c r="J30" s="23" t="s">
        <v>54</v>
      </c>
      <c r="K30" s="393">
        <v>0.15</v>
      </c>
      <c r="O30" s="12"/>
      <c r="P30" s="221"/>
      <c r="Q30" s="222"/>
    </row>
    <row r="31" spans="1:17" s="32" customFormat="1" ht="12" x14ac:dyDescent="0.2">
      <c r="A31" s="32" t="s">
        <v>46</v>
      </c>
      <c r="D31" s="24"/>
      <c r="J31" s="244" t="s">
        <v>50</v>
      </c>
      <c r="K31" s="392">
        <v>0.12621359223300971</v>
      </c>
      <c r="O31" s="12"/>
      <c r="P31" s="221"/>
      <c r="Q31" s="222"/>
    </row>
    <row r="32" spans="1:17" s="32" customFormat="1" ht="12" x14ac:dyDescent="0.2">
      <c r="A32" s="32" t="s">
        <v>48</v>
      </c>
      <c r="D32" s="32" t="s">
        <v>49</v>
      </c>
      <c r="E32" s="24">
        <v>1</v>
      </c>
      <c r="G32" s="24">
        <v>1090</v>
      </c>
      <c r="I32" s="12"/>
      <c r="J32" s="244" t="s">
        <v>158</v>
      </c>
      <c r="K32" s="392">
        <v>9.7087378640776698E-2</v>
      </c>
      <c r="O32" s="12"/>
      <c r="P32" s="221"/>
      <c r="Q32" s="222"/>
    </row>
    <row r="33" spans="1:17" s="32" customFormat="1" ht="12" x14ac:dyDescent="0.2">
      <c r="A33" s="32" t="s">
        <v>51</v>
      </c>
      <c r="D33" s="32" t="s">
        <v>49</v>
      </c>
      <c r="E33" s="24">
        <v>15</v>
      </c>
      <c r="I33" s="12"/>
      <c r="K33" s="24"/>
      <c r="O33" s="30"/>
      <c r="P33" s="30"/>
      <c r="Q33" s="38"/>
    </row>
    <row r="34" spans="1:17" s="32" customFormat="1" ht="12" x14ac:dyDescent="0.2">
      <c r="A34" s="32" t="s">
        <v>2</v>
      </c>
      <c r="D34" s="32" t="s">
        <v>49</v>
      </c>
      <c r="E34" s="24">
        <v>16</v>
      </c>
      <c r="I34" s="12"/>
      <c r="J34" s="394" t="s">
        <v>40</v>
      </c>
      <c r="K34" s="392">
        <v>0.86</v>
      </c>
    </row>
    <row r="35" spans="1:17" s="32" customFormat="1" ht="12" x14ac:dyDescent="0.2">
      <c r="D35" s="24"/>
      <c r="I35" s="12"/>
      <c r="J35" s="394" t="s">
        <v>42</v>
      </c>
      <c r="K35" s="392">
        <v>1</v>
      </c>
    </row>
    <row r="36" spans="1:17" s="32" customFormat="1" ht="12" x14ac:dyDescent="0.2">
      <c r="A36" s="48" t="s">
        <v>92</v>
      </c>
      <c r="B36" s="48"/>
      <c r="C36" s="48" t="s">
        <v>53</v>
      </c>
      <c r="D36" s="48"/>
      <c r="E36" s="48"/>
      <c r="F36" s="48"/>
      <c r="G36" s="48"/>
      <c r="I36" s="12"/>
      <c r="J36" s="226"/>
    </row>
    <row r="37" spans="1:17" s="32" customFormat="1" ht="12" x14ac:dyDescent="0.2">
      <c r="A37" s="30" t="s">
        <v>93</v>
      </c>
      <c r="B37" s="32" t="s">
        <v>56</v>
      </c>
      <c r="C37" s="178">
        <v>100</v>
      </c>
      <c r="D37" s="30"/>
      <c r="E37" s="24">
        <v>16</v>
      </c>
      <c r="F37" s="39"/>
      <c r="G37" s="39">
        <v>7</v>
      </c>
      <c r="I37" s="39"/>
    </row>
    <row r="38" spans="1:17" s="32" customFormat="1" ht="12" x14ac:dyDescent="0.2">
      <c r="A38" s="30" t="s">
        <v>130</v>
      </c>
      <c r="B38" s="30" t="s">
        <v>57</v>
      </c>
      <c r="C38" s="178">
        <v>100</v>
      </c>
      <c r="D38" s="30"/>
      <c r="E38" s="24">
        <v>72</v>
      </c>
      <c r="F38" s="39"/>
      <c r="G38" s="39">
        <v>7</v>
      </c>
      <c r="I38" s="39"/>
    </row>
    <row r="39" spans="1:17" s="32" customFormat="1" ht="12" x14ac:dyDescent="0.2">
      <c r="A39" s="30"/>
      <c r="B39" s="30" t="s">
        <v>58</v>
      </c>
      <c r="C39" s="178">
        <v>100</v>
      </c>
      <c r="D39" s="30"/>
      <c r="E39" s="24">
        <v>18</v>
      </c>
      <c r="F39" s="39"/>
      <c r="G39" s="39">
        <v>7</v>
      </c>
      <c r="I39" s="39"/>
      <c r="J39" s="12"/>
    </row>
    <row r="40" spans="1:17" s="32" customFormat="1" ht="12" x14ac:dyDescent="0.2">
      <c r="A40" s="48" t="s">
        <v>60</v>
      </c>
      <c r="B40" s="48"/>
      <c r="C40" s="48"/>
      <c r="D40" s="48"/>
      <c r="E40" s="48"/>
      <c r="F40" s="48"/>
      <c r="G40" s="48"/>
      <c r="I40" s="32" t="s">
        <v>284</v>
      </c>
    </row>
    <row r="41" spans="1:17" s="32" customFormat="1" ht="12" x14ac:dyDescent="0.2">
      <c r="A41" s="30" t="s">
        <v>97</v>
      </c>
      <c r="B41" s="30"/>
      <c r="C41" s="30"/>
      <c r="D41" s="30"/>
      <c r="E41" s="30"/>
      <c r="F41" s="38">
        <v>1561</v>
      </c>
      <c r="G41" s="13"/>
      <c r="I41" s="6">
        <f>+F41*2.471</f>
        <v>3857.2310000000002</v>
      </c>
    </row>
    <row r="42" spans="1:17" s="32" customFormat="1" ht="12" x14ac:dyDescent="0.2">
      <c r="A42" s="30" t="s">
        <v>98</v>
      </c>
      <c r="B42" s="30"/>
      <c r="C42" s="30"/>
      <c r="D42" s="30"/>
      <c r="E42" s="30"/>
      <c r="F42" s="39">
        <v>35.729999999999997</v>
      </c>
      <c r="G42" s="31"/>
      <c r="I42" s="6"/>
    </row>
    <row r="43" spans="1:17" s="32" customFormat="1" ht="12" x14ac:dyDescent="0.2">
      <c r="A43" s="30" t="s">
        <v>65</v>
      </c>
      <c r="B43" s="30"/>
      <c r="C43" s="30"/>
      <c r="D43" s="30"/>
      <c r="E43" s="30"/>
      <c r="F43" s="32">
        <f>1561*35.73</f>
        <v>55774.529999999992</v>
      </c>
      <c r="H43" s="6"/>
      <c r="I43" s="6">
        <f t="shared" ref="I43:I45" si="1">+F43*2.471</f>
        <v>137818.86362999998</v>
      </c>
    </row>
    <row r="44" spans="1:17" s="32" customFormat="1" ht="12" x14ac:dyDescent="0.2">
      <c r="A44" s="30" t="s">
        <v>66</v>
      </c>
      <c r="B44" s="30"/>
      <c r="C44" s="30"/>
      <c r="D44" s="30"/>
      <c r="E44" s="30"/>
      <c r="F44" s="38">
        <f>+F43-40963</f>
        <v>14811.529999999992</v>
      </c>
      <c r="H44" s="6"/>
      <c r="I44" s="6">
        <f t="shared" si="1"/>
        <v>36599.290629999981</v>
      </c>
    </row>
    <row r="45" spans="1:17" s="32" customFormat="1" ht="12" x14ac:dyDescent="0.2">
      <c r="A45" s="30" t="s">
        <v>67</v>
      </c>
      <c r="B45" s="30"/>
      <c r="C45" s="30"/>
      <c r="D45" s="30"/>
      <c r="E45" s="30"/>
      <c r="F45" s="38">
        <f>+F43-20261</f>
        <v>35513.529999999992</v>
      </c>
      <c r="H45" s="6"/>
      <c r="I45" s="6">
        <f t="shared" si="1"/>
        <v>87753.932629999981</v>
      </c>
    </row>
    <row r="46" spans="1:17" s="32" customFormat="1" ht="12" x14ac:dyDescent="0.2">
      <c r="A46" s="30" t="s">
        <v>68</v>
      </c>
      <c r="B46" s="30"/>
      <c r="C46" s="30"/>
      <c r="D46" s="30"/>
      <c r="E46" s="30"/>
      <c r="F46" s="39">
        <f>+K22/F41</f>
        <v>26.241511851377322</v>
      </c>
      <c r="G46" s="31"/>
    </row>
    <row r="47" spans="1:17" s="32" customFormat="1" ht="12" x14ac:dyDescent="0.2">
      <c r="A47" s="33" t="s">
        <v>69</v>
      </c>
      <c r="B47" s="33"/>
      <c r="C47" s="33"/>
      <c r="D47" s="33"/>
      <c r="E47" s="33"/>
      <c r="F47" s="3">
        <f>+K23/F41</f>
        <v>12.979500320307496</v>
      </c>
      <c r="G47" s="63"/>
    </row>
    <row r="48" spans="1:17" s="11" customFormat="1" ht="12" x14ac:dyDescent="0.2">
      <c r="A48" s="11" t="s">
        <v>285</v>
      </c>
    </row>
    <row r="49" spans="1:6" s="11" customFormat="1" ht="12" x14ac:dyDescent="0.2">
      <c r="A49" s="32" t="s">
        <v>286</v>
      </c>
      <c r="B49" s="32"/>
      <c r="C49" s="32"/>
      <c r="D49" s="42" t="s">
        <v>287</v>
      </c>
      <c r="E49" s="258"/>
      <c r="F49" s="258"/>
    </row>
    <row r="50" spans="1:6" s="11" customFormat="1" ht="12" x14ac:dyDescent="0.2">
      <c r="A50" s="32" t="s">
        <v>288</v>
      </c>
      <c r="B50" s="32"/>
      <c r="C50" s="32"/>
      <c r="D50" s="42" t="s">
        <v>181</v>
      </c>
    </row>
    <row r="51" spans="1:6" s="11" customFormat="1" ht="12" x14ac:dyDescent="0.2">
      <c r="A51" s="32" t="s">
        <v>289</v>
      </c>
      <c r="B51" s="32"/>
      <c r="C51" s="32"/>
      <c r="D51" s="42" t="s">
        <v>290</v>
      </c>
    </row>
    <row r="52" spans="1:6" s="11" customFormat="1" ht="12" x14ac:dyDescent="0.2"/>
    <row r="53" spans="1:6" s="11" customFormat="1" ht="12" x14ac:dyDescent="0.2"/>
    <row r="54" spans="1:6" s="11" customFormat="1" ht="12" x14ac:dyDescent="0.2"/>
    <row r="55" spans="1:6" s="11" customFormat="1" ht="12" x14ac:dyDescent="0.2"/>
    <row r="56" spans="1:6" s="11" customFormat="1" ht="12" x14ac:dyDescent="0.2"/>
    <row r="57" spans="1:6" s="11" customFormat="1" ht="12" x14ac:dyDescent="0.2"/>
    <row r="58" spans="1:6" s="11" customFormat="1" ht="12" x14ac:dyDescent="0.2"/>
    <row r="59" spans="1:6" s="11" customFormat="1" ht="12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Z63"/>
  <sheetViews>
    <sheetView workbookViewId="0">
      <selection activeCell="D3" sqref="D3"/>
    </sheetView>
  </sheetViews>
  <sheetFormatPr defaultRowHeight="15" x14ac:dyDescent="0.25"/>
  <cols>
    <col min="1" max="16384" width="9.140625" style="8"/>
  </cols>
  <sheetData>
    <row r="1" spans="1:26" x14ac:dyDescent="0.25">
      <c r="A1" s="45" t="s">
        <v>137</v>
      </c>
      <c r="B1" s="45"/>
    </row>
    <row r="2" spans="1:26" x14ac:dyDescent="0.25">
      <c r="A2" s="45" t="s">
        <v>138</v>
      </c>
      <c r="B2" s="45"/>
    </row>
    <row r="3" spans="1:26" x14ac:dyDescent="0.25">
      <c r="A3" s="7" t="s">
        <v>175</v>
      </c>
      <c r="B3" s="45"/>
    </row>
    <row r="4" spans="1:26" x14ac:dyDescent="0.25">
      <c r="A4" s="7"/>
      <c r="B4" s="7"/>
    </row>
    <row r="5" spans="1:26" s="126" customFormat="1" ht="12.75" x14ac:dyDescent="0.2">
      <c r="A5" s="328" t="s">
        <v>0</v>
      </c>
      <c r="B5" s="328"/>
      <c r="C5" s="328"/>
      <c r="D5" s="329" t="s">
        <v>1</v>
      </c>
      <c r="E5" s="329" t="s">
        <v>2</v>
      </c>
      <c r="F5" s="329" t="s">
        <v>73</v>
      </c>
      <c r="G5" s="329" t="s">
        <v>74</v>
      </c>
      <c r="H5" s="329" t="s">
        <v>5</v>
      </c>
      <c r="I5" s="329" t="s">
        <v>6</v>
      </c>
      <c r="J5" s="329" t="s">
        <v>7</v>
      </c>
      <c r="K5" s="329" t="s">
        <v>8</v>
      </c>
      <c r="L5" s="330" t="s">
        <v>75</v>
      </c>
      <c r="M5" s="329"/>
    </row>
    <row r="6" spans="1:26" s="126" customFormat="1" ht="12.75" x14ac:dyDescent="0.2">
      <c r="A6" s="77"/>
      <c r="B6" s="77"/>
      <c r="C6" s="77"/>
      <c r="D6" s="331" t="s">
        <v>11</v>
      </c>
      <c r="E6" s="331" t="s">
        <v>76</v>
      </c>
      <c r="F6" s="331" t="s">
        <v>76</v>
      </c>
      <c r="G6" s="331" t="s">
        <v>77</v>
      </c>
      <c r="H6" s="331" t="s">
        <v>15</v>
      </c>
      <c r="I6" s="331" t="s">
        <v>78</v>
      </c>
      <c r="J6" s="331" t="s">
        <v>15</v>
      </c>
      <c r="K6" s="331" t="s">
        <v>15</v>
      </c>
      <c r="L6" s="331" t="s">
        <v>6</v>
      </c>
      <c r="M6" s="331" t="s">
        <v>7</v>
      </c>
    </row>
    <row r="7" spans="1:26" s="126" customFormat="1" ht="12.75" x14ac:dyDescent="0.2">
      <c r="A7" s="77"/>
      <c r="B7" s="77"/>
      <c r="C7" s="77"/>
      <c r="D7" s="331" t="s">
        <v>19</v>
      </c>
      <c r="E7" s="331"/>
      <c r="F7" s="331"/>
      <c r="G7" s="331"/>
      <c r="H7" s="331" t="s">
        <v>20</v>
      </c>
      <c r="I7" s="331" t="s">
        <v>15</v>
      </c>
      <c r="J7" s="331" t="s">
        <v>20</v>
      </c>
      <c r="K7" s="331" t="s">
        <v>20</v>
      </c>
      <c r="L7" s="331"/>
      <c r="M7" s="331"/>
    </row>
    <row r="8" spans="1:26" s="126" customFormat="1" ht="12.75" x14ac:dyDescent="0.2">
      <c r="A8" s="332"/>
      <c r="B8" s="332"/>
      <c r="C8" s="332"/>
      <c r="D8" s="333"/>
      <c r="E8" s="333"/>
      <c r="F8" s="333"/>
      <c r="G8" s="333"/>
      <c r="H8" s="333"/>
      <c r="I8" s="333" t="s">
        <v>20</v>
      </c>
      <c r="J8" s="333"/>
      <c r="K8" s="333"/>
      <c r="L8" s="333"/>
      <c r="M8" s="333"/>
    </row>
    <row r="9" spans="1:26" s="126" customFormat="1" ht="12.75" x14ac:dyDescent="0.2">
      <c r="A9" s="126" t="s">
        <v>291</v>
      </c>
      <c r="D9" s="334">
        <v>78</v>
      </c>
      <c r="E9" s="335">
        <v>2.31</v>
      </c>
      <c r="F9" s="336">
        <v>2.12</v>
      </c>
      <c r="G9" s="334">
        <v>1000</v>
      </c>
      <c r="H9" s="337">
        <f t="shared" ref="H9:H21" si="0">SUM(E9*G9)</f>
        <v>2310</v>
      </c>
      <c r="I9" s="336"/>
      <c r="J9" s="336">
        <v>958</v>
      </c>
      <c r="K9" s="338">
        <f t="shared" ref="K9:K21" si="1">+H9+I9+J9</f>
        <v>3268</v>
      </c>
      <c r="L9" s="339"/>
      <c r="O9" s="340"/>
    </row>
    <row r="10" spans="1:26" s="126" customFormat="1" ht="12.75" x14ac:dyDescent="0.2">
      <c r="A10" s="126" t="s">
        <v>112</v>
      </c>
      <c r="D10" s="341">
        <v>100</v>
      </c>
      <c r="E10" s="336">
        <v>0.88</v>
      </c>
      <c r="F10" s="336">
        <v>0.88</v>
      </c>
      <c r="G10" s="341">
        <v>1000</v>
      </c>
      <c r="H10" s="337">
        <f t="shared" si="0"/>
        <v>880</v>
      </c>
      <c r="I10" s="336"/>
      <c r="J10" s="336"/>
      <c r="K10" s="338">
        <f t="shared" si="1"/>
        <v>880</v>
      </c>
      <c r="L10" s="339"/>
      <c r="O10" s="340"/>
    </row>
    <row r="11" spans="1:26" s="126" customFormat="1" ht="12.75" x14ac:dyDescent="0.2">
      <c r="A11" s="126" t="s">
        <v>292</v>
      </c>
      <c r="D11" s="336">
        <v>54</v>
      </c>
      <c r="E11" s="336">
        <v>0.6</v>
      </c>
      <c r="F11" s="336">
        <v>0.6</v>
      </c>
      <c r="G11" s="342">
        <v>1000</v>
      </c>
      <c r="H11" s="337">
        <f>SUM(E11*G11)</f>
        <v>600</v>
      </c>
      <c r="I11" s="336">
        <v>7862</v>
      </c>
      <c r="J11" s="336"/>
      <c r="K11" s="338">
        <f>+H11+I11+J11</f>
        <v>8462</v>
      </c>
      <c r="L11" s="126">
        <v>652</v>
      </c>
      <c r="O11" s="340"/>
      <c r="R11" s="334"/>
      <c r="S11" s="336"/>
      <c r="T11" s="336"/>
      <c r="U11" s="343"/>
      <c r="V11" s="337"/>
      <c r="W11" s="336"/>
      <c r="X11" s="336"/>
      <c r="Y11" s="344"/>
      <c r="Z11" s="339"/>
    </row>
    <row r="12" spans="1:26" s="126" customFormat="1" ht="12.75" x14ac:dyDescent="0.2">
      <c r="A12" s="126" t="s">
        <v>293</v>
      </c>
      <c r="D12" s="334" t="s">
        <v>294</v>
      </c>
      <c r="E12" s="336"/>
      <c r="F12" s="336"/>
      <c r="G12" s="341"/>
      <c r="H12" s="337">
        <f>SUM(E12*G12)</f>
        <v>0</v>
      </c>
      <c r="I12" s="335" t="s">
        <v>295</v>
      </c>
      <c r="J12" s="336"/>
      <c r="K12" s="338">
        <v>0</v>
      </c>
      <c r="O12" s="340"/>
      <c r="R12" s="335"/>
      <c r="S12" s="336"/>
      <c r="T12" s="336"/>
      <c r="U12" s="336"/>
      <c r="V12" s="337"/>
      <c r="W12" s="336"/>
      <c r="X12" s="336"/>
      <c r="Y12" s="344"/>
    </row>
    <row r="13" spans="1:26" s="126" customFormat="1" ht="12.75" x14ac:dyDescent="0.2">
      <c r="A13" s="126" t="s">
        <v>296</v>
      </c>
      <c r="D13" s="334" t="s">
        <v>139</v>
      </c>
      <c r="E13" s="335"/>
      <c r="F13" s="335"/>
      <c r="G13" s="341"/>
      <c r="H13" s="337" t="s">
        <v>297</v>
      </c>
      <c r="I13" s="336"/>
      <c r="J13" s="336"/>
      <c r="K13" s="338">
        <v>0</v>
      </c>
      <c r="O13" s="340"/>
    </row>
    <row r="14" spans="1:26" s="126" customFormat="1" ht="12.75" x14ac:dyDescent="0.2">
      <c r="A14" s="126" t="s">
        <v>298</v>
      </c>
      <c r="D14" s="334" t="s">
        <v>299</v>
      </c>
      <c r="E14" s="336"/>
      <c r="F14" s="336"/>
      <c r="G14" s="341"/>
      <c r="H14" s="337">
        <f>SUM(E14*G14)</f>
        <v>0</v>
      </c>
      <c r="I14" s="335" t="s">
        <v>300</v>
      </c>
      <c r="J14" s="336"/>
      <c r="K14" s="338">
        <v>0</v>
      </c>
      <c r="O14" s="340"/>
      <c r="Z14" s="339"/>
    </row>
    <row r="15" spans="1:26" s="126" customFormat="1" ht="12.75" x14ac:dyDescent="0.2">
      <c r="A15" s="126" t="s">
        <v>113</v>
      </c>
      <c r="D15" s="334">
        <v>100</v>
      </c>
      <c r="E15" s="344">
        <v>5.39</v>
      </c>
      <c r="F15" s="344">
        <v>3.88</v>
      </c>
      <c r="G15" s="341">
        <v>1131.25</v>
      </c>
      <c r="H15" s="345">
        <f t="shared" si="0"/>
        <v>6097.4375</v>
      </c>
      <c r="I15" s="344"/>
      <c r="J15" s="344"/>
      <c r="K15" s="338">
        <f t="shared" si="1"/>
        <v>6097.4375</v>
      </c>
      <c r="L15" s="346"/>
      <c r="M15" s="340"/>
      <c r="O15" s="340"/>
    </row>
    <row r="16" spans="1:26" s="126" customFormat="1" ht="12.75" x14ac:dyDescent="0.2">
      <c r="A16" s="126" t="s">
        <v>114</v>
      </c>
      <c r="D16" s="334" t="s">
        <v>110</v>
      </c>
      <c r="E16" s="347"/>
      <c r="F16" s="347"/>
      <c r="G16" s="334"/>
      <c r="H16" s="337" t="s">
        <v>301</v>
      </c>
      <c r="I16" s="344"/>
      <c r="J16" s="347" t="s">
        <v>302</v>
      </c>
      <c r="K16" s="338">
        <v>0</v>
      </c>
      <c r="L16" s="346"/>
      <c r="M16" s="340"/>
      <c r="O16" s="340"/>
    </row>
    <row r="17" spans="1:16" s="126" customFormat="1" ht="12.75" x14ac:dyDescent="0.2">
      <c r="A17" s="126" t="s">
        <v>303</v>
      </c>
      <c r="D17" s="334">
        <v>78</v>
      </c>
      <c r="E17" s="347">
        <v>10.95</v>
      </c>
      <c r="F17" s="347">
        <v>1.83</v>
      </c>
      <c r="G17" s="341">
        <v>604</v>
      </c>
      <c r="H17" s="345">
        <f t="shared" si="0"/>
        <v>6613.7999999999993</v>
      </c>
      <c r="I17" s="344"/>
      <c r="J17" s="338">
        <f>35.72*54.7</f>
        <v>1953.884</v>
      </c>
      <c r="K17" s="338">
        <f t="shared" si="1"/>
        <v>8567.6839999999993</v>
      </c>
      <c r="L17" s="346"/>
      <c r="M17" s="348">
        <v>466.6</v>
      </c>
      <c r="O17" s="340"/>
    </row>
    <row r="18" spans="1:16" s="126" customFormat="1" ht="12.75" x14ac:dyDescent="0.2">
      <c r="A18" s="126" t="s">
        <v>115</v>
      </c>
      <c r="D18" s="341">
        <v>100</v>
      </c>
      <c r="E18" s="344">
        <v>0.97</v>
      </c>
      <c r="F18" s="344">
        <v>0.97</v>
      </c>
      <c r="G18" s="341">
        <v>1000</v>
      </c>
      <c r="H18" s="345">
        <f t="shared" si="0"/>
        <v>970</v>
      </c>
      <c r="I18" s="344"/>
      <c r="J18" s="338">
        <f>101*7</f>
        <v>707</v>
      </c>
      <c r="K18" s="338">
        <f t="shared" si="1"/>
        <v>1677</v>
      </c>
      <c r="L18" s="346"/>
      <c r="M18" s="340"/>
      <c r="O18" s="340"/>
    </row>
    <row r="19" spans="1:16" s="126" customFormat="1" ht="12.75" x14ac:dyDescent="0.2">
      <c r="A19" s="126" t="s">
        <v>304</v>
      </c>
      <c r="D19" s="341">
        <v>100</v>
      </c>
      <c r="E19" s="344">
        <v>12.4</v>
      </c>
      <c r="F19" s="344">
        <v>8.07</v>
      </c>
      <c r="G19" s="341">
        <v>1023.35</v>
      </c>
      <c r="H19" s="345">
        <f t="shared" si="0"/>
        <v>12689.54</v>
      </c>
      <c r="I19" s="344"/>
      <c r="J19" s="344"/>
      <c r="K19" s="338">
        <f t="shared" si="1"/>
        <v>12689.54</v>
      </c>
      <c r="L19" s="346"/>
      <c r="M19" s="340"/>
      <c r="O19" s="340"/>
    </row>
    <row r="20" spans="1:16" s="126" customFormat="1" ht="12.75" x14ac:dyDescent="0.2">
      <c r="A20" s="126" t="s">
        <v>305</v>
      </c>
      <c r="D20" s="334">
        <v>100</v>
      </c>
      <c r="E20" s="344">
        <v>2.39</v>
      </c>
      <c r="F20" s="344">
        <v>1.94</v>
      </c>
      <c r="G20" s="341">
        <v>1061.96</v>
      </c>
      <c r="H20" s="345">
        <f t="shared" si="0"/>
        <v>2538.0844000000002</v>
      </c>
      <c r="I20" s="338">
        <v>3323.86</v>
      </c>
      <c r="J20" s="344"/>
      <c r="K20" s="338">
        <f t="shared" si="1"/>
        <v>5861.9444000000003</v>
      </c>
      <c r="L20" s="346"/>
      <c r="M20" s="340"/>
      <c r="O20" s="340"/>
    </row>
    <row r="21" spans="1:16" s="126" customFormat="1" ht="12.75" x14ac:dyDescent="0.2">
      <c r="A21" s="126" t="s">
        <v>32</v>
      </c>
      <c r="D21" s="334">
        <v>44</v>
      </c>
      <c r="E21" s="344">
        <v>0.5</v>
      </c>
      <c r="F21" s="340">
        <v>0.5</v>
      </c>
      <c r="G21" s="341">
        <v>1061</v>
      </c>
      <c r="H21" s="345">
        <f t="shared" si="0"/>
        <v>530.5</v>
      </c>
      <c r="I21" s="338">
        <v>1578.95</v>
      </c>
      <c r="J21" s="340"/>
      <c r="K21" s="338">
        <f t="shared" si="1"/>
        <v>2109.4499999999998</v>
      </c>
      <c r="L21" s="349"/>
      <c r="M21" s="340"/>
      <c r="O21" s="340"/>
    </row>
    <row r="22" spans="1:16" s="126" customFormat="1" ht="12.75" x14ac:dyDescent="0.2">
      <c r="A22" s="328" t="s">
        <v>118</v>
      </c>
      <c r="B22" s="328"/>
      <c r="C22" s="328"/>
      <c r="D22" s="117"/>
      <c r="E22" s="350">
        <f>SUM(E9:E21)</f>
        <v>36.39</v>
      </c>
      <c r="F22" s="350">
        <f>SUM(F9:F21)</f>
        <v>20.790000000000003</v>
      </c>
      <c r="G22" s="350"/>
      <c r="H22" s="351">
        <f>SUM(H9:H21)</f>
        <v>33229.361900000004</v>
      </c>
      <c r="I22" s="351">
        <f>SUM(I9:I21)</f>
        <v>12764.810000000001</v>
      </c>
      <c r="J22" s="351">
        <f>SUM(J9:J21)</f>
        <v>3618.884</v>
      </c>
      <c r="K22" s="351">
        <f>SUM(H22:J22)</f>
        <v>49613.055899999999</v>
      </c>
      <c r="L22" s="351">
        <f>SUM(L9:L21)</f>
        <v>652</v>
      </c>
      <c r="M22" s="351">
        <f>SUM(M9:M21)</f>
        <v>466.6</v>
      </c>
      <c r="N22" s="351"/>
    </row>
    <row r="23" spans="1:16" s="126" customFormat="1" ht="12.75" x14ac:dyDescent="0.2">
      <c r="A23" s="332" t="s">
        <v>119</v>
      </c>
      <c r="B23" s="332"/>
      <c r="C23" s="332"/>
      <c r="D23" s="116"/>
      <c r="E23" s="352">
        <f>SUM(E22-F22)</f>
        <v>15.599999999999998</v>
      </c>
      <c r="F23" s="352"/>
      <c r="G23" s="352"/>
      <c r="H23" s="353">
        <f>SUM(E31*G31)</f>
        <v>14369.453794594596</v>
      </c>
      <c r="I23" s="353">
        <f>I22-L22</f>
        <v>12112.810000000001</v>
      </c>
      <c r="J23" s="353">
        <f>J22-M22</f>
        <v>3152.2840000000001</v>
      </c>
      <c r="K23" s="353">
        <v>29634</v>
      </c>
      <c r="L23" s="353"/>
      <c r="M23" s="353"/>
    </row>
    <row r="24" spans="1:16" s="126" customFormat="1" ht="12.75" x14ac:dyDescent="0.2">
      <c r="C24" s="126" t="s">
        <v>35</v>
      </c>
      <c r="H24" s="348"/>
      <c r="I24" s="348"/>
      <c r="J24" s="348"/>
      <c r="K24" s="348"/>
    </row>
    <row r="25" spans="1:16" s="126" customFormat="1" ht="12.75" x14ac:dyDescent="0.2">
      <c r="A25" s="126" t="s">
        <v>36</v>
      </c>
      <c r="I25" s="348"/>
      <c r="J25" s="348"/>
      <c r="K25" s="348"/>
    </row>
    <row r="26" spans="1:16" s="126" customFormat="1" ht="12.75" x14ac:dyDescent="0.2">
      <c r="A26" s="354" t="s">
        <v>17</v>
      </c>
      <c r="B26" s="354"/>
      <c r="C26" s="354"/>
      <c r="D26" s="354" t="s">
        <v>37</v>
      </c>
      <c r="E26" s="354" t="s">
        <v>84</v>
      </c>
      <c r="F26" s="354"/>
      <c r="G26" s="354" t="s">
        <v>39</v>
      </c>
      <c r="J26" s="77" t="s">
        <v>40</v>
      </c>
      <c r="K26" s="126">
        <v>0.7</v>
      </c>
    </row>
    <row r="27" spans="1:16" s="126" customFormat="1" ht="12.75" x14ac:dyDescent="0.2">
      <c r="A27" s="126" t="s">
        <v>41</v>
      </c>
      <c r="J27" s="77" t="s">
        <v>42</v>
      </c>
      <c r="K27" s="126">
        <v>0.5</v>
      </c>
      <c r="P27" s="348"/>
    </row>
    <row r="28" spans="1:16" s="126" customFormat="1" ht="12.75" x14ac:dyDescent="0.2">
      <c r="A28" s="126" t="s">
        <v>43</v>
      </c>
      <c r="B28" s="355" t="s">
        <v>110</v>
      </c>
      <c r="D28" s="126" t="s">
        <v>44</v>
      </c>
      <c r="E28" s="356" t="s">
        <v>306</v>
      </c>
      <c r="G28" s="356" t="s">
        <v>307</v>
      </c>
      <c r="O28" s="340"/>
    </row>
    <row r="29" spans="1:16" s="126" customFormat="1" ht="12.75" x14ac:dyDescent="0.2">
      <c r="A29" s="126" t="s">
        <v>303</v>
      </c>
      <c r="B29" s="355">
        <v>78</v>
      </c>
      <c r="D29" s="126" t="s">
        <v>44</v>
      </c>
      <c r="E29" s="356">
        <v>35.72</v>
      </c>
      <c r="G29" s="356">
        <v>54.7</v>
      </c>
      <c r="J29" s="357" t="s">
        <v>85</v>
      </c>
      <c r="K29" s="358" t="s">
        <v>128</v>
      </c>
    </row>
    <row r="30" spans="1:16" s="126" customFormat="1" ht="12.75" x14ac:dyDescent="0.2">
      <c r="A30" s="126" t="s">
        <v>46</v>
      </c>
      <c r="J30" s="357" t="s">
        <v>308</v>
      </c>
      <c r="K30" s="358">
        <v>5</v>
      </c>
    </row>
    <row r="31" spans="1:16" s="126" customFormat="1" ht="12.75" x14ac:dyDescent="0.2">
      <c r="A31" s="126" t="s">
        <v>48</v>
      </c>
      <c r="D31" s="126" t="s">
        <v>49</v>
      </c>
      <c r="E31" s="348">
        <v>16</v>
      </c>
      <c r="G31" s="348">
        <f>H22/E33</f>
        <v>898.09086216216224</v>
      </c>
      <c r="I31" s="77"/>
      <c r="J31" s="357" t="s">
        <v>309</v>
      </c>
      <c r="K31" s="358">
        <v>34</v>
      </c>
    </row>
    <row r="32" spans="1:16" s="126" customFormat="1" ht="12.75" x14ac:dyDescent="0.2">
      <c r="A32" s="126" t="s">
        <v>51</v>
      </c>
      <c r="D32" s="126" t="s">
        <v>49</v>
      </c>
      <c r="E32" s="348">
        <v>21</v>
      </c>
      <c r="I32" s="77"/>
      <c r="J32" s="357" t="s">
        <v>310</v>
      </c>
      <c r="K32" s="358">
        <v>15</v>
      </c>
    </row>
    <row r="33" spans="1:15" s="126" customFormat="1" ht="12.75" x14ac:dyDescent="0.2">
      <c r="A33" s="126" t="s">
        <v>2</v>
      </c>
      <c r="E33" s="348">
        <f>E31+E32</f>
        <v>37</v>
      </c>
      <c r="I33" s="77"/>
      <c r="J33" s="357" t="s">
        <v>311</v>
      </c>
      <c r="K33" s="358">
        <v>21</v>
      </c>
      <c r="O33" s="340"/>
    </row>
    <row r="34" spans="1:15" s="126" customFormat="1" ht="12.75" x14ac:dyDescent="0.2">
      <c r="A34" s="328" t="s">
        <v>52</v>
      </c>
      <c r="B34" s="328"/>
      <c r="C34" s="328" t="s">
        <v>53</v>
      </c>
      <c r="D34" s="328"/>
      <c r="E34" s="328"/>
      <c r="F34" s="328"/>
      <c r="G34" s="328"/>
      <c r="I34" s="77"/>
      <c r="J34" s="359" t="s">
        <v>91</v>
      </c>
      <c r="K34" s="358">
        <v>25</v>
      </c>
    </row>
    <row r="35" spans="1:15" s="126" customFormat="1" ht="12.75" x14ac:dyDescent="0.2">
      <c r="A35" s="77" t="s">
        <v>93</v>
      </c>
      <c r="B35" s="77" t="s">
        <v>95</v>
      </c>
      <c r="C35" s="360">
        <v>74</v>
      </c>
      <c r="D35" s="77"/>
      <c r="E35" s="122">
        <v>7</v>
      </c>
      <c r="F35" s="122"/>
      <c r="G35" s="122">
        <v>7</v>
      </c>
      <c r="I35" s="77"/>
      <c r="J35" s="122"/>
      <c r="K35" s="77">
        <f>SUM(K30:K34)</f>
        <v>100</v>
      </c>
    </row>
    <row r="36" spans="1:15" s="126" customFormat="1" ht="12.75" x14ac:dyDescent="0.2">
      <c r="A36" s="77"/>
      <c r="B36" s="77" t="s">
        <v>96</v>
      </c>
      <c r="C36" s="360">
        <v>80</v>
      </c>
      <c r="D36" s="77"/>
      <c r="E36" s="361">
        <v>15</v>
      </c>
      <c r="F36" s="122"/>
      <c r="G36" s="122">
        <v>7</v>
      </c>
      <c r="I36" s="77"/>
      <c r="J36" s="122"/>
      <c r="K36" s="77"/>
    </row>
    <row r="37" spans="1:15" s="126" customFormat="1" ht="12.75" x14ac:dyDescent="0.2">
      <c r="A37" s="77"/>
      <c r="B37" s="77" t="s">
        <v>104</v>
      </c>
      <c r="C37" s="360">
        <v>100</v>
      </c>
      <c r="D37" s="77"/>
      <c r="E37" s="122">
        <v>24</v>
      </c>
      <c r="F37" s="122"/>
      <c r="G37" s="122">
        <v>7</v>
      </c>
      <c r="I37" s="77"/>
      <c r="J37" s="122"/>
      <c r="K37" s="77"/>
    </row>
    <row r="38" spans="1:15" s="126" customFormat="1" ht="12.75" x14ac:dyDescent="0.2">
      <c r="A38" s="77" t="s">
        <v>312</v>
      </c>
      <c r="B38" s="77" t="s">
        <v>95</v>
      </c>
      <c r="C38" s="360">
        <v>100</v>
      </c>
      <c r="D38" s="77"/>
      <c r="E38" s="122">
        <v>38</v>
      </c>
      <c r="F38" s="122"/>
      <c r="G38" s="122">
        <v>7</v>
      </c>
      <c r="I38" s="77"/>
      <c r="J38" s="122"/>
      <c r="K38" s="77"/>
    </row>
    <row r="39" spans="1:15" s="126" customFormat="1" ht="12.75" x14ac:dyDescent="0.2">
      <c r="A39" s="77"/>
      <c r="B39" s="77" t="s">
        <v>96</v>
      </c>
      <c r="C39" s="360">
        <v>100</v>
      </c>
      <c r="D39" s="77"/>
      <c r="E39" s="122">
        <v>17</v>
      </c>
      <c r="F39" s="122"/>
      <c r="G39" s="122">
        <v>7</v>
      </c>
      <c r="I39" s="77"/>
      <c r="J39" s="122"/>
      <c r="K39" s="77"/>
    </row>
    <row r="40" spans="1:15" s="126" customFormat="1" ht="12.75" x14ac:dyDescent="0.2">
      <c r="A40" s="328" t="s">
        <v>60</v>
      </c>
      <c r="B40" s="328"/>
      <c r="C40" s="328"/>
      <c r="D40" s="328"/>
      <c r="E40" s="350"/>
      <c r="F40" s="328"/>
      <c r="G40" s="328"/>
    </row>
    <row r="41" spans="1:15" s="126" customFormat="1" ht="12.75" x14ac:dyDescent="0.2">
      <c r="A41" s="77" t="s">
        <v>121</v>
      </c>
      <c r="B41" s="77"/>
      <c r="C41" s="77"/>
      <c r="D41" s="77"/>
      <c r="E41" s="77"/>
      <c r="F41" s="77"/>
      <c r="G41" s="90">
        <v>1343</v>
      </c>
      <c r="J41" s="348">
        <f>++G41*2.471</f>
        <v>3318.5530000000003</v>
      </c>
    </row>
    <row r="42" spans="1:15" s="126" customFormat="1" ht="12.75" x14ac:dyDescent="0.2">
      <c r="A42" s="77" t="s">
        <v>98</v>
      </c>
      <c r="B42" s="77"/>
      <c r="C42" s="77"/>
      <c r="D42" s="77"/>
      <c r="E42" s="77"/>
      <c r="F42" s="77"/>
      <c r="G42" s="362">
        <v>31.34</v>
      </c>
      <c r="J42" s="348"/>
    </row>
    <row r="43" spans="1:15" s="126" customFormat="1" ht="12.75" x14ac:dyDescent="0.2">
      <c r="A43" s="77" t="s">
        <v>122</v>
      </c>
      <c r="B43" s="77"/>
      <c r="C43" s="77"/>
      <c r="D43" s="77"/>
      <c r="E43" s="77"/>
      <c r="F43" s="77"/>
      <c r="G43" s="363">
        <f>SUM(G41*G42)</f>
        <v>42089.62</v>
      </c>
      <c r="J43" s="348">
        <f t="shared" ref="J43:J45" si="2">++G43*2.471</f>
        <v>104003.45102000001</v>
      </c>
      <c r="K43" s="336"/>
    </row>
    <row r="44" spans="1:15" s="126" customFormat="1" ht="12.75" x14ac:dyDescent="0.2">
      <c r="A44" s="77" t="s">
        <v>123</v>
      </c>
      <c r="B44" s="77"/>
      <c r="C44" s="77"/>
      <c r="D44" s="77"/>
      <c r="E44" s="77"/>
      <c r="F44" s="77"/>
      <c r="G44" s="363">
        <f>SUM(G43-K22)</f>
        <v>-7523.4358999999968</v>
      </c>
      <c r="H44" s="348"/>
      <c r="J44" s="348">
        <f t="shared" si="2"/>
        <v>-18590.410108899992</v>
      </c>
      <c r="K44" s="336"/>
    </row>
    <row r="45" spans="1:15" s="126" customFormat="1" ht="12.75" x14ac:dyDescent="0.2">
      <c r="A45" s="77" t="s">
        <v>124</v>
      </c>
      <c r="B45" s="77"/>
      <c r="C45" s="77"/>
      <c r="D45" s="77"/>
      <c r="E45" s="77"/>
      <c r="F45" s="77"/>
      <c r="G45" s="363">
        <v>12456</v>
      </c>
      <c r="H45" s="348">
        <f>42090-29634</f>
        <v>12456</v>
      </c>
      <c r="J45" s="348">
        <f t="shared" si="2"/>
        <v>30778.776000000002</v>
      </c>
      <c r="K45" s="336"/>
    </row>
    <row r="46" spans="1:15" s="126" customFormat="1" ht="12.75" x14ac:dyDescent="0.2">
      <c r="A46" s="77" t="s">
        <v>125</v>
      </c>
      <c r="B46" s="77"/>
      <c r="C46" s="77"/>
      <c r="D46" s="77"/>
      <c r="E46" s="77"/>
      <c r="F46" s="77"/>
      <c r="G46" s="362">
        <f>SUM(K22/G41)</f>
        <v>36.941962695457931</v>
      </c>
      <c r="J46" s="336"/>
      <c r="K46" s="336"/>
    </row>
    <row r="47" spans="1:15" s="126" customFormat="1" ht="12.75" x14ac:dyDescent="0.2">
      <c r="A47" s="332" t="s">
        <v>126</v>
      </c>
      <c r="B47" s="332"/>
      <c r="C47" s="332"/>
      <c r="D47" s="332"/>
      <c r="E47" s="332"/>
      <c r="F47" s="332"/>
      <c r="G47" s="364">
        <f>SUM(K23/G41)</f>
        <v>22.065524944154877</v>
      </c>
      <c r="J47" s="336"/>
      <c r="K47" s="336"/>
    </row>
    <row r="48" spans="1:15" s="126" customFormat="1" ht="13.5" x14ac:dyDescent="0.25">
      <c r="A48" s="81"/>
    </row>
    <row r="49" spans="1:26" s="126" customFormat="1" ht="12.75" x14ac:dyDescent="0.2"/>
    <row r="50" spans="1:26" s="126" customFormat="1" ht="12.75" x14ac:dyDescent="0.2"/>
    <row r="51" spans="1:26" s="126" customFormat="1" ht="12.75" x14ac:dyDescent="0.2">
      <c r="Z51" s="126" t="s">
        <v>313</v>
      </c>
    </row>
    <row r="52" spans="1:26" s="367" customFormat="1" ht="12" x14ac:dyDescent="0.2">
      <c r="A52" s="17" t="s">
        <v>58</v>
      </c>
      <c r="B52" s="18"/>
      <c r="C52" s="19">
        <v>83</v>
      </c>
      <c r="D52" s="17" t="s">
        <v>44</v>
      </c>
      <c r="E52" s="19">
        <v>26</v>
      </c>
      <c r="F52" s="17"/>
      <c r="G52" s="21">
        <v>7</v>
      </c>
      <c r="H52" s="17"/>
      <c r="I52" s="365"/>
      <c r="J52" s="14"/>
      <c r="K52" s="17"/>
      <c r="L52" s="17"/>
      <c r="M52" s="366"/>
    </row>
    <row r="53" spans="1:26" s="367" customFormat="1" ht="12" x14ac:dyDescent="0.2">
      <c r="A53" s="17"/>
      <c r="B53" s="18"/>
      <c r="C53" s="19"/>
      <c r="D53" s="17"/>
      <c r="E53" s="21"/>
      <c r="F53" s="17"/>
      <c r="G53" s="21"/>
      <c r="H53" s="17"/>
      <c r="I53" s="13"/>
      <c r="J53" s="14"/>
      <c r="K53" s="17"/>
      <c r="L53" s="17"/>
      <c r="M53" s="39"/>
    </row>
    <row r="54" spans="1:26" s="367" customFormat="1" ht="12" x14ac:dyDescent="0.2">
      <c r="A54" s="17" t="s">
        <v>60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39"/>
    </row>
    <row r="55" spans="1:26" s="367" customFormat="1" ht="12" x14ac:dyDescent="0.2">
      <c r="A55" s="22"/>
      <c r="B55" s="22"/>
      <c r="C55" s="15"/>
      <c r="D55" s="15"/>
      <c r="E55" s="15"/>
      <c r="F55" s="15"/>
      <c r="G55" s="15"/>
      <c r="H55" s="15"/>
      <c r="I55" s="15" t="s">
        <v>62</v>
      </c>
      <c r="J55" s="15"/>
      <c r="K55" s="17"/>
      <c r="L55" s="17"/>
      <c r="M55" s="39"/>
    </row>
    <row r="56" spans="1:26" s="367" customFormat="1" ht="12" x14ac:dyDescent="0.2">
      <c r="A56" s="17" t="s">
        <v>63</v>
      </c>
      <c r="B56" s="17"/>
      <c r="C56" s="17"/>
      <c r="D56" s="17"/>
      <c r="E56" s="17"/>
      <c r="F56" s="17"/>
      <c r="G56" s="17">
        <v>1298</v>
      </c>
      <c r="H56" s="17"/>
      <c r="I56" s="17">
        <f>+G56*2.471</f>
        <v>3207.3580000000002</v>
      </c>
      <c r="J56" s="17"/>
      <c r="K56" s="17"/>
      <c r="L56" s="17"/>
      <c r="M56" s="39"/>
    </row>
    <row r="57" spans="1:26" s="367" customFormat="1" ht="12" x14ac:dyDescent="0.2">
      <c r="A57" s="17" t="s">
        <v>64</v>
      </c>
      <c r="B57" s="17"/>
      <c r="C57" s="17"/>
      <c r="D57" s="17"/>
      <c r="E57" s="17"/>
      <c r="F57" s="17"/>
      <c r="G57" s="17">
        <v>40</v>
      </c>
      <c r="H57" s="17"/>
      <c r="I57" s="17"/>
      <c r="J57" s="17"/>
      <c r="K57" s="17"/>
      <c r="L57" s="17"/>
      <c r="M57" s="39"/>
    </row>
    <row r="58" spans="1:26" s="367" customFormat="1" ht="12" x14ac:dyDescent="0.2">
      <c r="A58" s="17" t="s">
        <v>65</v>
      </c>
      <c r="B58" s="17"/>
      <c r="C58" s="17"/>
      <c r="D58" s="17"/>
      <c r="E58" s="17"/>
      <c r="F58" s="17"/>
      <c r="G58" s="17">
        <f>+G56*G57</f>
        <v>51920</v>
      </c>
      <c r="H58" s="17"/>
      <c r="I58" s="17">
        <f>+G58*2.471</f>
        <v>128294.32</v>
      </c>
      <c r="J58" s="17"/>
      <c r="K58" s="17"/>
      <c r="L58" s="17"/>
      <c r="M58" s="39"/>
    </row>
    <row r="59" spans="1:26" s="367" customFormat="1" ht="12" x14ac:dyDescent="0.2">
      <c r="A59" s="17" t="s">
        <v>66</v>
      </c>
      <c r="B59" s="17"/>
      <c r="C59" s="17"/>
      <c r="D59" s="17"/>
      <c r="E59" s="17"/>
      <c r="F59" s="17"/>
      <c r="G59" s="17">
        <f>+G58-K27</f>
        <v>51919.5</v>
      </c>
      <c r="H59" s="17"/>
      <c r="I59" s="17">
        <f>+G59*2.471</f>
        <v>128293.0845</v>
      </c>
      <c r="J59" s="17"/>
      <c r="K59" s="17"/>
      <c r="L59" s="17"/>
      <c r="M59" s="17"/>
    </row>
    <row r="60" spans="1:26" s="367" customFormat="1" ht="12" x14ac:dyDescent="0.2">
      <c r="A60" s="17" t="s">
        <v>67</v>
      </c>
      <c r="B60" s="17"/>
      <c r="C60" s="17"/>
      <c r="D60" s="17"/>
      <c r="E60" s="17"/>
      <c r="F60" s="17"/>
      <c r="G60" s="40">
        <f>+G58-K28</f>
        <v>51920</v>
      </c>
      <c r="H60" s="17"/>
      <c r="I60" s="17">
        <f>+G60*2.471</f>
        <v>128294.32</v>
      </c>
      <c r="J60" s="17"/>
      <c r="K60" s="17"/>
      <c r="L60" s="17"/>
      <c r="M60" s="17"/>
    </row>
    <row r="61" spans="1:26" s="367" customFormat="1" ht="12" x14ac:dyDescent="0.2">
      <c r="A61" s="17" t="s">
        <v>68</v>
      </c>
      <c r="B61" s="17"/>
      <c r="C61" s="17"/>
      <c r="D61" s="17"/>
      <c r="E61" s="17"/>
      <c r="F61" s="17"/>
      <c r="G61" s="17">
        <f>+K27/G56</f>
        <v>3.8520801232665641E-4</v>
      </c>
      <c r="H61" s="17"/>
      <c r="I61" s="17"/>
      <c r="J61" s="17"/>
      <c r="K61" s="17"/>
      <c r="L61" s="17"/>
      <c r="M61" s="17"/>
    </row>
    <row r="62" spans="1:26" s="367" customFormat="1" ht="12" x14ac:dyDescent="0.2">
      <c r="A62" s="15" t="s">
        <v>69</v>
      </c>
      <c r="B62" s="15"/>
      <c r="C62" s="15"/>
      <c r="D62" s="15"/>
      <c r="E62" s="15"/>
      <c r="F62" s="15"/>
      <c r="G62" s="15">
        <f>+K28/G56</f>
        <v>0</v>
      </c>
      <c r="H62" s="15"/>
      <c r="I62" s="15"/>
      <c r="J62" s="15"/>
      <c r="K62" s="17"/>
      <c r="L62" s="17"/>
      <c r="M62" s="17"/>
    </row>
    <row r="63" spans="1:26" s="367" customFormat="1" ht="12" x14ac:dyDescent="0.2"/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M55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39" x14ac:dyDescent="0.25">
      <c r="A1" s="45" t="s">
        <v>137</v>
      </c>
      <c r="B1" s="45"/>
    </row>
    <row r="2" spans="1:39" x14ac:dyDescent="0.25">
      <c r="A2" s="45" t="s">
        <v>142</v>
      </c>
      <c r="B2" s="45"/>
    </row>
    <row r="3" spans="1:39" x14ac:dyDescent="0.25">
      <c r="A3" s="7" t="s">
        <v>175</v>
      </c>
      <c r="B3" s="45"/>
    </row>
    <row r="4" spans="1:39" x14ac:dyDescent="0.25">
      <c r="A4" s="7"/>
      <c r="B4" s="7"/>
    </row>
    <row r="5" spans="1:39" s="46" customFormat="1" ht="15" customHeight="1" x14ac:dyDescent="0.2">
      <c r="A5" s="17" t="s">
        <v>143</v>
      </c>
      <c r="B5" s="17" t="s">
        <v>144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</row>
    <row r="6" spans="1:39" s="46" customFormat="1" ht="15" customHeight="1" x14ac:dyDescent="0.2">
      <c r="A6" s="17"/>
      <c r="B6" s="17" t="s">
        <v>145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</row>
    <row r="7" spans="1:39" s="46" customFormat="1" ht="12" x14ac:dyDescent="0.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17"/>
      <c r="M7" s="1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</row>
    <row r="8" spans="1:39" s="126" customFormat="1" ht="12.75" x14ac:dyDescent="0.2">
      <c r="A8" s="328" t="s">
        <v>0</v>
      </c>
      <c r="B8" s="328"/>
      <c r="C8" s="328"/>
      <c r="D8" s="329" t="s">
        <v>1</v>
      </c>
      <c r="E8" s="329" t="s">
        <v>2</v>
      </c>
      <c r="F8" s="329" t="s">
        <v>73</v>
      </c>
      <c r="G8" s="329" t="s">
        <v>74</v>
      </c>
      <c r="H8" s="329" t="s">
        <v>5</v>
      </c>
      <c r="I8" s="329" t="s">
        <v>6</v>
      </c>
      <c r="J8" s="329" t="s">
        <v>7</v>
      </c>
      <c r="K8" s="329" t="s">
        <v>8</v>
      </c>
      <c r="L8" s="66" t="s">
        <v>75</v>
      </c>
      <c r="M8" s="65"/>
    </row>
    <row r="9" spans="1:39" s="126" customFormat="1" ht="12.75" x14ac:dyDescent="0.2">
      <c r="A9" s="77"/>
      <c r="B9" s="77"/>
      <c r="C9" s="77"/>
      <c r="D9" s="331" t="s">
        <v>11</v>
      </c>
      <c r="E9" s="331" t="s">
        <v>76</v>
      </c>
      <c r="F9" s="331" t="s">
        <v>76</v>
      </c>
      <c r="G9" s="331" t="s">
        <v>77</v>
      </c>
      <c r="H9" s="331" t="s">
        <v>15</v>
      </c>
      <c r="I9" s="331" t="s">
        <v>78</v>
      </c>
      <c r="J9" s="331" t="s">
        <v>15</v>
      </c>
      <c r="K9" s="331" t="s">
        <v>15</v>
      </c>
      <c r="L9" s="331" t="s">
        <v>6</v>
      </c>
      <c r="M9" s="331" t="s">
        <v>7</v>
      </c>
    </row>
    <row r="10" spans="1:39" s="126" customFormat="1" ht="12.75" x14ac:dyDescent="0.2">
      <c r="A10" s="77"/>
      <c r="B10" s="77"/>
      <c r="C10" s="77"/>
      <c r="D10" s="331" t="s">
        <v>19</v>
      </c>
      <c r="E10" s="331"/>
      <c r="F10" s="331"/>
      <c r="G10" s="331"/>
      <c r="H10" s="331" t="s">
        <v>20</v>
      </c>
      <c r="I10" s="331" t="s">
        <v>15</v>
      </c>
      <c r="J10" s="331" t="s">
        <v>20</v>
      </c>
      <c r="K10" s="331" t="s">
        <v>20</v>
      </c>
      <c r="L10" s="331"/>
      <c r="M10" s="331"/>
    </row>
    <row r="11" spans="1:39" s="126" customFormat="1" ht="12.75" x14ac:dyDescent="0.2">
      <c r="A11" s="332"/>
      <c r="B11" s="332"/>
      <c r="C11" s="332"/>
      <c r="D11" s="333"/>
      <c r="E11" s="333"/>
      <c r="F11" s="333"/>
      <c r="G11" s="333"/>
      <c r="H11" s="333"/>
      <c r="I11" s="333" t="s">
        <v>20</v>
      </c>
      <c r="J11" s="333"/>
      <c r="K11" s="333"/>
      <c r="L11" s="333"/>
      <c r="M11" s="333"/>
    </row>
    <row r="12" spans="1:39" s="126" customFormat="1" ht="12.75" x14ac:dyDescent="0.2">
      <c r="A12" s="126" t="s">
        <v>22</v>
      </c>
      <c r="D12" s="368">
        <v>100</v>
      </c>
      <c r="E12" s="340">
        <v>1.28</v>
      </c>
      <c r="F12" s="340">
        <v>1.1399999999999999</v>
      </c>
      <c r="G12" s="369">
        <v>1046.5899999999999</v>
      </c>
      <c r="H12" s="348">
        <v>1340</v>
      </c>
      <c r="I12" s="348"/>
      <c r="J12" s="348"/>
      <c r="K12" s="348">
        <v>1340</v>
      </c>
      <c r="L12" s="348"/>
      <c r="M12" s="348"/>
    </row>
    <row r="13" spans="1:39" s="126" customFormat="1" ht="12.75" x14ac:dyDescent="0.2">
      <c r="A13" s="126" t="s">
        <v>314</v>
      </c>
      <c r="D13" s="368">
        <v>64</v>
      </c>
      <c r="E13" s="340">
        <v>1.5</v>
      </c>
      <c r="F13" s="340">
        <v>1.06</v>
      </c>
      <c r="G13" s="369">
        <v>1200</v>
      </c>
      <c r="H13" s="348">
        <v>1800</v>
      </c>
      <c r="I13" s="348">
        <v>7772</v>
      </c>
      <c r="J13" s="348"/>
      <c r="K13" s="348">
        <v>9572</v>
      </c>
      <c r="L13" s="348">
        <v>852</v>
      </c>
      <c r="M13" s="348"/>
    </row>
    <row r="14" spans="1:39" s="126" customFormat="1" ht="12.75" x14ac:dyDescent="0.2">
      <c r="A14" s="126" t="s">
        <v>315</v>
      </c>
      <c r="D14" s="370" t="s">
        <v>316</v>
      </c>
      <c r="E14" s="340"/>
      <c r="F14" s="340"/>
      <c r="G14" s="369"/>
      <c r="H14" s="348"/>
      <c r="I14" s="348" t="s">
        <v>317</v>
      </c>
      <c r="J14" s="348"/>
      <c r="K14" s="348"/>
      <c r="L14" s="348"/>
      <c r="M14" s="348"/>
    </row>
    <row r="15" spans="1:39" s="126" customFormat="1" ht="12.75" x14ac:dyDescent="0.2">
      <c r="A15" s="126" t="s">
        <v>318</v>
      </c>
      <c r="D15" s="368" t="s">
        <v>139</v>
      </c>
      <c r="E15" s="340"/>
      <c r="F15" s="340"/>
      <c r="G15" s="369"/>
      <c r="H15" s="348" t="s">
        <v>319</v>
      </c>
      <c r="I15" s="348"/>
      <c r="J15" s="348"/>
      <c r="K15" s="348"/>
      <c r="L15" s="348"/>
      <c r="M15" s="348"/>
    </row>
    <row r="16" spans="1:39" s="126" customFormat="1" ht="12.75" x14ac:dyDescent="0.2">
      <c r="A16" s="126" t="s">
        <v>320</v>
      </c>
      <c r="D16" s="339" t="s">
        <v>316</v>
      </c>
      <c r="E16" s="340"/>
      <c r="F16" s="340"/>
      <c r="G16" s="369"/>
      <c r="H16" s="348"/>
      <c r="I16" s="348" t="s">
        <v>321</v>
      </c>
      <c r="J16" s="348"/>
      <c r="K16" s="348"/>
      <c r="L16" s="348"/>
      <c r="M16" s="348"/>
    </row>
    <row r="17" spans="1:32" s="126" customFormat="1" ht="12.75" x14ac:dyDescent="0.2">
      <c r="A17" s="126" t="s">
        <v>25</v>
      </c>
      <c r="D17" s="368">
        <v>100</v>
      </c>
      <c r="E17" s="340">
        <v>5.57</v>
      </c>
      <c r="F17" s="340">
        <v>2.82</v>
      </c>
      <c r="G17" s="369">
        <v>1169.3599999999999</v>
      </c>
      <c r="H17" s="348">
        <v>6513</v>
      </c>
      <c r="I17" s="348"/>
      <c r="J17" s="348"/>
      <c r="K17" s="348">
        <v>6513</v>
      </c>
      <c r="L17" s="348"/>
      <c r="M17" s="348"/>
    </row>
    <row r="18" spans="1:32" s="126" customFormat="1" ht="12.75" x14ac:dyDescent="0.2">
      <c r="A18" s="126" t="s">
        <v>43</v>
      </c>
      <c r="D18" s="368">
        <v>100</v>
      </c>
      <c r="E18" s="340">
        <v>3.05</v>
      </c>
      <c r="F18" s="340">
        <v>1.91</v>
      </c>
      <c r="G18" s="369">
        <v>1212.8699999999999</v>
      </c>
      <c r="H18" s="348">
        <v>3699</v>
      </c>
      <c r="I18" s="348"/>
      <c r="J18" s="348">
        <v>2422</v>
      </c>
      <c r="K18" s="348">
        <v>6121</v>
      </c>
      <c r="L18" s="348"/>
      <c r="M18" s="348">
        <v>731</v>
      </c>
      <c r="O18" s="340"/>
      <c r="P18" s="340"/>
      <c r="Q18" s="340"/>
      <c r="R18" s="340"/>
    </row>
    <row r="19" spans="1:32" s="126" customFormat="1" ht="12.75" x14ac:dyDescent="0.2">
      <c r="A19" s="126" t="s">
        <v>27</v>
      </c>
      <c r="D19" s="368">
        <v>100</v>
      </c>
      <c r="E19" s="340">
        <v>0.96</v>
      </c>
      <c r="F19" s="340">
        <v>1.17</v>
      </c>
      <c r="G19" s="369">
        <v>1040.43</v>
      </c>
      <c r="H19" s="348">
        <v>999</v>
      </c>
      <c r="I19" s="348"/>
      <c r="J19" s="348">
        <v>707</v>
      </c>
      <c r="K19" s="348">
        <v>1706</v>
      </c>
      <c r="L19" s="348"/>
      <c r="M19" s="348"/>
    </row>
    <row r="20" spans="1:32" s="126" customFormat="1" ht="12.75" x14ac:dyDescent="0.2">
      <c r="A20" s="126" t="s">
        <v>79</v>
      </c>
      <c r="D20" s="368">
        <v>64</v>
      </c>
      <c r="E20" s="340">
        <v>0.34</v>
      </c>
      <c r="F20" s="340">
        <v>0.17</v>
      </c>
      <c r="G20" s="369">
        <v>1200</v>
      </c>
      <c r="H20" s="348">
        <v>408</v>
      </c>
      <c r="I20" s="348"/>
      <c r="J20" s="348">
        <v>1414</v>
      </c>
      <c r="K20" s="348">
        <v>1822</v>
      </c>
      <c r="L20" s="348"/>
      <c r="M20" s="348"/>
      <c r="O20" s="340"/>
      <c r="P20" s="340"/>
      <c r="Q20" s="340"/>
      <c r="R20" s="340"/>
    </row>
    <row r="21" spans="1:32" s="126" customFormat="1" ht="12.75" x14ac:dyDescent="0.2">
      <c r="A21" s="126" t="s">
        <v>322</v>
      </c>
      <c r="D21" s="368">
        <v>68</v>
      </c>
      <c r="E21" s="340">
        <v>9.69</v>
      </c>
      <c r="F21" s="340">
        <v>5.19</v>
      </c>
      <c r="G21" s="369">
        <v>1140.1600000000001</v>
      </c>
      <c r="H21" s="348">
        <v>11048</v>
      </c>
      <c r="I21" s="348"/>
      <c r="J21" s="348"/>
      <c r="K21" s="348">
        <v>11048</v>
      </c>
      <c r="L21" s="348"/>
      <c r="M21" s="348"/>
    </row>
    <row r="22" spans="1:32" s="126" customFormat="1" ht="12.75" x14ac:dyDescent="0.2">
      <c r="A22" s="126" t="s">
        <v>323</v>
      </c>
      <c r="D22" s="368" t="s">
        <v>282</v>
      </c>
      <c r="E22" s="340"/>
      <c r="F22" s="340"/>
      <c r="G22" s="369"/>
      <c r="H22" s="348"/>
      <c r="I22" s="371" t="s">
        <v>324</v>
      </c>
      <c r="J22" s="348"/>
      <c r="K22" s="348"/>
      <c r="L22" s="348"/>
      <c r="M22" s="348"/>
    </row>
    <row r="23" spans="1:32" s="126" customFormat="1" ht="12.75" x14ac:dyDescent="0.2">
      <c r="A23" s="126" t="s">
        <v>325</v>
      </c>
      <c r="D23" s="368">
        <v>68</v>
      </c>
      <c r="E23" s="340">
        <v>1.25</v>
      </c>
      <c r="F23" s="340">
        <v>1.25</v>
      </c>
      <c r="G23" s="369">
        <v>1200</v>
      </c>
      <c r="H23" s="348">
        <v>1500</v>
      </c>
      <c r="I23" s="348">
        <v>2253</v>
      </c>
      <c r="J23" s="348"/>
      <c r="K23" s="348">
        <v>3753</v>
      </c>
      <c r="L23" s="348"/>
      <c r="M23" s="348"/>
    </row>
    <row r="24" spans="1:32" s="126" customFormat="1" ht="12.75" x14ac:dyDescent="0.2">
      <c r="A24" s="126" t="s">
        <v>83</v>
      </c>
      <c r="D24" s="110">
        <v>58</v>
      </c>
      <c r="E24" s="340">
        <v>0.63</v>
      </c>
      <c r="F24" s="340">
        <v>0.5</v>
      </c>
      <c r="G24" s="369">
        <v>1200</v>
      </c>
      <c r="H24" s="348">
        <v>756</v>
      </c>
      <c r="I24" s="348">
        <v>526</v>
      </c>
      <c r="J24" s="348"/>
      <c r="K24" s="348">
        <v>1282</v>
      </c>
      <c r="L24" s="348"/>
      <c r="M24" s="348"/>
      <c r="Q24" s="340"/>
    </row>
    <row r="25" spans="1:32" s="126" customFormat="1" ht="12.75" x14ac:dyDescent="0.2">
      <c r="A25" s="328" t="s">
        <v>33</v>
      </c>
      <c r="B25" s="328"/>
      <c r="C25" s="328"/>
      <c r="D25" s="117"/>
      <c r="E25" s="350">
        <f>SUM(E12:E24)</f>
        <v>24.27</v>
      </c>
      <c r="F25" s="350">
        <f>SUM(F12:F24)</f>
        <v>15.21</v>
      </c>
      <c r="G25" s="351"/>
      <c r="H25" s="351">
        <v>28063</v>
      </c>
      <c r="I25" s="351">
        <v>10551</v>
      </c>
      <c r="J25" s="351">
        <v>4543</v>
      </c>
      <c r="K25" s="351">
        <v>43157</v>
      </c>
      <c r="L25" s="351">
        <v>852</v>
      </c>
      <c r="M25" s="351">
        <v>731</v>
      </c>
    </row>
    <row r="26" spans="1:32" s="126" customFormat="1" ht="12.75" x14ac:dyDescent="0.2">
      <c r="A26" s="332" t="s">
        <v>34</v>
      </c>
      <c r="B26" s="332"/>
      <c r="C26" s="332"/>
      <c r="D26" s="116"/>
      <c r="E26" s="352">
        <f>SUM(E25-F25)</f>
        <v>9.0599999999999987</v>
      </c>
      <c r="F26" s="352"/>
      <c r="G26" s="353"/>
      <c r="H26" s="353">
        <v>10230</v>
      </c>
      <c r="I26" s="353">
        <v>9699</v>
      </c>
      <c r="J26" s="353">
        <v>3812</v>
      </c>
      <c r="K26" s="353">
        <v>23741</v>
      </c>
      <c r="L26" s="353"/>
      <c r="M26" s="353"/>
    </row>
    <row r="27" spans="1:32" s="126" customFormat="1" ht="12.75" x14ac:dyDescent="0.2">
      <c r="C27" s="126" t="s">
        <v>35</v>
      </c>
      <c r="H27" s="348"/>
      <c r="I27" s="348"/>
      <c r="J27" s="348"/>
      <c r="K27" s="372">
        <f>+H25+I25+J25</f>
        <v>43157</v>
      </c>
      <c r="L27" s="348">
        <f>+K24+K23+K21+K20+K19+K18+K17+K13+K12</f>
        <v>43157</v>
      </c>
      <c r="M27" s="348"/>
      <c r="AF27" s="126">
        <v>6</v>
      </c>
    </row>
    <row r="28" spans="1:32" s="126" customFormat="1" ht="15.75" x14ac:dyDescent="0.25">
      <c r="A28" s="126" t="s">
        <v>36</v>
      </c>
      <c r="K28" s="373" t="s">
        <v>85</v>
      </c>
      <c r="L28" s="126" t="s">
        <v>128</v>
      </c>
      <c r="M28" s="348"/>
      <c r="AF28" s="126">
        <v>6</v>
      </c>
    </row>
    <row r="29" spans="1:32" s="126" customFormat="1" ht="12.75" x14ac:dyDescent="0.2">
      <c r="A29" s="354" t="s">
        <v>17</v>
      </c>
      <c r="B29" s="354"/>
      <c r="C29" s="354"/>
      <c r="D29" s="354" t="s">
        <v>37</v>
      </c>
      <c r="E29" s="354" t="s">
        <v>84</v>
      </c>
      <c r="F29" s="354"/>
      <c r="G29" s="354" t="s">
        <v>39</v>
      </c>
      <c r="I29" s="77"/>
      <c r="J29" s="77"/>
      <c r="K29" s="76" t="s">
        <v>212</v>
      </c>
      <c r="L29" s="76">
        <v>14</v>
      </c>
      <c r="M29" s="340"/>
    </row>
    <row r="30" spans="1:32" s="126" customFormat="1" ht="12.75" x14ac:dyDescent="0.2">
      <c r="A30" s="126" t="s">
        <v>41</v>
      </c>
      <c r="I30" s="374"/>
      <c r="J30" s="122"/>
      <c r="K30" s="76" t="s">
        <v>326</v>
      </c>
      <c r="L30" s="76">
        <v>14</v>
      </c>
      <c r="M30" s="340"/>
      <c r="AF30" s="126">
        <v>12</v>
      </c>
    </row>
    <row r="31" spans="1:32" s="126" customFormat="1" ht="12.75" x14ac:dyDescent="0.2">
      <c r="A31" s="126" t="s">
        <v>327</v>
      </c>
      <c r="D31" s="126" t="s">
        <v>44</v>
      </c>
      <c r="E31" s="340">
        <v>41.65</v>
      </c>
      <c r="G31" s="340">
        <v>58.15</v>
      </c>
      <c r="I31" s="93"/>
      <c r="J31" s="77"/>
      <c r="K31" s="76" t="s">
        <v>328</v>
      </c>
      <c r="L31" s="76">
        <v>7</v>
      </c>
      <c r="M31" s="340"/>
      <c r="AF31" s="126">
        <v>6.8571428571428568</v>
      </c>
    </row>
    <row r="32" spans="1:32" s="126" customFormat="1" ht="12.75" x14ac:dyDescent="0.2">
      <c r="A32" s="126" t="s">
        <v>46</v>
      </c>
      <c r="I32" s="93"/>
      <c r="J32" s="77"/>
      <c r="K32" s="76" t="s">
        <v>329</v>
      </c>
      <c r="L32" s="76">
        <v>3</v>
      </c>
      <c r="M32" s="340"/>
      <c r="O32" s="348"/>
      <c r="P32" s="348"/>
    </row>
    <row r="33" spans="1:16" s="126" customFormat="1" ht="12.75" x14ac:dyDescent="0.2">
      <c r="A33" s="126" t="s">
        <v>48</v>
      </c>
      <c r="D33" s="126" t="s">
        <v>49</v>
      </c>
      <c r="E33" s="348">
        <f>SUM(E25-F25)</f>
        <v>9.0599999999999987</v>
      </c>
      <c r="F33" s="348"/>
      <c r="G33" s="348"/>
      <c r="H33" s="126">
        <v>1169</v>
      </c>
      <c r="I33" s="93"/>
      <c r="J33" s="77"/>
      <c r="K33" s="76" t="s">
        <v>330</v>
      </c>
      <c r="L33" s="76">
        <v>3</v>
      </c>
      <c r="M33" s="340"/>
      <c r="P33" s="348">
        <f>+E33*G33</f>
        <v>0</v>
      </c>
    </row>
    <row r="34" spans="1:16" s="126" customFormat="1" ht="12.75" x14ac:dyDescent="0.2">
      <c r="A34" s="126" t="s">
        <v>51</v>
      </c>
      <c r="D34" s="126" t="s">
        <v>49</v>
      </c>
      <c r="E34" s="348">
        <f>SUM(F25)</f>
        <v>15.21</v>
      </c>
      <c r="F34" s="348"/>
      <c r="G34" s="372"/>
      <c r="H34" s="77"/>
      <c r="I34" s="375"/>
      <c r="K34" s="76" t="s">
        <v>54</v>
      </c>
      <c r="L34" s="76">
        <v>59</v>
      </c>
      <c r="M34" s="340"/>
    </row>
    <row r="35" spans="1:16" s="126" customFormat="1" ht="12.75" x14ac:dyDescent="0.2">
      <c r="A35" s="126" t="s">
        <v>2</v>
      </c>
      <c r="E35" s="348">
        <f>SUM(E33:E34)</f>
        <v>24.27</v>
      </c>
      <c r="F35" s="348"/>
      <c r="G35" s="372"/>
      <c r="H35" s="77"/>
      <c r="I35" s="375"/>
      <c r="L35" s="76">
        <f>SUM(L29:L34)</f>
        <v>100</v>
      </c>
    </row>
    <row r="36" spans="1:16" s="126" customFormat="1" ht="12.75" x14ac:dyDescent="0.2">
      <c r="A36" s="328" t="s">
        <v>92</v>
      </c>
      <c r="B36" s="328"/>
      <c r="C36" s="328" t="s">
        <v>53</v>
      </c>
      <c r="D36" s="328"/>
      <c r="E36" s="328"/>
      <c r="F36" s="328"/>
      <c r="G36" s="77"/>
      <c r="I36" s="376"/>
    </row>
    <row r="37" spans="1:16" s="126" customFormat="1" ht="12.75" x14ac:dyDescent="0.2">
      <c r="A37" s="77" t="s">
        <v>93</v>
      </c>
      <c r="B37" s="77" t="s">
        <v>95</v>
      </c>
      <c r="C37" s="377">
        <v>96</v>
      </c>
      <c r="D37" s="77" t="s">
        <v>44</v>
      </c>
      <c r="E37" s="372">
        <v>9</v>
      </c>
      <c r="F37" s="122"/>
      <c r="G37" s="122">
        <v>7</v>
      </c>
      <c r="I37" s="376"/>
    </row>
    <row r="38" spans="1:16" s="126" customFormat="1" ht="12.75" x14ac:dyDescent="0.2">
      <c r="A38" s="77"/>
      <c r="B38" s="77" t="s">
        <v>96</v>
      </c>
      <c r="C38" s="377">
        <v>76</v>
      </c>
      <c r="D38" s="77" t="s">
        <v>44</v>
      </c>
      <c r="E38" s="378">
        <v>9</v>
      </c>
      <c r="F38" s="122"/>
      <c r="G38" s="361">
        <v>7</v>
      </c>
      <c r="I38" s="376"/>
    </row>
    <row r="39" spans="1:16" s="126" customFormat="1" ht="12.75" x14ac:dyDescent="0.2">
      <c r="A39" s="77"/>
      <c r="B39" s="77" t="s">
        <v>104</v>
      </c>
      <c r="C39" s="377">
        <v>100</v>
      </c>
      <c r="D39" s="77" t="s">
        <v>44</v>
      </c>
      <c r="E39" s="372">
        <v>20</v>
      </c>
      <c r="F39" s="122"/>
      <c r="G39" s="122">
        <v>7</v>
      </c>
      <c r="I39" s="376" t="s">
        <v>185</v>
      </c>
      <c r="J39" s="379">
        <f>29/30</f>
        <v>0.96666666666666667</v>
      </c>
      <c r="K39" s="376"/>
    </row>
    <row r="40" spans="1:16" s="126" customFormat="1" ht="12.75" x14ac:dyDescent="0.2">
      <c r="A40" s="77" t="s">
        <v>94</v>
      </c>
      <c r="B40" s="77" t="s">
        <v>95</v>
      </c>
      <c r="C40" s="377">
        <v>100</v>
      </c>
      <c r="D40" s="77" t="s">
        <v>44</v>
      </c>
      <c r="E40" s="372">
        <v>30</v>
      </c>
      <c r="F40" s="122"/>
      <c r="G40" s="122">
        <v>7</v>
      </c>
      <c r="I40" s="376" t="s">
        <v>186</v>
      </c>
      <c r="J40" s="376">
        <v>1</v>
      </c>
    </row>
    <row r="41" spans="1:16" s="126" customFormat="1" ht="12.75" x14ac:dyDescent="0.2">
      <c r="A41" s="77"/>
      <c r="B41" s="77" t="s">
        <v>96</v>
      </c>
      <c r="C41" s="377">
        <v>100</v>
      </c>
      <c r="D41" s="77" t="s">
        <v>44</v>
      </c>
      <c r="E41" s="372">
        <v>33</v>
      </c>
      <c r="F41" s="122"/>
      <c r="G41" s="122">
        <v>7</v>
      </c>
      <c r="I41" s="376"/>
      <c r="J41" s="376"/>
    </row>
    <row r="42" spans="1:16" s="126" customFormat="1" ht="12.75" x14ac:dyDescent="0.2">
      <c r="A42" s="328" t="s">
        <v>60</v>
      </c>
      <c r="B42" s="328"/>
      <c r="C42" s="328"/>
      <c r="D42" s="328"/>
      <c r="E42" s="351"/>
      <c r="F42" s="328"/>
      <c r="G42" s="328" t="s">
        <v>61</v>
      </c>
      <c r="I42" s="126" t="s">
        <v>105</v>
      </c>
    </row>
    <row r="43" spans="1:16" s="126" customFormat="1" ht="12.75" x14ac:dyDescent="0.2">
      <c r="A43" s="77" t="s">
        <v>97</v>
      </c>
      <c r="B43" s="77"/>
      <c r="C43" s="77"/>
      <c r="D43" s="77"/>
      <c r="E43" s="77"/>
      <c r="F43" s="77"/>
      <c r="G43" s="96">
        <v>1367</v>
      </c>
      <c r="H43" s="380"/>
      <c r="I43" s="380">
        <v>3376</v>
      </c>
    </row>
    <row r="44" spans="1:16" s="126" customFormat="1" ht="12.75" x14ac:dyDescent="0.2">
      <c r="A44" s="77" t="s">
        <v>98</v>
      </c>
      <c r="B44" s="77"/>
      <c r="C44" s="77"/>
      <c r="D44" s="77"/>
      <c r="E44" s="77"/>
      <c r="F44" s="77"/>
      <c r="G44" s="362">
        <v>30</v>
      </c>
    </row>
    <row r="45" spans="1:16" s="126" customFormat="1" ht="12.75" x14ac:dyDescent="0.2">
      <c r="A45" s="77" t="s">
        <v>65</v>
      </c>
      <c r="B45" s="77"/>
      <c r="C45" s="77"/>
      <c r="D45" s="77"/>
      <c r="E45" s="77"/>
      <c r="F45" s="77"/>
      <c r="G45" s="363">
        <v>41010</v>
      </c>
      <c r="H45" s="380"/>
      <c r="I45" s="380">
        <v>101295</v>
      </c>
      <c r="K45" s="348"/>
    </row>
    <row r="46" spans="1:16" s="126" customFormat="1" ht="12.75" x14ac:dyDescent="0.2">
      <c r="A46" s="77" t="s">
        <v>66</v>
      </c>
      <c r="B46" s="77"/>
      <c r="C46" s="77"/>
      <c r="D46" s="77"/>
      <c r="E46" s="77"/>
      <c r="F46" s="77"/>
      <c r="G46" s="363">
        <f>+G45-43157</f>
        <v>-2147</v>
      </c>
      <c r="H46" s="380"/>
      <c r="I46" s="380">
        <f>+G46*2.471</f>
        <v>-5305.2370000000001</v>
      </c>
      <c r="K46" s="348"/>
    </row>
    <row r="47" spans="1:16" s="126" customFormat="1" ht="12.75" x14ac:dyDescent="0.2">
      <c r="A47" s="77" t="s">
        <v>67</v>
      </c>
      <c r="B47" s="77"/>
      <c r="C47" s="77"/>
      <c r="D47" s="77"/>
      <c r="E47" s="77"/>
      <c r="F47" s="77"/>
      <c r="G47" s="363">
        <f>+G45-K26</f>
        <v>17269</v>
      </c>
      <c r="H47" s="380"/>
      <c r="I47" s="380">
        <v>42654</v>
      </c>
    </row>
    <row r="48" spans="1:16" s="126" customFormat="1" ht="12.75" x14ac:dyDescent="0.2">
      <c r="A48" s="77" t="s">
        <v>68</v>
      </c>
      <c r="B48" s="77"/>
      <c r="C48" s="77"/>
      <c r="D48" s="77"/>
      <c r="E48" s="77"/>
      <c r="F48" s="77"/>
      <c r="G48" s="362">
        <f>SUM(K25/G43)</f>
        <v>31.570592538405268</v>
      </c>
    </row>
    <row r="49" spans="1:7" s="126" customFormat="1" ht="12.75" x14ac:dyDescent="0.2">
      <c r="A49" s="332" t="s">
        <v>69</v>
      </c>
      <c r="B49" s="332"/>
      <c r="C49" s="332"/>
      <c r="D49" s="332"/>
      <c r="E49" s="332"/>
      <c r="F49" s="332"/>
      <c r="G49" s="364">
        <f>SUM(K26/G43)</f>
        <v>17.367227505486468</v>
      </c>
    </row>
    <row r="50" spans="1:7" s="126" customFormat="1" ht="12.75" x14ac:dyDescent="0.2"/>
    <row r="51" spans="1:7" s="126" customFormat="1" ht="13.5" x14ac:dyDescent="0.25">
      <c r="A51" s="81"/>
    </row>
    <row r="52" spans="1:7" s="126" customFormat="1" ht="12.75" x14ac:dyDescent="0.2"/>
    <row r="53" spans="1:7" s="126" customFormat="1" ht="12.75" x14ac:dyDescent="0.2"/>
    <row r="54" spans="1:7" s="126" customFormat="1" ht="12.75" x14ac:dyDescent="0.2"/>
    <row r="55" spans="1:7" s="126" customFormat="1" ht="12.75" x14ac:dyDescent="0.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58"/>
  <sheetViews>
    <sheetView workbookViewId="0">
      <selection sqref="A1:XFD1048576"/>
    </sheetView>
  </sheetViews>
  <sheetFormatPr defaultRowHeight="15" x14ac:dyDescent="0.25"/>
  <cols>
    <col min="1" max="16384" width="9.140625" style="8"/>
  </cols>
  <sheetData>
    <row r="1" spans="1:16" x14ac:dyDescent="0.25">
      <c r="A1" s="45" t="s">
        <v>137</v>
      </c>
      <c r="B1" s="45"/>
    </row>
    <row r="2" spans="1:16" x14ac:dyDescent="0.25">
      <c r="A2" s="45" t="s">
        <v>146</v>
      </c>
      <c r="B2" s="45"/>
    </row>
    <row r="3" spans="1:16" x14ac:dyDescent="0.25">
      <c r="A3" s="7" t="s">
        <v>175</v>
      </c>
      <c r="B3" s="45"/>
    </row>
    <row r="4" spans="1:16" x14ac:dyDescent="0.25">
      <c r="A4" s="7"/>
      <c r="B4" s="7"/>
    </row>
    <row r="5" spans="1:16" s="67" customFormat="1" ht="12" x14ac:dyDescent="0.2">
      <c r="A5" s="48" t="s">
        <v>0</v>
      </c>
      <c r="B5" s="48"/>
      <c r="C5" s="48"/>
      <c r="D5" s="165" t="s">
        <v>1</v>
      </c>
      <c r="E5" s="165" t="s">
        <v>2</v>
      </c>
      <c r="F5" s="165" t="s">
        <v>73</v>
      </c>
      <c r="G5" s="165" t="s">
        <v>74</v>
      </c>
      <c r="H5" s="165" t="s">
        <v>5</v>
      </c>
      <c r="I5" s="165" t="s">
        <v>6</v>
      </c>
      <c r="J5" s="165" t="s">
        <v>7</v>
      </c>
      <c r="K5" s="165" t="s">
        <v>8</v>
      </c>
      <c r="L5" s="166" t="s">
        <v>75</v>
      </c>
      <c r="M5" s="65"/>
    </row>
    <row r="6" spans="1:16" s="67" customFormat="1" ht="12" x14ac:dyDescent="0.2">
      <c r="A6" s="30"/>
      <c r="B6" s="30"/>
      <c r="C6" s="30"/>
      <c r="D6" s="49" t="s">
        <v>11</v>
      </c>
      <c r="E6" s="49" t="s">
        <v>76</v>
      </c>
      <c r="F6" s="49" t="s">
        <v>76</v>
      </c>
      <c r="G6" s="49" t="s">
        <v>77</v>
      </c>
      <c r="H6" s="49" t="s">
        <v>15</v>
      </c>
      <c r="I6" s="49" t="s">
        <v>78</v>
      </c>
      <c r="J6" s="49" t="s">
        <v>15</v>
      </c>
      <c r="K6" s="49" t="s">
        <v>15</v>
      </c>
      <c r="L6" s="49" t="s">
        <v>6</v>
      </c>
      <c r="M6" s="69" t="s">
        <v>7</v>
      </c>
    </row>
    <row r="7" spans="1:16" s="67" customFormat="1" ht="12" x14ac:dyDescent="0.2">
      <c r="A7" s="30"/>
      <c r="B7" s="30"/>
      <c r="C7" s="30"/>
      <c r="D7" s="49" t="s">
        <v>19</v>
      </c>
      <c r="E7" s="49"/>
      <c r="F7" s="49"/>
      <c r="G7" s="49"/>
      <c r="H7" s="49" t="s">
        <v>20</v>
      </c>
      <c r="I7" s="49" t="s">
        <v>15</v>
      </c>
      <c r="J7" s="49" t="s">
        <v>20</v>
      </c>
      <c r="K7" s="49" t="s">
        <v>20</v>
      </c>
      <c r="L7" s="49"/>
      <c r="M7" s="69"/>
    </row>
    <row r="8" spans="1:16" s="67" customFormat="1" ht="12" x14ac:dyDescent="0.2">
      <c r="A8" s="33"/>
      <c r="B8" s="33"/>
      <c r="C8" s="33"/>
      <c r="D8" s="167"/>
      <c r="E8" s="167"/>
      <c r="F8" s="167"/>
      <c r="G8" s="167"/>
      <c r="H8" s="167"/>
      <c r="I8" s="167" t="s">
        <v>20</v>
      </c>
      <c r="J8" s="167"/>
      <c r="K8" s="167"/>
      <c r="L8" s="167"/>
      <c r="M8" s="70"/>
    </row>
    <row r="9" spans="1:16" s="67" customFormat="1" ht="12" x14ac:dyDescent="0.2">
      <c r="A9" s="32" t="s">
        <v>22</v>
      </c>
      <c r="B9" s="32"/>
      <c r="C9" s="32"/>
      <c r="D9" s="19">
        <v>84</v>
      </c>
      <c r="E9" s="24">
        <v>0.97</v>
      </c>
      <c r="F9" s="24">
        <v>0.87</v>
      </c>
      <c r="G9" s="28">
        <f>'[1]Data sheet'!AD63</f>
        <v>0</v>
      </c>
      <c r="H9" s="6">
        <v>1002</v>
      </c>
      <c r="I9" s="6"/>
      <c r="J9" s="6"/>
      <c r="K9" s="6">
        <v>1002</v>
      </c>
      <c r="L9" s="6"/>
      <c r="M9" s="72"/>
      <c r="N9" s="381"/>
      <c r="O9" s="381"/>
      <c r="P9" s="381"/>
    </row>
    <row r="10" spans="1:16" s="67" customFormat="1" ht="12" x14ac:dyDescent="0.2">
      <c r="A10" s="32" t="s">
        <v>147</v>
      </c>
      <c r="B10" s="32"/>
      <c r="C10" s="32"/>
      <c r="D10" s="19">
        <v>74</v>
      </c>
      <c r="E10" s="24">
        <v>0.7</v>
      </c>
      <c r="F10" s="24">
        <f>'[1]Data sheet'!AP57</f>
        <v>0</v>
      </c>
      <c r="G10" s="28">
        <f>'[1]Data sheet'!AO62</f>
        <v>79850</v>
      </c>
      <c r="H10" s="6">
        <v>700</v>
      </c>
      <c r="I10" s="6">
        <v>8190</v>
      </c>
      <c r="J10" s="6"/>
      <c r="K10" s="6">
        <v>8890</v>
      </c>
      <c r="L10" s="6">
        <v>3396</v>
      </c>
      <c r="M10" s="72"/>
      <c r="N10" s="381"/>
      <c r="O10" s="381"/>
      <c r="P10" s="381"/>
    </row>
    <row r="11" spans="1:16" s="67" customFormat="1" ht="12" x14ac:dyDescent="0.2">
      <c r="A11" s="32" t="s">
        <v>148</v>
      </c>
      <c r="B11" s="32"/>
      <c r="C11" s="32"/>
      <c r="D11" s="19" t="s">
        <v>216</v>
      </c>
      <c r="E11" s="24"/>
      <c r="F11" s="24"/>
      <c r="G11" s="28"/>
      <c r="H11" s="6" t="s">
        <v>331</v>
      </c>
      <c r="I11" s="6" t="s">
        <v>332</v>
      </c>
      <c r="J11" s="6"/>
      <c r="K11" s="6"/>
      <c r="L11" s="6"/>
      <c r="M11" s="72"/>
      <c r="N11" s="381"/>
      <c r="O11" s="381"/>
      <c r="P11" s="381"/>
    </row>
    <row r="12" spans="1:16" s="67" customFormat="1" ht="12" x14ac:dyDescent="0.2">
      <c r="A12" s="32" t="s">
        <v>25</v>
      </c>
      <c r="B12" s="32"/>
      <c r="C12" s="32"/>
      <c r="D12" s="19">
        <v>100</v>
      </c>
      <c r="E12" s="24">
        <v>4.84</v>
      </c>
      <c r="F12" s="24">
        <v>2.92</v>
      </c>
      <c r="G12" s="28">
        <f>'[1]Data sheet'!BA63</f>
        <v>0</v>
      </c>
      <c r="H12" s="6">
        <v>5121</v>
      </c>
      <c r="I12" s="6"/>
      <c r="J12" s="6"/>
      <c r="K12" s="6">
        <v>5121</v>
      </c>
      <c r="L12" s="6"/>
      <c r="M12" s="72"/>
      <c r="N12" s="381"/>
      <c r="O12" s="381"/>
      <c r="P12" s="381"/>
    </row>
    <row r="13" spans="1:16" s="67" customFormat="1" ht="12" x14ac:dyDescent="0.2">
      <c r="A13" s="32" t="s">
        <v>43</v>
      </c>
      <c r="B13" s="32"/>
      <c r="C13" s="32"/>
      <c r="D13" s="19">
        <v>100</v>
      </c>
      <c r="E13" s="24">
        <v>2.97</v>
      </c>
      <c r="F13" s="24">
        <v>1.95</v>
      </c>
      <c r="G13" s="28">
        <f>'[1]Data sheet'!BH63</f>
        <v>0</v>
      </c>
      <c r="H13" s="6">
        <v>2866</v>
      </c>
      <c r="I13" s="6"/>
      <c r="J13" s="6">
        <v>3119</v>
      </c>
      <c r="K13" s="6">
        <v>5985</v>
      </c>
      <c r="L13" s="6"/>
      <c r="M13" s="72">
        <v>770</v>
      </c>
      <c r="N13" s="381"/>
      <c r="O13" s="381"/>
      <c r="P13" s="381"/>
    </row>
    <row r="14" spans="1:16" s="67" customFormat="1" ht="12" x14ac:dyDescent="0.2">
      <c r="A14" s="32" t="s">
        <v>27</v>
      </c>
      <c r="B14" s="32"/>
      <c r="C14" s="32"/>
      <c r="D14" s="19">
        <v>100</v>
      </c>
      <c r="E14" s="24">
        <v>0.93</v>
      </c>
      <c r="F14" s="24">
        <v>0.68</v>
      </c>
      <c r="G14" s="28">
        <f>'[1]Data sheet'!CR62</f>
        <v>0</v>
      </c>
      <c r="H14" s="6">
        <v>941</v>
      </c>
      <c r="I14" s="6"/>
      <c r="J14" s="6">
        <v>756</v>
      </c>
      <c r="K14" s="6">
        <v>1697</v>
      </c>
      <c r="L14" s="6"/>
      <c r="M14" s="72"/>
      <c r="N14" s="381"/>
      <c r="O14" s="381"/>
      <c r="P14" s="381"/>
    </row>
    <row r="15" spans="1:16" s="67" customFormat="1" ht="12" x14ac:dyDescent="0.2">
      <c r="A15" s="32" t="s">
        <v>79</v>
      </c>
      <c r="B15" s="32"/>
      <c r="C15" s="32"/>
      <c r="D15" s="19">
        <v>86</v>
      </c>
      <c r="E15" s="24">
        <v>0.64</v>
      </c>
      <c r="F15" s="24">
        <v>0.32</v>
      </c>
      <c r="G15" s="28">
        <f>'[1]Data sheet'!CW63</f>
        <v>0</v>
      </c>
      <c r="H15" s="6">
        <v>845</v>
      </c>
      <c r="I15" s="6"/>
      <c r="J15" s="6">
        <v>2012</v>
      </c>
      <c r="K15" s="6">
        <v>2857</v>
      </c>
      <c r="L15" s="6"/>
      <c r="M15" s="72"/>
      <c r="N15" s="381"/>
      <c r="O15" s="381"/>
      <c r="P15" s="381"/>
    </row>
    <row r="16" spans="1:16" s="67" customFormat="1" ht="12" x14ac:dyDescent="0.2">
      <c r="A16" s="32" t="s">
        <v>29</v>
      </c>
      <c r="B16" s="32"/>
      <c r="C16" s="32"/>
      <c r="D16" s="19">
        <f>'[1]Data sheet'!DG44</f>
        <v>0</v>
      </c>
      <c r="E16" s="24">
        <f>'[1]Data sheet'!DG61</f>
        <v>1309.090909090909</v>
      </c>
      <c r="F16" s="24">
        <f>'[1]Data sheet'!DH57</f>
        <v>0.30898876404494385</v>
      </c>
      <c r="G16" s="28">
        <f>'[1]Data sheet'!DG63</f>
        <v>0</v>
      </c>
      <c r="H16" s="6">
        <v>842</v>
      </c>
      <c r="I16" s="6"/>
      <c r="J16" s="6">
        <v>1491</v>
      </c>
      <c r="K16" s="6">
        <v>2333</v>
      </c>
      <c r="L16" s="6"/>
      <c r="M16" s="72"/>
      <c r="N16" s="381"/>
      <c r="O16" s="381"/>
      <c r="P16" s="381"/>
    </row>
    <row r="17" spans="1:17" s="67" customFormat="1" ht="12" x14ac:dyDescent="0.2">
      <c r="A17" s="32" t="s">
        <v>81</v>
      </c>
      <c r="B17" s="32"/>
      <c r="C17" s="32"/>
      <c r="D17" s="19">
        <v>80</v>
      </c>
      <c r="E17" s="24">
        <v>0.39</v>
      </c>
      <c r="F17" s="24">
        <v>0.28000000000000003</v>
      </c>
      <c r="G17" s="28">
        <v>1080</v>
      </c>
      <c r="H17" s="6">
        <v>421</v>
      </c>
      <c r="I17" s="6">
        <v>8390</v>
      </c>
      <c r="J17" s="6"/>
      <c r="K17" s="6">
        <v>8811</v>
      </c>
      <c r="L17" s="6"/>
      <c r="M17" s="72"/>
      <c r="N17" s="381"/>
      <c r="O17" s="381"/>
      <c r="P17" s="381"/>
    </row>
    <row r="18" spans="1:17" s="67" customFormat="1" ht="12" x14ac:dyDescent="0.2">
      <c r="A18" s="32" t="s">
        <v>333</v>
      </c>
      <c r="B18" s="32"/>
      <c r="C18" s="32"/>
      <c r="D18" s="18" t="s">
        <v>197</v>
      </c>
      <c r="E18" s="24"/>
      <c r="F18" s="24"/>
      <c r="G18" s="28"/>
      <c r="H18" s="6" t="s">
        <v>334</v>
      </c>
      <c r="I18" s="6"/>
      <c r="J18" s="6"/>
      <c r="K18" s="6"/>
      <c r="L18" s="6"/>
      <c r="M18" s="72"/>
      <c r="N18" s="381"/>
      <c r="O18" s="381"/>
      <c r="P18" s="381"/>
    </row>
    <row r="19" spans="1:17" s="67" customFormat="1" ht="12" x14ac:dyDescent="0.2">
      <c r="A19" s="32" t="s">
        <v>335</v>
      </c>
      <c r="B19" s="32"/>
      <c r="C19" s="32"/>
      <c r="D19" s="18" t="s">
        <v>197</v>
      </c>
      <c r="E19" s="24"/>
      <c r="F19" s="24"/>
      <c r="G19" s="28"/>
      <c r="H19" s="6" t="s">
        <v>336</v>
      </c>
      <c r="I19" s="6" t="s">
        <v>337</v>
      </c>
      <c r="J19" s="6"/>
      <c r="K19" s="6"/>
      <c r="L19" s="6"/>
      <c r="M19" s="72"/>
      <c r="N19" s="381"/>
      <c r="O19" s="381"/>
      <c r="P19" s="381"/>
    </row>
    <row r="20" spans="1:17" s="67" customFormat="1" ht="12" x14ac:dyDescent="0.2">
      <c r="A20" s="32" t="s">
        <v>82</v>
      </c>
      <c r="B20" s="32"/>
      <c r="C20" s="32"/>
      <c r="D20" s="19">
        <f>'[1]Data sheet'!FN47</f>
        <v>0</v>
      </c>
      <c r="E20" s="24">
        <v>1.07</v>
      </c>
      <c r="F20" s="24">
        <v>1.07</v>
      </c>
      <c r="G20" s="28">
        <v>1112</v>
      </c>
      <c r="H20" s="6">
        <v>1190</v>
      </c>
      <c r="I20" s="6"/>
      <c r="J20" s="6"/>
      <c r="K20" s="6">
        <v>1190</v>
      </c>
      <c r="L20" s="6"/>
      <c r="M20" s="72"/>
      <c r="N20" s="381"/>
      <c r="O20" s="381"/>
      <c r="P20" s="381"/>
    </row>
    <row r="21" spans="1:17" s="67" customFormat="1" ht="12" x14ac:dyDescent="0.2">
      <c r="A21" s="32" t="s">
        <v>338</v>
      </c>
      <c r="B21" s="32"/>
      <c r="C21" s="32"/>
      <c r="D21" s="18">
        <v>78</v>
      </c>
      <c r="E21" s="24">
        <v>0.32</v>
      </c>
      <c r="F21" s="24">
        <v>0.26</v>
      </c>
      <c r="G21" s="28" t="e">
        <f>'[1]Data sheet'!GD63</f>
        <v>#REF!</v>
      </c>
      <c r="H21" s="6">
        <v>384</v>
      </c>
      <c r="I21" s="6">
        <v>551</v>
      </c>
      <c r="J21" s="6"/>
      <c r="K21" s="6">
        <v>935</v>
      </c>
      <c r="L21" s="6">
        <v>282</v>
      </c>
      <c r="M21" s="72"/>
      <c r="N21" s="381"/>
      <c r="O21" s="67" t="s">
        <v>339</v>
      </c>
      <c r="P21" s="381"/>
    </row>
    <row r="22" spans="1:17" s="67" customFormat="1" ht="12" x14ac:dyDescent="0.2">
      <c r="A22" s="48" t="s">
        <v>33</v>
      </c>
      <c r="B22" s="48"/>
      <c r="C22" s="48"/>
      <c r="D22" s="10"/>
      <c r="E22" s="182">
        <f>SUM(E9:E21)</f>
        <v>1321.9209090909089</v>
      </c>
      <c r="F22" s="182">
        <f>SUM(F9:F21)</f>
        <v>8.6589887640449437</v>
      </c>
      <c r="G22" s="37"/>
      <c r="H22" s="37">
        <v>14312</v>
      </c>
      <c r="I22" s="37">
        <f t="shared" ref="I22" si="0">SUM(I9:I21)</f>
        <v>17131</v>
      </c>
      <c r="J22" s="37">
        <v>7378</v>
      </c>
      <c r="K22" s="37">
        <v>38821</v>
      </c>
      <c r="L22" s="37">
        <v>3678</v>
      </c>
      <c r="M22" s="73">
        <v>770</v>
      </c>
    </row>
    <row r="23" spans="1:17" s="67" customFormat="1" ht="12" x14ac:dyDescent="0.2">
      <c r="A23" s="33" t="s">
        <v>34</v>
      </c>
      <c r="B23" s="33"/>
      <c r="C23" s="33"/>
      <c r="D23" s="16"/>
      <c r="E23" s="3">
        <f>E22-F22</f>
        <v>1313.2619203268639</v>
      </c>
      <c r="F23" s="3"/>
      <c r="G23" s="4"/>
      <c r="H23" s="4">
        <f>E34*G34</f>
        <v>4088</v>
      </c>
      <c r="I23" s="4">
        <v>13453</v>
      </c>
      <c r="J23" s="4">
        <v>6608</v>
      </c>
      <c r="K23" s="4">
        <v>24149</v>
      </c>
      <c r="L23" s="4"/>
      <c r="M23" s="74"/>
    </row>
    <row r="24" spans="1:17" s="67" customFormat="1" ht="12" x14ac:dyDescent="0.2">
      <c r="A24" s="32"/>
      <c r="B24" s="32"/>
      <c r="C24" s="32"/>
      <c r="D24" s="32"/>
      <c r="E24" s="32"/>
      <c r="F24" s="32"/>
      <c r="G24" s="32"/>
      <c r="H24" s="6"/>
      <c r="I24" s="6"/>
      <c r="J24" s="6"/>
      <c r="K24" s="6"/>
      <c r="L24" s="6"/>
      <c r="M24" s="72"/>
    </row>
    <row r="25" spans="1:17" s="67" customFormat="1" x14ac:dyDescent="0.25">
      <c r="A25" s="32"/>
      <c r="B25" s="32"/>
      <c r="C25" s="32" t="s">
        <v>35</v>
      </c>
      <c r="D25" s="32"/>
      <c r="E25" s="32"/>
      <c r="F25" s="32"/>
      <c r="G25" s="32"/>
      <c r="H25" s="32"/>
      <c r="I25" s="6"/>
      <c r="J25" s="6"/>
      <c r="K25" s="6"/>
      <c r="L25" s="6"/>
      <c r="O25" s="382"/>
      <c r="P25" s="383"/>
      <c r="Q25" s="384"/>
    </row>
    <row r="26" spans="1:17" s="67" customForma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6"/>
      <c r="L26" s="32"/>
      <c r="O26" s="382"/>
      <c r="P26" s="383"/>
      <c r="Q26" s="384"/>
    </row>
    <row r="27" spans="1:17" s="67" customFormat="1" x14ac:dyDescent="0.25">
      <c r="A27" s="32" t="s">
        <v>36</v>
      </c>
      <c r="B27" s="32"/>
      <c r="C27" s="32"/>
      <c r="D27" s="32"/>
      <c r="E27" s="32"/>
      <c r="F27" s="32"/>
      <c r="G27" s="32"/>
      <c r="H27" s="33"/>
      <c r="I27" s="32"/>
      <c r="J27" s="230"/>
      <c r="K27" s="385"/>
      <c r="L27" s="32"/>
      <c r="O27" s="382"/>
      <c r="P27" s="383"/>
      <c r="Q27" s="384"/>
    </row>
    <row r="28" spans="1:17" s="67" customFormat="1" x14ac:dyDescent="0.25">
      <c r="A28" s="58" t="s">
        <v>17</v>
      </c>
      <c r="B28" s="58"/>
      <c r="C28" s="58"/>
      <c r="D28" s="223" t="s">
        <v>37</v>
      </c>
      <c r="E28" s="223" t="s">
        <v>84</v>
      </c>
      <c r="F28" s="223"/>
      <c r="G28" s="223" t="s">
        <v>39</v>
      </c>
      <c r="H28" s="58"/>
      <c r="I28" s="32"/>
      <c r="J28" s="386" t="s">
        <v>85</v>
      </c>
      <c r="K28" s="387" t="s">
        <v>128</v>
      </c>
      <c r="L28" s="32"/>
      <c r="O28" s="382"/>
      <c r="P28" s="383"/>
      <c r="Q28" s="384"/>
    </row>
    <row r="29" spans="1:17" s="67" customFormat="1" x14ac:dyDescent="0.25">
      <c r="A29" s="32" t="s">
        <v>41</v>
      </c>
      <c r="B29" s="32"/>
      <c r="C29" s="32"/>
      <c r="D29" s="64" t="s">
        <v>44</v>
      </c>
      <c r="E29" s="32"/>
      <c r="F29" s="32"/>
      <c r="G29" s="32"/>
      <c r="H29" s="32"/>
      <c r="I29" s="32"/>
      <c r="J29" s="23" t="s">
        <v>50</v>
      </c>
      <c r="K29" s="75">
        <v>53</v>
      </c>
      <c r="L29" s="32"/>
      <c r="O29" s="382"/>
      <c r="P29" s="383"/>
      <c r="Q29" s="384"/>
    </row>
    <row r="30" spans="1:17" s="67" customFormat="1" x14ac:dyDescent="0.25">
      <c r="A30" s="32" t="s">
        <v>43</v>
      </c>
      <c r="B30" s="32"/>
      <c r="C30" s="32"/>
      <c r="D30" s="32"/>
      <c r="E30" s="224">
        <v>41.01</v>
      </c>
      <c r="F30" s="32"/>
      <c r="G30" s="24">
        <v>76.06</v>
      </c>
      <c r="H30" s="32"/>
      <c r="I30" s="32"/>
      <c r="J30" s="23" t="s">
        <v>174</v>
      </c>
      <c r="K30" s="75">
        <v>26</v>
      </c>
      <c r="L30" s="32"/>
      <c r="O30" s="382"/>
      <c r="P30" s="383"/>
      <c r="Q30" s="384"/>
    </row>
    <row r="31" spans="1:17" s="67" customFormat="1" x14ac:dyDescent="0.25">
      <c r="A31" s="32"/>
      <c r="B31" s="32"/>
      <c r="C31" s="32"/>
      <c r="D31" s="24"/>
      <c r="E31" s="32"/>
      <c r="F31" s="32"/>
      <c r="G31" s="32"/>
      <c r="H31" s="32"/>
      <c r="I31" s="32"/>
      <c r="J31" s="23" t="s">
        <v>54</v>
      </c>
      <c r="K31" s="75">
        <v>14</v>
      </c>
      <c r="L31" s="32"/>
      <c r="O31" s="382"/>
      <c r="P31" s="383"/>
      <c r="Q31" s="384"/>
    </row>
    <row r="32" spans="1:17" s="67" customFormat="1" x14ac:dyDescent="0.25">
      <c r="A32" s="32"/>
      <c r="B32" s="32"/>
      <c r="C32" s="32"/>
      <c r="D32" s="24"/>
      <c r="E32" s="32"/>
      <c r="F32" s="32"/>
      <c r="G32" s="32"/>
      <c r="H32" s="32"/>
      <c r="I32" s="32"/>
      <c r="J32" s="23" t="s">
        <v>47</v>
      </c>
      <c r="K32" s="75">
        <v>7</v>
      </c>
      <c r="L32" s="32"/>
      <c r="O32" s="382"/>
      <c r="P32" s="383"/>
      <c r="Q32" s="384"/>
    </row>
    <row r="33" spans="1:17" s="67" customFormat="1" x14ac:dyDescent="0.25">
      <c r="A33" s="32" t="s">
        <v>46</v>
      </c>
      <c r="B33" s="32"/>
      <c r="C33" s="32"/>
      <c r="D33" s="24"/>
      <c r="E33" s="32"/>
      <c r="F33" s="32"/>
      <c r="G33" s="32"/>
      <c r="H33" s="32"/>
      <c r="I33" s="32"/>
      <c r="J33" s="388"/>
      <c r="K33" s="385"/>
      <c r="L33" s="32"/>
      <c r="O33" s="382"/>
      <c r="P33" s="383"/>
      <c r="Q33" s="384"/>
    </row>
    <row r="34" spans="1:17" s="67" customFormat="1" x14ac:dyDescent="0.25">
      <c r="A34" s="32" t="s">
        <v>48</v>
      </c>
      <c r="B34" s="32"/>
      <c r="C34" s="32"/>
      <c r="D34" s="32" t="s">
        <v>49</v>
      </c>
      <c r="E34" s="6">
        <v>4</v>
      </c>
      <c r="F34" s="32"/>
      <c r="G34" s="24">
        <v>1022</v>
      </c>
      <c r="H34" s="32"/>
      <c r="I34" s="30"/>
      <c r="J34" s="32" t="s">
        <v>185</v>
      </c>
      <c r="K34" s="389">
        <v>1.3254166666666667</v>
      </c>
      <c r="L34" s="32"/>
      <c r="O34" s="382"/>
      <c r="P34" s="383"/>
      <c r="Q34" s="384"/>
    </row>
    <row r="35" spans="1:17" s="67" customFormat="1" ht="12" x14ac:dyDescent="0.2">
      <c r="A35" s="32" t="s">
        <v>51</v>
      </c>
      <c r="B35" s="32"/>
      <c r="C35" s="32"/>
      <c r="D35" s="32" t="s">
        <v>49</v>
      </c>
      <c r="E35" s="6">
        <v>10</v>
      </c>
      <c r="F35" s="32"/>
      <c r="G35" s="32"/>
      <c r="H35" s="32"/>
      <c r="I35" s="30"/>
      <c r="J35" s="32" t="s">
        <v>186</v>
      </c>
      <c r="K35" s="389">
        <v>0.5</v>
      </c>
      <c r="L35" s="32"/>
      <c r="O35" s="68"/>
      <c r="P35" s="68"/>
      <c r="Q35" s="390"/>
    </row>
    <row r="36" spans="1:17" s="67" customFormat="1" ht="12" x14ac:dyDescent="0.2">
      <c r="A36" s="32" t="s">
        <v>2</v>
      </c>
      <c r="B36" s="32"/>
      <c r="C36" s="32"/>
      <c r="D36" s="32" t="s">
        <v>49</v>
      </c>
      <c r="E36" s="6">
        <v>14</v>
      </c>
      <c r="F36" s="32"/>
      <c r="G36" s="32"/>
      <c r="H36" s="32"/>
      <c r="I36" s="30"/>
      <c r="J36" s="30"/>
      <c r="K36" s="385"/>
      <c r="L36" s="32"/>
    </row>
    <row r="37" spans="1:17" s="67" customFormat="1" ht="12" x14ac:dyDescent="0.2">
      <c r="A37" s="32"/>
      <c r="B37" s="32"/>
      <c r="C37" s="32"/>
      <c r="D37" s="24"/>
      <c r="E37" s="32"/>
      <c r="F37" s="32"/>
      <c r="G37" s="32"/>
      <c r="H37" s="33"/>
      <c r="I37" s="30"/>
      <c r="J37" s="32"/>
      <c r="K37" s="32"/>
      <c r="L37" s="32"/>
    </row>
    <row r="38" spans="1:17" s="67" customFormat="1" ht="12" x14ac:dyDescent="0.2">
      <c r="A38" s="48" t="s">
        <v>92</v>
      </c>
      <c r="B38" s="48"/>
      <c r="C38" s="48" t="s">
        <v>53</v>
      </c>
      <c r="D38" s="48"/>
      <c r="E38" s="48"/>
      <c r="F38" s="48"/>
      <c r="G38" s="48"/>
      <c r="H38" s="32"/>
      <c r="I38" s="30"/>
      <c r="J38" s="32"/>
      <c r="K38" s="32"/>
      <c r="L38" s="32"/>
    </row>
    <row r="39" spans="1:17" s="67" customFormat="1" ht="12" x14ac:dyDescent="0.2">
      <c r="A39" s="30" t="s">
        <v>93</v>
      </c>
      <c r="B39" s="32" t="s">
        <v>56</v>
      </c>
      <c r="C39" s="178">
        <f>'[1]Data sheet'!BZ54</f>
        <v>0</v>
      </c>
      <c r="D39" s="30"/>
      <c r="E39" s="24">
        <v>21</v>
      </c>
      <c r="F39" s="39"/>
      <c r="G39" s="39">
        <v>7</v>
      </c>
      <c r="H39" s="32"/>
      <c r="I39" s="39"/>
      <c r="J39" s="32"/>
      <c r="K39" s="32"/>
      <c r="L39" s="32"/>
    </row>
    <row r="40" spans="1:17" s="67" customFormat="1" ht="12" x14ac:dyDescent="0.2">
      <c r="A40" s="30"/>
      <c r="B40" s="30" t="s">
        <v>57</v>
      </c>
      <c r="C40" s="178">
        <f>'[1]Data sheet'!BN52</f>
        <v>0</v>
      </c>
      <c r="D40" s="30"/>
      <c r="E40" s="24">
        <v>7</v>
      </c>
      <c r="F40" s="39"/>
      <c r="G40" s="39">
        <v>7</v>
      </c>
      <c r="H40" s="32"/>
      <c r="I40" s="178"/>
      <c r="J40" s="32"/>
      <c r="K40" s="32"/>
      <c r="L40" s="32"/>
    </row>
    <row r="41" spans="1:17" s="67" customFormat="1" ht="12" x14ac:dyDescent="0.2">
      <c r="A41" s="30"/>
      <c r="B41" s="30" t="s">
        <v>58</v>
      </c>
      <c r="C41" s="178">
        <f>'[1]Data sheet'!BT52</f>
        <v>0</v>
      </c>
      <c r="D41" s="30"/>
      <c r="E41" s="24">
        <v>10</v>
      </c>
      <c r="F41" s="39"/>
      <c r="G41" s="39">
        <v>7</v>
      </c>
      <c r="H41" s="32"/>
      <c r="I41" s="39"/>
      <c r="J41" s="32"/>
      <c r="K41" s="24"/>
      <c r="L41" s="32"/>
    </row>
    <row r="42" spans="1:17" s="67" customFormat="1" ht="12" x14ac:dyDescent="0.2">
      <c r="A42" s="30" t="s">
        <v>130</v>
      </c>
      <c r="B42" s="30" t="s">
        <v>57</v>
      </c>
      <c r="C42" s="178">
        <f>'[1]Data sheet'!CF44</f>
        <v>0</v>
      </c>
      <c r="D42" s="30"/>
      <c r="E42" s="24">
        <v>38</v>
      </c>
      <c r="F42" s="39"/>
      <c r="G42" s="39">
        <v>7</v>
      </c>
      <c r="H42" s="32"/>
      <c r="I42" s="39"/>
      <c r="J42" s="32"/>
      <c r="K42" s="32"/>
      <c r="L42" s="32"/>
    </row>
    <row r="43" spans="1:17" s="67" customFormat="1" ht="12" x14ac:dyDescent="0.2">
      <c r="A43" s="30"/>
      <c r="B43" s="30" t="s">
        <v>58</v>
      </c>
      <c r="C43" s="178">
        <f>'[1]Data sheet'!CL48</f>
        <v>0</v>
      </c>
      <c r="D43" s="30"/>
      <c r="E43" s="24">
        <v>32</v>
      </c>
      <c r="F43" s="39"/>
      <c r="G43" s="39">
        <v>7</v>
      </c>
      <c r="H43" s="32"/>
      <c r="I43" s="39"/>
      <c r="J43" s="30"/>
      <c r="K43" s="32"/>
      <c r="L43" s="32"/>
    </row>
    <row r="44" spans="1:17" s="67" customFormat="1" ht="12" x14ac:dyDescent="0.2">
      <c r="A44" s="32"/>
      <c r="B44" s="30"/>
      <c r="C44" s="60"/>
      <c r="D44" s="30"/>
      <c r="E44" s="24"/>
      <c r="F44" s="39"/>
      <c r="G44" s="39"/>
      <c r="H44" s="32"/>
      <c r="I44" s="39"/>
      <c r="J44" s="30"/>
      <c r="K44" s="32"/>
      <c r="L44" s="32"/>
    </row>
    <row r="45" spans="1:17" s="67" customFormat="1" ht="12" x14ac:dyDescent="0.2">
      <c r="A45" s="30"/>
      <c r="B45" s="30"/>
      <c r="C45" s="60"/>
      <c r="D45" s="30"/>
      <c r="E45" s="39"/>
      <c r="F45" s="39"/>
      <c r="G45" s="39"/>
      <c r="H45" s="33"/>
      <c r="I45" s="30"/>
      <c r="J45" s="30"/>
      <c r="K45" s="32"/>
      <c r="L45" s="32"/>
    </row>
    <row r="46" spans="1:17" s="67" customFormat="1" ht="12" x14ac:dyDescent="0.2">
      <c r="A46" s="48" t="s">
        <v>60</v>
      </c>
      <c r="B46" s="48"/>
      <c r="C46" s="48"/>
      <c r="D46" s="48"/>
      <c r="E46" s="48"/>
      <c r="F46" s="48"/>
      <c r="G46" s="48"/>
      <c r="H46" s="32"/>
      <c r="I46" s="32"/>
      <c r="J46" s="32"/>
      <c r="K46" s="32"/>
      <c r="L46" s="32"/>
    </row>
    <row r="47" spans="1:17" s="67" customFormat="1" ht="12" x14ac:dyDescent="0.2">
      <c r="A47" s="30" t="s">
        <v>97</v>
      </c>
      <c r="B47" s="30"/>
      <c r="C47" s="30"/>
      <c r="D47" s="30"/>
      <c r="E47" s="30"/>
      <c r="F47" s="38">
        <f>'[1]Data sheet'!GR42</f>
        <v>0</v>
      </c>
      <c r="G47" s="228"/>
      <c r="H47" s="6">
        <f>+F47*2.471</f>
        <v>0</v>
      </c>
      <c r="I47" s="6"/>
      <c r="J47" s="32"/>
      <c r="K47" s="32"/>
      <c r="L47" s="32"/>
    </row>
    <row r="48" spans="1:17" s="67" customFormat="1" ht="12" x14ac:dyDescent="0.2">
      <c r="A48" s="30" t="s">
        <v>98</v>
      </c>
      <c r="B48" s="30"/>
      <c r="C48" s="30"/>
      <c r="D48" s="30"/>
      <c r="E48" s="30"/>
      <c r="F48" s="39">
        <v>34.799999999999997</v>
      </c>
      <c r="G48" s="31"/>
      <c r="H48" s="6"/>
      <c r="I48" s="6"/>
      <c r="J48" s="32"/>
      <c r="K48" s="32"/>
      <c r="L48" s="32"/>
    </row>
    <row r="49" spans="1:13" s="67" customFormat="1" ht="12" x14ac:dyDescent="0.2">
      <c r="A49" s="30" t="s">
        <v>65</v>
      </c>
      <c r="B49" s="30"/>
      <c r="C49" s="30"/>
      <c r="D49" s="30"/>
      <c r="E49" s="30"/>
      <c r="F49" s="72">
        <v>53905</v>
      </c>
      <c r="G49" s="38"/>
      <c r="H49" s="6">
        <f t="shared" ref="H49:H51" si="1">+F49*2.471</f>
        <v>133199.255</v>
      </c>
      <c r="I49" s="6"/>
      <c r="J49" s="32"/>
      <c r="K49" s="32"/>
      <c r="L49" s="32"/>
      <c r="M49" s="80"/>
    </row>
    <row r="50" spans="1:13" s="67" customFormat="1" ht="12" x14ac:dyDescent="0.2">
      <c r="A50" s="30" t="s">
        <v>66</v>
      </c>
      <c r="B50" s="30"/>
      <c r="C50" s="30"/>
      <c r="D50" s="30"/>
      <c r="E50" s="30"/>
      <c r="F50" s="72">
        <f>+F49-38821</f>
        <v>15084</v>
      </c>
      <c r="G50" s="38"/>
      <c r="H50" s="6">
        <f t="shared" si="1"/>
        <v>37272.563999999998</v>
      </c>
      <c r="I50" s="6"/>
      <c r="J50" s="32"/>
      <c r="K50" s="32"/>
      <c r="L50" s="32"/>
    </row>
    <row r="51" spans="1:13" s="67" customFormat="1" ht="12" x14ac:dyDescent="0.2">
      <c r="A51" s="30" t="s">
        <v>67</v>
      </c>
      <c r="B51" s="30"/>
      <c r="C51" s="30"/>
      <c r="D51" s="30"/>
      <c r="E51" s="30"/>
      <c r="F51" s="72">
        <f>+F49-24149</f>
        <v>29756</v>
      </c>
      <c r="G51" s="38"/>
      <c r="H51" s="6">
        <f t="shared" si="1"/>
        <v>73527.076000000001</v>
      </c>
      <c r="I51" s="6"/>
      <c r="J51" s="32"/>
      <c r="K51" s="32"/>
      <c r="L51" s="32"/>
    </row>
    <row r="52" spans="1:13" s="67" customFormat="1" ht="12" x14ac:dyDescent="0.2">
      <c r="A52" s="30" t="s">
        <v>68</v>
      </c>
      <c r="B52" s="30"/>
      <c r="C52" s="30"/>
      <c r="D52" s="30"/>
      <c r="E52" s="30"/>
      <c r="F52" s="39" t="e">
        <f>K22/F47</f>
        <v>#DIV/0!</v>
      </c>
      <c r="G52" s="31"/>
      <c r="H52" s="32"/>
      <c r="I52" s="32"/>
      <c r="J52" s="32"/>
      <c r="K52" s="32"/>
      <c r="L52" s="32"/>
    </row>
    <row r="53" spans="1:13" s="67" customFormat="1" ht="12" x14ac:dyDescent="0.2">
      <c r="A53" s="33" t="s">
        <v>69</v>
      </c>
      <c r="B53" s="33"/>
      <c r="C53" s="33"/>
      <c r="D53" s="33"/>
      <c r="E53" s="33"/>
      <c r="F53" s="3" t="e">
        <f>K23/F47</f>
        <v>#DIV/0!</v>
      </c>
      <c r="G53" s="63"/>
      <c r="H53" s="33"/>
      <c r="I53" s="32"/>
      <c r="J53" s="32"/>
      <c r="K53" s="32"/>
      <c r="L53" s="32"/>
    </row>
    <row r="54" spans="1:13" s="391" customForma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3" s="391" customFormat="1" x14ac:dyDescent="0.25"/>
    <row r="56" spans="1:13" s="391" customFormat="1" x14ac:dyDescent="0.25"/>
    <row r="57" spans="1:13" s="391" customFormat="1" x14ac:dyDescent="0.25"/>
    <row r="58" spans="1:13" s="391" customForma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1.Anuradhapura</vt:lpstr>
      <vt:lpstr>2.Ampara (East)</vt:lpstr>
      <vt:lpstr>3.Ampara (West)</vt:lpstr>
      <vt:lpstr>4.Hambantota</vt:lpstr>
      <vt:lpstr>5.Kurunegala</vt:lpstr>
      <vt:lpstr>6.System H</vt:lpstr>
      <vt:lpstr>7.Polonnaruwa</vt:lpstr>
      <vt:lpstr>8.System B</vt:lpstr>
      <vt:lpstr>9.System C</vt:lpstr>
      <vt:lpstr>10. Trincomalee</vt:lpstr>
      <vt:lpstr>11.Kurunegala</vt:lpstr>
      <vt:lpstr>12.Kandy</vt:lpstr>
      <vt:lpstr>13.Kalutara</vt:lpstr>
      <vt:lpstr>14.Gampaha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2017-03-09T06:23:50Z</dcterms:created>
  <dcterms:modified xsi:type="dcterms:W3CDTF">2018-01-17T04:34:36Z</dcterms:modified>
</cp:coreProperties>
</file>