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4355" windowHeight="7995" firstSheet="20" activeTab="23"/>
  </bookViews>
  <sheets>
    <sheet name="1.Big Onion  (Matale)" sheetId="1" r:id="rId1"/>
    <sheet name="2.Bitter goard (Hambantota)" sheetId="2" r:id="rId2"/>
    <sheet name="3.Black Grame (Anuradhapura)" sheetId="3" r:id="rId3"/>
    <sheet name="4.Brinjal.(Hambantota)" sheetId="4" r:id="rId4"/>
    <sheet name="5.Cabbage (Nuwara Eliya)" sheetId="5" r:id="rId5"/>
    <sheet name="6.Carrot (NUwara eliya)" sheetId="6" r:id="rId6"/>
    <sheet name="7.Chilli (ANuradhapura)" sheetId="7" r:id="rId7"/>
    <sheet name="8.Cowpea (Ampara)" sheetId="8" r:id="rId8"/>
    <sheet name="9.Gingelly (Anuradhapura)" sheetId="9" r:id="rId9"/>
    <sheet name="10.Maize Monaragala)" sheetId="10" r:id="rId10"/>
    <sheet name="11.Maize Anuradhapura)" sheetId="11" r:id="rId11"/>
    <sheet name="12.Manioc (Gampaha)" sheetId="12" r:id="rId12"/>
    <sheet name="13.Pole bean (Badulla)" sheetId="13" r:id="rId13"/>
    <sheet name="14 Potato (Badulla)" sheetId="14" r:id="rId14"/>
    <sheet name="15.Potato  (Nuwara Eliya)" sheetId="15" r:id="rId15"/>
    <sheet name="16.Red Onion (Puttalam)" sheetId="16" r:id="rId16"/>
    <sheet name="17.Red Onion (Trincomalee)" sheetId="17" r:id="rId17"/>
    <sheet name="18. Soya System H" sheetId="18" r:id="rId18"/>
    <sheet name="19. Sweet Potato (Matale)" sheetId="19" r:id="rId19"/>
    <sheet name="20. Tomato (Badulla)" sheetId="20" r:id="rId20"/>
    <sheet name="21. Tomato (Kandy)" sheetId="21" r:id="rId21"/>
    <sheet name="Kurakkan (Anuradhapura)" sheetId="22" r:id="rId22"/>
    <sheet name="Maize (Ampara)" sheetId="23" r:id="rId23"/>
    <sheet name="Black gram(Vavuniya)" sheetId="24" r:id="rId24"/>
  </sheets>
  <externalReferences>
    <externalReference r:id="rId25"/>
  </externalReferences>
  <calcPr calcId="144525"/>
</workbook>
</file>

<file path=xl/calcChain.xml><?xml version="1.0" encoding="utf-8"?>
<calcChain xmlns="http://schemas.openxmlformats.org/spreadsheetml/2006/main">
  <c r="G31" i="8" l="1"/>
  <c r="E27" i="8"/>
  <c r="J22" i="8"/>
  <c r="H18" i="8"/>
  <c r="M17" i="8"/>
  <c r="L17" i="8"/>
  <c r="I18" i="8" s="1"/>
  <c r="I17" i="8"/>
  <c r="F17" i="8"/>
  <c r="E17" i="8"/>
  <c r="E18" i="8" s="1"/>
  <c r="H15" i="8"/>
  <c r="K15" i="8" s="1"/>
  <c r="H14" i="8"/>
  <c r="K14" i="8" s="1"/>
  <c r="H13" i="8"/>
  <c r="K13" i="8" s="1"/>
  <c r="K12" i="8"/>
  <c r="J11" i="8"/>
  <c r="J17" i="8" s="1"/>
  <c r="J18" i="8" s="1"/>
  <c r="K9" i="8"/>
  <c r="H9" i="8"/>
  <c r="K18" i="8" l="1"/>
  <c r="G35" i="8" s="1"/>
  <c r="G33" i="8"/>
  <c r="H17" i="8"/>
  <c r="K17" i="8" s="1"/>
  <c r="G34" i="8" s="1"/>
  <c r="K11" i="8"/>
  <c r="G32" i="8" l="1"/>
  <c r="G32" i="24" l="1"/>
  <c r="E28" i="24"/>
  <c r="K26" i="24"/>
  <c r="H17" i="24"/>
  <c r="M16" i="24"/>
  <c r="L16" i="24"/>
  <c r="I17" i="24" s="1"/>
  <c r="J16" i="24"/>
  <c r="J17" i="24" s="1"/>
  <c r="I16" i="24"/>
  <c r="F16" i="24"/>
  <c r="E16" i="24"/>
  <c r="E17" i="24" s="1"/>
  <c r="K15" i="24"/>
  <c r="K14" i="24"/>
  <c r="H14" i="24"/>
  <c r="K13" i="24"/>
  <c r="H12" i="24"/>
  <c r="K12" i="24" s="1"/>
  <c r="K11" i="24"/>
  <c r="J10" i="24"/>
  <c r="H10" i="24"/>
  <c r="K10" i="24" s="1"/>
  <c r="H9" i="24"/>
  <c r="H16" i="24" s="1"/>
  <c r="K8" i="24"/>
  <c r="K17" i="24" l="1"/>
  <c r="G36" i="24" s="1"/>
  <c r="G34" i="24"/>
  <c r="K9" i="24"/>
  <c r="K16" i="24" s="1"/>
  <c r="G35" i="24" l="1"/>
  <c r="G33" i="24"/>
  <c r="G31" i="3" l="1"/>
  <c r="I31" i="3" s="1"/>
  <c r="L24" i="3"/>
  <c r="J15" i="3"/>
  <c r="I15" i="3"/>
  <c r="K15" i="3" s="1"/>
  <c r="G35" i="3" s="1"/>
  <c r="M14" i="3"/>
  <c r="L14" i="3"/>
  <c r="I14" i="3"/>
  <c r="F14" i="3"/>
  <c r="E14" i="3"/>
  <c r="E24" i="3" s="1"/>
  <c r="E26" i="3" s="1"/>
  <c r="K11" i="3"/>
  <c r="K10" i="3"/>
  <c r="H9" i="3"/>
  <c r="K9" i="3" s="1"/>
  <c r="H8" i="3"/>
  <c r="K8" i="3" s="1"/>
  <c r="K14" i="3" l="1"/>
  <c r="H14" i="3"/>
  <c r="G33" i="3"/>
  <c r="I33" i="3" s="1"/>
  <c r="E15" i="3"/>
  <c r="G34" i="3" l="1"/>
  <c r="G32" i="3"/>
  <c r="I32" i="3" s="1"/>
  <c r="G38" i="10" l="1"/>
  <c r="H38" i="10" s="1"/>
  <c r="E30" i="10"/>
  <c r="H21" i="10"/>
  <c r="M20" i="10"/>
  <c r="L20" i="10"/>
  <c r="I21" i="10" s="1"/>
  <c r="J20" i="10"/>
  <c r="J21" i="10" s="1"/>
  <c r="I20" i="10"/>
  <c r="F20" i="10"/>
  <c r="E20" i="10"/>
  <c r="E21" i="10" s="1"/>
  <c r="H19" i="10"/>
  <c r="K19" i="10" s="1"/>
  <c r="K18" i="10"/>
  <c r="K17" i="10"/>
  <c r="H16" i="10"/>
  <c r="K16" i="10" s="1"/>
  <c r="K15" i="10"/>
  <c r="K14" i="10"/>
  <c r="J14" i="10"/>
  <c r="H13" i="10"/>
  <c r="K13" i="10" s="1"/>
  <c r="K10" i="10"/>
  <c r="H10" i="10"/>
  <c r="H9" i="10"/>
  <c r="H20" i="10" s="1"/>
  <c r="K21" i="10" l="1"/>
  <c r="G43" i="10" s="1"/>
  <c r="K9" i="10"/>
  <c r="K20" i="10" s="1"/>
  <c r="G40" i="10"/>
  <c r="H40" i="10" s="1"/>
  <c r="G42" i="10" l="1"/>
  <c r="G39" i="10"/>
  <c r="H39" i="10" s="1"/>
  <c r="G37" i="11" l="1"/>
  <c r="I37" i="11" s="1"/>
  <c r="AQ31" i="11"/>
  <c r="AP31" i="11"/>
  <c r="AQ30" i="11"/>
  <c r="AP30" i="11"/>
  <c r="AQ29" i="11"/>
  <c r="AP29" i="11"/>
  <c r="E29" i="11"/>
  <c r="AQ28" i="11"/>
  <c r="AP28" i="11"/>
  <c r="AQ27" i="11"/>
  <c r="AP27" i="11"/>
  <c r="AQ26" i="11"/>
  <c r="AP26" i="11"/>
  <c r="H19" i="11"/>
  <c r="M18" i="11"/>
  <c r="L18" i="11"/>
  <c r="I19" i="11" s="1"/>
  <c r="I18" i="11"/>
  <c r="F18" i="11"/>
  <c r="E18" i="11"/>
  <c r="E19" i="11" s="1"/>
  <c r="H17" i="11"/>
  <c r="K17" i="11" s="1"/>
  <c r="H16" i="11"/>
  <c r="K16" i="11" s="1"/>
  <c r="K15" i="11"/>
  <c r="K14" i="11"/>
  <c r="H13" i="11"/>
  <c r="K13" i="11" s="1"/>
  <c r="J12" i="11"/>
  <c r="K12" i="11" s="1"/>
  <c r="J11" i="11"/>
  <c r="K11" i="11" s="1"/>
  <c r="H10" i="11"/>
  <c r="K10" i="11" s="1"/>
  <c r="H9" i="11"/>
  <c r="K9" i="11" s="1"/>
  <c r="G37" i="9"/>
  <c r="AQ31" i="9"/>
  <c r="AP31" i="9"/>
  <c r="AQ30" i="9"/>
  <c r="AP30" i="9"/>
  <c r="AQ29" i="9"/>
  <c r="AP29" i="9"/>
  <c r="E29" i="9"/>
  <c r="AQ28" i="9"/>
  <c r="AP28" i="9"/>
  <c r="AQ27" i="9"/>
  <c r="AP27" i="9"/>
  <c r="AQ26" i="9"/>
  <c r="AP26" i="9"/>
  <c r="H19" i="9"/>
  <c r="M18" i="9"/>
  <c r="L18" i="9"/>
  <c r="I19" i="9" s="1"/>
  <c r="I18" i="9"/>
  <c r="F18" i="9"/>
  <c r="E18" i="9"/>
  <c r="E19" i="9" s="1"/>
  <c r="H17" i="9"/>
  <c r="K17" i="9" s="1"/>
  <c r="K16" i="9"/>
  <c r="H16" i="9"/>
  <c r="K15" i="9"/>
  <c r="K14" i="9"/>
  <c r="H13" i="9"/>
  <c r="K13" i="9" s="1"/>
  <c r="J12" i="9"/>
  <c r="K12" i="9" s="1"/>
  <c r="J11" i="9"/>
  <c r="K11" i="9" s="1"/>
  <c r="H10" i="9"/>
  <c r="K10" i="9" s="1"/>
  <c r="H9" i="9"/>
  <c r="K9" i="9" s="1"/>
  <c r="K18" i="11" l="1"/>
  <c r="K19" i="11"/>
  <c r="G42" i="11" s="1"/>
  <c r="H18" i="11"/>
  <c r="G39" i="11"/>
  <c r="I39" i="11" s="1"/>
  <c r="J18" i="11"/>
  <c r="J19" i="11" s="1"/>
  <c r="K18" i="9"/>
  <c r="G41" i="9" s="1"/>
  <c r="H18" i="9"/>
  <c r="I37" i="9"/>
  <c r="J18" i="9"/>
  <c r="J19" i="9" s="1"/>
  <c r="K19" i="9" s="1"/>
  <c r="G41" i="11" l="1"/>
  <c r="G38" i="11"/>
  <c r="I38" i="11" s="1"/>
  <c r="G42" i="9"/>
  <c r="G39" i="9"/>
  <c r="I39" i="9" s="1"/>
  <c r="G38" i="9"/>
  <c r="I38" i="9" s="1"/>
  <c r="G42" i="23" l="1"/>
  <c r="E33" i="23"/>
  <c r="H20" i="23"/>
  <c r="M19" i="23"/>
  <c r="L19" i="23"/>
  <c r="I19" i="23"/>
  <c r="I20" i="23" s="1"/>
  <c r="F19" i="23"/>
  <c r="E19" i="23"/>
  <c r="E20" i="23" s="1"/>
  <c r="K17" i="23"/>
  <c r="K16" i="23"/>
  <c r="K15" i="23"/>
  <c r="J14" i="23"/>
  <c r="J19" i="23" s="1"/>
  <c r="J20" i="23" s="1"/>
  <c r="K13" i="23"/>
  <c r="K12" i="23"/>
  <c r="K11" i="23"/>
  <c r="K10" i="23"/>
  <c r="H10" i="23"/>
  <c r="H9" i="23"/>
  <c r="H19" i="23" s="1"/>
  <c r="K19" i="23" l="1"/>
  <c r="G46" i="23" s="1"/>
  <c r="K20" i="23"/>
  <c r="G43" i="23"/>
  <c r="I43" i="23" s="1"/>
  <c r="K9" i="23"/>
  <c r="K14" i="23"/>
  <c r="G47" i="23" l="1"/>
  <c r="G44" i="23"/>
  <c r="I44" i="23" s="1"/>
  <c r="G35" i="22" l="1"/>
  <c r="I35" i="22" s="1"/>
  <c r="E29" i="22"/>
  <c r="L27" i="22"/>
  <c r="I15" i="22"/>
  <c r="H15" i="22"/>
  <c r="M14" i="22"/>
  <c r="L14" i="22"/>
  <c r="I14" i="22"/>
  <c r="F14" i="22"/>
  <c r="E14" i="22"/>
  <c r="E15" i="22" s="1"/>
  <c r="H13" i="22"/>
  <c r="K13" i="22" s="1"/>
  <c r="K11" i="22"/>
  <c r="J11" i="22"/>
  <c r="J10" i="22"/>
  <c r="J14" i="22" s="1"/>
  <c r="J15" i="22" s="1"/>
  <c r="H9" i="22"/>
  <c r="H14" i="22" s="1"/>
  <c r="K14" i="22" s="1"/>
  <c r="H8" i="22"/>
  <c r="K8" i="22" s="1"/>
  <c r="G38" i="22" l="1"/>
  <c r="G36" i="22"/>
  <c r="I36" i="22" s="1"/>
  <c r="K15" i="22"/>
  <c r="G39" i="22" s="1"/>
  <c r="K9" i="22"/>
  <c r="G37" i="22" l="1"/>
  <c r="I37" i="22" s="1"/>
  <c r="G42" i="21" l="1"/>
  <c r="E34" i="21"/>
  <c r="H21" i="21"/>
  <c r="M20" i="21"/>
  <c r="L20" i="21"/>
  <c r="I21" i="21" s="1"/>
  <c r="I20" i="21"/>
  <c r="F20" i="21"/>
  <c r="E20" i="21"/>
  <c r="E21" i="21" s="1"/>
  <c r="H19" i="21"/>
  <c r="K19" i="21" s="1"/>
  <c r="H18" i="21"/>
  <c r="K18" i="21" s="1"/>
  <c r="H17" i="21"/>
  <c r="K17" i="21" s="1"/>
  <c r="H16" i="21"/>
  <c r="K16" i="21" s="1"/>
  <c r="H15" i="21"/>
  <c r="K15" i="21" s="1"/>
  <c r="J14" i="21"/>
  <c r="K14" i="21" s="1"/>
  <c r="H14" i="21"/>
  <c r="J13" i="21"/>
  <c r="J20" i="21" s="1"/>
  <c r="J21" i="21" s="1"/>
  <c r="H13" i="21"/>
  <c r="K13" i="21" s="1"/>
  <c r="H12" i="21"/>
  <c r="K12" i="21" s="1"/>
  <c r="H11" i="21"/>
  <c r="K11" i="21" s="1"/>
  <c r="H10" i="21"/>
  <c r="K10" i="21" s="1"/>
  <c r="H9" i="21"/>
  <c r="H20" i="21" s="1"/>
  <c r="K21" i="21" l="1"/>
  <c r="K20" i="21"/>
  <c r="G46" i="21" s="1"/>
  <c r="G43" i="21"/>
  <c r="K9" i="21"/>
  <c r="G44" i="21" l="1"/>
  <c r="G47" i="21"/>
  <c r="G46" i="20" l="1"/>
  <c r="E37" i="20"/>
  <c r="H24" i="20"/>
  <c r="K24" i="20" s="1"/>
  <c r="G51" i="20" s="1"/>
  <c r="M23" i="20"/>
  <c r="L23" i="20"/>
  <c r="I24" i="20" s="1"/>
  <c r="I23" i="20"/>
  <c r="F23" i="20"/>
  <c r="E23" i="20"/>
  <c r="E24" i="20" s="1"/>
  <c r="K22" i="20"/>
  <c r="H21" i="20"/>
  <c r="K21" i="20" s="1"/>
  <c r="K20" i="20"/>
  <c r="F20" i="20"/>
  <c r="K19" i="20"/>
  <c r="H18" i="20"/>
  <c r="K18" i="20" s="1"/>
  <c r="K17" i="20"/>
  <c r="J16" i="20"/>
  <c r="J23" i="20" s="1"/>
  <c r="J24" i="20" s="1"/>
  <c r="H16" i="20"/>
  <c r="K16" i="20" s="1"/>
  <c r="J15" i="20"/>
  <c r="K15" i="20" s="1"/>
  <c r="H14" i="20"/>
  <c r="K14" i="20" s="1"/>
  <c r="F14" i="20"/>
  <c r="H13" i="20"/>
  <c r="K13" i="20" s="1"/>
  <c r="K12" i="20"/>
  <c r="H12" i="20"/>
  <c r="H10" i="20"/>
  <c r="H23" i="20" s="1"/>
  <c r="K23" i="20" s="1"/>
  <c r="G50" i="20" s="1"/>
  <c r="K9" i="20"/>
  <c r="H9" i="20"/>
  <c r="G48" i="20" l="1"/>
  <c r="K10" i="20"/>
  <c r="G47" i="20"/>
  <c r="G54" i="19" l="1"/>
  <c r="I54" i="19" s="1"/>
  <c r="I52" i="19"/>
  <c r="I47" i="19"/>
  <c r="I46" i="19"/>
  <c r="I45" i="19"/>
  <c r="E39" i="19"/>
  <c r="M23" i="19"/>
  <c r="L23" i="19"/>
  <c r="I24" i="19" s="1"/>
  <c r="J23" i="19"/>
  <c r="J24" i="19" s="1"/>
  <c r="I23" i="19"/>
  <c r="G23" i="19"/>
  <c r="F23" i="19"/>
  <c r="F27" i="19" s="1"/>
  <c r="E23" i="19"/>
  <c r="H22" i="19"/>
  <c r="K22" i="19" s="1"/>
  <c r="K21" i="19"/>
  <c r="H21" i="19"/>
  <c r="H20" i="19"/>
  <c r="K20" i="19" s="1"/>
  <c r="K19" i="19"/>
  <c r="H19" i="19"/>
  <c r="H18" i="19"/>
  <c r="K18" i="19" s="1"/>
  <c r="K17" i="19"/>
  <c r="H17" i="19"/>
  <c r="J16" i="19"/>
  <c r="H16" i="19"/>
  <c r="K16" i="19" s="1"/>
  <c r="J15" i="19"/>
  <c r="H15" i="19"/>
  <c r="K15" i="19" s="1"/>
  <c r="K14" i="19"/>
  <c r="H14" i="19"/>
  <c r="H12" i="19"/>
  <c r="K12" i="19" s="1"/>
  <c r="K11" i="19"/>
  <c r="H11" i="19"/>
  <c r="H10" i="19"/>
  <c r="H23" i="19" s="1"/>
  <c r="K9" i="19"/>
  <c r="H9" i="19"/>
  <c r="E24" i="19" l="1"/>
  <c r="K10" i="19"/>
  <c r="K23" i="19" s="1"/>
  <c r="E38" i="19"/>
  <c r="G57" i="19" l="1"/>
  <c r="G55" i="19"/>
  <c r="I55" i="19" s="1"/>
  <c r="E40" i="19"/>
  <c r="G38" i="19" s="1"/>
  <c r="H24" i="19"/>
  <c r="K24" i="19" s="1"/>
  <c r="G58" i="19" l="1"/>
  <c r="G56" i="19"/>
  <c r="I56" i="19" s="1"/>
  <c r="G40" i="18" l="1"/>
  <c r="E32" i="18"/>
  <c r="H23" i="18"/>
  <c r="M22" i="18"/>
  <c r="L22" i="18"/>
  <c r="J22" i="18"/>
  <c r="J23" i="18" s="1"/>
  <c r="I22" i="18"/>
  <c r="I23" i="18" s="1"/>
  <c r="K23" i="18" s="1"/>
  <c r="F22" i="18"/>
  <c r="E22" i="18"/>
  <c r="E23" i="18" s="1"/>
  <c r="K21" i="18"/>
  <c r="H21" i="18"/>
  <c r="K20" i="18"/>
  <c r="K19" i="18"/>
  <c r="K18" i="18"/>
  <c r="H18" i="18"/>
  <c r="K17" i="18"/>
  <c r="K16" i="18"/>
  <c r="K15" i="18"/>
  <c r="J14" i="18"/>
  <c r="H14" i="18"/>
  <c r="K14" i="18" s="1"/>
  <c r="K13" i="18"/>
  <c r="J13" i="18"/>
  <c r="K12" i="18"/>
  <c r="H11" i="18"/>
  <c r="K11" i="18" s="1"/>
  <c r="H10" i="18"/>
  <c r="H22" i="18" s="1"/>
  <c r="K22" i="18" s="1"/>
  <c r="K9" i="18"/>
  <c r="G44" i="18" l="1"/>
  <c r="G42" i="18"/>
  <c r="G43" i="18"/>
  <c r="G41" i="18"/>
  <c r="K10" i="18"/>
  <c r="G46" i="17" l="1"/>
  <c r="E35" i="17"/>
  <c r="J22" i="17"/>
  <c r="K22" i="17" s="1"/>
  <c r="I22" i="17"/>
  <c r="H22" i="17"/>
  <c r="E22" i="17"/>
  <c r="M21" i="17"/>
  <c r="L21" i="17"/>
  <c r="J21" i="17"/>
  <c r="I21" i="17"/>
  <c r="H21" i="17"/>
  <c r="K21" i="17" s="1"/>
  <c r="F21" i="17"/>
  <c r="E21" i="17"/>
  <c r="K20" i="17"/>
  <c r="H20" i="17"/>
  <c r="K19" i="17"/>
  <c r="K18" i="17"/>
  <c r="K17" i="17"/>
  <c r="H17" i="17"/>
  <c r="K16" i="17"/>
  <c r="H16" i="17"/>
  <c r="K15" i="17"/>
  <c r="K14" i="17"/>
  <c r="H14" i="17"/>
  <c r="K13" i="17"/>
  <c r="H13" i="17"/>
  <c r="K12" i="17"/>
  <c r="J12" i="17"/>
  <c r="K11" i="17"/>
  <c r="H11" i="17"/>
  <c r="K10" i="17"/>
  <c r="H10" i="17"/>
  <c r="K9" i="17"/>
  <c r="H9" i="17"/>
  <c r="G50" i="17" l="1"/>
  <c r="G47" i="17"/>
  <c r="G51" i="17"/>
  <c r="G48" i="17"/>
  <c r="H116" i="16" l="1"/>
  <c r="G116" i="16"/>
  <c r="H114" i="16"/>
  <c r="E106" i="16"/>
  <c r="H96" i="16"/>
  <c r="E96" i="16"/>
  <c r="L95" i="16"/>
  <c r="J95" i="16"/>
  <c r="J96" i="16" s="1"/>
  <c r="I95" i="16"/>
  <c r="I96" i="16" s="1"/>
  <c r="F95" i="16"/>
  <c r="E95" i="16"/>
  <c r="K94" i="16"/>
  <c r="H94" i="16"/>
  <c r="K93" i="16"/>
  <c r="H92" i="16"/>
  <c r="K92" i="16" s="1"/>
  <c r="K91" i="16"/>
  <c r="K90" i="16"/>
  <c r="K89" i="16"/>
  <c r="K88" i="16"/>
  <c r="K87" i="16"/>
  <c r="K86" i="16"/>
  <c r="K85" i="16"/>
  <c r="K84" i="16"/>
  <c r="H84" i="16"/>
  <c r="H83" i="16"/>
  <c r="K83" i="16" s="1"/>
  <c r="K82" i="16"/>
  <c r="H82" i="16"/>
  <c r="H95" i="16" s="1"/>
  <c r="K95" i="16" s="1"/>
  <c r="H64" i="16"/>
  <c r="G64" i="16"/>
  <c r="H62" i="16"/>
  <c r="E45" i="16"/>
  <c r="M32" i="16"/>
  <c r="L32" i="16"/>
  <c r="I32" i="16"/>
  <c r="I33" i="16" s="1"/>
  <c r="F32" i="16"/>
  <c r="E32" i="16"/>
  <c r="E44" i="16" s="1"/>
  <c r="K31" i="16"/>
  <c r="H31" i="16"/>
  <c r="K30" i="16"/>
  <c r="H29" i="16"/>
  <c r="K29" i="16" s="1"/>
  <c r="H28" i="16"/>
  <c r="K28" i="16" s="1"/>
  <c r="H27" i="16"/>
  <c r="K27" i="16" s="1"/>
  <c r="H26" i="16"/>
  <c r="K26" i="16" s="1"/>
  <c r="H25" i="16"/>
  <c r="K25" i="16" s="1"/>
  <c r="H24" i="16"/>
  <c r="K24" i="16" s="1"/>
  <c r="H23" i="16"/>
  <c r="K23" i="16" s="1"/>
  <c r="H22" i="16"/>
  <c r="K22" i="16" s="1"/>
  <c r="H21" i="16"/>
  <c r="K21" i="16" s="1"/>
  <c r="J20" i="16"/>
  <c r="H20" i="16"/>
  <c r="K20" i="16" s="1"/>
  <c r="K19" i="16"/>
  <c r="H19" i="16"/>
  <c r="J18" i="16"/>
  <c r="J32" i="16" s="1"/>
  <c r="J33" i="16" s="1"/>
  <c r="H18" i="16"/>
  <c r="K18" i="16" s="1"/>
  <c r="H17" i="16"/>
  <c r="K17" i="16" s="1"/>
  <c r="H16" i="16"/>
  <c r="K16" i="16" s="1"/>
  <c r="H15" i="16"/>
  <c r="K15" i="16" s="1"/>
  <c r="H14" i="16"/>
  <c r="K14" i="16" s="1"/>
  <c r="H13" i="16"/>
  <c r="K13" i="16" s="1"/>
  <c r="H12" i="16"/>
  <c r="K12" i="16" s="1"/>
  <c r="H11" i="16"/>
  <c r="K11" i="16" s="1"/>
  <c r="H10" i="16"/>
  <c r="K10" i="16" s="1"/>
  <c r="E46" i="16" l="1"/>
  <c r="G119" i="16"/>
  <c r="G117" i="16"/>
  <c r="H117" i="16" s="1"/>
  <c r="K96" i="16"/>
  <c r="G120" i="16" s="1"/>
  <c r="H32" i="16"/>
  <c r="E33" i="16"/>
  <c r="K32" i="16" l="1"/>
  <c r="G44" i="16"/>
  <c r="H33" i="16" s="1"/>
  <c r="K33" i="16" s="1"/>
  <c r="G118" i="16"/>
  <c r="H118" i="16" s="1"/>
  <c r="G69" i="16" l="1"/>
  <c r="G66" i="16"/>
  <c r="H66" i="16" s="1"/>
  <c r="G68" i="16"/>
  <c r="G65" i="16"/>
  <c r="H65" i="16" s="1"/>
  <c r="G41" i="15" l="1"/>
  <c r="E32" i="15"/>
  <c r="J20" i="15"/>
  <c r="H20" i="15"/>
  <c r="K20" i="15" s="1"/>
  <c r="G46" i="15" s="1"/>
  <c r="L19" i="15"/>
  <c r="I19" i="15"/>
  <c r="I20" i="15" s="1"/>
  <c r="F19" i="15"/>
  <c r="E19" i="15"/>
  <c r="E20" i="15" s="1"/>
  <c r="K17" i="15"/>
  <c r="H17" i="15"/>
  <c r="K16" i="15"/>
  <c r="K15" i="15"/>
  <c r="K14" i="15"/>
  <c r="J14" i="15"/>
  <c r="J13" i="15"/>
  <c r="K13" i="15" s="1"/>
  <c r="E10" i="15"/>
  <c r="H10" i="15" s="1"/>
  <c r="K9" i="15"/>
  <c r="H19" i="15" l="1"/>
  <c r="K19" i="15" s="1"/>
  <c r="G45" i="15" s="1"/>
  <c r="K10" i="15"/>
  <c r="G43" i="15"/>
  <c r="G42" i="15"/>
  <c r="G42" i="14" l="1"/>
  <c r="E33" i="14"/>
  <c r="H20" i="14"/>
  <c r="M19" i="14"/>
  <c r="J20" i="14" s="1"/>
  <c r="L19" i="14"/>
  <c r="I19" i="14"/>
  <c r="I20" i="14" s="1"/>
  <c r="E19" i="14"/>
  <c r="K18" i="14"/>
  <c r="F18" i="14"/>
  <c r="F19" i="14" s="1"/>
  <c r="E20" i="14" s="1"/>
  <c r="K17" i="14"/>
  <c r="H17" i="14"/>
  <c r="H16" i="14"/>
  <c r="K16" i="14" s="1"/>
  <c r="K15" i="14"/>
  <c r="F15" i="14"/>
  <c r="J14" i="14"/>
  <c r="H14" i="14"/>
  <c r="K14" i="14" s="1"/>
  <c r="F14" i="14"/>
  <c r="J13" i="14"/>
  <c r="H13" i="14"/>
  <c r="K13" i="14" s="1"/>
  <c r="H12" i="14"/>
  <c r="F12" i="14"/>
  <c r="K11" i="14"/>
  <c r="H11" i="14"/>
  <c r="H19" i="14" s="1"/>
  <c r="K19" i="14" s="1"/>
  <c r="K10" i="14"/>
  <c r="K9" i="14"/>
  <c r="G46" i="14" l="1"/>
  <c r="G43" i="14"/>
  <c r="K20" i="14"/>
  <c r="G47" i="14" s="1"/>
  <c r="G44" i="14"/>
  <c r="G42" i="13" l="1"/>
  <c r="E34" i="13"/>
  <c r="H21" i="13"/>
  <c r="M20" i="13"/>
  <c r="L20" i="13"/>
  <c r="I21" i="13" s="1"/>
  <c r="I20" i="13"/>
  <c r="E20" i="13"/>
  <c r="K19" i="13"/>
  <c r="H18" i="13"/>
  <c r="K18" i="13" s="1"/>
  <c r="K17" i="13"/>
  <c r="F17" i="13"/>
  <c r="H16" i="13"/>
  <c r="K16" i="13" s="1"/>
  <c r="K15" i="13"/>
  <c r="F15" i="13"/>
  <c r="J14" i="13"/>
  <c r="K14" i="13" s="1"/>
  <c r="H14" i="13"/>
  <c r="F14" i="13"/>
  <c r="J13" i="13"/>
  <c r="J20" i="13" s="1"/>
  <c r="J21" i="13" s="1"/>
  <c r="K12" i="13"/>
  <c r="F12" i="13"/>
  <c r="K11" i="13"/>
  <c r="K10" i="13"/>
  <c r="H10" i="13"/>
  <c r="H9" i="13"/>
  <c r="K9" i="13" s="1"/>
  <c r="F9" i="13"/>
  <c r="F20" i="13" s="1"/>
  <c r="E21" i="13" l="1"/>
  <c r="K21" i="13"/>
  <c r="G47" i="13" s="1"/>
  <c r="K13" i="13"/>
  <c r="H20" i="13"/>
  <c r="K20" i="13" s="1"/>
  <c r="G46" i="13" s="1"/>
  <c r="G43" i="13"/>
  <c r="G44" i="13" l="1"/>
  <c r="G41" i="12" l="1"/>
  <c r="E31" i="12"/>
  <c r="G25" i="12"/>
  <c r="H17" i="12"/>
  <c r="M16" i="12"/>
  <c r="L16" i="12"/>
  <c r="J16" i="12"/>
  <c r="J17" i="12" s="1"/>
  <c r="I16" i="12"/>
  <c r="I17" i="12" s="1"/>
  <c r="K17" i="12" s="1"/>
  <c r="G46" i="12" s="1"/>
  <c r="H14" i="12"/>
  <c r="K13" i="12"/>
  <c r="H13" i="12"/>
  <c r="K12" i="12"/>
  <c r="J12" i="12"/>
  <c r="G12" i="12"/>
  <c r="F12" i="12"/>
  <c r="E12" i="12"/>
  <c r="D12" i="12"/>
  <c r="K11" i="12"/>
  <c r="G11" i="12"/>
  <c r="F11" i="12"/>
  <c r="E11" i="12"/>
  <c r="E16" i="12" s="1"/>
  <c r="D11" i="12"/>
  <c r="H10" i="12"/>
  <c r="H16" i="12" s="1"/>
  <c r="K16" i="12" s="1"/>
  <c r="K9" i="12"/>
  <c r="F9" i="12"/>
  <c r="F16" i="12" s="1"/>
  <c r="E9" i="12"/>
  <c r="D9" i="12"/>
  <c r="G45" i="12" l="1"/>
  <c r="G42" i="12"/>
  <c r="E17" i="12"/>
  <c r="G43" i="12"/>
  <c r="K10" i="12"/>
  <c r="G45" i="8" l="1"/>
  <c r="G42" i="8"/>
  <c r="G46" i="8"/>
  <c r="G43" i="8"/>
  <c r="G43" i="7" l="1"/>
  <c r="E34" i="7"/>
  <c r="H21" i="7"/>
  <c r="M20" i="7"/>
  <c r="L20" i="7"/>
  <c r="I21" i="7" s="1"/>
  <c r="I20" i="7"/>
  <c r="F20" i="7"/>
  <c r="E20" i="7"/>
  <c r="E21" i="7" s="1"/>
  <c r="K19" i="7"/>
  <c r="H18" i="7"/>
  <c r="K18" i="7" s="1"/>
  <c r="H17" i="7"/>
  <c r="K17" i="7" s="1"/>
  <c r="K16" i="7"/>
  <c r="K15" i="7"/>
  <c r="J15" i="7"/>
  <c r="J20" i="7" s="1"/>
  <c r="J21" i="7" s="1"/>
  <c r="H15" i="7"/>
  <c r="K14" i="7"/>
  <c r="K13" i="7"/>
  <c r="H11" i="7"/>
  <c r="K11" i="7" s="1"/>
  <c r="H10" i="7"/>
  <c r="H20" i="7" s="1"/>
  <c r="H9" i="7"/>
  <c r="K9" i="7" s="1"/>
  <c r="K20" i="7" l="1"/>
  <c r="G47" i="7" s="1"/>
  <c r="K21" i="7"/>
  <c r="G48" i="7" s="1"/>
  <c r="G45" i="7"/>
  <c r="K10" i="7"/>
  <c r="G44" i="7"/>
  <c r="G43" i="6" l="1"/>
  <c r="E34" i="6"/>
  <c r="H20" i="6"/>
  <c r="M19" i="6"/>
  <c r="L19" i="6"/>
  <c r="I19" i="6"/>
  <c r="I20" i="6" s="1"/>
  <c r="F19" i="6"/>
  <c r="K17" i="6"/>
  <c r="K16" i="6"/>
  <c r="K15" i="6"/>
  <c r="J14" i="6"/>
  <c r="K14" i="6" s="1"/>
  <c r="J13" i="6"/>
  <c r="K13" i="6" s="1"/>
  <c r="K12" i="6"/>
  <c r="K11" i="6"/>
  <c r="E10" i="6"/>
  <c r="H10" i="6" s="1"/>
  <c r="K10" i="6" s="1"/>
  <c r="K9" i="6"/>
  <c r="H9" i="6"/>
  <c r="H19" i="6" l="1"/>
  <c r="E19" i="6"/>
  <c r="E20" i="6" s="1"/>
  <c r="J19" i="6"/>
  <c r="J20" i="6" s="1"/>
  <c r="K20" i="6" s="1"/>
  <c r="G48" i="6" l="1"/>
  <c r="G45" i="6"/>
  <c r="K19" i="6"/>
  <c r="G47" i="6" l="1"/>
  <c r="G44" i="6"/>
  <c r="G45" i="5" l="1"/>
  <c r="E35" i="5"/>
  <c r="H21" i="5"/>
  <c r="K21" i="5" s="1"/>
  <c r="G49" i="5" s="1"/>
  <c r="M20" i="5"/>
  <c r="L20" i="5"/>
  <c r="I20" i="5"/>
  <c r="I21" i="5" s="1"/>
  <c r="F20" i="5"/>
  <c r="K19" i="5"/>
  <c r="H19" i="5"/>
  <c r="K18" i="5"/>
  <c r="K17" i="5"/>
  <c r="K16" i="5"/>
  <c r="J15" i="5"/>
  <c r="K15" i="5" s="1"/>
  <c r="J14" i="5"/>
  <c r="J20" i="5" s="1"/>
  <c r="J21" i="5" s="1"/>
  <c r="H13" i="5"/>
  <c r="K13" i="5" s="1"/>
  <c r="H11" i="5"/>
  <c r="K11" i="5" s="1"/>
  <c r="E11" i="5"/>
  <c r="E20" i="5" s="1"/>
  <c r="E21" i="5" s="1"/>
  <c r="K10" i="5"/>
  <c r="H9" i="5"/>
  <c r="H20" i="5" s="1"/>
  <c r="K20" i="5" s="1"/>
  <c r="G48" i="5" l="1"/>
  <c r="G46" i="5"/>
  <c r="G47" i="5"/>
  <c r="K9" i="5"/>
  <c r="K14" i="5"/>
  <c r="G41" i="4" l="1"/>
  <c r="H20" i="4"/>
  <c r="I19" i="4"/>
  <c r="I20" i="4" s="1"/>
  <c r="F19" i="4"/>
  <c r="E19" i="4"/>
  <c r="E20" i="4" s="1"/>
  <c r="K18" i="4"/>
  <c r="K17" i="4"/>
  <c r="K16" i="4"/>
  <c r="K15" i="4"/>
  <c r="K14" i="4"/>
  <c r="J14" i="4"/>
  <c r="J13" i="4"/>
  <c r="K13" i="4" s="1"/>
  <c r="K12" i="4"/>
  <c r="H12" i="4"/>
  <c r="H19" i="4" s="1"/>
  <c r="K11" i="4"/>
  <c r="K10" i="4"/>
  <c r="K9" i="4"/>
  <c r="J19" i="4" l="1"/>
  <c r="J20" i="4" s="1"/>
  <c r="K20" i="4" s="1"/>
  <c r="G46" i="4" l="1"/>
  <c r="G43" i="4"/>
  <c r="K19" i="4"/>
  <c r="G45" i="4" l="1"/>
  <c r="G42" i="4"/>
  <c r="H42" i="4" s="1"/>
  <c r="G38" i="3" l="1"/>
  <c r="G43" i="3" l="1"/>
  <c r="G40" i="3"/>
  <c r="G42" i="3"/>
  <c r="G39" i="3"/>
  <c r="G40" i="2" l="1"/>
  <c r="E32" i="2"/>
  <c r="H21" i="2"/>
  <c r="M20" i="2"/>
  <c r="L20" i="2"/>
  <c r="I21" i="2" s="1"/>
  <c r="I20" i="2"/>
  <c r="F20" i="2"/>
  <c r="K19" i="2"/>
  <c r="H18" i="2"/>
  <c r="K18" i="2" s="1"/>
  <c r="H17" i="2"/>
  <c r="K17" i="2" s="1"/>
  <c r="J16" i="2"/>
  <c r="F16" i="2"/>
  <c r="E16" i="2"/>
  <c r="H16" i="2" s="1"/>
  <c r="K16" i="2" s="1"/>
  <c r="K15" i="2"/>
  <c r="H14" i="2"/>
  <c r="K14" i="2" s="1"/>
  <c r="J13" i="2"/>
  <c r="J20" i="2" s="1"/>
  <c r="J21" i="2" s="1"/>
  <c r="H12" i="2"/>
  <c r="K12" i="2" s="1"/>
  <c r="H11" i="2"/>
  <c r="H20" i="2" s="1"/>
  <c r="K20" i="2" s="1"/>
  <c r="G44" i="2" s="1"/>
  <c r="E11" i="2"/>
  <c r="E20" i="2" s="1"/>
  <c r="E21" i="2" s="1"/>
  <c r="K10" i="2"/>
  <c r="K9" i="2"/>
  <c r="K21" i="2" l="1"/>
  <c r="G45" i="2" s="1"/>
  <c r="K11" i="2"/>
  <c r="K13" i="2"/>
  <c r="G41" i="2"/>
  <c r="G42" i="2" l="1"/>
  <c r="H40" i="1" l="1"/>
  <c r="F32" i="1"/>
  <c r="J23" i="1"/>
  <c r="I23" i="1"/>
  <c r="N22" i="1"/>
  <c r="M22" i="1"/>
  <c r="K22" i="1"/>
  <c r="K23" i="1" s="1"/>
  <c r="J22" i="1"/>
  <c r="G22" i="1"/>
  <c r="F22" i="1"/>
  <c r="L21" i="1"/>
  <c r="L20" i="1"/>
  <c r="I19" i="1"/>
  <c r="L19" i="1" s="1"/>
  <c r="L18" i="1"/>
  <c r="L16" i="1"/>
  <c r="L15" i="1"/>
  <c r="L14" i="1"/>
  <c r="K14" i="1"/>
  <c r="L13" i="1"/>
  <c r="I12" i="1"/>
  <c r="L12" i="1" s="1"/>
  <c r="I11" i="1"/>
  <c r="L11" i="1" s="1"/>
  <c r="L10" i="1"/>
  <c r="L9" i="1"/>
  <c r="I9" i="1"/>
  <c r="L23" i="1" l="1"/>
  <c r="H44" i="1" s="1"/>
  <c r="I22" i="1"/>
  <c r="L22" i="1" s="1"/>
  <c r="H43" i="1" s="1"/>
  <c r="H41" i="1"/>
  <c r="H42" i="1" l="1"/>
</calcChain>
</file>

<file path=xl/sharedStrings.xml><?xml version="1.0" encoding="utf-8"?>
<sst xmlns="http://schemas.openxmlformats.org/spreadsheetml/2006/main" count="2148" uniqueCount="455">
  <si>
    <t>Operation</t>
  </si>
  <si>
    <t xml:space="preserve">  No</t>
  </si>
  <si>
    <t>Total</t>
  </si>
  <si>
    <t>Fam</t>
  </si>
  <si>
    <t>Wage</t>
  </si>
  <si>
    <t xml:space="preserve">  Labour</t>
  </si>
  <si>
    <t xml:space="preserve">  Machinary</t>
  </si>
  <si>
    <t xml:space="preserve">  Material</t>
  </si>
  <si>
    <t xml:space="preserve">  Total </t>
  </si>
  <si>
    <t>OWN INPUTS</t>
  </si>
  <si>
    <t>Report</t>
  </si>
  <si>
    <t>Lab</t>
  </si>
  <si>
    <t>Rate</t>
  </si>
  <si>
    <t xml:space="preserve">  Cost</t>
  </si>
  <si>
    <t xml:space="preserve">  &amp; Equpim't</t>
  </si>
  <si>
    <t xml:space="preserve">  %</t>
  </si>
  <si>
    <t xml:space="preserve">  Rs/ac</t>
  </si>
  <si>
    <t>All nursery preparation</t>
  </si>
  <si>
    <t>Pre weedicide application</t>
  </si>
  <si>
    <t>1st2nd Plough With 2wt</t>
  </si>
  <si>
    <t>1st2nd Plough With 4wt</t>
  </si>
  <si>
    <t>(30)</t>
  </si>
  <si>
    <t>(8543)</t>
  </si>
  <si>
    <t>Preparation of Beds &amp; Ridges</t>
  </si>
  <si>
    <t>Transplanting</t>
  </si>
  <si>
    <t>Fertilizer Application</t>
  </si>
  <si>
    <t>Weed control with weedicides</t>
  </si>
  <si>
    <t>Weeding &amp; Earthing Up</t>
  </si>
  <si>
    <t>`(10)</t>
  </si>
  <si>
    <t>`(7.27)</t>
  </si>
  <si>
    <t>`(1.45)</t>
  </si>
  <si>
    <t>`(6543.00)</t>
  </si>
  <si>
    <t>-</t>
  </si>
  <si>
    <t>Pest &amp; Disease Control</t>
  </si>
  <si>
    <t>Water Management</t>
  </si>
  <si>
    <t>Harvesting&amp;Processing</t>
  </si>
  <si>
    <t>Transport produce to stores</t>
  </si>
  <si>
    <t>Total Including Imputed Cost</t>
  </si>
  <si>
    <t xml:space="preserve">Total Excluding Imputed Cost </t>
  </si>
  <si>
    <t>RELATED INFORMATION</t>
  </si>
  <si>
    <t>Quantity and Price of Inputs</t>
  </si>
  <si>
    <t>Input</t>
  </si>
  <si>
    <t>Unit</t>
  </si>
  <si>
    <t>Quantity</t>
  </si>
  <si>
    <t>Unit Price (Rs)</t>
  </si>
  <si>
    <t>SEED</t>
  </si>
  <si>
    <t>Local 98%</t>
  </si>
  <si>
    <t>kg</t>
  </si>
  <si>
    <t>Variety</t>
  </si>
  <si>
    <t>%</t>
  </si>
  <si>
    <t>Imported (2%)</t>
  </si>
  <si>
    <t>(3.00)</t>
  </si>
  <si>
    <t>(5500.00)</t>
  </si>
  <si>
    <t>Lanka</t>
  </si>
  <si>
    <t>LABOUR</t>
  </si>
  <si>
    <t>Nasik</t>
  </si>
  <si>
    <t>Hired Labour</t>
  </si>
  <si>
    <t>md</t>
  </si>
  <si>
    <t>Family Labour</t>
  </si>
  <si>
    <t>Mean</t>
  </si>
  <si>
    <t>Mode</t>
  </si>
  <si>
    <t>FIELD FERTILIZER</t>
  </si>
  <si>
    <t>% Reporting</t>
  </si>
  <si>
    <t>Urea</t>
  </si>
  <si>
    <t>T.S.P</t>
  </si>
  <si>
    <t xml:space="preserve"> OnionMixture</t>
  </si>
  <si>
    <t>YIELD AND RETURNS</t>
  </si>
  <si>
    <t>ha</t>
  </si>
  <si>
    <t>Average Yield (kg/ac)</t>
  </si>
  <si>
    <t>Price of Produce (Rs/kg)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</si>
  <si>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</si>
  <si>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</si>
  <si>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</si>
  <si>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</si>
  <si>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</si>
  <si>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>*This season big onion crop dameged from rain'fangus and pests.</t>
  </si>
  <si>
    <t>there for low yield.</t>
  </si>
  <si>
    <t>Matale</t>
  </si>
  <si>
    <t>2015 Yala</t>
  </si>
  <si>
    <t>Big Onion  (IRRIGATED)</t>
  </si>
  <si>
    <t>Pre Weedicide Application</t>
  </si>
  <si>
    <t>General land preparation</t>
  </si>
  <si>
    <t>(22)</t>
  </si>
  <si>
    <t>`(1.7)</t>
  </si>
  <si>
    <t>`(0.9)</t>
  </si>
  <si>
    <t>(1935.00)</t>
  </si>
  <si>
    <t>1  Plough with 2wt</t>
  </si>
  <si>
    <t>Digging holes &amp; seeding</t>
  </si>
  <si>
    <t>Weeding &amp; Earthing up</t>
  </si>
  <si>
    <t xml:space="preserve">Trelising &amp; Training </t>
  </si>
  <si>
    <t>Harvesting &amp; Drawing</t>
  </si>
  <si>
    <t>Transport Produce to Stores</t>
  </si>
  <si>
    <t xml:space="preserve">Seeding </t>
  </si>
  <si>
    <t>Variety destribution %</t>
  </si>
  <si>
    <t>Local</t>
  </si>
  <si>
    <t>Hybrid</t>
  </si>
  <si>
    <t xml:space="preserve">Basal </t>
  </si>
  <si>
    <t>Tsp</t>
  </si>
  <si>
    <t>Vegetable mixture</t>
  </si>
  <si>
    <t>Per ha</t>
  </si>
  <si>
    <t>Special remarks-</t>
  </si>
  <si>
    <t xml:space="preserve">  *Low yeild due to low rain </t>
  </si>
  <si>
    <t>Bitter goard  (IRRIGATED)</t>
  </si>
  <si>
    <t>Hambantota</t>
  </si>
  <si>
    <t>N.P.Liyanage/V.G.S.Nilantha/J.W.Surangi Lakmali</t>
  </si>
  <si>
    <t>Broadcasting</t>
  </si>
  <si>
    <t>Pest &amp; disease control</t>
  </si>
  <si>
    <t>Water management</t>
  </si>
  <si>
    <t>Harvesting with Manual</t>
  </si>
  <si>
    <t>Processing(manu)</t>
  </si>
  <si>
    <t>Total including imputed cost</t>
  </si>
  <si>
    <t xml:space="preserve">Total excluding imputed cost </t>
  </si>
  <si>
    <t>% of Ext.</t>
  </si>
  <si>
    <t>Anuradha</t>
  </si>
  <si>
    <t>Average yield (kg/ac)</t>
  </si>
  <si>
    <t>Gross income (Rs/ac)</t>
  </si>
  <si>
    <t>Profit incl. imputed cost (Rs/ac)</t>
  </si>
  <si>
    <t>Profit excl. imputed cost (Rs/ac)</t>
  </si>
  <si>
    <t>Per unit cost (incl.imputed cost) (Rs/kg)</t>
  </si>
  <si>
    <t>Per unit cost (excl. imputed cost (Rs/kg)</t>
  </si>
  <si>
    <t xml:space="preserve">Note- </t>
  </si>
  <si>
    <t>low yield due to rain</t>
  </si>
  <si>
    <t>Black Grame (IRRIGATED)</t>
  </si>
  <si>
    <t>System H</t>
  </si>
  <si>
    <t>All Nursery Preparation</t>
  </si>
  <si>
    <t>1, 2, &amp; 3  Plough with 4wt</t>
  </si>
  <si>
    <t>Digging holes &amp; Transplanting</t>
  </si>
  <si>
    <t xml:space="preserve">Weeding &amp; Earthing up </t>
  </si>
  <si>
    <t xml:space="preserve">Seed </t>
  </si>
  <si>
    <t>TSP</t>
  </si>
  <si>
    <t>MOP</t>
  </si>
  <si>
    <t>Brinjal  (IRRIGATED)</t>
  </si>
  <si>
    <t>OWN INPUT</t>
  </si>
  <si>
    <t>All nursery preparetion</t>
  </si>
  <si>
    <t xml:space="preserve">1st plough with 2wt </t>
  </si>
  <si>
    <t xml:space="preserve">      (do manually)</t>
  </si>
  <si>
    <t>(28)</t>
  </si>
  <si>
    <t>(13.87)</t>
  </si>
  <si>
    <t>(3.71)</t>
  </si>
  <si>
    <t>(1000)</t>
  </si>
  <si>
    <t>(13870.00)</t>
  </si>
  <si>
    <t>Preperation of beds</t>
  </si>
  <si>
    <t>Digging holes &amp; transplanting</t>
  </si>
  <si>
    <t>Fertilizer application</t>
  </si>
  <si>
    <t>Weeding &amp; earthing up</t>
  </si>
  <si>
    <t>Harvesting &amp; Drawing**</t>
  </si>
  <si>
    <t>**done by buyer</t>
  </si>
  <si>
    <t>*Lime</t>
  </si>
  <si>
    <t xml:space="preserve">                                          </t>
  </si>
  <si>
    <t xml:space="preserve"> </t>
  </si>
  <si>
    <t xml:space="preserve">   </t>
  </si>
  <si>
    <t xml:space="preserve">            </t>
  </si>
  <si>
    <t>VEARITY</t>
  </si>
  <si>
    <t>Precent reported</t>
  </si>
  <si>
    <t>AS</t>
  </si>
  <si>
    <t>Seed</t>
  </si>
  <si>
    <t>grams</t>
  </si>
  <si>
    <t>Green cornet</t>
  </si>
  <si>
    <t>Plants</t>
  </si>
  <si>
    <t>(48)</t>
  </si>
  <si>
    <t>(17810.00)</t>
  </si>
  <si>
    <t>Other</t>
  </si>
  <si>
    <t>Meen-</t>
  </si>
  <si>
    <t>Mode-</t>
  </si>
  <si>
    <t xml:space="preserve">                                                                                                                  </t>
  </si>
  <si>
    <t>FERTILIZER</t>
  </si>
  <si>
    <t>TDM</t>
  </si>
  <si>
    <t>Veg. mix</t>
  </si>
  <si>
    <t>Per ac</t>
  </si>
  <si>
    <t>Pa ha</t>
  </si>
  <si>
    <t>Cabbage  (IRRIGATED)</t>
  </si>
  <si>
    <t>Nuwaraeliya</t>
  </si>
  <si>
    <t>General Land Preparation</t>
  </si>
  <si>
    <t>1 Plough with 2wt</t>
  </si>
  <si>
    <t>(1 Plough with manually)</t>
  </si>
  <si>
    <t>(20)</t>
  </si>
  <si>
    <t>(14.6)</t>
  </si>
  <si>
    <t>(896)</t>
  </si>
  <si>
    <t>`(13082.00)</t>
  </si>
  <si>
    <t>Preparation of beds &amp; ridges</t>
  </si>
  <si>
    <t xml:space="preserve"> Seeding</t>
  </si>
  <si>
    <t>Weeding &amp; thinning out</t>
  </si>
  <si>
    <t>Harvesting &amp; drawing**</t>
  </si>
  <si>
    <t>**Done by buyer</t>
  </si>
  <si>
    <t>Takis</t>
  </si>
  <si>
    <t>Tokita</t>
  </si>
  <si>
    <t>mean</t>
  </si>
  <si>
    <t>mode</t>
  </si>
  <si>
    <t>Poultry</t>
  </si>
  <si>
    <t>bag</t>
  </si>
  <si>
    <t>Vegi. mix</t>
  </si>
  <si>
    <t>Carrot (IRRIGATED)</t>
  </si>
  <si>
    <t>Nursery preparation</t>
  </si>
  <si>
    <t>1st  Plough with 4wt</t>
  </si>
  <si>
    <t>1st  Plough (manu)</t>
  </si>
  <si>
    <t>`(28)</t>
  </si>
  <si>
    <t>`(15.78)</t>
  </si>
  <si>
    <t>`(9.95)</t>
  </si>
  <si>
    <t>`(15780.00)</t>
  </si>
  <si>
    <t>Bed preparation</t>
  </si>
  <si>
    <t>Weeding &amp; earthing up (Manual)</t>
  </si>
  <si>
    <t>Harvesting  drawing</t>
  </si>
  <si>
    <t>KA2</t>
  </si>
  <si>
    <t>MI2</t>
  </si>
  <si>
    <t>Galkiriyagama</t>
  </si>
  <si>
    <t>Chilli.Mix</t>
  </si>
  <si>
    <t>Per Ac</t>
  </si>
  <si>
    <t>Low yield due to flood</t>
  </si>
  <si>
    <t>Chilli  (IRRIGATED)</t>
  </si>
  <si>
    <t>Anuradhapura</t>
  </si>
  <si>
    <t xml:space="preserve">Harvesting </t>
  </si>
  <si>
    <t>Red</t>
  </si>
  <si>
    <t>Liquid</t>
  </si>
  <si>
    <t>Low yield due to drought</t>
  </si>
  <si>
    <t>Ampara</t>
  </si>
  <si>
    <t>Gingelly  (Raifed)</t>
  </si>
  <si>
    <t>Cowpea  (Raifed)</t>
  </si>
  <si>
    <t>(16)</t>
  </si>
  <si>
    <t>`(16)</t>
  </si>
  <si>
    <t>Preparation beds</t>
  </si>
  <si>
    <t>Threshing &amp; procressing  with thresure</t>
  </si>
  <si>
    <t xml:space="preserve">Broadcasting / T.P. / Seeding </t>
  </si>
  <si>
    <t>KG</t>
  </si>
  <si>
    <t>seed</t>
  </si>
  <si>
    <t>fert</t>
  </si>
  <si>
    <t>weeding</t>
  </si>
  <si>
    <t>pest</t>
  </si>
  <si>
    <t>harvesting</t>
  </si>
  <si>
    <t>Per Ha</t>
  </si>
  <si>
    <t>Badulla</t>
  </si>
  <si>
    <t>Maize   (IRRIGATED)</t>
  </si>
  <si>
    <t>(40)</t>
  </si>
  <si>
    <t xml:space="preserve">Harvesting and drawing </t>
  </si>
  <si>
    <t xml:space="preserve"> Seeding </t>
  </si>
  <si>
    <t>This season maize yield damage from pest and rain.</t>
  </si>
  <si>
    <t>1, 2, &amp; 3  Plough with Tract</t>
  </si>
  <si>
    <t>Digging holes &amp; Planting</t>
  </si>
  <si>
    <t>Harvesting &amp; Drawing **</t>
  </si>
  <si>
    <t>Harvesting &amp; Drawing (mannual)</t>
  </si>
  <si>
    <t>`(14)</t>
  </si>
  <si>
    <t>`(10.44)</t>
  </si>
  <si>
    <t>`(0.67)</t>
  </si>
  <si>
    <t>`(10440.00)</t>
  </si>
  <si>
    <t>** Harvesting done by bayers</t>
  </si>
  <si>
    <t>Planting materials</t>
  </si>
  <si>
    <t>sticks</t>
  </si>
  <si>
    <t>Kirikawadi</t>
  </si>
  <si>
    <t>Peradeni kalu</t>
  </si>
  <si>
    <t>Cocount Fertilizer</t>
  </si>
  <si>
    <t>Manioc   (Rainfed)</t>
  </si>
  <si>
    <t>Gampaha</t>
  </si>
  <si>
    <t>1st plough with manu</t>
  </si>
  <si>
    <t>`(38)</t>
  </si>
  <si>
    <t>`(4.5)</t>
  </si>
  <si>
    <t>`(1.9)</t>
  </si>
  <si>
    <t>`(972.00)</t>
  </si>
  <si>
    <t>`(4374)</t>
  </si>
  <si>
    <t>Prperation beds &amp; ridges</t>
  </si>
  <si>
    <t>Fixing support</t>
  </si>
  <si>
    <t>Water Management (manu)</t>
  </si>
  <si>
    <t>capri</t>
  </si>
  <si>
    <t>veg.mix</t>
  </si>
  <si>
    <t>Per hec.</t>
  </si>
  <si>
    <t>Because the yellowing whitefly attact ,farmer gain low yield.</t>
  </si>
  <si>
    <t>Pole Bean    (IRRIGATED)</t>
  </si>
  <si>
    <t>Kamalani</t>
  </si>
  <si>
    <t>1st plough manu</t>
  </si>
  <si>
    <t>`(24)</t>
  </si>
  <si>
    <t>`(14.95)</t>
  </si>
  <si>
    <t>`(1.89)</t>
  </si>
  <si>
    <t>`(14081.00)</t>
  </si>
  <si>
    <t>2667.00*</t>
  </si>
  <si>
    <t>*lime</t>
  </si>
  <si>
    <t>Granola</t>
  </si>
  <si>
    <t>potato mix</t>
  </si>
  <si>
    <t xml:space="preserve">Potato yield  was reduced than 2014 yala because of poor quality of seeds , </t>
  </si>
  <si>
    <t>not good climate condition and pest attack.</t>
  </si>
  <si>
    <t>Potato    (IRRIGATED)</t>
  </si>
  <si>
    <t>OWN INPU</t>
  </si>
  <si>
    <t>1st plough(2WT)</t>
  </si>
  <si>
    <t>(do Mannually)</t>
  </si>
  <si>
    <t>`(11.71)</t>
  </si>
  <si>
    <t>`(3.43)</t>
  </si>
  <si>
    <t>`(11710.00)</t>
  </si>
  <si>
    <t>Preparation of beds &amp; Ridges</t>
  </si>
  <si>
    <t>3798.00*</t>
  </si>
  <si>
    <t xml:space="preserve">                                                                                                                                                                        </t>
  </si>
  <si>
    <t>Harvesting &amp; drawing</t>
  </si>
  <si>
    <t xml:space="preserve"> poultry manure</t>
  </si>
  <si>
    <t>Bags</t>
  </si>
  <si>
    <t>cowdong</t>
  </si>
  <si>
    <t>LL</t>
  </si>
  <si>
    <t>potato mixture</t>
  </si>
  <si>
    <t>Nuwara Eliya</t>
  </si>
  <si>
    <t>I.G.P.N.Wickramasinghe</t>
  </si>
  <si>
    <t>1st Plough with 2wt</t>
  </si>
  <si>
    <t>Seed Processing</t>
  </si>
  <si>
    <t>Didding holes &amp;  Seeding</t>
  </si>
  <si>
    <t>Weed Control With Weedicides</t>
  </si>
  <si>
    <t>Weeding &amp; loossing soil (Manual)</t>
  </si>
  <si>
    <t>Water Management(Electricity)</t>
  </si>
  <si>
    <t>New technoligy used(Sprincles)</t>
  </si>
  <si>
    <t>Additional Drying &amp; purifing</t>
  </si>
  <si>
    <t>Cajan cost</t>
  </si>
  <si>
    <t>kg/g/Plants</t>
  </si>
  <si>
    <t>Vadalan</t>
  </si>
  <si>
    <t>Thambasetti</t>
  </si>
  <si>
    <t>Mallunu</t>
  </si>
  <si>
    <t>Cowdung</t>
  </si>
  <si>
    <t>D</t>
  </si>
  <si>
    <t>E</t>
  </si>
  <si>
    <t>All Top D.</t>
  </si>
  <si>
    <t>Onion.Mix</t>
  </si>
  <si>
    <t>F</t>
  </si>
  <si>
    <t>Table:</t>
  </si>
  <si>
    <t>COST OF CULTIVATION PER ACRE OF Red Onion  (IRRIGATED )</t>
  </si>
  <si>
    <t>DISTRICT: Puttalam       2015 Yala  SEASON</t>
  </si>
  <si>
    <t>Tabulated &amp; analyzed by : N.P.S.A.Menike(EA)</t>
  </si>
  <si>
    <t>bags</t>
  </si>
  <si>
    <t>CU3</t>
  </si>
  <si>
    <t>Red Onion     (IRRIGATED)</t>
  </si>
  <si>
    <t>Puttalam</t>
  </si>
  <si>
    <t>N.P.S.A.Menike(EA)</t>
  </si>
  <si>
    <t>Seed processing</t>
  </si>
  <si>
    <t>seeding</t>
  </si>
  <si>
    <t>Weeding &amp; loosing soil</t>
  </si>
  <si>
    <t>Processing</t>
  </si>
  <si>
    <t>Vedalan</t>
  </si>
  <si>
    <t>Cow dung</t>
  </si>
  <si>
    <t>Trincomalee</t>
  </si>
  <si>
    <t>Palipana</t>
  </si>
  <si>
    <t>Pre eeedicide application</t>
  </si>
  <si>
    <t>1, 2, &amp; 3  Plough with 2wt</t>
  </si>
  <si>
    <t>(5867.00)</t>
  </si>
  <si>
    <t>1, 2, &amp; 3  Plough with4wt</t>
  </si>
  <si>
    <t>Preparation beds&amp;ridges</t>
  </si>
  <si>
    <t xml:space="preserve">weeding and eathing up </t>
  </si>
  <si>
    <t>Harvesting (manu)</t>
  </si>
  <si>
    <t xml:space="preserve"> prossing with thesher</t>
  </si>
  <si>
    <t>Seeding</t>
  </si>
  <si>
    <t>PB1</t>
  </si>
  <si>
    <t>OTHER</t>
  </si>
  <si>
    <t>1. Urea</t>
  </si>
  <si>
    <t>11.Tsp</t>
  </si>
  <si>
    <t>111.Mop</t>
  </si>
  <si>
    <t>Pest damege and rain</t>
  </si>
  <si>
    <t>Soya     (IRRIGATED)</t>
  </si>
  <si>
    <t>(7029.00)</t>
  </si>
  <si>
    <t>(with buffaloes)</t>
  </si>
  <si>
    <t>(17)</t>
  </si>
  <si>
    <t>Processing material&amp;planting</t>
  </si>
  <si>
    <t>Cuttings</t>
  </si>
  <si>
    <t>Potato Mixture</t>
  </si>
  <si>
    <t>Sweet potato     (IRRIGATED)</t>
  </si>
  <si>
    <t>Nursery Mgt</t>
  </si>
  <si>
    <t>1st plough (2wt)</t>
  </si>
  <si>
    <t>`(34)</t>
  </si>
  <si>
    <t>`(8947.00)</t>
  </si>
  <si>
    <t>Preperation beds</t>
  </si>
  <si>
    <t xml:space="preserve">Weeding &amp; earthing up </t>
  </si>
  <si>
    <t>Training</t>
  </si>
  <si>
    <t>Pathma</t>
  </si>
  <si>
    <t>g</t>
  </si>
  <si>
    <t>Thilina</t>
  </si>
  <si>
    <t>Vegi.</t>
  </si>
  <si>
    <t>Per ha.</t>
  </si>
  <si>
    <t>Tomato     (IRRIGATED)</t>
  </si>
  <si>
    <t>1, st Plough manually</t>
  </si>
  <si>
    <t>`(46)</t>
  </si>
  <si>
    <t>`(7034.00)</t>
  </si>
  <si>
    <t>Fixing Supporting cost</t>
  </si>
  <si>
    <t>Abiman</t>
  </si>
  <si>
    <t>Glori</t>
  </si>
  <si>
    <t>Vegi mix</t>
  </si>
  <si>
    <t>cow dung</t>
  </si>
  <si>
    <t>Kandy</t>
  </si>
  <si>
    <t>2015-16 Maha</t>
  </si>
  <si>
    <t>1st   Plough with 4wt</t>
  </si>
  <si>
    <t xml:space="preserve">Broadcasting </t>
  </si>
  <si>
    <t>Harvesting and drawing</t>
  </si>
  <si>
    <t xml:space="preserve"> Processing</t>
  </si>
  <si>
    <t>Varity</t>
  </si>
  <si>
    <t>MI-2</t>
  </si>
  <si>
    <t>Meen</t>
  </si>
  <si>
    <t>Kurakkan  (Rain fed)</t>
  </si>
  <si>
    <t>Digging holes &amp; Seeding - Manual</t>
  </si>
  <si>
    <t>Digging holes &amp; Seeding - Buffaloa</t>
  </si>
  <si>
    <t>(2.15)</t>
  </si>
  <si>
    <t>(1.20)</t>
  </si>
  <si>
    <t>`(2150.00)</t>
  </si>
  <si>
    <t>(1083)</t>
  </si>
  <si>
    <t>Digging holes &amp; Seeding - Seeder</t>
  </si>
  <si>
    <t>(10)</t>
  </si>
  <si>
    <t>(2.5)</t>
  </si>
  <si>
    <t>(1.56)</t>
  </si>
  <si>
    <t>`(2500.00)</t>
  </si>
  <si>
    <t>(2437)</t>
  </si>
  <si>
    <t>Processing with engine power thresher</t>
  </si>
  <si>
    <t>(Processing with Agromec)</t>
  </si>
  <si>
    <t>(0.81)</t>
  </si>
  <si>
    <t>(0.37)</t>
  </si>
  <si>
    <t>(1248.00)</t>
  </si>
  <si>
    <t>(302)</t>
  </si>
  <si>
    <t>Pasific</t>
  </si>
  <si>
    <t>Jet</t>
  </si>
  <si>
    <t>Jumbo</t>
  </si>
  <si>
    <t>Mop</t>
  </si>
  <si>
    <t>Maaize  (Rain fed)</t>
  </si>
  <si>
    <t>Kumudu kalyani</t>
  </si>
  <si>
    <t xml:space="preserve">  Mater</t>
  </si>
  <si>
    <t>1st  2nd &amp; 3rd Plough with 4wt</t>
  </si>
  <si>
    <t>Weeding control with weedicides</t>
  </si>
  <si>
    <t>Pasipic</t>
  </si>
  <si>
    <t xml:space="preserve">Jet </t>
  </si>
  <si>
    <t>Rohan Abekoon</t>
  </si>
  <si>
    <t>Rohan abekoon</t>
  </si>
  <si>
    <t>Monaragala</t>
  </si>
  <si>
    <t>1,  &amp; 2  Plough with 4wt</t>
  </si>
  <si>
    <t>Digging holes / ridge with  4wt</t>
  </si>
  <si>
    <t>Digging holes / ridge with  buffaloes</t>
  </si>
  <si>
    <t>(24)</t>
  </si>
  <si>
    <t>`(400.00)</t>
  </si>
  <si>
    <t>(1854)</t>
  </si>
  <si>
    <t>Digging holes / ridge with  manual</t>
  </si>
  <si>
    <t>(12)</t>
  </si>
  <si>
    <t>(313.00)</t>
  </si>
  <si>
    <t xml:space="preserve"> Processing </t>
  </si>
  <si>
    <t>Transporting</t>
  </si>
  <si>
    <t>Ject 999</t>
  </si>
  <si>
    <t xml:space="preserve">*Low  yeild due to rain </t>
  </si>
  <si>
    <t>1st&amp; 2nd   Plough with 4wt</t>
  </si>
  <si>
    <t>Threshing &amp; Processing</t>
  </si>
  <si>
    <t>Kalu  undu</t>
  </si>
  <si>
    <t>MI 1</t>
  </si>
  <si>
    <t>Gas Udu</t>
  </si>
  <si>
    <t>Black gram  (Rain fed)</t>
  </si>
  <si>
    <t>Vavuniya</t>
  </si>
  <si>
    <t>1stPlough with 4wt</t>
  </si>
  <si>
    <t>Threshing &amp; Processing 4wt</t>
  </si>
  <si>
    <t>Threshing &amp; Processing Tsunamy</t>
  </si>
  <si>
    <t>`(32)</t>
  </si>
  <si>
    <t>`(3605.00)</t>
  </si>
  <si>
    <t>Trasporting</t>
  </si>
  <si>
    <t>MI-1</t>
  </si>
  <si>
    <t>(1, 2, &amp; 3  Plough with 2wt)</t>
  </si>
  <si>
    <t>(12)'</t>
  </si>
  <si>
    <t>(1.63)</t>
  </si>
  <si>
    <t>`(1630.00)</t>
  </si>
  <si>
    <t>(8000)</t>
  </si>
  <si>
    <t>Threshing &amp; Processing with Manually</t>
  </si>
  <si>
    <t>(Threshing &amp; Processing with 4WT)</t>
  </si>
  <si>
    <t>(0.34)</t>
  </si>
  <si>
    <t>(0.21)</t>
  </si>
  <si>
    <t>`(340.00)</t>
  </si>
  <si>
    <t>Waruni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</si>
</sst>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_)"/>
    <numFmt numFmtId="165" formatCode="0.00_)"/>
    <numFmt numFmtId="166" formatCode="0.0"/>
  </numFmts>
  <fonts count="29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9"/>
      <name val="Calibri"/>
      <family val="2"/>
      <scheme val="minor"/>
    </font>
    <font>
      <sz val="9"/>
      <name val="Comic Sans MS"/>
      <family val="4"/>
    </font>
    <font>
      <b/>
      <sz val="9"/>
      <name val="Comic Sans MS"/>
      <family val="4"/>
    </font>
    <font>
      <sz val="8"/>
      <name val="Comic Sans MS"/>
      <family val="4"/>
    </font>
    <font>
      <sz val="9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9"/>
      <color rgb="FFFF0000"/>
      <name val="Comic Sans MS"/>
      <family val="4"/>
    </font>
    <font>
      <b/>
      <i/>
      <sz val="9"/>
      <name val="Comic Sans MS"/>
      <family val="4"/>
    </font>
    <font>
      <u/>
      <sz val="10"/>
      <color theme="10"/>
      <name val="Arial"/>
      <family val="2"/>
    </font>
    <font>
      <u/>
      <sz val="9"/>
      <name val="Comic Sans MS"/>
      <family val="4"/>
    </font>
    <font>
      <sz val="9"/>
      <color theme="1"/>
      <name val="Comic Sans MS"/>
      <family val="4"/>
    </font>
    <font>
      <sz val="10"/>
      <name val="Comic Sans MS"/>
      <family val="4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b/>
      <sz val="11"/>
      <name val="Calibri"/>
      <family val="2"/>
      <scheme val="minor"/>
    </font>
    <font>
      <sz val="10"/>
      <name val="DL-Araliya.."/>
    </font>
    <font>
      <b/>
      <sz val="8"/>
      <name val="Arial"/>
      <family val="2"/>
    </font>
    <font>
      <sz val="8"/>
      <name val="Arial"/>
      <family val="2"/>
    </font>
    <font>
      <sz val="11"/>
      <name val="Arial"/>
      <family val="2"/>
    </font>
    <font>
      <sz val="9"/>
      <name val="Times New Roman"/>
      <family val="1"/>
    </font>
    <font>
      <sz val="11"/>
      <color indexed="9"/>
      <name val="Times New Roman"/>
      <family val="1"/>
    </font>
    <font>
      <sz val="11"/>
      <color theme="1"/>
      <name val="Calibri"/>
      <family val="2"/>
      <scheme val="minor"/>
    </font>
    <font>
      <sz val="9"/>
      <color rgb="FFFF0000"/>
      <name val="Courier"/>
      <family val="3"/>
    </font>
    <font>
      <sz val="9"/>
      <name val="Calibri"/>
      <family val="2"/>
    </font>
    <font>
      <b/>
      <sz val="9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0" fontId="7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460">
    <xf numFmtId="0" fontId="0" fillId="0" borderId="0" xfId="0"/>
    <xf numFmtId="0" fontId="1" fillId="0" borderId="0" xfId="0" applyFont="1"/>
    <xf numFmtId="0" fontId="2" fillId="0" borderId="0" xfId="0" applyFont="1" applyFill="1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2" fontId="3" fillId="0" borderId="0" xfId="0" applyNumberFormat="1" applyFont="1"/>
    <xf numFmtId="0" fontId="3" fillId="0" borderId="0" xfId="0" applyFont="1" applyFill="1"/>
    <xf numFmtId="0" fontId="3" fillId="0" borderId="2" xfId="0" applyFont="1" applyBorder="1"/>
    <xf numFmtId="2" fontId="3" fillId="0" borderId="0" xfId="0" applyNumberFormat="1" applyFont="1" applyFill="1"/>
    <xf numFmtId="164" fontId="3" fillId="0" borderId="0" xfId="0" applyNumberFormat="1" applyFont="1" applyProtection="1"/>
    <xf numFmtId="165" fontId="3" fillId="0" borderId="0" xfId="0" applyNumberFormat="1" applyFont="1" applyProtection="1"/>
    <xf numFmtId="164" fontId="3" fillId="0" borderId="0" xfId="0" quotePrefix="1" applyNumberFormat="1" applyFont="1" applyProtection="1"/>
    <xf numFmtId="0" fontId="3" fillId="0" borderId="0" xfId="0" quotePrefix="1" applyFont="1" applyFill="1"/>
    <xf numFmtId="2" fontId="3" fillId="0" borderId="0" xfId="0" quotePrefix="1" applyNumberFormat="1" applyFont="1"/>
    <xf numFmtId="0" fontId="3" fillId="0" borderId="0" xfId="0" quotePrefix="1" applyFont="1"/>
    <xf numFmtId="2" fontId="3" fillId="0" borderId="0" xfId="0" quotePrefix="1" applyNumberFormat="1" applyFont="1" applyAlignment="1">
      <alignment horizontal="right"/>
    </xf>
    <xf numFmtId="164" fontId="3" fillId="0" borderId="0" xfId="0" quotePrefix="1" applyNumberFormat="1" applyFont="1" applyFill="1" applyProtection="1"/>
    <xf numFmtId="165" fontId="3" fillId="0" borderId="0" xfId="0" applyNumberFormat="1" applyFont="1" applyFill="1" applyProtection="1"/>
    <xf numFmtId="164" fontId="3" fillId="0" borderId="1" xfId="0" applyNumberFormat="1" applyFont="1" applyBorder="1" applyProtection="1"/>
    <xf numFmtId="166" fontId="3" fillId="0" borderId="1" xfId="0" applyNumberFormat="1" applyFont="1" applyBorder="1"/>
    <xf numFmtId="2" fontId="3" fillId="0" borderId="1" xfId="0" applyNumberFormat="1" applyFont="1" applyBorder="1"/>
    <xf numFmtId="164" fontId="3" fillId="0" borderId="2" xfId="0" applyNumberFormat="1" applyFont="1" applyBorder="1" applyProtection="1"/>
    <xf numFmtId="2" fontId="3" fillId="0" borderId="2" xfId="0" applyNumberFormat="1" applyFont="1" applyBorder="1"/>
    <xf numFmtId="0" fontId="3" fillId="0" borderId="3" xfId="0" applyFont="1" applyBorder="1"/>
    <xf numFmtId="9" fontId="3" fillId="0" borderId="0" xfId="0" applyNumberFormat="1" applyFont="1"/>
    <xf numFmtId="0" fontId="3" fillId="0" borderId="4" xfId="0" applyFont="1" applyFill="1" applyBorder="1"/>
    <xf numFmtId="166" fontId="3" fillId="0" borderId="4" xfId="0" applyNumberFormat="1" applyFont="1" applyBorder="1"/>
    <xf numFmtId="0" fontId="3" fillId="0" borderId="4" xfId="0" applyFont="1" applyBorder="1"/>
    <xf numFmtId="2" fontId="3" fillId="0" borderId="4" xfId="0" applyNumberFormat="1" applyFont="1" applyBorder="1"/>
    <xf numFmtId="2" fontId="3" fillId="0" borderId="0" xfId="0" applyNumberFormat="1" applyFont="1" applyFill="1" applyBorder="1"/>
    <xf numFmtId="2" fontId="3" fillId="0" borderId="0" xfId="0" applyNumberFormat="1" applyFont="1" applyBorder="1"/>
    <xf numFmtId="2" fontId="3" fillId="0" borderId="0" xfId="0" applyNumberFormat="1" applyFont="1" applyFill="1" applyBorder="1" applyProtection="1"/>
    <xf numFmtId="0" fontId="3" fillId="2" borderId="0" xfId="0" applyFont="1" applyFill="1"/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right"/>
    </xf>
    <xf numFmtId="2" fontId="3" fillId="2" borderId="0" xfId="0" applyNumberFormat="1" applyFont="1" applyFill="1"/>
    <xf numFmtId="0" fontId="3" fillId="2" borderId="2" xfId="0" applyFont="1" applyFill="1" applyBorder="1"/>
    <xf numFmtId="0" fontId="3" fillId="2" borderId="2" xfId="0" applyFont="1" applyFill="1" applyBorder="1" applyAlignment="1">
      <alignment horizontal="right"/>
    </xf>
    <xf numFmtId="0" fontId="3" fillId="0" borderId="1" xfId="0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3" fillId="0" borderId="2" xfId="0" applyFont="1" applyFill="1" applyBorder="1"/>
    <xf numFmtId="164" fontId="3" fillId="0" borderId="0" xfId="0" applyNumberFormat="1" applyFont="1" applyFill="1" applyProtection="1"/>
    <xf numFmtId="2" fontId="3" fillId="0" borderId="0" xfId="0" applyNumberFormat="1" applyFont="1" applyFill="1" applyProtection="1"/>
    <xf numFmtId="49" fontId="3" fillId="0" borderId="0" xfId="0" applyNumberFormat="1" applyFont="1" applyFill="1" applyProtection="1"/>
    <xf numFmtId="0" fontId="3" fillId="0" borderId="0" xfId="0" applyNumberFormat="1" applyFont="1" applyFill="1"/>
    <xf numFmtId="49" fontId="3" fillId="0" borderId="0" xfId="0" applyNumberFormat="1" applyFont="1" applyFill="1"/>
    <xf numFmtId="164" fontId="3" fillId="0" borderId="1" xfId="0" applyNumberFormat="1" applyFont="1" applyFill="1" applyBorder="1" applyProtection="1"/>
    <xf numFmtId="2" fontId="3" fillId="0" borderId="1" xfId="0" applyNumberFormat="1" applyFont="1" applyFill="1" applyBorder="1"/>
    <xf numFmtId="164" fontId="3" fillId="0" borderId="2" xfId="0" applyNumberFormat="1" applyFont="1" applyFill="1" applyBorder="1" applyProtection="1"/>
    <xf numFmtId="2" fontId="3" fillId="0" borderId="2" xfId="0" applyNumberFormat="1" applyFont="1" applyFill="1" applyBorder="1"/>
    <xf numFmtId="0" fontId="3" fillId="0" borderId="3" xfId="0" applyFont="1" applyFill="1" applyBorder="1"/>
    <xf numFmtId="0" fontId="3" fillId="0" borderId="5" xfId="0" applyFont="1" applyFill="1" applyBorder="1" applyAlignment="1">
      <alignment horizontal="left" vertical="top"/>
    </xf>
    <xf numFmtId="0" fontId="3" fillId="0" borderId="6" xfId="0" applyFont="1" applyFill="1" applyBorder="1" applyAlignment="1">
      <alignment horizontal="left" vertical="top"/>
    </xf>
    <xf numFmtId="0" fontId="3" fillId="0" borderId="4" xfId="0" applyFont="1" applyFill="1" applyBorder="1" applyAlignment="1">
      <alignment horizontal="left" vertical="top"/>
    </xf>
    <xf numFmtId="0" fontId="3" fillId="0" borderId="0" xfId="0" quotePrefix="1" applyFont="1" applyFill="1" applyBorder="1"/>
    <xf numFmtId="0" fontId="4" fillId="0" borderId="0" xfId="0" applyFont="1" applyFill="1"/>
    <xf numFmtId="165" fontId="3" fillId="0" borderId="0" xfId="0" applyNumberFormat="1" applyFont="1" applyFill="1" applyBorder="1" applyProtection="1"/>
    <xf numFmtId="165" fontId="3" fillId="0" borderId="0" xfId="0" applyNumberFormat="1" applyFont="1" applyFill="1" applyBorder="1"/>
    <xf numFmtId="165" fontId="3" fillId="0" borderId="2" xfId="0" applyNumberFormat="1" applyFont="1" applyFill="1" applyBorder="1"/>
    <xf numFmtId="0" fontId="3" fillId="0" borderId="0" xfId="0" applyFont="1" applyFill="1" applyAlignment="1">
      <alignment horizontal="left" vertical="top"/>
    </xf>
    <xf numFmtId="0" fontId="3" fillId="2" borderId="0" xfId="0" applyFont="1" applyFill="1" applyBorder="1" applyAlignment="1">
      <alignment horizontal="left"/>
    </xf>
    <xf numFmtId="0" fontId="5" fillId="0" borderId="1" xfId="0" applyFont="1" applyBorder="1"/>
    <xf numFmtId="0" fontId="5" fillId="0" borderId="0" xfId="0" applyFont="1"/>
    <xf numFmtId="0" fontId="5" fillId="0" borderId="0" xfId="0" applyFont="1" applyBorder="1"/>
    <xf numFmtId="0" fontId="5" fillId="0" borderId="2" xfId="0" applyFont="1" applyBorder="1"/>
    <xf numFmtId="164" fontId="5" fillId="0" borderId="0" xfId="0" quotePrefix="1" applyNumberFormat="1" applyFont="1" applyProtection="1"/>
    <xf numFmtId="2" fontId="5" fillId="0" borderId="0" xfId="0" applyNumberFormat="1" applyFont="1"/>
    <xf numFmtId="2" fontId="5" fillId="0" borderId="0" xfId="0" applyNumberFormat="1" applyFont="1" applyProtection="1"/>
    <xf numFmtId="164" fontId="5" fillId="0" borderId="0" xfId="0" applyNumberFormat="1" applyFont="1" applyProtection="1"/>
    <xf numFmtId="164" fontId="5" fillId="0" borderId="1" xfId="0" applyNumberFormat="1" applyFont="1" applyBorder="1" applyProtection="1"/>
    <xf numFmtId="2" fontId="5" fillId="0" borderId="1" xfId="0" applyNumberFormat="1" applyFont="1" applyBorder="1"/>
    <xf numFmtId="164" fontId="5" fillId="0" borderId="2" xfId="0" applyNumberFormat="1" applyFont="1" applyBorder="1" applyProtection="1"/>
    <xf numFmtId="2" fontId="5" fillId="0" borderId="2" xfId="0" applyNumberFormat="1" applyFont="1" applyBorder="1"/>
    <xf numFmtId="0" fontId="5" fillId="0" borderId="3" xfId="0" applyFont="1" applyBorder="1"/>
    <xf numFmtId="2" fontId="6" fillId="0" borderId="4" xfId="0" applyNumberFormat="1" applyFont="1" applyFill="1" applyBorder="1"/>
    <xf numFmtId="0" fontId="6" fillId="0" borderId="4" xfId="0" applyFont="1" applyFill="1" applyBorder="1"/>
    <xf numFmtId="0" fontId="7" fillId="0" borderId="0" xfId="0" applyFont="1" applyBorder="1"/>
    <xf numFmtId="0" fontId="0" fillId="0" borderId="0" xfId="0" applyBorder="1"/>
    <xf numFmtId="0" fontId="7" fillId="0" borderId="4" xfId="0" applyFont="1" applyBorder="1"/>
    <xf numFmtId="0" fontId="0" fillId="0" borderId="4" xfId="0" applyBorder="1"/>
    <xf numFmtId="165" fontId="5" fillId="0" borderId="0" xfId="0" applyNumberFormat="1" applyFont="1" applyBorder="1" applyProtection="1"/>
    <xf numFmtId="0" fontId="6" fillId="0" borderId="0" xfId="0" applyFont="1" applyFill="1"/>
    <xf numFmtId="165" fontId="5" fillId="0" borderId="0" xfId="0" applyNumberFormat="1" applyFont="1" applyBorder="1"/>
    <xf numFmtId="165" fontId="5" fillId="0" borderId="2" xfId="0" applyNumberFormat="1" applyFont="1" applyBorder="1"/>
    <xf numFmtId="0" fontId="8" fillId="0" borderId="0" xfId="0" applyFont="1"/>
    <xf numFmtId="0" fontId="5" fillId="2" borderId="1" xfId="0" applyFont="1" applyFill="1" applyBorder="1"/>
    <xf numFmtId="0" fontId="5" fillId="2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left"/>
    </xf>
    <xf numFmtId="0" fontId="5" fillId="2" borderId="0" xfId="0" applyFont="1" applyFill="1"/>
    <xf numFmtId="0" fontId="5" fillId="2" borderId="0" xfId="0" applyFont="1" applyFill="1" applyBorder="1"/>
    <xf numFmtId="0" fontId="5" fillId="2" borderId="0" xfId="0" applyFont="1" applyFill="1" applyBorder="1" applyAlignment="1">
      <alignment horizontal="right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right"/>
    </xf>
    <xf numFmtId="166" fontId="3" fillId="0" borderId="0" xfId="0" applyNumberFormat="1" applyFont="1" applyFill="1"/>
    <xf numFmtId="165" fontId="3" fillId="0" borderId="4" xfId="0" applyNumberFormat="1" applyFont="1" applyFill="1" applyBorder="1" applyProtection="1"/>
    <xf numFmtId="166" fontId="3" fillId="0" borderId="4" xfId="0" applyNumberFormat="1" applyFont="1" applyFill="1" applyBorder="1" applyAlignment="1">
      <alignment horizontal="left" vertical="top"/>
    </xf>
    <xf numFmtId="165" fontId="4" fillId="0" borderId="4" xfId="0" applyNumberFormat="1" applyFont="1" applyFill="1" applyBorder="1" applyProtection="1"/>
    <xf numFmtId="165" fontId="4" fillId="0" borderId="0" xfId="0" applyNumberFormat="1" applyFont="1" applyFill="1" applyProtection="1"/>
    <xf numFmtId="0" fontId="3" fillId="0" borderId="0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164" fontId="3" fillId="0" borderId="0" xfId="0" applyNumberFormat="1" applyFont="1" applyFill="1" applyBorder="1" applyProtection="1"/>
    <xf numFmtId="3" fontId="3" fillId="0" borderId="0" xfId="0" applyNumberFormat="1" applyFont="1" applyFill="1" applyBorder="1"/>
    <xf numFmtId="164" fontId="3" fillId="0" borderId="0" xfId="0" quotePrefix="1" applyNumberFormat="1" applyFont="1" applyFill="1" applyBorder="1" applyProtection="1"/>
    <xf numFmtId="2" fontId="3" fillId="0" borderId="0" xfId="0" applyNumberFormat="1" applyFont="1" applyFill="1" applyBorder="1" applyAlignment="1">
      <alignment horizontal="center"/>
    </xf>
    <xf numFmtId="164" fontId="3" fillId="0" borderId="0" xfId="0" quotePrefix="1" applyNumberFormat="1" applyFont="1" applyFill="1" applyBorder="1" applyAlignment="1" applyProtection="1">
      <alignment horizontal="right"/>
    </xf>
    <xf numFmtId="2" fontId="3" fillId="0" borderId="0" xfId="0" quotePrefix="1" applyNumberFormat="1" applyFont="1" applyFill="1" applyBorder="1" applyAlignment="1">
      <alignment horizontal="center"/>
    </xf>
    <xf numFmtId="2" fontId="3" fillId="0" borderId="0" xfId="0" quotePrefix="1" applyNumberFormat="1" applyFont="1" applyFill="1" applyBorder="1" applyAlignment="1" applyProtection="1">
      <alignment horizontal="right"/>
    </xf>
    <xf numFmtId="2" fontId="3" fillId="0" borderId="1" xfId="0" applyNumberFormat="1" applyFont="1" applyFill="1" applyBorder="1" applyAlignment="1">
      <alignment horizontal="center"/>
    </xf>
    <xf numFmtId="3" fontId="3" fillId="0" borderId="1" xfId="0" applyNumberFormat="1" applyFont="1" applyFill="1" applyBorder="1"/>
    <xf numFmtId="2" fontId="3" fillId="0" borderId="2" xfId="0" applyNumberFormat="1" applyFont="1" applyFill="1" applyBorder="1" applyAlignment="1">
      <alignment horizontal="center"/>
    </xf>
    <xf numFmtId="3" fontId="3" fillId="0" borderId="2" xfId="0" applyNumberFormat="1" applyFont="1" applyFill="1" applyBorder="1"/>
    <xf numFmtId="0" fontId="3" fillId="0" borderId="0" xfId="0" applyFont="1" applyFill="1" applyAlignment="1">
      <alignment horizontal="center"/>
    </xf>
    <xf numFmtId="3" fontId="3" fillId="0" borderId="0" xfId="0" applyNumberFormat="1" applyFont="1" applyFill="1"/>
    <xf numFmtId="0" fontId="4" fillId="0" borderId="0" xfId="0" applyFont="1" applyFill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4" fillId="0" borderId="0" xfId="0" applyFont="1" applyFill="1" applyBorder="1"/>
    <xf numFmtId="2" fontId="3" fillId="0" borderId="4" xfId="0" applyNumberFormat="1" applyFont="1" applyFill="1" applyBorder="1" applyAlignment="1">
      <alignment horizontal="left" vertical="top"/>
    </xf>
    <xf numFmtId="9" fontId="3" fillId="0" borderId="0" xfId="0" applyNumberFormat="1" applyFont="1" applyFill="1"/>
    <xf numFmtId="2" fontId="3" fillId="0" borderId="0" xfId="0" applyNumberFormat="1" applyFont="1" applyFill="1" applyAlignment="1">
      <alignment horizontal="right"/>
    </xf>
    <xf numFmtId="0" fontId="3" fillId="0" borderId="0" xfId="0" quotePrefix="1" applyFont="1" applyFill="1" applyAlignment="1">
      <alignment horizontal="right"/>
    </xf>
    <xf numFmtId="2" fontId="3" fillId="0" borderId="0" xfId="0" quotePrefix="1" applyNumberFormat="1" applyFont="1" applyFill="1" applyAlignment="1">
      <alignment horizontal="center"/>
    </xf>
    <xf numFmtId="1" fontId="3" fillId="0" borderId="0" xfId="0" applyNumberFormat="1" applyFont="1" applyFill="1"/>
    <xf numFmtId="2" fontId="3" fillId="0" borderId="0" xfId="0" applyNumberFormat="1" applyFont="1" applyFill="1" applyAlignment="1">
      <alignment horizontal="center"/>
    </xf>
    <xf numFmtId="2" fontId="3" fillId="0" borderId="4" xfId="0" applyNumberFormat="1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2" fontId="4" fillId="0" borderId="0" xfId="0" applyNumberFormat="1" applyFont="1" applyFill="1" applyAlignment="1">
      <alignment horizontal="center"/>
    </xf>
    <xf numFmtId="1" fontId="3" fillId="0" borderId="1" xfId="0" quotePrefix="1" applyNumberFormat="1" applyFont="1" applyFill="1" applyBorder="1" applyAlignment="1">
      <alignment horizontal="center"/>
    </xf>
    <xf numFmtId="0" fontId="9" fillId="0" borderId="0" xfId="0" applyFont="1" applyFill="1" applyBorder="1"/>
    <xf numFmtId="1" fontId="3" fillId="0" borderId="0" xfId="0" quotePrefix="1" applyNumberFormat="1" applyFont="1" applyFill="1" applyBorder="1" applyAlignment="1">
      <alignment horizontal="center"/>
    </xf>
    <xf numFmtId="1" fontId="9" fillId="0" borderId="0" xfId="0" applyNumberFormat="1" applyFont="1" applyFill="1" applyBorder="1"/>
    <xf numFmtId="0" fontId="3" fillId="0" borderId="2" xfId="0" quotePrefix="1" applyFont="1" applyFill="1" applyBorder="1"/>
    <xf numFmtId="1" fontId="3" fillId="0" borderId="0" xfId="0" applyNumberFormat="1" applyFont="1" applyFill="1" applyBorder="1"/>
    <xf numFmtId="0" fontId="10" fillId="0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2" fontId="3" fillId="0" borderId="0" xfId="0" quotePrefix="1" applyNumberFormat="1" applyFont="1" applyFill="1" applyBorder="1" applyAlignment="1">
      <alignment horizontal="right"/>
    </xf>
    <xf numFmtId="0" fontId="4" fillId="0" borderId="1" xfId="0" applyFont="1" applyFill="1" applyBorder="1"/>
    <xf numFmtId="166" fontId="4" fillId="0" borderId="0" xfId="0" applyNumberFormat="1" applyFont="1" applyFill="1" applyBorder="1"/>
    <xf numFmtId="2" fontId="3" fillId="0" borderId="0" xfId="0" quotePrefix="1" applyNumberFormat="1" applyFont="1" applyFill="1"/>
    <xf numFmtId="1" fontId="3" fillId="0" borderId="0" xfId="0" quotePrefix="1" applyNumberFormat="1" applyFont="1" applyFill="1" applyProtection="1"/>
    <xf numFmtId="1" fontId="4" fillId="0" borderId="0" xfId="0" applyNumberFormat="1" applyFont="1" applyFill="1" applyBorder="1"/>
    <xf numFmtId="0" fontId="4" fillId="0" borderId="3" xfId="0" applyFont="1" applyFill="1" applyBorder="1"/>
    <xf numFmtId="0" fontId="3" fillId="0" borderId="0" xfId="0" quotePrefix="1" applyFont="1" applyFill="1" applyBorder="1" applyAlignment="1">
      <alignment horizont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left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right"/>
    </xf>
    <xf numFmtId="0" fontId="4" fillId="2" borderId="0" xfId="0" applyFont="1" applyFill="1" applyBorder="1" applyAlignment="1">
      <alignment horizontal="left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right"/>
    </xf>
    <xf numFmtId="0" fontId="3" fillId="0" borderId="0" xfId="0" applyFont="1" applyBorder="1" applyAlignment="1">
      <alignment horizontal="left"/>
    </xf>
    <xf numFmtId="2" fontId="3" fillId="0" borderId="0" xfId="0" applyNumberFormat="1" applyFont="1" applyProtection="1"/>
    <xf numFmtId="0" fontId="12" fillId="0" borderId="0" xfId="2" applyFont="1" applyAlignment="1" applyProtection="1"/>
    <xf numFmtId="9" fontId="3" fillId="0" borderId="4" xfId="0" applyNumberFormat="1" applyFont="1" applyBorder="1"/>
    <xf numFmtId="0" fontId="3" fillId="0" borderId="0" xfId="0" quotePrefix="1" applyFont="1" applyBorder="1"/>
    <xf numFmtId="0" fontId="4" fillId="0" borderId="1" xfId="0" applyFont="1" applyBorder="1"/>
    <xf numFmtId="0" fontId="4" fillId="0" borderId="0" xfId="0" applyFont="1"/>
    <xf numFmtId="165" fontId="3" fillId="0" borderId="0" xfId="0" applyNumberFormat="1" applyFont="1" applyBorder="1"/>
    <xf numFmtId="1" fontId="3" fillId="0" borderId="0" xfId="0" applyNumberFormat="1" applyFont="1"/>
    <xf numFmtId="165" fontId="3" fillId="0" borderId="2" xfId="0" applyNumberFormat="1" applyFont="1" applyBorder="1"/>
    <xf numFmtId="2" fontId="3" fillId="0" borderId="0" xfId="0" quotePrefix="1" applyNumberFormat="1" applyFont="1" applyFill="1" applyAlignment="1">
      <alignment horizontal="right"/>
    </xf>
    <xf numFmtId="0" fontId="5" fillId="0" borderId="0" xfId="0" applyFont="1" applyFill="1"/>
    <xf numFmtId="2" fontId="5" fillId="0" borderId="0" xfId="0" applyNumberFormat="1" applyFont="1" applyFill="1"/>
    <xf numFmtId="2" fontId="5" fillId="0" borderId="0" xfId="0" quotePrefix="1" applyNumberFormat="1" applyFont="1" applyFill="1"/>
    <xf numFmtId="0" fontId="5" fillId="0" borderId="0" xfId="0" quotePrefix="1" applyFont="1"/>
    <xf numFmtId="0" fontId="5" fillId="0" borderId="0" xfId="0" quotePrefix="1" applyFont="1" applyBorder="1"/>
    <xf numFmtId="2" fontId="5" fillId="0" borderId="0" xfId="0" applyNumberFormat="1" applyFont="1" applyBorder="1"/>
    <xf numFmtId="0" fontId="13" fillId="0" borderId="0" xfId="0" applyFont="1"/>
    <xf numFmtId="2" fontId="3" fillId="0" borderId="4" xfId="0" applyNumberFormat="1" applyFont="1" applyFill="1" applyBorder="1"/>
    <xf numFmtId="0" fontId="3" fillId="0" borderId="9" xfId="0" applyNumberFormat="1" applyFont="1" applyFill="1" applyBorder="1" applyProtection="1"/>
    <xf numFmtId="2" fontId="3" fillId="0" borderId="7" xfId="0" applyNumberFormat="1" applyFont="1" applyBorder="1" applyAlignment="1">
      <alignment horizontal="left"/>
    </xf>
    <xf numFmtId="0" fontId="3" fillId="0" borderId="10" xfId="0" applyNumberFormat="1" applyFont="1" applyFill="1" applyBorder="1" applyProtection="1"/>
    <xf numFmtId="2" fontId="3" fillId="0" borderId="8" xfId="0" applyNumberFormat="1" applyFont="1" applyBorder="1" applyAlignment="1">
      <alignment horizontal="left"/>
    </xf>
    <xf numFmtId="0" fontId="14" fillId="0" borderId="0" xfId="0" applyFont="1" applyBorder="1"/>
    <xf numFmtId="0" fontId="13" fillId="0" borderId="0" xfId="0" applyFont="1" applyBorder="1"/>
    <xf numFmtId="0" fontId="14" fillId="0" borderId="4" xfId="0" applyFont="1" applyBorder="1"/>
    <xf numFmtId="2" fontId="13" fillId="0" borderId="4" xfId="0" applyNumberFormat="1" applyFont="1" applyBorder="1"/>
    <xf numFmtId="0" fontId="13" fillId="0" borderId="0" xfId="0" applyFont="1" applyFill="1"/>
    <xf numFmtId="2" fontId="5" fillId="0" borderId="0" xfId="0" quotePrefix="1" applyNumberFormat="1" applyFont="1" applyBorder="1"/>
    <xf numFmtId="0" fontId="5" fillId="0" borderId="2" xfId="0" quotePrefix="1" applyFont="1" applyBorder="1"/>
    <xf numFmtId="0" fontId="5" fillId="0" borderId="11" xfId="0" applyFont="1" applyBorder="1"/>
    <xf numFmtId="165" fontId="5" fillId="0" borderId="11" xfId="0" applyNumberFormat="1" applyFont="1" applyBorder="1"/>
    <xf numFmtId="1" fontId="3" fillId="0" borderId="1" xfId="0" applyNumberFormat="1" applyFont="1" applyFill="1" applyBorder="1"/>
    <xf numFmtId="9" fontId="3" fillId="0" borderId="4" xfId="0" applyNumberFormat="1" applyFont="1" applyFill="1" applyBorder="1"/>
    <xf numFmtId="2" fontId="0" fillId="3" borderId="4" xfId="0" applyNumberFormat="1" applyFill="1" applyBorder="1"/>
    <xf numFmtId="0" fontId="16" fillId="0" borderId="1" xfId="0" applyFont="1" applyBorder="1"/>
    <xf numFmtId="0" fontId="16" fillId="0" borderId="1" xfId="0" applyFont="1" applyBorder="1" applyAlignment="1">
      <alignment horizontal="right"/>
    </xf>
    <xf numFmtId="0" fontId="16" fillId="0" borderId="1" xfId="0" applyFont="1" applyBorder="1" applyAlignment="1">
      <alignment horizontal="left"/>
    </xf>
    <xf numFmtId="0" fontId="16" fillId="0" borderId="0" xfId="0" applyFont="1"/>
    <xf numFmtId="0" fontId="16" fillId="0" borderId="0" xfId="0" applyFont="1" applyBorder="1"/>
    <xf numFmtId="0" fontId="16" fillId="0" borderId="0" xfId="0" applyFont="1" applyBorder="1" applyAlignment="1">
      <alignment horizontal="right"/>
    </xf>
    <xf numFmtId="0" fontId="16" fillId="0" borderId="0" xfId="0" applyFont="1" applyBorder="1" applyAlignment="1">
      <alignment horizontal="left"/>
    </xf>
    <xf numFmtId="0" fontId="16" fillId="0" borderId="2" xfId="0" applyFont="1" applyBorder="1"/>
    <xf numFmtId="0" fontId="16" fillId="0" borderId="2" xfId="0" applyFont="1" applyBorder="1" applyAlignment="1">
      <alignment horizontal="right"/>
    </xf>
    <xf numFmtId="164" fontId="16" fillId="0" borderId="0" xfId="0" applyNumberFormat="1" applyFont="1" applyProtection="1"/>
    <xf numFmtId="2" fontId="16" fillId="0" borderId="0" xfId="0" applyNumberFormat="1" applyFont="1"/>
    <xf numFmtId="2" fontId="16" fillId="0" borderId="0" xfId="0" applyNumberFormat="1" applyFont="1" applyProtection="1"/>
    <xf numFmtId="0" fontId="16" fillId="0" borderId="0" xfId="0" applyFont="1" applyFill="1"/>
    <xf numFmtId="165" fontId="17" fillId="0" borderId="0" xfId="0" applyNumberFormat="1" applyFont="1" applyProtection="1"/>
    <xf numFmtId="164" fontId="17" fillId="0" borderId="0" xfId="0" applyNumberFormat="1" applyFont="1" applyProtection="1"/>
    <xf numFmtId="0" fontId="17" fillId="0" borderId="0" xfId="0" applyFont="1" applyBorder="1" applyAlignment="1">
      <alignment horizontal="left" vertical="top"/>
    </xf>
    <xf numFmtId="0" fontId="15" fillId="0" borderId="0" xfId="0" applyFont="1"/>
    <xf numFmtId="2" fontId="15" fillId="0" borderId="0" xfId="0" applyNumberFormat="1" applyFont="1"/>
    <xf numFmtId="2" fontId="16" fillId="0" borderId="0" xfId="0" quotePrefix="1" applyNumberFormat="1" applyFont="1"/>
    <xf numFmtId="2" fontId="16" fillId="0" borderId="0" xfId="0" applyNumberFormat="1" applyFont="1" applyFill="1"/>
    <xf numFmtId="0" fontId="15" fillId="0" borderId="1" xfId="0" applyFont="1" applyBorder="1"/>
    <xf numFmtId="164" fontId="16" fillId="0" borderId="1" xfId="0" applyNumberFormat="1" applyFont="1" applyBorder="1" applyProtection="1"/>
    <xf numFmtId="2" fontId="16" fillId="0" borderId="1" xfId="0" applyNumberFormat="1" applyFont="1" applyBorder="1"/>
    <xf numFmtId="0" fontId="15" fillId="0" borderId="2" xfId="0" applyFont="1" applyBorder="1"/>
    <xf numFmtId="164" fontId="16" fillId="0" borderId="2" xfId="0" applyNumberFormat="1" applyFont="1" applyBorder="1" applyProtection="1"/>
    <xf numFmtId="2" fontId="16" fillId="0" borderId="2" xfId="0" applyNumberFormat="1" applyFont="1" applyBorder="1"/>
    <xf numFmtId="0" fontId="16" fillId="0" borderId="3" xfId="0" applyFont="1" applyBorder="1"/>
    <xf numFmtId="9" fontId="16" fillId="0" borderId="0" xfId="0" applyNumberFormat="1" applyFont="1"/>
    <xf numFmtId="0" fontId="15" fillId="0" borderId="0" xfId="0" applyFont="1" applyBorder="1"/>
    <xf numFmtId="0" fontId="15" fillId="0" borderId="0" xfId="0" applyFont="1" applyBorder="1" applyAlignment="1">
      <alignment horizontal="left"/>
    </xf>
    <xf numFmtId="0" fontId="15" fillId="0" borderId="0" xfId="0" quotePrefix="1" applyFont="1" applyBorder="1"/>
    <xf numFmtId="2" fontId="16" fillId="0" borderId="0" xfId="0" applyNumberFormat="1" applyFont="1" applyBorder="1"/>
    <xf numFmtId="0" fontId="15" fillId="0" borderId="0" xfId="0" applyFont="1" applyFill="1" applyBorder="1"/>
    <xf numFmtId="0" fontId="16" fillId="0" borderId="0" xfId="0" applyFont="1" applyFill="1" applyBorder="1"/>
    <xf numFmtId="2" fontId="16" fillId="0" borderId="0" xfId="0" applyNumberFormat="1" applyFont="1" applyFill="1" applyBorder="1"/>
    <xf numFmtId="0" fontId="15" fillId="0" borderId="0" xfId="0" applyFont="1" applyAlignment="1">
      <alignment horizontal="left"/>
    </xf>
    <xf numFmtId="0" fontId="15" fillId="0" borderId="2" xfId="0" quotePrefix="1" applyFont="1" applyBorder="1"/>
    <xf numFmtId="0" fontId="18" fillId="0" borderId="1" xfId="0" applyFont="1" applyBorder="1"/>
    <xf numFmtId="0" fontId="18" fillId="0" borderId="0" xfId="0" applyFont="1"/>
    <xf numFmtId="165" fontId="16" fillId="0" borderId="0" xfId="0" applyNumberFormat="1" applyFont="1" applyBorder="1" applyProtection="1"/>
    <xf numFmtId="165" fontId="16" fillId="0" borderId="0" xfId="0" applyNumberFormat="1" applyFont="1" applyBorder="1"/>
    <xf numFmtId="165" fontId="16" fillId="0" borderId="2" xfId="0" applyNumberFormat="1" applyFont="1" applyBorder="1"/>
    <xf numFmtId="0" fontId="19" fillId="0" borderId="0" xfId="0" applyFont="1"/>
    <xf numFmtId="0" fontId="16" fillId="2" borderId="1" xfId="0" applyFont="1" applyFill="1" applyBorder="1"/>
    <xf numFmtId="0" fontId="16" fillId="2" borderId="1" xfId="0" applyFont="1" applyFill="1" applyBorder="1" applyAlignment="1">
      <alignment horizontal="right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2" borderId="0" xfId="0" applyFont="1" applyFill="1" applyBorder="1"/>
    <xf numFmtId="0" fontId="16" fillId="2" borderId="0" xfId="0" applyFont="1" applyFill="1" applyBorder="1" applyAlignment="1">
      <alignment horizontal="right"/>
    </xf>
    <xf numFmtId="0" fontId="16" fillId="2" borderId="0" xfId="0" applyFont="1" applyFill="1" applyBorder="1" applyAlignment="1">
      <alignment horizontal="left"/>
    </xf>
    <xf numFmtId="0" fontId="16" fillId="2" borderId="2" xfId="0" applyFont="1" applyFill="1" applyBorder="1"/>
    <xf numFmtId="0" fontId="16" fillId="2" borderId="2" xfId="0" applyFont="1" applyFill="1" applyBorder="1" applyAlignment="1">
      <alignment horizontal="right"/>
    </xf>
    <xf numFmtId="2" fontId="20" fillId="0" borderId="4" xfId="0" applyNumberFormat="1" applyFont="1" applyFill="1" applyBorder="1" applyAlignment="1">
      <alignment horizontal="center"/>
    </xf>
    <xf numFmtId="0" fontId="20" fillId="0" borderId="4" xfId="0" applyFont="1" applyFill="1" applyBorder="1" applyAlignment="1">
      <alignment horizontal="center"/>
    </xf>
    <xf numFmtId="2" fontId="21" fillId="0" borderId="4" xfId="0" applyNumberFormat="1" applyFont="1" applyFill="1" applyBorder="1" applyAlignment="1">
      <alignment horizontal="center"/>
    </xf>
    <xf numFmtId="0" fontId="21" fillId="0" borderId="4" xfId="0" applyFont="1" applyFill="1" applyBorder="1" applyAlignment="1">
      <alignment horizontal="center"/>
    </xf>
    <xf numFmtId="2" fontId="21" fillId="0" borderId="0" xfId="0" applyNumberFormat="1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1" fillId="0" borderId="4" xfId="0" applyFont="1" applyFill="1" applyBorder="1"/>
    <xf numFmtId="2" fontId="21" fillId="0" borderId="4" xfId="0" applyNumberFormat="1" applyFont="1" applyFill="1" applyBorder="1"/>
    <xf numFmtId="2" fontId="5" fillId="3" borderId="0" xfId="0" applyNumberFormat="1" applyFont="1" applyFill="1"/>
    <xf numFmtId="2" fontId="0" fillId="0" borderId="0" xfId="0" applyNumberFormat="1" applyBorder="1"/>
    <xf numFmtId="165" fontId="5" fillId="0" borderId="0" xfId="0" applyNumberFormat="1" applyFont="1" applyFill="1" applyBorder="1" applyProtection="1"/>
    <xf numFmtId="0" fontId="17" fillId="0" borderId="1" xfId="0" applyFont="1" applyBorder="1"/>
    <xf numFmtId="0" fontId="17" fillId="0" borderId="0" xfId="0" applyFont="1"/>
    <xf numFmtId="0" fontId="22" fillId="0" borderId="0" xfId="0" applyFont="1"/>
    <xf numFmtId="0" fontId="17" fillId="0" borderId="0" xfId="0" applyFont="1" applyBorder="1"/>
    <xf numFmtId="2" fontId="17" fillId="0" borderId="0" xfId="0" applyNumberFormat="1" applyFont="1"/>
    <xf numFmtId="0" fontId="17" fillId="0" borderId="0" xfId="0" applyFont="1" applyFill="1"/>
    <xf numFmtId="0" fontId="17" fillId="0" borderId="2" xfId="0" applyFont="1" applyBorder="1"/>
    <xf numFmtId="2" fontId="17" fillId="0" borderId="0" xfId="0" applyNumberFormat="1" applyFont="1" applyFill="1"/>
    <xf numFmtId="0" fontId="23" fillId="0" borderId="0" xfId="0" applyFont="1"/>
    <xf numFmtId="0" fontId="23" fillId="0" borderId="0" xfId="0" applyFont="1" applyFill="1"/>
    <xf numFmtId="2" fontId="22" fillId="0" borderId="0" xfId="0" applyNumberFormat="1" applyFont="1"/>
    <xf numFmtId="164" fontId="17" fillId="0" borderId="0" xfId="0" quotePrefix="1" applyNumberFormat="1" applyFont="1" applyProtection="1"/>
    <xf numFmtId="0" fontId="17" fillId="0" borderId="0" xfId="0" quotePrefix="1" applyFont="1" applyFill="1"/>
    <xf numFmtId="2" fontId="17" fillId="0" borderId="0" xfId="0" quotePrefix="1" applyNumberFormat="1" applyFont="1" applyFill="1"/>
    <xf numFmtId="0" fontId="17" fillId="0" borderId="0" xfId="0" quotePrefix="1" applyFont="1"/>
    <xf numFmtId="0" fontId="23" fillId="0" borderId="0" xfId="0" quotePrefix="1" applyFont="1" applyFill="1"/>
    <xf numFmtId="49" fontId="17" fillId="0" borderId="0" xfId="0" applyNumberFormat="1" applyFont="1" applyProtection="1"/>
    <xf numFmtId="49" fontId="17" fillId="0" borderId="0" xfId="0" applyNumberFormat="1" applyFont="1" applyFill="1"/>
    <xf numFmtId="49" fontId="17" fillId="0" borderId="0" xfId="0" applyNumberFormat="1" applyFont="1"/>
    <xf numFmtId="164" fontId="17" fillId="0" borderId="0" xfId="0" quotePrefix="1" applyNumberFormat="1" applyFont="1" applyFill="1" applyProtection="1"/>
    <xf numFmtId="0" fontId="22" fillId="0" borderId="0" xfId="0" applyFont="1" applyFill="1"/>
    <xf numFmtId="4" fontId="17" fillId="0" borderId="0" xfId="0" applyNumberFormat="1" applyFont="1" applyFill="1"/>
    <xf numFmtId="165" fontId="17" fillId="0" borderId="0" xfId="0" applyNumberFormat="1" applyFont="1" applyFill="1" applyProtection="1"/>
    <xf numFmtId="2" fontId="17" fillId="0" borderId="0" xfId="0" quotePrefix="1" applyNumberFormat="1" applyFont="1"/>
    <xf numFmtId="164" fontId="17" fillId="0" borderId="1" xfId="0" applyNumberFormat="1" applyFont="1" applyBorder="1" applyProtection="1"/>
    <xf numFmtId="164" fontId="17" fillId="0" borderId="2" xfId="0" applyNumberFormat="1" applyFont="1" applyBorder="1" applyProtection="1"/>
    <xf numFmtId="2" fontId="17" fillId="0" borderId="2" xfId="0" applyNumberFormat="1" applyFont="1" applyBorder="1"/>
    <xf numFmtId="164" fontId="17" fillId="0" borderId="0" xfId="0" applyNumberFormat="1" applyFont="1" applyBorder="1" applyProtection="1"/>
    <xf numFmtId="2" fontId="17" fillId="0" borderId="0" xfId="0" applyNumberFormat="1" applyFont="1" applyBorder="1"/>
    <xf numFmtId="1" fontId="17" fillId="0" borderId="0" xfId="0" applyNumberFormat="1" applyFont="1" applyBorder="1"/>
    <xf numFmtId="10" fontId="17" fillId="0" borderId="0" xfId="0" applyNumberFormat="1" applyFont="1"/>
    <xf numFmtId="0" fontId="17" fillId="0" borderId="3" xfId="0" applyFont="1" applyBorder="1"/>
    <xf numFmtId="0" fontId="22" fillId="0" borderId="0" xfId="0" applyFont="1" applyBorder="1"/>
    <xf numFmtId="0" fontId="17" fillId="0" borderId="0" xfId="0" applyFont="1" applyFill="1" applyBorder="1"/>
    <xf numFmtId="1" fontId="17" fillId="0" borderId="0" xfId="0" applyNumberFormat="1" applyFont="1"/>
    <xf numFmtId="0" fontId="24" fillId="4" borderId="0" xfId="0" applyFont="1" applyFill="1" applyBorder="1"/>
    <xf numFmtId="2" fontId="17" fillId="0" borderId="1" xfId="0" applyNumberFormat="1" applyFont="1" applyBorder="1"/>
    <xf numFmtId="1" fontId="17" fillId="0" borderId="0" xfId="0" applyNumberFormat="1" applyFont="1" applyBorder="1" applyProtection="1"/>
    <xf numFmtId="0" fontId="17" fillId="2" borderId="1" xfId="0" applyFont="1" applyFill="1" applyBorder="1"/>
    <xf numFmtId="0" fontId="17" fillId="2" borderId="1" xfId="0" applyFont="1" applyFill="1" applyBorder="1" applyAlignment="1">
      <alignment horizontal="right"/>
    </xf>
    <xf numFmtId="0" fontId="17" fillId="2" borderId="1" xfId="0" applyFont="1" applyFill="1" applyBorder="1" applyAlignment="1">
      <alignment horizontal="left"/>
    </xf>
    <xf numFmtId="0" fontId="17" fillId="2" borderId="0" xfId="0" applyFont="1" applyFill="1"/>
    <xf numFmtId="0" fontId="22" fillId="2" borderId="0" xfId="0" applyFont="1" applyFill="1"/>
    <xf numFmtId="0" fontId="17" fillId="2" borderId="0" xfId="0" applyFont="1" applyFill="1" applyBorder="1"/>
    <xf numFmtId="0" fontId="17" fillId="2" borderId="0" xfId="0" applyFont="1" applyFill="1" applyBorder="1" applyAlignment="1">
      <alignment horizontal="right"/>
    </xf>
    <xf numFmtId="2" fontId="17" fillId="2" borderId="0" xfId="0" applyNumberFormat="1" applyFont="1" applyFill="1"/>
    <xf numFmtId="0" fontId="17" fillId="2" borderId="2" xfId="0" applyFont="1" applyFill="1" applyBorder="1"/>
    <xf numFmtId="0" fontId="17" fillId="2" borderId="2" xfId="0" applyFont="1" applyFill="1" applyBorder="1" applyAlignment="1">
      <alignment horizontal="right"/>
    </xf>
    <xf numFmtId="165" fontId="6" fillId="0" borderId="4" xfId="0" applyNumberFormat="1" applyFont="1" applyFill="1" applyBorder="1" applyProtection="1"/>
    <xf numFmtId="2" fontId="7" fillId="0" borderId="4" xfId="0" applyNumberFormat="1" applyFont="1" applyFill="1" applyBorder="1" applyAlignment="1">
      <alignment horizontal="right"/>
    </xf>
    <xf numFmtId="2" fontId="6" fillId="0" borderId="4" xfId="0" applyNumberFormat="1" applyFont="1" applyFill="1" applyBorder="1" applyAlignment="1">
      <alignment horizontal="right"/>
    </xf>
    <xf numFmtId="2" fontId="0" fillId="0" borderId="4" xfId="0" applyNumberFormat="1" applyBorder="1" applyAlignment="1">
      <alignment horizontal="right"/>
    </xf>
    <xf numFmtId="2" fontId="0" fillId="0" borderId="4" xfId="0" applyNumberFormat="1" applyFill="1" applyBorder="1"/>
    <xf numFmtId="1" fontId="5" fillId="0" borderId="0" xfId="0" applyNumberFormat="1" applyFont="1"/>
    <xf numFmtId="0" fontId="1" fillId="5" borderId="0" xfId="0" applyFont="1" applyFill="1"/>
    <xf numFmtId="0" fontId="0" fillId="5" borderId="0" xfId="0" applyFill="1"/>
    <xf numFmtId="0" fontId="2" fillId="5" borderId="0" xfId="0" applyFont="1" applyFill="1"/>
    <xf numFmtId="0" fontId="3" fillId="5" borderId="1" xfId="0" applyFont="1" applyFill="1" applyBorder="1"/>
    <xf numFmtId="0" fontId="3" fillId="5" borderId="1" xfId="0" applyFont="1" applyFill="1" applyBorder="1" applyAlignment="1">
      <alignment horizontal="left"/>
    </xf>
    <xf numFmtId="0" fontId="3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3" fillId="5" borderId="2" xfId="0" applyFont="1" applyFill="1" applyBorder="1"/>
    <xf numFmtId="0" fontId="3" fillId="5" borderId="2" xfId="0" applyFont="1" applyFill="1" applyBorder="1" applyAlignment="1">
      <alignment horizontal="left"/>
    </xf>
    <xf numFmtId="2" fontId="3" fillId="5" borderId="0" xfId="0" applyNumberFormat="1" applyFont="1" applyFill="1" applyBorder="1"/>
    <xf numFmtId="2" fontId="3" fillId="5" borderId="0" xfId="0" applyNumberFormat="1" applyFont="1" applyFill="1" applyBorder="1" applyAlignment="1">
      <alignment horizontal="left"/>
    </xf>
    <xf numFmtId="2" fontId="3" fillId="5" borderId="1" xfId="0" applyNumberFormat="1" applyFont="1" applyFill="1" applyBorder="1"/>
    <xf numFmtId="2" fontId="3" fillId="5" borderId="1" xfId="0" applyNumberFormat="1" applyFont="1" applyFill="1" applyBorder="1" applyAlignment="1">
      <alignment horizontal="left"/>
    </xf>
    <xf numFmtId="2" fontId="3" fillId="5" borderId="2" xfId="0" applyNumberFormat="1" applyFont="1" applyFill="1" applyBorder="1"/>
    <xf numFmtId="2" fontId="3" fillId="5" borderId="2" xfId="0" applyNumberFormat="1" applyFont="1" applyFill="1" applyBorder="1" applyAlignment="1">
      <alignment horizontal="left"/>
    </xf>
    <xf numFmtId="0" fontId="3" fillId="5" borderId="3" xfId="0" applyFont="1" applyFill="1" applyBorder="1"/>
    <xf numFmtId="0" fontId="3" fillId="5" borderId="3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left" vertical="top"/>
    </xf>
    <xf numFmtId="9" fontId="3" fillId="5" borderId="4" xfId="4" applyNumberFormat="1" applyFont="1" applyFill="1" applyBorder="1" applyAlignment="1">
      <alignment horizontal="left" vertical="top"/>
    </xf>
    <xf numFmtId="165" fontId="3" fillId="5" borderId="0" xfId="0" applyNumberFormat="1" applyFont="1" applyFill="1" applyBorder="1" applyProtection="1"/>
    <xf numFmtId="164" fontId="3" fillId="5" borderId="0" xfId="0" applyNumberFormat="1" applyFont="1" applyFill="1" applyBorder="1" applyProtection="1"/>
    <xf numFmtId="164" fontId="3" fillId="5" borderId="0" xfId="0" applyNumberFormat="1" applyFont="1" applyFill="1" applyBorder="1" applyAlignment="1" applyProtection="1">
      <alignment horizontal="right"/>
    </xf>
    <xf numFmtId="0" fontId="3" fillId="5" borderId="4" xfId="0" applyFont="1" applyFill="1" applyBorder="1"/>
    <xf numFmtId="2" fontId="3" fillId="5" borderId="4" xfId="0" applyNumberFormat="1" applyFont="1" applyFill="1" applyBorder="1"/>
    <xf numFmtId="0" fontId="3" fillId="5" borderId="1" xfId="0" applyFont="1" applyFill="1" applyBorder="1" applyAlignment="1">
      <alignment horizontal="right"/>
    </xf>
    <xf numFmtId="2" fontId="3" fillId="5" borderId="0" xfId="0" applyNumberFormat="1" applyFont="1" applyFill="1" applyBorder="1" applyAlignment="1">
      <alignment horizontal="right"/>
    </xf>
    <xf numFmtId="1" fontId="3" fillId="5" borderId="0" xfId="0" applyNumberFormat="1" applyFont="1" applyFill="1" applyBorder="1" applyAlignment="1">
      <alignment horizontal="right"/>
    </xf>
    <xf numFmtId="0" fontId="3" fillId="5" borderId="0" xfId="0" applyFont="1" applyFill="1"/>
    <xf numFmtId="0" fontId="3" fillId="5" borderId="0" xfId="0" applyFont="1" applyFill="1" applyBorder="1" applyAlignment="1">
      <alignment horizontal="right"/>
    </xf>
    <xf numFmtId="0" fontId="3" fillId="5" borderId="2" xfId="0" applyFont="1" applyFill="1" applyBorder="1" applyAlignment="1">
      <alignment horizontal="right"/>
    </xf>
    <xf numFmtId="164" fontId="3" fillId="5" borderId="0" xfId="0" applyNumberFormat="1" applyFont="1" applyFill="1" applyProtection="1"/>
    <xf numFmtId="2" fontId="3" fillId="5" borderId="0" xfId="0" applyNumberFormat="1" applyFont="1" applyFill="1"/>
    <xf numFmtId="2" fontId="3" fillId="5" borderId="0" xfId="0" applyNumberFormat="1" applyFont="1" applyFill="1" applyProtection="1"/>
    <xf numFmtId="164" fontId="3" fillId="5" borderId="0" xfId="0" quotePrefix="1" applyNumberFormat="1" applyFont="1" applyFill="1" applyAlignment="1" applyProtection="1">
      <alignment horizontal="right"/>
    </xf>
    <xf numFmtId="2" fontId="3" fillId="5" borderId="0" xfId="0" quotePrefix="1" applyNumberFormat="1" applyFont="1" applyFill="1"/>
    <xf numFmtId="2" fontId="3" fillId="5" borderId="0" xfId="0" quotePrefix="1" applyNumberFormat="1" applyFont="1" applyFill="1" applyProtection="1"/>
    <xf numFmtId="0" fontId="3" fillId="5" borderId="0" xfId="0" quotePrefix="1" applyFont="1" applyFill="1"/>
    <xf numFmtId="164" fontId="3" fillId="5" borderId="0" xfId="0" quotePrefix="1" applyNumberFormat="1" applyFont="1" applyFill="1" applyProtection="1"/>
    <xf numFmtId="164" fontId="3" fillId="5" borderId="1" xfId="0" applyNumberFormat="1" applyFont="1" applyFill="1" applyBorder="1" applyProtection="1"/>
    <xf numFmtId="164" fontId="3" fillId="5" borderId="2" xfId="0" applyNumberFormat="1" applyFont="1" applyFill="1" applyBorder="1" applyProtection="1"/>
    <xf numFmtId="0" fontId="16" fillId="5" borderId="4" xfId="0" applyFont="1" applyFill="1" applyBorder="1"/>
    <xf numFmtId="2" fontId="16" fillId="5" borderId="4" xfId="0" applyNumberFormat="1" applyFont="1" applyFill="1" applyBorder="1"/>
    <xf numFmtId="0" fontId="0" fillId="5" borderId="4" xfId="0" applyFill="1" applyBorder="1" applyAlignment="1">
      <alignment horizontal="left" vertical="top"/>
    </xf>
    <xf numFmtId="0" fontId="7" fillId="5" borderId="4" xfId="0" applyFont="1" applyFill="1" applyBorder="1" applyAlignment="1">
      <alignment horizontal="left" vertical="top"/>
    </xf>
    <xf numFmtId="1" fontId="0" fillId="5" borderId="4" xfId="0" applyNumberFormat="1" applyFill="1" applyBorder="1" applyAlignment="1">
      <alignment horizontal="left" vertical="top"/>
    </xf>
    <xf numFmtId="0" fontId="3" fillId="5" borderId="0" xfId="0" quotePrefix="1" applyFont="1" applyFill="1" applyBorder="1"/>
    <xf numFmtId="165" fontId="3" fillId="5" borderId="0" xfId="0" applyNumberFormat="1" applyFont="1" applyFill="1" applyBorder="1"/>
    <xf numFmtId="1" fontId="3" fillId="5" borderId="0" xfId="0" applyNumberFormat="1" applyFont="1" applyFill="1"/>
    <xf numFmtId="165" fontId="3" fillId="5" borderId="2" xfId="0" applyNumberFormat="1" applyFont="1" applyFill="1" applyBorder="1"/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5" borderId="0" xfId="0" applyFont="1" applyFill="1" applyAlignment="1">
      <alignment horizontal="left"/>
    </xf>
    <xf numFmtId="0" fontId="6" fillId="5" borderId="0" xfId="0" applyFont="1" applyFill="1"/>
    <xf numFmtId="0" fontId="3" fillId="5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/>
    </xf>
    <xf numFmtId="0" fontId="9" fillId="5" borderId="0" xfId="0" applyFont="1" applyFill="1"/>
    <xf numFmtId="0" fontId="3" fillId="5" borderId="0" xfId="0" quotePrefix="1" applyFont="1" applyFill="1" applyBorder="1" applyAlignment="1">
      <alignment horizontal="left"/>
    </xf>
    <xf numFmtId="2" fontId="3" fillId="5" borderId="0" xfId="0" applyNumberFormat="1" applyFont="1" applyFill="1" applyAlignment="1">
      <alignment horizontal="left"/>
    </xf>
    <xf numFmtId="164" fontId="3" fillId="5" borderId="0" xfId="0" quotePrefix="1" applyNumberFormat="1" applyFont="1" applyFill="1" applyAlignment="1" applyProtection="1">
      <alignment horizontal="left"/>
    </xf>
    <xf numFmtId="2" fontId="3" fillId="5" borderId="0" xfId="0" applyNumberFormat="1" applyFont="1" applyFill="1" applyAlignment="1" applyProtection="1">
      <alignment horizontal="left"/>
    </xf>
    <xf numFmtId="2" fontId="3" fillId="5" borderId="0" xfId="0" quotePrefix="1" applyNumberFormat="1" applyFont="1" applyFill="1" applyAlignment="1">
      <alignment horizontal="left"/>
    </xf>
    <xf numFmtId="0" fontId="26" fillId="5" borderId="0" xfId="0" applyFont="1" applyFill="1" applyBorder="1"/>
    <xf numFmtId="2" fontId="3" fillId="5" borderId="0" xfId="0" quotePrefix="1" applyNumberFormat="1" applyFont="1" applyFill="1" applyAlignment="1" applyProtection="1">
      <alignment horizontal="left"/>
    </xf>
    <xf numFmtId="164" fontId="3" fillId="5" borderId="0" xfId="0" applyNumberFormat="1" applyFont="1" applyFill="1" applyAlignment="1" applyProtection="1">
      <alignment horizontal="left"/>
    </xf>
    <xf numFmtId="0" fontId="3" fillId="5" borderId="0" xfId="0" quotePrefix="1" applyFont="1" applyFill="1" applyAlignment="1">
      <alignment horizontal="left"/>
    </xf>
    <xf numFmtId="0" fontId="26" fillId="5" borderId="0" xfId="0" applyFont="1" applyFill="1"/>
    <xf numFmtId="0" fontId="9" fillId="5" borderId="0" xfId="0" applyFont="1" applyFill="1" applyBorder="1"/>
    <xf numFmtId="2" fontId="26" fillId="5" borderId="0" xfId="0" applyNumberFormat="1" applyFont="1" applyFill="1" applyBorder="1"/>
    <xf numFmtId="164" fontId="3" fillId="5" borderId="1" xfId="0" applyNumberFormat="1" applyFont="1" applyFill="1" applyBorder="1" applyAlignment="1" applyProtection="1">
      <alignment horizontal="left"/>
    </xf>
    <xf numFmtId="164" fontId="3" fillId="5" borderId="2" xfId="0" applyNumberFormat="1" applyFont="1" applyFill="1" applyBorder="1" applyAlignment="1" applyProtection="1">
      <alignment horizontal="left"/>
    </xf>
    <xf numFmtId="0" fontId="4" fillId="5" borderId="0" xfId="0" applyNumberFormat="1" applyFont="1" applyFill="1" applyBorder="1" applyAlignment="1" applyProtection="1">
      <alignment horizontal="left"/>
    </xf>
    <xf numFmtId="2" fontId="23" fillId="5" borderId="0" xfId="0" applyNumberFormat="1" applyFont="1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2" fontId="3" fillId="5" borderId="4" xfId="0" applyNumberFormat="1" applyFont="1" applyFill="1" applyBorder="1" applyAlignment="1">
      <alignment horizontal="center"/>
    </xf>
    <xf numFmtId="0" fontId="23" fillId="5" borderId="0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2" fontId="6" fillId="5" borderId="4" xfId="0" applyNumberFormat="1" applyFont="1" applyFill="1" applyBorder="1" applyAlignment="1">
      <alignment horizontal="center"/>
    </xf>
    <xf numFmtId="0" fontId="4" fillId="5" borderId="0" xfId="0" applyFont="1" applyFill="1" applyAlignment="1">
      <alignment horizontal="left"/>
    </xf>
    <xf numFmtId="2" fontId="27" fillId="5" borderId="0" xfId="0" applyNumberFormat="1" applyFont="1" applyFill="1" applyBorder="1" applyAlignment="1">
      <alignment horizontal="left"/>
    </xf>
    <xf numFmtId="1" fontId="23" fillId="5" borderId="0" xfId="3" applyNumberFormat="1" applyFont="1" applyFill="1" applyBorder="1" applyAlignment="1" applyProtection="1">
      <alignment horizontal="left"/>
    </xf>
    <xf numFmtId="0" fontId="6" fillId="5" borderId="0" xfId="0" applyFont="1" applyFill="1" applyBorder="1" applyAlignment="1">
      <alignment horizontal="left"/>
    </xf>
    <xf numFmtId="0" fontId="28" fillId="5" borderId="4" xfId="0" applyFont="1" applyFill="1" applyBorder="1" applyAlignment="1">
      <alignment horizontal="center" vertical="center"/>
    </xf>
    <xf numFmtId="0" fontId="28" fillId="5" borderId="0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left"/>
    </xf>
    <xf numFmtId="0" fontId="23" fillId="5" borderId="4" xfId="0" applyFont="1" applyFill="1" applyBorder="1"/>
    <xf numFmtId="2" fontId="23" fillId="5" borderId="0" xfId="0" applyNumberFormat="1" applyFont="1" applyFill="1" applyBorder="1"/>
    <xf numFmtId="0" fontId="23" fillId="5" borderId="0" xfId="0" applyFont="1" applyFill="1" applyAlignment="1">
      <alignment horizontal="left"/>
    </xf>
    <xf numFmtId="0" fontId="23" fillId="5" borderId="0" xfId="0" applyFont="1" applyFill="1" applyBorder="1"/>
    <xf numFmtId="0" fontId="23" fillId="5" borderId="0" xfId="0" applyNumberFormat="1" applyFont="1" applyFill="1" applyBorder="1" applyAlignment="1" applyProtection="1">
      <alignment horizontal="left"/>
    </xf>
    <xf numFmtId="165" fontId="3" fillId="5" borderId="0" xfId="0" applyNumberFormat="1" applyFont="1" applyFill="1" applyBorder="1" applyAlignment="1" applyProtection="1">
      <alignment horizontal="left"/>
    </xf>
    <xf numFmtId="165" fontId="3" fillId="5" borderId="0" xfId="0" applyNumberFormat="1" applyFont="1" applyFill="1" applyBorder="1" applyAlignment="1">
      <alignment horizontal="left"/>
    </xf>
    <xf numFmtId="1" fontId="3" fillId="5" borderId="0" xfId="0" applyNumberFormat="1" applyFont="1" applyFill="1" applyAlignment="1">
      <alignment horizontal="left"/>
    </xf>
    <xf numFmtId="165" fontId="3" fillId="5" borderId="2" xfId="0" applyNumberFormat="1" applyFont="1" applyFill="1" applyBorder="1" applyAlignment="1">
      <alignment horizontal="left"/>
    </xf>
    <xf numFmtId="0" fontId="5" fillId="5" borderId="0" xfId="0" applyFont="1" applyFill="1" applyAlignment="1">
      <alignment horizontal="left"/>
    </xf>
    <xf numFmtId="0" fontId="5" fillId="5" borderId="0" xfId="0" applyFont="1" applyFill="1"/>
    <xf numFmtId="49" fontId="3" fillId="5" borderId="0" xfId="0" applyNumberFormat="1" applyFont="1" applyFill="1" applyProtection="1"/>
    <xf numFmtId="49" fontId="3" fillId="5" borderId="0" xfId="0" applyNumberFormat="1" applyFont="1" applyFill="1"/>
    <xf numFmtId="166" fontId="3" fillId="5" borderId="4" xfId="0" applyNumberFormat="1" applyFont="1" applyFill="1" applyBorder="1"/>
    <xf numFmtId="165" fontId="4" fillId="5" borderId="4" xfId="0" applyNumberFormat="1" applyFont="1" applyFill="1" applyBorder="1" applyProtection="1"/>
    <xf numFmtId="1" fontId="3" fillId="5" borderId="4" xfId="0" applyNumberFormat="1" applyFont="1" applyFill="1" applyBorder="1" applyAlignment="1">
      <alignment horizontal="left" vertical="top"/>
    </xf>
    <xf numFmtId="0" fontId="3" fillId="5" borderId="0" xfId="0" quotePrefix="1" applyFont="1" applyFill="1" applyBorder="1" applyAlignment="1">
      <alignment horizontal="center"/>
    </xf>
    <xf numFmtId="0" fontId="3" fillId="5" borderId="2" xfId="0" quotePrefix="1" applyFont="1" applyFill="1" applyBorder="1"/>
    <xf numFmtId="0" fontId="3" fillId="5" borderId="2" xfId="0" applyFont="1" applyFill="1" applyBorder="1" applyAlignment="1">
      <alignment horizontal="center"/>
    </xf>
    <xf numFmtId="0" fontId="4" fillId="5" borderId="0" xfId="0" applyFont="1" applyFill="1"/>
    <xf numFmtId="0" fontId="3" fillId="5" borderId="0" xfId="0" applyFont="1" applyFill="1" applyAlignment="1">
      <alignment horizontal="left" vertical="top"/>
    </xf>
    <xf numFmtId="1" fontId="3" fillId="5" borderId="0" xfId="0" applyNumberFormat="1" applyFont="1" applyFill="1" applyAlignment="1">
      <alignment horizontal="left" vertical="top"/>
    </xf>
    <xf numFmtId="0" fontId="5" fillId="5" borderId="0" xfId="0" applyFont="1" applyFill="1" applyBorder="1"/>
    <xf numFmtId="165" fontId="5" fillId="5" borderId="0" xfId="0" applyNumberFormat="1" applyFont="1" applyFill="1" applyBorder="1" applyProtection="1"/>
    <xf numFmtId="165" fontId="5" fillId="5" borderId="0" xfId="0" applyNumberFormat="1" applyFont="1" applyFill="1" applyBorder="1"/>
    <xf numFmtId="0" fontId="5" fillId="5" borderId="2" xfId="0" applyFont="1" applyFill="1" applyBorder="1"/>
    <xf numFmtId="165" fontId="5" fillId="5" borderId="2" xfId="0" applyNumberFormat="1" applyFont="1" applyFill="1" applyBorder="1"/>
    <xf numFmtId="4" fontId="3" fillId="5" borderId="1" xfId="0" applyNumberFormat="1" applyFont="1" applyFill="1" applyBorder="1"/>
    <xf numFmtId="4" fontId="3" fillId="5" borderId="1" xfId="0" applyNumberFormat="1" applyFont="1" applyFill="1" applyBorder="1" applyAlignment="1">
      <alignment horizontal="left"/>
    </xf>
    <xf numFmtId="4" fontId="3" fillId="5" borderId="2" xfId="0" applyNumberFormat="1" applyFont="1" applyFill="1" applyBorder="1"/>
    <xf numFmtId="4" fontId="3" fillId="5" borderId="2" xfId="0" applyNumberFormat="1" applyFont="1" applyFill="1" applyBorder="1" applyAlignment="1">
      <alignment horizontal="left"/>
    </xf>
    <xf numFmtId="166" fontId="3" fillId="5" borderId="0" xfId="0" applyNumberFormat="1" applyFont="1" applyFill="1"/>
    <xf numFmtId="1" fontId="3" fillId="5" borderId="0" xfId="0" applyNumberFormat="1" applyFont="1" applyFill="1" applyBorder="1" applyAlignment="1">
      <alignment horizontal="left"/>
    </xf>
    <xf numFmtId="2" fontId="5" fillId="5" borderId="0" xfId="0" applyNumberFormat="1" applyFont="1" applyFill="1"/>
    <xf numFmtId="0" fontId="8" fillId="5" borderId="0" xfId="0" applyFont="1" applyFill="1"/>
    <xf numFmtId="164" fontId="3" fillId="5" borderId="0" xfId="0" applyNumberFormat="1" applyFont="1" applyFill="1" applyAlignment="1" applyProtection="1">
      <alignment horizontal="right"/>
    </xf>
    <xf numFmtId="2" fontId="3" fillId="5" borderId="0" xfId="0" applyNumberFormat="1" applyFont="1" applyFill="1" applyAlignment="1">
      <alignment horizontal="right"/>
    </xf>
    <xf numFmtId="2" fontId="3" fillId="5" borderId="0" xfId="0" applyNumberFormat="1" applyFont="1" applyFill="1" applyAlignment="1" applyProtection="1">
      <alignment horizontal="right"/>
    </xf>
    <xf numFmtId="2" fontId="3" fillId="5" borderId="0" xfId="0" applyNumberFormat="1" applyFont="1" applyFill="1" applyAlignment="1">
      <alignment horizontal="center"/>
    </xf>
    <xf numFmtId="2" fontId="3" fillId="5" borderId="0" xfId="0" quotePrefix="1" applyNumberFormat="1" applyFont="1" applyFill="1" applyAlignment="1">
      <alignment horizontal="right"/>
    </xf>
    <xf numFmtId="2" fontId="3" fillId="5" borderId="0" xfId="0" quotePrefix="1" applyNumberFormat="1" applyFont="1" applyFill="1" applyAlignment="1" applyProtection="1">
      <alignment horizontal="right"/>
    </xf>
    <xf numFmtId="0" fontId="3" fillId="5" borderId="0" xfId="0" quotePrefix="1" applyFont="1" applyFill="1" applyAlignment="1">
      <alignment horizontal="right"/>
    </xf>
    <xf numFmtId="2" fontId="3" fillId="5" borderId="0" xfId="0" quotePrefix="1" applyNumberFormat="1" applyFont="1" applyFill="1" applyAlignment="1">
      <alignment horizontal="center"/>
    </xf>
    <xf numFmtId="0" fontId="3" fillId="5" borderId="0" xfId="0" applyFont="1" applyFill="1" applyAlignment="1">
      <alignment horizontal="right"/>
    </xf>
    <xf numFmtId="0" fontId="3" fillId="5" borderId="0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center"/>
    </xf>
    <xf numFmtId="0" fontId="1" fillId="0" borderId="0" xfId="0" applyFont="1" applyFill="1"/>
    <xf numFmtId="0" fontId="0" fillId="0" borderId="0" xfId="0" applyFill="1"/>
    <xf numFmtId="0" fontId="3" fillId="0" borderId="1" xfId="0" applyFont="1" applyFill="1" applyBorder="1" applyAlignment="1">
      <alignment horizontal="left"/>
    </xf>
    <xf numFmtId="0" fontId="13" fillId="0" borderId="2" xfId="0" applyFont="1" applyFill="1" applyBorder="1"/>
    <xf numFmtId="0" fontId="13" fillId="0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13" fillId="0" borderId="0" xfId="0" applyFont="1" applyFill="1" applyBorder="1"/>
    <xf numFmtId="0" fontId="13" fillId="0" borderId="0" xfId="0" applyFont="1" applyFill="1" applyBorder="1" applyAlignment="1">
      <alignment horizontal="left"/>
    </xf>
    <xf numFmtId="2" fontId="13" fillId="0" borderId="0" xfId="0" applyNumberFormat="1" applyFont="1" applyFill="1" applyBorder="1"/>
    <xf numFmtId="2" fontId="13" fillId="0" borderId="0" xfId="0" applyNumberFormat="1" applyFont="1" applyFill="1" applyBorder="1" applyAlignment="1">
      <alignment horizontal="left"/>
    </xf>
    <xf numFmtId="4" fontId="3" fillId="0" borderId="1" xfId="0" applyNumberFormat="1" applyFont="1" applyFill="1" applyBorder="1"/>
    <xf numFmtId="4" fontId="3" fillId="0" borderId="1" xfId="0" applyNumberFormat="1" applyFont="1" applyFill="1" applyBorder="1" applyAlignment="1">
      <alignment horizontal="left"/>
    </xf>
    <xf numFmtId="4" fontId="3" fillId="0" borderId="2" xfId="0" applyNumberFormat="1" applyFont="1" applyFill="1" applyBorder="1"/>
    <xf numFmtId="4" fontId="3" fillId="0" borderId="2" xfId="0" applyNumberFormat="1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3" fillId="0" borderId="4" xfId="1" applyNumberFormat="1" applyFont="1" applyFill="1" applyBorder="1" applyProtection="1"/>
    <xf numFmtId="166" fontId="13" fillId="0" borderId="4" xfId="0" applyNumberFormat="1" applyFont="1" applyFill="1" applyBorder="1"/>
    <xf numFmtId="0" fontId="13" fillId="0" borderId="1" xfId="0" applyFont="1" applyFill="1" applyBorder="1"/>
    <xf numFmtId="0" fontId="13" fillId="0" borderId="1" xfId="0" applyFont="1" applyFill="1" applyBorder="1" applyAlignment="1">
      <alignment horizontal="left"/>
    </xf>
    <xf numFmtId="2" fontId="13" fillId="0" borderId="2" xfId="0" applyNumberFormat="1" applyFont="1" applyFill="1" applyBorder="1"/>
  </cellXfs>
  <cellStyles count="5">
    <cellStyle name="Hyperlink" xfId="2" builtinId="8"/>
    <cellStyle name="Normal" xfId="0" builtinId="0"/>
    <cellStyle name="Normal 2" xfId="1"/>
    <cellStyle name="Percent" xfId="4" builtin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OFC%202015Y%20wp%2016-12-14%20-%20Copy\Manioc-%20Gampaha%20-2015y%20(wp)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"/>
      <sheetName val="Data sheet"/>
      <sheetName val="Formula "/>
      <sheetName val="Final"/>
      <sheetName val="EDIT 16-10-17"/>
    </sheetNames>
    <sheetDataSet>
      <sheetData sheetId="0" refreshError="1"/>
      <sheetData sheetId="1">
        <row r="49">
          <cell r="AR49">
            <v>5.1023622047244093</v>
          </cell>
        </row>
        <row r="50">
          <cell r="V50">
            <v>2.6341463414634148</v>
          </cell>
          <cell r="BS50">
            <v>5.1950523311132262</v>
          </cell>
        </row>
        <row r="53">
          <cell r="AQ53">
            <v>1019.9074074074074</v>
          </cell>
        </row>
        <row r="54">
          <cell r="U54">
            <v>909.09090909090912</v>
          </cell>
          <cell r="BR54">
            <v>1008.421052631579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"/>
  <sheetViews>
    <sheetView workbookViewId="0">
      <selection activeCell="F20" sqref="F20"/>
    </sheetView>
  </sheetViews>
  <sheetFormatPr defaultRowHeight="15"/>
  <cols>
    <col min="10" max="10" width="12.28515625" customWidth="1"/>
  </cols>
  <sheetData>
    <row r="1" spans="1:20" ht="15.75">
      <c r="A1" s="1" t="s">
        <v>79</v>
      </c>
      <c r="B1" s="2"/>
      <c r="F1" s="3"/>
      <c r="G1" s="3"/>
      <c r="H1" s="3"/>
      <c r="I1" s="3"/>
      <c r="J1" s="3"/>
      <c r="K1" s="3"/>
      <c r="L1" s="3"/>
      <c r="M1" s="3"/>
      <c r="N1" s="3"/>
    </row>
    <row r="2" spans="1:20" ht="15.75">
      <c r="A2" s="1" t="s">
        <v>77</v>
      </c>
      <c r="B2" s="2"/>
      <c r="F2" s="3"/>
      <c r="G2" s="3"/>
      <c r="H2" s="3"/>
      <c r="I2" s="3"/>
      <c r="J2" s="3"/>
      <c r="K2" s="3"/>
      <c r="L2" s="3"/>
      <c r="M2" s="3"/>
      <c r="N2" s="3"/>
    </row>
    <row r="3" spans="1:20">
      <c r="A3" s="1" t="s">
        <v>376</v>
      </c>
      <c r="B3" s="2"/>
    </row>
    <row r="4" spans="1:20">
      <c r="A4" s="1"/>
    </row>
    <row r="5" spans="1:20" s="34" customFormat="1" ht="14.25">
      <c r="B5" s="35" t="s">
        <v>0</v>
      </c>
      <c r="C5" s="35"/>
      <c r="D5" s="35"/>
      <c r="E5" s="36" t="s">
        <v>1</v>
      </c>
      <c r="F5" s="36" t="s">
        <v>2</v>
      </c>
      <c r="G5" s="36" t="s">
        <v>3</v>
      </c>
      <c r="H5" s="36" t="s">
        <v>4</v>
      </c>
      <c r="I5" s="36" t="s">
        <v>5</v>
      </c>
      <c r="J5" s="36" t="s">
        <v>6</v>
      </c>
      <c r="K5" s="36" t="s">
        <v>7</v>
      </c>
      <c r="L5" s="36" t="s">
        <v>8</v>
      </c>
      <c r="M5" s="37" t="s">
        <v>9</v>
      </c>
      <c r="N5" s="36"/>
    </row>
    <row r="6" spans="1:20" s="34" customFormat="1" ht="14.25">
      <c r="B6" s="38"/>
      <c r="C6" s="38"/>
      <c r="D6" s="38"/>
      <c r="E6" s="39" t="s">
        <v>10</v>
      </c>
      <c r="F6" s="39" t="s">
        <v>11</v>
      </c>
      <c r="G6" s="39" t="s">
        <v>11</v>
      </c>
      <c r="H6" s="39" t="s">
        <v>12</v>
      </c>
      <c r="I6" s="39" t="s">
        <v>13</v>
      </c>
      <c r="J6" s="39" t="s">
        <v>14</v>
      </c>
      <c r="K6" s="39" t="s">
        <v>13</v>
      </c>
      <c r="L6" s="39" t="s">
        <v>13</v>
      </c>
      <c r="M6" s="39" t="s">
        <v>6</v>
      </c>
      <c r="N6" s="39" t="s">
        <v>7</v>
      </c>
      <c r="O6" s="40"/>
    </row>
    <row r="7" spans="1:20" s="34" customFormat="1" ht="14.25">
      <c r="B7" s="38"/>
      <c r="C7" s="38"/>
      <c r="D7" s="38"/>
      <c r="E7" s="39" t="s">
        <v>15</v>
      </c>
      <c r="F7" s="39"/>
      <c r="G7" s="39"/>
      <c r="H7" s="39"/>
      <c r="I7" s="39" t="s">
        <v>16</v>
      </c>
      <c r="J7" s="39" t="s">
        <v>13</v>
      </c>
      <c r="K7" s="39" t="s">
        <v>16</v>
      </c>
      <c r="L7" s="39" t="s">
        <v>16</v>
      </c>
      <c r="M7" s="39"/>
      <c r="N7" s="39"/>
    </row>
    <row r="8" spans="1:20" s="34" customFormat="1" ht="14.25">
      <c r="B8" s="41"/>
      <c r="C8" s="41"/>
      <c r="D8" s="41"/>
      <c r="E8" s="42"/>
      <c r="F8" s="42"/>
      <c r="G8" s="42"/>
      <c r="H8" s="42"/>
      <c r="I8" s="42"/>
      <c r="J8" s="42" t="s">
        <v>16</v>
      </c>
      <c r="K8" s="42"/>
      <c r="L8" s="42"/>
      <c r="M8" s="42"/>
      <c r="N8" s="42"/>
    </row>
    <row r="9" spans="1:20" s="3" customFormat="1" ht="14.25">
      <c r="B9" s="5" t="s">
        <v>17</v>
      </c>
      <c r="C9" s="5"/>
      <c r="D9" s="5"/>
      <c r="E9" s="6">
        <v>100</v>
      </c>
      <c r="F9" s="6">
        <v>6.03</v>
      </c>
      <c r="G9" s="6">
        <v>5.73</v>
      </c>
      <c r="H9" s="6">
        <v>1000</v>
      </c>
      <c r="I9" s="7">
        <f t="shared" ref="I9:I19" si="0">SUM(F9*H9)</f>
        <v>6030</v>
      </c>
      <c r="J9" s="6"/>
      <c r="K9" s="10">
        <v>2130</v>
      </c>
      <c r="L9" s="7">
        <f t="shared" ref="L9:L21" si="1">SUM(I9:K9)</f>
        <v>8160</v>
      </c>
      <c r="M9" s="6"/>
      <c r="N9" s="6"/>
      <c r="O9" s="8"/>
      <c r="Q9" s="8"/>
      <c r="R9" s="8"/>
      <c r="S9" s="8"/>
      <c r="T9" s="8"/>
    </row>
    <row r="10" spans="1:20" s="3" customFormat="1" ht="14.25">
      <c r="B10" s="3" t="s">
        <v>18</v>
      </c>
      <c r="E10" s="11">
        <v>54</v>
      </c>
      <c r="F10" s="8">
        <v>1.4</v>
      </c>
      <c r="G10" s="3">
        <v>1.04</v>
      </c>
      <c r="H10" s="12">
        <v>1057</v>
      </c>
      <c r="I10" s="7">
        <v>1480</v>
      </c>
      <c r="J10" s="7"/>
      <c r="K10" s="10">
        <v>2655</v>
      </c>
      <c r="L10" s="7">
        <f t="shared" si="1"/>
        <v>4135</v>
      </c>
      <c r="O10" s="10"/>
      <c r="P10" s="7"/>
      <c r="Q10" s="8"/>
      <c r="R10" s="8"/>
      <c r="S10" s="8"/>
      <c r="T10" s="8"/>
    </row>
    <row r="11" spans="1:20" s="3" customFormat="1" ht="14.25">
      <c r="B11" s="3" t="s">
        <v>19</v>
      </c>
      <c r="E11" s="13">
        <v>70</v>
      </c>
      <c r="F11" s="14">
        <v>0.5</v>
      </c>
      <c r="G11" s="3">
        <v>0.5</v>
      </c>
      <c r="H11" s="12">
        <v>1000</v>
      </c>
      <c r="I11" s="7">
        <f t="shared" si="0"/>
        <v>500</v>
      </c>
      <c r="J11" s="15">
        <v>8347</v>
      </c>
      <c r="K11" s="7"/>
      <c r="L11" s="7">
        <f t="shared" si="1"/>
        <v>8847</v>
      </c>
      <c r="M11" s="16">
        <v>501</v>
      </c>
      <c r="O11" s="10"/>
      <c r="P11" s="7"/>
      <c r="Q11" s="8"/>
      <c r="R11" s="8"/>
      <c r="S11" s="8"/>
      <c r="T11" s="8"/>
    </row>
    <row r="12" spans="1:20" s="3" customFormat="1" ht="14.25">
      <c r="B12" s="3" t="s">
        <v>20</v>
      </c>
      <c r="E12" s="13" t="s">
        <v>21</v>
      </c>
      <c r="F12" s="8"/>
      <c r="H12" s="12"/>
      <c r="I12" s="7">
        <f t="shared" si="0"/>
        <v>0</v>
      </c>
      <c r="J12" s="17" t="s">
        <v>22</v>
      </c>
      <c r="K12" s="7"/>
      <c r="L12" s="7">
        <f t="shared" si="1"/>
        <v>0</v>
      </c>
      <c r="O12" s="10"/>
      <c r="P12" s="7"/>
      <c r="Q12" s="8"/>
      <c r="R12" s="8"/>
      <c r="S12" s="8"/>
      <c r="T12" s="8"/>
    </row>
    <row r="13" spans="1:20" s="8" customFormat="1" ht="14.25">
      <c r="B13" s="3" t="s">
        <v>23</v>
      </c>
      <c r="C13" s="3"/>
      <c r="D13" s="3"/>
      <c r="E13" s="18">
        <v>100</v>
      </c>
      <c r="F13" s="8">
        <v>24.53</v>
      </c>
      <c r="G13" s="8">
        <v>9.5399999999999991</v>
      </c>
      <c r="H13" s="7">
        <v>885.4</v>
      </c>
      <c r="I13" s="7">
        <v>21719</v>
      </c>
      <c r="J13" s="10"/>
      <c r="K13" s="10"/>
      <c r="L13" s="7">
        <f t="shared" si="1"/>
        <v>21719</v>
      </c>
      <c r="O13" s="10"/>
      <c r="P13" s="7"/>
    </row>
    <row r="14" spans="1:20" s="3" customFormat="1" ht="14.25">
      <c r="B14" s="8" t="s">
        <v>24</v>
      </c>
      <c r="C14" s="8"/>
      <c r="D14" s="8"/>
      <c r="E14" s="11">
        <v>100</v>
      </c>
      <c r="F14" s="8">
        <v>27.07</v>
      </c>
      <c r="G14" s="3">
        <v>8.67</v>
      </c>
      <c r="H14" s="12">
        <v>799.29</v>
      </c>
      <c r="I14" s="7">
        <v>21637</v>
      </c>
      <c r="J14" s="7"/>
      <c r="K14" s="10">
        <f>F27*H27</f>
        <v>34500</v>
      </c>
      <c r="L14" s="7">
        <f t="shared" si="1"/>
        <v>56137</v>
      </c>
      <c r="O14" s="10"/>
      <c r="P14" s="7"/>
      <c r="Q14" s="8"/>
      <c r="R14" s="8"/>
      <c r="S14" s="8"/>
      <c r="T14" s="8"/>
    </row>
    <row r="15" spans="1:20" s="3" customFormat="1" ht="14.25">
      <c r="B15" s="3" t="s">
        <v>25</v>
      </c>
      <c r="D15" s="8"/>
      <c r="E15" s="11">
        <v>100</v>
      </c>
      <c r="F15" s="8">
        <v>6.82</v>
      </c>
      <c r="G15" s="3">
        <v>5.14</v>
      </c>
      <c r="H15" s="12">
        <v>942</v>
      </c>
      <c r="I15" s="7">
        <v>6424</v>
      </c>
      <c r="J15" s="7"/>
      <c r="K15" s="10">
        <v>10508</v>
      </c>
      <c r="L15" s="7">
        <f t="shared" si="1"/>
        <v>16932</v>
      </c>
      <c r="O15" s="10"/>
      <c r="P15" s="7"/>
      <c r="Q15" s="8"/>
      <c r="R15" s="8"/>
      <c r="S15" s="8"/>
      <c r="T15" s="8"/>
    </row>
    <row r="16" spans="1:20" s="3" customFormat="1" ht="14.25">
      <c r="B16" s="3" t="s">
        <v>26</v>
      </c>
      <c r="E16" s="11">
        <v>90</v>
      </c>
      <c r="F16" s="8">
        <v>2.4300000000000002</v>
      </c>
      <c r="G16" s="3">
        <v>1.89</v>
      </c>
      <c r="H16" s="12">
        <v>1064</v>
      </c>
      <c r="I16" s="7">
        <v>2586</v>
      </c>
      <c r="J16" s="7"/>
      <c r="K16" s="10">
        <v>4930</v>
      </c>
      <c r="L16" s="7">
        <f t="shared" si="1"/>
        <v>7516</v>
      </c>
      <c r="O16" s="10"/>
      <c r="Q16" s="8"/>
      <c r="R16" s="8"/>
      <c r="S16" s="8"/>
      <c r="T16" s="8"/>
    </row>
    <row r="17" spans="2:20" s="3" customFormat="1" ht="14.25">
      <c r="B17" s="8" t="s">
        <v>27</v>
      </c>
      <c r="C17" s="8"/>
      <c r="E17" s="11" t="s">
        <v>28</v>
      </c>
      <c r="F17" s="8" t="s">
        <v>29</v>
      </c>
      <c r="G17" s="3" t="s">
        <v>30</v>
      </c>
      <c r="H17" s="12">
        <v>900</v>
      </c>
      <c r="I17" s="7" t="s">
        <v>31</v>
      </c>
      <c r="J17" s="7" t="s">
        <v>32</v>
      </c>
      <c r="K17" s="7" t="s">
        <v>32</v>
      </c>
      <c r="L17" s="7" t="s">
        <v>32</v>
      </c>
      <c r="O17" s="10"/>
      <c r="Q17" s="8"/>
      <c r="R17" s="8"/>
      <c r="S17" s="8"/>
      <c r="T17" s="8"/>
    </row>
    <row r="18" spans="2:20" s="3" customFormat="1" ht="14.25">
      <c r="B18" s="3" t="s">
        <v>33</v>
      </c>
      <c r="E18" s="11">
        <v>100</v>
      </c>
      <c r="F18" s="8">
        <v>6.1</v>
      </c>
      <c r="G18" s="3">
        <v>3.69</v>
      </c>
      <c r="H18" s="12">
        <v>1135</v>
      </c>
      <c r="I18" s="7">
        <v>6924</v>
      </c>
      <c r="J18" s="7"/>
      <c r="K18" s="10">
        <v>9135</v>
      </c>
      <c r="L18" s="7">
        <f t="shared" si="1"/>
        <v>16059</v>
      </c>
      <c r="O18" s="10"/>
      <c r="Q18" s="8"/>
      <c r="R18" s="8"/>
      <c r="S18" s="8"/>
      <c r="T18" s="8"/>
    </row>
    <row r="19" spans="2:20" s="3" customFormat="1" ht="14.25">
      <c r="B19" s="3" t="s">
        <v>34</v>
      </c>
      <c r="E19" s="11">
        <v>100</v>
      </c>
      <c r="F19" s="8">
        <v>22</v>
      </c>
      <c r="G19" s="3">
        <v>18.75</v>
      </c>
      <c r="H19" s="12">
        <v>1000</v>
      </c>
      <c r="I19" s="7">
        <f t="shared" si="0"/>
        <v>22000</v>
      </c>
      <c r="J19" s="10">
        <v>15520</v>
      </c>
      <c r="K19" s="10"/>
      <c r="L19" s="7">
        <f t="shared" si="1"/>
        <v>37520</v>
      </c>
      <c r="O19" s="10"/>
      <c r="Q19" s="8"/>
      <c r="R19" s="8"/>
      <c r="S19" s="8"/>
      <c r="T19" s="8"/>
    </row>
    <row r="20" spans="2:20" s="3" customFormat="1" ht="14.25">
      <c r="B20" s="3" t="s">
        <v>35</v>
      </c>
      <c r="E20" s="11">
        <v>100</v>
      </c>
      <c r="F20" s="8">
        <v>33.729999999999997</v>
      </c>
      <c r="G20" s="3">
        <v>10.58</v>
      </c>
      <c r="H20" s="19">
        <v>850.69</v>
      </c>
      <c r="I20" s="7">
        <v>28694</v>
      </c>
      <c r="J20" s="7"/>
      <c r="K20" s="15"/>
      <c r="L20" s="7">
        <f t="shared" si="1"/>
        <v>28694</v>
      </c>
      <c r="O20" s="10"/>
      <c r="Q20" s="8"/>
      <c r="R20" s="8"/>
      <c r="S20" s="8"/>
      <c r="T20" s="8"/>
    </row>
    <row r="21" spans="2:20" s="3" customFormat="1" ht="14.25">
      <c r="B21" s="3" t="s">
        <v>36</v>
      </c>
      <c r="E21" s="11">
        <v>44</v>
      </c>
      <c r="F21" s="8">
        <v>2.09</v>
      </c>
      <c r="G21" s="3">
        <v>0.45</v>
      </c>
      <c r="H21" s="12">
        <v>850</v>
      </c>
      <c r="I21" s="7">
        <v>1777</v>
      </c>
      <c r="J21" s="7">
        <v>3130</v>
      </c>
      <c r="K21" s="7"/>
      <c r="L21" s="7">
        <f t="shared" si="1"/>
        <v>4907</v>
      </c>
      <c r="O21" s="10"/>
      <c r="Q21" s="8"/>
      <c r="R21" s="8"/>
      <c r="S21" s="8"/>
      <c r="T21" s="8"/>
    </row>
    <row r="22" spans="2:20" s="3" customFormat="1" ht="14.25">
      <c r="B22" s="4" t="s">
        <v>37</v>
      </c>
      <c r="C22" s="4"/>
      <c r="D22" s="4"/>
      <c r="E22" s="20"/>
      <c r="F22" s="4">
        <f>SUM(F9:F21)</f>
        <v>132.69999999999999</v>
      </c>
      <c r="G22" s="21">
        <f>SUM(G9:G21)</f>
        <v>65.98</v>
      </c>
      <c r="H22" s="4"/>
      <c r="I22" s="22">
        <f>SUM(I9:I21)</f>
        <v>119771</v>
      </c>
      <c r="J22" s="22">
        <f>SUM(J9:J21)</f>
        <v>26997</v>
      </c>
      <c r="K22" s="22">
        <f>SUM(K9:K21)</f>
        <v>63858</v>
      </c>
      <c r="L22" s="22">
        <f>SUM(I22:K22)</f>
        <v>210626</v>
      </c>
      <c r="M22" s="4">
        <f>SUM(M10:M21)</f>
        <v>501</v>
      </c>
      <c r="N22" s="4">
        <f>SUM(N10:N21)</f>
        <v>0</v>
      </c>
      <c r="Q22" s="8"/>
      <c r="R22" s="8"/>
      <c r="S22" s="8"/>
      <c r="T22" s="8"/>
    </row>
    <row r="23" spans="2:20" s="3" customFormat="1" ht="14.25">
      <c r="B23" s="9" t="s">
        <v>38</v>
      </c>
      <c r="C23" s="9"/>
      <c r="D23" s="9"/>
      <c r="E23" s="23"/>
      <c r="F23" s="9"/>
      <c r="G23" s="9"/>
      <c r="H23" s="9"/>
      <c r="I23" s="24">
        <f>SUM(F30*H30)</f>
        <v>60300</v>
      </c>
      <c r="J23" s="24">
        <f>J22-M22</f>
        <v>26496</v>
      </c>
      <c r="K23" s="24">
        <f>K22-N22</f>
        <v>63858</v>
      </c>
      <c r="L23" s="24">
        <f>SUM(I23:K23)</f>
        <v>150654</v>
      </c>
      <c r="M23" s="9"/>
      <c r="N23" s="9"/>
    </row>
    <row r="24" spans="2:20" s="3" customFormat="1" ht="14.25">
      <c r="D24" s="3" t="s">
        <v>39</v>
      </c>
    </row>
    <row r="25" spans="2:20" s="3" customFormat="1" ht="14.25">
      <c r="B25" s="3" t="s">
        <v>40</v>
      </c>
    </row>
    <row r="26" spans="2:20" s="3" customFormat="1" ht="14.25">
      <c r="B26" s="25" t="s">
        <v>41</v>
      </c>
      <c r="C26" s="25"/>
      <c r="D26" s="25"/>
      <c r="E26" s="25" t="s">
        <v>42</v>
      </c>
      <c r="F26" s="25" t="s">
        <v>43</v>
      </c>
      <c r="G26" s="25"/>
      <c r="H26" s="25" t="s">
        <v>44</v>
      </c>
    </row>
    <row r="27" spans="2:20" s="3" customFormat="1" ht="14.25">
      <c r="B27" s="3" t="s">
        <v>45</v>
      </c>
      <c r="C27" s="3" t="s">
        <v>46</v>
      </c>
      <c r="E27" s="3" t="s">
        <v>47</v>
      </c>
      <c r="F27" s="10">
        <v>2.2999999999999998</v>
      </c>
      <c r="H27" s="10">
        <v>15000</v>
      </c>
      <c r="J27" s="26"/>
      <c r="L27" s="5" t="s">
        <v>48</v>
      </c>
      <c r="M27" s="5" t="s">
        <v>49</v>
      </c>
    </row>
    <row r="28" spans="2:20" s="3" customFormat="1" ht="14.25">
      <c r="C28" s="3" t="s">
        <v>50</v>
      </c>
      <c r="E28" s="3" t="s">
        <v>47</v>
      </c>
      <c r="F28" s="16" t="s">
        <v>51</v>
      </c>
      <c r="H28" s="15" t="s">
        <v>52</v>
      </c>
      <c r="J28" s="26"/>
      <c r="L28" s="27" t="s">
        <v>53</v>
      </c>
      <c r="M28" s="28">
        <v>97</v>
      </c>
    </row>
    <row r="29" spans="2:20" s="3" customFormat="1" ht="14.25">
      <c r="B29" s="3" t="s">
        <v>54</v>
      </c>
      <c r="L29" s="29" t="s">
        <v>55</v>
      </c>
      <c r="M29" s="28">
        <v>3</v>
      </c>
      <c r="N29" s="5"/>
    </row>
    <row r="30" spans="2:20" s="3" customFormat="1" ht="14.25">
      <c r="B30" s="3" t="s">
        <v>56</v>
      </c>
      <c r="E30" s="3" t="s">
        <v>57</v>
      </c>
      <c r="F30" s="7">
        <v>67</v>
      </c>
      <c r="H30" s="7">
        <v>900</v>
      </c>
      <c r="L30" s="5"/>
      <c r="M30" s="5"/>
      <c r="N30" s="5"/>
    </row>
    <row r="31" spans="2:20" s="3" customFormat="1" ht="14.25">
      <c r="B31" s="3" t="s">
        <v>58</v>
      </c>
      <c r="E31" s="3" t="s">
        <v>57</v>
      </c>
      <c r="F31" s="7">
        <v>66</v>
      </c>
      <c r="J31" s="7"/>
      <c r="L31" s="29" t="s">
        <v>59</v>
      </c>
      <c r="M31" s="29">
        <v>1.25</v>
      </c>
    </row>
    <row r="32" spans="2:20" s="3" customFormat="1" ht="14.25">
      <c r="B32" s="3" t="s">
        <v>2</v>
      </c>
      <c r="E32" s="3" t="s">
        <v>57</v>
      </c>
      <c r="F32" s="7">
        <f>F30+F31</f>
        <v>133</v>
      </c>
      <c r="L32" s="29" t="s">
        <v>60</v>
      </c>
      <c r="M32" s="30">
        <v>1</v>
      </c>
    </row>
    <row r="33" spans="2:10" s="3" customFormat="1" ht="14.25">
      <c r="B33" s="4" t="s">
        <v>61</v>
      </c>
      <c r="C33" s="4"/>
      <c r="D33" s="4" t="s">
        <v>62</v>
      </c>
      <c r="E33" s="4"/>
      <c r="F33" s="4"/>
      <c r="G33" s="4"/>
      <c r="H33" s="4"/>
    </row>
    <row r="34" spans="2:10" s="3" customFormat="1" ht="14.25">
      <c r="B34" s="5" t="s">
        <v>63</v>
      </c>
      <c r="C34" s="5"/>
      <c r="D34" s="5">
        <v>88</v>
      </c>
      <c r="E34" s="5" t="s">
        <v>47</v>
      </c>
      <c r="F34" s="31">
        <v>102</v>
      </c>
      <c r="G34" s="5"/>
      <c r="H34" s="32">
        <v>24</v>
      </c>
    </row>
    <row r="35" spans="2:10" s="3" customFormat="1" ht="14.25">
      <c r="B35" s="5" t="s">
        <v>64</v>
      </c>
      <c r="C35" s="5"/>
      <c r="D35" s="5">
        <v>68</v>
      </c>
      <c r="E35" s="5" t="s">
        <v>47</v>
      </c>
      <c r="F35" s="31">
        <v>93</v>
      </c>
      <c r="G35" s="5"/>
      <c r="H35" s="32">
        <v>26</v>
      </c>
    </row>
    <row r="36" spans="2:10" s="3" customFormat="1" ht="14.25">
      <c r="B36" s="5" t="s">
        <v>65</v>
      </c>
      <c r="C36" s="5"/>
      <c r="D36" s="5">
        <v>94</v>
      </c>
      <c r="E36" s="5" t="s">
        <v>47</v>
      </c>
      <c r="F36" s="31">
        <v>217</v>
      </c>
      <c r="G36" s="5"/>
      <c r="H36" s="32">
        <v>26</v>
      </c>
    </row>
    <row r="37" spans="2:10" s="3" customFormat="1" ht="14.25">
      <c r="B37" s="4" t="s">
        <v>66</v>
      </c>
      <c r="C37" s="4"/>
      <c r="D37" s="4"/>
      <c r="E37" s="4"/>
      <c r="F37" s="4"/>
      <c r="G37" s="4"/>
      <c r="H37" s="22"/>
      <c r="J37" s="3" t="s">
        <v>67</v>
      </c>
    </row>
    <row r="38" spans="2:10" s="3" customFormat="1" ht="14.25">
      <c r="B38" s="5" t="s">
        <v>68</v>
      </c>
      <c r="C38" s="5"/>
      <c r="D38" s="5"/>
      <c r="E38" s="5"/>
      <c r="F38" s="5"/>
      <c r="G38" s="5"/>
      <c r="H38" s="33">
        <v>6688</v>
      </c>
      <c r="J38" s="7">
        <v>16526</v>
      </c>
    </row>
    <row r="39" spans="2:10" s="3" customFormat="1" ht="14.25">
      <c r="B39" s="5" t="s">
        <v>69</v>
      </c>
      <c r="C39" s="5"/>
      <c r="D39" s="5"/>
      <c r="E39" s="5"/>
      <c r="F39" s="5"/>
      <c r="G39" s="5"/>
      <c r="H39" s="31">
        <v>79</v>
      </c>
    </row>
    <row r="40" spans="2:10" s="3" customFormat="1" ht="14.25">
      <c r="B40" s="5" t="s">
        <v>70</v>
      </c>
      <c r="C40" s="5"/>
      <c r="D40" s="5"/>
      <c r="E40" s="5"/>
      <c r="F40" s="5"/>
      <c r="G40" s="5"/>
      <c r="H40" s="32">
        <f>SUM(H38*H39)</f>
        <v>528352</v>
      </c>
      <c r="J40" s="7">
        <v>1305558</v>
      </c>
    </row>
    <row r="41" spans="2:10" s="3" customFormat="1" ht="14.25">
      <c r="B41" s="5" t="s">
        <v>71</v>
      </c>
      <c r="C41" s="5"/>
      <c r="D41" s="5"/>
      <c r="E41" s="5"/>
      <c r="F41" s="5"/>
      <c r="G41" s="5"/>
      <c r="H41" s="32">
        <f>(H40-L22)</f>
        <v>317726</v>
      </c>
      <c r="J41" s="7">
        <v>785101</v>
      </c>
    </row>
    <row r="42" spans="2:10" s="3" customFormat="1" ht="14.25">
      <c r="B42" s="5" t="s">
        <v>72</v>
      </c>
      <c r="C42" s="5"/>
      <c r="D42" s="5"/>
      <c r="E42" s="5"/>
      <c r="F42" s="5"/>
      <c r="G42" s="5"/>
      <c r="H42" s="32">
        <f>SUM(H40-L23)</f>
        <v>377698</v>
      </c>
      <c r="J42" s="7">
        <v>933292</v>
      </c>
    </row>
    <row r="43" spans="2:10" s="3" customFormat="1" ht="14.25">
      <c r="B43" s="5" t="s">
        <v>73</v>
      </c>
      <c r="C43" s="5"/>
      <c r="D43" s="5"/>
      <c r="E43" s="5"/>
      <c r="F43" s="5"/>
      <c r="G43" s="5"/>
      <c r="H43" s="32">
        <f>SUM(L22/H38)</f>
        <v>31.49312200956938</v>
      </c>
    </row>
    <row r="44" spans="2:10" s="3" customFormat="1" ht="14.25">
      <c r="B44" s="9" t="s">
        <v>74</v>
      </c>
      <c r="C44" s="9"/>
      <c r="D44" s="9"/>
      <c r="E44" s="9"/>
      <c r="F44" s="9"/>
      <c r="G44" s="9"/>
      <c r="H44" s="24">
        <f>SUM(L23/H38)</f>
        <v>22.526016746411482</v>
      </c>
    </row>
    <row r="45" spans="2:10" s="3" customFormat="1" ht="14.25">
      <c r="B45" s="3" t="s">
        <v>75</v>
      </c>
    </row>
    <row r="46" spans="2:10" s="3" customFormat="1" ht="14.25">
      <c r="B46" s="3" t="s">
        <v>76</v>
      </c>
      <c r="D46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>
      <selection activeCell="A3" sqref="A3:B3"/>
    </sheetView>
  </sheetViews>
  <sheetFormatPr defaultRowHeight="15"/>
  <cols>
    <col min="4" max="4" width="11.42578125" customWidth="1"/>
    <col min="7" max="7" width="13.42578125" customWidth="1"/>
    <col min="8" max="8" width="12.28515625" customWidth="1"/>
  </cols>
  <sheetData>
    <row r="1" spans="1:17" ht="15.75">
      <c r="A1" s="1" t="s">
        <v>102</v>
      </c>
      <c r="B1" s="2"/>
      <c r="E1" s="8"/>
      <c r="F1" s="8"/>
      <c r="G1" s="8"/>
      <c r="H1" s="8"/>
      <c r="I1" s="8"/>
      <c r="J1" s="8"/>
      <c r="K1" s="8"/>
      <c r="L1" s="8"/>
    </row>
    <row r="2" spans="1:17" ht="15.75">
      <c r="A2" s="1" t="s">
        <v>103</v>
      </c>
      <c r="B2" s="2"/>
      <c r="E2" s="8"/>
      <c r="F2" s="8"/>
      <c r="G2" s="8"/>
      <c r="H2" s="8"/>
      <c r="I2" s="8"/>
      <c r="J2" s="8"/>
      <c r="K2" s="8"/>
      <c r="L2" s="8"/>
    </row>
    <row r="3" spans="1:17" ht="15.75">
      <c r="A3" s="1" t="s">
        <v>376</v>
      </c>
      <c r="B3" s="2"/>
      <c r="E3" s="8"/>
      <c r="F3" s="8"/>
      <c r="G3" s="8"/>
      <c r="H3" s="8"/>
      <c r="I3" s="8"/>
      <c r="J3" s="8"/>
      <c r="K3" s="8"/>
      <c r="L3" s="8"/>
    </row>
    <row r="4" spans="1:17">
      <c r="A4" s="1" t="s">
        <v>104</v>
      </c>
    </row>
    <row r="5" spans="1:17" s="34" customFormat="1" ht="14.25">
      <c r="A5" s="35" t="s">
        <v>0</v>
      </c>
      <c r="B5" s="35"/>
      <c r="C5" s="35"/>
      <c r="D5" s="36" t="s">
        <v>1</v>
      </c>
      <c r="E5" s="36" t="s">
        <v>2</v>
      </c>
      <c r="F5" s="36" t="s">
        <v>3</v>
      </c>
      <c r="G5" s="36" t="s">
        <v>4</v>
      </c>
      <c r="H5" s="36" t="s">
        <v>5</v>
      </c>
      <c r="I5" s="36" t="s">
        <v>6</v>
      </c>
      <c r="J5" s="36" t="s">
        <v>7</v>
      </c>
      <c r="K5" s="36" t="s">
        <v>8</v>
      </c>
      <c r="L5" s="37" t="s">
        <v>9</v>
      </c>
      <c r="M5" s="36"/>
    </row>
    <row r="6" spans="1:17" s="34" customFormat="1" ht="14.25">
      <c r="A6" s="38"/>
      <c r="B6" s="38"/>
      <c r="C6" s="38"/>
      <c r="D6" s="39" t="s">
        <v>10</v>
      </c>
      <c r="E6" s="39" t="s">
        <v>11</v>
      </c>
      <c r="F6" s="39" t="s">
        <v>11</v>
      </c>
      <c r="G6" s="39" t="s">
        <v>12</v>
      </c>
      <c r="H6" s="39" t="s">
        <v>13</v>
      </c>
      <c r="I6" s="39" t="s">
        <v>14</v>
      </c>
      <c r="J6" s="39" t="s">
        <v>13</v>
      </c>
      <c r="K6" s="39" t="s">
        <v>13</v>
      </c>
      <c r="L6" s="66" t="s">
        <v>6</v>
      </c>
      <c r="M6" s="39" t="s">
        <v>7</v>
      </c>
    </row>
    <row r="7" spans="1:17" s="34" customFormat="1" ht="14.25">
      <c r="A7" s="38"/>
      <c r="B7" s="38"/>
      <c r="C7" s="38"/>
      <c r="D7" s="39" t="s">
        <v>15</v>
      </c>
      <c r="E7" s="39"/>
      <c r="F7" s="39"/>
      <c r="G7" s="39"/>
      <c r="H7" s="39" t="s">
        <v>16</v>
      </c>
      <c r="I7" s="39" t="s">
        <v>13</v>
      </c>
      <c r="J7" s="39" t="s">
        <v>16</v>
      </c>
      <c r="K7" s="39" t="s">
        <v>16</v>
      </c>
      <c r="L7" s="39"/>
      <c r="M7" s="39"/>
    </row>
    <row r="8" spans="1:17" s="34" customFormat="1" ht="14.25">
      <c r="A8" s="41"/>
      <c r="B8" s="41"/>
      <c r="C8" s="41"/>
      <c r="D8" s="42"/>
      <c r="E8" s="42"/>
      <c r="F8" s="42"/>
      <c r="G8" s="42"/>
      <c r="H8" s="42"/>
      <c r="I8" s="42" t="s">
        <v>16</v>
      </c>
      <c r="J8" s="42"/>
      <c r="K8" s="42"/>
      <c r="L8" s="42"/>
      <c r="M8" s="42"/>
    </row>
    <row r="9" spans="1:17" s="8" customFormat="1" ht="14.25">
      <c r="A9" s="8" t="s">
        <v>80</v>
      </c>
      <c r="D9" s="47">
        <v>64</v>
      </c>
      <c r="E9" s="10">
        <v>0.7</v>
      </c>
      <c r="F9" s="10">
        <v>0.5</v>
      </c>
      <c r="G9" s="48">
        <v>1283</v>
      </c>
      <c r="H9" s="10">
        <v>898</v>
      </c>
      <c r="J9" s="10">
        <v>2745</v>
      </c>
      <c r="K9" s="10">
        <f>SUM(H9:J9)</f>
        <v>3643</v>
      </c>
      <c r="Q9" s="10"/>
    </row>
    <row r="10" spans="1:17" s="8" customFormat="1" ht="14.25">
      <c r="A10" s="8" t="s">
        <v>81</v>
      </c>
      <c r="D10" s="49" t="s">
        <v>82</v>
      </c>
      <c r="E10" s="50" t="s">
        <v>83</v>
      </c>
      <c r="F10" s="50" t="s">
        <v>84</v>
      </c>
      <c r="G10" s="48">
        <v>1138</v>
      </c>
      <c r="H10" s="51" t="s">
        <v>85</v>
      </c>
      <c r="I10" s="10"/>
      <c r="J10" s="10"/>
      <c r="K10" s="10">
        <f>SUM(H10:J10)</f>
        <v>0</v>
      </c>
      <c r="L10" s="10"/>
      <c r="M10" s="10"/>
      <c r="Q10" s="10"/>
    </row>
    <row r="11" spans="1:17" s="8" customFormat="1" ht="14.25">
      <c r="A11" s="8" t="s">
        <v>86</v>
      </c>
      <c r="D11" s="47">
        <v>78</v>
      </c>
      <c r="E11" s="10">
        <f>3/8</f>
        <v>0.375</v>
      </c>
      <c r="F11" s="10">
        <v>0.38</v>
      </c>
      <c r="G11" s="48">
        <v>1000</v>
      </c>
      <c r="H11" s="10">
        <f>G11*E11</f>
        <v>375</v>
      </c>
      <c r="I11" s="10">
        <v>6422</v>
      </c>
      <c r="J11" s="10"/>
      <c r="K11" s="10">
        <f t="shared" ref="K11:K19" si="0">SUM(H11:J11)</f>
        <v>6797</v>
      </c>
      <c r="L11" s="10">
        <v>865</v>
      </c>
      <c r="M11" s="10"/>
      <c r="Q11" s="10"/>
    </row>
    <row r="12" spans="1:17" s="8" customFormat="1" ht="14.25">
      <c r="A12" s="8" t="s">
        <v>87</v>
      </c>
      <c r="D12" s="47">
        <v>100</v>
      </c>
      <c r="E12" s="10">
        <v>7.7</v>
      </c>
      <c r="F12" s="10">
        <v>2</v>
      </c>
      <c r="G12" s="48">
        <v>1200</v>
      </c>
      <c r="H12" s="10">
        <f>G12*E12</f>
        <v>9240</v>
      </c>
      <c r="I12" s="10"/>
      <c r="J12" s="10">
        <v>7921</v>
      </c>
      <c r="K12" s="10">
        <f t="shared" si="0"/>
        <v>17161</v>
      </c>
      <c r="L12" s="10"/>
      <c r="M12" s="10">
        <v>1039</v>
      </c>
      <c r="Q12" s="10"/>
    </row>
    <row r="13" spans="1:17" s="8" customFormat="1" ht="14.25">
      <c r="A13" s="8" t="s">
        <v>25</v>
      </c>
      <c r="D13" s="47">
        <v>100</v>
      </c>
      <c r="E13" s="10">
        <v>13.26</v>
      </c>
      <c r="F13" s="10">
        <v>6.74</v>
      </c>
      <c r="G13" s="48">
        <v>1185</v>
      </c>
      <c r="H13" s="10">
        <v>15713</v>
      </c>
      <c r="I13" s="10"/>
      <c r="J13" s="10">
        <f>E34*G34+E35*G35+E36*G36</f>
        <v>7406</v>
      </c>
      <c r="K13" s="10">
        <f t="shared" si="0"/>
        <v>23119</v>
      </c>
      <c r="Q13" s="10"/>
    </row>
    <row r="14" spans="1:17" s="8" customFormat="1" ht="14.25">
      <c r="A14" s="8" t="s">
        <v>88</v>
      </c>
      <c r="D14" s="47">
        <v>100</v>
      </c>
      <c r="E14" s="10">
        <v>18.29</v>
      </c>
      <c r="F14" s="10">
        <v>7.54</v>
      </c>
      <c r="G14" s="48">
        <v>1200</v>
      </c>
      <c r="H14" s="10">
        <f t="shared" ref="H14:H18" si="1">G14*E14</f>
        <v>21948</v>
      </c>
      <c r="I14" s="10"/>
      <c r="J14" s="10"/>
      <c r="K14" s="10">
        <f t="shared" si="0"/>
        <v>21948</v>
      </c>
      <c r="Q14" s="10"/>
    </row>
    <row r="15" spans="1:17" s="8" customFormat="1" ht="14.25">
      <c r="A15" s="8" t="s">
        <v>33</v>
      </c>
      <c r="D15" s="47">
        <v>100</v>
      </c>
      <c r="E15" s="10">
        <v>11.56</v>
      </c>
      <c r="F15" s="10">
        <v>7.95</v>
      </c>
      <c r="G15" s="48">
        <v>1293</v>
      </c>
      <c r="H15" s="10">
        <v>14947</v>
      </c>
      <c r="I15" s="10"/>
      <c r="J15" s="10">
        <v>22302</v>
      </c>
      <c r="K15" s="10">
        <f t="shared" si="0"/>
        <v>37249</v>
      </c>
      <c r="Q15" s="10"/>
    </row>
    <row r="16" spans="1:17" s="8" customFormat="1" ht="14.25">
      <c r="A16" s="8" t="s">
        <v>89</v>
      </c>
      <c r="D16" s="47">
        <v>100</v>
      </c>
      <c r="E16" s="10">
        <f>19.75+5.5</f>
        <v>25.25</v>
      </c>
      <c r="F16" s="10">
        <f>6.5+2.7</f>
        <v>9.1999999999999993</v>
      </c>
      <c r="G16" s="48">
        <v>1200</v>
      </c>
      <c r="H16" s="10">
        <f t="shared" si="1"/>
        <v>30300</v>
      </c>
      <c r="I16" s="10"/>
      <c r="J16" s="10">
        <f>16822+4130</f>
        <v>20952</v>
      </c>
      <c r="K16" s="10">
        <f t="shared" si="0"/>
        <v>51252</v>
      </c>
      <c r="Q16" s="10"/>
    </row>
    <row r="17" spans="1:17" s="8" customFormat="1" ht="14.25">
      <c r="A17" s="8" t="s">
        <v>34</v>
      </c>
      <c r="D17" s="47">
        <v>100</v>
      </c>
      <c r="E17" s="10">
        <v>12.9</v>
      </c>
      <c r="F17" s="10">
        <v>10.1</v>
      </c>
      <c r="G17" s="48">
        <v>1200</v>
      </c>
      <c r="H17" s="10">
        <f t="shared" si="1"/>
        <v>15480</v>
      </c>
      <c r="I17" s="10">
        <v>10969</v>
      </c>
      <c r="J17" s="10"/>
      <c r="K17" s="10">
        <f t="shared" si="0"/>
        <v>26449</v>
      </c>
      <c r="Q17" s="10"/>
    </row>
    <row r="18" spans="1:17" s="8" customFormat="1" ht="14.25">
      <c r="A18" s="8" t="s">
        <v>90</v>
      </c>
      <c r="D18" s="47">
        <v>100</v>
      </c>
      <c r="E18" s="10">
        <v>33.9</v>
      </c>
      <c r="F18" s="10">
        <v>20.9</v>
      </c>
      <c r="G18" s="48">
        <v>1200</v>
      </c>
      <c r="H18" s="10">
        <f t="shared" si="1"/>
        <v>40680</v>
      </c>
      <c r="I18" s="10"/>
      <c r="J18" s="10"/>
      <c r="K18" s="10">
        <f t="shared" si="0"/>
        <v>40680</v>
      </c>
    </row>
    <row r="19" spans="1:17" s="8" customFormat="1" ht="14.25">
      <c r="A19" s="8" t="s">
        <v>91</v>
      </c>
      <c r="D19" s="47">
        <v>74</v>
      </c>
      <c r="E19" s="10">
        <v>2.4</v>
      </c>
      <c r="F19" s="10">
        <v>2.2000000000000002</v>
      </c>
      <c r="G19" s="48">
        <v>1167</v>
      </c>
      <c r="H19" s="10">
        <v>2801</v>
      </c>
      <c r="I19" s="10">
        <v>2000</v>
      </c>
      <c r="J19" s="10"/>
      <c r="K19" s="10">
        <f t="shared" si="0"/>
        <v>4801</v>
      </c>
    </row>
    <row r="20" spans="1:17" s="8" customFormat="1" ht="14.25">
      <c r="A20" s="43" t="s">
        <v>37</v>
      </c>
      <c r="B20" s="43"/>
      <c r="C20" s="43"/>
      <c r="D20" s="52"/>
      <c r="E20" s="53">
        <f>SUM(E9:E19)</f>
        <v>126.33500000000001</v>
      </c>
      <c r="F20" s="53">
        <f>SUM(F9:F19)</f>
        <v>67.510000000000005</v>
      </c>
      <c r="G20" s="53"/>
      <c r="H20" s="53">
        <f>SUM(H9:H19)</f>
        <v>152382</v>
      </c>
      <c r="I20" s="43">
        <f>SUM(I9:I19)</f>
        <v>19391</v>
      </c>
      <c r="J20" s="53">
        <f>SUM(J9:J19)</f>
        <v>61326</v>
      </c>
      <c r="K20" s="53">
        <f>SUM(H20:J20)</f>
        <v>233099</v>
      </c>
      <c r="L20" s="53">
        <f>SUM(L9:L19)</f>
        <v>865</v>
      </c>
      <c r="M20" s="53">
        <f>SUM(M9:M19)</f>
        <v>1039</v>
      </c>
    </row>
    <row r="21" spans="1:17" s="8" customFormat="1" ht="14.25">
      <c r="A21" s="46" t="s">
        <v>38</v>
      </c>
      <c r="B21" s="46"/>
      <c r="C21" s="46"/>
      <c r="D21" s="54"/>
      <c r="E21" s="55">
        <f>E20-F20</f>
        <v>58.825000000000003</v>
      </c>
      <c r="F21" s="55"/>
      <c r="G21" s="55"/>
      <c r="H21" s="55">
        <f>E30*G30</f>
        <v>70800</v>
      </c>
      <c r="I21" s="46">
        <f>I20-L20</f>
        <v>18526</v>
      </c>
      <c r="J21" s="55">
        <f>J20-M20</f>
        <v>60287</v>
      </c>
      <c r="K21" s="55">
        <f>SUM(H21:J21)</f>
        <v>149613</v>
      </c>
      <c r="L21" s="46"/>
      <c r="M21" s="46"/>
    </row>
    <row r="22" spans="1:17" s="8" customFormat="1" ht="14.25">
      <c r="C22" s="8" t="s">
        <v>39</v>
      </c>
    </row>
    <row r="23" spans="1:17" s="8" customFormat="1" ht="14.25">
      <c r="A23" s="8" t="s">
        <v>40</v>
      </c>
    </row>
    <row r="24" spans="1:17" s="8" customFormat="1" ht="14.25">
      <c r="A24" s="56" t="s">
        <v>41</v>
      </c>
      <c r="B24" s="56"/>
      <c r="C24" s="56"/>
      <c r="D24" s="56" t="s">
        <v>42</v>
      </c>
      <c r="E24" s="56" t="s">
        <v>43</v>
      </c>
      <c r="F24" s="56"/>
      <c r="G24" s="56" t="s">
        <v>44</v>
      </c>
    </row>
    <row r="25" spans="1:17" s="8" customFormat="1" ht="14.25">
      <c r="A25" s="8" t="s">
        <v>45</v>
      </c>
    </row>
    <row r="26" spans="1:17" s="8" customFormat="1" ht="14.25">
      <c r="A26" s="8" t="s">
        <v>92</v>
      </c>
      <c r="D26" s="8" t="s">
        <v>47</v>
      </c>
      <c r="E26" s="10">
        <v>1.2</v>
      </c>
      <c r="F26" s="10"/>
      <c r="G26" s="10">
        <v>6601</v>
      </c>
      <c r="K26" s="10"/>
    </row>
    <row r="27" spans="1:17" s="8" customFormat="1" ht="14.25">
      <c r="E27" s="10"/>
      <c r="F27" s="10"/>
      <c r="G27" s="10"/>
      <c r="I27" s="10"/>
    </row>
    <row r="28" spans="1:17" s="8" customFormat="1" ht="14.25">
      <c r="E28" s="10"/>
      <c r="F28" s="10"/>
      <c r="G28" s="10"/>
    </row>
    <row r="29" spans="1:17" s="8" customFormat="1" thickBot="1">
      <c r="A29" s="8" t="s">
        <v>54</v>
      </c>
      <c r="E29" s="10"/>
      <c r="F29" s="10"/>
      <c r="G29" s="10"/>
    </row>
    <row r="30" spans="1:17" s="8" customFormat="1" ht="14.25">
      <c r="A30" s="8" t="s">
        <v>56</v>
      </c>
      <c r="D30" s="8" t="s">
        <v>57</v>
      </c>
      <c r="E30" s="10">
        <v>59</v>
      </c>
      <c r="F30" s="10"/>
      <c r="G30" s="10">
        <v>1200</v>
      </c>
      <c r="I30" s="57" t="s">
        <v>93</v>
      </c>
      <c r="J30" s="58"/>
    </row>
    <row r="31" spans="1:17" s="8" customFormat="1" ht="14.25">
      <c r="A31" s="8" t="s">
        <v>58</v>
      </c>
      <c r="D31" s="8" t="s">
        <v>57</v>
      </c>
      <c r="E31" s="10">
        <v>68</v>
      </c>
      <c r="F31" s="10"/>
      <c r="G31" s="10"/>
      <c r="I31" s="59" t="s">
        <v>94</v>
      </c>
      <c r="J31" s="27">
        <v>80</v>
      </c>
    </row>
    <row r="32" spans="1:17" s="8" customFormat="1" ht="14.25">
      <c r="A32" s="8" t="s">
        <v>2</v>
      </c>
      <c r="E32" s="10">
        <f>SUM(E30:E31)</f>
        <v>127</v>
      </c>
      <c r="F32" s="10"/>
      <c r="G32" s="10"/>
      <c r="I32" s="59" t="s">
        <v>95</v>
      </c>
      <c r="J32" s="27">
        <v>20</v>
      </c>
    </row>
    <row r="33" spans="1:10" s="8" customFormat="1" ht="14.25">
      <c r="A33" s="43" t="s">
        <v>61</v>
      </c>
      <c r="B33" s="43"/>
      <c r="C33" s="43" t="s">
        <v>62</v>
      </c>
      <c r="D33" s="43"/>
      <c r="E33" s="43"/>
      <c r="F33" s="43"/>
      <c r="G33" s="43"/>
    </row>
    <row r="34" spans="1:10" s="8" customFormat="1" ht="14.25">
      <c r="A34" s="44" t="s">
        <v>96</v>
      </c>
      <c r="B34" s="45" t="s">
        <v>63</v>
      </c>
      <c r="C34" s="60">
        <v>40</v>
      </c>
      <c r="D34" s="44" t="s">
        <v>47</v>
      </c>
      <c r="E34" s="31">
        <v>54</v>
      </c>
      <c r="F34" s="31"/>
      <c r="G34" s="31">
        <v>24</v>
      </c>
    </row>
    <row r="35" spans="1:10" s="8" customFormat="1" ht="14.25">
      <c r="A35" s="44"/>
      <c r="B35" s="45" t="s">
        <v>97</v>
      </c>
      <c r="C35" s="60">
        <v>94</v>
      </c>
      <c r="D35" s="44" t="s">
        <v>47</v>
      </c>
      <c r="E35" s="31">
        <v>89</v>
      </c>
      <c r="F35" s="31"/>
      <c r="G35" s="31">
        <v>26</v>
      </c>
      <c r="I35" s="59" t="s">
        <v>59</v>
      </c>
      <c r="J35" s="27">
        <v>1.2</v>
      </c>
    </row>
    <row r="36" spans="1:10" s="8" customFormat="1" ht="14.25">
      <c r="A36" s="44"/>
      <c r="B36" s="45" t="s">
        <v>98</v>
      </c>
      <c r="C36" s="60">
        <v>58</v>
      </c>
      <c r="D36" s="44" t="s">
        <v>47</v>
      </c>
      <c r="E36" s="31">
        <v>146</v>
      </c>
      <c r="F36" s="31"/>
      <c r="G36" s="31">
        <v>26</v>
      </c>
      <c r="I36" s="59" t="s">
        <v>60</v>
      </c>
      <c r="J36" s="27">
        <v>0.5</v>
      </c>
    </row>
    <row r="37" spans="1:10" s="8" customFormat="1" ht="14.25">
      <c r="A37" s="43" t="s">
        <v>66</v>
      </c>
      <c r="B37" s="43"/>
      <c r="C37" s="43"/>
      <c r="D37" s="43"/>
      <c r="E37" s="43"/>
      <c r="F37" s="43"/>
      <c r="G37" s="43"/>
      <c r="H37" s="61" t="s">
        <v>99</v>
      </c>
    </row>
    <row r="38" spans="1:10" s="8" customFormat="1" ht="14.25">
      <c r="A38" s="44" t="s">
        <v>68</v>
      </c>
      <c r="B38" s="44"/>
      <c r="C38" s="44"/>
      <c r="D38" s="44"/>
      <c r="E38" s="44"/>
      <c r="F38" s="62"/>
      <c r="G38" s="62">
        <v>5207</v>
      </c>
      <c r="H38" s="10">
        <v>12867</v>
      </c>
    </row>
    <row r="39" spans="1:10" s="8" customFormat="1" ht="14.25">
      <c r="A39" s="44" t="s">
        <v>69</v>
      </c>
      <c r="B39" s="44"/>
      <c r="C39" s="44"/>
      <c r="D39" s="44"/>
      <c r="E39" s="44"/>
      <c r="F39" s="63"/>
      <c r="G39" s="63">
        <v>80</v>
      </c>
      <c r="H39" s="10"/>
    </row>
    <row r="40" spans="1:10" s="8" customFormat="1" ht="14.25">
      <c r="A40" s="44" t="s">
        <v>70</v>
      </c>
      <c r="B40" s="44"/>
      <c r="C40" s="44"/>
      <c r="D40" s="44"/>
      <c r="E40" s="44"/>
      <c r="F40" s="63"/>
      <c r="G40" s="63">
        <f>SUM(G38*G39)</f>
        <v>416560</v>
      </c>
      <c r="H40" s="10">
        <v>1029320</v>
      </c>
    </row>
    <row r="41" spans="1:10" s="8" customFormat="1" ht="14.25">
      <c r="A41" s="44" t="s">
        <v>71</v>
      </c>
      <c r="B41" s="44"/>
      <c r="C41" s="44"/>
      <c r="D41" s="44"/>
      <c r="E41" s="44"/>
      <c r="F41" s="63"/>
      <c r="G41" s="63">
        <f>SUM(G40-K20)</f>
        <v>183461</v>
      </c>
      <c r="H41" s="10">
        <v>453414</v>
      </c>
    </row>
    <row r="42" spans="1:10" s="8" customFormat="1" ht="14.25">
      <c r="A42" s="44" t="s">
        <v>72</v>
      </c>
      <c r="B42" s="44"/>
      <c r="C42" s="44"/>
      <c r="D42" s="44"/>
      <c r="E42" s="44"/>
      <c r="F42" s="63"/>
      <c r="G42" s="63">
        <f>SUM(G40-K21)</f>
        <v>266947</v>
      </c>
      <c r="H42" s="10">
        <v>659626</v>
      </c>
    </row>
    <row r="43" spans="1:10" s="8" customFormat="1" ht="14.25">
      <c r="A43" s="44"/>
      <c r="B43" s="44"/>
      <c r="C43" s="44"/>
      <c r="D43" s="44"/>
      <c r="E43" s="44"/>
      <c r="F43" s="63"/>
      <c r="G43" s="63"/>
    </row>
    <row r="44" spans="1:10" s="8" customFormat="1" ht="14.25">
      <c r="A44" s="44" t="s">
        <v>73</v>
      </c>
      <c r="B44" s="44"/>
      <c r="C44" s="44"/>
      <c r="D44" s="44"/>
      <c r="E44" s="44"/>
      <c r="F44" s="63"/>
      <c r="G44" s="63">
        <f>SUM(K20/G38)</f>
        <v>44.766468215863263</v>
      </c>
    </row>
    <row r="45" spans="1:10" s="8" customFormat="1" ht="14.25">
      <c r="A45" s="46" t="s">
        <v>74</v>
      </c>
      <c r="B45" s="46"/>
      <c r="C45" s="46"/>
      <c r="D45" s="46"/>
      <c r="E45" s="46"/>
      <c r="F45" s="64"/>
      <c r="G45" s="64">
        <f>SUM(K21/G38)</f>
        <v>28.733051661225275</v>
      </c>
    </row>
    <row r="46" spans="1:10" s="8" customFormat="1" ht="14.25"/>
    <row r="47" spans="1:10" s="8" customFormat="1" ht="14.25">
      <c r="A47" s="8" t="s">
        <v>100</v>
      </c>
      <c r="B47" s="65" t="s">
        <v>101</v>
      </c>
      <c r="C47" s="65"/>
      <c r="D47" s="6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workbookViewId="0">
      <selection sqref="A1:XFD1048576"/>
    </sheetView>
  </sheetViews>
  <sheetFormatPr defaultRowHeight="15"/>
  <cols>
    <col min="1" max="16384" width="9.140625" style="311"/>
  </cols>
  <sheetData>
    <row r="1" spans="1:14" ht="15.75">
      <c r="A1" s="310" t="s">
        <v>122</v>
      </c>
      <c r="B1" s="312"/>
      <c r="E1" s="337"/>
      <c r="G1" s="404"/>
      <c r="H1" s="404"/>
      <c r="I1" s="404"/>
      <c r="J1" s="404"/>
      <c r="K1" s="404"/>
      <c r="L1" s="404"/>
      <c r="M1" s="404"/>
      <c r="N1" s="404"/>
    </row>
    <row r="2" spans="1:14" ht="15.75">
      <c r="A2" s="310" t="s">
        <v>209</v>
      </c>
      <c r="B2" s="312"/>
      <c r="E2" s="337"/>
      <c r="G2" s="404"/>
      <c r="H2" s="404"/>
      <c r="I2" s="404"/>
      <c r="J2" s="404"/>
      <c r="K2" s="404"/>
      <c r="L2" s="404"/>
      <c r="M2" s="404"/>
      <c r="N2" s="404"/>
    </row>
    <row r="3" spans="1:14" ht="15.75">
      <c r="A3" s="310" t="s">
        <v>376</v>
      </c>
      <c r="B3" s="312"/>
      <c r="E3" s="337"/>
    </row>
    <row r="4" spans="1:14">
      <c r="A4" s="310"/>
    </row>
    <row r="5" spans="1:14" s="315" customFormat="1" ht="14.25">
      <c r="A5" s="313" t="s">
        <v>0</v>
      </c>
      <c r="B5" s="313"/>
      <c r="C5" s="313"/>
      <c r="D5" s="314" t="s">
        <v>1</v>
      </c>
      <c r="E5" s="313" t="s">
        <v>2</v>
      </c>
      <c r="F5" s="313" t="s">
        <v>3</v>
      </c>
      <c r="G5" s="313" t="s">
        <v>4</v>
      </c>
      <c r="H5" s="313" t="s">
        <v>5</v>
      </c>
      <c r="I5" s="314" t="s">
        <v>6</v>
      </c>
      <c r="J5" s="313" t="s">
        <v>7</v>
      </c>
      <c r="K5" s="313" t="s">
        <v>8</v>
      </c>
      <c r="L5" s="313" t="s">
        <v>9</v>
      </c>
      <c r="M5" s="313"/>
    </row>
    <row r="6" spans="1:14" s="315" customFormat="1" ht="14.25">
      <c r="D6" s="316" t="s">
        <v>10</v>
      </c>
      <c r="E6" s="315" t="s">
        <v>11</v>
      </c>
      <c r="F6" s="315" t="s">
        <v>11</v>
      </c>
      <c r="G6" s="315" t="s">
        <v>12</v>
      </c>
      <c r="H6" s="315" t="s">
        <v>13</v>
      </c>
      <c r="I6" s="316" t="s">
        <v>14</v>
      </c>
      <c r="J6" s="315" t="s">
        <v>13</v>
      </c>
      <c r="K6" s="315" t="s">
        <v>13</v>
      </c>
      <c r="L6" s="315" t="s">
        <v>6</v>
      </c>
      <c r="M6" s="315" t="s">
        <v>7</v>
      </c>
    </row>
    <row r="7" spans="1:14" s="337" customFormat="1" ht="14.25">
      <c r="A7" s="317"/>
      <c r="B7" s="317"/>
      <c r="C7" s="317"/>
      <c r="D7" s="318" t="s">
        <v>15</v>
      </c>
      <c r="E7" s="317"/>
      <c r="F7" s="317"/>
      <c r="G7" s="317"/>
      <c r="H7" s="317" t="s">
        <v>16</v>
      </c>
      <c r="I7" s="318" t="s">
        <v>13</v>
      </c>
      <c r="J7" s="317" t="s">
        <v>16</v>
      </c>
      <c r="K7" s="317" t="s">
        <v>16</v>
      </c>
      <c r="L7" s="317"/>
      <c r="M7" s="317"/>
    </row>
    <row r="8" spans="1:14" s="337" customFormat="1" ht="14.25">
      <c r="A8" s="337" t="s">
        <v>172</v>
      </c>
      <c r="D8" s="361">
        <v>50</v>
      </c>
      <c r="E8" s="337">
        <v>2.7</v>
      </c>
      <c r="F8" s="337">
        <v>1.89</v>
      </c>
      <c r="G8" s="341">
        <v>1090</v>
      </c>
      <c r="H8" s="341">
        <f t="shared" ref="H8" si="0">SUM(E8*G8)</f>
        <v>2943</v>
      </c>
      <c r="I8" s="367"/>
      <c r="K8" s="341">
        <f>SUM(H8:J8)</f>
        <v>2943</v>
      </c>
    </row>
    <row r="9" spans="1:14" s="337" customFormat="1" ht="14.25">
      <c r="A9" s="337" t="s">
        <v>430</v>
      </c>
      <c r="D9" s="361">
        <v>100</v>
      </c>
      <c r="E9" s="337">
        <v>0.5</v>
      </c>
      <c r="F9" s="337">
        <v>0.5</v>
      </c>
      <c r="G9" s="341">
        <v>1000</v>
      </c>
      <c r="H9" s="341">
        <f>SUM(E9*G9)</f>
        <v>500</v>
      </c>
      <c r="I9" s="367">
        <v>4446</v>
      </c>
      <c r="K9" s="341">
        <f t="shared" ref="K9:K11" si="1">SUM(H9:J9)</f>
        <v>4946</v>
      </c>
    </row>
    <row r="10" spans="1:14" s="337" customFormat="1" ht="14.25">
      <c r="A10" s="337" t="s">
        <v>378</v>
      </c>
      <c r="D10" s="361">
        <v>100</v>
      </c>
      <c r="E10" s="337">
        <v>1.86</v>
      </c>
      <c r="F10" s="337">
        <v>1.57</v>
      </c>
      <c r="G10" s="341">
        <v>1074</v>
      </c>
      <c r="H10" s="341">
        <v>1998</v>
      </c>
      <c r="I10" s="367"/>
      <c r="J10" s="341">
        <v>2573</v>
      </c>
      <c r="K10" s="341">
        <f t="shared" si="1"/>
        <v>4571</v>
      </c>
      <c r="M10" s="341">
        <v>646</v>
      </c>
    </row>
    <row r="11" spans="1:14" s="337" customFormat="1" ht="14.25">
      <c r="A11" s="337" t="s">
        <v>33</v>
      </c>
      <c r="D11" s="361">
        <v>58</v>
      </c>
      <c r="E11" s="337">
        <v>0.34</v>
      </c>
      <c r="F11" s="337">
        <v>0.34</v>
      </c>
      <c r="G11" s="341">
        <v>1074</v>
      </c>
      <c r="H11" s="341">
        <v>365</v>
      </c>
      <c r="I11" s="367"/>
      <c r="J11" s="341">
        <v>1130</v>
      </c>
      <c r="K11" s="341">
        <f t="shared" si="1"/>
        <v>1495</v>
      </c>
      <c r="M11" s="341"/>
    </row>
    <row r="12" spans="1:14" s="337" customFormat="1" ht="14.25">
      <c r="A12" s="337" t="s">
        <v>379</v>
      </c>
      <c r="D12" s="361">
        <v>100</v>
      </c>
      <c r="E12" s="337">
        <v>10.08</v>
      </c>
      <c r="F12" s="337">
        <v>3.18</v>
      </c>
      <c r="G12" s="341">
        <v>1099</v>
      </c>
      <c r="H12" s="341">
        <v>11078</v>
      </c>
      <c r="I12" s="367"/>
      <c r="K12" s="341">
        <v>11078</v>
      </c>
      <c r="M12" s="341"/>
    </row>
    <row r="13" spans="1:14" s="337" customFormat="1" ht="14.25">
      <c r="A13" s="337" t="s">
        <v>431</v>
      </c>
      <c r="D13" s="361">
        <v>100</v>
      </c>
      <c r="E13" s="337">
        <v>0.64</v>
      </c>
      <c r="F13" s="337">
        <v>0.64</v>
      </c>
      <c r="G13" s="341">
        <v>1099</v>
      </c>
      <c r="H13" s="341">
        <v>703</v>
      </c>
      <c r="I13" s="367">
        <v>3170</v>
      </c>
      <c r="K13" s="341">
        <v>3873</v>
      </c>
      <c r="M13" s="341"/>
    </row>
    <row r="14" spans="1:14" s="315" customFormat="1" ht="14.25">
      <c r="A14" s="313" t="s">
        <v>37</v>
      </c>
      <c r="B14" s="313"/>
      <c r="C14" s="313"/>
      <c r="D14" s="314"/>
      <c r="E14" s="313">
        <f>SUM(E8:E13)</f>
        <v>16.12</v>
      </c>
      <c r="F14" s="313">
        <f>SUM(F8:F13)</f>
        <v>8.120000000000001</v>
      </c>
      <c r="G14" s="321"/>
      <c r="H14" s="421">
        <f>SUM(H8:H13)</f>
        <v>17587</v>
      </c>
      <c r="I14" s="422">
        <f>SUM(I8:I13)</f>
        <v>7616</v>
      </c>
      <c r="J14" s="421">
        <v>3703</v>
      </c>
      <c r="K14" s="421">
        <f>SUM(K8:K13)</f>
        <v>28906</v>
      </c>
      <c r="L14" s="313">
        <f>SUM(L8:L13)</f>
        <v>0</v>
      </c>
      <c r="M14" s="321">
        <f>SUM(M8:M13)</f>
        <v>646</v>
      </c>
    </row>
    <row r="15" spans="1:14" s="315" customFormat="1" ht="14.25">
      <c r="A15" s="317" t="s">
        <v>38</v>
      </c>
      <c r="B15" s="317"/>
      <c r="C15" s="317"/>
      <c r="D15" s="318"/>
      <c r="E15" s="317">
        <f>SUM(E14-F14)</f>
        <v>8</v>
      </c>
      <c r="F15" s="317"/>
      <c r="G15" s="317"/>
      <c r="H15" s="423">
        <v>8751</v>
      </c>
      <c r="I15" s="424">
        <f>I14-L14</f>
        <v>7616</v>
      </c>
      <c r="J15" s="423">
        <f>J14-M14</f>
        <v>3057</v>
      </c>
      <c r="K15" s="423">
        <f>SUM(H15:J15)</f>
        <v>19424</v>
      </c>
      <c r="L15" s="317"/>
      <c r="M15" s="317"/>
    </row>
    <row r="16" spans="1:14" s="337" customFormat="1" ht="14.25">
      <c r="C16" s="337" t="s">
        <v>39</v>
      </c>
      <c r="D16" s="361"/>
      <c r="I16" s="361"/>
    </row>
    <row r="17" spans="1:13" s="337" customFormat="1" ht="14.25">
      <c r="A17" s="337" t="s">
        <v>40</v>
      </c>
      <c r="D17" s="361"/>
      <c r="I17" s="361"/>
    </row>
    <row r="18" spans="1:13" s="315" customFormat="1" ht="14.25">
      <c r="A18" s="325" t="s">
        <v>41</v>
      </c>
      <c r="B18" s="325"/>
      <c r="C18" s="325"/>
      <c r="D18" s="326" t="s">
        <v>42</v>
      </c>
      <c r="E18" s="325" t="s">
        <v>43</v>
      </c>
      <c r="F18" s="325"/>
      <c r="G18" s="325" t="s">
        <v>44</v>
      </c>
      <c r="H18" s="325"/>
      <c r="I18" s="326"/>
      <c r="J18" s="325"/>
      <c r="K18" s="325"/>
      <c r="L18" s="325"/>
      <c r="M18" s="325"/>
    </row>
    <row r="19" spans="1:13" s="337" customFormat="1" ht="14.25">
      <c r="A19" s="337" t="s">
        <v>45</v>
      </c>
      <c r="C19" s="337" t="s">
        <v>47</v>
      </c>
      <c r="D19" s="361"/>
      <c r="E19" s="367">
        <v>9.6</v>
      </c>
      <c r="G19" s="341">
        <v>268</v>
      </c>
      <c r="I19" s="361"/>
      <c r="K19" s="337" t="s">
        <v>381</v>
      </c>
    </row>
    <row r="20" spans="1:13" s="337" customFormat="1" ht="14.25">
      <c r="A20" s="337" t="s">
        <v>149</v>
      </c>
      <c r="D20" s="361"/>
      <c r="I20" s="361"/>
      <c r="K20" s="332" t="s">
        <v>432</v>
      </c>
      <c r="L20" s="333">
        <v>18</v>
      </c>
    </row>
    <row r="21" spans="1:13" s="337" customFormat="1" ht="14.25">
      <c r="D21" s="361"/>
      <c r="I21" s="361"/>
      <c r="K21" s="332" t="s">
        <v>433</v>
      </c>
      <c r="L21" s="333">
        <v>9</v>
      </c>
    </row>
    <row r="22" spans="1:13" s="337" customFormat="1" ht="14.25">
      <c r="D22" s="361"/>
      <c r="I22" s="361"/>
      <c r="K22" s="332" t="s">
        <v>434</v>
      </c>
      <c r="L22" s="333">
        <v>73</v>
      </c>
    </row>
    <row r="23" spans="1:13" s="337" customFormat="1" ht="14.25">
      <c r="A23" s="337" t="s">
        <v>54</v>
      </c>
      <c r="D23" s="361"/>
      <c r="I23" s="361"/>
      <c r="L23" s="341"/>
    </row>
    <row r="24" spans="1:13" s="337" customFormat="1" ht="14.25">
      <c r="A24" s="337" t="s">
        <v>56</v>
      </c>
      <c r="D24" s="361" t="s">
        <v>57</v>
      </c>
      <c r="E24" s="341">
        <f>SUM(E14-F14)</f>
        <v>8</v>
      </c>
      <c r="G24" s="341">
        <v>1068</v>
      </c>
      <c r="I24" s="361"/>
      <c r="K24" s="332" t="s">
        <v>383</v>
      </c>
      <c r="L24" s="333">
        <f>49.5/30</f>
        <v>1.65</v>
      </c>
    </row>
    <row r="25" spans="1:13" s="337" customFormat="1" ht="14.25">
      <c r="A25" s="337" t="s">
        <v>58</v>
      </c>
      <c r="D25" s="361" t="s">
        <v>57</v>
      </c>
      <c r="E25" s="341">
        <v>8</v>
      </c>
      <c r="I25" s="361"/>
      <c r="K25" s="332" t="s">
        <v>60</v>
      </c>
      <c r="L25" s="333">
        <v>1</v>
      </c>
    </row>
    <row r="26" spans="1:13" s="337" customFormat="1" ht="14.25">
      <c r="A26" s="337" t="s">
        <v>2</v>
      </c>
      <c r="D26" s="361"/>
      <c r="E26" s="341">
        <f>SUM(E24:E25)</f>
        <v>16</v>
      </c>
      <c r="I26" s="361"/>
    </row>
    <row r="27" spans="1:13" s="337" customFormat="1" ht="14.25">
      <c r="D27" s="361"/>
      <c r="E27" s="425"/>
      <c r="I27" s="361"/>
    </row>
    <row r="28" spans="1:13" s="315" customFormat="1" ht="14.25">
      <c r="A28" s="315" t="s">
        <v>66</v>
      </c>
      <c r="D28" s="316"/>
      <c r="I28" s="316" t="s">
        <v>67</v>
      </c>
    </row>
    <row r="29" spans="1:13" s="315" customFormat="1" ht="14.25">
      <c r="A29" s="313" t="s">
        <v>68</v>
      </c>
      <c r="B29" s="313"/>
      <c r="C29" s="313"/>
      <c r="D29" s="314"/>
      <c r="E29" s="313"/>
      <c r="F29" s="313"/>
      <c r="G29" s="321">
        <v>423</v>
      </c>
      <c r="H29" s="313"/>
      <c r="I29" s="320">
        <v>1045</v>
      </c>
    </row>
    <row r="30" spans="1:13" s="315" customFormat="1" ht="14.25">
      <c r="A30" s="315" t="s">
        <v>69</v>
      </c>
      <c r="D30" s="316"/>
      <c r="G30" s="319">
        <v>158</v>
      </c>
      <c r="I30" s="320"/>
    </row>
    <row r="31" spans="1:13" s="315" customFormat="1" ht="14.25">
      <c r="A31" s="315" t="s">
        <v>70</v>
      </c>
      <c r="D31" s="316"/>
      <c r="G31" s="319">
        <f>SUM(G29*G30)</f>
        <v>66834</v>
      </c>
      <c r="I31" s="426">
        <f>G31*2.471</f>
        <v>165146.81400000001</v>
      </c>
    </row>
    <row r="32" spans="1:13" s="315" customFormat="1" ht="14.25">
      <c r="A32" s="315" t="s">
        <v>71</v>
      </c>
      <c r="D32" s="316"/>
      <c r="G32" s="319">
        <f>SUM(G31-K14)</f>
        <v>37928</v>
      </c>
      <c r="I32" s="426">
        <f t="shared" ref="I32:I33" si="2">G32*2.471</f>
        <v>93720.088000000003</v>
      </c>
    </row>
    <row r="33" spans="1:9" s="315" customFormat="1" ht="14.25">
      <c r="A33" s="315" t="s">
        <v>72</v>
      </c>
      <c r="D33" s="316"/>
      <c r="G33" s="319">
        <f>SUM(G31-K15)</f>
        <v>47410</v>
      </c>
      <c r="I33" s="426">
        <f t="shared" si="2"/>
        <v>117150.11</v>
      </c>
    </row>
    <row r="34" spans="1:9" s="315" customFormat="1" ht="14.25">
      <c r="A34" s="315" t="s">
        <v>73</v>
      </c>
      <c r="D34" s="316"/>
      <c r="G34" s="319">
        <f>SUM(K14/G29)</f>
        <v>68.335697399527191</v>
      </c>
      <c r="I34" s="316"/>
    </row>
    <row r="35" spans="1:9" s="315" customFormat="1" ht="14.25">
      <c r="A35" s="317" t="s">
        <v>74</v>
      </c>
      <c r="B35" s="317"/>
      <c r="C35" s="317"/>
      <c r="D35" s="318"/>
      <c r="E35" s="317"/>
      <c r="F35" s="317"/>
      <c r="G35" s="323">
        <f>SUM(K15/G29)</f>
        <v>45.919621749408982</v>
      </c>
      <c r="H35" s="317"/>
      <c r="I35" s="316"/>
    </row>
    <row r="36" spans="1:9" s="337" customFormat="1" ht="14.25">
      <c r="D36" s="361"/>
      <c r="I36" s="361"/>
    </row>
    <row r="37" spans="1:9" s="337" customFormat="1" ht="14.25">
      <c r="D37" s="361"/>
      <c r="I37" s="361"/>
    </row>
    <row r="38" spans="1:9" s="404" customFormat="1" ht="12.75">
      <c r="A38" s="416" t="s">
        <v>115</v>
      </c>
      <c r="B38" s="416"/>
      <c r="C38" s="416"/>
      <c r="D38" s="416"/>
      <c r="E38" s="416"/>
      <c r="F38" s="416"/>
      <c r="G38" s="418">
        <f>SUM(G36*G37)</f>
        <v>0</v>
      </c>
      <c r="I38" s="427">
        <v>217127</v>
      </c>
    </row>
    <row r="39" spans="1:9" s="404" customFormat="1" ht="12.75">
      <c r="A39" s="416" t="s">
        <v>116</v>
      </c>
      <c r="B39" s="416"/>
      <c r="C39" s="416"/>
      <c r="D39" s="416"/>
      <c r="E39" s="416"/>
      <c r="F39" s="416"/>
      <c r="G39" s="418" t="e">
        <f>SUM(G38-K19)</f>
        <v>#VALUE!</v>
      </c>
      <c r="I39" s="427">
        <v>122510</v>
      </c>
    </row>
    <row r="40" spans="1:9" s="404" customFormat="1" ht="12.75">
      <c r="A40" s="416" t="s">
        <v>117</v>
      </c>
      <c r="B40" s="416"/>
      <c r="C40" s="416"/>
      <c r="D40" s="416"/>
      <c r="E40" s="416"/>
      <c r="F40" s="416"/>
      <c r="G40" s="418" t="e">
        <f>SUM(G38-K20)</f>
        <v>#VALUE!</v>
      </c>
      <c r="I40" s="427">
        <v>158841</v>
      </c>
    </row>
    <row r="41" spans="1:9" s="404" customFormat="1" ht="12.75">
      <c r="A41" s="416"/>
      <c r="B41" s="416"/>
      <c r="C41" s="416"/>
      <c r="D41" s="416"/>
      <c r="E41" s="416"/>
      <c r="F41" s="416"/>
      <c r="G41" s="418"/>
    </row>
    <row r="42" spans="1:9" s="404" customFormat="1" ht="12.75">
      <c r="A42" s="416" t="s">
        <v>118</v>
      </c>
      <c r="B42" s="416"/>
      <c r="C42" s="416"/>
      <c r="D42" s="416"/>
      <c r="E42" s="416"/>
      <c r="F42" s="416"/>
      <c r="G42" s="418" t="e">
        <f>SUM(K19/G36)</f>
        <v>#VALUE!</v>
      </c>
    </row>
    <row r="43" spans="1:9" s="404" customFormat="1" ht="12.75">
      <c r="A43" s="419" t="s">
        <v>119</v>
      </c>
      <c r="B43" s="419"/>
      <c r="C43" s="419"/>
      <c r="D43" s="419"/>
      <c r="E43" s="419"/>
      <c r="F43" s="419"/>
      <c r="G43" s="420" t="e">
        <f>SUM(K20/G36)</f>
        <v>#VALUE!</v>
      </c>
    </row>
    <row r="44" spans="1:9" s="404" customFormat="1" ht="12.75"/>
    <row r="45" spans="1:9" s="404" customFormat="1" ht="13.5">
      <c r="A45" s="428" t="s">
        <v>120</v>
      </c>
      <c r="B45" s="404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workbookViewId="0">
      <selection activeCell="A3" sqref="A3:B3"/>
    </sheetView>
  </sheetViews>
  <sheetFormatPr defaultRowHeight="15"/>
  <sheetData>
    <row r="1" spans="1:17">
      <c r="A1" s="1" t="s">
        <v>131</v>
      </c>
      <c r="B1" s="2"/>
    </row>
    <row r="2" spans="1:17">
      <c r="A2" s="1" t="s">
        <v>103</v>
      </c>
      <c r="B2" s="2"/>
    </row>
    <row r="3" spans="1:17">
      <c r="A3" s="1" t="s">
        <v>376</v>
      </c>
      <c r="B3" s="2"/>
    </row>
    <row r="4" spans="1:17">
      <c r="A4" s="1" t="s">
        <v>104</v>
      </c>
    </row>
    <row r="5" spans="1:17" s="34" customFormat="1" ht="14.25">
      <c r="A5" s="35" t="s">
        <v>0</v>
      </c>
      <c r="B5" s="35"/>
      <c r="C5" s="35"/>
      <c r="D5" s="36" t="s">
        <v>1</v>
      </c>
      <c r="E5" s="36" t="s">
        <v>2</v>
      </c>
      <c r="F5" s="36" t="s">
        <v>3</v>
      </c>
      <c r="G5" s="36" t="s">
        <v>4</v>
      </c>
      <c r="H5" s="36" t="s">
        <v>5</v>
      </c>
      <c r="I5" s="36" t="s">
        <v>6</v>
      </c>
      <c r="J5" s="36" t="s">
        <v>7</v>
      </c>
      <c r="K5" s="36" t="s">
        <v>8</v>
      </c>
      <c r="L5" s="37" t="s">
        <v>9</v>
      </c>
      <c r="M5" s="36"/>
    </row>
    <row r="6" spans="1:17" s="34" customFormat="1" ht="14.25">
      <c r="A6" s="38"/>
      <c r="B6" s="38"/>
      <c r="C6" s="38"/>
      <c r="D6" s="39" t="s">
        <v>10</v>
      </c>
      <c r="E6" s="39" t="s">
        <v>11</v>
      </c>
      <c r="F6" s="39" t="s">
        <v>11</v>
      </c>
      <c r="G6" s="39" t="s">
        <v>12</v>
      </c>
      <c r="H6" s="39" t="s">
        <v>13</v>
      </c>
      <c r="I6" s="39" t="s">
        <v>14</v>
      </c>
      <c r="J6" s="39" t="s">
        <v>13</v>
      </c>
      <c r="K6" s="39" t="s">
        <v>13</v>
      </c>
      <c r="L6" s="66" t="s">
        <v>6</v>
      </c>
      <c r="M6" s="39" t="s">
        <v>7</v>
      </c>
    </row>
    <row r="7" spans="1:17" s="34" customFormat="1" ht="14.25">
      <c r="A7" s="38"/>
      <c r="B7" s="38"/>
      <c r="C7" s="38"/>
      <c r="D7" s="39" t="s">
        <v>15</v>
      </c>
      <c r="E7" s="39"/>
      <c r="F7" s="39"/>
      <c r="G7" s="39"/>
      <c r="H7" s="39" t="s">
        <v>16</v>
      </c>
      <c r="I7" s="39" t="s">
        <v>13</v>
      </c>
      <c r="J7" s="39" t="s">
        <v>16</v>
      </c>
      <c r="K7" s="39" t="s">
        <v>16</v>
      </c>
      <c r="L7" s="39"/>
      <c r="M7" s="39"/>
    </row>
    <row r="8" spans="1:17" s="34" customFormat="1" ht="14.25">
      <c r="A8" s="41"/>
      <c r="B8" s="41"/>
      <c r="C8" s="41"/>
      <c r="D8" s="42"/>
      <c r="E8" s="42"/>
      <c r="F8" s="42"/>
      <c r="G8" s="42"/>
      <c r="H8" s="42"/>
      <c r="I8" s="42" t="s">
        <v>16</v>
      </c>
      <c r="J8" s="42"/>
      <c r="K8" s="42"/>
      <c r="L8" s="42"/>
      <c r="M8" s="39"/>
    </row>
    <row r="9" spans="1:17" s="8" customFormat="1" ht="14.25">
      <c r="A9" s="8" t="s">
        <v>124</v>
      </c>
      <c r="D9" s="47">
        <v>100</v>
      </c>
      <c r="E9" s="99">
        <v>2</v>
      </c>
      <c r="F9" s="8">
        <v>1.7</v>
      </c>
      <c r="G9" s="19">
        <v>1100</v>
      </c>
      <c r="H9" s="10">
        <v>2200</v>
      </c>
      <c r="J9" s="10">
        <v>371</v>
      </c>
      <c r="K9" s="10">
        <f t="shared" ref="K9:K18" si="0">SUM(H9:J9)</f>
        <v>2571</v>
      </c>
      <c r="M9" s="44"/>
    </row>
    <row r="10" spans="1:17" s="8" customFormat="1" ht="14.25">
      <c r="A10" s="8" t="s">
        <v>80</v>
      </c>
      <c r="D10" s="47">
        <v>50</v>
      </c>
      <c r="E10" s="10">
        <v>0.8</v>
      </c>
      <c r="F10" s="10">
        <v>0.7</v>
      </c>
      <c r="G10" s="48">
        <v>1225</v>
      </c>
      <c r="H10" s="10">
        <v>980</v>
      </c>
      <c r="J10" s="10">
        <v>2704</v>
      </c>
      <c r="K10" s="10">
        <f t="shared" si="0"/>
        <v>3684</v>
      </c>
      <c r="Q10" s="10"/>
    </row>
    <row r="11" spans="1:17" s="8" customFormat="1" ht="14.25">
      <c r="A11" s="8" t="s">
        <v>81</v>
      </c>
      <c r="D11" s="47">
        <v>56</v>
      </c>
      <c r="E11" s="10">
        <v>3</v>
      </c>
      <c r="F11" s="10">
        <v>2.1</v>
      </c>
      <c r="G11" s="48">
        <v>1165</v>
      </c>
      <c r="H11" s="10">
        <v>3495</v>
      </c>
      <c r="I11" s="10"/>
      <c r="J11" s="10"/>
      <c r="K11" s="10">
        <f>SUM(H11:J11)</f>
        <v>3495</v>
      </c>
      <c r="Q11" s="10"/>
    </row>
    <row r="12" spans="1:17" s="8" customFormat="1" ht="14.25">
      <c r="A12" s="8" t="s">
        <v>125</v>
      </c>
      <c r="D12" s="47">
        <v>44</v>
      </c>
      <c r="E12" s="10">
        <v>0.5</v>
      </c>
      <c r="F12" s="10">
        <v>0.5</v>
      </c>
      <c r="G12" s="48">
        <v>1000</v>
      </c>
      <c r="H12" s="10">
        <f>E12*G12</f>
        <v>500</v>
      </c>
      <c r="I12" s="10">
        <v>6286</v>
      </c>
      <c r="J12" s="10"/>
      <c r="K12" s="10">
        <f t="shared" si="0"/>
        <v>6786</v>
      </c>
      <c r="Q12" s="10"/>
    </row>
    <row r="13" spans="1:17" s="8" customFormat="1" ht="14.25">
      <c r="A13" s="8" t="s">
        <v>126</v>
      </c>
      <c r="D13" s="47">
        <v>100</v>
      </c>
      <c r="E13" s="10">
        <v>7.3</v>
      </c>
      <c r="F13" s="10">
        <v>3.6</v>
      </c>
      <c r="G13" s="48">
        <v>1146</v>
      </c>
      <c r="H13" s="10">
        <v>8366</v>
      </c>
      <c r="I13" s="10"/>
      <c r="J13" s="10">
        <f>E26*G26</f>
        <v>3377</v>
      </c>
      <c r="K13" s="10">
        <f t="shared" si="0"/>
        <v>11743</v>
      </c>
      <c r="Q13" s="10"/>
    </row>
    <row r="14" spans="1:17" s="8" customFormat="1" ht="14.25">
      <c r="A14" s="8" t="s">
        <v>25</v>
      </c>
      <c r="D14" s="47">
        <v>100</v>
      </c>
      <c r="E14" s="10">
        <v>11.7</v>
      </c>
      <c r="F14" s="10">
        <v>7</v>
      </c>
      <c r="G14" s="48">
        <v>1174</v>
      </c>
      <c r="H14" s="10">
        <v>13736</v>
      </c>
      <c r="I14" s="10"/>
      <c r="J14" s="10">
        <f>E35*G35+E36*G36+E37*G37</f>
        <v>9540</v>
      </c>
      <c r="K14" s="10">
        <f t="shared" si="0"/>
        <v>23276</v>
      </c>
      <c r="Q14" s="10"/>
    </row>
    <row r="15" spans="1:17" s="8" customFormat="1" ht="14.25">
      <c r="A15" s="8" t="s">
        <v>127</v>
      </c>
      <c r="D15" s="47">
        <v>100</v>
      </c>
      <c r="E15" s="10">
        <v>15</v>
      </c>
      <c r="F15" s="10">
        <v>4.8</v>
      </c>
      <c r="G15" s="48">
        <v>1164</v>
      </c>
      <c r="H15" s="10">
        <v>17460</v>
      </c>
      <c r="I15" s="10"/>
      <c r="J15" s="10"/>
      <c r="K15" s="10">
        <f t="shared" si="0"/>
        <v>17460</v>
      </c>
      <c r="Q15" s="10"/>
    </row>
    <row r="16" spans="1:17" s="8" customFormat="1" ht="14.25">
      <c r="A16" s="8" t="s">
        <v>33</v>
      </c>
      <c r="D16" s="47">
        <v>100</v>
      </c>
      <c r="E16" s="10">
        <v>11.2</v>
      </c>
      <c r="F16" s="10">
        <v>5.0999999999999996</v>
      </c>
      <c r="G16" s="48">
        <v>1265</v>
      </c>
      <c r="H16" s="10">
        <v>14168</v>
      </c>
      <c r="I16" s="10"/>
      <c r="J16" s="10">
        <v>22774</v>
      </c>
      <c r="K16" s="10">
        <f t="shared" si="0"/>
        <v>36942</v>
      </c>
      <c r="Q16" s="10"/>
    </row>
    <row r="17" spans="1:17" s="8" customFormat="1" ht="14.25">
      <c r="A17" s="8" t="s">
        <v>34</v>
      </c>
      <c r="D17" s="47">
        <v>100</v>
      </c>
      <c r="E17" s="10">
        <v>12.6</v>
      </c>
      <c r="F17" s="10">
        <v>11.7</v>
      </c>
      <c r="G17" s="48">
        <v>1161</v>
      </c>
      <c r="H17" s="10">
        <v>14629</v>
      </c>
      <c r="I17" s="10">
        <v>13453</v>
      </c>
      <c r="J17" s="10"/>
      <c r="K17" s="10">
        <f t="shared" si="0"/>
        <v>28082</v>
      </c>
      <c r="Q17" s="10"/>
    </row>
    <row r="18" spans="1:17" s="8" customFormat="1" ht="14.25">
      <c r="A18" s="8" t="s">
        <v>90</v>
      </c>
      <c r="D18" s="47">
        <v>100</v>
      </c>
      <c r="E18" s="10">
        <v>36.700000000000003</v>
      </c>
      <c r="F18" s="10">
        <v>17.7</v>
      </c>
      <c r="G18" s="48">
        <v>1011</v>
      </c>
      <c r="H18" s="10">
        <v>37104</v>
      </c>
      <c r="I18" s="10"/>
      <c r="J18" s="10"/>
      <c r="K18" s="10">
        <f t="shared" si="0"/>
        <v>37104</v>
      </c>
      <c r="Q18" s="10"/>
    </row>
    <row r="19" spans="1:17" s="8" customFormat="1" ht="14.25">
      <c r="A19" s="43" t="s">
        <v>37</v>
      </c>
      <c r="B19" s="43"/>
      <c r="C19" s="43"/>
      <c r="D19" s="52"/>
      <c r="E19" s="53">
        <f>SUM(E9:E18)</f>
        <v>100.8</v>
      </c>
      <c r="F19" s="53">
        <f>SUM(F9:F18)</f>
        <v>54.900000000000006</v>
      </c>
      <c r="G19" s="53"/>
      <c r="H19" s="53">
        <f>SUM(H9:H18)</f>
        <v>112638</v>
      </c>
      <c r="I19" s="53">
        <f>SUM(I9:I18)</f>
        <v>19739</v>
      </c>
      <c r="J19" s="53">
        <f>SUM(J9:J18)</f>
        <v>38766</v>
      </c>
      <c r="K19" s="53">
        <f>SUM(H19:J19)</f>
        <v>171143</v>
      </c>
      <c r="L19" s="43"/>
    </row>
    <row r="20" spans="1:17" s="8" customFormat="1" ht="14.25">
      <c r="A20" s="46" t="s">
        <v>38</v>
      </c>
      <c r="B20" s="46"/>
      <c r="C20" s="46"/>
      <c r="D20" s="54"/>
      <c r="E20" s="55">
        <f>SUM(E19-F19)</f>
        <v>45.899999999999991</v>
      </c>
      <c r="F20" s="55"/>
      <c r="G20" s="55"/>
      <c r="H20" s="55">
        <f>E30*G30</f>
        <v>51290</v>
      </c>
      <c r="I20" s="55">
        <f>I19-L19</f>
        <v>19739</v>
      </c>
      <c r="J20" s="55">
        <f>J19-M22</f>
        <v>38766</v>
      </c>
      <c r="K20" s="55">
        <f>SUM(H20:J20)</f>
        <v>109795</v>
      </c>
      <c r="L20" s="46"/>
    </row>
    <row r="21" spans="1:17" s="8" customFormat="1" ht="14.25">
      <c r="C21" s="8" t="s">
        <v>39</v>
      </c>
    </row>
    <row r="22" spans="1:17" s="8" customFormat="1" ht="14.25">
      <c r="M22" s="44"/>
    </row>
    <row r="23" spans="1:17" s="8" customFormat="1" ht="14.25">
      <c r="A23" s="8" t="s">
        <v>40</v>
      </c>
      <c r="M23" s="44"/>
    </row>
    <row r="24" spans="1:17" s="8" customFormat="1" ht="14.25">
      <c r="A24" s="56" t="s">
        <v>41</v>
      </c>
      <c r="B24" s="56"/>
      <c r="C24" s="56"/>
      <c r="D24" s="56" t="s">
        <v>42</v>
      </c>
      <c r="E24" s="56" t="s">
        <v>43</v>
      </c>
      <c r="F24" s="56"/>
      <c r="G24" s="56" t="s">
        <v>44</v>
      </c>
      <c r="I24" s="100" t="s">
        <v>59</v>
      </c>
      <c r="J24" s="101">
        <v>0.9</v>
      </c>
    </row>
    <row r="25" spans="1:17" s="8" customFormat="1" ht="14.25">
      <c r="A25" s="8" t="s">
        <v>45</v>
      </c>
      <c r="I25" s="100" t="s">
        <v>60</v>
      </c>
      <c r="J25" s="101">
        <v>1</v>
      </c>
    </row>
    <row r="26" spans="1:17" s="8" customFormat="1" ht="14.25">
      <c r="A26" s="8" t="s">
        <v>128</v>
      </c>
      <c r="D26" s="8" t="s">
        <v>47</v>
      </c>
      <c r="E26" s="10">
        <v>0.2</v>
      </c>
      <c r="G26" s="10">
        <v>16885</v>
      </c>
    </row>
    <row r="27" spans="1:17" s="8" customFormat="1" ht="14.25">
      <c r="I27" s="102" t="s">
        <v>93</v>
      </c>
      <c r="J27" s="102"/>
      <c r="M27" s="103"/>
      <c r="N27" s="103"/>
    </row>
    <row r="28" spans="1:17" s="8" customFormat="1" ht="14.25">
      <c r="I28" s="59" t="s">
        <v>95</v>
      </c>
      <c r="J28" s="59">
        <v>75</v>
      </c>
      <c r="M28" s="65"/>
      <c r="N28" s="65"/>
    </row>
    <row r="29" spans="1:17" s="8" customFormat="1" ht="14.25">
      <c r="A29" s="8" t="s">
        <v>54</v>
      </c>
      <c r="I29" s="59" t="s">
        <v>94</v>
      </c>
      <c r="J29" s="59">
        <v>25</v>
      </c>
      <c r="M29" s="65"/>
    </row>
    <row r="30" spans="1:17" s="8" customFormat="1" ht="14.25">
      <c r="A30" s="8" t="s">
        <v>56</v>
      </c>
      <c r="D30" s="8" t="s">
        <v>57</v>
      </c>
      <c r="E30" s="10">
        <v>46</v>
      </c>
      <c r="G30" s="10">
        <v>1115</v>
      </c>
      <c r="K30" s="65"/>
      <c r="L30" s="65"/>
      <c r="M30" s="65"/>
    </row>
    <row r="31" spans="1:17" s="8" customFormat="1" ht="14.25">
      <c r="A31" s="8" t="s">
        <v>58</v>
      </c>
      <c r="D31" s="8" t="s">
        <v>57</v>
      </c>
      <c r="E31" s="10">
        <v>55</v>
      </c>
      <c r="M31" s="65"/>
    </row>
    <row r="32" spans="1:17" s="8" customFormat="1" ht="14.25">
      <c r="A32" s="8" t="s">
        <v>2</v>
      </c>
      <c r="E32" s="10">
        <v>101</v>
      </c>
    </row>
    <row r="33" spans="1:8" s="8" customFormat="1" ht="14.25"/>
    <row r="34" spans="1:8" s="8" customFormat="1" ht="14.25">
      <c r="A34" s="43" t="s">
        <v>61</v>
      </c>
      <c r="B34" s="43"/>
      <c r="C34" s="43" t="s">
        <v>62</v>
      </c>
      <c r="D34" s="43"/>
      <c r="E34" s="43"/>
      <c r="F34" s="43"/>
      <c r="G34" s="43"/>
    </row>
    <row r="35" spans="1:8" s="8" customFormat="1" ht="14.25">
      <c r="A35" s="44"/>
      <c r="B35" s="45" t="s">
        <v>63</v>
      </c>
      <c r="C35" s="60">
        <v>90</v>
      </c>
      <c r="D35" s="44" t="s">
        <v>47</v>
      </c>
      <c r="E35" s="31">
        <v>222</v>
      </c>
      <c r="F35" s="31"/>
      <c r="G35" s="31">
        <v>24</v>
      </c>
    </row>
    <row r="36" spans="1:8" s="8" customFormat="1" ht="14.25">
      <c r="A36" s="44"/>
      <c r="B36" s="45" t="s">
        <v>129</v>
      </c>
      <c r="C36" s="60">
        <v>44</v>
      </c>
      <c r="D36" s="44" t="s">
        <v>47</v>
      </c>
      <c r="E36" s="31">
        <v>63</v>
      </c>
      <c r="F36" s="31"/>
      <c r="G36" s="31">
        <v>26</v>
      </c>
    </row>
    <row r="37" spans="1:8" s="8" customFormat="1" ht="14.25">
      <c r="A37" s="44"/>
      <c r="B37" s="45" t="s">
        <v>130</v>
      </c>
      <c r="C37" s="60">
        <v>54</v>
      </c>
      <c r="D37" s="44" t="s">
        <v>47</v>
      </c>
      <c r="E37" s="31">
        <v>99</v>
      </c>
      <c r="F37" s="31"/>
      <c r="G37" s="31">
        <v>26</v>
      </c>
    </row>
    <row r="38" spans="1:8" s="8" customFormat="1" ht="14.25">
      <c r="A38" s="43" t="s">
        <v>66</v>
      </c>
      <c r="B38" s="43"/>
      <c r="C38" s="43"/>
      <c r="D38" s="43"/>
      <c r="E38" s="43"/>
      <c r="F38" s="43"/>
      <c r="G38" s="43"/>
      <c r="H38" s="8" t="s">
        <v>99</v>
      </c>
    </row>
    <row r="39" spans="1:8" s="8" customFormat="1" ht="14.25">
      <c r="A39" s="44" t="s">
        <v>68</v>
      </c>
      <c r="B39" s="44"/>
      <c r="C39" s="44"/>
      <c r="D39" s="44"/>
      <c r="E39" s="44"/>
      <c r="F39" s="44"/>
      <c r="G39" s="62">
        <v>9026</v>
      </c>
      <c r="H39" s="10">
        <v>22303</v>
      </c>
    </row>
    <row r="40" spans="1:8" s="8" customFormat="1" ht="14.25">
      <c r="A40" s="44" t="s">
        <v>69</v>
      </c>
      <c r="B40" s="44"/>
      <c r="C40" s="44"/>
      <c r="D40" s="44"/>
      <c r="E40" s="44"/>
      <c r="F40" s="44"/>
      <c r="G40" s="63">
        <v>38</v>
      </c>
      <c r="H40" s="10"/>
    </row>
    <row r="41" spans="1:8" s="8" customFormat="1" ht="14.25">
      <c r="A41" s="44" t="s">
        <v>70</v>
      </c>
      <c r="B41" s="44"/>
      <c r="C41" s="44"/>
      <c r="D41" s="44"/>
      <c r="E41" s="44"/>
      <c r="F41" s="44"/>
      <c r="G41" s="63">
        <f>SUM(G39*G40)</f>
        <v>342988</v>
      </c>
      <c r="H41" s="10">
        <v>847523</v>
      </c>
    </row>
    <row r="42" spans="1:8" s="8" customFormat="1" ht="14.25">
      <c r="A42" s="44" t="s">
        <v>71</v>
      </c>
      <c r="B42" s="44"/>
      <c r="C42" s="44"/>
      <c r="D42" s="44"/>
      <c r="E42" s="44"/>
      <c r="F42" s="44"/>
      <c r="G42" s="63">
        <f>SUM(G41-K19)</f>
        <v>171845</v>
      </c>
      <c r="H42" s="10">
        <f>G42*2.471</f>
        <v>424628.995</v>
      </c>
    </row>
    <row r="43" spans="1:8" s="8" customFormat="1" ht="14.25">
      <c r="A43" s="44" t="s">
        <v>72</v>
      </c>
      <c r="B43" s="44"/>
      <c r="C43" s="44"/>
      <c r="D43" s="44"/>
      <c r="E43" s="44"/>
      <c r="F43" s="44"/>
      <c r="G43" s="63">
        <f>SUM(G41-K20)</f>
        <v>233193</v>
      </c>
      <c r="H43" s="10">
        <v>576220</v>
      </c>
    </row>
    <row r="44" spans="1:8" s="8" customFormat="1" ht="14.25">
      <c r="A44" s="44"/>
      <c r="B44" s="44"/>
      <c r="C44" s="44"/>
      <c r="D44" s="44"/>
      <c r="E44" s="44"/>
      <c r="F44" s="44"/>
      <c r="G44" s="63"/>
    </row>
    <row r="45" spans="1:8" s="8" customFormat="1" ht="14.25">
      <c r="A45" s="44" t="s">
        <v>73</v>
      </c>
      <c r="B45" s="44"/>
      <c r="C45" s="44"/>
      <c r="D45" s="44"/>
      <c r="E45" s="44"/>
      <c r="F45" s="44"/>
      <c r="G45" s="63">
        <f>SUM(K19/G39)</f>
        <v>18.961112342122757</v>
      </c>
    </row>
    <row r="46" spans="1:8" s="8" customFormat="1" ht="14.25">
      <c r="A46" s="46" t="s">
        <v>74</v>
      </c>
      <c r="B46" s="46"/>
      <c r="C46" s="46"/>
      <c r="D46" s="46"/>
      <c r="E46" s="46"/>
      <c r="F46" s="46"/>
      <c r="G46" s="64">
        <f>SUM(K20/G39)</f>
        <v>12.164303124307557</v>
      </c>
    </row>
    <row r="47" spans="1:8" s="8" customFormat="1" ht="14.25"/>
    <row r="48" spans="1:8" s="8" customFormat="1" ht="14.25">
      <c r="A48" s="8" t="s">
        <v>100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workbookViewId="0">
      <selection sqref="A1:B4"/>
    </sheetView>
  </sheetViews>
  <sheetFormatPr defaultRowHeight="15"/>
  <sheetData>
    <row r="1" spans="1:17">
      <c r="A1" s="1" t="s">
        <v>170</v>
      </c>
      <c r="B1" s="2"/>
    </row>
    <row r="2" spans="1:17">
      <c r="A2" s="1" t="s">
        <v>171</v>
      </c>
      <c r="B2" s="2"/>
    </row>
    <row r="3" spans="1:17">
      <c r="A3" s="1" t="s">
        <v>78</v>
      </c>
      <c r="B3" s="2"/>
    </row>
    <row r="4" spans="1:17">
      <c r="A4" s="1"/>
    </row>
    <row r="5" spans="1:17" s="34" customFormat="1" ht="14.25">
      <c r="A5" s="35" t="s">
        <v>0</v>
      </c>
      <c r="B5" s="35"/>
      <c r="C5" s="35"/>
      <c r="D5" s="139" t="s">
        <v>1</v>
      </c>
      <c r="E5" s="139" t="s">
        <v>2</v>
      </c>
      <c r="F5" s="139" t="s">
        <v>3</v>
      </c>
      <c r="G5" s="36" t="s">
        <v>4</v>
      </c>
      <c r="H5" s="36" t="s">
        <v>5</v>
      </c>
      <c r="I5" s="36" t="s">
        <v>6</v>
      </c>
      <c r="J5" s="36" t="s">
        <v>7</v>
      </c>
      <c r="K5" s="36" t="s">
        <v>8</v>
      </c>
      <c r="L5" s="37" t="s">
        <v>132</v>
      </c>
      <c r="M5" s="36"/>
    </row>
    <row r="6" spans="1:17" s="34" customFormat="1" ht="14.25">
      <c r="A6" s="38"/>
      <c r="B6" s="38"/>
      <c r="C6" s="38"/>
      <c r="D6" s="140" t="s">
        <v>10</v>
      </c>
      <c r="E6" s="140" t="s">
        <v>11</v>
      </c>
      <c r="F6" s="140" t="s">
        <v>11</v>
      </c>
      <c r="G6" s="39" t="s">
        <v>12</v>
      </c>
      <c r="H6" s="39" t="s">
        <v>13</v>
      </c>
      <c r="I6" s="39" t="s">
        <v>14</v>
      </c>
      <c r="J6" s="39" t="s">
        <v>13</v>
      </c>
      <c r="K6" s="39" t="s">
        <v>13</v>
      </c>
      <c r="L6" s="39" t="s">
        <v>6</v>
      </c>
      <c r="M6" s="39" t="s">
        <v>7</v>
      </c>
    </row>
    <row r="7" spans="1:17" s="34" customFormat="1" ht="14.25">
      <c r="A7" s="38"/>
      <c r="B7" s="38"/>
      <c r="C7" s="38"/>
      <c r="D7" s="140" t="s">
        <v>15</v>
      </c>
      <c r="E7" s="140"/>
      <c r="F7" s="140"/>
      <c r="G7" s="39"/>
      <c r="H7" s="39" t="s">
        <v>16</v>
      </c>
      <c r="I7" s="39" t="s">
        <v>13</v>
      </c>
      <c r="J7" s="39" t="s">
        <v>16</v>
      </c>
      <c r="K7" s="39" t="s">
        <v>16</v>
      </c>
      <c r="L7" s="39"/>
      <c r="M7" s="39"/>
    </row>
    <row r="8" spans="1:17" s="34" customFormat="1" ht="14.25">
      <c r="A8" s="41"/>
      <c r="B8" s="41"/>
      <c r="C8" s="41"/>
      <c r="D8" s="141"/>
      <c r="E8" s="141"/>
      <c r="F8" s="141"/>
      <c r="G8" s="42"/>
      <c r="H8" s="42"/>
      <c r="I8" s="42" t="s">
        <v>16</v>
      </c>
      <c r="J8" s="42"/>
      <c r="K8" s="42"/>
      <c r="L8" s="42"/>
      <c r="M8" s="42"/>
    </row>
    <row r="9" spans="1:17" s="44" customFormat="1" ht="14.25">
      <c r="A9" s="44" t="s">
        <v>133</v>
      </c>
      <c r="D9" s="106">
        <v>52</v>
      </c>
      <c r="E9" s="104">
        <v>6.91</v>
      </c>
      <c r="F9" s="44">
        <v>6.21</v>
      </c>
      <c r="G9" s="62">
        <v>1000</v>
      </c>
      <c r="H9" s="31">
        <f>+G9*E9</f>
        <v>6910</v>
      </c>
      <c r="I9" s="31"/>
      <c r="J9" s="31">
        <v>1451</v>
      </c>
      <c r="K9" s="31">
        <f>SUM(H9:J9)</f>
        <v>8361</v>
      </c>
      <c r="L9" s="107"/>
      <c r="M9" s="107"/>
      <c r="N9" s="8"/>
      <c r="O9" s="8"/>
      <c r="P9" s="8"/>
      <c r="Q9" s="8"/>
    </row>
    <row r="10" spans="1:17" s="44" customFormat="1" ht="14.25">
      <c r="A10" s="44" t="s">
        <v>81</v>
      </c>
      <c r="D10" s="108">
        <v>66</v>
      </c>
      <c r="E10" s="109">
        <v>8.1</v>
      </c>
      <c r="F10" s="31">
        <v>4.51</v>
      </c>
      <c r="G10" s="33">
        <v>1131</v>
      </c>
      <c r="H10" s="31">
        <v>9161</v>
      </c>
      <c r="I10" s="31"/>
      <c r="J10" s="31"/>
      <c r="K10" s="31">
        <f>SUM(H10:J10)</f>
        <v>9161</v>
      </c>
      <c r="L10" s="107"/>
      <c r="M10" s="107"/>
      <c r="N10" s="8"/>
      <c r="O10" s="8"/>
      <c r="P10" s="8"/>
      <c r="Q10" s="8"/>
    </row>
    <row r="11" spans="1:17" s="44" customFormat="1" ht="14.25">
      <c r="A11" s="44" t="s">
        <v>134</v>
      </c>
      <c r="D11" s="106">
        <v>72</v>
      </c>
      <c r="E11" s="109">
        <f>4/8</f>
        <v>0.5</v>
      </c>
      <c r="F11" s="31">
        <v>0.5</v>
      </c>
      <c r="G11" s="33">
        <v>1000</v>
      </c>
      <c r="H11" s="31">
        <f t="shared" ref="H11:H19" si="0">+G11*E11</f>
        <v>500</v>
      </c>
      <c r="I11" s="31">
        <v>7408</v>
      </c>
      <c r="J11" s="31"/>
      <c r="K11" s="31">
        <f t="shared" ref="K11:K19" si="1">SUM(H11:J11)</f>
        <v>7908</v>
      </c>
      <c r="L11" s="107"/>
      <c r="M11" s="107"/>
      <c r="N11" s="8"/>
      <c r="O11" s="8"/>
      <c r="P11" s="10"/>
      <c r="Q11" s="10"/>
    </row>
    <row r="12" spans="1:17" s="44" customFormat="1" ht="14.25">
      <c r="A12" s="44" t="s">
        <v>135</v>
      </c>
      <c r="D12" s="110" t="s">
        <v>136</v>
      </c>
      <c r="E12" s="111" t="s">
        <v>137</v>
      </c>
      <c r="F12" s="142" t="s">
        <v>138</v>
      </c>
      <c r="G12" s="112" t="s">
        <v>139</v>
      </c>
      <c r="H12" s="112" t="s">
        <v>140</v>
      </c>
      <c r="I12" s="31"/>
      <c r="J12" s="31"/>
      <c r="K12" s="31">
        <v>0</v>
      </c>
      <c r="L12" s="107"/>
      <c r="M12" s="107"/>
      <c r="N12" s="8"/>
      <c r="O12" s="10"/>
      <c r="P12" s="10"/>
      <c r="Q12" s="10"/>
    </row>
    <row r="13" spans="1:17" s="44" customFormat="1" ht="14.25">
      <c r="A13" s="44" t="s">
        <v>141</v>
      </c>
      <c r="D13" s="108">
        <v>86</v>
      </c>
      <c r="E13" s="109">
        <v>9.6300000000000008</v>
      </c>
      <c r="F13" s="31">
        <v>2.73</v>
      </c>
      <c r="G13" s="33">
        <v>1000</v>
      </c>
      <c r="H13" s="31">
        <f t="shared" si="0"/>
        <v>9630</v>
      </c>
      <c r="I13" s="31"/>
      <c r="J13" s="31">
        <v>4494</v>
      </c>
      <c r="K13" s="31">
        <f t="shared" si="1"/>
        <v>14124</v>
      </c>
      <c r="L13" s="107"/>
      <c r="M13" s="107"/>
      <c r="N13" s="8"/>
      <c r="O13" s="10"/>
      <c r="P13" s="10"/>
      <c r="Q13" s="10"/>
    </row>
    <row r="14" spans="1:17" s="44" customFormat="1" ht="14.25">
      <c r="A14" s="44" t="s">
        <v>142</v>
      </c>
      <c r="D14" s="108">
        <v>100</v>
      </c>
      <c r="E14" s="109">
        <v>16.239999999999998</v>
      </c>
      <c r="F14" s="31">
        <v>6.54</v>
      </c>
      <c r="G14" s="33">
        <v>913</v>
      </c>
      <c r="H14" s="31">
        <v>14827</v>
      </c>
      <c r="I14" s="31"/>
      <c r="J14" s="31">
        <f>+E28*G28</f>
        <v>5246</v>
      </c>
      <c r="K14" s="31">
        <f t="shared" si="1"/>
        <v>20073</v>
      </c>
      <c r="L14" s="107"/>
      <c r="M14" s="107"/>
      <c r="N14" s="8"/>
      <c r="O14" s="8"/>
      <c r="P14" s="10"/>
      <c r="Q14" s="10"/>
    </row>
    <row r="15" spans="1:17" s="44" customFormat="1" ht="14.25">
      <c r="A15" s="44" t="s">
        <v>143</v>
      </c>
      <c r="D15" s="108">
        <v>100</v>
      </c>
      <c r="E15" s="109">
        <v>17.899999999999999</v>
      </c>
      <c r="F15" s="31">
        <v>11.24</v>
      </c>
      <c r="G15" s="33">
        <v>934</v>
      </c>
      <c r="H15" s="31">
        <v>16719</v>
      </c>
      <c r="I15" s="31"/>
      <c r="J15" s="31">
        <f>+(E38*G38)+(E39*G39)+(E40*G40)</f>
        <v>6010</v>
      </c>
      <c r="K15" s="31">
        <f t="shared" si="1"/>
        <v>22729</v>
      </c>
      <c r="L15" s="107"/>
      <c r="M15" s="107"/>
      <c r="N15" s="8"/>
      <c r="O15" s="8"/>
      <c r="P15" s="8"/>
      <c r="Q15" s="10"/>
    </row>
    <row r="16" spans="1:17" s="44" customFormat="1" ht="14.25">
      <c r="A16" s="44" t="s">
        <v>144</v>
      </c>
      <c r="D16" s="108">
        <v>98</v>
      </c>
      <c r="E16" s="109">
        <v>16.79</v>
      </c>
      <c r="F16" s="31">
        <v>4.01</v>
      </c>
      <c r="G16" s="33">
        <v>950</v>
      </c>
      <c r="H16" s="31">
        <v>15951</v>
      </c>
      <c r="I16" s="31"/>
      <c r="J16" s="31"/>
      <c r="K16" s="31">
        <f t="shared" si="1"/>
        <v>15951</v>
      </c>
      <c r="L16" s="107"/>
      <c r="M16" s="107"/>
      <c r="N16" s="8"/>
      <c r="O16" s="8"/>
      <c r="P16" s="8"/>
      <c r="Q16" s="10"/>
    </row>
    <row r="17" spans="1:17" s="44" customFormat="1" ht="14.25">
      <c r="A17" s="44" t="s">
        <v>106</v>
      </c>
      <c r="D17" s="108">
        <v>100</v>
      </c>
      <c r="E17" s="109">
        <v>6.37</v>
      </c>
      <c r="F17" s="31">
        <v>5.64</v>
      </c>
      <c r="G17" s="33">
        <v>1130</v>
      </c>
      <c r="H17" s="31">
        <v>7198</v>
      </c>
      <c r="I17" s="31"/>
      <c r="J17" s="31">
        <v>15814</v>
      </c>
      <c r="K17" s="31">
        <f t="shared" si="1"/>
        <v>23012</v>
      </c>
      <c r="L17" s="107"/>
      <c r="M17" s="107"/>
      <c r="N17" s="8"/>
      <c r="O17" s="8"/>
      <c r="P17" s="8"/>
      <c r="Q17" s="10"/>
    </row>
    <row r="18" spans="1:17" s="44" customFormat="1" ht="14.25">
      <c r="A18" s="44" t="s">
        <v>107</v>
      </c>
      <c r="D18" s="108">
        <v>100</v>
      </c>
      <c r="E18" s="109">
        <v>18.78</v>
      </c>
      <c r="F18" s="31">
        <v>13.12</v>
      </c>
      <c r="G18" s="33">
        <v>1038</v>
      </c>
      <c r="H18" s="31">
        <v>19494</v>
      </c>
      <c r="I18" s="31">
        <v>11255</v>
      </c>
      <c r="J18" s="31"/>
      <c r="K18" s="31">
        <f t="shared" si="1"/>
        <v>30749</v>
      </c>
      <c r="L18" s="107"/>
      <c r="M18" s="107"/>
      <c r="N18" s="8"/>
      <c r="O18" s="8"/>
      <c r="P18" s="8"/>
      <c r="Q18" s="10"/>
    </row>
    <row r="19" spans="1:17" s="44" customFormat="1" ht="14.25">
      <c r="A19" s="44" t="s">
        <v>145</v>
      </c>
      <c r="D19" s="106">
        <v>100</v>
      </c>
      <c r="E19" s="109"/>
      <c r="F19" s="31"/>
      <c r="G19" s="33"/>
      <c r="H19" s="31">
        <f t="shared" si="0"/>
        <v>0</v>
      </c>
      <c r="I19" s="31"/>
      <c r="J19" s="31"/>
      <c r="K19" s="31">
        <f t="shared" si="1"/>
        <v>0</v>
      </c>
      <c r="L19" s="107"/>
      <c r="M19" s="107"/>
      <c r="N19" s="8"/>
      <c r="O19" s="8"/>
      <c r="P19" s="8"/>
      <c r="Q19" s="10"/>
    </row>
    <row r="20" spans="1:17" s="8" customFormat="1" ht="14.25">
      <c r="A20" s="43" t="s">
        <v>110</v>
      </c>
      <c r="B20" s="43"/>
      <c r="C20" s="43"/>
      <c r="D20" s="52"/>
      <c r="E20" s="113">
        <f>SUM(E9:E19)</f>
        <v>101.22</v>
      </c>
      <c r="F20" s="53">
        <f>SUM(F9:F19)</f>
        <v>54.499999999999993</v>
      </c>
      <c r="G20" s="53"/>
      <c r="H20" s="53">
        <f>SUM(H9:H19)</f>
        <v>100390</v>
      </c>
      <c r="I20" s="53">
        <f>SUM(I9:I19)</f>
        <v>18663</v>
      </c>
      <c r="J20" s="53">
        <f>SUM(J9:J19)</f>
        <v>33015</v>
      </c>
      <c r="K20" s="53">
        <f>SUM(H20:J20)</f>
        <v>152068</v>
      </c>
      <c r="L20" s="114">
        <f>SUM(L9:L19)</f>
        <v>0</v>
      </c>
      <c r="M20" s="114">
        <f>SUM(M9:M19)</f>
        <v>0</v>
      </c>
      <c r="Q20" s="10"/>
    </row>
    <row r="21" spans="1:17" s="8" customFormat="1" ht="14.25">
      <c r="A21" s="46" t="s">
        <v>111</v>
      </c>
      <c r="B21" s="46"/>
      <c r="C21" s="46"/>
      <c r="D21" s="54"/>
      <c r="E21" s="115">
        <f>SUM(E20-F20)</f>
        <v>46.720000000000006</v>
      </c>
      <c r="F21" s="55"/>
      <c r="G21" s="55"/>
      <c r="H21" s="55">
        <f>+E33*G33</f>
        <v>46248</v>
      </c>
      <c r="I21" s="55">
        <f>+I20-L20</f>
        <v>18663</v>
      </c>
      <c r="J21" s="55">
        <f>+J20-M20</f>
        <v>33015</v>
      </c>
      <c r="K21" s="55">
        <f>SUM(H21:J21)</f>
        <v>97926</v>
      </c>
      <c r="L21" s="116"/>
      <c r="M21" s="116"/>
    </row>
    <row r="22" spans="1:17" s="8" customFormat="1" ht="14.25">
      <c r="A22" s="8" t="s">
        <v>146</v>
      </c>
      <c r="E22" s="117"/>
    </row>
    <row r="23" spans="1:17" s="8" customFormat="1" ht="14.25">
      <c r="A23" s="8" t="s">
        <v>147</v>
      </c>
      <c r="E23" s="117"/>
      <c r="F23" s="61"/>
      <c r="J23" s="118"/>
      <c r="L23" s="8" t="s">
        <v>148</v>
      </c>
      <c r="M23" s="8" t="s">
        <v>149</v>
      </c>
    </row>
    <row r="24" spans="1:17" s="8" customFormat="1" ht="14.25">
      <c r="C24" s="61" t="s">
        <v>39</v>
      </c>
      <c r="D24" s="61"/>
      <c r="E24" s="119"/>
      <c r="L24" s="8" t="s">
        <v>150</v>
      </c>
    </row>
    <row r="25" spans="1:17" s="8" customFormat="1" ht="14.25">
      <c r="A25" s="8" t="s">
        <v>40</v>
      </c>
      <c r="E25" s="117"/>
      <c r="N25" s="8" t="s">
        <v>151</v>
      </c>
    </row>
    <row r="26" spans="1:17" s="8" customFormat="1" ht="14.25">
      <c r="A26" s="56" t="s">
        <v>41</v>
      </c>
      <c r="B26" s="56"/>
      <c r="C26" s="56"/>
      <c r="D26" s="56" t="s">
        <v>42</v>
      </c>
      <c r="E26" s="120" t="s">
        <v>43</v>
      </c>
      <c r="F26" s="56"/>
      <c r="G26" s="56" t="s">
        <v>44</v>
      </c>
      <c r="H26" s="56"/>
      <c r="I26" s="44"/>
      <c r="J26" s="121" t="s">
        <v>152</v>
      </c>
      <c r="K26" s="31"/>
    </row>
    <row r="27" spans="1:17" s="8" customFormat="1" ht="14.25">
      <c r="A27" s="8" t="s">
        <v>45</v>
      </c>
      <c r="B27" s="8" t="s">
        <v>153</v>
      </c>
      <c r="E27" s="117"/>
      <c r="I27" s="44"/>
      <c r="J27" s="59" t="s">
        <v>154</v>
      </c>
      <c r="K27" s="122">
        <v>34</v>
      </c>
    </row>
    <row r="28" spans="1:17" s="8" customFormat="1" ht="14.25">
      <c r="A28" s="8" t="s">
        <v>155</v>
      </c>
      <c r="B28" s="8">
        <v>52</v>
      </c>
      <c r="C28" s="123"/>
      <c r="D28" s="8" t="s">
        <v>156</v>
      </c>
      <c r="E28" s="124">
        <v>86</v>
      </c>
      <c r="G28" s="10">
        <v>61</v>
      </c>
      <c r="I28" s="44"/>
      <c r="J28" s="59" t="s">
        <v>157</v>
      </c>
      <c r="K28" s="122">
        <v>58</v>
      </c>
    </row>
    <row r="29" spans="1:17" s="8" customFormat="1" ht="14.25">
      <c r="A29" s="8" t="s">
        <v>158</v>
      </c>
      <c r="B29" s="125" t="s">
        <v>159</v>
      </c>
      <c r="C29" s="123"/>
      <c r="D29" s="8" t="s">
        <v>47</v>
      </c>
      <c r="E29" s="126" t="s">
        <v>160</v>
      </c>
      <c r="G29" s="124">
        <v>1.6</v>
      </c>
      <c r="I29" s="44"/>
      <c r="J29" s="59" t="s">
        <v>161</v>
      </c>
      <c r="K29" s="122">
        <v>8</v>
      </c>
    </row>
    <row r="30" spans="1:17" s="8" customFormat="1" ht="14.25">
      <c r="E30" s="117"/>
      <c r="I30" s="44"/>
      <c r="J30" s="59"/>
      <c r="K30" s="122"/>
    </row>
    <row r="31" spans="1:17" s="8" customFormat="1" ht="14.25">
      <c r="C31" s="123"/>
      <c r="E31" s="117"/>
      <c r="K31" s="127"/>
    </row>
    <row r="32" spans="1:17" s="8" customFormat="1" ht="14.25">
      <c r="A32" s="8" t="s">
        <v>54</v>
      </c>
      <c r="E32" s="117"/>
      <c r="J32" s="44"/>
      <c r="K32" s="44"/>
    </row>
    <row r="33" spans="1:16" s="8" customFormat="1" ht="14.25">
      <c r="A33" s="8" t="s">
        <v>56</v>
      </c>
      <c r="D33" s="8" t="s">
        <v>57</v>
      </c>
      <c r="E33" s="128">
        <v>47</v>
      </c>
      <c r="F33" s="10"/>
      <c r="G33" s="10">
        <v>984</v>
      </c>
      <c r="I33" s="44"/>
      <c r="J33" s="27" t="s">
        <v>162</v>
      </c>
      <c r="K33" s="129">
        <v>0.35</v>
      </c>
    </row>
    <row r="34" spans="1:16" s="8" customFormat="1" ht="14.25">
      <c r="A34" s="8" t="s">
        <v>58</v>
      </c>
      <c r="D34" s="8" t="s">
        <v>57</v>
      </c>
      <c r="E34" s="128">
        <v>55</v>
      </c>
      <c r="F34" s="10"/>
      <c r="G34" s="10"/>
      <c r="I34" s="44"/>
      <c r="J34" s="27" t="s">
        <v>163</v>
      </c>
      <c r="K34" s="130">
        <v>0.25</v>
      </c>
    </row>
    <row r="35" spans="1:16" s="8" customFormat="1" ht="14.25">
      <c r="A35" s="8" t="s">
        <v>2</v>
      </c>
      <c r="E35" s="131">
        <f>SUM(E33:E34)</f>
        <v>102</v>
      </c>
      <c r="F35" s="10"/>
      <c r="G35" s="10"/>
      <c r="H35" s="10"/>
      <c r="I35" s="44"/>
      <c r="J35" s="44" t="s">
        <v>164</v>
      </c>
      <c r="K35" s="44"/>
    </row>
    <row r="36" spans="1:16" s="8" customFormat="1" ht="14.25">
      <c r="E36" s="104"/>
      <c r="H36" s="10"/>
      <c r="I36" s="44"/>
      <c r="J36" s="44"/>
      <c r="K36" s="44"/>
    </row>
    <row r="37" spans="1:16" s="8" customFormat="1" ht="14.25">
      <c r="A37" s="44" t="s">
        <v>165</v>
      </c>
      <c r="B37" s="44"/>
      <c r="C37" s="44"/>
      <c r="D37" s="104"/>
      <c r="E37" s="104"/>
      <c r="F37" s="44"/>
      <c r="G37" s="104"/>
      <c r="H37" s="44"/>
      <c r="I37" s="44"/>
      <c r="J37" s="44"/>
      <c r="K37" s="44"/>
      <c r="L37" s="44"/>
      <c r="M37" s="44"/>
      <c r="N37" s="44"/>
      <c r="O37" s="44"/>
      <c r="P37" s="44"/>
    </row>
    <row r="38" spans="1:16" s="8" customFormat="1" ht="14.25">
      <c r="A38" s="43" t="s">
        <v>63</v>
      </c>
      <c r="B38" s="132">
        <v>56</v>
      </c>
      <c r="C38" s="43"/>
      <c r="D38" s="43" t="s">
        <v>47</v>
      </c>
      <c r="E38" s="113">
        <v>50</v>
      </c>
      <c r="F38" s="53"/>
      <c r="G38" s="113">
        <v>24</v>
      </c>
      <c r="H38" s="43"/>
      <c r="I38" s="133"/>
      <c r="J38" s="44"/>
      <c r="K38" s="44"/>
      <c r="L38" s="44"/>
      <c r="M38" s="44"/>
      <c r="N38" s="44"/>
      <c r="O38" s="44"/>
      <c r="P38" s="44"/>
    </row>
    <row r="39" spans="1:16" s="8" customFormat="1" ht="14.25">
      <c r="A39" s="44" t="s">
        <v>166</v>
      </c>
      <c r="B39" s="134">
        <v>46</v>
      </c>
      <c r="C39" s="44"/>
      <c r="D39" s="44" t="s">
        <v>47</v>
      </c>
      <c r="E39" s="111">
        <v>94</v>
      </c>
      <c r="F39" s="31"/>
      <c r="G39" s="111">
        <v>26</v>
      </c>
      <c r="H39" s="44"/>
      <c r="I39" s="135"/>
      <c r="J39" s="44"/>
      <c r="K39" s="44"/>
      <c r="L39" s="44"/>
      <c r="M39" s="44"/>
      <c r="N39" s="44"/>
      <c r="O39" s="44"/>
      <c r="P39" s="44"/>
    </row>
    <row r="40" spans="1:16" s="8" customFormat="1" ht="14.25">
      <c r="A40" s="44" t="s">
        <v>167</v>
      </c>
      <c r="B40" s="134">
        <v>42</v>
      </c>
      <c r="C40" s="44"/>
      <c r="D40" s="44" t="s">
        <v>47</v>
      </c>
      <c r="E40" s="109">
        <v>91</v>
      </c>
      <c r="F40" s="31"/>
      <c r="G40" s="109">
        <v>26</v>
      </c>
      <c r="H40" s="44"/>
      <c r="I40" s="133"/>
      <c r="J40" s="44"/>
      <c r="K40" s="44"/>
      <c r="L40" s="44"/>
      <c r="M40" s="44"/>
      <c r="N40" s="44"/>
      <c r="O40" s="44"/>
      <c r="P40" s="44"/>
    </row>
    <row r="41" spans="1:16" s="8" customFormat="1" ht="14.25">
      <c r="A41" s="46"/>
      <c r="B41" s="46"/>
      <c r="C41" s="136"/>
      <c r="D41" s="46"/>
      <c r="E41" s="115"/>
      <c r="F41" s="55"/>
      <c r="G41" s="55"/>
      <c r="H41" s="46"/>
      <c r="I41" s="44"/>
      <c r="J41" s="44"/>
      <c r="K41" s="44"/>
      <c r="L41" s="44"/>
      <c r="M41" s="44"/>
      <c r="N41" s="44"/>
      <c r="O41" s="44"/>
      <c r="P41" s="44"/>
    </row>
    <row r="42" spans="1:16" s="43" customFormat="1" ht="14.25">
      <c r="A42" s="44" t="s">
        <v>66</v>
      </c>
      <c r="B42" s="44"/>
      <c r="C42" s="44"/>
      <c r="D42" s="44"/>
      <c r="E42" s="104"/>
      <c r="F42" s="44"/>
      <c r="G42" s="121" t="s">
        <v>168</v>
      </c>
      <c r="H42" s="44"/>
      <c r="I42" s="121" t="s">
        <v>169</v>
      </c>
      <c r="J42" s="44"/>
      <c r="K42" s="44"/>
      <c r="L42" s="44"/>
      <c r="M42" s="44"/>
      <c r="N42" s="44"/>
      <c r="O42" s="44"/>
      <c r="P42" s="44"/>
    </row>
    <row r="43" spans="1:16" s="44" customFormat="1" ht="14.25">
      <c r="A43" s="44" t="s">
        <v>114</v>
      </c>
      <c r="E43" s="104"/>
      <c r="G43" s="33">
        <v>10008</v>
      </c>
      <c r="I43" s="31">
        <v>24730</v>
      </c>
    </row>
    <row r="44" spans="1:16" s="44" customFormat="1" ht="14.25">
      <c r="A44" s="44" t="s">
        <v>69</v>
      </c>
      <c r="E44" s="104"/>
      <c r="G44" s="63">
        <v>40</v>
      </c>
      <c r="I44" s="31"/>
      <c r="K44" s="137"/>
    </row>
    <row r="45" spans="1:16" s="44" customFormat="1" ht="14.25">
      <c r="A45" s="44" t="s">
        <v>115</v>
      </c>
      <c r="E45" s="104"/>
      <c r="G45" s="31">
        <f>+G43*G44</f>
        <v>400320</v>
      </c>
      <c r="I45" s="31">
        <v>989191</v>
      </c>
    </row>
    <row r="46" spans="1:16" s="44" customFormat="1" ht="14.25">
      <c r="A46" s="44" t="s">
        <v>116</v>
      </c>
      <c r="E46" s="104"/>
      <c r="G46" s="31">
        <f>+G45-K20</f>
        <v>248252</v>
      </c>
      <c r="I46" s="31">
        <v>613431</v>
      </c>
      <c r="L46" s="44" t="s">
        <v>149</v>
      </c>
    </row>
    <row r="47" spans="1:16" s="44" customFormat="1" ht="14.25">
      <c r="A47" s="44" t="s">
        <v>117</v>
      </c>
      <c r="E47" s="104"/>
      <c r="G47" s="31">
        <f>SUM(G45-K21)</f>
        <v>302394</v>
      </c>
      <c r="I47" s="31">
        <v>747216</v>
      </c>
    </row>
    <row r="48" spans="1:16" s="44" customFormat="1" ht="14.25">
      <c r="A48" s="44" t="s">
        <v>118</v>
      </c>
      <c r="E48" s="104"/>
      <c r="G48" s="63">
        <f>SUM(K20/G43)</f>
        <v>15.194644284572343</v>
      </c>
    </row>
    <row r="49" spans="1:8" s="44" customFormat="1" ht="14.25">
      <c r="A49" s="46" t="s">
        <v>119</v>
      </c>
      <c r="B49" s="46"/>
      <c r="C49" s="46"/>
      <c r="D49" s="46"/>
      <c r="E49" s="105"/>
      <c r="F49" s="46"/>
      <c r="G49" s="64">
        <f>K21/G43</f>
        <v>9.784772182254196</v>
      </c>
      <c r="H49" s="46"/>
    </row>
    <row r="50" spans="1:8" s="44" customFormat="1" ht="14.25">
      <c r="E50" s="104"/>
    </row>
    <row r="51" spans="1:8" s="8" customFormat="1" ht="14.25">
      <c r="A51" s="138" t="s">
        <v>120</v>
      </c>
      <c r="B51" s="61"/>
      <c r="C51" s="61"/>
      <c r="D51" s="61"/>
      <c r="E51" s="1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9"/>
  <sheetViews>
    <sheetView workbookViewId="0">
      <selection activeCell="A3" sqref="A3"/>
    </sheetView>
  </sheetViews>
  <sheetFormatPr defaultRowHeight="15"/>
  <sheetData>
    <row r="1" spans="1:19">
      <c r="A1" s="1" t="s">
        <v>191</v>
      </c>
      <c r="B1" s="2"/>
    </row>
    <row r="2" spans="1:19">
      <c r="A2" s="1" t="s">
        <v>171</v>
      </c>
      <c r="B2" s="2"/>
    </row>
    <row r="3" spans="1:19">
      <c r="A3" s="1" t="s">
        <v>376</v>
      </c>
      <c r="B3" s="2"/>
    </row>
    <row r="4" spans="1:19">
      <c r="A4" s="1"/>
    </row>
    <row r="5" spans="1:19" s="34" customFormat="1" ht="14.25">
      <c r="A5" s="150" t="s">
        <v>0</v>
      </c>
      <c r="B5" s="150"/>
      <c r="C5" s="150"/>
      <c r="D5" s="151" t="s">
        <v>1</v>
      </c>
      <c r="E5" s="151" t="s">
        <v>2</v>
      </c>
      <c r="F5" s="151" t="s">
        <v>3</v>
      </c>
      <c r="G5" s="151" t="s">
        <v>4</v>
      </c>
      <c r="H5" s="151" t="s">
        <v>5</v>
      </c>
      <c r="I5" s="151" t="s">
        <v>6</v>
      </c>
      <c r="J5" s="151" t="s">
        <v>7</v>
      </c>
      <c r="K5" s="151" t="s">
        <v>8</v>
      </c>
      <c r="L5" s="152" t="s">
        <v>9</v>
      </c>
      <c r="M5" s="151"/>
    </row>
    <row r="6" spans="1:19" s="34" customFormat="1" ht="14.25">
      <c r="A6" s="153"/>
      <c r="B6" s="153"/>
      <c r="C6" s="153"/>
      <c r="D6" s="154" t="s">
        <v>10</v>
      </c>
      <c r="E6" s="154" t="s">
        <v>11</v>
      </c>
      <c r="F6" s="154" t="s">
        <v>11</v>
      </c>
      <c r="G6" s="154" t="s">
        <v>12</v>
      </c>
      <c r="H6" s="154" t="s">
        <v>13</v>
      </c>
      <c r="I6" s="154" t="s">
        <v>14</v>
      </c>
      <c r="J6" s="154" t="s">
        <v>13</v>
      </c>
      <c r="K6" s="154" t="s">
        <v>13</v>
      </c>
      <c r="L6" s="155" t="s">
        <v>6</v>
      </c>
      <c r="M6" s="154" t="s">
        <v>7</v>
      </c>
    </row>
    <row r="7" spans="1:19" s="34" customFormat="1" ht="14.25">
      <c r="A7" s="153"/>
      <c r="B7" s="153"/>
      <c r="C7" s="153"/>
      <c r="D7" s="154" t="s">
        <v>15</v>
      </c>
      <c r="E7" s="154"/>
      <c r="F7" s="154"/>
      <c r="G7" s="154"/>
      <c r="H7" s="154" t="s">
        <v>16</v>
      </c>
      <c r="I7" s="154" t="s">
        <v>13</v>
      </c>
      <c r="J7" s="154" t="s">
        <v>16</v>
      </c>
      <c r="K7" s="154" t="s">
        <v>16</v>
      </c>
      <c r="L7" s="154"/>
      <c r="M7" s="154"/>
    </row>
    <row r="8" spans="1:19" s="34" customFormat="1" ht="14.25">
      <c r="A8" s="156"/>
      <c r="B8" s="156"/>
      <c r="C8" s="156"/>
      <c r="D8" s="157"/>
      <c r="E8" s="157"/>
      <c r="F8" s="157"/>
      <c r="G8" s="157"/>
      <c r="H8" s="157"/>
      <c r="I8" s="157" t="s">
        <v>16</v>
      </c>
      <c r="J8" s="157"/>
      <c r="K8" s="157"/>
      <c r="L8" s="157"/>
      <c r="M8" s="157"/>
      <c r="Q8" s="439"/>
      <c r="R8" s="439"/>
      <c r="S8" s="38"/>
    </row>
    <row r="9" spans="1:19" s="8" customFormat="1" ht="14.25">
      <c r="A9" s="8" t="s">
        <v>172</v>
      </c>
      <c r="D9" s="47">
        <v>78</v>
      </c>
      <c r="E9" s="10">
        <v>11.76</v>
      </c>
      <c r="F9" s="10">
        <v>4.42</v>
      </c>
      <c r="G9" s="48">
        <v>1025</v>
      </c>
      <c r="H9" s="10">
        <f>SUM(E9*G9)</f>
        <v>12054</v>
      </c>
      <c r="J9" s="10"/>
      <c r="K9" s="10">
        <f t="shared" ref="K9:K17" si="0">SUM(H9:J9)</f>
        <v>12054</v>
      </c>
      <c r="Q9" s="10"/>
      <c r="R9" s="121"/>
      <c r="S9" s="44"/>
    </row>
    <row r="10" spans="1:19" s="8" customFormat="1" ht="14.25">
      <c r="A10" s="8" t="s">
        <v>173</v>
      </c>
      <c r="D10" s="47">
        <v>80</v>
      </c>
      <c r="E10" s="10">
        <f>3/8</f>
        <v>0.375</v>
      </c>
      <c r="F10" s="10">
        <v>0.38</v>
      </c>
      <c r="G10" s="48">
        <v>1000</v>
      </c>
      <c r="H10" s="10">
        <f>SUM(E10*G10)</f>
        <v>375</v>
      </c>
      <c r="I10" s="10">
        <v>8522</v>
      </c>
      <c r="J10" s="10"/>
      <c r="K10" s="10">
        <f t="shared" si="0"/>
        <v>8897</v>
      </c>
      <c r="Q10" s="10"/>
      <c r="R10" s="144"/>
      <c r="S10" s="44"/>
    </row>
    <row r="11" spans="1:19" s="8" customFormat="1" ht="14.25">
      <c r="A11" s="8" t="s">
        <v>174</v>
      </c>
      <c r="D11" s="18" t="s">
        <v>175</v>
      </c>
      <c r="E11" s="145" t="s">
        <v>176</v>
      </c>
      <c r="F11" s="10"/>
      <c r="G11" s="146" t="s">
        <v>177</v>
      </c>
      <c r="H11" s="10" t="s">
        <v>178</v>
      </c>
      <c r="J11" s="10"/>
      <c r="K11" s="10">
        <f t="shared" si="0"/>
        <v>0</v>
      </c>
      <c r="Q11" s="10"/>
      <c r="R11" s="147"/>
      <c r="S11" s="44"/>
    </row>
    <row r="12" spans="1:19" s="8" customFormat="1" ht="14.25">
      <c r="A12" s="8" t="s">
        <v>179</v>
      </c>
      <c r="D12" s="47">
        <v>100</v>
      </c>
      <c r="E12" s="10">
        <v>24.96</v>
      </c>
      <c r="F12" s="10">
        <v>8.0299999999999994</v>
      </c>
      <c r="G12" s="48">
        <v>1121</v>
      </c>
      <c r="H12" s="10">
        <v>27980</v>
      </c>
      <c r="J12" s="10">
        <v>5520</v>
      </c>
      <c r="K12" s="10">
        <f t="shared" si="0"/>
        <v>33500</v>
      </c>
      <c r="Q12" s="10"/>
      <c r="R12" s="44"/>
      <c r="S12" s="44"/>
    </row>
    <row r="13" spans="1:19" s="8" customFormat="1" ht="14.25">
      <c r="A13" s="8" t="s">
        <v>180</v>
      </c>
      <c r="D13" s="47">
        <v>100</v>
      </c>
      <c r="E13" s="10">
        <v>19.22</v>
      </c>
      <c r="F13" s="10">
        <v>7.58</v>
      </c>
      <c r="G13" s="48">
        <v>1152</v>
      </c>
      <c r="H13" s="10">
        <v>22141</v>
      </c>
      <c r="J13" s="10">
        <f>SUM(E28*G28)</f>
        <v>12128</v>
      </c>
      <c r="K13" s="10">
        <f t="shared" si="0"/>
        <v>34269</v>
      </c>
      <c r="Q13" s="10"/>
      <c r="R13" s="44"/>
      <c r="S13" s="44"/>
    </row>
    <row r="14" spans="1:19" s="8" customFormat="1" ht="14.25">
      <c r="A14" s="8" t="s">
        <v>25</v>
      </c>
      <c r="D14" s="47">
        <v>100</v>
      </c>
      <c r="E14" s="10">
        <v>24.87</v>
      </c>
      <c r="F14" s="10">
        <v>10.93</v>
      </c>
      <c r="G14" s="48">
        <v>1045</v>
      </c>
      <c r="H14" s="10">
        <v>25989</v>
      </c>
      <c r="J14" s="10">
        <f>E36*G36+E37*G37+E38*G38</f>
        <v>16270</v>
      </c>
      <c r="K14" s="10">
        <f t="shared" si="0"/>
        <v>42259</v>
      </c>
      <c r="Q14" s="10"/>
    </row>
    <row r="15" spans="1:19" s="8" customFormat="1" ht="14.25">
      <c r="A15" s="8" t="s">
        <v>181</v>
      </c>
      <c r="D15" s="47">
        <v>100</v>
      </c>
      <c r="E15" s="10">
        <v>8.8800000000000008</v>
      </c>
      <c r="F15" s="10">
        <v>2.0699999999999998</v>
      </c>
      <c r="G15" s="48">
        <v>722</v>
      </c>
      <c r="H15" s="10">
        <v>6411</v>
      </c>
      <c r="J15" s="10"/>
      <c r="K15" s="10">
        <f t="shared" si="0"/>
        <v>6411</v>
      </c>
      <c r="Q15" s="10"/>
    </row>
    <row r="16" spans="1:19" s="8" customFormat="1" ht="14.25">
      <c r="A16" s="8" t="s">
        <v>33</v>
      </c>
      <c r="D16" s="47">
        <v>100</v>
      </c>
      <c r="E16" s="10">
        <v>6.09</v>
      </c>
      <c r="F16" s="10">
        <v>4.72</v>
      </c>
      <c r="G16" s="48">
        <v>1050</v>
      </c>
      <c r="H16" s="10">
        <v>6395</v>
      </c>
      <c r="J16" s="10">
        <v>8302</v>
      </c>
      <c r="K16" s="10">
        <f t="shared" si="0"/>
        <v>14697</v>
      </c>
      <c r="Q16" s="10"/>
    </row>
    <row r="17" spans="1:17" s="8" customFormat="1" ht="14.25">
      <c r="A17" s="8" t="s">
        <v>34</v>
      </c>
      <c r="D17" s="47">
        <v>100</v>
      </c>
      <c r="E17" s="10">
        <v>15.5</v>
      </c>
      <c r="F17" s="10">
        <v>12.32</v>
      </c>
      <c r="G17" s="48">
        <v>1007</v>
      </c>
      <c r="H17" s="10">
        <v>15609</v>
      </c>
      <c r="I17" s="10">
        <v>3366</v>
      </c>
      <c r="J17" s="10"/>
      <c r="K17" s="10">
        <f t="shared" si="0"/>
        <v>18975</v>
      </c>
      <c r="Q17" s="10"/>
    </row>
    <row r="18" spans="1:17" s="8" customFormat="1" ht="14.25">
      <c r="A18" s="8" t="s">
        <v>182</v>
      </c>
      <c r="D18" s="47">
        <v>100</v>
      </c>
      <c r="E18" s="10"/>
      <c r="F18" s="10"/>
      <c r="G18" s="48"/>
      <c r="H18" s="10"/>
      <c r="J18" s="10"/>
      <c r="K18" s="10"/>
      <c r="Q18" s="10"/>
    </row>
    <row r="19" spans="1:17" s="8" customFormat="1" ht="14.25">
      <c r="A19" s="43" t="s">
        <v>37</v>
      </c>
      <c r="B19" s="43"/>
      <c r="C19" s="43"/>
      <c r="D19" s="52"/>
      <c r="E19" s="53">
        <f>SUM(E9:E18)</f>
        <v>111.655</v>
      </c>
      <c r="F19" s="53">
        <f>SUM(F9:F18)</f>
        <v>50.449999999999996</v>
      </c>
      <c r="G19" s="53"/>
      <c r="H19" s="53">
        <f>SUM(H9:H18)</f>
        <v>116954</v>
      </c>
      <c r="I19" s="53">
        <f>SUM(I9:I18)</f>
        <v>11888</v>
      </c>
      <c r="J19" s="53">
        <f>SUM(J9:J18)</f>
        <v>42220</v>
      </c>
      <c r="K19" s="53">
        <f>SUM(H19:J19)</f>
        <v>171062</v>
      </c>
      <c r="L19" s="43">
        <f>SUM(L9:L18)</f>
        <v>0</v>
      </c>
      <c r="M19" s="43">
        <f>SUM(M9:M18)</f>
        <v>0</v>
      </c>
    </row>
    <row r="20" spans="1:17" s="8" customFormat="1" ht="14.25">
      <c r="A20" s="46" t="s">
        <v>38</v>
      </c>
      <c r="B20" s="46"/>
      <c r="C20" s="46"/>
      <c r="D20" s="54"/>
      <c r="E20" s="55">
        <f>SUM(E19-F19)</f>
        <v>61.205000000000005</v>
      </c>
      <c r="F20" s="55"/>
      <c r="G20" s="55"/>
      <c r="H20" s="55">
        <f>SUM(E32*G32)</f>
        <v>64050</v>
      </c>
      <c r="I20" s="55">
        <f>I19-L19</f>
        <v>11888</v>
      </c>
      <c r="J20" s="55">
        <f>J19-M19</f>
        <v>42220</v>
      </c>
      <c r="K20" s="55">
        <f>SUM(H20:J20)</f>
        <v>118158</v>
      </c>
      <c r="L20" s="46"/>
      <c r="M20" s="46"/>
    </row>
    <row r="21" spans="1:17" s="8" customFormat="1" ht="14.25">
      <c r="A21" s="44" t="s">
        <v>147</v>
      </c>
      <c r="B21" s="44"/>
      <c r="C21" s="44"/>
      <c r="D21" s="106"/>
      <c r="E21" s="31"/>
      <c r="F21" s="31"/>
      <c r="G21" s="31"/>
      <c r="H21" s="31"/>
      <c r="I21" s="44"/>
      <c r="J21" s="31"/>
      <c r="K21" s="31"/>
      <c r="L21" s="44"/>
      <c r="M21" s="44"/>
    </row>
    <row r="22" spans="1:17" s="8" customFormat="1" ht="14.25">
      <c r="A22" s="8" t="s">
        <v>183</v>
      </c>
    </row>
    <row r="23" spans="1:17" s="8" customFormat="1" ht="14.25">
      <c r="C23" s="61" t="s">
        <v>39</v>
      </c>
    </row>
    <row r="24" spans="1:17" s="8" customFormat="1" ht="14.25"/>
    <row r="25" spans="1:17" s="8" customFormat="1" ht="14.25">
      <c r="A25" s="61" t="s">
        <v>40</v>
      </c>
    </row>
    <row r="26" spans="1:17" s="8" customFormat="1" ht="14.25">
      <c r="A26" s="148" t="s">
        <v>41</v>
      </c>
      <c r="B26" s="148"/>
      <c r="C26" s="148"/>
      <c r="D26" s="148" t="s">
        <v>42</v>
      </c>
      <c r="E26" s="148" t="s">
        <v>43</v>
      </c>
      <c r="F26" s="148"/>
      <c r="G26" s="148" t="s">
        <v>44</v>
      </c>
    </row>
    <row r="27" spans="1:17" s="8" customFormat="1" ht="14.25">
      <c r="A27" s="61" t="s">
        <v>45</v>
      </c>
      <c r="I27" s="61" t="s">
        <v>48</v>
      </c>
    </row>
    <row r="28" spans="1:17" s="8" customFormat="1" ht="14.25">
      <c r="A28" s="8" t="s">
        <v>155</v>
      </c>
      <c r="D28" s="8" t="s">
        <v>47</v>
      </c>
      <c r="E28" s="10">
        <v>2</v>
      </c>
      <c r="G28" s="10">
        <v>6064</v>
      </c>
      <c r="I28" s="27" t="s">
        <v>184</v>
      </c>
      <c r="J28" s="27">
        <v>80</v>
      </c>
    </row>
    <row r="29" spans="1:17" s="8" customFormat="1" ht="14.25">
      <c r="I29" s="27" t="s">
        <v>185</v>
      </c>
      <c r="J29" s="27">
        <v>10</v>
      </c>
    </row>
    <row r="30" spans="1:17" s="8" customFormat="1" ht="14.25">
      <c r="I30" s="27" t="s">
        <v>161</v>
      </c>
      <c r="J30" s="27">
        <v>10</v>
      </c>
    </row>
    <row r="31" spans="1:17" s="8" customFormat="1" ht="14.25">
      <c r="A31" s="61" t="s">
        <v>54</v>
      </c>
    </row>
    <row r="32" spans="1:17" s="8" customFormat="1" ht="14.25">
      <c r="A32" s="8" t="s">
        <v>56</v>
      </c>
      <c r="D32" s="8" t="s">
        <v>57</v>
      </c>
      <c r="E32" s="10">
        <v>61</v>
      </c>
      <c r="G32" s="10">
        <v>1050</v>
      </c>
      <c r="I32" s="27" t="s">
        <v>186</v>
      </c>
      <c r="J32" s="27">
        <v>0.5</v>
      </c>
    </row>
    <row r="33" spans="1:10" s="8" customFormat="1" ht="14.25">
      <c r="A33" s="8" t="s">
        <v>58</v>
      </c>
      <c r="D33" s="8" t="s">
        <v>57</v>
      </c>
      <c r="E33" s="10">
        <v>50</v>
      </c>
      <c r="I33" s="27" t="s">
        <v>187</v>
      </c>
      <c r="J33" s="27">
        <v>0.5</v>
      </c>
    </row>
    <row r="34" spans="1:10" s="8" customFormat="1" ht="14.25">
      <c r="A34" s="8" t="s">
        <v>2</v>
      </c>
      <c r="E34" s="10">
        <f>SUM(E32:E33)</f>
        <v>111</v>
      </c>
    </row>
    <row r="35" spans="1:10" s="8" customFormat="1" ht="14.25">
      <c r="A35" s="43" t="s">
        <v>61</v>
      </c>
      <c r="B35" s="43"/>
      <c r="C35" s="43" t="s">
        <v>62</v>
      </c>
      <c r="D35" s="43"/>
      <c r="E35" s="43"/>
      <c r="F35" s="43"/>
      <c r="G35" s="43"/>
    </row>
    <row r="36" spans="1:10" s="8" customFormat="1" ht="14.25">
      <c r="A36" s="44"/>
      <c r="B36" s="45" t="s">
        <v>63</v>
      </c>
      <c r="C36" s="149">
        <v>48</v>
      </c>
      <c r="D36" s="44" t="s">
        <v>47</v>
      </c>
      <c r="E36" s="31">
        <v>94</v>
      </c>
      <c r="F36" s="44"/>
      <c r="G36" s="31">
        <v>24</v>
      </c>
    </row>
    <row r="37" spans="1:10" s="8" customFormat="1" ht="14.25">
      <c r="A37" s="44"/>
      <c r="B37" s="45" t="s">
        <v>188</v>
      </c>
      <c r="C37" s="149">
        <v>50</v>
      </c>
      <c r="D37" s="44" t="s">
        <v>189</v>
      </c>
      <c r="E37" s="31">
        <v>26</v>
      </c>
      <c r="F37" s="44"/>
      <c r="G37" s="31">
        <v>159</v>
      </c>
    </row>
    <row r="38" spans="1:10" s="8" customFormat="1" ht="14.25">
      <c r="A38" s="44"/>
      <c r="B38" s="45" t="s">
        <v>190</v>
      </c>
      <c r="C38" s="149">
        <v>84</v>
      </c>
      <c r="D38" s="44" t="s">
        <v>47</v>
      </c>
      <c r="E38" s="31">
        <v>380</v>
      </c>
      <c r="F38" s="44"/>
      <c r="G38" s="31">
        <v>26</v>
      </c>
    </row>
    <row r="39" spans="1:10" s="8" customFormat="1" ht="14.25">
      <c r="A39" s="44"/>
      <c r="B39" s="45"/>
      <c r="C39" s="60"/>
      <c r="D39" s="44"/>
      <c r="E39" s="44"/>
      <c r="F39" s="44"/>
      <c r="G39" s="44"/>
    </row>
    <row r="40" spans="1:10" s="8" customFormat="1" ht="14.25">
      <c r="A40" s="143" t="s">
        <v>66</v>
      </c>
      <c r="B40" s="43"/>
      <c r="C40" s="43"/>
      <c r="D40" s="43"/>
      <c r="E40" s="43"/>
      <c r="F40" s="43"/>
      <c r="G40" s="143" t="s">
        <v>168</v>
      </c>
      <c r="I40" s="61" t="s">
        <v>99</v>
      </c>
    </row>
    <row r="41" spans="1:10" s="8" customFormat="1" ht="14.25">
      <c r="A41" s="44" t="s">
        <v>68</v>
      </c>
      <c r="B41" s="44"/>
      <c r="C41" s="44"/>
      <c r="D41" s="44"/>
      <c r="E41" s="44"/>
      <c r="F41" s="44"/>
      <c r="G41" s="62">
        <v>5178</v>
      </c>
      <c r="I41" s="10">
        <v>12795</v>
      </c>
    </row>
    <row r="42" spans="1:10" s="8" customFormat="1" ht="14.25">
      <c r="A42" s="44" t="s">
        <v>69</v>
      </c>
      <c r="B42" s="44"/>
      <c r="C42" s="44"/>
      <c r="D42" s="44"/>
      <c r="E42" s="44"/>
      <c r="F42" s="44"/>
      <c r="G42" s="63">
        <v>76</v>
      </c>
      <c r="I42" s="10"/>
    </row>
    <row r="43" spans="1:10" s="8" customFormat="1" ht="14.25">
      <c r="A43" s="44" t="s">
        <v>70</v>
      </c>
      <c r="B43" s="44"/>
      <c r="C43" s="44"/>
      <c r="D43" s="44"/>
      <c r="E43" s="44"/>
      <c r="F43" s="44"/>
      <c r="G43" s="63">
        <f>SUM(G41*G42)</f>
        <v>393528</v>
      </c>
      <c r="I43" s="10">
        <v>972408</v>
      </c>
    </row>
    <row r="44" spans="1:10" s="8" customFormat="1" ht="14.25">
      <c r="A44" s="44" t="s">
        <v>71</v>
      </c>
      <c r="B44" s="44"/>
      <c r="C44" s="44"/>
      <c r="D44" s="44"/>
      <c r="E44" s="44"/>
      <c r="F44" s="44"/>
      <c r="G44" s="63">
        <f>SUM(G43-K19)</f>
        <v>222466</v>
      </c>
      <c r="I44" s="10">
        <v>549713</v>
      </c>
    </row>
    <row r="45" spans="1:10" s="8" customFormat="1" ht="14.25">
      <c r="A45" s="44" t="s">
        <v>72</v>
      </c>
      <c r="B45" s="44"/>
      <c r="C45" s="44"/>
      <c r="D45" s="44"/>
      <c r="E45" s="44"/>
      <c r="F45" s="44"/>
      <c r="G45" s="63">
        <f>SUM(G43-K20)</f>
        <v>275370</v>
      </c>
      <c r="I45" s="10">
        <v>680439</v>
      </c>
    </row>
    <row r="46" spans="1:10" s="8" customFormat="1" ht="14.25">
      <c r="A46" s="44"/>
      <c r="B46" s="44"/>
      <c r="C46" s="44"/>
      <c r="D46" s="44"/>
      <c r="E46" s="44"/>
      <c r="F46" s="44"/>
      <c r="G46" s="63"/>
    </row>
    <row r="47" spans="1:10" s="8" customFormat="1" ht="14.25">
      <c r="A47" s="44" t="s">
        <v>73</v>
      </c>
      <c r="B47" s="44"/>
      <c r="C47" s="44"/>
      <c r="D47" s="44"/>
      <c r="E47" s="44"/>
      <c r="F47" s="44"/>
      <c r="G47" s="63">
        <f>SUM(K19/G41)</f>
        <v>33.036307454615681</v>
      </c>
    </row>
    <row r="48" spans="1:10" s="8" customFormat="1" ht="14.25">
      <c r="A48" s="46" t="s">
        <v>74</v>
      </c>
      <c r="B48" s="46"/>
      <c r="C48" s="46"/>
      <c r="D48" s="46"/>
      <c r="E48" s="46"/>
      <c r="F48" s="46"/>
      <c r="G48" s="64">
        <f>SUM(K20/G41)</f>
        <v>22.819235225955968</v>
      </c>
    </row>
    <row r="49" s="8" customFormat="1" ht="14.25"/>
  </sheetData>
  <mergeCells count="1">
    <mergeCell ref="Q8:R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"/>
  <sheetViews>
    <sheetView workbookViewId="0">
      <selection activeCell="A3" sqref="A3"/>
    </sheetView>
  </sheetViews>
  <sheetFormatPr defaultRowHeight="15"/>
  <sheetData>
    <row r="1" spans="1:17">
      <c r="A1" s="1" t="s">
        <v>208</v>
      </c>
      <c r="B1" s="2"/>
    </row>
    <row r="2" spans="1:17">
      <c r="A2" s="1" t="s">
        <v>209</v>
      </c>
      <c r="B2" s="2"/>
    </row>
    <row r="3" spans="1:17">
      <c r="A3" s="1" t="s">
        <v>376</v>
      </c>
      <c r="B3" s="2"/>
    </row>
    <row r="4" spans="1:17">
      <c r="A4" s="1"/>
    </row>
    <row r="5" spans="1:17" s="34" customFormat="1" ht="14.25">
      <c r="A5" s="35" t="s">
        <v>0</v>
      </c>
      <c r="B5" s="35"/>
      <c r="C5" s="35"/>
      <c r="D5" s="36" t="s">
        <v>1</v>
      </c>
      <c r="E5" s="36" t="s">
        <v>2</v>
      </c>
      <c r="F5" s="36" t="s">
        <v>3</v>
      </c>
      <c r="G5" s="36" t="s">
        <v>4</v>
      </c>
      <c r="H5" s="36" t="s">
        <v>5</v>
      </c>
      <c r="I5" s="36" t="s">
        <v>6</v>
      </c>
      <c r="J5" s="36" t="s">
        <v>7</v>
      </c>
      <c r="K5" s="36" t="s">
        <v>8</v>
      </c>
      <c r="L5" s="37" t="s">
        <v>9</v>
      </c>
      <c r="M5" s="36"/>
    </row>
    <row r="6" spans="1:17" s="34" customFormat="1" ht="14.25">
      <c r="A6" s="38"/>
      <c r="B6" s="38"/>
      <c r="C6" s="38"/>
      <c r="D6" s="39" t="s">
        <v>10</v>
      </c>
      <c r="E6" s="39" t="s">
        <v>11</v>
      </c>
      <c r="F6" s="39" t="s">
        <v>11</v>
      </c>
      <c r="G6" s="39" t="s">
        <v>12</v>
      </c>
      <c r="H6" s="39" t="s">
        <v>13</v>
      </c>
      <c r="I6" s="39" t="s">
        <v>14</v>
      </c>
      <c r="J6" s="39" t="s">
        <v>13</v>
      </c>
      <c r="K6" s="39" t="s">
        <v>13</v>
      </c>
      <c r="L6" s="66" t="s">
        <v>6</v>
      </c>
      <c r="M6" s="39" t="s">
        <v>7</v>
      </c>
    </row>
    <row r="7" spans="1:17" s="34" customFormat="1" ht="14.25">
      <c r="A7" s="38"/>
      <c r="B7" s="38"/>
      <c r="C7" s="38"/>
      <c r="D7" s="39" t="s">
        <v>15</v>
      </c>
      <c r="E7" s="39"/>
      <c r="F7" s="39"/>
      <c r="G7" s="39"/>
      <c r="H7" s="39" t="s">
        <v>16</v>
      </c>
      <c r="I7" s="39" t="s">
        <v>13</v>
      </c>
      <c r="J7" s="39" t="s">
        <v>16</v>
      </c>
      <c r="K7" s="39" t="s">
        <v>16</v>
      </c>
      <c r="L7" s="39"/>
      <c r="M7" s="39"/>
    </row>
    <row r="8" spans="1:17" s="34" customFormat="1" ht="14.25">
      <c r="A8" s="41"/>
      <c r="B8" s="41"/>
      <c r="C8" s="41"/>
      <c r="D8" s="42"/>
      <c r="E8" s="42"/>
      <c r="F8" s="42"/>
      <c r="G8" s="42"/>
      <c r="H8" s="42"/>
      <c r="I8" s="42" t="s">
        <v>16</v>
      </c>
      <c r="J8" s="42"/>
      <c r="K8" s="42"/>
      <c r="L8" s="42"/>
      <c r="M8" s="42"/>
    </row>
    <row r="9" spans="1:17" s="3" customFormat="1" ht="14.25">
      <c r="A9" s="3" t="s">
        <v>192</v>
      </c>
      <c r="D9" s="11">
        <v>100</v>
      </c>
      <c r="E9" s="7">
        <v>5.35</v>
      </c>
      <c r="F9" s="7">
        <v>5.31</v>
      </c>
      <c r="G9" s="159">
        <v>1000</v>
      </c>
      <c r="H9" s="7">
        <f t="shared" ref="H9:H18" si="0">SUM(E9*G9)</f>
        <v>5350</v>
      </c>
      <c r="J9" s="7">
        <v>968</v>
      </c>
      <c r="K9" s="7">
        <f t="shared" ref="K9:K19" si="1">SUM(H9:J9)</f>
        <v>6318</v>
      </c>
      <c r="N9" s="8"/>
      <c r="O9" s="8"/>
      <c r="P9" s="10"/>
      <c r="Q9" s="10"/>
    </row>
    <row r="10" spans="1:17" s="3" customFormat="1" ht="14.25">
      <c r="A10" s="3" t="s">
        <v>172</v>
      </c>
      <c r="D10" s="11">
        <v>44</v>
      </c>
      <c r="E10" s="7">
        <v>4.71</v>
      </c>
      <c r="F10" s="7">
        <v>3.57</v>
      </c>
      <c r="G10" s="159">
        <v>1000</v>
      </c>
      <c r="H10" s="7">
        <f t="shared" si="0"/>
        <v>4710</v>
      </c>
      <c r="J10" s="7"/>
      <c r="K10" s="7">
        <f t="shared" si="1"/>
        <v>4710</v>
      </c>
      <c r="N10" s="8"/>
      <c r="O10" s="8"/>
      <c r="P10" s="10"/>
      <c r="Q10" s="10"/>
    </row>
    <row r="11" spans="1:17" s="3" customFormat="1" ht="14.25">
      <c r="A11" s="3" t="s">
        <v>193</v>
      </c>
      <c r="D11" s="11">
        <v>72</v>
      </c>
      <c r="E11" s="7">
        <v>0.5</v>
      </c>
      <c r="F11" s="7">
        <v>0.5</v>
      </c>
      <c r="G11" s="159">
        <v>1000</v>
      </c>
      <c r="H11" s="7">
        <f t="shared" si="0"/>
        <v>500</v>
      </c>
      <c r="I11" s="7">
        <v>6309</v>
      </c>
      <c r="J11" s="7"/>
      <c r="K11" s="7">
        <f t="shared" si="1"/>
        <v>6809</v>
      </c>
      <c r="L11" s="3">
        <v>1147</v>
      </c>
      <c r="N11" s="8"/>
      <c r="O11" s="8"/>
      <c r="P11" s="10"/>
      <c r="Q11" s="10"/>
    </row>
    <row r="12" spans="1:17" s="3" customFormat="1" ht="14.25">
      <c r="A12" s="3" t="s">
        <v>194</v>
      </c>
      <c r="D12" s="11" t="s">
        <v>195</v>
      </c>
      <c r="E12" s="7" t="s">
        <v>196</v>
      </c>
      <c r="F12" s="7" t="s">
        <v>197</v>
      </c>
      <c r="G12" s="159">
        <v>1000</v>
      </c>
      <c r="H12" s="7" t="s">
        <v>198</v>
      </c>
      <c r="I12" s="7"/>
      <c r="J12" s="7"/>
      <c r="K12" s="7">
        <v>0</v>
      </c>
      <c r="N12" s="8"/>
      <c r="O12" s="8"/>
      <c r="P12" s="10"/>
      <c r="Q12" s="10"/>
    </row>
    <row r="13" spans="1:17" s="3" customFormat="1" ht="14.25">
      <c r="A13" s="12" t="s">
        <v>199</v>
      </c>
      <c r="B13" s="11"/>
      <c r="D13" s="11">
        <v>94</v>
      </c>
      <c r="E13" s="7">
        <v>16.03</v>
      </c>
      <c r="F13" s="7">
        <v>12.24</v>
      </c>
      <c r="G13" s="159">
        <v>1040</v>
      </c>
      <c r="H13" s="7">
        <v>16671</v>
      </c>
      <c r="J13" s="7"/>
      <c r="K13" s="7">
        <f t="shared" si="1"/>
        <v>16671</v>
      </c>
      <c r="N13" s="8"/>
      <c r="O13" s="8"/>
      <c r="P13" s="10"/>
      <c r="Q13" s="10"/>
    </row>
    <row r="14" spans="1:17" s="3" customFormat="1" ht="14.25">
      <c r="A14" s="3" t="s">
        <v>24</v>
      </c>
      <c r="D14" s="11">
        <v>100</v>
      </c>
      <c r="E14" s="7">
        <v>14.43</v>
      </c>
      <c r="F14" s="7">
        <v>11.21</v>
      </c>
      <c r="G14" s="159">
        <v>857.7</v>
      </c>
      <c r="H14" s="7">
        <v>12377</v>
      </c>
      <c r="J14" s="7">
        <v>2015</v>
      </c>
      <c r="K14" s="7">
        <f t="shared" si="1"/>
        <v>14392</v>
      </c>
      <c r="M14" s="3">
        <v>405</v>
      </c>
      <c r="N14" s="8"/>
      <c r="O14" s="8"/>
      <c r="P14" s="10"/>
      <c r="Q14" s="10"/>
    </row>
    <row r="15" spans="1:17" s="3" customFormat="1" ht="14.25">
      <c r="A15" s="3" t="s">
        <v>25</v>
      </c>
      <c r="D15" s="11">
        <v>100</v>
      </c>
      <c r="E15" s="7">
        <v>11.03</v>
      </c>
      <c r="F15" s="7">
        <v>9.99</v>
      </c>
      <c r="G15" s="159">
        <v>1000</v>
      </c>
      <c r="H15" s="7">
        <f t="shared" si="0"/>
        <v>11030</v>
      </c>
      <c r="J15" s="7">
        <f>E36*G36+E37*G37+E38*G38+E39*G39</f>
        <v>11706</v>
      </c>
      <c r="K15" s="7">
        <f t="shared" si="1"/>
        <v>22736</v>
      </c>
      <c r="O15" s="7"/>
    </row>
    <row r="16" spans="1:17" s="3" customFormat="1" ht="14.25">
      <c r="A16" s="3" t="s">
        <v>200</v>
      </c>
      <c r="D16" s="11">
        <v>100</v>
      </c>
      <c r="E16" s="10">
        <v>32.18</v>
      </c>
      <c r="F16" s="7">
        <v>21.59</v>
      </c>
      <c r="G16" s="159">
        <v>891.74</v>
      </c>
      <c r="H16" s="7">
        <v>28696</v>
      </c>
      <c r="J16" s="7"/>
      <c r="K16" s="7">
        <f t="shared" si="1"/>
        <v>28696</v>
      </c>
      <c r="O16" s="7"/>
    </row>
    <row r="17" spans="1:15" s="3" customFormat="1" ht="14.25">
      <c r="A17" s="3" t="s">
        <v>33</v>
      </c>
      <c r="D17" s="11">
        <v>100</v>
      </c>
      <c r="E17" s="7">
        <v>15.81</v>
      </c>
      <c r="F17" s="7">
        <v>15.81</v>
      </c>
      <c r="G17" s="159">
        <v>1000</v>
      </c>
      <c r="H17" s="7">
        <f t="shared" si="0"/>
        <v>15810</v>
      </c>
      <c r="J17" s="7">
        <v>16194</v>
      </c>
      <c r="K17" s="7">
        <f t="shared" si="1"/>
        <v>32004</v>
      </c>
      <c r="O17" s="7"/>
    </row>
    <row r="18" spans="1:15" s="3" customFormat="1" ht="14.25">
      <c r="A18" s="3" t="s">
        <v>34</v>
      </c>
      <c r="D18" s="11">
        <v>100</v>
      </c>
      <c r="E18" s="7">
        <v>21.16</v>
      </c>
      <c r="F18" s="7">
        <v>21.16</v>
      </c>
      <c r="G18" s="159">
        <v>1000</v>
      </c>
      <c r="H18" s="7">
        <f t="shared" si="0"/>
        <v>21160</v>
      </c>
      <c r="I18" s="7">
        <v>21816</v>
      </c>
      <c r="J18" s="10">
        <v>0</v>
      </c>
      <c r="K18" s="7">
        <f t="shared" si="1"/>
        <v>42976</v>
      </c>
      <c r="O18" s="7"/>
    </row>
    <row r="19" spans="1:15" s="3" customFormat="1" ht="14.25">
      <c r="A19" s="3" t="s">
        <v>201</v>
      </c>
      <c r="D19" s="11">
        <v>100</v>
      </c>
      <c r="E19" s="7">
        <v>50.89</v>
      </c>
      <c r="F19" s="7">
        <v>31.86</v>
      </c>
      <c r="G19" s="159">
        <v>828.75</v>
      </c>
      <c r="H19" s="7">
        <v>42175</v>
      </c>
      <c r="J19" s="7"/>
      <c r="K19" s="7">
        <f t="shared" si="1"/>
        <v>42175</v>
      </c>
    </row>
    <row r="20" spans="1:15" s="3" customFormat="1" ht="14.25">
      <c r="A20" s="4" t="s">
        <v>37</v>
      </c>
      <c r="B20" s="4"/>
      <c r="C20" s="4"/>
      <c r="D20" s="20"/>
      <c r="E20" s="22">
        <f>SUM(E9:E19)</f>
        <v>172.08999999999997</v>
      </c>
      <c r="F20" s="22">
        <f>SUM(F9:F19)</f>
        <v>133.24</v>
      </c>
      <c r="G20" s="22"/>
      <c r="H20" s="22">
        <f>SUM(H9:H19)</f>
        <v>158479</v>
      </c>
      <c r="I20" s="22">
        <f>SUM(I9:I19)</f>
        <v>28125</v>
      </c>
      <c r="J20" s="22">
        <f>SUM(J9:J19)</f>
        <v>30883</v>
      </c>
      <c r="K20" s="22">
        <f>SUM(H20:J20)</f>
        <v>217487</v>
      </c>
      <c r="L20" s="4">
        <f>SUM(L9:L19)</f>
        <v>1147</v>
      </c>
      <c r="M20" s="4">
        <f>SUM(M9:M19)</f>
        <v>405</v>
      </c>
    </row>
    <row r="21" spans="1:15" s="3" customFormat="1" ht="14.25">
      <c r="A21" s="9" t="s">
        <v>38</v>
      </c>
      <c r="B21" s="9"/>
      <c r="C21" s="9"/>
      <c r="D21" s="23"/>
      <c r="E21" s="24">
        <f>SUM(E20-F20)</f>
        <v>38.849999999999966</v>
      </c>
      <c r="F21" s="24"/>
      <c r="G21" s="24"/>
      <c r="H21" s="24">
        <f>SUM(E32*G32)</f>
        <v>35919</v>
      </c>
      <c r="I21" s="9">
        <f>I20-L20</f>
        <v>26978</v>
      </c>
      <c r="J21" s="24">
        <f>J20-M20</f>
        <v>30478</v>
      </c>
      <c r="K21" s="24">
        <f>SUM(H21:J21)</f>
        <v>93375</v>
      </c>
      <c r="L21" s="9"/>
      <c r="M21" s="9"/>
    </row>
    <row r="22" spans="1:15" s="3" customFormat="1" ht="14.25"/>
    <row r="23" spans="1:15" s="3" customFormat="1" ht="14.25">
      <c r="C23" s="3" t="s">
        <v>39</v>
      </c>
      <c r="I23" s="7" t="s">
        <v>149</v>
      </c>
      <c r="L23" s="7"/>
    </row>
    <row r="24" spans="1:15" s="3" customFormat="1" ht="14.25">
      <c r="L24" s="7"/>
    </row>
    <row r="25" spans="1:15" s="3" customFormat="1" ht="14.25">
      <c r="A25" s="3" t="s">
        <v>40</v>
      </c>
      <c r="M25" s="7"/>
    </row>
    <row r="26" spans="1:15" s="3" customFormat="1" ht="14.25">
      <c r="A26" s="25" t="s">
        <v>41</v>
      </c>
      <c r="B26" s="25"/>
      <c r="C26" s="25"/>
      <c r="D26" s="25" t="s">
        <v>42</v>
      </c>
      <c r="E26" s="25" t="s">
        <v>43</v>
      </c>
      <c r="F26" s="25"/>
      <c r="G26" s="25" t="s">
        <v>44</v>
      </c>
    </row>
    <row r="27" spans="1:15" s="3" customFormat="1" ht="14.25">
      <c r="A27" s="3" t="s">
        <v>45</v>
      </c>
      <c r="I27" s="29" t="s">
        <v>59</v>
      </c>
      <c r="J27" s="29">
        <v>0.34</v>
      </c>
    </row>
    <row r="28" spans="1:15" s="3" customFormat="1" ht="14.25">
      <c r="A28" s="3" t="s">
        <v>155</v>
      </c>
      <c r="D28" s="3" t="s">
        <v>47</v>
      </c>
      <c r="E28" s="7">
        <v>0.59</v>
      </c>
      <c r="G28" s="10">
        <v>3415</v>
      </c>
      <c r="I28" s="29" t="s">
        <v>60</v>
      </c>
      <c r="J28" s="29">
        <v>0.25</v>
      </c>
    </row>
    <row r="29" spans="1:15" s="3" customFormat="1" ht="14.25">
      <c r="J29" s="160"/>
      <c r="K29" s="26"/>
    </row>
    <row r="30" spans="1:15" s="3" customFormat="1" ht="14.25">
      <c r="J30" s="29" t="s">
        <v>202</v>
      </c>
      <c r="K30" s="161">
        <v>0.41670000000000001</v>
      </c>
    </row>
    <row r="31" spans="1:15" s="3" customFormat="1" ht="14.25">
      <c r="A31" s="3" t="s">
        <v>54</v>
      </c>
      <c r="J31" s="29" t="s">
        <v>203</v>
      </c>
      <c r="K31" s="161">
        <v>0.30559999999999998</v>
      </c>
    </row>
    <row r="32" spans="1:15" s="3" customFormat="1" ht="14.25">
      <c r="A32" s="3" t="s">
        <v>56</v>
      </c>
      <c r="D32" s="3" t="s">
        <v>57</v>
      </c>
      <c r="E32" s="7">
        <v>39</v>
      </c>
      <c r="G32" s="7">
        <v>921</v>
      </c>
      <c r="J32" s="29" t="s">
        <v>204</v>
      </c>
      <c r="K32" s="161">
        <v>8.3299999999999999E-2</v>
      </c>
    </row>
    <row r="33" spans="1:11" s="3" customFormat="1" ht="14.25">
      <c r="A33" s="3" t="s">
        <v>58</v>
      </c>
      <c r="D33" s="3" t="s">
        <v>57</v>
      </c>
      <c r="E33" s="7">
        <v>133</v>
      </c>
      <c r="J33" s="29" t="s">
        <v>161</v>
      </c>
      <c r="K33" s="161">
        <v>0.19</v>
      </c>
    </row>
    <row r="34" spans="1:11" s="3" customFormat="1" ht="14.25">
      <c r="A34" s="3" t="s">
        <v>2</v>
      </c>
      <c r="E34" s="7">
        <f>SUM(E32:E33)</f>
        <v>172</v>
      </c>
    </row>
    <row r="35" spans="1:11" s="3" customFormat="1" ht="14.25">
      <c r="A35" s="4" t="s">
        <v>61</v>
      </c>
      <c r="B35" s="4"/>
      <c r="C35" s="4" t="s">
        <v>62</v>
      </c>
      <c r="D35" s="4"/>
      <c r="E35" s="4"/>
      <c r="F35" s="4"/>
      <c r="G35" s="4"/>
    </row>
    <row r="36" spans="1:11" s="3" customFormat="1" ht="14.25">
      <c r="A36" s="5"/>
      <c r="B36" s="158" t="s">
        <v>129</v>
      </c>
      <c r="C36" s="162">
        <v>54</v>
      </c>
      <c r="D36" s="5" t="s">
        <v>47</v>
      </c>
      <c r="E36" s="32">
        <v>71</v>
      </c>
      <c r="F36" s="5"/>
      <c r="G36" s="32">
        <v>26</v>
      </c>
    </row>
    <row r="37" spans="1:11" s="3" customFormat="1" ht="14.25">
      <c r="A37" s="5"/>
      <c r="B37" s="158" t="s">
        <v>63</v>
      </c>
      <c r="C37" s="162">
        <v>72</v>
      </c>
      <c r="D37" s="5" t="s">
        <v>47</v>
      </c>
      <c r="E37" s="32">
        <v>75</v>
      </c>
      <c r="F37" s="5"/>
      <c r="G37" s="32">
        <v>24</v>
      </c>
    </row>
    <row r="38" spans="1:11" s="3" customFormat="1" ht="14.25">
      <c r="A38" s="5"/>
      <c r="B38" s="158" t="s">
        <v>130</v>
      </c>
      <c r="C38" s="162">
        <v>42</v>
      </c>
      <c r="D38" s="5" t="s">
        <v>47</v>
      </c>
      <c r="E38" s="32">
        <v>60</v>
      </c>
      <c r="F38" s="5"/>
      <c r="G38" s="32">
        <v>26</v>
      </c>
    </row>
    <row r="39" spans="1:11" s="3" customFormat="1" ht="14.25">
      <c r="B39" s="158" t="s">
        <v>205</v>
      </c>
      <c r="C39" s="162">
        <v>82</v>
      </c>
      <c r="D39" s="5" t="s">
        <v>47</v>
      </c>
      <c r="E39" s="32">
        <v>250</v>
      </c>
      <c r="F39" s="5"/>
      <c r="G39" s="32">
        <v>26</v>
      </c>
    </row>
    <row r="40" spans="1:11" s="3" customFormat="1" ht="14.25">
      <c r="A40" s="4" t="s">
        <v>66</v>
      </c>
      <c r="B40" s="4"/>
      <c r="C40" s="4"/>
      <c r="D40" s="4"/>
      <c r="E40" s="4"/>
      <c r="F40" s="4"/>
      <c r="G40" s="163" t="s">
        <v>206</v>
      </c>
      <c r="H40" s="164" t="s">
        <v>99</v>
      </c>
    </row>
    <row r="41" spans="1:11" s="3" customFormat="1" ht="14.25">
      <c r="A41" s="5" t="s">
        <v>68</v>
      </c>
      <c r="B41" s="5"/>
      <c r="C41" s="5"/>
      <c r="D41" s="5"/>
      <c r="E41" s="5"/>
      <c r="F41" s="5"/>
      <c r="G41" s="62">
        <v>5547</v>
      </c>
      <c r="H41" s="7">
        <v>13707</v>
      </c>
    </row>
    <row r="42" spans="1:11" s="3" customFormat="1" ht="14.25">
      <c r="A42" s="5" t="s">
        <v>69</v>
      </c>
      <c r="B42" s="5"/>
      <c r="C42" s="5"/>
      <c r="D42" s="5"/>
      <c r="E42" s="5"/>
      <c r="F42" s="5"/>
      <c r="G42" s="63">
        <v>254</v>
      </c>
      <c r="H42" s="7"/>
    </row>
    <row r="43" spans="1:11" s="3" customFormat="1" ht="14.25">
      <c r="A43" s="5" t="s">
        <v>70</v>
      </c>
      <c r="B43" s="5"/>
      <c r="C43" s="5"/>
      <c r="D43" s="5"/>
      <c r="E43" s="5"/>
      <c r="F43" s="5"/>
      <c r="G43" s="165">
        <f>SUM(G41*G42)</f>
        <v>1408938</v>
      </c>
      <c r="H43" s="7">
        <v>3481486</v>
      </c>
      <c r="I43" s="166"/>
    </row>
    <row r="44" spans="1:11" s="3" customFormat="1" ht="14.25">
      <c r="A44" s="5" t="s">
        <v>71</v>
      </c>
      <c r="B44" s="5"/>
      <c r="C44" s="5"/>
      <c r="D44" s="5"/>
      <c r="E44" s="5"/>
      <c r="F44" s="5"/>
      <c r="G44" s="165">
        <f>SUM(G43-K20)</f>
        <v>1191451</v>
      </c>
      <c r="H44" s="7">
        <v>2944075</v>
      </c>
      <c r="I44" s="166"/>
    </row>
    <row r="45" spans="1:11" s="3" customFormat="1" ht="14.25">
      <c r="A45" s="5" t="s">
        <v>72</v>
      </c>
      <c r="B45" s="5"/>
      <c r="C45" s="5"/>
      <c r="D45" s="5"/>
      <c r="E45" s="5"/>
      <c r="F45" s="5"/>
      <c r="G45" s="165">
        <f>SUM(G43-K21)</f>
        <v>1315563</v>
      </c>
      <c r="H45" s="7">
        <v>3250756</v>
      </c>
      <c r="I45" s="166"/>
    </row>
    <row r="46" spans="1:11" s="3" customFormat="1" ht="14.25">
      <c r="A46" s="5"/>
      <c r="B46" s="5"/>
      <c r="C46" s="5"/>
      <c r="D46" s="5"/>
      <c r="E46" s="5"/>
      <c r="F46" s="5"/>
      <c r="G46" s="165"/>
    </row>
    <row r="47" spans="1:11" s="3" customFormat="1" ht="14.25">
      <c r="A47" s="5" t="s">
        <v>73</v>
      </c>
      <c r="B47" s="5"/>
      <c r="C47" s="5"/>
      <c r="D47" s="5"/>
      <c r="E47" s="5"/>
      <c r="F47" s="5"/>
      <c r="G47" s="165">
        <f>SUM(K20/G41)</f>
        <v>39.208040382188571</v>
      </c>
    </row>
    <row r="48" spans="1:11" s="3" customFormat="1" ht="14.25">
      <c r="A48" s="9" t="s">
        <v>74</v>
      </c>
      <c r="B48" s="9"/>
      <c r="C48" s="9"/>
      <c r="D48" s="9"/>
      <c r="E48" s="9"/>
      <c r="F48" s="9"/>
      <c r="G48" s="167">
        <f>SUM(K21/G41)</f>
        <v>16.833423472147107</v>
      </c>
    </row>
    <row r="49" spans="1:2" s="3" customFormat="1" ht="14.25"/>
    <row r="50" spans="1:2" s="3" customFormat="1" ht="14.25">
      <c r="A50" s="3" t="s">
        <v>100</v>
      </c>
    </row>
    <row r="51" spans="1:2" s="3" customFormat="1" ht="14.25">
      <c r="B51" s="3" t="s">
        <v>207</v>
      </c>
    </row>
    <row r="52" spans="1:2" s="3" customFormat="1" ht="14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"/>
  <sheetViews>
    <sheetView workbookViewId="0">
      <selection sqref="A1:XFD1048576"/>
    </sheetView>
  </sheetViews>
  <sheetFormatPr defaultRowHeight="15"/>
  <cols>
    <col min="1" max="16384" width="9.140625" style="311"/>
  </cols>
  <sheetData>
    <row r="1" spans="1:20" ht="15.75">
      <c r="A1" s="310" t="s">
        <v>216</v>
      </c>
      <c r="B1" s="312"/>
      <c r="G1" s="337"/>
      <c r="H1" s="337"/>
      <c r="I1" s="337"/>
      <c r="J1" s="337"/>
      <c r="K1" s="337"/>
      <c r="L1" s="337"/>
    </row>
    <row r="2" spans="1:20" ht="15.75">
      <c r="A2" s="310" t="s">
        <v>214</v>
      </c>
      <c r="B2" s="312"/>
      <c r="G2" s="337"/>
      <c r="H2" s="337"/>
      <c r="I2" s="337"/>
      <c r="J2" s="337"/>
      <c r="K2" s="337"/>
      <c r="L2" s="337"/>
    </row>
    <row r="3" spans="1:20" ht="15.75">
      <c r="A3" s="310" t="s">
        <v>376</v>
      </c>
      <c r="B3" s="312"/>
      <c r="G3" s="337"/>
      <c r="H3" s="337"/>
      <c r="I3" s="337"/>
      <c r="J3" s="337"/>
      <c r="K3" s="337"/>
      <c r="L3" s="337"/>
    </row>
    <row r="4" spans="1:20">
      <c r="A4" s="310"/>
    </row>
    <row r="5" spans="1:20" s="337" customFormat="1" ht="14.25">
      <c r="A5" s="313" t="s">
        <v>0</v>
      </c>
      <c r="B5" s="313"/>
      <c r="C5" s="313"/>
      <c r="D5" s="334" t="s">
        <v>1</v>
      </c>
      <c r="E5" s="334" t="s">
        <v>2</v>
      </c>
      <c r="F5" s="334" t="s">
        <v>3</v>
      </c>
      <c r="G5" s="334" t="s">
        <v>4</v>
      </c>
      <c r="H5" s="334" t="s">
        <v>5</v>
      </c>
      <c r="I5" s="334" t="s">
        <v>6</v>
      </c>
      <c r="J5" s="334" t="s">
        <v>7</v>
      </c>
      <c r="K5" s="334" t="s">
        <v>8</v>
      </c>
      <c r="L5" s="314" t="s">
        <v>9</v>
      </c>
      <c r="M5" s="334"/>
    </row>
    <row r="6" spans="1:20" s="337" customFormat="1" ht="14.25">
      <c r="A6" s="315"/>
      <c r="B6" s="315"/>
      <c r="C6" s="315"/>
      <c r="D6" s="338" t="s">
        <v>10</v>
      </c>
      <c r="E6" s="338" t="s">
        <v>11</v>
      </c>
      <c r="F6" s="338" t="s">
        <v>11</v>
      </c>
      <c r="G6" s="338" t="s">
        <v>12</v>
      </c>
      <c r="H6" s="338" t="s">
        <v>13</v>
      </c>
      <c r="I6" s="338" t="s">
        <v>14</v>
      </c>
      <c r="J6" s="338" t="s">
        <v>13</v>
      </c>
      <c r="K6" s="338" t="s">
        <v>13</v>
      </c>
      <c r="L6" s="316" t="s">
        <v>6</v>
      </c>
      <c r="M6" s="338" t="s">
        <v>7</v>
      </c>
    </row>
    <row r="7" spans="1:20" s="337" customFormat="1" ht="14.25">
      <c r="A7" s="315"/>
      <c r="B7" s="315"/>
      <c r="C7" s="315"/>
      <c r="D7" s="338" t="s">
        <v>15</v>
      </c>
      <c r="E7" s="338"/>
      <c r="F7" s="338"/>
      <c r="G7" s="338"/>
      <c r="H7" s="338" t="s">
        <v>16</v>
      </c>
      <c r="I7" s="338" t="s">
        <v>13</v>
      </c>
      <c r="J7" s="338" t="s">
        <v>16</v>
      </c>
      <c r="K7" s="338" t="s">
        <v>16</v>
      </c>
      <c r="L7" s="338"/>
      <c r="M7" s="338"/>
    </row>
    <row r="8" spans="1:20" s="337" customFormat="1" ht="14.25">
      <c r="A8" s="317"/>
      <c r="B8" s="317"/>
      <c r="C8" s="317"/>
      <c r="D8" s="339"/>
      <c r="E8" s="339"/>
      <c r="F8" s="339"/>
      <c r="G8" s="339"/>
      <c r="H8" s="339"/>
      <c r="I8" s="339" t="s">
        <v>16</v>
      </c>
      <c r="J8" s="339"/>
      <c r="K8" s="339"/>
      <c r="L8" s="339"/>
      <c r="M8" s="339"/>
    </row>
    <row r="9" spans="1:20" s="337" customFormat="1" ht="14.25">
      <c r="A9" s="337" t="s">
        <v>125</v>
      </c>
      <c r="D9" s="429">
        <v>88</v>
      </c>
      <c r="E9" s="430">
        <v>0.46</v>
      </c>
      <c r="F9" s="430">
        <v>0.46</v>
      </c>
      <c r="G9" s="431">
        <v>950</v>
      </c>
      <c r="H9" s="430">
        <f t="shared" ref="H9:H15" si="0">SUM(E9*G9)</f>
        <v>437</v>
      </c>
      <c r="I9" s="430">
        <v>6479</v>
      </c>
      <c r="J9" s="430"/>
      <c r="K9" s="430">
        <f t="shared" ref="K9:K15" si="1">SUM(H9:J9)</f>
        <v>6916</v>
      </c>
      <c r="Q9" s="432"/>
      <c r="S9" s="341"/>
      <c r="T9" s="341"/>
    </row>
    <row r="10" spans="1:20" s="337" customFormat="1" ht="14.25">
      <c r="A10" s="337" t="s">
        <v>444</v>
      </c>
      <c r="D10" s="429" t="s">
        <v>445</v>
      </c>
      <c r="E10" s="433" t="s">
        <v>446</v>
      </c>
      <c r="F10" s="433" t="s">
        <v>446</v>
      </c>
      <c r="G10" s="434" t="s">
        <v>139</v>
      </c>
      <c r="H10" s="430" t="s">
        <v>447</v>
      </c>
      <c r="I10" s="435" t="s">
        <v>448</v>
      </c>
      <c r="J10" s="430"/>
      <c r="K10" s="430">
        <v>0</v>
      </c>
      <c r="Q10" s="436"/>
      <c r="S10" s="341"/>
      <c r="T10" s="341"/>
    </row>
    <row r="11" spans="1:20" s="337" customFormat="1" ht="14.25">
      <c r="A11" s="337" t="s">
        <v>87</v>
      </c>
      <c r="D11" s="429">
        <v>100</v>
      </c>
      <c r="E11" s="430">
        <v>3.14</v>
      </c>
      <c r="F11" s="430">
        <v>2.0299999999999998</v>
      </c>
      <c r="G11" s="431">
        <v>981</v>
      </c>
      <c r="H11" s="430">
        <v>3080</v>
      </c>
      <c r="I11" s="437"/>
      <c r="J11" s="430">
        <f>SUM(E23*G23)</f>
        <v>2277</v>
      </c>
      <c r="K11" s="430">
        <f t="shared" si="1"/>
        <v>5357</v>
      </c>
      <c r="Q11" s="432"/>
      <c r="S11" s="341"/>
      <c r="T11" s="341"/>
    </row>
    <row r="12" spans="1:20" s="337" customFormat="1" ht="14.25">
      <c r="A12" s="337" t="s">
        <v>127</v>
      </c>
      <c r="D12" s="429">
        <v>89</v>
      </c>
      <c r="E12" s="430">
        <v>5.75</v>
      </c>
      <c r="F12" s="430">
        <v>3.42</v>
      </c>
      <c r="G12" s="431">
        <v>982</v>
      </c>
      <c r="H12" s="430">
        <v>5647</v>
      </c>
      <c r="I12" s="437"/>
      <c r="J12" s="430"/>
      <c r="K12" s="430">
        <f>SUM(H12:J12)</f>
        <v>5647</v>
      </c>
      <c r="Q12" s="432"/>
      <c r="S12" s="341"/>
      <c r="T12" s="341"/>
    </row>
    <row r="13" spans="1:20" s="337" customFormat="1" ht="14.25">
      <c r="A13" s="337" t="s">
        <v>33</v>
      </c>
      <c r="D13" s="429">
        <v>88</v>
      </c>
      <c r="E13" s="430">
        <v>0.68</v>
      </c>
      <c r="F13" s="430">
        <v>0.55000000000000004</v>
      </c>
      <c r="G13" s="431">
        <v>1100</v>
      </c>
      <c r="H13" s="430">
        <f t="shared" si="0"/>
        <v>748</v>
      </c>
      <c r="I13" s="437"/>
      <c r="J13" s="430">
        <v>1094</v>
      </c>
      <c r="K13" s="430">
        <f t="shared" si="1"/>
        <v>1842</v>
      </c>
      <c r="M13" s="438"/>
      <c r="Q13" s="432"/>
      <c r="S13" s="341"/>
      <c r="T13" s="341"/>
    </row>
    <row r="14" spans="1:20" s="337" customFormat="1" ht="14.25">
      <c r="A14" s="337" t="s">
        <v>90</v>
      </c>
      <c r="D14" s="429">
        <v>100</v>
      </c>
      <c r="E14" s="430">
        <v>14.18</v>
      </c>
      <c r="F14" s="430">
        <v>8.4499999999999993</v>
      </c>
      <c r="G14" s="431">
        <v>950</v>
      </c>
      <c r="H14" s="430">
        <f t="shared" si="0"/>
        <v>13471</v>
      </c>
      <c r="I14" s="437"/>
      <c r="J14" s="430"/>
      <c r="K14" s="430">
        <f t="shared" si="1"/>
        <v>13471</v>
      </c>
      <c r="Q14" s="432"/>
    </row>
    <row r="15" spans="1:20" s="337" customFormat="1" ht="14.25">
      <c r="A15" s="337" t="s">
        <v>449</v>
      </c>
      <c r="D15" s="429">
        <v>80</v>
      </c>
      <c r="E15" s="430">
        <v>3.96</v>
      </c>
      <c r="F15" s="430">
        <v>2.92</v>
      </c>
      <c r="G15" s="431">
        <v>950</v>
      </c>
      <c r="H15" s="430">
        <f t="shared" si="0"/>
        <v>3762</v>
      </c>
      <c r="I15" s="437"/>
      <c r="J15" s="430"/>
      <c r="K15" s="430">
        <f t="shared" si="1"/>
        <v>3762</v>
      </c>
      <c r="Q15" s="432"/>
    </row>
    <row r="16" spans="1:20" s="337" customFormat="1" ht="14.25">
      <c r="A16" s="337" t="s">
        <v>450</v>
      </c>
      <c r="D16" s="343" t="s">
        <v>175</v>
      </c>
      <c r="E16" s="433" t="s">
        <v>451</v>
      </c>
      <c r="F16" s="433" t="s">
        <v>452</v>
      </c>
      <c r="G16" s="434" t="s">
        <v>139</v>
      </c>
      <c r="H16" s="430" t="s">
        <v>453</v>
      </c>
      <c r="I16" s="437"/>
      <c r="J16" s="430"/>
      <c r="K16" s="430">
        <v>0</v>
      </c>
      <c r="Q16" s="432"/>
    </row>
    <row r="17" spans="1:13" s="337" customFormat="1" ht="14.25">
      <c r="A17" s="313" t="s">
        <v>37</v>
      </c>
      <c r="B17" s="313"/>
      <c r="C17" s="313"/>
      <c r="D17" s="348"/>
      <c r="E17" s="321">
        <f>SUM(E9:E16)</f>
        <v>28.17</v>
      </c>
      <c r="F17" s="321">
        <f>SUM(F9:F16)</f>
        <v>17.829999999999998</v>
      </c>
      <c r="G17" s="321"/>
      <c r="H17" s="321">
        <f>SUM(H9:H16)</f>
        <v>27145</v>
      </c>
      <c r="I17" s="313">
        <f>SUM(I9:I16)</f>
        <v>6479</v>
      </c>
      <c r="J17" s="321">
        <f>SUM(J9:J16)</f>
        <v>3371</v>
      </c>
      <c r="K17" s="321">
        <f>SUM(H17:J17)</f>
        <v>36995</v>
      </c>
      <c r="L17" s="313">
        <f>SUM(L9:L16)</f>
        <v>0</v>
      </c>
      <c r="M17" s="313">
        <f>SUM(M9:M16)</f>
        <v>0</v>
      </c>
    </row>
    <row r="18" spans="1:13" s="337" customFormat="1" ht="14.25">
      <c r="A18" s="317" t="s">
        <v>38</v>
      </c>
      <c r="B18" s="317"/>
      <c r="C18" s="317"/>
      <c r="D18" s="349"/>
      <c r="E18" s="323">
        <f>SUM(E17-F17)</f>
        <v>10.340000000000003</v>
      </c>
      <c r="F18" s="323"/>
      <c r="G18" s="323"/>
      <c r="H18" s="323">
        <f>SUM(E25*G25)</f>
        <v>10400</v>
      </c>
      <c r="I18" s="317">
        <f>I17-L17</f>
        <v>6479</v>
      </c>
      <c r="J18" s="323">
        <f>J17-M17</f>
        <v>3371</v>
      </c>
      <c r="K18" s="323">
        <f>SUM(H18:J18)</f>
        <v>20250</v>
      </c>
      <c r="L18" s="317"/>
      <c r="M18" s="317"/>
    </row>
    <row r="19" spans="1:13" s="337" customFormat="1" ht="14.25">
      <c r="C19" s="337" t="s">
        <v>39</v>
      </c>
    </row>
    <row r="20" spans="1:13" s="337" customFormat="1" ht="14.25">
      <c r="A20" s="337" t="s">
        <v>40</v>
      </c>
    </row>
    <row r="21" spans="1:13" s="337" customFormat="1" ht="14.25">
      <c r="A21" s="325" t="s">
        <v>41</v>
      </c>
      <c r="B21" s="325"/>
      <c r="C21" s="325"/>
      <c r="D21" s="325" t="s">
        <v>42</v>
      </c>
      <c r="E21" s="325" t="s">
        <v>43</v>
      </c>
      <c r="F21" s="325"/>
      <c r="G21" s="325" t="s">
        <v>44</v>
      </c>
      <c r="I21" s="332" t="s">
        <v>48</v>
      </c>
      <c r="J21" s="332" t="s">
        <v>49</v>
      </c>
    </row>
    <row r="22" spans="1:13" s="337" customFormat="1" ht="14.25">
      <c r="A22" s="337" t="s">
        <v>45</v>
      </c>
      <c r="I22" s="332" t="s">
        <v>211</v>
      </c>
      <c r="J22" s="332">
        <f>21/30*100</f>
        <v>70</v>
      </c>
    </row>
    <row r="23" spans="1:13" s="337" customFormat="1" ht="14.25">
      <c r="A23" s="337" t="s">
        <v>155</v>
      </c>
      <c r="D23" s="337" t="s">
        <v>47</v>
      </c>
      <c r="E23" s="341">
        <v>11</v>
      </c>
      <c r="F23" s="341"/>
      <c r="G23" s="341">
        <v>207</v>
      </c>
      <c r="I23" s="332" t="s">
        <v>454</v>
      </c>
      <c r="J23" s="332">
        <v>30</v>
      </c>
    </row>
    <row r="24" spans="1:13" s="337" customFormat="1" ht="14.25">
      <c r="A24" s="337" t="s">
        <v>54</v>
      </c>
    </row>
    <row r="25" spans="1:13" s="337" customFormat="1" ht="14.25">
      <c r="A25" s="337" t="s">
        <v>56</v>
      </c>
      <c r="D25" s="337" t="s">
        <v>57</v>
      </c>
      <c r="E25" s="341">
        <v>10</v>
      </c>
      <c r="G25" s="341">
        <v>1040</v>
      </c>
      <c r="I25" s="332" t="s">
        <v>59</v>
      </c>
      <c r="J25" s="333">
        <v>2.31</v>
      </c>
    </row>
    <row r="26" spans="1:13" s="337" customFormat="1" ht="14.25">
      <c r="A26" s="337" t="s">
        <v>58</v>
      </c>
      <c r="D26" s="337" t="s">
        <v>57</v>
      </c>
      <c r="E26" s="341">
        <v>18</v>
      </c>
      <c r="I26" s="332" t="s">
        <v>60</v>
      </c>
      <c r="J26" s="333">
        <v>2</v>
      </c>
    </row>
    <row r="27" spans="1:13" s="337" customFormat="1" ht="14.25">
      <c r="A27" s="337" t="s">
        <v>2</v>
      </c>
      <c r="E27" s="341">
        <f>SUM(E25:E26)</f>
        <v>28</v>
      </c>
    </row>
    <row r="28" spans="1:13" s="337" customFormat="1" ht="14.25">
      <c r="A28" s="313" t="s">
        <v>66</v>
      </c>
      <c r="B28" s="313"/>
      <c r="C28" s="313"/>
      <c r="D28" s="313"/>
      <c r="E28" s="313"/>
      <c r="F28" s="313"/>
      <c r="G28" s="313"/>
      <c r="I28" s="337" t="s">
        <v>67</v>
      </c>
    </row>
    <row r="29" spans="1:13" s="337" customFormat="1" ht="14.25">
      <c r="A29" s="315" t="s">
        <v>68</v>
      </c>
      <c r="B29" s="315"/>
      <c r="C29" s="315"/>
      <c r="D29" s="315"/>
      <c r="E29" s="315"/>
      <c r="F29" s="315"/>
      <c r="G29" s="329">
        <v>285</v>
      </c>
      <c r="I29" s="341">
        <v>704</v>
      </c>
    </row>
    <row r="30" spans="1:13" s="337" customFormat="1" ht="14.25">
      <c r="A30" s="315" t="s">
        <v>69</v>
      </c>
      <c r="B30" s="315"/>
      <c r="C30" s="315"/>
      <c r="D30" s="315"/>
      <c r="E30" s="315"/>
      <c r="F30" s="315"/>
      <c r="G30" s="356">
        <v>168</v>
      </c>
      <c r="I30" s="341"/>
    </row>
    <row r="31" spans="1:13" s="337" customFormat="1" ht="14.25">
      <c r="A31" s="315" t="s">
        <v>70</v>
      </c>
      <c r="B31" s="315"/>
      <c r="C31" s="315"/>
      <c r="D31" s="315"/>
      <c r="E31" s="315"/>
      <c r="F31" s="315"/>
      <c r="G31" s="356">
        <f>SUM(G29*G30)</f>
        <v>47880</v>
      </c>
      <c r="I31" s="341">
        <v>118311</v>
      </c>
    </row>
    <row r="32" spans="1:13" s="337" customFormat="1" ht="14.25">
      <c r="A32" s="315" t="s">
        <v>71</v>
      </c>
      <c r="B32" s="315"/>
      <c r="C32" s="315"/>
      <c r="D32" s="315"/>
      <c r="E32" s="315"/>
      <c r="F32" s="315"/>
      <c r="G32" s="356">
        <f>SUM(G31-K17)</f>
        <v>10885</v>
      </c>
      <c r="I32" s="341">
        <v>26897</v>
      </c>
    </row>
    <row r="33" spans="1:9" s="337" customFormat="1" ht="14.25">
      <c r="A33" s="315" t="s">
        <v>72</v>
      </c>
      <c r="B33" s="315"/>
      <c r="C33" s="315"/>
      <c r="D33" s="315"/>
      <c r="E33" s="315"/>
      <c r="F33" s="315"/>
      <c r="G33" s="356">
        <f>SUM(G31-K18)</f>
        <v>27630</v>
      </c>
      <c r="I33" s="341">
        <v>68274</v>
      </c>
    </row>
    <row r="34" spans="1:9" s="337" customFormat="1" ht="14.25">
      <c r="A34" s="315" t="s">
        <v>73</v>
      </c>
      <c r="B34" s="315"/>
      <c r="C34" s="315"/>
      <c r="D34" s="315"/>
      <c r="E34" s="315"/>
      <c r="F34" s="315"/>
      <c r="G34" s="356">
        <f>SUM(K17/G29)</f>
        <v>129.80701754385964</v>
      </c>
    </row>
    <row r="35" spans="1:9" s="337" customFormat="1" ht="14.25">
      <c r="A35" s="317" t="s">
        <v>74</v>
      </c>
      <c r="B35" s="317"/>
      <c r="C35" s="317"/>
      <c r="D35" s="317"/>
      <c r="E35" s="317"/>
      <c r="F35" s="317"/>
      <c r="G35" s="358">
        <f>SUM(K18/G29)</f>
        <v>71.05263157894737</v>
      </c>
    </row>
    <row r="36" spans="1:9" s="337" customFormat="1" ht="14.25"/>
    <row r="37" spans="1:9" s="337" customFormat="1" ht="14.25"/>
    <row r="38" spans="1:9" s="337" customFormat="1" ht="14.25"/>
    <row r="39" spans="1:9" s="337" customFormat="1" ht="14.25"/>
    <row r="40" spans="1:9" s="337" customFormat="1" ht="14.25"/>
    <row r="41" spans="1:9" s="337" customFormat="1" ht="14.25"/>
    <row r="42" spans="1:9" s="337" customFormat="1" ht="14.25">
      <c r="A42" s="315" t="s">
        <v>71</v>
      </c>
      <c r="B42" s="315"/>
      <c r="C42" s="315"/>
      <c r="D42" s="315"/>
      <c r="E42" s="315"/>
      <c r="F42" s="315"/>
      <c r="G42" s="356">
        <f>SUM(G41-K19)</f>
        <v>0</v>
      </c>
      <c r="I42" s="341">
        <v>45313</v>
      </c>
    </row>
    <row r="43" spans="1:9" s="337" customFormat="1" ht="14.25">
      <c r="A43" s="315" t="s">
        <v>72</v>
      </c>
      <c r="B43" s="315"/>
      <c r="C43" s="315"/>
      <c r="D43" s="315"/>
      <c r="E43" s="315"/>
      <c r="F43" s="315"/>
      <c r="G43" s="356">
        <f>SUM(G41-K20)</f>
        <v>0</v>
      </c>
      <c r="I43" s="341">
        <v>76052</v>
      </c>
    </row>
    <row r="44" spans="1:9" s="337" customFormat="1" ht="14.25">
      <c r="A44" s="315"/>
      <c r="B44" s="315"/>
      <c r="C44" s="315"/>
      <c r="D44" s="315"/>
      <c r="E44" s="315"/>
      <c r="F44" s="315"/>
      <c r="G44" s="356"/>
    </row>
    <row r="45" spans="1:9" s="337" customFormat="1" ht="14.25">
      <c r="A45" s="315" t="s">
        <v>73</v>
      </c>
      <c r="B45" s="315"/>
      <c r="C45" s="315"/>
      <c r="D45" s="315"/>
      <c r="E45" s="315"/>
      <c r="F45" s="315"/>
      <c r="G45" s="356" t="e">
        <f>SUM(K19/G39)</f>
        <v>#DIV/0!</v>
      </c>
    </row>
    <row r="46" spans="1:9" s="337" customFormat="1" ht="14.25">
      <c r="A46" s="317" t="s">
        <v>74</v>
      </c>
      <c r="B46" s="317"/>
      <c r="C46" s="317"/>
      <c r="D46" s="317"/>
      <c r="E46" s="317"/>
      <c r="F46" s="317"/>
      <c r="G46" s="358" t="e">
        <f>SUM(K20/G39)</f>
        <v>#DIV/0!</v>
      </c>
    </row>
    <row r="47" spans="1:9" s="337" customFormat="1" ht="14.25"/>
    <row r="48" spans="1:9" s="337" customFormat="1" ht="14.25">
      <c r="A48" s="337" t="s">
        <v>100</v>
      </c>
    </row>
    <row r="49" spans="1:1" s="337" customFormat="1" ht="14.25">
      <c r="A49" s="337" t="s">
        <v>213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6"/>
  <sheetViews>
    <sheetView topLeftCell="A10" workbookViewId="0">
      <selection activeCell="E47" sqref="E47"/>
    </sheetView>
  </sheetViews>
  <sheetFormatPr defaultRowHeight="15"/>
  <cols>
    <col min="1" max="16384" width="9.140625" style="311"/>
  </cols>
  <sheetData>
    <row r="1" spans="1:19">
      <c r="A1" s="310" t="s">
        <v>215</v>
      </c>
      <c r="B1" s="312"/>
    </row>
    <row r="2" spans="1:19">
      <c r="A2" s="310" t="s">
        <v>209</v>
      </c>
      <c r="B2" s="312"/>
    </row>
    <row r="3" spans="1:19">
      <c r="A3" s="310" t="s">
        <v>376</v>
      </c>
      <c r="B3" s="312"/>
    </row>
    <row r="4" spans="1:19">
      <c r="A4" s="310" t="s">
        <v>414</v>
      </c>
    </row>
    <row r="5" spans="1:19" s="362" customFormat="1" ht="14.25">
      <c r="A5" s="314" t="s">
        <v>0</v>
      </c>
      <c r="B5" s="314"/>
      <c r="C5" s="314"/>
      <c r="D5" s="314" t="s">
        <v>1</v>
      </c>
      <c r="E5" s="314" t="s">
        <v>2</v>
      </c>
      <c r="F5" s="314" t="s">
        <v>3</v>
      </c>
      <c r="G5" s="314" t="s">
        <v>4</v>
      </c>
      <c r="H5" s="314" t="s">
        <v>5</v>
      </c>
      <c r="I5" s="359" t="s">
        <v>6</v>
      </c>
      <c r="J5" s="360" t="s">
        <v>41</v>
      </c>
      <c r="K5" s="314" t="s">
        <v>8</v>
      </c>
      <c r="L5" s="314" t="s">
        <v>9</v>
      </c>
      <c r="M5" s="314"/>
      <c r="N5" s="361"/>
      <c r="O5" s="337"/>
    </row>
    <row r="6" spans="1:19" s="362" customFormat="1" ht="14.25">
      <c r="A6" s="316"/>
      <c r="B6" s="316"/>
      <c r="C6" s="316"/>
      <c r="D6" s="316" t="s">
        <v>10</v>
      </c>
      <c r="E6" s="316" t="s">
        <v>11</v>
      </c>
      <c r="F6" s="316" t="s">
        <v>11</v>
      </c>
      <c r="G6" s="316" t="s">
        <v>12</v>
      </c>
      <c r="H6" s="316" t="s">
        <v>13</v>
      </c>
      <c r="I6" s="363" t="s">
        <v>14</v>
      </c>
      <c r="J6" s="364" t="s">
        <v>13</v>
      </c>
      <c r="K6" s="316" t="s">
        <v>13</v>
      </c>
      <c r="L6" s="316" t="s">
        <v>6</v>
      </c>
      <c r="M6" s="316" t="s">
        <v>409</v>
      </c>
      <c r="N6" s="361"/>
      <c r="O6" s="337"/>
    </row>
    <row r="7" spans="1:19" s="362" customFormat="1" ht="14.25">
      <c r="A7" s="316"/>
      <c r="B7" s="316"/>
      <c r="C7" s="316"/>
      <c r="D7" s="316" t="s">
        <v>15</v>
      </c>
      <c r="E7" s="316"/>
      <c r="F7" s="316"/>
      <c r="G7" s="316"/>
      <c r="H7" s="316" t="s">
        <v>16</v>
      </c>
      <c r="I7" s="316" t="s">
        <v>13</v>
      </c>
      <c r="J7" s="316" t="s">
        <v>16</v>
      </c>
      <c r="K7" s="316" t="s">
        <v>16</v>
      </c>
      <c r="L7" s="316"/>
      <c r="M7" s="316"/>
      <c r="N7" s="361"/>
      <c r="O7" s="337"/>
    </row>
    <row r="8" spans="1:19" s="362" customFormat="1" ht="14.25">
      <c r="A8" s="318"/>
      <c r="B8" s="318"/>
      <c r="C8" s="318"/>
      <c r="D8" s="318"/>
      <c r="E8" s="318"/>
      <c r="F8" s="318"/>
      <c r="G8" s="318"/>
      <c r="H8" s="318"/>
      <c r="I8" s="318" t="s">
        <v>16</v>
      </c>
      <c r="J8" s="318"/>
      <c r="K8" s="318"/>
      <c r="L8" s="318"/>
      <c r="M8" s="318"/>
      <c r="N8" s="361"/>
      <c r="O8" s="365"/>
    </row>
    <row r="9" spans="1:19" s="362" customFormat="1" ht="14.25">
      <c r="A9" s="316" t="s">
        <v>81</v>
      </c>
      <c r="B9" s="316"/>
      <c r="C9" s="316"/>
      <c r="D9" s="366">
        <v>76</v>
      </c>
      <c r="E9" s="366">
        <v>5.65</v>
      </c>
      <c r="F9" s="366">
        <v>2.37</v>
      </c>
      <c r="G9" s="366">
        <v>1000</v>
      </c>
      <c r="H9" s="367">
        <f>SUM(E9*G9)</f>
        <v>5650</v>
      </c>
      <c r="I9" s="316"/>
      <c r="J9" s="366"/>
      <c r="K9" s="367">
        <f>SUM(H9:J9)</f>
        <v>5650</v>
      </c>
      <c r="L9" s="316"/>
      <c r="M9" s="316"/>
      <c r="N9" s="361"/>
      <c r="O9" s="337"/>
      <c r="P9" s="337"/>
      <c r="Q9" s="337"/>
      <c r="R9" s="341"/>
    </row>
    <row r="10" spans="1:19" s="362" customFormat="1" ht="14.25">
      <c r="A10" s="361" t="s">
        <v>410</v>
      </c>
      <c r="B10" s="361"/>
      <c r="C10" s="361"/>
      <c r="D10" s="368">
        <v>100</v>
      </c>
      <c r="E10" s="367">
        <v>0.44</v>
      </c>
      <c r="F10" s="367">
        <v>0.44</v>
      </c>
      <c r="G10" s="369">
        <v>1000</v>
      </c>
      <c r="H10" s="367">
        <f>SUM(E10*G10)</f>
        <v>440</v>
      </c>
      <c r="I10" s="370">
        <v>5451</v>
      </c>
      <c r="J10" s="367"/>
      <c r="K10" s="367">
        <f>SUM(H10:J10)</f>
        <v>5891</v>
      </c>
      <c r="L10" s="361"/>
      <c r="M10" s="361"/>
      <c r="N10" s="361"/>
      <c r="O10" s="337"/>
      <c r="P10" s="337"/>
      <c r="Q10" s="337"/>
      <c r="R10" s="341"/>
      <c r="S10" s="371"/>
    </row>
    <row r="11" spans="1:19" s="362" customFormat="1" ht="14.25">
      <c r="A11" s="361" t="s">
        <v>87</v>
      </c>
      <c r="B11" s="361"/>
      <c r="C11" s="361"/>
      <c r="D11" s="368">
        <v>100</v>
      </c>
      <c r="E11" s="370">
        <v>6.77</v>
      </c>
      <c r="F11" s="370">
        <v>2.91</v>
      </c>
      <c r="G11" s="372">
        <v>1125</v>
      </c>
      <c r="H11" s="367">
        <v>7616</v>
      </c>
      <c r="I11" s="361"/>
      <c r="J11" s="367">
        <f>E25*G25</f>
        <v>5529</v>
      </c>
      <c r="K11" s="367">
        <f t="shared" ref="K11:K17" si="0">SUM(H11:J11)</f>
        <v>13145</v>
      </c>
      <c r="L11" s="361"/>
      <c r="M11" s="361"/>
      <c r="N11" s="361"/>
      <c r="O11" s="337"/>
      <c r="P11" s="337"/>
      <c r="Q11" s="337"/>
      <c r="R11" s="341"/>
      <c r="S11" s="371"/>
    </row>
    <row r="12" spans="1:19" s="362" customFormat="1" ht="14.25">
      <c r="A12" s="361" t="s">
        <v>25</v>
      </c>
      <c r="B12" s="361"/>
      <c r="C12" s="361"/>
      <c r="D12" s="373">
        <v>100</v>
      </c>
      <c r="E12" s="367">
        <v>6.09</v>
      </c>
      <c r="F12" s="367">
        <v>2.78</v>
      </c>
      <c r="G12" s="369">
        <v>1053.33</v>
      </c>
      <c r="H12" s="367">
        <v>6415</v>
      </c>
      <c r="I12" s="361"/>
      <c r="J12" s="367">
        <f>(E31*G31)+(E32*G32)+(E33*G33)</f>
        <v>6976</v>
      </c>
      <c r="K12" s="367">
        <f>SUM(H12:J12)</f>
        <v>13391</v>
      </c>
      <c r="L12" s="361"/>
      <c r="M12" s="361"/>
      <c r="N12" s="361"/>
      <c r="O12" s="337"/>
      <c r="P12" s="337"/>
      <c r="Q12" s="337"/>
      <c r="R12" s="341"/>
      <c r="S12" s="371"/>
    </row>
    <row r="13" spans="1:19" s="362" customFormat="1" ht="14.25">
      <c r="A13" s="361" t="s">
        <v>411</v>
      </c>
      <c r="B13" s="361"/>
      <c r="C13" s="361"/>
      <c r="D13" s="373">
        <v>50</v>
      </c>
      <c r="E13" s="367">
        <v>1.1100000000000001</v>
      </c>
      <c r="F13" s="367">
        <v>0.47</v>
      </c>
      <c r="G13" s="369">
        <v>1100</v>
      </c>
      <c r="H13" s="367">
        <f>SUM(E13*G13)</f>
        <v>1221</v>
      </c>
      <c r="I13" s="361"/>
      <c r="J13" s="367">
        <v>2476</v>
      </c>
      <c r="K13" s="367">
        <f>SUM(H13:J13)</f>
        <v>3697</v>
      </c>
      <c r="L13" s="361"/>
      <c r="M13" s="361"/>
      <c r="N13" s="361"/>
      <c r="O13" s="337"/>
      <c r="P13" s="337"/>
      <c r="Q13" s="337"/>
      <c r="R13" s="341"/>
      <c r="S13" s="371"/>
    </row>
    <row r="14" spans="1:19" s="362" customFormat="1" ht="14.25">
      <c r="A14" s="361" t="s">
        <v>144</v>
      </c>
      <c r="B14" s="361"/>
      <c r="C14" s="361"/>
      <c r="D14" s="373">
        <v>44</v>
      </c>
      <c r="E14" s="367">
        <v>7.46</v>
      </c>
      <c r="F14" s="367">
        <v>2.36</v>
      </c>
      <c r="G14" s="369">
        <v>1118.18</v>
      </c>
      <c r="H14" s="367">
        <v>8342</v>
      </c>
      <c r="I14" s="361"/>
      <c r="J14" s="367"/>
      <c r="K14" s="367">
        <f>SUM(H14:J14)</f>
        <v>8342</v>
      </c>
      <c r="L14" s="361"/>
      <c r="M14" s="361"/>
      <c r="N14" s="361"/>
      <c r="O14" s="337"/>
      <c r="P14" s="337"/>
      <c r="Q14" s="337"/>
      <c r="R14" s="341"/>
      <c r="S14" s="371"/>
    </row>
    <row r="15" spans="1:19" s="362" customFormat="1" ht="14.25">
      <c r="A15" s="361" t="s">
        <v>232</v>
      </c>
      <c r="B15" s="361"/>
      <c r="C15" s="361"/>
      <c r="D15" s="373">
        <v>100</v>
      </c>
      <c r="E15" s="367">
        <v>6.86</v>
      </c>
      <c r="F15" s="367">
        <v>2.2200000000000002</v>
      </c>
      <c r="G15" s="369">
        <v>1140.9100000000001</v>
      </c>
      <c r="H15" s="367">
        <v>7827</v>
      </c>
      <c r="I15" s="374"/>
      <c r="J15" s="367"/>
      <c r="K15" s="367">
        <f t="shared" si="0"/>
        <v>7827</v>
      </c>
      <c r="L15" s="361"/>
      <c r="M15" s="361"/>
      <c r="N15" s="361"/>
      <c r="O15" s="337"/>
      <c r="P15" s="337"/>
      <c r="Q15" s="337"/>
      <c r="R15" s="341"/>
      <c r="S15" s="371"/>
    </row>
    <row r="16" spans="1:19" s="362" customFormat="1" ht="14.25">
      <c r="A16" s="361" t="s">
        <v>220</v>
      </c>
      <c r="B16" s="361"/>
      <c r="C16" s="361"/>
      <c r="D16" s="373">
        <v>100</v>
      </c>
      <c r="E16" s="367">
        <v>1.62</v>
      </c>
      <c r="F16" s="367">
        <v>0.64</v>
      </c>
      <c r="G16" s="369">
        <v>1000</v>
      </c>
      <c r="H16" s="367">
        <f t="shared" ref="H16:H17" si="1">SUM(E16*G16)</f>
        <v>1620</v>
      </c>
      <c r="I16" s="367">
        <v>2338</v>
      </c>
      <c r="J16" s="367"/>
      <c r="K16" s="367">
        <f>SUM(H16:J16)</f>
        <v>3958</v>
      </c>
      <c r="L16" s="361"/>
      <c r="M16" s="361"/>
      <c r="N16" s="361"/>
      <c r="O16" s="375"/>
      <c r="Q16" s="376"/>
      <c r="R16" s="377"/>
      <c r="S16" s="371"/>
    </row>
    <row r="17" spans="1:43" s="362" customFormat="1" ht="14.25">
      <c r="A17" s="361" t="s">
        <v>36</v>
      </c>
      <c r="B17" s="361"/>
      <c r="C17" s="361"/>
      <c r="D17" s="368">
        <v>70</v>
      </c>
      <c r="E17" s="367">
        <v>0.42</v>
      </c>
      <c r="F17" s="367">
        <v>0.42</v>
      </c>
      <c r="G17" s="369">
        <v>950</v>
      </c>
      <c r="H17" s="367">
        <f t="shared" si="1"/>
        <v>399</v>
      </c>
      <c r="I17" s="370">
        <v>762</v>
      </c>
      <c r="J17" s="367"/>
      <c r="K17" s="367">
        <f t="shared" si="0"/>
        <v>1161</v>
      </c>
      <c r="L17" s="361"/>
      <c r="M17" s="361"/>
      <c r="N17" s="361"/>
      <c r="O17" s="337"/>
    </row>
    <row r="18" spans="1:43" s="362" customFormat="1" ht="14.25">
      <c r="A18" s="314" t="s">
        <v>37</v>
      </c>
      <c r="B18" s="314"/>
      <c r="C18" s="314"/>
      <c r="D18" s="378"/>
      <c r="E18" s="322">
        <f>SUM(E9:E17)</f>
        <v>36.42</v>
      </c>
      <c r="F18" s="322">
        <f>SUM(F9:F17)</f>
        <v>14.610000000000001</v>
      </c>
      <c r="G18" s="322"/>
      <c r="H18" s="322">
        <f t="shared" ref="H18:M18" si="2">SUM(H9:H17)</f>
        <v>39530</v>
      </c>
      <c r="I18" s="322">
        <f t="shared" si="2"/>
        <v>8551</v>
      </c>
      <c r="J18" s="322">
        <f t="shared" si="2"/>
        <v>14981</v>
      </c>
      <c r="K18" s="322">
        <f t="shared" si="2"/>
        <v>63062</v>
      </c>
      <c r="L18" s="322">
        <f t="shared" si="2"/>
        <v>0</v>
      </c>
      <c r="M18" s="322">
        <f t="shared" si="2"/>
        <v>0</v>
      </c>
      <c r="N18" s="361"/>
      <c r="O18" s="337"/>
    </row>
    <row r="19" spans="1:43" s="362" customFormat="1" ht="14.25">
      <c r="A19" s="318" t="s">
        <v>38</v>
      </c>
      <c r="B19" s="318"/>
      <c r="C19" s="318"/>
      <c r="D19" s="379"/>
      <c r="E19" s="324">
        <f>SUM(E18-F18)</f>
        <v>21.810000000000002</v>
      </c>
      <c r="F19" s="324"/>
      <c r="G19" s="324"/>
      <c r="H19" s="324">
        <f>SUM(E27*G27)</f>
        <v>23496</v>
      </c>
      <c r="I19" s="324">
        <f>I18-L18</f>
        <v>8551</v>
      </c>
      <c r="J19" s="324">
        <f>J18-M18</f>
        <v>14981</v>
      </c>
      <c r="K19" s="324">
        <f>SUM(H19:J19)</f>
        <v>47028</v>
      </c>
      <c r="L19" s="318"/>
      <c r="M19" s="318"/>
      <c r="N19" s="361"/>
      <c r="O19" s="337"/>
    </row>
    <row r="20" spans="1:43" s="362" customFormat="1" ht="14.25">
      <c r="A20" s="361"/>
      <c r="B20" s="361"/>
      <c r="C20" s="361" t="s">
        <v>39</v>
      </c>
      <c r="D20" s="361"/>
      <c r="E20" s="361"/>
      <c r="F20" s="361"/>
      <c r="G20" s="361"/>
      <c r="H20" s="361"/>
      <c r="I20" s="361"/>
      <c r="J20" s="361"/>
      <c r="K20" s="361"/>
      <c r="L20" s="361"/>
      <c r="M20" s="361"/>
      <c r="N20" s="361"/>
      <c r="O20" s="337"/>
    </row>
    <row r="21" spans="1:43" s="362" customFormat="1" ht="14.25">
      <c r="A21" s="361"/>
      <c r="B21" s="361"/>
      <c r="C21" s="361"/>
      <c r="D21" s="361"/>
      <c r="E21" s="361"/>
      <c r="F21" s="361"/>
      <c r="G21" s="361"/>
      <c r="H21" s="361"/>
      <c r="I21" s="367"/>
      <c r="J21" s="316"/>
      <c r="K21" s="316"/>
      <c r="L21" s="361"/>
      <c r="M21" s="361"/>
      <c r="N21" s="361"/>
      <c r="O21" s="337"/>
    </row>
    <row r="22" spans="1:43" s="362" customFormat="1" ht="14.25">
      <c r="A22" s="361" t="s">
        <v>40</v>
      </c>
      <c r="B22" s="361"/>
      <c r="C22" s="361"/>
      <c r="D22" s="361"/>
      <c r="E22" s="361"/>
      <c r="F22" s="361"/>
      <c r="G22" s="361"/>
      <c r="H22" s="361"/>
      <c r="I22" s="380"/>
      <c r="J22" s="381"/>
      <c r="K22" s="382" t="s">
        <v>59</v>
      </c>
      <c r="L22" s="383">
        <v>2.4300000000000002</v>
      </c>
      <c r="M22" s="361"/>
      <c r="N22" s="361"/>
      <c r="O22" s="337"/>
    </row>
    <row r="23" spans="1:43" s="362" customFormat="1" ht="14.25">
      <c r="A23" s="326" t="s">
        <v>41</v>
      </c>
      <c r="B23" s="326"/>
      <c r="C23" s="326"/>
      <c r="D23" s="326" t="s">
        <v>42</v>
      </c>
      <c r="E23" s="326" t="s">
        <v>43</v>
      </c>
      <c r="F23" s="326"/>
      <c r="G23" s="326" t="s">
        <v>44</v>
      </c>
      <c r="H23" s="361"/>
      <c r="I23" s="384"/>
      <c r="J23" s="384"/>
      <c r="K23" s="385" t="s">
        <v>187</v>
      </c>
      <c r="L23" s="386">
        <v>2</v>
      </c>
      <c r="M23" s="361"/>
      <c r="N23" s="361"/>
      <c r="O23" s="337"/>
    </row>
    <row r="24" spans="1:43" s="362" customFormat="1" ht="14.25">
      <c r="A24" s="387" t="s">
        <v>45</v>
      </c>
      <c r="B24" s="361"/>
      <c r="C24" s="361"/>
      <c r="D24" s="361" t="s">
        <v>222</v>
      </c>
      <c r="E24" s="361"/>
      <c r="F24" s="361"/>
      <c r="G24" s="367"/>
      <c r="H24" s="361"/>
      <c r="I24" s="388"/>
      <c r="J24" s="389"/>
      <c r="K24" s="390"/>
      <c r="L24" s="361"/>
      <c r="M24" s="361"/>
      <c r="N24" s="361"/>
      <c r="O24" s="337"/>
    </row>
    <row r="25" spans="1:43" s="362" customFormat="1" ht="14.25">
      <c r="A25" s="361" t="s">
        <v>233</v>
      </c>
      <c r="B25" s="361"/>
      <c r="C25" s="361"/>
      <c r="D25" s="361"/>
      <c r="E25" s="367">
        <v>5.7</v>
      </c>
      <c r="F25" s="361"/>
      <c r="G25" s="367">
        <v>970</v>
      </c>
      <c r="H25" s="361"/>
      <c r="I25" s="361"/>
      <c r="J25" s="380"/>
      <c r="K25" s="391" t="s">
        <v>48</v>
      </c>
      <c r="L25" s="391" t="s">
        <v>49</v>
      </c>
      <c r="M25" s="392"/>
    </row>
    <row r="26" spans="1:43" s="362" customFormat="1" ht="14.25">
      <c r="A26" s="387" t="s">
        <v>54</v>
      </c>
      <c r="B26" s="361"/>
      <c r="C26" s="361"/>
      <c r="D26" s="361"/>
      <c r="E26" s="361"/>
      <c r="F26" s="361"/>
      <c r="G26" s="361"/>
      <c r="H26" s="361"/>
      <c r="I26" s="361"/>
      <c r="J26" s="388"/>
      <c r="K26" s="393" t="s">
        <v>412</v>
      </c>
      <c r="L26" s="394">
        <v>43</v>
      </c>
      <c r="M26" s="395"/>
      <c r="AO26" s="337" t="s">
        <v>223</v>
      </c>
      <c r="AP26" s="337">
        <f>5036/615</f>
        <v>8.1886178861788625</v>
      </c>
      <c r="AQ26" s="337">
        <f>5402/742</f>
        <v>7.2803234501347704</v>
      </c>
    </row>
    <row r="27" spans="1:43" s="362" customFormat="1" ht="14.25">
      <c r="A27" s="361" t="s">
        <v>56</v>
      </c>
      <c r="B27" s="361"/>
      <c r="C27" s="361"/>
      <c r="D27" s="361" t="s">
        <v>57</v>
      </c>
      <c r="E27" s="367">
        <v>22</v>
      </c>
      <c r="F27" s="361"/>
      <c r="G27" s="367">
        <v>1068</v>
      </c>
      <c r="H27" s="361"/>
      <c r="I27" s="361"/>
      <c r="J27" s="396"/>
      <c r="K27" s="393" t="s">
        <v>413</v>
      </c>
      <c r="L27" s="394">
        <v>57</v>
      </c>
      <c r="M27" s="395"/>
      <c r="AO27" s="337" t="s">
        <v>224</v>
      </c>
      <c r="AP27" s="337">
        <f>5846/615</f>
        <v>9.5056910569105693</v>
      </c>
      <c r="AQ27" s="362">
        <f>4683.5/742</f>
        <v>6.3119946091644206</v>
      </c>
    </row>
    <row r="28" spans="1:43" s="362" customFormat="1" ht="14.25">
      <c r="A28" s="361" t="s">
        <v>58</v>
      </c>
      <c r="B28" s="361"/>
      <c r="C28" s="361"/>
      <c r="D28" s="361" t="s">
        <v>57</v>
      </c>
      <c r="E28" s="367">
        <v>15</v>
      </c>
      <c r="F28" s="361"/>
      <c r="G28" s="361"/>
      <c r="H28" s="361"/>
      <c r="I28" s="361"/>
      <c r="J28" s="396"/>
      <c r="K28" s="384"/>
      <c r="L28" s="397"/>
      <c r="M28" s="395"/>
      <c r="AO28" s="337" t="s">
        <v>225</v>
      </c>
      <c r="AP28" s="362">
        <f>6912/615</f>
        <v>11.239024390243902</v>
      </c>
      <c r="AQ28" s="337">
        <f>6807/742</f>
        <v>9.1738544474393535</v>
      </c>
    </row>
    <row r="29" spans="1:43" s="362" customFormat="1" ht="14.25">
      <c r="A29" s="361" t="s">
        <v>2</v>
      </c>
      <c r="B29" s="361"/>
      <c r="C29" s="361"/>
      <c r="D29" s="361"/>
      <c r="E29" s="367">
        <f>SUM(E27:E28)</f>
        <v>37</v>
      </c>
      <c r="F29" s="361"/>
      <c r="G29" s="361"/>
      <c r="H29" s="361"/>
      <c r="I29" s="361"/>
      <c r="J29" s="384"/>
      <c r="K29" s="384"/>
      <c r="L29" s="397"/>
      <c r="M29" s="395"/>
      <c r="AO29" s="337" t="s">
        <v>226</v>
      </c>
      <c r="AP29" s="362">
        <f>1976/615</f>
        <v>3.2130081300813007</v>
      </c>
      <c r="AQ29" s="337">
        <f>1593/742</f>
        <v>2.1469002695417791</v>
      </c>
    </row>
    <row r="30" spans="1:43" s="362" customFormat="1" ht="14.25">
      <c r="A30" s="314" t="s">
        <v>61</v>
      </c>
      <c r="B30" s="314"/>
      <c r="C30" s="314" t="s">
        <v>62</v>
      </c>
      <c r="D30" s="314"/>
      <c r="E30" s="314"/>
      <c r="F30" s="314"/>
      <c r="G30" s="314"/>
      <c r="H30" s="361"/>
      <c r="I30" s="361"/>
      <c r="J30" s="361"/>
      <c r="K30" s="384"/>
      <c r="L30" s="397"/>
      <c r="M30" s="395"/>
      <c r="AO30" s="337" t="s">
        <v>227</v>
      </c>
      <c r="AP30" s="337">
        <f>5622/615</f>
        <v>9.1414634146341456</v>
      </c>
      <c r="AQ30" s="337">
        <f>5622/742</f>
        <v>7.5768194070080863</v>
      </c>
    </row>
    <row r="31" spans="1:43" s="362" customFormat="1" ht="14.25">
      <c r="A31" s="316" t="s">
        <v>63</v>
      </c>
      <c r="B31" s="316"/>
      <c r="C31" s="366">
        <v>100</v>
      </c>
      <c r="D31" s="316" t="s">
        <v>47</v>
      </c>
      <c r="E31" s="320">
        <v>178</v>
      </c>
      <c r="F31" s="316"/>
      <c r="G31" s="320">
        <v>24</v>
      </c>
      <c r="H31" s="361"/>
      <c r="I31" s="361"/>
      <c r="J31" s="361"/>
      <c r="K31" s="398"/>
      <c r="L31" s="397"/>
      <c r="M31" s="395"/>
      <c r="AO31" s="337"/>
      <c r="AP31" s="337">
        <f>1893/615</f>
        <v>3.0780487804878049</v>
      </c>
      <c r="AQ31" s="337">
        <f>4893/742</f>
        <v>6.5943396226415096</v>
      </c>
    </row>
    <row r="32" spans="1:43" s="362" customFormat="1" ht="14.25">
      <c r="A32" s="316" t="s">
        <v>129</v>
      </c>
      <c r="B32" s="316"/>
      <c r="C32" s="366">
        <v>80</v>
      </c>
      <c r="D32" s="316" t="s">
        <v>47</v>
      </c>
      <c r="E32" s="320">
        <v>65</v>
      </c>
      <c r="F32" s="316"/>
      <c r="G32" s="320">
        <v>26</v>
      </c>
      <c r="H32" s="361"/>
      <c r="I32" s="361"/>
      <c r="J32" s="361"/>
      <c r="K32" s="398"/>
      <c r="L32" s="397"/>
      <c r="M32" s="395"/>
      <c r="AO32" s="337"/>
      <c r="AP32" s="337"/>
      <c r="AQ32" s="337"/>
    </row>
    <row r="33" spans="1:15" s="362" customFormat="1" ht="14.25">
      <c r="A33" s="316" t="s">
        <v>130</v>
      </c>
      <c r="B33" s="316"/>
      <c r="C33" s="366">
        <v>76</v>
      </c>
      <c r="D33" s="316" t="s">
        <v>47</v>
      </c>
      <c r="E33" s="320">
        <v>39</v>
      </c>
      <c r="F33" s="316"/>
      <c r="G33" s="320">
        <v>26</v>
      </c>
      <c r="H33" s="361"/>
      <c r="I33" s="361"/>
      <c r="J33" s="361"/>
      <c r="K33" s="384"/>
      <c r="L33" s="397"/>
      <c r="M33" s="395"/>
    </row>
    <row r="34" spans="1:15" s="362" customFormat="1" ht="14.25">
      <c r="A34" s="314" t="s">
        <v>66</v>
      </c>
      <c r="B34" s="314"/>
      <c r="C34" s="314"/>
      <c r="D34" s="314"/>
      <c r="E34" s="314"/>
      <c r="F34" s="314"/>
      <c r="G34" s="314"/>
      <c r="H34" s="361"/>
      <c r="I34" s="361" t="s">
        <v>228</v>
      </c>
      <c r="J34" s="361"/>
      <c r="K34" s="384"/>
      <c r="L34" s="397"/>
      <c r="M34" s="395"/>
    </row>
    <row r="35" spans="1:15" s="362" customFormat="1" ht="14.25">
      <c r="A35" s="316" t="s">
        <v>68</v>
      </c>
      <c r="B35" s="316"/>
      <c r="C35" s="316"/>
      <c r="D35" s="316"/>
      <c r="E35" s="316"/>
      <c r="F35" s="316"/>
      <c r="G35" s="399">
        <v>1968</v>
      </c>
      <c r="H35" s="361"/>
      <c r="I35" s="367">
        <v>4861</v>
      </c>
      <c r="J35" s="361"/>
      <c r="K35" s="397"/>
      <c r="L35" s="397"/>
      <c r="M35" s="395"/>
    </row>
    <row r="36" spans="1:15" s="362" customFormat="1" ht="14.25">
      <c r="A36" s="316" t="s">
        <v>69</v>
      </c>
      <c r="B36" s="316"/>
      <c r="C36" s="316"/>
      <c r="D36" s="316"/>
      <c r="E36" s="316"/>
      <c r="F36" s="316"/>
      <c r="G36" s="400">
        <v>36</v>
      </c>
      <c r="H36" s="361"/>
      <c r="I36" s="367"/>
      <c r="J36" s="361"/>
      <c r="K36" s="361"/>
      <c r="L36" s="361"/>
      <c r="M36" s="361"/>
      <c r="N36" s="361"/>
      <c r="O36" s="337"/>
    </row>
    <row r="37" spans="1:15" s="362" customFormat="1" ht="14.25">
      <c r="A37" s="316" t="s">
        <v>70</v>
      </c>
      <c r="B37" s="316"/>
      <c r="C37" s="316"/>
      <c r="D37" s="316"/>
      <c r="E37" s="316"/>
      <c r="F37" s="316"/>
      <c r="G37" s="400">
        <f>SUM(G35*G36)</f>
        <v>70848</v>
      </c>
      <c r="H37" s="361"/>
      <c r="I37" s="401">
        <f>G37*2.471</f>
        <v>175065.408</v>
      </c>
      <c r="J37" s="361"/>
      <c r="K37" s="361"/>
      <c r="L37" s="361"/>
      <c r="M37" s="361"/>
      <c r="N37" s="361"/>
      <c r="O37" s="337"/>
    </row>
    <row r="38" spans="1:15" s="362" customFormat="1" ht="14.25">
      <c r="A38" s="316" t="s">
        <v>71</v>
      </c>
      <c r="B38" s="316"/>
      <c r="C38" s="316"/>
      <c r="D38" s="316"/>
      <c r="E38" s="316"/>
      <c r="F38" s="316"/>
      <c r="G38" s="400">
        <f>SUM(G37-K18)</f>
        <v>7786</v>
      </c>
      <c r="H38" s="361"/>
      <c r="I38" s="401">
        <f t="shared" ref="I38:I39" si="3">G38*2.471</f>
        <v>19239.206000000002</v>
      </c>
      <c r="J38" s="361"/>
      <c r="K38" s="361"/>
      <c r="L38" s="361"/>
      <c r="M38" s="361"/>
      <c r="N38" s="361"/>
      <c r="O38" s="337"/>
    </row>
    <row r="39" spans="1:15" s="362" customFormat="1" ht="14.25">
      <c r="A39" s="316" t="s">
        <v>72</v>
      </c>
      <c r="B39" s="316"/>
      <c r="C39" s="316"/>
      <c r="D39" s="316"/>
      <c r="E39" s="316"/>
      <c r="F39" s="316"/>
      <c r="G39" s="400">
        <f>SUM(G37-K19)</f>
        <v>23820</v>
      </c>
      <c r="H39" s="361"/>
      <c r="I39" s="401">
        <f t="shared" si="3"/>
        <v>58859.22</v>
      </c>
      <c r="J39" s="361"/>
      <c r="K39" s="361"/>
      <c r="L39" s="361"/>
      <c r="M39" s="361"/>
      <c r="N39" s="361"/>
      <c r="O39" s="337"/>
    </row>
    <row r="40" spans="1:15" s="362" customFormat="1" ht="14.25">
      <c r="A40" s="316"/>
      <c r="B40" s="316"/>
      <c r="C40" s="316"/>
      <c r="D40" s="316"/>
      <c r="E40" s="316"/>
      <c r="F40" s="316"/>
      <c r="G40" s="400"/>
      <c r="H40" s="361"/>
      <c r="I40" s="361"/>
      <c r="J40" s="361"/>
      <c r="K40" s="361"/>
      <c r="L40" s="361"/>
      <c r="M40" s="361"/>
      <c r="N40" s="361"/>
      <c r="O40" s="337"/>
    </row>
    <row r="41" spans="1:15" s="362" customFormat="1" ht="14.25">
      <c r="A41" s="316" t="s">
        <v>73</v>
      </c>
      <c r="B41" s="316"/>
      <c r="C41" s="316"/>
      <c r="D41" s="316"/>
      <c r="E41" s="316"/>
      <c r="F41" s="316"/>
      <c r="G41" s="400">
        <f>SUM(K18/G35)</f>
        <v>32.043699186991873</v>
      </c>
      <c r="H41" s="361"/>
      <c r="I41" s="361"/>
      <c r="J41" s="361"/>
      <c r="K41" s="361"/>
      <c r="L41" s="361"/>
      <c r="M41" s="361"/>
      <c r="N41" s="361"/>
      <c r="O41" s="337"/>
    </row>
    <row r="42" spans="1:15" s="362" customFormat="1" ht="14.25">
      <c r="A42" s="318" t="s">
        <v>74</v>
      </c>
      <c r="B42" s="318"/>
      <c r="C42" s="318"/>
      <c r="D42" s="318"/>
      <c r="E42" s="318"/>
      <c r="F42" s="318"/>
      <c r="G42" s="402">
        <f>SUM(K19/G35)</f>
        <v>23.896341463414632</v>
      </c>
      <c r="H42" s="361"/>
      <c r="I42" s="361"/>
      <c r="J42" s="361"/>
      <c r="K42" s="361"/>
      <c r="L42" s="361"/>
      <c r="M42" s="361"/>
      <c r="N42" s="361"/>
      <c r="O42" s="337"/>
    </row>
    <row r="43" spans="1:15" s="362" customFormat="1" ht="14.25">
      <c r="A43" s="361"/>
      <c r="B43" s="361"/>
      <c r="C43" s="361"/>
      <c r="D43" s="361"/>
      <c r="E43" s="361"/>
      <c r="F43" s="361"/>
      <c r="G43" s="361"/>
      <c r="H43" s="361"/>
      <c r="I43" s="361"/>
      <c r="J43" s="361"/>
      <c r="K43" s="361"/>
      <c r="L43" s="361"/>
      <c r="M43" s="361"/>
      <c r="N43" s="361"/>
      <c r="O43" s="337"/>
    </row>
    <row r="44" spans="1:15" s="362" customFormat="1" ht="14.25">
      <c r="A44" s="361"/>
      <c r="B44" s="361"/>
      <c r="C44" s="361"/>
      <c r="D44" s="361"/>
      <c r="E44" s="361"/>
      <c r="F44" s="361"/>
      <c r="G44" s="361"/>
      <c r="H44" s="361"/>
      <c r="I44" s="361"/>
      <c r="J44" s="361"/>
      <c r="K44" s="361"/>
      <c r="L44" s="361"/>
      <c r="M44" s="361"/>
      <c r="N44" s="361"/>
      <c r="O44" s="337"/>
    </row>
    <row r="45" spans="1:15" s="362" customFormat="1" ht="14.25">
      <c r="A45" s="361"/>
      <c r="B45" s="361"/>
      <c r="C45" s="361"/>
      <c r="D45" s="361"/>
      <c r="E45" s="361"/>
      <c r="F45" s="361"/>
      <c r="G45" s="361"/>
      <c r="H45" s="361"/>
      <c r="I45" s="361"/>
      <c r="J45" s="361"/>
      <c r="K45" s="361"/>
      <c r="L45" s="361"/>
      <c r="M45" s="361"/>
      <c r="N45" s="361"/>
      <c r="O45" s="337"/>
    </row>
    <row r="46" spans="1:15" s="362" customFormat="1" ht="14.25">
      <c r="A46" s="361"/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3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topLeftCell="A25" workbookViewId="0">
      <selection activeCell="B5" sqref="B5"/>
    </sheetView>
  </sheetViews>
  <sheetFormatPr defaultRowHeight="15"/>
  <cols>
    <col min="1" max="16384" width="9.140625" style="311"/>
  </cols>
  <sheetData>
    <row r="1" spans="1:13">
      <c r="A1" s="310" t="s">
        <v>230</v>
      </c>
      <c r="B1" s="312"/>
    </row>
    <row r="2" spans="1:13">
      <c r="A2" s="310" t="s">
        <v>416</v>
      </c>
      <c r="B2" s="312"/>
    </row>
    <row r="3" spans="1:13">
      <c r="A3" s="310" t="s">
        <v>376</v>
      </c>
      <c r="B3" s="312"/>
    </row>
    <row r="4" spans="1:13">
      <c r="A4" s="310"/>
    </row>
    <row r="5" spans="1:13" s="337" customFormat="1" ht="14.25">
      <c r="A5" s="313" t="s">
        <v>0</v>
      </c>
      <c r="B5" s="313"/>
      <c r="C5" s="313"/>
      <c r="D5" s="334" t="s">
        <v>1</v>
      </c>
      <c r="E5" s="334" t="s">
        <v>2</v>
      </c>
      <c r="F5" s="334" t="s">
        <v>3</v>
      </c>
      <c r="G5" s="334" t="s">
        <v>4</v>
      </c>
      <c r="H5" s="334" t="s">
        <v>5</v>
      </c>
      <c r="I5" s="334" t="s">
        <v>6</v>
      </c>
      <c r="J5" s="334" t="s">
        <v>7</v>
      </c>
      <c r="K5" s="334" t="s">
        <v>8</v>
      </c>
      <c r="L5" s="314" t="s">
        <v>9</v>
      </c>
      <c r="M5" s="334"/>
    </row>
    <row r="6" spans="1:13" s="337" customFormat="1" ht="14.25">
      <c r="A6" s="315"/>
      <c r="B6" s="315"/>
      <c r="C6" s="315"/>
      <c r="D6" s="338" t="s">
        <v>10</v>
      </c>
      <c r="E6" s="338" t="s">
        <v>11</v>
      </c>
      <c r="F6" s="338" t="s">
        <v>11</v>
      </c>
      <c r="G6" s="338" t="s">
        <v>12</v>
      </c>
      <c r="H6" s="338" t="s">
        <v>13</v>
      </c>
      <c r="I6" s="338" t="s">
        <v>14</v>
      </c>
      <c r="J6" s="338" t="s">
        <v>13</v>
      </c>
      <c r="K6" s="338" t="s">
        <v>13</v>
      </c>
      <c r="L6" s="316" t="s">
        <v>6</v>
      </c>
      <c r="M6" s="338" t="s">
        <v>7</v>
      </c>
    </row>
    <row r="7" spans="1:13" s="337" customFormat="1" ht="14.25">
      <c r="A7" s="315"/>
      <c r="B7" s="315"/>
      <c r="C7" s="315"/>
      <c r="D7" s="338" t="s">
        <v>15</v>
      </c>
      <c r="E7" s="338"/>
      <c r="F7" s="338"/>
      <c r="G7" s="338"/>
      <c r="H7" s="338" t="s">
        <v>16</v>
      </c>
      <c r="I7" s="338" t="s">
        <v>13</v>
      </c>
      <c r="J7" s="338" t="s">
        <v>16</v>
      </c>
      <c r="K7" s="338" t="s">
        <v>16</v>
      </c>
      <c r="L7" s="338"/>
      <c r="M7" s="338"/>
    </row>
    <row r="8" spans="1:13" s="337" customFormat="1" ht="14.25">
      <c r="A8" s="317"/>
      <c r="B8" s="317"/>
      <c r="C8" s="317"/>
      <c r="D8" s="339"/>
      <c r="E8" s="339"/>
      <c r="F8" s="339"/>
      <c r="G8" s="339"/>
      <c r="H8" s="339"/>
      <c r="I8" s="339" t="s">
        <v>16</v>
      </c>
      <c r="J8" s="339"/>
      <c r="K8" s="339"/>
      <c r="L8" s="339"/>
      <c r="M8" s="339"/>
    </row>
    <row r="9" spans="1:13" s="337" customFormat="1" ht="14.25">
      <c r="A9" s="337" t="s">
        <v>417</v>
      </c>
      <c r="D9" s="340">
        <v>100</v>
      </c>
      <c r="E9" s="341">
        <v>0.5</v>
      </c>
      <c r="F9" s="341">
        <v>0.5</v>
      </c>
      <c r="G9" s="342">
        <v>1000</v>
      </c>
      <c r="H9" s="341">
        <f t="shared" ref="H9:H19" si="0">SUM(E9*G9)</f>
        <v>500</v>
      </c>
      <c r="I9" s="341">
        <v>6948</v>
      </c>
      <c r="J9" s="341"/>
      <c r="K9" s="341">
        <f>H9+I9+J9</f>
        <v>7448</v>
      </c>
      <c r="L9" s="337">
        <v>1575</v>
      </c>
    </row>
    <row r="10" spans="1:13" s="337" customFormat="1" ht="14.25">
      <c r="A10" s="337" t="s">
        <v>418</v>
      </c>
      <c r="D10" s="340">
        <v>64</v>
      </c>
      <c r="E10" s="341">
        <v>0.5</v>
      </c>
      <c r="F10" s="341">
        <v>0.5</v>
      </c>
      <c r="G10" s="342">
        <v>1000</v>
      </c>
      <c r="H10" s="341">
        <f t="shared" si="0"/>
        <v>500</v>
      </c>
      <c r="I10" s="341">
        <v>2594</v>
      </c>
      <c r="J10" s="341"/>
      <c r="K10" s="341">
        <f t="shared" ref="K10:K19" si="1">H10+I10+J10</f>
        <v>3094</v>
      </c>
    </row>
    <row r="11" spans="1:13" s="337" customFormat="1" ht="14.25">
      <c r="A11" s="337" t="s">
        <v>419</v>
      </c>
      <c r="D11" s="405" t="s">
        <v>420</v>
      </c>
      <c r="E11" s="341">
        <v>0.4</v>
      </c>
      <c r="F11" s="341">
        <v>0.4</v>
      </c>
      <c r="G11" s="342">
        <v>1000</v>
      </c>
      <c r="H11" s="341" t="s">
        <v>421</v>
      </c>
      <c r="I11" s="406" t="s">
        <v>422</v>
      </c>
      <c r="J11" s="341"/>
      <c r="K11" s="341">
        <v>0</v>
      </c>
    </row>
    <row r="12" spans="1:13" s="337" customFormat="1" ht="14.25">
      <c r="A12" s="337" t="s">
        <v>423</v>
      </c>
      <c r="D12" s="405" t="s">
        <v>424</v>
      </c>
      <c r="E12" s="341">
        <v>0.3</v>
      </c>
      <c r="F12" s="341">
        <v>0.2</v>
      </c>
      <c r="G12" s="342">
        <v>1042</v>
      </c>
      <c r="H12" s="406" t="s">
        <v>425</v>
      </c>
      <c r="I12" s="406"/>
      <c r="J12" s="341"/>
      <c r="K12" s="341">
        <v>0</v>
      </c>
    </row>
    <row r="13" spans="1:13" s="337" customFormat="1" ht="14.25">
      <c r="A13" s="337" t="s">
        <v>180</v>
      </c>
      <c r="D13" s="340">
        <v>100</v>
      </c>
      <c r="E13" s="341">
        <v>3.5</v>
      </c>
      <c r="F13" s="341">
        <v>1.1000000000000001</v>
      </c>
      <c r="G13" s="342">
        <v>1052</v>
      </c>
      <c r="H13" s="341">
        <f t="shared" si="0"/>
        <v>3682</v>
      </c>
      <c r="J13" s="341">
        <v>5418</v>
      </c>
      <c r="K13" s="341">
        <f t="shared" si="1"/>
        <v>9100</v>
      </c>
    </row>
    <row r="14" spans="1:13" s="337" customFormat="1" ht="14.25">
      <c r="A14" s="337" t="s">
        <v>25</v>
      </c>
      <c r="D14" s="340">
        <v>100</v>
      </c>
      <c r="E14" s="341">
        <v>2.2999999999999998</v>
      </c>
      <c r="F14" s="341">
        <v>1.1000000000000001</v>
      </c>
      <c r="G14" s="342">
        <v>1002</v>
      </c>
      <c r="H14" s="341">
        <v>2305</v>
      </c>
      <c r="J14" s="341">
        <f>E32*G32+E33*G33</f>
        <v>3274</v>
      </c>
      <c r="K14" s="341">
        <f t="shared" si="1"/>
        <v>5579</v>
      </c>
    </row>
    <row r="15" spans="1:13" s="337" customFormat="1" ht="14.25">
      <c r="A15" s="337" t="s">
        <v>27</v>
      </c>
      <c r="D15" s="340">
        <v>100</v>
      </c>
      <c r="E15" s="341">
        <v>7.4</v>
      </c>
      <c r="F15" s="341">
        <v>1.6</v>
      </c>
      <c r="G15" s="342">
        <v>1019</v>
      </c>
      <c r="H15" s="341">
        <v>7541</v>
      </c>
      <c r="J15" s="341"/>
      <c r="K15" s="341">
        <f t="shared" si="1"/>
        <v>7541</v>
      </c>
    </row>
    <row r="16" spans="1:13" s="337" customFormat="1" ht="14.25">
      <c r="A16" s="337" t="s">
        <v>298</v>
      </c>
      <c r="D16" s="340">
        <v>48</v>
      </c>
      <c r="E16" s="341">
        <v>0.3</v>
      </c>
      <c r="F16" s="341">
        <v>0.2</v>
      </c>
      <c r="G16" s="342">
        <v>1000</v>
      </c>
      <c r="H16" s="341">
        <f t="shared" si="0"/>
        <v>300</v>
      </c>
      <c r="J16" s="341">
        <v>1343</v>
      </c>
      <c r="K16" s="341">
        <f t="shared" si="1"/>
        <v>1643</v>
      </c>
    </row>
    <row r="17" spans="1:13" s="337" customFormat="1" ht="14.25">
      <c r="A17" s="337" t="s">
        <v>90</v>
      </c>
      <c r="D17" s="340">
        <v>100</v>
      </c>
      <c r="E17" s="341">
        <v>6.7</v>
      </c>
      <c r="F17" s="341">
        <v>3.1</v>
      </c>
      <c r="G17" s="342">
        <v>1005</v>
      </c>
      <c r="H17" s="341">
        <v>6734</v>
      </c>
      <c r="J17" s="341"/>
      <c r="K17" s="341">
        <f t="shared" si="1"/>
        <v>6734</v>
      </c>
    </row>
    <row r="18" spans="1:13" s="337" customFormat="1" ht="14.25">
      <c r="A18" s="337" t="s">
        <v>426</v>
      </c>
      <c r="D18" s="340">
        <v>100</v>
      </c>
      <c r="E18" s="341">
        <v>2.08</v>
      </c>
      <c r="F18" s="341">
        <v>1.05</v>
      </c>
      <c r="G18" s="342">
        <v>1003</v>
      </c>
      <c r="H18" s="341">
        <v>2086</v>
      </c>
      <c r="I18" s="341">
        <v>2234</v>
      </c>
      <c r="J18" s="341"/>
      <c r="K18" s="341">
        <f t="shared" si="1"/>
        <v>4320</v>
      </c>
    </row>
    <row r="19" spans="1:13" s="337" customFormat="1" ht="14.25">
      <c r="A19" s="337" t="s">
        <v>427</v>
      </c>
      <c r="D19" s="340">
        <v>60</v>
      </c>
      <c r="E19" s="341">
        <v>0.3</v>
      </c>
      <c r="F19" s="341">
        <v>0.13</v>
      </c>
      <c r="G19" s="342">
        <v>1000</v>
      </c>
      <c r="H19" s="341">
        <f t="shared" si="0"/>
        <v>300</v>
      </c>
      <c r="I19" s="341">
        <v>1221</v>
      </c>
      <c r="J19" s="341"/>
      <c r="K19" s="341">
        <f t="shared" si="1"/>
        <v>1521</v>
      </c>
    </row>
    <row r="20" spans="1:13" s="337" customFormat="1" ht="14.25">
      <c r="A20" s="313" t="s">
        <v>37</v>
      </c>
      <c r="B20" s="313"/>
      <c r="C20" s="313"/>
      <c r="D20" s="348"/>
      <c r="E20" s="321">
        <f>SUM(E9:E19)</f>
        <v>24.280000000000005</v>
      </c>
      <c r="F20" s="321">
        <f>SUM(F9:F19)</f>
        <v>9.8800000000000026</v>
      </c>
      <c r="G20" s="321"/>
      <c r="H20" s="321">
        <f t="shared" ref="H20:M20" si="2">SUM(H9:H19)</f>
        <v>23948</v>
      </c>
      <c r="I20" s="321">
        <f t="shared" si="2"/>
        <v>12997</v>
      </c>
      <c r="J20" s="321">
        <f t="shared" si="2"/>
        <v>10035</v>
      </c>
      <c r="K20" s="321">
        <f t="shared" si="2"/>
        <v>46980</v>
      </c>
      <c r="L20" s="313">
        <f t="shared" si="2"/>
        <v>1575</v>
      </c>
      <c r="M20" s="313">
        <f t="shared" si="2"/>
        <v>0</v>
      </c>
    </row>
    <row r="21" spans="1:13" s="337" customFormat="1" ht="14.25">
      <c r="A21" s="317" t="s">
        <v>38</v>
      </c>
      <c r="B21" s="317"/>
      <c r="C21" s="317"/>
      <c r="D21" s="349"/>
      <c r="E21" s="323">
        <f>SUM(E20-F20)</f>
        <v>14.400000000000002</v>
      </c>
      <c r="F21" s="323"/>
      <c r="G21" s="323"/>
      <c r="H21" s="323">
        <f>E28*G28</f>
        <v>13972</v>
      </c>
      <c r="I21" s="323">
        <f>I20-L20</f>
        <v>11422</v>
      </c>
      <c r="J21" s="323">
        <f>J20-M20</f>
        <v>10035</v>
      </c>
      <c r="K21" s="323">
        <f>H21+I21+J21</f>
        <v>35429</v>
      </c>
      <c r="L21" s="317"/>
      <c r="M21" s="317"/>
    </row>
    <row r="22" spans="1:13" s="337" customFormat="1" ht="14.25">
      <c r="C22" s="337" t="s">
        <v>39</v>
      </c>
    </row>
    <row r="23" spans="1:13" s="337" customFormat="1" ht="14.25">
      <c r="A23" s="337" t="s">
        <v>40</v>
      </c>
    </row>
    <row r="24" spans="1:13" s="337" customFormat="1" ht="14.25">
      <c r="A24" s="325" t="s">
        <v>41</v>
      </c>
      <c r="B24" s="325"/>
      <c r="C24" s="325"/>
      <c r="D24" s="325" t="s">
        <v>42</v>
      </c>
      <c r="E24" s="325" t="s">
        <v>43</v>
      </c>
      <c r="F24" s="325"/>
      <c r="G24" s="325" t="s">
        <v>44</v>
      </c>
      <c r="J24" s="332" t="s">
        <v>59</v>
      </c>
      <c r="K24" s="332">
        <v>3.8</v>
      </c>
    </row>
    <row r="25" spans="1:13" s="337" customFormat="1" ht="14.25">
      <c r="A25" s="337" t="s">
        <v>45</v>
      </c>
      <c r="J25" s="332" t="s">
        <v>60</v>
      </c>
      <c r="K25" s="407">
        <v>2</v>
      </c>
    </row>
    <row r="26" spans="1:13" s="337" customFormat="1" ht="14.25">
      <c r="A26" s="337" t="s">
        <v>155</v>
      </c>
      <c r="D26" s="337" t="s">
        <v>47</v>
      </c>
      <c r="E26" s="341">
        <v>5.5</v>
      </c>
      <c r="G26" s="341">
        <v>985</v>
      </c>
    </row>
    <row r="27" spans="1:13" s="337" customFormat="1" ht="14.25">
      <c r="A27" s="337" t="s">
        <v>54</v>
      </c>
      <c r="E27" s="341"/>
      <c r="J27" s="408" t="s">
        <v>93</v>
      </c>
      <c r="K27" s="408"/>
    </row>
    <row r="28" spans="1:13" s="337" customFormat="1" ht="14.25">
      <c r="A28" s="337" t="s">
        <v>56</v>
      </c>
      <c r="D28" s="337" t="s">
        <v>57</v>
      </c>
      <c r="E28" s="341">
        <v>14</v>
      </c>
      <c r="G28" s="341">
        <v>998</v>
      </c>
      <c r="J28" s="327" t="s">
        <v>428</v>
      </c>
      <c r="K28" s="409">
        <v>86</v>
      </c>
    </row>
    <row r="29" spans="1:13" s="337" customFormat="1" ht="14.25">
      <c r="A29" s="337" t="s">
        <v>58</v>
      </c>
      <c r="D29" s="337" t="s">
        <v>57</v>
      </c>
      <c r="E29" s="341">
        <v>10</v>
      </c>
      <c r="J29" s="327" t="s">
        <v>403</v>
      </c>
      <c r="K29" s="409">
        <v>14</v>
      </c>
    </row>
    <row r="30" spans="1:13" s="337" customFormat="1" ht="14.25">
      <c r="A30" s="337" t="s">
        <v>2</v>
      </c>
      <c r="E30" s="341">
        <f>E28+E29</f>
        <v>24</v>
      </c>
    </row>
    <row r="31" spans="1:13" s="337" customFormat="1" ht="14.25">
      <c r="A31" s="313" t="s">
        <v>61</v>
      </c>
      <c r="B31" s="313"/>
      <c r="C31" s="313" t="s">
        <v>62</v>
      </c>
      <c r="D31" s="313"/>
      <c r="E31" s="313"/>
      <c r="F31" s="313"/>
      <c r="G31" s="313"/>
    </row>
    <row r="32" spans="1:13" s="337" customFormat="1" ht="14.25">
      <c r="B32" s="316" t="s">
        <v>63</v>
      </c>
      <c r="C32" s="410">
        <v>94</v>
      </c>
      <c r="D32" s="364" t="s">
        <v>47</v>
      </c>
      <c r="E32" s="319">
        <v>105</v>
      </c>
      <c r="F32" s="319"/>
      <c r="G32" s="319">
        <v>24</v>
      </c>
    </row>
    <row r="33" spans="1:16" s="337" customFormat="1" ht="14.25">
      <c r="A33" s="315"/>
      <c r="B33" s="316" t="s">
        <v>130</v>
      </c>
      <c r="C33" s="410">
        <v>50</v>
      </c>
      <c r="D33" s="364" t="s">
        <v>47</v>
      </c>
      <c r="E33" s="319">
        <v>29</v>
      </c>
      <c r="F33" s="319"/>
      <c r="G33" s="319">
        <v>26</v>
      </c>
    </row>
    <row r="34" spans="1:16" s="337" customFormat="1" ht="14.25">
      <c r="A34" s="317"/>
      <c r="B34" s="316"/>
      <c r="C34" s="411"/>
      <c r="D34" s="412"/>
      <c r="E34" s="317"/>
      <c r="F34" s="317"/>
      <c r="G34" s="317"/>
    </row>
    <row r="35" spans="1:16" s="337" customFormat="1" ht="14.25">
      <c r="A35" s="313" t="s">
        <v>66</v>
      </c>
      <c r="B35" s="313"/>
      <c r="C35" s="313"/>
      <c r="D35" s="313"/>
      <c r="E35" s="313"/>
      <c r="F35" s="313"/>
      <c r="G35" s="313"/>
      <c r="H35" s="413" t="s">
        <v>99</v>
      </c>
    </row>
    <row r="36" spans="1:16" s="337" customFormat="1" ht="14.25">
      <c r="A36" s="315" t="s">
        <v>68</v>
      </c>
      <c r="B36" s="315"/>
      <c r="C36" s="315"/>
      <c r="D36" s="315"/>
      <c r="E36" s="315"/>
      <c r="F36" s="315"/>
      <c r="G36" s="329">
        <v>1500</v>
      </c>
      <c r="H36" s="341">
        <v>3707</v>
      </c>
      <c r="O36" s="414"/>
      <c r="P36" s="415"/>
    </row>
    <row r="37" spans="1:16" s="337" customFormat="1" ht="14.25">
      <c r="A37" s="315" t="s">
        <v>69</v>
      </c>
      <c r="B37" s="315"/>
      <c r="C37" s="315"/>
      <c r="D37" s="315"/>
      <c r="E37" s="315"/>
      <c r="F37" s="315"/>
      <c r="G37" s="356">
        <v>45</v>
      </c>
      <c r="H37" s="341"/>
      <c r="O37" s="414"/>
      <c r="P37" s="415"/>
    </row>
    <row r="38" spans="1:16" s="337" customFormat="1" ht="14.25">
      <c r="A38" s="315" t="s">
        <v>70</v>
      </c>
      <c r="B38" s="315"/>
      <c r="C38" s="315"/>
      <c r="D38" s="315"/>
      <c r="E38" s="315"/>
      <c r="F38" s="315"/>
      <c r="G38" s="356">
        <f>SUM(G36*G37)</f>
        <v>67500</v>
      </c>
      <c r="H38" s="357">
        <f>G38*2.471</f>
        <v>166792.5</v>
      </c>
      <c r="O38" s="414"/>
      <c r="P38" s="415"/>
    </row>
    <row r="39" spans="1:16" s="337" customFormat="1" ht="14.25">
      <c r="A39" s="315" t="s">
        <v>71</v>
      </c>
      <c r="B39" s="315"/>
      <c r="C39" s="315"/>
      <c r="D39" s="315"/>
      <c r="E39" s="315"/>
      <c r="F39" s="315"/>
      <c r="G39" s="356">
        <f>SUM(G38-K20)</f>
        <v>20520</v>
      </c>
      <c r="H39" s="357">
        <f t="shared" ref="H39:H40" si="3">G39*2.471</f>
        <v>50704.92</v>
      </c>
    </row>
    <row r="40" spans="1:16" s="337" customFormat="1" ht="14.25">
      <c r="A40" s="315" t="s">
        <v>72</v>
      </c>
      <c r="B40" s="315"/>
      <c r="C40" s="315"/>
      <c r="D40" s="315"/>
      <c r="E40" s="315"/>
      <c r="F40" s="315"/>
      <c r="G40" s="356">
        <f>SUM(G38-K21)</f>
        <v>32071</v>
      </c>
      <c r="H40" s="357">
        <f t="shared" si="3"/>
        <v>79247.441000000006</v>
      </c>
    </row>
    <row r="41" spans="1:16" s="337" customFormat="1" ht="14.25">
      <c r="A41" s="315"/>
      <c r="B41" s="315"/>
      <c r="C41" s="315"/>
      <c r="D41" s="315"/>
      <c r="E41" s="315"/>
      <c r="F41" s="315"/>
      <c r="G41" s="356"/>
      <c r="L41" s="414"/>
      <c r="M41" s="415"/>
    </row>
    <row r="42" spans="1:16" s="337" customFormat="1" ht="14.25">
      <c r="A42" s="315" t="s">
        <v>73</v>
      </c>
      <c r="B42" s="315"/>
      <c r="C42" s="315"/>
      <c r="D42" s="315"/>
      <c r="E42" s="315"/>
      <c r="F42" s="315"/>
      <c r="G42" s="356">
        <f>SUM(K20/G36)</f>
        <v>31.32</v>
      </c>
    </row>
    <row r="43" spans="1:16" s="337" customFormat="1" ht="14.25">
      <c r="A43" s="317" t="s">
        <v>74</v>
      </c>
      <c r="B43" s="317"/>
      <c r="C43" s="317"/>
      <c r="D43" s="317"/>
      <c r="E43" s="317"/>
      <c r="F43" s="317"/>
      <c r="G43" s="358">
        <f>SUM(K21/G36)</f>
        <v>23.619333333333334</v>
      </c>
    </row>
    <row r="44" spans="1:16" s="337" customFormat="1" ht="14.25"/>
    <row r="45" spans="1:16" s="337" customFormat="1" ht="14.25">
      <c r="A45" s="337" t="s">
        <v>100</v>
      </c>
      <c r="C45" s="337" t="s">
        <v>429</v>
      </c>
    </row>
    <row r="46" spans="1:16" s="337" customFormat="1" ht="14.25"/>
    <row r="47" spans="1:16" s="337" customFormat="1" ht="14.25"/>
    <row r="48" spans="1:16">
      <c r="A48" s="416"/>
      <c r="B48" s="416"/>
      <c r="C48" s="416"/>
      <c r="D48" s="416"/>
      <c r="E48" s="416"/>
      <c r="F48" s="416"/>
      <c r="G48" s="417"/>
      <c r="H48" s="404"/>
      <c r="I48" s="404"/>
      <c r="J48" s="404"/>
      <c r="K48" s="404"/>
      <c r="L48" s="404"/>
      <c r="M48" s="404"/>
    </row>
    <row r="49" spans="1:13">
      <c r="A49" s="416"/>
      <c r="B49" s="416"/>
      <c r="C49" s="416"/>
      <c r="D49" s="416"/>
      <c r="E49" s="416"/>
      <c r="F49" s="416"/>
      <c r="G49" s="418"/>
      <c r="H49" s="404"/>
      <c r="I49" s="404"/>
      <c r="J49" s="404"/>
      <c r="K49" s="404"/>
      <c r="L49" s="404"/>
      <c r="M49" s="404"/>
    </row>
    <row r="50" spans="1:13">
      <c r="A50" s="416"/>
      <c r="B50" s="416"/>
      <c r="C50" s="416"/>
      <c r="D50" s="416"/>
      <c r="E50" s="416"/>
      <c r="F50" s="416"/>
      <c r="G50" s="418"/>
      <c r="H50" s="404"/>
      <c r="I50" s="404"/>
      <c r="J50" s="404"/>
      <c r="K50" s="404"/>
      <c r="L50" s="404"/>
      <c r="M50" s="404"/>
    </row>
    <row r="51" spans="1:13">
      <c r="A51" s="416"/>
      <c r="B51" s="416"/>
      <c r="C51" s="416"/>
      <c r="D51" s="416"/>
      <c r="E51" s="416"/>
      <c r="F51" s="416"/>
      <c r="G51" s="418"/>
      <c r="H51" s="404"/>
      <c r="I51" s="404"/>
      <c r="J51" s="404"/>
      <c r="K51" s="404"/>
      <c r="L51" s="404"/>
      <c r="M51" s="404"/>
    </row>
    <row r="52" spans="1:13">
      <c r="A52" s="416"/>
      <c r="B52" s="416"/>
      <c r="C52" s="416"/>
      <c r="D52" s="416"/>
      <c r="E52" s="416"/>
      <c r="F52" s="416"/>
      <c r="G52" s="418"/>
      <c r="H52" s="404"/>
      <c r="I52" s="404"/>
      <c r="J52" s="404"/>
      <c r="K52" s="404"/>
      <c r="L52" s="404"/>
      <c r="M52" s="404"/>
    </row>
    <row r="53" spans="1:13">
      <c r="A53" s="416"/>
      <c r="B53" s="416"/>
      <c r="C53" s="416"/>
      <c r="D53" s="416"/>
      <c r="E53" s="416"/>
      <c r="F53" s="416"/>
      <c r="G53" s="418"/>
      <c r="H53" s="404"/>
      <c r="I53" s="404"/>
      <c r="J53" s="404"/>
      <c r="K53" s="404"/>
      <c r="L53" s="404"/>
      <c r="M53" s="404"/>
    </row>
    <row r="54" spans="1:13">
      <c r="A54" s="416"/>
      <c r="B54" s="416"/>
      <c r="C54" s="416"/>
      <c r="D54" s="416"/>
      <c r="E54" s="416"/>
      <c r="F54" s="416"/>
      <c r="G54" s="418"/>
      <c r="H54" s="404"/>
      <c r="I54" s="404"/>
      <c r="J54" s="404"/>
      <c r="K54" s="404"/>
      <c r="L54" s="404"/>
      <c r="M54" s="404"/>
    </row>
    <row r="55" spans="1:13">
      <c r="A55" s="419"/>
      <c r="B55" s="419"/>
      <c r="C55" s="419"/>
      <c r="D55" s="419"/>
      <c r="E55" s="419"/>
      <c r="F55" s="419"/>
      <c r="G55" s="420"/>
      <c r="H55" s="404"/>
      <c r="I55" s="404"/>
      <c r="J55" s="404"/>
      <c r="K55" s="404"/>
      <c r="L55" s="404"/>
      <c r="M55" s="404"/>
    </row>
    <row r="56" spans="1:13">
      <c r="A56" s="404"/>
      <c r="B56" s="404"/>
      <c r="C56" s="404"/>
      <c r="D56" s="404"/>
      <c r="E56" s="404"/>
      <c r="F56" s="404"/>
      <c r="G56" s="404"/>
      <c r="H56" s="404"/>
      <c r="I56" s="404"/>
      <c r="J56" s="404"/>
      <c r="K56" s="404"/>
      <c r="L56" s="404"/>
      <c r="M56" s="40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48"/>
  <sheetViews>
    <sheetView workbookViewId="0">
      <selection activeCell="H25" sqref="H25"/>
    </sheetView>
  </sheetViews>
  <sheetFormatPr defaultRowHeight="15"/>
  <cols>
    <col min="1" max="16384" width="9.140625" style="311"/>
  </cols>
  <sheetData>
    <row r="1" spans="1:19">
      <c r="A1" s="310" t="s">
        <v>230</v>
      </c>
      <c r="B1" s="312"/>
    </row>
    <row r="2" spans="1:19">
      <c r="A2" s="310" t="s">
        <v>209</v>
      </c>
      <c r="B2" s="312"/>
    </row>
    <row r="3" spans="1:19">
      <c r="A3" s="310" t="s">
        <v>376</v>
      </c>
      <c r="B3" s="312"/>
    </row>
    <row r="4" spans="1:19">
      <c r="A4" s="310" t="s">
        <v>415</v>
      </c>
    </row>
    <row r="5" spans="1:19" s="362" customFormat="1" ht="14.25">
      <c r="A5" s="314" t="s">
        <v>0</v>
      </c>
      <c r="B5" s="314"/>
      <c r="C5" s="314"/>
      <c r="D5" s="314" t="s">
        <v>1</v>
      </c>
      <c r="E5" s="314" t="s">
        <v>2</v>
      </c>
      <c r="F5" s="314" t="s">
        <v>3</v>
      </c>
      <c r="G5" s="314" t="s">
        <v>4</v>
      </c>
      <c r="H5" s="314" t="s">
        <v>5</v>
      </c>
      <c r="I5" s="359" t="s">
        <v>6</v>
      </c>
      <c r="J5" s="360" t="s">
        <v>41</v>
      </c>
      <c r="K5" s="314" t="s">
        <v>8</v>
      </c>
      <c r="L5" s="314" t="s">
        <v>9</v>
      </c>
      <c r="M5" s="314"/>
      <c r="N5" s="361"/>
      <c r="O5" s="337"/>
    </row>
    <row r="6" spans="1:19" s="362" customFormat="1" ht="14.25">
      <c r="A6" s="316"/>
      <c r="B6" s="316"/>
      <c r="C6" s="316"/>
      <c r="D6" s="316" t="s">
        <v>10</v>
      </c>
      <c r="E6" s="316" t="s">
        <v>11</v>
      </c>
      <c r="F6" s="316" t="s">
        <v>11</v>
      </c>
      <c r="G6" s="316" t="s">
        <v>12</v>
      </c>
      <c r="H6" s="316" t="s">
        <v>13</v>
      </c>
      <c r="I6" s="363" t="s">
        <v>14</v>
      </c>
      <c r="J6" s="364" t="s">
        <v>13</v>
      </c>
      <c r="K6" s="316" t="s">
        <v>13</v>
      </c>
      <c r="L6" s="316" t="s">
        <v>6</v>
      </c>
      <c r="M6" s="316" t="s">
        <v>409</v>
      </c>
      <c r="N6" s="361"/>
      <c r="O6" s="337"/>
    </row>
    <row r="7" spans="1:19" s="362" customFormat="1" ht="14.25">
      <c r="A7" s="316"/>
      <c r="B7" s="316"/>
      <c r="C7" s="316"/>
      <c r="D7" s="316" t="s">
        <v>15</v>
      </c>
      <c r="E7" s="316"/>
      <c r="F7" s="316"/>
      <c r="G7" s="316"/>
      <c r="H7" s="316" t="s">
        <v>16</v>
      </c>
      <c r="I7" s="316" t="s">
        <v>13</v>
      </c>
      <c r="J7" s="316" t="s">
        <v>16</v>
      </c>
      <c r="K7" s="316" t="s">
        <v>16</v>
      </c>
      <c r="L7" s="316"/>
      <c r="M7" s="316"/>
      <c r="N7" s="361"/>
      <c r="O7" s="337"/>
    </row>
    <row r="8" spans="1:19" s="362" customFormat="1" ht="14.25">
      <c r="A8" s="318"/>
      <c r="B8" s="318"/>
      <c r="C8" s="318"/>
      <c r="D8" s="318"/>
      <c r="E8" s="318"/>
      <c r="F8" s="318"/>
      <c r="G8" s="318"/>
      <c r="H8" s="318"/>
      <c r="I8" s="318" t="s">
        <v>16</v>
      </c>
      <c r="J8" s="318"/>
      <c r="K8" s="318"/>
      <c r="L8" s="318"/>
      <c r="M8" s="318"/>
      <c r="N8" s="361"/>
      <c r="O8" s="365"/>
    </row>
    <row r="9" spans="1:19" s="362" customFormat="1" ht="14.25">
      <c r="A9" s="316" t="s">
        <v>81</v>
      </c>
      <c r="B9" s="316"/>
      <c r="C9" s="316"/>
      <c r="D9" s="366">
        <v>76</v>
      </c>
      <c r="E9" s="366">
        <v>5.65</v>
      </c>
      <c r="F9" s="366">
        <v>2.37</v>
      </c>
      <c r="G9" s="366">
        <v>1000</v>
      </c>
      <c r="H9" s="367">
        <f>SUM(E9*G9)</f>
        <v>5650</v>
      </c>
      <c r="I9" s="316"/>
      <c r="J9" s="366"/>
      <c r="K9" s="367">
        <f>SUM(H9:J9)</f>
        <v>5650</v>
      </c>
      <c r="L9" s="316"/>
      <c r="M9" s="316"/>
      <c r="N9" s="361"/>
      <c r="O9" s="337"/>
      <c r="P9" s="337"/>
      <c r="Q9" s="337"/>
      <c r="R9" s="341"/>
    </row>
    <row r="10" spans="1:19" s="362" customFormat="1" ht="14.25">
      <c r="A10" s="361" t="s">
        <v>410</v>
      </c>
      <c r="B10" s="361"/>
      <c r="C10" s="361"/>
      <c r="D10" s="368">
        <v>100</v>
      </c>
      <c r="E10" s="367">
        <v>0.44</v>
      </c>
      <c r="F10" s="367">
        <v>0.44</v>
      </c>
      <c r="G10" s="369">
        <v>1000</v>
      </c>
      <c r="H10" s="367">
        <f>SUM(E10*G10)</f>
        <v>440</v>
      </c>
      <c r="I10" s="370">
        <v>5451</v>
      </c>
      <c r="J10" s="367"/>
      <c r="K10" s="367">
        <f>SUM(H10:J10)</f>
        <v>5891</v>
      </c>
      <c r="L10" s="361"/>
      <c r="M10" s="361"/>
      <c r="N10" s="361"/>
      <c r="O10" s="337"/>
      <c r="P10" s="337"/>
      <c r="Q10" s="337"/>
      <c r="R10" s="341"/>
      <c r="S10" s="371"/>
    </row>
    <row r="11" spans="1:19" s="362" customFormat="1" ht="14.25">
      <c r="A11" s="361" t="s">
        <v>87</v>
      </c>
      <c r="B11" s="361"/>
      <c r="C11" s="361"/>
      <c r="D11" s="368">
        <v>100</v>
      </c>
      <c r="E11" s="370">
        <v>6.77</v>
      </c>
      <c r="F11" s="370">
        <v>2.91</v>
      </c>
      <c r="G11" s="372">
        <v>1125</v>
      </c>
      <c r="H11" s="367">
        <v>7616</v>
      </c>
      <c r="I11" s="361"/>
      <c r="J11" s="367">
        <f>E25*G25</f>
        <v>5529</v>
      </c>
      <c r="K11" s="367">
        <f t="shared" ref="K11:K17" si="0">SUM(H11:J11)</f>
        <v>13145</v>
      </c>
      <c r="L11" s="361"/>
      <c r="M11" s="361"/>
      <c r="N11" s="361"/>
      <c r="O11" s="337"/>
      <c r="P11" s="337"/>
      <c r="Q11" s="337"/>
      <c r="R11" s="341"/>
      <c r="S11" s="371"/>
    </row>
    <row r="12" spans="1:19" s="362" customFormat="1" ht="14.25">
      <c r="A12" s="361" t="s">
        <v>25</v>
      </c>
      <c r="B12" s="361"/>
      <c r="C12" s="361"/>
      <c r="D12" s="373">
        <v>100</v>
      </c>
      <c r="E12" s="367">
        <v>6.09</v>
      </c>
      <c r="F12" s="367">
        <v>2.78</v>
      </c>
      <c r="G12" s="369">
        <v>1053.33</v>
      </c>
      <c r="H12" s="367">
        <v>6415</v>
      </c>
      <c r="I12" s="361"/>
      <c r="J12" s="367">
        <f>(E31*G31)+(E32*G32)+(E33*G33)</f>
        <v>6976</v>
      </c>
      <c r="K12" s="367">
        <f>SUM(H12:J12)</f>
        <v>13391</v>
      </c>
      <c r="L12" s="361"/>
      <c r="M12" s="361"/>
      <c r="N12" s="361"/>
      <c r="O12" s="337"/>
      <c r="P12" s="337"/>
      <c r="Q12" s="337"/>
      <c r="R12" s="341"/>
      <c r="S12" s="371"/>
    </row>
    <row r="13" spans="1:19" s="362" customFormat="1" ht="14.25">
      <c r="A13" s="361" t="s">
        <v>411</v>
      </c>
      <c r="B13" s="361"/>
      <c r="C13" s="361"/>
      <c r="D13" s="373">
        <v>50</v>
      </c>
      <c r="E13" s="367">
        <v>1.1100000000000001</v>
      </c>
      <c r="F13" s="367">
        <v>0.47</v>
      </c>
      <c r="G13" s="369">
        <v>1100</v>
      </c>
      <c r="H13" s="367">
        <f>SUM(E13*G13)</f>
        <v>1221</v>
      </c>
      <c r="I13" s="361"/>
      <c r="J13" s="367">
        <v>2476</v>
      </c>
      <c r="K13" s="367">
        <f>SUM(H13:J13)</f>
        <v>3697</v>
      </c>
      <c r="L13" s="361"/>
      <c r="M13" s="361"/>
      <c r="N13" s="361"/>
      <c r="O13" s="337"/>
      <c r="P13" s="337"/>
      <c r="Q13" s="337"/>
      <c r="R13" s="341"/>
      <c r="S13" s="371"/>
    </row>
    <row r="14" spans="1:19" s="362" customFormat="1" ht="14.25">
      <c r="A14" s="361" t="s">
        <v>144</v>
      </c>
      <c r="B14" s="361"/>
      <c r="C14" s="361"/>
      <c r="D14" s="373">
        <v>44</v>
      </c>
      <c r="E14" s="367">
        <v>7.46</v>
      </c>
      <c r="F14" s="367">
        <v>2.36</v>
      </c>
      <c r="G14" s="369">
        <v>1118.18</v>
      </c>
      <c r="H14" s="367">
        <v>8342</v>
      </c>
      <c r="I14" s="361"/>
      <c r="J14" s="367"/>
      <c r="K14" s="367">
        <f>SUM(H14:J14)</f>
        <v>8342</v>
      </c>
      <c r="L14" s="361"/>
      <c r="M14" s="361"/>
      <c r="N14" s="361"/>
      <c r="O14" s="337"/>
      <c r="P14" s="337"/>
      <c r="Q14" s="337"/>
      <c r="R14" s="341"/>
      <c r="S14" s="371"/>
    </row>
    <row r="15" spans="1:19" s="362" customFormat="1" ht="14.25">
      <c r="A15" s="361" t="s">
        <v>232</v>
      </c>
      <c r="B15" s="361"/>
      <c r="C15" s="361"/>
      <c r="D15" s="373">
        <v>100</v>
      </c>
      <c r="E15" s="367">
        <v>6.86</v>
      </c>
      <c r="F15" s="367">
        <v>2.2200000000000002</v>
      </c>
      <c r="G15" s="369">
        <v>1140.9100000000001</v>
      </c>
      <c r="H15" s="367">
        <v>7827</v>
      </c>
      <c r="I15" s="374"/>
      <c r="J15" s="367"/>
      <c r="K15" s="367">
        <f t="shared" si="0"/>
        <v>7827</v>
      </c>
      <c r="L15" s="361"/>
      <c r="M15" s="361"/>
      <c r="N15" s="361"/>
      <c r="O15" s="337"/>
      <c r="P15" s="337"/>
      <c r="Q15" s="337"/>
      <c r="R15" s="341"/>
      <c r="S15" s="371"/>
    </row>
    <row r="16" spans="1:19" s="362" customFormat="1" ht="14.25">
      <c r="A16" s="361" t="s">
        <v>220</v>
      </c>
      <c r="B16" s="361"/>
      <c r="C16" s="361"/>
      <c r="D16" s="373">
        <v>100</v>
      </c>
      <c r="E16" s="367">
        <v>1.62</v>
      </c>
      <c r="F16" s="367">
        <v>0.64</v>
      </c>
      <c r="G16" s="369">
        <v>1000</v>
      </c>
      <c r="H16" s="367">
        <f t="shared" ref="H16:H17" si="1">SUM(E16*G16)</f>
        <v>1620</v>
      </c>
      <c r="I16" s="367">
        <v>2338</v>
      </c>
      <c r="J16" s="367"/>
      <c r="K16" s="367">
        <f>SUM(H16:J16)</f>
        <v>3958</v>
      </c>
      <c r="L16" s="361"/>
      <c r="M16" s="361"/>
      <c r="N16" s="361"/>
      <c r="O16" s="375"/>
      <c r="Q16" s="376"/>
      <c r="R16" s="377"/>
      <c r="S16" s="371"/>
    </row>
    <row r="17" spans="1:43" s="362" customFormat="1" ht="14.25">
      <c r="A17" s="361" t="s">
        <v>36</v>
      </c>
      <c r="B17" s="361"/>
      <c r="C17" s="361"/>
      <c r="D17" s="368">
        <v>70</v>
      </c>
      <c r="E17" s="367">
        <v>0.42</v>
      </c>
      <c r="F17" s="367">
        <v>0.42</v>
      </c>
      <c r="G17" s="369">
        <v>950</v>
      </c>
      <c r="H17" s="367">
        <f t="shared" si="1"/>
        <v>399</v>
      </c>
      <c r="I17" s="370">
        <v>762</v>
      </c>
      <c r="J17" s="367"/>
      <c r="K17" s="367">
        <f t="shared" si="0"/>
        <v>1161</v>
      </c>
      <c r="L17" s="361"/>
      <c r="M17" s="361"/>
      <c r="N17" s="361"/>
      <c r="O17" s="337"/>
    </row>
    <row r="18" spans="1:43" s="362" customFormat="1" ht="14.25">
      <c r="A18" s="314" t="s">
        <v>37</v>
      </c>
      <c r="B18" s="314"/>
      <c r="C18" s="314"/>
      <c r="D18" s="378"/>
      <c r="E18" s="322">
        <f>SUM(E9:E17)</f>
        <v>36.42</v>
      </c>
      <c r="F18" s="322">
        <f>SUM(F9:F17)</f>
        <v>14.610000000000001</v>
      </c>
      <c r="G18" s="322"/>
      <c r="H18" s="322">
        <f t="shared" ref="H18:M18" si="2">SUM(H9:H17)</f>
        <v>39530</v>
      </c>
      <c r="I18" s="322">
        <f t="shared" si="2"/>
        <v>8551</v>
      </c>
      <c r="J18" s="322">
        <f t="shared" si="2"/>
        <v>14981</v>
      </c>
      <c r="K18" s="322">
        <f t="shared" si="2"/>
        <v>63062</v>
      </c>
      <c r="L18" s="322">
        <f t="shared" si="2"/>
        <v>0</v>
      </c>
      <c r="M18" s="322">
        <f t="shared" si="2"/>
        <v>0</v>
      </c>
      <c r="N18" s="361"/>
      <c r="O18" s="337"/>
    </row>
    <row r="19" spans="1:43" s="362" customFormat="1" ht="14.25">
      <c r="A19" s="318" t="s">
        <v>38</v>
      </c>
      <c r="B19" s="318"/>
      <c r="C19" s="318"/>
      <c r="D19" s="379"/>
      <c r="E19" s="324">
        <f>SUM(E18-F18)</f>
        <v>21.810000000000002</v>
      </c>
      <c r="F19" s="324"/>
      <c r="G19" s="324"/>
      <c r="H19" s="324">
        <f>SUM(E27*G27)</f>
        <v>23496</v>
      </c>
      <c r="I19" s="324">
        <f>I18-L18</f>
        <v>8551</v>
      </c>
      <c r="J19" s="324">
        <f>J18-M18</f>
        <v>14981</v>
      </c>
      <c r="K19" s="324">
        <f>SUM(H19:J19)</f>
        <v>47028</v>
      </c>
      <c r="L19" s="318"/>
      <c r="M19" s="318"/>
      <c r="N19" s="361"/>
      <c r="O19" s="337"/>
    </row>
    <row r="20" spans="1:43" s="362" customFormat="1" ht="14.25">
      <c r="A20" s="361"/>
      <c r="B20" s="361"/>
      <c r="C20" s="361" t="s">
        <v>39</v>
      </c>
      <c r="D20" s="361"/>
      <c r="E20" s="361"/>
      <c r="F20" s="361"/>
      <c r="G20" s="361"/>
      <c r="H20" s="361"/>
      <c r="I20" s="361"/>
      <c r="J20" s="361"/>
      <c r="K20" s="361"/>
      <c r="L20" s="361"/>
      <c r="M20" s="361"/>
      <c r="N20" s="361"/>
      <c r="O20" s="337"/>
    </row>
    <row r="21" spans="1:43" s="362" customFormat="1" ht="14.25">
      <c r="A21" s="361"/>
      <c r="B21" s="361"/>
      <c r="C21" s="361"/>
      <c r="D21" s="361"/>
      <c r="E21" s="361"/>
      <c r="F21" s="361"/>
      <c r="G21" s="361"/>
      <c r="H21" s="361"/>
      <c r="I21" s="367"/>
      <c r="J21" s="316"/>
      <c r="K21" s="316"/>
      <c r="L21" s="361"/>
      <c r="M21" s="361"/>
      <c r="N21" s="361"/>
      <c r="O21" s="337"/>
    </row>
    <row r="22" spans="1:43" s="362" customFormat="1" ht="14.25">
      <c r="A22" s="361" t="s">
        <v>40</v>
      </c>
      <c r="B22" s="361"/>
      <c r="C22" s="361"/>
      <c r="D22" s="361"/>
      <c r="E22" s="361"/>
      <c r="F22" s="361"/>
      <c r="G22" s="361"/>
      <c r="H22" s="361"/>
      <c r="I22" s="380"/>
      <c r="J22" s="381"/>
      <c r="K22" s="382" t="s">
        <v>59</v>
      </c>
      <c r="L22" s="383">
        <v>2.4300000000000002</v>
      </c>
      <c r="M22" s="361"/>
      <c r="N22" s="361"/>
      <c r="O22" s="337"/>
    </row>
    <row r="23" spans="1:43" s="362" customFormat="1" ht="14.25">
      <c r="A23" s="326" t="s">
        <v>41</v>
      </c>
      <c r="B23" s="326"/>
      <c r="C23" s="326"/>
      <c r="D23" s="326" t="s">
        <v>42</v>
      </c>
      <c r="E23" s="326" t="s">
        <v>43</v>
      </c>
      <c r="F23" s="326"/>
      <c r="G23" s="326" t="s">
        <v>44</v>
      </c>
      <c r="H23" s="361"/>
      <c r="I23" s="384"/>
      <c r="J23" s="384"/>
      <c r="K23" s="385" t="s">
        <v>187</v>
      </c>
      <c r="L23" s="386">
        <v>2</v>
      </c>
      <c r="M23" s="361"/>
      <c r="N23" s="361"/>
      <c r="O23" s="337"/>
    </row>
    <row r="24" spans="1:43" s="362" customFormat="1" ht="14.25">
      <c r="A24" s="387" t="s">
        <v>45</v>
      </c>
      <c r="B24" s="361"/>
      <c r="C24" s="361"/>
      <c r="D24" s="361" t="s">
        <v>222</v>
      </c>
      <c r="E24" s="361"/>
      <c r="F24" s="361"/>
      <c r="G24" s="367"/>
      <c r="H24" s="361"/>
      <c r="I24" s="388"/>
      <c r="J24" s="389"/>
      <c r="K24" s="390"/>
      <c r="L24" s="361"/>
      <c r="M24" s="361"/>
      <c r="N24" s="361"/>
      <c r="O24" s="337"/>
    </row>
    <row r="25" spans="1:43" s="362" customFormat="1" ht="14.25">
      <c r="A25" s="361" t="s">
        <v>233</v>
      </c>
      <c r="B25" s="361"/>
      <c r="C25" s="361"/>
      <c r="D25" s="361"/>
      <c r="E25" s="367">
        <v>5.7</v>
      </c>
      <c r="F25" s="361"/>
      <c r="G25" s="367">
        <v>970</v>
      </c>
      <c r="H25" s="361"/>
      <c r="I25" s="361"/>
      <c r="J25" s="380"/>
      <c r="K25" s="391" t="s">
        <v>48</v>
      </c>
      <c r="L25" s="391" t="s">
        <v>49</v>
      </c>
      <c r="M25" s="392"/>
    </row>
    <row r="26" spans="1:43" s="362" customFormat="1" ht="14.25">
      <c r="A26" s="387" t="s">
        <v>54</v>
      </c>
      <c r="B26" s="361"/>
      <c r="C26" s="361"/>
      <c r="D26" s="361"/>
      <c r="E26" s="361"/>
      <c r="F26" s="361"/>
      <c r="G26" s="361"/>
      <c r="H26" s="361"/>
      <c r="I26" s="361"/>
      <c r="J26" s="388"/>
      <c r="K26" s="393" t="s">
        <v>412</v>
      </c>
      <c r="L26" s="394">
        <v>43</v>
      </c>
      <c r="M26" s="395"/>
      <c r="AO26" s="337" t="s">
        <v>223</v>
      </c>
      <c r="AP26" s="337">
        <f>5036/615</f>
        <v>8.1886178861788625</v>
      </c>
      <c r="AQ26" s="337">
        <f>5402/742</f>
        <v>7.2803234501347704</v>
      </c>
    </row>
    <row r="27" spans="1:43" s="362" customFormat="1" ht="14.25">
      <c r="A27" s="361" t="s">
        <v>56</v>
      </c>
      <c r="B27" s="361"/>
      <c r="C27" s="361"/>
      <c r="D27" s="361" t="s">
        <v>57</v>
      </c>
      <c r="E27" s="367">
        <v>22</v>
      </c>
      <c r="F27" s="361"/>
      <c r="G27" s="367">
        <v>1068</v>
      </c>
      <c r="H27" s="361"/>
      <c r="I27" s="361"/>
      <c r="J27" s="396"/>
      <c r="K27" s="393" t="s">
        <v>413</v>
      </c>
      <c r="L27" s="394">
        <v>57</v>
      </c>
      <c r="M27" s="395"/>
      <c r="AO27" s="337" t="s">
        <v>224</v>
      </c>
      <c r="AP27" s="337">
        <f>5846/615</f>
        <v>9.5056910569105693</v>
      </c>
      <c r="AQ27" s="362">
        <f>4683.5/742</f>
        <v>6.3119946091644206</v>
      </c>
    </row>
    <row r="28" spans="1:43" s="362" customFormat="1" ht="14.25">
      <c r="A28" s="361" t="s">
        <v>58</v>
      </c>
      <c r="B28" s="361"/>
      <c r="C28" s="361"/>
      <c r="D28" s="361" t="s">
        <v>57</v>
      </c>
      <c r="E28" s="367">
        <v>15</v>
      </c>
      <c r="F28" s="361"/>
      <c r="G28" s="361"/>
      <c r="H28" s="361"/>
      <c r="I28" s="361"/>
      <c r="J28" s="396"/>
      <c r="K28" s="384"/>
      <c r="L28" s="397"/>
      <c r="M28" s="395"/>
      <c r="AO28" s="337" t="s">
        <v>225</v>
      </c>
      <c r="AP28" s="362">
        <f>6912/615</f>
        <v>11.239024390243902</v>
      </c>
      <c r="AQ28" s="337">
        <f>6807/742</f>
        <v>9.1738544474393535</v>
      </c>
    </row>
    <row r="29" spans="1:43" s="362" customFormat="1" ht="14.25">
      <c r="A29" s="361" t="s">
        <v>2</v>
      </c>
      <c r="B29" s="361"/>
      <c r="C29" s="361"/>
      <c r="D29" s="361"/>
      <c r="E29" s="367">
        <f>SUM(E27:E28)</f>
        <v>37</v>
      </c>
      <c r="F29" s="361"/>
      <c r="G29" s="361"/>
      <c r="H29" s="361"/>
      <c r="I29" s="361"/>
      <c r="J29" s="384"/>
      <c r="K29" s="384"/>
      <c r="L29" s="397"/>
      <c r="M29" s="395"/>
      <c r="AO29" s="337" t="s">
        <v>226</v>
      </c>
      <c r="AP29" s="362">
        <f>1976/615</f>
        <v>3.2130081300813007</v>
      </c>
      <c r="AQ29" s="337">
        <f>1593/742</f>
        <v>2.1469002695417791</v>
      </c>
    </row>
    <row r="30" spans="1:43" s="362" customFormat="1" ht="14.25">
      <c r="A30" s="314" t="s">
        <v>61</v>
      </c>
      <c r="B30" s="314"/>
      <c r="C30" s="314" t="s">
        <v>62</v>
      </c>
      <c r="D30" s="314"/>
      <c r="E30" s="314"/>
      <c r="F30" s="314"/>
      <c r="G30" s="314"/>
      <c r="H30" s="361"/>
      <c r="I30" s="361"/>
      <c r="J30" s="361"/>
      <c r="K30" s="384"/>
      <c r="L30" s="397"/>
      <c r="M30" s="395"/>
      <c r="AO30" s="337" t="s">
        <v>227</v>
      </c>
      <c r="AP30" s="337">
        <f>5622/615</f>
        <v>9.1414634146341456</v>
      </c>
      <c r="AQ30" s="337">
        <f>5622/742</f>
        <v>7.5768194070080863</v>
      </c>
    </row>
    <row r="31" spans="1:43" s="362" customFormat="1" ht="14.25">
      <c r="A31" s="316" t="s">
        <v>63</v>
      </c>
      <c r="B31" s="316"/>
      <c r="C31" s="366">
        <v>100</v>
      </c>
      <c r="D31" s="316" t="s">
        <v>47</v>
      </c>
      <c r="E31" s="320">
        <v>178</v>
      </c>
      <c r="F31" s="316"/>
      <c r="G31" s="320">
        <v>24</v>
      </c>
      <c r="H31" s="361"/>
      <c r="I31" s="361"/>
      <c r="J31" s="361"/>
      <c r="K31" s="398"/>
      <c r="L31" s="397"/>
      <c r="M31" s="395"/>
      <c r="AO31" s="337"/>
      <c r="AP31" s="337">
        <f>1893/615</f>
        <v>3.0780487804878049</v>
      </c>
      <c r="AQ31" s="337">
        <f>4893/742</f>
        <v>6.5943396226415096</v>
      </c>
    </row>
    <row r="32" spans="1:43" s="362" customFormat="1" ht="14.25">
      <c r="A32" s="316" t="s">
        <v>129</v>
      </c>
      <c r="B32" s="316"/>
      <c r="C32" s="366">
        <v>80</v>
      </c>
      <c r="D32" s="316" t="s">
        <v>47</v>
      </c>
      <c r="E32" s="320">
        <v>65</v>
      </c>
      <c r="F32" s="316"/>
      <c r="G32" s="320">
        <v>26</v>
      </c>
      <c r="H32" s="361"/>
      <c r="I32" s="361"/>
      <c r="J32" s="361"/>
      <c r="K32" s="398"/>
      <c r="L32" s="397"/>
      <c r="M32" s="395"/>
      <c r="AO32" s="337"/>
      <c r="AP32" s="337"/>
      <c r="AQ32" s="337"/>
    </row>
    <row r="33" spans="1:15" s="362" customFormat="1" ht="14.25">
      <c r="A33" s="316" t="s">
        <v>130</v>
      </c>
      <c r="B33" s="316"/>
      <c r="C33" s="366">
        <v>76</v>
      </c>
      <c r="D33" s="316" t="s">
        <v>47</v>
      </c>
      <c r="E33" s="320">
        <v>39</v>
      </c>
      <c r="F33" s="316"/>
      <c r="G33" s="320">
        <v>26</v>
      </c>
      <c r="H33" s="361"/>
      <c r="I33" s="361"/>
      <c r="J33" s="361"/>
      <c r="K33" s="384"/>
      <c r="L33" s="397"/>
      <c r="M33" s="395"/>
    </row>
    <row r="34" spans="1:15" s="362" customFormat="1" ht="14.25">
      <c r="A34" s="314" t="s">
        <v>66</v>
      </c>
      <c r="B34" s="314"/>
      <c r="C34" s="314"/>
      <c r="D34" s="314"/>
      <c r="E34" s="314"/>
      <c r="F34" s="314"/>
      <c r="G34" s="314"/>
      <c r="H34" s="361"/>
      <c r="I34" s="361" t="s">
        <v>228</v>
      </c>
      <c r="J34" s="361"/>
      <c r="K34" s="384"/>
      <c r="L34" s="397"/>
      <c r="M34" s="395"/>
    </row>
    <row r="35" spans="1:15" s="362" customFormat="1" ht="14.25">
      <c r="A35" s="316" t="s">
        <v>68</v>
      </c>
      <c r="B35" s="316"/>
      <c r="C35" s="316"/>
      <c r="D35" s="316"/>
      <c r="E35" s="316"/>
      <c r="F35" s="316"/>
      <c r="G35" s="399">
        <v>1968</v>
      </c>
      <c r="H35" s="361"/>
      <c r="I35" s="367">
        <v>4861</v>
      </c>
      <c r="J35" s="361"/>
      <c r="K35" s="397"/>
      <c r="L35" s="397"/>
      <c r="M35" s="395"/>
    </row>
    <row r="36" spans="1:15" s="362" customFormat="1" ht="14.25">
      <c r="A36" s="316" t="s">
        <v>69</v>
      </c>
      <c r="B36" s="316"/>
      <c r="C36" s="316"/>
      <c r="D36" s="316"/>
      <c r="E36" s="316"/>
      <c r="F36" s="316"/>
      <c r="G36" s="400">
        <v>36</v>
      </c>
      <c r="H36" s="361"/>
      <c r="I36" s="367"/>
      <c r="J36" s="361"/>
      <c r="K36" s="361"/>
      <c r="L36" s="361"/>
      <c r="M36" s="361"/>
      <c r="N36" s="361"/>
      <c r="O36" s="337"/>
    </row>
    <row r="37" spans="1:15" s="362" customFormat="1" ht="14.25">
      <c r="A37" s="316" t="s">
        <v>70</v>
      </c>
      <c r="B37" s="316"/>
      <c r="C37" s="316"/>
      <c r="D37" s="316"/>
      <c r="E37" s="316"/>
      <c r="F37" s="316"/>
      <c r="G37" s="400">
        <f>SUM(G35*G36)</f>
        <v>70848</v>
      </c>
      <c r="H37" s="361"/>
      <c r="I37" s="401">
        <f>G37*2.471</f>
        <v>175065.408</v>
      </c>
      <c r="J37" s="361"/>
      <c r="K37" s="361"/>
      <c r="L37" s="361"/>
      <c r="M37" s="361"/>
      <c r="N37" s="361"/>
      <c r="O37" s="337"/>
    </row>
    <row r="38" spans="1:15" s="362" customFormat="1" ht="14.25">
      <c r="A38" s="316" t="s">
        <v>71</v>
      </c>
      <c r="B38" s="316"/>
      <c r="C38" s="316"/>
      <c r="D38" s="316"/>
      <c r="E38" s="316"/>
      <c r="F38" s="316"/>
      <c r="G38" s="400">
        <f>SUM(G37-K18)</f>
        <v>7786</v>
      </c>
      <c r="H38" s="361"/>
      <c r="I38" s="401">
        <f t="shared" ref="I38:I39" si="3">G38*2.471</f>
        <v>19239.206000000002</v>
      </c>
      <c r="J38" s="361"/>
      <c r="K38" s="361"/>
      <c r="L38" s="361"/>
      <c r="M38" s="361"/>
      <c r="N38" s="361"/>
      <c r="O38" s="337"/>
    </row>
    <row r="39" spans="1:15" s="362" customFormat="1" ht="14.25">
      <c r="A39" s="316" t="s">
        <v>72</v>
      </c>
      <c r="B39" s="316"/>
      <c r="C39" s="316"/>
      <c r="D39" s="316"/>
      <c r="E39" s="316"/>
      <c r="F39" s="316"/>
      <c r="G39" s="400">
        <f>SUM(G37-K19)</f>
        <v>23820</v>
      </c>
      <c r="H39" s="361"/>
      <c r="I39" s="401">
        <f t="shared" si="3"/>
        <v>58859.22</v>
      </c>
      <c r="J39" s="361"/>
      <c r="K39" s="361"/>
      <c r="L39" s="361"/>
      <c r="M39" s="361"/>
      <c r="N39" s="361"/>
      <c r="O39" s="337"/>
    </row>
    <row r="40" spans="1:15" s="362" customFormat="1" ht="14.25">
      <c r="A40" s="316"/>
      <c r="B40" s="316"/>
      <c r="C40" s="316"/>
      <c r="D40" s="316"/>
      <c r="E40" s="316"/>
      <c r="F40" s="316"/>
      <c r="G40" s="400"/>
      <c r="H40" s="361"/>
      <c r="I40" s="361"/>
      <c r="J40" s="361"/>
      <c r="K40" s="361"/>
      <c r="L40" s="361"/>
      <c r="M40" s="361"/>
      <c r="N40" s="361"/>
      <c r="O40" s="337"/>
    </row>
    <row r="41" spans="1:15" s="362" customFormat="1" ht="14.25">
      <c r="A41" s="316" t="s">
        <v>73</v>
      </c>
      <c r="B41" s="316"/>
      <c r="C41" s="316"/>
      <c r="D41" s="316"/>
      <c r="E41" s="316"/>
      <c r="F41" s="316"/>
      <c r="G41" s="400">
        <f>SUM(K18/G35)</f>
        <v>32.043699186991873</v>
      </c>
      <c r="H41" s="361"/>
      <c r="I41" s="361"/>
      <c r="J41" s="361"/>
      <c r="K41" s="361"/>
      <c r="L41" s="361"/>
      <c r="M41" s="361"/>
      <c r="N41" s="361"/>
      <c r="O41" s="337"/>
    </row>
    <row r="42" spans="1:15" s="362" customFormat="1" ht="14.25">
      <c r="A42" s="318" t="s">
        <v>74</v>
      </c>
      <c r="B42" s="318"/>
      <c r="C42" s="318"/>
      <c r="D42" s="318"/>
      <c r="E42" s="318"/>
      <c r="F42" s="318"/>
      <c r="G42" s="402">
        <f>SUM(K19/G35)</f>
        <v>23.896341463414632</v>
      </c>
      <c r="H42" s="361"/>
      <c r="I42" s="361"/>
      <c r="J42" s="361"/>
      <c r="K42" s="361"/>
      <c r="L42" s="361"/>
      <c r="M42" s="361"/>
      <c r="N42" s="361"/>
      <c r="O42" s="337"/>
    </row>
    <row r="43" spans="1:15" s="362" customFormat="1" ht="14.25">
      <c r="A43" s="361"/>
      <c r="B43" s="361"/>
      <c r="C43" s="361"/>
      <c r="D43" s="361"/>
      <c r="E43" s="361"/>
      <c r="F43" s="361"/>
      <c r="G43" s="361"/>
      <c r="H43" s="361"/>
      <c r="I43" s="361"/>
      <c r="J43" s="361"/>
      <c r="K43" s="361"/>
      <c r="L43" s="361"/>
      <c r="M43" s="361"/>
      <c r="N43" s="361"/>
      <c r="O43" s="337"/>
    </row>
    <row r="44" spans="1:15" s="362" customFormat="1" ht="14.25">
      <c r="A44" s="361"/>
      <c r="B44" s="361"/>
      <c r="C44" s="361"/>
      <c r="D44" s="361"/>
      <c r="E44" s="361"/>
      <c r="F44" s="361"/>
      <c r="G44" s="361"/>
      <c r="H44" s="361"/>
      <c r="I44" s="361"/>
      <c r="J44" s="361"/>
      <c r="K44" s="361"/>
      <c r="L44" s="361"/>
      <c r="M44" s="361"/>
      <c r="N44" s="361"/>
      <c r="O44" s="337"/>
    </row>
    <row r="45" spans="1:15" s="362" customFormat="1" ht="14.25">
      <c r="A45" s="361"/>
      <c r="B45" s="361"/>
      <c r="C45" s="361"/>
      <c r="D45" s="361"/>
      <c r="E45" s="361"/>
      <c r="F45" s="361"/>
      <c r="G45" s="361"/>
      <c r="H45" s="361"/>
      <c r="I45" s="361"/>
      <c r="J45" s="361"/>
      <c r="K45" s="361"/>
      <c r="L45" s="361"/>
      <c r="M45" s="361"/>
      <c r="N45" s="361"/>
      <c r="O45" s="337"/>
    </row>
    <row r="46" spans="1:15" s="362" customFormat="1" ht="14.25">
      <c r="A46" s="361"/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37"/>
    </row>
    <row r="47" spans="1:15">
      <c r="A47" s="403" t="s">
        <v>234</v>
      </c>
      <c r="B47" s="403"/>
      <c r="C47" s="403"/>
      <c r="D47" s="403"/>
      <c r="E47" s="403"/>
      <c r="F47" s="403"/>
      <c r="G47" s="403"/>
      <c r="H47" s="403"/>
      <c r="I47" s="403"/>
      <c r="J47" s="403"/>
      <c r="K47" s="403"/>
      <c r="L47" s="403"/>
      <c r="M47" s="403"/>
      <c r="N47" s="403"/>
      <c r="O47" s="404"/>
    </row>
    <row r="48" spans="1:15">
      <c r="A48" s="403"/>
      <c r="B48" s="403"/>
      <c r="C48" s="403"/>
      <c r="D48" s="403"/>
      <c r="E48" s="403"/>
      <c r="F48" s="403"/>
      <c r="G48" s="403"/>
      <c r="H48" s="403"/>
      <c r="I48" s="403"/>
      <c r="J48" s="403"/>
      <c r="K48" s="403"/>
      <c r="L48" s="403"/>
      <c r="M48" s="403"/>
      <c r="N48" s="403"/>
      <c r="O48" s="40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selection activeCell="A3" sqref="A3:B3"/>
    </sheetView>
  </sheetViews>
  <sheetFormatPr defaultRowHeight="15"/>
  <sheetData>
    <row r="1" spans="1:18">
      <c r="A1" s="1" t="s">
        <v>249</v>
      </c>
      <c r="B1" s="2"/>
    </row>
    <row r="2" spans="1:18">
      <c r="A2" s="1" t="s">
        <v>250</v>
      </c>
      <c r="B2" s="2"/>
    </row>
    <row r="3" spans="1:18">
      <c r="A3" s="1" t="s">
        <v>376</v>
      </c>
      <c r="B3" s="2"/>
    </row>
    <row r="4" spans="1:18">
      <c r="A4" s="1"/>
    </row>
    <row r="5" spans="1:18" s="94" customFormat="1" ht="12.75">
      <c r="A5" s="91" t="s">
        <v>0</v>
      </c>
      <c r="B5" s="91"/>
      <c r="C5" s="91"/>
      <c r="D5" s="92" t="s">
        <v>1</v>
      </c>
      <c r="E5" s="92" t="s">
        <v>2</v>
      </c>
      <c r="F5" s="92" t="s">
        <v>3</v>
      </c>
      <c r="G5" s="92" t="s">
        <v>4</v>
      </c>
      <c r="H5" s="92" t="s">
        <v>5</v>
      </c>
      <c r="I5" s="92" t="s">
        <v>6</v>
      </c>
      <c r="J5" s="92" t="s">
        <v>7</v>
      </c>
      <c r="K5" s="92" t="s">
        <v>8</v>
      </c>
      <c r="L5" s="93" t="s">
        <v>9</v>
      </c>
      <c r="M5" s="92"/>
    </row>
    <row r="6" spans="1:18" s="94" customFormat="1" ht="12.75">
      <c r="A6" s="95"/>
      <c r="B6" s="95"/>
      <c r="C6" s="95"/>
      <c r="D6" s="96" t="s">
        <v>10</v>
      </c>
      <c r="E6" s="96" t="s">
        <v>11</v>
      </c>
      <c r="F6" s="96" t="s">
        <v>11</v>
      </c>
      <c r="G6" s="96" t="s">
        <v>12</v>
      </c>
      <c r="H6" s="96" t="s">
        <v>13</v>
      </c>
      <c r="I6" s="96" t="s">
        <v>14</v>
      </c>
      <c r="J6" s="96" t="s">
        <v>13</v>
      </c>
      <c r="K6" s="96" t="s">
        <v>13</v>
      </c>
      <c r="L6" s="96" t="s">
        <v>6</v>
      </c>
      <c r="M6" s="96" t="s">
        <v>7</v>
      </c>
    </row>
    <row r="7" spans="1:18" s="94" customFormat="1" ht="12.75">
      <c r="A7" s="95"/>
      <c r="B7" s="95"/>
      <c r="C7" s="95"/>
      <c r="D7" s="96" t="s">
        <v>15</v>
      </c>
      <c r="E7" s="96"/>
      <c r="F7" s="96"/>
      <c r="G7" s="96"/>
      <c r="H7" s="96" t="s">
        <v>16</v>
      </c>
      <c r="I7" s="96" t="s">
        <v>13</v>
      </c>
      <c r="J7" s="96" t="s">
        <v>16</v>
      </c>
      <c r="K7" s="96" t="s">
        <v>16</v>
      </c>
      <c r="L7" s="96"/>
      <c r="M7" s="96"/>
    </row>
    <row r="8" spans="1:18" s="94" customFormat="1" ht="12.75">
      <c r="A8" s="97"/>
      <c r="B8" s="97"/>
      <c r="C8" s="97"/>
      <c r="D8" s="98"/>
      <c r="E8" s="98"/>
      <c r="F8" s="98"/>
      <c r="G8" s="98"/>
      <c r="H8" s="98"/>
      <c r="I8" s="98" t="s">
        <v>16</v>
      </c>
      <c r="J8" s="98"/>
      <c r="K8" s="98"/>
      <c r="L8" s="98"/>
      <c r="M8" s="98"/>
    </row>
    <row r="9" spans="1:18" s="68" customFormat="1" ht="14.25">
      <c r="A9" s="68" t="s">
        <v>172</v>
      </c>
      <c r="D9" s="71">
        <f>'[1]Data sheet'!U45</f>
        <v>0</v>
      </c>
      <c r="E9" s="72">
        <f>'[1]Data sheet'!U54</f>
        <v>909.09090909090912</v>
      </c>
      <c r="F9" s="72">
        <f>'[1]Data sheet'!V50</f>
        <v>2.6341463414634148</v>
      </c>
      <c r="G9" s="73">
        <v>955</v>
      </c>
      <c r="H9" s="72">
        <v>3773</v>
      </c>
      <c r="J9" s="72"/>
      <c r="K9" s="72">
        <f>SUM(H9:J9)</f>
        <v>3773</v>
      </c>
      <c r="N9" s="8"/>
      <c r="O9" s="8"/>
      <c r="P9" s="8"/>
      <c r="Q9" s="8"/>
      <c r="R9" s="10"/>
    </row>
    <row r="10" spans="1:18" s="68" customFormat="1" ht="14.25">
      <c r="A10" s="68" t="s">
        <v>235</v>
      </c>
      <c r="D10" s="71">
        <v>100</v>
      </c>
      <c r="E10" s="72">
        <v>0.5</v>
      </c>
      <c r="F10" s="72">
        <v>0.5</v>
      </c>
      <c r="G10" s="73">
        <v>950</v>
      </c>
      <c r="H10" s="72">
        <f t="shared" ref="H10:H13" si="0">E10*G10</f>
        <v>475</v>
      </c>
      <c r="I10" s="72">
        <v>7771</v>
      </c>
      <c r="J10" s="72"/>
      <c r="K10" s="72">
        <f t="shared" ref="K10:K12" si="1">SUM(H10:J10)</f>
        <v>8246</v>
      </c>
      <c r="L10" s="72"/>
      <c r="M10" s="72"/>
      <c r="N10" s="8"/>
      <c r="O10" s="8"/>
      <c r="P10" s="8"/>
      <c r="Q10" s="8"/>
      <c r="R10" s="10"/>
    </row>
    <row r="11" spans="1:18" s="68" customFormat="1" ht="14.25">
      <c r="A11" s="68" t="s">
        <v>236</v>
      </c>
      <c r="D11" s="71">
        <f>'[1]Data sheet'!AQ44</f>
        <v>0</v>
      </c>
      <c r="E11" s="72">
        <f>'[1]Data sheet'!AQ53</f>
        <v>1019.9074074074074</v>
      </c>
      <c r="F11" s="72">
        <f>'[1]Data sheet'!AR49</f>
        <v>5.1023622047244093</v>
      </c>
      <c r="G11" s="73">
        <f>'[1]Data sheet'!AQ55</f>
        <v>0</v>
      </c>
      <c r="H11" s="72">
        <v>6854</v>
      </c>
      <c r="I11" s="72"/>
      <c r="J11" s="72"/>
      <c r="K11" s="72">
        <f t="shared" si="1"/>
        <v>6854</v>
      </c>
      <c r="L11" s="72"/>
      <c r="M11" s="72"/>
      <c r="N11" s="8"/>
      <c r="O11" s="8"/>
      <c r="P11" s="8"/>
      <c r="Q11" s="8"/>
      <c r="R11" s="10"/>
    </row>
    <row r="12" spans="1:18" s="68" customFormat="1" ht="14.25">
      <c r="A12" s="68" t="s">
        <v>25</v>
      </c>
      <c r="D12" s="71">
        <f>'[1]Data sheet'!BR45</f>
        <v>0</v>
      </c>
      <c r="E12" s="72">
        <f>'[1]Data sheet'!BR54</f>
        <v>1008.421052631579</v>
      </c>
      <c r="F12" s="72">
        <f>'[1]Data sheet'!BS50</f>
        <v>5.1950523311132262</v>
      </c>
      <c r="G12" s="73">
        <f>'[1]Data sheet'!BR56</f>
        <v>0</v>
      </c>
      <c r="H12" s="72">
        <v>6241</v>
      </c>
      <c r="I12" s="72"/>
      <c r="J12" s="72">
        <f>E35*G35</f>
        <v>12584</v>
      </c>
      <c r="K12" s="72">
        <f t="shared" si="1"/>
        <v>18825</v>
      </c>
      <c r="L12" s="72"/>
      <c r="M12" s="72"/>
      <c r="N12" s="8"/>
      <c r="O12" s="8"/>
      <c r="P12" s="8"/>
      <c r="Q12" s="8"/>
      <c r="R12" s="10"/>
    </row>
    <row r="13" spans="1:18" s="68" customFormat="1" ht="14.25">
      <c r="A13" s="68" t="s">
        <v>144</v>
      </c>
      <c r="D13" s="71">
        <v>100</v>
      </c>
      <c r="E13" s="72">
        <v>7.49</v>
      </c>
      <c r="F13" s="72">
        <v>1.26</v>
      </c>
      <c r="G13" s="73">
        <v>1000</v>
      </c>
      <c r="H13" s="72">
        <f t="shared" si="0"/>
        <v>7490</v>
      </c>
      <c r="I13" s="72"/>
      <c r="J13" s="72"/>
      <c r="K13" s="72">
        <f>SUM(H13:J13)</f>
        <v>7490</v>
      </c>
      <c r="L13" s="72"/>
      <c r="M13" s="72"/>
      <c r="N13" s="8"/>
      <c r="O13" s="8"/>
      <c r="P13" s="8"/>
      <c r="Q13" s="8"/>
      <c r="R13" s="168"/>
    </row>
    <row r="14" spans="1:18" s="68" customFormat="1" ht="15.75">
      <c r="A14" s="68" t="s">
        <v>237</v>
      </c>
      <c r="B14"/>
      <c r="C14"/>
      <c r="D14" s="71">
        <v>86</v>
      </c>
      <c r="E14"/>
      <c r="F14"/>
      <c r="G14"/>
      <c r="H14" s="72">
        <f>E14*G14</f>
        <v>0</v>
      </c>
      <c r="I14"/>
      <c r="J14"/>
      <c r="K14"/>
      <c r="L14"/>
      <c r="M14"/>
      <c r="N14" s="8"/>
      <c r="O14" s="8"/>
      <c r="P14" s="8"/>
      <c r="Q14" s="8"/>
      <c r="R14" s="168"/>
    </row>
    <row r="15" spans="1:18" ht="15.75">
      <c r="A15" s="8" t="s">
        <v>238</v>
      </c>
      <c r="B15" s="8"/>
      <c r="C15" s="8"/>
      <c r="D15" s="74" t="s">
        <v>239</v>
      </c>
      <c r="E15" t="s">
        <v>240</v>
      </c>
      <c r="F15" t="s">
        <v>241</v>
      </c>
      <c r="G15">
        <v>1000</v>
      </c>
      <c r="H15" s="72" t="s">
        <v>242</v>
      </c>
      <c r="N15" s="8"/>
      <c r="O15" s="8"/>
      <c r="P15" s="8"/>
      <c r="Q15" s="8"/>
      <c r="R15" s="10"/>
    </row>
    <row r="16" spans="1:18" s="68" customFormat="1" ht="14.25">
      <c r="A16" s="67" t="s">
        <v>37</v>
      </c>
      <c r="B16" s="67"/>
      <c r="C16" s="67"/>
      <c r="D16" s="75"/>
      <c r="E16" s="76">
        <f>SUM(E9:E13)</f>
        <v>2945.4093691298949</v>
      </c>
      <c r="F16" s="76">
        <f>SUM(F9:F13)</f>
        <v>14.69156087730105</v>
      </c>
      <c r="G16" s="76"/>
      <c r="H16" s="76">
        <f>SUM(H9:H13)</f>
        <v>24833</v>
      </c>
      <c r="I16" s="76">
        <f>SUM(I9:I13)</f>
        <v>7771</v>
      </c>
      <c r="J16" s="76">
        <f>SUM(J9:J13)</f>
        <v>12584</v>
      </c>
      <c r="K16" s="76">
        <f>SUM(H16:J16)</f>
        <v>45188</v>
      </c>
      <c r="L16" s="76">
        <f>SUM(L9:L13)</f>
        <v>0</v>
      </c>
      <c r="M16" s="76">
        <f>SUM(M9:M13)</f>
        <v>0</v>
      </c>
      <c r="N16" s="8"/>
      <c r="O16" s="8"/>
      <c r="P16" s="8"/>
      <c r="Q16" s="8"/>
      <c r="R16" s="10"/>
    </row>
    <row r="17" spans="1:18" s="68" customFormat="1" ht="14.25">
      <c r="A17" s="70" t="s">
        <v>38</v>
      </c>
      <c r="B17" s="70"/>
      <c r="C17" s="70"/>
      <c r="D17" s="77"/>
      <c r="E17" s="78">
        <f>SUM(E16-F16)</f>
        <v>2930.7178082525938</v>
      </c>
      <c r="F17" s="78"/>
      <c r="G17" s="78"/>
      <c r="H17" s="78">
        <f>SUM(E29*G29)</f>
        <v>18867</v>
      </c>
      <c r="I17" s="78">
        <f>I16-L16</f>
        <v>7771</v>
      </c>
      <c r="J17" s="78">
        <f>J16-M16</f>
        <v>12584</v>
      </c>
      <c r="K17" s="78">
        <f>SUM(H17:J17)</f>
        <v>39222</v>
      </c>
      <c r="L17" s="70"/>
      <c r="M17" s="70"/>
      <c r="N17" s="8"/>
      <c r="O17" s="8"/>
      <c r="P17" s="8"/>
      <c r="Q17" s="8"/>
      <c r="R17" s="10"/>
    </row>
    <row r="18" spans="1:18" s="68" customFormat="1" ht="14.25">
      <c r="A18" s="175" t="s">
        <v>243</v>
      </c>
    </row>
    <row r="19" spans="1:18" s="68" customFormat="1" ht="14.25">
      <c r="A19" s="175"/>
    </row>
    <row r="20" spans="1:18" s="68" customFormat="1" ht="12.75">
      <c r="C20" s="68" t="s">
        <v>39</v>
      </c>
    </row>
    <row r="21" spans="1:18" s="68" customFormat="1" ht="12.75"/>
    <row r="22" spans="1:18" s="68" customFormat="1" ht="12.75">
      <c r="A22" s="68" t="s">
        <v>40</v>
      </c>
    </row>
    <row r="23" spans="1:18" s="68" customFormat="1" ht="12.75">
      <c r="A23" s="79" t="s">
        <v>41</v>
      </c>
      <c r="B23" s="79"/>
      <c r="C23" s="79"/>
      <c r="D23" s="79" t="s">
        <v>42</v>
      </c>
      <c r="E23" s="79" t="s">
        <v>43</v>
      </c>
      <c r="F23" s="79"/>
      <c r="G23" s="79" t="s">
        <v>44</v>
      </c>
    </row>
    <row r="24" spans="1:18" s="68" customFormat="1" ht="14.25">
      <c r="I24" s="176" t="s">
        <v>48</v>
      </c>
      <c r="J24" s="27" t="s">
        <v>49</v>
      </c>
    </row>
    <row r="25" spans="1:18" s="68" customFormat="1" ht="14.25">
      <c r="A25" s="68" t="s">
        <v>244</v>
      </c>
      <c r="D25" s="68" t="s">
        <v>245</v>
      </c>
      <c r="E25" s="72">
        <v>4050</v>
      </c>
      <c r="G25" s="72">
        <f>0</f>
        <v>0</v>
      </c>
      <c r="I25" s="177" t="s">
        <v>246</v>
      </c>
      <c r="J25" s="178">
        <v>8</v>
      </c>
    </row>
    <row r="26" spans="1:18" s="68" customFormat="1" ht="14.25">
      <c r="I26" s="179" t="s">
        <v>247</v>
      </c>
      <c r="J26" s="180">
        <v>92</v>
      </c>
    </row>
    <row r="27" spans="1:18" s="68" customFormat="1" ht="14.25">
      <c r="J27" s="31"/>
      <c r="K27" s="44"/>
    </row>
    <row r="28" spans="1:18" s="68" customFormat="1">
      <c r="A28" s="68" t="s">
        <v>54</v>
      </c>
      <c r="J28" s="181"/>
      <c r="K28" s="182"/>
    </row>
    <row r="29" spans="1:18" s="68" customFormat="1" ht="15.75">
      <c r="A29" s="68" t="s">
        <v>56</v>
      </c>
      <c r="D29" s="68" t="s">
        <v>57</v>
      </c>
      <c r="E29" s="72">
        <v>19</v>
      </c>
      <c r="G29" s="72">
        <v>993</v>
      </c>
      <c r="I29" s="83"/>
      <c r="J29" s="183" t="s">
        <v>186</v>
      </c>
      <c r="K29" s="184">
        <v>1.4666666666666666</v>
      </c>
    </row>
    <row r="30" spans="1:18" s="68" customFormat="1" ht="15.75">
      <c r="A30" s="68" t="s">
        <v>58</v>
      </c>
      <c r="D30" s="68" t="s">
        <v>57</v>
      </c>
      <c r="E30" s="72">
        <v>6</v>
      </c>
      <c r="I30" s="83"/>
      <c r="J30" s="183" t="s">
        <v>187</v>
      </c>
      <c r="K30" s="184">
        <v>1</v>
      </c>
    </row>
    <row r="31" spans="1:18" s="68" customFormat="1">
      <c r="A31" s="68" t="s">
        <v>2</v>
      </c>
      <c r="E31" s="72">
        <f>SUM(E29:E30)</f>
        <v>25</v>
      </c>
      <c r="I31" s="83"/>
      <c r="J31" s="82"/>
      <c r="K31" s="83"/>
    </row>
    <row r="32" spans="1:18" s="68" customFormat="1">
      <c r="I32" s="83"/>
      <c r="J32" s="82"/>
      <c r="K32" s="83"/>
    </row>
    <row r="33" spans="1:13" s="68" customFormat="1">
      <c r="A33" s="67" t="s">
        <v>61</v>
      </c>
      <c r="B33" s="67"/>
      <c r="C33" s="67" t="s">
        <v>62</v>
      </c>
      <c r="D33" s="67"/>
      <c r="E33" s="67" t="s">
        <v>47</v>
      </c>
      <c r="F33" s="67"/>
      <c r="G33" s="67"/>
      <c r="I33" s="83"/>
      <c r="J33" s="83"/>
    </row>
    <row r="34" spans="1:13" s="68" customFormat="1">
      <c r="A34" s="69"/>
      <c r="B34" s="69"/>
      <c r="C34" s="173"/>
      <c r="D34" s="69"/>
      <c r="F34" s="174"/>
      <c r="G34" s="174"/>
      <c r="I34" s="174"/>
      <c r="J34" s="83"/>
    </row>
    <row r="35" spans="1:13" s="68" customFormat="1" ht="15.75">
      <c r="A35" s="185" t="s">
        <v>248</v>
      </c>
      <c r="B35" s="69"/>
      <c r="C35" s="186">
        <v>94</v>
      </c>
      <c r="D35" s="69"/>
      <c r="E35" s="72">
        <v>484</v>
      </c>
      <c r="F35" s="174"/>
      <c r="G35" s="186">
        <v>26</v>
      </c>
      <c r="I35" s="186"/>
      <c r="J35" s="83"/>
    </row>
    <row r="36" spans="1:13" s="68" customFormat="1">
      <c r="A36" s="69"/>
      <c r="B36" s="69"/>
      <c r="C36" s="173"/>
      <c r="D36" s="69"/>
      <c r="F36" s="174"/>
      <c r="G36" s="174"/>
      <c r="I36" s="174"/>
      <c r="J36" s="83"/>
      <c r="M36" s="69"/>
    </row>
    <row r="37" spans="1:13" s="68" customFormat="1" ht="12.75">
      <c r="A37" s="70"/>
      <c r="B37" s="69"/>
      <c r="C37" s="187"/>
      <c r="D37" s="70"/>
      <c r="E37" s="78"/>
      <c r="F37" s="78"/>
      <c r="G37" s="78"/>
      <c r="M37" s="69"/>
    </row>
    <row r="38" spans="1:13" s="68" customFormat="1" ht="12.75">
      <c r="A38" s="67" t="s">
        <v>66</v>
      </c>
      <c r="B38" s="67"/>
      <c r="C38" s="67"/>
      <c r="D38" s="67"/>
      <c r="E38" s="67"/>
      <c r="F38" s="67"/>
      <c r="G38" s="67"/>
      <c r="I38" s="68" t="s">
        <v>67</v>
      </c>
    </row>
    <row r="39" spans="1:13" s="68" customFormat="1" ht="12.75">
      <c r="A39" s="69" t="s">
        <v>68</v>
      </c>
      <c r="B39" s="69"/>
      <c r="C39" s="69"/>
      <c r="D39" s="69"/>
      <c r="E39" s="69"/>
      <c r="F39" s="69"/>
      <c r="G39" s="86">
        <v>7343</v>
      </c>
      <c r="H39" s="87"/>
      <c r="I39" s="72">
        <v>18145</v>
      </c>
    </row>
    <row r="40" spans="1:13" s="68" customFormat="1" ht="12.75">
      <c r="A40" s="69" t="s">
        <v>69</v>
      </c>
      <c r="B40" s="69"/>
      <c r="C40" s="69"/>
      <c r="D40" s="69"/>
      <c r="E40" s="69"/>
      <c r="F40" s="69"/>
      <c r="G40" s="88">
        <v>30</v>
      </c>
      <c r="I40" s="72"/>
    </row>
    <row r="41" spans="1:13" s="68" customFormat="1" ht="12.75">
      <c r="A41" s="69" t="s">
        <v>70</v>
      </c>
      <c r="B41" s="69"/>
      <c r="C41" s="69"/>
      <c r="D41" s="69"/>
      <c r="E41" s="69"/>
      <c r="F41" s="69"/>
      <c r="G41" s="88">
        <f>SUM(G39*G40)</f>
        <v>220290</v>
      </c>
      <c r="I41" s="72">
        <v>544337</v>
      </c>
    </row>
    <row r="42" spans="1:13" s="68" customFormat="1" ht="12.75">
      <c r="A42" s="69" t="s">
        <v>71</v>
      </c>
      <c r="B42" s="69"/>
      <c r="C42" s="69"/>
      <c r="D42" s="69"/>
      <c r="E42" s="69"/>
      <c r="F42" s="69"/>
      <c r="G42" s="88">
        <f>SUM(G41-K16)</f>
        <v>175102</v>
      </c>
      <c r="I42" s="72">
        <v>432677</v>
      </c>
    </row>
    <row r="43" spans="1:13" s="68" customFormat="1" ht="12.75">
      <c r="A43" s="69" t="s">
        <v>72</v>
      </c>
      <c r="B43" s="69"/>
      <c r="C43" s="69"/>
      <c r="D43" s="69"/>
      <c r="E43" s="69"/>
      <c r="F43" s="69"/>
      <c r="G43" s="88">
        <f>SUM(G41-K17)</f>
        <v>181068</v>
      </c>
      <c r="I43" s="72">
        <v>447419</v>
      </c>
    </row>
    <row r="44" spans="1:13" s="68" customFormat="1" ht="12.75">
      <c r="A44" s="69"/>
      <c r="B44" s="69"/>
      <c r="C44" s="69"/>
      <c r="D44" s="69"/>
      <c r="E44" s="69"/>
      <c r="F44" s="69"/>
      <c r="G44" s="88"/>
    </row>
    <row r="45" spans="1:13" s="68" customFormat="1" ht="12.75">
      <c r="A45" s="69" t="s">
        <v>73</v>
      </c>
      <c r="B45" s="69"/>
      <c r="C45" s="69"/>
      <c r="D45" s="69"/>
      <c r="E45" s="69"/>
      <c r="F45" s="69"/>
      <c r="G45" s="88">
        <f>SUM(K16/G39)</f>
        <v>6.153888056652594</v>
      </c>
    </row>
    <row r="46" spans="1:13" s="68" customFormat="1" ht="13.5" thickBot="1">
      <c r="A46" s="188" t="s">
        <v>74</v>
      </c>
      <c r="B46" s="188"/>
      <c r="C46" s="188"/>
      <c r="D46" s="188"/>
      <c r="E46" s="188"/>
      <c r="F46" s="188"/>
      <c r="G46" s="189">
        <f>SUM(K17/G39)</f>
        <v>5.3414135911752689</v>
      </c>
    </row>
    <row r="47" spans="1:13" ht="15.75" thickTop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"/>
  <sheetViews>
    <sheetView workbookViewId="0">
      <selection activeCell="A3" sqref="A3:B3"/>
    </sheetView>
  </sheetViews>
  <sheetFormatPr defaultRowHeight="15"/>
  <cols>
    <col min="7" max="7" width="13.42578125" customWidth="1"/>
  </cols>
  <sheetData>
    <row r="1" spans="1:18">
      <c r="A1" s="1" t="s">
        <v>264</v>
      </c>
      <c r="B1" s="2"/>
    </row>
    <row r="2" spans="1:18">
      <c r="A2" s="1" t="s">
        <v>229</v>
      </c>
      <c r="B2" s="2"/>
    </row>
    <row r="3" spans="1:18">
      <c r="A3" s="1" t="s">
        <v>376</v>
      </c>
      <c r="B3" s="2"/>
    </row>
    <row r="4" spans="1:18">
      <c r="A4" s="1" t="s">
        <v>265</v>
      </c>
    </row>
    <row r="5" spans="1:18" s="34" customFormat="1" ht="14.25">
      <c r="A5" s="35" t="s">
        <v>0</v>
      </c>
      <c r="B5" s="35"/>
      <c r="C5" s="35"/>
      <c r="D5" s="36" t="s">
        <v>1</v>
      </c>
      <c r="E5" s="36" t="s">
        <v>2</v>
      </c>
      <c r="F5" s="36" t="s">
        <v>3</v>
      </c>
      <c r="G5" s="36" t="s">
        <v>4</v>
      </c>
      <c r="H5" s="36" t="s">
        <v>5</v>
      </c>
      <c r="I5" s="36" t="s">
        <v>6</v>
      </c>
      <c r="J5" s="36" t="s">
        <v>7</v>
      </c>
      <c r="K5" s="36" t="s">
        <v>8</v>
      </c>
      <c r="L5" s="37" t="s">
        <v>9</v>
      </c>
      <c r="M5" s="36"/>
    </row>
    <row r="6" spans="1:18" s="34" customFormat="1" ht="14.25">
      <c r="A6" s="38"/>
      <c r="B6" s="38"/>
      <c r="C6" s="38"/>
      <c r="D6" s="39" t="s">
        <v>10</v>
      </c>
      <c r="E6" s="39" t="s">
        <v>11</v>
      </c>
      <c r="F6" s="39" t="s">
        <v>11</v>
      </c>
      <c r="G6" s="39" t="s">
        <v>12</v>
      </c>
      <c r="H6" s="39" t="s">
        <v>13</v>
      </c>
      <c r="I6" s="39" t="s">
        <v>14</v>
      </c>
      <c r="J6" s="39" t="s">
        <v>13</v>
      </c>
      <c r="K6" s="39" t="s">
        <v>13</v>
      </c>
      <c r="L6" s="66" t="s">
        <v>6</v>
      </c>
      <c r="M6" s="39" t="s">
        <v>7</v>
      </c>
    </row>
    <row r="7" spans="1:18" s="34" customFormat="1" ht="14.25">
      <c r="A7" s="38"/>
      <c r="B7" s="38"/>
      <c r="C7" s="38"/>
      <c r="D7" s="39" t="s">
        <v>15</v>
      </c>
      <c r="E7" s="39"/>
      <c r="F7" s="39"/>
      <c r="G7" s="39"/>
      <c r="H7" s="39" t="s">
        <v>16</v>
      </c>
      <c r="I7" s="39" t="s">
        <v>13</v>
      </c>
      <c r="J7" s="39" t="s">
        <v>16</v>
      </c>
      <c r="K7" s="39" t="s">
        <v>16</v>
      </c>
      <c r="L7" s="39"/>
      <c r="M7" s="39"/>
    </row>
    <row r="8" spans="1:18" s="34" customFormat="1" ht="14.25">
      <c r="A8" s="41"/>
      <c r="B8" s="41"/>
      <c r="C8" s="41"/>
      <c r="D8" s="42"/>
      <c r="E8" s="42"/>
      <c r="F8" s="42"/>
      <c r="G8" s="42"/>
      <c r="H8" s="42"/>
      <c r="I8" s="42" t="s">
        <v>16</v>
      </c>
      <c r="J8" s="42"/>
      <c r="K8" s="42"/>
      <c r="L8" s="42"/>
      <c r="M8" s="42"/>
    </row>
    <row r="9" spans="1:18" s="8" customFormat="1" ht="14.25">
      <c r="A9" s="8" t="s">
        <v>172</v>
      </c>
      <c r="D9" s="47">
        <v>80</v>
      </c>
      <c r="E9" s="10">
        <v>5</v>
      </c>
      <c r="F9" s="10">
        <f>2.1+0.5</f>
        <v>2.6</v>
      </c>
      <c r="G9" s="48">
        <v>912.2</v>
      </c>
      <c r="H9" s="10">
        <f>SUM(E9*G9)</f>
        <v>4561</v>
      </c>
      <c r="J9" s="10"/>
      <c r="K9" s="10">
        <f t="shared" ref="K9:K21" si="0">SUM(H9:J9)</f>
        <v>4561</v>
      </c>
      <c r="O9" s="3"/>
      <c r="P9" s="3"/>
      <c r="Q9" s="3"/>
      <c r="R9" s="7"/>
    </row>
    <row r="10" spans="1:18" s="8" customFormat="1" ht="14.25">
      <c r="A10" s="8" t="s">
        <v>86</v>
      </c>
      <c r="D10" s="47">
        <v>62</v>
      </c>
      <c r="E10" s="10">
        <v>0.5</v>
      </c>
      <c r="F10" s="10">
        <v>0.5</v>
      </c>
      <c r="G10" s="48">
        <v>950</v>
      </c>
      <c r="H10" s="10">
        <f>SUM(E10*G10)</f>
        <v>475</v>
      </c>
      <c r="I10" s="10">
        <v>7938</v>
      </c>
      <c r="J10" s="10"/>
      <c r="K10" s="10">
        <f>SUM(H10:J10)</f>
        <v>8413</v>
      </c>
      <c r="L10" s="10">
        <v>496</v>
      </c>
      <c r="M10" s="10"/>
      <c r="O10" s="3"/>
      <c r="P10" s="3"/>
      <c r="Q10" s="3"/>
      <c r="R10" s="7"/>
    </row>
    <row r="11" spans="1:18" s="8" customFormat="1" ht="14.25">
      <c r="A11" s="8" t="s">
        <v>251</v>
      </c>
      <c r="D11" s="47" t="s">
        <v>252</v>
      </c>
      <c r="E11" s="10" t="s">
        <v>253</v>
      </c>
      <c r="F11" s="10" t="s">
        <v>254</v>
      </c>
      <c r="G11" s="48" t="s">
        <v>255</v>
      </c>
      <c r="H11" s="10" t="s">
        <v>256</v>
      </c>
      <c r="J11" s="10"/>
      <c r="K11" s="10">
        <f>SUM(H11:J11)</f>
        <v>0</v>
      </c>
      <c r="L11" s="10"/>
      <c r="M11" s="10"/>
      <c r="O11" s="3"/>
      <c r="P11" s="3"/>
      <c r="Q11" s="3"/>
      <c r="R11" s="7"/>
    </row>
    <row r="12" spans="1:18" s="8" customFormat="1" ht="14.25">
      <c r="A12" s="8" t="s">
        <v>257</v>
      </c>
      <c r="D12" s="47">
        <v>100</v>
      </c>
      <c r="E12" s="10">
        <v>9.6999999999999993</v>
      </c>
      <c r="F12" s="10">
        <f>4.1+0.5</f>
        <v>4.5999999999999996</v>
      </c>
      <c r="G12" s="48">
        <v>985.5</v>
      </c>
      <c r="H12" s="10">
        <v>9559</v>
      </c>
      <c r="J12" s="10"/>
      <c r="K12" s="10">
        <f t="shared" si="0"/>
        <v>9559</v>
      </c>
      <c r="L12" s="10"/>
      <c r="M12" s="10"/>
      <c r="O12" s="3"/>
      <c r="P12" s="3"/>
      <c r="Q12" s="3"/>
      <c r="R12" s="7"/>
    </row>
    <row r="13" spans="1:18" s="8" customFormat="1" ht="14.25">
      <c r="A13" s="8" t="s">
        <v>87</v>
      </c>
      <c r="D13" s="47">
        <v>100</v>
      </c>
      <c r="E13" s="10">
        <v>13.48</v>
      </c>
      <c r="F13" s="10">
        <v>8.4</v>
      </c>
      <c r="G13" s="48">
        <v>897.5</v>
      </c>
      <c r="H13" s="10">
        <v>12098</v>
      </c>
      <c r="J13" s="10">
        <f>SUM(E28*G28)</f>
        <v>15870</v>
      </c>
      <c r="K13" s="10">
        <f>SUM(H13:J13)</f>
        <v>27968</v>
      </c>
      <c r="L13" s="10"/>
      <c r="M13" s="10"/>
      <c r="O13" s="3"/>
      <c r="P13" s="3"/>
      <c r="Q13" s="3"/>
      <c r="R13" s="7"/>
    </row>
    <row r="14" spans="1:18" s="8" customFormat="1" ht="14.25">
      <c r="A14" s="8" t="s">
        <v>25</v>
      </c>
      <c r="D14" s="47">
        <v>100</v>
      </c>
      <c r="E14" s="10">
        <v>6.9</v>
      </c>
      <c r="F14" s="10">
        <f>5.3+1</f>
        <v>6.3</v>
      </c>
      <c r="G14" s="48">
        <v>1000</v>
      </c>
      <c r="H14" s="10">
        <f>SUM(E14*G14)</f>
        <v>6900</v>
      </c>
      <c r="J14" s="10">
        <f>E37*G37+E38*G38</f>
        <v>10778</v>
      </c>
      <c r="K14" s="10">
        <f t="shared" si="0"/>
        <v>17678</v>
      </c>
      <c r="L14" s="10"/>
      <c r="M14" s="10"/>
      <c r="O14" s="3"/>
      <c r="P14" s="3"/>
      <c r="Q14" s="3"/>
      <c r="R14" s="7"/>
    </row>
    <row r="15" spans="1:18" s="8" customFormat="1" ht="14.25">
      <c r="A15" s="8" t="s">
        <v>144</v>
      </c>
      <c r="D15" s="47">
        <v>100</v>
      </c>
      <c r="E15" s="10">
        <v>10.3</v>
      </c>
      <c r="F15" s="10">
        <f>4.2+1.3</f>
        <v>5.5</v>
      </c>
      <c r="G15" s="48">
        <v>918.7</v>
      </c>
      <c r="H15" s="10">
        <v>9463</v>
      </c>
      <c r="J15" s="10"/>
      <c r="K15" s="10">
        <f t="shared" si="0"/>
        <v>9463</v>
      </c>
      <c r="L15" s="10"/>
      <c r="M15" s="10"/>
      <c r="O15" s="3"/>
      <c r="P15" s="3"/>
      <c r="Q15" s="3"/>
      <c r="R15" s="7"/>
    </row>
    <row r="16" spans="1:18" s="8" customFormat="1" ht="14.25">
      <c r="A16" s="8" t="s">
        <v>33</v>
      </c>
      <c r="D16" s="47">
        <v>100</v>
      </c>
      <c r="E16" s="10">
        <v>8.6</v>
      </c>
      <c r="F16" s="10">
        <v>8.6</v>
      </c>
      <c r="G16" s="48">
        <v>900</v>
      </c>
      <c r="H16" s="10">
        <f>SUM(E16*G16)</f>
        <v>7740</v>
      </c>
      <c r="J16" s="10">
        <v>9850</v>
      </c>
      <c r="K16" s="10">
        <f t="shared" si="0"/>
        <v>17590</v>
      </c>
      <c r="L16" s="10"/>
      <c r="M16" s="10"/>
      <c r="O16" s="3"/>
      <c r="P16" s="3"/>
      <c r="Q16" s="3"/>
      <c r="R16" s="7"/>
    </row>
    <row r="17" spans="1:18" s="8" customFormat="1" ht="14.25">
      <c r="A17" s="8" t="s">
        <v>258</v>
      </c>
      <c r="D17" s="47">
        <v>100</v>
      </c>
      <c r="E17" s="10">
        <v>8.9</v>
      </c>
      <c r="F17" s="10">
        <f>3.9+1.8</f>
        <v>5.7</v>
      </c>
      <c r="G17" s="48">
        <v>905.1</v>
      </c>
      <c r="H17" s="10">
        <v>8055</v>
      </c>
      <c r="J17" s="10">
        <v>18642</v>
      </c>
      <c r="K17" s="10">
        <f t="shared" si="0"/>
        <v>26697</v>
      </c>
      <c r="L17" s="10"/>
      <c r="M17" s="127">
        <v>2943</v>
      </c>
      <c r="O17" s="3"/>
      <c r="P17" s="3"/>
      <c r="Q17" s="3"/>
      <c r="R17" s="7"/>
    </row>
    <row r="18" spans="1:18" s="8" customFormat="1" ht="14.25">
      <c r="A18" s="8" t="s">
        <v>259</v>
      </c>
      <c r="D18" s="47">
        <v>100</v>
      </c>
      <c r="E18" s="10">
        <v>15.6</v>
      </c>
      <c r="F18" s="10">
        <v>14.9</v>
      </c>
      <c r="G18" s="48">
        <v>900</v>
      </c>
      <c r="H18" s="10">
        <f>SUM(E18*G18)</f>
        <v>14040</v>
      </c>
      <c r="J18" s="10"/>
      <c r="K18" s="10">
        <f t="shared" si="0"/>
        <v>14040</v>
      </c>
      <c r="L18" s="10"/>
      <c r="M18" s="10"/>
      <c r="O18" s="3"/>
      <c r="P18" s="3"/>
      <c r="Q18" s="3"/>
      <c r="R18" s="7"/>
    </row>
    <row r="19" spans="1:18" s="8" customFormat="1" ht="14.25">
      <c r="A19" s="8" t="s">
        <v>210</v>
      </c>
      <c r="D19" s="47">
        <v>100</v>
      </c>
      <c r="E19" s="10">
        <v>27.85</v>
      </c>
      <c r="F19" s="10">
        <v>17.8</v>
      </c>
      <c r="G19" s="48">
        <v>865.8</v>
      </c>
      <c r="H19" s="10">
        <v>24113</v>
      </c>
      <c r="J19" s="10"/>
      <c r="K19" s="10">
        <f t="shared" si="0"/>
        <v>24113</v>
      </c>
      <c r="L19" s="10"/>
      <c r="M19" s="10"/>
    </row>
    <row r="20" spans="1:18" s="8" customFormat="1" ht="14.25">
      <c r="A20" s="43" t="s">
        <v>37</v>
      </c>
      <c r="B20" s="43"/>
      <c r="C20" s="43"/>
      <c r="D20" s="52"/>
      <c r="E20" s="53">
        <f>SUM(E9:E19)</f>
        <v>106.82999999999998</v>
      </c>
      <c r="F20" s="53">
        <f>SUM(F9:F19)</f>
        <v>74.900000000000006</v>
      </c>
      <c r="G20" s="53"/>
      <c r="H20" s="53">
        <f>SUM(H9:H19)</f>
        <v>97004</v>
      </c>
      <c r="I20" s="53">
        <f>SUM(I9:I19)</f>
        <v>7938</v>
      </c>
      <c r="J20" s="53">
        <f>SUM(J9:J19)</f>
        <v>55140</v>
      </c>
      <c r="K20" s="53">
        <f t="shared" si="0"/>
        <v>160082</v>
      </c>
      <c r="L20" s="53">
        <f>SUM(L9:L19)</f>
        <v>496</v>
      </c>
      <c r="M20" s="190">
        <f>SUM(M9:M19)</f>
        <v>2943</v>
      </c>
    </row>
    <row r="21" spans="1:18" s="8" customFormat="1" ht="14.25">
      <c r="A21" s="46" t="s">
        <v>38</v>
      </c>
      <c r="B21" s="46"/>
      <c r="C21" s="46"/>
      <c r="D21" s="54"/>
      <c r="E21" s="55">
        <f>SUM(E20-F20)</f>
        <v>31.929999999999978</v>
      </c>
      <c r="F21" s="55"/>
      <c r="G21" s="55"/>
      <c r="H21" s="55">
        <f>SUM(E32*G32)</f>
        <v>29024</v>
      </c>
      <c r="I21" s="55">
        <f>I20-L20</f>
        <v>7442</v>
      </c>
      <c r="J21" s="55">
        <f>J20-M20</f>
        <v>52197</v>
      </c>
      <c r="K21" s="55">
        <f t="shared" si="0"/>
        <v>88663</v>
      </c>
      <c r="L21" s="46"/>
      <c r="M21" s="46"/>
    </row>
    <row r="22" spans="1:18" s="8" customFormat="1" ht="14.25"/>
    <row r="23" spans="1:18" s="8" customFormat="1" ht="14.25">
      <c r="C23" s="8" t="s">
        <v>39</v>
      </c>
    </row>
    <row r="24" spans="1:18" s="8" customFormat="1" ht="14.25"/>
    <row r="25" spans="1:18" s="8" customFormat="1" ht="14.25">
      <c r="A25" s="8" t="s">
        <v>40</v>
      </c>
    </row>
    <row r="26" spans="1:18" s="8" customFormat="1" ht="14.25">
      <c r="A26" s="56" t="s">
        <v>41</v>
      </c>
      <c r="B26" s="56"/>
      <c r="C26" s="56"/>
      <c r="D26" s="56" t="s">
        <v>42</v>
      </c>
      <c r="E26" s="56" t="s">
        <v>43</v>
      </c>
      <c r="F26" s="56"/>
      <c r="G26" s="56" t="s">
        <v>44</v>
      </c>
    </row>
    <row r="27" spans="1:18" s="8" customFormat="1" ht="14.25">
      <c r="A27" s="8" t="s">
        <v>45</v>
      </c>
    </row>
    <row r="28" spans="1:18" s="8" customFormat="1" ht="14.25">
      <c r="A28" s="8" t="s">
        <v>128</v>
      </c>
      <c r="D28" s="8" t="s">
        <v>47</v>
      </c>
      <c r="E28" s="10">
        <v>13.8</v>
      </c>
      <c r="F28" s="10"/>
      <c r="G28" s="10">
        <v>1150</v>
      </c>
      <c r="J28" s="27" t="s">
        <v>260</v>
      </c>
      <c r="K28" s="191">
        <v>0.83</v>
      </c>
    </row>
    <row r="29" spans="1:18" s="8" customFormat="1" ht="14.25">
      <c r="E29" s="10"/>
      <c r="F29" s="10"/>
      <c r="G29" s="10"/>
      <c r="J29" s="27" t="s">
        <v>161</v>
      </c>
      <c r="K29" s="191">
        <v>0.17</v>
      </c>
    </row>
    <row r="30" spans="1:18" s="8" customFormat="1" ht="14.25">
      <c r="E30" s="10"/>
      <c r="F30" s="10"/>
      <c r="G30" s="10"/>
    </row>
    <row r="31" spans="1:18" s="8" customFormat="1" ht="14.25">
      <c r="A31" s="8" t="s">
        <v>54</v>
      </c>
      <c r="E31" s="10"/>
      <c r="F31" s="10"/>
      <c r="G31" s="10"/>
    </row>
    <row r="32" spans="1:18" s="8" customFormat="1" ht="14.25">
      <c r="A32" s="8" t="s">
        <v>56</v>
      </c>
      <c r="D32" s="8" t="s">
        <v>57</v>
      </c>
      <c r="E32" s="10">
        <v>32</v>
      </c>
      <c r="F32" s="10"/>
      <c r="G32" s="10">
        <v>907</v>
      </c>
    </row>
    <row r="33" spans="1:11" s="8" customFormat="1" ht="14.25">
      <c r="A33" s="8" t="s">
        <v>58</v>
      </c>
      <c r="D33" s="8" t="s">
        <v>57</v>
      </c>
      <c r="E33" s="10">
        <v>75</v>
      </c>
      <c r="F33" s="10"/>
      <c r="G33" s="10"/>
      <c r="J33" s="27" t="s">
        <v>59</v>
      </c>
      <c r="K33" s="27">
        <v>0.45</v>
      </c>
    </row>
    <row r="34" spans="1:11" s="8" customFormat="1" ht="14.25">
      <c r="A34" s="8" t="s">
        <v>2</v>
      </c>
      <c r="E34" s="10">
        <f>SUM(E32:E33)</f>
        <v>107</v>
      </c>
      <c r="F34" s="10"/>
      <c r="G34" s="10"/>
      <c r="J34" s="27" t="s">
        <v>60</v>
      </c>
      <c r="K34" s="27">
        <v>0.25</v>
      </c>
    </row>
    <row r="35" spans="1:11" s="8" customFormat="1" ht="14.25"/>
    <row r="36" spans="1:11" s="8" customFormat="1" ht="14.25">
      <c r="A36" s="43" t="s">
        <v>61</v>
      </c>
      <c r="B36" s="43"/>
      <c r="C36" s="43" t="s">
        <v>62</v>
      </c>
      <c r="D36" s="43"/>
      <c r="E36" s="43"/>
      <c r="F36" s="43"/>
      <c r="G36" s="43"/>
    </row>
    <row r="37" spans="1:11" s="8" customFormat="1" ht="14.25">
      <c r="A37" s="44" t="s">
        <v>188</v>
      </c>
      <c r="B37" s="45"/>
      <c r="C37" s="60">
        <v>48</v>
      </c>
      <c r="D37" s="44" t="s">
        <v>189</v>
      </c>
      <c r="E37" s="31">
        <v>28</v>
      </c>
      <c r="F37" s="31"/>
      <c r="G37" s="31">
        <v>176</v>
      </c>
    </row>
    <row r="38" spans="1:11" s="8" customFormat="1" ht="14.25">
      <c r="A38" s="44" t="s">
        <v>261</v>
      </c>
      <c r="B38" s="45"/>
      <c r="C38" s="60">
        <v>78</v>
      </c>
      <c r="D38" s="44" t="s">
        <v>47</v>
      </c>
      <c r="E38" s="31">
        <v>225</v>
      </c>
      <c r="F38" s="31"/>
      <c r="G38" s="31">
        <v>26</v>
      </c>
    </row>
    <row r="39" spans="1:11" s="8" customFormat="1" ht="14.25">
      <c r="A39" s="43" t="s">
        <v>66</v>
      </c>
      <c r="B39" s="43"/>
      <c r="C39" s="43"/>
      <c r="D39" s="43"/>
      <c r="E39" s="43"/>
      <c r="F39" s="43"/>
      <c r="G39" s="43"/>
      <c r="I39" s="8" t="s">
        <v>262</v>
      </c>
    </row>
    <row r="40" spans="1:11" s="8" customFormat="1" ht="14.25">
      <c r="A40" s="44" t="s">
        <v>68</v>
      </c>
      <c r="B40" s="44"/>
      <c r="C40" s="44"/>
      <c r="D40" s="44"/>
      <c r="E40" s="44"/>
      <c r="F40" s="44"/>
      <c r="G40" s="62">
        <v>4362</v>
      </c>
      <c r="I40" s="10">
        <v>10779</v>
      </c>
    </row>
    <row r="41" spans="1:11" s="8" customFormat="1" ht="14.25">
      <c r="A41" s="44" t="s">
        <v>69</v>
      </c>
      <c r="B41" s="44"/>
      <c r="C41" s="44"/>
      <c r="D41" s="44"/>
      <c r="E41" s="44"/>
      <c r="F41" s="44"/>
      <c r="G41" s="63">
        <v>89</v>
      </c>
      <c r="I41" s="10"/>
    </row>
    <row r="42" spans="1:11" s="8" customFormat="1" ht="14.25">
      <c r="A42" s="44" t="s">
        <v>70</v>
      </c>
      <c r="B42" s="44"/>
      <c r="C42" s="44"/>
      <c r="D42" s="44"/>
      <c r="E42" s="44"/>
      <c r="F42" s="44"/>
      <c r="G42" s="63">
        <f>SUM(G40*G41)</f>
        <v>388218</v>
      </c>
      <c r="I42" s="10">
        <v>959287</v>
      </c>
    </row>
    <row r="43" spans="1:11" s="8" customFormat="1" ht="14.25">
      <c r="A43" s="44" t="s">
        <v>71</v>
      </c>
      <c r="B43" s="44"/>
      <c r="C43" s="44"/>
      <c r="D43" s="44"/>
      <c r="E43" s="44"/>
      <c r="F43" s="44"/>
      <c r="G43" s="63">
        <f>SUM(G42-K20)</f>
        <v>228136</v>
      </c>
      <c r="I43" s="10">
        <v>563724</v>
      </c>
    </row>
    <row r="44" spans="1:11" s="8" customFormat="1" ht="14.25">
      <c r="A44" s="44" t="s">
        <v>72</v>
      </c>
      <c r="B44" s="44"/>
      <c r="C44" s="44"/>
      <c r="D44" s="44"/>
      <c r="E44" s="44"/>
      <c r="F44" s="44"/>
      <c r="G44" s="63">
        <f>SUM(G42-K21)</f>
        <v>299555</v>
      </c>
      <c r="I44" s="10">
        <v>740200</v>
      </c>
    </row>
    <row r="45" spans="1:11" s="8" customFormat="1" ht="14.25">
      <c r="A45" s="44"/>
      <c r="B45" s="44"/>
      <c r="C45" s="44"/>
      <c r="D45" s="44"/>
      <c r="E45" s="44"/>
      <c r="F45" s="44"/>
      <c r="G45" s="63"/>
    </row>
    <row r="46" spans="1:11" s="8" customFormat="1" ht="14.25">
      <c r="A46" s="44" t="s">
        <v>73</v>
      </c>
      <c r="B46" s="44"/>
      <c r="C46" s="44"/>
      <c r="D46" s="44"/>
      <c r="E46" s="44"/>
      <c r="F46" s="44"/>
      <c r="G46" s="63">
        <f>SUM(K20/G40)</f>
        <v>36.699220541036219</v>
      </c>
    </row>
    <row r="47" spans="1:11" s="8" customFormat="1" ht="14.25">
      <c r="A47" s="46" t="s">
        <v>74</v>
      </c>
      <c r="B47" s="46"/>
      <c r="C47" s="46"/>
      <c r="D47" s="46"/>
      <c r="E47" s="46"/>
      <c r="F47" s="46"/>
      <c r="G47" s="64">
        <f>SUM(K21/G40)</f>
        <v>20.326226501604769</v>
      </c>
    </row>
    <row r="48" spans="1:11" s="8" customFormat="1" ht="14.25"/>
    <row r="49" spans="1:2" s="8" customFormat="1" ht="14.25">
      <c r="A49" s="8" t="s">
        <v>100</v>
      </c>
    </row>
    <row r="50" spans="1:2" s="8" customFormat="1" ht="14.25">
      <c r="B50" s="8" t="s">
        <v>263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workbookViewId="0">
      <selection activeCell="A3" sqref="A3:B3"/>
    </sheetView>
  </sheetViews>
  <sheetFormatPr defaultRowHeight="15"/>
  <sheetData>
    <row r="1" spans="1:17">
      <c r="A1" s="1" t="s">
        <v>277</v>
      </c>
      <c r="B1" s="2"/>
    </row>
    <row r="2" spans="1:17">
      <c r="A2" s="1" t="s">
        <v>229</v>
      </c>
      <c r="B2" s="2"/>
    </row>
    <row r="3" spans="1:17">
      <c r="A3" s="1" t="s">
        <v>376</v>
      </c>
      <c r="B3" s="2"/>
    </row>
    <row r="4" spans="1:17">
      <c r="A4" s="1" t="s">
        <v>265</v>
      </c>
    </row>
    <row r="5" spans="1:17" s="34" customFormat="1" ht="14.25">
      <c r="A5" s="35" t="s">
        <v>0</v>
      </c>
      <c r="B5" s="35"/>
      <c r="C5" s="35"/>
      <c r="D5" s="36" t="s">
        <v>1</v>
      </c>
      <c r="E5" s="36" t="s">
        <v>2</v>
      </c>
      <c r="F5" s="36" t="s">
        <v>3</v>
      </c>
      <c r="G5" s="36" t="s">
        <v>4</v>
      </c>
      <c r="H5" s="36" t="s">
        <v>5</v>
      </c>
      <c r="I5" s="36" t="s">
        <v>6</v>
      </c>
      <c r="J5" s="36" t="s">
        <v>7</v>
      </c>
      <c r="K5" s="36" t="s">
        <v>8</v>
      </c>
      <c r="L5" s="37" t="s">
        <v>9</v>
      </c>
      <c r="M5" s="36"/>
    </row>
    <row r="6" spans="1:17" s="34" customFormat="1" ht="14.25">
      <c r="A6" s="38"/>
      <c r="B6" s="38"/>
      <c r="C6" s="38"/>
      <c r="D6" s="39" t="s">
        <v>10</v>
      </c>
      <c r="E6" s="39" t="s">
        <v>11</v>
      </c>
      <c r="F6" s="39" t="s">
        <v>11</v>
      </c>
      <c r="G6" s="39" t="s">
        <v>12</v>
      </c>
      <c r="H6" s="39" t="s">
        <v>13</v>
      </c>
      <c r="I6" s="39" t="s">
        <v>14</v>
      </c>
      <c r="J6" s="39" t="s">
        <v>13</v>
      </c>
      <c r="K6" s="39" t="s">
        <v>13</v>
      </c>
      <c r="L6" s="66" t="s">
        <v>6</v>
      </c>
      <c r="M6" s="39" t="s">
        <v>7</v>
      </c>
    </row>
    <row r="7" spans="1:17" s="34" customFormat="1" ht="14.25">
      <c r="A7" s="38"/>
      <c r="B7" s="38"/>
      <c r="C7" s="38"/>
      <c r="D7" s="39" t="s">
        <v>15</v>
      </c>
      <c r="E7" s="39"/>
      <c r="F7" s="39"/>
      <c r="G7" s="39"/>
      <c r="H7" s="39" t="s">
        <v>16</v>
      </c>
      <c r="I7" s="39" t="s">
        <v>13</v>
      </c>
      <c r="J7" s="39" t="s">
        <v>16</v>
      </c>
      <c r="K7" s="39" t="s">
        <v>16</v>
      </c>
      <c r="L7" s="39"/>
      <c r="M7" s="39"/>
    </row>
    <row r="8" spans="1:17" s="34" customFormat="1" ht="14.25">
      <c r="A8" s="41"/>
      <c r="B8" s="41"/>
      <c r="C8" s="41"/>
      <c r="D8" s="42"/>
      <c r="E8" s="42"/>
      <c r="F8" s="42"/>
      <c r="G8" s="42"/>
      <c r="H8" s="42"/>
      <c r="I8" s="42" t="s">
        <v>16</v>
      </c>
      <c r="J8" s="42"/>
      <c r="K8" s="42"/>
      <c r="L8" s="42"/>
      <c r="M8" s="42"/>
    </row>
    <row r="9" spans="1:17" s="8" customFormat="1" ht="14.25">
      <c r="A9" s="8" t="s">
        <v>172</v>
      </c>
      <c r="D9" s="47">
        <v>44</v>
      </c>
      <c r="E9" s="10">
        <v>9.83</v>
      </c>
      <c r="F9" s="10">
        <v>1.57</v>
      </c>
      <c r="G9" s="48">
        <v>945</v>
      </c>
      <c r="H9" s="10">
        <v>9289</v>
      </c>
      <c r="J9" s="10"/>
      <c r="K9" s="10">
        <f>SUM(H9:J9)</f>
        <v>9289</v>
      </c>
      <c r="Q9" s="10"/>
    </row>
    <row r="10" spans="1:17" s="8" customFormat="1" ht="14.25">
      <c r="A10" s="8" t="s">
        <v>266</v>
      </c>
      <c r="D10" s="47" t="s">
        <v>267</v>
      </c>
      <c r="E10" s="10" t="s">
        <v>268</v>
      </c>
      <c r="F10" s="10" t="s">
        <v>269</v>
      </c>
      <c r="G10" s="48">
        <v>941.9</v>
      </c>
      <c r="H10" s="10" t="s">
        <v>270</v>
      </c>
      <c r="J10" s="10"/>
      <c r="K10" s="10">
        <f t="shared" ref="K10:K18" si="0">SUM(H10:J10)</f>
        <v>0</v>
      </c>
      <c r="Q10" s="10"/>
    </row>
    <row r="11" spans="1:17" s="8" customFormat="1" ht="14.25">
      <c r="A11" s="8" t="s">
        <v>86</v>
      </c>
      <c r="D11" s="47">
        <v>76</v>
      </c>
      <c r="E11" s="10">
        <v>0.5</v>
      </c>
      <c r="F11" s="10">
        <v>0.5</v>
      </c>
      <c r="G11" s="48">
        <v>900</v>
      </c>
      <c r="H11" s="10">
        <f>SUM(E11*G11)</f>
        <v>450</v>
      </c>
      <c r="I11" s="10">
        <v>9265</v>
      </c>
      <c r="J11" s="10"/>
      <c r="K11" s="10">
        <f t="shared" si="0"/>
        <v>9715</v>
      </c>
      <c r="L11" s="8">
        <v>2357</v>
      </c>
      <c r="Q11" s="10"/>
    </row>
    <row r="12" spans="1:17" s="8" customFormat="1" ht="14.25">
      <c r="A12" s="8" t="s">
        <v>257</v>
      </c>
      <c r="D12" s="47">
        <v>100</v>
      </c>
      <c r="E12" s="10">
        <v>11.6</v>
      </c>
      <c r="F12" s="10">
        <f>2.04+0.23</f>
        <v>2.27</v>
      </c>
      <c r="G12" s="48">
        <v>850</v>
      </c>
      <c r="H12" s="10">
        <f t="shared" ref="H12:H17" si="1">SUM(E12*G12)</f>
        <v>9860</v>
      </c>
      <c r="J12" s="10" t="s">
        <v>271</v>
      </c>
      <c r="K12" s="10">
        <v>12527</v>
      </c>
    </row>
    <row r="13" spans="1:17" s="8" customFormat="1" ht="14.25">
      <c r="A13" s="8" t="s">
        <v>87</v>
      </c>
      <c r="D13" s="47">
        <v>100</v>
      </c>
      <c r="E13" s="10">
        <v>14.7</v>
      </c>
      <c r="F13" s="10">
        <v>3.88</v>
      </c>
      <c r="G13" s="48">
        <v>880</v>
      </c>
      <c r="H13" s="10">
        <f t="shared" si="1"/>
        <v>12936</v>
      </c>
      <c r="J13" s="10">
        <f>SUM(E27*G27)</f>
        <v>128450</v>
      </c>
      <c r="K13" s="10">
        <f>SUM(H13:J13)</f>
        <v>141386</v>
      </c>
      <c r="M13" s="8">
        <v>42929</v>
      </c>
    </row>
    <row r="14" spans="1:17" s="8" customFormat="1" ht="14.25">
      <c r="A14" s="8" t="s">
        <v>25</v>
      </c>
      <c r="D14" s="47">
        <v>100</v>
      </c>
      <c r="E14" s="10">
        <v>6.9</v>
      </c>
      <c r="F14" s="10">
        <f>4.9+0.9</f>
        <v>5.8000000000000007</v>
      </c>
      <c r="G14" s="48">
        <v>950</v>
      </c>
      <c r="H14" s="10">
        <f t="shared" si="1"/>
        <v>6555</v>
      </c>
      <c r="J14" s="10">
        <f>E36*G36+E37*G37+E38*G38</f>
        <v>21282</v>
      </c>
      <c r="K14" s="10">
        <f t="shared" si="0"/>
        <v>27837</v>
      </c>
    </row>
    <row r="15" spans="1:17" s="8" customFormat="1" ht="14.25">
      <c r="A15" s="8" t="s">
        <v>144</v>
      </c>
      <c r="D15" s="47">
        <v>100</v>
      </c>
      <c r="E15" s="10">
        <v>10.7</v>
      </c>
      <c r="F15" s="10">
        <f>2.1+1.4</f>
        <v>3.5</v>
      </c>
      <c r="G15" s="48">
        <v>891.5</v>
      </c>
      <c r="H15" s="10">
        <v>9539</v>
      </c>
      <c r="J15" s="10"/>
      <c r="K15" s="10">
        <f t="shared" si="0"/>
        <v>9539</v>
      </c>
    </row>
    <row r="16" spans="1:17" s="8" customFormat="1" ht="14.25">
      <c r="A16" s="8" t="s">
        <v>33</v>
      </c>
      <c r="D16" s="47">
        <v>100</v>
      </c>
      <c r="E16" s="10">
        <v>13.71</v>
      </c>
      <c r="F16" s="10">
        <v>13.24</v>
      </c>
      <c r="G16" s="48">
        <v>900</v>
      </c>
      <c r="H16" s="10">
        <f t="shared" si="1"/>
        <v>12339</v>
      </c>
      <c r="J16" s="10">
        <v>16122</v>
      </c>
      <c r="K16" s="10">
        <f t="shared" si="0"/>
        <v>28461</v>
      </c>
    </row>
    <row r="17" spans="1:13" s="8" customFormat="1" ht="14.25">
      <c r="A17" s="8" t="s">
        <v>259</v>
      </c>
      <c r="D17" s="47">
        <v>100</v>
      </c>
      <c r="E17" s="10">
        <v>21.36</v>
      </c>
      <c r="F17" s="10">
        <v>20.32</v>
      </c>
      <c r="G17" s="48">
        <v>900</v>
      </c>
      <c r="H17" s="10">
        <f t="shared" si="1"/>
        <v>19224</v>
      </c>
      <c r="J17" s="10"/>
      <c r="K17" s="10">
        <f t="shared" si="0"/>
        <v>19224</v>
      </c>
    </row>
    <row r="18" spans="1:13" s="8" customFormat="1" ht="14.25">
      <c r="A18" s="8" t="s">
        <v>210</v>
      </c>
      <c r="D18" s="47">
        <v>100</v>
      </c>
      <c r="E18" s="10">
        <v>28.46</v>
      </c>
      <c r="F18" s="10">
        <f>3.8+1.9</f>
        <v>5.6999999999999993</v>
      </c>
      <c r="G18" s="48">
        <v>875</v>
      </c>
      <c r="H18" s="10">
        <v>24903</v>
      </c>
      <c r="J18" s="10"/>
      <c r="K18" s="10">
        <f t="shared" si="0"/>
        <v>24903</v>
      </c>
    </row>
    <row r="19" spans="1:13" s="8" customFormat="1" ht="14.25">
      <c r="A19" s="43" t="s">
        <v>37</v>
      </c>
      <c r="B19" s="43"/>
      <c r="C19" s="43"/>
      <c r="D19" s="52"/>
      <c r="E19" s="53">
        <f>SUM(E9:E18)</f>
        <v>117.75999999999999</v>
      </c>
      <c r="F19" s="53">
        <f>SUM(F9:F18)</f>
        <v>56.78</v>
      </c>
      <c r="G19" s="53"/>
      <c r="H19" s="53">
        <f>SUM(H9:H18)</f>
        <v>105095</v>
      </c>
      <c r="I19" s="53">
        <f>SUM(I9:I18)</f>
        <v>9265</v>
      </c>
      <c r="J19" s="53">
        <v>168521</v>
      </c>
      <c r="K19" s="53">
        <f>SUM(H19:J19)</f>
        <v>282881</v>
      </c>
      <c r="L19" s="43">
        <f>SUM(L9:L18)</f>
        <v>2357</v>
      </c>
      <c r="M19" s="43">
        <f>SUM(M9:M18)</f>
        <v>42929</v>
      </c>
    </row>
    <row r="20" spans="1:13" s="8" customFormat="1" ht="14.25">
      <c r="A20" s="46" t="s">
        <v>38</v>
      </c>
      <c r="B20" s="46"/>
      <c r="C20" s="46"/>
      <c r="D20" s="54"/>
      <c r="E20" s="55">
        <f>SUM(E19-F19)</f>
        <v>60.97999999999999</v>
      </c>
      <c r="F20" s="55"/>
      <c r="G20" s="55"/>
      <c r="H20" s="55">
        <f>SUM(E31*G31)</f>
        <v>54351</v>
      </c>
      <c r="I20" s="55">
        <f>I19-L19</f>
        <v>6908</v>
      </c>
      <c r="J20" s="55">
        <f>J19-M19</f>
        <v>125592</v>
      </c>
      <c r="K20" s="55">
        <f>SUM(H20:J20)</f>
        <v>186851</v>
      </c>
      <c r="L20" s="46"/>
      <c r="M20" s="46"/>
    </row>
    <row r="21" spans="1:13" s="8" customFormat="1" ht="14.25">
      <c r="A21" s="8" t="s">
        <v>272</v>
      </c>
    </row>
    <row r="22" spans="1:13" s="8" customFormat="1" ht="14.25">
      <c r="C22" s="8" t="s">
        <v>39</v>
      </c>
    </row>
    <row r="23" spans="1:13" s="8" customFormat="1" ht="14.25"/>
    <row r="24" spans="1:13" s="8" customFormat="1" ht="14.25">
      <c r="A24" s="8" t="s">
        <v>40</v>
      </c>
    </row>
    <row r="25" spans="1:13" s="8" customFormat="1" ht="14.25">
      <c r="A25" s="56" t="s">
        <v>41</v>
      </c>
      <c r="B25" s="56"/>
      <c r="C25" s="56"/>
      <c r="D25" s="56" t="s">
        <v>42</v>
      </c>
      <c r="E25" s="56" t="s">
        <v>43</v>
      </c>
      <c r="F25" s="56"/>
      <c r="G25" s="56" t="s">
        <v>44</v>
      </c>
      <c r="K25" s="123"/>
    </row>
    <row r="26" spans="1:13" s="8" customFormat="1" ht="14.25">
      <c r="A26" s="8" t="s">
        <v>45</v>
      </c>
      <c r="K26" s="123"/>
    </row>
    <row r="27" spans="1:13" s="8" customFormat="1" ht="14.25">
      <c r="A27" s="8" t="s">
        <v>155</v>
      </c>
      <c r="D27" s="8" t="s">
        <v>47</v>
      </c>
      <c r="E27" s="10">
        <v>734</v>
      </c>
      <c r="F27" s="10"/>
      <c r="G27" s="10">
        <v>175</v>
      </c>
      <c r="K27" s="123"/>
    </row>
    <row r="28" spans="1:13" s="8" customFormat="1" ht="14.25"/>
    <row r="29" spans="1:13" s="8" customFormat="1" ht="14.25"/>
    <row r="30" spans="1:13" s="8" customFormat="1" ht="14.25">
      <c r="A30" s="8" t="s">
        <v>54</v>
      </c>
      <c r="J30" s="27" t="s">
        <v>59</v>
      </c>
      <c r="K30" s="27">
        <v>0.7</v>
      </c>
    </row>
    <row r="31" spans="1:13" s="8" customFormat="1" ht="14.25">
      <c r="A31" s="8" t="s">
        <v>56</v>
      </c>
      <c r="D31" s="8" t="s">
        <v>57</v>
      </c>
      <c r="E31" s="10">
        <v>61</v>
      </c>
      <c r="G31" s="10">
        <v>891</v>
      </c>
      <c r="J31" s="27" t="s">
        <v>60</v>
      </c>
      <c r="K31" s="27">
        <v>0.5</v>
      </c>
    </row>
    <row r="32" spans="1:13" s="8" customFormat="1" ht="14.25">
      <c r="A32" s="8" t="s">
        <v>58</v>
      </c>
      <c r="D32" s="8" t="s">
        <v>57</v>
      </c>
      <c r="E32" s="10">
        <v>57</v>
      </c>
    </row>
    <row r="33" spans="1:11" s="8" customFormat="1" ht="14.25">
      <c r="A33" s="8" t="s">
        <v>2</v>
      </c>
      <c r="E33" s="10">
        <f>SUM(E31:E32)</f>
        <v>118</v>
      </c>
      <c r="J33" s="27" t="s">
        <v>273</v>
      </c>
      <c r="K33" s="27">
        <v>100</v>
      </c>
    </row>
    <row r="34" spans="1:11" s="8" customFormat="1" ht="14.25"/>
    <row r="35" spans="1:11" s="8" customFormat="1" ht="14.25">
      <c r="A35" s="43" t="s">
        <v>61</v>
      </c>
      <c r="B35" s="43"/>
      <c r="C35" s="43" t="s">
        <v>62</v>
      </c>
      <c r="D35" s="43"/>
      <c r="E35" s="43"/>
      <c r="F35" s="43"/>
      <c r="G35" s="43"/>
    </row>
    <row r="36" spans="1:11" s="8" customFormat="1" ht="14.25">
      <c r="A36" s="44" t="s">
        <v>188</v>
      </c>
      <c r="B36" s="45"/>
      <c r="C36" s="60">
        <v>48</v>
      </c>
      <c r="D36" s="44" t="s">
        <v>189</v>
      </c>
      <c r="E36" s="31">
        <v>28</v>
      </c>
      <c r="F36" s="44"/>
      <c r="G36" s="31">
        <v>163</v>
      </c>
    </row>
    <row r="37" spans="1:11" s="8" customFormat="1" ht="14.25">
      <c r="A37" s="44" t="s">
        <v>274</v>
      </c>
      <c r="B37" s="45"/>
      <c r="C37" s="60">
        <v>78</v>
      </c>
      <c r="D37" s="44" t="s">
        <v>47</v>
      </c>
      <c r="E37" s="31">
        <v>643</v>
      </c>
      <c r="F37" s="44"/>
      <c r="G37" s="31">
        <v>26</v>
      </c>
    </row>
    <row r="38" spans="1:11" s="8" customFormat="1" ht="14.25">
      <c r="A38" s="44"/>
      <c r="B38" s="45"/>
      <c r="C38" s="60"/>
      <c r="D38" s="44"/>
      <c r="E38" s="31"/>
      <c r="F38" s="44"/>
      <c r="G38" s="31"/>
    </row>
    <row r="39" spans="1:11" s="8" customFormat="1" ht="14.25">
      <c r="A39" s="43" t="s">
        <v>66</v>
      </c>
      <c r="B39" s="43"/>
      <c r="C39" s="43"/>
      <c r="D39" s="43"/>
      <c r="E39" s="43"/>
      <c r="F39" s="43"/>
      <c r="G39" s="43"/>
      <c r="J39" s="8" t="s">
        <v>262</v>
      </c>
    </row>
    <row r="40" spans="1:11" s="8" customFormat="1" ht="14.25">
      <c r="A40" s="44" t="s">
        <v>68</v>
      </c>
      <c r="B40" s="44"/>
      <c r="C40" s="44"/>
      <c r="D40" s="44"/>
      <c r="E40" s="44"/>
      <c r="F40" s="44"/>
      <c r="G40" s="62">
        <v>5803</v>
      </c>
      <c r="J40" s="10">
        <v>14339</v>
      </c>
    </row>
    <row r="41" spans="1:11" s="8" customFormat="1" ht="14.25">
      <c r="A41" s="44" t="s">
        <v>69</v>
      </c>
      <c r="B41" s="44"/>
      <c r="C41" s="44"/>
      <c r="D41" s="44"/>
      <c r="E41" s="44"/>
      <c r="F41" s="44"/>
      <c r="G41" s="63">
        <v>78</v>
      </c>
      <c r="J41" s="10"/>
    </row>
    <row r="42" spans="1:11" s="8" customFormat="1" ht="14.25">
      <c r="A42" s="44" t="s">
        <v>70</v>
      </c>
      <c r="B42" s="44"/>
      <c r="C42" s="44"/>
      <c r="D42" s="44"/>
      <c r="E42" s="44"/>
      <c r="F42" s="44"/>
      <c r="G42" s="63">
        <f>SUM(G40*G41)</f>
        <v>452634</v>
      </c>
      <c r="J42" s="10">
        <v>1118459</v>
      </c>
    </row>
    <row r="43" spans="1:11" s="8" customFormat="1" ht="14.25">
      <c r="A43" s="44" t="s">
        <v>71</v>
      </c>
      <c r="B43" s="44"/>
      <c r="C43" s="44"/>
      <c r="D43" s="44"/>
      <c r="E43" s="44"/>
      <c r="F43" s="44"/>
      <c r="G43" s="63">
        <f>SUM(G42-K19)</f>
        <v>169753</v>
      </c>
      <c r="J43" s="10">
        <v>419460</v>
      </c>
    </row>
    <row r="44" spans="1:11" s="8" customFormat="1" ht="14.25">
      <c r="A44" s="44" t="s">
        <v>72</v>
      </c>
      <c r="B44" s="44"/>
      <c r="C44" s="44"/>
      <c r="D44" s="44"/>
      <c r="E44" s="44"/>
      <c r="F44" s="44"/>
      <c r="G44" s="63">
        <f>SUM(G42-K20)</f>
        <v>265783</v>
      </c>
      <c r="J44" s="10">
        <v>656750</v>
      </c>
    </row>
    <row r="45" spans="1:11" s="8" customFormat="1" ht="14.25">
      <c r="A45" s="44"/>
      <c r="B45" s="44"/>
      <c r="C45" s="44"/>
      <c r="D45" s="44"/>
      <c r="E45" s="44"/>
      <c r="F45" s="44"/>
      <c r="G45" s="63"/>
    </row>
    <row r="46" spans="1:11" s="8" customFormat="1" ht="14.25">
      <c r="A46" s="44" t="s">
        <v>73</v>
      </c>
      <c r="B46" s="44"/>
      <c r="C46" s="44"/>
      <c r="D46" s="44"/>
      <c r="E46" s="44"/>
      <c r="F46" s="44"/>
      <c r="G46" s="63">
        <f>SUM(K19/G40)</f>
        <v>48.7473720489402</v>
      </c>
    </row>
    <row r="47" spans="1:11" s="8" customFormat="1" ht="14.25">
      <c r="A47" s="46" t="s">
        <v>74</v>
      </c>
      <c r="B47" s="46"/>
      <c r="C47" s="46"/>
      <c r="D47" s="46"/>
      <c r="E47" s="46"/>
      <c r="F47" s="46"/>
      <c r="G47" s="64">
        <f>SUM(K20/G40)</f>
        <v>32.199034981905911</v>
      </c>
    </row>
    <row r="48" spans="1:11" s="8" customFormat="1" ht="14.25"/>
    <row r="49" spans="1:2" s="8" customFormat="1" ht="14.25">
      <c r="A49" s="8" t="s">
        <v>100</v>
      </c>
    </row>
    <row r="50" spans="1:2" s="8" customFormat="1" ht="14.25">
      <c r="B50" s="8" t="s">
        <v>275</v>
      </c>
    </row>
    <row r="51" spans="1:2" s="8" customFormat="1" ht="14.25">
      <c r="B51" s="8" t="s">
        <v>276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>
      <selection activeCell="A3" sqref="A3:B3"/>
    </sheetView>
  </sheetViews>
  <sheetFormatPr defaultRowHeight="15"/>
  <sheetData>
    <row r="1" spans="1:17">
      <c r="A1" s="1" t="s">
        <v>277</v>
      </c>
      <c r="B1" s="2"/>
    </row>
    <row r="2" spans="1:17">
      <c r="A2" s="1" t="s">
        <v>293</v>
      </c>
      <c r="B2" s="2"/>
    </row>
    <row r="3" spans="1:17">
      <c r="A3" s="1" t="s">
        <v>376</v>
      </c>
      <c r="B3" s="2"/>
    </row>
    <row r="4" spans="1:17">
      <c r="A4" s="1" t="s">
        <v>294</v>
      </c>
    </row>
    <row r="5" spans="1:17" s="34" customFormat="1" ht="14.25">
      <c r="A5" s="35" t="s">
        <v>0</v>
      </c>
      <c r="B5" s="35"/>
      <c r="C5" s="35"/>
      <c r="D5" s="36" t="s">
        <v>1</v>
      </c>
      <c r="E5" s="36" t="s">
        <v>2</v>
      </c>
      <c r="F5" s="36" t="s">
        <v>3</v>
      </c>
      <c r="G5" s="36" t="s">
        <v>4</v>
      </c>
      <c r="H5" s="36" t="s">
        <v>5</v>
      </c>
      <c r="I5" s="36" t="s">
        <v>6</v>
      </c>
      <c r="J5" s="36" t="s">
        <v>7</v>
      </c>
      <c r="K5" s="36" t="s">
        <v>8</v>
      </c>
      <c r="L5" s="37" t="s">
        <v>278</v>
      </c>
      <c r="M5" s="36"/>
    </row>
    <row r="6" spans="1:17" s="34" customFormat="1" ht="14.25">
      <c r="A6" s="38"/>
      <c r="B6" s="38"/>
      <c r="C6" s="38"/>
      <c r="D6" s="39" t="s">
        <v>10</v>
      </c>
      <c r="E6" s="39" t="s">
        <v>11</v>
      </c>
      <c r="F6" s="39" t="s">
        <v>11</v>
      </c>
      <c r="G6" s="39" t="s">
        <v>12</v>
      </c>
      <c r="H6" s="39" t="s">
        <v>13</v>
      </c>
      <c r="I6" s="39" t="s">
        <v>14</v>
      </c>
      <c r="J6" s="39" t="s">
        <v>13</v>
      </c>
      <c r="K6" s="39" t="s">
        <v>13</v>
      </c>
      <c r="L6" s="66" t="s">
        <v>6</v>
      </c>
      <c r="M6" s="39" t="s">
        <v>7</v>
      </c>
    </row>
    <row r="7" spans="1:17" s="34" customFormat="1" ht="14.25">
      <c r="A7" s="38"/>
      <c r="B7" s="38"/>
      <c r="C7" s="38"/>
      <c r="D7" s="39" t="s">
        <v>15</v>
      </c>
      <c r="E7" s="39"/>
      <c r="F7" s="39"/>
      <c r="G7" s="39"/>
      <c r="H7" s="39" t="s">
        <v>16</v>
      </c>
      <c r="I7" s="39" t="s">
        <v>13</v>
      </c>
      <c r="J7" s="39" t="s">
        <v>16</v>
      </c>
      <c r="K7" s="39" t="s">
        <v>16</v>
      </c>
      <c r="L7" s="39"/>
      <c r="M7" s="39"/>
    </row>
    <row r="8" spans="1:17" s="34" customFormat="1" ht="14.25">
      <c r="A8" s="41"/>
      <c r="B8" s="41"/>
      <c r="C8" s="41"/>
      <c r="D8" s="42"/>
      <c r="E8" s="42"/>
      <c r="F8" s="42"/>
      <c r="G8" s="42"/>
      <c r="H8" s="42"/>
      <c r="I8" s="42" t="s">
        <v>16</v>
      </c>
      <c r="J8" s="42"/>
      <c r="K8" s="42"/>
      <c r="L8" s="42"/>
      <c r="M8" s="42"/>
    </row>
    <row r="9" spans="1:17" s="8" customFormat="1" ht="14.25">
      <c r="A9" s="8" t="s">
        <v>172</v>
      </c>
      <c r="D9" s="47">
        <v>86</v>
      </c>
      <c r="E9" s="10">
        <v>9.84</v>
      </c>
      <c r="F9" s="10">
        <v>3.54</v>
      </c>
      <c r="G9" s="48">
        <v>1029</v>
      </c>
      <c r="H9" s="10">
        <v>10125</v>
      </c>
      <c r="J9" s="10"/>
      <c r="K9" s="10">
        <f t="shared" ref="K9:K17" si="0">SUM(H9:J9)</f>
        <v>10125</v>
      </c>
      <c r="M9" s="44"/>
      <c r="N9" s="44"/>
      <c r="O9" s="44"/>
      <c r="P9" s="44"/>
      <c r="Q9" s="31"/>
    </row>
    <row r="10" spans="1:17" s="8" customFormat="1" ht="14.25">
      <c r="A10" s="8" t="s">
        <v>279</v>
      </c>
      <c r="D10" s="47">
        <v>84</v>
      </c>
      <c r="E10" s="10">
        <f>3/8</f>
        <v>0.375</v>
      </c>
      <c r="F10" s="10">
        <v>0.38</v>
      </c>
      <c r="G10" s="48">
        <v>1000</v>
      </c>
      <c r="H10" s="10">
        <f t="shared" ref="H10" si="1">SUM(E10*G10)</f>
        <v>375</v>
      </c>
      <c r="I10" s="10">
        <v>7667</v>
      </c>
      <c r="J10" s="10"/>
      <c r="K10" s="10">
        <f t="shared" si="0"/>
        <v>8042</v>
      </c>
      <c r="N10" s="44"/>
      <c r="O10" s="44"/>
      <c r="P10" s="44"/>
      <c r="Q10" s="31"/>
    </row>
    <row r="11" spans="1:17" s="8" customFormat="1" ht="14.25">
      <c r="A11" s="8" t="s">
        <v>280</v>
      </c>
      <c r="D11" s="47" t="s">
        <v>218</v>
      </c>
      <c r="E11" s="10" t="s">
        <v>281</v>
      </c>
      <c r="F11" s="10" t="s">
        <v>282</v>
      </c>
      <c r="G11" s="10">
        <v>1000</v>
      </c>
      <c r="H11" s="48" t="s">
        <v>283</v>
      </c>
      <c r="I11" s="10"/>
      <c r="J11" s="10"/>
      <c r="K11" s="10"/>
      <c r="N11" s="44"/>
      <c r="O11" s="44"/>
      <c r="P11" s="44"/>
      <c r="Q11" s="31"/>
    </row>
    <row r="12" spans="1:17" s="8" customFormat="1" ht="14.25">
      <c r="A12" s="44" t="s">
        <v>284</v>
      </c>
      <c r="D12" s="47">
        <v>100</v>
      </c>
      <c r="E12" s="10">
        <v>12.66</v>
      </c>
      <c r="F12" s="10">
        <v>2.83</v>
      </c>
      <c r="G12" s="48">
        <v>1103</v>
      </c>
      <c r="H12" s="10">
        <v>13964</v>
      </c>
      <c r="I12" s="10"/>
      <c r="J12" s="124" t="s">
        <v>285</v>
      </c>
      <c r="K12" s="10">
        <v>17762</v>
      </c>
      <c r="N12" s="44"/>
      <c r="O12" s="44"/>
      <c r="P12" s="44"/>
      <c r="Q12" s="31"/>
    </row>
    <row r="13" spans="1:17" s="8" customFormat="1" ht="14.25">
      <c r="A13" s="8" t="s">
        <v>87</v>
      </c>
      <c r="D13" s="47">
        <v>100</v>
      </c>
      <c r="E13" s="10">
        <v>13.3</v>
      </c>
      <c r="F13" s="10">
        <v>3.49</v>
      </c>
      <c r="G13" s="48">
        <v>1057</v>
      </c>
      <c r="H13" s="10">
        <v>14058</v>
      </c>
      <c r="I13" s="10"/>
      <c r="J13" s="10">
        <f>G26*E26</f>
        <v>158360</v>
      </c>
      <c r="K13" s="10">
        <f t="shared" si="0"/>
        <v>172418</v>
      </c>
      <c r="M13" s="44"/>
      <c r="N13" s="44"/>
      <c r="O13" s="44"/>
      <c r="P13" s="44"/>
      <c r="Q13" s="31"/>
    </row>
    <row r="14" spans="1:17" s="8" customFormat="1" ht="14.25">
      <c r="A14" s="8" t="s">
        <v>25</v>
      </c>
      <c r="C14" s="8" t="s">
        <v>286</v>
      </c>
      <c r="D14" s="47">
        <v>100</v>
      </c>
      <c r="E14" s="10">
        <v>11.23</v>
      </c>
      <c r="F14" s="10">
        <v>4.7699999999999996</v>
      </c>
      <c r="G14" s="48">
        <v>1175</v>
      </c>
      <c r="H14" s="10">
        <v>13195</v>
      </c>
      <c r="I14" s="10"/>
      <c r="J14" s="10">
        <f>E35*G35+E36*G36+E37*G37</f>
        <v>50422</v>
      </c>
      <c r="K14" s="10">
        <f t="shared" si="0"/>
        <v>63617</v>
      </c>
      <c r="N14" s="44"/>
      <c r="O14" s="44"/>
      <c r="P14" s="44"/>
      <c r="Q14" s="31"/>
    </row>
    <row r="15" spans="1:17" s="8" customFormat="1" ht="14.25">
      <c r="A15" s="8" t="s">
        <v>144</v>
      </c>
      <c r="D15" s="47">
        <v>100</v>
      </c>
      <c r="E15" s="10">
        <v>14.42</v>
      </c>
      <c r="F15" s="10">
        <v>2.54</v>
      </c>
      <c r="G15" s="48">
        <v>1051</v>
      </c>
      <c r="H15" s="10">
        <v>15155</v>
      </c>
      <c r="I15" s="10"/>
      <c r="J15" s="10"/>
      <c r="K15" s="10">
        <f t="shared" si="0"/>
        <v>15155</v>
      </c>
      <c r="N15" s="44"/>
      <c r="O15" s="44"/>
      <c r="P15" s="44"/>
      <c r="Q15" s="31"/>
    </row>
    <row r="16" spans="1:17" s="8" customFormat="1" ht="14.25">
      <c r="A16" s="8" t="s">
        <v>33</v>
      </c>
      <c r="D16" s="47">
        <v>100</v>
      </c>
      <c r="E16" s="10">
        <v>10.27</v>
      </c>
      <c r="F16" s="10">
        <v>8.94</v>
      </c>
      <c r="G16" s="48">
        <v>1150</v>
      </c>
      <c r="H16" s="10">
        <v>11811</v>
      </c>
      <c r="I16" s="10"/>
      <c r="J16" s="10">
        <v>19716</v>
      </c>
      <c r="K16" s="10">
        <f t="shared" si="0"/>
        <v>31527</v>
      </c>
      <c r="N16" s="44"/>
      <c r="O16" s="44"/>
      <c r="P16" s="44"/>
      <c r="Q16" s="31"/>
    </row>
    <row r="17" spans="1:17" s="8" customFormat="1" ht="14.25">
      <c r="A17" s="8" t="s">
        <v>34</v>
      </c>
      <c r="D17" s="47">
        <v>100</v>
      </c>
      <c r="E17" s="10">
        <v>24.44</v>
      </c>
      <c r="F17" s="10">
        <v>24.44</v>
      </c>
      <c r="G17" s="48">
        <v>1000</v>
      </c>
      <c r="H17" s="10">
        <f>E17*1000</f>
        <v>24440</v>
      </c>
      <c r="I17" s="10">
        <v>11010</v>
      </c>
      <c r="J17" s="10"/>
      <c r="K17" s="10">
        <f t="shared" si="0"/>
        <v>35450</v>
      </c>
      <c r="M17" s="10"/>
      <c r="N17" s="44"/>
      <c r="O17" s="44"/>
      <c r="P17" s="44"/>
      <c r="Q17" s="31"/>
    </row>
    <row r="18" spans="1:17" s="8" customFormat="1" ht="14.25">
      <c r="A18" s="8" t="s">
        <v>287</v>
      </c>
      <c r="D18" s="47">
        <v>100</v>
      </c>
      <c r="E18" s="10">
        <v>21.6</v>
      </c>
      <c r="F18" s="10">
        <v>3.8</v>
      </c>
      <c r="G18" s="48">
        <v>1134</v>
      </c>
      <c r="H18" s="10">
        <v>24494</v>
      </c>
      <c r="I18" s="10"/>
      <c r="J18" s="10"/>
      <c r="K18" s="10">
        <v>24494</v>
      </c>
      <c r="M18" s="10"/>
      <c r="N18" s="44"/>
      <c r="O18" s="44"/>
      <c r="P18" s="44"/>
      <c r="Q18" s="31"/>
    </row>
    <row r="19" spans="1:17" s="8" customFormat="1" ht="14.25">
      <c r="A19" s="43" t="s">
        <v>37</v>
      </c>
      <c r="B19" s="43"/>
      <c r="C19" s="43"/>
      <c r="D19" s="52"/>
      <c r="E19" s="53">
        <f>SUM(E9:E18)</f>
        <v>118.13499999999999</v>
      </c>
      <c r="F19" s="53">
        <f>SUM(F9:F18)</f>
        <v>54.730000000000004</v>
      </c>
      <c r="G19" s="53"/>
      <c r="H19" s="53">
        <f>SUM(H9:H18)</f>
        <v>127617</v>
      </c>
      <c r="I19" s="53">
        <f>SUM(I9:I17)</f>
        <v>18677</v>
      </c>
      <c r="J19" s="53">
        <v>232296</v>
      </c>
      <c r="K19" s="53">
        <f>SUM(H19:J19)</f>
        <v>378590</v>
      </c>
      <c r="L19" s="43">
        <f>SUM(L9:L17)</f>
        <v>0</v>
      </c>
      <c r="N19" s="10"/>
    </row>
    <row r="20" spans="1:17" s="8" customFormat="1" ht="14.25">
      <c r="A20" s="46" t="s">
        <v>38</v>
      </c>
      <c r="B20" s="46"/>
      <c r="C20" s="46"/>
      <c r="D20" s="54"/>
      <c r="E20" s="55">
        <f>SUM(E19-F19)</f>
        <v>63.404999999999987</v>
      </c>
      <c r="F20" s="55"/>
      <c r="G20" s="55"/>
      <c r="H20" s="55">
        <f>SUM(E30*G30)</f>
        <v>68166</v>
      </c>
      <c r="I20" s="55">
        <f>I19-L19</f>
        <v>18677</v>
      </c>
      <c r="J20" s="55">
        <f>J19-M19</f>
        <v>232296</v>
      </c>
      <c r="K20" s="55">
        <f>SUM(H20:J20)</f>
        <v>319139</v>
      </c>
      <c r="L20" s="46"/>
      <c r="M20" s="46"/>
      <c r="N20" s="10"/>
    </row>
    <row r="21" spans="1:17" s="8" customFormat="1" ht="14.25">
      <c r="A21" s="8" t="s">
        <v>272</v>
      </c>
    </row>
    <row r="22" spans="1:17" s="8" customFormat="1" ht="14.25">
      <c r="C22" s="8" t="s">
        <v>39</v>
      </c>
    </row>
    <row r="23" spans="1:17" s="8" customFormat="1" ht="14.25">
      <c r="A23" s="8" t="s">
        <v>40</v>
      </c>
    </row>
    <row r="24" spans="1:17" s="8" customFormat="1" ht="14.25">
      <c r="A24" s="56" t="s">
        <v>41</v>
      </c>
      <c r="B24" s="56"/>
      <c r="C24" s="56"/>
      <c r="D24" s="56" t="s">
        <v>42</v>
      </c>
      <c r="E24" s="56" t="s">
        <v>43</v>
      </c>
      <c r="F24" s="56"/>
      <c r="G24" s="56" t="s">
        <v>44</v>
      </c>
    </row>
    <row r="25" spans="1:17" s="8" customFormat="1" ht="14.25">
      <c r="A25" s="8" t="s">
        <v>45</v>
      </c>
    </row>
    <row r="26" spans="1:17" s="8" customFormat="1" ht="14.25">
      <c r="A26" s="8" t="s">
        <v>155</v>
      </c>
      <c r="D26" s="8" t="s">
        <v>47</v>
      </c>
      <c r="E26" s="10">
        <v>740</v>
      </c>
      <c r="F26" s="10"/>
      <c r="G26" s="10">
        <v>214</v>
      </c>
      <c r="I26" s="10"/>
    </row>
    <row r="27" spans="1:17" s="8" customFormat="1" ht="14.25"/>
    <row r="28" spans="1:17" s="8" customFormat="1" ht="14.25"/>
    <row r="29" spans="1:17" s="8" customFormat="1" ht="15.75">
      <c r="A29" s="8" t="s">
        <v>54</v>
      </c>
      <c r="I29" s="192" t="s">
        <v>273</v>
      </c>
      <c r="J29" s="27">
        <v>100</v>
      </c>
    </row>
    <row r="30" spans="1:17" s="8" customFormat="1" ht="14.25">
      <c r="A30" s="8" t="s">
        <v>56</v>
      </c>
      <c r="D30" s="8" t="s">
        <v>57</v>
      </c>
      <c r="E30" s="10">
        <v>63</v>
      </c>
      <c r="G30" s="10">
        <v>1082</v>
      </c>
    </row>
    <row r="31" spans="1:17" s="8" customFormat="1" ht="14.25">
      <c r="A31" s="8" t="s">
        <v>58</v>
      </c>
      <c r="D31" s="8" t="s">
        <v>57</v>
      </c>
      <c r="E31" s="10">
        <v>55</v>
      </c>
      <c r="I31" s="27" t="s">
        <v>186</v>
      </c>
      <c r="J31" s="176">
        <v>0.6</v>
      </c>
    </row>
    <row r="32" spans="1:17" s="8" customFormat="1" ht="14.25">
      <c r="A32" s="8" t="s">
        <v>2</v>
      </c>
      <c r="E32" s="10">
        <f>SUM(E30:E31)</f>
        <v>118</v>
      </c>
      <c r="I32" s="27" t="s">
        <v>187</v>
      </c>
      <c r="J32" s="176">
        <v>0.5</v>
      </c>
    </row>
    <row r="33" spans="1:9" s="8" customFormat="1" ht="14.25"/>
    <row r="34" spans="1:9" s="8" customFormat="1" ht="14.25">
      <c r="A34" s="43" t="s">
        <v>61</v>
      </c>
      <c r="B34" s="43"/>
      <c r="C34" s="43" t="s">
        <v>62</v>
      </c>
      <c r="D34" s="43"/>
      <c r="E34" s="43"/>
      <c r="F34" s="43"/>
      <c r="G34" s="43"/>
    </row>
    <row r="35" spans="1:9" s="8" customFormat="1" ht="14.25">
      <c r="A35" s="44"/>
      <c r="B35" s="45" t="s">
        <v>288</v>
      </c>
      <c r="C35" s="149">
        <v>46</v>
      </c>
      <c r="D35" s="44" t="s">
        <v>289</v>
      </c>
      <c r="E35" s="31">
        <v>54</v>
      </c>
      <c r="F35" s="44"/>
      <c r="G35" s="31">
        <v>165</v>
      </c>
    </row>
    <row r="36" spans="1:9" s="8" customFormat="1" ht="14.25">
      <c r="A36" s="44"/>
      <c r="B36" s="45" t="s">
        <v>290</v>
      </c>
      <c r="C36" s="149">
        <v>52</v>
      </c>
      <c r="D36" s="44" t="s">
        <v>291</v>
      </c>
      <c r="E36" s="31">
        <v>2.4</v>
      </c>
      <c r="F36" s="44"/>
      <c r="G36" s="44">
        <v>12400</v>
      </c>
    </row>
    <row r="37" spans="1:9" s="8" customFormat="1" ht="14.25">
      <c r="A37" s="44"/>
      <c r="B37" s="45" t="s">
        <v>292</v>
      </c>
      <c r="C37" s="149">
        <v>90</v>
      </c>
      <c r="D37" s="44" t="s">
        <v>47</v>
      </c>
      <c r="E37" s="31">
        <v>452</v>
      </c>
      <c r="F37" s="44"/>
      <c r="G37" s="31">
        <v>26</v>
      </c>
    </row>
    <row r="38" spans="1:9" s="8" customFormat="1" ht="14.25">
      <c r="A38" s="43" t="s">
        <v>66</v>
      </c>
      <c r="B38" s="43"/>
      <c r="C38" s="43"/>
      <c r="D38" s="43"/>
      <c r="E38" s="43"/>
      <c r="F38" s="43"/>
      <c r="G38" s="43"/>
      <c r="I38" s="8" t="s">
        <v>67</v>
      </c>
    </row>
    <row r="39" spans="1:9" s="8" customFormat="1" ht="14.25">
      <c r="A39" s="44" t="s">
        <v>68</v>
      </c>
      <c r="B39" s="44"/>
      <c r="C39" s="44"/>
      <c r="D39" s="44"/>
      <c r="E39" s="44"/>
      <c r="F39" s="44"/>
      <c r="G39" s="62">
        <v>6765</v>
      </c>
      <c r="I39" s="10">
        <v>16716</v>
      </c>
    </row>
    <row r="40" spans="1:9" s="8" customFormat="1" ht="14.25">
      <c r="A40" s="44" t="s">
        <v>69</v>
      </c>
      <c r="B40" s="44"/>
      <c r="C40" s="44"/>
      <c r="D40" s="44"/>
      <c r="E40" s="44"/>
      <c r="F40" s="44"/>
      <c r="G40" s="63">
        <v>80</v>
      </c>
      <c r="I40" s="10"/>
    </row>
    <row r="41" spans="1:9" s="8" customFormat="1" ht="14.25">
      <c r="A41" s="44" t="s">
        <v>70</v>
      </c>
      <c r="B41" s="44"/>
      <c r="C41" s="44"/>
      <c r="D41" s="44"/>
      <c r="E41" s="44"/>
      <c r="F41" s="44"/>
      <c r="G41" s="63">
        <f>SUM(G39*G40)</f>
        <v>541200</v>
      </c>
      <c r="I41" s="10">
        <v>1337305</v>
      </c>
    </row>
    <row r="42" spans="1:9" s="8" customFormat="1" ht="14.25">
      <c r="A42" s="44" t="s">
        <v>71</v>
      </c>
      <c r="B42" s="44"/>
      <c r="C42" s="44"/>
      <c r="D42" s="44"/>
      <c r="E42" s="44"/>
      <c r="F42" s="44"/>
      <c r="G42" s="63">
        <f>SUM(G41-K19)</f>
        <v>162610</v>
      </c>
      <c r="I42" s="10">
        <v>401809</v>
      </c>
    </row>
    <row r="43" spans="1:9" s="8" customFormat="1" ht="14.25">
      <c r="A43" s="44" t="s">
        <v>72</v>
      </c>
      <c r="B43" s="44"/>
      <c r="C43" s="44"/>
      <c r="D43" s="44"/>
      <c r="E43" s="44"/>
      <c r="F43" s="44"/>
      <c r="G43" s="63">
        <f>SUM(G41-K20)</f>
        <v>222061</v>
      </c>
      <c r="I43" s="10">
        <v>548713</v>
      </c>
    </row>
    <row r="44" spans="1:9" s="8" customFormat="1" ht="14.25">
      <c r="A44" s="44"/>
      <c r="B44" s="44"/>
      <c r="C44" s="44"/>
      <c r="D44" s="44"/>
      <c r="E44" s="44"/>
      <c r="F44" s="44"/>
      <c r="G44" s="63"/>
    </row>
    <row r="45" spans="1:9" s="8" customFormat="1" ht="14.25">
      <c r="A45" s="44" t="s">
        <v>73</v>
      </c>
      <c r="B45" s="44"/>
      <c r="C45" s="44"/>
      <c r="D45" s="44"/>
      <c r="E45" s="44"/>
      <c r="F45" s="44"/>
      <c r="G45" s="63">
        <f>SUM(K19/G39)</f>
        <v>55.963045084996303</v>
      </c>
    </row>
    <row r="46" spans="1:9" s="8" customFormat="1" ht="14.25">
      <c r="A46" s="46" t="s">
        <v>74</v>
      </c>
      <c r="B46" s="46"/>
      <c r="C46" s="46"/>
      <c r="D46" s="46"/>
      <c r="E46" s="46"/>
      <c r="F46" s="46"/>
      <c r="G46" s="64">
        <f>SUM(K20/G39)</f>
        <v>47.175018477457499</v>
      </c>
    </row>
    <row r="47" spans="1:9" s="8" customFormat="1" ht="14.25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1"/>
  <sheetViews>
    <sheetView workbookViewId="0">
      <selection activeCell="A3" sqref="A3:B3"/>
    </sheetView>
  </sheetViews>
  <sheetFormatPr defaultRowHeight="15"/>
  <cols>
    <col min="1" max="1" width="20.7109375" customWidth="1"/>
    <col min="2" max="2" width="12.140625" customWidth="1"/>
    <col min="3" max="3" width="5.7109375" customWidth="1"/>
    <col min="10" max="10" width="12.42578125" customWidth="1"/>
    <col min="11" max="11" width="11.5703125" customWidth="1"/>
  </cols>
  <sheetData>
    <row r="1" spans="1:17">
      <c r="A1" s="1" t="s">
        <v>320</v>
      </c>
      <c r="B1" s="2"/>
    </row>
    <row r="2" spans="1:17">
      <c r="A2" s="1" t="s">
        <v>321</v>
      </c>
      <c r="B2" s="2"/>
    </row>
    <row r="3" spans="1:17">
      <c r="A3" s="1" t="s">
        <v>376</v>
      </c>
      <c r="B3" s="2"/>
    </row>
    <row r="4" spans="1:17">
      <c r="A4" s="1" t="s">
        <v>322</v>
      </c>
    </row>
    <row r="6" spans="1:17" s="239" customFormat="1">
      <c r="A6" s="236" t="s">
        <v>0</v>
      </c>
      <c r="B6" s="236"/>
      <c r="C6" s="236"/>
      <c r="D6" s="237" t="s">
        <v>1</v>
      </c>
      <c r="E6" s="237" t="s">
        <v>2</v>
      </c>
      <c r="F6" s="237" t="s">
        <v>3</v>
      </c>
      <c r="G6" s="237" t="s">
        <v>4</v>
      </c>
      <c r="H6" s="237" t="s">
        <v>5</v>
      </c>
      <c r="I6" s="237" t="s">
        <v>6</v>
      </c>
      <c r="J6" s="237" t="s">
        <v>7</v>
      </c>
      <c r="K6" s="237" t="s">
        <v>8</v>
      </c>
      <c r="L6" s="238" t="s">
        <v>9</v>
      </c>
      <c r="M6" s="237"/>
    </row>
    <row r="7" spans="1:17" s="239" customFormat="1">
      <c r="A7" s="240"/>
      <c r="B7" s="240"/>
      <c r="C7" s="240"/>
      <c r="D7" s="241" t="s">
        <v>10</v>
      </c>
      <c r="E7" s="241" t="s">
        <v>11</v>
      </c>
      <c r="F7" s="241" t="s">
        <v>11</v>
      </c>
      <c r="G7" s="241" t="s">
        <v>12</v>
      </c>
      <c r="H7" s="241" t="s">
        <v>13</v>
      </c>
      <c r="I7" s="241" t="s">
        <v>14</v>
      </c>
      <c r="J7" s="241" t="s">
        <v>13</v>
      </c>
      <c r="K7" s="241" t="s">
        <v>13</v>
      </c>
      <c r="L7" s="242" t="s">
        <v>6</v>
      </c>
      <c r="M7" s="241" t="s">
        <v>7</v>
      </c>
    </row>
    <row r="8" spans="1:17" s="239" customFormat="1">
      <c r="A8" s="240"/>
      <c r="B8" s="240"/>
      <c r="C8" s="240"/>
      <c r="D8" s="241" t="s">
        <v>15</v>
      </c>
      <c r="E8" s="241"/>
      <c r="F8" s="241"/>
      <c r="G8" s="241"/>
      <c r="H8" s="241" t="s">
        <v>16</v>
      </c>
      <c r="I8" s="241" t="s">
        <v>13</v>
      </c>
      <c r="J8" s="241" t="s">
        <v>16</v>
      </c>
      <c r="K8" s="241" t="s">
        <v>16</v>
      </c>
      <c r="L8" s="241"/>
      <c r="M8" s="241"/>
    </row>
    <row r="9" spans="1:17" s="239" customFormat="1">
      <c r="A9" s="243"/>
      <c r="B9" s="243"/>
      <c r="C9" s="243"/>
      <c r="D9" s="244"/>
      <c r="E9" s="244"/>
      <c r="F9" s="244"/>
      <c r="G9" s="244"/>
      <c r="H9" s="244"/>
      <c r="I9" s="244" t="s">
        <v>16</v>
      </c>
      <c r="J9" s="244"/>
      <c r="K9" s="244"/>
      <c r="L9" s="244"/>
      <c r="M9" s="244"/>
    </row>
    <row r="10" spans="1:17" s="196" customFormat="1" ht="15.75">
      <c r="A10" s="196" t="s">
        <v>80</v>
      </c>
      <c r="D10" s="202"/>
      <c r="E10" s="203"/>
      <c r="F10" s="203"/>
      <c r="G10" s="204"/>
      <c r="H10" s="203">
        <f t="shared" ref="H10:H31" si="0">SUM(E10*G10)</f>
        <v>0</v>
      </c>
      <c r="J10" s="203"/>
      <c r="K10" s="203">
        <f t="shared" ref="K10:K31" si="1">SUM(H10:J10)</f>
        <v>0</v>
      </c>
      <c r="N10" s="8"/>
      <c r="O10" s="8"/>
      <c r="P10" s="8"/>
      <c r="Q10" s="10"/>
    </row>
    <row r="11" spans="1:17" s="196" customFormat="1" ht="15.75">
      <c r="A11" s="196" t="s">
        <v>172</v>
      </c>
      <c r="D11" s="202">
        <v>77</v>
      </c>
      <c r="E11" s="203">
        <v>2.5499999999999998</v>
      </c>
      <c r="F11" s="203">
        <v>1.45</v>
      </c>
      <c r="G11" s="204">
        <v>1000</v>
      </c>
      <c r="H11" s="203">
        <f t="shared" si="0"/>
        <v>2550</v>
      </c>
      <c r="J11" s="203"/>
      <c r="K11" s="203">
        <f t="shared" si="1"/>
        <v>2550</v>
      </c>
      <c r="N11" s="8"/>
      <c r="O11" s="8"/>
      <c r="P11" s="8"/>
      <c r="Q11" s="10"/>
    </row>
    <row r="12" spans="1:17" s="196" customFormat="1" ht="15.75">
      <c r="D12" s="202"/>
      <c r="E12" s="203"/>
      <c r="F12" s="203"/>
      <c r="G12" s="204"/>
      <c r="H12" s="203">
        <f t="shared" si="0"/>
        <v>0</v>
      </c>
      <c r="J12" s="203"/>
      <c r="K12" s="203">
        <f t="shared" si="1"/>
        <v>0</v>
      </c>
      <c r="N12" s="19"/>
      <c r="O12" s="47"/>
      <c r="P12" s="8"/>
      <c r="Q12" s="10"/>
    </row>
    <row r="13" spans="1:17" s="196" customFormat="1" ht="15.75">
      <c r="A13" s="196" t="s">
        <v>295</v>
      </c>
      <c r="D13" s="202">
        <v>100</v>
      </c>
      <c r="E13" s="203"/>
      <c r="F13" s="203"/>
      <c r="G13" s="204"/>
      <c r="H13" s="203">
        <f t="shared" si="0"/>
        <v>0</v>
      </c>
      <c r="I13" s="205">
        <v>3293.99</v>
      </c>
      <c r="J13" s="203"/>
      <c r="K13" s="203">
        <f t="shared" si="1"/>
        <v>3293.99</v>
      </c>
      <c r="N13" s="8"/>
      <c r="O13" s="8"/>
      <c r="P13" s="8"/>
      <c r="Q13" s="10"/>
    </row>
    <row r="14" spans="1:17" s="196" customFormat="1" ht="15.75">
      <c r="A14" s="206" t="s">
        <v>296</v>
      </c>
      <c r="B14" s="207"/>
      <c r="D14" s="202">
        <v>100</v>
      </c>
      <c r="E14" s="203">
        <v>5.03</v>
      </c>
      <c r="F14" s="203">
        <v>0.03</v>
      </c>
      <c r="G14" s="204">
        <v>650</v>
      </c>
      <c r="H14" s="203">
        <f t="shared" si="0"/>
        <v>3269.5</v>
      </c>
      <c r="J14" s="203"/>
      <c r="K14" s="203">
        <f t="shared" si="1"/>
        <v>3269.5</v>
      </c>
      <c r="N14" s="8"/>
      <c r="O14" s="8"/>
      <c r="P14" s="8"/>
      <c r="Q14" s="10"/>
    </row>
    <row r="15" spans="1:17" s="196" customFormat="1" ht="15.75">
      <c r="A15" s="208"/>
      <c r="B15" s="208"/>
      <c r="C15" s="208"/>
      <c r="D15" s="202">
        <v>100</v>
      </c>
      <c r="E15" s="203">
        <v>0</v>
      </c>
      <c r="F15" s="203">
        <v>0</v>
      </c>
      <c r="G15" s="204">
        <v>0</v>
      </c>
      <c r="H15" s="203">
        <f t="shared" si="0"/>
        <v>0</v>
      </c>
      <c r="J15" s="203"/>
      <c r="K15" s="203">
        <f t="shared" si="1"/>
        <v>0</v>
      </c>
      <c r="N15" s="8"/>
      <c r="O15" s="8"/>
      <c r="P15" s="8"/>
      <c r="Q15" s="10"/>
    </row>
    <row r="16" spans="1:17" s="196" customFormat="1" ht="15.75">
      <c r="D16" s="202"/>
      <c r="E16" s="203">
        <v>0</v>
      </c>
      <c r="F16" s="203">
        <v>0</v>
      </c>
      <c r="G16" s="204">
        <v>0</v>
      </c>
      <c r="H16" s="203">
        <f t="shared" si="0"/>
        <v>0</v>
      </c>
      <c r="J16" s="203"/>
      <c r="K16" s="203">
        <f t="shared" si="1"/>
        <v>0</v>
      </c>
      <c r="N16" s="8"/>
      <c r="O16" s="8"/>
      <c r="P16" s="8"/>
      <c r="Q16" s="10"/>
    </row>
    <row r="17" spans="1:17" s="196" customFormat="1" ht="15.75">
      <c r="D17" s="202"/>
      <c r="E17" s="203"/>
      <c r="F17" s="203"/>
      <c r="G17" s="204"/>
      <c r="H17" s="203">
        <f t="shared" si="0"/>
        <v>0</v>
      </c>
      <c r="J17" s="203"/>
      <c r="K17" s="203">
        <f t="shared" si="1"/>
        <v>0</v>
      </c>
      <c r="N17" s="8"/>
      <c r="O17" s="8"/>
      <c r="P17" s="8"/>
      <c r="Q17" s="10"/>
    </row>
    <row r="18" spans="1:17" s="196" customFormat="1" ht="15.75">
      <c r="A18" s="209" t="s">
        <v>297</v>
      </c>
      <c r="D18" s="202">
        <v>100</v>
      </c>
      <c r="E18" s="203">
        <v>11.24</v>
      </c>
      <c r="F18" s="203">
        <v>0.44</v>
      </c>
      <c r="G18" s="204">
        <v>557</v>
      </c>
      <c r="H18" s="203">
        <f t="shared" si="0"/>
        <v>6260.68</v>
      </c>
      <c r="J18" s="210">
        <f>SUM(E40*G40)</f>
        <v>92630</v>
      </c>
      <c r="K18" s="203">
        <f t="shared" si="1"/>
        <v>98890.68</v>
      </c>
      <c r="L18" s="196">
        <v>1306.3800000000001</v>
      </c>
      <c r="N18" s="8"/>
      <c r="O18" s="8"/>
      <c r="P18" s="8"/>
      <c r="Q18" s="10"/>
    </row>
    <row r="19" spans="1:17" s="196" customFormat="1" ht="15.75">
      <c r="D19" s="202"/>
      <c r="E19" s="203"/>
      <c r="F19" s="203"/>
      <c r="G19" s="204"/>
      <c r="H19" s="203">
        <f t="shared" si="0"/>
        <v>0</v>
      </c>
      <c r="J19" s="203"/>
      <c r="K19" s="203">
        <f t="shared" si="1"/>
        <v>0</v>
      </c>
      <c r="N19" s="8"/>
      <c r="O19" s="8"/>
      <c r="P19" s="8"/>
      <c r="Q19" s="10"/>
    </row>
    <row r="20" spans="1:17" s="196" customFormat="1" ht="15.75">
      <c r="A20" s="209" t="s">
        <v>25</v>
      </c>
      <c r="D20" s="202">
        <v>100</v>
      </c>
      <c r="E20" s="203">
        <v>1.99</v>
      </c>
      <c r="F20" s="203">
        <v>0.75</v>
      </c>
      <c r="G20" s="204">
        <v>1079.03</v>
      </c>
      <c r="H20" s="203">
        <f t="shared" si="0"/>
        <v>2147.2696999999998</v>
      </c>
      <c r="J20" s="210">
        <f>SUM(E49*G49+E50*G50+E51*G51+E52*G52+E53*G53+E54*G54+E55*G55+E56*G56+E57*G57+E58*G58+E59*G59+E60*G60)</f>
        <v>19449.240000000002</v>
      </c>
      <c r="K20" s="203">
        <f t="shared" si="1"/>
        <v>21596.509700000002</v>
      </c>
      <c r="N20" s="8"/>
      <c r="O20" s="8"/>
      <c r="P20" s="8"/>
      <c r="Q20" s="10"/>
    </row>
    <row r="21" spans="1:17" s="196" customFormat="1" ht="15.75">
      <c r="A21" s="196" t="s">
        <v>298</v>
      </c>
      <c r="D21" s="202">
        <v>67</v>
      </c>
      <c r="E21" s="203">
        <v>0.69</v>
      </c>
      <c r="F21" s="203">
        <v>0.18</v>
      </c>
      <c r="G21" s="204">
        <v>1162.1600000000001</v>
      </c>
      <c r="H21" s="203">
        <f t="shared" si="0"/>
        <v>801.8904</v>
      </c>
      <c r="J21" s="211">
        <v>1603.9</v>
      </c>
      <c r="K21" s="203">
        <f t="shared" si="1"/>
        <v>2405.7903999999999</v>
      </c>
      <c r="N21" s="8"/>
      <c r="O21" s="8"/>
      <c r="P21" s="8"/>
      <c r="Q21" s="10"/>
    </row>
    <row r="22" spans="1:17" s="196" customFormat="1" ht="15.75">
      <c r="A22" s="196" t="s">
        <v>299</v>
      </c>
      <c r="D22" s="202">
        <v>70</v>
      </c>
      <c r="E22" s="203">
        <v>9.56</v>
      </c>
      <c r="F22" s="203">
        <v>0.44</v>
      </c>
      <c r="G22" s="204">
        <v>750</v>
      </c>
      <c r="H22" s="203">
        <f t="shared" si="0"/>
        <v>7170</v>
      </c>
      <c r="J22" s="203"/>
      <c r="K22" s="203">
        <f t="shared" si="1"/>
        <v>7170</v>
      </c>
      <c r="N22" s="8"/>
      <c r="O22" s="8"/>
      <c r="P22" s="8"/>
      <c r="Q22" s="10"/>
    </row>
    <row r="23" spans="1:17" s="196" customFormat="1">
      <c r="A23" s="196" t="s">
        <v>33</v>
      </c>
      <c r="D23" s="202">
        <v>83</v>
      </c>
      <c r="E23" s="203">
        <v>0.71</v>
      </c>
      <c r="F23" s="203">
        <v>0.23</v>
      </c>
      <c r="G23" s="204">
        <v>1097.58</v>
      </c>
      <c r="H23" s="203">
        <f t="shared" si="0"/>
        <v>779.28179999999986</v>
      </c>
      <c r="J23" s="203">
        <v>2900</v>
      </c>
      <c r="K23" s="203">
        <f t="shared" si="1"/>
        <v>3679.2817999999997</v>
      </c>
      <c r="O23" s="203"/>
    </row>
    <row r="24" spans="1:17" s="196" customFormat="1">
      <c r="D24" s="202"/>
      <c r="E24" s="203"/>
      <c r="F24" s="203"/>
      <c r="G24" s="204"/>
      <c r="H24" s="203">
        <f t="shared" si="0"/>
        <v>0</v>
      </c>
      <c r="J24" s="203"/>
      <c r="K24" s="203">
        <f t="shared" si="1"/>
        <v>0</v>
      </c>
      <c r="O24" s="203"/>
    </row>
    <row r="25" spans="1:17" s="196" customFormat="1">
      <c r="A25" s="196" t="s">
        <v>300</v>
      </c>
      <c r="D25" s="202">
        <v>100</v>
      </c>
      <c r="E25" s="203">
        <v>24.34</v>
      </c>
      <c r="F25" s="203">
        <v>11.25</v>
      </c>
      <c r="G25" s="204">
        <v>1099</v>
      </c>
      <c r="H25" s="203">
        <f t="shared" si="0"/>
        <v>26749.66</v>
      </c>
      <c r="I25" s="203">
        <v>9074</v>
      </c>
      <c r="J25" s="212">
        <v>0</v>
      </c>
      <c r="K25" s="203">
        <f t="shared" si="1"/>
        <v>35823.660000000003</v>
      </c>
      <c r="O25" s="203"/>
    </row>
    <row r="26" spans="1:17" s="196" customFormat="1">
      <c r="A26" s="196" t="s">
        <v>301</v>
      </c>
      <c r="D26" s="202"/>
      <c r="E26" s="203">
        <v>0</v>
      </c>
      <c r="F26" s="203">
        <v>0</v>
      </c>
      <c r="G26" s="204">
        <v>0</v>
      </c>
      <c r="H26" s="203">
        <f t="shared" si="0"/>
        <v>0</v>
      </c>
      <c r="J26" s="203">
        <v>0</v>
      </c>
      <c r="K26" s="203">
        <f t="shared" si="1"/>
        <v>0</v>
      </c>
    </row>
    <row r="27" spans="1:17" s="196" customFormat="1">
      <c r="A27" s="196" t="s">
        <v>108</v>
      </c>
      <c r="D27" s="202">
        <v>100</v>
      </c>
      <c r="E27" s="203">
        <v>12.82</v>
      </c>
      <c r="F27" s="203">
        <v>0.7</v>
      </c>
      <c r="G27" s="204">
        <v>539.07000000000005</v>
      </c>
      <c r="H27" s="203">
        <f t="shared" si="0"/>
        <v>6910.8774000000012</v>
      </c>
      <c r="J27" s="203"/>
      <c r="K27" s="203">
        <f t="shared" si="1"/>
        <v>6910.8774000000012</v>
      </c>
    </row>
    <row r="28" spans="1:17" s="196" customFormat="1">
      <c r="A28" s="196" t="s">
        <v>109</v>
      </c>
      <c r="D28" s="202">
        <v>100</v>
      </c>
      <c r="E28" s="203">
        <v>15.14</v>
      </c>
      <c r="F28" s="203">
        <v>0</v>
      </c>
      <c r="G28" s="204">
        <v>1000</v>
      </c>
      <c r="H28" s="203">
        <f t="shared" si="0"/>
        <v>15140</v>
      </c>
      <c r="J28" s="203">
        <v>0</v>
      </c>
      <c r="K28" s="203">
        <f t="shared" si="1"/>
        <v>15140</v>
      </c>
    </row>
    <row r="29" spans="1:17" s="196" customFormat="1">
      <c r="A29" s="196" t="s">
        <v>302</v>
      </c>
      <c r="D29" s="202"/>
      <c r="E29" s="203">
        <v>0</v>
      </c>
      <c r="F29" s="203">
        <v>0</v>
      </c>
      <c r="G29" s="204">
        <v>0</v>
      </c>
      <c r="H29" s="203">
        <f t="shared" si="0"/>
        <v>0</v>
      </c>
      <c r="J29" s="203"/>
      <c r="K29" s="203">
        <f t="shared" si="1"/>
        <v>0</v>
      </c>
    </row>
    <row r="30" spans="1:17" s="196" customFormat="1">
      <c r="A30" s="196" t="s">
        <v>303</v>
      </c>
      <c r="D30" s="202">
        <v>57</v>
      </c>
      <c r="E30" s="203"/>
      <c r="F30" s="203"/>
      <c r="G30" s="204" t="s">
        <v>149</v>
      </c>
      <c r="H30" s="203">
        <v>0</v>
      </c>
      <c r="J30" s="203">
        <v>2340.2399999999998</v>
      </c>
      <c r="K30" s="203">
        <f t="shared" si="1"/>
        <v>2340.2399999999998</v>
      </c>
    </row>
    <row r="31" spans="1:17" s="196" customFormat="1">
      <c r="A31" s="196" t="s">
        <v>91</v>
      </c>
      <c r="D31" s="202">
        <v>83</v>
      </c>
      <c r="E31" s="203"/>
      <c r="F31" s="203"/>
      <c r="G31" s="204"/>
      <c r="H31" s="203">
        <f t="shared" si="0"/>
        <v>0</v>
      </c>
      <c r="I31" s="196">
        <v>2076.71</v>
      </c>
      <c r="J31" s="203"/>
      <c r="K31" s="203">
        <f t="shared" si="1"/>
        <v>2076.71</v>
      </c>
    </row>
    <row r="32" spans="1:17" s="196" customFormat="1">
      <c r="A32" s="213" t="s">
        <v>37</v>
      </c>
      <c r="B32" s="193"/>
      <c r="C32" s="193"/>
      <c r="D32" s="214"/>
      <c r="E32" s="215">
        <f>SUM(E10:E31)</f>
        <v>84.070000000000007</v>
      </c>
      <c r="F32" s="215">
        <f>SUM(F10:F31)</f>
        <v>15.469999999999999</v>
      </c>
      <c r="G32" s="215"/>
      <c r="H32" s="215">
        <f>SUM(H10:H31)</f>
        <v>71779.159299999999</v>
      </c>
      <c r="I32" s="215">
        <f>SUM(I10:I31)</f>
        <v>14444.7</v>
      </c>
      <c r="J32" s="215">
        <f>SUM(J10:J31)</f>
        <v>118923.38</v>
      </c>
      <c r="K32" s="215">
        <f>SUM(H32:J32)</f>
        <v>205147.23930000002</v>
      </c>
      <c r="L32" s="193">
        <f>SUM(L10:L31)</f>
        <v>1306.3800000000001</v>
      </c>
      <c r="M32" s="193">
        <f>SUM(M10:M31)</f>
        <v>0</v>
      </c>
    </row>
    <row r="33" spans="1:13" s="196" customFormat="1">
      <c r="A33" s="216" t="s">
        <v>38</v>
      </c>
      <c r="B33" s="200"/>
      <c r="C33" s="200"/>
      <c r="D33" s="217"/>
      <c r="E33" s="218">
        <f>SUM(E32-F32)</f>
        <v>68.600000000000009</v>
      </c>
      <c r="F33" s="218"/>
      <c r="G33" s="218"/>
      <c r="H33" s="218">
        <f>SUM(E44*G44)</f>
        <v>58570.837730224812</v>
      </c>
      <c r="I33" s="200">
        <f>I32-L32</f>
        <v>13138.32</v>
      </c>
      <c r="J33" s="218">
        <f>J32-M32</f>
        <v>118923.38</v>
      </c>
      <c r="K33" s="218">
        <f>SUM(H33:J33)</f>
        <v>190632.53773022481</v>
      </c>
      <c r="L33" s="200"/>
      <c r="M33" s="200"/>
    </row>
    <row r="34" spans="1:13" s="196" customFormat="1"/>
    <row r="35" spans="1:13" s="196" customFormat="1">
      <c r="C35" s="196" t="s">
        <v>39</v>
      </c>
    </row>
    <row r="36" spans="1:13" s="196" customFormat="1"/>
    <row r="37" spans="1:13" s="196" customFormat="1">
      <c r="A37" s="196" t="s">
        <v>40</v>
      </c>
    </row>
    <row r="38" spans="1:13" s="196" customFormat="1">
      <c r="A38" s="219" t="s">
        <v>41</v>
      </c>
      <c r="B38" s="219"/>
      <c r="C38" s="219"/>
      <c r="D38" s="219" t="s">
        <v>42</v>
      </c>
      <c r="E38" s="219" t="s">
        <v>43</v>
      </c>
      <c r="F38" s="219"/>
      <c r="G38" s="219" t="s">
        <v>44</v>
      </c>
    </row>
    <row r="39" spans="1:13" s="196" customFormat="1">
      <c r="A39" s="196" t="s">
        <v>45</v>
      </c>
      <c r="I39" s="196" t="s">
        <v>59</v>
      </c>
      <c r="J39" s="196">
        <v>1.94</v>
      </c>
    </row>
    <row r="40" spans="1:13" s="196" customFormat="1">
      <c r="A40" s="209" t="s">
        <v>221</v>
      </c>
      <c r="D40" s="196" t="s">
        <v>304</v>
      </c>
      <c r="E40" s="205">
        <v>590</v>
      </c>
      <c r="G40" s="205">
        <v>157</v>
      </c>
      <c r="I40" s="196" t="s">
        <v>60</v>
      </c>
      <c r="J40" s="196">
        <v>1</v>
      </c>
    </row>
    <row r="41" spans="1:13" s="196" customFormat="1">
      <c r="I41" s="196" t="s">
        <v>48</v>
      </c>
      <c r="J41" s="196" t="s">
        <v>305</v>
      </c>
      <c r="K41" s="220">
        <v>0.83</v>
      </c>
    </row>
    <row r="42" spans="1:13" s="196" customFormat="1">
      <c r="J42" s="196" t="s">
        <v>306</v>
      </c>
      <c r="K42" s="220">
        <v>0.1</v>
      </c>
    </row>
    <row r="43" spans="1:13" s="196" customFormat="1">
      <c r="A43" s="196" t="s">
        <v>54</v>
      </c>
      <c r="J43" s="196" t="s">
        <v>307</v>
      </c>
      <c r="K43" s="220">
        <v>7.0000000000000007E-2</v>
      </c>
    </row>
    <row r="44" spans="1:13" s="196" customFormat="1">
      <c r="A44" s="196" t="s">
        <v>56</v>
      </c>
      <c r="D44" s="196" t="s">
        <v>57</v>
      </c>
      <c r="E44" s="196">
        <f>SUM(E32-F32)</f>
        <v>68.600000000000009</v>
      </c>
      <c r="G44" s="212">
        <f>SUM(H32/E46)</f>
        <v>853.80229927441405</v>
      </c>
      <c r="K44" s="220"/>
    </row>
    <row r="45" spans="1:13" s="196" customFormat="1">
      <c r="A45" s="196" t="s">
        <v>58</v>
      </c>
      <c r="D45" s="196" t="s">
        <v>57</v>
      </c>
      <c r="E45" s="196">
        <f>SUM(F32)</f>
        <v>15.469999999999999</v>
      </c>
    </row>
    <row r="46" spans="1:13" s="196" customFormat="1">
      <c r="A46" s="196" t="s">
        <v>2</v>
      </c>
      <c r="E46" s="196">
        <f>SUM(E44:E45)</f>
        <v>84.070000000000007</v>
      </c>
    </row>
    <row r="47" spans="1:13" s="196" customFormat="1"/>
    <row r="48" spans="1:13" s="196" customFormat="1">
      <c r="A48" s="193" t="s">
        <v>61</v>
      </c>
      <c r="B48" s="193"/>
      <c r="C48" s="193" t="s">
        <v>62</v>
      </c>
      <c r="D48" s="193"/>
      <c r="E48" s="193"/>
      <c r="F48" s="193"/>
      <c r="G48" s="193"/>
    </row>
    <row r="49" spans="1:8" s="196" customFormat="1">
      <c r="A49" s="221" t="s">
        <v>96</v>
      </c>
      <c r="B49" s="222" t="s">
        <v>129</v>
      </c>
      <c r="C49" s="223">
        <v>73</v>
      </c>
      <c r="D49" s="221" t="s">
        <v>47</v>
      </c>
      <c r="E49" s="197">
        <v>65.790000000000006</v>
      </c>
      <c r="F49" s="197"/>
      <c r="G49" s="224">
        <v>26</v>
      </c>
    </row>
    <row r="50" spans="1:8" s="196" customFormat="1">
      <c r="A50" s="221"/>
      <c r="B50" s="222" t="s">
        <v>63</v>
      </c>
      <c r="C50" s="223">
        <v>80</v>
      </c>
      <c r="D50" s="221" t="s">
        <v>47</v>
      </c>
      <c r="E50" s="197">
        <v>52.66</v>
      </c>
      <c r="F50" s="197"/>
      <c r="G50" s="224">
        <v>24</v>
      </c>
    </row>
    <row r="51" spans="1:8" s="196" customFormat="1">
      <c r="A51" s="221"/>
      <c r="B51" s="222" t="s">
        <v>308</v>
      </c>
      <c r="C51" s="223">
        <v>64</v>
      </c>
      <c r="D51" s="225" t="s">
        <v>291</v>
      </c>
      <c r="E51" s="226">
        <v>1.2</v>
      </c>
      <c r="F51" s="197"/>
      <c r="G51" s="227">
        <v>11560</v>
      </c>
    </row>
    <row r="52" spans="1:8" s="196" customFormat="1">
      <c r="A52" s="221"/>
      <c r="B52" s="222" t="s">
        <v>309</v>
      </c>
      <c r="C52" s="223"/>
      <c r="D52" s="221" t="s">
        <v>47</v>
      </c>
      <c r="E52" s="197"/>
      <c r="F52" s="197"/>
      <c r="G52" s="197"/>
    </row>
    <row r="53" spans="1:8" s="196" customFormat="1">
      <c r="A53" s="209"/>
      <c r="B53" s="222" t="s">
        <v>310</v>
      </c>
      <c r="C53" s="223"/>
      <c r="D53" s="221" t="s">
        <v>47</v>
      </c>
      <c r="E53" s="197"/>
      <c r="F53" s="197"/>
      <c r="G53" s="197"/>
    </row>
    <row r="54" spans="1:8" s="196" customFormat="1">
      <c r="A54" s="209" t="s">
        <v>311</v>
      </c>
      <c r="B54" s="222" t="s">
        <v>312</v>
      </c>
      <c r="C54" s="223">
        <v>93</v>
      </c>
      <c r="D54" s="221" t="s">
        <v>47</v>
      </c>
      <c r="E54" s="197">
        <v>100.11</v>
      </c>
      <c r="F54" s="197"/>
      <c r="G54" s="224">
        <v>26</v>
      </c>
    </row>
    <row r="55" spans="1:8" s="196" customFormat="1">
      <c r="A55" s="221"/>
      <c r="B55" s="222"/>
      <c r="C55" s="223"/>
      <c r="D55" s="221"/>
      <c r="E55" s="197"/>
      <c r="F55" s="197"/>
      <c r="G55" s="224"/>
    </row>
    <row r="56" spans="1:8" s="196" customFormat="1">
      <c r="A56" s="221"/>
      <c r="B56" s="222"/>
      <c r="C56" s="223"/>
      <c r="D56" s="221" t="s">
        <v>47</v>
      </c>
      <c r="E56" s="197"/>
      <c r="F56" s="197"/>
      <c r="G56" s="224">
        <v>0</v>
      </c>
    </row>
    <row r="57" spans="1:8" s="196" customFormat="1">
      <c r="A57" s="221"/>
      <c r="B57" s="222" t="s">
        <v>309</v>
      </c>
      <c r="C57" s="223"/>
      <c r="D57" s="221" t="s">
        <v>47</v>
      </c>
      <c r="E57" s="197"/>
      <c r="F57" s="197"/>
      <c r="G57" s="197"/>
    </row>
    <row r="58" spans="1:8" s="196" customFormat="1">
      <c r="A58" s="221"/>
      <c r="B58" s="222" t="s">
        <v>310</v>
      </c>
      <c r="C58" s="223"/>
      <c r="D58" s="221" t="s">
        <v>47</v>
      </c>
      <c r="E58" s="197"/>
      <c r="F58" s="197"/>
      <c r="G58" s="197"/>
    </row>
    <row r="59" spans="1:8" s="196" customFormat="1">
      <c r="A59" s="209"/>
      <c r="B59" s="228" t="s">
        <v>313</v>
      </c>
      <c r="C59" s="223"/>
      <c r="D59" s="221" t="s">
        <v>47</v>
      </c>
      <c r="E59" s="197"/>
      <c r="F59" s="197"/>
      <c r="G59" s="197"/>
    </row>
    <row r="60" spans="1:8" s="196" customFormat="1">
      <c r="A60" s="216"/>
      <c r="B60" s="222" t="s">
        <v>212</v>
      </c>
      <c r="C60" s="229"/>
      <c r="D60" s="216" t="s">
        <v>47</v>
      </c>
      <c r="E60" s="200"/>
      <c r="F60" s="200"/>
      <c r="G60" s="200"/>
    </row>
    <row r="61" spans="1:8" s="196" customFormat="1">
      <c r="A61" s="213" t="s">
        <v>66</v>
      </c>
      <c r="B61" s="193"/>
      <c r="C61" s="193"/>
      <c r="D61" s="193"/>
      <c r="E61" s="193"/>
      <c r="F61" s="193"/>
      <c r="G61" s="230" t="s">
        <v>206</v>
      </c>
      <c r="H61" s="231" t="s">
        <v>99</v>
      </c>
    </row>
    <row r="62" spans="1:8" s="196" customFormat="1">
      <c r="A62" s="221" t="s">
        <v>68</v>
      </c>
      <c r="B62" s="197"/>
      <c r="C62" s="197"/>
      <c r="D62" s="197"/>
      <c r="E62" s="197"/>
      <c r="F62" s="197"/>
      <c r="G62" s="232">
        <v>6004</v>
      </c>
      <c r="H62" s="203">
        <f>G62*2.471</f>
        <v>14835.884</v>
      </c>
    </row>
    <row r="63" spans="1:8" s="196" customFormat="1">
      <c r="A63" s="221" t="s">
        <v>69</v>
      </c>
      <c r="B63" s="197"/>
      <c r="C63" s="197"/>
      <c r="D63" s="197"/>
      <c r="E63" s="197"/>
      <c r="F63" s="197"/>
      <c r="G63" s="233">
        <v>82</v>
      </c>
      <c r="H63" s="203"/>
    </row>
    <row r="64" spans="1:8" s="196" customFormat="1">
      <c r="A64" s="221" t="s">
        <v>70</v>
      </c>
      <c r="B64" s="197"/>
      <c r="C64" s="197"/>
      <c r="D64" s="197"/>
      <c r="E64" s="197"/>
      <c r="F64" s="197"/>
      <c r="G64" s="233">
        <f>SUM(G62*G63)</f>
        <v>492328</v>
      </c>
      <c r="H64" s="203">
        <f>G64*2.471</f>
        <v>1216542.4880000001</v>
      </c>
    </row>
    <row r="65" spans="1:13" s="196" customFormat="1">
      <c r="A65" s="221" t="s">
        <v>71</v>
      </c>
      <c r="B65" s="197"/>
      <c r="C65" s="197"/>
      <c r="D65" s="197"/>
      <c r="E65" s="197"/>
      <c r="F65" s="197"/>
      <c r="G65" s="233">
        <f>SUM(G64-K32)</f>
        <v>287180.76069999998</v>
      </c>
      <c r="H65" s="203">
        <f>G65*2.471</f>
        <v>709623.6596897</v>
      </c>
    </row>
    <row r="66" spans="1:13" s="196" customFormat="1">
      <c r="A66" s="221" t="s">
        <v>72</v>
      </c>
      <c r="B66" s="197"/>
      <c r="C66" s="197"/>
      <c r="D66" s="197"/>
      <c r="E66" s="197"/>
      <c r="F66" s="197"/>
      <c r="G66" s="233">
        <f>SUM(G64-K33)</f>
        <v>301695.46226977522</v>
      </c>
      <c r="H66" s="203">
        <f>G66*2.471</f>
        <v>745489.48726861458</v>
      </c>
    </row>
    <row r="67" spans="1:13" s="196" customFormat="1">
      <c r="A67" s="221"/>
      <c r="B67" s="197"/>
      <c r="C67" s="197"/>
      <c r="D67" s="197"/>
      <c r="E67" s="197"/>
      <c r="F67" s="197"/>
      <c r="G67" s="233"/>
    </row>
    <row r="68" spans="1:13" s="196" customFormat="1">
      <c r="A68" s="221" t="s">
        <v>73</v>
      </c>
      <c r="B68" s="197"/>
      <c r="C68" s="197"/>
      <c r="D68" s="197"/>
      <c r="E68" s="197"/>
      <c r="F68" s="197"/>
      <c r="G68" s="233">
        <f>SUM(K32/G62)</f>
        <v>34.168427598267826</v>
      </c>
    </row>
    <row r="69" spans="1:13" s="196" customFormat="1">
      <c r="A69" s="216" t="s">
        <v>74</v>
      </c>
      <c r="B69" s="200"/>
      <c r="C69" s="200"/>
      <c r="D69" s="200"/>
      <c r="E69" s="200"/>
      <c r="F69" s="200"/>
      <c r="G69" s="234">
        <f>SUM(K33/G62)</f>
        <v>31.75092234014404</v>
      </c>
    </row>
    <row r="70" spans="1:13" s="196" customFormat="1"/>
    <row r="71" spans="1:13" s="196" customFormat="1">
      <c r="A71" s="196" t="s">
        <v>100</v>
      </c>
    </row>
    <row r="72" spans="1:13" s="196" customFormat="1">
      <c r="A72" s="235"/>
      <c r="B72"/>
      <c r="C72"/>
      <c r="D72"/>
      <c r="E72"/>
    </row>
    <row r="73" spans="1:13" s="196" customFormat="1">
      <c r="A73" s="235"/>
      <c r="B73"/>
      <c r="C73"/>
      <c r="D73"/>
      <c r="E73"/>
    </row>
    <row r="74" spans="1:13" s="196" customFormat="1"/>
    <row r="75" spans="1:13" s="196" customFormat="1">
      <c r="A75" s="196" t="s">
        <v>314</v>
      </c>
      <c r="B75" s="196" t="s">
        <v>315</v>
      </c>
    </row>
    <row r="76" spans="1:13" s="196" customFormat="1">
      <c r="B76" s="196" t="s">
        <v>316</v>
      </c>
    </row>
    <row r="77" spans="1:13" s="196" customFormat="1">
      <c r="B77" s="196" t="s">
        <v>317</v>
      </c>
    </row>
    <row r="78" spans="1:13" s="196" customFormat="1">
      <c r="A78" s="193" t="s">
        <v>0</v>
      </c>
      <c r="B78" s="193"/>
      <c r="C78" s="193"/>
      <c r="D78" s="194" t="s">
        <v>1</v>
      </c>
      <c r="E78" s="194" t="s">
        <v>2</v>
      </c>
      <c r="F78" s="194" t="s">
        <v>3</v>
      </c>
      <c r="G78" s="194" t="s">
        <v>4</v>
      </c>
      <c r="H78" s="194" t="s">
        <v>5</v>
      </c>
      <c r="I78" s="194" t="s">
        <v>6</v>
      </c>
      <c r="J78" s="194" t="s">
        <v>7</v>
      </c>
      <c r="K78" s="194" t="s">
        <v>8</v>
      </c>
      <c r="L78" s="195" t="s">
        <v>9</v>
      </c>
      <c r="M78" s="194"/>
    </row>
    <row r="79" spans="1:13" s="196" customFormat="1">
      <c r="A79" s="197"/>
      <c r="B79" s="197"/>
      <c r="C79" s="197"/>
      <c r="D79" s="198" t="s">
        <v>10</v>
      </c>
      <c r="E79" s="198" t="s">
        <v>11</v>
      </c>
      <c r="F79" s="198" t="s">
        <v>11</v>
      </c>
      <c r="G79" s="198" t="s">
        <v>12</v>
      </c>
      <c r="H79" s="198" t="s">
        <v>13</v>
      </c>
      <c r="I79" s="198" t="s">
        <v>14</v>
      </c>
      <c r="J79" s="198" t="s">
        <v>13</v>
      </c>
      <c r="K79" s="198" t="s">
        <v>13</v>
      </c>
      <c r="L79" s="199" t="s">
        <v>6</v>
      </c>
      <c r="M79" s="198"/>
    </row>
    <row r="80" spans="1:13" s="196" customFormat="1">
      <c r="A80" s="197"/>
      <c r="B80" s="197"/>
      <c r="C80" s="197"/>
      <c r="D80" s="198" t="s">
        <v>15</v>
      </c>
      <c r="E80" s="198"/>
      <c r="F80" s="198"/>
      <c r="G80" s="198"/>
      <c r="H80" s="198" t="s">
        <v>16</v>
      </c>
      <c r="I80" s="198" t="s">
        <v>13</v>
      </c>
      <c r="J80" s="198" t="s">
        <v>16</v>
      </c>
      <c r="K80" s="198" t="s">
        <v>16</v>
      </c>
      <c r="L80" s="198"/>
      <c r="M80" s="198"/>
    </row>
    <row r="81" spans="1:13" s="196" customFormat="1">
      <c r="A81" s="200"/>
      <c r="B81" s="200"/>
      <c r="C81" s="200"/>
      <c r="D81" s="201"/>
      <c r="E81" s="201"/>
      <c r="F81" s="201"/>
      <c r="G81" s="201"/>
      <c r="H81" s="201"/>
      <c r="I81" s="201" t="s">
        <v>16</v>
      </c>
      <c r="J81" s="201"/>
      <c r="K81" s="201"/>
      <c r="L81" s="201"/>
      <c r="M81" s="201"/>
    </row>
    <row r="82" spans="1:13" s="196" customFormat="1">
      <c r="A82" s="196" t="s">
        <v>172</v>
      </c>
      <c r="D82" s="202">
        <v>77</v>
      </c>
      <c r="E82" s="203">
        <v>2.5499999999999998</v>
      </c>
      <c r="F82" s="203">
        <v>1.45</v>
      </c>
      <c r="G82" s="204">
        <v>1000</v>
      </c>
      <c r="H82" s="203">
        <f t="shared" ref="H82:H92" si="2">SUM(E82*G82)</f>
        <v>2550</v>
      </c>
      <c r="J82" s="203"/>
      <c r="K82" s="203">
        <f t="shared" ref="K82:K94" si="3">SUM(H82:J82)</f>
        <v>2550</v>
      </c>
    </row>
    <row r="83" spans="1:13" s="196" customFormat="1">
      <c r="A83" s="196" t="s">
        <v>125</v>
      </c>
      <c r="D83" s="202">
        <v>100</v>
      </c>
      <c r="E83" s="203"/>
      <c r="F83" s="203"/>
      <c r="G83" s="204"/>
      <c r="H83" s="203">
        <f t="shared" si="2"/>
        <v>0</v>
      </c>
      <c r="I83" s="203">
        <v>3294</v>
      </c>
      <c r="J83" s="203"/>
      <c r="K83" s="203">
        <f t="shared" si="3"/>
        <v>3294</v>
      </c>
    </row>
    <row r="84" spans="1:13" s="196" customFormat="1">
      <c r="A84" s="206" t="s">
        <v>296</v>
      </c>
      <c r="B84" s="207"/>
      <c r="D84" s="202">
        <v>100</v>
      </c>
      <c r="E84" s="203">
        <v>5.03</v>
      </c>
      <c r="F84" s="203">
        <v>0.03</v>
      </c>
      <c r="G84" s="204">
        <v>500</v>
      </c>
      <c r="H84" s="203">
        <f t="shared" si="2"/>
        <v>2515</v>
      </c>
      <c r="J84" s="203"/>
      <c r="K84" s="203">
        <f t="shared" si="3"/>
        <v>2515</v>
      </c>
    </row>
    <row r="85" spans="1:13" s="196" customFormat="1">
      <c r="A85" s="209" t="s">
        <v>297</v>
      </c>
      <c r="D85" s="202">
        <v>100</v>
      </c>
      <c r="E85" s="203">
        <v>11.24</v>
      </c>
      <c r="F85" s="203">
        <v>0.44</v>
      </c>
      <c r="G85" s="204">
        <v>557</v>
      </c>
      <c r="H85" s="203">
        <v>6261</v>
      </c>
      <c r="J85" s="210">
        <v>76097</v>
      </c>
      <c r="K85" s="203">
        <f t="shared" si="3"/>
        <v>82358</v>
      </c>
      <c r="L85" s="203">
        <v>1306</v>
      </c>
    </row>
    <row r="86" spans="1:13" s="196" customFormat="1">
      <c r="A86" s="209" t="s">
        <v>25</v>
      </c>
      <c r="D86" s="202">
        <v>100</v>
      </c>
      <c r="E86" s="203">
        <v>1.99</v>
      </c>
      <c r="F86" s="203">
        <v>0.75</v>
      </c>
      <c r="G86" s="204">
        <v>1079</v>
      </c>
      <c r="H86" s="203">
        <v>2147</v>
      </c>
      <c r="J86" s="210">
        <v>20388</v>
      </c>
      <c r="K86" s="203">
        <f t="shared" si="3"/>
        <v>22535</v>
      </c>
    </row>
    <row r="87" spans="1:13" s="196" customFormat="1">
      <c r="A87" s="196" t="s">
        <v>298</v>
      </c>
      <c r="D87" s="202">
        <v>67</v>
      </c>
      <c r="E87" s="203">
        <v>0.69</v>
      </c>
      <c r="F87" s="203">
        <v>0.18</v>
      </c>
      <c r="G87" s="204">
        <v>1162</v>
      </c>
      <c r="H87" s="203">
        <v>802</v>
      </c>
      <c r="J87" s="211">
        <v>1604</v>
      </c>
      <c r="K87" s="203">
        <f t="shared" si="3"/>
        <v>2406</v>
      </c>
    </row>
    <row r="88" spans="1:13" s="196" customFormat="1">
      <c r="A88" s="196" t="s">
        <v>299</v>
      </c>
      <c r="D88" s="202">
        <v>70</v>
      </c>
      <c r="E88" s="203">
        <v>9.56</v>
      </c>
      <c r="F88" s="203">
        <v>0.44</v>
      </c>
      <c r="G88" s="204">
        <v>502</v>
      </c>
      <c r="H88" s="203">
        <v>4799</v>
      </c>
      <c r="J88" s="203"/>
      <c r="K88" s="203">
        <f t="shared" si="3"/>
        <v>4799</v>
      </c>
    </row>
    <row r="89" spans="1:13" s="196" customFormat="1">
      <c r="A89" s="196" t="s">
        <v>33</v>
      </c>
      <c r="D89" s="202">
        <v>83</v>
      </c>
      <c r="E89" s="203">
        <v>0.71</v>
      </c>
      <c r="F89" s="203">
        <v>0.23</v>
      </c>
      <c r="G89" s="204">
        <v>1098</v>
      </c>
      <c r="H89" s="203">
        <v>780</v>
      </c>
      <c r="J89" s="203">
        <v>2900</v>
      </c>
      <c r="K89" s="203">
        <f t="shared" si="3"/>
        <v>3680</v>
      </c>
      <c r="M89" s="193"/>
    </row>
    <row r="90" spans="1:13" s="196" customFormat="1">
      <c r="A90" s="196" t="s">
        <v>300</v>
      </c>
      <c r="D90" s="202">
        <v>100</v>
      </c>
      <c r="E90" s="203">
        <v>24.34</v>
      </c>
      <c r="F90" s="203">
        <v>11.25</v>
      </c>
      <c r="G90" s="204">
        <v>1099</v>
      </c>
      <c r="H90" s="203">
        <v>26750</v>
      </c>
      <c r="I90" s="203">
        <v>9074</v>
      </c>
      <c r="J90" s="212">
        <v>0</v>
      </c>
      <c r="K90" s="203">
        <f t="shared" si="3"/>
        <v>35824</v>
      </c>
    </row>
    <row r="91" spans="1:13" s="196" customFormat="1">
      <c r="A91" s="196" t="s">
        <v>108</v>
      </c>
      <c r="D91" s="202">
        <v>100</v>
      </c>
      <c r="E91" s="203">
        <v>12.82</v>
      </c>
      <c r="F91" s="203">
        <v>0.7</v>
      </c>
      <c r="G91" s="204">
        <v>539</v>
      </c>
      <c r="H91" s="203">
        <v>6910</v>
      </c>
      <c r="J91" s="203"/>
      <c r="K91" s="203">
        <f t="shared" si="3"/>
        <v>6910</v>
      </c>
    </row>
    <row r="92" spans="1:13" s="196" customFormat="1">
      <c r="A92" s="196" t="s">
        <v>109</v>
      </c>
      <c r="D92" s="202">
        <v>100</v>
      </c>
      <c r="E92" s="203">
        <v>15.14</v>
      </c>
      <c r="F92" s="203">
        <v>0</v>
      </c>
      <c r="G92" s="204">
        <v>1000</v>
      </c>
      <c r="H92" s="203">
        <f t="shared" si="2"/>
        <v>15140</v>
      </c>
      <c r="J92" s="203">
        <v>0</v>
      </c>
      <c r="K92" s="203">
        <f t="shared" si="3"/>
        <v>15140</v>
      </c>
    </row>
    <row r="93" spans="1:13" s="196" customFormat="1">
      <c r="A93" s="196" t="s">
        <v>303</v>
      </c>
      <c r="D93" s="202">
        <v>57</v>
      </c>
      <c r="E93" s="203"/>
      <c r="F93" s="203"/>
      <c r="G93" s="204" t="s">
        <v>149</v>
      </c>
      <c r="H93" s="203">
        <v>0</v>
      </c>
      <c r="J93" s="203">
        <v>2340</v>
      </c>
      <c r="K93" s="203">
        <f t="shared" si="3"/>
        <v>2340</v>
      </c>
    </row>
    <row r="94" spans="1:13" s="196" customFormat="1">
      <c r="A94" s="196" t="s">
        <v>91</v>
      </c>
      <c r="D94" s="202">
        <v>83</v>
      </c>
      <c r="E94" s="203"/>
      <c r="F94" s="203"/>
      <c r="G94" s="204"/>
      <c r="H94" s="203">
        <f t="shared" ref="H94" si="4">SUM(E94*G94)</f>
        <v>0</v>
      </c>
      <c r="I94" s="203">
        <v>2077</v>
      </c>
      <c r="J94" s="203"/>
      <c r="K94" s="203">
        <f t="shared" si="3"/>
        <v>2077</v>
      </c>
    </row>
    <row r="95" spans="1:13" s="196" customFormat="1">
      <c r="A95" s="213" t="s">
        <v>37</v>
      </c>
      <c r="B95" s="193"/>
      <c r="C95" s="193"/>
      <c r="D95" s="214"/>
      <c r="E95" s="215">
        <f>SUM(E82:E94)</f>
        <v>84.070000000000007</v>
      </c>
      <c r="F95" s="215">
        <f>SUM(F82:F94)</f>
        <v>15.469999999999999</v>
      </c>
      <c r="G95" s="215"/>
      <c r="H95" s="215">
        <f>SUM(H82:H94)</f>
        <v>68654</v>
      </c>
      <c r="I95" s="215">
        <f>SUM(I82:I94)</f>
        <v>14445</v>
      </c>
      <c r="J95" s="215">
        <f>SUM(J82:J94)</f>
        <v>103329</v>
      </c>
      <c r="K95" s="215">
        <f>SUM(H95:J95)</f>
        <v>186428</v>
      </c>
      <c r="L95" s="215">
        <f>SUM(L82:L94)</f>
        <v>1306</v>
      </c>
    </row>
    <row r="96" spans="1:13" s="196" customFormat="1">
      <c r="A96" s="216" t="s">
        <v>38</v>
      </c>
      <c r="B96" s="200"/>
      <c r="C96" s="200"/>
      <c r="D96" s="217"/>
      <c r="E96" s="218">
        <f>SUM(E95-F95)</f>
        <v>68.600000000000009</v>
      </c>
      <c r="F96" s="218"/>
      <c r="G96" s="218"/>
      <c r="H96" s="218">
        <f>SUM(E104*G104)</f>
        <v>56373</v>
      </c>
      <c r="I96" s="218">
        <f>I95-L95</f>
        <v>13139</v>
      </c>
      <c r="J96" s="218">
        <f>J95-M95</f>
        <v>103329</v>
      </c>
      <c r="K96" s="218">
        <f>SUM(H96:J96)</f>
        <v>172841</v>
      </c>
      <c r="L96" s="200"/>
    </row>
    <row r="97" spans="1:11" s="196" customFormat="1"/>
    <row r="98" spans="1:11" s="196" customFormat="1">
      <c r="C98" s="196" t="s">
        <v>39</v>
      </c>
    </row>
    <row r="99" spans="1:11" s="196" customFormat="1">
      <c r="A99" s="196" t="s">
        <v>40</v>
      </c>
      <c r="I99" s="196" t="s">
        <v>59</v>
      </c>
      <c r="J99" s="196">
        <v>1.94</v>
      </c>
    </row>
    <row r="100" spans="1:11" s="196" customFormat="1">
      <c r="A100" s="219" t="s">
        <v>41</v>
      </c>
      <c r="B100" s="219"/>
      <c r="C100" s="219"/>
      <c r="D100" s="219" t="s">
        <v>42</v>
      </c>
      <c r="E100" s="219" t="s">
        <v>43</v>
      </c>
      <c r="F100" s="219"/>
      <c r="G100" s="219" t="s">
        <v>44</v>
      </c>
      <c r="I100" s="196" t="s">
        <v>60</v>
      </c>
      <c r="J100" s="196">
        <v>1</v>
      </c>
    </row>
    <row r="101" spans="1:11" s="196" customFormat="1">
      <c r="A101" s="196" t="s">
        <v>45</v>
      </c>
      <c r="I101" s="196" t="s">
        <v>48</v>
      </c>
      <c r="J101" s="196" t="s">
        <v>305</v>
      </c>
      <c r="K101" s="220">
        <v>0.83</v>
      </c>
    </row>
    <row r="102" spans="1:11" s="196" customFormat="1">
      <c r="A102" s="209" t="s">
        <v>221</v>
      </c>
      <c r="D102" s="196" t="s">
        <v>304</v>
      </c>
      <c r="E102" s="196">
        <v>549</v>
      </c>
      <c r="G102" s="205">
        <v>139</v>
      </c>
      <c r="J102" s="196" t="s">
        <v>306</v>
      </c>
      <c r="K102" s="220">
        <v>0.1</v>
      </c>
    </row>
    <row r="103" spans="1:11" s="196" customFormat="1">
      <c r="A103" s="196" t="s">
        <v>54</v>
      </c>
      <c r="J103" s="196" t="s">
        <v>307</v>
      </c>
      <c r="K103" s="220">
        <v>7.0000000000000007E-2</v>
      </c>
    </row>
    <row r="104" spans="1:11" s="196" customFormat="1">
      <c r="A104" s="196" t="s">
        <v>56</v>
      </c>
      <c r="D104" s="196" t="s">
        <v>57</v>
      </c>
      <c r="E104" s="196">
        <v>69</v>
      </c>
      <c r="G104" s="203">
        <v>817</v>
      </c>
      <c r="K104" s="220"/>
    </row>
    <row r="105" spans="1:11" s="196" customFormat="1">
      <c r="A105" s="196" t="s">
        <v>58</v>
      </c>
      <c r="D105" s="196" t="s">
        <v>57</v>
      </c>
      <c r="E105" s="196">
        <v>15</v>
      </c>
    </row>
    <row r="106" spans="1:11" s="196" customFormat="1">
      <c r="A106" s="196" t="s">
        <v>2</v>
      </c>
      <c r="E106" s="196">
        <f>SUM(E104:E105)</f>
        <v>84</v>
      </c>
    </row>
    <row r="107" spans="1:11" s="196" customFormat="1">
      <c r="A107" s="193" t="s">
        <v>61</v>
      </c>
      <c r="B107" s="193"/>
      <c r="C107" s="193" t="s">
        <v>62</v>
      </c>
      <c r="D107" s="193"/>
      <c r="E107" s="193"/>
      <c r="F107" s="193"/>
      <c r="G107" s="193"/>
    </row>
    <row r="108" spans="1:11" s="196" customFormat="1">
      <c r="A108" s="221" t="s">
        <v>96</v>
      </c>
      <c r="B108" s="222" t="s">
        <v>129</v>
      </c>
      <c r="C108" s="223">
        <v>73</v>
      </c>
      <c r="D108" s="221" t="s">
        <v>47</v>
      </c>
      <c r="E108" s="197">
        <v>66</v>
      </c>
      <c r="F108" s="197"/>
      <c r="G108" s="224">
        <v>26</v>
      </c>
    </row>
    <row r="109" spans="1:11" s="196" customFormat="1">
      <c r="A109" s="221"/>
      <c r="B109" s="222" t="s">
        <v>63</v>
      </c>
      <c r="C109" s="223">
        <v>80</v>
      </c>
      <c r="D109" s="221" t="s">
        <v>47</v>
      </c>
      <c r="E109" s="197">
        <v>53</v>
      </c>
      <c r="F109" s="197"/>
      <c r="G109" s="224">
        <v>24</v>
      </c>
    </row>
    <row r="110" spans="1:11" s="196" customFormat="1">
      <c r="A110" s="221"/>
      <c r="B110" s="222" t="s">
        <v>308</v>
      </c>
      <c r="C110" s="223">
        <v>64</v>
      </c>
      <c r="D110" s="221" t="s">
        <v>318</v>
      </c>
      <c r="E110" s="197">
        <v>86</v>
      </c>
      <c r="F110" s="197"/>
      <c r="G110" s="224">
        <v>154</v>
      </c>
    </row>
    <row r="111" spans="1:11" s="196" customFormat="1">
      <c r="A111" s="209" t="s">
        <v>311</v>
      </c>
      <c r="B111" s="222" t="s">
        <v>312</v>
      </c>
      <c r="C111" s="223">
        <v>93</v>
      </c>
      <c r="D111" s="221" t="s">
        <v>47</v>
      </c>
      <c r="E111" s="197">
        <v>100</v>
      </c>
      <c r="F111" s="197"/>
      <c r="G111" s="224">
        <v>26</v>
      </c>
    </row>
    <row r="112" spans="1:11" s="196" customFormat="1">
      <c r="A112" s="221"/>
      <c r="B112" s="222" t="s">
        <v>319</v>
      </c>
      <c r="C112" s="223">
        <v>40</v>
      </c>
      <c r="D112" s="221" t="s">
        <v>47</v>
      </c>
      <c r="E112" s="197">
        <v>59</v>
      </c>
      <c r="F112" s="197"/>
      <c r="G112" s="224">
        <v>26</v>
      </c>
    </row>
    <row r="113" spans="1:8" s="196" customFormat="1">
      <c r="A113" s="213" t="s">
        <v>66</v>
      </c>
      <c r="B113" s="193"/>
      <c r="C113" s="193"/>
      <c r="D113" s="193"/>
      <c r="E113" s="193"/>
      <c r="F113" s="193"/>
      <c r="G113" s="230" t="s">
        <v>206</v>
      </c>
      <c r="H113" s="231" t="s">
        <v>99</v>
      </c>
    </row>
    <row r="114" spans="1:8" s="196" customFormat="1">
      <c r="A114" s="221" t="s">
        <v>68</v>
      </c>
      <c r="B114" s="197"/>
      <c r="C114" s="197"/>
      <c r="D114" s="197"/>
      <c r="E114" s="197"/>
      <c r="F114" s="197"/>
      <c r="G114" s="232">
        <v>4463</v>
      </c>
      <c r="H114" s="203">
        <f>G114*2.471</f>
        <v>11028.073</v>
      </c>
    </row>
    <row r="115" spans="1:8" s="196" customFormat="1">
      <c r="A115" s="221" t="s">
        <v>69</v>
      </c>
      <c r="B115" s="197"/>
      <c r="C115" s="197"/>
      <c r="D115" s="197"/>
      <c r="E115" s="197"/>
      <c r="F115" s="197"/>
      <c r="G115" s="233">
        <v>83</v>
      </c>
      <c r="H115" s="203"/>
    </row>
    <row r="116" spans="1:8" s="196" customFormat="1">
      <c r="A116" s="221" t="s">
        <v>70</v>
      </c>
      <c r="B116" s="197"/>
      <c r="C116" s="197"/>
      <c r="D116" s="197"/>
      <c r="E116" s="197"/>
      <c r="F116" s="197"/>
      <c r="G116" s="233">
        <f>SUM(G114*G115)</f>
        <v>370429</v>
      </c>
      <c r="H116" s="203">
        <f>G116*2.471</f>
        <v>915330.05900000001</v>
      </c>
    </row>
    <row r="117" spans="1:8" s="196" customFormat="1">
      <c r="A117" s="221" t="s">
        <v>71</v>
      </c>
      <c r="B117" s="197"/>
      <c r="C117" s="197"/>
      <c r="D117" s="197"/>
      <c r="E117" s="197"/>
      <c r="F117" s="197"/>
      <c r="G117" s="233">
        <f>SUM(G116-K95)</f>
        <v>184001</v>
      </c>
      <c r="H117" s="203">
        <f>G117*2.471</f>
        <v>454666.47100000002</v>
      </c>
    </row>
    <row r="118" spans="1:8" s="196" customFormat="1">
      <c r="A118" s="221" t="s">
        <v>72</v>
      </c>
      <c r="B118" s="197"/>
      <c r="C118" s="197"/>
      <c r="D118" s="197"/>
      <c r="E118" s="197"/>
      <c r="F118" s="197"/>
      <c r="G118" s="233">
        <f>SUM(G116-K96)</f>
        <v>197588</v>
      </c>
      <c r="H118" s="203">
        <f>G118*2.471</f>
        <v>488239.94800000003</v>
      </c>
    </row>
    <row r="119" spans="1:8" s="196" customFormat="1">
      <c r="A119" s="221" t="s">
        <v>73</v>
      </c>
      <c r="B119" s="197"/>
      <c r="C119" s="197"/>
      <c r="D119" s="197"/>
      <c r="E119" s="197"/>
      <c r="F119" s="197"/>
      <c r="G119" s="233">
        <f>SUM(K95/G114)</f>
        <v>41.771902307864664</v>
      </c>
    </row>
    <row r="120" spans="1:8" s="196" customFormat="1">
      <c r="A120" s="216" t="s">
        <v>74</v>
      </c>
      <c r="B120" s="200"/>
      <c r="C120" s="200"/>
      <c r="D120" s="200"/>
      <c r="E120" s="200"/>
      <c r="F120" s="200"/>
      <c r="G120" s="234">
        <f>SUM(K96/G114)</f>
        <v>38.727537530808874</v>
      </c>
    </row>
    <row r="121" spans="1:8" s="196" customFormat="1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workbookViewId="0">
      <selection activeCell="A3" sqref="A3:B3"/>
    </sheetView>
  </sheetViews>
  <sheetFormatPr defaultRowHeight="15"/>
  <sheetData>
    <row r="1" spans="1:16">
      <c r="A1" s="1" t="s">
        <v>320</v>
      </c>
    </row>
    <row r="2" spans="1:16">
      <c r="A2" s="1" t="s">
        <v>329</v>
      </c>
    </row>
    <row r="3" spans="1:16">
      <c r="A3" s="1" t="s">
        <v>376</v>
      </c>
      <c r="B3" s="2"/>
    </row>
    <row r="4" spans="1:16">
      <c r="A4" s="1" t="s">
        <v>330</v>
      </c>
    </row>
    <row r="5" spans="1:16" s="94" customFormat="1" ht="12.75">
      <c r="A5" s="91" t="s">
        <v>0</v>
      </c>
      <c r="B5" s="91"/>
      <c r="C5" s="91"/>
      <c r="D5" s="92" t="s">
        <v>1</v>
      </c>
      <c r="E5" s="92" t="s">
        <v>2</v>
      </c>
      <c r="F5" s="92" t="s">
        <v>3</v>
      </c>
      <c r="G5" s="92" t="s">
        <v>4</v>
      </c>
      <c r="H5" s="92" t="s">
        <v>5</v>
      </c>
      <c r="I5" s="92" t="s">
        <v>6</v>
      </c>
      <c r="J5" s="92" t="s">
        <v>7</v>
      </c>
      <c r="K5" s="92" t="s">
        <v>8</v>
      </c>
      <c r="L5" s="93" t="s">
        <v>9</v>
      </c>
      <c r="M5" s="92"/>
    </row>
    <row r="6" spans="1:16" s="94" customFormat="1" ht="12.75">
      <c r="A6" s="95"/>
      <c r="B6" s="95"/>
      <c r="C6" s="95"/>
      <c r="D6" s="96" t="s">
        <v>10</v>
      </c>
      <c r="E6" s="96" t="s">
        <v>11</v>
      </c>
      <c r="F6" s="96" t="s">
        <v>11</v>
      </c>
      <c r="G6" s="96" t="s">
        <v>12</v>
      </c>
      <c r="H6" s="96" t="s">
        <v>13</v>
      </c>
      <c r="I6" s="96" t="s">
        <v>14</v>
      </c>
      <c r="J6" s="96" t="s">
        <v>13</v>
      </c>
      <c r="K6" s="96" t="s">
        <v>13</v>
      </c>
      <c r="L6" s="96" t="s">
        <v>6</v>
      </c>
      <c r="M6" s="96" t="s">
        <v>7</v>
      </c>
    </row>
    <row r="7" spans="1:16" s="94" customFormat="1" ht="12.75">
      <c r="A7" s="95"/>
      <c r="B7" s="95"/>
      <c r="C7" s="95"/>
      <c r="D7" s="96" t="s">
        <v>15</v>
      </c>
      <c r="E7" s="96"/>
      <c r="F7" s="96"/>
      <c r="G7" s="96"/>
      <c r="H7" s="96" t="s">
        <v>16</v>
      </c>
      <c r="I7" s="96" t="s">
        <v>13</v>
      </c>
      <c r="J7" s="96" t="s">
        <v>16</v>
      </c>
      <c r="K7" s="96" t="s">
        <v>16</v>
      </c>
      <c r="L7" s="96"/>
      <c r="M7" s="96"/>
    </row>
    <row r="8" spans="1:16" s="94" customFormat="1" ht="12.75">
      <c r="A8" s="97"/>
      <c r="B8" s="97"/>
      <c r="C8" s="97"/>
      <c r="D8" s="98"/>
      <c r="E8" s="98"/>
      <c r="F8" s="98"/>
      <c r="G8" s="98"/>
      <c r="H8" s="98"/>
      <c r="I8" s="98" t="s">
        <v>16</v>
      </c>
      <c r="J8" s="98"/>
      <c r="K8" s="98"/>
      <c r="L8" s="98"/>
      <c r="M8" s="98"/>
    </row>
    <row r="9" spans="1:16" s="68" customFormat="1" ht="12.75">
      <c r="A9" s="68" t="s">
        <v>125</v>
      </c>
      <c r="D9" s="71">
        <v>100</v>
      </c>
      <c r="E9" s="72">
        <v>0.5</v>
      </c>
      <c r="F9" s="72">
        <v>0.5</v>
      </c>
      <c r="G9" s="73">
        <v>1000</v>
      </c>
      <c r="H9" s="72">
        <f t="shared" ref="H9:H20" si="0">SUM(E9*G9)</f>
        <v>500</v>
      </c>
      <c r="I9" s="170">
        <v>7453</v>
      </c>
      <c r="J9" s="72"/>
      <c r="K9" s="72">
        <f t="shared" ref="K9:K20" si="1">SUM(H9:J9)</f>
        <v>7953</v>
      </c>
      <c r="L9" s="72"/>
      <c r="M9" s="72"/>
      <c r="N9" s="169"/>
      <c r="O9" s="169"/>
      <c r="P9" s="170"/>
    </row>
    <row r="10" spans="1:16" s="68" customFormat="1" ht="12.75">
      <c r="A10" s="169" t="s">
        <v>219</v>
      </c>
      <c r="D10" s="71">
        <v>100</v>
      </c>
      <c r="E10" s="72">
        <v>10.199999999999999</v>
      </c>
      <c r="F10" s="72">
        <v>2.12</v>
      </c>
      <c r="G10" s="73">
        <v>1000</v>
      </c>
      <c r="H10" s="72">
        <f t="shared" si="0"/>
        <v>10200</v>
      </c>
      <c r="I10" s="72"/>
      <c r="J10" s="72"/>
      <c r="K10" s="72">
        <f t="shared" si="1"/>
        <v>10200</v>
      </c>
      <c r="L10" s="72"/>
      <c r="M10" s="72"/>
      <c r="N10" s="169"/>
      <c r="O10" s="169"/>
      <c r="P10" s="170"/>
    </row>
    <row r="11" spans="1:16" s="68" customFormat="1" ht="12.75">
      <c r="A11" s="169" t="s">
        <v>323</v>
      </c>
      <c r="D11" s="74">
        <v>100</v>
      </c>
      <c r="E11" s="72">
        <v>3.9</v>
      </c>
      <c r="F11" s="72">
        <v>1.67</v>
      </c>
      <c r="G11" s="73">
        <v>700</v>
      </c>
      <c r="H11" s="72">
        <f t="shared" si="0"/>
        <v>2730</v>
      </c>
      <c r="I11" s="72"/>
      <c r="J11" s="72"/>
      <c r="K11" s="72">
        <f t="shared" si="1"/>
        <v>2730</v>
      </c>
      <c r="L11" s="72"/>
      <c r="M11" s="72"/>
      <c r="N11" s="169"/>
      <c r="O11" s="169"/>
      <c r="P11" s="170"/>
    </row>
    <row r="12" spans="1:16" s="68" customFormat="1" ht="12.75">
      <c r="A12" s="169" t="s">
        <v>324</v>
      </c>
      <c r="D12" s="74">
        <v>100</v>
      </c>
      <c r="E12" s="72">
        <v>12.59</v>
      </c>
      <c r="F12" s="72">
        <v>1.47</v>
      </c>
      <c r="G12" s="73">
        <v>650</v>
      </c>
      <c r="H12" s="72">
        <v>8184</v>
      </c>
      <c r="I12" s="72"/>
      <c r="J12" s="72">
        <f>SUM(E29*G29)</f>
        <v>78546</v>
      </c>
      <c r="K12" s="72">
        <f>SUM(H12:J12)</f>
        <v>86730</v>
      </c>
      <c r="L12" s="72"/>
      <c r="M12" s="72"/>
      <c r="N12" s="169"/>
      <c r="O12" s="169"/>
      <c r="P12" s="170"/>
    </row>
    <row r="13" spans="1:16" s="68" customFormat="1" ht="12.75">
      <c r="A13" s="68" t="s">
        <v>143</v>
      </c>
      <c r="D13" s="71">
        <v>100</v>
      </c>
      <c r="E13" s="72">
        <v>4.42</v>
      </c>
      <c r="F13" s="72">
        <v>3</v>
      </c>
      <c r="G13" s="73">
        <v>1000</v>
      </c>
      <c r="H13" s="72">
        <f t="shared" si="0"/>
        <v>4420</v>
      </c>
      <c r="I13" s="72"/>
      <c r="J13" s="72">
        <v>18841</v>
      </c>
      <c r="K13" s="72">
        <f t="shared" si="1"/>
        <v>23261</v>
      </c>
      <c r="L13" s="72"/>
      <c r="M13" s="72"/>
    </row>
    <row r="14" spans="1:16" s="68" customFormat="1" ht="12.75">
      <c r="A14" s="68" t="s">
        <v>26</v>
      </c>
      <c r="D14" s="71">
        <v>88</v>
      </c>
      <c r="E14" s="72">
        <v>1</v>
      </c>
      <c r="F14" s="72">
        <v>0.48</v>
      </c>
      <c r="G14" s="73">
        <v>1200</v>
      </c>
      <c r="H14" s="72">
        <f t="shared" si="0"/>
        <v>1200</v>
      </c>
      <c r="I14" s="72"/>
      <c r="J14" s="72">
        <v>1950</v>
      </c>
      <c r="K14" s="72">
        <f t="shared" si="1"/>
        <v>3150</v>
      </c>
      <c r="L14" s="72"/>
      <c r="M14" s="72"/>
    </row>
    <row r="15" spans="1:16" s="68" customFormat="1" ht="12.75">
      <c r="A15" s="169" t="s">
        <v>325</v>
      </c>
      <c r="D15" s="74">
        <v>100</v>
      </c>
      <c r="E15" s="72">
        <v>10.11</v>
      </c>
      <c r="F15" s="72">
        <v>1.48</v>
      </c>
      <c r="G15" s="73">
        <v>650</v>
      </c>
      <c r="H15" s="72">
        <v>6572</v>
      </c>
      <c r="I15" s="72"/>
      <c r="J15" s="72"/>
      <c r="K15" s="72">
        <f t="shared" si="1"/>
        <v>6572</v>
      </c>
      <c r="L15" s="72"/>
      <c r="M15" s="72"/>
    </row>
    <row r="16" spans="1:16" s="68" customFormat="1" ht="12.75">
      <c r="A16" s="68" t="s">
        <v>106</v>
      </c>
      <c r="D16" s="71">
        <v>100</v>
      </c>
      <c r="E16" s="72">
        <v>2.4900000000000002</v>
      </c>
      <c r="F16" s="72">
        <v>1.88</v>
      </c>
      <c r="G16" s="73">
        <v>1200</v>
      </c>
      <c r="H16" s="72">
        <f t="shared" si="0"/>
        <v>2988.0000000000005</v>
      </c>
      <c r="I16" s="72"/>
      <c r="J16" s="72">
        <v>5537</v>
      </c>
      <c r="K16" s="72">
        <f t="shared" si="1"/>
        <v>8525</v>
      </c>
      <c r="L16" s="72"/>
      <c r="M16" s="72"/>
    </row>
    <row r="17" spans="1:13" s="68" customFormat="1" ht="12.75">
      <c r="A17" s="68" t="s">
        <v>107</v>
      </c>
      <c r="D17" s="71">
        <v>100</v>
      </c>
      <c r="E17" s="72">
        <v>19.87</v>
      </c>
      <c r="F17" s="72">
        <v>16.79</v>
      </c>
      <c r="G17" s="73">
        <v>1200</v>
      </c>
      <c r="H17" s="72">
        <f t="shared" si="0"/>
        <v>23844</v>
      </c>
      <c r="I17" s="170">
        <v>11385</v>
      </c>
      <c r="J17" s="72"/>
      <c r="K17" s="72">
        <f t="shared" si="1"/>
        <v>35229</v>
      </c>
      <c r="L17" s="72"/>
      <c r="M17" s="72"/>
    </row>
    <row r="18" spans="1:13" s="68" customFormat="1" ht="12.75">
      <c r="A18" s="169" t="s">
        <v>287</v>
      </c>
      <c r="D18" s="71">
        <v>100</v>
      </c>
      <c r="E18" s="72">
        <v>13.07</v>
      </c>
      <c r="F18" s="72">
        <v>2.2599999999999998</v>
      </c>
      <c r="G18" s="73">
        <v>650</v>
      </c>
      <c r="H18" s="72">
        <v>8496</v>
      </c>
      <c r="I18" s="72"/>
      <c r="J18" s="72"/>
      <c r="K18" s="72">
        <f t="shared" si="1"/>
        <v>8496</v>
      </c>
      <c r="L18" s="72"/>
      <c r="M18" s="72"/>
    </row>
    <row r="19" spans="1:13" s="68" customFormat="1" ht="12.75">
      <c r="A19" s="169" t="s">
        <v>326</v>
      </c>
      <c r="D19" s="74">
        <v>100</v>
      </c>
      <c r="E19" s="72">
        <v>12.13</v>
      </c>
      <c r="F19" s="72">
        <v>0.26</v>
      </c>
      <c r="G19" s="73">
        <v>650</v>
      </c>
      <c r="H19" s="72">
        <v>7885</v>
      </c>
      <c r="I19" s="72"/>
      <c r="J19" s="72"/>
      <c r="K19" s="72">
        <f t="shared" si="1"/>
        <v>7885</v>
      </c>
      <c r="L19" s="72"/>
      <c r="M19" s="72"/>
    </row>
    <row r="20" spans="1:13" s="68" customFormat="1" ht="12.75">
      <c r="A20" s="68" t="s">
        <v>36</v>
      </c>
      <c r="D20" s="71">
        <v>74</v>
      </c>
      <c r="E20" s="72">
        <v>0.63</v>
      </c>
      <c r="F20" s="72">
        <v>0.63</v>
      </c>
      <c r="G20" s="73">
        <v>1000</v>
      </c>
      <c r="H20" s="72">
        <f t="shared" si="0"/>
        <v>630</v>
      </c>
      <c r="I20" s="72">
        <v>1463</v>
      </c>
      <c r="J20" s="72"/>
      <c r="K20" s="72">
        <f t="shared" si="1"/>
        <v>2093</v>
      </c>
      <c r="L20" s="72"/>
      <c r="M20" s="72"/>
    </row>
    <row r="21" spans="1:13" s="68" customFormat="1" ht="12.75">
      <c r="A21" s="67" t="s">
        <v>110</v>
      </c>
      <c r="B21" s="67"/>
      <c r="C21" s="67"/>
      <c r="D21" s="75"/>
      <c r="E21" s="76">
        <f>SUM(E9:E20)</f>
        <v>90.91</v>
      </c>
      <c r="F21" s="76">
        <f>SUM(F9:F20)</f>
        <v>32.54</v>
      </c>
      <c r="G21" s="76"/>
      <c r="H21" s="76">
        <f>SUM(H9:H20)</f>
        <v>77649</v>
      </c>
      <c r="I21" s="76">
        <f>SUM(I9:I20)</f>
        <v>20301</v>
      </c>
      <c r="J21" s="76">
        <f>SUM(J9:J20)</f>
        <v>104874</v>
      </c>
      <c r="K21" s="76">
        <f>SUM(H21:J21)</f>
        <v>202824</v>
      </c>
      <c r="L21" s="76">
        <f>SUM(L9:L20)</f>
        <v>0</v>
      </c>
      <c r="M21" s="76">
        <f>SUM(M9:M20)</f>
        <v>0</v>
      </c>
    </row>
    <row r="22" spans="1:13" s="68" customFormat="1" ht="12.75">
      <c r="A22" s="70" t="s">
        <v>111</v>
      </c>
      <c r="B22" s="70"/>
      <c r="C22" s="70"/>
      <c r="D22" s="77"/>
      <c r="E22" s="78">
        <f>SUM(E21-F21)</f>
        <v>58.37</v>
      </c>
      <c r="F22" s="78"/>
      <c r="G22" s="78"/>
      <c r="H22" s="78">
        <f>SUM(E33*G33)</f>
        <v>49474</v>
      </c>
      <c r="I22" s="78">
        <f>I21-L21</f>
        <v>20301</v>
      </c>
      <c r="J22" s="78">
        <f>J21-M21</f>
        <v>104874</v>
      </c>
      <c r="K22" s="78">
        <f>SUM(H22:J22)</f>
        <v>174649</v>
      </c>
      <c r="L22" s="70"/>
      <c r="M22" s="70"/>
    </row>
    <row r="23" spans="1:13" s="68" customFormat="1" ht="12.75"/>
    <row r="24" spans="1:13" s="68" customFormat="1" ht="12.75">
      <c r="C24" s="68" t="s">
        <v>39</v>
      </c>
    </row>
    <row r="25" spans="1:13" s="68" customFormat="1" ht="12.75"/>
    <row r="26" spans="1:13" s="68" customFormat="1" ht="12.75">
      <c r="A26" s="68" t="s">
        <v>40</v>
      </c>
    </row>
    <row r="27" spans="1:13" s="68" customFormat="1" ht="12.75">
      <c r="A27" s="79" t="s">
        <v>41</v>
      </c>
      <c r="B27" s="79"/>
      <c r="C27" s="79"/>
      <c r="D27" s="79" t="s">
        <v>42</v>
      </c>
      <c r="E27" s="79" t="s">
        <v>43</v>
      </c>
      <c r="F27" s="79"/>
      <c r="G27" s="79" t="s">
        <v>44</v>
      </c>
    </row>
    <row r="28" spans="1:13" s="68" customFormat="1" ht="12.75">
      <c r="A28" s="68" t="s">
        <v>45</v>
      </c>
      <c r="J28" s="245" t="s">
        <v>48</v>
      </c>
      <c r="K28" s="246" t="s">
        <v>49</v>
      </c>
    </row>
    <row r="29" spans="1:13" s="68" customFormat="1" ht="12.75">
      <c r="A29" s="68" t="s">
        <v>223</v>
      </c>
      <c r="D29" s="68" t="s">
        <v>47</v>
      </c>
      <c r="E29" s="72">
        <v>689</v>
      </c>
      <c r="G29" s="72">
        <v>114</v>
      </c>
      <c r="J29" s="247" t="s">
        <v>327</v>
      </c>
      <c r="K29" s="248">
        <v>100</v>
      </c>
    </row>
    <row r="30" spans="1:13" s="68" customFormat="1" ht="12.75">
      <c r="J30" s="249"/>
      <c r="K30" s="250"/>
    </row>
    <row r="31" spans="1:13" s="68" customFormat="1" ht="12.75">
      <c r="J31" s="249"/>
      <c r="K31" s="250"/>
    </row>
    <row r="32" spans="1:13" s="68" customFormat="1" ht="12.75">
      <c r="A32" s="68" t="s">
        <v>54</v>
      </c>
      <c r="J32" s="251" t="s">
        <v>186</v>
      </c>
      <c r="K32" s="251">
        <v>1.22</v>
      </c>
    </row>
    <row r="33" spans="1:11" s="68" customFormat="1">
      <c r="A33" s="68" t="s">
        <v>56</v>
      </c>
      <c r="D33" s="68" t="s">
        <v>57</v>
      </c>
      <c r="E33" s="72">
        <v>58</v>
      </c>
      <c r="G33" s="170">
        <v>853</v>
      </c>
      <c r="I33" s="83"/>
      <c r="J33" s="251" t="s">
        <v>187</v>
      </c>
      <c r="K33" s="252">
        <v>1</v>
      </c>
    </row>
    <row r="34" spans="1:11" s="68" customFormat="1">
      <c r="A34" s="68" t="s">
        <v>58</v>
      </c>
      <c r="D34" s="68" t="s">
        <v>57</v>
      </c>
      <c r="E34" s="72">
        <v>33</v>
      </c>
      <c r="I34" s="83"/>
      <c r="J34" s="82"/>
      <c r="K34" s="83"/>
    </row>
    <row r="35" spans="1:11" s="68" customFormat="1">
      <c r="A35" s="68" t="s">
        <v>2</v>
      </c>
      <c r="E35" s="72">
        <f>SUM(E33:E34)</f>
        <v>91</v>
      </c>
      <c r="I35" s="83"/>
      <c r="J35" s="82"/>
      <c r="K35" s="83"/>
    </row>
    <row r="36" spans="1:11" s="68" customFormat="1">
      <c r="I36" s="83"/>
      <c r="J36" s="82"/>
      <c r="K36" s="83"/>
    </row>
    <row r="37" spans="1:11" s="68" customFormat="1">
      <c r="A37" s="67" t="s">
        <v>165</v>
      </c>
      <c r="B37" s="67"/>
      <c r="C37" s="67" t="s">
        <v>62</v>
      </c>
      <c r="D37" s="67"/>
      <c r="E37" s="67"/>
      <c r="F37" s="67"/>
      <c r="G37" s="67"/>
      <c r="I37" s="83"/>
      <c r="J37" s="83"/>
    </row>
    <row r="38" spans="1:11" s="68" customFormat="1">
      <c r="A38" s="69" t="s">
        <v>96</v>
      </c>
      <c r="B38" s="69" t="s">
        <v>63</v>
      </c>
      <c r="C38" s="173">
        <v>100</v>
      </c>
      <c r="D38" s="69" t="s">
        <v>47</v>
      </c>
      <c r="E38" s="174">
        <v>73</v>
      </c>
      <c r="F38" s="174"/>
      <c r="G38" s="174">
        <v>24</v>
      </c>
      <c r="I38" s="83"/>
      <c r="J38" s="83"/>
    </row>
    <row r="39" spans="1:11" s="68" customFormat="1">
      <c r="A39" s="69"/>
      <c r="B39" s="69" t="s">
        <v>130</v>
      </c>
      <c r="C39" s="173">
        <v>100</v>
      </c>
      <c r="D39" s="69" t="s">
        <v>47</v>
      </c>
      <c r="E39" s="186">
        <v>49</v>
      </c>
      <c r="F39" s="174"/>
      <c r="G39" s="186">
        <v>26</v>
      </c>
      <c r="I39" s="83"/>
      <c r="J39" s="83"/>
    </row>
    <row r="40" spans="1:11" s="68" customFormat="1">
      <c r="A40" s="69"/>
      <c r="B40" s="69" t="s">
        <v>129</v>
      </c>
      <c r="C40" s="173">
        <v>100</v>
      </c>
      <c r="D40" s="69" t="s">
        <v>47</v>
      </c>
      <c r="E40" s="174">
        <v>63</v>
      </c>
      <c r="F40" s="174"/>
      <c r="G40" s="174">
        <v>26</v>
      </c>
      <c r="I40" s="83"/>
      <c r="J40" s="83"/>
    </row>
    <row r="41" spans="1:11" s="68" customFormat="1">
      <c r="A41" s="69"/>
      <c r="B41" s="69" t="s">
        <v>328</v>
      </c>
      <c r="C41" s="173">
        <v>90</v>
      </c>
      <c r="D41" s="69" t="s">
        <v>291</v>
      </c>
      <c r="E41" s="174">
        <v>1.5</v>
      </c>
      <c r="F41" s="174"/>
      <c r="G41" s="174">
        <v>9451</v>
      </c>
      <c r="I41" s="83"/>
      <c r="J41" s="83"/>
    </row>
    <row r="42" spans="1:11" s="68" customFormat="1" ht="12.75">
      <c r="A42" s="70"/>
      <c r="B42" s="69"/>
      <c r="C42" s="187"/>
      <c r="D42" s="70"/>
      <c r="E42" s="78"/>
      <c r="F42" s="78"/>
      <c r="G42" s="78"/>
    </row>
    <row r="43" spans="1:11" s="68" customFormat="1" ht="12.75">
      <c r="A43" s="67" t="s">
        <v>66</v>
      </c>
      <c r="B43" s="67"/>
      <c r="C43" s="67"/>
      <c r="D43" s="67"/>
      <c r="E43" s="67"/>
      <c r="F43" s="67"/>
      <c r="G43" s="67"/>
    </row>
    <row r="44" spans="1:11" s="68" customFormat="1" ht="12.75">
      <c r="A44" s="69" t="s">
        <v>114</v>
      </c>
      <c r="B44" s="69"/>
      <c r="C44" s="69"/>
      <c r="D44" s="69"/>
      <c r="E44" s="69"/>
      <c r="F44" s="69"/>
      <c r="G44" s="86">
        <v>6303</v>
      </c>
      <c r="H44" s="87"/>
      <c r="I44" s="72">
        <v>15575</v>
      </c>
    </row>
    <row r="45" spans="1:11" s="68" customFormat="1" ht="12.75">
      <c r="A45" s="69" t="s">
        <v>69</v>
      </c>
      <c r="B45" s="69"/>
      <c r="C45" s="69"/>
      <c r="D45" s="69"/>
      <c r="E45" s="69"/>
      <c r="F45" s="69"/>
      <c r="G45" s="88">
        <v>90</v>
      </c>
      <c r="I45" s="72"/>
    </row>
    <row r="46" spans="1:11" s="68" customFormat="1" ht="12.75">
      <c r="A46" s="69" t="s">
        <v>115</v>
      </c>
      <c r="B46" s="69"/>
      <c r="C46" s="69"/>
      <c r="D46" s="69"/>
      <c r="E46" s="69"/>
      <c r="F46" s="69"/>
      <c r="G46" s="88">
        <f>SUM(G44*G45)</f>
        <v>567270</v>
      </c>
      <c r="I46" s="72">
        <v>1401724</v>
      </c>
    </row>
    <row r="47" spans="1:11" s="68" customFormat="1" ht="12.75">
      <c r="A47" s="69" t="s">
        <v>116</v>
      </c>
      <c r="B47" s="69"/>
      <c r="C47" s="69"/>
      <c r="D47" s="69"/>
      <c r="E47" s="69"/>
      <c r="F47" s="69"/>
      <c r="G47" s="88">
        <f>SUM(G46-K21)</f>
        <v>364446</v>
      </c>
      <c r="I47" s="72">
        <v>900546</v>
      </c>
    </row>
    <row r="48" spans="1:11" s="68" customFormat="1" ht="12.75">
      <c r="A48" s="69" t="s">
        <v>117</v>
      </c>
      <c r="B48" s="69"/>
      <c r="C48" s="69"/>
      <c r="D48" s="69"/>
      <c r="E48" s="69"/>
      <c r="F48" s="69"/>
      <c r="G48" s="88">
        <f>SUM(G46-K22)</f>
        <v>392621</v>
      </c>
      <c r="I48" s="72">
        <v>970166</v>
      </c>
    </row>
    <row r="49" spans="1:7" s="68" customFormat="1" ht="12.75">
      <c r="A49" s="69"/>
      <c r="B49" s="69"/>
      <c r="C49" s="69"/>
      <c r="D49" s="69"/>
      <c r="E49" s="69"/>
      <c r="F49" s="69"/>
      <c r="G49" s="88"/>
    </row>
    <row r="50" spans="1:7" s="68" customFormat="1" ht="12.75">
      <c r="A50" s="69" t="s">
        <v>118</v>
      </c>
      <c r="B50" s="69"/>
      <c r="C50" s="69"/>
      <c r="D50" s="69"/>
      <c r="E50" s="69"/>
      <c r="F50" s="69"/>
      <c r="G50" s="88">
        <f>SUM(K21/G44)</f>
        <v>32.178962398857685</v>
      </c>
    </row>
    <row r="51" spans="1:7" s="68" customFormat="1" ht="12.75">
      <c r="A51" s="70" t="s">
        <v>119</v>
      </c>
      <c r="B51" s="70"/>
      <c r="C51" s="70"/>
      <c r="D51" s="70"/>
      <c r="E51" s="70"/>
      <c r="F51" s="70"/>
      <c r="G51" s="89">
        <f>SUM(K22/G44)</f>
        <v>27.708868792638427</v>
      </c>
    </row>
    <row r="52" spans="1:7" s="68" customFormat="1" ht="12.75"/>
    <row r="53" spans="1:7" s="68" customFormat="1" ht="13.5">
      <c r="A53" s="90" t="s">
        <v>120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>
      <selection activeCell="A3" sqref="A3:B3"/>
    </sheetView>
  </sheetViews>
  <sheetFormatPr defaultRowHeight="15"/>
  <sheetData>
    <row r="1" spans="1:17">
      <c r="A1" s="1" t="s">
        <v>346</v>
      </c>
    </row>
    <row r="2" spans="1:17">
      <c r="A2" s="1" t="s">
        <v>123</v>
      </c>
    </row>
    <row r="3" spans="1:17">
      <c r="A3" s="1" t="s">
        <v>376</v>
      </c>
      <c r="B3" s="2"/>
    </row>
    <row r="4" spans="1:17">
      <c r="A4" s="1" t="s">
        <v>330</v>
      </c>
    </row>
    <row r="5" spans="1:17" s="94" customFormat="1" ht="12.75">
      <c r="A5" s="91" t="s">
        <v>0</v>
      </c>
      <c r="B5" s="91"/>
      <c r="C5" s="91"/>
      <c r="D5" s="92" t="s">
        <v>1</v>
      </c>
      <c r="E5" s="92" t="s">
        <v>2</v>
      </c>
      <c r="F5" s="92" t="s">
        <v>3</v>
      </c>
      <c r="G5" s="92" t="s">
        <v>4</v>
      </c>
      <c r="H5" s="92" t="s">
        <v>5</v>
      </c>
      <c r="I5" s="92" t="s">
        <v>6</v>
      </c>
      <c r="J5" s="92" t="s">
        <v>7</v>
      </c>
      <c r="K5" s="92" t="s">
        <v>8</v>
      </c>
      <c r="L5" s="93" t="s">
        <v>9</v>
      </c>
      <c r="M5" s="92"/>
    </row>
    <row r="6" spans="1:17" s="94" customFormat="1" ht="12.75">
      <c r="A6" s="95"/>
      <c r="B6" s="95"/>
      <c r="C6" s="95"/>
      <c r="D6" s="96" t="s">
        <v>10</v>
      </c>
      <c r="E6" s="96" t="s">
        <v>11</v>
      </c>
      <c r="F6" s="96" t="s">
        <v>11</v>
      </c>
      <c r="G6" s="96" t="s">
        <v>12</v>
      </c>
      <c r="H6" s="96" t="s">
        <v>13</v>
      </c>
      <c r="I6" s="96" t="s">
        <v>14</v>
      </c>
      <c r="J6" s="96" t="s">
        <v>13</v>
      </c>
      <c r="K6" s="96" t="s">
        <v>13</v>
      </c>
      <c r="L6" s="96" t="s">
        <v>6</v>
      </c>
      <c r="M6" s="96" t="s">
        <v>7</v>
      </c>
    </row>
    <row r="7" spans="1:17" s="94" customFormat="1" ht="12.75">
      <c r="A7" s="95"/>
      <c r="B7" s="95"/>
      <c r="C7" s="95"/>
      <c r="D7" s="96" t="s">
        <v>15</v>
      </c>
      <c r="E7" s="96"/>
      <c r="F7" s="96"/>
      <c r="G7" s="96"/>
      <c r="H7" s="96" t="s">
        <v>16</v>
      </c>
      <c r="I7" s="96" t="s">
        <v>13</v>
      </c>
      <c r="J7" s="96" t="s">
        <v>16</v>
      </c>
      <c r="K7" s="96" t="s">
        <v>16</v>
      </c>
      <c r="L7" s="96"/>
      <c r="M7" s="96"/>
    </row>
    <row r="8" spans="1:17" s="94" customFormat="1" ht="12.75">
      <c r="A8" s="97"/>
      <c r="B8" s="97"/>
      <c r="C8" s="97"/>
      <c r="D8" s="98"/>
      <c r="E8" s="98"/>
      <c r="F8" s="98"/>
      <c r="G8" s="98"/>
      <c r="H8" s="98"/>
      <c r="I8" s="98" t="s">
        <v>16</v>
      </c>
      <c r="J8" s="98"/>
      <c r="K8" s="98"/>
      <c r="L8" s="98"/>
      <c r="M8" s="98"/>
    </row>
    <row r="9" spans="1:17" s="68" customFormat="1" ht="12.75">
      <c r="A9" s="68" t="s">
        <v>331</v>
      </c>
      <c r="D9" s="71">
        <v>40</v>
      </c>
      <c r="E9" s="72">
        <v>0.47</v>
      </c>
      <c r="F9" s="72">
        <v>0.41</v>
      </c>
      <c r="G9" s="73">
        <v>1360</v>
      </c>
      <c r="H9" s="72">
        <v>639</v>
      </c>
      <c r="I9" s="72"/>
      <c r="J9" s="72">
        <v>2643</v>
      </c>
      <c r="K9" s="72">
        <f>SUM(H9:J9)</f>
        <v>3282</v>
      </c>
      <c r="N9" s="169"/>
      <c r="O9" s="169"/>
      <c r="P9" s="169"/>
      <c r="Q9" s="170"/>
    </row>
    <row r="10" spans="1:17" s="68" customFormat="1" ht="12.75">
      <c r="A10" s="68" t="s">
        <v>332</v>
      </c>
      <c r="D10" s="71" t="s">
        <v>231</v>
      </c>
      <c r="E10" s="72"/>
      <c r="F10" s="72"/>
      <c r="G10" s="73"/>
      <c r="H10" s="72">
        <f t="shared" ref="H10:H21" si="0">SUM(E10*G10)</f>
        <v>0</v>
      </c>
      <c r="I10" s="171" t="s">
        <v>333</v>
      </c>
      <c r="J10" s="72"/>
      <c r="K10" s="72">
        <f t="shared" ref="K10:K21" si="1">SUM(H10:J10)</f>
        <v>0</v>
      </c>
      <c r="L10" s="172"/>
      <c r="N10" s="169"/>
      <c r="O10" s="169"/>
      <c r="P10" s="169"/>
      <c r="Q10" s="170"/>
    </row>
    <row r="11" spans="1:17" s="68" customFormat="1" ht="12.75">
      <c r="A11" s="68" t="s">
        <v>334</v>
      </c>
      <c r="D11" s="71">
        <v>60</v>
      </c>
      <c r="E11" s="170">
        <v>0.5</v>
      </c>
      <c r="F11" s="72">
        <v>0.5</v>
      </c>
      <c r="G11" s="73">
        <v>1000</v>
      </c>
      <c r="H11" s="72">
        <f>SUM(E11*G11)</f>
        <v>500</v>
      </c>
      <c r="I11" s="253">
        <v>6852</v>
      </c>
      <c r="J11" s="72"/>
      <c r="K11" s="72">
        <f t="shared" si="1"/>
        <v>7352</v>
      </c>
      <c r="L11" s="72">
        <v>899</v>
      </c>
      <c r="M11" s="72"/>
      <c r="N11" s="169"/>
      <c r="O11" s="169"/>
      <c r="P11" s="169"/>
      <c r="Q11" s="170"/>
    </row>
    <row r="12" spans="1:17" s="68" customFormat="1" ht="14.25">
      <c r="A12" s="62" t="s">
        <v>335</v>
      </c>
      <c r="B12" s="62"/>
      <c r="C12" s="62"/>
      <c r="D12" s="71">
        <v>100</v>
      </c>
      <c r="E12" s="72">
        <v>4.99</v>
      </c>
      <c r="F12" s="72">
        <v>1.04</v>
      </c>
      <c r="G12" s="73">
        <v>971.1</v>
      </c>
      <c r="H12" s="72">
        <v>4846</v>
      </c>
      <c r="I12" s="72"/>
      <c r="J12" s="72"/>
      <c r="K12" s="72">
        <f t="shared" si="1"/>
        <v>4846</v>
      </c>
      <c r="L12" s="72"/>
      <c r="M12" s="72"/>
      <c r="N12" s="169"/>
      <c r="O12" s="169"/>
      <c r="P12" s="169"/>
      <c r="Q12" s="170"/>
    </row>
    <row r="13" spans="1:17" s="68" customFormat="1" ht="12.75">
      <c r="A13" s="68" t="s">
        <v>324</v>
      </c>
      <c r="D13" s="71">
        <v>100</v>
      </c>
      <c r="E13" s="72">
        <v>8</v>
      </c>
      <c r="F13" s="72">
        <v>1.51</v>
      </c>
      <c r="G13" s="73">
        <v>846.86</v>
      </c>
      <c r="H13" s="253">
        <v>6775</v>
      </c>
      <c r="I13" s="72"/>
      <c r="J13" s="72">
        <f>E28*G28</f>
        <v>3050</v>
      </c>
      <c r="K13" s="72">
        <f t="shared" si="1"/>
        <v>9825</v>
      </c>
      <c r="L13" s="72"/>
      <c r="M13" s="170">
        <v>157</v>
      </c>
      <c r="N13" s="169"/>
      <c r="O13" s="169"/>
      <c r="P13" s="169"/>
      <c r="Q13" s="170"/>
    </row>
    <row r="14" spans="1:17" s="68" customFormat="1" ht="12.75">
      <c r="A14" s="68" t="s">
        <v>143</v>
      </c>
      <c r="D14" s="71">
        <v>100</v>
      </c>
      <c r="E14" s="72">
        <v>0.67</v>
      </c>
      <c r="F14" s="72">
        <v>0.66</v>
      </c>
      <c r="G14" s="73">
        <v>1000</v>
      </c>
      <c r="H14" s="72">
        <f t="shared" si="0"/>
        <v>670</v>
      </c>
      <c r="I14" s="72"/>
      <c r="J14" s="72">
        <f>E34*G34+E35*G35+E36*G36</f>
        <v>2270</v>
      </c>
      <c r="K14" s="72">
        <f t="shared" si="1"/>
        <v>2940</v>
      </c>
      <c r="L14" s="72"/>
      <c r="M14" s="72"/>
      <c r="N14" s="169"/>
      <c r="O14" s="169"/>
      <c r="P14" s="169"/>
      <c r="Q14" s="170"/>
    </row>
    <row r="15" spans="1:17" s="68" customFormat="1" ht="12.75">
      <c r="A15" s="68" t="s">
        <v>26</v>
      </c>
      <c r="D15" s="71">
        <v>80</v>
      </c>
      <c r="E15" s="72">
        <v>0.53</v>
      </c>
      <c r="F15" s="72">
        <v>0.42</v>
      </c>
      <c r="G15" s="73">
        <v>1150</v>
      </c>
      <c r="H15" s="72">
        <v>610</v>
      </c>
      <c r="I15" s="72"/>
      <c r="J15" s="72">
        <v>1751</v>
      </c>
      <c r="K15" s="72">
        <f t="shared" si="1"/>
        <v>2361</v>
      </c>
      <c r="L15" s="72"/>
      <c r="M15" s="72"/>
      <c r="N15" s="169"/>
      <c r="O15" s="169"/>
      <c r="P15" s="169"/>
      <c r="Q15" s="170"/>
    </row>
    <row r="16" spans="1:17" s="68" customFormat="1" ht="12.75">
      <c r="A16" s="68" t="s">
        <v>336</v>
      </c>
      <c r="D16" s="74">
        <v>46</v>
      </c>
      <c r="E16" s="72">
        <v>7.09</v>
      </c>
      <c r="F16" s="72">
        <v>1.7</v>
      </c>
      <c r="G16" s="73">
        <v>893.26</v>
      </c>
      <c r="H16" s="72">
        <v>6333</v>
      </c>
      <c r="I16" s="72"/>
      <c r="J16" s="72"/>
      <c r="K16" s="72">
        <f t="shared" si="1"/>
        <v>6333</v>
      </c>
      <c r="L16" s="72"/>
      <c r="M16" s="72"/>
      <c r="N16" s="169"/>
      <c r="O16" s="169"/>
      <c r="P16" s="169"/>
      <c r="Q16" s="170"/>
    </row>
    <row r="17" spans="1:17" s="68" customFormat="1" ht="12.75">
      <c r="A17" s="68" t="s">
        <v>106</v>
      </c>
      <c r="D17" s="71">
        <v>100</v>
      </c>
      <c r="E17" s="72">
        <v>1.3</v>
      </c>
      <c r="F17" s="72">
        <v>1.1000000000000001</v>
      </c>
      <c r="G17" s="73">
        <v>1060.53</v>
      </c>
      <c r="H17" s="72">
        <v>1379</v>
      </c>
      <c r="I17" s="72"/>
      <c r="J17" s="72">
        <v>2932</v>
      </c>
      <c r="K17" s="72">
        <f t="shared" si="1"/>
        <v>4311</v>
      </c>
      <c r="L17" s="72"/>
      <c r="M17" s="72"/>
      <c r="N17" s="169"/>
      <c r="O17" s="169"/>
      <c r="P17" s="169"/>
      <c r="Q17" s="170"/>
    </row>
    <row r="18" spans="1:17" s="68" customFormat="1" ht="12.75">
      <c r="A18" s="68" t="s">
        <v>107</v>
      </c>
      <c r="D18" s="71">
        <v>100</v>
      </c>
      <c r="E18" s="72">
        <v>3.69</v>
      </c>
      <c r="F18" s="72">
        <v>3.69</v>
      </c>
      <c r="G18" s="73">
        <v>1000</v>
      </c>
      <c r="H18" s="72">
        <f t="shared" si="0"/>
        <v>3690</v>
      </c>
      <c r="I18" s="72"/>
      <c r="J18" s="72"/>
      <c r="K18" s="72">
        <f t="shared" si="1"/>
        <v>3690</v>
      </c>
      <c r="L18" s="72"/>
      <c r="M18" s="72"/>
      <c r="N18" s="169"/>
      <c r="O18" s="169"/>
      <c r="P18" s="169"/>
      <c r="Q18" s="170"/>
    </row>
    <row r="19" spans="1:17" s="68" customFormat="1" ht="12.75">
      <c r="A19" s="68" t="s">
        <v>337</v>
      </c>
      <c r="D19" s="71">
        <v>100</v>
      </c>
      <c r="E19" s="72">
        <v>8.48</v>
      </c>
      <c r="F19" s="72">
        <v>1.47</v>
      </c>
      <c r="G19" s="73">
        <v>883</v>
      </c>
      <c r="H19" s="72">
        <v>7488</v>
      </c>
      <c r="I19" s="72"/>
      <c r="J19" s="72"/>
      <c r="K19" s="72">
        <f t="shared" si="1"/>
        <v>7488</v>
      </c>
      <c r="L19" s="72"/>
      <c r="M19" s="72"/>
      <c r="N19" s="169"/>
      <c r="O19" s="169"/>
      <c r="P19" s="169"/>
      <c r="Q19" s="170"/>
    </row>
    <row r="20" spans="1:17" s="68" customFormat="1" ht="12.75">
      <c r="A20" s="68" t="s">
        <v>338</v>
      </c>
      <c r="D20" s="74">
        <v>100</v>
      </c>
      <c r="E20" s="72">
        <v>1.91</v>
      </c>
      <c r="F20" s="72">
        <v>0.72</v>
      </c>
      <c r="G20" s="73">
        <v>935.23</v>
      </c>
      <c r="H20" s="72">
        <v>1786</v>
      </c>
      <c r="I20" s="170">
        <v>2934</v>
      </c>
      <c r="J20" s="72"/>
      <c r="K20" s="72">
        <f t="shared" si="1"/>
        <v>4720</v>
      </c>
      <c r="L20" s="72">
        <v>242</v>
      </c>
      <c r="M20" s="72"/>
      <c r="N20" s="169"/>
      <c r="O20" s="169"/>
      <c r="P20" s="169"/>
      <c r="Q20" s="170"/>
    </row>
    <row r="21" spans="1:17" s="68" customFormat="1" ht="12.75">
      <c r="A21" s="68" t="s">
        <v>36</v>
      </c>
      <c r="D21" s="71">
        <v>88</v>
      </c>
      <c r="E21" s="72">
        <v>0.56000000000000005</v>
      </c>
      <c r="F21" s="72">
        <v>0.56000000000000005</v>
      </c>
      <c r="G21" s="73">
        <v>1000</v>
      </c>
      <c r="H21" s="72">
        <f t="shared" si="0"/>
        <v>560</v>
      </c>
      <c r="I21" s="72">
        <v>393</v>
      </c>
      <c r="J21" s="72"/>
      <c r="K21" s="72">
        <f t="shared" si="1"/>
        <v>953</v>
      </c>
      <c r="L21" s="170">
        <v>75</v>
      </c>
      <c r="M21" s="72"/>
      <c r="N21" s="169"/>
      <c r="O21" s="169"/>
      <c r="P21" s="169"/>
      <c r="Q21" s="170"/>
    </row>
    <row r="22" spans="1:17" s="68" customFormat="1" ht="12.75">
      <c r="A22" s="67" t="s">
        <v>110</v>
      </c>
      <c r="B22" s="67"/>
      <c r="C22" s="67"/>
      <c r="D22" s="75"/>
      <c r="E22" s="76">
        <f>SUM(E9:E21)</f>
        <v>38.19</v>
      </c>
      <c r="F22" s="76">
        <f>SUM(F9:F21)</f>
        <v>13.780000000000001</v>
      </c>
      <c r="G22" s="76"/>
      <c r="H22" s="76">
        <f>SUM(H9:H21)</f>
        <v>35276</v>
      </c>
      <c r="I22" s="76">
        <f>SUM(I9:I21)</f>
        <v>10179</v>
      </c>
      <c r="J22" s="76">
        <f>SUM(J9:J21)</f>
        <v>12646</v>
      </c>
      <c r="K22" s="76">
        <f>SUM(H22:J22)</f>
        <v>58101</v>
      </c>
      <c r="L22" s="76">
        <f>SUM(L9:L21)</f>
        <v>1216</v>
      </c>
      <c r="M22" s="76">
        <f>SUM(M9:M21)</f>
        <v>157</v>
      </c>
      <c r="N22" s="169"/>
    </row>
    <row r="23" spans="1:17" s="68" customFormat="1" ht="12.75">
      <c r="A23" s="70" t="s">
        <v>111</v>
      </c>
      <c r="B23" s="70"/>
      <c r="C23" s="70"/>
      <c r="D23" s="77"/>
      <c r="E23" s="78">
        <f>SUM(E22-F22)</f>
        <v>24.409999999999997</v>
      </c>
      <c r="F23" s="78"/>
      <c r="G23" s="78"/>
      <c r="H23" s="78">
        <f>SUM(E30*G30)</f>
        <v>22272</v>
      </c>
      <c r="I23" s="78">
        <f>I22-L22</f>
        <v>8963</v>
      </c>
      <c r="J23" s="78">
        <f>J22-M22</f>
        <v>12489</v>
      </c>
      <c r="K23" s="78">
        <f>SUM(H23:J23)</f>
        <v>43724</v>
      </c>
      <c r="L23" s="70"/>
      <c r="M23" s="70"/>
      <c r="N23" s="169"/>
    </row>
    <row r="24" spans="1:17" s="68" customFormat="1" ht="12.75">
      <c r="C24" s="68" t="s">
        <v>39</v>
      </c>
      <c r="N24" s="169"/>
    </row>
    <row r="25" spans="1:17" s="68" customFormat="1" ht="12.75">
      <c r="A25" s="68" t="s">
        <v>40</v>
      </c>
      <c r="N25" s="169"/>
    </row>
    <row r="26" spans="1:17" s="68" customFormat="1" ht="12.75">
      <c r="A26" s="79" t="s">
        <v>41</v>
      </c>
      <c r="B26" s="79"/>
      <c r="C26" s="79"/>
      <c r="D26" s="79" t="s">
        <v>42</v>
      </c>
      <c r="E26" s="79" t="s">
        <v>43</v>
      </c>
      <c r="F26" s="79"/>
      <c r="G26" s="79" t="s">
        <v>44</v>
      </c>
      <c r="N26" s="169"/>
    </row>
    <row r="27" spans="1:17" s="68" customFormat="1" ht="14.25">
      <c r="A27" s="68" t="s">
        <v>45</v>
      </c>
      <c r="J27" s="176" t="s">
        <v>48</v>
      </c>
      <c r="K27" s="27" t="s">
        <v>112</v>
      </c>
      <c r="N27" s="169"/>
    </row>
    <row r="28" spans="1:17" s="68" customFormat="1" ht="14.25">
      <c r="A28" s="68" t="s">
        <v>339</v>
      </c>
      <c r="D28" s="68" t="s">
        <v>47</v>
      </c>
      <c r="E28" s="72">
        <v>25</v>
      </c>
      <c r="G28" s="170">
        <v>122</v>
      </c>
      <c r="J28" s="176" t="s">
        <v>340</v>
      </c>
      <c r="K28" s="27">
        <v>23</v>
      </c>
      <c r="N28" s="169"/>
    </row>
    <row r="29" spans="1:17" s="68" customFormat="1">
      <c r="A29" s="68" t="s">
        <v>54</v>
      </c>
      <c r="J29" s="183" t="s">
        <v>341</v>
      </c>
      <c r="K29" s="183">
        <v>77</v>
      </c>
      <c r="N29" s="169"/>
    </row>
    <row r="30" spans="1:17" s="68" customFormat="1">
      <c r="A30" s="68" t="s">
        <v>56</v>
      </c>
      <c r="D30" s="68" t="s">
        <v>57</v>
      </c>
      <c r="E30" s="72">
        <v>24</v>
      </c>
      <c r="G30" s="72">
        <v>928</v>
      </c>
      <c r="I30" s="83"/>
      <c r="J30" s="82"/>
      <c r="K30" s="83"/>
      <c r="N30" s="169"/>
    </row>
    <row r="31" spans="1:17" s="68" customFormat="1">
      <c r="A31" s="68" t="s">
        <v>58</v>
      </c>
      <c r="D31" s="68" t="s">
        <v>57</v>
      </c>
      <c r="E31" s="72">
        <v>14</v>
      </c>
      <c r="I31" s="83"/>
      <c r="J31" s="84" t="s">
        <v>59</v>
      </c>
      <c r="K31" s="85">
        <v>1.6</v>
      </c>
      <c r="N31" s="169"/>
    </row>
    <row r="32" spans="1:17" s="68" customFormat="1">
      <c r="A32" s="68" t="s">
        <v>2</v>
      </c>
      <c r="E32" s="72">
        <f>SUM(E30:E31)</f>
        <v>38</v>
      </c>
      <c r="I32" s="83"/>
      <c r="J32" s="84" t="s">
        <v>60</v>
      </c>
      <c r="K32" s="85">
        <v>1</v>
      </c>
      <c r="N32" s="169"/>
    </row>
    <row r="33" spans="1:14" s="68" customFormat="1">
      <c r="A33" s="67" t="s">
        <v>165</v>
      </c>
      <c r="B33" s="67"/>
      <c r="C33" s="67" t="s">
        <v>62</v>
      </c>
      <c r="D33" s="67"/>
      <c r="E33" s="67"/>
      <c r="F33" s="67"/>
      <c r="G33" s="67"/>
      <c r="I33" s="83"/>
      <c r="J33" s="83"/>
      <c r="N33" s="169"/>
    </row>
    <row r="34" spans="1:14" s="68" customFormat="1">
      <c r="A34" s="69" t="s">
        <v>96</v>
      </c>
      <c r="B34" s="69" t="s">
        <v>342</v>
      </c>
      <c r="C34" s="173">
        <v>94</v>
      </c>
      <c r="D34" s="69" t="s">
        <v>47</v>
      </c>
      <c r="E34" s="174">
        <v>35</v>
      </c>
      <c r="F34" s="174"/>
      <c r="G34" s="174">
        <v>24</v>
      </c>
      <c r="I34" s="83"/>
      <c r="J34" s="83"/>
      <c r="N34" s="169"/>
    </row>
    <row r="35" spans="1:14" s="68" customFormat="1">
      <c r="A35" s="69"/>
      <c r="B35" s="69" t="s">
        <v>343</v>
      </c>
      <c r="C35" s="173">
        <v>74</v>
      </c>
      <c r="D35" s="69" t="s">
        <v>47</v>
      </c>
      <c r="E35" s="186">
        <v>37</v>
      </c>
      <c r="F35" s="174"/>
      <c r="G35" s="186">
        <v>26</v>
      </c>
      <c r="I35" s="83"/>
      <c r="J35" s="254"/>
      <c r="N35" s="169"/>
    </row>
    <row r="36" spans="1:14" s="68" customFormat="1">
      <c r="A36" s="69"/>
      <c r="B36" s="69" t="s">
        <v>344</v>
      </c>
      <c r="C36" s="173">
        <v>60</v>
      </c>
      <c r="D36" s="69" t="s">
        <v>47</v>
      </c>
      <c r="E36" s="174">
        <v>18</v>
      </c>
      <c r="F36" s="174"/>
      <c r="G36" s="174">
        <v>26</v>
      </c>
      <c r="I36" s="83"/>
      <c r="J36" s="83"/>
      <c r="N36" s="169"/>
    </row>
    <row r="37" spans="1:14" s="68" customFormat="1" ht="12.75">
      <c r="A37" s="67" t="s">
        <v>66</v>
      </c>
      <c r="B37" s="67"/>
      <c r="C37" s="67"/>
      <c r="D37" s="67"/>
      <c r="E37" s="67"/>
      <c r="F37" s="67"/>
      <c r="G37" s="67"/>
      <c r="I37" s="68" t="s">
        <v>67</v>
      </c>
      <c r="J37" s="72"/>
      <c r="N37" s="169"/>
    </row>
    <row r="38" spans="1:14" s="68" customFormat="1" ht="12.75">
      <c r="A38" s="69" t="s">
        <v>114</v>
      </c>
      <c r="B38" s="69"/>
      <c r="C38" s="69"/>
      <c r="D38" s="69"/>
      <c r="E38" s="69"/>
      <c r="F38" s="69"/>
      <c r="G38" s="255">
        <v>1085</v>
      </c>
      <c r="H38" s="87"/>
      <c r="I38" s="72">
        <v>2681</v>
      </c>
      <c r="N38" s="169"/>
    </row>
    <row r="39" spans="1:14" s="68" customFormat="1" ht="12.75">
      <c r="A39" s="69" t="s">
        <v>69</v>
      </c>
      <c r="B39" s="69"/>
      <c r="C39" s="69"/>
      <c r="D39" s="69"/>
      <c r="E39" s="69"/>
      <c r="F39" s="69"/>
      <c r="G39" s="88">
        <v>92</v>
      </c>
      <c r="I39" s="72"/>
      <c r="N39" s="169"/>
    </row>
    <row r="40" spans="1:14" s="68" customFormat="1" ht="12.75">
      <c r="A40" s="69" t="s">
        <v>115</v>
      </c>
      <c r="B40" s="69"/>
      <c r="C40" s="69"/>
      <c r="D40" s="69"/>
      <c r="E40" s="69"/>
      <c r="F40" s="69"/>
      <c r="G40" s="88">
        <f>SUM(G38*G39)</f>
        <v>99820</v>
      </c>
      <c r="I40" s="72">
        <v>246655</v>
      </c>
      <c r="N40" s="169"/>
    </row>
    <row r="41" spans="1:14" s="68" customFormat="1" ht="12.75">
      <c r="A41" s="69" t="s">
        <v>116</v>
      </c>
      <c r="B41" s="69"/>
      <c r="C41" s="69"/>
      <c r="D41" s="69"/>
      <c r="E41" s="69"/>
      <c r="F41" s="69"/>
      <c r="G41" s="88">
        <f>SUM(G40-K22)</f>
        <v>41719</v>
      </c>
      <c r="I41" s="72">
        <v>103088</v>
      </c>
      <c r="N41" s="169"/>
    </row>
    <row r="42" spans="1:14" s="68" customFormat="1" ht="12.75">
      <c r="A42" s="69" t="s">
        <v>117</v>
      </c>
      <c r="B42" s="69"/>
      <c r="C42" s="69"/>
      <c r="D42" s="69"/>
      <c r="E42" s="69"/>
      <c r="F42" s="69"/>
      <c r="G42" s="88">
        <f>SUM(G40-K23)</f>
        <v>56096</v>
      </c>
      <c r="I42" s="72">
        <v>138613</v>
      </c>
      <c r="N42" s="169"/>
    </row>
    <row r="43" spans="1:14" s="68" customFormat="1" ht="12.75">
      <c r="A43" s="69" t="s">
        <v>118</v>
      </c>
      <c r="B43" s="69"/>
      <c r="C43" s="69"/>
      <c r="D43" s="69"/>
      <c r="E43" s="69"/>
      <c r="F43" s="69"/>
      <c r="G43" s="88">
        <f>SUM(K22/G38)</f>
        <v>53.549308755760372</v>
      </c>
      <c r="N43" s="169"/>
    </row>
    <row r="44" spans="1:14" s="68" customFormat="1" ht="12.75">
      <c r="A44" s="70" t="s">
        <v>119</v>
      </c>
      <c r="B44" s="70"/>
      <c r="C44" s="70"/>
      <c r="D44" s="70"/>
      <c r="E44" s="70"/>
      <c r="F44" s="70"/>
      <c r="G44" s="89">
        <f>SUM(K23/G38)</f>
        <v>40.298617511520739</v>
      </c>
      <c r="N44" s="169"/>
    </row>
    <row r="45" spans="1:14" s="68" customFormat="1" ht="12.75">
      <c r="N45" s="169"/>
    </row>
    <row r="46" spans="1:14" s="68" customFormat="1" ht="13.5">
      <c r="A46" s="90" t="s">
        <v>120</v>
      </c>
      <c r="N46" s="169"/>
    </row>
    <row r="47" spans="1:14" s="68" customFormat="1" ht="12.75">
      <c r="A47" s="68" t="s">
        <v>345</v>
      </c>
      <c r="N47" s="16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Views>
    <sheetView workbookViewId="0">
      <selection activeCell="A3" sqref="A3:B3"/>
    </sheetView>
  </sheetViews>
  <sheetFormatPr defaultRowHeight="15"/>
  <sheetData>
    <row r="1" spans="1:18">
      <c r="A1" s="1" t="s">
        <v>353</v>
      </c>
    </row>
    <row r="2" spans="1:18">
      <c r="A2" s="1" t="s">
        <v>77</v>
      </c>
    </row>
    <row r="3" spans="1:18">
      <c r="A3" s="1" t="s">
        <v>376</v>
      </c>
      <c r="B3" s="2"/>
    </row>
    <row r="4" spans="1:18">
      <c r="A4" s="1" t="s">
        <v>330</v>
      </c>
    </row>
    <row r="5" spans="1:18" s="298" customFormat="1">
      <c r="A5" s="294" t="s">
        <v>0</v>
      </c>
      <c r="B5" s="294"/>
      <c r="C5" s="294"/>
      <c r="D5" s="295" t="s">
        <v>1</v>
      </c>
      <c r="E5" s="295" t="s">
        <v>2</v>
      </c>
      <c r="F5" s="295" t="s">
        <v>3</v>
      </c>
      <c r="G5" s="295" t="s">
        <v>4</v>
      </c>
      <c r="H5" s="295" t="s">
        <v>5</v>
      </c>
      <c r="I5" s="295" t="s">
        <v>6</v>
      </c>
      <c r="J5" s="295" t="s">
        <v>7</v>
      </c>
      <c r="K5" s="295" t="s">
        <v>8</v>
      </c>
      <c r="L5" s="296" t="s">
        <v>9</v>
      </c>
      <c r="M5" s="295"/>
      <c r="N5" s="297"/>
    </row>
    <row r="6" spans="1:18" s="298" customFormat="1">
      <c r="A6" s="299"/>
      <c r="B6" s="299"/>
      <c r="C6" s="299"/>
      <c r="D6" s="300" t="s">
        <v>10</v>
      </c>
      <c r="E6" s="300" t="s">
        <v>11</v>
      </c>
      <c r="F6" s="300" t="s">
        <v>11</v>
      </c>
      <c r="G6" s="300" t="s">
        <v>12</v>
      </c>
      <c r="H6" s="300" t="s">
        <v>13</v>
      </c>
      <c r="I6" s="300" t="s">
        <v>14</v>
      </c>
      <c r="J6" s="300" t="s">
        <v>13</v>
      </c>
      <c r="K6" s="300" t="s">
        <v>13</v>
      </c>
      <c r="L6" s="300" t="s">
        <v>6</v>
      </c>
      <c r="M6" s="300" t="s">
        <v>7</v>
      </c>
      <c r="N6" s="301"/>
    </row>
    <row r="7" spans="1:18" s="298" customFormat="1">
      <c r="A7" s="299"/>
      <c r="B7" s="299"/>
      <c r="C7" s="299"/>
      <c r="D7" s="300" t="s">
        <v>15</v>
      </c>
      <c r="E7" s="300"/>
      <c r="F7" s="300"/>
      <c r="G7" s="300"/>
      <c r="H7" s="300" t="s">
        <v>16</v>
      </c>
      <c r="I7" s="300" t="s">
        <v>13</v>
      </c>
      <c r="J7" s="300" t="s">
        <v>16</v>
      </c>
      <c r="K7" s="300" t="s">
        <v>16</v>
      </c>
      <c r="L7" s="300"/>
      <c r="M7" s="300"/>
      <c r="N7" s="297"/>
    </row>
    <row r="8" spans="1:18" s="298" customFormat="1">
      <c r="A8" s="302"/>
      <c r="B8" s="302"/>
      <c r="C8" s="302"/>
      <c r="D8" s="303"/>
      <c r="E8" s="303"/>
      <c r="F8" s="303"/>
      <c r="G8" s="303"/>
      <c r="H8" s="303"/>
      <c r="I8" s="303" t="s">
        <v>16</v>
      </c>
      <c r="J8" s="303"/>
      <c r="K8" s="303"/>
      <c r="L8" s="303"/>
      <c r="M8" s="303"/>
      <c r="N8" s="297"/>
    </row>
    <row r="9" spans="1:18" s="258" customFormat="1">
      <c r="A9" s="257" t="s">
        <v>18</v>
      </c>
      <c r="B9" s="257"/>
      <c r="C9" s="257"/>
      <c r="D9" s="207"/>
      <c r="E9" s="261"/>
      <c r="F9" s="257"/>
      <c r="G9" s="206"/>
      <c r="H9" s="260">
        <f t="shared" ref="H9:H22" si="0">SUM(E9*G9)</f>
        <v>0</v>
      </c>
      <c r="I9" s="260"/>
      <c r="J9" s="260"/>
      <c r="K9" s="260">
        <f t="shared" ref="K9:K22" si="1">SUM(H9:J9)</f>
        <v>0</v>
      </c>
      <c r="L9" s="257"/>
      <c r="M9" s="257"/>
      <c r="N9" s="263"/>
      <c r="O9" s="264" t="s">
        <v>18</v>
      </c>
      <c r="P9" s="264"/>
      <c r="Q9" s="264"/>
      <c r="R9" s="265">
        <v>1.04</v>
      </c>
    </row>
    <row r="10" spans="1:18" s="258" customFormat="1">
      <c r="A10" s="257" t="s">
        <v>81</v>
      </c>
      <c r="B10" s="257"/>
      <c r="C10" s="257"/>
      <c r="D10" s="207"/>
      <c r="E10" s="261"/>
      <c r="F10" s="257"/>
      <c r="G10" s="206"/>
      <c r="H10" s="260">
        <f t="shared" si="0"/>
        <v>0</v>
      </c>
      <c r="I10" s="260"/>
      <c r="J10" s="266"/>
      <c r="K10" s="260">
        <f t="shared" si="1"/>
        <v>0</v>
      </c>
      <c r="L10" s="257"/>
      <c r="M10" s="257"/>
      <c r="N10" s="263"/>
      <c r="O10" s="264" t="s">
        <v>81</v>
      </c>
      <c r="P10" s="264"/>
      <c r="Q10" s="264"/>
      <c r="R10" s="265">
        <v>4.1100000000000003</v>
      </c>
    </row>
    <row r="11" spans="1:18" s="258" customFormat="1">
      <c r="A11" s="257" t="s">
        <v>19</v>
      </c>
      <c r="B11" s="257"/>
      <c r="C11" s="257"/>
      <c r="D11" s="267">
        <v>55</v>
      </c>
      <c r="E11" s="268"/>
      <c r="F11" s="257"/>
      <c r="G11" s="206"/>
      <c r="H11" s="260">
        <f t="shared" si="0"/>
        <v>0</v>
      </c>
      <c r="I11" s="269">
        <v>6212</v>
      </c>
      <c r="J11" s="266"/>
      <c r="K11" s="260">
        <f t="shared" si="1"/>
        <v>6212</v>
      </c>
      <c r="L11" s="270">
        <v>1082</v>
      </c>
      <c r="M11" s="257"/>
      <c r="N11" s="263"/>
      <c r="O11" s="264" t="s">
        <v>19</v>
      </c>
      <c r="P11" s="264"/>
      <c r="Q11" s="264"/>
      <c r="R11" s="271"/>
    </row>
    <row r="12" spans="1:18" s="258" customFormat="1">
      <c r="A12" s="257" t="s">
        <v>20</v>
      </c>
      <c r="B12" s="257"/>
      <c r="C12" s="257"/>
      <c r="D12" s="272" t="s">
        <v>136</v>
      </c>
      <c r="E12" s="261"/>
      <c r="F12" s="257"/>
      <c r="G12" s="206"/>
      <c r="H12" s="260">
        <f t="shared" si="0"/>
        <v>0</v>
      </c>
      <c r="I12" s="273" t="s">
        <v>347</v>
      </c>
      <c r="J12" s="266"/>
      <c r="K12" s="260">
        <f t="shared" si="1"/>
        <v>0</v>
      </c>
      <c r="L12" s="274"/>
      <c r="M12" s="257"/>
      <c r="N12" s="263"/>
      <c r="O12" s="264" t="s">
        <v>20</v>
      </c>
      <c r="P12" s="264"/>
      <c r="Q12" s="264"/>
      <c r="R12" s="265"/>
    </row>
    <row r="13" spans="1:18" s="258" customFormat="1">
      <c r="A13" s="257" t="s">
        <v>348</v>
      </c>
      <c r="B13" s="257"/>
      <c r="C13" s="257"/>
      <c r="D13" s="272" t="s">
        <v>349</v>
      </c>
      <c r="E13" s="261"/>
      <c r="F13" s="257"/>
      <c r="G13" s="206"/>
      <c r="H13" s="260"/>
      <c r="I13" s="273"/>
      <c r="J13" s="266"/>
      <c r="K13" s="260"/>
      <c r="L13" s="274"/>
      <c r="M13" s="257"/>
      <c r="N13" s="263"/>
      <c r="O13" s="264" t="s">
        <v>23</v>
      </c>
      <c r="P13" s="264"/>
      <c r="Q13" s="264"/>
      <c r="R13" s="265">
        <v>13.44</v>
      </c>
    </row>
    <row r="14" spans="1:18" s="276" customFormat="1">
      <c r="A14" s="257" t="s">
        <v>23</v>
      </c>
      <c r="B14" s="257"/>
      <c r="C14" s="257"/>
      <c r="D14" s="275">
        <v>100</v>
      </c>
      <c r="E14" s="261">
        <v>14.37</v>
      </c>
      <c r="F14" s="261">
        <v>1.55</v>
      </c>
      <c r="G14" s="260">
        <v>976</v>
      </c>
      <c r="H14" s="260">
        <f t="shared" si="0"/>
        <v>14025.119999999999</v>
      </c>
      <c r="I14" s="263"/>
      <c r="J14" s="263"/>
      <c r="K14" s="260">
        <f t="shared" si="1"/>
        <v>14025.119999999999</v>
      </c>
      <c r="L14" s="261"/>
      <c r="M14" s="261"/>
      <c r="N14" s="263"/>
      <c r="O14" s="265" t="s">
        <v>350</v>
      </c>
      <c r="P14" s="265"/>
      <c r="Q14" s="265"/>
      <c r="R14" s="265">
        <v>12</v>
      </c>
    </row>
    <row r="15" spans="1:18" s="258" customFormat="1">
      <c r="A15" s="261" t="s">
        <v>350</v>
      </c>
      <c r="B15" s="261"/>
      <c r="C15" s="261"/>
      <c r="D15" s="207">
        <v>100</v>
      </c>
      <c r="E15" s="261">
        <v>12.03</v>
      </c>
      <c r="F15" s="257">
        <v>2.17</v>
      </c>
      <c r="G15" s="206">
        <v>742</v>
      </c>
      <c r="H15" s="260">
        <f t="shared" si="0"/>
        <v>8926.26</v>
      </c>
      <c r="I15" s="260"/>
      <c r="J15" s="260">
        <f>E34*G34</f>
        <v>0</v>
      </c>
      <c r="K15" s="260">
        <f t="shared" si="1"/>
        <v>8926.26</v>
      </c>
      <c r="L15" s="257"/>
      <c r="M15" s="257"/>
      <c r="N15" s="263"/>
      <c r="O15" s="264" t="s">
        <v>25</v>
      </c>
      <c r="P15" s="264"/>
      <c r="Q15" s="265"/>
      <c r="R15" s="265">
        <v>3.17</v>
      </c>
    </row>
    <row r="16" spans="1:18" s="258" customFormat="1">
      <c r="A16" s="257" t="s">
        <v>25</v>
      </c>
      <c r="B16" s="257"/>
      <c r="C16" s="261"/>
      <c r="D16" s="207">
        <v>100</v>
      </c>
      <c r="E16" s="261">
        <v>2.61</v>
      </c>
      <c r="F16" s="257">
        <v>2.21</v>
      </c>
      <c r="G16" s="206">
        <v>1000</v>
      </c>
      <c r="H16" s="260">
        <f t="shared" si="0"/>
        <v>2610</v>
      </c>
      <c r="I16" s="260"/>
      <c r="J16" s="263">
        <f>E45*G45+E46*G46+E47*G47</f>
        <v>4888</v>
      </c>
      <c r="K16" s="260">
        <f t="shared" si="1"/>
        <v>7498</v>
      </c>
      <c r="L16" s="257"/>
      <c r="M16" s="257"/>
      <c r="N16" s="263"/>
      <c r="O16" s="264" t="s">
        <v>27</v>
      </c>
      <c r="P16" s="264"/>
      <c r="Q16" s="264"/>
      <c r="R16" s="265">
        <v>6.33</v>
      </c>
    </row>
    <row r="17" spans="1:18" s="258" customFormat="1">
      <c r="A17" s="257" t="s">
        <v>27</v>
      </c>
      <c r="B17" s="257"/>
      <c r="C17" s="257"/>
      <c r="D17" s="207">
        <v>42</v>
      </c>
      <c r="E17" s="263">
        <v>7.3</v>
      </c>
      <c r="F17" s="257">
        <v>2.11</v>
      </c>
      <c r="G17" s="206">
        <v>845.65</v>
      </c>
      <c r="H17" s="260">
        <f t="shared" si="0"/>
        <v>6173.2449999999999</v>
      </c>
      <c r="I17" s="260"/>
      <c r="J17" s="277"/>
      <c r="K17" s="260">
        <f t="shared" si="1"/>
        <v>6173.2449999999999</v>
      </c>
      <c r="L17" s="257"/>
      <c r="M17" s="257"/>
      <c r="N17" s="263"/>
      <c r="O17" s="264" t="s">
        <v>26</v>
      </c>
      <c r="P17" s="264"/>
      <c r="Q17" s="264"/>
      <c r="R17" s="265">
        <v>1.47</v>
      </c>
    </row>
    <row r="18" spans="1:18" s="258" customFormat="1">
      <c r="A18" s="257" t="s">
        <v>26</v>
      </c>
      <c r="B18" s="257"/>
      <c r="C18" s="257"/>
      <c r="D18" s="207">
        <v>58</v>
      </c>
      <c r="E18" s="261">
        <v>1.46</v>
      </c>
      <c r="F18" s="257">
        <v>1.27</v>
      </c>
      <c r="G18" s="206">
        <v>960</v>
      </c>
      <c r="H18" s="260">
        <f t="shared" si="0"/>
        <v>1401.6</v>
      </c>
      <c r="I18" s="260"/>
      <c r="J18" s="263">
        <v>3205</v>
      </c>
      <c r="K18" s="260">
        <f t="shared" si="1"/>
        <v>4606.6000000000004</v>
      </c>
      <c r="L18" s="257"/>
      <c r="M18" s="257"/>
      <c r="N18" s="263"/>
      <c r="O18" s="264" t="s">
        <v>33</v>
      </c>
      <c r="P18" s="264"/>
      <c r="Q18" s="264"/>
      <c r="R18" s="265">
        <v>2.09</v>
      </c>
    </row>
    <row r="19" spans="1:18" s="258" customFormat="1">
      <c r="A19" s="257" t="s">
        <v>33</v>
      </c>
      <c r="B19" s="257"/>
      <c r="C19" s="257"/>
      <c r="D19" s="207">
        <v>100</v>
      </c>
      <c r="E19" s="261">
        <v>2.37</v>
      </c>
      <c r="F19" s="257">
        <v>2.2200000000000002</v>
      </c>
      <c r="G19" s="206">
        <v>1428.57</v>
      </c>
      <c r="H19" s="260">
        <f t="shared" si="0"/>
        <v>3385.7109</v>
      </c>
      <c r="I19" s="260"/>
      <c r="J19" s="263">
        <v>3267</v>
      </c>
      <c r="K19" s="260">
        <f t="shared" si="1"/>
        <v>6652.7109</v>
      </c>
      <c r="L19" s="257"/>
      <c r="M19" s="257"/>
      <c r="N19" s="263"/>
      <c r="O19" s="264" t="s">
        <v>34</v>
      </c>
      <c r="P19" s="264"/>
      <c r="Q19" s="264"/>
      <c r="R19" s="265">
        <v>5.05</v>
      </c>
    </row>
    <row r="20" spans="1:18" s="258" customFormat="1">
      <c r="A20" s="257" t="s">
        <v>34</v>
      </c>
      <c r="B20" s="257"/>
      <c r="C20" s="257"/>
      <c r="D20" s="207">
        <v>86</v>
      </c>
      <c r="E20" s="261">
        <v>5.68</v>
      </c>
      <c r="F20" s="257">
        <v>5.68</v>
      </c>
      <c r="G20" s="278">
        <v>950</v>
      </c>
      <c r="H20" s="260">
        <f t="shared" si="0"/>
        <v>5396</v>
      </c>
      <c r="I20" s="260"/>
      <c r="J20" s="263"/>
      <c r="K20" s="260">
        <f t="shared" si="1"/>
        <v>5396</v>
      </c>
      <c r="L20" s="257"/>
      <c r="M20" s="257"/>
      <c r="N20" s="263"/>
      <c r="O20" s="264" t="s">
        <v>35</v>
      </c>
      <c r="P20" s="264"/>
      <c r="Q20" s="264"/>
      <c r="R20" s="265">
        <v>26.03</v>
      </c>
    </row>
    <row r="21" spans="1:18" s="258" customFormat="1">
      <c r="A21" s="257" t="s">
        <v>35</v>
      </c>
      <c r="B21" s="257"/>
      <c r="C21" s="257"/>
      <c r="D21" s="207">
        <v>100</v>
      </c>
      <c r="E21" s="261">
        <v>26.84</v>
      </c>
      <c r="F21" s="257">
        <v>6.29</v>
      </c>
      <c r="G21" s="278">
        <v>886.43</v>
      </c>
      <c r="H21" s="260">
        <f t="shared" si="0"/>
        <v>23791.781199999998</v>
      </c>
      <c r="I21" s="260"/>
      <c r="J21" s="279"/>
      <c r="K21" s="260">
        <f t="shared" si="1"/>
        <v>23791.781199999998</v>
      </c>
      <c r="L21" s="257"/>
      <c r="M21" s="257"/>
      <c r="N21" s="263"/>
      <c r="O21" s="264" t="s">
        <v>36</v>
      </c>
      <c r="P21" s="264"/>
      <c r="Q21" s="264"/>
      <c r="R21" s="265"/>
    </row>
    <row r="22" spans="1:18" s="258" customFormat="1">
      <c r="A22" s="257" t="s">
        <v>36</v>
      </c>
      <c r="B22" s="257"/>
      <c r="C22" s="257"/>
      <c r="D22" s="207">
        <v>60</v>
      </c>
      <c r="E22" s="261"/>
      <c r="F22" s="257"/>
      <c r="G22" s="206"/>
      <c r="H22" s="260">
        <f t="shared" si="0"/>
        <v>0</v>
      </c>
      <c r="I22" s="260">
        <v>5596</v>
      </c>
      <c r="J22" s="260"/>
      <c r="K22" s="260">
        <f t="shared" si="1"/>
        <v>5596</v>
      </c>
      <c r="L22" s="257"/>
      <c r="M22" s="257"/>
      <c r="N22" s="263"/>
    </row>
    <row r="23" spans="1:18" s="258" customFormat="1">
      <c r="A23" s="256" t="s">
        <v>37</v>
      </c>
      <c r="B23" s="256"/>
      <c r="C23" s="256"/>
      <c r="D23" s="280"/>
      <c r="E23" s="256">
        <f>SUM(E9:E22)</f>
        <v>72.66</v>
      </c>
      <c r="F23" s="256">
        <f t="shared" ref="F23:M23" si="2">SUM(F9:F22)</f>
        <v>23.5</v>
      </c>
      <c r="G23" s="256">
        <f t="shared" si="2"/>
        <v>7788.65</v>
      </c>
      <c r="H23" s="256">
        <f t="shared" si="2"/>
        <v>65709.717099999994</v>
      </c>
      <c r="I23" s="256">
        <f t="shared" si="2"/>
        <v>11808</v>
      </c>
      <c r="J23" s="256">
        <f t="shared" si="2"/>
        <v>11360</v>
      </c>
      <c r="K23" s="256">
        <f t="shared" si="2"/>
        <v>88877.717099999994</v>
      </c>
      <c r="L23" s="256">
        <f t="shared" si="2"/>
        <v>1082</v>
      </c>
      <c r="M23" s="256">
        <f t="shared" si="2"/>
        <v>0</v>
      </c>
      <c r="N23" s="257"/>
    </row>
    <row r="24" spans="1:18" s="258" customFormat="1">
      <c r="A24" s="262" t="s">
        <v>38</v>
      </c>
      <c r="B24" s="262"/>
      <c r="C24" s="262"/>
      <c r="D24" s="281"/>
      <c r="E24" s="262">
        <f>E23-F23</f>
        <v>49.16</v>
      </c>
      <c r="F24" s="262"/>
      <c r="G24" s="262"/>
      <c r="H24" s="282">
        <f>SUM(E38*G38)</f>
        <v>44457.606559812819</v>
      </c>
      <c r="I24" s="282">
        <f>I23-L23</f>
        <v>10726</v>
      </c>
      <c r="J24" s="282">
        <f>J23-M23</f>
        <v>11360</v>
      </c>
      <c r="K24" s="282">
        <f>SUM(H24:J24)</f>
        <v>66543.606559812819</v>
      </c>
      <c r="L24" s="262"/>
      <c r="M24" s="262"/>
      <c r="N24" s="257"/>
    </row>
    <row r="25" spans="1:18" s="258" customFormat="1">
      <c r="A25" s="259"/>
      <c r="B25" s="259"/>
      <c r="C25" s="259"/>
      <c r="D25" s="283"/>
      <c r="E25" s="259"/>
      <c r="F25" s="259"/>
      <c r="G25" s="259"/>
      <c r="H25" s="284"/>
      <c r="I25" s="284"/>
      <c r="J25" s="285"/>
      <c r="K25" s="285"/>
      <c r="L25" s="259"/>
      <c r="M25" s="259"/>
      <c r="N25" s="257"/>
    </row>
    <row r="26" spans="1:18" s="258" customFormat="1">
      <c r="A26" s="259"/>
      <c r="B26" s="259"/>
      <c r="C26" s="259"/>
      <c r="D26" s="283"/>
      <c r="E26" s="259"/>
      <c r="F26" s="259"/>
      <c r="G26" s="259"/>
      <c r="H26" s="284"/>
      <c r="I26" s="284"/>
      <c r="J26" s="285"/>
      <c r="K26" s="285"/>
      <c r="L26" s="259"/>
      <c r="M26" s="259"/>
      <c r="N26" s="257"/>
    </row>
    <row r="27" spans="1:18" s="258" customFormat="1">
      <c r="A27" s="259"/>
      <c r="B27" s="259"/>
      <c r="C27" s="259"/>
      <c r="D27" s="283"/>
      <c r="E27" s="259"/>
      <c r="F27" s="259">
        <f>+E23-F23</f>
        <v>49.16</v>
      </c>
      <c r="G27" s="259"/>
      <c r="H27" s="284"/>
      <c r="I27" s="284"/>
      <c r="J27" s="285"/>
      <c r="K27" s="285"/>
      <c r="L27" s="259"/>
      <c r="M27" s="259"/>
      <c r="N27" s="257"/>
    </row>
    <row r="28" spans="1:18" s="258" customFormat="1">
      <c r="A28" s="257"/>
      <c r="B28" s="257"/>
      <c r="C28" s="257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</row>
    <row r="29" spans="1:18" s="258" customFormat="1">
      <c r="A29" s="257"/>
      <c r="B29" s="257"/>
      <c r="C29" s="257" t="s">
        <v>39</v>
      </c>
      <c r="D29" s="257"/>
      <c r="E29" s="257"/>
      <c r="F29" s="257"/>
      <c r="G29" s="257"/>
      <c r="H29" s="257"/>
      <c r="I29" s="257"/>
      <c r="J29" s="257"/>
      <c r="K29" s="257"/>
      <c r="L29" s="261"/>
      <c r="M29" s="257"/>
      <c r="N29" s="257"/>
    </row>
    <row r="30" spans="1:18" s="258" customFormat="1">
      <c r="A30" s="257"/>
      <c r="B30" s="257"/>
      <c r="C30" s="257"/>
      <c r="D30" s="257"/>
      <c r="E30" s="257"/>
      <c r="F30" s="257"/>
      <c r="G30" s="257"/>
      <c r="H30" s="257"/>
      <c r="I30" s="257"/>
      <c r="J30" s="257"/>
      <c r="K30" s="286"/>
      <c r="L30" s="261"/>
      <c r="M30" s="257"/>
      <c r="N30" s="257"/>
    </row>
    <row r="31" spans="1:18" s="258" customFormat="1">
      <c r="A31" s="257" t="s">
        <v>40</v>
      </c>
      <c r="B31" s="257"/>
      <c r="C31" s="257"/>
      <c r="D31" s="257"/>
      <c r="E31" s="257"/>
      <c r="F31" s="257"/>
      <c r="G31" s="257"/>
      <c r="H31" s="257"/>
      <c r="I31" s="257"/>
      <c r="J31" s="257"/>
      <c r="K31" s="257"/>
      <c r="L31" s="261"/>
      <c r="M31" s="257"/>
      <c r="N31" s="257"/>
    </row>
    <row r="32" spans="1:18" s="258" customFormat="1">
      <c r="A32" s="287" t="s">
        <v>41</v>
      </c>
      <c r="B32" s="287"/>
      <c r="C32" s="287"/>
      <c r="D32" s="287" t="s">
        <v>42</v>
      </c>
      <c r="E32" s="287" t="s">
        <v>43</v>
      </c>
      <c r="F32" s="287"/>
      <c r="G32" s="287" t="s">
        <v>44</v>
      </c>
      <c r="H32" s="257"/>
      <c r="I32" s="257"/>
      <c r="J32" s="257"/>
      <c r="K32" s="257"/>
      <c r="L32" s="261"/>
      <c r="M32" s="257"/>
      <c r="N32" s="257"/>
    </row>
    <row r="33" spans="1:14" s="258" customFormat="1">
      <c r="A33" s="257" t="s">
        <v>45</v>
      </c>
      <c r="B33" s="257"/>
      <c r="C33" s="257"/>
      <c r="D33" s="257"/>
      <c r="E33" s="257"/>
      <c r="F33" s="257"/>
      <c r="G33" s="257"/>
      <c r="H33" s="257"/>
      <c r="I33" s="257"/>
      <c r="J33" s="257"/>
      <c r="K33" s="288"/>
      <c r="L33" s="261"/>
      <c r="M33" s="257"/>
      <c r="N33" s="257"/>
    </row>
    <row r="34" spans="1:14" s="258" customFormat="1">
      <c r="A34" s="257" t="s">
        <v>351</v>
      </c>
      <c r="B34" s="257"/>
      <c r="C34" s="257"/>
      <c r="D34" s="257"/>
      <c r="E34" s="257">
        <v>1316</v>
      </c>
      <c r="F34" s="257"/>
      <c r="G34" s="260">
        <v>0</v>
      </c>
      <c r="H34" s="257"/>
      <c r="I34" s="257"/>
      <c r="J34" s="257"/>
      <c r="K34" s="289"/>
      <c r="L34" s="261"/>
      <c r="M34" s="257"/>
      <c r="N34" s="257"/>
    </row>
    <row r="35" spans="1:14" s="258" customFormat="1">
      <c r="A35" s="257"/>
      <c r="B35" s="257"/>
      <c r="C35" s="257"/>
      <c r="D35" s="257"/>
      <c r="E35" s="257"/>
      <c r="F35" s="257"/>
      <c r="G35" s="257"/>
      <c r="H35" s="257"/>
      <c r="I35" s="257"/>
      <c r="J35" s="257"/>
      <c r="K35" s="289"/>
      <c r="L35" s="261"/>
      <c r="M35" s="257"/>
      <c r="N35" s="257"/>
    </row>
    <row r="36" spans="1:14" s="258" customFormat="1">
      <c r="A36" s="257"/>
      <c r="B36" s="257"/>
      <c r="C36" s="257"/>
      <c r="D36" s="257"/>
      <c r="E36" s="257"/>
      <c r="F36" s="257"/>
      <c r="G36" s="257"/>
      <c r="H36" s="257"/>
      <c r="I36" s="257"/>
      <c r="J36" s="257"/>
      <c r="K36" s="289"/>
      <c r="L36" s="261"/>
      <c r="N36" s="257"/>
    </row>
    <row r="37" spans="1:14" s="258" customFormat="1">
      <c r="A37" s="257" t="s">
        <v>54</v>
      </c>
      <c r="B37" s="257"/>
      <c r="C37" s="257"/>
      <c r="D37" s="257"/>
      <c r="E37" s="257"/>
      <c r="F37" s="257"/>
      <c r="G37" s="257"/>
      <c r="H37" s="257"/>
      <c r="I37" s="257"/>
      <c r="J37" s="257"/>
      <c r="K37" s="259"/>
      <c r="L37" s="259"/>
      <c r="M37" s="259"/>
      <c r="N37" s="257"/>
    </row>
    <row r="38" spans="1:14" s="258" customFormat="1">
      <c r="A38" s="257" t="s">
        <v>56</v>
      </c>
      <c r="B38" s="257"/>
      <c r="C38" s="257"/>
      <c r="D38" s="257" t="s">
        <v>57</v>
      </c>
      <c r="E38" s="285">
        <f>+E23-F23</f>
        <v>49.16</v>
      </c>
      <c r="F38" s="290"/>
      <c r="G38" s="290">
        <f>SUM(H23/E40)</f>
        <v>904.34512936966689</v>
      </c>
      <c r="H38" s="257"/>
      <c r="I38" s="257"/>
      <c r="J38" s="257"/>
      <c r="K38" s="288"/>
      <c r="L38" s="259"/>
      <c r="M38" s="259"/>
      <c r="N38" s="257"/>
    </row>
    <row r="39" spans="1:14" s="258" customFormat="1">
      <c r="A39" s="257" t="s">
        <v>58</v>
      </c>
      <c r="B39" s="257"/>
      <c r="C39" s="257"/>
      <c r="D39" s="257" t="s">
        <v>57</v>
      </c>
      <c r="E39" s="285">
        <f>SUM(F9:F21)</f>
        <v>23.5</v>
      </c>
      <c r="F39" s="290"/>
      <c r="G39" s="290"/>
      <c r="H39" s="257"/>
      <c r="I39" s="257"/>
      <c r="J39" s="257"/>
      <c r="K39" s="288"/>
      <c r="L39" s="257"/>
      <c r="M39" s="257"/>
      <c r="N39" s="257"/>
    </row>
    <row r="40" spans="1:14" s="258" customFormat="1">
      <c r="A40" s="257" t="s">
        <v>2</v>
      </c>
      <c r="B40" s="257"/>
      <c r="C40" s="257"/>
      <c r="D40" s="257"/>
      <c r="E40" s="290">
        <f>SUM(E38:E39)</f>
        <v>72.66</v>
      </c>
      <c r="F40" s="290"/>
      <c r="G40" s="290"/>
      <c r="H40" s="257"/>
      <c r="I40" s="257"/>
      <c r="J40" s="257"/>
      <c r="K40" s="288"/>
      <c r="L40" s="257"/>
      <c r="M40" s="257"/>
      <c r="N40" s="257"/>
    </row>
    <row r="41" spans="1:14" s="258" customFormat="1">
      <c r="A41" s="257"/>
      <c r="B41" s="257"/>
      <c r="C41" s="257"/>
      <c r="D41" s="257"/>
      <c r="E41" s="257"/>
      <c r="F41" s="257"/>
      <c r="G41" s="257"/>
      <c r="H41" s="257"/>
      <c r="I41" s="257"/>
      <c r="J41" s="257"/>
      <c r="K41" s="257"/>
      <c r="L41" s="257"/>
      <c r="M41" s="257"/>
      <c r="N41" s="257"/>
    </row>
    <row r="42" spans="1:14" s="258" customFormat="1">
      <c r="A42" s="256" t="s">
        <v>61</v>
      </c>
      <c r="B42" s="256"/>
      <c r="C42" s="256" t="s">
        <v>62</v>
      </c>
      <c r="D42" s="256"/>
      <c r="E42" s="256"/>
      <c r="F42" s="256"/>
      <c r="G42" s="256"/>
      <c r="H42" s="257"/>
      <c r="I42" s="257"/>
      <c r="J42" s="257"/>
      <c r="K42" s="257"/>
      <c r="L42" s="257"/>
      <c r="M42" s="257"/>
      <c r="N42" s="257"/>
    </row>
    <row r="43" spans="1:14" s="258" customFormat="1">
      <c r="A43" s="259"/>
      <c r="B43" s="259"/>
      <c r="C43" s="259"/>
      <c r="D43" s="259" t="s">
        <v>47</v>
      </c>
      <c r="E43" s="259"/>
      <c r="F43" s="259"/>
      <c r="G43" s="259"/>
      <c r="H43" s="257"/>
      <c r="I43" s="257"/>
      <c r="J43" s="257"/>
      <c r="K43" s="257"/>
      <c r="L43" s="257"/>
      <c r="M43" s="257"/>
      <c r="N43" s="257"/>
    </row>
    <row r="44" spans="1:14" s="258" customFormat="1">
      <c r="A44" s="259"/>
      <c r="B44" s="259"/>
      <c r="C44" s="259"/>
      <c r="D44" s="259"/>
      <c r="E44" s="259"/>
      <c r="F44" s="259"/>
      <c r="G44" s="284"/>
      <c r="H44" s="257"/>
      <c r="I44" s="257"/>
      <c r="J44" s="257"/>
      <c r="K44" s="257"/>
      <c r="L44" s="257"/>
      <c r="M44" s="257"/>
      <c r="N44" s="257"/>
    </row>
    <row r="45" spans="1:14" s="258" customFormat="1">
      <c r="A45" s="259" t="s">
        <v>64</v>
      </c>
      <c r="B45" s="259"/>
      <c r="C45" s="259">
        <v>58</v>
      </c>
      <c r="D45" s="259" t="s">
        <v>47</v>
      </c>
      <c r="E45" s="259">
        <v>65</v>
      </c>
      <c r="F45" s="259"/>
      <c r="G45" s="284">
        <v>26</v>
      </c>
      <c r="H45" s="257"/>
      <c r="I45" s="257">
        <f>+E45*G45</f>
        <v>1690</v>
      </c>
      <c r="J45" s="257"/>
      <c r="K45" s="257"/>
      <c r="L45" s="257"/>
      <c r="M45" s="257"/>
      <c r="N45" s="257"/>
    </row>
    <row r="46" spans="1:14" s="258" customFormat="1">
      <c r="A46" s="259" t="s">
        <v>352</v>
      </c>
      <c r="B46" s="259"/>
      <c r="C46" s="259">
        <v>66</v>
      </c>
      <c r="D46" s="259" t="s">
        <v>47</v>
      </c>
      <c r="E46" s="259">
        <v>99</v>
      </c>
      <c r="F46" s="259"/>
      <c r="G46" s="284">
        <v>26</v>
      </c>
      <c r="H46" s="257"/>
      <c r="I46" s="257">
        <f t="shared" ref="I46:I47" si="3">+E46*G46</f>
        <v>2574</v>
      </c>
      <c r="J46" s="257"/>
      <c r="K46" s="257"/>
      <c r="L46" s="257"/>
      <c r="M46" s="257"/>
      <c r="N46" s="257"/>
    </row>
    <row r="47" spans="1:14" s="258" customFormat="1">
      <c r="A47" s="259" t="s">
        <v>130</v>
      </c>
      <c r="B47" s="259"/>
      <c r="C47" s="259">
        <v>40</v>
      </c>
      <c r="D47" s="259" t="s">
        <v>47</v>
      </c>
      <c r="E47" s="259">
        <v>24</v>
      </c>
      <c r="F47" s="259"/>
      <c r="G47" s="284">
        <v>26</v>
      </c>
      <c r="H47" s="257"/>
      <c r="I47" s="257">
        <f t="shared" si="3"/>
        <v>624</v>
      </c>
      <c r="J47" s="257"/>
      <c r="K47" s="257"/>
      <c r="L47" s="257"/>
      <c r="M47" s="257"/>
      <c r="N47" s="257"/>
    </row>
    <row r="48" spans="1:14" s="258" customFormat="1">
      <c r="A48" s="259"/>
      <c r="B48" s="259"/>
      <c r="C48" s="259"/>
      <c r="D48" s="259"/>
      <c r="E48" s="259"/>
      <c r="F48" s="259"/>
      <c r="G48" s="284"/>
      <c r="H48" s="257"/>
      <c r="I48" s="257"/>
      <c r="J48" s="257"/>
      <c r="K48" s="257"/>
      <c r="L48" s="257"/>
      <c r="M48" s="257"/>
      <c r="N48" s="257"/>
    </row>
    <row r="49" spans="1:14" s="258" customFormat="1">
      <c r="A49" s="259"/>
      <c r="B49" s="259"/>
      <c r="C49" s="259"/>
      <c r="D49" s="259"/>
      <c r="E49" s="291"/>
      <c r="F49" s="259"/>
      <c r="G49" s="284"/>
      <c r="H49" s="257"/>
      <c r="I49" s="257"/>
      <c r="J49" s="257"/>
      <c r="K49" s="257"/>
      <c r="L49" s="257"/>
      <c r="M49" s="257"/>
      <c r="N49" s="257"/>
    </row>
    <row r="50" spans="1:14" s="258" customFormat="1">
      <c r="A50" s="262"/>
      <c r="B50" s="262"/>
      <c r="C50" s="262"/>
      <c r="D50" s="262"/>
      <c r="E50" s="262"/>
      <c r="F50" s="262"/>
      <c r="G50" s="262"/>
      <c r="H50" s="257"/>
      <c r="I50" s="257"/>
      <c r="J50" s="257"/>
      <c r="K50" s="257"/>
      <c r="L50" s="257"/>
      <c r="M50" s="257"/>
      <c r="N50" s="257"/>
    </row>
    <row r="51" spans="1:14" s="258" customFormat="1">
      <c r="A51" s="256" t="s">
        <v>66</v>
      </c>
      <c r="B51" s="256"/>
      <c r="C51" s="256"/>
      <c r="D51" s="256"/>
      <c r="E51" s="256"/>
      <c r="F51" s="256"/>
      <c r="G51" s="292"/>
      <c r="H51" s="257"/>
      <c r="I51" s="257"/>
      <c r="J51" s="257"/>
      <c r="K51" s="257"/>
      <c r="L51" s="257"/>
      <c r="M51" s="257"/>
      <c r="N51" s="257"/>
    </row>
    <row r="52" spans="1:14" s="258" customFormat="1">
      <c r="A52" s="259" t="s">
        <v>68</v>
      </c>
      <c r="B52" s="259"/>
      <c r="C52" s="259"/>
      <c r="D52" s="259"/>
      <c r="E52" s="259"/>
      <c r="F52" s="259"/>
      <c r="G52" s="293">
        <v>6846</v>
      </c>
      <c r="H52" s="290"/>
      <c r="I52" s="290">
        <f>+G52*2.471</f>
        <v>16916.466</v>
      </c>
      <c r="J52" s="257"/>
      <c r="K52" s="257"/>
      <c r="L52" s="257"/>
      <c r="M52" s="257"/>
      <c r="N52" s="257"/>
    </row>
    <row r="53" spans="1:14" s="258" customFormat="1">
      <c r="A53" s="259" t="s">
        <v>69</v>
      </c>
      <c r="B53" s="259"/>
      <c r="C53" s="259"/>
      <c r="D53" s="259"/>
      <c r="E53" s="259"/>
      <c r="F53" s="259"/>
      <c r="G53" s="284">
        <v>32.409999999999997</v>
      </c>
      <c r="H53" s="257"/>
      <c r="I53" s="257"/>
      <c r="J53" s="257"/>
      <c r="K53" s="257"/>
      <c r="L53" s="257"/>
      <c r="M53" s="257"/>
      <c r="N53" s="257"/>
    </row>
    <row r="54" spans="1:14" s="258" customFormat="1">
      <c r="A54" s="259" t="s">
        <v>70</v>
      </c>
      <c r="B54" s="259"/>
      <c r="C54" s="259"/>
      <c r="D54" s="259"/>
      <c r="E54" s="259"/>
      <c r="F54" s="259"/>
      <c r="G54" s="285">
        <f>SUM(G52*G53)</f>
        <v>221878.86</v>
      </c>
      <c r="H54" s="290"/>
      <c r="I54" s="290">
        <f t="shared" ref="I54:I56" si="4">+G54*2.471</f>
        <v>548262.66305999993</v>
      </c>
      <c r="J54" s="257"/>
      <c r="K54" s="257"/>
      <c r="L54" s="257"/>
      <c r="M54" s="257"/>
      <c r="N54" s="257"/>
    </row>
    <row r="55" spans="1:14" s="258" customFormat="1">
      <c r="A55" s="259" t="s">
        <v>71</v>
      </c>
      <c r="B55" s="259"/>
      <c r="C55" s="259"/>
      <c r="D55" s="259"/>
      <c r="E55" s="259"/>
      <c r="F55" s="259"/>
      <c r="G55" s="285">
        <f>SUM(G54-K23)</f>
        <v>133001.14289999998</v>
      </c>
      <c r="H55" s="290"/>
      <c r="I55" s="290">
        <f t="shared" si="4"/>
        <v>328645.82410589996</v>
      </c>
      <c r="J55" s="257"/>
      <c r="K55" s="257"/>
      <c r="L55" s="257"/>
      <c r="M55" s="257"/>
      <c r="N55" s="257"/>
    </row>
    <row r="56" spans="1:14" s="258" customFormat="1">
      <c r="A56" s="259" t="s">
        <v>72</v>
      </c>
      <c r="B56" s="259"/>
      <c r="C56" s="259"/>
      <c r="D56" s="259"/>
      <c r="E56" s="259"/>
      <c r="F56" s="259"/>
      <c r="G56" s="285">
        <f>SUM(G54-K24)</f>
        <v>155335.25344018717</v>
      </c>
      <c r="H56" s="290"/>
      <c r="I56" s="290">
        <f t="shared" si="4"/>
        <v>383833.41125070251</v>
      </c>
      <c r="J56" s="257"/>
      <c r="K56" s="257"/>
      <c r="L56" s="257"/>
      <c r="M56" s="257"/>
      <c r="N56" s="257"/>
    </row>
    <row r="57" spans="1:14" s="258" customFormat="1">
      <c r="A57" s="259" t="s">
        <v>73</v>
      </c>
      <c r="B57" s="259"/>
      <c r="C57" s="259"/>
      <c r="D57" s="259"/>
      <c r="E57" s="259"/>
      <c r="F57" s="259"/>
      <c r="G57" s="284">
        <f>SUM(K23/G52)</f>
        <v>12.982430192813322</v>
      </c>
      <c r="H57" s="257"/>
      <c r="I57" s="257"/>
      <c r="J57" s="257"/>
      <c r="K57" s="257"/>
      <c r="L57" s="257"/>
      <c r="M57" s="257"/>
      <c r="N57" s="257"/>
    </row>
    <row r="58" spans="1:14" s="258" customFormat="1">
      <c r="A58" s="262" t="s">
        <v>74</v>
      </c>
      <c r="B58" s="262"/>
      <c r="C58" s="262"/>
      <c r="D58" s="262"/>
      <c r="E58" s="262"/>
      <c r="F58" s="262"/>
      <c r="G58" s="282">
        <f>SUM(K24/G52)</f>
        <v>9.7200710721315833</v>
      </c>
      <c r="H58" s="257"/>
      <c r="I58" s="257"/>
      <c r="J58" s="257"/>
      <c r="K58" s="257"/>
      <c r="L58" s="257"/>
      <c r="M58" s="257"/>
      <c r="N58" s="257"/>
    </row>
    <row r="59" spans="1:14" s="258" customFormat="1">
      <c r="A59" s="257"/>
      <c r="B59" s="257"/>
      <c r="C59" s="257"/>
      <c r="D59" s="257"/>
      <c r="E59" s="257"/>
      <c r="F59" s="257"/>
      <c r="G59" s="257"/>
      <c r="H59" s="257"/>
      <c r="I59" s="257"/>
      <c r="J59" s="257"/>
      <c r="K59" s="257"/>
      <c r="L59" s="257"/>
      <c r="M59" s="257"/>
      <c r="N59" s="257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workbookViewId="0">
      <selection activeCell="A3" sqref="A3:B3"/>
    </sheetView>
  </sheetViews>
  <sheetFormatPr defaultRowHeight="15"/>
  <sheetData>
    <row r="1" spans="1:19">
      <c r="A1" s="1" t="s">
        <v>366</v>
      </c>
    </row>
    <row r="2" spans="1:19">
      <c r="A2" s="1" t="s">
        <v>229</v>
      </c>
    </row>
    <row r="3" spans="1:19">
      <c r="A3" s="1" t="s">
        <v>376</v>
      </c>
      <c r="B3" s="2"/>
    </row>
    <row r="4" spans="1:19">
      <c r="A4" s="1" t="s">
        <v>330</v>
      </c>
    </row>
    <row r="5" spans="1:19" s="34" customFormat="1" ht="14.25">
      <c r="A5" s="35" t="s">
        <v>0</v>
      </c>
      <c r="B5" s="35"/>
      <c r="C5" s="35"/>
      <c r="D5" s="36" t="s">
        <v>1</v>
      </c>
      <c r="E5" s="36" t="s">
        <v>2</v>
      </c>
      <c r="F5" s="36" t="s">
        <v>3</v>
      </c>
      <c r="G5" s="36" t="s">
        <v>4</v>
      </c>
      <c r="H5" s="36" t="s">
        <v>5</v>
      </c>
      <c r="I5" s="36" t="s">
        <v>6</v>
      </c>
      <c r="J5" s="36" t="s">
        <v>7</v>
      </c>
      <c r="K5" s="36" t="s">
        <v>8</v>
      </c>
      <c r="L5" s="37" t="s">
        <v>9</v>
      </c>
      <c r="M5" s="36"/>
    </row>
    <row r="6" spans="1:19" s="34" customFormat="1" ht="14.25">
      <c r="A6" s="38"/>
      <c r="B6" s="38"/>
      <c r="C6" s="38"/>
      <c r="D6" s="39" t="s">
        <v>10</v>
      </c>
      <c r="E6" s="39" t="s">
        <v>11</v>
      </c>
      <c r="F6" s="39" t="s">
        <v>11</v>
      </c>
      <c r="G6" s="39" t="s">
        <v>12</v>
      </c>
      <c r="H6" s="39" t="s">
        <v>13</v>
      </c>
      <c r="I6" s="39" t="s">
        <v>14</v>
      </c>
      <c r="J6" s="39" t="s">
        <v>13</v>
      </c>
      <c r="K6" s="39" t="s">
        <v>13</v>
      </c>
      <c r="L6" s="66" t="s">
        <v>6</v>
      </c>
      <c r="M6" s="39" t="s">
        <v>7</v>
      </c>
    </row>
    <row r="7" spans="1:19" s="34" customFormat="1" ht="14.25">
      <c r="A7" s="38"/>
      <c r="B7" s="38"/>
      <c r="C7" s="38"/>
      <c r="D7" s="39" t="s">
        <v>15</v>
      </c>
      <c r="E7" s="39"/>
      <c r="F7" s="39"/>
      <c r="G7" s="39"/>
      <c r="H7" s="39" t="s">
        <v>16</v>
      </c>
      <c r="I7" s="39" t="s">
        <v>13</v>
      </c>
      <c r="J7" s="39" t="s">
        <v>16</v>
      </c>
      <c r="K7" s="39" t="s">
        <v>16</v>
      </c>
      <c r="L7" s="39"/>
      <c r="M7" s="39"/>
    </row>
    <row r="8" spans="1:19" s="34" customFormat="1" ht="14.25">
      <c r="A8" s="41"/>
      <c r="B8" s="41"/>
      <c r="C8" s="41"/>
      <c r="D8" s="42"/>
      <c r="E8" s="42"/>
      <c r="F8" s="42"/>
      <c r="G8" s="42"/>
      <c r="H8" s="42"/>
      <c r="I8" s="42" t="s">
        <v>16</v>
      </c>
      <c r="J8" s="42"/>
      <c r="K8" s="42"/>
      <c r="L8" s="42"/>
      <c r="M8" s="42"/>
    </row>
    <row r="9" spans="1:19" s="8" customFormat="1" ht="14.25">
      <c r="A9" s="8" t="s">
        <v>354</v>
      </c>
      <c r="D9" s="47">
        <v>90</v>
      </c>
      <c r="E9" s="8">
        <v>4.0599999999999996</v>
      </c>
      <c r="F9" s="8">
        <v>4.0599999999999996</v>
      </c>
      <c r="G9" s="19">
        <v>900</v>
      </c>
      <c r="H9" s="10">
        <f t="shared" ref="H9:H21" si="0">SUM(E9*G9)</f>
        <v>3653.9999999999995</v>
      </c>
      <c r="I9" s="10"/>
      <c r="J9" s="10">
        <v>732</v>
      </c>
      <c r="K9" s="10">
        <f t="shared" ref="K9:K22" si="1">SUM(H9:J9)</f>
        <v>4386</v>
      </c>
      <c r="N9" s="10"/>
      <c r="S9" s="10"/>
    </row>
    <row r="10" spans="1:19" s="8" customFormat="1" ht="14.25">
      <c r="A10" s="8" t="s">
        <v>172</v>
      </c>
      <c r="D10" s="47">
        <v>78</v>
      </c>
      <c r="E10" s="10">
        <v>8.3699999999999992</v>
      </c>
      <c r="F10" s="10">
        <v>4.33</v>
      </c>
      <c r="G10" s="48">
        <v>1000</v>
      </c>
      <c r="H10" s="10">
        <f t="shared" si="0"/>
        <v>8370</v>
      </c>
      <c r="J10" s="10"/>
      <c r="K10" s="10">
        <f t="shared" si="1"/>
        <v>8370</v>
      </c>
      <c r="N10" s="10"/>
      <c r="S10" s="10"/>
    </row>
    <row r="11" spans="1:19" s="8" customFormat="1" ht="14.25"/>
    <row r="12" spans="1:19" s="8" customFormat="1" ht="14.25">
      <c r="A12" s="8" t="s">
        <v>266</v>
      </c>
      <c r="D12" s="18">
        <v>66</v>
      </c>
      <c r="E12" s="10">
        <v>13.13</v>
      </c>
      <c r="F12" s="10">
        <v>6.38</v>
      </c>
      <c r="G12" s="48">
        <v>1000</v>
      </c>
      <c r="H12" s="10">
        <f>SUM(E12*G12)</f>
        <v>13130</v>
      </c>
      <c r="J12" s="10"/>
      <c r="K12" s="10">
        <f>SUM(H12:J12)</f>
        <v>13130</v>
      </c>
      <c r="N12" s="10"/>
      <c r="S12" s="10"/>
    </row>
    <row r="13" spans="1:19" s="8" customFormat="1" ht="14.25">
      <c r="A13" s="8" t="s">
        <v>355</v>
      </c>
      <c r="D13" s="47" t="s">
        <v>356</v>
      </c>
      <c r="E13" s="10"/>
      <c r="F13" s="10"/>
      <c r="G13" s="48"/>
      <c r="H13" s="10">
        <f>SUM(E13*G13)</f>
        <v>0</v>
      </c>
      <c r="I13" s="8" t="s">
        <v>357</v>
      </c>
      <c r="J13" s="10"/>
      <c r="K13" s="10">
        <f>SUM(H13:J13)</f>
        <v>0</v>
      </c>
      <c r="N13" s="10"/>
      <c r="S13" s="10"/>
    </row>
    <row r="14" spans="1:19" s="8" customFormat="1" ht="14.25">
      <c r="A14" s="8" t="s">
        <v>358</v>
      </c>
      <c r="D14" s="47">
        <v>100</v>
      </c>
      <c r="E14" s="10">
        <v>11</v>
      </c>
      <c r="F14" s="10">
        <f>5.4+0.6</f>
        <v>6</v>
      </c>
      <c r="G14" s="48">
        <v>1000</v>
      </c>
      <c r="H14" s="10">
        <f t="shared" si="0"/>
        <v>11000</v>
      </c>
      <c r="J14" s="10"/>
      <c r="K14" s="10">
        <f t="shared" si="1"/>
        <v>11000</v>
      </c>
      <c r="N14" s="10"/>
      <c r="S14" s="10"/>
    </row>
    <row r="15" spans="1:19" s="8" customFormat="1" ht="14.25">
      <c r="A15" s="8" t="s">
        <v>126</v>
      </c>
      <c r="D15" s="47">
        <v>100</v>
      </c>
      <c r="E15" s="10">
        <v>15.8</v>
      </c>
      <c r="F15" s="10">
        <v>10.73</v>
      </c>
      <c r="G15" s="48">
        <v>954</v>
      </c>
      <c r="H15" s="10">
        <v>15073</v>
      </c>
      <c r="J15" s="10">
        <f>SUM(E31*G31)</f>
        <v>5609</v>
      </c>
      <c r="K15" s="10">
        <f>SUM(H15:J15)</f>
        <v>20682</v>
      </c>
      <c r="N15" s="10"/>
      <c r="S15" s="10"/>
    </row>
    <row r="16" spans="1:19" s="8" customFormat="1" ht="14.25">
      <c r="A16" s="8" t="s">
        <v>25</v>
      </c>
      <c r="D16" s="47">
        <v>100</v>
      </c>
      <c r="E16" s="10">
        <v>5.64</v>
      </c>
      <c r="F16" s="10">
        <v>5.64</v>
      </c>
      <c r="G16" s="48">
        <v>900</v>
      </c>
      <c r="H16" s="10">
        <f t="shared" si="0"/>
        <v>5076</v>
      </c>
      <c r="J16" s="10">
        <f>E40*G40+E41*G41+E42*G42</f>
        <v>15750</v>
      </c>
      <c r="K16" s="10">
        <f t="shared" si="1"/>
        <v>20826</v>
      </c>
      <c r="N16" s="10"/>
    </row>
    <row r="17" spans="1:14" s="8" customFormat="1" ht="14.25">
      <c r="A17" s="8" t="s">
        <v>359</v>
      </c>
      <c r="D17" s="47">
        <v>100</v>
      </c>
      <c r="E17" s="10">
        <v>13.08</v>
      </c>
      <c r="F17" s="10">
        <v>10.02</v>
      </c>
      <c r="G17" s="48">
        <v>778.5</v>
      </c>
      <c r="H17" s="10">
        <v>10183</v>
      </c>
      <c r="J17" s="10"/>
      <c r="K17" s="10">
        <f t="shared" si="1"/>
        <v>10183</v>
      </c>
      <c r="N17" s="10"/>
    </row>
    <row r="18" spans="1:14" s="8" customFormat="1" ht="14.25">
      <c r="A18" s="8" t="s">
        <v>33</v>
      </c>
      <c r="D18" s="47">
        <v>100</v>
      </c>
      <c r="E18" s="10">
        <v>20.239999999999998</v>
      </c>
      <c r="F18" s="10">
        <v>20.239999999999998</v>
      </c>
      <c r="G18" s="48">
        <v>900</v>
      </c>
      <c r="H18" s="10">
        <f t="shared" si="0"/>
        <v>18216</v>
      </c>
      <c r="J18" s="10">
        <v>20263</v>
      </c>
      <c r="K18" s="10">
        <f t="shared" si="1"/>
        <v>38479</v>
      </c>
      <c r="N18" s="10"/>
    </row>
    <row r="19" spans="1:14" s="8" customFormat="1" ht="14.25">
      <c r="A19" s="8" t="s">
        <v>258</v>
      </c>
      <c r="D19" s="47">
        <v>100</v>
      </c>
      <c r="E19" s="10">
        <v>11.24</v>
      </c>
      <c r="F19" s="10">
        <v>8.8800000000000008</v>
      </c>
      <c r="G19" s="48">
        <v>935.7</v>
      </c>
      <c r="H19" s="10">
        <v>10517</v>
      </c>
      <c r="J19" s="10">
        <v>13633</v>
      </c>
      <c r="K19" s="10">
        <f t="shared" si="1"/>
        <v>24150</v>
      </c>
      <c r="M19" s="127">
        <v>2970</v>
      </c>
      <c r="N19" s="10"/>
    </row>
    <row r="20" spans="1:14" s="8" customFormat="1" ht="14.25">
      <c r="A20" s="8" t="s">
        <v>360</v>
      </c>
      <c r="D20" s="47">
        <v>100</v>
      </c>
      <c r="E20" s="10">
        <v>12.3</v>
      </c>
      <c r="F20" s="10">
        <f>5.3+3.9</f>
        <v>9.1999999999999993</v>
      </c>
      <c r="G20" s="48">
        <v>821.2</v>
      </c>
      <c r="H20" s="10">
        <v>10101</v>
      </c>
      <c r="J20" s="10"/>
      <c r="K20" s="10">
        <f t="shared" si="1"/>
        <v>10101</v>
      </c>
      <c r="M20" s="127"/>
      <c r="N20" s="10"/>
    </row>
    <row r="21" spans="1:14" s="8" customFormat="1" ht="14.25">
      <c r="A21" s="8" t="s">
        <v>34</v>
      </c>
      <c r="D21" s="47">
        <v>100</v>
      </c>
      <c r="E21" s="10">
        <v>24.28</v>
      </c>
      <c r="F21" s="10">
        <v>24.48</v>
      </c>
      <c r="G21" s="48">
        <v>900</v>
      </c>
      <c r="H21" s="10">
        <f t="shared" si="0"/>
        <v>21852</v>
      </c>
      <c r="J21" s="10"/>
      <c r="K21" s="10">
        <f t="shared" si="1"/>
        <v>21852</v>
      </c>
      <c r="M21" s="127"/>
      <c r="N21" s="10"/>
    </row>
    <row r="22" spans="1:14" s="8" customFormat="1" ht="14.25">
      <c r="A22" s="8" t="s">
        <v>287</v>
      </c>
      <c r="D22" s="47">
        <v>100</v>
      </c>
      <c r="E22" s="10">
        <v>39.369999999999997</v>
      </c>
      <c r="F22" s="10">
        <v>28.65</v>
      </c>
      <c r="G22" s="48">
        <v>810.6</v>
      </c>
      <c r="H22" s="10">
        <v>31913</v>
      </c>
      <c r="J22" s="10"/>
      <c r="K22" s="10">
        <f t="shared" si="1"/>
        <v>31913</v>
      </c>
      <c r="M22" s="127"/>
      <c r="N22" s="10"/>
    </row>
    <row r="23" spans="1:14" s="8" customFormat="1" ht="14.25">
      <c r="A23" s="43" t="s">
        <v>37</v>
      </c>
      <c r="B23" s="43"/>
      <c r="C23" s="43"/>
      <c r="D23" s="52"/>
      <c r="E23" s="53">
        <f>SUM(E9:E22)</f>
        <v>178.51</v>
      </c>
      <c r="F23" s="53">
        <f>SUM(F9:F22)</f>
        <v>138.60999999999999</v>
      </c>
      <c r="G23" s="53"/>
      <c r="H23" s="53">
        <f>SUM(H9:H22)</f>
        <v>159085</v>
      </c>
      <c r="I23" s="43">
        <f>SUM(I9:I22)</f>
        <v>0</v>
      </c>
      <c r="J23" s="53">
        <f>SUM(J9:J22)</f>
        <v>55987</v>
      </c>
      <c r="K23" s="53">
        <f>SUM(H23:J23)</f>
        <v>215072</v>
      </c>
      <c r="L23" s="43">
        <f>SUM(L9:L22)</f>
        <v>0</v>
      </c>
      <c r="M23" s="190">
        <f>SUM(M9:M22)</f>
        <v>2970</v>
      </c>
    </row>
    <row r="24" spans="1:14" s="8" customFormat="1" ht="14.25">
      <c r="A24" s="46" t="s">
        <v>38</v>
      </c>
      <c r="B24" s="46"/>
      <c r="C24" s="46"/>
      <c r="D24" s="54"/>
      <c r="E24" s="55">
        <f>SUM(E23-F23)</f>
        <v>39.900000000000006</v>
      </c>
      <c r="F24" s="55"/>
      <c r="G24" s="55"/>
      <c r="H24" s="55">
        <f>SUM(E35*G35)</f>
        <v>35560</v>
      </c>
      <c r="I24" s="46">
        <f>I23-L23</f>
        <v>0</v>
      </c>
      <c r="J24" s="55">
        <f>J23-M23</f>
        <v>53017</v>
      </c>
      <c r="K24" s="55">
        <f>SUM(H24:J24)</f>
        <v>88577</v>
      </c>
      <c r="L24" s="46"/>
      <c r="M24" s="46"/>
    </row>
    <row r="25" spans="1:14" s="8" customFormat="1" ht="14.25"/>
    <row r="26" spans="1:14" s="8" customFormat="1" ht="14.25">
      <c r="C26" s="8" t="s">
        <v>39</v>
      </c>
    </row>
    <row r="27" spans="1:14" s="8" customFormat="1" ht="14.25"/>
    <row r="28" spans="1:14" s="8" customFormat="1" ht="14.25">
      <c r="A28" s="8" t="s">
        <v>40</v>
      </c>
    </row>
    <row r="29" spans="1:14" s="8" customFormat="1" ht="14.25">
      <c r="A29" s="56" t="s">
        <v>41</v>
      </c>
      <c r="B29" s="56"/>
      <c r="C29" s="56"/>
      <c r="D29" s="56" t="s">
        <v>42</v>
      </c>
      <c r="E29" s="56" t="s">
        <v>43</v>
      </c>
      <c r="F29" s="56"/>
      <c r="G29" s="56" t="s">
        <v>44</v>
      </c>
      <c r="J29" s="8" t="s">
        <v>48</v>
      </c>
      <c r="K29" s="8" t="s">
        <v>49</v>
      </c>
    </row>
    <row r="30" spans="1:14" s="8" customFormat="1" ht="14.25">
      <c r="A30" s="8" t="s">
        <v>45</v>
      </c>
      <c r="J30" s="27" t="s">
        <v>361</v>
      </c>
      <c r="K30" s="176">
        <v>70</v>
      </c>
    </row>
    <row r="31" spans="1:14" s="8" customFormat="1" ht="14.25">
      <c r="A31" s="8" t="s">
        <v>155</v>
      </c>
      <c r="D31" s="8" t="s">
        <v>362</v>
      </c>
      <c r="E31" s="10">
        <v>71</v>
      </c>
      <c r="F31" s="10"/>
      <c r="G31" s="10">
        <v>79</v>
      </c>
      <c r="J31" s="27" t="s">
        <v>363</v>
      </c>
      <c r="K31" s="176">
        <v>27</v>
      </c>
    </row>
    <row r="32" spans="1:14" s="8" customFormat="1" ht="14.25">
      <c r="J32" s="27" t="s">
        <v>161</v>
      </c>
      <c r="K32" s="176">
        <v>3</v>
      </c>
    </row>
    <row r="33" spans="1:11" s="8" customFormat="1" ht="14.25"/>
    <row r="34" spans="1:11" s="8" customFormat="1" ht="14.25">
      <c r="A34" s="8" t="s">
        <v>54</v>
      </c>
    </row>
    <row r="35" spans="1:11" s="8" customFormat="1" ht="14.25">
      <c r="A35" s="8" t="s">
        <v>56</v>
      </c>
      <c r="D35" s="8" t="s">
        <v>57</v>
      </c>
      <c r="E35" s="10">
        <v>40</v>
      </c>
      <c r="G35" s="10">
        <v>889</v>
      </c>
    </row>
    <row r="36" spans="1:11" s="8" customFormat="1" ht="14.25">
      <c r="A36" s="8" t="s">
        <v>58</v>
      </c>
      <c r="D36" s="8" t="s">
        <v>57</v>
      </c>
      <c r="E36" s="10">
        <v>139</v>
      </c>
    </row>
    <row r="37" spans="1:11" s="8" customFormat="1" ht="14.25">
      <c r="A37" s="8" t="s">
        <v>2</v>
      </c>
      <c r="E37" s="10">
        <f>SUM(E35:E36)</f>
        <v>179</v>
      </c>
      <c r="J37" s="27" t="s">
        <v>59</v>
      </c>
      <c r="K37" s="27">
        <v>0.38</v>
      </c>
    </row>
    <row r="38" spans="1:11" s="8" customFormat="1" ht="14.25">
      <c r="J38" s="27" t="s">
        <v>60</v>
      </c>
      <c r="K38" s="27">
        <v>0.25</v>
      </c>
    </row>
    <row r="39" spans="1:11" s="8" customFormat="1" ht="14.25">
      <c r="A39" s="43" t="s">
        <v>61</v>
      </c>
      <c r="B39" s="43"/>
      <c r="C39" s="43" t="s">
        <v>62</v>
      </c>
      <c r="D39" s="43"/>
      <c r="E39" s="43"/>
      <c r="F39" s="43"/>
      <c r="G39" s="43"/>
    </row>
    <row r="40" spans="1:11" s="8" customFormat="1" ht="14.25">
      <c r="A40" s="44" t="s">
        <v>188</v>
      </c>
      <c r="B40" s="45"/>
      <c r="C40" s="60">
        <v>64</v>
      </c>
      <c r="D40" s="44" t="s">
        <v>189</v>
      </c>
      <c r="E40" s="31">
        <v>33</v>
      </c>
      <c r="F40" s="31"/>
      <c r="G40" s="31">
        <v>218</v>
      </c>
    </row>
    <row r="41" spans="1:11" s="8" customFormat="1" ht="14.25">
      <c r="A41" s="44" t="s">
        <v>63</v>
      </c>
      <c r="B41" s="45"/>
      <c r="C41" s="60">
        <v>44</v>
      </c>
      <c r="D41" s="44" t="s">
        <v>47</v>
      </c>
      <c r="E41" s="31">
        <v>77</v>
      </c>
      <c r="F41" s="31"/>
      <c r="G41" s="31">
        <v>24</v>
      </c>
    </row>
    <row r="42" spans="1:11" s="8" customFormat="1" ht="14.25">
      <c r="A42" s="44" t="s">
        <v>364</v>
      </c>
      <c r="B42" s="45"/>
      <c r="C42" s="60">
        <v>80</v>
      </c>
      <c r="D42" s="44" t="s">
        <v>47</v>
      </c>
      <c r="E42" s="31">
        <v>258</v>
      </c>
      <c r="F42" s="31"/>
      <c r="G42" s="31">
        <v>26</v>
      </c>
    </row>
    <row r="43" spans="1:11" s="8" customFormat="1" ht="14.25">
      <c r="A43" s="43" t="s">
        <v>66</v>
      </c>
      <c r="B43" s="43"/>
      <c r="C43" s="43"/>
      <c r="D43" s="43"/>
      <c r="E43" s="43"/>
      <c r="F43" s="43"/>
      <c r="G43" s="43"/>
      <c r="I43" s="8" t="s">
        <v>365</v>
      </c>
    </row>
    <row r="44" spans="1:11" s="8" customFormat="1" ht="14.25">
      <c r="A44" s="44" t="s">
        <v>68</v>
      </c>
      <c r="B44" s="44"/>
      <c r="C44" s="44"/>
      <c r="D44" s="44"/>
      <c r="E44" s="44"/>
      <c r="F44" s="44"/>
      <c r="G44" s="62">
        <v>8196</v>
      </c>
      <c r="I44" s="10">
        <v>20252</v>
      </c>
    </row>
    <row r="45" spans="1:11" s="8" customFormat="1" ht="14.25">
      <c r="A45" s="44" t="s">
        <v>69</v>
      </c>
      <c r="B45" s="44"/>
      <c r="C45" s="44"/>
      <c r="D45" s="44"/>
      <c r="E45" s="44"/>
      <c r="F45" s="44"/>
      <c r="G45" s="63">
        <v>55</v>
      </c>
      <c r="I45" s="10"/>
    </row>
    <row r="46" spans="1:11" s="8" customFormat="1" ht="14.25">
      <c r="A46" s="44" t="s">
        <v>70</v>
      </c>
      <c r="B46" s="44"/>
      <c r="C46" s="44"/>
      <c r="D46" s="44"/>
      <c r="E46" s="44"/>
      <c r="F46" s="44"/>
      <c r="G46" s="63">
        <f>SUM(G44*G45)</f>
        <v>450780</v>
      </c>
      <c r="I46" s="10">
        <v>1113877</v>
      </c>
    </row>
    <row r="47" spans="1:11" s="8" customFormat="1" ht="14.25">
      <c r="A47" s="44" t="s">
        <v>71</v>
      </c>
      <c r="B47" s="44"/>
      <c r="C47" s="44"/>
      <c r="D47" s="44"/>
      <c r="E47" s="44"/>
      <c r="F47" s="44"/>
      <c r="G47" s="63">
        <f>SUM(G46-K23)</f>
        <v>235708</v>
      </c>
      <c r="I47" s="10">
        <v>582434</v>
      </c>
    </row>
    <row r="48" spans="1:11" s="8" customFormat="1" ht="14.25">
      <c r="A48" s="44" t="s">
        <v>72</v>
      </c>
      <c r="B48" s="44"/>
      <c r="C48" s="44"/>
      <c r="D48" s="44"/>
      <c r="E48" s="44"/>
      <c r="F48" s="44"/>
      <c r="G48" s="63">
        <f>SUM(G46-K24)</f>
        <v>362203</v>
      </c>
      <c r="I48" s="10">
        <v>895004</v>
      </c>
    </row>
    <row r="49" spans="1:7" s="8" customFormat="1" ht="14.25">
      <c r="A49" s="44"/>
      <c r="B49" s="44"/>
      <c r="C49" s="44"/>
      <c r="D49" s="44"/>
      <c r="E49" s="44"/>
      <c r="F49" s="44"/>
      <c r="G49" s="63"/>
    </row>
    <row r="50" spans="1:7" s="8" customFormat="1" ht="14.25">
      <c r="A50" s="44" t="s">
        <v>73</v>
      </c>
      <c r="B50" s="44"/>
      <c r="C50" s="44"/>
      <c r="D50" s="44"/>
      <c r="E50" s="44"/>
      <c r="F50" s="44"/>
      <c r="G50" s="63">
        <f>SUM(K23/G44)</f>
        <v>26.241093216203026</v>
      </c>
    </row>
    <row r="51" spans="1:7" s="8" customFormat="1" ht="14.25">
      <c r="A51" s="46" t="s">
        <v>74</v>
      </c>
      <c r="B51" s="46"/>
      <c r="C51" s="46"/>
      <c r="D51" s="46"/>
      <c r="E51" s="46"/>
      <c r="F51" s="46"/>
      <c r="G51" s="64">
        <f>SUM(K24/G44)</f>
        <v>10.80734504636408</v>
      </c>
    </row>
    <row r="52" spans="1:7" s="8" customFormat="1" ht="14.25"/>
    <row r="53" spans="1:7" s="8" customFormat="1" ht="14.25"/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workbookViewId="0">
      <selection sqref="A1:C4"/>
    </sheetView>
  </sheetViews>
  <sheetFormatPr defaultRowHeight="15"/>
  <sheetData>
    <row r="1" spans="1:16">
      <c r="A1" s="1" t="s">
        <v>366</v>
      </c>
    </row>
    <row r="2" spans="1:16">
      <c r="A2" s="1" t="s">
        <v>375</v>
      </c>
    </row>
    <row r="3" spans="1:16">
      <c r="A3" s="1" t="s">
        <v>376</v>
      </c>
      <c r="B3" s="2"/>
    </row>
    <row r="4" spans="1:16">
      <c r="A4" s="1" t="s">
        <v>330</v>
      </c>
    </row>
    <row r="5" spans="1:16" s="94" customFormat="1" ht="12.75">
      <c r="A5" s="91" t="s">
        <v>0</v>
      </c>
      <c r="B5" s="91"/>
      <c r="C5" s="91"/>
      <c r="D5" s="92" t="s">
        <v>1</v>
      </c>
      <c r="E5" s="92" t="s">
        <v>2</v>
      </c>
      <c r="F5" s="92" t="s">
        <v>3</v>
      </c>
      <c r="G5" s="92" t="s">
        <v>4</v>
      </c>
      <c r="H5" s="92" t="s">
        <v>5</v>
      </c>
      <c r="I5" s="92" t="s">
        <v>6</v>
      </c>
      <c r="J5" s="92" t="s">
        <v>7</v>
      </c>
      <c r="K5" s="92" t="s">
        <v>8</v>
      </c>
      <c r="L5" s="93" t="s">
        <v>9</v>
      </c>
      <c r="M5" s="92"/>
    </row>
    <row r="6" spans="1:16" s="94" customFormat="1" ht="12.75">
      <c r="A6" s="95"/>
      <c r="B6" s="95"/>
      <c r="C6" s="95"/>
      <c r="D6" s="96" t="s">
        <v>10</v>
      </c>
      <c r="E6" s="96" t="s">
        <v>11</v>
      </c>
      <c r="F6" s="96" t="s">
        <v>11</v>
      </c>
      <c r="G6" s="96" t="s">
        <v>12</v>
      </c>
      <c r="H6" s="96" t="s">
        <v>13</v>
      </c>
      <c r="I6" s="96" t="s">
        <v>14</v>
      </c>
      <c r="J6" s="96" t="s">
        <v>13</v>
      </c>
      <c r="K6" s="96" t="s">
        <v>13</v>
      </c>
      <c r="L6" s="96" t="s">
        <v>6</v>
      </c>
      <c r="M6" s="96" t="s">
        <v>7</v>
      </c>
    </row>
    <row r="7" spans="1:16" s="94" customFormat="1" ht="12.75">
      <c r="A7" s="95"/>
      <c r="B7" s="95"/>
      <c r="C7" s="95"/>
      <c r="D7" s="96" t="s">
        <v>15</v>
      </c>
      <c r="E7" s="96"/>
      <c r="F7" s="96"/>
      <c r="G7" s="96"/>
      <c r="H7" s="96" t="s">
        <v>16</v>
      </c>
      <c r="I7" s="96" t="s">
        <v>13</v>
      </c>
      <c r="J7" s="96" t="s">
        <v>16</v>
      </c>
      <c r="K7" s="96" t="s">
        <v>16</v>
      </c>
      <c r="L7" s="96"/>
      <c r="M7" s="96"/>
    </row>
    <row r="8" spans="1:16" s="94" customFormat="1" ht="12.75">
      <c r="A8" s="97"/>
      <c r="B8" s="97"/>
      <c r="C8" s="97"/>
      <c r="D8" s="98"/>
      <c r="E8" s="98"/>
      <c r="F8" s="98"/>
      <c r="G8" s="98"/>
      <c r="H8" s="98"/>
      <c r="I8" s="98" t="s">
        <v>16</v>
      </c>
      <c r="J8" s="98"/>
      <c r="K8" s="98"/>
      <c r="L8" s="98"/>
      <c r="M8" s="98"/>
    </row>
    <row r="9" spans="1:16" s="68" customFormat="1" ht="12.75">
      <c r="A9" s="68" t="s">
        <v>17</v>
      </c>
      <c r="D9" s="71">
        <v>100</v>
      </c>
      <c r="E9" s="72">
        <v>6.69</v>
      </c>
      <c r="F9" s="72">
        <v>6.69</v>
      </c>
      <c r="G9" s="73">
        <v>1000</v>
      </c>
      <c r="H9" s="72">
        <f t="shared" ref="H9:H19" si="0">SUM(E9*G9)</f>
        <v>6690</v>
      </c>
      <c r="J9" s="72">
        <v>1991</v>
      </c>
      <c r="K9" s="72">
        <f t="shared" ref="K9:K19" si="1">SUM(H9:J9)</f>
        <v>8681</v>
      </c>
      <c r="N9" s="169"/>
      <c r="O9" s="169"/>
      <c r="P9" s="170"/>
    </row>
    <row r="10" spans="1:16" s="68" customFormat="1" ht="12.75">
      <c r="A10" s="68" t="s">
        <v>367</v>
      </c>
      <c r="D10" s="74">
        <v>54</v>
      </c>
      <c r="E10" s="72">
        <v>12.9</v>
      </c>
      <c r="F10" s="72">
        <v>4.68</v>
      </c>
      <c r="G10" s="73">
        <v>1000</v>
      </c>
      <c r="H10" s="72">
        <f t="shared" si="0"/>
        <v>12900</v>
      </c>
      <c r="J10" s="72"/>
      <c r="K10" s="72">
        <f t="shared" si="1"/>
        <v>12900</v>
      </c>
      <c r="N10" s="169"/>
      <c r="O10" s="169"/>
      <c r="P10" s="170"/>
    </row>
    <row r="11" spans="1:16" s="68" customFormat="1" ht="12.75">
      <c r="A11" s="68" t="s">
        <v>295</v>
      </c>
      <c r="D11" s="74" t="s">
        <v>368</v>
      </c>
      <c r="E11" s="72"/>
      <c r="F11" s="72"/>
      <c r="G11" s="73"/>
      <c r="H11" s="72">
        <f t="shared" si="0"/>
        <v>0</v>
      </c>
      <c r="I11" s="72" t="s">
        <v>369</v>
      </c>
      <c r="J11" s="72"/>
      <c r="K11" s="72">
        <f t="shared" si="1"/>
        <v>0</v>
      </c>
      <c r="L11" s="72"/>
      <c r="M11" s="72"/>
      <c r="N11" s="169"/>
      <c r="O11" s="169"/>
      <c r="P11" s="170"/>
    </row>
    <row r="12" spans="1:16" s="68" customFormat="1" ht="12.75">
      <c r="A12" s="169" t="s">
        <v>179</v>
      </c>
      <c r="D12" s="71">
        <v>100</v>
      </c>
      <c r="E12" s="72">
        <v>12.7</v>
      </c>
      <c r="F12" s="72">
        <v>4.8600000000000003</v>
      </c>
      <c r="G12" s="73">
        <v>900</v>
      </c>
      <c r="H12" s="72">
        <f t="shared" si="0"/>
        <v>11430</v>
      </c>
      <c r="I12" s="72"/>
      <c r="J12" s="72"/>
      <c r="K12" s="72">
        <f t="shared" si="1"/>
        <v>11430</v>
      </c>
      <c r="L12" s="72"/>
      <c r="M12" s="72"/>
      <c r="N12" s="169"/>
      <c r="O12" s="169"/>
      <c r="P12" s="170"/>
    </row>
    <row r="13" spans="1:16" s="68" customFormat="1" ht="12.75">
      <c r="A13" s="169" t="s">
        <v>24</v>
      </c>
      <c r="D13" s="71">
        <v>100</v>
      </c>
      <c r="E13" s="72">
        <v>13.35</v>
      </c>
      <c r="F13" s="72">
        <v>1.63</v>
      </c>
      <c r="G13" s="73">
        <v>1000</v>
      </c>
      <c r="H13" s="72">
        <f t="shared" si="0"/>
        <v>13350</v>
      </c>
      <c r="I13" s="72"/>
      <c r="J13" s="72">
        <f>SUM(E28*G28)</f>
        <v>7800</v>
      </c>
      <c r="K13" s="72">
        <f t="shared" si="1"/>
        <v>21150</v>
      </c>
      <c r="L13" s="72"/>
      <c r="M13" s="72"/>
    </row>
    <row r="14" spans="1:16" s="68" customFormat="1" ht="12.75">
      <c r="A14" s="68" t="s">
        <v>143</v>
      </c>
      <c r="D14" s="71">
        <v>100</v>
      </c>
      <c r="E14" s="72">
        <v>9.48</v>
      </c>
      <c r="F14" s="72">
        <v>6.89</v>
      </c>
      <c r="G14" s="73">
        <v>1000</v>
      </c>
      <c r="H14" s="72">
        <f t="shared" si="0"/>
        <v>9480</v>
      </c>
      <c r="I14" s="72"/>
      <c r="J14" s="72">
        <f>E37*G37+E38*G38</f>
        <v>18976</v>
      </c>
      <c r="K14" s="72">
        <f t="shared" si="1"/>
        <v>28456</v>
      </c>
      <c r="L14" s="72"/>
      <c r="M14" s="72"/>
    </row>
    <row r="15" spans="1:16" s="68" customFormat="1" ht="12.75">
      <c r="A15" s="169" t="s">
        <v>144</v>
      </c>
      <c r="D15" s="74">
        <v>100</v>
      </c>
      <c r="E15" s="72">
        <v>17.43</v>
      </c>
      <c r="F15" s="72">
        <v>4.58</v>
      </c>
      <c r="G15" s="73">
        <v>800</v>
      </c>
      <c r="H15" s="72">
        <f t="shared" si="0"/>
        <v>13944</v>
      </c>
      <c r="I15" s="72"/>
      <c r="J15" s="72"/>
      <c r="K15" s="72">
        <f t="shared" si="1"/>
        <v>13944</v>
      </c>
      <c r="L15" s="72"/>
      <c r="M15" s="72"/>
    </row>
    <row r="16" spans="1:16" s="68" customFormat="1" ht="12.75">
      <c r="A16" s="68" t="s">
        <v>106</v>
      </c>
      <c r="D16" s="71">
        <v>100</v>
      </c>
      <c r="E16" s="72">
        <v>8.67</v>
      </c>
      <c r="F16" s="72">
        <v>7.55</v>
      </c>
      <c r="G16" s="73">
        <v>1000</v>
      </c>
      <c r="H16" s="72">
        <f t="shared" si="0"/>
        <v>8670</v>
      </c>
      <c r="I16" s="72"/>
      <c r="J16" s="72">
        <v>16052</v>
      </c>
      <c r="K16" s="72">
        <f t="shared" si="1"/>
        <v>24722</v>
      </c>
      <c r="L16" s="72"/>
      <c r="M16" s="72"/>
    </row>
    <row r="17" spans="1:13" s="68" customFormat="1" ht="12.75">
      <c r="A17" s="169" t="s">
        <v>370</v>
      </c>
      <c r="D17" s="74">
        <v>100</v>
      </c>
      <c r="E17" s="72">
        <v>15.16</v>
      </c>
      <c r="F17" s="72">
        <v>7.82</v>
      </c>
      <c r="G17" s="73">
        <v>900</v>
      </c>
      <c r="H17" s="72">
        <f t="shared" si="0"/>
        <v>13644</v>
      </c>
      <c r="I17" s="72"/>
      <c r="J17" s="72">
        <v>16842</v>
      </c>
      <c r="K17" s="72">
        <f t="shared" si="1"/>
        <v>30486</v>
      </c>
      <c r="L17" s="72"/>
      <c r="M17" s="72"/>
    </row>
    <row r="18" spans="1:13" s="68" customFormat="1" ht="12.75">
      <c r="A18" s="68" t="s">
        <v>107</v>
      </c>
      <c r="D18" s="71">
        <v>100</v>
      </c>
      <c r="E18" s="72">
        <v>10.61</v>
      </c>
      <c r="F18" s="72">
        <v>10.61</v>
      </c>
      <c r="G18" s="73">
        <v>900</v>
      </c>
      <c r="H18" s="72">
        <f t="shared" si="0"/>
        <v>9549</v>
      </c>
      <c r="I18" s="72"/>
      <c r="J18" s="72"/>
      <c r="K18" s="72">
        <f t="shared" si="1"/>
        <v>9549</v>
      </c>
      <c r="L18" s="72"/>
      <c r="M18" s="72"/>
    </row>
    <row r="19" spans="1:13" s="68" customFormat="1" ht="12.75">
      <c r="A19" s="169" t="s">
        <v>287</v>
      </c>
      <c r="D19" s="71">
        <v>100</v>
      </c>
      <c r="E19" s="72">
        <v>31.12</v>
      </c>
      <c r="F19" s="72">
        <v>13.61</v>
      </c>
      <c r="G19" s="73">
        <v>850</v>
      </c>
      <c r="H19" s="72">
        <f t="shared" si="0"/>
        <v>26452</v>
      </c>
      <c r="I19" s="72"/>
      <c r="J19" s="72"/>
      <c r="K19" s="72">
        <f t="shared" si="1"/>
        <v>26452</v>
      </c>
      <c r="L19" s="72"/>
      <c r="M19" s="72"/>
    </row>
    <row r="20" spans="1:13" s="68" customFormat="1" ht="12.75">
      <c r="A20" s="67" t="s">
        <v>110</v>
      </c>
      <c r="B20" s="67"/>
      <c r="C20" s="67"/>
      <c r="D20" s="75"/>
      <c r="E20" s="76">
        <f>SUM(E9:E19)</f>
        <v>138.11000000000001</v>
      </c>
      <c r="F20" s="76">
        <f>SUM(F9:F19)</f>
        <v>68.919999999999987</v>
      </c>
      <c r="G20" s="76"/>
      <c r="H20" s="76">
        <f>SUM(H9:H19)</f>
        <v>126109</v>
      </c>
      <c r="I20" s="76">
        <f>SUM(I9:I19)</f>
        <v>0</v>
      </c>
      <c r="J20" s="76">
        <f>SUM(J9:J19)</f>
        <v>61661</v>
      </c>
      <c r="K20" s="76">
        <f>SUM(H20:J20)</f>
        <v>187770</v>
      </c>
      <c r="L20" s="76">
        <f>SUM(L9:L19)</f>
        <v>0</v>
      </c>
      <c r="M20" s="76">
        <f>SUM(M9:M19)</f>
        <v>0</v>
      </c>
    </row>
    <row r="21" spans="1:13" s="68" customFormat="1" ht="12.75">
      <c r="A21" s="70" t="s">
        <v>111</v>
      </c>
      <c r="B21" s="70"/>
      <c r="C21" s="70"/>
      <c r="D21" s="77"/>
      <c r="E21" s="78">
        <f>SUM(E20-F20)</f>
        <v>69.190000000000026</v>
      </c>
      <c r="F21" s="78"/>
      <c r="G21" s="78"/>
      <c r="H21" s="78">
        <f>SUM(E32*G32)</f>
        <v>63066</v>
      </c>
      <c r="I21" s="78">
        <f>I20-L20</f>
        <v>0</v>
      </c>
      <c r="J21" s="78">
        <f>J20-M20</f>
        <v>61661</v>
      </c>
      <c r="K21" s="78">
        <f>SUM(H21:J21)</f>
        <v>124727</v>
      </c>
      <c r="L21" s="70"/>
      <c r="M21" s="70"/>
    </row>
    <row r="22" spans="1:13" s="68" customFormat="1" ht="12.75"/>
    <row r="23" spans="1:13" s="68" customFormat="1" ht="12.75">
      <c r="C23" s="68" t="s">
        <v>39</v>
      </c>
    </row>
    <row r="24" spans="1:13" s="68" customFormat="1" ht="12.75"/>
    <row r="25" spans="1:13" s="68" customFormat="1" ht="12.75">
      <c r="A25" s="68" t="s">
        <v>40</v>
      </c>
    </row>
    <row r="26" spans="1:13" s="68" customFormat="1" ht="12.75">
      <c r="A26" s="79" t="s">
        <v>41</v>
      </c>
      <c r="B26" s="79"/>
      <c r="C26" s="79"/>
      <c r="D26" s="79" t="s">
        <v>42</v>
      </c>
      <c r="E26" s="79" t="s">
        <v>43</v>
      </c>
      <c r="F26" s="79"/>
      <c r="G26" s="79" t="s">
        <v>44</v>
      </c>
    </row>
    <row r="27" spans="1:13" s="68" customFormat="1" ht="12.75">
      <c r="A27" s="68" t="s">
        <v>45</v>
      </c>
      <c r="J27" s="80" t="s">
        <v>48</v>
      </c>
      <c r="K27" s="81" t="s">
        <v>112</v>
      </c>
    </row>
    <row r="28" spans="1:13" s="68" customFormat="1" ht="13.5">
      <c r="A28" s="68" t="s">
        <v>105</v>
      </c>
      <c r="D28" s="68" t="s">
        <v>156</v>
      </c>
      <c r="E28" s="72">
        <v>120</v>
      </c>
      <c r="G28" s="72">
        <v>65</v>
      </c>
      <c r="J28" s="304" t="s">
        <v>371</v>
      </c>
      <c r="K28" s="305">
        <v>76</v>
      </c>
    </row>
    <row r="29" spans="1:13" s="68" customFormat="1" ht="12.75">
      <c r="J29" s="304" t="s">
        <v>361</v>
      </c>
      <c r="K29" s="306">
        <v>12</v>
      </c>
    </row>
    <row r="30" spans="1:13" s="68" customFormat="1">
      <c r="J30" s="304" t="s">
        <v>372</v>
      </c>
      <c r="K30" s="307">
        <v>12</v>
      </c>
    </row>
    <row r="31" spans="1:13" s="68" customFormat="1">
      <c r="A31" s="68" t="s">
        <v>54</v>
      </c>
      <c r="J31" s="82"/>
      <c r="K31" s="83"/>
    </row>
    <row r="32" spans="1:13" s="68" customFormat="1">
      <c r="A32" s="68" t="s">
        <v>56</v>
      </c>
      <c r="D32" s="68" t="s">
        <v>57</v>
      </c>
      <c r="E32" s="72">
        <v>69</v>
      </c>
      <c r="G32" s="72">
        <v>914</v>
      </c>
      <c r="I32" s="83"/>
      <c r="J32" s="82"/>
      <c r="K32" s="83"/>
    </row>
    <row r="33" spans="1:11" s="68" customFormat="1">
      <c r="A33" s="68" t="s">
        <v>58</v>
      </c>
      <c r="D33" s="68" t="s">
        <v>57</v>
      </c>
      <c r="E33" s="72">
        <v>69</v>
      </c>
      <c r="I33" s="83"/>
      <c r="J33" s="84" t="s">
        <v>59</v>
      </c>
      <c r="K33" s="85">
        <v>0.72</v>
      </c>
    </row>
    <row r="34" spans="1:11" s="68" customFormat="1">
      <c r="A34" s="68" t="s">
        <v>2</v>
      </c>
      <c r="E34" s="72">
        <f>SUM(E32:E33)</f>
        <v>138</v>
      </c>
      <c r="I34" s="83"/>
      <c r="J34" s="84" t="s">
        <v>60</v>
      </c>
      <c r="K34" s="308">
        <v>0.5</v>
      </c>
    </row>
    <row r="35" spans="1:11" s="68" customFormat="1">
      <c r="I35" s="83"/>
      <c r="J35" s="82"/>
      <c r="K35" s="83"/>
    </row>
    <row r="36" spans="1:11" s="68" customFormat="1">
      <c r="A36" s="67" t="s">
        <v>165</v>
      </c>
      <c r="B36" s="67"/>
      <c r="C36" s="67" t="s">
        <v>62</v>
      </c>
      <c r="D36" s="67"/>
      <c r="E36" s="67"/>
      <c r="F36" s="67"/>
      <c r="G36" s="67"/>
      <c r="I36" s="83"/>
      <c r="J36" s="83"/>
    </row>
    <row r="37" spans="1:11" s="68" customFormat="1">
      <c r="A37" s="69"/>
      <c r="B37" s="69" t="s">
        <v>373</v>
      </c>
      <c r="C37" s="173">
        <v>84</v>
      </c>
      <c r="D37" s="69" t="s">
        <v>47</v>
      </c>
      <c r="E37" s="174">
        <v>336</v>
      </c>
      <c r="F37" s="174"/>
      <c r="G37" s="174">
        <v>26</v>
      </c>
      <c r="I37" s="83"/>
      <c r="J37" s="83"/>
    </row>
    <row r="38" spans="1:11" s="68" customFormat="1">
      <c r="A38" s="69"/>
      <c r="B38" s="69" t="s">
        <v>374</v>
      </c>
      <c r="C38" s="173">
        <v>48</v>
      </c>
      <c r="D38" s="69" t="s">
        <v>189</v>
      </c>
      <c r="E38" s="186">
        <v>32</v>
      </c>
      <c r="F38" s="174"/>
      <c r="G38" s="186">
        <v>320</v>
      </c>
      <c r="I38" s="83"/>
      <c r="J38" s="83"/>
    </row>
    <row r="39" spans="1:11" s="68" customFormat="1" ht="12.75">
      <c r="A39" s="67" t="s">
        <v>66</v>
      </c>
      <c r="B39" s="67"/>
      <c r="C39" s="67"/>
      <c r="D39" s="67"/>
      <c r="E39" s="67"/>
      <c r="F39" s="67"/>
      <c r="G39" s="67"/>
      <c r="H39" s="68" t="s">
        <v>67</v>
      </c>
    </row>
    <row r="40" spans="1:11" s="68" customFormat="1" ht="14.25">
      <c r="A40" s="69" t="s">
        <v>114</v>
      </c>
      <c r="B40" s="69"/>
      <c r="C40" s="69"/>
      <c r="D40" s="69"/>
      <c r="E40" s="69"/>
      <c r="F40" s="69"/>
      <c r="G40" s="86">
        <v>5884</v>
      </c>
      <c r="H40" s="10">
        <v>14539</v>
      </c>
      <c r="I40" s="309"/>
    </row>
    <row r="41" spans="1:11" s="68" customFormat="1" ht="12.75">
      <c r="A41" s="69" t="s">
        <v>69</v>
      </c>
      <c r="B41" s="69"/>
      <c r="C41" s="69"/>
      <c r="D41" s="69"/>
      <c r="E41" s="69"/>
      <c r="F41" s="69"/>
      <c r="G41" s="88">
        <v>71</v>
      </c>
      <c r="H41" s="72"/>
      <c r="I41" s="309"/>
    </row>
    <row r="42" spans="1:11" s="68" customFormat="1" ht="12.75">
      <c r="A42" s="69" t="s">
        <v>115</v>
      </c>
      <c r="B42" s="69"/>
      <c r="C42" s="69"/>
      <c r="D42" s="69"/>
      <c r="E42" s="69"/>
      <c r="F42" s="69"/>
      <c r="G42" s="88">
        <f>SUM(G40*G41)</f>
        <v>417764</v>
      </c>
      <c r="H42" s="72">
        <v>1032295</v>
      </c>
      <c r="I42" s="309"/>
    </row>
    <row r="43" spans="1:11" s="68" customFormat="1" ht="12.75">
      <c r="A43" s="69" t="s">
        <v>116</v>
      </c>
      <c r="B43" s="69"/>
      <c r="C43" s="69"/>
      <c r="D43" s="69"/>
      <c r="E43" s="69"/>
      <c r="F43" s="69"/>
      <c r="G43" s="88">
        <f>SUM(G42-K20)</f>
        <v>229994</v>
      </c>
      <c r="H43" s="72">
        <v>568315</v>
      </c>
      <c r="I43" s="309"/>
    </row>
    <row r="44" spans="1:11" s="68" customFormat="1" ht="12.75">
      <c r="A44" s="69" t="s">
        <v>117</v>
      </c>
      <c r="B44" s="69"/>
      <c r="C44" s="69"/>
      <c r="D44" s="69"/>
      <c r="E44" s="69"/>
      <c r="F44" s="69"/>
      <c r="G44" s="88">
        <f>SUM(G42-K21)</f>
        <v>293037</v>
      </c>
      <c r="H44" s="72">
        <v>724094</v>
      </c>
      <c r="I44" s="309"/>
    </row>
    <row r="45" spans="1:11" s="68" customFormat="1" ht="12.75">
      <c r="A45" s="69"/>
      <c r="B45" s="69"/>
      <c r="C45" s="69"/>
      <c r="D45" s="69"/>
      <c r="E45" s="69"/>
      <c r="F45" s="69"/>
      <c r="G45" s="88"/>
    </row>
    <row r="46" spans="1:11" s="68" customFormat="1" ht="12.75">
      <c r="A46" s="69" t="s">
        <v>118</v>
      </c>
      <c r="B46" s="69"/>
      <c r="C46" s="69"/>
      <c r="D46" s="69"/>
      <c r="E46" s="69"/>
      <c r="F46" s="69"/>
      <c r="G46" s="88">
        <f>SUM(K20/G40)</f>
        <v>31.911964649898028</v>
      </c>
    </row>
    <row r="47" spans="1:11" s="68" customFormat="1" ht="12.75">
      <c r="A47" s="70" t="s">
        <v>119</v>
      </c>
      <c r="B47" s="70"/>
      <c r="C47" s="70"/>
      <c r="D47" s="70"/>
      <c r="E47" s="70"/>
      <c r="F47" s="70"/>
      <c r="G47" s="89">
        <f>SUM(K21/G40)</f>
        <v>21.197654656696127</v>
      </c>
    </row>
    <row r="48" spans="1:11" s="68" customFormat="1" ht="12.75"/>
    <row r="49" spans="1:1" s="68" customFormat="1" ht="13.5">
      <c r="A49" s="90" t="s">
        <v>120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workbookViewId="0">
      <selection sqref="A1:C4"/>
    </sheetView>
  </sheetViews>
  <sheetFormatPr defaultRowHeight="15"/>
  <cols>
    <col min="1" max="16384" width="9.140625" style="311"/>
  </cols>
  <sheetData>
    <row r="1" spans="1:13">
      <c r="A1" s="310" t="s">
        <v>384</v>
      </c>
    </row>
    <row r="2" spans="1:13">
      <c r="A2" s="310" t="s">
        <v>209</v>
      </c>
    </row>
    <row r="3" spans="1:13">
      <c r="A3" s="310" t="s">
        <v>376</v>
      </c>
      <c r="B3" s="312"/>
    </row>
    <row r="4" spans="1:13">
      <c r="A4" s="310" t="s">
        <v>294</v>
      </c>
    </row>
    <row r="5" spans="1:13" s="315" customFormat="1" ht="14.25">
      <c r="A5" s="313" t="s">
        <v>0</v>
      </c>
      <c r="B5" s="313"/>
      <c r="C5" s="313"/>
      <c r="D5" s="314" t="s">
        <v>1</v>
      </c>
      <c r="E5" s="313" t="s">
        <v>2</v>
      </c>
      <c r="F5" s="313" t="s">
        <v>3</v>
      </c>
      <c r="G5" s="313" t="s">
        <v>4</v>
      </c>
      <c r="H5" s="313" t="s">
        <v>5</v>
      </c>
      <c r="I5" s="314" t="s">
        <v>6</v>
      </c>
      <c r="J5" s="313" t="s">
        <v>7</v>
      </c>
      <c r="K5" s="313" t="s">
        <v>8</v>
      </c>
      <c r="L5" s="313" t="s">
        <v>9</v>
      </c>
      <c r="M5" s="313"/>
    </row>
    <row r="6" spans="1:13" s="315" customFormat="1" ht="14.25">
      <c r="D6" s="316" t="s">
        <v>10</v>
      </c>
      <c r="E6" s="315" t="s">
        <v>11</v>
      </c>
      <c r="F6" s="315" t="s">
        <v>11</v>
      </c>
      <c r="G6" s="315" t="s">
        <v>12</v>
      </c>
      <c r="H6" s="315" t="s">
        <v>13</v>
      </c>
      <c r="I6" s="316" t="s">
        <v>14</v>
      </c>
      <c r="J6" s="315" t="s">
        <v>13</v>
      </c>
      <c r="K6" s="315" t="s">
        <v>13</v>
      </c>
      <c r="L6" s="315" t="s">
        <v>6</v>
      </c>
      <c r="M6" s="315" t="s">
        <v>7</v>
      </c>
    </row>
    <row r="7" spans="1:13" s="315" customFormat="1" ht="14.25">
      <c r="A7" s="317"/>
      <c r="B7" s="317"/>
      <c r="C7" s="317"/>
      <c r="D7" s="318" t="s">
        <v>15</v>
      </c>
      <c r="E7" s="317"/>
      <c r="F7" s="317"/>
      <c r="G7" s="317"/>
      <c r="H7" s="317" t="s">
        <v>16</v>
      </c>
      <c r="I7" s="318" t="s">
        <v>13</v>
      </c>
      <c r="J7" s="317" t="s">
        <v>16</v>
      </c>
      <c r="K7" s="317" t="s">
        <v>16</v>
      </c>
      <c r="L7" s="317"/>
      <c r="M7" s="317"/>
    </row>
    <row r="8" spans="1:13" s="315" customFormat="1" ht="14.25">
      <c r="A8" s="315" t="s">
        <v>172</v>
      </c>
      <c r="D8" s="316">
        <v>68</v>
      </c>
      <c r="E8" s="315">
        <v>3.8</v>
      </c>
      <c r="F8" s="315">
        <v>3</v>
      </c>
      <c r="G8" s="319">
        <v>1200</v>
      </c>
      <c r="H8" s="319">
        <f t="shared" ref="H8:H13" si="0">SUM(E8*G8)</f>
        <v>4560</v>
      </c>
      <c r="I8" s="316"/>
      <c r="K8" s="319">
        <f>SUM(H8:J8)</f>
        <v>4560</v>
      </c>
    </row>
    <row r="9" spans="1:13" s="315" customFormat="1" ht="14.25">
      <c r="A9" s="315" t="s">
        <v>377</v>
      </c>
      <c r="D9" s="316">
        <v>90</v>
      </c>
      <c r="E9" s="315">
        <v>0.5</v>
      </c>
      <c r="F9" s="315">
        <v>0.5</v>
      </c>
      <c r="G9" s="319">
        <v>1000</v>
      </c>
      <c r="H9" s="319">
        <f>SUM(E9*G9)</f>
        <v>500</v>
      </c>
      <c r="I9" s="320">
        <v>5623</v>
      </c>
      <c r="K9" s="319">
        <f t="shared" ref="K9:K13" si="1">SUM(H9:J9)</f>
        <v>6123</v>
      </c>
    </row>
    <row r="10" spans="1:13" s="315" customFormat="1" ht="14.25">
      <c r="A10" s="315" t="s">
        <v>378</v>
      </c>
      <c r="D10" s="316">
        <v>100</v>
      </c>
      <c r="E10" s="315">
        <v>3.1</v>
      </c>
      <c r="F10" s="315">
        <v>2.4</v>
      </c>
      <c r="G10" s="319">
        <v>1074</v>
      </c>
      <c r="H10" s="319">
        <v>3329</v>
      </c>
      <c r="I10" s="316"/>
      <c r="J10" s="319">
        <f>E20*G20</f>
        <v>1260</v>
      </c>
      <c r="K10" s="319">
        <v>4589</v>
      </c>
      <c r="M10" s="315">
        <v>260</v>
      </c>
    </row>
    <row r="11" spans="1:13" s="315" customFormat="1" ht="14.25">
      <c r="A11" s="315" t="s">
        <v>25</v>
      </c>
      <c r="D11" s="316">
        <v>50</v>
      </c>
      <c r="E11" s="315">
        <v>0.6</v>
      </c>
      <c r="F11" s="315">
        <v>0.6</v>
      </c>
      <c r="G11" s="319">
        <v>1000</v>
      </c>
      <c r="H11" s="319">
        <v>1200</v>
      </c>
      <c r="I11" s="316"/>
      <c r="J11" s="319">
        <f>G24*E24</f>
        <v>576</v>
      </c>
      <c r="K11" s="319">
        <f>SUM(H11:J11)</f>
        <v>1776</v>
      </c>
    </row>
    <row r="12" spans="1:13" s="315" customFormat="1" ht="13.5" customHeight="1">
      <c r="A12" s="315" t="s">
        <v>379</v>
      </c>
      <c r="D12" s="316">
        <v>100</v>
      </c>
      <c r="E12" s="315">
        <v>8.3000000000000007</v>
      </c>
      <c r="F12" s="315">
        <v>6.3</v>
      </c>
      <c r="G12" s="319">
        <v>1099</v>
      </c>
      <c r="H12" s="319">
        <v>9122</v>
      </c>
      <c r="I12" s="316"/>
      <c r="J12" s="319"/>
      <c r="K12" s="319">
        <v>9122</v>
      </c>
    </row>
    <row r="13" spans="1:13" s="315" customFormat="1" ht="14.25">
      <c r="A13" s="315" t="s">
        <v>380</v>
      </c>
      <c r="D13" s="316">
        <v>100</v>
      </c>
      <c r="E13" s="315">
        <v>3.9</v>
      </c>
      <c r="F13" s="315">
        <v>3</v>
      </c>
      <c r="G13" s="319">
        <v>1170</v>
      </c>
      <c r="H13" s="319">
        <f t="shared" si="0"/>
        <v>4563</v>
      </c>
      <c r="I13" s="316"/>
      <c r="J13" s="319"/>
      <c r="K13" s="319">
        <f t="shared" si="1"/>
        <v>4563</v>
      </c>
    </row>
    <row r="14" spans="1:13" s="315" customFormat="1" ht="14.25">
      <c r="A14" s="313" t="s">
        <v>37</v>
      </c>
      <c r="B14" s="313"/>
      <c r="C14" s="313"/>
      <c r="D14" s="314"/>
      <c r="E14" s="313">
        <f>SUM(E8:E13)</f>
        <v>20.2</v>
      </c>
      <c r="F14" s="313">
        <f>SUM(F8:F13)</f>
        <v>15.8</v>
      </c>
      <c r="G14" s="313"/>
      <c r="H14" s="321">
        <f>SUM(H8:H13)</f>
        <v>23274</v>
      </c>
      <c r="I14" s="322">
        <f>SUM(I8:I13)</f>
        <v>5623</v>
      </c>
      <c r="J14" s="321">
        <f>SUM(J8:J13)</f>
        <v>1836</v>
      </c>
      <c r="K14" s="321">
        <f>SUM(H14:J14)</f>
        <v>30733</v>
      </c>
      <c r="L14" s="313">
        <f>SUM(L8:L13)</f>
        <v>0</v>
      </c>
      <c r="M14" s="313">
        <f>SUM(M8:M13)</f>
        <v>260</v>
      </c>
    </row>
    <row r="15" spans="1:13" s="315" customFormat="1" ht="14.25">
      <c r="A15" s="317" t="s">
        <v>38</v>
      </c>
      <c r="B15" s="317"/>
      <c r="C15" s="317"/>
      <c r="D15" s="318"/>
      <c r="E15" s="317">
        <f>SUM(E14-F14)</f>
        <v>4.3999999999999986</v>
      </c>
      <c r="F15" s="317"/>
      <c r="G15" s="317"/>
      <c r="H15" s="323">
        <f>E27*G27</f>
        <v>4656</v>
      </c>
      <c r="I15" s="324">
        <f>I14-L14</f>
        <v>5623</v>
      </c>
      <c r="J15" s="323">
        <f>J14-M14</f>
        <v>1576</v>
      </c>
      <c r="K15" s="323">
        <f>SUM(H15:J15)</f>
        <v>11855</v>
      </c>
      <c r="L15" s="317"/>
      <c r="M15" s="317"/>
    </row>
    <row r="16" spans="1:13" s="315" customFormat="1" ht="14.25">
      <c r="C16" s="315" t="s">
        <v>39</v>
      </c>
      <c r="D16" s="316"/>
      <c r="I16" s="316"/>
    </row>
    <row r="17" spans="1:13" s="315" customFormat="1" ht="14.25">
      <c r="A17" s="315" t="s">
        <v>40</v>
      </c>
      <c r="D17" s="316"/>
      <c r="I17" s="316"/>
    </row>
    <row r="18" spans="1:13" s="315" customFormat="1" ht="14.25">
      <c r="A18" s="325" t="s">
        <v>41</v>
      </c>
      <c r="B18" s="325"/>
      <c r="C18" s="325"/>
      <c r="D18" s="326" t="s">
        <v>42</v>
      </c>
      <c r="E18" s="325" t="s">
        <v>43</v>
      </c>
      <c r="F18" s="325"/>
      <c r="G18" s="325" t="s">
        <v>44</v>
      </c>
      <c r="H18" s="325"/>
      <c r="I18" s="326"/>
      <c r="J18" s="325"/>
      <c r="K18" s="325"/>
      <c r="L18" s="325"/>
      <c r="M18" s="325"/>
    </row>
    <row r="19" spans="1:13" s="315" customFormat="1" ht="14.25">
      <c r="A19" s="315" t="s">
        <v>45</v>
      </c>
      <c r="D19" s="316"/>
      <c r="I19" s="316"/>
      <c r="K19" s="315" t="s">
        <v>381</v>
      </c>
    </row>
    <row r="20" spans="1:13" s="315" customFormat="1" ht="14.25">
      <c r="A20" s="315" t="s">
        <v>105</v>
      </c>
      <c r="D20" s="316" t="s">
        <v>47</v>
      </c>
      <c r="E20" s="320">
        <v>5</v>
      </c>
      <c r="G20" s="319">
        <v>252</v>
      </c>
      <c r="I20" s="316"/>
      <c r="K20" s="327" t="s">
        <v>94</v>
      </c>
      <c r="L20" s="328">
        <v>0.86</v>
      </c>
    </row>
    <row r="21" spans="1:13" s="315" customFormat="1" ht="14.25">
      <c r="D21" s="316"/>
      <c r="E21" s="316"/>
      <c r="G21" s="319"/>
      <c r="I21" s="316"/>
      <c r="K21" s="327" t="s">
        <v>382</v>
      </c>
      <c r="L21" s="328">
        <v>0.14000000000000001</v>
      </c>
    </row>
    <row r="22" spans="1:13" s="315" customFormat="1" ht="14.25">
      <c r="A22" s="329" t="s">
        <v>165</v>
      </c>
      <c r="C22" s="329" t="s">
        <v>62</v>
      </c>
      <c r="D22" s="329"/>
      <c r="E22" s="329"/>
      <c r="F22" s="329"/>
      <c r="G22" s="329"/>
      <c r="I22" s="316"/>
    </row>
    <row r="23" spans="1:13" s="315" customFormat="1" ht="14.25">
      <c r="A23" s="329"/>
      <c r="B23" s="330"/>
      <c r="I23" s="316"/>
    </row>
    <row r="24" spans="1:13" s="315" customFormat="1" ht="14.25">
      <c r="A24" s="329" t="s">
        <v>63</v>
      </c>
      <c r="B24" s="330"/>
      <c r="C24" s="331">
        <v>50</v>
      </c>
      <c r="D24" s="329"/>
      <c r="E24" s="329">
        <v>24</v>
      </c>
      <c r="F24" s="329"/>
      <c r="G24" s="329">
        <v>24</v>
      </c>
      <c r="I24" s="316"/>
    </row>
    <row r="25" spans="1:13" s="315" customFormat="1" ht="14.25">
      <c r="A25" s="329"/>
      <c r="B25" s="330"/>
      <c r="C25" s="331"/>
      <c r="D25" s="329"/>
      <c r="E25" s="330"/>
      <c r="F25" s="329"/>
      <c r="G25" s="329"/>
      <c r="I25" s="316"/>
    </row>
    <row r="26" spans="1:13" s="315" customFormat="1" ht="14.25">
      <c r="A26" s="315" t="s">
        <v>54</v>
      </c>
      <c r="D26" s="316"/>
      <c r="I26" s="316"/>
    </row>
    <row r="27" spans="1:13" s="315" customFormat="1" ht="14.25">
      <c r="A27" s="315" t="s">
        <v>56</v>
      </c>
      <c r="D27" s="316" t="s">
        <v>57</v>
      </c>
      <c r="E27" s="319">
        <v>4</v>
      </c>
      <c r="F27" s="319"/>
      <c r="G27" s="319">
        <v>1164</v>
      </c>
      <c r="I27" s="316"/>
      <c r="K27" s="332" t="s">
        <v>383</v>
      </c>
      <c r="L27" s="332">
        <f>49.5/30</f>
        <v>1.65</v>
      </c>
    </row>
    <row r="28" spans="1:13" s="315" customFormat="1" ht="14.25">
      <c r="A28" s="315" t="s">
        <v>58</v>
      </c>
      <c r="D28" s="316" t="s">
        <v>57</v>
      </c>
      <c r="E28" s="319">
        <v>16</v>
      </c>
      <c r="F28" s="319"/>
      <c r="I28" s="316"/>
      <c r="K28" s="332" t="s">
        <v>60</v>
      </c>
      <c r="L28" s="333">
        <v>1</v>
      </c>
    </row>
    <row r="29" spans="1:13" s="315" customFormat="1" ht="14.25">
      <c r="A29" s="315" t="s">
        <v>2</v>
      </c>
      <c r="D29" s="316"/>
      <c r="E29" s="319">
        <f>SUM(E27:E28)</f>
        <v>20</v>
      </c>
      <c r="F29" s="319"/>
      <c r="I29" s="316"/>
    </row>
    <row r="30" spans="1:13" s="315" customFormat="1" ht="14.25">
      <c r="D30" s="316"/>
      <c r="I30" s="316"/>
    </row>
    <row r="31" spans="1:13" s="315" customFormat="1" ht="14.25">
      <c r="D31" s="316"/>
      <c r="I31" s="316"/>
    </row>
    <row r="32" spans="1:13" s="315" customFormat="1" ht="14.25">
      <c r="A32" s="313" t="s">
        <v>66</v>
      </c>
      <c r="B32" s="313"/>
      <c r="C32" s="313"/>
      <c r="D32" s="314"/>
      <c r="E32" s="313"/>
      <c r="F32" s="313"/>
      <c r="G32" s="334" t="s">
        <v>168</v>
      </c>
      <c r="H32" s="313"/>
      <c r="I32" s="334" t="s">
        <v>228</v>
      </c>
      <c r="J32" s="313"/>
      <c r="K32" s="313"/>
      <c r="L32" s="313"/>
      <c r="M32" s="313"/>
    </row>
    <row r="33" spans="1:13" s="315" customFormat="1" ht="14.25">
      <c r="A33" s="315" t="s">
        <v>68</v>
      </c>
      <c r="D33" s="316"/>
      <c r="G33" s="319">
        <v>490</v>
      </c>
      <c r="I33" s="335">
        <v>1211</v>
      </c>
      <c r="J33" s="335"/>
    </row>
    <row r="34" spans="1:13" s="315" customFormat="1" ht="14.25">
      <c r="A34" s="315" t="s">
        <v>69</v>
      </c>
      <c r="D34" s="316"/>
      <c r="G34" s="319">
        <v>112</v>
      </c>
      <c r="I34" s="335"/>
    </row>
    <row r="35" spans="1:13" s="315" customFormat="1" ht="14.25">
      <c r="A35" s="315" t="s">
        <v>70</v>
      </c>
      <c r="D35" s="316"/>
      <c r="G35" s="319">
        <f>SUM(G33*G34)</f>
        <v>54880</v>
      </c>
      <c r="I35" s="336">
        <f>G35*2.471</f>
        <v>135608.48000000001</v>
      </c>
    </row>
    <row r="36" spans="1:13" s="315" customFormat="1" ht="14.25">
      <c r="A36" s="315" t="s">
        <v>71</v>
      </c>
      <c r="D36" s="316"/>
      <c r="G36" s="319">
        <f>SUM(G35-K14)</f>
        <v>24147</v>
      </c>
      <c r="I36" s="336">
        <f t="shared" ref="I36:I37" si="2">G36*2.471</f>
        <v>59667.237000000001</v>
      </c>
    </row>
    <row r="37" spans="1:13" s="315" customFormat="1" ht="14.25">
      <c r="A37" s="315" t="s">
        <v>72</v>
      </c>
      <c r="D37" s="316"/>
      <c r="G37" s="319">
        <f>SUM(G35-K15)</f>
        <v>43025</v>
      </c>
      <c r="I37" s="336">
        <f t="shared" si="2"/>
        <v>106314.77500000001</v>
      </c>
    </row>
    <row r="38" spans="1:13" s="315" customFormat="1" ht="14.25">
      <c r="A38" s="315" t="s">
        <v>73</v>
      </c>
      <c r="D38" s="316"/>
      <c r="G38" s="319">
        <f>SUM(K14/G33)</f>
        <v>62.720408163265304</v>
      </c>
      <c r="I38" s="316"/>
    </row>
    <row r="39" spans="1:13" s="315" customFormat="1" ht="14.25">
      <c r="A39" s="317" t="s">
        <v>74</v>
      </c>
      <c r="B39" s="317"/>
      <c r="C39" s="317"/>
      <c r="D39" s="318"/>
      <c r="E39" s="317"/>
      <c r="F39" s="317"/>
      <c r="G39" s="323">
        <f>SUM(K15/G33)</f>
        <v>24.193877551020407</v>
      </c>
      <c r="H39" s="317"/>
      <c r="I39" s="318"/>
      <c r="J39" s="317"/>
      <c r="K39" s="317"/>
      <c r="L39" s="317"/>
      <c r="M39" s="317"/>
    </row>
    <row r="40" spans="1:13" s="315" customFormat="1" ht="14.25">
      <c r="D40" s="316"/>
      <c r="I40" s="316"/>
    </row>
    <row r="41" spans="1:13" s="315" customFormat="1" ht="14.25">
      <c r="D41" s="316"/>
      <c r="I41" s="316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workbookViewId="0">
      <selection sqref="A1:B4"/>
    </sheetView>
  </sheetViews>
  <sheetFormatPr defaultRowHeight="15"/>
  <cols>
    <col min="1" max="16384" width="9.140625" style="311"/>
  </cols>
  <sheetData>
    <row r="1" spans="1:17">
      <c r="A1" s="310" t="s">
        <v>407</v>
      </c>
    </row>
    <row r="2" spans="1:17">
      <c r="A2" s="310" t="s">
        <v>214</v>
      </c>
    </row>
    <row r="3" spans="1:17">
      <c r="A3" s="310" t="s">
        <v>376</v>
      </c>
      <c r="B3" s="312"/>
    </row>
    <row r="4" spans="1:17">
      <c r="A4" s="310" t="s">
        <v>408</v>
      </c>
    </row>
    <row r="5" spans="1:17" s="337" customFormat="1" ht="14.25">
      <c r="A5" s="313" t="s">
        <v>0</v>
      </c>
      <c r="B5" s="313"/>
      <c r="C5" s="313"/>
      <c r="D5" s="334" t="s">
        <v>1</v>
      </c>
      <c r="E5" s="334" t="s">
        <v>2</v>
      </c>
      <c r="F5" s="334" t="s">
        <v>3</v>
      </c>
      <c r="G5" s="334" t="s">
        <v>4</v>
      </c>
      <c r="H5" s="334" t="s">
        <v>5</v>
      </c>
      <c r="I5" s="334" t="s">
        <v>6</v>
      </c>
      <c r="J5" s="334" t="s">
        <v>7</v>
      </c>
      <c r="K5" s="334" t="s">
        <v>8</v>
      </c>
      <c r="L5" s="314" t="s">
        <v>9</v>
      </c>
      <c r="M5" s="334"/>
    </row>
    <row r="6" spans="1:17" s="337" customFormat="1" ht="14.25">
      <c r="A6" s="315"/>
      <c r="B6" s="315"/>
      <c r="C6" s="315"/>
      <c r="D6" s="338" t="s">
        <v>10</v>
      </c>
      <c r="E6" s="338" t="s">
        <v>11</v>
      </c>
      <c r="F6" s="338" t="s">
        <v>11</v>
      </c>
      <c r="G6" s="338" t="s">
        <v>12</v>
      </c>
      <c r="H6" s="338" t="s">
        <v>13</v>
      </c>
      <c r="I6" s="338" t="s">
        <v>14</v>
      </c>
      <c r="J6" s="338" t="s">
        <v>13</v>
      </c>
      <c r="K6" s="338" t="s">
        <v>13</v>
      </c>
      <c r="L6" s="316" t="s">
        <v>6</v>
      </c>
      <c r="M6" s="338" t="s">
        <v>7</v>
      </c>
    </row>
    <row r="7" spans="1:17" s="337" customFormat="1" ht="14.25">
      <c r="A7" s="315"/>
      <c r="B7" s="315"/>
      <c r="C7" s="315"/>
      <c r="D7" s="338" t="s">
        <v>15</v>
      </c>
      <c r="E7" s="338"/>
      <c r="F7" s="338"/>
      <c r="G7" s="338"/>
      <c r="H7" s="338" t="s">
        <v>16</v>
      </c>
      <c r="I7" s="338" t="s">
        <v>13</v>
      </c>
      <c r="J7" s="338" t="s">
        <v>16</v>
      </c>
      <c r="K7" s="338" t="s">
        <v>16</v>
      </c>
      <c r="L7" s="338"/>
      <c r="M7" s="338"/>
    </row>
    <row r="8" spans="1:17" s="337" customFormat="1" ht="14.25">
      <c r="A8" s="317"/>
      <c r="B8" s="317"/>
      <c r="C8" s="317"/>
      <c r="D8" s="339"/>
      <c r="E8" s="339"/>
      <c r="F8" s="339"/>
      <c r="G8" s="339"/>
      <c r="H8" s="339"/>
      <c r="I8" s="339" t="s">
        <v>16</v>
      </c>
      <c r="J8" s="339"/>
      <c r="K8" s="339"/>
      <c r="L8" s="339"/>
      <c r="M8" s="339"/>
    </row>
    <row r="9" spans="1:17" s="337" customFormat="1" ht="14.25">
      <c r="A9" s="337" t="s">
        <v>172</v>
      </c>
      <c r="D9" s="340">
        <v>44</v>
      </c>
      <c r="E9" s="341">
        <v>2.8</v>
      </c>
      <c r="F9" s="341">
        <v>2.6</v>
      </c>
      <c r="G9" s="342">
        <v>900</v>
      </c>
      <c r="H9" s="341">
        <f t="shared" ref="H9:H10" si="0">SUM(E9*G9)</f>
        <v>2520</v>
      </c>
      <c r="J9" s="341"/>
      <c r="K9" s="341">
        <f t="shared" ref="K9:K17" si="1">SUM(H9:J9)</f>
        <v>2520</v>
      </c>
      <c r="Q9" s="341"/>
    </row>
    <row r="10" spans="1:17" s="337" customFormat="1" ht="14.25">
      <c r="A10" s="337" t="s">
        <v>125</v>
      </c>
      <c r="D10" s="340">
        <v>100</v>
      </c>
      <c r="E10" s="341">
        <v>0.73</v>
      </c>
      <c r="F10" s="341">
        <v>0.28999999999999998</v>
      </c>
      <c r="G10" s="342">
        <v>1000</v>
      </c>
      <c r="H10" s="341">
        <f t="shared" si="0"/>
        <v>730</v>
      </c>
      <c r="I10" s="341">
        <v>5752</v>
      </c>
      <c r="J10" s="341"/>
      <c r="K10" s="341">
        <f t="shared" si="1"/>
        <v>6482</v>
      </c>
      <c r="L10" s="341">
        <v>1886</v>
      </c>
      <c r="Q10" s="341"/>
    </row>
    <row r="11" spans="1:17" s="337" customFormat="1" ht="14.25">
      <c r="A11" s="337" t="s">
        <v>385</v>
      </c>
      <c r="D11" s="340">
        <v>74</v>
      </c>
      <c r="E11" s="341">
        <v>4.45</v>
      </c>
      <c r="F11" s="341">
        <v>1.18</v>
      </c>
      <c r="G11" s="342">
        <v>987</v>
      </c>
      <c r="H11" s="341">
        <v>4392</v>
      </c>
      <c r="I11" s="341"/>
      <c r="J11" s="341">
        <v>5517</v>
      </c>
      <c r="K11" s="341">
        <f>SUM(H11:J11)</f>
        <v>9909</v>
      </c>
      <c r="Q11" s="341"/>
    </row>
    <row r="12" spans="1:17" s="337" customFormat="1" ht="14.25">
      <c r="A12" s="337" t="s">
        <v>386</v>
      </c>
      <c r="D12" s="343" t="s">
        <v>217</v>
      </c>
      <c r="E12" s="344" t="s">
        <v>387</v>
      </c>
      <c r="F12" s="344" t="s">
        <v>388</v>
      </c>
      <c r="G12" s="345" t="s">
        <v>139</v>
      </c>
      <c r="H12" s="341" t="s">
        <v>389</v>
      </c>
      <c r="I12" s="341"/>
      <c r="J12" s="341"/>
      <c r="K12" s="341">
        <f t="shared" si="1"/>
        <v>0</v>
      </c>
      <c r="L12" s="346" t="s">
        <v>390</v>
      </c>
      <c r="Q12" s="341"/>
    </row>
    <row r="13" spans="1:17" s="337" customFormat="1" ht="14.25">
      <c r="A13" s="337" t="s">
        <v>391</v>
      </c>
      <c r="D13" s="343" t="s">
        <v>392</v>
      </c>
      <c r="E13" s="344" t="s">
        <v>393</v>
      </c>
      <c r="F13" s="344" t="s">
        <v>394</v>
      </c>
      <c r="G13" s="345" t="s">
        <v>139</v>
      </c>
      <c r="H13" s="341" t="s">
        <v>395</v>
      </c>
      <c r="I13" s="341"/>
      <c r="J13" s="341"/>
      <c r="K13" s="341">
        <f t="shared" si="1"/>
        <v>0</v>
      </c>
      <c r="L13" s="346" t="s">
        <v>396</v>
      </c>
    </row>
    <row r="14" spans="1:17" s="337" customFormat="1" ht="14.25">
      <c r="A14" s="337" t="s">
        <v>25</v>
      </c>
      <c r="D14" s="340">
        <v>100</v>
      </c>
      <c r="E14" s="341">
        <v>2.54</v>
      </c>
      <c r="F14" s="341">
        <v>1.67</v>
      </c>
      <c r="G14" s="342">
        <v>995</v>
      </c>
      <c r="H14" s="341">
        <v>2527</v>
      </c>
      <c r="I14" s="341"/>
      <c r="J14" s="341">
        <f>E36*G36+E37*G37+E38*G38</f>
        <v>4906</v>
      </c>
      <c r="K14" s="341">
        <f t="shared" si="1"/>
        <v>7433</v>
      </c>
    </row>
    <row r="15" spans="1:17" s="337" customFormat="1" ht="14.25">
      <c r="A15" s="337" t="s">
        <v>127</v>
      </c>
      <c r="D15" s="340">
        <v>90</v>
      </c>
      <c r="E15" s="341">
        <v>4.96</v>
      </c>
      <c r="F15" s="341">
        <v>2.17</v>
      </c>
      <c r="G15" s="342">
        <v>998</v>
      </c>
      <c r="H15" s="341">
        <v>4950</v>
      </c>
      <c r="I15" s="341"/>
      <c r="J15" s="341"/>
      <c r="K15" s="341">
        <f t="shared" si="1"/>
        <v>4950</v>
      </c>
    </row>
    <row r="16" spans="1:17" s="337" customFormat="1" ht="14.25">
      <c r="A16" s="337" t="s">
        <v>210</v>
      </c>
      <c r="D16" s="340">
        <v>100</v>
      </c>
      <c r="E16" s="341">
        <v>7.75</v>
      </c>
      <c r="F16" s="341">
        <v>3.57</v>
      </c>
      <c r="G16" s="342">
        <v>1077</v>
      </c>
      <c r="H16" s="341">
        <v>8347</v>
      </c>
      <c r="I16" s="341"/>
      <c r="J16" s="341"/>
      <c r="K16" s="341">
        <f t="shared" si="1"/>
        <v>8347</v>
      </c>
    </row>
    <row r="17" spans="1:13" s="337" customFormat="1" ht="14.25">
      <c r="A17" s="337" t="s">
        <v>397</v>
      </c>
      <c r="D17" s="340">
        <v>70</v>
      </c>
      <c r="E17" s="341">
        <v>0.98</v>
      </c>
      <c r="F17" s="341">
        <v>0.39</v>
      </c>
      <c r="G17" s="342">
        <v>1003</v>
      </c>
      <c r="H17" s="341">
        <v>983</v>
      </c>
      <c r="I17" s="341">
        <v>1737</v>
      </c>
      <c r="J17" s="341"/>
      <c r="K17" s="341">
        <f t="shared" si="1"/>
        <v>2720</v>
      </c>
    </row>
    <row r="18" spans="1:13" s="337" customFormat="1" ht="14.25">
      <c r="A18" s="337" t="s">
        <v>398</v>
      </c>
      <c r="D18" s="347" t="s">
        <v>21</v>
      </c>
      <c r="E18" s="344" t="s">
        <v>399</v>
      </c>
      <c r="F18" s="344" t="s">
        <v>400</v>
      </c>
      <c r="G18" s="345" t="s">
        <v>139</v>
      </c>
      <c r="H18" s="341">
        <v>0</v>
      </c>
      <c r="I18" s="346" t="s">
        <v>401</v>
      </c>
      <c r="J18" s="341"/>
      <c r="K18" s="341">
        <v>0</v>
      </c>
      <c r="L18" s="346" t="s">
        <v>402</v>
      </c>
    </row>
    <row r="19" spans="1:13" s="337" customFormat="1" ht="14.25">
      <c r="A19" s="313" t="s">
        <v>37</v>
      </c>
      <c r="B19" s="313"/>
      <c r="C19" s="313"/>
      <c r="D19" s="348"/>
      <c r="E19" s="321">
        <f>SUM(E9:E18)</f>
        <v>24.21</v>
      </c>
      <c r="F19" s="321">
        <f>SUM(F9:F18)</f>
        <v>11.870000000000001</v>
      </c>
      <c r="G19" s="321"/>
      <c r="H19" s="321">
        <f>SUM(H9:H18)</f>
        <v>24449</v>
      </c>
      <c r="I19" s="321">
        <f>SUM(I9:I18)</f>
        <v>7489</v>
      </c>
      <c r="J19" s="321">
        <f>SUM(J9:J18)</f>
        <v>10423</v>
      </c>
      <c r="K19" s="321">
        <f>SUM(H19:J19)</f>
        <v>42361</v>
      </c>
      <c r="L19" s="321">
        <f>SUM(L9:L18)</f>
        <v>1886</v>
      </c>
      <c r="M19" s="313">
        <f>SUM(M9:M18)</f>
        <v>0</v>
      </c>
    </row>
    <row r="20" spans="1:13" s="337" customFormat="1" ht="14.25">
      <c r="A20" s="317" t="s">
        <v>38</v>
      </c>
      <c r="B20" s="317"/>
      <c r="C20" s="317"/>
      <c r="D20" s="349"/>
      <c r="E20" s="323">
        <f>SUM(E19-F19)</f>
        <v>12.34</v>
      </c>
      <c r="F20" s="323"/>
      <c r="G20" s="323"/>
      <c r="H20" s="323">
        <f>SUM(E31*G31)</f>
        <v>12228</v>
      </c>
      <c r="I20" s="323">
        <f>I19-L19</f>
        <v>5603</v>
      </c>
      <c r="J20" s="323">
        <f>J19-M19</f>
        <v>10423</v>
      </c>
      <c r="K20" s="323">
        <f>SUM(H20:J20)</f>
        <v>28254</v>
      </c>
      <c r="L20" s="317"/>
      <c r="M20" s="317"/>
    </row>
    <row r="21" spans="1:13" s="337" customFormat="1" ht="14.25"/>
    <row r="22" spans="1:13" s="337" customFormat="1" ht="14.25">
      <c r="C22" s="337" t="s">
        <v>39</v>
      </c>
    </row>
    <row r="23" spans="1:13" s="337" customFormat="1" ht="14.25"/>
    <row r="24" spans="1:13" s="337" customFormat="1" ht="14.25">
      <c r="A24" s="337" t="s">
        <v>40</v>
      </c>
    </row>
    <row r="25" spans="1:13" s="337" customFormat="1" ht="14.25">
      <c r="A25" s="325" t="s">
        <v>41</v>
      </c>
      <c r="B25" s="325"/>
      <c r="C25" s="325"/>
      <c r="D25" s="325" t="s">
        <v>42</v>
      </c>
      <c r="E25" s="325" t="s">
        <v>43</v>
      </c>
      <c r="F25" s="325"/>
      <c r="G25" s="325" t="s">
        <v>44</v>
      </c>
    </row>
    <row r="26" spans="1:13" s="337" customFormat="1" ht="14.25">
      <c r="A26" s="337" t="s">
        <v>45</v>
      </c>
    </row>
    <row r="27" spans="1:13" s="337" customFormat="1" ht="15.75">
      <c r="A27" s="337" t="s">
        <v>128</v>
      </c>
      <c r="D27" s="337" t="s">
        <v>47</v>
      </c>
      <c r="E27" s="341">
        <v>5.5</v>
      </c>
      <c r="F27" s="341"/>
      <c r="G27" s="341">
        <v>1003</v>
      </c>
      <c r="I27" s="350" t="s">
        <v>59</v>
      </c>
      <c r="J27" s="351">
        <v>4.42</v>
      </c>
    </row>
    <row r="28" spans="1:13" s="337" customFormat="1" ht="15.75">
      <c r="I28" s="350" t="s">
        <v>60</v>
      </c>
      <c r="J28" s="351">
        <v>4</v>
      </c>
    </row>
    <row r="29" spans="1:13" s="337" customFormat="1" ht="14.25"/>
    <row r="30" spans="1:13" s="337" customFormat="1">
      <c r="A30" s="337" t="s">
        <v>54</v>
      </c>
      <c r="I30" s="352" t="s">
        <v>403</v>
      </c>
      <c r="J30" s="352">
        <v>68</v>
      </c>
    </row>
    <row r="31" spans="1:13" s="337" customFormat="1">
      <c r="A31" s="337" t="s">
        <v>56</v>
      </c>
      <c r="D31" s="337" t="s">
        <v>57</v>
      </c>
      <c r="E31" s="341">
        <v>12</v>
      </c>
      <c r="G31" s="341">
        <v>1019</v>
      </c>
      <c r="I31" s="353" t="s">
        <v>404</v>
      </c>
      <c r="J31" s="354">
        <v>26</v>
      </c>
    </row>
    <row r="32" spans="1:13" s="337" customFormat="1">
      <c r="A32" s="337" t="s">
        <v>58</v>
      </c>
      <c r="D32" s="337" t="s">
        <v>57</v>
      </c>
      <c r="E32" s="341">
        <v>12</v>
      </c>
      <c r="I32" s="352" t="s">
        <v>405</v>
      </c>
      <c r="J32" s="354">
        <v>6</v>
      </c>
    </row>
    <row r="33" spans="1:9" s="337" customFormat="1" ht="14.25">
      <c r="A33" s="337" t="s">
        <v>2</v>
      </c>
      <c r="E33" s="341">
        <f>SUM(E31:E32)</f>
        <v>24</v>
      </c>
    </row>
    <row r="34" spans="1:9" s="337" customFormat="1" ht="14.25"/>
    <row r="35" spans="1:9" s="337" customFormat="1" ht="14.25">
      <c r="A35" s="313" t="s">
        <v>61</v>
      </c>
      <c r="B35" s="313"/>
      <c r="C35" s="313" t="s">
        <v>62</v>
      </c>
      <c r="D35" s="313"/>
      <c r="E35" s="313"/>
      <c r="F35" s="313"/>
      <c r="G35" s="313"/>
    </row>
    <row r="36" spans="1:9" s="337" customFormat="1" ht="14.25">
      <c r="A36" s="315"/>
      <c r="B36" s="316" t="s">
        <v>129</v>
      </c>
      <c r="C36" s="355">
        <v>48</v>
      </c>
      <c r="D36" s="315" t="s">
        <v>47</v>
      </c>
      <c r="E36" s="319">
        <v>43</v>
      </c>
      <c r="F36" s="319"/>
      <c r="G36" s="319">
        <v>26</v>
      </c>
    </row>
    <row r="37" spans="1:9" s="337" customFormat="1" ht="14.25">
      <c r="B37" s="316" t="s">
        <v>63</v>
      </c>
      <c r="C37" s="355">
        <v>90</v>
      </c>
      <c r="D37" s="315" t="s">
        <v>47</v>
      </c>
      <c r="E37" s="319">
        <v>134</v>
      </c>
      <c r="F37" s="319"/>
      <c r="G37" s="319">
        <v>24</v>
      </c>
    </row>
    <row r="38" spans="1:9" s="337" customFormat="1" ht="14.25">
      <c r="A38" s="315"/>
      <c r="B38" s="316" t="s">
        <v>406</v>
      </c>
      <c r="C38" s="355">
        <v>74</v>
      </c>
      <c r="D38" s="315" t="s">
        <v>47</v>
      </c>
      <c r="E38" s="319">
        <v>22</v>
      </c>
      <c r="F38" s="319"/>
      <c r="G38" s="319">
        <v>26</v>
      </c>
    </row>
    <row r="39" spans="1:9" s="337" customFormat="1" ht="14.25">
      <c r="A39" s="313" t="s">
        <v>66</v>
      </c>
      <c r="B39" s="313"/>
      <c r="C39" s="313"/>
      <c r="D39" s="313"/>
      <c r="E39" s="313"/>
      <c r="F39" s="313"/>
      <c r="G39" s="313"/>
      <c r="I39" s="337" t="s">
        <v>67</v>
      </c>
    </row>
    <row r="40" spans="1:9" s="337" customFormat="1" ht="14.25">
      <c r="A40" s="315" t="s">
        <v>68</v>
      </c>
      <c r="B40" s="315"/>
      <c r="C40" s="315"/>
      <c r="D40" s="315"/>
      <c r="E40" s="315"/>
      <c r="F40" s="315"/>
      <c r="G40" s="329">
        <v>1609</v>
      </c>
      <c r="I40" s="341">
        <v>3976</v>
      </c>
    </row>
    <row r="41" spans="1:9" s="337" customFormat="1" ht="14.25">
      <c r="A41" s="315" t="s">
        <v>69</v>
      </c>
      <c r="B41" s="315"/>
      <c r="C41" s="315"/>
      <c r="D41" s="315"/>
      <c r="E41" s="315"/>
      <c r="F41" s="315"/>
      <c r="G41" s="356">
        <v>40</v>
      </c>
      <c r="I41" s="341"/>
    </row>
    <row r="42" spans="1:9" s="337" customFormat="1" ht="14.25">
      <c r="A42" s="315" t="s">
        <v>70</v>
      </c>
      <c r="B42" s="315"/>
      <c r="C42" s="315"/>
      <c r="D42" s="315"/>
      <c r="E42" s="315"/>
      <c r="F42" s="315"/>
      <c r="G42" s="356">
        <f>SUM(G40*G41)</f>
        <v>64360</v>
      </c>
      <c r="I42" s="357">
        <v>159034</v>
      </c>
    </row>
    <row r="43" spans="1:9" s="337" customFormat="1" ht="14.25">
      <c r="A43" s="315" t="s">
        <v>71</v>
      </c>
      <c r="B43" s="315"/>
      <c r="C43" s="315"/>
      <c r="D43" s="315"/>
      <c r="E43" s="315"/>
      <c r="F43" s="315"/>
      <c r="G43" s="356">
        <f>SUM(G42-K19)</f>
        <v>21999</v>
      </c>
      <c r="I43" s="357">
        <f>G43*2.471</f>
        <v>54359.529000000002</v>
      </c>
    </row>
    <row r="44" spans="1:9" s="337" customFormat="1" ht="14.25">
      <c r="A44" s="315" t="s">
        <v>72</v>
      </c>
      <c r="B44" s="315"/>
      <c r="C44" s="315"/>
      <c r="D44" s="315"/>
      <c r="E44" s="315"/>
      <c r="F44" s="315"/>
      <c r="G44" s="356">
        <f>SUM(G42-K20)</f>
        <v>36106</v>
      </c>
      <c r="I44" s="357">
        <f>G44*2.471</f>
        <v>89217.926000000007</v>
      </c>
    </row>
    <row r="45" spans="1:9" s="337" customFormat="1" ht="14.25">
      <c r="A45" s="315"/>
      <c r="B45" s="315"/>
      <c r="C45" s="315"/>
      <c r="D45" s="315"/>
      <c r="E45" s="315"/>
      <c r="F45" s="315"/>
      <c r="G45" s="356"/>
    </row>
    <row r="46" spans="1:9" s="337" customFormat="1" ht="14.25">
      <c r="A46" s="315" t="s">
        <v>73</v>
      </c>
      <c r="B46" s="315"/>
      <c r="C46" s="315"/>
      <c r="D46" s="315"/>
      <c r="E46" s="315"/>
      <c r="F46" s="315"/>
      <c r="G46" s="356">
        <f>SUM(K19/G40)</f>
        <v>26.327532628962089</v>
      </c>
    </row>
    <row r="47" spans="1:9" s="337" customFormat="1" ht="14.25">
      <c r="A47" s="317" t="s">
        <v>74</v>
      </c>
      <c r="B47" s="317"/>
      <c r="C47" s="317"/>
      <c r="D47" s="317"/>
      <c r="E47" s="317"/>
      <c r="F47" s="317"/>
      <c r="G47" s="358">
        <f>SUM(K20/G40)</f>
        <v>17.559975139838407</v>
      </c>
    </row>
    <row r="48" spans="1:9" s="337" customFormat="1" ht="14.25"/>
    <row r="49" spans="1:1" s="337" customFormat="1" ht="14.25">
      <c r="A49" s="337" t="s">
        <v>100</v>
      </c>
    </row>
    <row r="50" spans="1:1" s="337" customFormat="1" ht="14.25"/>
    <row r="51" spans="1:1" s="337" customFormat="1" ht="14.25"/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tabSelected="1" workbookViewId="0">
      <selection activeCell="O25" sqref="O25"/>
    </sheetView>
  </sheetViews>
  <sheetFormatPr defaultRowHeight="15"/>
  <cols>
    <col min="1" max="16384" width="9.140625" style="441"/>
  </cols>
  <sheetData>
    <row r="1" spans="1:19">
      <c r="A1" s="440" t="s">
        <v>435</v>
      </c>
    </row>
    <row r="2" spans="1:19">
      <c r="A2" s="440" t="s">
        <v>436</v>
      </c>
    </row>
    <row r="3" spans="1:19">
      <c r="A3" s="440" t="s">
        <v>376</v>
      </c>
      <c r="B3" s="2"/>
    </row>
    <row r="4" spans="1:19">
      <c r="A4" s="440" t="s">
        <v>294</v>
      </c>
    </row>
    <row r="5" spans="1:19" s="44" customFormat="1" ht="14.25">
      <c r="A5" s="43" t="s">
        <v>0</v>
      </c>
      <c r="B5" s="43"/>
      <c r="C5" s="43"/>
      <c r="D5" s="442" t="s">
        <v>1</v>
      </c>
      <c r="E5" s="43" t="s">
        <v>2</v>
      </c>
      <c r="F5" s="43" t="s">
        <v>3</v>
      </c>
      <c r="G5" s="43" t="s">
        <v>4</v>
      </c>
      <c r="H5" s="43" t="s">
        <v>5</v>
      </c>
      <c r="I5" s="442" t="s">
        <v>6</v>
      </c>
      <c r="J5" s="43" t="s">
        <v>7</v>
      </c>
      <c r="K5" s="43" t="s">
        <v>8</v>
      </c>
      <c r="L5" s="43" t="s">
        <v>9</v>
      </c>
      <c r="M5" s="43"/>
    </row>
    <row r="6" spans="1:19" s="44" customFormat="1" ht="14.25">
      <c r="D6" s="45" t="s">
        <v>10</v>
      </c>
      <c r="E6" s="44" t="s">
        <v>11</v>
      </c>
      <c r="F6" s="44" t="s">
        <v>11</v>
      </c>
      <c r="G6" s="44" t="s">
        <v>12</v>
      </c>
      <c r="H6" s="44" t="s">
        <v>13</v>
      </c>
      <c r="I6" s="45" t="s">
        <v>14</v>
      </c>
      <c r="J6" s="44" t="s">
        <v>13</v>
      </c>
      <c r="K6" s="44" t="s">
        <v>13</v>
      </c>
      <c r="L6" s="44" t="s">
        <v>6</v>
      </c>
      <c r="M6" s="44" t="s">
        <v>7</v>
      </c>
    </row>
    <row r="7" spans="1:19" s="446" customFormat="1" ht="14.25">
      <c r="A7" s="443"/>
      <c r="B7" s="443"/>
      <c r="C7" s="443"/>
      <c r="D7" s="444" t="s">
        <v>15</v>
      </c>
      <c r="E7" s="443"/>
      <c r="F7" s="443"/>
      <c r="G7" s="443"/>
      <c r="H7" s="443" t="s">
        <v>16</v>
      </c>
      <c r="I7" s="445" t="s">
        <v>13</v>
      </c>
      <c r="J7" s="443" t="s">
        <v>16</v>
      </c>
      <c r="K7" s="443" t="s">
        <v>16</v>
      </c>
      <c r="L7" s="443"/>
      <c r="M7" s="443"/>
      <c r="O7" s="44"/>
      <c r="P7" s="44"/>
      <c r="Q7" s="44"/>
      <c r="R7" s="31"/>
      <c r="S7" s="31"/>
    </row>
    <row r="8" spans="1:19" s="446" customFormat="1" ht="14.25">
      <c r="A8" s="446" t="s">
        <v>172</v>
      </c>
      <c r="D8" s="447">
        <v>84</v>
      </c>
      <c r="E8" s="446">
        <v>5.33</v>
      </c>
      <c r="F8" s="446">
        <v>2.27</v>
      </c>
      <c r="G8" s="448">
        <v>1121</v>
      </c>
      <c r="H8" s="446">
        <v>5975</v>
      </c>
      <c r="I8" s="449"/>
      <c r="K8" s="448">
        <f>SUM(H8:J8)</f>
        <v>5975</v>
      </c>
      <c r="O8" s="44"/>
      <c r="P8" s="44"/>
      <c r="Q8" s="44"/>
      <c r="R8" s="31"/>
      <c r="S8" s="31"/>
    </row>
    <row r="9" spans="1:19" s="446" customFormat="1" ht="14.25">
      <c r="A9" s="446" t="s">
        <v>437</v>
      </c>
      <c r="D9" s="447">
        <v>100</v>
      </c>
      <c r="G9" s="448"/>
      <c r="H9" s="446">
        <f>SUM(E9*G9)</f>
        <v>0</v>
      </c>
      <c r="I9" s="449">
        <v>4440</v>
      </c>
      <c r="K9" s="448">
        <f t="shared" ref="K9:K15" si="0">SUM(H9:J9)</f>
        <v>4440</v>
      </c>
      <c r="O9" s="44"/>
      <c r="P9" s="44"/>
      <c r="Q9" s="44"/>
      <c r="R9" s="31"/>
      <c r="S9" s="31"/>
    </row>
    <row r="10" spans="1:19" s="446" customFormat="1" ht="14.25">
      <c r="A10" s="446" t="s">
        <v>378</v>
      </c>
      <c r="D10" s="447">
        <v>100</v>
      </c>
      <c r="E10" s="446">
        <v>0.65</v>
      </c>
      <c r="F10" s="446">
        <v>0.53</v>
      </c>
      <c r="G10" s="448">
        <v>1100</v>
      </c>
      <c r="H10" s="448">
        <f t="shared" ref="H10:H12" si="1">SUM(E10*G10)</f>
        <v>715</v>
      </c>
      <c r="I10" s="449"/>
      <c r="J10" s="448">
        <f>E22*G22</f>
        <v>3510</v>
      </c>
      <c r="K10" s="448">
        <f t="shared" si="0"/>
        <v>4225</v>
      </c>
      <c r="M10" s="448">
        <v>440</v>
      </c>
      <c r="R10" s="31"/>
      <c r="S10" s="31"/>
    </row>
    <row r="11" spans="1:19" s="446" customFormat="1" ht="14.25">
      <c r="A11" s="446" t="s">
        <v>33</v>
      </c>
      <c r="D11" s="447">
        <v>78</v>
      </c>
      <c r="E11" s="446">
        <v>0.62</v>
      </c>
      <c r="F11" s="446">
        <v>0.28999999999999998</v>
      </c>
      <c r="G11" s="448">
        <v>1217</v>
      </c>
      <c r="H11" s="448">
        <v>755</v>
      </c>
      <c r="I11" s="449"/>
      <c r="J11" s="448">
        <v>1011</v>
      </c>
      <c r="K11" s="448">
        <f t="shared" si="0"/>
        <v>1766</v>
      </c>
      <c r="M11" s="448"/>
      <c r="R11" s="31"/>
      <c r="S11" s="31"/>
    </row>
    <row r="12" spans="1:19" s="446" customFormat="1" ht="14.25">
      <c r="A12" s="446" t="s">
        <v>379</v>
      </c>
      <c r="D12" s="447">
        <v>100</v>
      </c>
      <c r="E12" s="448">
        <v>6.7</v>
      </c>
      <c r="F12" s="446">
        <v>0.72</v>
      </c>
      <c r="G12" s="448">
        <v>1100</v>
      </c>
      <c r="H12" s="448">
        <f t="shared" si="1"/>
        <v>7370</v>
      </c>
      <c r="I12" s="449"/>
      <c r="K12" s="448">
        <f t="shared" si="0"/>
        <v>7370</v>
      </c>
      <c r="M12" s="448"/>
      <c r="R12" s="31"/>
      <c r="S12" s="31"/>
    </row>
    <row r="13" spans="1:19" s="446" customFormat="1" ht="14.25">
      <c r="A13" s="446" t="s">
        <v>438</v>
      </c>
      <c r="D13" s="447">
        <v>68</v>
      </c>
      <c r="E13" s="448">
        <v>1.2</v>
      </c>
      <c r="F13" s="446">
        <v>0.65</v>
      </c>
      <c r="G13" s="448">
        <v>1144</v>
      </c>
      <c r="H13" s="448">
        <v>1373</v>
      </c>
      <c r="I13" s="449">
        <v>3210</v>
      </c>
      <c r="K13" s="448">
        <f t="shared" si="0"/>
        <v>4583</v>
      </c>
      <c r="L13" s="448">
        <v>81</v>
      </c>
      <c r="M13" s="448"/>
      <c r="R13" s="31"/>
      <c r="S13" s="31"/>
    </row>
    <row r="14" spans="1:19" s="446" customFormat="1" ht="14.25">
      <c r="A14" s="446" t="s">
        <v>439</v>
      </c>
      <c r="D14" s="447" t="s">
        <v>440</v>
      </c>
      <c r="E14" s="448"/>
      <c r="G14" s="448"/>
      <c r="H14" s="448">
        <f t="shared" ref="H14" si="2">SUM(E14*G14)</f>
        <v>0</v>
      </c>
      <c r="I14" s="449" t="s">
        <v>441</v>
      </c>
      <c r="K14" s="448">
        <f t="shared" si="0"/>
        <v>0</v>
      </c>
      <c r="M14" s="448"/>
      <c r="R14" s="31"/>
      <c r="S14" s="31"/>
    </row>
    <row r="15" spans="1:19" s="446" customFormat="1" ht="14.25">
      <c r="A15" s="446" t="s">
        <v>442</v>
      </c>
      <c r="D15" s="447">
        <v>50</v>
      </c>
      <c r="E15" s="448">
        <v>0.2</v>
      </c>
      <c r="F15" s="446">
        <v>0.2</v>
      </c>
      <c r="G15" s="448">
        <v>1144</v>
      </c>
      <c r="H15" s="448">
        <v>229</v>
      </c>
      <c r="I15" s="449">
        <v>444</v>
      </c>
      <c r="K15" s="448">
        <f t="shared" si="0"/>
        <v>673</v>
      </c>
      <c r="M15" s="448"/>
    </row>
    <row r="16" spans="1:19" s="44" customFormat="1" ht="14.25">
      <c r="A16" s="43" t="s">
        <v>37</v>
      </c>
      <c r="B16" s="43"/>
      <c r="C16" s="43"/>
      <c r="D16" s="442"/>
      <c r="E16" s="43">
        <f>SUM(E8:E15)</f>
        <v>14.7</v>
      </c>
      <c r="F16" s="43">
        <f>SUM(F8:F15)</f>
        <v>4.66</v>
      </c>
      <c r="G16" s="53"/>
      <c r="H16" s="450">
        <f>SUM(H8:H15)</f>
        <v>16417</v>
      </c>
      <c r="I16" s="451">
        <f>SUM(I8:I15)</f>
        <v>8094</v>
      </c>
      <c r="J16" s="450">
        <f>SUM(J10:J15)</f>
        <v>4521</v>
      </c>
      <c r="K16" s="450">
        <f>SUM(K8:K15)</f>
        <v>29032</v>
      </c>
      <c r="L16" s="53">
        <f>SUM(L8:L13)</f>
        <v>81</v>
      </c>
      <c r="M16" s="53">
        <f>SUM(M8:M13)</f>
        <v>440</v>
      </c>
    </row>
    <row r="17" spans="1:13" s="44" customFormat="1" ht="14.25">
      <c r="A17" s="46" t="s">
        <v>38</v>
      </c>
      <c r="B17" s="46"/>
      <c r="C17" s="46"/>
      <c r="D17" s="445"/>
      <c r="E17" s="46">
        <f>SUM(E16-F16)</f>
        <v>10.039999999999999</v>
      </c>
      <c r="F17" s="46"/>
      <c r="G17" s="46"/>
      <c r="H17" s="452">
        <f>E26*G26</f>
        <v>10940</v>
      </c>
      <c r="I17" s="453">
        <f>I16-L16</f>
        <v>8013</v>
      </c>
      <c r="J17" s="452">
        <f>J16-M16</f>
        <v>4081</v>
      </c>
      <c r="K17" s="452">
        <f>SUM(H17:J17)</f>
        <v>23034</v>
      </c>
      <c r="L17" s="46"/>
      <c r="M17" s="46"/>
    </row>
    <row r="18" spans="1:13" s="446" customFormat="1" ht="14.25">
      <c r="C18" s="44" t="s">
        <v>39</v>
      </c>
      <c r="D18" s="447"/>
      <c r="I18" s="447"/>
    </row>
    <row r="19" spans="1:13" s="446" customFormat="1" ht="14.25">
      <c r="A19" s="446" t="s">
        <v>40</v>
      </c>
      <c r="D19" s="447"/>
      <c r="I19" s="447"/>
    </row>
    <row r="20" spans="1:13" s="44" customFormat="1" ht="14.25">
      <c r="A20" s="56" t="s">
        <v>41</v>
      </c>
      <c r="B20" s="56"/>
      <c r="C20" s="56"/>
      <c r="D20" s="454" t="s">
        <v>42</v>
      </c>
      <c r="E20" s="56" t="s">
        <v>43</v>
      </c>
      <c r="F20" s="56"/>
      <c r="G20" s="56" t="s">
        <v>44</v>
      </c>
      <c r="H20" s="56"/>
      <c r="I20" s="454"/>
    </row>
    <row r="21" spans="1:13" s="446" customFormat="1" ht="14.25">
      <c r="A21" s="446" t="s">
        <v>45</v>
      </c>
      <c r="D21" s="447"/>
      <c r="I21" s="447"/>
      <c r="J21" s="44" t="s">
        <v>381</v>
      </c>
    </row>
    <row r="22" spans="1:13" s="446" customFormat="1" ht="14.25">
      <c r="A22" s="446" t="s">
        <v>155</v>
      </c>
      <c r="D22" s="447" t="s">
        <v>47</v>
      </c>
      <c r="E22" s="449">
        <v>13</v>
      </c>
      <c r="G22" s="448">
        <v>270</v>
      </c>
      <c r="I22" s="447"/>
      <c r="J22" s="455" t="s">
        <v>443</v>
      </c>
      <c r="K22" s="456">
        <v>95</v>
      </c>
    </row>
    <row r="23" spans="1:13" s="446" customFormat="1" ht="14.25">
      <c r="D23" s="447"/>
      <c r="I23" s="447"/>
      <c r="J23" s="455" t="s">
        <v>113</v>
      </c>
      <c r="K23" s="456">
        <v>5</v>
      </c>
    </row>
    <row r="24" spans="1:13" s="446" customFormat="1" ht="14.25">
      <c r="D24" s="447"/>
      <c r="I24" s="447"/>
    </row>
    <row r="25" spans="1:13" s="446" customFormat="1" ht="14.25">
      <c r="A25" s="446" t="s">
        <v>54</v>
      </c>
      <c r="D25" s="447"/>
      <c r="I25" s="447"/>
    </row>
    <row r="26" spans="1:13" s="446" customFormat="1" ht="14.25">
      <c r="A26" s="446" t="s">
        <v>56</v>
      </c>
      <c r="D26" s="447" t="s">
        <v>57</v>
      </c>
      <c r="E26" s="448">
        <v>10</v>
      </c>
      <c r="G26" s="448">
        <v>1094</v>
      </c>
      <c r="I26" s="447"/>
      <c r="J26" s="27" t="s">
        <v>383</v>
      </c>
      <c r="K26" s="176">
        <f>61/30</f>
        <v>2.0333333333333332</v>
      </c>
    </row>
    <row r="27" spans="1:13" s="446" customFormat="1" ht="14.25">
      <c r="A27" s="446" t="s">
        <v>58</v>
      </c>
      <c r="D27" s="447" t="s">
        <v>57</v>
      </c>
      <c r="E27" s="448">
        <v>5</v>
      </c>
      <c r="I27" s="447"/>
      <c r="J27" s="27" t="s">
        <v>60</v>
      </c>
      <c r="K27" s="176">
        <v>2</v>
      </c>
    </row>
    <row r="28" spans="1:13" s="446" customFormat="1" ht="14.25">
      <c r="A28" s="446" t="s">
        <v>2</v>
      </c>
      <c r="D28" s="447"/>
      <c r="E28" s="448">
        <f>SUM(E26:E27)</f>
        <v>15</v>
      </c>
      <c r="I28" s="447"/>
    </row>
    <row r="29" spans="1:13" s="446" customFormat="1" ht="14.25">
      <c r="A29" s="457" t="s">
        <v>66</v>
      </c>
      <c r="B29" s="457"/>
      <c r="C29" s="457"/>
      <c r="D29" s="458"/>
      <c r="E29" s="457"/>
      <c r="F29" s="457"/>
      <c r="G29" s="457"/>
      <c r="H29" s="457"/>
      <c r="I29" s="458" t="s">
        <v>67</v>
      </c>
    </row>
    <row r="30" spans="1:13" s="446" customFormat="1" ht="14.25">
      <c r="A30" s="446" t="s">
        <v>68</v>
      </c>
      <c r="D30" s="447"/>
      <c r="G30" s="448">
        <v>320</v>
      </c>
      <c r="I30" s="449">
        <v>791</v>
      </c>
    </row>
    <row r="31" spans="1:13" s="446" customFormat="1" ht="14.25">
      <c r="A31" s="446" t="s">
        <v>69</v>
      </c>
      <c r="D31" s="447"/>
      <c r="G31" s="448">
        <v>208</v>
      </c>
      <c r="I31" s="449"/>
    </row>
    <row r="32" spans="1:13" s="446" customFormat="1" ht="14.25">
      <c r="A32" s="446" t="s">
        <v>70</v>
      </c>
      <c r="D32" s="447"/>
      <c r="G32" s="448">
        <f>SUM(G30*G31)</f>
        <v>66560</v>
      </c>
      <c r="I32" s="449">
        <v>164470</v>
      </c>
    </row>
    <row r="33" spans="1:9" s="446" customFormat="1" ht="14.25">
      <c r="A33" s="446" t="s">
        <v>71</v>
      </c>
      <c r="D33" s="447"/>
      <c r="G33" s="448">
        <f>SUM(G32-K16)</f>
        <v>37528</v>
      </c>
      <c r="I33" s="449">
        <v>92732</v>
      </c>
    </row>
    <row r="34" spans="1:9" s="446" customFormat="1" ht="14.25">
      <c r="A34" s="446" t="s">
        <v>72</v>
      </c>
      <c r="D34" s="447"/>
      <c r="G34" s="448">
        <f>SUM(G32-K17)</f>
        <v>43526</v>
      </c>
      <c r="I34" s="449">
        <v>107553</v>
      </c>
    </row>
    <row r="35" spans="1:9" s="446" customFormat="1" ht="14.25">
      <c r="A35" s="446" t="s">
        <v>73</v>
      </c>
      <c r="D35" s="447"/>
      <c r="G35" s="448">
        <f>SUM(K16/G30)</f>
        <v>90.724999999999994</v>
      </c>
      <c r="I35" s="447"/>
    </row>
    <row r="36" spans="1:9" s="446" customFormat="1" ht="14.25">
      <c r="A36" s="443" t="s">
        <v>74</v>
      </c>
      <c r="B36" s="443"/>
      <c r="C36" s="443"/>
      <c r="D36" s="444"/>
      <c r="E36" s="443"/>
      <c r="F36" s="443"/>
      <c r="G36" s="459">
        <f>SUM(K17/G30)</f>
        <v>71.981250000000003</v>
      </c>
      <c r="H36" s="443"/>
      <c r="I36" s="444"/>
    </row>
    <row r="37" spans="1:9" s="446" customFormat="1" ht="14.25">
      <c r="D37" s="447"/>
      <c r="I37" s="447"/>
    </row>
    <row r="38" spans="1:9" s="446" customFormat="1" ht="14.25">
      <c r="D38" s="447"/>
      <c r="I38" s="447"/>
    </row>
    <row r="39" spans="1:9" s="446" customFormat="1" ht="14.25">
      <c r="D39" s="447"/>
      <c r="I39" s="4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1.Big Onion  (Matale)</vt:lpstr>
      <vt:lpstr>2.Bitter goard (Hambantota)</vt:lpstr>
      <vt:lpstr>3.Black Grame (Anuradhapura)</vt:lpstr>
      <vt:lpstr>4.Brinjal.(Hambantota)</vt:lpstr>
      <vt:lpstr>5.Cabbage (Nuwara Eliya)</vt:lpstr>
      <vt:lpstr>6.Carrot (NUwara eliya)</vt:lpstr>
      <vt:lpstr>7.Chilli (ANuradhapura)</vt:lpstr>
      <vt:lpstr>8.Cowpea (Ampara)</vt:lpstr>
      <vt:lpstr>9.Gingelly (Anuradhapura)</vt:lpstr>
      <vt:lpstr>10.Maize Monaragala)</vt:lpstr>
      <vt:lpstr>11.Maize Anuradhapura)</vt:lpstr>
      <vt:lpstr>12.Manioc (Gampaha)</vt:lpstr>
      <vt:lpstr>13.Pole bean (Badulla)</vt:lpstr>
      <vt:lpstr>14 Potato (Badulla)</vt:lpstr>
      <vt:lpstr>15.Potato  (Nuwara Eliya)</vt:lpstr>
      <vt:lpstr>16.Red Onion (Puttalam)</vt:lpstr>
      <vt:lpstr>17.Red Onion (Trincomalee)</vt:lpstr>
      <vt:lpstr>18. Soya System H</vt:lpstr>
      <vt:lpstr>19. Sweet Potato (Matale)</vt:lpstr>
      <vt:lpstr>20. Tomato (Badulla)</vt:lpstr>
      <vt:lpstr>21. Tomato (Kandy)</vt:lpstr>
      <vt:lpstr>Kurakkan (Anuradhapura)</vt:lpstr>
      <vt:lpstr>Maize (Ampara)</vt:lpstr>
      <vt:lpstr>Black gram(Vavuniya)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2017-03-15T03:53:41Z</dcterms:created>
  <dcterms:modified xsi:type="dcterms:W3CDTF">2022-06-06T03:32:13Z</dcterms:modified>
</cp:coreProperties>
</file>