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9095" windowHeight="11760" firstSheet="16" activeTab="20"/>
  </bookViews>
  <sheets>
    <sheet name="Cowpea-Ampara" sheetId="1" r:id="rId1"/>
    <sheet name="Big Onion- Matale" sheetId="2" r:id="rId2"/>
    <sheet name="G Chilli -A'pura" sheetId="3" r:id="rId3"/>
    <sheet name="Gingerlly-A'pura" sheetId="4" r:id="rId4"/>
    <sheet name="Manioc-Gampaha" sheetId="5" r:id="rId5"/>
    <sheet name="Potato-NÉliya" sheetId="6" r:id="rId6"/>
    <sheet name="Sweet potato-Matale" sheetId="7" r:id="rId7"/>
    <sheet name="Maize-Badulla" sheetId="8" r:id="rId8"/>
    <sheet name="Maize-Sys H" sheetId="9" r:id="rId9"/>
    <sheet name="Black gram -Sys H" sheetId="10" r:id="rId10"/>
    <sheet name="Red Onion -Puttalam" sheetId="11" r:id="rId11"/>
    <sheet name="Red Onion-Trinco" sheetId="12" r:id="rId12"/>
    <sheet name="Soya bean -SysH" sheetId="13" r:id="rId13"/>
    <sheet name="Potato -Badulla" sheetId="14" r:id="rId14"/>
    <sheet name="Brinjal-H'tota" sheetId="15" r:id="rId15"/>
    <sheet name="Bitter goard-H'tota" sheetId="16" r:id="rId16"/>
    <sheet name="Cabbage 'NEliya" sheetId="17" r:id="rId17"/>
    <sheet name="Pole baen -Badulla" sheetId="18" r:id="rId18"/>
    <sheet name="Tomato-Badulla" sheetId="19" r:id="rId19"/>
    <sheet name="Tomato-Kandy" sheetId="20" r:id="rId20"/>
    <sheet name="Carrot-NËliya" sheetId="21" r:id="rId21"/>
  </sheets>
  <calcPr calcId="124519"/>
</workbook>
</file>

<file path=xl/calcChain.xml><?xml version="1.0" encoding="utf-8"?>
<calcChain xmlns="http://schemas.openxmlformats.org/spreadsheetml/2006/main">
  <c r="I45" i="20"/>
  <c r="G45"/>
  <c r="I43"/>
  <c r="E37"/>
  <c r="J33"/>
  <c r="J32"/>
  <c r="J31"/>
  <c r="H25"/>
  <c r="M24"/>
  <c r="L24"/>
  <c r="I24"/>
  <c r="I25" s="1"/>
  <c r="H24"/>
  <c r="F24"/>
  <c r="E24"/>
  <c r="E25" s="1"/>
  <c r="K23"/>
  <c r="K22"/>
  <c r="H22"/>
  <c r="K21"/>
  <c r="K20"/>
  <c r="K19"/>
  <c r="K18"/>
  <c r="J18"/>
  <c r="K17"/>
  <c r="J17"/>
  <c r="J24" s="1"/>
  <c r="J25" s="1"/>
  <c r="K16"/>
  <c r="K13"/>
  <c r="K9"/>
  <c r="K8"/>
  <c r="K7"/>
  <c r="H7"/>
  <c r="K24" l="1"/>
  <c r="G48" s="1"/>
  <c r="K25"/>
  <c r="G49" s="1"/>
  <c r="I47"/>
  <c r="G46" l="1"/>
  <c r="I46"/>
  <c r="G47"/>
  <c r="I45" i="19" l="1"/>
  <c r="G45"/>
  <c r="I43"/>
  <c r="E34"/>
  <c r="H21"/>
  <c r="M20"/>
  <c r="L20"/>
  <c r="J20"/>
  <c r="J21" s="1"/>
  <c r="I20"/>
  <c r="I21" s="1"/>
  <c r="E20"/>
  <c r="K19"/>
  <c r="F19"/>
  <c r="H18"/>
  <c r="K18" s="1"/>
  <c r="K17"/>
  <c r="F17"/>
  <c r="K16"/>
  <c r="F16"/>
  <c r="K15"/>
  <c r="H15"/>
  <c r="H14"/>
  <c r="K14" s="1"/>
  <c r="F14"/>
  <c r="J13"/>
  <c r="H13"/>
  <c r="K13" s="1"/>
  <c r="F13"/>
  <c r="J12"/>
  <c r="H12"/>
  <c r="K12" s="1"/>
  <c r="K11"/>
  <c r="H11"/>
  <c r="F11"/>
  <c r="K10"/>
  <c r="H10"/>
  <c r="K9"/>
  <c r="F9"/>
  <c r="F20" s="1"/>
  <c r="K8"/>
  <c r="H8"/>
  <c r="H20" s="1"/>
  <c r="K20" s="1"/>
  <c r="G49" s="1"/>
  <c r="K21" l="1"/>
  <c r="G50" s="1"/>
  <c r="E21"/>
  <c r="G46"/>
  <c r="I46" s="1"/>
  <c r="G47" l="1"/>
  <c r="I47" s="1"/>
  <c r="J42" i="18" l="1"/>
  <c r="G42"/>
  <c r="J40"/>
  <c r="E33"/>
  <c r="H20"/>
  <c r="M19"/>
  <c r="L19"/>
  <c r="J19"/>
  <c r="J20" s="1"/>
  <c r="I19"/>
  <c r="I20" s="1"/>
  <c r="E19"/>
  <c r="K18"/>
  <c r="K17"/>
  <c r="H17"/>
  <c r="K16"/>
  <c r="F16"/>
  <c r="K15"/>
  <c r="H15"/>
  <c r="F15"/>
  <c r="K14"/>
  <c r="J13"/>
  <c r="H13"/>
  <c r="H19" s="1"/>
  <c r="K19" s="1"/>
  <c r="G46" s="1"/>
  <c r="F13"/>
  <c r="K12"/>
  <c r="J12"/>
  <c r="K11"/>
  <c r="F11"/>
  <c r="K10"/>
  <c r="H10"/>
  <c r="K9"/>
  <c r="K8"/>
  <c r="F8"/>
  <c r="F19" s="1"/>
  <c r="K20" l="1"/>
  <c r="G47" s="1"/>
  <c r="E20"/>
  <c r="K13"/>
  <c r="G43"/>
  <c r="J43" s="1"/>
  <c r="G44" l="1"/>
  <c r="J44" s="1"/>
  <c r="G45" i="17" l="1"/>
  <c r="E33"/>
  <c r="H20"/>
  <c r="E20"/>
  <c r="M19"/>
  <c r="J20" s="1"/>
  <c r="L19"/>
  <c r="I19"/>
  <c r="I20" s="1"/>
  <c r="H19"/>
  <c r="F19"/>
  <c r="E19"/>
  <c r="K16"/>
  <c r="K15"/>
  <c r="J14"/>
  <c r="K14" s="1"/>
  <c r="K13"/>
  <c r="K12"/>
  <c r="J12"/>
  <c r="K9"/>
  <c r="K8"/>
  <c r="K7"/>
  <c r="K19" l="1"/>
  <c r="K20"/>
  <c r="G46" l="1"/>
  <c r="I46" s="1"/>
  <c r="G49"/>
  <c r="G47"/>
  <c r="I47" s="1"/>
  <c r="G50"/>
  <c r="G40" i="16" l="1"/>
  <c r="H40" s="1"/>
  <c r="H38"/>
  <c r="E31"/>
  <c r="H20"/>
  <c r="M19"/>
  <c r="L19"/>
  <c r="I19"/>
  <c r="I20" s="1"/>
  <c r="F19"/>
  <c r="E19"/>
  <c r="E20" s="1"/>
  <c r="K18"/>
  <c r="K17"/>
  <c r="H17"/>
  <c r="K16"/>
  <c r="K15"/>
  <c r="H15"/>
  <c r="K14"/>
  <c r="K13"/>
  <c r="K12"/>
  <c r="J12"/>
  <c r="H12"/>
  <c r="J11"/>
  <c r="J19" s="1"/>
  <c r="J20" s="1"/>
  <c r="H11"/>
  <c r="K11" s="1"/>
  <c r="K10"/>
  <c r="H10"/>
  <c r="K9"/>
  <c r="K8"/>
  <c r="H8"/>
  <c r="K20" l="1"/>
  <c r="G45" s="1"/>
  <c r="H19"/>
  <c r="K19" s="1"/>
  <c r="G44" s="1"/>
  <c r="G42" l="1"/>
  <c r="H42" s="1"/>
  <c r="G41"/>
  <c r="H41" s="1"/>
  <c r="H37" i="15" l="1"/>
  <c r="G37"/>
  <c r="G38" s="1"/>
  <c r="H38" s="1"/>
  <c r="H35"/>
  <c r="I18"/>
  <c r="H18"/>
  <c r="I17"/>
  <c r="F17"/>
  <c r="E17"/>
  <c r="E18" s="1"/>
  <c r="K16"/>
  <c r="K15"/>
  <c r="K14"/>
  <c r="K13"/>
  <c r="K12"/>
  <c r="J12"/>
  <c r="K11"/>
  <c r="J11"/>
  <c r="J17" s="1"/>
  <c r="J18" s="1"/>
  <c r="K9"/>
  <c r="H9"/>
  <c r="K8"/>
  <c r="K17" s="1"/>
  <c r="G41" s="1"/>
  <c r="H8"/>
  <c r="H17" s="1"/>
  <c r="K18" l="1"/>
  <c r="G42" s="1"/>
  <c r="G39" l="1"/>
  <c r="H39" s="1"/>
  <c r="G41" i="14" l="1"/>
  <c r="E32"/>
  <c r="H19"/>
  <c r="M18"/>
  <c r="L18"/>
  <c r="I19" s="1"/>
  <c r="J18"/>
  <c r="J19" s="1"/>
  <c r="I18"/>
  <c r="E18"/>
  <c r="E19" s="1"/>
  <c r="K17"/>
  <c r="K16"/>
  <c r="H16"/>
  <c r="K15"/>
  <c r="F15"/>
  <c r="K14"/>
  <c r="F14"/>
  <c r="J13"/>
  <c r="H13"/>
  <c r="K13" s="1"/>
  <c r="F13"/>
  <c r="K12"/>
  <c r="J12"/>
  <c r="K11"/>
  <c r="F11"/>
  <c r="F18" s="1"/>
  <c r="K10"/>
  <c r="H10"/>
  <c r="K9"/>
  <c r="K8"/>
  <c r="G42" l="1"/>
  <c r="I42" s="1"/>
  <c r="K19"/>
  <c r="G46" s="1"/>
  <c r="H18"/>
  <c r="K18" s="1"/>
  <c r="G45" s="1"/>
  <c r="G43"/>
  <c r="I43" s="1"/>
  <c r="I41" i="13" l="1"/>
  <c r="G41"/>
  <c r="I39"/>
  <c r="E30"/>
  <c r="H21"/>
  <c r="M20"/>
  <c r="L20"/>
  <c r="I21" s="1"/>
  <c r="K21" s="1"/>
  <c r="G45" s="1"/>
  <c r="I20"/>
  <c r="F20"/>
  <c r="E20"/>
  <c r="E21" s="1"/>
  <c r="K19"/>
  <c r="K18"/>
  <c r="K17"/>
  <c r="K16"/>
  <c r="H15"/>
  <c r="K15" s="1"/>
  <c r="H14"/>
  <c r="K14" s="1"/>
  <c r="H13"/>
  <c r="K13" s="1"/>
  <c r="J12"/>
  <c r="J20" s="1"/>
  <c r="J21" s="1"/>
  <c r="J11"/>
  <c r="K11" s="1"/>
  <c r="K10"/>
  <c r="K9"/>
  <c r="H8"/>
  <c r="K8" s="1"/>
  <c r="K7"/>
  <c r="G43" i="12"/>
  <c r="E34"/>
  <c r="H22"/>
  <c r="M21"/>
  <c r="L21"/>
  <c r="I22" s="1"/>
  <c r="I21"/>
  <c r="F21"/>
  <c r="E21"/>
  <c r="E22" s="1"/>
  <c r="H19"/>
  <c r="K19" s="1"/>
  <c r="K18"/>
  <c r="K17"/>
  <c r="H17"/>
  <c r="F17"/>
  <c r="K16"/>
  <c r="H16"/>
  <c r="K15"/>
  <c r="H14"/>
  <c r="K14" s="1"/>
  <c r="K13"/>
  <c r="H12"/>
  <c r="K12" s="1"/>
  <c r="K11"/>
  <c r="J11"/>
  <c r="J21" s="1"/>
  <c r="J22" s="1"/>
  <c r="H11"/>
  <c r="K10"/>
  <c r="K9"/>
  <c r="H9"/>
  <c r="H8"/>
  <c r="H21" s="1"/>
  <c r="G43" i="13" l="1"/>
  <c r="I43" s="1"/>
  <c r="H20"/>
  <c r="K20" s="1"/>
  <c r="G44" s="1"/>
  <c r="K12"/>
  <c r="G42"/>
  <c r="I42" s="1"/>
  <c r="G45" i="12"/>
  <c r="I45" s="1"/>
  <c r="K21"/>
  <c r="K22"/>
  <c r="G47" s="1"/>
  <c r="K8"/>
  <c r="I43"/>
  <c r="G46" l="1"/>
  <c r="G44"/>
  <c r="I44" s="1"/>
  <c r="G44" i="11" l="1"/>
  <c r="H42"/>
  <c r="E34"/>
  <c r="H21"/>
  <c r="K21" s="1"/>
  <c r="G49" s="1"/>
  <c r="M20"/>
  <c r="J21" s="1"/>
  <c r="L20"/>
  <c r="I21" s="1"/>
  <c r="I20"/>
  <c r="F20"/>
  <c r="E20"/>
  <c r="E21" s="1"/>
  <c r="H19"/>
  <c r="K19" s="1"/>
  <c r="K18"/>
  <c r="K16"/>
  <c r="K15"/>
  <c r="H14"/>
  <c r="H20" s="1"/>
  <c r="K20" s="1"/>
  <c r="K13"/>
  <c r="K12"/>
  <c r="J11"/>
  <c r="K11" s="1"/>
  <c r="K10"/>
  <c r="H10"/>
  <c r="K9"/>
  <c r="K8"/>
  <c r="G48" l="1"/>
  <c r="G45"/>
  <c r="H45" s="1"/>
  <c r="G46"/>
  <c r="H46" s="1"/>
  <c r="H44"/>
  <c r="K14"/>
  <c r="G34" i="10" l="1"/>
  <c r="H32"/>
  <c r="E30"/>
  <c r="H19"/>
  <c r="M18"/>
  <c r="L18"/>
  <c r="I19" s="1"/>
  <c r="I18"/>
  <c r="F18"/>
  <c r="E18"/>
  <c r="E19" s="1"/>
  <c r="H17"/>
  <c r="K17" s="1"/>
  <c r="K16"/>
  <c r="K15"/>
  <c r="H14"/>
  <c r="K14" s="1"/>
  <c r="K13"/>
  <c r="K12"/>
  <c r="J11"/>
  <c r="K11" s="1"/>
  <c r="K10"/>
  <c r="H10"/>
  <c r="H9"/>
  <c r="K9" s="1"/>
  <c r="K8"/>
  <c r="H18" l="1"/>
  <c r="J18"/>
  <c r="J19" s="1"/>
  <c r="K19" s="1"/>
  <c r="H34"/>
  <c r="G39" l="1"/>
  <c r="G36"/>
  <c r="H36" s="1"/>
  <c r="K18"/>
  <c r="G38" l="1"/>
  <c r="G35"/>
  <c r="H35" s="1"/>
  <c r="G45" i="9" l="1"/>
  <c r="AN34"/>
  <c r="AM34"/>
  <c r="E34"/>
  <c r="AN33"/>
  <c r="AM33"/>
  <c r="AN32"/>
  <c r="AM32"/>
  <c r="AN31"/>
  <c r="AM31"/>
  <c r="AN30"/>
  <c r="AM30"/>
  <c r="AN29"/>
  <c r="AM29"/>
  <c r="AN28"/>
  <c r="AM28"/>
  <c r="H22"/>
  <c r="M21"/>
  <c r="L21"/>
  <c r="I21"/>
  <c r="I22" s="1"/>
  <c r="K22" s="1"/>
  <c r="G49" s="1"/>
  <c r="F21"/>
  <c r="E21"/>
  <c r="E22" s="1"/>
  <c r="K20"/>
  <c r="H20"/>
  <c r="H21" s="1"/>
  <c r="K19"/>
  <c r="K18"/>
  <c r="K17"/>
  <c r="K16"/>
  <c r="H16"/>
  <c r="K15"/>
  <c r="K14"/>
  <c r="J14"/>
  <c r="K13"/>
  <c r="J12"/>
  <c r="J21" s="1"/>
  <c r="J22" s="1"/>
  <c r="K11"/>
  <c r="H9"/>
  <c r="K9" s="1"/>
  <c r="K8"/>
  <c r="K7"/>
  <c r="G47" l="1"/>
  <c r="I47" s="1"/>
  <c r="I45"/>
  <c r="K12"/>
  <c r="K21" s="1"/>
  <c r="G48" l="1"/>
  <c r="G46"/>
  <c r="I46" s="1"/>
  <c r="I46" i="8" l="1"/>
  <c r="G46"/>
  <c r="I44"/>
  <c r="AO37"/>
  <c r="AN37"/>
  <c r="AO36"/>
  <c r="AN36"/>
  <c r="AO35"/>
  <c r="AN35"/>
  <c r="AO34"/>
  <c r="AN34"/>
  <c r="AO33"/>
  <c r="AN33"/>
  <c r="AO32"/>
  <c r="AN32"/>
  <c r="AO31"/>
  <c r="AN31"/>
  <c r="AO30"/>
  <c r="AN30"/>
  <c r="AO29"/>
  <c r="AN29"/>
  <c r="M20"/>
  <c r="L20"/>
  <c r="J20"/>
  <c r="J21" s="1"/>
  <c r="K21" s="1"/>
  <c r="G51" s="1"/>
  <c r="F20"/>
  <c r="K18"/>
  <c r="K17"/>
  <c r="K16"/>
  <c r="H16"/>
  <c r="K15"/>
  <c r="K14"/>
  <c r="J14"/>
  <c r="E14"/>
  <c r="E20" s="1"/>
  <c r="E21" s="1"/>
  <c r="K13"/>
  <c r="K12"/>
  <c r="K10"/>
  <c r="H10"/>
  <c r="H9"/>
  <c r="K9" s="1"/>
  <c r="K8"/>
  <c r="K7"/>
  <c r="K20" s="1"/>
  <c r="I39" i="7"/>
  <c r="G39"/>
  <c r="I37"/>
  <c r="E29"/>
  <c r="H18"/>
  <c r="M17"/>
  <c r="L17"/>
  <c r="J17"/>
  <c r="J18" s="1"/>
  <c r="I17"/>
  <c r="I18" s="1"/>
  <c r="E17"/>
  <c r="K16"/>
  <c r="K15"/>
  <c r="F15"/>
  <c r="K14"/>
  <c r="H14"/>
  <c r="K13"/>
  <c r="K12"/>
  <c r="F12"/>
  <c r="K11"/>
  <c r="J11"/>
  <c r="H11"/>
  <c r="F11"/>
  <c r="K10"/>
  <c r="H10"/>
  <c r="F10"/>
  <c r="K9"/>
  <c r="H9"/>
  <c r="F9"/>
  <c r="H8"/>
  <c r="K8" s="1"/>
  <c r="K7"/>
  <c r="F7"/>
  <c r="F17" s="1"/>
  <c r="G50" i="8" l="1"/>
  <c r="G47"/>
  <c r="I47" s="1"/>
  <c r="G48"/>
  <c r="I48" s="1"/>
  <c r="H20"/>
  <c r="K18" i="7"/>
  <c r="G44" s="1"/>
  <c r="E18"/>
  <c r="G40"/>
  <c r="I40" s="1"/>
  <c r="G41"/>
  <c r="I41" s="1"/>
  <c r="H17"/>
  <c r="K17" s="1"/>
  <c r="G43" s="1"/>
  <c r="J42" i="6" l="1"/>
  <c r="H42"/>
  <c r="F32"/>
  <c r="I18"/>
  <c r="N17"/>
  <c r="K18" s="1"/>
  <c r="M17"/>
  <c r="J18" s="1"/>
  <c r="J17"/>
  <c r="I17"/>
  <c r="L17" s="1"/>
  <c r="H46" s="1"/>
  <c r="G17"/>
  <c r="F18" s="1"/>
  <c r="F17"/>
  <c r="L16"/>
  <c r="L15"/>
  <c r="L14"/>
  <c r="K13"/>
  <c r="L13" s="1"/>
  <c r="L12"/>
  <c r="L11"/>
  <c r="K11"/>
  <c r="L9"/>
  <c r="L8"/>
  <c r="L18" l="1"/>
  <c r="H47" s="1"/>
  <c r="H43"/>
  <c r="J43" s="1"/>
  <c r="H44"/>
  <c r="J44" s="1"/>
  <c r="G33" i="5" l="1"/>
  <c r="I33" s="1"/>
  <c r="E25"/>
  <c r="H15"/>
  <c r="M14"/>
  <c r="L14"/>
  <c r="I15" s="1"/>
  <c r="I14"/>
  <c r="H14"/>
  <c r="F14"/>
  <c r="E14"/>
  <c r="E15" s="1"/>
  <c r="K13"/>
  <c r="K12"/>
  <c r="H12"/>
  <c r="K11"/>
  <c r="J10"/>
  <c r="K10" s="1"/>
  <c r="K9"/>
  <c r="K8"/>
  <c r="H8"/>
  <c r="J14" l="1"/>
  <c r="J15" s="1"/>
  <c r="K15" s="1"/>
  <c r="G38" l="1"/>
  <c r="G35"/>
  <c r="I35" s="1"/>
  <c r="K14"/>
  <c r="G37" l="1"/>
  <c r="G34"/>
  <c r="I34" s="1"/>
  <c r="I30" i="4" l="1"/>
  <c r="G30"/>
  <c r="I28"/>
  <c r="E25"/>
  <c r="H12"/>
  <c r="M11"/>
  <c r="L11"/>
  <c r="J11"/>
  <c r="J12" s="1"/>
  <c r="I11"/>
  <c r="I12" s="1"/>
  <c r="F11"/>
  <c r="E11"/>
  <c r="E12" s="1"/>
  <c r="K10"/>
  <c r="H10"/>
  <c r="K9"/>
  <c r="K8"/>
  <c r="J8"/>
  <c r="H8"/>
  <c r="H11" s="1"/>
  <c r="K11" s="1"/>
  <c r="G34" s="1"/>
  <c r="K7"/>
  <c r="K12" l="1"/>
  <c r="G35" s="1"/>
  <c r="G31"/>
  <c r="I31" s="1"/>
  <c r="G32"/>
  <c r="I32" s="1"/>
  <c r="G45" i="3" l="1"/>
  <c r="H43"/>
  <c r="E35"/>
  <c r="H22"/>
  <c r="K22" s="1"/>
  <c r="G49" s="1"/>
  <c r="L21"/>
  <c r="I22" s="1"/>
  <c r="I21"/>
  <c r="F21"/>
  <c r="E21"/>
  <c r="E22" s="1"/>
  <c r="K20"/>
  <c r="K19"/>
  <c r="H19"/>
  <c r="K18"/>
  <c r="K17"/>
  <c r="K16"/>
  <c r="J16"/>
  <c r="J21" s="1"/>
  <c r="J22" s="1"/>
  <c r="K15"/>
  <c r="K14"/>
  <c r="K13"/>
  <c r="H13"/>
  <c r="K12"/>
  <c r="H12"/>
  <c r="K11"/>
  <c r="K10"/>
  <c r="H10"/>
  <c r="K9"/>
  <c r="K8"/>
  <c r="H8"/>
  <c r="H21" s="1"/>
  <c r="K21" s="1"/>
  <c r="G48" s="1"/>
  <c r="G47" l="1"/>
  <c r="H47" s="1"/>
  <c r="G46"/>
  <c r="H46" s="1"/>
  <c r="H45"/>
  <c r="I42" i="2" l="1"/>
  <c r="G42"/>
  <c r="I40"/>
  <c r="E33"/>
  <c r="H20"/>
  <c r="M19"/>
  <c r="L19"/>
  <c r="J19"/>
  <c r="J20" s="1"/>
  <c r="I19"/>
  <c r="I20" s="1"/>
  <c r="F19"/>
  <c r="E19"/>
  <c r="E20" s="1"/>
  <c r="K18"/>
  <c r="H18"/>
  <c r="K17"/>
  <c r="K16"/>
  <c r="H16"/>
  <c r="K15"/>
  <c r="K14"/>
  <c r="K13"/>
  <c r="H13"/>
  <c r="J12"/>
  <c r="H12"/>
  <c r="K12" s="1"/>
  <c r="K11"/>
  <c r="K10"/>
  <c r="H9"/>
  <c r="K9" s="1"/>
  <c r="K8"/>
  <c r="H8"/>
  <c r="H7"/>
  <c r="K7" s="1"/>
  <c r="K19" s="1"/>
  <c r="G46" s="1"/>
  <c r="K20" l="1"/>
  <c r="G47" s="1"/>
  <c r="G43"/>
  <c r="I43" s="1"/>
  <c r="G44"/>
  <c r="I44" s="1"/>
  <c r="H19"/>
  <c r="I36" i="1" l="1"/>
  <c r="G36"/>
  <c r="I34"/>
  <c r="E29"/>
  <c r="H20"/>
  <c r="M19"/>
  <c r="L19"/>
  <c r="I19"/>
  <c r="I20" s="1"/>
  <c r="F19"/>
  <c r="E19"/>
  <c r="E20" s="1"/>
  <c r="K17"/>
  <c r="H17"/>
  <c r="K16"/>
  <c r="K15"/>
  <c r="K14"/>
  <c r="H14"/>
  <c r="J13"/>
  <c r="H13"/>
  <c r="K13" s="1"/>
  <c r="K12"/>
  <c r="J11"/>
  <c r="J19" s="1"/>
  <c r="J20" s="1"/>
  <c r="H11"/>
  <c r="K11" s="1"/>
  <c r="K10"/>
  <c r="H9"/>
  <c r="K9" s="1"/>
  <c r="K8"/>
  <c r="H8"/>
  <c r="H19" s="1"/>
  <c r="K20" l="1"/>
  <c r="G40" s="1"/>
  <c r="K19"/>
  <c r="G39" s="1"/>
  <c r="G37"/>
  <c r="I37" s="1"/>
  <c r="G38"/>
  <c r="I38" s="1"/>
</calcChain>
</file>

<file path=xl/sharedStrings.xml><?xml version="1.0" encoding="utf-8"?>
<sst xmlns="http://schemas.openxmlformats.org/spreadsheetml/2006/main" count="1783" uniqueCount="472">
  <si>
    <t>Table:</t>
  </si>
  <si>
    <t>COST OF CULTIVATION PER ACRE OF COWPEA (RAINFED )</t>
  </si>
  <si>
    <t>DISTRICT: Ampara     2016 YALA SEASON</t>
  </si>
  <si>
    <t>Tabulated &amp; analyzed by : R.A.Kumudu Kalyani</t>
  </si>
  <si>
    <t>Operation</t>
  </si>
  <si>
    <t xml:space="preserve">  No</t>
  </si>
  <si>
    <t>Total</t>
  </si>
  <si>
    <t>Fam</t>
  </si>
  <si>
    <t>Wage</t>
  </si>
  <si>
    <t xml:space="preserve">  Labour</t>
  </si>
  <si>
    <t xml:space="preserve">  Machinary</t>
  </si>
  <si>
    <t xml:space="preserve">  Material</t>
  </si>
  <si>
    <t xml:space="preserve">  Total </t>
  </si>
  <si>
    <t>OWN INPUTS</t>
  </si>
  <si>
    <t>Report</t>
  </si>
  <si>
    <t>Lab</t>
  </si>
  <si>
    <t>Rate</t>
  </si>
  <si>
    <t xml:space="preserve">  Cost</t>
  </si>
  <si>
    <t xml:space="preserve">  &amp; Equpim't</t>
  </si>
  <si>
    <t xml:space="preserve">  %</t>
  </si>
  <si>
    <t xml:space="preserve">  Rs/ac</t>
  </si>
  <si>
    <t>General Land Preparation</t>
  </si>
  <si>
    <t>1, 2, &amp; 3  Plough with 4wt</t>
  </si>
  <si>
    <t>(with Buffaloes)</t>
  </si>
  <si>
    <t>(4)</t>
  </si>
  <si>
    <t>(1.5)</t>
  </si>
  <si>
    <t>(1000)</t>
  </si>
  <si>
    <t>(3750)</t>
  </si>
  <si>
    <t>preparation rows with 4wt &amp; seeding</t>
  </si>
  <si>
    <t>preparation rows with buffalo &amp; seeding</t>
  </si>
  <si>
    <t>(46)</t>
  </si>
  <si>
    <t>(1.38)</t>
  </si>
  <si>
    <t>(1.07)</t>
  </si>
  <si>
    <t>(1258)</t>
  </si>
  <si>
    <t>Fertilizer Application</t>
  </si>
  <si>
    <t xml:space="preserve">Weeding &amp; Earthing up </t>
  </si>
  <si>
    <t>Pest &amp; Disease Control</t>
  </si>
  <si>
    <t>Harvesting &amp; Drawing</t>
  </si>
  <si>
    <t>Processing with Manual</t>
  </si>
  <si>
    <t>(with thresher)</t>
  </si>
  <si>
    <t>`(26)</t>
  </si>
  <si>
    <t>`(1579.00)</t>
  </si>
  <si>
    <t>Total Including Imputed Cost</t>
  </si>
  <si>
    <t xml:space="preserve">Total Excluding Imputed Cost </t>
  </si>
  <si>
    <t>RELATED INFORMATION</t>
  </si>
  <si>
    <t>Quantity and Price of Inputs</t>
  </si>
  <si>
    <t>Input</t>
  </si>
  <si>
    <t>Unit</t>
  </si>
  <si>
    <t>Quantity</t>
  </si>
  <si>
    <t>Unit Price (Rs)</t>
  </si>
  <si>
    <t>Variety</t>
  </si>
  <si>
    <t>%</t>
  </si>
  <si>
    <t>SEED</t>
  </si>
  <si>
    <t>Red</t>
  </si>
  <si>
    <t xml:space="preserve">Seeding </t>
  </si>
  <si>
    <t>kg</t>
  </si>
  <si>
    <t>White</t>
  </si>
  <si>
    <t>LABOUR</t>
  </si>
  <si>
    <t>Hired Labour</t>
  </si>
  <si>
    <t>md</t>
  </si>
  <si>
    <t>Mean</t>
  </si>
  <si>
    <t>Family Labour</t>
  </si>
  <si>
    <t>Mode</t>
  </si>
  <si>
    <t>FIELD FERTILIZER</t>
  </si>
  <si>
    <t>% Reporting</t>
  </si>
  <si>
    <t xml:space="preserve">Basal </t>
  </si>
  <si>
    <t>Liquid</t>
  </si>
  <si>
    <t>cost Rs</t>
  </si>
  <si>
    <t>YIELD AND RETURNS</t>
  </si>
  <si>
    <t>Per ac</t>
  </si>
  <si>
    <t>Per ha</t>
  </si>
  <si>
    <t>Average Yield (kg/ac)</t>
  </si>
  <si>
    <t>Price of Produce (Rs/kg)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</si>
  <si>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</si>
  <si>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</si>
  <si>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</si>
  <si>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</si>
  <si>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</si>
  <si>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 xml:space="preserve">24% farmers didn't harvest their yield. </t>
  </si>
  <si>
    <t>low yield due to drought</t>
  </si>
  <si>
    <t xml:space="preserve">    </t>
  </si>
  <si>
    <t xml:space="preserve">COST OF CULTIVATION PER ACRE OF BIG ONION </t>
  </si>
  <si>
    <t>DISTRICT: MATALE 2016 Yala - Rohan</t>
  </si>
  <si>
    <t>All nursery preparation</t>
  </si>
  <si>
    <t>1st &amp; 2nd  Plough with 4wt</t>
  </si>
  <si>
    <t>1st &amp; 2nd  Plough with 2wt</t>
  </si>
  <si>
    <t>(30)</t>
  </si>
  <si>
    <t>`(7000.00)</t>
  </si>
  <si>
    <t>Preparation of beds &amp; ridges</t>
  </si>
  <si>
    <t xml:space="preserve">Transplanting </t>
  </si>
  <si>
    <t>Weed Control With Weedicides</t>
  </si>
  <si>
    <t>Weeding &amp; earthing up</t>
  </si>
  <si>
    <t>Water Management</t>
  </si>
  <si>
    <t>Harvesting and processing</t>
  </si>
  <si>
    <t>Transport Produce to Stores</t>
  </si>
  <si>
    <t>seed</t>
  </si>
  <si>
    <t>Lanka seed</t>
  </si>
  <si>
    <t>Nasic</t>
  </si>
  <si>
    <t>mean</t>
  </si>
  <si>
    <t>mode</t>
  </si>
  <si>
    <t>1. Urea</t>
  </si>
  <si>
    <t>11. Onion mixture</t>
  </si>
  <si>
    <t>111. TSP</t>
  </si>
  <si>
    <t>COST OF CULTIVATION PER ACRE OF CHILLI(IRRIGATED )</t>
  </si>
  <si>
    <t>DISTRICT:Anuradhapura       2016 Yala  SEASON</t>
  </si>
  <si>
    <t>Tabulated &amp; analyzed by : A.M.C.M.K Abeykoon</t>
  </si>
  <si>
    <t>Nursery preparation</t>
  </si>
  <si>
    <t>1st Plough with 4wt</t>
  </si>
  <si>
    <t>1st Plough with 2wt</t>
  </si>
  <si>
    <t>`(8)</t>
  </si>
  <si>
    <t>~(1.3)</t>
  </si>
  <si>
    <t>`(6000)</t>
  </si>
  <si>
    <t>`(2000)</t>
  </si>
  <si>
    <t>1st plough not doing</t>
  </si>
  <si>
    <t>`(22)</t>
  </si>
  <si>
    <t>2nd plough with 4 wt</t>
  </si>
  <si>
    <t>Preparation of bed and ridges</t>
  </si>
  <si>
    <t>Transplanting</t>
  </si>
  <si>
    <t>Weeding &amp; earthing up (Manual)</t>
  </si>
  <si>
    <t>Harvesting with Manual</t>
  </si>
  <si>
    <t xml:space="preserve"> </t>
  </si>
  <si>
    <t>Seed</t>
  </si>
  <si>
    <t>KA2</t>
  </si>
  <si>
    <t>Galkiriyagama</t>
  </si>
  <si>
    <t>MI 2</t>
  </si>
  <si>
    <t>Other</t>
  </si>
  <si>
    <t>TSP</t>
  </si>
  <si>
    <t>Urea</t>
  </si>
  <si>
    <t>chilli mix</t>
  </si>
  <si>
    <t>Per Ac</t>
  </si>
  <si>
    <t>Special remarks-</t>
  </si>
  <si>
    <t>Gingelly( RAIN FED )</t>
  </si>
  <si>
    <t>DISTRICT:Anuradhapura    2016 Yala SEASON</t>
  </si>
  <si>
    <t>1st   Plough with 4WT  tracter</t>
  </si>
  <si>
    <t>Broadcasting</t>
  </si>
  <si>
    <t>Harvesting  &amp; drawing</t>
  </si>
  <si>
    <t>Processing</t>
  </si>
  <si>
    <t>Total including imputed cost</t>
  </si>
  <si>
    <t xml:space="preserve">Total excluding imputed cost </t>
  </si>
  <si>
    <t>KaluThala</t>
  </si>
  <si>
    <t>ha</t>
  </si>
  <si>
    <t>Average yield (kg/ac)</t>
  </si>
  <si>
    <t>*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</si>
  <si>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</si>
  <si>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</si>
  <si>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</si>
  <si>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</si>
  <si>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</si>
  <si>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 xml:space="preserve">*Note- </t>
  </si>
  <si>
    <t>Low yield due to lak of rain</t>
  </si>
  <si>
    <t>COST OF CULTIVATION PER ACRE OF MANIOC  (RAINFED )</t>
  </si>
  <si>
    <t>DISTRICT:   GAMPAHA 2016 YALA SEASON</t>
  </si>
  <si>
    <t xml:space="preserve"> Analysed by:  P.S.R.  Premarathna</t>
  </si>
  <si>
    <t>Date: 03/07/2017</t>
  </si>
  <si>
    <t>1, 2, &amp; 3  Plough with 4WT</t>
  </si>
  <si>
    <t>Digging holes and planting</t>
  </si>
  <si>
    <t>Weeding and earthening up with Manual</t>
  </si>
  <si>
    <t>Harvesting &amp; drawing*</t>
  </si>
  <si>
    <t>(Harvesting &amp; drawing with Manual)</t>
  </si>
  <si>
    <t>(12)</t>
  </si>
  <si>
    <t>(7.76)</t>
  </si>
  <si>
    <t>(1.24)</t>
  </si>
  <si>
    <t>(1200)</t>
  </si>
  <si>
    <t>`(9312.00)</t>
  </si>
  <si>
    <t>* done by buyers</t>
  </si>
  <si>
    <t>% of Ext.</t>
  </si>
  <si>
    <t>PLANTING MATERIAL</t>
  </si>
  <si>
    <t>Peradeniya Kalu</t>
  </si>
  <si>
    <t>Planting Material</t>
  </si>
  <si>
    <t>sticks</t>
  </si>
  <si>
    <t>_</t>
  </si>
  <si>
    <t>Kirikawadi</t>
  </si>
  <si>
    <t>Mode:</t>
  </si>
  <si>
    <t>Sudu Peradeni</t>
  </si>
  <si>
    <t>Coconut Fertilizer</t>
  </si>
  <si>
    <t xml:space="preserve">Note- </t>
  </si>
  <si>
    <t>*  This season drought period</t>
  </si>
  <si>
    <t>COST OF CULTIVATION PER ACRE OF Poteto (IRRIGATED)</t>
  </si>
  <si>
    <t>DISTRICT: Nuwaraeliya       2016 Yala SEASON</t>
  </si>
  <si>
    <t>Tabulated &amp; analyzed by :S.S.Premaratne</t>
  </si>
  <si>
    <t>1st Plough with 2WT</t>
  </si>
  <si>
    <t>Preparation beds &amp; ridges</t>
  </si>
  <si>
    <t>4397.00*</t>
  </si>
  <si>
    <t>Digging holes &amp; transplanting</t>
  </si>
  <si>
    <t>Weeding &amp; eathningup</t>
  </si>
  <si>
    <t>Harvesting and drawing</t>
  </si>
  <si>
    <t>*lime</t>
  </si>
  <si>
    <t xml:space="preserve">Mean </t>
  </si>
  <si>
    <t>Variety %</t>
  </si>
  <si>
    <t>Granola</t>
  </si>
  <si>
    <t>Potato Mix</t>
  </si>
  <si>
    <t>poultry</t>
  </si>
  <si>
    <t>bag</t>
  </si>
  <si>
    <t>COST OF CULTIVATION SWEET POTATO (Irrigated)</t>
  </si>
  <si>
    <t>2016 yala</t>
  </si>
  <si>
    <t xml:space="preserve">DISTRICT: </t>
  </si>
  <si>
    <t>Matale</t>
  </si>
  <si>
    <t>Analized by -J.A.P.N.JAYAKODI</t>
  </si>
  <si>
    <t>General land preparation</t>
  </si>
  <si>
    <t>1st2nd Plough With 4wt</t>
  </si>
  <si>
    <t>Preparation of Beds &amp; Ridges</t>
  </si>
  <si>
    <t>Processing material&amp;planting</t>
  </si>
  <si>
    <t>Weed control with weedicides</t>
  </si>
  <si>
    <t>Harvesting&amp;Processing</t>
  </si>
  <si>
    <t>Transport produce to stores</t>
  </si>
  <si>
    <t>Cuttings</t>
  </si>
  <si>
    <t>own</t>
  </si>
  <si>
    <t>wariyapola red</t>
  </si>
  <si>
    <t>T.S.P</t>
  </si>
  <si>
    <t>Potato Mixture</t>
  </si>
  <si>
    <t>COST OF CULTIVATION PER ACRE OF Maize (IRRIGATED  )-2016 Yala</t>
  </si>
  <si>
    <t>DISTRICT:</t>
  </si>
  <si>
    <t>BADULLA</t>
  </si>
  <si>
    <t>pre weediside Application</t>
  </si>
  <si>
    <t>(34%)</t>
  </si>
  <si>
    <t>`(0.39)</t>
  </si>
  <si>
    <t>`(468.00)</t>
  </si>
  <si>
    <t>(2687)</t>
  </si>
  <si>
    <t>(24%)</t>
  </si>
  <si>
    <t>`(4.00)</t>
  </si>
  <si>
    <t>`(2.63)</t>
  </si>
  <si>
    <t>`(4000.00)</t>
  </si>
  <si>
    <t>1,  Plough with 2wt</t>
  </si>
  <si>
    <t>(buffolow)</t>
  </si>
  <si>
    <t>(3462)</t>
  </si>
  <si>
    <t>Preparation beds</t>
  </si>
  <si>
    <t>(18%)</t>
  </si>
  <si>
    <t>`(3.68)</t>
  </si>
  <si>
    <t>`(3.04)</t>
  </si>
  <si>
    <t>`(3680.00)</t>
  </si>
  <si>
    <t>digging holes@ seeding</t>
  </si>
  <si>
    <t>weeding $ earthingup</t>
  </si>
  <si>
    <t>(38%)</t>
  </si>
  <si>
    <t>`(1.61)</t>
  </si>
  <si>
    <t>`(1.55)</t>
  </si>
  <si>
    <t>`(1932.00)</t>
  </si>
  <si>
    <t>`(1949.00)</t>
  </si>
  <si>
    <t xml:space="preserve">Harvesting and drawing Manually </t>
  </si>
  <si>
    <t>Threshing &amp; procressing(agrimec)</t>
  </si>
  <si>
    <t>Threshing &amp; procressing (Mannualy)</t>
  </si>
  <si>
    <t>(6%)</t>
  </si>
  <si>
    <t>`(5.67)</t>
  </si>
  <si>
    <t>`(1.67)</t>
  </si>
  <si>
    <t>(5670.00)</t>
  </si>
  <si>
    <t>pacific</t>
  </si>
  <si>
    <t>Local</t>
  </si>
  <si>
    <t xml:space="preserve">Seed </t>
  </si>
  <si>
    <t>KG</t>
  </si>
  <si>
    <t>pre</t>
  </si>
  <si>
    <t>beds</t>
  </si>
  <si>
    <t>fert</t>
  </si>
  <si>
    <t>weeding</t>
  </si>
  <si>
    <t>pest</t>
  </si>
  <si>
    <t>water</t>
  </si>
  <si>
    <t>harvesting</t>
  </si>
  <si>
    <t>MOP</t>
  </si>
  <si>
    <t>Per Ha</t>
  </si>
  <si>
    <t xml:space="preserve"> Mahaweli H</t>
  </si>
  <si>
    <t>(14%)</t>
  </si>
  <si>
    <t>`(0.42)</t>
  </si>
  <si>
    <t>`(504.00)</t>
  </si>
  <si>
    <t>`(3860.00)</t>
  </si>
  <si>
    <t>(28%)</t>
  </si>
  <si>
    <t>`(3.70)</t>
  </si>
  <si>
    <t>`(3.11)</t>
  </si>
  <si>
    <t>`(3700.00)</t>
  </si>
  <si>
    <t>1,  Plough with 4wt</t>
  </si>
  <si>
    <t>`(6%)</t>
  </si>
  <si>
    <t>`(0.50)</t>
  </si>
  <si>
    <t>`(4800.00)</t>
  </si>
  <si>
    <t>Threshing &amp; procressing  with thresure</t>
  </si>
  <si>
    <t>Drying</t>
  </si>
  <si>
    <t>Transport to stores</t>
  </si>
  <si>
    <t>COST OF CULTIVATION PER ACRE OF BLACK GRAM(IRRIGATED )</t>
  </si>
  <si>
    <t>DISTRICT: System H    2016 Yala  SEASON</t>
  </si>
  <si>
    <t>Tabulated &amp; analyzed by : N.P.S.A.Menike(EA)</t>
  </si>
  <si>
    <t>1 st Plough with 4wt</t>
  </si>
  <si>
    <t>`(10)</t>
  </si>
  <si>
    <t>(3889.00)</t>
  </si>
  <si>
    <t>(556.00)</t>
  </si>
  <si>
    <t>Processing(Tsunami)</t>
  </si>
  <si>
    <t>MI</t>
  </si>
  <si>
    <t>Black</t>
  </si>
  <si>
    <t>COST OF CULTIVATION PER ACRE OF Red Onion  (IRRIGATED )</t>
  </si>
  <si>
    <t>DISTRICT: Puttalam       2016 Yala  SEASON</t>
  </si>
  <si>
    <t>Seed Processing</t>
  </si>
  <si>
    <t>Seeding</t>
  </si>
  <si>
    <t>Weeding &amp; loossing soil (Manual)</t>
  </si>
  <si>
    <t>2554.00*</t>
  </si>
  <si>
    <t>Processing(manu)</t>
  </si>
  <si>
    <t>* cajan cost</t>
  </si>
  <si>
    <t>Vadalan</t>
  </si>
  <si>
    <t>Thambasetti</t>
  </si>
  <si>
    <t>Onion.Mix</t>
  </si>
  <si>
    <t>Hydro</t>
  </si>
  <si>
    <t>Cowdung</t>
  </si>
  <si>
    <t>LL</t>
  </si>
  <si>
    <t>Low yield due to plant burned</t>
  </si>
  <si>
    <t>COST OF CULTIVATION PER ACRE OF Red Onion (IRRIGATED )</t>
  </si>
  <si>
    <t>DISTRICT:Trincomalee     2016 Yala SEASON</t>
  </si>
  <si>
    <t>Tabulated &amp; analyzed by :E.P.J.W.K.Gunasinghe</t>
  </si>
  <si>
    <t>1st 2nd &amp;3rd Plough with 4wt</t>
  </si>
  <si>
    <t>Seed Processing and Seeding</t>
  </si>
  <si>
    <t>Weed control with weedicide</t>
  </si>
  <si>
    <t>Mannual weeding</t>
  </si>
  <si>
    <t>Harvesting &amp; drawing</t>
  </si>
  <si>
    <t>Transport produce to stors</t>
  </si>
  <si>
    <t>Vedalan</t>
  </si>
  <si>
    <t>Cow dung</t>
  </si>
  <si>
    <t>Cost of cultivation per acre of Soya beans (irrigated)- System H</t>
  </si>
  <si>
    <t>DISTRICT: - - - - - - -    2014 yala- - - - -  SEASON</t>
  </si>
  <si>
    <t>System H-</t>
  </si>
  <si>
    <t xml:space="preserve"> Analized by</t>
  </si>
  <si>
    <t>MMT Dharmanayaka</t>
  </si>
  <si>
    <t>Season: 2016  Yala</t>
  </si>
  <si>
    <t>General Land preparation</t>
  </si>
  <si>
    <t>1, 2, &amp; 3  Plough with 2wt</t>
  </si>
  <si>
    <t>`(0.5)</t>
  </si>
  <si>
    <t>`(6632.00)</t>
  </si>
  <si>
    <t>Preparation beds&amp;ridges</t>
  </si>
  <si>
    <t>seeding</t>
  </si>
  <si>
    <t>Fertilizer application</t>
  </si>
  <si>
    <t xml:space="preserve">weeding and eathing up </t>
  </si>
  <si>
    <t>Pest &amp; disease control</t>
  </si>
  <si>
    <t>Water management</t>
  </si>
  <si>
    <t>Harvesting drawing</t>
  </si>
  <si>
    <t xml:space="preserve"> prossing with thesher</t>
  </si>
  <si>
    <t>PB1</t>
  </si>
  <si>
    <t>OTHER</t>
  </si>
  <si>
    <t>FERTILIZER</t>
  </si>
  <si>
    <t>(20)</t>
  </si>
  <si>
    <t>`(50.00)</t>
  </si>
  <si>
    <t>(Liquit)</t>
  </si>
  <si>
    <t>(Total cost 10,500)</t>
  </si>
  <si>
    <t>per ac</t>
  </si>
  <si>
    <t>per ha</t>
  </si>
  <si>
    <t>* Law yield due to lack of water</t>
  </si>
  <si>
    <t>COST OF CULTIVATION PER ACRE OF  Potato (IRRIGATED)</t>
  </si>
  <si>
    <t xml:space="preserve">DISTRICT: --Badulla      2016 yala </t>
  </si>
  <si>
    <t>Tabulated &amp; analyzed by :-S.N.Kamalinie------------</t>
  </si>
  <si>
    <t>1st plough with manu</t>
  </si>
  <si>
    <t>`(12)</t>
  </si>
  <si>
    <t>`(15.00)</t>
  </si>
  <si>
    <t>`(0.00)</t>
  </si>
  <si>
    <t>`(1150)</t>
  </si>
  <si>
    <t>`(17250.00)</t>
  </si>
  <si>
    <t>1  Plough with 2wt</t>
  </si>
  <si>
    <t>Prperation beds &amp; ridges</t>
  </si>
  <si>
    <t>Digging holes &amp; seeding</t>
  </si>
  <si>
    <t>Water Management (manu)</t>
  </si>
  <si>
    <t xml:space="preserve">Harvesting </t>
  </si>
  <si>
    <t>Ganola</t>
  </si>
  <si>
    <t>Poultry</t>
  </si>
  <si>
    <t>potato</t>
  </si>
  <si>
    <t>TDM</t>
  </si>
  <si>
    <t>Per hec.</t>
  </si>
  <si>
    <t>COST OF CULTIVATION PER ACRE OF BRINJAL (IRRIGATED)</t>
  </si>
  <si>
    <t>DISTRICT: Hambantota       2016 Yala SEASON</t>
  </si>
  <si>
    <t>Tabulated &amp; analyzed by :N.P.Liyanage/V.G.S.Nilantha/J.w.Lakmali Surangi</t>
  </si>
  <si>
    <t>All Nursery Preparation</t>
  </si>
  <si>
    <t>1, 2, &amp; 3  Plough with Mannually</t>
  </si>
  <si>
    <t>`(14.58)</t>
  </si>
  <si>
    <t>`(5.96)</t>
  </si>
  <si>
    <t>`(17700.00)</t>
  </si>
  <si>
    <t>Digging holes &amp; Transplanting</t>
  </si>
  <si>
    <t xml:space="preserve"> T.P.</t>
  </si>
  <si>
    <t>Variety destribution %</t>
  </si>
  <si>
    <t>Hybrid</t>
  </si>
  <si>
    <t>COST OF CULTIVATION PER ACRE OF BITTER GOARD  (IRRIGATED)</t>
  </si>
  <si>
    <t>DISTRICT:  Hambantota       2016 Y ALA SEASON</t>
  </si>
  <si>
    <t>Tabulated &amp; analyzed by :N.P.Liyanage/V.G.S.Nilantha/J.W.Surangi Lakmali</t>
  </si>
  <si>
    <t>Pre Weedicide Application</t>
  </si>
  <si>
    <t>1  Plough with 4wt</t>
  </si>
  <si>
    <t>(16)</t>
  </si>
  <si>
    <t>(6750)</t>
  </si>
  <si>
    <t>Weeding &amp; Earthing up</t>
  </si>
  <si>
    <t xml:space="preserve">Trelising &amp; Training </t>
  </si>
  <si>
    <t>kg/g/Plants</t>
  </si>
  <si>
    <t>Tsp</t>
  </si>
  <si>
    <t>Vegetable mixture</t>
  </si>
  <si>
    <t>Hidro</t>
  </si>
  <si>
    <t>(87)</t>
  </si>
  <si>
    <t>(126)</t>
  </si>
  <si>
    <t>Av. Yield (kg/ac)</t>
  </si>
  <si>
    <t>80 % of Famers recorded  low yeild due to desease &amp; drought condition</t>
  </si>
  <si>
    <t>COST OF CULTIVATION PER ACRE OF Cabbage (IRRIGATED  )-2016 YALA</t>
  </si>
  <si>
    <t>Nuwara Eliya</t>
  </si>
  <si>
    <t>( manually)</t>
  </si>
  <si>
    <t>(12.10)</t>
  </si>
  <si>
    <t>(4.5)</t>
  </si>
  <si>
    <t>`(12100.00)</t>
  </si>
  <si>
    <t>Preparation of beds &amp;ridges</t>
  </si>
  <si>
    <t>5423.00**</t>
  </si>
  <si>
    <t>digging holes &amp; transplanting</t>
  </si>
  <si>
    <t>weeding &amp; earthingup</t>
  </si>
  <si>
    <t>Harvesting and drawing *</t>
  </si>
  <si>
    <t>(By manually)</t>
  </si>
  <si>
    <t>(26)</t>
  </si>
  <si>
    <t>(4.75)</t>
  </si>
  <si>
    <t>(0.55)</t>
  </si>
  <si>
    <t>`(4803.00)</t>
  </si>
  <si>
    <t xml:space="preserve">*(by Buyer) </t>
  </si>
  <si>
    <t>** lime</t>
  </si>
  <si>
    <t>g</t>
  </si>
  <si>
    <t>AS</t>
  </si>
  <si>
    <t>Plants</t>
  </si>
  <si>
    <t>`(46)</t>
  </si>
  <si>
    <t>`(13377)</t>
  </si>
  <si>
    <t>`(1.70)</t>
  </si>
  <si>
    <t>Green coronet</t>
  </si>
  <si>
    <t>0.5/0.25</t>
  </si>
  <si>
    <t>Vegetable mix</t>
  </si>
  <si>
    <t>Per HA</t>
  </si>
  <si>
    <t xml:space="preserve">Due to farmer gain low price, fields were abandoned </t>
  </si>
  <si>
    <t>COST OF CULTIVATION PER ACRE OF  Polebean (IRRIGATED)</t>
  </si>
  <si>
    <t>DISTRICT: --Badulla      2016 yala</t>
  </si>
  <si>
    <t>`(34)</t>
  </si>
  <si>
    <t>`(6.75)</t>
  </si>
  <si>
    <t>`(7054.00)</t>
  </si>
  <si>
    <t>Fixing support</t>
  </si>
  <si>
    <t>Capri</t>
  </si>
  <si>
    <t>Veg</t>
  </si>
  <si>
    <t>COST OF CULTIVATION PER ACRE OF Tomato (IRRIGATED)</t>
  </si>
  <si>
    <t>DISTRICT: -Badulla    2016 y</t>
  </si>
  <si>
    <t>Tabulated &amp; analyzed by :-    Kamalinie------------</t>
  </si>
  <si>
    <t>Nursery Mgt</t>
  </si>
  <si>
    <t>(1st plough with 2wt)</t>
  </si>
  <si>
    <t>`(24)</t>
  </si>
  <si>
    <t>`(9980)</t>
  </si>
  <si>
    <t>Preperation beds</t>
  </si>
  <si>
    <t xml:space="preserve">Weeding &amp; earthing up </t>
  </si>
  <si>
    <t>Training</t>
  </si>
  <si>
    <t>Water Management (mannu)</t>
  </si>
  <si>
    <t>Pathma</t>
  </si>
  <si>
    <t>Vegi.</t>
  </si>
  <si>
    <t>T.D.M.</t>
  </si>
  <si>
    <t>Per ha.</t>
  </si>
  <si>
    <t>Low Price and disease attact the crop</t>
  </si>
  <si>
    <t xml:space="preserve">COST OF CULTIVATION PER ACRE OF TOMATO (Irrigated) </t>
  </si>
  <si>
    <t>2016y</t>
  </si>
  <si>
    <t>Kandy</t>
  </si>
  <si>
    <t>Madhugeethika</t>
  </si>
  <si>
    <t>Nursery Preparation</t>
  </si>
  <si>
    <t>1st Plough Manually</t>
  </si>
  <si>
    <t>(4wt)</t>
  </si>
  <si>
    <t>(24)</t>
  </si>
  <si>
    <t>`(10.18)</t>
  </si>
  <si>
    <t>`(1.23)</t>
  </si>
  <si>
    <t>(6400)</t>
  </si>
  <si>
    <t>(7111)</t>
  </si>
  <si>
    <t>(Buffalo)</t>
  </si>
  <si>
    <t>(10)</t>
  </si>
  <si>
    <t>`(2.52)</t>
  </si>
  <si>
    <t>(2666)</t>
  </si>
  <si>
    <t>(2wt)</t>
  </si>
  <si>
    <t>(6)</t>
  </si>
  <si>
    <t>`(2.00)</t>
  </si>
  <si>
    <t>(8000)</t>
  </si>
  <si>
    <t>2nd Plough with Manually</t>
  </si>
  <si>
    <t>(28)</t>
  </si>
  <si>
    <t>(1.78)</t>
  </si>
  <si>
    <t>(0.89)</t>
  </si>
  <si>
    <t>(0.75)</t>
  </si>
  <si>
    <t>Transplanting&amp;</t>
  </si>
  <si>
    <t>Diggingholes</t>
  </si>
  <si>
    <t>Weeding &amp; Earthing Up</t>
  </si>
  <si>
    <t>Fixing Supports</t>
  </si>
  <si>
    <t>Harvesting</t>
  </si>
  <si>
    <t>Padma</t>
  </si>
  <si>
    <t>Abhiman</t>
  </si>
  <si>
    <t>other</t>
  </si>
  <si>
    <t>Veg.Mixture</t>
  </si>
</sst>
</file>

<file path=xl/styles.xml><?xml version="1.0" encoding="utf-8"?>
<styleSheet xmlns="http://schemas.openxmlformats.org/spreadsheetml/2006/main">
  <numFmts count="6">
    <numFmt numFmtId="164" formatCode="0_)"/>
    <numFmt numFmtId="165" formatCode="0.00_)"/>
    <numFmt numFmtId="166" formatCode="0.0"/>
    <numFmt numFmtId="167" formatCode="0.0%"/>
    <numFmt numFmtId="168" formatCode="0.00_);\(0.00\)"/>
    <numFmt numFmtId="169" formatCode="0.000"/>
  </numFmts>
  <fonts count="33">
    <font>
      <sz val="11"/>
      <color theme="1"/>
      <name val="Calibri"/>
      <family val="2"/>
      <scheme val="minor"/>
    </font>
    <font>
      <sz val="9"/>
      <name val="Comic Sans MS"/>
      <family val="4"/>
    </font>
    <font>
      <b/>
      <sz val="9"/>
      <name val="Comic Sans MS"/>
      <family val="4"/>
    </font>
    <font>
      <sz val="8"/>
      <name val="Comic Sans MS"/>
      <family val="4"/>
    </font>
    <font>
      <sz val="9"/>
      <name val="Arial"/>
      <family val="2"/>
    </font>
    <font>
      <sz val="10"/>
      <name val="Arial"/>
      <family val="2"/>
    </font>
    <font>
      <sz val="8"/>
      <color rgb="FFFF0000"/>
      <name val="Comic Sans MS"/>
      <family val="4"/>
    </font>
    <font>
      <b/>
      <sz val="8"/>
      <name val="Comic Sans MS"/>
      <family val="4"/>
    </font>
    <font>
      <sz val="9"/>
      <color rgb="FFFF0000"/>
      <name val="Arial"/>
      <family val="2"/>
    </font>
    <font>
      <b/>
      <i/>
      <sz val="10"/>
      <name val="Arial"/>
      <family val="2"/>
    </font>
    <font>
      <sz val="9"/>
      <color rgb="FFFF0000"/>
      <name val="Comic Sans MS"/>
      <family val="4"/>
    </font>
    <font>
      <u/>
      <sz val="10"/>
      <color theme="10"/>
      <name val="Arial"/>
      <family val="2"/>
    </font>
    <font>
      <u/>
      <sz val="9"/>
      <color theme="10"/>
      <name val="Comic Sans MS"/>
      <family val="4"/>
    </font>
    <font>
      <b/>
      <i/>
      <sz val="9"/>
      <name val="Arial"/>
      <family val="2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name val="Comic Sans MS"/>
      <family val="4"/>
    </font>
    <font>
      <sz val="11"/>
      <color theme="1"/>
      <name val="Calibri"/>
      <family val="2"/>
      <scheme val="minor"/>
    </font>
    <font>
      <sz val="9"/>
      <name val="Courier"/>
      <family val="3"/>
    </font>
    <font>
      <sz val="9"/>
      <name val="Times New Roman"/>
      <family val="1"/>
    </font>
    <font>
      <sz val="12"/>
      <name val="Comic Sans MS"/>
      <family val="4"/>
    </font>
    <font>
      <b/>
      <i/>
      <sz val="10"/>
      <name val="Comic Sans MS"/>
      <family val="4"/>
    </font>
    <font>
      <b/>
      <sz val="10"/>
      <color theme="1"/>
      <name val="Comic Sans MS"/>
      <family val="4"/>
    </font>
    <font>
      <sz val="8"/>
      <color theme="9" tint="-0.249977111117893"/>
      <name val="Comic Sans MS"/>
      <family val="4"/>
    </font>
    <font>
      <sz val="8"/>
      <color theme="1"/>
      <name val="Comic Sans MS"/>
      <family val="4"/>
    </font>
    <font>
      <sz val="8"/>
      <color rgb="FFFF0000"/>
      <name val="Cambria"/>
      <family val="1"/>
      <scheme val="major"/>
    </font>
    <font>
      <sz val="10"/>
      <color theme="9" tint="-0.249977111117893"/>
      <name val="Times New Roman"/>
      <family val="1"/>
    </font>
    <font>
      <b/>
      <sz val="8"/>
      <color theme="9" tint="-0.249977111117893"/>
      <name val="Comic Sans MS"/>
      <family val="4"/>
    </font>
    <font>
      <sz val="10"/>
      <color theme="1"/>
      <name val="Times New Roman"/>
      <family val="1"/>
    </font>
    <font>
      <sz val="11"/>
      <color theme="9" tint="-0.249977111117893"/>
      <name val="Calibri"/>
      <family val="2"/>
      <scheme val="minor"/>
    </font>
    <font>
      <b/>
      <sz val="11"/>
      <color theme="1"/>
      <name val="Comic Sans MS"/>
      <family val="4"/>
    </font>
    <font>
      <sz val="10"/>
      <color theme="1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87">
    <xf numFmtId="0" fontId="0" fillId="0" borderId="0" xfId="0"/>
    <xf numFmtId="0" fontId="1" fillId="0" borderId="0" xfId="0" applyFont="1" applyFill="1"/>
    <xf numFmtId="0" fontId="1" fillId="0" borderId="1" xfId="0" applyFont="1" applyFill="1" applyBorder="1"/>
    <xf numFmtId="0" fontId="1" fillId="0" borderId="1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left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2" xfId="0" applyFont="1" applyFill="1" applyBorder="1"/>
    <xf numFmtId="0" fontId="1" fillId="0" borderId="2" xfId="0" applyFont="1" applyFill="1" applyBorder="1" applyAlignment="1">
      <alignment horizontal="right"/>
    </xf>
    <xf numFmtId="164" fontId="1" fillId="0" borderId="0" xfId="0" applyNumberFormat="1" applyFont="1" applyFill="1" applyAlignment="1" applyProtection="1">
      <alignment horizontal="right"/>
    </xf>
    <xf numFmtId="2" fontId="1" fillId="0" borderId="0" xfId="0" applyNumberFormat="1" applyFont="1" applyFill="1" applyAlignment="1">
      <alignment horizontal="right"/>
    </xf>
    <xf numFmtId="2" fontId="1" fillId="0" borderId="0" xfId="0" applyNumberFormat="1" applyFont="1" applyFill="1" applyAlignment="1" applyProtection="1">
      <alignment horizontal="right"/>
    </xf>
    <xf numFmtId="0" fontId="1" fillId="0" borderId="0" xfId="0" applyFont="1" applyFill="1" applyAlignment="1">
      <alignment horizontal="right"/>
    </xf>
    <xf numFmtId="2" fontId="1" fillId="0" borderId="0" xfId="0" applyNumberFormat="1" applyFont="1" applyFill="1"/>
    <xf numFmtId="2" fontId="1" fillId="0" borderId="0" xfId="0" quotePrefix="1" applyNumberFormat="1" applyFont="1" applyFill="1"/>
    <xf numFmtId="164" fontId="1" fillId="0" borderId="0" xfId="0" quotePrefix="1" applyNumberFormat="1" applyFont="1" applyFill="1" applyAlignment="1" applyProtection="1">
      <alignment horizontal="right"/>
    </xf>
    <xf numFmtId="2" fontId="1" fillId="0" borderId="0" xfId="0" quotePrefix="1" applyNumberFormat="1" applyFont="1" applyFill="1" applyAlignment="1">
      <alignment horizontal="right"/>
    </xf>
    <xf numFmtId="2" fontId="1" fillId="0" borderId="0" xfId="0" quotePrefix="1" applyNumberFormat="1" applyFont="1" applyFill="1" applyAlignment="1" applyProtection="1">
      <alignment horizontal="right"/>
    </xf>
    <xf numFmtId="0" fontId="1" fillId="0" borderId="0" xfId="0" quotePrefix="1" applyFont="1" applyFill="1" applyAlignment="1">
      <alignment horizontal="right"/>
    </xf>
    <xf numFmtId="164" fontId="1" fillId="0" borderId="0" xfId="0" applyNumberFormat="1" applyFont="1" applyFill="1" applyProtection="1"/>
    <xf numFmtId="2" fontId="1" fillId="0" borderId="0" xfId="0" applyNumberFormat="1" applyFont="1" applyFill="1" applyProtection="1"/>
    <xf numFmtId="164" fontId="1" fillId="0" borderId="1" xfId="0" applyNumberFormat="1" applyFont="1" applyFill="1" applyBorder="1" applyProtection="1"/>
    <xf numFmtId="2" fontId="1" fillId="0" borderId="1" xfId="0" applyNumberFormat="1" applyFont="1" applyFill="1" applyBorder="1"/>
    <xf numFmtId="164" fontId="1" fillId="0" borderId="2" xfId="0" applyNumberFormat="1" applyFont="1" applyFill="1" applyBorder="1" applyProtection="1"/>
    <xf numFmtId="2" fontId="1" fillId="0" borderId="2" xfId="0" applyNumberFormat="1" applyFont="1" applyFill="1" applyBorder="1"/>
    <xf numFmtId="0" fontId="2" fillId="0" borderId="0" xfId="0" applyFont="1" applyFill="1"/>
    <xf numFmtId="0" fontId="1" fillId="0" borderId="3" xfId="0" applyFont="1" applyFill="1" applyBorder="1"/>
    <xf numFmtId="0" fontId="1" fillId="0" borderId="4" xfId="0" applyFont="1" applyFill="1" applyBorder="1"/>
    <xf numFmtId="0" fontId="1" fillId="0" borderId="0" xfId="0" quotePrefix="1" applyFont="1" applyFill="1" applyBorder="1"/>
    <xf numFmtId="2" fontId="1" fillId="0" borderId="0" xfId="0" applyNumberFormat="1" applyFont="1" applyFill="1" applyBorder="1"/>
    <xf numFmtId="0" fontId="1" fillId="0" borderId="2" xfId="0" quotePrefix="1" applyFont="1" applyFill="1" applyBorder="1"/>
    <xf numFmtId="0" fontId="2" fillId="0" borderId="1" xfId="0" applyFont="1" applyFill="1" applyBorder="1" applyAlignment="1">
      <alignment horizontal="right"/>
    </xf>
    <xf numFmtId="0" fontId="2" fillId="0" borderId="0" xfId="0" applyFont="1" applyFill="1" applyAlignment="1">
      <alignment horizontal="right"/>
    </xf>
    <xf numFmtId="165" fontId="1" fillId="0" borderId="0" xfId="0" applyNumberFormat="1" applyFont="1" applyFill="1" applyBorder="1" applyProtection="1"/>
    <xf numFmtId="1" fontId="1" fillId="0" borderId="0" xfId="0" applyNumberFormat="1" applyFont="1" applyFill="1"/>
    <xf numFmtId="165" fontId="1" fillId="0" borderId="0" xfId="0" applyNumberFormat="1" applyFont="1" applyFill="1" applyBorder="1"/>
    <xf numFmtId="165" fontId="1" fillId="0" borderId="2" xfId="0" applyNumberFormat="1" applyFont="1" applyFill="1" applyBorder="1"/>
    <xf numFmtId="0" fontId="3" fillId="0" borderId="0" xfId="0" applyFont="1"/>
    <xf numFmtId="0" fontId="3" fillId="0" borderId="0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0" xfId="0" applyFont="1" applyBorder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164" fontId="3" fillId="0" borderId="0" xfId="0" quotePrefix="1" applyNumberFormat="1" applyFont="1" applyFill="1" applyProtection="1"/>
    <xf numFmtId="2" fontId="3" fillId="0" borderId="0" xfId="0" applyNumberFormat="1" applyFont="1" applyFill="1"/>
    <xf numFmtId="4" fontId="3" fillId="0" borderId="0" xfId="0" applyNumberFormat="1" applyFont="1" applyFill="1" applyProtection="1"/>
    <xf numFmtId="4" fontId="3" fillId="0" borderId="0" xfId="0" applyNumberFormat="1" applyFont="1" applyFill="1"/>
    <xf numFmtId="4" fontId="3" fillId="0" borderId="0" xfId="0" applyNumberFormat="1" applyFont="1"/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2" fontId="3" fillId="0" borderId="0" xfId="0" applyNumberFormat="1" applyFont="1"/>
    <xf numFmtId="0" fontId="1" fillId="0" borderId="0" xfId="0" applyFont="1"/>
    <xf numFmtId="164" fontId="3" fillId="0" borderId="0" xfId="0" quotePrefix="1" applyNumberFormat="1" applyFont="1" applyFill="1" applyAlignment="1" applyProtection="1">
      <alignment horizontal="right"/>
    </xf>
    <xf numFmtId="0" fontId="1" fillId="0" borderId="0" xfId="0" quotePrefix="1" applyFont="1" applyFill="1"/>
    <xf numFmtId="3" fontId="3" fillId="0" borderId="0" xfId="0" applyNumberFormat="1" applyFont="1" applyFill="1" applyProtection="1"/>
    <xf numFmtId="164" fontId="3" fillId="0" borderId="0" xfId="0" quotePrefix="1" applyNumberFormat="1" applyFont="1" applyProtection="1"/>
    <xf numFmtId="3" fontId="3" fillId="0" borderId="0" xfId="0" applyNumberFormat="1" applyFont="1" applyProtection="1"/>
    <xf numFmtId="164" fontId="3" fillId="0" borderId="1" xfId="0" applyNumberFormat="1" applyFont="1" applyBorder="1" applyProtection="1"/>
    <xf numFmtId="2" fontId="3" fillId="0" borderId="1" xfId="0" applyNumberFormat="1" applyFont="1" applyBorder="1"/>
    <xf numFmtId="4" fontId="3" fillId="0" borderId="1" xfId="0" applyNumberFormat="1" applyFont="1" applyBorder="1"/>
    <xf numFmtId="164" fontId="3" fillId="0" borderId="2" xfId="0" applyNumberFormat="1" applyFont="1" applyBorder="1" applyProtection="1"/>
    <xf numFmtId="2" fontId="3" fillId="0" borderId="2" xfId="0" applyNumberFormat="1" applyFont="1" applyBorder="1"/>
    <xf numFmtId="4" fontId="3" fillId="0" borderId="2" xfId="0" applyNumberFormat="1" applyFont="1" applyBorder="1"/>
    <xf numFmtId="0" fontId="3" fillId="0" borderId="3" xfId="0" applyFont="1" applyBorder="1"/>
    <xf numFmtId="2" fontId="4" fillId="0" borderId="4" xfId="0" applyNumberFormat="1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165" fontId="4" fillId="0" borderId="4" xfId="0" applyNumberFormat="1" applyFont="1" applyFill="1" applyBorder="1" applyProtection="1"/>
    <xf numFmtId="0" fontId="4" fillId="0" borderId="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0" borderId="4" xfId="0" applyFont="1" applyBorder="1"/>
    <xf numFmtId="0" fontId="0" fillId="0" borderId="4" xfId="0" applyBorder="1"/>
    <xf numFmtId="0" fontId="0" fillId="0" borderId="0" xfId="0" applyBorder="1"/>
    <xf numFmtId="2" fontId="0" fillId="0" borderId="4" xfId="0" applyNumberFormat="1" applyBorder="1"/>
    <xf numFmtId="0" fontId="5" fillId="0" borderId="0" xfId="0" applyFont="1" applyBorder="1"/>
    <xf numFmtId="0" fontId="3" fillId="0" borderId="0" xfId="0" quotePrefix="1" applyFont="1" applyBorder="1" applyAlignment="1">
      <alignment horizontal="center"/>
    </xf>
    <xf numFmtId="2" fontId="6" fillId="0" borderId="0" xfId="0" applyNumberFormat="1" applyFont="1" applyBorder="1"/>
    <xf numFmtId="2" fontId="3" fillId="0" borderId="0" xfId="0" applyNumberFormat="1" applyFont="1" applyBorder="1"/>
    <xf numFmtId="2" fontId="3" fillId="0" borderId="0" xfId="0" quotePrefix="1" applyNumberFormat="1" applyFont="1" applyBorder="1"/>
    <xf numFmtId="0" fontId="3" fillId="0" borderId="0" xfId="0" applyFont="1" applyFill="1"/>
    <xf numFmtId="0" fontId="7" fillId="0" borderId="1" xfId="0" applyFont="1" applyBorder="1"/>
    <xf numFmtId="4" fontId="3" fillId="0" borderId="0" xfId="0" applyNumberFormat="1" applyFont="1" applyFill="1" applyBorder="1" applyProtection="1"/>
    <xf numFmtId="4" fontId="8" fillId="0" borderId="0" xfId="0" applyNumberFormat="1" applyFont="1" applyFill="1"/>
    <xf numFmtId="3" fontId="3" fillId="0" borderId="0" xfId="0" applyNumberFormat="1" applyFont="1"/>
    <xf numFmtId="4" fontId="3" fillId="0" borderId="0" xfId="0" applyNumberFormat="1" applyFont="1" applyFill="1" applyBorder="1"/>
    <xf numFmtId="4" fontId="6" fillId="0" borderId="0" xfId="0" applyNumberFormat="1" applyFont="1"/>
    <xf numFmtId="4" fontId="3" fillId="0" borderId="0" xfId="0" applyNumberFormat="1" applyFont="1" applyBorder="1"/>
    <xf numFmtId="165" fontId="3" fillId="0" borderId="0" xfId="0" applyNumberFormat="1" applyFont="1" applyBorder="1"/>
    <xf numFmtId="165" fontId="3" fillId="0" borderId="2" xfId="0" applyNumberFormat="1" applyFont="1" applyBorder="1"/>
    <xf numFmtId="0" fontId="9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164" fontId="1" fillId="0" borderId="0" xfId="0" applyNumberFormat="1" applyFont="1" applyProtection="1"/>
    <xf numFmtId="2" fontId="1" fillId="0" borderId="0" xfId="0" applyNumberFormat="1" applyFont="1"/>
    <xf numFmtId="2" fontId="1" fillId="0" borderId="0" xfId="0" applyNumberFormat="1" applyFont="1" applyProtection="1"/>
    <xf numFmtId="165" fontId="1" fillId="0" borderId="0" xfId="0" applyNumberFormat="1" applyFont="1" applyProtection="1"/>
    <xf numFmtId="0" fontId="1" fillId="0" borderId="0" xfId="0" applyFont="1" applyBorder="1" applyAlignment="1">
      <alignment horizontal="left" vertical="top"/>
    </xf>
    <xf numFmtId="164" fontId="1" fillId="0" borderId="1" xfId="0" applyNumberFormat="1" applyFont="1" applyBorder="1" applyProtection="1"/>
    <xf numFmtId="2" fontId="1" fillId="0" borderId="1" xfId="0" applyNumberFormat="1" applyFont="1" applyBorder="1"/>
    <xf numFmtId="164" fontId="1" fillId="0" borderId="2" xfId="0" applyNumberFormat="1" applyFont="1" applyBorder="1" applyProtection="1"/>
    <xf numFmtId="2" fontId="1" fillId="0" borderId="2" xfId="0" applyNumberFormat="1" applyFont="1" applyBorder="1"/>
    <xf numFmtId="0" fontId="10" fillId="0" borderId="2" xfId="0" applyFont="1" applyBorder="1"/>
    <xf numFmtId="0" fontId="1" fillId="0" borderId="3" xfId="0" applyFont="1" applyBorder="1"/>
    <xf numFmtId="0" fontId="1" fillId="0" borderId="4" xfId="0" applyFont="1" applyBorder="1"/>
    <xf numFmtId="2" fontId="10" fillId="0" borderId="0" xfId="0" applyNumberFormat="1" applyFont="1"/>
    <xf numFmtId="0" fontId="10" fillId="0" borderId="0" xfId="0" applyFont="1"/>
    <xf numFmtId="0" fontId="12" fillId="0" borderId="0" xfId="1" applyFont="1" applyAlignment="1" applyProtection="1"/>
    <xf numFmtId="9" fontId="1" fillId="0" borderId="0" xfId="0" applyNumberFormat="1" applyFont="1"/>
    <xf numFmtId="9" fontId="1" fillId="0" borderId="4" xfId="0" applyNumberFormat="1" applyFont="1" applyBorder="1"/>
    <xf numFmtId="0" fontId="1" fillId="0" borderId="0" xfId="0" quotePrefix="1" applyFont="1" applyBorder="1"/>
    <xf numFmtId="2" fontId="1" fillId="0" borderId="0" xfId="0" applyNumberFormat="1" applyFont="1" applyBorder="1"/>
    <xf numFmtId="0" fontId="2" fillId="0" borderId="1" xfId="0" applyFont="1" applyBorder="1"/>
    <xf numFmtId="0" fontId="2" fillId="0" borderId="0" xfId="0" applyFont="1"/>
    <xf numFmtId="1" fontId="1" fillId="0" borderId="0" xfId="0" applyNumberFormat="1" applyFont="1"/>
    <xf numFmtId="165" fontId="1" fillId="0" borderId="0" xfId="0" applyNumberFormat="1" applyFont="1" applyBorder="1"/>
    <xf numFmtId="165" fontId="1" fillId="0" borderId="2" xfId="0" applyNumberFormat="1" applyFont="1" applyBorder="1"/>
    <xf numFmtId="164" fontId="1" fillId="0" borderId="0" xfId="0" quotePrefix="1" applyNumberFormat="1" applyFont="1" applyProtection="1"/>
    <xf numFmtId="2" fontId="1" fillId="2" borderId="0" xfId="0" applyNumberFormat="1" applyFont="1" applyFill="1"/>
    <xf numFmtId="0" fontId="4" fillId="2" borderId="4" xfId="0" applyFont="1" applyFill="1" applyBorder="1"/>
    <xf numFmtId="2" fontId="4" fillId="2" borderId="4" xfId="0" applyNumberFormat="1" applyFont="1" applyFill="1" applyBorder="1"/>
    <xf numFmtId="9" fontId="4" fillId="2" borderId="4" xfId="0" applyNumberFormat="1" applyFont="1" applyFill="1" applyBorder="1" applyAlignment="1">
      <alignment horizontal="left"/>
    </xf>
    <xf numFmtId="2" fontId="4" fillId="0" borderId="0" xfId="0" applyNumberFormat="1" applyFont="1" applyFill="1" applyBorder="1"/>
    <xf numFmtId="0" fontId="4" fillId="0" borderId="0" xfId="0" applyFont="1" applyFill="1" applyBorder="1"/>
    <xf numFmtId="0" fontId="4" fillId="0" borderId="0" xfId="0" applyFont="1" applyBorder="1"/>
    <xf numFmtId="0" fontId="4" fillId="0" borderId="4" xfId="0" applyFont="1" applyBorder="1"/>
    <xf numFmtId="2" fontId="4" fillId="0" borderId="4" xfId="0" applyNumberFormat="1" applyFont="1" applyBorder="1"/>
    <xf numFmtId="164" fontId="1" fillId="0" borderId="0" xfId="0" applyNumberFormat="1" applyFont="1" applyBorder="1" applyProtection="1"/>
    <xf numFmtId="0" fontId="4" fillId="0" borderId="0" xfId="0" applyFont="1" applyFill="1"/>
    <xf numFmtId="164" fontId="1" fillId="0" borderId="0" xfId="0" applyNumberFormat="1" applyFont="1" applyBorder="1"/>
    <xf numFmtId="0" fontId="13" fillId="3" borderId="0" xfId="0" applyFont="1" applyFill="1"/>
    <xf numFmtId="0" fontId="1" fillId="3" borderId="0" xfId="0" applyFont="1" applyFill="1"/>
    <xf numFmtId="2" fontId="3" fillId="0" borderId="0" xfId="0" applyNumberFormat="1" applyFont="1" applyProtection="1"/>
    <xf numFmtId="164" fontId="3" fillId="0" borderId="0" xfId="0" applyNumberFormat="1" applyFont="1" applyProtection="1"/>
    <xf numFmtId="164" fontId="3" fillId="0" borderId="0" xfId="0" quotePrefix="1" applyNumberFormat="1" applyFont="1" applyAlignment="1" applyProtection="1">
      <alignment horizontal="right"/>
    </xf>
    <xf numFmtId="2" fontId="3" fillId="0" borderId="0" xfId="0" quotePrefix="1" applyNumberFormat="1" applyFont="1" applyAlignment="1">
      <alignment horizontal="right"/>
    </xf>
    <xf numFmtId="2" fontId="3" fillId="0" borderId="0" xfId="0" quotePrefix="1" applyNumberFormat="1" applyFont="1" applyAlignment="1" applyProtection="1">
      <alignment horizontal="right"/>
    </xf>
    <xf numFmtId="2" fontId="3" fillId="0" borderId="0" xfId="0" quotePrefix="1" applyNumberFormat="1" applyFont="1"/>
    <xf numFmtId="0" fontId="7" fillId="0" borderId="0" xfId="0" applyFont="1"/>
    <xf numFmtId="0" fontId="14" fillId="0" borderId="4" xfId="0" applyFont="1" applyBorder="1" applyAlignment="1">
      <alignment horizontal="center"/>
    </xf>
    <xf numFmtId="0" fontId="15" fillId="0" borderId="5" xfId="0" applyFont="1" applyFill="1" applyBorder="1" applyAlignment="1">
      <alignment horizontal="left"/>
    </xf>
    <xf numFmtId="0" fontId="16" fillId="0" borderId="6" xfId="0" applyFont="1" applyBorder="1" applyAlignment="1">
      <alignment horizontal="center"/>
    </xf>
    <xf numFmtId="0" fontId="3" fillId="0" borderId="4" xfId="0" applyFont="1" applyBorder="1"/>
    <xf numFmtId="2" fontId="3" fillId="0" borderId="0" xfId="0" applyNumberFormat="1" applyFont="1" applyAlignment="1">
      <alignment horizontal="center"/>
    </xf>
    <xf numFmtId="0" fontId="15" fillId="0" borderId="6" xfId="0" applyNumberFormat="1" applyFont="1" applyFill="1" applyBorder="1" applyAlignment="1" applyProtection="1">
      <alignment horizontal="left"/>
    </xf>
    <xf numFmtId="2" fontId="3" fillId="0" borderId="4" xfId="0" applyNumberFormat="1" applyFont="1" applyBorder="1"/>
    <xf numFmtId="0" fontId="15" fillId="0" borderId="7" xfId="0" applyNumberFormat="1" applyFont="1" applyFill="1" applyBorder="1" applyAlignment="1" applyProtection="1">
      <alignment horizontal="left"/>
    </xf>
    <xf numFmtId="0" fontId="16" fillId="0" borderId="7" xfId="0" applyFont="1" applyBorder="1" applyAlignment="1">
      <alignment horizontal="center"/>
    </xf>
    <xf numFmtId="0" fontId="15" fillId="0" borderId="0" xfId="0" applyNumberFormat="1" applyFont="1" applyFill="1" applyBorder="1" applyProtection="1"/>
    <xf numFmtId="0" fontId="16" fillId="0" borderId="0" xfId="0" applyFont="1" applyBorder="1"/>
    <xf numFmtId="0" fontId="3" fillId="0" borderId="0" xfId="0" quotePrefix="1" applyFont="1" applyBorder="1" applyAlignment="1">
      <alignment horizontal="left"/>
    </xf>
    <xf numFmtId="2" fontId="3" fillId="0" borderId="0" xfId="0" applyNumberFormat="1" applyFont="1" applyFill="1" applyBorder="1"/>
    <xf numFmtId="0" fontId="7" fillId="0" borderId="2" xfId="0" applyFont="1" applyBorder="1"/>
    <xf numFmtId="165" fontId="3" fillId="0" borderId="0" xfId="0" applyNumberFormat="1" applyFont="1" applyBorder="1" applyProtection="1"/>
    <xf numFmtId="1" fontId="3" fillId="0" borderId="0" xfId="0" applyNumberFormat="1" applyFont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1" fontId="1" fillId="0" borderId="0" xfId="0" applyNumberFormat="1" applyFont="1" applyProtection="1"/>
    <xf numFmtId="2" fontId="1" fillId="0" borderId="4" xfId="0" applyNumberFormat="1" applyFont="1" applyBorder="1"/>
    <xf numFmtId="0" fontId="1" fillId="0" borderId="4" xfId="0" applyFont="1" applyBorder="1" applyAlignment="1">
      <alignment horizontal="left" vertical="top"/>
    </xf>
    <xf numFmtId="166" fontId="1" fillId="0" borderId="4" xfId="0" applyNumberFormat="1" applyFont="1" applyBorder="1" applyAlignment="1">
      <alignment horizontal="left" vertical="top"/>
    </xf>
    <xf numFmtId="166" fontId="1" fillId="0" borderId="0" xfId="0" applyNumberFormat="1" applyFont="1" applyBorder="1" applyAlignment="1">
      <alignment horizontal="left" vertical="top"/>
    </xf>
    <xf numFmtId="0" fontId="17" fillId="0" borderId="0" xfId="0" applyFont="1"/>
    <xf numFmtId="2" fontId="17" fillId="0" borderId="0" xfId="0" applyNumberFormat="1" applyFont="1"/>
    <xf numFmtId="0" fontId="17" fillId="0" borderId="0" xfId="0" applyFont="1" applyFill="1"/>
    <xf numFmtId="164" fontId="1" fillId="0" borderId="0" xfId="0" quotePrefix="1" applyNumberFormat="1" applyFont="1" applyFill="1" applyProtection="1"/>
    <xf numFmtId="165" fontId="1" fillId="0" borderId="0" xfId="0" applyNumberFormat="1" applyFont="1" applyFill="1" applyProtection="1"/>
    <xf numFmtId="2" fontId="1" fillId="0" borderId="0" xfId="0" quotePrefix="1" applyNumberFormat="1" applyFont="1"/>
    <xf numFmtId="10" fontId="1" fillId="0" borderId="0" xfId="0" applyNumberFormat="1" applyFont="1"/>
    <xf numFmtId="0" fontId="17" fillId="0" borderId="0" xfId="0" applyFont="1" applyBorder="1"/>
    <xf numFmtId="0" fontId="17" fillId="0" borderId="0" xfId="0" applyFont="1" applyFill="1" applyBorder="1"/>
    <xf numFmtId="1" fontId="17" fillId="0" borderId="0" xfId="0" applyNumberFormat="1" applyFont="1" applyBorder="1"/>
    <xf numFmtId="0" fontId="17" fillId="0" borderId="4" xfId="0" applyFont="1" applyBorder="1"/>
    <xf numFmtId="2" fontId="1" fillId="0" borderId="0" xfId="0" applyNumberFormat="1" applyFont="1" applyBorder="1" applyProtection="1"/>
    <xf numFmtId="0" fontId="19" fillId="0" borderId="0" xfId="0" applyFont="1"/>
    <xf numFmtId="0" fontId="1" fillId="0" borderId="0" xfId="0" quotePrefix="1" applyFont="1" applyBorder="1" applyAlignment="1">
      <alignment horizontal="right"/>
    </xf>
    <xf numFmtId="2" fontId="1" fillId="0" borderId="0" xfId="0" applyNumberFormat="1" applyFont="1" applyBorder="1" applyAlignment="1">
      <alignment horizontal="right"/>
    </xf>
    <xf numFmtId="9" fontId="1" fillId="0" borderId="0" xfId="0" applyNumberFormat="1" applyFont="1" applyProtection="1"/>
    <xf numFmtId="9" fontId="1" fillId="0" borderId="0" xfId="0" quotePrefix="1" applyNumberFormat="1" applyFont="1" applyProtection="1"/>
    <xf numFmtId="0" fontId="1" fillId="0" borderId="0" xfId="0" quotePrefix="1" applyFont="1"/>
    <xf numFmtId="0" fontId="2" fillId="0" borderId="0" xfId="0" applyNumberFormat="1" applyFont="1" applyBorder="1" applyAlignment="1" applyProtection="1"/>
    <xf numFmtId="2" fontId="20" fillId="0" borderId="0" xfId="0" applyNumberFormat="1" applyFont="1"/>
    <xf numFmtId="0" fontId="20" fillId="0" borderId="4" xfId="0" applyFont="1" applyFill="1" applyBorder="1"/>
    <xf numFmtId="0" fontId="20" fillId="0" borderId="0" xfId="0" applyFont="1"/>
    <xf numFmtId="0" fontId="19" fillId="0" borderId="4" xfId="0" applyFont="1" applyBorder="1"/>
    <xf numFmtId="2" fontId="20" fillId="0" borderId="4" xfId="3" applyNumberFormat="1" applyFont="1" applyBorder="1" applyAlignment="1" applyProtection="1"/>
    <xf numFmtId="0" fontId="20" fillId="0" borderId="4" xfId="0" applyFont="1" applyBorder="1"/>
    <xf numFmtId="10" fontId="20" fillId="0" borderId="0" xfId="3" applyNumberFormat="1" applyFont="1" applyBorder="1" applyAlignment="1"/>
    <xf numFmtId="10" fontId="20" fillId="0" borderId="0" xfId="3" applyNumberFormat="1" applyFont="1"/>
    <xf numFmtId="0" fontId="20" fillId="0" borderId="0" xfId="0" applyFont="1" applyFill="1" applyBorder="1"/>
    <xf numFmtId="10" fontId="20" fillId="0" borderId="0" xfId="3" applyNumberFormat="1" applyFont="1" applyBorder="1" applyAlignment="1" applyProtection="1"/>
    <xf numFmtId="167" fontId="20" fillId="0" borderId="0" xfId="3" applyNumberFormat="1" applyFont="1" applyBorder="1"/>
    <xf numFmtId="2" fontId="19" fillId="0" borderId="0" xfId="0" applyNumberFormat="1" applyFont="1"/>
    <xf numFmtId="165" fontId="1" fillId="0" borderId="0" xfId="0" applyNumberFormat="1" applyFont="1" applyBorder="1" applyProtection="1"/>
    <xf numFmtId="0" fontId="3" fillId="0" borderId="0" xfId="0" applyFont="1" applyBorder="1" applyAlignment="1">
      <alignment horizontal="lef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Fill="1" applyAlignment="1">
      <alignment horizontal="left"/>
    </xf>
    <xf numFmtId="2" fontId="3" fillId="3" borderId="0" xfId="0" quotePrefix="1" applyNumberFormat="1" applyFont="1" applyFill="1" applyAlignment="1">
      <alignment horizontal="left"/>
    </xf>
    <xf numFmtId="2" fontId="3" fillId="0" borderId="0" xfId="0" quotePrefix="1" applyNumberFormat="1" applyFont="1" applyAlignment="1">
      <alignment horizontal="left"/>
    </xf>
    <xf numFmtId="2" fontId="20" fillId="0" borderId="4" xfId="3" applyNumberFormat="1" applyFont="1" applyBorder="1" applyAlignment="1"/>
    <xf numFmtId="0" fontId="2" fillId="0" borderId="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Fill="1" applyBorder="1" applyAlignment="1">
      <alignment horizontal="center"/>
    </xf>
    <xf numFmtId="166" fontId="1" fillId="0" borderId="0" xfId="0" applyNumberFormat="1" applyFont="1" applyFill="1" applyBorder="1" applyAlignment="1">
      <alignment horizontal="right"/>
    </xf>
    <xf numFmtId="1" fontId="1" fillId="0" borderId="0" xfId="0" applyNumberFormat="1" applyFont="1" applyAlignment="1">
      <alignment horizontal="right" vertical="top"/>
    </xf>
    <xf numFmtId="0" fontId="1" fillId="0" borderId="0" xfId="0" applyFont="1" applyFill="1" applyAlignment="1">
      <alignment horizontal="left" vertical="top"/>
    </xf>
    <xf numFmtId="0" fontId="2" fillId="0" borderId="3" xfId="0" applyFont="1" applyBorder="1"/>
    <xf numFmtId="0" fontId="2" fillId="0" borderId="4" xfId="0" applyFont="1" applyBorder="1" applyAlignment="1">
      <alignment horizontal="left" vertical="top"/>
    </xf>
    <xf numFmtId="2" fontId="2" fillId="0" borderId="4" xfId="0" applyNumberFormat="1" applyFont="1" applyFill="1" applyBorder="1"/>
    <xf numFmtId="0" fontId="2" fillId="0" borderId="0" xfId="0" applyFont="1" applyAlignment="1">
      <alignment horizontal="left" vertical="top"/>
    </xf>
    <xf numFmtId="2" fontId="1" fillId="0" borderId="4" xfId="0" applyNumberFormat="1" applyFont="1" applyFill="1" applyBorder="1"/>
    <xf numFmtId="2" fontId="1" fillId="0" borderId="4" xfId="0" applyNumberFormat="1" applyFont="1" applyBorder="1" applyAlignment="1">
      <alignment horizontal="left" vertical="top"/>
    </xf>
    <xf numFmtId="0" fontId="1" fillId="0" borderId="0" xfId="0" quotePrefix="1" applyFont="1" applyBorder="1" applyAlignment="1">
      <alignment horizontal="center"/>
    </xf>
    <xf numFmtId="1" fontId="1" fillId="0" borderId="0" xfId="0" applyNumberFormat="1" applyFont="1" applyBorder="1"/>
    <xf numFmtId="166" fontId="1" fillId="0" borderId="0" xfId="0" applyNumberFormat="1" applyFont="1" applyBorder="1"/>
    <xf numFmtId="2" fontId="5" fillId="0" borderId="0" xfId="0" applyNumberFormat="1" applyFont="1" applyFill="1" applyAlignment="1">
      <alignment horizontal="left" vertical="top"/>
    </xf>
    <xf numFmtId="0" fontId="21" fillId="0" borderId="0" xfId="0" applyFont="1"/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2" fontId="3" fillId="0" borderId="0" xfId="0" applyNumberFormat="1" applyFont="1" applyFill="1" applyBorder="1" applyAlignment="1">
      <alignment horizontal="right"/>
    </xf>
    <xf numFmtId="2" fontId="3" fillId="0" borderId="0" xfId="0" applyNumberFormat="1" applyFont="1" applyFill="1" applyProtection="1"/>
    <xf numFmtId="166" fontId="17" fillId="0" borderId="0" xfId="0" applyNumberFormat="1" applyFont="1" applyFill="1"/>
    <xf numFmtId="2" fontId="17" fillId="0" borderId="0" xfId="0" applyNumberFormat="1" applyFont="1" applyFill="1"/>
    <xf numFmtId="164" fontId="3" fillId="0" borderId="0" xfId="0" applyNumberFormat="1" applyFont="1" applyFill="1" applyProtection="1"/>
    <xf numFmtId="2" fontId="17" fillId="0" borderId="4" xfId="0" applyNumberFormat="1" applyFont="1" applyBorder="1"/>
    <xf numFmtId="0" fontId="3" fillId="0" borderId="0" xfId="0" quotePrefix="1" applyFont="1" applyBorder="1"/>
    <xf numFmtId="39" fontId="3" fillId="0" borderId="0" xfId="0" applyNumberFormat="1" applyFont="1" applyBorder="1"/>
    <xf numFmtId="49" fontId="3" fillId="0" borderId="0" xfId="0" applyNumberFormat="1" applyFont="1" applyBorder="1" applyAlignment="1">
      <alignment horizontal="right"/>
    </xf>
    <xf numFmtId="39" fontId="3" fillId="0" borderId="0" xfId="0" quotePrefix="1" applyNumberFormat="1" applyFont="1" applyBorder="1"/>
    <xf numFmtId="2" fontId="17" fillId="0" borderId="0" xfId="0" applyNumberFormat="1" applyFont="1" applyBorder="1"/>
    <xf numFmtId="0" fontId="1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2" fillId="0" borderId="0" xfId="0" applyFont="1"/>
    <xf numFmtId="0" fontId="1" fillId="0" borderId="0" xfId="0" applyFont="1" applyAlignment="1">
      <alignment horizontal="center"/>
    </xf>
    <xf numFmtId="166" fontId="1" fillId="0" borderId="0" xfId="0" applyNumberFormat="1" applyFont="1" applyFill="1"/>
    <xf numFmtId="49" fontId="1" fillId="0" borderId="0" xfId="0" applyNumberFormat="1" applyFont="1" applyFill="1" applyProtection="1"/>
    <xf numFmtId="0" fontId="1" fillId="0" borderId="3" xfId="0" applyFont="1" applyFill="1" applyBorder="1" applyAlignment="1">
      <alignment horizontal="center"/>
    </xf>
    <xf numFmtId="165" fontId="1" fillId="0" borderId="4" xfId="0" applyNumberFormat="1" applyFont="1" applyFill="1" applyBorder="1" applyProtection="1"/>
    <xf numFmtId="166" fontId="1" fillId="0" borderId="4" xfId="0" applyNumberFormat="1" applyFont="1" applyFill="1" applyBorder="1" applyAlignment="1">
      <alignment horizontal="left" vertical="top"/>
    </xf>
    <xf numFmtId="2" fontId="1" fillId="0" borderId="0" xfId="0" applyNumberFormat="1" applyFont="1" applyFill="1" applyAlignment="1">
      <alignment horizontal="center"/>
    </xf>
    <xf numFmtId="165" fontId="2" fillId="0" borderId="4" xfId="0" applyNumberFormat="1" applyFont="1" applyFill="1" applyBorder="1" applyProtection="1"/>
    <xf numFmtId="0" fontId="1" fillId="0" borderId="4" xfId="0" applyFont="1" applyFill="1" applyBorder="1" applyAlignment="1">
      <alignment horizontal="left" vertical="top"/>
    </xf>
    <xf numFmtId="0" fontId="1" fillId="0" borderId="0" xfId="0" quotePrefix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49" fontId="1" fillId="0" borderId="0" xfId="0" applyNumberFormat="1" applyFont="1" applyProtection="1"/>
    <xf numFmtId="0" fontId="1" fillId="0" borderId="0" xfId="0" applyNumberFormat="1" applyFont="1"/>
    <xf numFmtId="0" fontId="1" fillId="0" borderId="0" xfId="0" applyNumberFormat="1" applyFont="1" applyProtection="1"/>
    <xf numFmtId="49" fontId="1" fillId="0" borderId="0" xfId="0" applyNumberFormat="1" applyFont="1"/>
    <xf numFmtId="168" fontId="1" fillId="0" borderId="0" xfId="0" applyNumberFormat="1" applyFont="1"/>
    <xf numFmtId="2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Border="1"/>
    <xf numFmtId="0" fontId="5" fillId="0" borderId="0" xfId="0" applyFont="1" applyFill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1" fontId="0" fillId="0" borderId="4" xfId="0" applyNumberFormat="1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0" fontId="23" fillId="0" borderId="0" xfId="0" applyFont="1"/>
    <xf numFmtId="0" fontId="24" fillId="0" borderId="0" xfId="0" applyFont="1"/>
    <xf numFmtId="0" fontId="25" fillId="0" borderId="1" xfId="0" applyFont="1" applyBorder="1"/>
    <xf numFmtId="0" fontId="25" fillId="0" borderId="1" xfId="0" applyFont="1" applyBorder="1" applyAlignment="1">
      <alignment horizontal="right"/>
    </xf>
    <xf numFmtId="0" fontId="25" fillId="0" borderId="1" xfId="0" applyFont="1" applyBorder="1" applyAlignment="1">
      <alignment horizontal="left"/>
    </xf>
    <xf numFmtId="0" fontId="25" fillId="0" borderId="0" xfId="0" applyFont="1" applyBorder="1"/>
    <xf numFmtId="0" fontId="25" fillId="0" borderId="0" xfId="0" applyFont="1" applyBorder="1" applyAlignment="1">
      <alignment horizontal="right"/>
    </xf>
    <xf numFmtId="0" fontId="25" fillId="0" borderId="2" xfId="0" applyFont="1" applyBorder="1"/>
    <xf numFmtId="0" fontId="25" fillId="0" borderId="2" xfId="0" applyFont="1" applyBorder="1" applyAlignment="1">
      <alignment horizontal="right"/>
    </xf>
    <xf numFmtId="0" fontId="25" fillId="0" borderId="0" xfId="0" applyFont="1"/>
    <xf numFmtId="2" fontId="25" fillId="0" borderId="0" xfId="0" applyNumberFormat="1" applyFont="1"/>
    <xf numFmtId="2" fontId="25" fillId="0" borderId="0" xfId="0" applyNumberFormat="1" applyFont="1" applyBorder="1" applyAlignment="1">
      <alignment horizontal="right"/>
    </xf>
    <xf numFmtId="166" fontId="1" fillId="0" borderId="0" xfId="0" applyNumberFormat="1" applyFont="1" applyFill="1" applyBorder="1" applyAlignment="1">
      <alignment horizontal="center"/>
    </xf>
    <xf numFmtId="166" fontId="1" fillId="0" borderId="0" xfId="0" applyNumberFormat="1" applyFont="1" applyFill="1" applyBorder="1"/>
    <xf numFmtId="2" fontId="24" fillId="0" borderId="0" xfId="0" applyNumberFormat="1" applyFont="1"/>
    <xf numFmtId="0" fontId="25" fillId="0" borderId="0" xfId="0" applyNumberFormat="1" applyFont="1" applyProtection="1"/>
    <xf numFmtId="2" fontId="25" fillId="0" borderId="0" xfId="0" applyNumberFormat="1" applyFont="1" applyFill="1"/>
    <xf numFmtId="164" fontId="25" fillId="0" borderId="0" xfId="0" quotePrefix="1" applyNumberFormat="1" applyFont="1" applyProtection="1"/>
    <xf numFmtId="2" fontId="25" fillId="0" borderId="0" xfId="0" quotePrefix="1" applyNumberFormat="1" applyFont="1"/>
    <xf numFmtId="0" fontId="25" fillId="0" borderId="0" xfId="0" quotePrefix="1" applyNumberFormat="1" applyFont="1"/>
    <xf numFmtId="2" fontId="3" fillId="0" borderId="0" xfId="0" quotePrefix="1" applyNumberFormat="1" applyFont="1" applyProtection="1"/>
    <xf numFmtId="2" fontId="24" fillId="0" borderId="0" xfId="0" quotePrefix="1" applyNumberFormat="1" applyFont="1"/>
    <xf numFmtId="164" fontId="25" fillId="0" borderId="0" xfId="0" applyNumberFormat="1" applyFont="1" applyProtection="1"/>
    <xf numFmtId="9" fontId="25" fillId="0" borderId="0" xfId="2" applyFont="1"/>
    <xf numFmtId="1" fontId="24" fillId="0" borderId="0" xfId="0" applyNumberFormat="1" applyFont="1"/>
    <xf numFmtId="0" fontId="25" fillId="0" borderId="0" xfId="0" quotePrefix="1" applyFont="1"/>
    <xf numFmtId="0" fontId="26" fillId="0" borderId="0" xfId="0" applyFont="1"/>
    <xf numFmtId="0" fontId="6" fillId="0" borderId="0" xfId="0" applyFont="1"/>
    <xf numFmtId="164" fontId="25" fillId="0" borderId="1" xfId="0" applyNumberFormat="1" applyFont="1" applyBorder="1" applyProtection="1"/>
    <xf numFmtId="1" fontId="25" fillId="0" borderId="1" xfId="0" applyNumberFormat="1" applyFont="1" applyBorder="1"/>
    <xf numFmtId="2" fontId="25" fillId="0" borderId="1" xfId="0" applyNumberFormat="1" applyFont="1" applyBorder="1"/>
    <xf numFmtId="164" fontId="25" fillId="0" borderId="2" xfId="0" applyNumberFormat="1" applyFont="1" applyBorder="1" applyProtection="1"/>
    <xf numFmtId="2" fontId="25" fillId="0" borderId="2" xfId="0" applyNumberFormat="1" applyFont="1" applyBorder="1"/>
    <xf numFmtId="1" fontId="25" fillId="0" borderId="2" xfId="0" applyNumberFormat="1" applyFont="1" applyBorder="1"/>
    <xf numFmtId="0" fontId="27" fillId="0" borderId="0" xfId="0" applyNumberFormat="1" applyFont="1" applyBorder="1" applyAlignment="1" applyProtection="1"/>
    <xf numFmtId="0" fontId="25" fillId="0" borderId="3" xfId="0" applyFont="1" applyBorder="1"/>
    <xf numFmtId="0" fontId="28" fillId="0" borderId="0" xfId="0" applyFont="1"/>
    <xf numFmtId="0" fontId="23" fillId="0" borderId="0" xfId="0" applyNumberFormat="1" applyFont="1" applyBorder="1" applyAlignment="1" applyProtection="1"/>
    <xf numFmtId="2" fontId="29" fillId="0" borderId="0" xfId="0" applyNumberFormat="1" applyFont="1"/>
    <xf numFmtId="0" fontId="29" fillId="0" borderId="4" xfId="0" applyFont="1" applyFill="1" applyBorder="1"/>
    <xf numFmtId="1" fontId="25" fillId="0" borderId="4" xfId="0" applyNumberFormat="1" applyFont="1" applyBorder="1"/>
    <xf numFmtId="0" fontId="25" fillId="0" borderId="4" xfId="0" applyFont="1" applyBorder="1"/>
    <xf numFmtId="0" fontId="27" fillId="0" borderId="0" xfId="0" applyFont="1"/>
    <xf numFmtId="10" fontId="27" fillId="0" borderId="0" xfId="3" applyNumberFormat="1" applyFont="1" applyBorder="1" applyAlignment="1" applyProtection="1"/>
    <xf numFmtId="10" fontId="27" fillId="0" borderId="0" xfId="3" applyNumberFormat="1" applyFont="1" applyBorder="1" applyAlignment="1"/>
    <xf numFmtId="0" fontId="29" fillId="0" borderId="0" xfId="0" applyFont="1" applyBorder="1"/>
    <xf numFmtId="0" fontId="29" fillId="0" borderId="0" xfId="3" applyNumberFormat="1" applyFont="1" applyBorder="1"/>
    <xf numFmtId="2" fontId="29" fillId="0" borderId="4" xfId="3" applyNumberFormat="1" applyFont="1" applyBorder="1" applyAlignment="1" applyProtection="1"/>
    <xf numFmtId="0" fontId="29" fillId="0" borderId="4" xfId="0" applyFont="1" applyBorder="1"/>
    <xf numFmtId="167" fontId="29" fillId="0" borderId="4" xfId="3" applyNumberFormat="1" applyFont="1" applyBorder="1"/>
    <xf numFmtId="0" fontId="24" fillId="0" borderId="1" xfId="0" applyFont="1" applyBorder="1"/>
    <xf numFmtId="2" fontId="30" fillId="0" borderId="0" xfId="0" applyNumberFormat="1" applyFont="1"/>
    <xf numFmtId="0" fontId="25" fillId="0" borderId="0" xfId="0" applyFont="1" applyBorder="1" applyAlignment="1">
      <alignment horizontal="left"/>
    </xf>
    <xf numFmtId="0" fontId="25" fillId="0" borderId="0" xfId="2" applyNumberFormat="1" applyFont="1"/>
    <xf numFmtId="0" fontId="25" fillId="0" borderId="0" xfId="0" applyFont="1" applyFill="1"/>
    <xf numFmtId="9" fontId="25" fillId="0" borderId="0" xfId="0" quotePrefix="1" applyNumberFormat="1" applyFont="1" applyBorder="1"/>
    <xf numFmtId="2" fontId="25" fillId="0" borderId="0" xfId="0" applyNumberFormat="1" applyFont="1" applyBorder="1"/>
    <xf numFmtId="0" fontId="24" fillId="0" borderId="0" xfId="0" applyFont="1" applyBorder="1"/>
    <xf numFmtId="2" fontId="24" fillId="0" borderId="0" xfId="0" quotePrefix="1" applyNumberFormat="1" applyFont="1" applyBorder="1"/>
    <xf numFmtId="0" fontId="24" fillId="0" borderId="0" xfId="0" applyFont="1" applyBorder="1" applyAlignment="1">
      <alignment horizontal="left"/>
    </xf>
    <xf numFmtId="0" fontId="25" fillId="0" borderId="0" xfId="0" quotePrefix="1" applyFont="1" applyBorder="1"/>
    <xf numFmtId="0" fontId="24" fillId="0" borderId="0" xfId="0" quotePrefix="1" applyFont="1" applyBorder="1"/>
    <xf numFmtId="1" fontId="25" fillId="0" borderId="0" xfId="0" applyNumberFormat="1" applyFont="1"/>
    <xf numFmtId="165" fontId="25" fillId="0" borderId="0" xfId="0" applyNumberFormat="1" applyFont="1" applyBorder="1"/>
    <xf numFmtId="165" fontId="25" fillId="0" borderId="2" xfId="0" applyNumberFormat="1" applyFont="1" applyBorder="1"/>
    <xf numFmtId="0" fontId="31" fillId="0" borderId="0" xfId="0" applyFont="1"/>
    <xf numFmtId="0" fontId="1" fillId="0" borderId="0" xfId="0" applyFont="1" applyAlignment="1"/>
    <xf numFmtId="0" fontId="1" fillId="0" borderId="8" xfId="0" applyFont="1" applyBorder="1"/>
    <xf numFmtId="0" fontId="1" fillId="0" borderId="8" xfId="0" applyFont="1" applyBorder="1" applyAlignment="1">
      <alignment horizontal="right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9" xfId="0" applyFont="1" applyBorder="1"/>
    <xf numFmtId="0" fontId="1" fillId="0" borderId="9" xfId="0" applyFont="1" applyBorder="1" applyAlignment="1">
      <alignment horizontal="right"/>
    </xf>
    <xf numFmtId="164" fontId="1" fillId="0" borderId="0" xfId="0" applyNumberFormat="1" applyFont="1"/>
    <xf numFmtId="0" fontId="1" fillId="0" borderId="0" xfId="0" applyFont="1" applyBorder="1" applyAlignment="1"/>
    <xf numFmtId="164" fontId="1" fillId="0" borderId="8" xfId="0" applyNumberFormat="1" applyFont="1" applyBorder="1"/>
    <xf numFmtId="2" fontId="1" fillId="0" borderId="8" xfId="0" applyNumberFormat="1" applyFont="1" applyBorder="1"/>
    <xf numFmtId="164" fontId="1" fillId="0" borderId="9" xfId="0" applyNumberFormat="1" applyFont="1" applyBorder="1"/>
    <xf numFmtId="2" fontId="1" fillId="0" borderId="9" xfId="0" applyNumberFormat="1" applyFont="1" applyBorder="1"/>
    <xf numFmtId="0" fontId="1" fillId="0" borderId="10" xfId="0" applyFont="1" applyBorder="1"/>
    <xf numFmtId="165" fontId="1" fillId="0" borderId="0" xfId="0" applyNumberFormat="1" applyFont="1"/>
    <xf numFmtId="165" fontId="1" fillId="0" borderId="9" xfId="0" applyNumberFormat="1" applyFont="1" applyBorder="1"/>
    <xf numFmtId="0" fontId="1" fillId="0" borderId="0" xfId="0" applyFont="1" applyFill="1" applyAlignment="1"/>
    <xf numFmtId="0" fontId="1" fillId="0" borderId="8" xfId="0" applyFont="1" applyFill="1" applyBorder="1"/>
    <xf numFmtId="0" fontId="1" fillId="0" borderId="8" xfId="0" applyFont="1" applyFill="1" applyBorder="1" applyAlignment="1">
      <alignment horizontal="right"/>
    </xf>
    <xf numFmtId="0" fontId="1" fillId="0" borderId="8" xfId="0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9" xfId="0" applyFont="1" applyFill="1" applyBorder="1"/>
    <xf numFmtId="0" fontId="1" fillId="0" borderId="9" xfId="0" applyFont="1" applyFill="1" applyBorder="1" applyAlignment="1">
      <alignment horizontal="right"/>
    </xf>
    <xf numFmtId="164" fontId="1" fillId="0" borderId="0" xfId="0" applyNumberFormat="1" applyFont="1" applyFill="1"/>
    <xf numFmtId="165" fontId="1" fillId="0" borderId="0" xfId="0" applyNumberFormat="1" applyFont="1" applyFill="1"/>
    <xf numFmtId="164" fontId="1" fillId="0" borderId="8" xfId="0" applyNumberFormat="1" applyFont="1" applyFill="1" applyBorder="1"/>
    <xf numFmtId="2" fontId="1" fillId="0" borderId="8" xfId="0" applyNumberFormat="1" applyFont="1" applyFill="1" applyBorder="1"/>
    <xf numFmtId="164" fontId="1" fillId="0" borderId="9" xfId="0" applyNumberFormat="1" applyFont="1" applyFill="1" applyBorder="1"/>
    <xf numFmtId="2" fontId="1" fillId="0" borderId="9" xfId="0" applyNumberFormat="1" applyFont="1" applyFill="1" applyBorder="1"/>
    <xf numFmtId="0" fontId="1" fillId="0" borderId="10" xfId="0" applyFont="1" applyFill="1" applyBorder="1"/>
    <xf numFmtId="165" fontId="1" fillId="0" borderId="9" xfId="0" applyNumberFormat="1" applyFont="1" applyFill="1" applyBorder="1"/>
    <xf numFmtId="0" fontId="1" fillId="0" borderId="0" xfId="0" applyFont="1" applyAlignment="1">
      <alignment horizontal="center"/>
    </xf>
    <xf numFmtId="1" fontId="17" fillId="0" borderId="0" xfId="0" applyNumberFormat="1" applyFont="1"/>
    <xf numFmtId="2" fontId="17" fillId="0" borderId="0" xfId="0" applyNumberFormat="1" applyFont="1" applyAlignment="1">
      <alignment vertical="top"/>
    </xf>
    <xf numFmtId="0" fontId="17" fillId="0" borderId="0" xfId="0" quotePrefix="1" applyFont="1"/>
    <xf numFmtId="9" fontId="32" fillId="0" borderId="0" xfId="2" applyFont="1"/>
    <xf numFmtId="2" fontId="32" fillId="0" borderId="0" xfId="0" applyNumberFormat="1" applyFont="1"/>
    <xf numFmtId="0" fontId="17" fillId="0" borderId="0" xfId="2" applyNumberFormat="1" applyFont="1"/>
    <xf numFmtId="2" fontId="17" fillId="0" borderId="0" xfId="2" applyNumberFormat="1" applyFont="1" applyFill="1"/>
    <xf numFmtId="2" fontId="17" fillId="0" borderId="0" xfId="2" applyNumberFormat="1" applyFont="1"/>
    <xf numFmtId="1" fontId="3" fillId="0" borderId="1" xfId="0" applyNumberFormat="1" applyFont="1" applyBorder="1"/>
    <xf numFmtId="169" fontId="1" fillId="0" borderId="0" xfId="0" applyNumberFormat="1" applyFont="1"/>
    <xf numFmtId="0" fontId="17" fillId="0" borderId="4" xfId="0" applyFont="1" applyFill="1" applyBorder="1" applyAlignment="1">
      <alignment horizontal="left" vertical="top"/>
    </xf>
    <xf numFmtId="1" fontId="17" fillId="0" borderId="4" xfId="0" applyNumberFormat="1" applyFont="1" applyBorder="1"/>
    <xf numFmtId="0" fontId="1" fillId="0" borderId="4" xfId="0" applyNumberFormat="1" applyFont="1" applyFill="1" applyBorder="1" applyProtection="1"/>
    <xf numFmtId="0" fontId="32" fillId="0" borderId="0" xfId="0" applyFont="1" applyFill="1" applyBorder="1" applyAlignment="1">
      <alignment horizontal="left" vertical="top"/>
    </xf>
    <xf numFmtId="0" fontId="1" fillId="0" borderId="0" xfId="0" applyNumberFormat="1" applyFont="1" applyFill="1" applyBorder="1" applyProtection="1"/>
    <xf numFmtId="1" fontId="17" fillId="0" borderId="0" xfId="0" applyNumberFormat="1" applyFont="1" applyFill="1"/>
    <xf numFmtId="2" fontId="1" fillId="0" borderId="0" xfId="0" applyNumberFormat="1" applyFont="1" applyFill="1" applyBorder="1" applyProtection="1"/>
  </cellXfs>
  <cellStyles count="4">
    <cellStyle name="Hyperlink" xfId="1" builtinId="8"/>
    <cellStyle name="Normal" xfId="0" builtinId="0"/>
    <cellStyle name="Percent" xfId="2" builtinId="5"/>
    <cellStyle name="Percent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7"/>
  <sheetViews>
    <sheetView workbookViewId="0">
      <selection activeCell="O21" sqref="O21"/>
    </sheetView>
  </sheetViews>
  <sheetFormatPr defaultRowHeight="14.25"/>
  <cols>
    <col min="1" max="3" width="9.140625" style="1"/>
    <col min="4" max="4" width="5.140625" style="1" customWidth="1"/>
    <col min="5" max="5" width="6.42578125" style="1" customWidth="1"/>
    <col min="6" max="6" width="5.5703125" style="1" customWidth="1"/>
    <col min="7" max="7" width="9.140625" style="1" customWidth="1"/>
    <col min="8" max="8" width="8.42578125" style="1" customWidth="1"/>
    <col min="9" max="9" width="6.5703125" style="1" customWidth="1"/>
    <col min="10" max="10" width="7.42578125" style="1" customWidth="1"/>
    <col min="11" max="11" width="8.140625" style="1" customWidth="1"/>
    <col min="12" max="12" width="7.140625" style="1" customWidth="1"/>
    <col min="13" max="13" width="6.28515625" style="1" customWidth="1"/>
    <col min="14" max="16" width="9.140625" style="1"/>
    <col min="17" max="17" width="8.28515625" style="1" customWidth="1"/>
    <col min="18" max="18" width="6.5703125" style="1" customWidth="1"/>
    <col min="19" max="19" width="7.140625" style="1" customWidth="1"/>
    <col min="20" max="16384" width="9.140625" style="1"/>
  </cols>
  <sheetData>
    <row r="1" spans="1:19">
      <c r="A1" s="1" t="s">
        <v>0</v>
      </c>
      <c r="B1" s="1" t="s">
        <v>1</v>
      </c>
    </row>
    <row r="2" spans="1:19">
      <c r="B2" s="1" t="s">
        <v>2</v>
      </c>
    </row>
    <row r="3" spans="1:19">
      <c r="B3" s="1" t="s">
        <v>3</v>
      </c>
    </row>
    <row r="4" spans="1:19">
      <c r="A4" s="2" t="s">
        <v>4</v>
      </c>
      <c r="B4" s="2"/>
      <c r="C4" s="2"/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4" t="s">
        <v>13</v>
      </c>
      <c r="M4" s="3"/>
    </row>
    <row r="5" spans="1:19">
      <c r="A5" s="5"/>
      <c r="B5" s="5"/>
      <c r="C5" s="5"/>
      <c r="D5" s="6" t="s">
        <v>14</v>
      </c>
      <c r="E5" s="6" t="s">
        <v>15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17</v>
      </c>
      <c r="K5" s="6" t="s">
        <v>17</v>
      </c>
      <c r="L5" s="7" t="s">
        <v>10</v>
      </c>
      <c r="M5" s="6" t="s">
        <v>11</v>
      </c>
    </row>
    <row r="6" spans="1:19">
      <c r="A6" s="5"/>
      <c r="B6" s="5"/>
      <c r="C6" s="5"/>
      <c r="D6" s="6" t="s">
        <v>19</v>
      </c>
      <c r="E6" s="6"/>
      <c r="F6" s="6"/>
      <c r="G6" s="6"/>
      <c r="H6" s="6" t="s">
        <v>20</v>
      </c>
      <c r="I6" s="6" t="s">
        <v>17</v>
      </c>
      <c r="J6" s="6" t="s">
        <v>20</v>
      </c>
      <c r="K6" s="6" t="s">
        <v>20</v>
      </c>
      <c r="L6" s="6"/>
      <c r="M6" s="6"/>
    </row>
    <row r="7" spans="1:19">
      <c r="A7" s="8"/>
      <c r="B7" s="8"/>
      <c r="C7" s="8"/>
      <c r="D7" s="9"/>
      <c r="E7" s="9"/>
      <c r="F7" s="9"/>
      <c r="G7" s="9"/>
      <c r="H7" s="9"/>
      <c r="I7" s="9" t="s">
        <v>20</v>
      </c>
      <c r="J7" s="9"/>
      <c r="K7" s="9"/>
      <c r="L7" s="9"/>
      <c r="M7" s="9"/>
    </row>
    <row r="8" spans="1:19">
      <c r="A8" s="1" t="s">
        <v>21</v>
      </c>
      <c r="D8" s="10">
        <v>48</v>
      </c>
      <c r="E8" s="11">
        <v>2.57</v>
      </c>
      <c r="F8" s="11">
        <v>2.57</v>
      </c>
      <c r="G8" s="12">
        <v>1000</v>
      </c>
      <c r="H8" s="11">
        <f t="shared" ref="H8:H17" si="0">SUM(E8*G8)</f>
        <v>2570</v>
      </c>
      <c r="I8" s="13"/>
      <c r="J8" s="11"/>
      <c r="K8" s="14">
        <f t="shared" ref="K8:K17" si="1">SUM(H8:J8)</f>
        <v>2570</v>
      </c>
      <c r="R8" s="14"/>
      <c r="S8" s="14"/>
    </row>
    <row r="9" spans="1:19">
      <c r="A9" s="1" t="s">
        <v>22</v>
      </c>
      <c r="D9" s="10">
        <v>96</v>
      </c>
      <c r="E9" s="11">
        <v>0.43</v>
      </c>
      <c r="F9" s="11">
        <v>0.43</v>
      </c>
      <c r="G9" s="12">
        <v>1000</v>
      </c>
      <c r="H9" s="11">
        <f t="shared" si="0"/>
        <v>430</v>
      </c>
      <c r="I9" s="13">
        <v>4640</v>
      </c>
      <c r="J9" s="11"/>
      <c r="K9" s="14">
        <f t="shared" si="1"/>
        <v>5070</v>
      </c>
      <c r="L9" s="14">
        <v>533</v>
      </c>
      <c r="M9" s="14"/>
      <c r="R9" s="15"/>
      <c r="S9" s="15"/>
    </row>
    <row r="10" spans="1:19">
      <c r="A10" s="1" t="s">
        <v>23</v>
      </c>
      <c r="D10" s="16" t="s">
        <v>24</v>
      </c>
      <c r="E10" s="17" t="s">
        <v>25</v>
      </c>
      <c r="F10" s="17" t="s">
        <v>25</v>
      </c>
      <c r="G10" s="18" t="s">
        <v>26</v>
      </c>
      <c r="H10" s="11">
        <v>0</v>
      </c>
      <c r="I10" s="19" t="s">
        <v>27</v>
      </c>
      <c r="J10" s="11"/>
      <c r="K10" s="14">
        <f t="shared" si="1"/>
        <v>0</v>
      </c>
      <c r="L10" s="14"/>
      <c r="M10" s="14"/>
    </row>
    <row r="11" spans="1:19">
      <c r="A11" s="1" t="s">
        <v>28</v>
      </c>
      <c r="D11" s="16">
        <v>54</v>
      </c>
      <c r="E11" s="17">
        <v>0.95</v>
      </c>
      <c r="F11" s="17">
        <v>0.54</v>
      </c>
      <c r="G11" s="18">
        <v>1000</v>
      </c>
      <c r="H11" s="11">
        <f t="shared" si="0"/>
        <v>950</v>
      </c>
      <c r="I11" s="19">
        <v>2243</v>
      </c>
      <c r="J11" s="14">
        <f>SUM(E25*G25)</f>
        <v>2784</v>
      </c>
      <c r="K11" s="14">
        <f>SUM(H11:J11)</f>
        <v>5977</v>
      </c>
      <c r="L11" s="14">
        <v>258</v>
      </c>
      <c r="M11" s="14">
        <v>870</v>
      </c>
      <c r="R11" s="14"/>
      <c r="S11" s="14"/>
    </row>
    <row r="12" spans="1:19">
      <c r="A12" s="1" t="s">
        <v>29</v>
      </c>
      <c r="D12" s="16" t="s">
        <v>30</v>
      </c>
      <c r="E12" s="17" t="s">
        <v>31</v>
      </c>
      <c r="F12" s="17" t="s">
        <v>32</v>
      </c>
      <c r="G12" s="18" t="s">
        <v>26</v>
      </c>
      <c r="H12" s="11">
        <v>0</v>
      </c>
      <c r="I12" s="19" t="s">
        <v>33</v>
      </c>
      <c r="J12" s="17"/>
      <c r="K12" s="14">
        <f t="shared" si="1"/>
        <v>0</v>
      </c>
      <c r="O12" s="5"/>
      <c r="R12" s="14"/>
      <c r="S12" s="14"/>
    </row>
    <row r="13" spans="1:19">
      <c r="A13" s="5" t="s">
        <v>34</v>
      </c>
      <c r="D13" s="20">
        <v>44</v>
      </c>
      <c r="E13" s="14">
        <v>0.3</v>
      </c>
      <c r="F13" s="14">
        <v>0.27</v>
      </c>
      <c r="G13" s="21">
        <v>1000</v>
      </c>
      <c r="H13" s="14">
        <f t="shared" si="0"/>
        <v>300</v>
      </c>
      <c r="J13" s="14">
        <f>G32</f>
        <v>604</v>
      </c>
      <c r="K13" s="14">
        <f t="shared" si="1"/>
        <v>904</v>
      </c>
      <c r="R13" s="14"/>
      <c r="S13" s="14"/>
    </row>
    <row r="14" spans="1:19">
      <c r="A14" s="1" t="s">
        <v>35</v>
      </c>
      <c r="D14" s="20">
        <v>80</v>
      </c>
      <c r="E14" s="14">
        <v>8.0399999999999991</v>
      </c>
      <c r="F14" s="14">
        <v>4.1399999999999997</v>
      </c>
      <c r="G14" s="21">
        <v>1000</v>
      </c>
      <c r="H14" s="14">
        <f t="shared" si="0"/>
        <v>8039.9999999999991</v>
      </c>
      <c r="J14" s="14"/>
      <c r="K14" s="14">
        <f t="shared" si="1"/>
        <v>8039.9999999999991</v>
      </c>
      <c r="R14" s="14"/>
      <c r="S14" s="14"/>
    </row>
    <row r="15" spans="1:19">
      <c r="A15" s="1" t="s">
        <v>36</v>
      </c>
      <c r="D15" s="20">
        <v>60</v>
      </c>
      <c r="E15" s="14">
        <v>0.38</v>
      </c>
      <c r="F15" s="14">
        <v>0.28000000000000003</v>
      </c>
      <c r="G15" s="21">
        <v>1063</v>
      </c>
      <c r="H15" s="14">
        <v>404</v>
      </c>
      <c r="J15" s="14">
        <v>989</v>
      </c>
      <c r="K15" s="14">
        <f t="shared" si="1"/>
        <v>1393</v>
      </c>
      <c r="R15" s="15"/>
      <c r="S15" s="15"/>
    </row>
    <row r="16" spans="1:19">
      <c r="A16" s="1" t="s">
        <v>37</v>
      </c>
      <c r="D16" s="20">
        <v>76</v>
      </c>
      <c r="E16" s="14">
        <v>7.73</v>
      </c>
      <c r="F16" s="14">
        <v>2.95</v>
      </c>
      <c r="G16" s="21">
        <v>994</v>
      </c>
      <c r="H16" s="14">
        <v>7684</v>
      </c>
      <c r="J16" s="14"/>
      <c r="K16" s="14">
        <f t="shared" si="1"/>
        <v>7684</v>
      </c>
      <c r="L16" s="14"/>
    </row>
    <row r="17" spans="1:13">
      <c r="A17" s="1" t="s">
        <v>38</v>
      </c>
      <c r="D17" s="20">
        <v>74</v>
      </c>
      <c r="E17" s="14">
        <v>1.58</v>
      </c>
      <c r="F17" s="14">
        <v>1.33</v>
      </c>
      <c r="G17" s="21">
        <v>1000</v>
      </c>
      <c r="H17" s="14">
        <f t="shared" si="0"/>
        <v>1580</v>
      </c>
      <c r="J17" s="14"/>
      <c r="K17" s="14">
        <f t="shared" si="1"/>
        <v>1580</v>
      </c>
    </row>
    <row r="18" spans="1:13">
      <c r="A18" s="1" t="s">
        <v>39</v>
      </c>
      <c r="D18" s="20" t="s">
        <v>40</v>
      </c>
      <c r="E18" s="14"/>
      <c r="F18" s="14"/>
      <c r="G18" s="21"/>
      <c r="H18" s="14"/>
      <c r="I18" s="1" t="s">
        <v>41</v>
      </c>
      <c r="J18" s="14"/>
      <c r="K18" s="14">
        <v>0</v>
      </c>
    </row>
    <row r="19" spans="1:13">
      <c r="A19" s="2" t="s">
        <v>42</v>
      </c>
      <c r="B19" s="2"/>
      <c r="C19" s="2"/>
      <c r="D19" s="22"/>
      <c r="E19" s="23">
        <f>SUM(E8:E17)</f>
        <v>21.979999999999997</v>
      </c>
      <c r="F19" s="23">
        <f>SUM(F8:F17)</f>
        <v>12.51</v>
      </c>
      <c r="G19" s="23"/>
      <c r="H19" s="23">
        <f>SUM(H8:H17)</f>
        <v>21958</v>
      </c>
      <c r="I19" s="2">
        <f>SUM(I8:I17)</f>
        <v>6883</v>
      </c>
      <c r="J19" s="23">
        <f>SUM(J8:J17)</f>
        <v>4377</v>
      </c>
      <c r="K19" s="23">
        <f>SUM(H19:J19)</f>
        <v>33218</v>
      </c>
      <c r="L19" s="23">
        <f>SUM(L8:L17)</f>
        <v>791</v>
      </c>
      <c r="M19" s="23">
        <f>SUM(M8:M17)</f>
        <v>870</v>
      </c>
    </row>
    <row r="20" spans="1:13">
      <c r="A20" s="8" t="s">
        <v>43</v>
      </c>
      <c r="B20" s="8"/>
      <c r="C20" s="8"/>
      <c r="D20" s="24"/>
      <c r="E20" s="25">
        <f>SUM(E19-F19)</f>
        <v>9.4699999999999971</v>
      </c>
      <c r="F20" s="25"/>
      <c r="G20" s="25"/>
      <c r="H20" s="25">
        <f>SUM(E27*G27)</f>
        <v>8982</v>
      </c>
      <c r="I20" s="8">
        <f>I19-L19</f>
        <v>6092</v>
      </c>
      <c r="J20" s="25">
        <f>J19-M19</f>
        <v>3507</v>
      </c>
      <c r="K20" s="25">
        <f>SUM(H20:J20)</f>
        <v>18581</v>
      </c>
      <c r="L20" s="8"/>
      <c r="M20" s="8"/>
    </row>
    <row r="21" spans="1:13">
      <c r="C21" s="26" t="s">
        <v>44</v>
      </c>
    </row>
    <row r="22" spans="1:13">
      <c r="A22" s="1" t="s">
        <v>45</v>
      </c>
    </row>
    <row r="23" spans="1:13">
      <c r="A23" s="27" t="s">
        <v>46</v>
      </c>
      <c r="B23" s="27"/>
      <c r="C23" s="27"/>
      <c r="D23" s="27" t="s">
        <v>47</v>
      </c>
      <c r="E23" s="27" t="s">
        <v>48</v>
      </c>
      <c r="F23" s="27"/>
      <c r="G23" s="27" t="s">
        <v>49</v>
      </c>
      <c r="I23" s="1" t="s">
        <v>50</v>
      </c>
      <c r="J23" s="1" t="s">
        <v>51</v>
      </c>
    </row>
    <row r="24" spans="1:13">
      <c r="A24" s="1" t="s">
        <v>52</v>
      </c>
      <c r="I24" s="28" t="s">
        <v>53</v>
      </c>
      <c r="J24" s="28">
        <v>98</v>
      </c>
    </row>
    <row r="25" spans="1:13">
      <c r="A25" s="1" t="s">
        <v>54</v>
      </c>
      <c r="D25" s="1" t="s">
        <v>55</v>
      </c>
      <c r="E25" s="14">
        <v>12</v>
      </c>
      <c r="F25" s="14"/>
      <c r="G25" s="14">
        <v>232</v>
      </c>
      <c r="I25" s="28" t="s">
        <v>56</v>
      </c>
      <c r="J25" s="28">
        <v>2</v>
      </c>
    </row>
    <row r="26" spans="1:13">
      <c r="A26" s="1" t="s">
        <v>57</v>
      </c>
      <c r="E26" s="14"/>
      <c r="F26" s="14"/>
      <c r="G26" s="14"/>
    </row>
    <row r="27" spans="1:13">
      <c r="A27" s="1" t="s">
        <v>58</v>
      </c>
      <c r="D27" s="1" t="s">
        <v>59</v>
      </c>
      <c r="E27" s="14">
        <v>9</v>
      </c>
      <c r="F27" s="14"/>
      <c r="G27" s="14">
        <v>998</v>
      </c>
      <c r="I27" s="28" t="s">
        <v>60</v>
      </c>
      <c r="J27" s="28">
        <v>2.1800000000000002</v>
      </c>
    </row>
    <row r="28" spans="1:13">
      <c r="A28" s="1" t="s">
        <v>61</v>
      </c>
      <c r="D28" s="1" t="s">
        <v>59</v>
      </c>
      <c r="E28" s="14">
        <v>13</v>
      </c>
      <c r="F28" s="14"/>
      <c r="G28" s="14"/>
      <c r="I28" s="28" t="s">
        <v>62</v>
      </c>
      <c r="J28" s="28">
        <v>2</v>
      </c>
    </row>
    <row r="29" spans="1:13">
      <c r="A29" s="1" t="s">
        <v>6</v>
      </c>
      <c r="E29" s="14">
        <f>SUM(E27:E28)</f>
        <v>22</v>
      </c>
      <c r="F29" s="14"/>
      <c r="G29" s="14"/>
    </row>
    <row r="30" spans="1:13">
      <c r="A30" s="2" t="s">
        <v>63</v>
      </c>
      <c r="B30" s="2"/>
      <c r="C30" s="2" t="s">
        <v>64</v>
      </c>
      <c r="D30" s="2"/>
      <c r="E30" s="2"/>
      <c r="F30" s="2"/>
      <c r="G30" s="2"/>
    </row>
    <row r="31" spans="1:13">
      <c r="A31" s="5" t="s">
        <v>65</v>
      </c>
      <c r="B31" s="7"/>
      <c r="C31" s="29"/>
      <c r="D31" s="5"/>
      <c r="E31" s="5"/>
      <c r="F31" s="5"/>
      <c r="G31" s="30"/>
    </row>
    <row r="32" spans="1:13">
      <c r="A32" s="8"/>
      <c r="B32" s="7" t="s">
        <v>66</v>
      </c>
      <c r="C32" s="31">
        <v>44</v>
      </c>
      <c r="D32" s="9" t="s">
        <v>67</v>
      </c>
      <c r="E32" s="8"/>
      <c r="F32" s="8"/>
      <c r="G32" s="25">
        <v>604</v>
      </c>
    </row>
    <row r="33" spans="1:9">
      <c r="A33" s="2" t="s">
        <v>68</v>
      </c>
      <c r="B33" s="2"/>
      <c r="C33" s="2"/>
      <c r="D33" s="2"/>
      <c r="E33" s="2"/>
      <c r="F33" s="2"/>
      <c r="G33" s="32" t="s">
        <v>69</v>
      </c>
      <c r="I33" s="33" t="s">
        <v>70</v>
      </c>
    </row>
    <row r="34" spans="1:9">
      <c r="A34" s="5" t="s">
        <v>71</v>
      </c>
      <c r="B34" s="5"/>
      <c r="C34" s="5"/>
      <c r="D34" s="5"/>
      <c r="E34" s="5"/>
      <c r="F34" s="5"/>
      <c r="G34" s="34">
        <v>147</v>
      </c>
      <c r="I34" s="35">
        <f>G34*2.471</f>
        <v>363.23700000000002</v>
      </c>
    </row>
    <row r="35" spans="1:9">
      <c r="A35" s="5" t="s">
        <v>72</v>
      </c>
      <c r="B35" s="5"/>
      <c r="C35" s="5"/>
      <c r="D35" s="5"/>
      <c r="E35" s="5"/>
      <c r="F35" s="5"/>
      <c r="G35" s="36">
        <v>192</v>
      </c>
      <c r="I35" s="35"/>
    </row>
    <row r="36" spans="1:9">
      <c r="A36" s="5" t="s">
        <v>73</v>
      </c>
      <c r="B36" s="5"/>
      <c r="C36" s="5"/>
      <c r="D36" s="5"/>
      <c r="E36" s="5"/>
      <c r="F36" s="5"/>
      <c r="G36" s="36">
        <f>SUM(G34*G35)</f>
        <v>28224</v>
      </c>
      <c r="I36" s="35">
        <f>G36*2.471</f>
        <v>69741.504000000001</v>
      </c>
    </row>
    <row r="37" spans="1:9">
      <c r="A37" s="5" t="s">
        <v>74</v>
      </c>
      <c r="B37" s="5"/>
      <c r="C37" s="5"/>
      <c r="D37" s="5"/>
      <c r="E37" s="5"/>
      <c r="F37" s="5"/>
      <c r="G37" s="36">
        <f>SUM(G36-K19)</f>
        <v>-4994</v>
      </c>
      <c r="I37" s="35">
        <f t="shared" ref="I37:I38" si="2">G37*2.471</f>
        <v>-12340.174000000001</v>
      </c>
    </row>
    <row r="38" spans="1:9">
      <c r="A38" s="5" t="s">
        <v>75</v>
      </c>
      <c r="B38" s="5"/>
      <c r="C38" s="5"/>
      <c r="D38" s="5"/>
      <c r="E38" s="5"/>
      <c r="F38" s="5"/>
      <c r="G38" s="36">
        <f>SUM(G36-K20)</f>
        <v>9643</v>
      </c>
      <c r="I38" s="35">
        <f t="shared" si="2"/>
        <v>23827.852999999999</v>
      </c>
    </row>
    <row r="39" spans="1:9">
      <c r="A39" s="5" t="s">
        <v>76</v>
      </c>
      <c r="B39" s="5"/>
      <c r="C39" s="5"/>
      <c r="D39" s="5"/>
      <c r="E39" s="5"/>
      <c r="F39" s="5"/>
      <c r="G39" s="36">
        <f>SUM(K19/G34)</f>
        <v>225.97278911564626</v>
      </c>
    </row>
    <row r="40" spans="1:9">
      <c r="A40" s="8" t="s">
        <v>77</v>
      </c>
      <c r="B40" s="8"/>
      <c r="C40" s="8"/>
      <c r="D40" s="8"/>
      <c r="E40" s="8"/>
      <c r="F40" s="8"/>
      <c r="G40" s="37">
        <f>SUM(K20/G34)</f>
        <v>126.40136054421768</v>
      </c>
    </row>
    <row r="41" spans="1:9">
      <c r="A41" s="1" t="s">
        <v>78</v>
      </c>
    </row>
    <row r="42" spans="1:9">
      <c r="A42" s="1" t="s">
        <v>79</v>
      </c>
    </row>
    <row r="47" spans="1:9">
      <c r="G47" s="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8"/>
  <sheetViews>
    <sheetView workbookViewId="0">
      <selection sqref="A1:XFD1048576"/>
    </sheetView>
  </sheetViews>
  <sheetFormatPr defaultColWidth="11" defaultRowHeight="12.75"/>
  <cols>
    <col min="1" max="1" width="11" style="38"/>
    <col min="2" max="2" width="10.28515625" style="38" customWidth="1"/>
    <col min="3" max="3" width="3" style="39" customWidth="1"/>
    <col min="4" max="4" width="5" style="38" customWidth="1"/>
    <col min="5" max="5" width="6" style="38" customWidth="1"/>
    <col min="6" max="6" width="5.85546875" style="38" customWidth="1"/>
    <col min="7" max="7" width="9.5703125" style="38" customWidth="1"/>
    <col min="8" max="8" width="9.28515625" style="38" customWidth="1"/>
    <col min="9" max="9" width="9.7109375" style="38" customWidth="1"/>
    <col min="10" max="10" width="8.85546875" style="38" customWidth="1"/>
    <col min="11" max="11" width="9.7109375" style="38" customWidth="1"/>
    <col min="12" max="12" width="7.140625" style="38" customWidth="1"/>
    <col min="13" max="13" width="7.42578125" style="38" customWidth="1"/>
    <col min="14" max="15" width="11" style="38"/>
    <col min="16" max="16" width="6.7109375" style="38" customWidth="1"/>
    <col min="17" max="17" width="6.5703125" style="38" customWidth="1"/>
    <col min="18" max="16384" width="11" style="38"/>
  </cols>
  <sheetData>
    <row r="1" spans="1:17">
      <c r="A1" s="38" t="s">
        <v>0</v>
      </c>
      <c r="B1" s="38" t="s">
        <v>81</v>
      </c>
    </row>
    <row r="2" spans="1:17">
      <c r="B2" s="38" t="s">
        <v>82</v>
      </c>
    </row>
    <row r="3" spans="1:17">
      <c r="A3" s="40" t="s">
        <v>4</v>
      </c>
      <c r="B3" s="40"/>
      <c r="D3" s="41" t="s">
        <v>5</v>
      </c>
      <c r="E3" s="41" t="s">
        <v>6</v>
      </c>
      <c r="F3" s="41" t="s">
        <v>7</v>
      </c>
      <c r="G3" s="41" t="s">
        <v>8</v>
      </c>
      <c r="H3" s="41" t="s">
        <v>9</v>
      </c>
      <c r="I3" s="41" t="s">
        <v>10</v>
      </c>
      <c r="J3" s="41" t="s">
        <v>11</v>
      </c>
      <c r="K3" s="41" t="s">
        <v>12</v>
      </c>
      <c r="L3" s="42" t="s">
        <v>13</v>
      </c>
      <c r="M3" s="41"/>
    </row>
    <row r="4" spans="1:17">
      <c r="A4" s="39"/>
      <c r="B4" s="39"/>
      <c r="D4" s="43" t="s">
        <v>14</v>
      </c>
      <c r="E4" s="43" t="s">
        <v>15</v>
      </c>
      <c r="F4" s="43" t="s">
        <v>15</v>
      </c>
      <c r="G4" s="43" t="s">
        <v>16</v>
      </c>
      <c r="H4" s="43" t="s">
        <v>17</v>
      </c>
      <c r="I4" s="43" t="s">
        <v>18</v>
      </c>
      <c r="J4" s="43" t="s">
        <v>17</v>
      </c>
      <c r="K4" s="43" t="s">
        <v>17</v>
      </c>
      <c r="L4" s="43" t="s">
        <v>10</v>
      </c>
      <c r="M4" s="43" t="s">
        <v>11</v>
      </c>
    </row>
    <row r="5" spans="1:17">
      <c r="A5" s="39"/>
      <c r="B5" s="39"/>
      <c r="D5" s="43" t="s">
        <v>19</v>
      </c>
      <c r="E5" s="43"/>
      <c r="F5" s="43"/>
      <c r="G5" s="43"/>
      <c r="H5" s="43" t="s">
        <v>20</v>
      </c>
      <c r="I5" s="43" t="s">
        <v>17</v>
      </c>
      <c r="J5" s="43" t="s">
        <v>20</v>
      </c>
      <c r="K5" s="43" t="s">
        <v>20</v>
      </c>
      <c r="L5" s="43"/>
      <c r="M5" s="43"/>
    </row>
    <row r="6" spans="1:17">
      <c r="A6" s="44"/>
      <c r="B6" s="44"/>
      <c r="D6" s="45"/>
      <c r="E6" s="45"/>
      <c r="F6" s="45"/>
      <c r="G6" s="45"/>
      <c r="H6" s="45"/>
      <c r="I6" s="45" t="s">
        <v>20</v>
      </c>
      <c r="J6" s="45"/>
      <c r="K6" s="45"/>
      <c r="L6" s="45"/>
      <c r="M6" s="45"/>
    </row>
    <row r="7" spans="1:17" ht="14.25">
      <c r="A7" s="38" t="s">
        <v>83</v>
      </c>
      <c r="D7" s="46">
        <v>100</v>
      </c>
      <c r="E7" s="47">
        <v>7.58</v>
      </c>
      <c r="F7" s="47">
        <v>7.58</v>
      </c>
      <c r="G7" s="48">
        <v>900</v>
      </c>
      <c r="H7" s="49">
        <f t="shared" ref="H7:H9" si="0">SUM(E7*G7)</f>
        <v>6822</v>
      </c>
      <c r="I7" s="50"/>
      <c r="J7" s="49">
        <v>4824</v>
      </c>
      <c r="K7" s="50">
        <f t="shared" ref="K7:K18" si="1">+J7+I7+H7</f>
        <v>11646</v>
      </c>
      <c r="N7" s="51"/>
      <c r="O7" s="51"/>
      <c r="P7" s="52"/>
      <c r="Q7" s="52"/>
    </row>
    <row r="8" spans="1:17" ht="14.25">
      <c r="A8" s="38" t="s">
        <v>84</v>
      </c>
      <c r="D8" s="46">
        <v>70</v>
      </c>
      <c r="E8" s="47">
        <v>1.06</v>
      </c>
      <c r="F8" s="47">
        <v>1.06</v>
      </c>
      <c r="G8" s="48">
        <v>900</v>
      </c>
      <c r="H8" s="49">
        <f t="shared" si="0"/>
        <v>954</v>
      </c>
      <c r="I8" s="50">
        <v>10043</v>
      </c>
      <c r="J8" s="50"/>
      <c r="K8" s="50">
        <f t="shared" si="1"/>
        <v>10997</v>
      </c>
      <c r="L8" s="53"/>
      <c r="M8" s="53"/>
      <c r="N8" s="54"/>
      <c r="O8" s="54"/>
      <c r="P8" s="1"/>
      <c r="Q8" s="54"/>
    </row>
    <row r="9" spans="1:17" ht="14.25">
      <c r="A9" s="38" t="s">
        <v>85</v>
      </c>
      <c r="D9" s="55" t="s">
        <v>86</v>
      </c>
      <c r="E9" s="47"/>
      <c r="F9" s="47"/>
      <c r="G9" s="48"/>
      <c r="H9" s="49">
        <f t="shared" si="0"/>
        <v>0</v>
      </c>
      <c r="I9" s="50" t="s">
        <v>87</v>
      </c>
      <c r="J9" s="50"/>
      <c r="K9" s="50">
        <f>+J9+H9</f>
        <v>0</v>
      </c>
      <c r="L9" s="53"/>
      <c r="M9" s="53"/>
      <c r="N9" s="54"/>
      <c r="O9" s="54"/>
      <c r="P9" s="56"/>
      <c r="Q9" s="54"/>
    </row>
    <row r="10" spans="1:17" ht="14.25">
      <c r="A10" s="38" t="s">
        <v>88</v>
      </c>
      <c r="D10" s="55">
        <v>100</v>
      </c>
      <c r="E10" s="47">
        <v>22.07</v>
      </c>
      <c r="F10" s="47">
        <v>7.75</v>
      </c>
      <c r="G10" s="57">
        <v>1019.23</v>
      </c>
      <c r="H10" s="49">
        <v>22494</v>
      </c>
      <c r="I10" s="50"/>
      <c r="J10" s="50"/>
      <c r="K10" s="50">
        <f t="shared" si="1"/>
        <v>22494</v>
      </c>
      <c r="L10" s="53"/>
      <c r="M10" s="53"/>
      <c r="N10" s="54"/>
      <c r="O10" s="54"/>
      <c r="P10" s="1"/>
      <c r="Q10" s="54"/>
    </row>
    <row r="11" spans="1:17" ht="14.25">
      <c r="A11" s="38" t="s">
        <v>89</v>
      </c>
      <c r="D11" s="46">
        <v>100</v>
      </c>
      <c r="E11" s="47">
        <v>24.82</v>
      </c>
      <c r="F11" s="47">
        <v>5.78</v>
      </c>
      <c r="G11" s="57">
        <v>906</v>
      </c>
      <c r="H11" s="49">
        <v>22487</v>
      </c>
      <c r="I11" s="50"/>
      <c r="J11" s="50">
        <v>36101</v>
      </c>
      <c r="K11" s="50">
        <f t="shared" si="1"/>
        <v>58588</v>
      </c>
      <c r="L11" s="53"/>
      <c r="M11" s="53"/>
      <c r="N11" s="54"/>
      <c r="O11" s="54"/>
      <c r="P11" s="1"/>
      <c r="Q11" s="1"/>
    </row>
    <row r="12" spans="1:17" ht="14.25">
      <c r="A12" s="38" t="s">
        <v>34</v>
      </c>
      <c r="D12" s="46">
        <v>100</v>
      </c>
      <c r="E12" s="47">
        <v>5.52</v>
      </c>
      <c r="F12" s="47">
        <v>4.2699999999999996</v>
      </c>
      <c r="G12" s="57">
        <v>900</v>
      </c>
      <c r="H12" s="49">
        <f t="shared" ref="H12:H18" si="2">SUM(E12*G12)</f>
        <v>4968</v>
      </c>
      <c r="I12" s="50"/>
      <c r="J12" s="50">
        <f>(E36*G36)+(E37*G37)+(E38*G38)</f>
        <v>33296</v>
      </c>
      <c r="K12" s="50">
        <f t="shared" si="1"/>
        <v>38264</v>
      </c>
      <c r="L12" s="53"/>
      <c r="M12" s="53"/>
      <c r="N12" s="1"/>
      <c r="O12" s="1"/>
      <c r="P12" s="1"/>
      <c r="Q12" s="54"/>
    </row>
    <row r="13" spans="1:17" ht="14.25">
      <c r="A13" s="38" t="s">
        <v>90</v>
      </c>
      <c r="D13" s="46">
        <v>94</v>
      </c>
      <c r="E13" s="47">
        <v>1.74</v>
      </c>
      <c r="F13" s="47">
        <v>1.74</v>
      </c>
      <c r="G13" s="57">
        <v>1200</v>
      </c>
      <c r="H13" s="49">
        <f t="shared" si="2"/>
        <v>2088</v>
      </c>
      <c r="I13" s="50"/>
      <c r="J13" s="50">
        <v>5576</v>
      </c>
      <c r="K13" s="50">
        <f t="shared" si="1"/>
        <v>7664</v>
      </c>
      <c r="L13" s="53"/>
      <c r="M13" s="53"/>
      <c r="N13" s="54"/>
      <c r="O13" s="54"/>
      <c r="P13" s="1"/>
      <c r="Q13" s="54"/>
    </row>
    <row r="14" spans="1:17" ht="14.25">
      <c r="A14" s="38" t="s">
        <v>91</v>
      </c>
      <c r="D14" s="46">
        <v>80</v>
      </c>
      <c r="E14" s="47">
        <v>8.3800000000000008</v>
      </c>
      <c r="F14" s="47">
        <v>2.67</v>
      </c>
      <c r="G14" s="57">
        <v>825</v>
      </c>
      <c r="H14" s="49">
        <v>6914</v>
      </c>
      <c r="I14" s="50"/>
      <c r="J14" s="50"/>
      <c r="K14" s="50">
        <f t="shared" si="1"/>
        <v>6914</v>
      </c>
      <c r="L14" s="53"/>
      <c r="M14" s="53"/>
      <c r="N14" s="54"/>
      <c r="O14" s="54"/>
      <c r="P14" s="1"/>
      <c r="Q14" s="54"/>
    </row>
    <row r="15" spans="1:17" ht="14.25">
      <c r="A15" s="38" t="s">
        <v>36</v>
      </c>
      <c r="D15" s="58">
        <v>100</v>
      </c>
      <c r="E15" s="47">
        <v>6.27</v>
      </c>
      <c r="F15" s="53">
        <v>5.19</v>
      </c>
      <c r="G15" s="59">
        <v>1085.71</v>
      </c>
      <c r="H15" s="50">
        <v>6807</v>
      </c>
      <c r="I15" s="50"/>
      <c r="J15" s="50">
        <v>14086</v>
      </c>
      <c r="K15" s="50">
        <f t="shared" si="1"/>
        <v>20893</v>
      </c>
      <c r="L15" s="53"/>
      <c r="M15" s="53"/>
      <c r="N15" s="1"/>
      <c r="O15" s="1"/>
      <c r="P15" s="1"/>
      <c r="Q15" s="54"/>
    </row>
    <row r="16" spans="1:17" ht="14.25">
      <c r="A16" s="38" t="s">
        <v>92</v>
      </c>
      <c r="D16" s="58">
        <v>100</v>
      </c>
      <c r="E16" s="53">
        <v>20.68</v>
      </c>
      <c r="F16" s="53"/>
      <c r="G16" s="59">
        <v>1000</v>
      </c>
      <c r="H16" s="50">
        <f t="shared" si="2"/>
        <v>20680</v>
      </c>
      <c r="I16" s="50">
        <v>14902</v>
      </c>
      <c r="J16" s="50"/>
      <c r="K16" s="50">
        <f t="shared" si="1"/>
        <v>35582</v>
      </c>
      <c r="L16" s="53"/>
      <c r="M16" s="53"/>
      <c r="N16" s="54"/>
      <c r="O16" s="54"/>
      <c r="P16" s="1"/>
      <c r="Q16" s="54"/>
    </row>
    <row r="17" spans="1:17" ht="14.25">
      <c r="A17" s="38" t="s">
        <v>93</v>
      </c>
      <c r="D17" s="58">
        <v>100</v>
      </c>
      <c r="E17" s="53">
        <v>31.63</v>
      </c>
      <c r="F17" s="53">
        <v>11.63</v>
      </c>
      <c r="G17" s="59">
        <v>913</v>
      </c>
      <c r="H17" s="50">
        <v>28878</v>
      </c>
      <c r="I17" s="50"/>
      <c r="J17" s="50"/>
      <c r="K17" s="50">
        <f t="shared" si="1"/>
        <v>28878</v>
      </c>
      <c r="L17" s="53"/>
      <c r="M17" s="53"/>
      <c r="N17" s="54"/>
      <c r="O17" s="54"/>
      <c r="P17" s="1"/>
      <c r="Q17" s="54"/>
    </row>
    <row r="18" spans="1:17" ht="14.25">
      <c r="A18" s="38" t="s">
        <v>94</v>
      </c>
      <c r="D18" s="58">
        <v>90</v>
      </c>
      <c r="E18" s="53">
        <v>2.42</v>
      </c>
      <c r="F18" s="53">
        <v>2.42</v>
      </c>
      <c r="G18" s="59">
        <v>900</v>
      </c>
      <c r="H18" s="50">
        <f t="shared" si="2"/>
        <v>2178</v>
      </c>
      <c r="I18" s="50">
        <v>5591</v>
      </c>
      <c r="J18" s="50"/>
      <c r="K18" s="50">
        <f t="shared" si="1"/>
        <v>7769</v>
      </c>
      <c r="L18" s="53"/>
      <c r="M18" s="53"/>
      <c r="N18" s="54"/>
      <c r="O18" s="54"/>
      <c r="P18" s="1"/>
      <c r="Q18" s="54"/>
    </row>
    <row r="19" spans="1:17" ht="14.25">
      <c r="A19" s="40" t="s">
        <v>42</v>
      </c>
      <c r="B19" s="40"/>
      <c r="D19" s="60"/>
      <c r="E19" s="61">
        <f>SUM(E7:E18)</f>
        <v>132.16999999999999</v>
      </c>
      <c r="F19" s="61">
        <f>SUM(F7:F18)</f>
        <v>50.09</v>
      </c>
      <c r="G19" s="62"/>
      <c r="H19" s="62">
        <f>SUM(H7:H18)</f>
        <v>125270</v>
      </c>
      <c r="I19" s="62">
        <f>SUM(I7:I18)</f>
        <v>30536</v>
      </c>
      <c r="J19" s="62">
        <f t="shared" ref="J19:M19" si="3">SUM(J7:J18)</f>
        <v>93883</v>
      </c>
      <c r="K19" s="62">
        <f t="shared" si="3"/>
        <v>249689</v>
      </c>
      <c r="L19" s="61">
        <f t="shared" si="3"/>
        <v>0</v>
      </c>
      <c r="M19" s="61">
        <f t="shared" si="3"/>
        <v>0</v>
      </c>
      <c r="N19" s="54"/>
      <c r="O19" s="54"/>
      <c r="P19" s="1"/>
      <c r="Q19" s="54"/>
    </row>
    <row r="20" spans="1:17">
      <c r="A20" s="44" t="s">
        <v>43</v>
      </c>
      <c r="B20" s="44"/>
      <c r="D20" s="63"/>
      <c r="E20" s="64">
        <f>SUM(E19-F19)</f>
        <v>82.079999999999984</v>
      </c>
      <c r="F20" s="64"/>
      <c r="G20" s="65"/>
      <c r="H20" s="65">
        <f>SUM(E31*G31)</f>
        <v>77818</v>
      </c>
      <c r="I20" s="65">
        <f>I19-L19</f>
        <v>30536</v>
      </c>
      <c r="J20" s="65">
        <f>J19-M19</f>
        <v>93883</v>
      </c>
      <c r="K20" s="65">
        <f>SUM(H20:J20)</f>
        <v>202237</v>
      </c>
      <c r="L20" s="44"/>
      <c r="M20" s="44"/>
    </row>
    <row r="22" spans="1:17">
      <c r="C22" s="39" t="s">
        <v>44</v>
      </c>
    </row>
    <row r="24" spans="1:17">
      <c r="A24" s="38" t="s">
        <v>45</v>
      </c>
    </row>
    <row r="25" spans="1:17">
      <c r="A25" s="66" t="s">
        <v>46</v>
      </c>
      <c r="B25" s="66"/>
      <c r="D25" s="66" t="s">
        <v>47</v>
      </c>
      <c r="E25" s="66" t="s">
        <v>48</v>
      </c>
      <c r="F25" s="66"/>
      <c r="G25" s="66" t="s">
        <v>49</v>
      </c>
    </row>
    <row r="26" spans="1:17">
      <c r="A26" s="38" t="s">
        <v>52</v>
      </c>
      <c r="J26" s="67" t="s">
        <v>50</v>
      </c>
      <c r="K26" s="68" t="s">
        <v>51</v>
      </c>
    </row>
    <row r="27" spans="1:17">
      <c r="A27" s="38" t="s">
        <v>95</v>
      </c>
      <c r="D27" s="38" t="s">
        <v>55</v>
      </c>
      <c r="E27" s="53">
        <v>2.4</v>
      </c>
      <c r="G27" s="53">
        <v>15042</v>
      </c>
      <c r="J27" s="69" t="s">
        <v>96</v>
      </c>
      <c r="K27" s="70">
        <v>96</v>
      </c>
    </row>
    <row r="28" spans="1:17">
      <c r="J28" s="69" t="s">
        <v>97</v>
      </c>
      <c r="K28" s="70">
        <v>4</v>
      </c>
    </row>
    <row r="29" spans="1:17">
      <c r="J29" s="39"/>
      <c r="K29" s="71"/>
    </row>
    <row r="30" spans="1:17" ht="15">
      <c r="A30" s="38" t="s">
        <v>57</v>
      </c>
      <c r="J30" s="72" t="s">
        <v>98</v>
      </c>
      <c r="K30" s="73">
        <v>1.01</v>
      </c>
    </row>
    <row r="31" spans="1:17" ht="15">
      <c r="A31" s="38" t="s">
        <v>58</v>
      </c>
      <c r="D31" s="38" t="s">
        <v>59</v>
      </c>
      <c r="E31" s="53">
        <v>82</v>
      </c>
      <c r="F31" s="53"/>
      <c r="G31" s="47">
        <v>949</v>
      </c>
      <c r="I31" s="74"/>
      <c r="J31" s="72" t="s">
        <v>99</v>
      </c>
      <c r="K31" s="75">
        <v>0.5</v>
      </c>
    </row>
    <row r="32" spans="1:17" ht="15">
      <c r="A32" s="38" t="s">
        <v>61</v>
      </c>
      <c r="D32" s="38" t="s">
        <v>59</v>
      </c>
      <c r="E32" s="53">
        <v>50</v>
      </c>
      <c r="F32" s="53"/>
      <c r="G32" s="53"/>
      <c r="I32" s="74"/>
      <c r="J32" s="76"/>
      <c r="K32" s="74"/>
    </row>
    <row r="33" spans="1:11" ht="15">
      <c r="A33" s="38" t="s">
        <v>6</v>
      </c>
      <c r="D33" s="38" t="s">
        <v>59</v>
      </c>
      <c r="E33" s="53">
        <f>SUM(E31:E32)</f>
        <v>132</v>
      </c>
      <c r="F33" s="53"/>
      <c r="G33" s="53"/>
      <c r="I33" s="74"/>
      <c r="J33" s="76"/>
      <c r="K33" s="74"/>
    </row>
    <row r="34" spans="1:11" ht="15">
      <c r="I34" s="74"/>
      <c r="J34" s="76"/>
      <c r="K34" s="74"/>
    </row>
    <row r="35" spans="1:11" ht="15">
      <c r="A35" s="40" t="s">
        <v>63</v>
      </c>
      <c r="B35" s="40"/>
      <c r="C35" s="39" t="s">
        <v>64</v>
      </c>
      <c r="D35" s="40"/>
      <c r="E35" s="40"/>
      <c r="F35" s="40"/>
      <c r="G35" s="40"/>
      <c r="I35" s="74"/>
      <c r="J35" s="74"/>
    </row>
    <row r="36" spans="1:11" ht="15">
      <c r="A36" s="39"/>
      <c r="B36" s="39" t="s">
        <v>100</v>
      </c>
      <c r="C36" s="77">
        <v>76</v>
      </c>
      <c r="D36" s="43" t="s">
        <v>55</v>
      </c>
      <c r="E36" s="38">
        <v>90</v>
      </c>
      <c r="F36" s="78"/>
      <c r="G36" s="79">
        <v>50</v>
      </c>
      <c r="I36" s="79"/>
      <c r="J36" s="74"/>
    </row>
    <row r="37" spans="1:11" ht="15">
      <c r="A37" s="39"/>
      <c r="B37" s="39" t="s">
        <v>101</v>
      </c>
      <c r="C37" s="77">
        <v>90</v>
      </c>
      <c r="D37" s="43" t="s">
        <v>55</v>
      </c>
      <c r="E37" s="38">
        <v>356</v>
      </c>
      <c r="F37" s="78"/>
      <c r="G37" s="80">
        <v>61</v>
      </c>
      <c r="I37" s="80"/>
      <c r="J37" s="74"/>
    </row>
    <row r="38" spans="1:11" ht="15">
      <c r="A38" s="39"/>
      <c r="B38" s="39" t="s">
        <v>102</v>
      </c>
      <c r="C38" s="77">
        <v>70</v>
      </c>
      <c r="D38" s="43" t="s">
        <v>55</v>
      </c>
      <c r="E38" s="81">
        <v>118</v>
      </c>
      <c r="F38" s="78"/>
      <c r="G38" s="79">
        <v>60</v>
      </c>
      <c r="I38" s="79"/>
      <c r="J38" s="74"/>
    </row>
    <row r="39" spans="1:11" ht="14.25">
      <c r="A39" s="82" t="s">
        <v>68</v>
      </c>
      <c r="B39" s="40"/>
      <c r="D39" s="40"/>
      <c r="E39" s="40"/>
      <c r="F39" s="40"/>
      <c r="G39" s="40" t="s">
        <v>69</v>
      </c>
      <c r="I39" s="38" t="s">
        <v>70</v>
      </c>
    </row>
    <row r="40" spans="1:11">
      <c r="A40" s="39" t="s">
        <v>71</v>
      </c>
      <c r="B40" s="39"/>
      <c r="D40" s="39"/>
      <c r="E40" s="39"/>
      <c r="F40" s="39"/>
      <c r="G40" s="83">
        <v>9324</v>
      </c>
      <c r="H40" s="84"/>
      <c r="I40" s="85">
        <f>G40*2.471</f>
        <v>23039.603999999999</v>
      </c>
    </row>
    <row r="41" spans="1:11">
      <c r="A41" s="39" t="s">
        <v>72</v>
      </c>
      <c r="B41" s="39"/>
      <c r="D41" s="39"/>
      <c r="E41" s="39"/>
      <c r="F41" s="39"/>
      <c r="G41" s="86">
        <v>67</v>
      </c>
      <c r="H41" s="87"/>
      <c r="I41" s="85"/>
    </row>
    <row r="42" spans="1:11">
      <c r="A42" s="39" t="s">
        <v>73</v>
      </c>
      <c r="B42" s="39"/>
      <c r="D42" s="39"/>
      <c r="E42" s="39"/>
      <c r="F42" s="39"/>
      <c r="G42" s="88">
        <f>SUM(G40*G41)</f>
        <v>624708</v>
      </c>
      <c r="H42" s="85"/>
      <c r="I42" s="85">
        <f t="shared" ref="I42:I44" si="4">G42*2.471</f>
        <v>1543653.4680000001</v>
      </c>
    </row>
    <row r="43" spans="1:11">
      <c r="A43" s="39" t="s">
        <v>74</v>
      </c>
      <c r="B43" s="39"/>
      <c r="D43" s="39"/>
      <c r="E43" s="39"/>
      <c r="F43" s="39"/>
      <c r="G43" s="88">
        <f>SUM(G42-K19)</f>
        <v>375019</v>
      </c>
      <c r="H43" s="85"/>
      <c r="I43" s="85">
        <f t="shared" si="4"/>
        <v>926671.94900000002</v>
      </c>
    </row>
    <row r="44" spans="1:11">
      <c r="A44" s="39" t="s">
        <v>75</v>
      </c>
      <c r="B44" s="39"/>
      <c r="D44" s="39"/>
      <c r="E44" s="39"/>
      <c r="F44" s="39"/>
      <c r="G44" s="88">
        <f>SUM(G42-K20)</f>
        <v>422471</v>
      </c>
      <c r="H44" s="85"/>
      <c r="I44" s="85">
        <f t="shared" si="4"/>
        <v>1043925.841</v>
      </c>
    </row>
    <row r="45" spans="1:11">
      <c r="A45" s="39"/>
      <c r="B45" s="39"/>
      <c r="D45" s="39"/>
      <c r="E45" s="39"/>
      <c r="F45" s="39"/>
      <c r="G45" s="88"/>
      <c r="H45" s="50"/>
      <c r="I45" s="50"/>
    </row>
    <row r="46" spans="1:11">
      <c r="A46" s="39" t="s">
        <v>76</v>
      </c>
      <c r="B46" s="39"/>
      <c r="D46" s="39"/>
      <c r="E46" s="39"/>
      <c r="F46" s="39"/>
      <c r="G46" s="89">
        <f>SUM(K19/G40)</f>
        <v>26.779172029172027</v>
      </c>
    </row>
    <row r="47" spans="1:11">
      <c r="A47" s="44" t="s">
        <v>77</v>
      </c>
      <c r="B47" s="44"/>
      <c r="D47" s="44"/>
      <c r="E47" s="44"/>
      <c r="F47" s="44"/>
      <c r="G47" s="90">
        <f>SUM(K20/G40)</f>
        <v>21.68993993993994</v>
      </c>
    </row>
    <row r="49" spans="1:7" ht="13.5">
      <c r="A49" s="91"/>
    </row>
    <row r="58" spans="1:7">
      <c r="G58" s="38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1"/>
  <sheetViews>
    <sheetView workbookViewId="0">
      <selection sqref="A1:XFD1048576"/>
    </sheetView>
  </sheetViews>
  <sheetFormatPr defaultColWidth="9.140625" defaultRowHeight="14.25"/>
  <cols>
    <col min="1" max="2" width="9.140625" style="54"/>
    <col min="3" max="3" width="4.5703125" style="54" customWidth="1"/>
    <col min="4" max="4" width="4.85546875" style="54" customWidth="1"/>
    <col min="5" max="5" width="6.5703125" style="54" customWidth="1"/>
    <col min="6" max="6" width="6" style="54" customWidth="1"/>
    <col min="7" max="7" width="9.7109375" style="54" customWidth="1"/>
    <col min="8" max="8" width="9.28515625" style="54" customWidth="1"/>
    <col min="9" max="9" width="8.140625" style="54" customWidth="1"/>
    <col min="10" max="10" width="8.28515625" style="54" customWidth="1"/>
    <col min="11" max="11" width="10" style="54" customWidth="1"/>
    <col min="12" max="12" width="6.42578125" style="54" customWidth="1"/>
    <col min="13" max="13" width="8.140625" style="54" customWidth="1"/>
    <col min="14" max="15" width="9.140625" style="54"/>
    <col min="16" max="16" width="5.85546875" style="54" customWidth="1"/>
    <col min="17" max="17" width="7.140625" style="54" customWidth="1"/>
    <col min="18" max="18" width="6" style="54" customWidth="1"/>
    <col min="19" max="16384" width="9.140625" style="54"/>
  </cols>
  <sheetData>
    <row r="1" spans="1:18">
      <c r="A1" s="54" t="s">
        <v>0</v>
      </c>
      <c r="B1" s="54" t="s">
        <v>103</v>
      </c>
    </row>
    <row r="2" spans="1:18">
      <c r="B2" s="54" t="s">
        <v>104</v>
      </c>
    </row>
    <row r="3" spans="1:18">
      <c r="B3" s="54" t="s">
        <v>105</v>
      </c>
    </row>
    <row r="4" spans="1:18">
      <c r="A4" s="92" t="s">
        <v>4</v>
      </c>
      <c r="B4" s="92"/>
      <c r="C4" s="92"/>
      <c r="D4" s="93" t="s">
        <v>5</v>
      </c>
      <c r="E4" s="93" t="s">
        <v>6</v>
      </c>
      <c r="F4" s="93" t="s">
        <v>7</v>
      </c>
      <c r="G4" s="93" t="s">
        <v>8</v>
      </c>
      <c r="H4" s="93" t="s">
        <v>9</v>
      </c>
      <c r="I4" s="93" t="s">
        <v>10</v>
      </c>
      <c r="J4" s="93" t="s">
        <v>11</v>
      </c>
      <c r="K4" s="93" t="s">
        <v>12</v>
      </c>
      <c r="L4" s="94" t="s">
        <v>13</v>
      </c>
      <c r="M4" s="93"/>
    </row>
    <row r="5" spans="1:18">
      <c r="A5" s="51"/>
      <c r="B5" s="51"/>
      <c r="C5" s="51"/>
      <c r="D5" s="52" t="s">
        <v>14</v>
      </c>
      <c r="E5" s="52" t="s">
        <v>15</v>
      </c>
      <c r="F5" s="52" t="s">
        <v>15</v>
      </c>
      <c r="G5" s="52" t="s">
        <v>16</v>
      </c>
      <c r="H5" s="52" t="s">
        <v>17</v>
      </c>
      <c r="I5" s="52" t="s">
        <v>18</v>
      </c>
      <c r="J5" s="52" t="s">
        <v>17</v>
      </c>
      <c r="K5" s="52" t="s">
        <v>17</v>
      </c>
      <c r="L5" s="95" t="s">
        <v>10</v>
      </c>
      <c r="M5" s="52" t="s">
        <v>11</v>
      </c>
    </row>
    <row r="6" spans="1:18">
      <c r="A6" s="51"/>
      <c r="B6" s="51"/>
      <c r="C6" s="51"/>
      <c r="D6" s="52" t="s">
        <v>19</v>
      </c>
      <c r="E6" s="52"/>
      <c r="F6" s="52"/>
      <c r="G6" s="52"/>
      <c r="H6" s="52" t="s">
        <v>20</v>
      </c>
      <c r="I6" s="52" t="s">
        <v>17</v>
      </c>
      <c r="J6" s="52" t="s">
        <v>20</v>
      </c>
      <c r="K6" s="52" t="s">
        <v>20</v>
      </c>
      <c r="L6" s="52"/>
      <c r="M6" s="52"/>
    </row>
    <row r="7" spans="1:18">
      <c r="A7" s="96"/>
      <c r="B7" s="96"/>
      <c r="C7" s="96"/>
      <c r="D7" s="97"/>
      <c r="E7" s="97"/>
      <c r="F7" s="97"/>
      <c r="G7" s="97"/>
      <c r="H7" s="97"/>
      <c r="I7" s="97" t="s">
        <v>20</v>
      </c>
      <c r="J7" s="97"/>
      <c r="K7" s="97"/>
      <c r="L7" s="97"/>
      <c r="M7" s="97"/>
    </row>
    <row r="8" spans="1:18">
      <c r="A8" s="54" t="s">
        <v>106</v>
      </c>
      <c r="D8" s="98">
        <v>100</v>
      </c>
      <c r="E8" s="99">
        <v>5.41</v>
      </c>
      <c r="F8" s="99">
        <v>5.41</v>
      </c>
      <c r="G8" s="100">
        <v>1000</v>
      </c>
      <c r="H8" s="99">
        <f t="shared" ref="H8:H19" si="0">SUM(E8*G8)</f>
        <v>5410</v>
      </c>
      <c r="J8" s="14">
        <v>1110</v>
      </c>
      <c r="K8" s="99">
        <f t="shared" ref="K8:K20" si="1">SUM(H8:J8)</f>
        <v>6520</v>
      </c>
      <c r="M8" s="54">
        <v>194</v>
      </c>
      <c r="Q8" s="99"/>
      <c r="R8" s="99"/>
    </row>
    <row r="9" spans="1:18">
      <c r="A9" s="54" t="s">
        <v>21</v>
      </c>
      <c r="D9" s="98">
        <v>54</v>
      </c>
      <c r="E9" s="14">
        <v>7.59</v>
      </c>
      <c r="F9" s="99">
        <v>6.39</v>
      </c>
      <c r="G9" s="100">
        <v>1010</v>
      </c>
      <c r="H9" s="99">
        <v>7666</v>
      </c>
      <c r="J9" s="99"/>
      <c r="K9" s="99">
        <f t="shared" si="1"/>
        <v>7666</v>
      </c>
      <c r="Q9" s="14"/>
      <c r="R9" s="99"/>
    </row>
    <row r="10" spans="1:18">
      <c r="A10" s="54" t="s">
        <v>107</v>
      </c>
      <c r="D10" s="98">
        <v>70</v>
      </c>
      <c r="E10" s="99">
        <v>0.87</v>
      </c>
      <c r="F10" s="99">
        <v>0.87</v>
      </c>
      <c r="G10" s="100">
        <v>1000</v>
      </c>
      <c r="H10" s="99">
        <f t="shared" si="0"/>
        <v>870</v>
      </c>
      <c r="I10" s="14">
        <v>5771</v>
      </c>
      <c r="J10" s="99"/>
      <c r="K10" s="99">
        <f t="shared" si="1"/>
        <v>6641</v>
      </c>
      <c r="L10" s="54">
        <v>1207</v>
      </c>
      <c r="Q10" s="99"/>
      <c r="R10" s="99"/>
    </row>
    <row r="11" spans="1:18">
      <c r="A11" s="54" t="s">
        <v>108</v>
      </c>
      <c r="D11" s="98" t="s">
        <v>109</v>
      </c>
      <c r="E11" s="99" t="s">
        <v>110</v>
      </c>
      <c r="F11" s="99" t="s">
        <v>110</v>
      </c>
      <c r="G11" s="100"/>
      <c r="H11" s="99">
        <v>0</v>
      </c>
      <c r="I11" s="99" t="s">
        <v>111</v>
      </c>
      <c r="J11" s="99"/>
      <c r="K11" s="99">
        <f t="shared" si="1"/>
        <v>0</v>
      </c>
      <c r="L11" s="54" t="s">
        <v>112</v>
      </c>
      <c r="Q11" s="99"/>
      <c r="R11" s="99"/>
    </row>
    <row r="12" spans="1:18">
      <c r="A12" s="54" t="s">
        <v>113</v>
      </c>
      <c r="B12" s="98"/>
      <c r="D12" s="98" t="s">
        <v>114</v>
      </c>
      <c r="E12" s="99"/>
      <c r="F12" s="99"/>
      <c r="G12" s="100"/>
      <c r="H12" s="99">
        <f t="shared" si="0"/>
        <v>0</v>
      </c>
      <c r="J12" s="99"/>
      <c r="K12" s="99">
        <f t="shared" si="1"/>
        <v>0</v>
      </c>
      <c r="N12" s="101"/>
      <c r="O12" s="98"/>
      <c r="Q12" s="99"/>
      <c r="R12" s="99"/>
    </row>
    <row r="13" spans="1:18">
      <c r="A13" s="54" t="s">
        <v>115</v>
      </c>
      <c r="B13" s="102"/>
      <c r="C13" s="102"/>
      <c r="D13" s="98">
        <v>44</v>
      </c>
      <c r="E13" s="99">
        <v>0.65</v>
      </c>
      <c r="F13" s="99">
        <v>0.65</v>
      </c>
      <c r="G13" s="100">
        <v>1000</v>
      </c>
      <c r="H13" s="99">
        <f t="shared" si="0"/>
        <v>650</v>
      </c>
      <c r="I13" s="99">
        <v>4258</v>
      </c>
      <c r="J13" s="99"/>
      <c r="K13" s="99">
        <f t="shared" si="1"/>
        <v>4908</v>
      </c>
      <c r="L13" s="54">
        <v>133</v>
      </c>
      <c r="Q13" s="14"/>
      <c r="R13" s="99"/>
    </row>
    <row r="14" spans="1:18">
      <c r="A14" s="101" t="s">
        <v>116</v>
      </c>
      <c r="D14" s="98">
        <v>94</v>
      </c>
      <c r="E14" s="99">
        <v>15.12</v>
      </c>
      <c r="F14" s="99">
        <v>10.8</v>
      </c>
      <c r="G14" s="100">
        <v>1174</v>
      </c>
      <c r="H14" s="99">
        <v>17751</v>
      </c>
      <c r="J14" s="99"/>
      <c r="K14" s="99">
        <f t="shared" si="1"/>
        <v>17751</v>
      </c>
      <c r="Q14" s="99"/>
      <c r="R14" s="99"/>
    </row>
    <row r="15" spans="1:18">
      <c r="A15" s="54" t="s">
        <v>117</v>
      </c>
      <c r="D15" s="98">
        <v>100</v>
      </c>
      <c r="E15" s="14">
        <v>11.77</v>
      </c>
      <c r="F15" s="99">
        <v>9.23</v>
      </c>
      <c r="G15" s="100">
        <v>1025</v>
      </c>
      <c r="H15" s="99">
        <v>12064</v>
      </c>
      <c r="J15" s="14">
        <v>951</v>
      </c>
      <c r="K15" s="99">
        <f t="shared" si="1"/>
        <v>13015</v>
      </c>
      <c r="Q15" s="14"/>
      <c r="R15" s="99"/>
    </row>
    <row r="16" spans="1:18">
      <c r="A16" s="54" t="s">
        <v>34</v>
      </c>
      <c r="D16" s="98">
        <v>100</v>
      </c>
      <c r="E16" s="99">
        <v>13.78</v>
      </c>
      <c r="F16" s="99">
        <v>11.98</v>
      </c>
      <c r="G16" s="100">
        <v>1086</v>
      </c>
      <c r="H16" s="14">
        <v>14965</v>
      </c>
      <c r="J16" s="14">
        <f>SUM(E38*G38+E39*G39+E40*G40+E41*G41)</f>
        <v>19288</v>
      </c>
      <c r="K16" s="14">
        <f t="shared" si="1"/>
        <v>34253</v>
      </c>
      <c r="Q16" s="99"/>
      <c r="R16" s="99"/>
    </row>
    <row r="17" spans="1:18">
      <c r="A17" s="54" t="s">
        <v>118</v>
      </c>
      <c r="D17" s="98">
        <v>100</v>
      </c>
      <c r="E17" s="14">
        <v>27.11</v>
      </c>
      <c r="F17" s="99">
        <v>23.22</v>
      </c>
      <c r="G17" s="100">
        <v>1084</v>
      </c>
      <c r="H17" s="99">
        <v>29387</v>
      </c>
      <c r="J17" s="99"/>
      <c r="K17" s="99">
        <f t="shared" si="1"/>
        <v>29387</v>
      </c>
      <c r="Q17" s="99"/>
      <c r="R17" s="99"/>
    </row>
    <row r="18" spans="1:18">
      <c r="A18" s="54" t="s">
        <v>36</v>
      </c>
      <c r="D18" s="98">
        <v>94</v>
      </c>
      <c r="E18" s="99">
        <v>12.4</v>
      </c>
      <c r="F18" s="99">
        <v>10.65</v>
      </c>
      <c r="G18" s="100">
        <v>1324</v>
      </c>
      <c r="H18" s="14">
        <v>16418</v>
      </c>
      <c r="J18" s="14">
        <v>18087</v>
      </c>
      <c r="K18" s="14">
        <f t="shared" si="1"/>
        <v>34505</v>
      </c>
      <c r="Q18" s="99"/>
      <c r="R18" s="99"/>
    </row>
    <row r="19" spans="1:18">
      <c r="A19" s="54" t="s">
        <v>92</v>
      </c>
      <c r="D19" s="98">
        <v>100</v>
      </c>
      <c r="E19" s="99">
        <v>23.52</v>
      </c>
      <c r="F19" s="99">
        <v>23.52</v>
      </c>
      <c r="G19" s="100">
        <v>1000</v>
      </c>
      <c r="H19" s="99">
        <f t="shared" si="0"/>
        <v>23520</v>
      </c>
      <c r="I19" s="99">
        <v>15987</v>
      </c>
      <c r="J19" s="14"/>
      <c r="K19" s="99">
        <f t="shared" si="1"/>
        <v>39507</v>
      </c>
      <c r="O19" s="99"/>
    </row>
    <row r="20" spans="1:18">
      <c r="A20" s="54" t="s">
        <v>119</v>
      </c>
      <c r="D20" s="98">
        <v>100</v>
      </c>
      <c r="E20" s="99">
        <v>51.94</v>
      </c>
      <c r="F20" s="99">
        <v>30.03</v>
      </c>
      <c r="G20" s="100">
        <v>891</v>
      </c>
      <c r="H20" s="99">
        <v>46279</v>
      </c>
      <c r="J20" s="99"/>
      <c r="K20" s="99">
        <f t="shared" si="1"/>
        <v>46279</v>
      </c>
    </row>
    <row r="21" spans="1:18">
      <c r="A21" s="92" t="s">
        <v>42</v>
      </c>
      <c r="B21" s="92"/>
      <c r="C21" s="92"/>
      <c r="D21" s="103"/>
      <c r="E21" s="104">
        <f>SUM(E8:E20)</f>
        <v>170.16</v>
      </c>
      <c r="F21" s="104">
        <f>SUM(F8:F20)</f>
        <v>132.75</v>
      </c>
      <c r="G21" s="104"/>
      <c r="H21" s="104">
        <f>SUM(H8:H20)</f>
        <v>174980</v>
      </c>
      <c r="I21" s="104">
        <f>SUM(I8:I20)</f>
        <v>26016</v>
      </c>
      <c r="J21" s="104">
        <f>SUM(J8:J20)</f>
        <v>39436</v>
      </c>
      <c r="K21" s="104">
        <f>SUM(H21:J21)</f>
        <v>240432</v>
      </c>
      <c r="L21" s="92">
        <f>SUM(L8:L20)</f>
        <v>1340</v>
      </c>
      <c r="M21" s="92">
        <v>194</v>
      </c>
    </row>
    <row r="22" spans="1:18">
      <c r="A22" s="96" t="s">
        <v>43</v>
      </c>
      <c r="B22" s="96"/>
      <c r="C22" s="96"/>
      <c r="D22" s="105"/>
      <c r="E22" s="106">
        <f>SUM(E21-F21)</f>
        <v>37.409999999999997</v>
      </c>
      <c r="F22" s="106"/>
      <c r="G22" s="106"/>
      <c r="H22" s="106">
        <f>SUM(E33*G33)</f>
        <v>38073</v>
      </c>
      <c r="I22" s="106">
        <f>I21-L21</f>
        <v>24676</v>
      </c>
      <c r="J22" s="106">
        <f>J21-M21</f>
        <v>39242</v>
      </c>
      <c r="K22" s="106">
        <f>SUM(H22:J22)</f>
        <v>101991</v>
      </c>
      <c r="L22" s="96"/>
      <c r="M22" s="107"/>
    </row>
    <row r="24" spans="1:18">
      <c r="C24" s="54" t="s">
        <v>44</v>
      </c>
      <c r="I24" s="99" t="s">
        <v>120</v>
      </c>
      <c r="L24" s="99"/>
    </row>
    <row r="25" spans="1:18">
      <c r="L25" s="99"/>
    </row>
    <row r="26" spans="1:18">
      <c r="A26" s="54" t="s">
        <v>45</v>
      </c>
      <c r="M26" s="99"/>
    </row>
    <row r="27" spans="1:18">
      <c r="A27" s="108" t="s">
        <v>46</v>
      </c>
      <c r="B27" s="108"/>
      <c r="C27" s="108"/>
      <c r="D27" s="108" t="s">
        <v>47</v>
      </c>
      <c r="E27" s="108" t="s">
        <v>48</v>
      </c>
      <c r="F27" s="108"/>
      <c r="G27" s="108" t="s">
        <v>49</v>
      </c>
    </row>
    <row r="28" spans="1:18">
      <c r="A28" s="54" t="s">
        <v>52</v>
      </c>
      <c r="K28" s="109" t="s">
        <v>60</v>
      </c>
      <c r="L28" s="109">
        <v>0.56999999999999995</v>
      </c>
    </row>
    <row r="29" spans="1:18">
      <c r="A29" s="54" t="s">
        <v>121</v>
      </c>
      <c r="D29" s="54" t="s">
        <v>55</v>
      </c>
      <c r="E29" s="1">
        <v>0.42</v>
      </c>
      <c r="F29" s="110"/>
      <c r="G29" s="14">
        <v>2265</v>
      </c>
      <c r="H29" s="111"/>
      <c r="K29" s="109" t="s">
        <v>62</v>
      </c>
      <c r="L29" s="109">
        <v>0.5</v>
      </c>
    </row>
    <row r="30" spans="1:18">
      <c r="L30" s="112"/>
      <c r="M30" s="113"/>
    </row>
    <row r="31" spans="1:18">
      <c r="L31" s="109" t="s">
        <v>122</v>
      </c>
      <c r="M31" s="114">
        <v>0.3</v>
      </c>
    </row>
    <row r="32" spans="1:18">
      <c r="A32" s="54" t="s">
        <v>57</v>
      </c>
      <c r="L32" s="109" t="s">
        <v>123</v>
      </c>
      <c r="M32" s="114">
        <v>0.3</v>
      </c>
    </row>
    <row r="33" spans="1:13">
      <c r="A33" s="54" t="s">
        <v>58</v>
      </c>
      <c r="D33" s="54" t="s">
        <v>59</v>
      </c>
      <c r="E33" s="99">
        <v>37</v>
      </c>
      <c r="G33" s="99">
        <v>1029</v>
      </c>
      <c r="L33" s="109" t="s">
        <v>124</v>
      </c>
      <c r="M33" s="114">
        <v>0.2</v>
      </c>
    </row>
    <row r="34" spans="1:13">
      <c r="A34" s="54" t="s">
        <v>61</v>
      </c>
      <c r="D34" s="54" t="s">
        <v>59</v>
      </c>
      <c r="E34" s="99">
        <v>133</v>
      </c>
      <c r="L34" s="109" t="s">
        <v>125</v>
      </c>
      <c r="M34" s="114">
        <v>0.2</v>
      </c>
    </row>
    <row r="35" spans="1:13">
      <c r="A35" s="54" t="s">
        <v>6</v>
      </c>
      <c r="E35" s="99">
        <f>SUM(E33:E34)</f>
        <v>170</v>
      </c>
    </row>
    <row r="37" spans="1:13">
      <c r="A37" s="92" t="s">
        <v>63</v>
      </c>
      <c r="B37" s="92"/>
      <c r="C37" s="92" t="s">
        <v>64</v>
      </c>
      <c r="D37" s="92"/>
      <c r="E37" s="92"/>
      <c r="F37" s="92"/>
      <c r="G37" s="92"/>
    </row>
    <row r="38" spans="1:13">
      <c r="A38" s="51"/>
      <c r="B38" s="95" t="s">
        <v>126</v>
      </c>
      <c r="C38" s="115">
        <v>60</v>
      </c>
      <c r="D38" s="52" t="s">
        <v>55</v>
      </c>
      <c r="E38" s="116">
        <v>71</v>
      </c>
      <c r="F38" s="51"/>
      <c r="G38" s="116">
        <v>50</v>
      </c>
    </row>
    <row r="39" spans="1:13">
      <c r="A39" s="51"/>
      <c r="B39" s="95" t="s">
        <v>127</v>
      </c>
      <c r="C39" s="115">
        <v>68</v>
      </c>
      <c r="D39" s="52" t="s">
        <v>55</v>
      </c>
      <c r="E39" s="116">
        <v>121</v>
      </c>
      <c r="F39" s="51"/>
      <c r="G39" s="116">
        <v>50</v>
      </c>
    </row>
    <row r="40" spans="1:13">
      <c r="A40" s="51"/>
      <c r="B40" s="95" t="s">
        <v>128</v>
      </c>
      <c r="C40" s="115">
        <v>90</v>
      </c>
      <c r="D40" s="52" t="s">
        <v>55</v>
      </c>
      <c r="E40" s="116">
        <v>173</v>
      </c>
      <c r="F40" s="51"/>
      <c r="G40" s="116">
        <v>56</v>
      </c>
    </row>
    <row r="41" spans="1:13">
      <c r="A41" s="51"/>
      <c r="B41" s="95"/>
      <c r="C41" s="115"/>
      <c r="D41" s="51"/>
      <c r="E41" s="51"/>
      <c r="F41" s="51"/>
      <c r="G41" s="116"/>
    </row>
    <row r="42" spans="1:13">
      <c r="A42" s="92" t="s">
        <v>68</v>
      </c>
      <c r="B42" s="92"/>
      <c r="C42" s="92"/>
      <c r="D42" s="92"/>
      <c r="E42" s="92"/>
      <c r="F42" s="92"/>
      <c r="G42" s="117" t="s">
        <v>129</v>
      </c>
      <c r="H42" s="118" t="s">
        <v>70</v>
      </c>
    </row>
    <row r="43" spans="1:13">
      <c r="A43" s="51" t="s">
        <v>71</v>
      </c>
      <c r="B43" s="51"/>
      <c r="C43" s="51"/>
      <c r="D43" s="51"/>
      <c r="E43" s="51"/>
      <c r="F43" s="51"/>
      <c r="G43" s="34">
        <v>5221</v>
      </c>
      <c r="H43" s="119">
        <f>G43*2.471</f>
        <v>12901.091</v>
      </c>
      <c r="I43" s="111"/>
    </row>
    <row r="44" spans="1:13">
      <c r="A44" s="51" t="s">
        <v>72</v>
      </c>
      <c r="B44" s="51"/>
      <c r="C44" s="51"/>
      <c r="D44" s="51"/>
      <c r="E44" s="51"/>
      <c r="F44" s="51"/>
      <c r="G44" s="120">
        <v>117</v>
      </c>
      <c r="H44" s="119"/>
      <c r="I44" s="111"/>
    </row>
    <row r="45" spans="1:13">
      <c r="A45" s="51" t="s">
        <v>73</v>
      </c>
      <c r="B45" s="51"/>
      <c r="C45" s="51"/>
      <c r="D45" s="51"/>
      <c r="E45" s="51"/>
      <c r="F45" s="51"/>
      <c r="G45" s="120">
        <f>SUM(G43*G44)</f>
        <v>610857</v>
      </c>
      <c r="H45" s="119">
        <f>G45*2.471</f>
        <v>1509427.6470000001</v>
      </c>
    </row>
    <row r="46" spans="1:13">
      <c r="A46" s="51" t="s">
        <v>74</v>
      </c>
      <c r="B46" s="51"/>
      <c r="C46" s="51"/>
      <c r="D46" s="51"/>
      <c r="E46" s="51"/>
      <c r="F46" s="51"/>
      <c r="G46" s="120">
        <f>SUM(G45-K21)</f>
        <v>370425</v>
      </c>
      <c r="H46" s="119">
        <f>G46*2.471</f>
        <v>915320.17500000005</v>
      </c>
    </row>
    <row r="47" spans="1:13">
      <c r="A47" s="51" t="s">
        <v>75</v>
      </c>
      <c r="B47" s="51"/>
      <c r="C47" s="51"/>
      <c r="D47" s="51"/>
      <c r="E47" s="51"/>
      <c r="F47" s="51"/>
      <c r="G47" s="120">
        <f>SUM(G45-K22)</f>
        <v>508866</v>
      </c>
      <c r="H47" s="119">
        <f>G47*2.471</f>
        <v>1257407.8859999999</v>
      </c>
    </row>
    <row r="48" spans="1:13">
      <c r="A48" s="51" t="s">
        <v>76</v>
      </c>
      <c r="B48" s="51"/>
      <c r="C48" s="51"/>
      <c r="D48" s="51"/>
      <c r="E48" s="51"/>
      <c r="F48" s="51"/>
      <c r="G48" s="120">
        <f>SUM(K21/G43)</f>
        <v>46.050948094234819</v>
      </c>
    </row>
    <row r="49" spans="1:7">
      <c r="A49" s="96" t="s">
        <v>77</v>
      </c>
      <c r="B49" s="96"/>
      <c r="C49" s="96"/>
      <c r="D49" s="96"/>
      <c r="E49" s="96"/>
      <c r="F49" s="96"/>
      <c r="G49" s="121">
        <f>SUM(K22/G43)</f>
        <v>19.534763455276767</v>
      </c>
    </row>
    <row r="51" spans="1:7">
      <c r="A51" s="54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6"/>
  <sheetViews>
    <sheetView workbookViewId="0">
      <selection sqref="A1:XFD1048576"/>
    </sheetView>
  </sheetViews>
  <sheetFormatPr defaultColWidth="11" defaultRowHeight="14.25"/>
  <cols>
    <col min="1" max="1" width="11" style="54"/>
    <col min="2" max="2" width="8.7109375" style="54" customWidth="1"/>
    <col min="3" max="3" width="5.85546875" style="54" customWidth="1"/>
    <col min="4" max="4" width="5.7109375" style="54" customWidth="1"/>
    <col min="5" max="5" width="6.140625" style="54" customWidth="1"/>
    <col min="6" max="6" width="5.42578125" style="54" customWidth="1"/>
    <col min="7" max="7" width="8.42578125" style="54" customWidth="1"/>
    <col min="8" max="8" width="8.7109375" style="54" customWidth="1"/>
    <col min="9" max="9" width="7.85546875" style="54" customWidth="1"/>
    <col min="10" max="10" width="8.42578125" style="54" customWidth="1"/>
    <col min="11" max="11" width="9.28515625" style="54" customWidth="1"/>
    <col min="12" max="12" width="6" style="54" customWidth="1"/>
    <col min="13" max="13" width="7.42578125" style="54" customWidth="1"/>
    <col min="14" max="257" width="11" style="54"/>
    <col min="258" max="258" width="8.7109375" style="54" customWidth="1"/>
    <col min="259" max="259" width="9.28515625" style="54" customWidth="1"/>
    <col min="260" max="260" width="7.5703125" style="54" customWidth="1"/>
    <col min="261" max="261" width="7.42578125" style="54" customWidth="1"/>
    <col min="262" max="262" width="7.28515625" style="54" customWidth="1"/>
    <col min="263" max="263" width="9" style="54" customWidth="1"/>
    <col min="264" max="264" width="10.5703125" style="54" customWidth="1"/>
    <col min="265" max="265" width="14.42578125" style="54" customWidth="1"/>
    <col min="266" max="513" width="11" style="54"/>
    <col min="514" max="514" width="8.7109375" style="54" customWidth="1"/>
    <col min="515" max="515" width="9.28515625" style="54" customWidth="1"/>
    <col min="516" max="516" width="7.5703125" style="54" customWidth="1"/>
    <col min="517" max="517" width="7.42578125" style="54" customWidth="1"/>
    <col min="518" max="518" width="7.28515625" style="54" customWidth="1"/>
    <col min="519" max="519" width="9" style="54" customWidth="1"/>
    <col min="520" max="520" width="10.5703125" style="54" customWidth="1"/>
    <col min="521" max="521" width="14.42578125" style="54" customWidth="1"/>
    <col min="522" max="769" width="11" style="54"/>
    <col min="770" max="770" width="8.7109375" style="54" customWidth="1"/>
    <col min="771" max="771" width="9.28515625" style="54" customWidth="1"/>
    <col min="772" max="772" width="7.5703125" style="54" customWidth="1"/>
    <col min="773" max="773" width="7.42578125" style="54" customWidth="1"/>
    <col min="774" max="774" width="7.28515625" style="54" customWidth="1"/>
    <col min="775" max="775" width="9" style="54" customWidth="1"/>
    <col min="776" max="776" width="10.5703125" style="54" customWidth="1"/>
    <col min="777" max="777" width="14.42578125" style="54" customWidth="1"/>
    <col min="778" max="1025" width="11" style="54"/>
    <col min="1026" max="1026" width="8.7109375" style="54" customWidth="1"/>
    <col min="1027" max="1027" width="9.28515625" style="54" customWidth="1"/>
    <col min="1028" max="1028" width="7.5703125" style="54" customWidth="1"/>
    <col min="1029" max="1029" width="7.42578125" style="54" customWidth="1"/>
    <col min="1030" max="1030" width="7.28515625" style="54" customWidth="1"/>
    <col min="1031" max="1031" width="9" style="54" customWidth="1"/>
    <col min="1032" max="1032" width="10.5703125" style="54" customWidth="1"/>
    <col min="1033" max="1033" width="14.42578125" style="54" customWidth="1"/>
    <col min="1034" max="1281" width="11" style="54"/>
    <col min="1282" max="1282" width="8.7109375" style="54" customWidth="1"/>
    <col min="1283" max="1283" width="9.28515625" style="54" customWidth="1"/>
    <col min="1284" max="1284" width="7.5703125" style="54" customWidth="1"/>
    <col min="1285" max="1285" width="7.42578125" style="54" customWidth="1"/>
    <col min="1286" max="1286" width="7.28515625" style="54" customWidth="1"/>
    <col min="1287" max="1287" width="9" style="54" customWidth="1"/>
    <col min="1288" max="1288" width="10.5703125" style="54" customWidth="1"/>
    <col min="1289" max="1289" width="14.42578125" style="54" customWidth="1"/>
    <col min="1290" max="1537" width="11" style="54"/>
    <col min="1538" max="1538" width="8.7109375" style="54" customWidth="1"/>
    <col min="1539" max="1539" width="9.28515625" style="54" customWidth="1"/>
    <col min="1540" max="1540" width="7.5703125" style="54" customWidth="1"/>
    <col min="1541" max="1541" width="7.42578125" style="54" customWidth="1"/>
    <col min="1542" max="1542" width="7.28515625" style="54" customWidth="1"/>
    <col min="1543" max="1543" width="9" style="54" customWidth="1"/>
    <col min="1544" max="1544" width="10.5703125" style="54" customWidth="1"/>
    <col min="1545" max="1545" width="14.42578125" style="54" customWidth="1"/>
    <col min="1546" max="1793" width="11" style="54"/>
    <col min="1794" max="1794" width="8.7109375" style="54" customWidth="1"/>
    <col min="1795" max="1795" width="9.28515625" style="54" customWidth="1"/>
    <col min="1796" max="1796" width="7.5703125" style="54" customWidth="1"/>
    <col min="1797" max="1797" width="7.42578125" style="54" customWidth="1"/>
    <col min="1798" max="1798" width="7.28515625" style="54" customWidth="1"/>
    <col min="1799" max="1799" width="9" style="54" customWidth="1"/>
    <col min="1800" max="1800" width="10.5703125" style="54" customWidth="1"/>
    <col min="1801" max="1801" width="14.42578125" style="54" customWidth="1"/>
    <col min="1802" max="2049" width="11" style="54"/>
    <col min="2050" max="2050" width="8.7109375" style="54" customWidth="1"/>
    <col min="2051" max="2051" width="9.28515625" style="54" customWidth="1"/>
    <col min="2052" max="2052" width="7.5703125" style="54" customWidth="1"/>
    <col min="2053" max="2053" width="7.42578125" style="54" customWidth="1"/>
    <col min="2054" max="2054" width="7.28515625" style="54" customWidth="1"/>
    <col min="2055" max="2055" width="9" style="54" customWidth="1"/>
    <col min="2056" max="2056" width="10.5703125" style="54" customWidth="1"/>
    <col min="2057" max="2057" width="14.42578125" style="54" customWidth="1"/>
    <col min="2058" max="2305" width="11" style="54"/>
    <col min="2306" max="2306" width="8.7109375" style="54" customWidth="1"/>
    <col min="2307" max="2307" width="9.28515625" style="54" customWidth="1"/>
    <col min="2308" max="2308" width="7.5703125" style="54" customWidth="1"/>
    <col min="2309" max="2309" width="7.42578125" style="54" customWidth="1"/>
    <col min="2310" max="2310" width="7.28515625" style="54" customWidth="1"/>
    <col min="2311" max="2311" width="9" style="54" customWidth="1"/>
    <col min="2312" max="2312" width="10.5703125" style="54" customWidth="1"/>
    <col min="2313" max="2313" width="14.42578125" style="54" customWidth="1"/>
    <col min="2314" max="2561" width="11" style="54"/>
    <col min="2562" max="2562" width="8.7109375" style="54" customWidth="1"/>
    <col min="2563" max="2563" width="9.28515625" style="54" customWidth="1"/>
    <col min="2564" max="2564" width="7.5703125" style="54" customWidth="1"/>
    <col min="2565" max="2565" width="7.42578125" style="54" customWidth="1"/>
    <col min="2566" max="2566" width="7.28515625" style="54" customWidth="1"/>
    <col min="2567" max="2567" width="9" style="54" customWidth="1"/>
    <col min="2568" max="2568" width="10.5703125" style="54" customWidth="1"/>
    <col min="2569" max="2569" width="14.42578125" style="54" customWidth="1"/>
    <col min="2570" max="2817" width="11" style="54"/>
    <col min="2818" max="2818" width="8.7109375" style="54" customWidth="1"/>
    <col min="2819" max="2819" width="9.28515625" style="54" customWidth="1"/>
    <col min="2820" max="2820" width="7.5703125" style="54" customWidth="1"/>
    <col min="2821" max="2821" width="7.42578125" style="54" customWidth="1"/>
    <col min="2822" max="2822" width="7.28515625" style="54" customWidth="1"/>
    <col min="2823" max="2823" width="9" style="54" customWidth="1"/>
    <col min="2824" max="2824" width="10.5703125" style="54" customWidth="1"/>
    <col min="2825" max="2825" width="14.42578125" style="54" customWidth="1"/>
    <col min="2826" max="3073" width="11" style="54"/>
    <col min="3074" max="3074" width="8.7109375" style="54" customWidth="1"/>
    <col min="3075" max="3075" width="9.28515625" style="54" customWidth="1"/>
    <col min="3076" max="3076" width="7.5703125" style="54" customWidth="1"/>
    <col min="3077" max="3077" width="7.42578125" style="54" customWidth="1"/>
    <col min="3078" max="3078" width="7.28515625" style="54" customWidth="1"/>
    <col min="3079" max="3079" width="9" style="54" customWidth="1"/>
    <col min="3080" max="3080" width="10.5703125" style="54" customWidth="1"/>
    <col min="3081" max="3081" width="14.42578125" style="54" customWidth="1"/>
    <col min="3082" max="3329" width="11" style="54"/>
    <col min="3330" max="3330" width="8.7109375" style="54" customWidth="1"/>
    <col min="3331" max="3331" width="9.28515625" style="54" customWidth="1"/>
    <col min="3332" max="3332" width="7.5703125" style="54" customWidth="1"/>
    <col min="3333" max="3333" width="7.42578125" style="54" customWidth="1"/>
    <col min="3334" max="3334" width="7.28515625" style="54" customWidth="1"/>
    <col min="3335" max="3335" width="9" style="54" customWidth="1"/>
    <col min="3336" max="3336" width="10.5703125" style="54" customWidth="1"/>
    <col min="3337" max="3337" width="14.42578125" style="54" customWidth="1"/>
    <col min="3338" max="3585" width="11" style="54"/>
    <col min="3586" max="3586" width="8.7109375" style="54" customWidth="1"/>
    <col min="3587" max="3587" width="9.28515625" style="54" customWidth="1"/>
    <col min="3588" max="3588" width="7.5703125" style="54" customWidth="1"/>
    <col min="3589" max="3589" width="7.42578125" style="54" customWidth="1"/>
    <col min="3590" max="3590" width="7.28515625" style="54" customWidth="1"/>
    <col min="3591" max="3591" width="9" style="54" customWidth="1"/>
    <col min="3592" max="3592" width="10.5703125" style="54" customWidth="1"/>
    <col min="3593" max="3593" width="14.42578125" style="54" customWidth="1"/>
    <col min="3594" max="3841" width="11" style="54"/>
    <col min="3842" max="3842" width="8.7109375" style="54" customWidth="1"/>
    <col min="3843" max="3843" width="9.28515625" style="54" customWidth="1"/>
    <col min="3844" max="3844" width="7.5703125" style="54" customWidth="1"/>
    <col min="3845" max="3845" width="7.42578125" style="54" customWidth="1"/>
    <col min="3846" max="3846" width="7.28515625" style="54" customWidth="1"/>
    <col min="3847" max="3847" width="9" style="54" customWidth="1"/>
    <col min="3848" max="3848" width="10.5703125" style="54" customWidth="1"/>
    <col min="3849" max="3849" width="14.42578125" style="54" customWidth="1"/>
    <col min="3850" max="4097" width="11" style="54"/>
    <col min="4098" max="4098" width="8.7109375" style="54" customWidth="1"/>
    <col min="4099" max="4099" width="9.28515625" style="54" customWidth="1"/>
    <col min="4100" max="4100" width="7.5703125" style="54" customWidth="1"/>
    <col min="4101" max="4101" width="7.42578125" style="54" customWidth="1"/>
    <col min="4102" max="4102" width="7.28515625" style="54" customWidth="1"/>
    <col min="4103" max="4103" width="9" style="54" customWidth="1"/>
    <col min="4104" max="4104" width="10.5703125" style="54" customWidth="1"/>
    <col min="4105" max="4105" width="14.42578125" style="54" customWidth="1"/>
    <col min="4106" max="4353" width="11" style="54"/>
    <col min="4354" max="4354" width="8.7109375" style="54" customWidth="1"/>
    <col min="4355" max="4355" width="9.28515625" style="54" customWidth="1"/>
    <col min="4356" max="4356" width="7.5703125" style="54" customWidth="1"/>
    <col min="4357" max="4357" width="7.42578125" style="54" customWidth="1"/>
    <col min="4358" max="4358" width="7.28515625" style="54" customWidth="1"/>
    <col min="4359" max="4359" width="9" style="54" customWidth="1"/>
    <col min="4360" max="4360" width="10.5703125" style="54" customWidth="1"/>
    <col min="4361" max="4361" width="14.42578125" style="54" customWidth="1"/>
    <col min="4362" max="4609" width="11" style="54"/>
    <col min="4610" max="4610" width="8.7109375" style="54" customWidth="1"/>
    <col min="4611" max="4611" width="9.28515625" style="54" customWidth="1"/>
    <col min="4612" max="4612" width="7.5703125" style="54" customWidth="1"/>
    <col min="4613" max="4613" width="7.42578125" style="54" customWidth="1"/>
    <col min="4614" max="4614" width="7.28515625" style="54" customWidth="1"/>
    <col min="4615" max="4615" width="9" style="54" customWidth="1"/>
    <col min="4616" max="4616" width="10.5703125" style="54" customWidth="1"/>
    <col min="4617" max="4617" width="14.42578125" style="54" customWidth="1"/>
    <col min="4618" max="4865" width="11" style="54"/>
    <col min="4866" max="4866" width="8.7109375" style="54" customWidth="1"/>
    <col min="4867" max="4867" width="9.28515625" style="54" customWidth="1"/>
    <col min="4868" max="4868" width="7.5703125" style="54" customWidth="1"/>
    <col min="4869" max="4869" width="7.42578125" style="54" customWidth="1"/>
    <col min="4870" max="4870" width="7.28515625" style="54" customWidth="1"/>
    <col min="4871" max="4871" width="9" style="54" customWidth="1"/>
    <col min="4872" max="4872" width="10.5703125" style="54" customWidth="1"/>
    <col min="4873" max="4873" width="14.42578125" style="54" customWidth="1"/>
    <col min="4874" max="5121" width="11" style="54"/>
    <col min="5122" max="5122" width="8.7109375" style="54" customWidth="1"/>
    <col min="5123" max="5123" width="9.28515625" style="54" customWidth="1"/>
    <col min="5124" max="5124" width="7.5703125" style="54" customWidth="1"/>
    <col min="5125" max="5125" width="7.42578125" style="54" customWidth="1"/>
    <col min="5126" max="5126" width="7.28515625" style="54" customWidth="1"/>
    <col min="5127" max="5127" width="9" style="54" customWidth="1"/>
    <col min="5128" max="5128" width="10.5703125" style="54" customWidth="1"/>
    <col min="5129" max="5129" width="14.42578125" style="54" customWidth="1"/>
    <col min="5130" max="5377" width="11" style="54"/>
    <col min="5378" max="5378" width="8.7109375" style="54" customWidth="1"/>
    <col min="5379" max="5379" width="9.28515625" style="54" customWidth="1"/>
    <col min="5380" max="5380" width="7.5703125" style="54" customWidth="1"/>
    <col min="5381" max="5381" width="7.42578125" style="54" customWidth="1"/>
    <col min="5382" max="5382" width="7.28515625" style="54" customWidth="1"/>
    <col min="5383" max="5383" width="9" style="54" customWidth="1"/>
    <col min="5384" max="5384" width="10.5703125" style="54" customWidth="1"/>
    <col min="5385" max="5385" width="14.42578125" style="54" customWidth="1"/>
    <col min="5386" max="5633" width="11" style="54"/>
    <col min="5634" max="5634" width="8.7109375" style="54" customWidth="1"/>
    <col min="5635" max="5635" width="9.28515625" style="54" customWidth="1"/>
    <col min="5636" max="5636" width="7.5703125" style="54" customWidth="1"/>
    <col min="5637" max="5637" width="7.42578125" style="54" customWidth="1"/>
    <col min="5638" max="5638" width="7.28515625" style="54" customWidth="1"/>
    <col min="5639" max="5639" width="9" style="54" customWidth="1"/>
    <col min="5640" max="5640" width="10.5703125" style="54" customWidth="1"/>
    <col min="5641" max="5641" width="14.42578125" style="54" customWidth="1"/>
    <col min="5642" max="5889" width="11" style="54"/>
    <col min="5890" max="5890" width="8.7109375" style="54" customWidth="1"/>
    <col min="5891" max="5891" width="9.28515625" style="54" customWidth="1"/>
    <col min="5892" max="5892" width="7.5703125" style="54" customWidth="1"/>
    <col min="5893" max="5893" width="7.42578125" style="54" customWidth="1"/>
    <col min="5894" max="5894" width="7.28515625" style="54" customWidth="1"/>
    <col min="5895" max="5895" width="9" style="54" customWidth="1"/>
    <col min="5896" max="5896" width="10.5703125" style="54" customWidth="1"/>
    <col min="5897" max="5897" width="14.42578125" style="54" customWidth="1"/>
    <col min="5898" max="6145" width="11" style="54"/>
    <col min="6146" max="6146" width="8.7109375" style="54" customWidth="1"/>
    <col min="6147" max="6147" width="9.28515625" style="54" customWidth="1"/>
    <col min="6148" max="6148" width="7.5703125" style="54" customWidth="1"/>
    <col min="6149" max="6149" width="7.42578125" style="54" customWidth="1"/>
    <col min="6150" max="6150" width="7.28515625" style="54" customWidth="1"/>
    <col min="6151" max="6151" width="9" style="54" customWidth="1"/>
    <col min="6152" max="6152" width="10.5703125" style="54" customWidth="1"/>
    <col min="6153" max="6153" width="14.42578125" style="54" customWidth="1"/>
    <col min="6154" max="6401" width="11" style="54"/>
    <col min="6402" max="6402" width="8.7109375" style="54" customWidth="1"/>
    <col min="6403" max="6403" width="9.28515625" style="54" customWidth="1"/>
    <col min="6404" max="6404" width="7.5703125" style="54" customWidth="1"/>
    <col min="6405" max="6405" width="7.42578125" style="54" customWidth="1"/>
    <col min="6406" max="6406" width="7.28515625" style="54" customWidth="1"/>
    <col min="6407" max="6407" width="9" style="54" customWidth="1"/>
    <col min="6408" max="6408" width="10.5703125" style="54" customWidth="1"/>
    <col min="6409" max="6409" width="14.42578125" style="54" customWidth="1"/>
    <col min="6410" max="6657" width="11" style="54"/>
    <col min="6658" max="6658" width="8.7109375" style="54" customWidth="1"/>
    <col min="6659" max="6659" width="9.28515625" style="54" customWidth="1"/>
    <col min="6660" max="6660" width="7.5703125" style="54" customWidth="1"/>
    <col min="6661" max="6661" width="7.42578125" style="54" customWidth="1"/>
    <col min="6662" max="6662" width="7.28515625" style="54" customWidth="1"/>
    <col min="6663" max="6663" width="9" style="54" customWidth="1"/>
    <col min="6664" max="6664" width="10.5703125" style="54" customWidth="1"/>
    <col min="6665" max="6665" width="14.42578125" style="54" customWidth="1"/>
    <col min="6666" max="6913" width="11" style="54"/>
    <col min="6914" max="6914" width="8.7109375" style="54" customWidth="1"/>
    <col min="6915" max="6915" width="9.28515625" style="54" customWidth="1"/>
    <col min="6916" max="6916" width="7.5703125" style="54" customWidth="1"/>
    <col min="6917" max="6917" width="7.42578125" style="54" customWidth="1"/>
    <col min="6918" max="6918" width="7.28515625" style="54" customWidth="1"/>
    <col min="6919" max="6919" width="9" style="54" customWidth="1"/>
    <col min="6920" max="6920" width="10.5703125" style="54" customWidth="1"/>
    <col min="6921" max="6921" width="14.42578125" style="54" customWidth="1"/>
    <col min="6922" max="7169" width="11" style="54"/>
    <col min="7170" max="7170" width="8.7109375" style="54" customWidth="1"/>
    <col min="7171" max="7171" width="9.28515625" style="54" customWidth="1"/>
    <col min="7172" max="7172" width="7.5703125" style="54" customWidth="1"/>
    <col min="7173" max="7173" width="7.42578125" style="54" customWidth="1"/>
    <col min="7174" max="7174" width="7.28515625" style="54" customWidth="1"/>
    <col min="7175" max="7175" width="9" style="54" customWidth="1"/>
    <col min="7176" max="7176" width="10.5703125" style="54" customWidth="1"/>
    <col min="7177" max="7177" width="14.42578125" style="54" customWidth="1"/>
    <col min="7178" max="7425" width="11" style="54"/>
    <col min="7426" max="7426" width="8.7109375" style="54" customWidth="1"/>
    <col min="7427" max="7427" width="9.28515625" style="54" customWidth="1"/>
    <col min="7428" max="7428" width="7.5703125" style="54" customWidth="1"/>
    <col min="7429" max="7429" width="7.42578125" style="54" customWidth="1"/>
    <col min="7430" max="7430" width="7.28515625" style="54" customWidth="1"/>
    <col min="7431" max="7431" width="9" style="54" customWidth="1"/>
    <col min="7432" max="7432" width="10.5703125" style="54" customWidth="1"/>
    <col min="7433" max="7433" width="14.42578125" style="54" customWidth="1"/>
    <col min="7434" max="7681" width="11" style="54"/>
    <col min="7682" max="7682" width="8.7109375" style="54" customWidth="1"/>
    <col min="7683" max="7683" width="9.28515625" style="54" customWidth="1"/>
    <col min="7684" max="7684" width="7.5703125" style="54" customWidth="1"/>
    <col min="7685" max="7685" width="7.42578125" style="54" customWidth="1"/>
    <col min="7686" max="7686" width="7.28515625" style="54" customWidth="1"/>
    <col min="7687" max="7687" width="9" style="54" customWidth="1"/>
    <col min="7688" max="7688" width="10.5703125" style="54" customWidth="1"/>
    <col min="7689" max="7689" width="14.42578125" style="54" customWidth="1"/>
    <col min="7690" max="7937" width="11" style="54"/>
    <col min="7938" max="7938" width="8.7109375" style="54" customWidth="1"/>
    <col min="7939" max="7939" width="9.28515625" style="54" customWidth="1"/>
    <col min="7940" max="7940" width="7.5703125" style="54" customWidth="1"/>
    <col min="7941" max="7941" width="7.42578125" style="54" customWidth="1"/>
    <col min="7942" max="7942" width="7.28515625" style="54" customWidth="1"/>
    <col min="7943" max="7943" width="9" style="54" customWidth="1"/>
    <col min="7944" max="7944" width="10.5703125" style="54" customWidth="1"/>
    <col min="7945" max="7945" width="14.42578125" style="54" customWidth="1"/>
    <col min="7946" max="8193" width="11" style="54"/>
    <col min="8194" max="8194" width="8.7109375" style="54" customWidth="1"/>
    <col min="8195" max="8195" width="9.28515625" style="54" customWidth="1"/>
    <col min="8196" max="8196" width="7.5703125" style="54" customWidth="1"/>
    <col min="8197" max="8197" width="7.42578125" style="54" customWidth="1"/>
    <col min="8198" max="8198" width="7.28515625" style="54" customWidth="1"/>
    <col min="8199" max="8199" width="9" style="54" customWidth="1"/>
    <col min="8200" max="8200" width="10.5703125" style="54" customWidth="1"/>
    <col min="8201" max="8201" width="14.42578125" style="54" customWidth="1"/>
    <col min="8202" max="8449" width="11" style="54"/>
    <col min="8450" max="8450" width="8.7109375" style="54" customWidth="1"/>
    <col min="8451" max="8451" width="9.28515625" style="54" customWidth="1"/>
    <col min="8452" max="8452" width="7.5703125" style="54" customWidth="1"/>
    <col min="8453" max="8453" width="7.42578125" style="54" customWidth="1"/>
    <col min="8454" max="8454" width="7.28515625" style="54" customWidth="1"/>
    <col min="8455" max="8455" width="9" style="54" customWidth="1"/>
    <col min="8456" max="8456" width="10.5703125" style="54" customWidth="1"/>
    <col min="8457" max="8457" width="14.42578125" style="54" customWidth="1"/>
    <col min="8458" max="8705" width="11" style="54"/>
    <col min="8706" max="8706" width="8.7109375" style="54" customWidth="1"/>
    <col min="8707" max="8707" width="9.28515625" style="54" customWidth="1"/>
    <col min="8708" max="8708" width="7.5703125" style="54" customWidth="1"/>
    <col min="8709" max="8709" width="7.42578125" style="54" customWidth="1"/>
    <col min="8710" max="8710" width="7.28515625" style="54" customWidth="1"/>
    <col min="8711" max="8711" width="9" style="54" customWidth="1"/>
    <col min="8712" max="8712" width="10.5703125" style="54" customWidth="1"/>
    <col min="8713" max="8713" width="14.42578125" style="54" customWidth="1"/>
    <col min="8714" max="8961" width="11" style="54"/>
    <col min="8962" max="8962" width="8.7109375" style="54" customWidth="1"/>
    <col min="8963" max="8963" width="9.28515625" style="54" customWidth="1"/>
    <col min="8964" max="8964" width="7.5703125" style="54" customWidth="1"/>
    <col min="8965" max="8965" width="7.42578125" style="54" customWidth="1"/>
    <col min="8966" max="8966" width="7.28515625" style="54" customWidth="1"/>
    <col min="8967" max="8967" width="9" style="54" customWidth="1"/>
    <col min="8968" max="8968" width="10.5703125" style="54" customWidth="1"/>
    <col min="8969" max="8969" width="14.42578125" style="54" customWidth="1"/>
    <col min="8970" max="9217" width="11" style="54"/>
    <col min="9218" max="9218" width="8.7109375" style="54" customWidth="1"/>
    <col min="9219" max="9219" width="9.28515625" style="54" customWidth="1"/>
    <col min="9220" max="9220" width="7.5703125" style="54" customWidth="1"/>
    <col min="9221" max="9221" width="7.42578125" style="54" customWidth="1"/>
    <col min="9222" max="9222" width="7.28515625" style="54" customWidth="1"/>
    <col min="9223" max="9223" width="9" style="54" customWidth="1"/>
    <col min="9224" max="9224" width="10.5703125" style="54" customWidth="1"/>
    <col min="9225" max="9225" width="14.42578125" style="54" customWidth="1"/>
    <col min="9226" max="9473" width="11" style="54"/>
    <col min="9474" max="9474" width="8.7109375" style="54" customWidth="1"/>
    <col min="9475" max="9475" width="9.28515625" style="54" customWidth="1"/>
    <col min="9476" max="9476" width="7.5703125" style="54" customWidth="1"/>
    <col min="9477" max="9477" width="7.42578125" style="54" customWidth="1"/>
    <col min="9478" max="9478" width="7.28515625" style="54" customWidth="1"/>
    <col min="9479" max="9479" width="9" style="54" customWidth="1"/>
    <col min="9480" max="9480" width="10.5703125" style="54" customWidth="1"/>
    <col min="9481" max="9481" width="14.42578125" style="54" customWidth="1"/>
    <col min="9482" max="9729" width="11" style="54"/>
    <col min="9730" max="9730" width="8.7109375" style="54" customWidth="1"/>
    <col min="9731" max="9731" width="9.28515625" style="54" customWidth="1"/>
    <col min="9732" max="9732" width="7.5703125" style="54" customWidth="1"/>
    <col min="9733" max="9733" width="7.42578125" style="54" customWidth="1"/>
    <col min="9734" max="9734" width="7.28515625" style="54" customWidth="1"/>
    <col min="9735" max="9735" width="9" style="54" customWidth="1"/>
    <col min="9736" max="9736" width="10.5703125" style="54" customWidth="1"/>
    <col min="9737" max="9737" width="14.42578125" style="54" customWidth="1"/>
    <col min="9738" max="9985" width="11" style="54"/>
    <col min="9986" max="9986" width="8.7109375" style="54" customWidth="1"/>
    <col min="9987" max="9987" width="9.28515625" style="54" customWidth="1"/>
    <col min="9988" max="9988" width="7.5703125" style="54" customWidth="1"/>
    <col min="9989" max="9989" width="7.42578125" style="54" customWidth="1"/>
    <col min="9990" max="9990" width="7.28515625" style="54" customWidth="1"/>
    <col min="9991" max="9991" width="9" style="54" customWidth="1"/>
    <col min="9992" max="9992" width="10.5703125" style="54" customWidth="1"/>
    <col min="9993" max="9993" width="14.42578125" style="54" customWidth="1"/>
    <col min="9994" max="10241" width="11" style="54"/>
    <col min="10242" max="10242" width="8.7109375" style="54" customWidth="1"/>
    <col min="10243" max="10243" width="9.28515625" style="54" customWidth="1"/>
    <col min="10244" max="10244" width="7.5703125" style="54" customWidth="1"/>
    <col min="10245" max="10245" width="7.42578125" style="54" customWidth="1"/>
    <col min="10246" max="10246" width="7.28515625" style="54" customWidth="1"/>
    <col min="10247" max="10247" width="9" style="54" customWidth="1"/>
    <col min="10248" max="10248" width="10.5703125" style="54" customWidth="1"/>
    <col min="10249" max="10249" width="14.42578125" style="54" customWidth="1"/>
    <col min="10250" max="10497" width="11" style="54"/>
    <col min="10498" max="10498" width="8.7109375" style="54" customWidth="1"/>
    <col min="10499" max="10499" width="9.28515625" style="54" customWidth="1"/>
    <col min="10500" max="10500" width="7.5703125" style="54" customWidth="1"/>
    <col min="10501" max="10501" width="7.42578125" style="54" customWidth="1"/>
    <col min="10502" max="10502" width="7.28515625" style="54" customWidth="1"/>
    <col min="10503" max="10503" width="9" style="54" customWidth="1"/>
    <col min="10504" max="10504" width="10.5703125" style="54" customWidth="1"/>
    <col min="10505" max="10505" width="14.42578125" style="54" customWidth="1"/>
    <col min="10506" max="10753" width="11" style="54"/>
    <col min="10754" max="10754" width="8.7109375" style="54" customWidth="1"/>
    <col min="10755" max="10755" width="9.28515625" style="54" customWidth="1"/>
    <col min="10756" max="10756" width="7.5703125" style="54" customWidth="1"/>
    <col min="10757" max="10757" width="7.42578125" style="54" customWidth="1"/>
    <col min="10758" max="10758" width="7.28515625" style="54" customWidth="1"/>
    <col min="10759" max="10759" width="9" style="54" customWidth="1"/>
    <col min="10760" max="10760" width="10.5703125" style="54" customWidth="1"/>
    <col min="10761" max="10761" width="14.42578125" style="54" customWidth="1"/>
    <col min="10762" max="11009" width="11" style="54"/>
    <col min="11010" max="11010" width="8.7109375" style="54" customWidth="1"/>
    <col min="11011" max="11011" width="9.28515625" style="54" customWidth="1"/>
    <col min="11012" max="11012" width="7.5703125" style="54" customWidth="1"/>
    <col min="11013" max="11013" width="7.42578125" style="54" customWidth="1"/>
    <col min="11014" max="11014" width="7.28515625" style="54" customWidth="1"/>
    <col min="11015" max="11015" width="9" style="54" customWidth="1"/>
    <col min="11016" max="11016" width="10.5703125" style="54" customWidth="1"/>
    <col min="11017" max="11017" width="14.42578125" style="54" customWidth="1"/>
    <col min="11018" max="11265" width="11" style="54"/>
    <col min="11266" max="11266" width="8.7109375" style="54" customWidth="1"/>
    <col min="11267" max="11267" width="9.28515625" style="54" customWidth="1"/>
    <col min="11268" max="11268" width="7.5703125" style="54" customWidth="1"/>
    <col min="11269" max="11269" width="7.42578125" style="54" customWidth="1"/>
    <col min="11270" max="11270" width="7.28515625" style="54" customWidth="1"/>
    <col min="11271" max="11271" width="9" style="54" customWidth="1"/>
    <col min="11272" max="11272" width="10.5703125" style="54" customWidth="1"/>
    <col min="11273" max="11273" width="14.42578125" style="54" customWidth="1"/>
    <col min="11274" max="11521" width="11" style="54"/>
    <col min="11522" max="11522" width="8.7109375" style="54" customWidth="1"/>
    <col min="11523" max="11523" width="9.28515625" style="54" customWidth="1"/>
    <col min="11524" max="11524" width="7.5703125" style="54" customWidth="1"/>
    <col min="11525" max="11525" width="7.42578125" style="54" customWidth="1"/>
    <col min="11526" max="11526" width="7.28515625" style="54" customWidth="1"/>
    <col min="11527" max="11527" width="9" style="54" customWidth="1"/>
    <col min="11528" max="11528" width="10.5703125" style="54" customWidth="1"/>
    <col min="11529" max="11529" width="14.42578125" style="54" customWidth="1"/>
    <col min="11530" max="11777" width="11" style="54"/>
    <col min="11778" max="11778" width="8.7109375" style="54" customWidth="1"/>
    <col min="11779" max="11779" width="9.28515625" style="54" customWidth="1"/>
    <col min="11780" max="11780" width="7.5703125" style="54" customWidth="1"/>
    <col min="11781" max="11781" width="7.42578125" style="54" customWidth="1"/>
    <col min="11782" max="11782" width="7.28515625" style="54" customWidth="1"/>
    <col min="11783" max="11783" width="9" style="54" customWidth="1"/>
    <col min="11784" max="11784" width="10.5703125" style="54" customWidth="1"/>
    <col min="11785" max="11785" width="14.42578125" style="54" customWidth="1"/>
    <col min="11786" max="12033" width="11" style="54"/>
    <col min="12034" max="12034" width="8.7109375" style="54" customWidth="1"/>
    <col min="12035" max="12035" width="9.28515625" style="54" customWidth="1"/>
    <col min="12036" max="12036" width="7.5703125" style="54" customWidth="1"/>
    <col min="12037" max="12037" width="7.42578125" style="54" customWidth="1"/>
    <col min="12038" max="12038" width="7.28515625" style="54" customWidth="1"/>
    <col min="12039" max="12039" width="9" style="54" customWidth="1"/>
    <col min="12040" max="12040" width="10.5703125" style="54" customWidth="1"/>
    <col min="12041" max="12041" width="14.42578125" style="54" customWidth="1"/>
    <col min="12042" max="12289" width="11" style="54"/>
    <col min="12290" max="12290" width="8.7109375" style="54" customWidth="1"/>
    <col min="12291" max="12291" width="9.28515625" style="54" customWidth="1"/>
    <col min="12292" max="12292" width="7.5703125" style="54" customWidth="1"/>
    <col min="12293" max="12293" width="7.42578125" style="54" customWidth="1"/>
    <col min="12294" max="12294" width="7.28515625" style="54" customWidth="1"/>
    <col min="12295" max="12295" width="9" style="54" customWidth="1"/>
    <col min="12296" max="12296" width="10.5703125" style="54" customWidth="1"/>
    <col min="12297" max="12297" width="14.42578125" style="54" customWidth="1"/>
    <col min="12298" max="12545" width="11" style="54"/>
    <col min="12546" max="12546" width="8.7109375" style="54" customWidth="1"/>
    <col min="12547" max="12547" width="9.28515625" style="54" customWidth="1"/>
    <col min="12548" max="12548" width="7.5703125" style="54" customWidth="1"/>
    <col min="12549" max="12549" width="7.42578125" style="54" customWidth="1"/>
    <col min="12550" max="12550" width="7.28515625" style="54" customWidth="1"/>
    <col min="12551" max="12551" width="9" style="54" customWidth="1"/>
    <col min="12552" max="12552" width="10.5703125" style="54" customWidth="1"/>
    <col min="12553" max="12553" width="14.42578125" style="54" customWidth="1"/>
    <col min="12554" max="12801" width="11" style="54"/>
    <col min="12802" max="12802" width="8.7109375" style="54" customWidth="1"/>
    <col min="12803" max="12803" width="9.28515625" style="54" customWidth="1"/>
    <col min="12804" max="12804" width="7.5703125" style="54" customWidth="1"/>
    <col min="12805" max="12805" width="7.42578125" style="54" customWidth="1"/>
    <col min="12806" max="12806" width="7.28515625" style="54" customWidth="1"/>
    <col min="12807" max="12807" width="9" style="54" customWidth="1"/>
    <col min="12808" max="12808" width="10.5703125" style="54" customWidth="1"/>
    <col min="12809" max="12809" width="14.42578125" style="54" customWidth="1"/>
    <col min="12810" max="13057" width="11" style="54"/>
    <col min="13058" max="13058" width="8.7109375" style="54" customWidth="1"/>
    <col min="13059" max="13059" width="9.28515625" style="54" customWidth="1"/>
    <col min="13060" max="13060" width="7.5703125" style="54" customWidth="1"/>
    <col min="13061" max="13061" width="7.42578125" style="54" customWidth="1"/>
    <col min="13062" max="13062" width="7.28515625" style="54" customWidth="1"/>
    <col min="13063" max="13063" width="9" style="54" customWidth="1"/>
    <col min="13064" max="13064" width="10.5703125" style="54" customWidth="1"/>
    <col min="13065" max="13065" width="14.42578125" style="54" customWidth="1"/>
    <col min="13066" max="13313" width="11" style="54"/>
    <col min="13314" max="13314" width="8.7109375" style="54" customWidth="1"/>
    <col min="13315" max="13315" width="9.28515625" style="54" customWidth="1"/>
    <col min="13316" max="13316" width="7.5703125" style="54" customWidth="1"/>
    <col min="13317" max="13317" width="7.42578125" style="54" customWidth="1"/>
    <col min="13318" max="13318" width="7.28515625" style="54" customWidth="1"/>
    <col min="13319" max="13319" width="9" style="54" customWidth="1"/>
    <col min="13320" max="13320" width="10.5703125" style="54" customWidth="1"/>
    <col min="13321" max="13321" width="14.42578125" style="54" customWidth="1"/>
    <col min="13322" max="13569" width="11" style="54"/>
    <col min="13570" max="13570" width="8.7109375" style="54" customWidth="1"/>
    <col min="13571" max="13571" width="9.28515625" style="54" customWidth="1"/>
    <col min="13572" max="13572" width="7.5703125" style="54" customWidth="1"/>
    <col min="13573" max="13573" width="7.42578125" style="54" customWidth="1"/>
    <col min="13574" max="13574" width="7.28515625" style="54" customWidth="1"/>
    <col min="13575" max="13575" width="9" style="54" customWidth="1"/>
    <col min="13576" max="13576" width="10.5703125" style="54" customWidth="1"/>
    <col min="13577" max="13577" width="14.42578125" style="54" customWidth="1"/>
    <col min="13578" max="13825" width="11" style="54"/>
    <col min="13826" max="13826" width="8.7109375" style="54" customWidth="1"/>
    <col min="13827" max="13827" width="9.28515625" style="54" customWidth="1"/>
    <col min="13828" max="13828" width="7.5703125" style="54" customWidth="1"/>
    <col min="13829" max="13829" width="7.42578125" style="54" customWidth="1"/>
    <col min="13830" max="13830" width="7.28515625" style="54" customWidth="1"/>
    <col min="13831" max="13831" width="9" style="54" customWidth="1"/>
    <col min="13832" max="13832" width="10.5703125" style="54" customWidth="1"/>
    <col min="13833" max="13833" width="14.42578125" style="54" customWidth="1"/>
    <col min="13834" max="14081" width="11" style="54"/>
    <col min="14082" max="14082" width="8.7109375" style="54" customWidth="1"/>
    <col min="14083" max="14083" width="9.28515625" style="54" customWidth="1"/>
    <col min="14084" max="14084" width="7.5703125" style="54" customWidth="1"/>
    <col min="14085" max="14085" width="7.42578125" style="54" customWidth="1"/>
    <col min="14086" max="14086" width="7.28515625" style="54" customWidth="1"/>
    <col min="14087" max="14087" width="9" style="54" customWidth="1"/>
    <col min="14088" max="14088" width="10.5703125" style="54" customWidth="1"/>
    <col min="14089" max="14089" width="14.42578125" style="54" customWidth="1"/>
    <col min="14090" max="14337" width="11" style="54"/>
    <col min="14338" max="14338" width="8.7109375" style="54" customWidth="1"/>
    <col min="14339" max="14339" width="9.28515625" style="54" customWidth="1"/>
    <col min="14340" max="14340" width="7.5703125" style="54" customWidth="1"/>
    <col min="14341" max="14341" width="7.42578125" style="54" customWidth="1"/>
    <col min="14342" max="14342" width="7.28515625" style="54" customWidth="1"/>
    <col min="14343" max="14343" width="9" style="54" customWidth="1"/>
    <col min="14344" max="14344" width="10.5703125" style="54" customWidth="1"/>
    <col min="14345" max="14345" width="14.42578125" style="54" customWidth="1"/>
    <col min="14346" max="14593" width="11" style="54"/>
    <col min="14594" max="14594" width="8.7109375" style="54" customWidth="1"/>
    <col min="14595" max="14595" width="9.28515625" style="54" customWidth="1"/>
    <col min="14596" max="14596" width="7.5703125" style="54" customWidth="1"/>
    <col min="14597" max="14597" width="7.42578125" style="54" customWidth="1"/>
    <col min="14598" max="14598" width="7.28515625" style="54" customWidth="1"/>
    <col min="14599" max="14599" width="9" style="54" customWidth="1"/>
    <col min="14600" max="14600" width="10.5703125" style="54" customWidth="1"/>
    <col min="14601" max="14601" width="14.42578125" style="54" customWidth="1"/>
    <col min="14602" max="14849" width="11" style="54"/>
    <col min="14850" max="14850" width="8.7109375" style="54" customWidth="1"/>
    <col min="14851" max="14851" width="9.28515625" style="54" customWidth="1"/>
    <col min="14852" max="14852" width="7.5703125" style="54" customWidth="1"/>
    <col min="14853" max="14853" width="7.42578125" style="54" customWidth="1"/>
    <col min="14854" max="14854" width="7.28515625" style="54" customWidth="1"/>
    <col min="14855" max="14855" width="9" style="54" customWidth="1"/>
    <col min="14856" max="14856" width="10.5703125" style="54" customWidth="1"/>
    <col min="14857" max="14857" width="14.42578125" style="54" customWidth="1"/>
    <col min="14858" max="15105" width="11" style="54"/>
    <col min="15106" max="15106" width="8.7109375" style="54" customWidth="1"/>
    <col min="15107" max="15107" width="9.28515625" style="54" customWidth="1"/>
    <col min="15108" max="15108" width="7.5703125" style="54" customWidth="1"/>
    <col min="15109" max="15109" width="7.42578125" style="54" customWidth="1"/>
    <col min="15110" max="15110" width="7.28515625" style="54" customWidth="1"/>
    <col min="15111" max="15111" width="9" style="54" customWidth="1"/>
    <col min="15112" max="15112" width="10.5703125" style="54" customWidth="1"/>
    <col min="15113" max="15113" width="14.42578125" style="54" customWidth="1"/>
    <col min="15114" max="15361" width="11" style="54"/>
    <col min="15362" max="15362" width="8.7109375" style="54" customWidth="1"/>
    <col min="15363" max="15363" width="9.28515625" style="54" customWidth="1"/>
    <col min="15364" max="15364" width="7.5703125" style="54" customWidth="1"/>
    <col min="15365" max="15365" width="7.42578125" style="54" customWidth="1"/>
    <col min="15366" max="15366" width="7.28515625" style="54" customWidth="1"/>
    <col min="15367" max="15367" width="9" style="54" customWidth="1"/>
    <col min="15368" max="15368" width="10.5703125" style="54" customWidth="1"/>
    <col min="15369" max="15369" width="14.42578125" style="54" customWidth="1"/>
    <col min="15370" max="15617" width="11" style="54"/>
    <col min="15618" max="15618" width="8.7109375" style="54" customWidth="1"/>
    <col min="15619" max="15619" width="9.28515625" style="54" customWidth="1"/>
    <col min="15620" max="15620" width="7.5703125" style="54" customWidth="1"/>
    <col min="15621" max="15621" width="7.42578125" style="54" customWidth="1"/>
    <col min="15622" max="15622" width="7.28515625" style="54" customWidth="1"/>
    <col min="15623" max="15623" width="9" style="54" customWidth="1"/>
    <col min="15624" max="15624" width="10.5703125" style="54" customWidth="1"/>
    <col min="15625" max="15625" width="14.42578125" style="54" customWidth="1"/>
    <col min="15626" max="15873" width="11" style="54"/>
    <col min="15874" max="15874" width="8.7109375" style="54" customWidth="1"/>
    <col min="15875" max="15875" width="9.28515625" style="54" customWidth="1"/>
    <col min="15876" max="15876" width="7.5703125" style="54" customWidth="1"/>
    <col min="15877" max="15877" width="7.42578125" style="54" customWidth="1"/>
    <col min="15878" max="15878" width="7.28515625" style="54" customWidth="1"/>
    <col min="15879" max="15879" width="9" style="54" customWidth="1"/>
    <col min="15880" max="15880" width="10.5703125" style="54" customWidth="1"/>
    <col min="15881" max="15881" width="14.42578125" style="54" customWidth="1"/>
    <col min="15882" max="16129" width="11" style="54"/>
    <col min="16130" max="16130" width="8.7109375" style="54" customWidth="1"/>
    <col min="16131" max="16131" width="9.28515625" style="54" customWidth="1"/>
    <col min="16132" max="16132" width="7.5703125" style="54" customWidth="1"/>
    <col min="16133" max="16133" width="7.42578125" style="54" customWidth="1"/>
    <col min="16134" max="16134" width="7.28515625" style="54" customWidth="1"/>
    <col min="16135" max="16135" width="9" style="54" customWidth="1"/>
    <col min="16136" max="16136" width="10.5703125" style="54" customWidth="1"/>
    <col min="16137" max="16137" width="14.42578125" style="54" customWidth="1"/>
    <col min="16138" max="16384" width="11" style="54"/>
  </cols>
  <sheetData>
    <row r="1" spans="1:18">
      <c r="A1" s="54" t="s">
        <v>0</v>
      </c>
      <c r="B1" s="54" t="s">
        <v>131</v>
      </c>
    </row>
    <row r="2" spans="1:18">
      <c r="B2" s="54" t="s">
        <v>132</v>
      </c>
    </row>
    <row r="3" spans="1:18">
      <c r="A3" s="92" t="s">
        <v>4</v>
      </c>
      <c r="B3" s="92"/>
      <c r="C3" s="92"/>
      <c r="D3" s="93" t="s">
        <v>5</v>
      </c>
      <c r="E3" s="93" t="s">
        <v>6</v>
      </c>
      <c r="F3" s="93" t="s">
        <v>7</v>
      </c>
      <c r="G3" s="93" t="s">
        <v>8</v>
      </c>
      <c r="H3" s="93" t="s">
        <v>9</v>
      </c>
      <c r="I3" s="93" t="s">
        <v>10</v>
      </c>
      <c r="J3" s="93" t="s">
        <v>11</v>
      </c>
      <c r="K3" s="93" t="s">
        <v>12</v>
      </c>
      <c r="L3" s="94" t="s">
        <v>13</v>
      </c>
      <c r="M3" s="93"/>
    </row>
    <row r="4" spans="1:18">
      <c r="A4" s="51"/>
      <c r="B4" s="51"/>
      <c r="C4" s="51"/>
      <c r="D4" s="52" t="s">
        <v>14</v>
      </c>
      <c r="E4" s="52" t="s">
        <v>15</v>
      </c>
      <c r="F4" s="52" t="s">
        <v>15</v>
      </c>
      <c r="G4" s="52" t="s">
        <v>16</v>
      </c>
      <c r="H4" s="52" t="s">
        <v>17</v>
      </c>
      <c r="I4" s="52" t="s">
        <v>18</v>
      </c>
      <c r="J4" s="52" t="s">
        <v>17</v>
      </c>
      <c r="K4" s="52" t="s">
        <v>17</v>
      </c>
      <c r="L4" s="52" t="s">
        <v>10</v>
      </c>
      <c r="M4" s="52" t="s">
        <v>11</v>
      </c>
    </row>
    <row r="5" spans="1:18">
      <c r="A5" s="51"/>
      <c r="B5" s="51"/>
      <c r="C5" s="51"/>
      <c r="D5" s="52" t="s">
        <v>19</v>
      </c>
      <c r="E5" s="52"/>
      <c r="F5" s="52"/>
      <c r="G5" s="52"/>
      <c r="H5" s="52" t="s">
        <v>20</v>
      </c>
      <c r="I5" s="52" t="s">
        <v>17</v>
      </c>
      <c r="J5" s="52" t="s">
        <v>20</v>
      </c>
      <c r="K5" s="52" t="s">
        <v>20</v>
      </c>
      <c r="L5" s="52"/>
      <c r="M5" s="52"/>
    </row>
    <row r="6" spans="1:18">
      <c r="A6" s="96"/>
      <c r="B6" s="96"/>
      <c r="C6" s="96"/>
      <c r="D6" s="97"/>
      <c r="E6" s="97"/>
      <c r="F6" s="97"/>
      <c r="G6" s="97"/>
      <c r="H6" s="97"/>
      <c r="I6" s="97" t="s">
        <v>20</v>
      </c>
      <c r="J6" s="97"/>
      <c r="K6" s="97"/>
      <c r="L6" s="97"/>
      <c r="M6" s="97"/>
    </row>
    <row r="7" spans="1:18">
      <c r="A7" s="54" t="s">
        <v>133</v>
      </c>
      <c r="D7" s="122">
        <v>100</v>
      </c>
      <c r="E7" s="99">
        <v>0.62</v>
      </c>
      <c r="F7" s="99">
        <v>0.62</v>
      </c>
      <c r="G7" s="100">
        <v>1084</v>
      </c>
      <c r="H7" s="99">
        <v>672</v>
      </c>
      <c r="I7" s="14">
        <v>5089</v>
      </c>
      <c r="J7" s="99">
        <v>0</v>
      </c>
      <c r="K7" s="99">
        <f>H7+I7+J7</f>
        <v>5761</v>
      </c>
      <c r="L7" s="99"/>
      <c r="M7" s="99"/>
      <c r="O7" s="1"/>
      <c r="P7" s="1"/>
      <c r="Q7" s="14"/>
      <c r="R7" s="14"/>
    </row>
    <row r="8" spans="1:18">
      <c r="A8" s="54" t="s">
        <v>134</v>
      </c>
      <c r="D8" s="122">
        <v>100</v>
      </c>
      <c r="E8" s="99">
        <v>0.32</v>
      </c>
      <c r="F8" s="99">
        <v>0.32</v>
      </c>
      <c r="G8" s="100">
        <v>1200</v>
      </c>
      <c r="H8" s="99">
        <f t="shared" ref="H8:H10" si="0">SUM(E8*G8)</f>
        <v>384</v>
      </c>
      <c r="I8" s="99"/>
      <c r="J8" s="123">
        <f>E19*G19</f>
        <v>1242</v>
      </c>
      <c r="K8" s="99">
        <f t="shared" ref="K8:K10" si="1">H8+I8+J8</f>
        <v>1626</v>
      </c>
      <c r="L8" s="99">
        <v>0</v>
      </c>
      <c r="M8" s="99">
        <v>558</v>
      </c>
      <c r="O8" s="1"/>
      <c r="P8" s="1"/>
      <c r="Q8" s="14"/>
      <c r="R8" s="14"/>
    </row>
    <row r="9" spans="1:18">
      <c r="A9" s="54" t="s">
        <v>135</v>
      </c>
      <c r="D9" s="122">
        <v>100</v>
      </c>
      <c r="E9" s="99">
        <v>6.54</v>
      </c>
      <c r="F9" s="99">
        <v>2.78</v>
      </c>
      <c r="G9" s="100">
        <v>1177</v>
      </c>
      <c r="H9" s="99">
        <v>7697</v>
      </c>
      <c r="I9" s="99"/>
      <c r="J9" s="99"/>
      <c r="K9" s="99">
        <f t="shared" si="1"/>
        <v>7697</v>
      </c>
      <c r="L9" s="99"/>
      <c r="M9" s="99"/>
      <c r="O9" s="1"/>
      <c r="P9" s="1"/>
      <c r="Q9" s="14"/>
      <c r="R9" s="14"/>
    </row>
    <row r="10" spans="1:18">
      <c r="A10" s="54" t="s">
        <v>136</v>
      </c>
      <c r="D10" s="98">
        <v>100</v>
      </c>
      <c r="E10" s="99">
        <v>3</v>
      </c>
      <c r="F10" s="99">
        <v>1</v>
      </c>
      <c r="G10" s="100">
        <v>1074</v>
      </c>
      <c r="H10" s="99">
        <f t="shared" si="0"/>
        <v>3222</v>
      </c>
      <c r="I10" s="99"/>
      <c r="J10" s="99"/>
      <c r="K10" s="99">
        <f t="shared" si="1"/>
        <v>3222</v>
      </c>
      <c r="L10" s="99"/>
      <c r="M10" s="99"/>
      <c r="O10" s="1"/>
      <c r="P10" s="1"/>
      <c r="Q10" s="14"/>
      <c r="R10" s="14"/>
    </row>
    <row r="11" spans="1:18">
      <c r="A11" s="92" t="s">
        <v>137</v>
      </c>
      <c r="B11" s="92"/>
      <c r="C11" s="92"/>
      <c r="D11" s="103"/>
      <c r="E11" s="104">
        <f>SUM(E7:E10)</f>
        <v>10.48</v>
      </c>
      <c r="F11" s="104">
        <f>SUM(F7:F10)</f>
        <v>4.72</v>
      </c>
      <c r="G11" s="104"/>
      <c r="H11" s="104">
        <f>SUM(H7:H10)</f>
        <v>11975</v>
      </c>
      <c r="I11" s="104">
        <f>SUM(I7:I10)</f>
        <v>5089</v>
      </c>
      <c r="J11" s="104">
        <f>SUM(J7:J10)</f>
        <v>1242</v>
      </c>
      <c r="K11" s="104">
        <f>SUM(H11:J11)</f>
        <v>18306</v>
      </c>
      <c r="L11" s="104">
        <f>SUM(L7:L10)</f>
        <v>0</v>
      </c>
      <c r="M11" s="104">
        <f>SUM(M7:M10)</f>
        <v>558</v>
      </c>
      <c r="O11" s="1"/>
      <c r="P11" s="1"/>
      <c r="Q11" s="1"/>
      <c r="R11" s="1"/>
    </row>
    <row r="12" spans="1:18">
      <c r="A12" s="96" t="s">
        <v>138</v>
      </c>
      <c r="B12" s="96"/>
      <c r="C12" s="96"/>
      <c r="D12" s="105"/>
      <c r="E12" s="106">
        <f>SUM(E11-F11)</f>
        <v>5.7600000000000007</v>
      </c>
      <c r="F12" s="106"/>
      <c r="G12" s="106"/>
      <c r="H12" s="106">
        <f>E23*G23</f>
        <v>6534</v>
      </c>
      <c r="I12" s="106">
        <f>I11-L11</f>
        <v>5089</v>
      </c>
      <c r="J12" s="106">
        <f>J11-M11</f>
        <v>684</v>
      </c>
      <c r="K12" s="106">
        <f>SUM(H12:J12)</f>
        <v>12307</v>
      </c>
      <c r="L12" s="96"/>
      <c r="M12" s="96"/>
    </row>
    <row r="14" spans="1:18">
      <c r="C14" s="54" t="s">
        <v>44</v>
      </c>
    </row>
    <row r="16" spans="1:18">
      <c r="A16" s="54" t="s">
        <v>45</v>
      </c>
    </row>
    <row r="17" spans="1:11">
      <c r="A17" s="108" t="s">
        <v>46</v>
      </c>
      <c r="B17" s="108"/>
      <c r="C17" s="108"/>
      <c r="D17" s="108" t="s">
        <v>47</v>
      </c>
      <c r="E17" s="108" t="s">
        <v>48</v>
      </c>
      <c r="F17" s="108"/>
      <c r="G17" s="108" t="s">
        <v>49</v>
      </c>
    </row>
    <row r="18" spans="1:11">
      <c r="A18" s="54" t="s">
        <v>52</v>
      </c>
      <c r="J18" s="124" t="s">
        <v>50</v>
      </c>
      <c r="K18" s="125"/>
    </row>
    <row r="19" spans="1:11">
      <c r="A19" s="54" t="s">
        <v>134</v>
      </c>
      <c r="D19" s="54" t="s">
        <v>55</v>
      </c>
      <c r="E19" s="99">
        <v>6.9</v>
      </c>
      <c r="G19" s="99">
        <v>180</v>
      </c>
      <c r="J19" s="125" t="s">
        <v>139</v>
      </c>
      <c r="K19" s="126">
        <v>1</v>
      </c>
    </row>
    <row r="20" spans="1:11">
      <c r="J20" s="127"/>
      <c r="K20" s="128"/>
    </row>
    <row r="21" spans="1:11">
      <c r="J21" s="127"/>
      <c r="K21" s="128"/>
    </row>
    <row r="22" spans="1:11">
      <c r="A22" s="54" t="s">
        <v>57</v>
      </c>
      <c r="J22" s="129"/>
      <c r="K22" s="129"/>
    </row>
    <row r="23" spans="1:11">
      <c r="A23" s="54" t="s">
        <v>58</v>
      </c>
      <c r="D23" s="54" t="s">
        <v>59</v>
      </c>
      <c r="E23" s="99">
        <v>6</v>
      </c>
      <c r="F23" s="99"/>
      <c r="G23" s="99">
        <v>1089</v>
      </c>
      <c r="I23" s="129"/>
      <c r="J23" s="129"/>
      <c r="K23" s="129"/>
    </row>
    <row r="24" spans="1:11">
      <c r="A24" s="54" t="s">
        <v>61</v>
      </c>
      <c r="D24" s="54" t="s">
        <v>59</v>
      </c>
      <c r="E24" s="99">
        <v>5</v>
      </c>
      <c r="F24" s="99"/>
      <c r="G24" s="99"/>
      <c r="I24" s="129"/>
      <c r="J24" s="130" t="s">
        <v>60</v>
      </c>
      <c r="K24" s="131">
        <v>2.06</v>
      </c>
    </row>
    <row r="25" spans="1:11">
      <c r="A25" s="54" t="s">
        <v>6</v>
      </c>
      <c r="E25" s="99">
        <f>SUM(E23:E24)</f>
        <v>11</v>
      </c>
      <c r="F25" s="99"/>
      <c r="G25" s="99"/>
      <c r="I25" s="129"/>
      <c r="J25" s="130" t="s">
        <v>62</v>
      </c>
      <c r="K25" s="131">
        <v>2</v>
      </c>
    </row>
    <row r="26" spans="1:11">
      <c r="I26" s="129"/>
      <c r="J26" s="129"/>
      <c r="K26" s="129"/>
    </row>
    <row r="27" spans="1:11">
      <c r="A27" s="92" t="s">
        <v>68</v>
      </c>
      <c r="B27" s="92"/>
      <c r="C27" s="92"/>
      <c r="D27" s="92"/>
      <c r="E27" s="92"/>
      <c r="F27" s="92"/>
      <c r="G27" s="92"/>
      <c r="I27" s="54" t="s">
        <v>140</v>
      </c>
    </row>
    <row r="28" spans="1:11">
      <c r="A28" s="51" t="s">
        <v>141</v>
      </c>
      <c r="B28" s="51"/>
      <c r="C28" s="51"/>
      <c r="D28" s="51"/>
      <c r="E28" s="51"/>
      <c r="F28" s="51"/>
      <c r="G28" s="132">
        <v>209</v>
      </c>
      <c r="H28" s="133" t="s">
        <v>142</v>
      </c>
      <c r="I28" s="119">
        <f>G28*2.471</f>
        <v>516.43899999999996</v>
      </c>
    </row>
    <row r="29" spans="1:11">
      <c r="A29" s="51" t="s">
        <v>72</v>
      </c>
      <c r="B29" s="51"/>
      <c r="C29" s="51"/>
      <c r="D29" s="51"/>
      <c r="E29" s="51"/>
      <c r="F29" s="51"/>
      <c r="G29" s="134">
        <v>137</v>
      </c>
      <c r="I29" s="119"/>
    </row>
    <row r="30" spans="1:11">
      <c r="A30" s="51" t="s">
        <v>143</v>
      </c>
      <c r="B30" s="51"/>
      <c r="C30" s="51"/>
      <c r="D30" s="51"/>
      <c r="E30" s="51"/>
      <c r="F30" s="51"/>
      <c r="G30" s="134">
        <f>SUM(G28*G29)</f>
        <v>28633</v>
      </c>
      <c r="I30" s="119">
        <f t="shared" ref="I30:I32" si="2">G30*2.471</f>
        <v>70752.142999999996</v>
      </c>
    </row>
    <row r="31" spans="1:11">
      <c r="A31" s="51" t="s">
        <v>144</v>
      </c>
      <c r="B31" s="51"/>
      <c r="C31" s="51"/>
      <c r="D31" s="51"/>
      <c r="E31" s="51"/>
      <c r="F31" s="51"/>
      <c r="G31" s="134">
        <f>SUM(G30-K11)</f>
        <v>10327</v>
      </c>
      <c r="I31" s="119">
        <f t="shared" si="2"/>
        <v>25518.017</v>
      </c>
    </row>
    <row r="32" spans="1:11">
      <c r="A32" s="51" t="s">
        <v>145</v>
      </c>
      <c r="B32" s="51"/>
      <c r="C32" s="51"/>
      <c r="D32" s="51"/>
      <c r="E32" s="51"/>
      <c r="F32" s="51"/>
      <c r="G32" s="134">
        <f>SUM(G30-K12)</f>
        <v>16326</v>
      </c>
      <c r="I32" s="119">
        <f t="shared" si="2"/>
        <v>40341.546000000002</v>
      </c>
    </row>
    <row r="33" spans="1:7">
      <c r="A33" s="51"/>
      <c r="B33" s="51"/>
      <c r="C33" s="51"/>
      <c r="D33" s="51"/>
      <c r="E33" s="51"/>
      <c r="F33" s="51"/>
      <c r="G33" s="120"/>
    </row>
    <row r="34" spans="1:7">
      <c r="A34" s="51" t="s">
        <v>146</v>
      </c>
      <c r="B34" s="51"/>
      <c r="C34" s="51"/>
      <c r="D34" s="51"/>
      <c r="E34" s="51"/>
      <c r="F34" s="51"/>
      <c r="G34" s="120">
        <f>SUM(K11/G28)</f>
        <v>87.588516746411486</v>
      </c>
    </row>
    <row r="35" spans="1:7">
      <c r="A35" s="96" t="s">
        <v>147</v>
      </c>
      <c r="B35" s="96"/>
      <c r="C35" s="96"/>
      <c r="D35" s="96"/>
      <c r="E35" s="96"/>
      <c r="F35" s="96"/>
      <c r="G35" s="121">
        <f>SUM(K12/G28)</f>
        <v>58.885167464114829</v>
      </c>
    </row>
    <row r="37" spans="1:7">
      <c r="A37" s="135" t="s">
        <v>148</v>
      </c>
      <c r="B37" s="136" t="s">
        <v>149</v>
      </c>
      <c r="C37" s="136"/>
      <c r="D37" s="136"/>
      <c r="E37" s="136"/>
    </row>
    <row r="46" spans="1:7">
      <c r="G46" s="54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49"/>
  <sheetViews>
    <sheetView workbookViewId="0">
      <selection activeCell="M40" sqref="M40"/>
    </sheetView>
  </sheetViews>
  <sheetFormatPr defaultColWidth="11" defaultRowHeight="12.75"/>
  <cols>
    <col min="1" max="1" width="11" style="38"/>
    <col min="2" max="2" width="8.7109375" style="38" customWidth="1"/>
    <col min="3" max="3" width="8.85546875" style="38" customWidth="1"/>
    <col min="4" max="4" width="5.140625" style="38" customWidth="1"/>
    <col min="5" max="5" width="7.7109375" style="38" customWidth="1"/>
    <col min="6" max="6" width="4.140625" style="38" customWidth="1"/>
    <col min="7" max="7" width="10.140625" style="38" customWidth="1"/>
    <col min="8" max="8" width="8.28515625" style="38" customWidth="1"/>
    <col min="9" max="9" width="6.85546875" style="38" customWidth="1"/>
    <col min="10" max="10" width="8.28515625" style="38" customWidth="1"/>
    <col min="11" max="11" width="8.42578125" style="38" customWidth="1"/>
    <col min="12" max="12" width="7.42578125" style="38" customWidth="1"/>
    <col min="13" max="13" width="6" style="38" customWidth="1"/>
    <col min="14" max="15" width="11" style="38"/>
    <col min="16" max="16" width="1.7109375" style="38" customWidth="1"/>
    <col min="17" max="17" width="6.42578125" style="38" customWidth="1"/>
    <col min="18" max="18" width="6" style="38" customWidth="1"/>
    <col min="19" max="254" width="11" style="38"/>
    <col min="255" max="255" width="8.7109375" style="38" customWidth="1"/>
    <col min="256" max="256" width="9.28515625" style="38" customWidth="1"/>
    <col min="257" max="257" width="7.5703125" style="38" customWidth="1"/>
    <col min="258" max="258" width="7.42578125" style="38" customWidth="1"/>
    <col min="259" max="259" width="7.28515625" style="38" customWidth="1"/>
    <col min="260" max="260" width="9" style="38" customWidth="1"/>
    <col min="261" max="261" width="10.5703125" style="38" customWidth="1"/>
    <col min="262" max="262" width="14.42578125" style="38" customWidth="1"/>
    <col min="263" max="510" width="11" style="38"/>
    <col min="511" max="511" width="8.7109375" style="38" customWidth="1"/>
    <col min="512" max="512" width="9.28515625" style="38" customWidth="1"/>
    <col min="513" max="513" width="7.5703125" style="38" customWidth="1"/>
    <col min="514" max="514" width="7.42578125" style="38" customWidth="1"/>
    <col min="515" max="515" width="7.28515625" style="38" customWidth="1"/>
    <col min="516" max="516" width="9" style="38" customWidth="1"/>
    <col min="517" max="517" width="10.5703125" style="38" customWidth="1"/>
    <col min="518" max="518" width="14.42578125" style="38" customWidth="1"/>
    <col min="519" max="766" width="11" style="38"/>
    <col min="767" max="767" width="8.7109375" style="38" customWidth="1"/>
    <col min="768" max="768" width="9.28515625" style="38" customWidth="1"/>
    <col min="769" max="769" width="7.5703125" style="38" customWidth="1"/>
    <col min="770" max="770" width="7.42578125" style="38" customWidth="1"/>
    <col min="771" max="771" width="7.28515625" style="38" customWidth="1"/>
    <col min="772" max="772" width="9" style="38" customWidth="1"/>
    <col min="773" max="773" width="10.5703125" style="38" customWidth="1"/>
    <col min="774" max="774" width="14.42578125" style="38" customWidth="1"/>
    <col min="775" max="1022" width="11" style="38"/>
    <col min="1023" max="1023" width="8.7109375" style="38" customWidth="1"/>
    <col min="1024" max="1024" width="9.28515625" style="38" customWidth="1"/>
    <col min="1025" max="1025" width="7.5703125" style="38" customWidth="1"/>
    <col min="1026" max="1026" width="7.42578125" style="38" customWidth="1"/>
    <col min="1027" max="1027" width="7.28515625" style="38" customWidth="1"/>
    <col min="1028" max="1028" width="9" style="38" customWidth="1"/>
    <col min="1029" max="1029" width="10.5703125" style="38" customWidth="1"/>
    <col min="1030" max="1030" width="14.42578125" style="38" customWidth="1"/>
    <col min="1031" max="1278" width="11" style="38"/>
    <col min="1279" max="1279" width="8.7109375" style="38" customWidth="1"/>
    <col min="1280" max="1280" width="9.28515625" style="38" customWidth="1"/>
    <col min="1281" max="1281" width="7.5703125" style="38" customWidth="1"/>
    <col min="1282" max="1282" width="7.42578125" style="38" customWidth="1"/>
    <col min="1283" max="1283" width="7.28515625" style="38" customWidth="1"/>
    <col min="1284" max="1284" width="9" style="38" customWidth="1"/>
    <col min="1285" max="1285" width="10.5703125" style="38" customWidth="1"/>
    <col min="1286" max="1286" width="14.42578125" style="38" customWidth="1"/>
    <col min="1287" max="1534" width="11" style="38"/>
    <col min="1535" max="1535" width="8.7109375" style="38" customWidth="1"/>
    <col min="1536" max="1536" width="9.28515625" style="38" customWidth="1"/>
    <col min="1537" max="1537" width="7.5703125" style="38" customWidth="1"/>
    <col min="1538" max="1538" width="7.42578125" style="38" customWidth="1"/>
    <col min="1539" max="1539" width="7.28515625" style="38" customWidth="1"/>
    <col min="1540" max="1540" width="9" style="38" customWidth="1"/>
    <col min="1541" max="1541" width="10.5703125" style="38" customWidth="1"/>
    <col min="1542" max="1542" width="14.42578125" style="38" customWidth="1"/>
    <col min="1543" max="1790" width="11" style="38"/>
    <col min="1791" max="1791" width="8.7109375" style="38" customWidth="1"/>
    <col min="1792" max="1792" width="9.28515625" style="38" customWidth="1"/>
    <col min="1793" max="1793" width="7.5703125" style="38" customWidth="1"/>
    <col min="1794" max="1794" width="7.42578125" style="38" customWidth="1"/>
    <col min="1795" max="1795" width="7.28515625" style="38" customWidth="1"/>
    <col min="1796" max="1796" width="9" style="38" customWidth="1"/>
    <col min="1797" max="1797" width="10.5703125" style="38" customWidth="1"/>
    <col min="1798" max="1798" width="14.42578125" style="38" customWidth="1"/>
    <col min="1799" max="2046" width="11" style="38"/>
    <col min="2047" max="2047" width="8.7109375" style="38" customWidth="1"/>
    <col min="2048" max="2048" width="9.28515625" style="38" customWidth="1"/>
    <col min="2049" max="2049" width="7.5703125" style="38" customWidth="1"/>
    <col min="2050" max="2050" width="7.42578125" style="38" customWidth="1"/>
    <col min="2051" max="2051" width="7.28515625" style="38" customWidth="1"/>
    <col min="2052" max="2052" width="9" style="38" customWidth="1"/>
    <col min="2053" max="2053" width="10.5703125" style="38" customWidth="1"/>
    <col min="2054" max="2054" width="14.42578125" style="38" customWidth="1"/>
    <col min="2055" max="2302" width="11" style="38"/>
    <col min="2303" max="2303" width="8.7109375" style="38" customWidth="1"/>
    <col min="2304" max="2304" width="9.28515625" style="38" customWidth="1"/>
    <col min="2305" max="2305" width="7.5703125" style="38" customWidth="1"/>
    <col min="2306" max="2306" width="7.42578125" style="38" customWidth="1"/>
    <col min="2307" max="2307" width="7.28515625" style="38" customWidth="1"/>
    <col min="2308" max="2308" width="9" style="38" customWidth="1"/>
    <col min="2309" max="2309" width="10.5703125" style="38" customWidth="1"/>
    <col min="2310" max="2310" width="14.42578125" style="38" customWidth="1"/>
    <col min="2311" max="2558" width="11" style="38"/>
    <col min="2559" max="2559" width="8.7109375" style="38" customWidth="1"/>
    <col min="2560" max="2560" width="9.28515625" style="38" customWidth="1"/>
    <col min="2561" max="2561" width="7.5703125" style="38" customWidth="1"/>
    <col min="2562" max="2562" width="7.42578125" style="38" customWidth="1"/>
    <col min="2563" max="2563" width="7.28515625" style="38" customWidth="1"/>
    <col min="2564" max="2564" width="9" style="38" customWidth="1"/>
    <col min="2565" max="2565" width="10.5703125" style="38" customWidth="1"/>
    <col min="2566" max="2566" width="14.42578125" style="38" customWidth="1"/>
    <col min="2567" max="2814" width="11" style="38"/>
    <col min="2815" max="2815" width="8.7109375" style="38" customWidth="1"/>
    <col min="2816" max="2816" width="9.28515625" style="38" customWidth="1"/>
    <col min="2817" max="2817" width="7.5703125" style="38" customWidth="1"/>
    <col min="2818" max="2818" width="7.42578125" style="38" customWidth="1"/>
    <col min="2819" max="2819" width="7.28515625" style="38" customWidth="1"/>
    <col min="2820" max="2820" width="9" style="38" customWidth="1"/>
    <col min="2821" max="2821" width="10.5703125" style="38" customWidth="1"/>
    <col min="2822" max="2822" width="14.42578125" style="38" customWidth="1"/>
    <col min="2823" max="3070" width="11" style="38"/>
    <col min="3071" max="3071" width="8.7109375" style="38" customWidth="1"/>
    <col min="3072" max="3072" width="9.28515625" style="38" customWidth="1"/>
    <col min="3073" max="3073" width="7.5703125" style="38" customWidth="1"/>
    <col min="3074" max="3074" width="7.42578125" style="38" customWidth="1"/>
    <col min="3075" max="3075" width="7.28515625" style="38" customWidth="1"/>
    <col min="3076" max="3076" width="9" style="38" customWidth="1"/>
    <col min="3077" max="3077" width="10.5703125" style="38" customWidth="1"/>
    <col min="3078" max="3078" width="14.42578125" style="38" customWidth="1"/>
    <col min="3079" max="3326" width="11" style="38"/>
    <col min="3327" max="3327" width="8.7109375" style="38" customWidth="1"/>
    <col min="3328" max="3328" width="9.28515625" style="38" customWidth="1"/>
    <col min="3329" max="3329" width="7.5703125" style="38" customWidth="1"/>
    <col min="3330" max="3330" width="7.42578125" style="38" customWidth="1"/>
    <col min="3331" max="3331" width="7.28515625" style="38" customWidth="1"/>
    <col min="3332" max="3332" width="9" style="38" customWidth="1"/>
    <col min="3333" max="3333" width="10.5703125" style="38" customWidth="1"/>
    <col min="3334" max="3334" width="14.42578125" style="38" customWidth="1"/>
    <col min="3335" max="3582" width="11" style="38"/>
    <col min="3583" max="3583" width="8.7109375" style="38" customWidth="1"/>
    <col min="3584" max="3584" width="9.28515625" style="38" customWidth="1"/>
    <col min="3585" max="3585" width="7.5703125" style="38" customWidth="1"/>
    <col min="3586" max="3586" width="7.42578125" style="38" customWidth="1"/>
    <col min="3587" max="3587" width="7.28515625" style="38" customWidth="1"/>
    <col min="3588" max="3588" width="9" style="38" customWidth="1"/>
    <col min="3589" max="3589" width="10.5703125" style="38" customWidth="1"/>
    <col min="3590" max="3590" width="14.42578125" style="38" customWidth="1"/>
    <col min="3591" max="3838" width="11" style="38"/>
    <col min="3839" max="3839" width="8.7109375" style="38" customWidth="1"/>
    <col min="3840" max="3840" width="9.28515625" style="38" customWidth="1"/>
    <col min="3841" max="3841" width="7.5703125" style="38" customWidth="1"/>
    <col min="3842" max="3842" width="7.42578125" style="38" customWidth="1"/>
    <col min="3843" max="3843" width="7.28515625" style="38" customWidth="1"/>
    <col min="3844" max="3844" width="9" style="38" customWidth="1"/>
    <col min="3845" max="3845" width="10.5703125" style="38" customWidth="1"/>
    <col min="3846" max="3846" width="14.42578125" style="38" customWidth="1"/>
    <col min="3847" max="4094" width="11" style="38"/>
    <col min="4095" max="4095" width="8.7109375" style="38" customWidth="1"/>
    <col min="4096" max="4096" width="9.28515625" style="38" customWidth="1"/>
    <col min="4097" max="4097" width="7.5703125" style="38" customWidth="1"/>
    <col min="4098" max="4098" width="7.42578125" style="38" customWidth="1"/>
    <col min="4099" max="4099" width="7.28515625" style="38" customWidth="1"/>
    <col min="4100" max="4100" width="9" style="38" customWidth="1"/>
    <col min="4101" max="4101" width="10.5703125" style="38" customWidth="1"/>
    <col min="4102" max="4102" width="14.42578125" style="38" customWidth="1"/>
    <col min="4103" max="4350" width="11" style="38"/>
    <col min="4351" max="4351" width="8.7109375" style="38" customWidth="1"/>
    <col min="4352" max="4352" width="9.28515625" style="38" customWidth="1"/>
    <col min="4353" max="4353" width="7.5703125" style="38" customWidth="1"/>
    <col min="4354" max="4354" width="7.42578125" style="38" customWidth="1"/>
    <col min="4355" max="4355" width="7.28515625" style="38" customWidth="1"/>
    <col min="4356" max="4356" width="9" style="38" customWidth="1"/>
    <col min="4357" max="4357" width="10.5703125" style="38" customWidth="1"/>
    <col min="4358" max="4358" width="14.42578125" style="38" customWidth="1"/>
    <col min="4359" max="4606" width="11" style="38"/>
    <col min="4607" max="4607" width="8.7109375" style="38" customWidth="1"/>
    <col min="4608" max="4608" width="9.28515625" style="38" customWidth="1"/>
    <col min="4609" max="4609" width="7.5703125" style="38" customWidth="1"/>
    <col min="4610" max="4610" width="7.42578125" style="38" customWidth="1"/>
    <col min="4611" max="4611" width="7.28515625" style="38" customWidth="1"/>
    <col min="4612" max="4612" width="9" style="38" customWidth="1"/>
    <col min="4613" max="4613" width="10.5703125" style="38" customWidth="1"/>
    <col min="4614" max="4614" width="14.42578125" style="38" customWidth="1"/>
    <col min="4615" max="4862" width="11" style="38"/>
    <col min="4863" max="4863" width="8.7109375" style="38" customWidth="1"/>
    <col min="4864" max="4864" width="9.28515625" style="38" customWidth="1"/>
    <col min="4865" max="4865" width="7.5703125" style="38" customWidth="1"/>
    <col min="4866" max="4866" width="7.42578125" style="38" customWidth="1"/>
    <col min="4867" max="4867" width="7.28515625" style="38" customWidth="1"/>
    <col min="4868" max="4868" width="9" style="38" customWidth="1"/>
    <col min="4869" max="4869" width="10.5703125" style="38" customWidth="1"/>
    <col min="4870" max="4870" width="14.42578125" style="38" customWidth="1"/>
    <col min="4871" max="5118" width="11" style="38"/>
    <col min="5119" max="5119" width="8.7109375" style="38" customWidth="1"/>
    <col min="5120" max="5120" width="9.28515625" style="38" customWidth="1"/>
    <col min="5121" max="5121" width="7.5703125" style="38" customWidth="1"/>
    <col min="5122" max="5122" width="7.42578125" style="38" customWidth="1"/>
    <col min="5123" max="5123" width="7.28515625" style="38" customWidth="1"/>
    <col min="5124" max="5124" width="9" style="38" customWidth="1"/>
    <col min="5125" max="5125" width="10.5703125" style="38" customWidth="1"/>
    <col min="5126" max="5126" width="14.42578125" style="38" customWidth="1"/>
    <col min="5127" max="5374" width="11" style="38"/>
    <col min="5375" max="5375" width="8.7109375" style="38" customWidth="1"/>
    <col min="5376" max="5376" width="9.28515625" style="38" customWidth="1"/>
    <col min="5377" max="5377" width="7.5703125" style="38" customWidth="1"/>
    <col min="5378" max="5378" width="7.42578125" style="38" customWidth="1"/>
    <col min="5379" max="5379" width="7.28515625" style="38" customWidth="1"/>
    <col min="5380" max="5380" width="9" style="38" customWidth="1"/>
    <col min="5381" max="5381" width="10.5703125" style="38" customWidth="1"/>
    <col min="5382" max="5382" width="14.42578125" style="38" customWidth="1"/>
    <col min="5383" max="5630" width="11" style="38"/>
    <col min="5631" max="5631" width="8.7109375" style="38" customWidth="1"/>
    <col min="5632" max="5632" width="9.28515625" style="38" customWidth="1"/>
    <col min="5633" max="5633" width="7.5703125" style="38" customWidth="1"/>
    <col min="5634" max="5634" width="7.42578125" style="38" customWidth="1"/>
    <col min="5635" max="5635" width="7.28515625" style="38" customWidth="1"/>
    <col min="5636" max="5636" width="9" style="38" customWidth="1"/>
    <col min="5637" max="5637" width="10.5703125" style="38" customWidth="1"/>
    <col min="5638" max="5638" width="14.42578125" style="38" customWidth="1"/>
    <col min="5639" max="5886" width="11" style="38"/>
    <col min="5887" max="5887" width="8.7109375" style="38" customWidth="1"/>
    <col min="5888" max="5888" width="9.28515625" style="38" customWidth="1"/>
    <col min="5889" max="5889" width="7.5703125" style="38" customWidth="1"/>
    <col min="5890" max="5890" width="7.42578125" style="38" customWidth="1"/>
    <col min="5891" max="5891" width="7.28515625" style="38" customWidth="1"/>
    <col min="5892" max="5892" width="9" style="38" customWidth="1"/>
    <col min="5893" max="5893" width="10.5703125" style="38" customWidth="1"/>
    <col min="5894" max="5894" width="14.42578125" style="38" customWidth="1"/>
    <col min="5895" max="6142" width="11" style="38"/>
    <col min="6143" max="6143" width="8.7109375" style="38" customWidth="1"/>
    <col min="6144" max="6144" width="9.28515625" style="38" customWidth="1"/>
    <col min="6145" max="6145" width="7.5703125" style="38" customWidth="1"/>
    <col min="6146" max="6146" width="7.42578125" style="38" customWidth="1"/>
    <col min="6147" max="6147" width="7.28515625" style="38" customWidth="1"/>
    <col min="6148" max="6148" width="9" style="38" customWidth="1"/>
    <col min="6149" max="6149" width="10.5703125" style="38" customWidth="1"/>
    <col min="6150" max="6150" width="14.42578125" style="38" customWidth="1"/>
    <col min="6151" max="6398" width="11" style="38"/>
    <col min="6399" max="6399" width="8.7109375" style="38" customWidth="1"/>
    <col min="6400" max="6400" width="9.28515625" style="38" customWidth="1"/>
    <col min="6401" max="6401" width="7.5703125" style="38" customWidth="1"/>
    <col min="6402" max="6402" width="7.42578125" style="38" customWidth="1"/>
    <col min="6403" max="6403" width="7.28515625" style="38" customWidth="1"/>
    <col min="6404" max="6404" width="9" style="38" customWidth="1"/>
    <col min="6405" max="6405" width="10.5703125" style="38" customWidth="1"/>
    <col min="6406" max="6406" width="14.42578125" style="38" customWidth="1"/>
    <col min="6407" max="6654" width="11" style="38"/>
    <col min="6655" max="6655" width="8.7109375" style="38" customWidth="1"/>
    <col min="6656" max="6656" width="9.28515625" style="38" customWidth="1"/>
    <col min="6657" max="6657" width="7.5703125" style="38" customWidth="1"/>
    <col min="6658" max="6658" width="7.42578125" style="38" customWidth="1"/>
    <col min="6659" max="6659" width="7.28515625" style="38" customWidth="1"/>
    <col min="6660" max="6660" width="9" style="38" customWidth="1"/>
    <col min="6661" max="6661" width="10.5703125" style="38" customWidth="1"/>
    <col min="6662" max="6662" width="14.42578125" style="38" customWidth="1"/>
    <col min="6663" max="6910" width="11" style="38"/>
    <col min="6911" max="6911" width="8.7109375" style="38" customWidth="1"/>
    <col min="6912" max="6912" width="9.28515625" style="38" customWidth="1"/>
    <col min="6913" max="6913" width="7.5703125" style="38" customWidth="1"/>
    <col min="6914" max="6914" width="7.42578125" style="38" customWidth="1"/>
    <col min="6915" max="6915" width="7.28515625" style="38" customWidth="1"/>
    <col min="6916" max="6916" width="9" style="38" customWidth="1"/>
    <col min="6917" max="6917" width="10.5703125" style="38" customWidth="1"/>
    <col min="6918" max="6918" width="14.42578125" style="38" customWidth="1"/>
    <col min="6919" max="7166" width="11" style="38"/>
    <col min="7167" max="7167" width="8.7109375" style="38" customWidth="1"/>
    <col min="7168" max="7168" width="9.28515625" style="38" customWidth="1"/>
    <col min="7169" max="7169" width="7.5703125" style="38" customWidth="1"/>
    <col min="7170" max="7170" width="7.42578125" style="38" customWidth="1"/>
    <col min="7171" max="7171" width="7.28515625" style="38" customWidth="1"/>
    <col min="7172" max="7172" width="9" style="38" customWidth="1"/>
    <col min="7173" max="7173" width="10.5703125" style="38" customWidth="1"/>
    <col min="7174" max="7174" width="14.42578125" style="38" customWidth="1"/>
    <col min="7175" max="7422" width="11" style="38"/>
    <col min="7423" max="7423" width="8.7109375" style="38" customWidth="1"/>
    <col min="7424" max="7424" width="9.28515625" style="38" customWidth="1"/>
    <col min="7425" max="7425" width="7.5703125" style="38" customWidth="1"/>
    <col min="7426" max="7426" width="7.42578125" style="38" customWidth="1"/>
    <col min="7427" max="7427" width="7.28515625" style="38" customWidth="1"/>
    <col min="7428" max="7428" width="9" style="38" customWidth="1"/>
    <col min="7429" max="7429" width="10.5703125" style="38" customWidth="1"/>
    <col min="7430" max="7430" width="14.42578125" style="38" customWidth="1"/>
    <col min="7431" max="7678" width="11" style="38"/>
    <col min="7679" max="7679" width="8.7109375" style="38" customWidth="1"/>
    <col min="7680" max="7680" width="9.28515625" style="38" customWidth="1"/>
    <col min="7681" max="7681" width="7.5703125" style="38" customWidth="1"/>
    <col min="7682" max="7682" width="7.42578125" style="38" customWidth="1"/>
    <col min="7683" max="7683" width="7.28515625" style="38" customWidth="1"/>
    <col min="7684" max="7684" width="9" style="38" customWidth="1"/>
    <col min="7685" max="7685" width="10.5703125" style="38" customWidth="1"/>
    <col min="7686" max="7686" width="14.42578125" style="38" customWidth="1"/>
    <col min="7687" max="7934" width="11" style="38"/>
    <col min="7935" max="7935" width="8.7109375" style="38" customWidth="1"/>
    <col min="7936" max="7936" width="9.28515625" style="38" customWidth="1"/>
    <col min="7937" max="7937" width="7.5703125" style="38" customWidth="1"/>
    <col min="7938" max="7938" width="7.42578125" style="38" customWidth="1"/>
    <col min="7939" max="7939" width="7.28515625" style="38" customWidth="1"/>
    <col min="7940" max="7940" width="9" style="38" customWidth="1"/>
    <col min="7941" max="7941" width="10.5703125" style="38" customWidth="1"/>
    <col min="7942" max="7942" width="14.42578125" style="38" customWidth="1"/>
    <col min="7943" max="8190" width="11" style="38"/>
    <col min="8191" max="8191" width="8.7109375" style="38" customWidth="1"/>
    <col min="8192" max="8192" width="9.28515625" style="38" customWidth="1"/>
    <col min="8193" max="8193" width="7.5703125" style="38" customWidth="1"/>
    <col min="8194" max="8194" width="7.42578125" style="38" customWidth="1"/>
    <col min="8195" max="8195" width="7.28515625" style="38" customWidth="1"/>
    <col min="8196" max="8196" width="9" style="38" customWidth="1"/>
    <col min="8197" max="8197" width="10.5703125" style="38" customWidth="1"/>
    <col min="8198" max="8198" width="14.42578125" style="38" customWidth="1"/>
    <col min="8199" max="8446" width="11" style="38"/>
    <col min="8447" max="8447" width="8.7109375" style="38" customWidth="1"/>
    <col min="8448" max="8448" width="9.28515625" style="38" customWidth="1"/>
    <col min="8449" max="8449" width="7.5703125" style="38" customWidth="1"/>
    <col min="8450" max="8450" width="7.42578125" style="38" customWidth="1"/>
    <col min="8451" max="8451" width="7.28515625" style="38" customWidth="1"/>
    <col min="8452" max="8452" width="9" style="38" customWidth="1"/>
    <col min="8453" max="8453" width="10.5703125" style="38" customWidth="1"/>
    <col min="8454" max="8454" width="14.42578125" style="38" customWidth="1"/>
    <col min="8455" max="8702" width="11" style="38"/>
    <col min="8703" max="8703" width="8.7109375" style="38" customWidth="1"/>
    <col min="8704" max="8704" width="9.28515625" style="38" customWidth="1"/>
    <col min="8705" max="8705" width="7.5703125" style="38" customWidth="1"/>
    <col min="8706" max="8706" width="7.42578125" style="38" customWidth="1"/>
    <col min="8707" max="8707" width="7.28515625" style="38" customWidth="1"/>
    <col min="8708" max="8708" width="9" style="38" customWidth="1"/>
    <col min="8709" max="8709" width="10.5703125" style="38" customWidth="1"/>
    <col min="8710" max="8710" width="14.42578125" style="38" customWidth="1"/>
    <col min="8711" max="8958" width="11" style="38"/>
    <col min="8959" max="8959" width="8.7109375" style="38" customWidth="1"/>
    <col min="8960" max="8960" width="9.28515625" style="38" customWidth="1"/>
    <col min="8961" max="8961" width="7.5703125" style="38" customWidth="1"/>
    <col min="8962" max="8962" width="7.42578125" style="38" customWidth="1"/>
    <col min="8963" max="8963" width="7.28515625" style="38" customWidth="1"/>
    <col min="8964" max="8964" width="9" style="38" customWidth="1"/>
    <col min="8965" max="8965" width="10.5703125" style="38" customWidth="1"/>
    <col min="8966" max="8966" width="14.42578125" style="38" customWidth="1"/>
    <col min="8967" max="9214" width="11" style="38"/>
    <col min="9215" max="9215" width="8.7109375" style="38" customWidth="1"/>
    <col min="9216" max="9216" width="9.28515625" style="38" customWidth="1"/>
    <col min="9217" max="9217" width="7.5703125" style="38" customWidth="1"/>
    <col min="9218" max="9218" width="7.42578125" style="38" customWidth="1"/>
    <col min="9219" max="9219" width="7.28515625" style="38" customWidth="1"/>
    <col min="9220" max="9220" width="9" style="38" customWidth="1"/>
    <col min="9221" max="9221" width="10.5703125" style="38" customWidth="1"/>
    <col min="9222" max="9222" width="14.42578125" style="38" customWidth="1"/>
    <col min="9223" max="9470" width="11" style="38"/>
    <col min="9471" max="9471" width="8.7109375" style="38" customWidth="1"/>
    <col min="9472" max="9472" width="9.28515625" style="38" customWidth="1"/>
    <col min="9473" max="9473" width="7.5703125" style="38" customWidth="1"/>
    <col min="9474" max="9474" width="7.42578125" style="38" customWidth="1"/>
    <col min="9475" max="9475" width="7.28515625" style="38" customWidth="1"/>
    <col min="9476" max="9476" width="9" style="38" customWidth="1"/>
    <col min="9477" max="9477" width="10.5703125" style="38" customWidth="1"/>
    <col min="9478" max="9478" width="14.42578125" style="38" customWidth="1"/>
    <col min="9479" max="9726" width="11" style="38"/>
    <col min="9727" max="9727" width="8.7109375" style="38" customWidth="1"/>
    <col min="9728" max="9728" width="9.28515625" style="38" customWidth="1"/>
    <col min="9729" max="9729" width="7.5703125" style="38" customWidth="1"/>
    <col min="9730" max="9730" width="7.42578125" style="38" customWidth="1"/>
    <col min="9731" max="9731" width="7.28515625" style="38" customWidth="1"/>
    <col min="9732" max="9732" width="9" style="38" customWidth="1"/>
    <col min="9733" max="9733" width="10.5703125" style="38" customWidth="1"/>
    <col min="9734" max="9734" width="14.42578125" style="38" customWidth="1"/>
    <col min="9735" max="9982" width="11" style="38"/>
    <col min="9983" max="9983" width="8.7109375" style="38" customWidth="1"/>
    <col min="9984" max="9984" width="9.28515625" style="38" customWidth="1"/>
    <col min="9985" max="9985" width="7.5703125" style="38" customWidth="1"/>
    <col min="9986" max="9986" width="7.42578125" style="38" customWidth="1"/>
    <col min="9987" max="9987" width="7.28515625" style="38" customWidth="1"/>
    <col min="9988" max="9988" width="9" style="38" customWidth="1"/>
    <col min="9989" max="9989" width="10.5703125" style="38" customWidth="1"/>
    <col min="9990" max="9990" width="14.42578125" style="38" customWidth="1"/>
    <col min="9991" max="10238" width="11" style="38"/>
    <col min="10239" max="10239" width="8.7109375" style="38" customWidth="1"/>
    <col min="10240" max="10240" width="9.28515625" style="38" customWidth="1"/>
    <col min="10241" max="10241" width="7.5703125" style="38" customWidth="1"/>
    <col min="10242" max="10242" width="7.42578125" style="38" customWidth="1"/>
    <col min="10243" max="10243" width="7.28515625" style="38" customWidth="1"/>
    <col min="10244" max="10244" width="9" style="38" customWidth="1"/>
    <col min="10245" max="10245" width="10.5703125" style="38" customWidth="1"/>
    <col min="10246" max="10246" width="14.42578125" style="38" customWidth="1"/>
    <col min="10247" max="10494" width="11" style="38"/>
    <col min="10495" max="10495" width="8.7109375" style="38" customWidth="1"/>
    <col min="10496" max="10496" width="9.28515625" style="38" customWidth="1"/>
    <col min="10497" max="10497" width="7.5703125" style="38" customWidth="1"/>
    <col min="10498" max="10498" width="7.42578125" style="38" customWidth="1"/>
    <col min="10499" max="10499" width="7.28515625" style="38" customWidth="1"/>
    <col min="10500" max="10500" width="9" style="38" customWidth="1"/>
    <col min="10501" max="10501" width="10.5703125" style="38" customWidth="1"/>
    <col min="10502" max="10502" width="14.42578125" style="38" customWidth="1"/>
    <col min="10503" max="10750" width="11" style="38"/>
    <col min="10751" max="10751" width="8.7109375" style="38" customWidth="1"/>
    <col min="10752" max="10752" width="9.28515625" style="38" customWidth="1"/>
    <col min="10753" max="10753" width="7.5703125" style="38" customWidth="1"/>
    <col min="10754" max="10754" width="7.42578125" style="38" customWidth="1"/>
    <col min="10755" max="10755" width="7.28515625" style="38" customWidth="1"/>
    <col min="10756" max="10756" width="9" style="38" customWidth="1"/>
    <col min="10757" max="10757" width="10.5703125" style="38" customWidth="1"/>
    <col min="10758" max="10758" width="14.42578125" style="38" customWidth="1"/>
    <col min="10759" max="11006" width="11" style="38"/>
    <col min="11007" max="11007" width="8.7109375" style="38" customWidth="1"/>
    <col min="11008" max="11008" width="9.28515625" style="38" customWidth="1"/>
    <col min="11009" max="11009" width="7.5703125" style="38" customWidth="1"/>
    <col min="11010" max="11010" width="7.42578125" style="38" customWidth="1"/>
    <col min="11011" max="11011" width="7.28515625" style="38" customWidth="1"/>
    <col min="11012" max="11012" width="9" style="38" customWidth="1"/>
    <col min="11013" max="11013" width="10.5703125" style="38" customWidth="1"/>
    <col min="11014" max="11014" width="14.42578125" style="38" customWidth="1"/>
    <col min="11015" max="11262" width="11" style="38"/>
    <col min="11263" max="11263" width="8.7109375" style="38" customWidth="1"/>
    <col min="11264" max="11264" width="9.28515625" style="38" customWidth="1"/>
    <col min="11265" max="11265" width="7.5703125" style="38" customWidth="1"/>
    <col min="11266" max="11266" width="7.42578125" style="38" customWidth="1"/>
    <col min="11267" max="11267" width="7.28515625" style="38" customWidth="1"/>
    <col min="11268" max="11268" width="9" style="38" customWidth="1"/>
    <col min="11269" max="11269" width="10.5703125" style="38" customWidth="1"/>
    <col min="11270" max="11270" width="14.42578125" style="38" customWidth="1"/>
    <col min="11271" max="11518" width="11" style="38"/>
    <col min="11519" max="11519" width="8.7109375" style="38" customWidth="1"/>
    <col min="11520" max="11520" width="9.28515625" style="38" customWidth="1"/>
    <col min="11521" max="11521" width="7.5703125" style="38" customWidth="1"/>
    <col min="11522" max="11522" width="7.42578125" style="38" customWidth="1"/>
    <col min="11523" max="11523" width="7.28515625" style="38" customWidth="1"/>
    <col min="11524" max="11524" width="9" style="38" customWidth="1"/>
    <col min="11525" max="11525" width="10.5703125" style="38" customWidth="1"/>
    <col min="11526" max="11526" width="14.42578125" style="38" customWidth="1"/>
    <col min="11527" max="11774" width="11" style="38"/>
    <col min="11775" max="11775" width="8.7109375" style="38" customWidth="1"/>
    <col min="11776" max="11776" width="9.28515625" style="38" customWidth="1"/>
    <col min="11777" max="11777" width="7.5703125" style="38" customWidth="1"/>
    <col min="11778" max="11778" width="7.42578125" style="38" customWidth="1"/>
    <col min="11779" max="11779" width="7.28515625" style="38" customWidth="1"/>
    <col min="11780" max="11780" width="9" style="38" customWidth="1"/>
    <col min="11781" max="11781" width="10.5703125" style="38" customWidth="1"/>
    <col min="11782" max="11782" width="14.42578125" style="38" customWidth="1"/>
    <col min="11783" max="12030" width="11" style="38"/>
    <col min="12031" max="12031" width="8.7109375" style="38" customWidth="1"/>
    <col min="12032" max="12032" width="9.28515625" style="38" customWidth="1"/>
    <col min="12033" max="12033" width="7.5703125" style="38" customWidth="1"/>
    <col min="12034" max="12034" width="7.42578125" style="38" customWidth="1"/>
    <col min="12035" max="12035" width="7.28515625" style="38" customWidth="1"/>
    <col min="12036" max="12036" width="9" style="38" customWidth="1"/>
    <col min="12037" max="12037" width="10.5703125" style="38" customWidth="1"/>
    <col min="12038" max="12038" width="14.42578125" style="38" customWidth="1"/>
    <col min="12039" max="12286" width="11" style="38"/>
    <col min="12287" max="12287" width="8.7109375" style="38" customWidth="1"/>
    <col min="12288" max="12288" width="9.28515625" style="38" customWidth="1"/>
    <col min="12289" max="12289" width="7.5703125" style="38" customWidth="1"/>
    <col min="12290" max="12290" width="7.42578125" style="38" customWidth="1"/>
    <col min="12291" max="12291" width="7.28515625" style="38" customWidth="1"/>
    <col min="12292" max="12292" width="9" style="38" customWidth="1"/>
    <col min="12293" max="12293" width="10.5703125" style="38" customWidth="1"/>
    <col min="12294" max="12294" width="14.42578125" style="38" customWidth="1"/>
    <col min="12295" max="12542" width="11" style="38"/>
    <col min="12543" max="12543" width="8.7109375" style="38" customWidth="1"/>
    <col min="12544" max="12544" width="9.28515625" style="38" customWidth="1"/>
    <col min="12545" max="12545" width="7.5703125" style="38" customWidth="1"/>
    <col min="12546" max="12546" width="7.42578125" style="38" customWidth="1"/>
    <col min="12547" max="12547" width="7.28515625" style="38" customWidth="1"/>
    <col min="12548" max="12548" width="9" style="38" customWidth="1"/>
    <col min="12549" max="12549" width="10.5703125" style="38" customWidth="1"/>
    <col min="12550" max="12550" width="14.42578125" style="38" customWidth="1"/>
    <col min="12551" max="12798" width="11" style="38"/>
    <col min="12799" max="12799" width="8.7109375" style="38" customWidth="1"/>
    <col min="12800" max="12800" width="9.28515625" style="38" customWidth="1"/>
    <col min="12801" max="12801" width="7.5703125" style="38" customWidth="1"/>
    <col min="12802" max="12802" width="7.42578125" style="38" customWidth="1"/>
    <col min="12803" max="12803" width="7.28515625" style="38" customWidth="1"/>
    <col min="12804" max="12804" width="9" style="38" customWidth="1"/>
    <col min="12805" max="12805" width="10.5703125" style="38" customWidth="1"/>
    <col min="12806" max="12806" width="14.42578125" style="38" customWidth="1"/>
    <col min="12807" max="13054" width="11" style="38"/>
    <col min="13055" max="13055" width="8.7109375" style="38" customWidth="1"/>
    <col min="13056" max="13056" width="9.28515625" style="38" customWidth="1"/>
    <col min="13057" max="13057" width="7.5703125" style="38" customWidth="1"/>
    <col min="13058" max="13058" width="7.42578125" style="38" customWidth="1"/>
    <col min="13059" max="13059" width="7.28515625" style="38" customWidth="1"/>
    <col min="13060" max="13060" width="9" style="38" customWidth="1"/>
    <col min="13061" max="13061" width="10.5703125" style="38" customWidth="1"/>
    <col min="13062" max="13062" width="14.42578125" style="38" customWidth="1"/>
    <col min="13063" max="13310" width="11" style="38"/>
    <col min="13311" max="13311" width="8.7109375" style="38" customWidth="1"/>
    <col min="13312" max="13312" width="9.28515625" style="38" customWidth="1"/>
    <col min="13313" max="13313" width="7.5703125" style="38" customWidth="1"/>
    <col min="13314" max="13314" width="7.42578125" style="38" customWidth="1"/>
    <col min="13315" max="13315" width="7.28515625" style="38" customWidth="1"/>
    <col min="13316" max="13316" width="9" style="38" customWidth="1"/>
    <col min="13317" max="13317" width="10.5703125" style="38" customWidth="1"/>
    <col min="13318" max="13318" width="14.42578125" style="38" customWidth="1"/>
    <col min="13319" max="13566" width="11" style="38"/>
    <col min="13567" max="13567" width="8.7109375" style="38" customWidth="1"/>
    <col min="13568" max="13568" width="9.28515625" style="38" customWidth="1"/>
    <col min="13569" max="13569" width="7.5703125" style="38" customWidth="1"/>
    <col min="13570" max="13570" width="7.42578125" style="38" customWidth="1"/>
    <col min="13571" max="13571" width="7.28515625" style="38" customWidth="1"/>
    <col min="13572" max="13572" width="9" style="38" customWidth="1"/>
    <col min="13573" max="13573" width="10.5703125" style="38" customWidth="1"/>
    <col min="13574" max="13574" width="14.42578125" style="38" customWidth="1"/>
    <col min="13575" max="13822" width="11" style="38"/>
    <col min="13823" max="13823" width="8.7109375" style="38" customWidth="1"/>
    <col min="13824" max="13824" width="9.28515625" style="38" customWidth="1"/>
    <col min="13825" max="13825" width="7.5703125" style="38" customWidth="1"/>
    <col min="13826" max="13826" width="7.42578125" style="38" customWidth="1"/>
    <col min="13827" max="13827" width="7.28515625" style="38" customWidth="1"/>
    <col min="13828" max="13828" width="9" style="38" customWidth="1"/>
    <col min="13829" max="13829" width="10.5703125" style="38" customWidth="1"/>
    <col min="13830" max="13830" width="14.42578125" style="38" customWidth="1"/>
    <col min="13831" max="14078" width="11" style="38"/>
    <col min="14079" max="14079" width="8.7109375" style="38" customWidth="1"/>
    <col min="14080" max="14080" width="9.28515625" style="38" customWidth="1"/>
    <col min="14081" max="14081" width="7.5703125" style="38" customWidth="1"/>
    <col min="14082" max="14082" width="7.42578125" style="38" customWidth="1"/>
    <col min="14083" max="14083" width="7.28515625" style="38" customWidth="1"/>
    <col min="14084" max="14084" width="9" style="38" customWidth="1"/>
    <col min="14085" max="14085" width="10.5703125" style="38" customWidth="1"/>
    <col min="14086" max="14086" width="14.42578125" style="38" customWidth="1"/>
    <col min="14087" max="14334" width="11" style="38"/>
    <col min="14335" max="14335" width="8.7109375" style="38" customWidth="1"/>
    <col min="14336" max="14336" width="9.28515625" style="38" customWidth="1"/>
    <col min="14337" max="14337" width="7.5703125" style="38" customWidth="1"/>
    <col min="14338" max="14338" width="7.42578125" style="38" customWidth="1"/>
    <col min="14339" max="14339" width="7.28515625" style="38" customWidth="1"/>
    <col min="14340" max="14340" width="9" style="38" customWidth="1"/>
    <col min="14341" max="14341" width="10.5703125" style="38" customWidth="1"/>
    <col min="14342" max="14342" width="14.42578125" style="38" customWidth="1"/>
    <col min="14343" max="14590" width="11" style="38"/>
    <col min="14591" max="14591" width="8.7109375" style="38" customWidth="1"/>
    <col min="14592" max="14592" width="9.28515625" style="38" customWidth="1"/>
    <col min="14593" max="14593" width="7.5703125" style="38" customWidth="1"/>
    <col min="14594" max="14594" width="7.42578125" style="38" customWidth="1"/>
    <col min="14595" max="14595" width="7.28515625" style="38" customWidth="1"/>
    <col min="14596" max="14596" width="9" style="38" customWidth="1"/>
    <col min="14597" max="14597" width="10.5703125" style="38" customWidth="1"/>
    <col min="14598" max="14598" width="14.42578125" style="38" customWidth="1"/>
    <col min="14599" max="14846" width="11" style="38"/>
    <col min="14847" max="14847" width="8.7109375" style="38" customWidth="1"/>
    <col min="14848" max="14848" width="9.28515625" style="38" customWidth="1"/>
    <col min="14849" max="14849" width="7.5703125" style="38" customWidth="1"/>
    <col min="14850" max="14850" width="7.42578125" style="38" customWidth="1"/>
    <col min="14851" max="14851" width="7.28515625" style="38" customWidth="1"/>
    <col min="14852" max="14852" width="9" style="38" customWidth="1"/>
    <col min="14853" max="14853" width="10.5703125" style="38" customWidth="1"/>
    <col min="14854" max="14854" width="14.42578125" style="38" customWidth="1"/>
    <col min="14855" max="15102" width="11" style="38"/>
    <col min="15103" max="15103" width="8.7109375" style="38" customWidth="1"/>
    <col min="15104" max="15104" width="9.28515625" style="38" customWidth="1"/>
    <col min="15105" max="15105" width="7.5703125" style="38" customWidth="1"/>
    <col min="15106" max="15106" width="7.42578125" style="38" customWidth="1"/>
    <col min="15107" max="15107" width="7.28515625" style="38" customWidth="1"/>
    <col min="15108" max="15108" width="9" style="38" customWidth="1"/>
    <col min="15109" max="15109" width="10.5703125" style="38" customWidth="1"/>
    <col min="15110" max="15110" width="14.42578125" style="38" customWidth="1"/>
    <col min="15111" max="15358" width="11" style="38"/>
    <col min="15359" max="15359" width="8.7109375" style="38" customWidth="1"/>
    <col min="15360" max="15360" width="9.28515625" style="38" customWidth="1"/>
    <col min="15361" max="15361" width="7.5703125" style="38" customWidth="1"/>
    <col min="15362" max="15362" width="7.42578125" style="38" customWidth="1"/>
    <col min="15363" max="15363" width="7.28515625" style="38" customWidth="1"/>
    <col min="15364" max="15364" width="9" style="38" customWidth="1"/>
    <col min="15365" max="15365" width="10.5703125" style="38" customWidth="1"/>
    <col min="15366" max="15366" width="14.42578125" style="38" customWidth="1"/>
    <col min="15367" max="15614" width="11" style="38"/>
    <col min="15615" max="15615" width="8.7109375" style="38" customWidth="1"/>
    <col min="15616" max="15616" width="9.28515625" style="38" customWidth="1"/>
    <col min="15617" max="15617" width="7.5703125" style="38" customWidth="1"/>
    <col min="15618" max="15618" width="7.42578125" style="38" customWidth="1"/>
    <col min="15619" max="15619" width="7.28515625" style="38" customWidth="1"/>
    <col min="15620" max="15620" width="9" style="38" customWidth="1"/>
    <col min="15621" max="15621" width="10.5703125" style="38" customWidth="1"/>
    <col min="15622" max="15622" width="14.42578125" style="38" customWidth="1"/>
    <col min="15623" max="15870" width="11" style="38"/>
    <col min="15871" max="15871" width="8.7109375" style="38" customWidth="1"/>
    <col min="15872" max="15872" width="9.28515625" style="38" customWidth="1"/>
    <col min="15873" max="15873" width="7.5703125" style="38" customWidth="1"/>
    <col min="15874" max="15874" width="7.42578125" style="38" customWidth="1"/>
    <col min="15875" max="15875" width="7.28515625" style="38" customWidth="1"/>
    <col min="15876" max="15876" width="9" style="38" customWidth="1"/>
    <col min="15877" max="15877" width="10.5703125" style="38" customWidth="1"/>
    <col min="15878" max="15878" width="14.42578125" style="38" customWidth="1"/>
    <col min="15879" max="16126" width="11" style="38"/>
    <col min="16127" max="16127" width="8.7109375" style="38" customWidth="1"/>
    <col min="16128" max="16128" width="9.28515625" style="38" customWidth="1"/>
    <col min="16129" max="16129" width="7.5703125" style="38" customWidth="1"/>
    <col min="16130" max="16130" width="7.42578125" style="38" customWidth="1"/>
    <col min="16131" max="16131" width="7.28515625" style="38" customWidth="1"/>
    <col min="16132" max="16132" width="9" style="38" customWidth="1"/>
    <col min="16133" max="16133" width="10.5703125" style="38" customWidth="1"/>
    <col min="16134" max="16134" width="14.42578125" style="38" customWidth="1"/>
    <col min="16135" max="16384" width="11" style="38"/>
  </cols>
  <sheetData>
    <row r="1" spans="1:18">
      <c r="A1" s="38" t="s">
        <v>0</v>
      </c>
      <c r="B1" s="38" t="s">
        <v>150</v>
      </c>
    </row>
    <row r="2" spans="1:18">
      <c r="B2" s="38" t="s">
        <v>151</v>
      </c>
    </row>
    <row r="3" spans="1:18">
      <c r="B3" s="38" t="s">
        <v>152</v>
      </c>
      <c r="H3" s="38" t="s">
        <v>153</v>
      </c>
    </row>
    <row r="4" spans="1:18">
      <c r="A4" s="40" t="s">
        <v>4</v>
      </c>
      <c r="B4" s="40"/>
      <c r="C4" s="40"/>
      <c r="D4" s="41" t="s">
        <v>5</v>
      </c>
      <c r="E4" s="41" t="s">
        <v>6</v>
      </c>
      <c r="F4" s="41" t="s">
        <v>7</v>
      </c>
      <c r="G4" s="41" t="s">
        <v>8</v>
      </c>
      <c r="H4" s="41" t="s">
        <v>9</v>
      </c>
      <c r="I4" s="41" t="s">
        <v>10</v>
      </c>
      <c r="J4" s="41" t="s">
        <v>11</v>
      </c>
      <c r="K4" s="41" t="s">
        <v>12</v>
      </c>
      <c r="L4" s="42" t="s">
        <v>13</v>
      </c>
      <c r="M4" s="41"/>
    </row>
    <row r="5" spans="1:18">
      <c r="A5" s="39"/>
      <c r="B5" s="39"/>
      <c r="C5" s="39"/>
      <c r="D5" s="43" t="s">
        <v>14</v>
      </c>
      <c r="E5" s="43" t="s">
        <v>15</v>
      </c>
      <c r="F5" s="43" t="s">
        <v>15</v>
      </c>
      <c r="G5" s="43" t="s">
        <v>16</v>
      </c>
      <c r="H5" s="43" t="s">
        <v>17</v>
      </c>
      <c r="I5" s="43" t="s">
        <v>18</v>
      </c>
      <c r="J5" s="43" t="s">
        <v>17</v>
      </c>
      <c r="K5" s="43" t="s">
        <v>17</v>
      </c>
      <c r="L5" s="43" t="s">
        <v>10</v>
      </c>
      <c r="M5" s="43" t="s">
        <v>11</v>
      </c>
    </row>
    <row r="6" spans="1:18">
      <c r="A6" s="39"/>
      <c r="B6" s="39"/>
      <c r="C6" s="39"/>
      <c r="D6" s="43" t="s">
        <v>19</v>
      </c>
      <c r="E6" s="43"/>
      <c r="F6" s="43"/>
      <c r="G6" s="43"/>
      <c r="H6" s="43" t="s">
        <v>20</v>
      </c>
      <c r="I6" s="43" t="s">
        <v>17</v>
      </c>
      <c r="J6" s="43" t="s">
        <v>20</v>
      </c>
      <c r="K6" s="43" t="s">
        <v>20</v>
      </c>
      <c r="L6" s="43"/>
      <c r="M6" s="43"/>
    </row>
    <row r="7" spans="1:18">
      <c r="A7" s="44"/>
      <c r="B7" s="44"/>
      <c r="C7" s="44"/>
      <c r="D7" s="45"/>
      <c r="E7" s="45"/>
      <c r="F7" s="45"/>
      <c r="G7" s="45"/>
      <c r="H7" s="45"/>
      <c r="I7" s="45" t="s">
        <v>20</v>
      </c>
      <c r="J7" s="45"/>
      <c r="K7" s="45"/>
      <c r="L7" s="45"/>
      <c r="M7" s="45"/>
    </row>
    <row r="8" spans="1:18">
      <c r="A8" s="38" t="s">
        <v>154</v>
      </c>
      <c r="D8" s="58">
        <v>100</v>
      </c>
      <c r="E8" s="53">
        <v>0.68</v>
      </c>
      <c r="F8" s="53">
        <v>0.56000000000000005</v>
      </c>
      <c r="G8" s="137">
        <v>1200</v>
      </c>
      <c r="H8" s="53">
        <f t="shared" ref="H8:H12" si="0">SUM(E8*G8)</f>
        <v>816.00000000000011</v>
      </c>
      <c r="I8" s="53">
        <v>7981</v>
      </c>
      <c r="J8" s="53"/>
      <c r="K8" s="53">
        <f t="shared" ref="K8:K13" si="1">SUM(H8:J8)</f>
        <v>8797</v>
      </c>
      <c r="L8" s="53"/>
      <c r="M8" s="53"/>
      <c r="Q8" s="53"/>
      <c r="R8" s="53"/>
    </row>
    <row r="9" spans="1:18">
      <c r="A9" s="38" t="s">
        <v>155</v>
      </c>
      <c r="D9" s="138">
        <v>100</v>
      </c>
      <c r="E9" s="53">
        <v>7.13</v>
      </c>
      <c r="F9" s="53">
        <v>0.78</v>
      </c>
      <c r="G9" s="137">
        <v>1114</v>
      </c>
      <c r="H9" s="53">
        <v>7942</v>
      </c>
      <c r="I9" s="53"/>
      <c r="J9" s="53"/>
      <c r="K9" s="53">
        <f t="shared" si="1"/>
        <v>7942</v>
      </c>
      <c r="L9" s="53"/>
      <c r="M9" s="53"/>
      <c r="Q9" s="53"/>
      <c r="R9" s="53"/>
    </row>
    <row r="10" spans="1:18">
      <c r="A10" s="38" t="s">
        <v>34</v>
      </c>
      <c r="D10" s="58">
        <v>100</v>
      </c>
      <c r="E10" s="53">
        <v>5.18</v>
      </c>
      <c r="F10" s="53">
        <v>0.48</v>
      </c>
      <c r="G10" s="137">
        <v>1123</v>
      </c>
      <c r="H10" s="53">
        <v>5817</v>
      </c>
      <c r="I10" s="53"/>
      <c r="J10" s="53">
        <f>E28*G28</f>
        <v>29592</v>
      </c>
      <c r="K10" s="53">
        <f t="shared" si="1"/>
        <v>35409</v>
      </c>
      <c r="L10" s="53"/>
      <c r="M10" s="53"/>
      <c r="Q10" s="53"/>
      <c r="R10" s="53"/>
    </row>
    <row r="11" spans="1:18">
      <c r="A11" s="38" t="s">
        <v>156</v>
      </c>
      <c r="D11" s="58">
        <v>100</v>
      </c>
      <c r="E11" s="53">
        <v>9.2799999999999994</v>
      </c>
      <c r="F11" s="53">
        <v>0.41</v>
      </c>
      <c r="G11" s="137">
        <v>1047</v>
      </c>
      <c r="H11" s="53">
        <v>9716</v>
      </c>
      <c r="I11" s="53"/>
      <c r="J11" s="53"/>
      <c r="K11" s="53">
        <f t="shared" si="1"/>
        <v>9716</v>
      </c>
      <c r="L11" s="53"/>
      <c r="M11" s="53"/>
      <c r="Q11" s="53"/>
      <c r="R11" s="53"/>
    </row>
    <row r="12" spans="1:18" ht="15.75">
      <c r="A12" s="38" t="s">
        <v>157</v>
      </c>
      <c r="D12" s="58">
        <v>88</v>
      </c>
      <c r="E12" s="53"/>
      <c r="F12" s="53"/>
      <c r="G12" s="137"/>
      <c r="H12" s="53">
        <f t="shared" si="0"/>
        <v>0</v>
      </c>
      <c r="I12" s="53"/>
      <c r="J12" s="53"/>
      <c r="K12" s="53">
        <f t="shared" si="1"/>
        <v>0</v>
      </c>
      <c r="L12" s="53"/>
      <c r="M12" s="53"/>
      <c r="N12" s="1"/>
      <c r="O12" s="1"/>
      <c r="P12" s="1"/>
      <c r="Q12"/>
      <c r="R12"/>
    </row>
    <row r="13" spans="1:18">
      <c r="A13" s="38" t="s">
        <v>158</v>
      </c>
      <c r="D13" s="139" t="s">
        <v>159</v>
      </c>
      <c r="E13" s="140" t="s">
        <v>160</v>
      </c>
      <c r="F13" s="140" t="s">
        <v>161</v>
      </c>
      <c r="G13" s="141" t="s">
        <v>162</v>
      </c>
      <c r="H13" s="53" t="s">
        <v>163</v>
      </c>
      <c r="I13" s="142"/>
      <c r="J13" s="53"/>
      <c r="K13" s="53">
        <f t="shared" si="1"/>
        <v>0</v>
      </c>
      <c r="L13" s="53"/>
      <c r="M13" s="53"/>
    </row>
    <row r="14" spans="1:18">
      <c r="A14" s="40" t="s">
        <v>42</v>
      </c>
      <c r="B14" s="40"/>
      <c r="C14" s="40"/>
      <c r="D14" s="60"/>
      <c r="E14" s="61">
        <f>SUM(E8:E13)</f>
        <v>22.269999999999996</v>
      </c>
      <c r="F14" s="61">
        <f>SUM(F8:F13)</f>
        <v>2.23</v>
      </c>
      <c r="G14" s="61"/>
      <c r="H14" s="61">
        <f>SUM(H8:H13)</f>
        <v>24291</v>
      </c>
      <c r="I14" s="61">
        <f>SUM(I8:I13)</f>
        <v>7981</v>
      </c>
      <c r="J14" s="61">
        <f>SUM(J8:J13)</f>
        <v>29592</v>
      </c>
      <c r="K14" s="61">
        <f>SUM(H14:J14)</f>
        <v>61864</v>
      </c>
      <c r="L14" s="61">
        <f>SUM(L8:L13)</f>
        <v>0</v>
      </c>
      <c r="M14" s="61">
        <f>SUM(M8:M13)</f>
        <v>0</v>
      </c>
    </row>
    <row r="15" spans="1:18">
      <c r="A15" s="44" t="s">
        <v>43</v>
      </c>
      <c r="B15" s="44"/>
      <c r="C15" s="44"/>
      <c r="D15" s="63"/>
      <c r="E15" s="64">
        <f>SUM(E14-F14)</f>
        <v>20.039999999999996</v>
      </c>
      <c r="F15" s="64"/>
      <c r="G15" s="64"/>
      <c r="H15" s="64">
        <f>SUM(E23*G23)</f>
        <v>22080</v>
      </c>
      <c r="I15" s="64">
        <f>I14-L14</f>
        <v>7981</v>
      </c>
      <c r="J15" s="64">
        <f>J14-M14</f>
        <v>29592</v>
      </c>
      <c r="K15" s="64">
        <f>SUM(H15:J15)</f>
        <v>59653</v>
      </c>
      <c r="L15" s="44"/>
      <c r="M15" s="44"/>
    </row>
    <row r="16" spans="1:18" ht="14.25">
      <c r="A16" s="143" t="s">
        <v>164</v>
      </c>
    </row>
    <row r="17" spans="1:13">
      <c r="C17" s="38" t="s">
        <v>44</v>
      </c>
      <c r="K17" s="53"/>
    </row>
    <row r="18" spans="1:13">
      <c r="A18" s="38" t="s">
        <v>45</v>
      </c>
      <c r="K18" s="53"/>
    </row>
    <row r="19" spans="1:13" ht="13.5">
      <c r="A19" s="66" t="s">
        <v>46</v>
      </c>
      <c r="B19" s="66"/>
      <c r="C19" s="66"/>
      <c r="D19" s="66" t="s">
        <v>47</v>
      </c>
      <c r="E19" s="66" t="s">
        <v>48</v>
      </c>
      <c r="F19" s="66"/>
      <c r="G19" s="66" t="s">
        <v>49</v>
      </c>
      <c r="I19" s="144" t="s">
        <v>50</v>
      </c>
      <c r="J19" s="144" t="s">
        <v>165</v>
      </c>
    </row>
    <row r="20" spans="1:13" ht="14.25">
      <c r="A20" s="143" t="s">
        <v>166</v>
      </c>
      <c r="I20" s="145" t="s">
        <v>167</v>
      </c>
      <c r="J20" s="146">
        <v>65</v>
      </c>
      <c r="L20" s="147" t="s">
        <v>60</v>
      </c>
      <c r="M20" s="147">
        <v>2.86</v>
      </c>
    </row>
    <row r="21" spans="1:13" ht="13.5">
      <c r="A21" s="38" t="s">
        <v>168</v>
      </c>
      <c r="D21" s="38" t="s">
        <v>169</v>
      </c>
      <c r="E21" s="47">
        <v>4345</v>
      </c>
      <c r="G21" s="148" t="s">
        <v>170</v>
      </c>
      <c r="I21" s="149" t="s">
        <v>171</v>
      </c>
      <c r="J21" s="146">
        <v>19</v>
      </c>
      <c r="L21" s="147" t="s">
        <v>172</v>
      </c>
      <c r="M21" s="150">
        <v>1</v>
      </c>
    </row>
    <row r="22" spans="1:13" ht="14.25">
      <c r="A22" s="143" t="s">
        <v>57</v>
      </c>
      <c r="I22" s="151" t="s">
        <v>173</v>
      </c>
      <c r="J22" s="152">
        <v>16</v>
      </c>
    </row>
    <row r="23" spans="1:13" ht="15">
      <c r="A23" s="38" t="s">
        <v>58</v>
      </c>
      <c r="D23" s="38" t="s">
        <v>59</v>
      </c>
      <c r="E23" s="53">
        <v>20</v>
      </c>
      <c r="G23" s="53">
        <v>1104</v>
      </c>
      <c r="I23" s="74"/>
    </row>
    <row r="24" spans="1:13" ht="15">
      <c r="A24" s="38" t="s">
        <v>61</v>
      </c>
      <c r="D24" s="38" t="s">
        <v>59</v>
      </c>
      <c r="E24" s="53">
        <v>2</v>
      </c>
      <c r="I24" s="74"/>
    </row>
    <row r="25" spans="1:13" ht="15">
      <c r="A25" s="38" t="s">
        <v>6</v>
      </c>
      <c r="E25" s="53">
        <f>SUM(E23:E24)</f>
        <v>22</v>
      </c>
      <c r="I25" s="74"/>
    </row>
    <row r="26" spans="1:13" ht="15">
      <c r="I26" s="74"/>
    </row>
    <row r="27" spans="1:13" ht="15.75">
      <c r="A27" s="82" t="s">
        <v>63</v>
      </c>
      <c r="B27" s="40"/>
      <c r="C27" s="40" t="s">
        <v>64</v>
      </c>
      <c r="D27" s="40"/>
      <c r="E27" s="40"/>
      <c r="F27" s="40"/>
      <c r="G27" s="40"/>
      <c r="I27" s="74"/>
      <c r="J27" s="153"/>
      <c r="K27" s="154"/>
    </row>
    <row r="28" spans="1:13" ht="15">
      <c r="A28" s="39" t="s">
        <v>174</v>
      </c>
      <c r="C28" s="155">
        <v>98</v>
      </c>
      <c r="D28" s="39" t="s">
        <v>55</v>
      </c>
      <c r="E28" s="156">
        <v>548</v>
      </c>
      <c r="F28" s="79"/>
      <c r="G28" s="79">
        <v>54</v>
      </c>
      <c r="I28" s="74"/>
      <c r="J28" s="153"/>
      <c r="K28" s="154"/>
    </row>
    <row r="29" spans="1:13" ht="15">
      <c r="A29" s="39"/>
      <c r="B29" s="39"/>
      <c r="C29" s="155"/>
      <c r="D29" s="39"/>
      <c r="E29" s="79"/>
      <c r="F29" s="79"/>
      <c r="G29" s="79"/>
      <c r="I29" s="74"/>
      <c r="J29" s="153"/>
      <c r="K29" s="154"/>
    </row>
    <row r="30" spans="1:13" ht="14.25">
      <c r="A30" s="157" t="s">
        <v>68</v>
      </c>
      <c r="B30" s="44"/>
      <c r="C30" s="44"/>
      <c r="D30" s="44"/>
      <c r="E30" s="44"/>
      <c r="F30" s="44"/>
      <c r="G30" s="157" t="s">
        <v>69</v>
      </c>
      <c r="H30" s="44"/>
      <c r="I30" s="157" t="s">
        <v>70</v>
      </c>
    </row>
    <row r="31" spans="1:13">
      <c r="A31" s="39" t="s">
        <v>71</v>
      </c>
      <c r="B31" s="39"/>
      <c r="C31" s="39"/>
      <c r="D31" s="39"/>
      <c r="E31" s="39"/>
      <c r="F31" s="39"/>
      <c r="G31" s="158">
        <v>7057</v>
      </c>
      <c r="H31" s="133"/>
      <c r="I31" s="159">
        <v>17438</v>
      </c>
    </row>
    <row r="32" spans="1:13">
      <c r="A32" s="39" t="s">
        <v>72</v>
      </c>
      <c r="B32" s="39"/>
      <c r="C32" s="39"/>
      <c r="D32" s="39"/>
      <c r="E32" s="39"/>
      <c r="F32" s="39"/>
      <c r="G32" s="89">
        <v>43</v>
      </c>
      <c r="I32" s="159"/>
    </row>
    <row r="33" spans="1:9">
      <c r="A33" s="39" t="s">
        <v>73</v>
      </c>
      <c r="B33" s="39"/>
      <c r="C33" s="39"/>
      <c r="D33" s="39"/>
      <c r="E33" s="39"/>
      <c r="F33" s="39"/>
      <c r="G33" s="89">
        <f>SUM(G31*G32)</f>
        <v>303451</v>
      </c>
      <c r="I33" s="159">
        <f>G33*2.471</f>
        <v>749827.42099999997</v>
      </c>
    </row>
    <row r="34" spans="1:9">
      <c r="A34" s="39" t="s">
        <v>74</v>
      </c>
      <c r="B34" s="39"/>
      <c r="C34" s="39"/>
      <c r="D34" s="39"/>
      <c r="E34" s="39"/>
      <c r="F34" s="39"/>
      <c r="G34" s="89">
        <f>SUM(G33-K14)</f>
        <v>241587</v>
      </c>
      <c r="I34" s="159">
        <f t="shared" ref="I34:I35" si="2">G34*2.471</f>
        <v>596961.47700000007</v>
      </c>
    </row>
    <row r="35" spans="1:9">
      <c r="A35" s="39" t="s">
        <v>75</v>
      </c>
      <c r="B35" s="39"/>
      <c r="C35" s="39"/>
      <c r="D35" s="39"/>
      <c r="E35" s="39"/>
      <c r="F35" s="39"/>
      <c r="G35" s="89">
        <f>SUM(G33-K15)</f>
        <v>243798</v>
      </c>
      <c r="I35" s="159">
        <f t="shared" si="2"/>
        <v>602424.85800000001</v>
      </c>
    </row>
    <row r="36" spans="1:9">
      <c r="A36" s="39"/>
      <c r="B36" s="39"/>
      <c r="C36" s="39"/>
      <c r="D36" s="39"/>
      <c r="E36" s="39"/>
      <c r="F36" s="39"/>
      <c r="G36" s="89"/>
    </row>
    <row r="37" spans="1:9">
      <c r="A37" s="39" t="s">
        <v>76</v>
      </c>
      <c r="B37" s="39"/>
      <c r="C37" s="39"/>
      <c r="D37" s="39"/>
      <c r="E37" s="39"/>
      <c r="F37" s="39"/>
      <c r="G37" s="89">
        <f>SUM(K14/G31)</f>
        <v>8.7663313022530822</v>
      </c>
    </row>
    <row r="38" spans="1:9">
      <c r="A38" s="44" t="s">
        <v>77</v>
      </c>
      <c r="B38" s="44"/>
      <c r="C38" s="44"/>
      <c r="D38" s="44"/>
      <c r="E38" s="44"/>
      <c r="F38" s="44"/>
      <c r="G38" s="90">
        <f>SUM(K15/G31)</f>
        <v>8.4530253648859297</v>
      </c>
      <c r="H38" s="44"/>
      <c r="I38" s="44"/>
    </row>
    <row r="40" spans="1:9" ht="13.5">
      <c r="A40" s="91" t="s">
        <v>175</v>
      </c>
    </row>
    <row r="41" spans="1:9">
      <c r="A41" s="38" t="s">
        <v>176</v>
      </c>
    </row>
    <row r="49" spans="7:7">
      <c r="G49" s="38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8"/>
  <sheetViews>
    <sheetView topLeftCell="A19" workbookViewId="0">
      <selection sqref="A1:XFD1048576"/>
    </sheetView>
  </sheetViews>
  <sheetFormatPr defaultRowHeight="14.25"/>
  <cols>
    <col min="1" max="2" width="9.140625" style="54"/>
    <col min="3" max="3" width="5.28515625" style="54" customWidth="1"/>
    <col min="4" max="4" width="1.140625" style="54" hidden="1" customWidth="1"/>
    <col min="5" max="5" width="5.28515625" style="54" customWidth="1"/>
    <col min="6" max="6" width="6.7109375" style="54" customWidth="1"/>
    <col min="7" max="7" width="6" style="54" customWidth="1"/>
    <col min="8" max="8" width="9.7109375" style="54" customWidth="1"/>
    <col min="9" max="9" width="9" style="54" customWidth="1"/>
    <col min="10" max="10" width="8.85546875" style="54" customWidth="1"/>
    <col min="11" max="11" width="9.140625" style="54" customWidth="1"/>
    <col min="12" max="12" width="9.28515625" style="54" customWidth="1"/>
    <col min="13" max="13" width="7.28515625" style="54" customWidth="1"/>
    <col min="14" max="14" width="7.85546875" style="54" customWidth="1"/>
    <col min="15" max="16" width="9.140625" style="54"/>
    <col min="17" max="17" width="2.28515625" style="54" customWidth="1"/>
    <col min="18" max="18" width="6.42578125" style="54" customWidth="1"/>
    <col min="19" max="19" width="6" style="54" customWidth="1"/>
    <col min="20" max="16384" width="9.140625" style="54"/>
  </cols>
  <sheetData>
    <row r="1" spans="1:19">
      <c r="A1" s="54" t="s">
        <v>0</v>
      </c>
      <c r="B1" s="118" t="s">
        <v>177</v>
      </c>
      <c r="C1" s="118"/>
      <c r="D1" s="118"/>
      <c r="E1" s="118"/>
      <c r="F1" s="118"/>
      <c r="G1" s="118"/>
      <c r="H1" s="118"/>
      <c r="I1" s="118"/>
    </row>
    <row r="2" spans="1:19">
      <c r="B2" s="118" t="s">
        <v>178</v>
      </c>
      <c r="C2" s="118"/>
      <c r="D2" s="118"/>
      <c r="E2" s="118"/>
      <c r="F2" s="118"/>
      <c r="G2" s="118"/>
      <c r="H2" s="118"/>
      <c r="I2" s="118"/>
    </row>
    <row r="3" spans="1:19">
      <c r="B3" s="118" t="s">
        <v>179</v>
      </c>
      <c r="C3" s="118"/>
      <c r="D3" s="118"/>
      <c r="E3" s="118"/>
      <c r="F3" s="118"/>
      <c r="G3" s="118"/>
      <c r="H3" s="118"/>
      <c r="I3" s="118"/>
    </row>
    <row r="4" spans="1:19">
      <c r="A4" s="117" t="s">
        <v>4</v>
      </c>
      <c r="B4" s="117"/>
      <c r="C4" s="117"/>
      <c r="D4" s="117"/>
      <c r="E4" s="160" t="s">
        <v>5</v>
      </c>
      <c r="F4" s="160" t="s">
        <v>6</v>
      </c>
      <c r="G4" s="160" t="s">
        <v>7</v>
      </c>
      <c r="H4" s="160" t="s">
        <v>8</v>
      </c>
      <c r="I4" s="160" t="s">
        <v>9</v>
      </c>
      <c r="J4" s="160" t="s">
        <v>10</v>
      </c>
      <c r="K4" s="160" t="s">
        <v>11</v>
      </c>
      <c r="L4" s="160" t="s">
        <v>12</v>
      </c>
      <c r="M4" s="161" t="s">
        <v>13</v>
      </c>
      <c r="N4" s="160"/>
    </row>
    <row r="5" spans="1:19">
      <c r="A5" s="162"/>
      <c r="B5" s="162"/>
      <c r="C5" s="162"/>
      <c r="D5" s="162"/>
      <c r="E5" s="163" t="s">
        <v>14</v>
      </c>
      <c r="F5" s="163" t="s">
        <v>15</v>
      </c>
      <c r="G5" s="163" t="s">
        <v>15</v>
      </c>
      <c r="H5" s="163" t="s">
        <v>16</v>
      </c>
      <c r="I5" s="163" t="s">
        <v>17</v>
      </c>
      <c r="J5" s="163" t="s">
        <v>18</v>
      </c>
      <c r="K5" s="163" t="s">
        <v>17</v>
      </c>
      <c r="L5" s="163" t="s">
        <v>17</v>
      </c>
      <c r="M5" s="164" t="s">
        <v>10</v>
      </c>
      <c r="N5" s="163" t="s">
        <v>11</v>
      </c>
    </row>
    <row r="6" spans="1:19">
      <c r="A6" s="162"/>
      <c r="B6" s="162"/>
      <c r="C6" s="162"/>
      <c r="D6" s="162"/>
      <c r="E6" s="163" t="s">
        <v>19</v>
      </c>
      <c r="F6" s="163"/>
      <c r="G6" s="163"/>
      <c r="H6" s="163"/>
      <c r="I6" s="163" t="s">
        <v>20</v>
      </c>
      <c r="J6" s="163" t="s">
        <v>17</v>
      </c>
      <c r="K6" s="163" t="s">
        <v>20</v>
      </c>
      <c r="L6" s="163" t="s">
        <v>20</v>
      </c>
      <c r="M6" s="163"/>
      <c r="N6" s="163"/>
    </row>
    <row r="7" spans="1:19">
      <c r="A7" s="165"/>
      <c r="B7" s="165"/>
      <c r="C7" s="165"/>
      <c r="D7" s="165"/>
      <c r="E7" s="166"/>
      <c r="F7" s="166"/>
      <c r="G7" s="166"/>
      <c r="H7" s="166"/>
      <c r="I7" s="166"/>
      <c r="J7" s="166" t="s">
        <v>20</v>
      </c>
      <c r="K7" s="166"/>
      <c r="L7" s="166"/>
      <c r="M7" s="166"/>
      <c r="N7" s="166"/>
    </row>
    <row r="8" spans="1:19">
      <c r="A8" s="54" t="s">
        <v>21</v>
      </c>
      <c r="E8" s="98">
        <v>68</v>
      </c>
      <c r="F8" s="54">
        <v>7.21</v>
      </c>
      <c r="G8" s="54">
        <v>1.1100000000000001</v>
      </c>
      <c r="H8" s="167">
        <v>1204</v>
      </c>
      <c r="I8" s="99">
        <v>8681</v>
      </c>
      <c r="K8" s="99"/>
      <c r="L8" s="99">
        <f>I8+J8+K8</f>
        <v>8681</v>
      </c>
      <c r="O8" s="1"/>
      <c r="P8" s="1"/>
      <c r="Q8" s="1"/>
      <c r="R8" s="14"/>
      <c r="S8" s="14"/>
    </row>
    <row r="9" spans="1:19">
      <c r="A9" s="54" t="s">
        <v>180</v>
      </c>
      <c r="E9" s="98">
        <v>100</v>
      </c>
      <c r="F9" s="54">
        <v>0.89</v>
      </c>
      <c r="G9" s="54">
        <v>0.66</v>
      </c>
      <c r="H9" s="167">
        <v>1050</v>
      </c>
      <c r="I9" s="99">
        <v>935</v>
      </c>
      <c r="J9" s="99">
        <v>9216</v>
      </c>
      <c r="K9" s="99"/>
      <c r="L9" s="99">
        <f t="shared" ref="L9:L16" si="0">I9+J9+K9</f>
        <v>10151</v>
      </c>
      <c r="M9" s="99">
        <v>2413</v>
      </c>
      <c r="O9" s="1"/>
      <c r="P9" s="1"/>
      <c r="Q9" s="1"/>
      <c r="R9" s="14"/>
      <c r="S9" s="14"/>
    </row>
    <row r="10" spans="1:19">
      <c r="A10" s="54" t="s">
        <v>181</v>
      </c>
      <c r="E10" s="98">
        <v>100</v>
      </c>
      <c r="F10" s="99">
        <v>13.45</v>
      </c>
      <c r="G10" s="99">
        <v>0.6</v>
      </c>
      <c r="H10" s="167">
        <v>1145</v>
      </c>
      <c r="I10" s="99">
        <v>15400</v>
      </c>
      <c r="K10" s="99" t="s">
        <v>182</v>
      </c>
      <c r="L10" s="99">
        <v>19797</v>
      </c>
      <c r="N10" s="99">
        <v>13005</v>
      </c>
      <c r="O10" s="1"/>
      <c r="P10" s="1"/>
      <c r="Q10" s="1"/>
      <c r="R10" s="14"/>
      <c r="S10" s="14"/>
    </row>
    <row r="11" spans="1:19">
      <c r="A11" s="54" t="s">
        <v>183</v>
      </c>
      <c r="E11" s="98">
        <v>100</v>
      </c>
      <c r="F11" s="99">
        <v>12.3</v>
      </c>
      <c r="G11" s="99">
        <v>1.51</v>
      </c>
      <c r="H11" s="167">
        <v>1059</v>
      </c>
      <c r="I11" s="99">
        <v>13026</v>
      </c>
      <c r="K11" s="99">
        <f>F26*H26</f>
        <v>126463</v>
      </c>
      <c r="L11" s="99">
        <f t="shared" si="0"/>
        <v>139489</v>
      </c>
      <c r="O11" s="5"/>
      <c r="P11" s="1"/>
      <c r="Q11" s="1"/>
      <c r="R11" s="14"/>
      <c r="S11" s="14"/>
    </row>
    <row r="12" spans="1:19">
      <c r="A12" s="54" t="s">
        <v>184</v>
      </c>
      <c r="E12" s="98">
        <v>90</v>
      </c>
      <c r="F12" s="99">
        <v>10.53</v>
      </c>
      <c r="G12" s="99">
        <v>0.99</v>
      </c>
      <c r="H12" s="167">
        <v>1097</v>
      </c>
      <c r="I12" s="99">
        <v>11551</v>
      </c>
      <c r="K12" s="99"/>
      <c r="L12" s="99">
        <f t="shared" si="0"/>
        <v>11551</v>
      </c>
      <c r="O12" s="1"/>
      <c r="P12" s="1"/>
      <c r="Q12" s="1"/>
      <c r="R12" s="14"/>
      <c r="S12" s="14"/>
    </row>
    <row r="13" spans="1:19">
      <c r="A13" s="54" t="s">
        <v>34</v>
      </c>
      <c r="E13" s="98">
        <v>74</v>
      </c>
      <c r="F13" s="99">
        <v>14.62</v>
      </c>
      <c r="G13" s="99">
        <v>5.43</v>
      </c>
      <c r="H13" s="167">
        <v>1212</v>
      </c>
      <c r="I13" s="99">
        <v>17719</v>
      </c>
      <c r="K13" s="99">
        <f>F36*H36+F37*H37</f>
        <v>41244</v>
      </c>
      <c r="L13" s="99">
        <f t="shared" si="0"/>
        <v>58963</v>
      </c>
      <c r="O13" s="1"/>
      <c r="P13" s="1"/>
      <c r="Q13" s="1"/>
      <c r="R13" s="14"/>
      <c r="S13" s="14"/>
    </row>
    <row r="14" spans="1:19">
      <c r="A14" s="54" t="s">
        <v>36</v>
      </c>
      <c r="E14" s="98">
        <v>100</v>
      </c>
      <c r="F14" s="99">
        <v>8.67</v>
      </c>
      <c r="G14" s="99">
        <v>4.8600000000000003</v>
      </c>
      <c r="H14" s="167">
        <v>1213</v>
      </c>
      <c r="I14" s="99">
        <v>10517</v>
      </c>
      <c r="K14" s="99">
        <v>24029</v>
      </c>
      <c r="L14" s="99">
        <f t="shared" si="0"/>
        <v>34546</v>
      </c>
      <c r="O14" s="1"/>
      <c r="P14" s="1"/>
      <c r="Q14" s="1"/>
      <c r="R14" s="14"/>
      <c r="S14" s="14"/>
    </row>
    <row r="15" spans="1:19">
      <c r="A15" s="54" t="s">
        <v>92</v>
      </c>
      <c r="E15" s="98">
        <v>90</v>
      </c>
      <c r="F15" s="14">
        <v>29.39</v>
      </c>
      <c r="G15" s="99">
        <v>28.4</v>
      </c>
      <c r="H15" s="167">
        <v>1200</v>
      </c>
      <c r="I15" s="99">
        <v>35268</v>
      </c>
      <c r="J15" s="14">
        <v>12245</v>
      </c>
      <c r="K15" s="99"/>
      <c r="L15" s="99">
        <f t="shared" si="0"/>
        <v>47513</v>
      </c>
      <c r="O15" s="1"/>
      <c r="P15" s="1"/>
      <c r="Q15" s="1"/>
      <c r="R15" s="14"/>
      <c r="S15" s="14"/>
    </row>
    <row r="16" spans="1:19">
      <c r="A16" s="54" t="s">
        <v>185</v>
      </c>
      <c r="E16" s="98">
        <v>88</v>
      </c>
      <c r="F16" s="99">
        <v>18.03</v>
      </c>
      <c r="G16" s="99">
        <v>2.39</v>
      </c>
      <c r="H16" s="167">
        <v>1080</v>
      </c>
      <c r="I16" s="99">
        <v>19472</v>
      </c>
      <c r="K16" s="99"/>
      <c r="L16" s="99">
        <f t="shared" si="0"/>
        <v>19472</v>
      </c>
      <c r="O16" s="1"/>
      <c r="P16" s="1"/>
      <c r="Q16" s="1"/>
      <c r="R16" s="14"/>
      <c r="S16" s="14"/>
    </row>
    <row r="17" spans="1:19">
      <c r="A17" s="92" t="s">
        <v>42</v>
      </c>
      <c r="B17" s="92"/>
      <c r="C17" s="92"/>
      <c r="D17" s="92"/>
      <c r="E17" s="103"/>
      <c r="F17" s="104">
        <f>SUM(F8:F16)</f>
        <v>115.08999999999999</v>
      </c>
      <c r="G17" s="104">
        <f>SUM(G8:G16)</f>
        <v>45.95</v>
      </c>
      <c r="H17" s="104"/>
      <c r="I17" s="104">
        <f>SUM(I8:I16)</f>
        <v>132569</v>
      </c>
      <c r="J17" s="104">
        <f>SUM(J8:J16)</f>
        <v>21461</v>
      </c>
      <c r="K17" s="104">
        <v>196133</v>
      </c>
      <c r="L17" s="104">
        <f>SUM(I17:K17)</f>
        <v>350163</v>
      </c>
      <c r="M17" s="104">
        <f>SUM(M8:M16)</f>
        <v>2413</v>
      </c>
      <c r="N17" s="104">
        <f>SUM(N8:N16)</f>
        <v>13005</v>
      </c>
      <c r="O17" s="1"/>
      <c r="P17" s="1"/>
      <c r="Q17" s="1"/>
      <c r="R17" s="14"/>
      <c r="S17" s="14"/>
    </row>
    <row r="18" spans="1:19">
      <c r="A18" s="96" t="s">
        <v>43</v>
      </c>
      <c r="B18" s="96"/>
      <c r="C18" s="96"/>
      <c r="D18" s="96"/>
      <c r="E18" s="105"/>
      <c r="F18" s="106">
        <f>SUM(F17-G17)</f>
        <v>69.139999999999986</v>
      </c>
      <c r="G18" s="106"/>
      <c r="H18" s="106"/>
      <c r="I18" s="106">
        <f>SUM(F30*H30)</f>
        <v>79557</v>
      </c>
      <c r="J18" s="106">
        <f>J17-M17</f>
        <v>19048</v>
      </c>
      <c r="K18" s="106">
        <f>K17-N17</f>
        <v>183128</v>
      </c>
      <c r="L18" s="106">
        <f>SUM(I18:K18)</f>
        <v>281733</v>
      </c>
      <c r="M18" s="96"/>
      <c r="N18" s="96"/>
    </row>
    <row r="19" spans="1:19">
      <c r="A19" s="54" t="s">
        <v>186</v>
      </c>
      <c r="F19" s="99"/>
      <c r="I19" s="99"/>
      <c r="J19" s="14"/>
      <c r="K19" s="99"/>
      <c r="L19" s="99"/>
    </row>
    <row r="20" spans="1:19">
      <c r="D20" s="54" t="s">
        <v>44</v>
      </c>
    </row>
    <row r="22" spans="1:19">
      <c r="A22" s="54" t="s">
        <v>45</v>
      </c>
    </row>
    <row r="23" spans="1:19">
      <c r="A23" s="108" t="s">
        <v>46</v>
      </c>
      <c r="B23" s="108"/>
      <c r="C23" s="108"/>
      <c r="D23" s="108"/>
      <c r="E23" s="108" t="s">
        <v>47</v>
      </c>
      <c r="F23" s="108" t="s">
        <v>48</v>
      </c>
      <c r="G23" s="108"/>
      <c r="H23" s="108" t="s">
        <v>49</v>
      </c>
    </row>
    <row r="24" spans="1:19">
      <c r="A24" s="54" t="s">
        <v>52</v>
      </c>
    </row>
    <row r="26" spans="1:19">
      <c r="A26" s="54" t="s">
        <v>121</v>
      </c>
      <c r="B26" s="111"/>
      <c r="D26" s="54">
        <v>58.33</v>
      </c>
      <c r="E26" s="54" t="s">
        <v>55</v>
      </c>
      <c r="F26" s="14">
        <v>731</v>
      </c>
      <c r="G26" s="99"/>
      <c r="H26" s="14">
        <v>173</v>
      </c>
      <c r="K26" s="109" t="s">
        <v>62</v>
      </c>
      <c r="L26" s="109">
        <v>0.25</v>
      </c>
    </row>
    <row r="27" spans="1:19">
      <c r="K27" s="109" t="s">
        <v>187</v>
      </c>
      <c r="L27" s="168">
        <v>0.6</v>
      </c>
    </row>
    <row r="29" spans="1:19">
      <c r="A29" s="54" t="s">
        <v>57</v>
      </c>
      <c r="I29" s="119"/>
    </row>
    <row r="30" spans="1:19">
      <c r="A30" s="54" t="s">
        <v>58</v>
      </c>
      <c r="E30" s="54" t="s">
        <v>59</v>
      </c>
      <c r="F30" s="99">
        <v>69</v>
      </c>
      <c r="H30" s="99">
        <v>1153</v>
      </c>
      <c r="K30" s="169" t="s">
        <v>188</v>
      </c>
      <c r="L30" s="169"/>
    </row>
    <row r="31" spans="1:19">
      <c r="A31" s="54" t="s">
        <v>61</v>
      </c>
      <c r="E31" s="54" t="s">
        <v>59</v>
      </c>
      <c r="F31" s="99">
        <v>46</v>
      </c>
      <c r="K31" s="169" t="s">
        <v>189</v>
      </c>
      <c r="L31" s="170">
        <v>100</v>
      </c>
    </row>
    <row r="32" spans="1:19">
      <c r="A32" s="54" t="s">
        <v>6</v>
      </c>
      <c r="F32" s="99">
        <f>F30+F31</f>
        <v>115</v>
      </c>
      <c r="J32" s="51"/>
      <c r="K32" s="102"/>
      <c r="L32" s="171"/>
    </row>
    <row r="33" spans="1:12">
      <c r="J33" s="51"/>
      <c r="K33" s="102"/>
      <c r="L33" s="171"/>
    </row>
    <row r="34" spans="1:12">
      <c r="A34" s="92" t="s">
        <v>63</v>
      </c>
      <c r="B34" s="92"/>
      <c r="C34" s="92"/>
      <c r="D34" s="92" t="s">
        <v>64</v>
      </c>
      <c r="E34" s="92"/>
      <c r="F34" s="92"/>
      <c r="G34" s="92"/>
      <c r="H34" s="92"/>
      <c r="J34" s="51"/>
      <c r="K34" s="102"/>
      <c r="L34" s="171"/>
    </row>
    <row r="35" spans="1:12">
      <c r="A35" s="51"/>
      <c r="B35" s="51" t="s">
        <v>51</v>
      </c>
      <c r="C35" s="51"/>
      <c r="D35" s="51"/>
      <c r="E35" s="51"/>
      <c r="F35" s="51"/>
      <c r="G35" s="51"/>
      <c r="H35" s="51"/>
      <c r="J35" s="51"/>
      <c r="K35" s="102"/>
      <c r="L35" s="171"/>
    </row>
    <row r="36" spans="1:12">
      <c r="A36" s="5"/>
      <c r="B36" s="7">
        <v>84</v>
      </c>
      <c r="C36" s="7" t="s">
        <v>190</v>
      </c>
      <c r="D36" s="29">
        <v>37.5</v>
      </c>
      <c r="E36" s="5" t="s">
        <v>55</v>
      </c>
      <c r="F36" s="30">
        <v>512</v>
      </c>
      <c r="G36" s="30"/>
      <c r="H36" s="30">
        <v>62</v>
      </c>
      <c r="I36" s="1"/>
      <c r="J36" s="5"/>
      <c r="K36" s="102"/>
      <c r="L36" s="171"/>
    </row>
    <row r="37" spans="1:12">
      <c r="A37" s="5"/>
      <c r="B37" s="7">
        <v>48</v>
      </c>
      <c r="C37" s="5" t="s">
        <v>191</v>
      </c>
      <c r="D37" s="29">
        <v>50</v>
      </c>
      <c r="E37" s="5" t="s">
        <v>192</v>
      </c>
      <c r="F37" s="30">
        <v>50</v>
      </c>
      <c r="G37" s="30"/>
      <c r="H37" s="30">
        <v>190</v>
      </c>
      <c r="I37" s="1"/>
      <c r="J37" s="51"/>
      <c r="K37" s="102"/>
      <c r="L37" s="171"/>
    </row>
    <row r="38" spans="1:12">
      <c r="A38" s="5"/>
      <c r="B38" s="5"/>
      <c r="D38" s="29">
        <v>46</v>
      </c>
      <c r="E38" s="5"/>
      <c r="F38" s="5"/>
      <c r="G38" s="5"/>
      <c r="H38" s="5"/>
      <c r="I38" s="1"/>
    </row>
    <row r="39" spans="1:12">
      <c r="A39" s="2" t="s">
        <v>68</v>
      </c>
      <c r="B39" s="2"/>
      <c r="C39" s="2"/>
      <c r="D39" s="2"/>
      <c r="E39" s="2"/>
      <c r="F39" s="2"/>
      <c r="G39" s="2"/>
      <c r="H39" s="2" t="s">
        <v>129</v>
      </c>
      <c r="I39" s="1"/>
      <c r="J39" s="54" t="s">
        <v>70</v>
      </c>
    </row>
    <row r="40" spans="1:12">
      <c r="A40" s="5" t="s">
        <v>71</v>
      </c>
      <c r="B40" s="5"/>
      <c r="C40" s="5"/>
      <c r="D40" s="5"/>
      <c r="E40" s="5"/>
      <c r="F40" s="5"/>
      <c r="G40" s="5"/>
      <c r="H40" s="34">
        <v>6527</v>
      </c>
      <c r="I40" s="1"/>
      <c r="J40" s="99">
        <v>16128</v>
      </c>
    </row>
    <row r="41" spans="1:12">
      <c r="A41" s="5" t="s">
        <v>72</v>
      </c>
      <c r="B41" s="5"/>
      <c r="C41" s="5"/>
      <c r="D41" s="5"/>
      <c r="E41" s="5"/>
      <c r="F41" s="5"/>
      <c r="G41" s="5"/>
      <c r="H41" s="36">
        <v>92</v>
      </c>
      <c r="I41" s="1"/>
      <c r="J41" s="99"/>
    </row>
    <row r="42" spans="1:12">
      <c r="A42" s="5" t="s">
        <v>73</v>
      </c>
      <c r="B42" s="5"/>
      <c r="C42" s="5"/>
      <c r="D42" s="5"/>
      <c r="E42" s="5"/>
      <c r="F42" s="5"/>
      <c r="G42" s="5"/>
      <c r="H42" s="36">
        <f>H40*H41</f>
        <v>600484</v>
      </c>
      <c r="I42" s="1"/>
      <c r="J42" s="119">
        <f>H42*2.471</f>
        <v>1483795.9640000002</v>
      </c>
    </row>
    <row r="43" spans="1:12">
      <c r="A43" s="5" t="s">
        <v>74</v>
      </c>
      <c r="B43" s="5"/>
      <c r="C43" s="5"/>
      <c r="D43" s="5"/>
      <c r="E43" s="5"/>
      <c r="F43" s="5"/>
      <c r="G43" s="5"/>
      <c r="H43" s="36">
        <f>H42-L17</f>
        <v>250321</v>
      </c>
      <c r="I43" s="1"/>
      <c r="J43" s="119">
        <f t="shared" ref="J43:J44" si="1">H43*2.471</f>
        <v>618543.19099999999</v>
      </c>
    </row>
    <row r="44" spans="1:12">
      <c r="A44" s="5" t="s">
        <v>75</v>
      </c>
      <c r="B44" s="5"/>
      <c r="C44" s="5"/>
      <c r="D44" s="5"/>
      <c r="E44" s="5"/>
      <c r="F44" s="5"/>
      <c r="G44" s="5"/>
      <c r="H44" s="36">
        <f>H42-L18</f>
        <v>318751</v>
      </c>
      <c r="I44" s="1"/>
      <c r="J44" s="119">
        <f t="shared" si="1"/>
        <v>787633.72100000002</v>
      </c>
    </row>
    <row r="45" spans="1:12">
      <c r="A45" s="5"/>
      <c r="B45" s="5"/>
      <c r="C45" s="5"/>
      <c r="D45" s="5"/>
      <c r="E45" s="5"/>
      <c r="F45" s="5"/>
      <c r="G45" s="5"/>
      <c r="H45" s="36"/>
      <c r="I45" s="1"/>
    </row>
    <row r="46" spans="1:12">
      <c r="A46" s="5" t="s">
        <v>76</v>
      </c>
      <c r="B46" s="5"/>
      <c r="C46" s="5"/>
      <c r="D46" s="5"/>
      <c r="E46" s="5"/>
      <c r="F46" s="5"/>
      <c r="G46" s="5"/>
      <c r="H46" s="36">
        <f>L17/H40</f>
        <v>53.648383637199323</v>
      </c>
      <c r="I46" s="1"/>
    </row>
    <row r="47" spans="1:12">
      <c r="A47" s="8" t="s">
        <v>77</v>
      </c>
      <c r="B47" s="8"/>
      <c r="C47" s="8"/>
      <c r="D47" s="8"/>
      <c r="E47" s="8"/>
      <c r="F47" s="8"/>
      <c r="G47" s="8"/>
      <c r="H47" s="37">
        <f>L18/H40</f>
        <v>43.164240845717785</v>
      </c>
      <c r="I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</row>
    <row r="49" spans="1:8">
      <c r="A49" s="54" t="s">
        <v>130</v>
      </c>
    </row>
    <row r="58" spans="1:8">
      <c r="H58" s="54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5"/>
  <sheetViews>
    <sheetView workbookViewId="0">
      <selection sqref="A1:XFD1048576"/>
    </sheetView>
  </sheetViews>
  <sheetFormatPr defaultRowHeight="15"/>
  <cols>
    <col min="1" max="2" width="9.140625" style="172"/>
    <col min="3" max="3" width="5.28515625" style="172" customWidth="1"/>
    <col min="4" max="4" width="5.7109375" style="172" customWidth="1"/>
    <col min="5" max="5" width="5.85546875" style="172" customWidth="1"/>
    <col min="6" max="6" width="5.42578125" style="172" customWidth="1"/>
    <col min="7" max="7" width="9.140625" style="172" customWidth="1"/>
    <col min="8" max="8" width="8.140625" style="172" customWidth="1"/>
    <col min="9" max="9" width="8.42578125" style="172" customWidth="1"/>
    <col min="10" max="10" width="8.140625" style="172" customWidth="1"/>
    <col min="11" max="11" width="9.28515625" style="172" customWidth="1"/>
    <col min="12" max="12" width="7" style="172" customWidth="1"/>
    <col min="13" max="13" width="5.7109375" style="172" customWidth="1"/>
    <col min="14" max="15" width="9.140625" style="172"/>
    <col min="16" max="16" width="4" style="172" customWidth="1"/>
    <col min="17" max="17" width="6.7109375" style="172" customWidth="1"/>
    <col min="18" max="18" width="6" style="172" customWidth="1"/>
    <col min="19" max="16384" width="9.140625" style="172"/>
  </cols>
  <sheetData>
    <row r="1" spans="1:18">
      <c r="A1" s="54" t="s">
        <v>0</v>
      </c>
      <c r="B1" s="54" t="s">
        <v>193</v>
      </c>
      <c r="C1" s="54"/>
      <c r="D1" s="54"/>
      <c r="E1" s="54"/>
      <c r="F1" s="54"/>
      <c r="G1" s="54" t="s">
        <v>194</v>
      </c>
      <c r="H1" s="54"/>
      <c r="I1" s="54"/>
      <c r="J1" s="54"/>
      <c r="K1" s="54"/>
      <c r="L1" s="54"/>
      <c r="M1" s="38"/>
    </row>
    <row r="2" spans="1:18">
      <c r="A2" s="54"/>
      <c r="B2" s="54" t="s">
        <v>195</v>
      </c>
      <c r="C2" s="54" t="s">
        <v>196</v>
      </c>
      <c r="D2" s="54"/>
      <c r="E2" s="54"/>
      <c r="F2" s="54"/>
      <c r="G2" s="54"/>
      <c r="H2" s="54" t="s">
        <v>197</v>
      </c>
      <c r="I2" s="54"/>
      <c r="J2" s="54"/>
      <c r="K2" s="54"/>
      <c r="L2" s="54"/>
      <c r="M2" s="38"/>
    </row>
    <row r="3" spans="1:18">
      <c r="A3" s="92" t="s">
        <v>4</v>
      </c>
      <c r="B3" s="92"/>
      <c r="C3" s="92"/>
      <c r="D3" s="93" t="s">
        <v>5</v>
      </c>
      <c r="E3" s="93" t="s">
        <v>6</v>
      </c>
      <c r="F3" s="93" t="s">
        <v>7</v>
      </c>
      <c r="G3" s="93" t="s">
        <v>8</v>
      </c>
      <c r="H3" s="93" t="s">
        <v>9</v>
      </c>
      <c r="I3" s="93" t="s">
        <v>10</v>
      </c>
      <c r="J3" s="93" t="s">
        <v>11</v>
      </c>
      <c r="K3" s="93" t="s">
        <v>12</v>
      </c>
      <c r="L3" s="94" t="s">
        <v>13</v>
      </c>
      <c r="M3" s="41"/>
    </row>
    <row r="4" spans="1:18">
      <c r="A4" s="51"/>
      <c r="B4" s="51"/>
      <c r="C4" s="51"/>
      <c r="D4" s="52" t="s">
        <v>14</v>
      </c>
      <c r="E4" s="52" t="s">
        <v>15</v>
      </c>
      <c r="F4" s="52" t="s">
        <v>15</v>
      </c>
      <c r="G4" s="52" t="s">
        <v>16</v>
      </c>
      <c r="H4" s="52" t="s">
        <v>17</v>
      </c>
      <c r="I4" s="52" t="s">
        <v>18</v>
      </c>
      <c r="J4" s="52" t="s">
        <v>17</v>
      </c>
      <c r="K4" s="52" t="s">
        <v>17</v>
      </c>
      <c r="L4" s="52" t="s">
        <v>10</v>
      </c>
      <c r="M4" s="43" t="s">
        <v>11</v>
      </c>
      <c r="N4" s="173"/>
    </row>
    <row r="5" spans="1:18">
      <c r="A5" s="51"/>
      <c r="B5" s="51"/>
      <c r="C5" s="51"/>
      <c r="D5" s="52" t="s">
        <v>19</v>
      </c>
      <c r="E5" s="52"/>
      <c r="F5" s="52"/>
      <c r="G5" s="52"/>
      <c r="H5" s="52" t="s">
        <v>20</v>
      </c>
      <c r="I5" s="52" t="s">
        <v>17</v>
      </c>
      <c r="J5" s="52" t="s">
        <v>20</v>
      </c>
      <c r="K5" s="52" t="s">
        <v>20</v>
      </c>
      <c r="L5" s="52"/>
      <c r="M5" s="43"/>
      <c r="N5" s="174"/>
    </row>
    <row r="6" spans="1:18">
      <c r="A6" s="96"/>
      <c r="B6" s="96"/>
      <c r="C6" s="96"/>
      <c r="D6" s="97"/>
      <c r="E6" s="97"/>
      <c r="F6" s="97"/>
      <c r="G6" s="97"/>
      <c r="H6" s="97"/>
      <c r="I6" s="97" t="s">
        <v>20</v>
      </c>
      <c r="J6" s="97"/>
      <c r="K6" s="97"/>
      <c r="L6" s="97"/>
      <c r="M6" s="45"/>
      <c r="N6" s="174"/>
    </row>
    <row r="7" spans="1:18">
      <c r="A7" s="54" t="s">
        <v>198</v>
      </c>
      <c r="B7" s="54"/>
      <c r="C7" s="54"/>
      <c r="D7" s="98">
        <v>60</v>
      </c>
      <c r="E7" s="14">
        <v>2.88</v>
      </c>
      <c r="F7" s="99">
        <f>1.44+0.4</f>
        <v>1.8399999999999999</v>
      </c>
      <c r="G7" s="101">
        <v>1020</v>
      </c>
      <c r="H7" s="99">
        <v>2938</v>
      </c>
      <c r="I7" s="99"/>
      <c r="J7" s="99"/>
      <c r="K7" s="99">
        <f t="shared" ref="K7:K16" si="0">SUM(H7:J7)</f>
        <v>2938</v>
      </c>
      <c r="L7" s="54"/>
      <c r="M7" s="38"/>
      <c r="N7" s="54"/>
      <c r="O7" s="54"/>
      <c r="P7" s="54"/>
      <c r="Q7" s="15"/>
      <c r="R7" s="54"/>
    </row>
    <row r="8" spans="1:18">
      <c r="A8" s="54" t="s">
        <v>199</v>
      </c>
      <c r="B8" s="54"/>
      <c r="C8" s="54"/>
      <c r="D8" s="122">
        <v>94</v>
      </c>
      <c r="E8" s="14">
        <v>0.69</v>
      </c>
      <c r="F8" s="99">
        <v>0.69</v>
      </c>
      <c r="G8" s="101">
        <v>900</v>
      </c>
      <c r="H8" s="99">
        <f t="shared" ref="H8:H14" si="1">SUM(E8*G8)</f>
        <v>621</v>
      </c>
      <c r="I8" s="99">
        <v>7803</v>
      </c>
      <c r="J8" s="99"/>
      <c r="K8" s="99">
        <f t="shared" si="0"/>
        <v>8424</v>
      </c>
      <c r="L8" s="99">
        <v>1419</v>
      </c>
      <c r="M8" s="38"/>
      <c r="N8" s="54"/>
      <c r="O8" s="54"/>
      <c r="P8" s="54"/>
      <c r="Q8" s="1"/>
      <c r="R8" s="54"/>
    </row>
    <row r="9" spans="1:18" s="174" customFormat="1">
      <c r="A9" s="54" t="s">
        <v>200</v>
      </c>
      <c r="B9" s="54"/>
      <c r="C9" s="54"/>
      <c r="D9" s="175">
        <v>100</v>
      </c>
      <c r="E9" s="14">
        <v>13.91</v>
      </c>
      <c r="F9" s="14">
        <f>1.07+2.06</f>
        <v>3.13</v>
      </c>
      <c r="G9" s="99">
        <v>900</v>
      </c>
      <c r="H9" s="99">
        <f t="shared" si="1"/>
        <v>12519</v>
      </c>
      <c r="I9" s="14"/>
      <c r="J9" s="14"/>
      <c r="K9" s="99">
        <f t="shared" si="0"/>
        <v>12519</v>
      </c>
      <c r="L9" s="14"/>
      <c r="M9" s="81"/>
      <c r="N9" s="54"/>
      <c r="O9" s="54"/>
      <c r="P9" s="54"/>
      <c r="Q9" s="1"/>
      <c r="R9" s="54"/>
    </row>
    <row r="10" spans="1:18">
      <c r="A10" s="1" t="s">
        <v>201</v>
      </c>
      <c r="B10" s="1"/>
      <c r="C10" s="1"/>
      <c r="D10" s="98">
        <v>100</v>
      </c>
      <c r="E10" s="14">
        <v>13</v>
      </c>
      <c r="F10" s="99">
        <f>1.1+1.06</f>
        <v>2.16</v>
      </c>
      <c r="G10" s="101">
        <v>850</v>
      </c>
      <c r="H10" s="99">
        <f t="shared" si="1"/>
        <v>11050</v>
      </c>
      <c r="I10" s="99"/>
      <c r="J10" s="99"/>
      <c r="K10" s="99">
        <f t="shared" si="0"/>
        <v>11050</v>
      </c>
      <c r="L10" s="99"/>
      <c r="M10" s="38"/>
      <c r="N10" s="54"/>
      <c r="O10" s="54"/>
      <c r="P10" s="54"/>
      <c r="Q10" s="14"/>
      <c r="R10" s="1"/>
    </row>
    <row r="11" spans="1:18">
      <c r="A11" s="54" t="s">
        <v>34</v>
      </c>
      <c r="B11" s="54"/>
      <c r="C11" s="1"/>
      <c r="D11" s="98">
        <v>90</v>
      </c>
      <c r="E11" s="14">
        <v>2.2599999999999998</v>
      </c>
      <c r="F11" s="99">
        <f>1.72+0.16</f>
        <v>1.88</v>
      </c>
      <c r="G11" s="101">
        <v>900</v>
      </c>
      <c r="H11" s="99">
        <f t="shared" si="1"/>
        <v>2033.9999999999998</v>
      </c>
      <c r="I11" s="99"/>
      <c r="J11" s="14">
        <f>(E32*G32+E33*G33+E34*G34+E35*G35)</f>
        <v>9825</v>
      </c>
      <c r="K11" s="99">
        <f t="shared" si="0"/>
        <v>11859</v>
      </c>
      <c r="L11" s="99"/>
      <c r="M11" s="38"/>
      <c r="N11" s="1"/>
      <c r="O11" s="1"/>
      <c r="P11" s="1"/>
      <c r="Q11" s="14"/>
      <c r="R11" s="54"/>
    </row>
    <row r="12" spans="1:18">
      <c r="A12" s="54" t="s">
        <v>202</v>
      </c>
      <c r="B12" s="54"/>
      <c r="C12" s="54"/>
      <c r="D12" s="98">
        <v>84</v>
      </c>
      <c r="E12" s="14">
        <v>1.18</v>
      </c>
      <c r="F12" s="99">
        <f>0.78+0.06</f>
        <v>0.84000000000000008</v>
      </c>
      <c r="G12" s="101">
        <v>978</v>
      </c>
      <c r="H12" s="99">
        <v>1154</v>
      </c>
      <c r="I12" s="99"/>
      <c r="J12" s="14">
        <v>4589</v>
      </c>
      <c r="K12" s="99">
        <f t="shared" si="0"/>
        <v>5743</v>
      </c>
      <c r="L12" s="99"/>
      <c r="M12" s="38"/>
      <c r="N12" s="54"/>
      <c r="O12" s="1"/>
      <c r="P12" s="1"/>
      <c r="Q12" s="14"/>
      <c r="R12" s="54"/>
    </row>
    <row r="13" spans="1:18">
      <c r="A13" s="54" t="s">
        <v>36</v>
      </c>
      <c r="B13" s="54"/>
      <c r="C13" s="54"/>
      <c r="D13" s="98">
        <v>100</v>
      </c>
      <c r="E13" s="14">
        <v>2.92</v>
      </c>
      <c r="F13" s="99">
        <v>2.38</v>
      </c>
      <c r="G13" s="101">
        <v>1153</v>
      </c>
      <c r="H13" s="99">
        <v>3367</v>
      </c>
      <c r="I13" s="99"/>
      <c r="J13" s="14">
        <v>6009</v>
      </c>
      <c r="K13" s="99">
        <f t="shared" si="0"/>
        <v>9376</v>
      </c>
      <c r="L13" s="99"/>
      <c r="M13" s="38"/>
      <c r="N13" s="54"/>
      <c r="O13" s="54"/>
      <c r="P13" s="54"/>
      <c r="Q13" s="14"/>
      <c r="R13" s="54"/>
    </row>
    <row r="14" spans="1:18">
      <c r="A14" s="54" t="s">
        <v>92</v>
      </c>
      <c r="B14" s="54"/>
      <c r="C14" s="54"/>
      <c r="D14" s="98">
        <v>100</v>
      </c>
      <c r="E14" s="14">
        <v>8.4</v>
      </c>
      <c r="F14" s="99">
        <v>8.4</v>
      </c>
      <c r="G14" s="101">
        <v>900</v>
      </c>
      <c r="H14" s="99">
        <f t="shared" si="1"/>
        <v>7560</v>
      </c>
      <c r="I14" s="99"/>
      <c r="J14" s="14"/>
      <c r="K14" s="99">
        <f t="shared" si="0"/>
        <v>7560</v>
      </c>
      <c r="L14" s="99"/>
      <c r="M14" s="38"/>
      <c r="N14" s="54"/>
      <c r="O14" s="54"/>
      <c r="P14" s="54"/>
      <c r="Q14" s="14"/>
      <c r="R14" s="54"/>
    </row>
    <row r="15" spans="1:18">
      <c r="A15" s="54" t="s">
        <v>203</v>
      </c>
      <c r="B15" s="54"/>
      <c r="C15" s="54"/>
      <c r="D15" s="98">
        <v>100</v>
      </c>
      <c r="E15" s="14">
        <v>29.01</v>
      </c>
      <c r="F15" s="99">
        <f>2.96+2.09</f>
        <v>5.05</v>
      </c>
      <c r="G15" s="176">
        <v>952</v>
      </c>
      <c r="H15" s="99">
        <v>27618</v>
      </c>
      <c r="I15" s="99"/>
      <c r="J15" s="177"/>
      <c r="K15" s="99">
        <f t="shared" si="0"/>
        <v>27618</v>
      </c>
      <c r="L15" s="99"/>
      <c r="M15" s="38"/>
      <c r="N15" s="54"/>
      <c r="O15" s="54"/>
      <c r="P15" s="54"/>
      <c r="Q15" s="14"/>
      <c r="R15" s="54"/>
    </row>
    <row r="16" spans="1:18">
      <c r="A16" s="54" t="s">
        <v>204</v>
      </c>
      <c r="B16" s="54"/>
      <c r="C16" s="54"/>
      <c r="D16" s="98">
        <v>58</v>
      </c>
      <c r="E16" s="14">
        <v>0.83</v>
      </c>
      <c r="F16" s="99">
        <v>0.83</v>
      </c>
      <c r="G16" s="101">
        <v>910</v>
      </c>
      <c r="H16" s="99">
        <v>755</v>
      </c>
      <c r="I16" s="99">
        <v>3096</v>
      </c>
      <c r="J16" s="99"/>
      <c r="K16" s="99">
        <f t="shared" si="0"/>
        <v>3851</v>
      </c>
      <c r="L16" s="99"/>
      <c r="M16" s="38"/>
      <c r="N16" s="54"/>
      <c r="O16" s="54"/>
      <c r="P16" s="54"/>
      <c r="Q16" s="14"/>
      <c r="R16" s="54"/>
    </row>
    <row r="17" spans="1:18">
      <c r="A17" s="92" t="s">
        <v>42</v>
      </c>
      <c r="B17" s="92"/>
      <c r="C17" s="92"/>
      <c r="D17" s="103"/>
      <c r="E17" s="92">
        <f>SUM(E7:E16)</f>
        <v>75.08</v>
      </c>
      <c r="F17" s="92">
        <f>SUM(F7:F16)</f>
        <v>27.2</v>
      </c>
      <c r="G17" s="92"/>
      <c r="H17" s="104">
        <f>SUM(H7:H16)</f>
        <v>69616</v>
      </c>
      <c r="I17" s="104">
        <f>SUM(I7:I16)</f>
        <v>10899</v>
      </c>
      <c r="J17" s="104">
        <f>SUM(J7:J16)</f>
        <v>20423</v>
      </c>
      <c r="K17" s="104">
        <f>SUM(H17:J17)</f>
        <v>100938</v>
      </c>
      <c r="L17" s="104">
        <f>SUM(L7:L16)</f>
        <v>1419</v>
      </c>
      <c r="M17" s="40">
        <f>SUM(M7:M16)</f>
        <v>0</v>
      </c>
      <c r="N17" s="54"/>
      <c r="O17" s="54"/>
      <c r="P17" s="54"/>
      <c r="Q17" s="14"/>
      <c r="R17" s="54"/>
    </row>
    <row r="18" spans="1:18">
      <c r="A18" s="96" t="s">
        <v>43</v>
      </c>
      <c r="B18" s="96"/>
      <c r="C18" s="96"/>
      <c r="D18" s="105"/>
      <c r="E18" s="96">
        <f>E17-F17</f>
        <v>47.879999999999995</v>
      </c>
      <c r="F18" s="96"/>
      <c r="G18" s="96"/>
      <c r="H18" s="106">
        <f>SUM(E27*G27)</f>
        <v>44544</v>
      </c>
      <c r="I18" s="106">
        <f>I17-L17</f>
        <v>9480</v>
      </c>
      <c r="J18" s="106">
        <f>J17-M17</f>
        <v>20423</v>
      </c>
      <c r="K18" s="106">
        <f>SUM(H18:J18)</f>
        <v>74447</v>
      </c>
      <c r="L18" s="96"/>
      <c r="M18" s="44"/>
      <c r="N18" s="54"/>
      <c r="O18" s="54"/>
      <c r="P18" s="54"/>
      <c r="Q18" s="14"/>
      <c r="R18" s="54"/>
    </row>
    <row r="19" spans="1:18">
      <c r="A19" s="54"/>
      <c r="B19" s="54"/>
      <c r="C19" s="54" t="s">
        <v>44</v>
      </c>
      <c r="D19" s="54"/>
      <c r="E19" s="54"/>
      <c r="F19" s="54"/>
      <c r="G19" s="54"/>
      <c r="H19" s="54"/>
      <c r="I19" s="54"/>
      <c r="J19" s="54"/>
      <c r="K19" s="54"/>
      <c r="L19" s="54"/>
      <c r="M19" s="38"/>
    </row>
    <row r="20" spans="1:18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178"/>
      <c r="L20" s="54"/>
      <c r="M20" s="38"/>
    </row>
    <row r="21" spans="1:18">
      <c r="A21" s="54" t="s">
        <v>45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38"/>
    </row>
    <row r="22" spans="1:18">
      <c r="A22" s="108" t="s">
        <v>46</v>
      </c>
      <c r="B22" s="108"/>
      <c r="C22" s="108"/>
      <c r="D22" s="108" t="s">
        <v>47</v>
      </c>
      <c r="E22" s="108" t="s">
        <v>48</v>
      </c>
      <c r="F22" s="108"/>
      <c r="G22" s="108" t="s">
        <v>49</v>
      </c>
      <c r="H22" s="54"/>
      <c r="I22" s="54"/>
      <c r="J22" s="54"/>
      <c r="K22" s="54"/>
      <c r="L22" s="54"/>
      <c r="M22" s="38"/>
    </row>
    <row r="23" spans="1:18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179"/>
      <c r="L23" s="179"/>
      <c r="M23" s="38"/>
    </row>
    <row r="24" spans="1:18">
      <c r="A24" s="54" t="s">
        <v>205</v>
      </c>
      <c r="B24" s="54"/>
      <c r="C24" s="54"/>
      <c r="D24" s="54"/>
      <c r="E24" s="1">
        <v>1380</v>
      </c>
      <c r="F24" s="54"/>
      <c r="G24" s="99" t="s">
        <v>206</v>
      </c>
      <c r="H24" s="54"/>
      <c r="I24" s="54"/>
      <c r="J24" s="54"/>
      <c r="K24" s="180"/>
      <c r="L24" s="181"/>
      <c r="M24" s="38"/>
    </row>
    <row r="25" spans="1:18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180"/>
      <c r="L25" s="181"/>
    </row>
    <row r="26" spans="1:18">
      <c r="A26" s="54" t="s">
        <v>57</v>
      </c>
      <c r="B26" s="54"/>
      <c r="C26" s="54"/>
      <c r="D26" s="54"/>
      <c r="E26" s="54"/>
      <c r="F26" s="54"/>
      <c r="G26" s="54"/>
      <c r="H26" s="54"/>
      <c r="I26" s="54"/>
      <c r="J26" s="54"/>
      <c r="K26" s="179"/>
      <c r="L26" s="179"/>
      <c r="M26" s="39"/>
    </row>
    <row r="27" spans="1:18">
      <c r="A27" s="54" t="s">
        <v>58</v>
      </c>
      <c r="B27" s="54"/>
      <c r="C27" s="54"/>
      <c r="D27" s="54" t="s">
        <v>59</v>
      </c>
      <c r="E27" s="99">
        <v>48</v>
      </c>
      <c r="F27" s="54"/>
      <c r="G27" s="14">
        <v>928</v>
      </c>
      <c r="H27" s="54"/>
      <c r="I27" s="54"/>
      <c r="J27" s="54"/>
      <c r="K27" s="179"/>
      <c r="L27" s="51"/>
      <c r="M27" s="39"/>
    </row>
    <row r="28" spans="1:18">
      <c r="A28" s="54" t="s">
        <v>61</v>
      </c>
      <c r="B28" s="54"/>
      <c r="C28" s="54"/>
      <c r="D28" s="54" t="s">
        <v>59</v>
      </c>
      <c r="E28" s="99">
        <v>27</v>
      </c>
      <c r="F28" s="54"/>
      <c r="G28" s="54"/>
      <c r="H28" s="54"/>
      <c r="I28" s="54"/>
      <c r="J28" s="182" t="s">
        <v>60</v>
      </c>
      <c r="K28" s="109">
        <v>1.03</v>
      </c>
      <c r="L28" s="38"/>
    </row>
    <row r="29" spans="1:18">
      <c r="A29" s="54" t="s">
        <v>6</v>
      </c>
      <c r="B29" s="54"/>
      <c r="C29" s="54"/>
      <c r="D29" s="54"/>
      <c r="E29" s="99">
        <f>E27+E28</f>
        <v>75</v>
      </c>
      <c r="F29" s="54"/>
      <c r="G29" s="54"/>
      <c r="H29" s="54"/>
      <c r="I29" s="54"/>
      <c r="J29" s="182" t="s">
        <v>62</v>
      </c>
      <c r="K29" s="168">
        <v>1</v>
      </c>
      <c r="L29" s="38"/>
    </row>
    <row r="30" spans="1:18">
      <c r="A30" s="92" t="s">
        <v>63</v>
      </c>
      <c r="B30" s="92"/>
      <c r="C30" s="92" t="s">
        <v>64</v>
      </c>
      <c r="D30" s="92"/>
      <c r="E30" s="92"/>
      <c r="F30" s="92"/>
      <c r="G30" s="92"/>
      <c r="H30" s="54"/>
      <c r="I30" s="54"/>
      <c r="J30" s="51"/>
      <c r="K30" s="51"/>
      <c r="L30" s="38"/>
    </row>
    <row r="31" spans="1:18">
      <c r="A31" s="51"/>
      <c r="B31" s="51"/>
      <c r="C31" s="51"/>
      <c r="D31" s="51"/>
      <c r="E31" s="51"/>
      <c r="F31" s="51"/>
      <c r="G31" s="51"/>
      <c r="H31" s="54"/>
      <c r="I31" s="54"/>
      <c r="J31" s="109" t="s">
        <v>207</v>
      </c>
      <c r="K31" s="109"/>
      <c r="L31" s="147">
        <v>100</v>
      </c>
    </row>
    <row r="32" spans="1:18">
      <c r="A32" s="51"/>
      <c r="B32" s="51"/>
      <c r="C32" s="51"/>
      <c r="D32" s="51"/>
      <c r="E32" s="116"/>
      <c r="F32" s="51"/>
      <c r="G32" s="116"/>
      <c r="H32" s="54"/>
      <c r="I32" s="54"/>
      <c r="J32" s="54"/>
      <c r="K32" s="54"/>
      <c r="L32" s="54"/>
      <c r="M32" s="38"/>
    </row>
    <row r="33" spans="1:13">
      <c r="A33" s="51" t="s">
        <v>208</v>
      </c>
      <c r="B33" s="51"/>
      <c r="C33" s="51">
        <v>40</v>
      </c>
      <c r="D33" s="51" t="s">
        <v>55</v>
      </c>
      <c r="E33" s="116">
        <v>73</v>
      </c>
      <c r="F33" s="51"/>
      <c r="G33" s="116">
        <v>50</v>
      </c>
      <c r="H33" s="54"/>
      <c r="I33" s="54"/>
      <c r="J33" s="54"/>
      <c r="K33" s="54"/>
      <c r="L33" s="54"/>
      <c r="M33" s="38"/>
    </row>
    <row r="34" spans="1:13">
      <c r="A34" s="51" t="s">
        <v>209</v>
      </c>
      <c r="B34" s="51"/>
      <c r="C34" s="51">
        <v>54</v>
      </c>
      <c r="D34" s="51" t="s">
        <v>55</v>
      </c>
      <c r="E34" s="116">
        <v>95</v>
      </c>
      <c r="F34" s="51"/>
      <c r="G34" s="116">
        <v>65</v>
      </c>
      <c r="H34" s="54"/>
      <c r="I34" s="54"/>
      <c r="J34" s="54"/>
      <c r="K34" s="54"/>
      <c r="L34" s="54"/>
      <c r="M34" s="38"/>
    </row>
    <row r="35" spans="1:13">
      <c r="A35" s="51"/>
      <c r="B35" s="51"/>
      <c r="C35" s="51"/>
      <c r="D35" s="51"/>
      <c r="E35" s="116"/>
      <c r="F35" s="51"/>
      <c r="G35" s="116"/>
      <c r="H35" s="54"/>
      <c r="I35" s="54"/>
      <c r="J35" s="54"/>
      <c r="K35" s="54"/>
      <c r="L35" s="54"/>
      <c r="M35" s="38"/>
    </row>
    <row r="36" spans="1:13">
      <c r="A36" s="92" t="s">
        <v>68</v>
      </c>
      <c r="B36" s="92"/>
      <c r="C36" s="92"/>
      <c r="D36" s="92"/>
      <c r="E36" s="92"/>
      <c r="F36" s="92"/>
      <c r="G36" s="104"/>
      <c r="H36" s="54"/>
      <c r="I36" s="54" t="s">
        <v>140</v>
      </c>
      <c r="J36" s="54"/>
      <c r="K36" s="54"/>
      <c r="L36" s="54"/>
      <c r="M36" s="38"/>
    </row>
    <row r="37" spans="1:13">
      <c r="A37" s="51" t="s">
        <v>71</v>
      </c>
      <c r="B37" s="51"/>
      <c r="C37" s="51"/>
      <c r="D37" s="51"/>
      <c r="E37" s="51"/>
      <c r="F37" s="51"/>
      <c r="G37" s="183">
        <v>6738</v>
      </c>
      <c r="H37" s="54"/>
      <c r="I37" s="119">
        <f>G37*2.471</f>
        <v>16649.598000000002</v>
      </c>
      <c r="J37" s="54"/>
      <c r="K37" s="54"/>
      <c r="L37" s="54"/>
      <c r="M37" s="38"/>
    </row>
    <row r="38" spans="1:13">
      <c r="A38" s="51" t="s">
        <v>72</v>
      </c>
      <c r="B38" s="51"/>
      <c r="C38" s="51"/>
      <c r="D38" s="51"/>
      <c r="E38" s="51"/>
      <c r="F38" s="51"/>
      <c r="G38" s="116">
        <v>35</v>
      </c>
      <c r="H38" s="54"/>
      <c r="I38" s="119"/>
      <c r="J38" s="54"/>
      <c r="K38" s="54"/>
      <c r="L38" s="54"/>
      <c r="M38" s="38"/>
    </row>
    <row r="39" spans="1:13">
      <c r="A39" s="51" t="s">
        <v>73</v>
      </c>
      <c r="B39" s="51"/>
      <c r="C39" s="51"/>
      <c r="D39" s="51"/>
      <c r="E39" s="51"/>
      <c r="F39" s="51"/>
      <c r="G39" s="116">
        <f>SUM(G37*G38)</f>
        <v>235830</v>
      </c>
      <c r="H39" s="54"/>
      <c r="I39" s="119">
        <f t="shared" ref="I39:I41" si="2">G39*2.471</f>
        <v>582735.93000000005</v>
      </c>
      <c r="J39" s="54"/>
      <c r="K39" s="54"/>
      <c r="L39" s="54"/>
      <c r="M39" s="38"/>
    </row>
    <row r="40" spans="1:13">
      <c r="A40" s="51" t="s">
        <v>74</v>
      </c>
      <c r="B40" s="51"/>
      <c r="C40" s="51"/>
      <c r="D40" s="51"/>
      <c r="E40" s="51"/>
      <c r="F40" s="51"/>
      <c r="G40" s="116">
        <f>SUM(G39-K17)</f>
        <v>134892</v>
      </c>
      <c r="H40" s="54"/>
      <c r="I40" s="119">
        <f t="shared" si="2"/>
        <v>333318.13199999998</v>
      </c>
      <c r="J40" s="54"/>
      <c r="K40" s="54"/>
      <c r="L40" s="54"/>
      <c r="M40" s="38"/>
    </row>
    <row r="41" spans="1:13">
      <c r="A41" s="51" t="s">
        <v>75</v>
      </c>
      <c r="B41" s="51"/>
      <c r="C41" s="51"/>
      <c r="D41" s="51"/>
      <c r="E41" s="51"/>
      <c r="F41" s="51"/>
      <c r="G41" s="116">
        <f>SUM(G39-K18)</f>
        <v>161383</v>
      </c>
      <c r="H41" s="54"/>
      <c r="I41" s="119">
        <f t="shared" si="2"/>
        <v>398777.39300000004</v>
      </c>
      <c r="J41" s="54"/>
      <c r="K41" s="54"/>
      <c r="L41" s="54"/>
      <c r="M41" s="38"/>
    </row>
    <row r="42" spans="1:13">
      <c r="A42" s="51"/>
      <c r="B42" s="51"/>
      <c r="C42" s="51"/>
      <c r="D42" s="51"/>
      <c r="E42" s="51"/>
      <c r="F42" s="51"/>
      <c r="G42" s="116"/>
      <c r="H42" s="54"/>
      <c r="I42" s="54"/>
      <c r="J42" s="54"/>
      <c r="K42" s="54"/>
      <c r="L42" s="54"/>
      <c r="M42" s="38"/>
    </row>
    <row r="43" spans="1:13">
      <c r="A43" s="51" t="s">
        <v>76</v>
      </c>
      <c r="B43" s="51"/>
      <c r="C43" s="51"/>
      <c r="D43" s="51"/>
      <c r="E43" s="51"/>
      <c r="F43" s="51"/>
      <c r="G43" s="116">
        <f>SUM(K17/G37)</f>
        <v>14.980409617097061</v>
      </c>
      <c r="H43" s="54"/>
      <c r="I43" s="54"/>
      <c r="J43" s="54"/>
      <c r="K43" s="54"/>
      <c r="L43" s="54"/>
      <c r="M43" s="38"/>
    </row>
    <row r="44" spans="1:13">
      <c r="A44" s="96" t="s">
        <v>77</v>
      </c>
      <c r="B44" s="96"/>
      <c r="C44" s="96"/>
      <c r="D44" s="96"/>
      <c r="E44" s="96"/>
      <c r="F44" s="96"/>
      <c r="G44" s="106">
        <f>SUM(K18/G37)</f>
        <v>11.048827545265658</v>
      </c>
      <c r="H44" s="54"/>
      <c r="I44" s="54"/>
      <c r="J44" s="54"/>
      <c r="K44" s="54"/>
      <c r="L44" s="54"/>
      <c r="M44" s="38"/>
    </row>
    <row r="45" spans="1:13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3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O56"/>
  <sheetViews>
    <sheetView workbookViewId="0">
      <selection sqref="A1:XFD1048576"/>
    </sheetView>
  </sheetViews>
  <sheetFormatPr defaultRowHeight="12"/>
  <cols>
    <col min="1" max="1" width="8.140625" style="184" customWidth="1"/>
    <col min="2" max="2" width="9.140625" style="184" customWidth="1"/>
    <col min="3" max="3" width="7" style="184" customWidth="1"/>
    <col min="4" max="4" width="5.85546875" style="184" customWidth="1"/>
    <col min="5" max="5" width="6.7109375" style="184" customWidth="1"/>
    <col min="6" max="6" width="5.85546875" style="184" customWidth="1"/>
    <col min="7" max="7" width="11" style="184" customWidth="1"/>
    <col min="8" max="8" width="8.7109375" style="184" customWidth="1"/>
    <col min="9" max="9" width="9.140625" style="184" customWidth="1"/>
    <col min="10" max="10" width="9" style="184" customWidth="1"/>
    <col min="11" max="11" width="10.140625" style="184" customWidth="1"/>
    <col min="12" max="12" width="8.42578125" style="184" customWidth="1"/>
    <col min="13" max="13" width="7.5703125" style="184" customWidth="1"/>
    <col min="14" max="16384" width="9.140625" style="184"/>
  </cols>
  <sheetData>
    <row r="1" spans="1:19" ht="13.5">
      <c r="A1" s="118" t="s">
        <v>0</v>
      </c>
      <c r="B1" s="118" t="s">
        <v>210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</row>
    <row r="2" spans="1:19" ht="13.5">
      <c r="A2" s="118"/>
      <c r="B2" s="118" t="s">
        <v>211</v>
      </c>
      <c r="C2" s="118"/>
      <c r="D2" s="118" t="s">
        <v>212</v>
      </c>
      <c r="E2" s="118"/>
      <c r="F2" s="118"/>
      <c r="G2" s="118"/>
      <c r="H2" s="118"/>
      <c r="I2" s="118"/>
      <c r="J2" s="118"/>
      <c r="K2" s="118"/>
      <c r="L2" s="118"/>
      <c r="M2" s="118"/>
    </row>
    <row r="3" spans="1:19" ht="14.25">
      <c r="A3" s="92" t="s">
        <v>4</v>
      </c>
      <c r="B3" s="92"/>
      <c r="C3" s="92"/>
      <c r="D3" s="93" t="s">
        <v>5</v>
      </c>
      <c r="E3" s="93" t="s">
        <v>6</v>
      </c>
      <c r="F3" s="93" t="s">
        <v>7</v>
      </c>
      <c r="G3" s="93" t="s">
        <v>8</v>
      </c>
      <c r="H3" s="93" t="s">
        <v>9</v>
      </c>
      <c r="I3" s="93" t="s">
        <v>10</v>
      </c>
      <c r="J3" s="93" t="s">
        <v>11</v>
      </c>
      <c r="K3" s="93" t="s">
        <v>12</v>
      </c>
      <c r="L3" s="94" t="s">
        <v>13</v>
      </c>
      <c r="M3" s="93"/>
    </row>
    <row r="4" spans="1:19" ht="14.25">
      <c r="A4" s="51"/>
      <c r="B4" s="51"/>
      <c r="C4" s="51"/>
      <c r="D4" s="52" t="s">
        <v>14</v>
      </c>
      <c r="E4" s="52" t="s">
        <v>15</v>
      </c>
      <c r="F4" s="52" t="s">
        <v>15</v>
      </c>
      <c r="G4" s="52" t="s">
        <v>16</v>
      </c>
      <c r="H4" s="52" t="s">
        <v>17</v>
      </c>
      <c r="I4" s="52" t="s">
        <v>18</v>
      </c>
      <c r="J4" s="52" t="s">
        <v>17</v>
      </c>
      <c r="K4" s="52" t="s">
        <v>17</v>
      </c>
      <c r="L4" s="52" t="s">
        <v>10</v>
      </c>
      <c r="M4" s="52" t="s">
        <v>11</v>
      </c>
    </row>
    <row r="5" spans="1:19" ht="14.25">
      <c r="A5" s="51"/>
      <c r="B5" s="51"/>
      <c r="C5" s="51"/>
      <c r="D5" s="52" t="s">
        <v>19</v>
      </c>
      <c r="E5" s="52"/>
      <c r="F5" s="52"/>
      <c r="G5" s="52"/>
      <c r="H5" s="52" t="s">
        <v>20</v>
      </c>
      <c r="I5" s="52" t="s">
        <v>17</v>
      </c>
      <c r="J5" s="52" t="s">
        <v>20</v>
      </c>
      <c r="K5" s="52" t="s">
        <v>20</v>
      </c>
      <c r="L5" s="52"/>
      <c r="M5" s="52"/>
    </row>
    <row r="6" spans="1:19" ht="14.25">
      <c r="A6" s="96"/>
      <c r="B6" s="96"/>
      <c r="C6" s="96"/>
      <c r="D6" s="97"/>
      <c r="E6" s="97"/>
      <c r="F6" s="97"/>
      <c r="G6" s="97"/>
      <c r="H6" s="97"/>
      <c r="I6" s="97" t="s">
        <v>20</v>
      </c>
      <c r="J6" s="97"/>
      <c r="K6" s="97"/>
      <c r="L6" s="97"/>
      <c r="M6" s="97"/>
    </row>
    <row r="7" spans="1:19" ht="14.25">
      <c r="A7" s="51" t="s">
        <v>213</v>
      </c>
      <c r="B7" s="51"/>
      <c r="C7" s="51"/>
      <c r="D7" s="185" t="s">
        <v>214</v>
      </c>
      <c r="E7" s="186" t="s">
        <v>215</v>
      </c>
      <c r="F7" s="52" t="s">
        <v>215</v>
      </c>
      <c r="G7" s="52">
        <v>1200</v>
      </c>
      <c r="H7" s="119" t="s">
        <v>216</v>
      </c>
      <c r="I7" s="52"/>
      <c r="J7" s="185" t="s">
        <v>217</v>
      </c>
      <c r="K7" s="99">
        <f t="shared" ref="K7:K18" si="0">SUM(H7:J7)</f>
        <v>0</v>
      </c>
      <c r="L7" s="52"/>
      <c r="M7" s="52"/>
      <c r="N7" s="51"/>
      <c r="O7" s="51"/>
      <c r="P7" s="51"/>
      <c r="Q7" s="52"/>
      <c r="R7" s="186"/>
      <c r="S7" s="52"/>
    </row>
    <row r="8" spans="1:19" ht="14.25">
      <c r="A8" s="54" t="s">
        <v>21</v>
      </c>
      <c r="B8" s="54"/>
      <c r="C8" s="54"/>
      <c r="D8" s="122" t="s">
        <v>218</v>
      </c>
      <c r="E8" s="14" t="s">
        <v>219</v>
      </c>
      <c r="F8" s="14" t="s">
        <v>220</v>
      </c>
      <c r="G8" s="21">
        <v>1000</v>
      </c>
      <c r="H8" s="119" t="s">
        <v>221</v>
      </c>
      <c r="I8" s="54"/>
      <c r="J8" s="99"/>
      <c r="K8" s="99">
        <f t="shared" si="0"/>
        <v>0</v>
      </c>
      <c r="L8" s="54"/>
      <c r="M8" s="54"/>
      <c r="N8" s="54"/>
      <c r="O8" s="54"/>
      <c r="P8" s="54"/>
      <c r="Q8" s="98"/>
      <c r="R8" s="99"/>
      <c r="S8" s="99"/>
    </row>
    <row r="9" spans="1:19" ht="14.25">
      <c r="A9" s="54" t="s">
        <v>222</v>
      </c>
      <c r="B9" s="54"/>
      <c r="C9" s="54"/>
      <c r="D9" s="187">
        <v>0.54</v>
      </c>
      <c r="E9" s="99">
        <v>0.31</v>
      </c>
      <c r="F9" s="99">
        <v>0.31</v>
      </c>
      <c r="G9" s="100">
        <v>1000</v>
      </c>
      <c r="H9" s="99">
        <f>E9*G9</f>
        <v>310</v>
      </c>
      <c r="I9" s="99">
        <v>4653</v>
      </c>
      <c r="J9" s="99"/>
      <c r="K9" s="99">
        <f t="shared" si="0"/>
        <v>4963</v>
      </c>
      <c r="L9" s="99">
        <v>767</v>
      </c>
      <c r="M9" s="54"/>
      <c r="N9" s="54"/>
      <c r="O9" s="54"/>
      <c r="P9" s="54"/>
      <c r="Q9" s="98"/>
      <c r="R9" s="99"/>
      <c r="S9" s="99"/>
    </row>
    <row r="10" spans="1:19" ht="14.25">
      <c r="A10" s="54" t="s">
        <v>223</v>
      </c>
      <c r="B10" s="54"/>
      <c r="C10" s="54"/>
      <c r="D10" s="188" t="s">
        <v>218</v>
      </c>
      <c r="E10" s="99"/>
      <c r="F10" s="99"/>
      <c r="G10" s="100"/>
      <c r="H10" s="119">
        <f t="shared" ref="H10" si="1">SUM(E10*G10)</f>
        <v>0</v>
      </c>
      <c r="I10" s="189" t="s">
        <v>224</v>
      </c>
      <c r="J10" s="99"/>
      <c r="K10" s="99">
        <f t="shared" si="0"/>
        <v>0</v>
      </c>
      <c r="L10" s="177"/>
      <c r="M10" s="54"/>
      <c r="N10" s="54"/>
      <c r="O10" s="54"/>
      <c r="P10" s="54"/>
      <c r="Q10" s="122"/>
      <c r="R10" s="99"/>
      <c r="S10" s="99"/>
    </row>
    <row r="11" spans="1:19" ht="14.25">
      <c r="A11" s="54" t="s">
        <v>225</v>
      </c>
      <c r="B11" s="54"/>
      <c r="C11" s="54"/>
      <c r="D11" s="188" t="s">
        <v>226</v>
      </c>
      <c r="E11" s="14" t="s">
        <v>227</v>
      </c>
      <c r="F11" s="14" t="s">
        <v>228</v>
      </c>
      <c r="G11" s="21">
        <v>1000</v>
      </c>
      <c r="H11" s="119" t="s">
        <v>229</v>
      </c>
      <c r="I11" s="54"/>
      <c r="J11" s="99"/>
      <c r="K11" s="99">
        <v>0</v>
      </c>
      <c r="L11" s="99"/>
      <c r="M11" s="54"/>
      <c r="N11" s="54"/>
      <c r="O11" s="54"/>
      <c r="P11" s="54"/>
      <c r="Q11" s="98"/>
      <c r="R11" s="99"/>
      <c r="S11" s="99"/>
    </row>
    <row r="12" spans="1:19" ht="14.25">
      <c r="A12" s="54" t="s">
        <v>230</v>
      </c>
      <c r="B12" s="54"/>
      <c r="C12" s="54"/>
      <c r="D12" s="187">
        <v>1</v>
      </c>
      <c r="E12" s="99">
        <v>7.73</v>
      </c>
      <c r="F12" s="99">
        <v>3.05</v>
      </c>
      <c r="G12" s="100">
        <v>1003</v>
      </c>
      <c r="H12" s="99">
        <v>7753</v>
      </c>
      <c r="I12" s="54"/>
      <c r="J12" s="99">
        <v>5942</v>
      </c>
      <c r="K12" s="99">
        <f t="shared" si="0"/>
        <v>13695</v>
      </c>
      <c r="L12" s="99"/>
      <c r="M12" s="54"/>
      <c r="N12" s="54"/>
      <c r="O12" s="54"/>
      <c r="P12" s="54"/>
      <c r="Q12" s="98"/>
      <c r="R12" s="99"/>
      <c r="S12" s="99"/>
    </row>
    <row r="13" spans="1:19" ht="14.25">
      <c r="A13" s="54" t="s">
        <v>231</v>
      </c>
      <c r="B13" s="54"/>
      <c r="C13" s="54"/>
      <c r="D13" s="187">
        <v>1</v>
      </c>
      <c r="E13" s="14">
        <v>10.039999999999999</v>
      </c>
      <c r="F13" s="99">
        <v>2.94</v>
      </c>
      <c r="G13" s="100">
        <v>927</v>
      </c>
      <c r="H13" s="99">
        <v>9307</v>
      </c>
      <c r="I13" s="54"/>
      <c r="J13" s="99"/>
      <c r="K13" s="99">
        <f t="shared" si="0"/>
        <v>9307</v>
      </c>
      <c r="L13" s="99"/>
      <c r="M13" s="54"/>
      <c r="N13" s="54"/>
      <c r="O13" s="54"/>
      <c r="P13" s="54"/>
      <c r="Q13" s="98"/>
      <c r="R13" s="99"/>
      <c r="S13" s="99"/>
    </row>
    <row r="14" spans="1:19" ht="14.25">
      <c r="A14" s="54" t="s">
        <v>34</v>
      </c>
      <c r="B14" s="54"/>
      <c r="C14" s="54"/>
      <c r="D14" s="187">
        <v>1</v>
      </c>
      <c r="E14" s="99">
        <f>3.14+0.8</f>
        <v>3.9400000000000004</v>
      </c>
      <c r="F14" s="99">
        <v>3.14</v>
      </c>
      <c r="G14" s="100">
        <v>1009</v>
      </c>
      <c r="H14" s="99">
        <v>3975</v>
      </c>
      <c r="I14" s="54"/>
      <c r="J14" s="14">
        <f>+E37*G37+E38*G38+E39*G39</f>
        <v>10750</v>
      </c>
      <c r="K14" s="99">
        <f t="shared" si="0"/>
        <v>14725</v>
      </c>
      <c r="L14" s="99"/>
      <c r="M14" s="54"/>
      <c r="N14" s="54"/>
      <c r="O14" s="54"/>
      <c r="P14" s="54"/>
      <c r="Q14" s="98"/>
      <c r="R14" s="99"/>
      <c r="S14" s="99"/>
    </row>
    <row r="15" spans="1:19" ht="14.25">
      <c r="A15" s="54" t="s">
        <v>36</v>
      </c>
      <c r="B15" s="54"/>
      <c r="C15" s="54"/>
      <c r="D15" s="188" t="s">
        <v>232</v>
      </c>
      <c r="E15" s="14" t="s">
        <v>233</v>
      </c>
      <c r="F15" s="14" t="s">
        <v>234</v>
      </c>
      <c r="G15" s="21">
        <v>1200</v>
      </c>
      <c r="H15" s="35" t="s">
        <v>235</v>
      </c>
      <c r="I15" s="1"/>
      <c r="J15" s="14" t="s">
        <v>236</v>
      </c>
      <c r="K15" s="99">
        <f t="shared" si="0"/>
        <v>0</v>
      </c>
      <c r="L15" s="99"/>
      <c r="M15" s="54"/>
      <c r="N15" s="54"/>
      <c r="O15" s="54"/>
      <c r="P15" s="54"/>
      <c r="Q15" s="98"/>
      <c r="R15" s="99"/>
      <c r="S15" s="99"/>
    </row>
    <row r="16" spans="1:19" ht="14.25">
      <c r="A16" s="54" t="s">
        <v>92</v>
      </c>
      <c r="B16" s="54"/>
      <c r="C16" s="54"/>
      <c r="D16" s="187">
        <v>1</v>
      </c>
      <c r="E16" s="99">
        <v>7.13</v>
      </c>
      <c r="F16" s="99">
        <v>7.13</v>
      </c>
      <c r="G16" s="100">
        <v>1000</v>
      </c>
      <c r="H16" s="99">
        <f>E16*G16</f>
        <v>7130</v>
      </c>
      <c r="I16" s="54"/>
      <c r="J16" s="99"/>
      <c r="K16" s="99">
        <f t="shared" si="0"/>
        <v>7130</v>
      </c>
      <c r="L16" s="99"/>
      <c r="M16" s="54"/>
      <c r="N16" s="54"/>
      <c r="O16" s="54"/>
      <c r="P16" s="54"/>
      <c r="Q16" s="122"/>
      <c r="R16" s="99"/>
      <c r="S16" s="99"/>
    </row>
    <row r="17" spans="1:41" ht="14.25">
      <c r="A17" s="54" t="s">
        <v>237</v>
      </c>
      <c r="B17" s="54"/>
      <c r="C17" s="54"/>
      <c r="D17" s="187">
        <v>1</v>
      </c>
      <c r="E17" s="99">
        <v>11.37</v>
      </c>
      <c r="F17" s="99">
        <v>3.71</v>
      </c>
      <c r="G17" s="100">
        <v>949</v>
      </c>
      <c r="H17" s="99">
        <v>10790</v>
      </c>
      <c r="I17" s="189"/>
      <c r="J17" s="99"/>
      <c r="K17" s="99">
        <f t="shared" si="0"/>
        <v>10790</v>
      </c>
      <c r="L17" s="99"/>
      <c r="M17" s="54"/>
      <c r="N17" s="54"/>
      <c r="O17" s="54"/>
      <c r="P17" s="54"/>
      <c r="Q17" s="98"/>
      <c r="R17" s="99"/>
      <c r="S17" s="99"/>
    </row>
    <row r="18" spans="1:41" ht="14.25">
      <c r="A18" s="54" t="s">
        <v>238</v>
      </c>
      <c r="B18" s="54"/>
      <c r="C18" s="54"/>
      <c r="D18" s="187">
        <v>0.94</v>
      </c>
      <c r="E18" s="99">
        <v>1.5</v>
      </c>
      <c r="F18" s="99">
        <v>1.07</v>
      </c>
      <c r="G18" s="100">
        <v>1111</v>
      </c>
      <c r="H18" s="99">
        <v>1667</v>
      </c>
      <c r="I18" s="177">
        <v>1854</v>
      </c>
      <c r="J18" s="99"/>
      <c r="K18" s="99">
        <f t="shared" si="0"/>
        <v>3521</v>
      </c>
      <c r="L18" s="99">
        <v>339</v>
      </c>
      <c r="M18" s="54"/>
      <c r="N18" s="54"/>
      <c r="O18" s="54"/>
      <c r="P18" s="54"/>
      <c r="Q18" s="98"/>
      <c r="R18" s="99"/>
      <c r="S18" s="99"/>
    </row>
    <row r="19" spans="1:41" ht="14.25">
      <c r="A19" s="54" t="s">
        <v>239</v>
      </c>
      <c r="B19" s="54"/>
      <c r="C19" s="54"/>
      <c r="D19" s="188" t="s">
        <v>240</v>
      </c>
      <c r="E19" s="99" t="s">
        <v>241</v>
      </c>
      <c r="F19" s="99" t="s">
        <v>242</v>
      </c>
      <c r="G19" s="100">
        <v>1000</v>
      </c>
      <c r="H19" s="177" t="s">
        <v>243</v>
      </c>
      <c r="I19" s="189"/>
      <c r="J19" s="99"/>
      <c r="K19" s="99">
        <v>0</v>
      </c>
      <c r="L19" s="54"/>
      <c r="M19" s="54"/>
      <c r="N19" s="54"/>
      <c r="O19" s="99"/>
      <c r="P19" s="54"/>
      <c r="Q19" s="122"/>
      <c r="R19" s="99"/>
      <c r="S19" s="99"/>
    </row>
    <row r="20" spans="1:41" ht="14.25">
      <c r="A20" s="92" t="s">
        <v>42</v>
      </c>
      <c r="B20" s="92"/>
      <c r="C20" s="92"/>
      <c r="D20" s="103"/>
      <c r="E20" s="104">
        <f>SUM(E7:E19)</f>
        <v>42.019999999999996</v>
      </c>
      <c r="F20" s="104">
        <f>SUM(F7:F19)</f>
        <v>21.35</v>
      </c>
      <c r="G20" s="104"/>
      <c r="H20" s="104">
        <f>SUM(H7:H19)</f>
        <v>40932</v>
      </c>
      <c r="I20" s="104">
        <v>6507</v>
      </c>
      <c r="J20" s="104">
        <f>SUM(J7:J19)</f>
        <v>16692</v>
      </c>
      <c r="K20" s="104">
        <f>SUM(K7:K19)</f>
        <v>64131</v>
      </c>
      <c r="L20" s="104">
        <f>SUM(L7:L19)</f>
        <v>1106</v>
      </c>
      <c r="M20" s="104">
        <f>SUM(M7:M19)</f>
        <v>0</v>
      </c>
    </row>
    <row r="21" spans="1:41" ht="14.25">
      <c r="A21" s="96" t="s">
        <v>43</v>
      </c>
      <c r="B21" s="96"/>
      <c r="C21" s="96"/>
      <c r="D21" s="105"/>
      <c r="E21" s="106">
        <f>SUM(E20-F20)</f>
        <v>20.669999999999995</v>
      </c>
      <c r="F21" s="106"/>
      <c r="G21" s="106"/>
      <c r="H21" s="106">
        <v>19740</v>
      </c>
      <c r="I21" s="106">
        <v>5401</v>
      </c>
      <c r="J21" s="106">
        <f>J20-M20</f>
        <v>16692</v>
      </c>
      <c r="K21" s="106">
        <f>SUM(H21:J21)</f>
        <v>41833</v>
      </c>
      <c r="L21" s="96"/>
      <c r="M21" s="96"/>
    </row>
    <row r="22" spans="1:41" ht="14.25">
      <c r="A22" s="54"/>
      <c r="B22" s="54"/>
      <c r="C22" s="54"/>
      <c r="D22" s="54"/>
      <c r="E22" s="54"/>
      <c r="F22" s="54"/>
      <c r="G22" s="54"/>
      <c r="H22" s="54"/>
      <c r="I22" s="99"/>
      <c r="J22" s="54"/>
      <c r="K22" s="54"/>
      <c r="L22" s="54"/>
      <c r="M22" s="54"/>
    </row>
    <row r="23" spans="1:41" ht="14.25">
      <c r="A23" s="54"/>
      <c r="B23" s="54"/>
      <c r="C23" s="54" t="s">
        <v>44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</row>
    <row r="24" spans="1:41" ht="14.25">
      <c r="A24" s="54"/>
      <c r="B24" s="54"/>
      <c r="C24" s="54"/>
      <c r="D24" s="54"/>
      <c r="E24" s="54"/>
      <c r="F24" s="54"/>
      <c r="G24" s="54"/>
      <c r="H24" s="54"/>
      <c r="I24" s="99"/>
      <c r="J24" s="54"/>
      <c r="K24" s="54"/>
      <c r="L24" s="54"/>
      <c r="M24" s="54"/>
    </row>
    <row r="25" spans="1:41" ht="14.25">
      <c r="A25" s="54" t="s">
        <v>45</v>
      </c>
      <c r="B25" s="54"/>
      <c r="C25" s="54"/>
      <c r="D25" s="54"/>
      <c r="E25" s="54"/>
      <c r="F25" s="54"/>
      <c r="G25" s="54"/>
      <c r="H25" s="54"/>
      <c r="I25" s="54"/>
      <c r="J25" s="190" t="s">
        <v>50</v>
      </c>
      <c r="K25" s="191" t="s">
        <v>51</v>
      </c>
      <c r="L25" s="54"/>
      <c r="M25" s="54"/>
    </row>
    <row r="26" spans="1:41" ht="14.25">
      <c r="A26" s="108" t="s">
        <v>46</v>
      </c>
      <c r="B26" s="108"/>
      <c r="C26" s="108"/>
      <c r="D26" s="108" t="s">
        <v>47</v>
      </c>
      <c r="E26" s="108" t="s">
        <v>48</v>
      </c>
      <c r="F26" s="108"/>
      <c r="G26" s="108" t="s">
        <v>49</v>
      </c>
      <c r="H26" s="54"/>
      <c r="I26" s="118"/>
      <c r="J26" s="192" t="s">
        <v>244</v>
      </c>
      <c r="K26" s="192">
        <v>98</v>
      </c>
      <c r="L26" s="54"/>
      <c r="M26" s="54"/>
    </row>
    <row r="27" spans="1:41" ht="14.25">
      <c r="A27" s="54" t="s">
        <v>52</v>
      </c>
      <c r="B27" s="54"/>
      <c r="C27" s="54"/>
      <c r="D27" s="54"/>
      <c r="E27" s="54"/>
      <c r="F27" s="54"/>
      <c r="G27" s="54"/>
      <c r="H27" s="54"/>
      <c r="I27" s="54"/>
      <c r="J27" s="192" t="s">
        <v>245</v>
      </c>
      <c r="K27" s="192">
        <v>2</v>
      </c>
      <c r="L27" s="54"/>
      <c r="M27" s="54"/>
    </row>
    <row r="28" spans="1:41" ht="14.25">
      <c r="A28" s="54" t="s">
        <v>246</v>
      </c>
      <c r="B28" s="54"/>
      <c r="C28" s="54"/>
      <c r="D28" s="54" t="s">
        <v>247</v>
      </c>
      <c r="E28" s="54">
        <v>5.59</v>
      </c>
      <c r="F28" s="54"/>
      <c r="G28" s="54">
        <v>1063</v>
      </c>
      <c r="H28" s="54"/>
      <c r="I28" s="54"/>
      <c r="J28" s="193"/>
      <c r="L28" s="54"/>
      <c r="M28" s="54"/>
    </row>
    <row r="29" spans="1:41" ht="14.25">
      <c r="A29" s="54"/>
      <c r="B29" s="54"/>
      <c r="C29" s="54"/>
      <c r="D29" s="54"/>
      <c r="E29" s="54"/>
      <c r="F29" s="54"/>
      <c r="G29" s="54"/>
      <c r="H29" s="54"/>
      <c r="I29" s="54"/>
      <c r="J29" s="194" t="s">
        <v>98</v>
      </c>
      <c r="K29" s="195">
        <v>1.61</v>
      </c>
      <c r="L29" s="54"/>
      <c r="AM29" s="54" t="s">
        <v>248</v>
      </c>
      <c r="AN29" s="54">
        <f>395/615</f>
        <v>0.64227642276422769</v>
      </c>
      <c r="AO29" s="54">
        <f>487/742</f>
        <v>0.65633423180592987</v>
      </c>
    </row>
    <row r="30" spans="1:41" ht="14.25">
      <c r="A30" s="54"/>
      <c r="B30" s="54"/>
      <c r="C30" s="54"/>
      <c r="D30" s="54"/>
      <c r="E30" s="54"/>
      <c r="F30" s="54"/>
      <c r="G30" s="54"/>
      <c r="H30" s="54"/>
      <c r="I30" s="54"/>
      <c r="J30" s="196" t="s">
        <v>99</v>
      </c>
      <c r="K30" s="195">
        <v>1</v>
      </c>
      <c r="L30" s="54"/>
      <c r="AM30" s="54" t="s">
        <v>249</v>
      </c>
      <c r="AN30" s="54">
        <f>4067/615</f>
        <v>6.6130081300813011</v>
      </c>
      <c r="AO30" s="54">
        <f>5352/742</f>
        <v>7.2129380053908356</v>
      </c>
    </row>
    <row r="31" spans="1:41" ht="14.25">
      <c r="A31" s="54" t="s">
        <v>57</v>
      </c>
      <c r="B31" s="54"/>
      <c r="C31" s="54"/>
      <c r="D31" s="54"/>
      <c r="E31" s="54"/>
      <c r="F31" s="54"/>
      <c r="G31" s="54"/>
      <c r="H31" s="54"/>
      <c r="I31" s="54"/>
      <c r="J31" s="193"/>
      <c r="K31" s="197"/>
      <c r="L31" s="54"/>
      <c r="AM31" s="54" t="s">
        <v>95</v>
      </c>
      <c r="AN31" s="54">
        <f>5036/615</f>
        <v>8.1886178861788625</v>
      </c>
      <c r="AO31" s="54">
        <f>5402/742</f>
        <v>7.2803234501347704</v>
      </c>
    </row>
    <row r="32" spans="1:41" ht="14.25">
      <c r="A32" s="54" t="s">
        <v>58</v>
      </c>
      <c r="B32" s="54"/>
      <c r="C32" s="54"/>
      <c r="D32" s="54" t="s">
        <v>59</v>
      </c>
      <c r="E32" s="99">
        <v>21</v>
      </c>
      <c r="F32" s="54"/>
      <c r="G32" s="99">
        <v>975</v>
      </c>
      <c r="H32" s="54"/>
      <c r="I32" s="54"/>
      <c r="J32" s="193"/>
      <c r="K32" s="197"/>
      <c r="L32" s="54"/>
      <c r="AM32" s="54" t="s">
        <v>250</v>
      </c>
      <c r="AN32" s="54">
        <f>5846/615</f>
        <v>9.5056910569105693</v>
      </c>
      <c r="AO32" s="184">
        <f>4683.5/742</f>
        <v>6.3119946091644206</v>
      </c>
    </row>
    <row r="33" spans="1:41" ht="14.25">
      <c r="A33" s="54" t="s">
        <v>61</v>
      </c>
      <c r="B33" s="54"/>
      <c r="C33" s="54"/>
      <c r="D33" s="54" t="s">
        <v>59</v>
      </c>
      <c r="E33" s="99">
        <v>21</v>
      </c>
      <c r="F33" s="54"/>
      <c r="G33" s="54"/>
      <c r="H33" s="54"/>
      <c r="I33" s="54"/>
      <c r="J33" s="193"/>
      <c r="K33" s="198"/>
      <c r="L33" s="54"/>
      <c r="AM33" s="54" t="s">
        <v>251</v>
      </c>
      <c r="AN33" s="184">
        <f>6912/615</f>
        <v>11.239024390243902</v>
      </c>
      <c r="AO33" s="54">
        <f>6807/742</f>
        <v>9.1738544474393535</v>
      </c>
    </row>
    <row r="34" spans="1:41" ht="14.25">
      <c r="A34" s="54" t="s">
        <v>6</v>
      </c>
      <c r="B34" s="54"/>
      <c r="C34" s="54"/>
      <c r="D34" s="54"/>
      <c r="E34" s="99">
        <v>42</v>
      </c>
      <c r="F34" s="54"/>
      <c r="G34" s="54"/>
      <c r="H34" s="54"/>
      <c r="I34" s="54"/>
      <c r="J34" s="199"/>
      <c r="K34" s="200"/>
      <c r="L34" s="54"/>
      <c r="AM34" s="54" t="s">
        <v>252</v>
      </c>
      <c r="AN34" s="184">
        <f>1976/615</f>
        <v>3.2130081300813007</v>
      </c>
      <c r="AO34" s="54">
        <f>1593/742</f>
        <v>2.1469002695417791</v>
      </c>
    </row>
    <row r="35" spans="1:41" ht="14.25">
      <c r="A35" s="54"/>
      <c r="B35" s="54"/>
      <c r="C35" s="54"/>
      <c r="D35" s="54"/>
      <c r="E35" s="54"/>
      <c r="F35" s="54"/>
      <c r="G35" s="54"/>
      <c r="H35" s="54"/>
      <c r="I35" s="54"/>
      <c r="J35" s="193"/>
      <c r="K35" s="201"/>
      <c r="L35" s="54"/>
      <c r="AM35" s="54" t="s">
        <v>253</v>
      </c>
      <c r="AN35" s="54">
        <f>3745/615</f>
        <v>6.0894308943089435</v>
      </c>
      <c r="AO35" s="54">
        <f>5446/742</f>
        <v>7.3396226415094343</v>
      </c>
    </row>
    <row r="36" spans="1:41" ht="14.25">
      <c r="A36" s="92" t="s">
        <v>63</v>
      </c>
      <c r="B36" s="92"/>
      <c r="C36" s="92" t="s">
        <v>64</v>
      </c>
      <c r="D36" s="92"/>
      <c r="E36" s="92"/>
      <c r="F36" s="92"/>
      <c r="G36" s="92"/>
      <c r="H36" s="54"/>
      <c r="I36" s="54"/>
      <c r="J36" s="54"/>
      <c r="K36" s="202"/>
      <c r="L36" s="54"/>
      <c r="AM36" s="54" t="s">
        <v>254</v>
      </c>
      <c r="AN36" s="54">
        <f>5622/615</f>
        <v>9.1414634146341456</v>
      </c>
      <c r="AO36" s="54">
        <f>5622/742</f>
        <v>7.5768194070080863</v>
      </c>
    </row>
    <row r="37" spans="1:41" ht="14.25">
      <c r="A37" s="51" t="s">
        <v>127</v>
      </c>
      <c r="B37" s="95"/>
      <c r="C37" s="115">
        <v>100</v>
      </c>
      <c r="D37" s="52" t="s">
        <v>55</v>
      </c>
      <c r="E37" s="116">
        <v>122</v>
      </c>
      <c r="F37" s="116"/>
      <c r="G37" s="116">
        <v>50</v>
      </c>
      <c r="H37" s="54"/>
      <c r="I37" s="54"/>
      <c r="J37" s="54"/>
      <c r="K37" s="54"/>
      <c r="L37" s="54"/>
      <c r="AM37" s="54"/>
      <c r="AN37" s="54">
        <f>1893/615</f>
        <v>3.0780487804878049</v>
      </c>
      <c r="AO37" s="54">
        <f>4893/742</f>
        <v>6.5943396226415096</v>
      </c>
    </row>
    <row r="38" spans="1:41" ht="14.25">
      <c r="A38" s="51" t="s">
        <v>126</v>
      </c>
      <c r="B38" s="95"/>
      <c r="C38" s="115">
        <v>78</v>
      </c>
      <c r="D38" s="52" t="s">
        <v>55</v>
      </c>
      <c r="E38" s="116">
        <v>53</v>
      </c>
      <c r="F38" s="116"/>
      <c r="G38" s="116">
        <v>50</v>
      </c>
      <c r="H38" s="54"/>
      <c r="I38" s="54"/>
      <c r="J38" s="54"/>
      <c r="K38" s="54"/>
      <c r="L38" s="54"/>
      <c r="AM38" s="54"/>
      <c r="AN38" s="54"/>
      <c r="AO38" s="54"/>
    </row>
    <row r="39" spans="1:41" ht="14.25">
      <c r="A39" s="51" t="s">
        <v>255</v>
      </c>
      <c r="B39" s="95"/>
      <c r="C39" s="115">
        <v>88</v>
      </c>
      <c r="D39" s="52" t="s">
        <v>55</v>
      </c>
      <c r="E39" s="116">
        <v>40</v>
      </c>
      <c r="F39" s="116"/>
      <c r="G39" s="116">
        <v>50</v>
      </c>
      <c r="H39" s="54"/>
      <c r="I39" s="54"/>
      <c r="J39" s="54"/>
      <c r="K39" s="54"/>
      <c r="L39" s="54"/>
      <c r="M39" s="54"/>
    </row>
    <row r="40" spans="1:41" ht="14.25">
      <c r="A40" s="51"/>
      <c r="B40" s="95"/>
      <c r="C40" s="115"/>
      <c r="D40" s="51"/>
      <c r="E40" s="51"/>
      <c r="F40" s="51"/>
      <c r="G40" s="51"/>
      <c r="H40" s="54"/>
      <c r="I40" s="54"/>
      <c r="J40" s="54"/>
      <c r="K40" s="54"/>
      <c r="L40" s="54"/>
      <c r="M40" s="54"/>
    </row>
    <row r="41" spans="1:41" ht="14.25">
      <c r="A41" s="51"/>
      <c r="B41" s="95"/>
      <c r="C41" s="115"/>
      <c r="D41" s="51"/>
      <c r="E41" s="51"/>
      <c r="F41" s="51"/>
      <c r="G41" s="51"/>
      <c r="H41" s="54"/>
      <c r="I41" s="54"/>
      <c r="J41" s="54"/>
      <c r="K41" s="54"/>
      <c r="L41" s="54"/>
      <c r="M41" s="54"/>
    </row>
    <row r="42" spans="1:41" ht="14.25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spans="1:41" ht="14.25">
      <c r="A43" s="92" t="s">
        <v>68</v>
      </c>
      <c r="B43" s="92"/>
      <c r="C43" s="92"/>
      <c r="D43" s="92"/>
      <c r="E43" s="92"/>
      <c r="F43" s="92"/>
      <c r="G43" s="92"/>
      <c r="H43" s="54"/>
      <c r="I43" s="54" t="s">
        <v>256</v>
      </c>
      <c r="J43" s="54"/>
      <c r="K43" s="54"/>
      <c r="L43" s="54"/>
      <c r="M43" s="54"/>
    </row>
    <row r="44" spans="1:41" ht="14.25">
      <c r="A44" s="51" t="s">
        <v>71</v>
      </c>
      <c r="B44" s="51"/>
      <c r="C44" s="51"/>
      <c r="D44" s="51"/>
      <c r="E44" s="51"/>
      <c r="F44" s="51"/>
      <c r="G44" s="203">
        <v>1880</v>
      </c>
      <c r="H44" s="54"/>
      <c r="I44" s="119">
        <f>+G44*2.471</f>
        <v>4645.4800000000005</v>
      </c>
      <c r="J44" s="54"/>
      <c r="K44" s="54"/>
      <c r="L44" s="54"/>
      <c r="M44" s="54"/>
    </row>
    <row r="45" spans="1:41" ht="14.25">
      <c r="A45" s="51" t="s">
        <v>72</v>
      </c>
      <c r="B45" s="51"/>
      <c r="C45" s="51"/>
      <c r="D45" s="51"/>
      <c r="E45" s="51"/>
      <c r="F45" s="51"/>
      <c r="G45" s="120">
        <v>43</v>
      </c>
      <c r="H45" s="54"/>
      <c r="I45" s="119"/>
      <c r="J45" s="54"/>
      <c r="K45" s="54"/>
      <c r="L45" s="54"/>
      <c r="M45" s="54"/>
    </row>
    <row r="46" spans="1:41" ht="14.25">
      <c r="A46" s="51" t="s">
        <v>73</v>
      </c>
      <c r="B46" s="51"/>
      <c r="C46" s="51"/>
      <c r="D46" s="51"/>
      <c r="E46" s="51"/>
      <c r="F46" s="51"/>
      <c r="G46" s="120">
        <f>SUM(G44*G45)</f>
        <v>80840</v>
      </c>
      <c r="H46" s="54"/>
      <c r="I46" s="119">
        <f t="shared" ref="I46:I48" si="2">+G46*2.471</f>
        <v>199755.64</v>
      </c>
      <c r="J46" s="54"/>
      <c r="K46" s="54"/>
      <c r="L46" s="54"/>
      <c r="M46" s="54"/>
    </row>
    <row r="47" spans="1:41" ht="14.25">
      <c r="A47" s="51" t="s">
        <v>74</v>
      </c>
      <c r="B47" s="51"/>
      <c r="C47" s="51"/>
      <c r="D47" s="51"/>
      <c r="E47" s="51"/>
      <c r="F47" s="51"/>
      <c r="G47" s="120">
        <f>SUM(G46-K20)</f>
        <v>16709</v>
      </c>
      <c r="H47" s="54"/>
      <c r="I47" s="119">
        <f t="shared" si="2"/>
        <v>41287.938999999998</v>
      </c>
      <c r="J47" s="54"/>
      <c r="K47" s="54"/>
      <c r="L47" s="54"/>
      <c r="M47" s="54"/>
    </row>
    <row r="48" spans="1:41" ht="14.25">
      <c r="A48" s="51" t="s">
        <v>75</v>
      </c>
      <c r="B48" s="51"/>
      <c r="C48" s="51"/>
      <c r="D48" s="51"/>
      <c r="E48" s="51"/>
      <c r="F48" s="51"/>
      <c r="G48" s="120">
        <f>SUM(G46-K21)</f>
        <v>39007</v>
      </c>
      <c r="H48" s="54"/>
      <c r="I48" s="119">
        <f t="shared" si="2"/>
        <v>96386.297000000006</v>
      </c>
      <c r="J48" s="54"/>
      <c r="K48" s="54"/>
      <c r="L48" s="54"/>
      <c r="M48" s="54"/>
    </row>
    <row r="49" spans="1:13" ht="14.25">
      <c r="A49" s="51"/>
      <c r="B49" s="51"/>
      <c r="C49" s="51"/>
      <c r="D49" s="51"/>
      <c r="E49" s="51"/>
      <c r="F49" s="51"/>
      <c r="G49" s="120"/>
      <c r="H49" s="54"/>
      <c r="I49" s="54"/>
      <c r="J49" s="54"/>
      <c r="K49" s="54"/>
      <c r="L49" s="54"/>
      <c r="M49" s="54"/>
    </row>
    <row r="50" spans="1:13" ht="14.25">
      <c r="A50" s="51" t="s">
        <v>76</v>
      </c>
      <c r="B50" s="51"/>
      <c r="C50" s="51"/>
      <c r="D50" s="51"/>
      <c r="E50" s="51"/>
      <c r="F50" s="51"/>
      <c r="G50" s="120">
        <f>SUM(K20/G44)</f>
        <v>34.11223404255319</v>
      </c>
      <c r="H50" s="54"/>
      <c r="I50" s="54"/>
      <c r="J50" s="54"/>
      <c r="K50" s="54"/>
      <c r="L50" s="54"/>
      <c r="M50" s="54"/>
    </row>
    <row r="51" spans="1:13" ht="14.25">
      <c r="A51" s="96" t="s">
        <v>77</v>
      </c>
      <c r="B51" s="96"/>
      <c r="C51" s="96"/>
      <c r="D51" s="96"/>
      <c r="E51" s="96"/>
      <c r="F51" s="96"/>
      <c r="G51" s="121">
        <f>SUM(K21/G44)</f>
        <v>22.251595744680852</v>
      </c>
      <c r="H51" s="54"/>
      <c r="I51" s="54"/>
      <c r="J51" s="54"/>
      <c r="K51" s="54"/>
      <c r="L51" s="54"/>
      <c r="M51" s="54"/>
    </row>
    <row r="52" spans="1:13" ht="14.25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</row>
    <row r="53" spans="1:13" ht="14.25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spans="1:13" ht="14.25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spans="1:13" ht="14.2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</row>
    <row r="56" spans="1:13" ht="14.25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N52"/>
  <sheetViews>
    <sheetView workbookViewId="0">
      <selection sqref="A1:XFD1048576"/>
    </sheetView>
  </sheetViews>
  <sheetFormatPr defaultRowHeight="12"/>
  <cols>
    <col min="1" max="1" width="8.140625" style="184" customWidth="1"/>
    <col min="2" max="2" width="9.140625" style="184" customWidth="1"/>
    <col min="3" max="3" width="7.5703125" style="184" customWidth="1"/>
    <col min="4" max="4" width="6.28515625" style="184" customWidth="1"/>
    <col min="5" max="5" width="7" style="184" customWidth="1"/>
    <col min="6" max="6" width="6.85546875" style="184" customWidth="1"/>
    <col min="7" max="7" width="10.85546875" style="184" customWidth="1"/>
    <col min="8" max="8" width="10.28515625" style="184" customWidth="1"/>
    <col min="9" max="9" width="9.42578125" style="184" customWidth="1"/>
    <col min="10" max="10" width="9.85546875" style="184" customWidth="1"/>
    <col min="11" max="11" width="10" style="184" customWidth="1"/>
    <col min="12" max="12" width="6.7109375" style="184" customWidth="1"/>
    <col min="13" max="13" width="8.7109375" style="184" customWidth="1"/>
    <col min="14" max="16384" width="9.140625" style="184"/>
  </cols>
  <sheetData>
    <row r="1" spans="1:19" ht="13.5">
      <c r="A1" s="118" t="s">
        <v>0</v>
      </c>
      <c r="B1" s="118" t="s">
        <v>210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</row>
    <row r="2" spans="1:19" ht="13.5">
      <c r="A2" s="118"/>
      <c r="B2" s="118" t="s">
        <v>211</v>
      </c>
      <c r="C2" s="118"/>
      <c r="D2" s="118" t="s">
        <v>257</v>
      </c>
      <c r="E2" s="118"/>
      <c r="F2" s="118"/>
      <c r="G2" s="118"/>
      <c r="H2" s="118"/>
      <c r="I2" s="118"/>
      <c r="J2" s="118"/>
      <c r="K2" s="118"/>
      <c r="L2" s="118"/>
      <c r="M2" s="118"/>
    </row>
    <row r="3" spans="1:19" ht="14.25">
      <c r="A3" s="92" t="s">
        <v>4</v>
      </c>
      <c r="B3" s="92"/>
      <c r="C3" s="92"/>
      <c r="D3" s="93" t="s">
        <v>5</v>
      </c>
      <c r="E3" s="93" t="s">
        <v>6</v>
      </c>
      <c r="F3" s="93" t="s">
        <v>7</v>
      </c>
      <c r="G3" s="93" t="s">
        <v>8</v>
      </c>
      <c r="H3" s="93" t="s">
        <v>9</v>
      </c>
      <c r="I3" s="93" t="s">
        <v>10</v>
      </c>
      <c r="J3" s="93" t="s">
        <v>11</v>
      </c>
      <c r="K3" s="93" t="s">
        <v>12</v>
      </c>
      <c r="L3" s="94" t="s">
        <v>13</v>
      </c>
      <c r="M3" s="93"/>
    </row>
    <row r="4" spans="1:19" ht="14.25">
      <c r="A4" s="51"/>
      <c r="B4" s="51"/>
      <c r="C4" s="51"/>
      <c r="D4" s="52" t="s">
        <v>14</v>
      </c>
      <c r="E4" s="52" t="s">
        <v>15</v>
      </c>
      <c r="F4" s="52" t="s">
        <v>15</v>
      </c>
      <c r="G4" s="52" t="s">
        <v>16</v>
      </c>
      <c r="H4" s="52" t="s">
        <v>17</v>
      </c>
      <c r="I4" s="52" t="s">
        <v>18</v>
      </c>
      <c r="J4" s="52" t="s">
        <v>17</v>
      </c>
      <c r="K4" s="52" t="s">
        <v>17</v>
      </c>
      <c r="L4" s="52" t="s">
        <v>10</v>
      </c>
      <c r="M4" s="52" t="s">
        <v>11</v>
      </c>
    </row>
    <row r="5" spans="1:19" ht="14.25">
      <c r="A5" s="51"/>
      <c r="B5" s="51"/>
      <c r="C5" s="51"/>
      <c r="D5" s="52" t="s">
        <v>19</v>
      </c>
      <c r="E5" s="52"/>
      <c r="F5" s="52"/>
      <c r="G5" s="52"/>
      <c r="H5" s="52" t="s">
        <v>20</v>
      </c>
      <c r="I5" s="52" t="s">
        <v>17</v>
      </c>
      <c r="J5" s="52" t="s">
        <v>20</v>
      </c>
      <c r="K5" s="52" t="s">
        <v>20</v>
      </c>
      <c r="L5" s="52"/>
      <c r="M5" s="52"/>
    </row>
    <row r="6" spans="1:19" ht="14.25">
      <c r="A6" s="96"/>
      <c r="B6" s="96"/>
      <c r="C6" s="96"/>
      <c r="D6" s="97"/>
      <c r="E6" s="97"/>
      <c r="F6" s="97"/>
      <c r="G6" s="97"/>
      <c r="H6" s="97"/>
      <c r="I6" s="97" t="s">
        <v>20</v>
      </c>
      <c r="J6" s="97"/>
      <c r="K6" s="97"/>
      <c r="L6" s="97"/>
      <c r="M6" s="97"/>
    </row>
    <row r="7" spans="1:19" ht="14.25">
      <c r="A7" s="51" t="s">
        <v>213</v>
      </c>
      <c r="B7" s="51"/>
      <c r="C7" s="51"/>
      <c r="D7" s="185" t="s">
        <v>258</v>
      </c>
      <c r="E7" s="186" t="s">
        <v>259</v>
      </c>
      <c r="F7" s="52" t="s">
        <v>259</v>
      </c>
      <c r="G7" s="52">
        <v>1200</v>
      </c>
      <c r="H7" s="99" t="s">
        <v>260</v>
      </c>
      <c r="I7" s="52"/>
      <c r="J7" s="52" t="s">
        <v>261</v>
      </c>
      <c r="K7" s="99">
        <f t="shared" ref="K7:K20" si="0">SUM(H7:J7)</f>
        <v>0</v>
      </c>
      <c r="L7" s="52"/>
      <c r="M7" s="52"/>
      <c r="N7" s="51"/>
      <c r="O7" s="204"/>
      <c r="P7" s="204"/>
      <c r="Q7" s="204"/>
      <c r="R7" s="155"/>
    </row>
    <row r="8" spans="1:19" ht="14.25">
      <c r="A8" s="54" t="s">
        <v>21</v>
      </c>
      <c r="B8" s="54"/>
      <c r="C8" s="54"/>
      <c r="D8" s="122" t="s">
        <v>262</v>
      </c>
      <c r="E8" s="99" t="s">
        <v>263</v>
      </c>
      <c r="F8" s="99" t="s">
        <v>264</v>
      </c>
      <c r="G8" s="100">
        <v>1000</v>
      </c>
      <c r="H8" s="99" t="s">
        <v>265</v>
      </c>
      <c r="I8" s="54"/>
      <c r="J8" s="99"/>
      <c r="K8" s="99">
        <f t="shared" si="0"/>
        <v>0</v>
      </c>
      <c r="L8" s="54"/>
      <c r="M8" s="54"/>
      <c r="N8" s="54"/>
      <c r="O8" s="205"/>
      <c r="P8" s="205"/>
      <c r="Q8" s="205"/>
      <c r="R8" s="206"/>
    </row>
    <row r="9" spans="1:19" ht="14.25">
      <c r="A9" s="54" t="s">
        <v>266</v>
      </c>
      <c r="B9" s="54"/>
      <c r="C9" s="54"/>
      <c r="D9" s="187">
        <v>0.94</v>
      </c>
      <c r="E9" s="99">
        <v>0.55000000000000004</v>
      </c>
      <c r="F9" s="99">
        <v>0.49</v>
      </c>
      <c r="G9" s="100">
        <v>1000</v>
      </c>
      <c r="H9" s="99">
        <f t="shared" ref="H9:H20" si="1">SUM(E9*G9)</f>
        <v>550</v>
      </c>
      <c r="I9" s="99">
        <v>5851</v>
      </c>
      <c r="J9" s="99"/>
      <c r="K9" s="99">
        <f t="shared" si="0"/>
        <v>6401</v>
      </c>
      <c r="L9" s="54">
        <v>153</v>
      </c>
      <c r="M9" s="54"/>
      <c r="N9" s="54"/>
      <c r="O9" s="205"/>
      <c r="P9" s="205"/>
      <c r="Q9" s="205"/>
      <c r="R9" s="207"/>
      <c r="S9" s="202"/>
    </row>
    <row r="10" spans="1:19" ht="14.25">
      <c r="A10" s="54" t="s">
        <v>222</v>
      </c>
      <c r="B10" s="54"/>
      <c r="C10" s="54"/>
      <c r="D10" s="187" t="s">
        <v>267</v>
      </c>
      <c r="E10" s="99" t="s">
        <v>268</v>
      </c>
      <c r="F10" s="99" t="s">
        <v>268</v>
      </c>
      <c r="G10" s="100"/>
      <c r="H10" s="99"/>
      <c r="I10" s="99" t="s">
        <v>269</v>
      </c>
      <c r="J10" s="99"/>
      <c r="K10" s="99">
        <v>0</v>
      </c>
      <c r="L10" s="54"/>
      <c r="M10" s="54"/>
      <c r="N10" s="54"/>
      <c r="O10" s="205"/>
      <c r="P10" s="205"/>
      <c r="Q10" s="205"/>
      <c r="R10" s="207"/>
      <c r="S10" s="202"/>
    </row>
    <row r="11" spans="1:19" ht="14.25">
      <c r="A11" s="54" t="s">
        <v>225</v>
      </c>
      <c r="B11" s="54"/>
      <c r="C11" s="54"/>
      <c r="D11" s="188">
        <v>0.4</v>
      </c>
      <c r="E11" s="15">
        <v>4.8499999999999996</v>
      </c>
      <c r="F11" s="177">
        <v>2.7</v>
      </c>
      <c r="G11" s="100">
        <v>1073</v>
      </c>
      <c r="H11" s="99">
        <v>5204</v>
      </c>
      <c r="I11" s="54"/>
      <c r="J11" s="99"/>
      <c r="K11" s="99">
        <f t="shared" si="0"/>
        <v>5204</v>
      </c>
      <c r="L11" s="54"/>
      <c r="M11" s="54"/>
      <c r="N11" s="54"/>
      <c r="O11" s="205"/>
      <c r="P11" s="205"/>
      <c r="Q11" s="205"/>
      <c r="R11" s="208"/>
      <c r="S11" s="202"/>
    </row>
    <row r="12" spans="1:19" ht="14.25">
      <c r="A12" s="54" t="s">
        <v>230</v>
      </c>
      <c r="B12" s="54"/>
      <c r="C12" s="54"/>
      <c r="D12" s="187">
        <v>1</v>
      </c>
      <c r="E12" s="99">
        <v>6.84</v>
      </c>
      <c r="F12" s="99">
        <v>3.65</v>
      </c>
      <c r="G12" s="100">
        <v>1053</v>
      </c>
      <c r="H12" s="99">
        <v>7203</v>
      </c>
      <c r="I12" s="54"/>
      <c r="J12" s="99">
        <f>E29*G29</f>
        <v>5489</v>
      </c>
      <c r="K12" s="99">
        <f t="shared" si="0"/>
        <v>12692</v>
      </c>
      <c r="L12" s="54"/>
      <c r="M12" s="54">
        <v>138</v>
      </c>
      <c r="N12" s="54"/>
      <c r="O12" s="205"/>
      <c r="P12" s="205"/>
      <c r="Q12" s="205"/>
      <c r="R12" s="206"/>
      <c r="S12" s="202"/>
    </row>
    <row r="13" spans="1:19" ht="14.25">
      <c r="A13" s="54" t="s">
        <v>231</v>
      </c>
      <c r="B13" s="54"/>
      <c r="C13" s="54"/>
      <c r="D13" s="187">
        <v>1</v>
      </c>
      <c r="E13" s="14">
        <v>9.3800000000000008</v>
      </c>
      <c r="F13" s="99">
        <v>4.03</v>
      </c>
      <c r="G13" s="100">
        <v>987</v>
      </c>
      <c r="H13" s="99">
        <v>9258</v>
      </c>
      <c r="I13" s="54"/>
      <c r="J13" s="99"/>
      <c r="K13" s="99">
        <f t="shared" si="0"/>
        <v>9258</v>
      </c>
      <c r="L13" s="54"/>
      <c r="M13" s="54"/>
      <c r="N13" s="54"/>
      <c r="O13" s="205"/>
      <c r="P13" s="205"/>
      <c r="Q13" s="205"/>
      <c r="R13" s="209"/>
      <c r="S13" s="202"/>
    </row>
    <row r="14" spans="1:19" ht="14.25">
      <c r="A14" s="54" t="s">
        <v>34</v>
      </c>
      <c r="B14" s="54"/>
      <c r="C14" s="54"/>
      <c r="D14" s="187">
        <v>1</v>
      </c>
      <c r="E14" s="99">
        <v>3.53</v>
      </c>
      <c r="F14" s="99">
        <v>2.35</v>
      </c>
      <c r="G14" s="100">
        <v>978</v>
      </c>
      <c r="H14" s="99">
        <v>3452</v>
      </c>
      <c r="I14" s="54"/>
      <c r="J14" s="14">
        <f>+E36*G36+E37*G37+E38*G38</f>
        <v>12650</v>
      </c>
      <c r="K14" s="99">
        <f t="shared" si="0"/>
        <v>16102</v>
      </c>
      <c r="L14" s="54"/>
      <c r="M14" s="54"/>
      <c r="N14" s="54"/>
      <c r="O14" s="205"/>
      <c r="P14" s="205"/>
      <c r="Q14" s="205"/>
      <c r="R14" s="206"/>
      <c r="S14" s="202"/>
    </row>
    <row r="15" spans="1:19" ht="14.25">
      <c r="A15" s="54" t="s">
        <v>36</v>
      </c>
      <c r="B15" s="54"/>
      <c r="C15" s="54"/>
      <c r="D15" s="188">
        <v>0.94</v>
      </c>
      <c r="E15" s="99">
        <v>1.22</v>
      </c>
      <c r="F15" s="99">
        <v>1.01</v>
      </c>
      <c r="G15" s="100">
        <v>1158</v>
      </c>
      <c r="H15" s="99">
        <v>1413</v>
      </c>
      <c r="I15" s="54"/>
      <c r="J15" s="99">
        <v>1725</v>
      </c>
      <c r="K15" s="99">
        <f t="shared" si="0"/>
        <v>3138</v>
      </c>
      <c r="L15" s="54"/>
      <c r="M15" s="54"/>
      <c r="N15" s="54"/>
      <c r="O15" s="205"/>
      <c r="P15" s="205"/>
      <c r="Q15" s="205"/>
      <c r="R15" s="207"/>
      <c r="S15" s="202"/>
    </row>
    <row r="16" spans="1:19" ht="14.25">
      <c r="A16" s="54" t="s">
        <v>92</v>
      </c>
      <c r="B16" s="54"/>
      <c r="C16" s="54"/>
      <c r="D16" s="187">
        <v>1</v>
      </c>
      <c r="E16" s="99">
        <v>5.66</v>
      </c>
      <c r="F16" s="99">
        <v>5.66</v>
      </c>
      <c r="G16" s="100">
        <v>1000</v>
      </c>
      <c r="H16" s="99">
        <f t="shared" si="1"/>
        <v>5660</v>
      </c>
      <c r="I16" s="54"/>
      <c r="J16" s="99"/>
      <c r="K16" s="99">
        <f t="shared" si="0"/>
        <v>5660</v>
      </c>
      <c r="L16" s="54"/>
      <c r="M16" s="54"/>
      <c r="N16" s="54"/>
      <c r="O16" s="205"/>
      <c r="P16" s="205"/>
      <c r="Q16" s="205"/>
      <c r="R16" s="207"/>
      <c r="S16" s="202"/>
    </row>
    <row r="17" spans="1:40" ht="14.25">
      <c r="A17" s="54" t="s">
        <v>237</v>
      </c>
      <c r="B17" s="54"/>
      <c r="C17" s="54"/>
      <c r="D17" s="187">
        <v>1</v>
      </c>
      <c r="E17" s="99">
        <v>6.12</v>
      </c>
      <c r="F17" s="99">
        <v>3.58</v>
      </c>
      <c r="G17" s="100">
        <v>1007</v>
      </c>
      <c r="H17" s="99">
        <v>6163</v>
      </c>
      <c r="I17" s="189"/>
      <c r="J17" s="99"/>
      <c r="K17" s="99">
        <f t="shared" si="0"/>
        <v>6163</v>
      </c>
      <c r="L17" s="54"/>
      <c r="M17" s="54"/>
      <c r="N17" s="54"/>
      <c r="O17" s="205"/>
      <c r="P17" s="205"/>
      <c r="Q17" s="205"/>
      <c r="R17" s="207"/>
      <c r="S17" s="202"/>
    </row>
    <row r="18" spans="1:40" ht="14.25">
      <c r="A18" s="54" t="s">
        <v>270</v>
      </c>
      <c r="B18" s="54"/>
      <c r="C18" s="54"/>
      <c r="D18" s="187">
        <v>0.78</v>
      </c>
      <c r="E18" s="99">
        <v>1.76</v>
      </c>
      <c r="F18" s="99">
        <v>1.05</v>
      </c>
      <c r="G18" s="100">
        <v>1111</v>
      </c>
      <c r="H18" s="99">
        <v>1955</v>
      </c>
      <c r="I18" s="177">
        <v>2837</v>
      </c>
      <c r="J18" s="99"/>
      <c r="K18" s="99">
        <f t="shared" si="0"/>
        <v>4792</v>
      </c>
      <c r="L18" s="54"/>
      <c r="M18" s="54"/>
      <c r="N18" s="54"/>
      <c r="O18" s="205"/>
      <c r="P18" s="205"/>
      <c r="Q18" s="205"/>
      <c r="R18" s="206"/>
      <c r="S18" s="202"/>
    </row>
    <row r="19" spans="1:40" ht="14.25">
      <c r="A19" s="54" t="s">
        <v>271</v>
      </c>
      <c r="B19" s="54"/>
      <c r="C19" s="54"/>
      <c r="D19" s="188">
        <v>0.44</v>
      </c>
      <c r="E19" s="177">
        <v>1.5</v>
      </c>
      <c r="F19" s="99">
        <v>1.29</v>
      </c>
      <c r="G19" s="100">
        <v>1013</v>
      </c>
      <c r="H19" s="99">
        <v>1520</v>
      </c>
      <c r="I19" s="189"/>
      <c r="J19" s="99"/>
      <c r="K19" s="99">
        <f t="shared" si="0"/>
        <v>1520</v>
      </c>
      <c r="L19" s="54"/>
      <c r="M19" s="54"/>
      <c r="N19" s="54"/>
      <c r="O19" s="205"/>
      <c r="P19" s="205"/>
      <c r="Q19" s="205"/>
      <c r="R19" s="206"/>
    </row>
    <row r="20" spans="1:40" ht="14.25">
      <c r="A20" s="54" t="s">
        <v>272</v>
      </c>
      <c r="B20" s="54"/>
      <c r="C20" s="54"/>
      <c r="D20" s="188">
        <v>0.54</v>
      </c>
      <c r="E20" s="177">
        <v>0.17</v>
      </c>
      <c r="F20" s="99">
        <v>0.09</v>
      </c>
      <c r="G20" s="100">
        <v>1200</v>
      </c>
      <c r="H20" s="99">
        <f t="shared" si="1"/>
        <v>204.00000000000003</v>
      </c>
      <c r="I20" s="177">
        <v>625</v>
      </c>
      <c r="J20" s="99"/>
      <c r="K20" s="99">
        <f t="shared" si="0"/>
        <v>829</v>
      </c>
      <c r="L20" s="54"/>
      <c r="M20" s="54"/>
      <c r="N20" s="54"/>
    </row>
    <row r="21" spans="1:40" ht="14.25">
      <c r="A21" s="92" t="s">
        <v>42</v>
      </c>
      <c r="B21" s="92"/>
      <c r="C21" s="92"/>
      <c r="D21" s="103"/>
      <c r="E21" s="104">
        <f t="shared" ref="E21:K21" si="2">SUM(E7:E20)</f>
        <v>41.58</v>
      </c>
      <c r="F21" s="104">
        <f t="shared" si="2"/>
        <v>25.9</v>
      </c>
      <c r="G21" s="104"/>
      <c r="H21" s="104">
        <f t="shared" si="2"/>
        <v>42582</v>
      </c>
      <c r="I21" s="104">
        <f t="shared" si="2"/>
        <v>9313</v>
      </c>
      <c r="J21" s="104">
        <f t="shared" si="2"/>
        <v>19864</v>
      </c>
      <c r="K21" s="104">
        <f t="shared" si="2"/>
        <v>71759</v>
      </c>
      <c r="L21" s="104">
        <f t="shared" ref="L21:M21" si="3">SUM(L7:L19)</f>
        <v>153</v>
      </c>
      <c r="M21" s="104">
        <f t="shared" si="3"/>
        <v>138</v>
      </c>
    </row>
    <row r="22" spans="1:40" ht="14.25">
      <c r="A22" s="96" t="s">
        <v>43</v>
      </c>
      <c r="B22" s="96"/>
      <c r="C22" s="96"/>
      <c r="D22" s="105"/>
      <c r="E22" s="106">
        <f>SUM(E21-F21)</f>
        <v>15.68</v>
      </c>
      <c r="F22" s="106"/>
      <c r="G22" s="106"/>
      <c r="H22" s="106">
        <f>E32*G32</f>
        <v>16224</v>
      </c>
      <c r="I22" s="106">
        <f>I21-L21</f>
        <v>9160</v>
      </c>
      <c r="J22" s="106">
        <f>J21-M21</f>
        <v>19726</v>
      </c>
      <c r="K22" s="106">
        <f>+H22+I22+J22</f>
        <v>45110</v>
      </c>
      <c r="L22" s="96"/>
      <c r="M22" s="96"/>
    </row>
    <row r="23" spans="1:40" ht="14.25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202"/>
      <c r="L23" s="54"/>
      <c r="M23" s="54"/>
    </row>
    <row r="24" spans="1:40" ht="14.25">
      <c r="A24" s="54"/>
      <c r="B24" s="54"/>
      <c r="C24" s="54" t="s">
        <v>44</v>
      </c>
      <c r="D24" s="54"/>
      <c r="E24" s="54"/>
      <c r="F24" s="54"/>
      <c r="G24" s="54"/>
      <c r="H24" s="54"/>
      <c r="I24" s="54"/>
      <c r="J24" s="54"/>
      <c r="K24" s="54"/>
      <c r="L24" s="54"/>
      <c r="M24" s="54"/>
    </row>
    <row r="25" spans="1:40" ht="14.25">
      <c r="A25" s="54"/>
      <c r="B25" s="54"/>
      <c r="C25" s="54"/>
      <c r="D25" s="54"/>
      <c r="E25" s="54"/>
      <c r="F25" s="54"/>
      <c r="G25" s="54"/>
      <c r="H25" s="54"/>
      <c r="I25" s="99"/>
      <c r="J25" s="54"/>
      <c r="K25" s="54"/>
      <c r="L25" s="54"/>
      <c r="M25" s="54"/>
    </row>
    <row r="26" spans="1:40" ht="14.25">
      <c r="A26" s="54" t="s">
        <v>45</v>
      </c>
      <c r="B26" s="54"/>
      <c r="C26" s="54"/>
      <c r="D26" s="54"/>
      <c r="E26" s="54"/>
      <c r="F26" s="54"/>
      <c r="G26" s="54"/>
      <c r="H26" s="54"/>
      <c r="I26" s="54"/>
      <c r="J26" s="190" t="s">
        <v>50</v>
      </c>
      <c r="K26" s="191" t="s">
        <v>51</v>
      </c>
      <c r="L26" s="54"/>
      <c r="M26" s="54"/>
    </row>
    <row r="27" spans="1:40" ht="14.25">
      <c r="A27" s="108" t="s">
        <v>46</v>
      </c>
      <c r="B27" s="108"/>
      <c r="C27" s="108"/>
      <c r="D27" s="108" t="s">
        <v>47</v>
      </c>
      <c r="E27" s="108" t="s">
        <v>48</v>
      </c>
      <c r="F27" s="108"/>
      <c r="G27" s="108" t="s">
        <v>49</v>
      </c>
      <c r="H27" s="54"/>
      <c r="I27" s="118"/>
      <c r="J27" s="192" t="s">
        <v>244</v>
      </c>
      <c r="K27" s="192">
        <v>98</v>
      </c>
      <c r="L27" s="54"/>
      <c r="M27" s="54"/>
    </row>
    <row r="28" spans="1:40" ht="14.25">
      <c r="A28" s="54" t="s">
        <v>52</v>
      </c>
      <c r="B28" s="54"/>
      <c r="C28" s="54"/>
      <c r="D28" s="54"/>
      <c r="E28" s="54"/>
      <c r="F28" s="54"/>
      <c r="G28" s="54"/>
      <c r="H28" s="54"/>
      <c r="I28" s="54"/>
      <c r="J28" s="192" t="s">
        <v>245</v>
      </c>
      <c r="K28" s="192">
        <v>2</v>
      </c>
      <c r="L28" s="54"/>
      <c r="M28" s="54"/>
      <c r="AL28" s="54" t="s">
        <v>248</v>
      </c>
      <c r="AM28" s="54">
        <f>395/615</f>
        <v>0.64227642276422769</v>
      </c>
      <c r="AN28" s="54">
        <f>487/742</f>
        <v>0.65633423180592987</v>
      </c>
    </row>
    <row r="29" spans="1:40" ht="14.25">
      <c r="A29" s="54" t="s">
        <v>246</v>
      </c>
      <c r="B29" s="54"/>
      <c r="C29" s="54"/>
      <c r="D29" s="54" t="s">
        <v>247</v>
      </c>
      <c r="E29" s="99">
        <v>5.5</v>
      </c>
      <c r="F29" s="54"/>
      <c r="G29" s="99">
        <v>998</v>
      </c>
      <c r="H29" s="54"/>
      <c r="I29" s="54"/>
      <c r="J29" s="193"/>
      <c r="L29" s="54"/>
      <c r="M29" s="54"/>
      <c r="AL29" s="54" t="s">
        <v>249</v>
      </c>
      <c r="AM29" s="54">
        <f>4067/615</f>
        <v>6.6130081300813011</v>
      </c>
      <c r="AN29" s="54">
        <f>5352/742</f>
        <v>7.2129380053908356</v>
      </c>
    </row>
    <row r="30" spans="1:40" ht="14.25">
      <c r="A30" s="54"/>
      <c r="B30" s="54"/>
      <c r="C30" s="54"/>
      <c r="D30" s="54"/>
      <c r="E30" s="54"/>
      <c r="F30" s="54"/>
      <c r="G30" s="54"/>
      <c r="H30" s="54"/>
      <c r="I30" s="54"/>
      <c r="J30" s="194" t="s">
        <v>98</v>
      </c>
      <c r="K30" s="195">
        <v>0.99</v>
      </c>
      <c r="L30" s="54"/>
      <c r="AL30" s="54" t="s">
        <v>95</v>
      </c>
      <c r="AM30" s="54">
        <f>5036/615</f>
        <v>8.1886178861788625</v>
      </c>
      <c r="AN30" s="54">
        <f>5402/742</f>
        <v>7.2803234501347704</v>
      </c>
    </row>
    <row r="31" spans="1:40" ht="14.25">
      <c r="A31" s="54" t="s">
        <v>57</v>
      </c>
      <c r="B31" s="54"/>
      <c r="C31" s="54"/>
      <c r="D31" s="54"/>
      <c r="E31" s="54"/>
      <c r="F31" s="54"/>
      <c r="G31" s="54"/>
      <c r="H31" s="54"/>
      <c r="I31" s="54"/>
      <c r="J31" s="196" t="s">
        <v>99</v>
      </c>
      <c r="K31" s="210">
        <v>1</v>
      </c>
      <c r="L31" s="54"/>
      <c r="AL31" s="54" t="s">
        <v>251</v>
      </c>
      <c r="AM31" s="184">
        <f>6912/615</f>
        <v>11.239024390243902</v>
      </c>
      <c r="AN31" s="54">
        <f>6807/742</f>
        <v>9.1738544474393535</v>
      </c>
    </row>
    <row r="32" spans="1:40" ht="14.25">
      <c r="A32" s="54" t="s">
        <v>58</v>
      </c>
      <c r="B32" s="54"/>
      <c r="C32" s="54"/>
      <c r="D32" s="54" t="s">
        <v>59</v>
      </c>
      <c r="E32" s="99">
        <v>16</v>
      </c>
      <c r="F32" s="54"/>
      <c r="G32" s="99">
        <v>1014</v>
      </c>
      <c r="H32" s="54"/>
      <c r="I32" s="54"/>
      <c r="J32" s="193"/>
      <c r="K32" s="197"/>
      <c r="L32" s="54"/>
      <c r="AL32" s="54" t="s">
        <v>252</v>
      </c>
      <c r="AM32" s="184">
        <f>1976/615</f>
        <v>3.2130081300813007</v>
      </c>
      <c r="AN32" s="54">
        <f>1593/742</f>
        <v>2.1469002695417791</v>
      </c>
    </row>
    <row r="33" spans="1:40" ht="14.25">
      <c r="A33" s="54" t="s">
        <v>61</v>
      </c>
      <c r="B33" s="54"/>
      <c r="C33" s="54"/>
      <c r="D33" s="54" t="s">
        <v>59</v>
      </c>
      <c r="E33" s="99">
        <v>26</v>
      </c>
      <c r="F33" s="54"/>
      <c r="G33" s="54"/>
      <c r="H33" s="54"/>
      <c r="I33" s="54"/>
      <c r="J33" s="193"/>
      <c r="K33" s="198"/>
      <c r="L33" s="54"/>
      <c r="AL33" s="54" t="s">
        <v>253</v>
      </c>
      <c r="AM33" s="54">
        <f>3745/615</f>
        <v>6.0894308943089435</v>
      </c>
      <c r="AN33" s="54">
        <f>5446/742</f>
        <v>7.3396226415094343</v>
      </c>
    </row>
    <row r="34" spans="1:40" ht="14.25">
      <c r="A34" s="54" t="s">
        <v>6</v>
      </c>
      <c r="B34" s="54"/>
      <c r="C34" s="54"/>
      <c r="D34" s="54"/>
      <c r="E34" s="99">
        <f>SUM(E32:E33)</f>
        <v>42</v>
      </c>
      <c r="F34" s="54"/>
      <c r="G34" s="54"/>
      <c r="H34" s="54"/>
      <c r="I34" s="54"/>
      <c r="J34" s="199"/>
      <c r="K34" s="200"/>
      <c r="L34" s="54"/>
      <c r="AL34" s="54" t="s">
        <v>254</v>
      </c>
      <c r="AM34" s="54">
        <f>5622/615</f>
        <v>9.1414634146341456</v>
      </c>
      <c r="AN34" s="54">
        <f>5622/742</f>
        <v>7.5768194070080863</v>
      </c>
    </row>
    <row r="35" spans="1:40" ht="14.25">
      <c r="A35" s="92" t="s">
        <v>63</v>
      </c>
      <c r="B35" s="92"/>
      <c r="C35" s="92" t="s">
        <v>64</v>
      </c>
      <c r="D35" s="92"/>
      <c r="E35" s="92"/>
      <c r="F35" s="92"/>
      <c r="G35" s="92"/>
      <c r="H35" s="54"/>
      <c r="I35" s="54"/>
      <c r="J35" s="54"/>
      <c r="K35" s="202"/>
      <c r="L35" s="54"/>
      <c r="AL35" s="54"/>
      <c r="AM35" s="54"/>
      <c r="AN35" s="54"/>
    </row>
    <row r="36" spans="1:40" ht="14.25">
      <c r="A36" s="51" t="s">
        <v>127</v>
      </c>
      <c r="B36" s="95"/>
      <c r="C36" s="115">
        <v>100</v>
      </c>
      <c r="D36" s="52" t="s">
        <v>55</v>
      </c>
      <c r="E36" s="30">
        <v>140</v>
      </c>
      <c r="F36" s="51"/>
      <c r="G36" s="116">
        <v>50</v>
      </c>
      <c r="H36" s="54"/>
      <c r="I36" s="54"/>
      <c r="J36" s="54"/>
      <c r="K36" s="54"/>
      <c r="L36" s="54"/>
      <c r="M36" s="202"/>
    </row>
    <row r="37" spans="1:40" ht="14.25">
      <c r="A37" s="51" t="s">
        <v>126</v>
      </c>
      <c r="B37" s="95"/>
      <c r="C37" s="115">
        <v>50</v>
      </c>
      <c r="D37" s="52" t="s">
        <v>55</v>
      </c>
      <c r="E37" s="116">
        <v>53</v>
      </c>
      <c r="F37" s="51"/>
      <c r="G37" s="116">
        <v>50</v>
      </c>
      <c r="H37" s="54"/>
      <c r="I37" s="54"/>
      <c r="J37" s="54"/>
      <c r="K37" s="54"/>
      <c r="L37" s="54"/>
      <c r="M37" s="202"/>
    </row>
    <row r="38" spans="1:40" ht="14.25">
      <c r="A38" s="51" t="s">
        <v>255</v>
      </c>
      <c r="B38" s="95"/>
      <c r="C38" s="115">
        <v>48</v>
      </c>
      <c r="D38" s="52" t="s">
        <v>55</v>
      </c>
      <c r="E38" s="30">
        <v>60</v>
      </c>
      <c r="F38" s="51"/>
      <c r="G38" s="116">
        <v>50</v>
      </c>
      <c r="H38" s="54"/>
      <c r="I38" s="54"/>
      <c r="J38" s="54"/>
      <c r="K38" s="54"/>
      <c r="L38" s="54"/>
      <c r="M38" s="202"/>
    </row>
    <row r="39" spans="1:40" ht="14.25">
      <c r="A39" s="51"/>
      <c r="B39" s="95"/>
      <c r="C39" s="115"/>
      <c r="D39" s="51"/>
      <c r="E39" s="51"/>
      <c r="F39" s="51"/>
      <c r="G39" s="51"/>
      <c r="H39" s="54"/>
      <c r="I39" s="54"/>
      <c r="J39" s="54"/>
      <c r="K39" s="54"/>
      <c r="L39" s="54"/>
      <c r="M39" s="54"/>
    </row>
    <row r="40" spans="1:40" ht="14.25">
      <c r="A40" s="51"/>
      <c r="B40" s="95"/>
      <c r="C40" s="115"/>
      <c r="D40" s="51"/>
      <c r="E40" s="51"/>
      <c r="F40" s="51"/>
      <c r="G40" s="51"/>
      <c r="H40" s="54"/>
      <c r="I40" s="54"/>
      <c r="J40" s="54"/>
      <c r="K40" s="54"/>
      <c r="L40" s="54"/>
      <c r="M40" s="54"/>
    </row>
    <row r="41" spans="1:40" ht="14.25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spans="1:40" ht="14.25">
      <c r="A42" s="92" t="s">
        <v>68</v>
      </c>
      <c r="B42" s="92"/>
      <c r="C42" s="92"/>
      <c r="D42" s="92"/>
      <c r="E42" s="92"/>
      <c r="F42" s="92"/>
      <c r="G42" s="92"/>
      <c r="H42" s="54"/>
      <c r="I42" s="54" t="s">
        <v>256</v>
      </c>
      <c r="J42" s="54"/>
      <c r="K42" s="54"/>
      <c r="L42" s="54"/>
      <c r="M42" s="54"/>
    </row>
    <row r="43" spans="1:40" ht="14.25">
      <c r="A43" s="51" t="s">
        <v>71</v>
      </c>
      <c r="B43" s="51"/>
      <c r="C43" s="51"/>
      <c r="D43" s="51"/>
      <c r="E43" s="51"/>
      <c r="F43" s="51"/>
      <c r="G43" s="203">
        <v>1846</v>
      </c>
      <c r="H43" s="54"/>
      <c r="I43" s="99">
        <v>4560</v>
      </c>
      <c r="J43" s="54"/>
      <c r="K43" s="54"/>
      <c r="L43" s="54"/>
      <c r="M43" s="54"/>
    </row>
    <row r="44" spans="1:40" ht="14.25">
      <c r="A44" s="51" t="s">
        <v>72</v>
      </c>
      <c r="B44" s="51"/>
      <c r="C44" s="51"/>
      <c r="D44" s="51"/>
      <c r="E44" s="51"/>
      <c r="F44" s="51"/>
      <c r="G44" s="120">
        <v>44</v>
      </c>
      <c r="H44" s="54"/>
      <c r="I44" s="99"/>
      <c r="J44" s="54"/>
      <c r="K44" s="54"/>
      <c r="L44" s="54"/>
      <c r="M44" s="54"/>
    </row>
    <row r="45" spans="1:40" ht="14.25">
      <c r="A45" s="51" t="s">
        <v>73</v>
      </c>
      <c r="B45" s="51"/>
      <c r="C45" s="51"/>
      <c r="D45" s="51"/>
      <c r="E45" s="51"/>
      <c r="F45" s="51"/>
      <c r="G45" s="120">
        <f>SUM(G43*G44)</f>
        <v>81224</v>
      </c>
      <c r="H45" s="54"/>
      <c r="I45" s="119">
        <f>G45*2.471</f>
        <v>200704.50400000002</v>
      </c>
      <c r="J45" s="54"/>
      <c r="K45" s="54"/>
      <c r="L45" s="54"/>
      <c r="M45" s="54"/>
    </row>
    <row r="46" spans="1:40" ht="14.25">
      <c r="A46" s="51" t="s">
        <v>74</v>
      </c>
      <c r="B46" s="51"/>
      <c r="C46" s="51"/>
      <c r="D46" s="51"/>
      <c r="E46" s="51"/>
      <c r="F46" s="51"/>
      <c r="G46" s="120">
        <f>SUM(G45-K21)</f>
        <v>9465</v>
      </c>
      <c r="H46" s="54"/>
      <c r="I46" s="119">
        <f t="shared" ref="I46:I47" si="4">G46*2.471</f>
        <v>23388.014999999999</v>
      </c>
      <c r="J46" s="54"/>
      <c r="K46" s="54"/>
      <c r="L46" s="54"/>
      <c r="M46" s="54"/>
    </row>
    <row r="47" spans="1:40" ht="14.25">
      <c r="A47" s="51" t="s">
        <v>75</v>
      </c>
      <c r="B47" s="51"/>
      <c r="C47" s="51"/>
      <c r="D47" s="51"/>
      <c r="E47" s="51"/>
      <c r="F47" s="51"/>
      <c r="G47" s="120">
        <f>+G45-K22</f>
        <v>36114</v>
      </c>
      <c r="H47" s="54"/>
      <c r="I47" s="119">
        <f t="shared" si="4"/>
        <v>89237.694000000003</v>
      </c>
      <c r="J47" s="54"/>
      <c r="K47" s="54"/>
      <c r="L47" s="54"/>
      <c r="M47" s="54"/>
    </row>
    <row r="48" spans="1:40" ht="14.25">
      <c r="A48" s="51" t="s">
        <v>76</v>
      </c>
      <c r="B48" s="51"/>
      <c r="C48" s="51"/>
      <c r="D48" s="51"/>
      <c r="E48" s="51"/>
      <c r="F48" s="51"/>
      <c r="G48" s="120">
        <f>SUM(K21/G43)</f>
        <v>38.872697724810401</v>
      </c>
      <c r="H48" s="54"/>
      <c r="I48" s="54"/>
      <c r="J48" s="54"/>
      <c r="K48" s="54"/>
      <c r="L48" s="54"/>
      <c r="M48" s="54"/>
    </row>
    <row r="49" spans="1:13" ht="14.25">
      <c r="A49" s="96" t="s">
        <v>77</v>
      </c>
      <c r="B49" s="96"/>
      <c r="C49" s="96"/>
      <c r="D49" s="96"/>
      <c r="E49" s="96"/>
      <c r="F49" s="96"/>
      <c r="G49" s="121">
        <f>+K22/G43</f>
        <v>24.43661971830986</v>
      </c>
      <c r="H49" s="54"/>
      <c r="I49" s="54"/>
      <c r="J49" s="54"/>
      <c r="K49" s="54"/>
      <c r="L49" s="54"/>
      <c r="M49" s="54"/>
    </row>
    <row r="50" spans="1:13" ht="14.2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</row>
    <row r="51" spans="1:13" ht="14.2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</row>
    <row r="52" spans="1:13" ht="14.25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46"/>
  <sheetViews>
    <sheetView workbookViewId="0">
      <selection activeCell="N40" sqref="N40"/>
    </sheetView>
  </sheetViews>
  <sheetFormatPr defaultRowHeight="14.25"/>
  <cols>
    <col min="1" max="2" width="9.140625" style="54"/>
    <col min="3" max="3" width="7.140625" style="54" customWidth="1"/>
    <col min="4" max="4" width="4.7109375" style="54" customWidth="1"/>
    <col min="5" max="5" width="5.28515625" style="54" customWidth="1"/>
    <col min="6" max="6" width="5" style="54" customWidth="1"/>
    <col min="7" max="7" width="9.85546875" style="54" customWidth="1"/>
    <col min="8" max="8" width="8.85546875" style="54" customWidth="1"/>
    <col min="9" max="10" width="8.140625" style="54" customWidth="1"/>
    <col min="11" max="11" width="8.85546875" style="54" customWidth="1"/>
    <col min="12" max="12" width="7.140625" style="54" customWidth="1"/>
    <col min="13" max="13" width="6.85546875" style="54" customWidth="1"/>
    <col min="14" max="16384" width="9.140625" style="54"/>
  </cols>
  <sheetData>
    <row r="1" spans="1:19">
      <c r="A1" s="54" t="s">
        <v>0</v>
      </c>
      <c r="B1" s="54" t="s">
        <v>273</v>
      </c>
    </row>
    <row r="2" spans="1:19">
      <c r="B2" s="54" t="s">
        <v>274</v>
      </c>
    </row>
    <row r="3" spans="1:19">
      <c r="B3" s="54" t="s">
        <v>275</v>
      </c>
    </row>
    <row r="4" spans="1:19">
      <c r="A4" s="92" t="s">
        <v>4</v>
      </c>
      <c r="B4" s="92"/>
      <c r="C4" s="92"/>
      <c r="D4" s="93" t="s">
        <v>5</v>
      </c>
      <c r="E4" s="93" t="s">
        <v>6</v>
      </c>
      <c r="F4" s="93" t="s">
        <v>7</v>
      </c>
      <c r="G4" s="93" t="s">
        <v>8</v>
      </c>
      <c r="H4" s="93" t="s">
        <v>9</v>
      </c>
      <c r="I4" s="93" t="s">
        <v>10</v>
      </c>
      <c r="J4" s="93" t="s">
        <v>11</v>
      </c>
      <c r="K4" s="93" t="s">
        <v>12</v>
      </c>
      <c r="L4" s="94" t="s">
        <v>13</v>
      </c>
      <c r="M4" s="93"/>
    </row>
    <row r="5" spans="1:19">
      <c r="A5" s="51"/>
      <c r="B5" s="51"/>
      <c r="C5" s="51"/>
      <c r="D5" s="52" t="s">
        <v>14</v>
      </c>
      <c r="E5" s="52" t="s">
        <v>15</v>
      </c>
      <c r="F5" s="52" t="s">
        <v>15</v>
      </c>
      <c r="G5" s="52" t="s">
        <v>16</v>
      </c>
      <c r="H5" s="52" t="s">
        <v>17</v>
      </c>
      <c r="I5" s="52" t="s">
        <v>18</v>
      </c>
      <c r="J5" s="52" t="s">
        <v>17</v>
      </c>
      <c r="K5" s="52" t="s">
        <v>17</v>
      </c>
      <c r="L5" s="95" t="s">
        <v>10</v>
      </c>
      <c r="M5" s="52" t="s">
        <v>11</v>
      </c>
    </row>
    <row r="6" spans="1:19">
      <c r="A6" s="51"/>
      <c r="B6" s="51"/>
      <c r="C6" s="51"/>
      <c r="D6" s="52" t="s">
        <v>19</v>
      </c>
      <c r="E6" s="52"/>
      <c r="F6" s="52"/>
      <c r="G6" s="52"/>
      <c r="H6" s="52" t="s">
        <v>20</v>
      </c>
      <c r="I6" s="52" t="s">
        <v>17</v>
      </c>
      <c r="J6" s="52" t="s">
        <v>20</v>
      </c>
      <c r="K6" s="52" t="s">
        <v>20</v>
      </c>
      <c r="L6" s="52"/>
      <c r="M6" s="52"/>
    </row>
    <row r="7" spans="1:19">
      <c r="A7" s="96"/>
      <c r="B7" s="96"/>
      <c r="C7" s="96"/>
      <c r="D7" s="97"/>
      <c r="E7" s="97"/>
      <c r="F7" s="97"/>
      <c r="G7" s="97"/>
      <c r="H7" s="97"/>
      <c r="I7" s="97" t="s">
        <v>20</v>
      </c>
      <c r="J7" s="97"/>
      <c r="K7" s="97"/>
      <c r="L7" s="97"/>
      <c r="M7" s="97"/>
    </row>
    <row r="8" spans="1:19">
      <c r="A8" s="54" t="s">
        <v>21</v>
      </c>
      <c r="D8" s="98">
        <v>53</v>
      </c>
      <c r="E8" s="99">
        <v>1.82</v>
      </c>
      <c r="F8" s="99">
        <v>1.3</v>
      </c>
      <c r="G8" s="100">
        <v>1015</v>
      </c>
      <c r="H8" s="99">
        <v>1847</v>
      </c>
      <c r="J8" s="99"/>
      <c r="K8" s="99">
        <f t="shared" ref="K8:K10" si="0">SUM(H8:J8)</f>
        <v>1847</v>
      </c>
      <c r="L8" s="99"/>
      <c r="O8" s="1"/>
      <c r="P8" s="1"/>
      <c r="Q8" s="14"/>
      <c r="R8" s="14"/>
      <c r="S8" s="1"/>
    </row>
    <row r="9" spans="1:19">
      <c r="A9" s="54" t="s">
        <v>276</v>
      </c>
      <c r="D9" s="98">
        <v>90.32</v>
      </c>
      <c r="E9" s="99">
        <v>0.51</v>
      </c>
      <c r="F9" s="99">
        <v>0.51</v>
      </c>
      <c r="G9" s="100">
        <v>1200</v>
      </c>
      <c r="H9" s="99">
        <f t="shared" ref="H9:H17" si="1">SUM(E9*G9)</f>
        <v>612</v>
      </c>
      <c r="I9" s="99">
        <v>7232</v>
      </c>
      <c r="J9" s="99"/>
      <c r="K9" s="99">
        <f t="shared" si="0"/>
        <v>7844</v>
      </c>
      <c r="L9" s="99">
        <v>1119</v>
      </c>
      <c r="O9" s="1"/>
      <c r="P9" s="1"/>
      <c r="Q9" s="14"/>
      <c r="R9" s="14"/>
      <c r="S9" s="1"/>
    </row>
    <row r="10" spans="1:19">
      <c r="A10" s="54" t="s">
        <v>108</v>
      </c>
      <c r="D10" s="98" t="s">
        <v>277</v>
      </c>
      <c r="E10" s="99">
        <v>0</v>
      </c>
      <c r="F10" s="99"/>
      <c r="G10" s="100"/>
      <c r="H10" s="99">
        <f t="shared" si="1"/>
        <v>0</v>
      </c>
      <c r="I10" s="189" t="s">
        <v>278</v>
      </c>
      <c r="J10" s="99"/>
      <c r="K10" s="99">
        <f t="shared" si="0"/>
        <v>0</v>
      </c>
      <c r="L10" s="177" t="s">
        <v>279</v>
      </c>
      <c r="O10" s="1"/>
      <c r="P10" s="1"/>
      <c r="Q10" s="14"/>
      <c r="R10" s="14"/>
      <c r="S10" s="1"/>
    </row>
    <row r="11" spans="1:19">
      <c r="A11" s="54" t="s">
        <v>134</v>
      </c>
      <c r="D11" s="119">
        <v>100</v>
      </c>
      <c r="E11" s="177">
        <v>4.5</v>
      </c>
      <c r="F11" s="177">
        <v>1.22</v>
      </c>
      <c r="G11" s="100">
        <v>965</v>
      </c>
      <c r="H11" s="99">
        <v>4343</v>
      </c>
      <c r="J11" s="99">
        <f>E26*G26</f>
        <v>3048</v>
      </c>
      <c r="K11" s="99">
        <f>SUM(H11:J11)</f>
        <v>7391</v>
      </c>
      <c r="L11" s="99">
        <v>0</v>
      </c>
      <c r="O11" s="1"/>
      <c r="P11" s="1"/>
      <c r="Q11" s="14"/>
      <c r="R11" s="14"/>
      <c r="S11" s="1"/>
    </row>
    <row r="12" spans="1:19">
      <c r="A12" s="102" t="s">
        <v>35</v>
      </c>
      <c r="B12" s="102"/>
      <c r="C12" s="102"/>
      <c r="D12" s="98">
        <v>72</v>
      </c>
      <c r="E12" s="99">
        <v>7.73</v>
      </c>
      <c r="F12" s="99">
        <v>1.25</v>
      </c>
      <c r="G12" s="100">
        <v>909</v>
      </c>
      <c r="H12" s="99">
        <v>7027</v>
      </c>
      <c r="J12" s="99"/>
      <c r="K12" s="99">
        <f t="shared" ref="K12:K17" si="2">SUM(H12:J12)</f>
        <v>7027</v>
      </c>
      <c r="L12" s="99"/>
      <c r="O12" s="1"/>
      <c r="P12" s="1"/>
      <c r="Q12" s="14"/>
      <c r="R12" s="14"/>
      <c r="S12" s="1"/>
    </row>
    <row r="13" spans="1:19">
      <c r="A13" s="54" t="s">
        <v>36</v>
      </c>
      <c r="D13" s="98">
        <v>90.32</v>
      </c>
      <c r="E13" s="99">
        <v>0.74</v>
      </c>
      <c r="F13" s="99">
        <v>0.63</v>
      </c>
      <c r="G13" s="100">
        <v>1140</v>
      </c>
      <c r="H13" s="99">
        <v>844</v>
      </c>
      <c r="J13" s="99">
        <v>1920</v>
      </c>
      <c r="K13" s="99">
        <f t="shared" si="2"/>
        <v>2764</v>
      </c>
      <c r="L13" s="99"/>
      <c r="O13" s="1"/>
      <c r="P13" s="1"/>
      <c r="Q13" s="14"/>
      <c r="R13" s="14"/>
      <c r="S13" s="1"/>
    </row>
    <row r="14" spans="1:19">
      <c r="A14" s="54" t="s">
        <v>92</v>
      </c>
      <c r="D14" s="98">
        <v>93.55</v>
      </c>
      <c r="E14" s="99">
        <v>2.54</v>
      </c>
      <c r="F14" s="99">
        <v>2.4700000000000002</v>
      </c>
      <c r="G14" s="100">
        <v>1200</v>
      </c>
      <c r="H14" s="99">
        <f t="shared" si="1"/>
        <v>3048</v>
      </c>
      <c r="I14" s="99">
        <v>0</v>
      </c>
      <c r="J14" s="14">
        <v>0</v>
      </c>
      <c r="K14" s="99">
        <f t="shared" si="2"/>
        <v>3048</v>
      </c>
      <c r="L14" s="99"/>
      <c r="O14" s="1"/>
      <c r="P14" s="1"/>
      <c r="Q14" s="14"/>
      <c r="R14" s="14"/>
      <c r="S14" s="1"/>
    </row>
    <row r="15" spans="1:19">
      <c r="A15" s="54" t="s">
        <v>119</v>
      </c>
      <c r="D15" s="98">
        <v>100</v>
      </c>
      <c r="E15" s="99">
        <v>10.55</v>
      </c>
      <c r="F15" s="99">
        <v>1.76</v>
      </c>
      <c r="G15" s="100">
        <v>950</v>
      </c>
      <c r="H15" s="99">
        <v>10023</v>
      </c>
      <c r="J15" s="99"/>
      <c r="K15" s="99">
        <f t="shared" si="2"/>
        <v>10023</v>
      </c>
      <c r="L15" s="99"/>
      <c r="O15" s="1"/>
      <c r="P15" s="1"/>
      <c r="Q15" s="14"/>
      <c r="R15" s="14"/>
      <c r="S15" s="1"/>
    </row>
    <row r="16" spans="1:19">
      <c r="A16" s="54" t="s">
        <v>280</v>
      </c>
      <c r="D16" s="98">
        <v>100</v>
      </c>
      <c r="E16" s="99">
        <v>2.15</v>
      </c>
      <c r="F16" s="99">
        <v>0.75</v>
      </c>
      <c r="G16" s="100">
        <v>1148</v>
      </c>
      <c r="H16" s="99">
        <v>2468</v>
      </c>
      <c r="I16" s="99">
        <v>3620</v>
      </c>
      <c r="J16" s="99">
        <v>0</v>
      </c>
      <c r="K16" s="99">
        <f t="shared" si="2"/>
        <v>6088</v>
      </c>
      <c r="L16" s="99"/>
      <c r="O16" s="1"/>
      <c r="P16" s="1"/>
      <c r="Q16" s="14"/>
      <c r="R16" s="14"/>
      <c r="S16" s="1"/>
    </row>
    <row r="17" spans="1:13">
      <c r="A17" s="54" t="s">
        <v>94</v>
      </c>
      <c r="D17" s="98">
        <v>48.39</v>
      </c>
      <c r="E17" s="99">
        <v>0.4</v>
      </c>
      <c r="F17" s="99">
        <v>0.4</v>
      </c>
      <c r="G17" s="100">
        <v>1200</v>
      </c>
      <c r="H17" s="99">
        <f t="shared" si="1"/>
        <v>480</v>
      </c>
      <c r="I17" s="99">
        <v>247</v>
      </c>
      <c r="J17" s="99"/>
      <c r="K17" s="99">
        <f t="shared" si="2"/>
        <v>727</v>
      </c>
      <c r="L17" s="99">
        <v>90</v>
      </c>
    </row>
    <row r="18" spans="1:13">
      <c r="A18" s="92" t="s">
        <v>42</v>
      </c>
      <c r="B18" s="92"/>
      <c r="C18" s="92"/>
      <c r="D18" s="103"/>
      <c r="E18" s="104">
        <f>SUM(E8:E17)</f>
        <v>30.939999999999998</v>
      </c>
      <c r="F18" s="104">
        <f>SUM(F8:F17)</f>
        <v>10.290000000000001</v>
      </c>
      <c r="G18" s="104"/>
      <c r="H18" s="104">
        <f>SUM(H8:H17)</f>
        <v>30692</v>
      </c>
      <c r="I18" s="104">
        <f>SUM(I8:I17)</f>
        <v>11099</v>
      </c>
      <c r="J18" s="104">
        <f>SUM(J8:J17)</f>
        <v>4968</v>
      </c>
      <c r="K18" s="104">
        <f>SUM(H18:J18)</f>
        <v>46759</v>
      </c>
      <c r="L18" s="104">
        <f>SUM(L8:L17)</f>
        <v>1209</v>
      </c>
      <c r="M18" s="92">
        <f>SUM(M8:M17)</f>
        <v>0</v>
      </c>
    </row>
    <row r="19" spans="1:13">
      <c r="A19" s="96" t="s">
        <v>43</v>
      </c>
      <c r="B19" s="96"/>
      <c r="C19" s="96"/>
      <c r="D19" s="105"/>
      <c r="E19" s="106">
        <f>SUM(E18-F18)</f>
        <v>20.65</v>
      </c>
      <c r="F19" s="106"/>
      <c r="G19" s="106"/>
      <c r="H19" s="106">
        <f>SUM(E28*G28)</f>
        <v>20790</v>
      </c>
      <c r="I19" s="96">
        <f>I18-L18</f>
        <v>9890</v>
      </c>
      <c r="J19" s="106">
        <f>J18-M18</f>
        <v>4968</v>
      </c>
      <c r="K19" s="106">
        <f>SUM(H19:J19)</f>
        <v>35648</v>
      </c>
      <c r="L19" s="106"/>
      <c r="M19" s="96"/>
    </row>
    <row r="21" spans="1:13">
      <c r="C21" s="54" t="s">
        <v>44</v>
      </c>
    </row>
    <row r="23" spans="1:13">
      <c r="A23" s="54" t="s">
        <v>45</v>
      </c>
    </row>
    <row r="24" spans="1:13">
      <c r="A24" s="108" t="s">
        <v>46</v>
      </c>
      <c r="B24" s="108"/>
      <c r="C24" s="108"/>
      <c r="D24" s="108" t="s">
        <v>47</v>
      </c>
      <c r="E24" s="108" t="s">
        <v>48</v>
      </c>
      <c r="F24" s="108"/>
      <c r="G24" s="108" t="s">
        <v>49</v>
      </c>
      <c r="I24" s="109" t="s">
        <v>60</v>
      </c>
      <c r="J24" s="168">
        <v>1.52</v>
      </c>
    </row>
    <row r="25" spans="1:13">
      <c r="A25" s="54" t="s">
        <v>52</v>
      </c>
      <c r="I25" s="109" t="s">
        <v>62</v>
      </c>
      <c r="J25" s="168">
        <v>1</v>
      </c>
    </row>
    <row r="26" spans="1:13">
      <c r="A26" s="54" t="s">
        <v>121</v>
      </c>
      <c r="D26" s="54" t="s">
        <v>55</v>
      </c>
      <c r="E26" s="99">
        <v>12</v>
      </c>
      <c r="G26" s="14">
        <v>254</v>
      </c>
    </row>
    <row r="27" spans="1:13">
      <c r="A27" s="54" t="s">
        <v>57</v>
      </c>
      <c r="E27" s="99"/>
      <c r="I27" s="109" t="s">
        <v>281</v>
      </c>
      <c r="J27" s="114">
        <v>0.35</v>
      </c>
    </row>
    <row r="28" spans="1:13">
      <c r="A28" s="54" t="s">
        <v>58</v>
      </c>
      <c r="D28" s="54" t="s">
        <v>59</v>
      </c>
      <c r="E28" s="99">
        <v>21</v>
      </c>
      <c r="G28" s="99">
        <v>990</v>
      </c>
      <c r="I28" s="109" t="s">
        <v>282</v>
      </c>
      <c r="J28" s="114">
        <v>0.19</v>
      </c>
    </row>
    <row r="29" spans="1:13">
      <c r="A29" s="54" t="s">
        <v>61</v>
      </c>
      <c r="D29" s="54" t="s">
        <v>59</v>
      </c>
      <c r="E29" s="99">
        <v>10</v>
      </c>
      <c r="I29" s="109" t="s">
        <v>125</v>
      </c>
      <c r="J29" s="114">
        <v>0.46</v>
      </c>
    </row>
    <row r="30" spans="1:13">
      <c r="A30" s="54" t="s">
        <v>6</v>
      </c>
      <c r="E30" s="99">
        <f>SUM(E28:E29)</f>
        <v>31</v>
      </c>
    </row>
    <row r="31" spans="1:13">
      <c r="A31" s="92" t="s">
        <v>68</v>
      </c>
      <c r="B31" s="92"/>
      <c r="C31" s="92"/>
      <c r="D31" s="92"/>
      <c r="E31" s="92"/>
      <c r="F31" s="92"/>
      <c r="G31" s="117" t="s">
        <v>129</v>
      </c>
      <c r="H31" s="118" t="s">
        <v>70</v>
      </c>
    </row>
    <row r="32" spans="1:13">
      <c r="A32" s="51" t="s">
        <v>71</v>
      </c>
      <c r="B32" s="51"/>
      <c r="C32" s="51"/>
      <c r="D32" s="51"/>
      <c r="E32" s="51"/>
      <c r="F32" s="51"/>
      <c r="G32" s="203">
        <v>495</v>
      </c>
      <c r="H32" s="119">
        <f>G32*2.471</f>
        <v>1223.145</v>
      </c>
    </row>
    <row r="33" spans="1:8">
      <c r="A33" s="51" t="s">
        <v>72</v>
      </c>
      <c r="B33" s="51"/>
      <c r="C33" s="51"/>
      <c r="D33" s="51"/>
      <c r="E33" s="51"/>
      <c r="F33" s="51"/>
      <c r="G33" s="120">
        <v>242</v>
      </c>
      <c r="H33" s="119"/>
    </row>
    <row r="34" spans="1:8">
      <c r="A34" s="51" t="s">
        <v>73</v>
      </c>
      <c r="B34" s="51"/>
      <c r="C34" s="51"/>
      <c r="D34" s="51"/>
      <c r="E34" s="51"/>
      <c r="F34" s="51"/>
      <c r="G34" s="120">
        <f>SUM(G32*G33)</f>
        <v>119790</v>
      </c>
      <c r="H34" s="119">
        <f>G34*2.471</f>
        <v>296001.09000000003</v>
      </c>
    </row>
    <row r="35" spans="1:8">
      <c r="A35" s="51" t="s">
        <v>74</v>
      </c>
      <c r="B35" s="51"/>
      <c r="C35" s="51"/>
      <c r="D35" s="51"/>
      <c r="E35" s="51"/>
      <c r="F35" s="51"/>
      <c r="G35" s="120">
        <f>SUM(G34-K18)</f>
        <v>73031</v>
      </c>
      <c r="H35" s="119">
        <f>G35*2.471</f>
        <v>180459.601</v>
      </c>
    </row>
    <row r="36" spans="1:8">
      <c r="A36" s="51" t="s">
        <v>75</v>
      </c>
      <c r="B36" s="51"/>
      <c r="C36" s="51"/>
      <c r="D36" s="51"/>
      <c r="E36" s="51"/>
      <c r="F36" s="51"/>
      <c r="G36" s="120">
        <f>SUM(G34-K19)</f>
        <v>84142</v>
      </c>
      <c r="H36" s="119">
        <f>G36*2.471</f>
        <v>207914.88200000001</v>
      </c>
    </row>
    <row r="37" spans="1:8">
      <c r="A37" s="51"/>
      <c r="B37" s="51"/>
      <c r="C37" s="51"/>
      <c r="D37" s="51"/>
      <c r="E37" s="51"/>
      <c r="F37" s="51"/>
      <c r="G37" s="120"/>
    </row>
    <row r="38" spans="1:8">
      <c r="A38" s="51" t="s">
        <v>76</v>
      </c>
      <c r="B38" s="51"/>
      <c r="C38" s="51"/>
      <c r="D38" s="51"/>
      <c r="E38" s="51"/>
      <c r="F38" s="51"/>
      <c r="G38" s="120">
        <f>SUM(K18/G32)</f>
        <v>94.462626262626259</v>
      </c>
    </row>
    <row r="39" spans="1:8">
      <c r="A39" s="96" t="s">
        <v>77</v>
      </c>
      <c r="B39" s="96"/>
      <c r="C39" s="96"/>
      <c r="D39" s="96"/>
      <c r="E39" s="96"/>
      <c r="F39" s="96"/>
      <c r="G39" s="121">
        <f>SUM(K19/G32)</f>
        <v>72.016161616161611</v>
      </c>
    </row>
    <row r="41" spans="1:8">
      <c r="A41" s="54" t="s">
        <v>130</v>
      </c>
    </row>
    <row r="42" spans="1:8">
      <c r="C42" s="102"/>
      <c r="D42" s="51"/>
      <c r="E42" s="51"/>
    </row>
    <row r="43" spans="1:8">
      <c r="C43" s="211"/>
      <c r="D43" s="102"/>
      <c r="E43" s="102"/>
    </row>
    <row r="46" spans="1:8">
      <c r="C46" s="212"/>
      <c r="D46" s="212"/>
      <c r="E46" s="2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102"/>
  <sheetViews>
    <sheetView workbookViewId="0">
      <selection sqref="A1:XFD1048576"/>
    </sheetView>
  </sheetViews>
  <sheetFormatPr defaultColWidth="9.140625" defaultRowHeight="14.25"/>
  <cols>
    <col min="1" max="2" width="9.140625" style="54"/>
    <col min="3" max="3" width="7.140625" style="54" customWidth="1"/>
    <col min="4" max="4" width="5.85546875" style="54" customWidth="1"/>
    <col min="5" max="5" width="6.42578125" style="54" customWidth="1"/>
    <col min="6" max="6" width="5.5703125" style="54" customWidth="1"/>
    <col min="7" max="7" width="10.140625" style="54" customWidth="1"/>
    <col min="8" max="8" width="8.28515625" style="54" customWidth="1"/>
    <col min="9" max="9" width="7.85546875" style="54" customWidth="1"/>
    <col min="10" max="10" width="9.140625" style="54" customWidth="1"/>
    <col min="11" max="11" width="9.5703125" style="54" customWidth="1"/>
    <col min="12" max="12" width="6.7109375" style="54" customWidth="1"/>
    <col min="13" max="13" width="6.42578125" style="54" customWidth="1"/>
    <col min="14" max="15" width="9.140625" style="54"/>
    <col min="16" max="16" width="5" style="54" customWidth="1"/>
    <col min="17" max="17" width="7.140625" style="54" customWidth="1"/>
    <col min="18" max="16384" width="9.140625" style="54"/>
  </cols>
  <sheetData>
    <row r="1" spans="1:18">
      <c r="A1" s="54" t="s">
        <v>0</v>
      </c>
      <c r="B1" s="54" t="s">
        <v>283</v>
      </c>
    </row>
    <row r="2" spans="1:18">
      <c r="B2" s="54" t="s">
        <v>284</v>
      </c>
    </row>
    <row r="3" spans="1:18">
      <c r="B3" s="54" t="s">
        <v>275</v>
      </c>
    </row>
    <row r="4" spans="1:18">
      <c r="A4" s="92" t="s">
        <v>4</v>
      </c>
      <c r="B4" s="92"/>
      <c r="C4" s="92"/>
      <c r="D4" s="93" t="s">
        <v>5</v>
      </c>
      <c r="E4" s="93" t="s">
        <v>6</v>
      </c>
      <c r="F4" s="93" t="s">
        <v>7</v>
      </c>
      <c r="G4" s="93" t="s">
        <v>8</v>
      </c>
      <c r="H4" s="93" t="s">
        <v>9</v>
      </c>
      <c r="I4" s="93" t="s">
        <v>10</v>
      </c>
      <c r="J4" s="93" t="s">
        <v>11</v>
      </c>
      <c r="K4" s="93" t="s">
        <v>12</v>
      </c>
      <c r="L4" s="94" t="s">
        <v>13</v>
      </c>
      <c r="M4" s="93"/>
    </row>
    <row r="5" spans="1:18">
      <c r="A5" s="51"/>
      <c r="B5" s="51"/>
      <c r="C5" s="51"/>
      <c r="D5" s="52" t="s">
        <v>14</v>
      </c>
      <c r="E5" s="52" t="s">
        <v>15</v>
      </c>
      <c r="F5" s="52" t="s">
        <v>15</v>
      </c>
      <c r="G5" s="52" t="s">
        <v>16</v>
      </c>
      <c r="H5" s="52" t="s">
        <v>17</v>
      </c>
      <c r="I5" s="52" t="s">
        <v>18</v>
      </c>
      <c r="J5" s="52" t="s">
        <v>17</v>
      </c>
      <c r="K5" s="52" t="s">
        <v>17</v>
      </c>
      <c r="L5" s="95" t="s">
        <v>10</v>
      </c>
      <c r="M5" s="52" t="s">
        <v>11</v>
      </c>
    </row>
    <row r="6" spans="1:18">
      <c r="A6" s="51"/>
      <c r="B6" s="51"/>
      <c r="C6" s="51"/>
      <c r="D6" s="52" t="s">
        <v>19</v>
      </c>
      <c r="E6" s="52"/>
      <c r="F6" s="52"/>
      <c r="G6" s="52"/>
      <c r="H6" s="52" t="s">
        <v>20</v>
      </c>
      <c r="I6" s="52" t="s">
        <v>17</v>
      </c>
      <c r="J6" s="52" t="s">
        <v>20</v>
      </c>
      <c r="K6" s="52" t="s">
        <v>20</v>
      </c>
      <c r="L6" s="52"/>
      <c r="M6" s="52"/>
    </row>
    <row r="7" spans="1:18">
      <c r="A7" s="96"/>
      <c r="B7" s="96"/>
      <c r="C7" s="96"/>
      <c r="D7" s="97"/>
      <c r="E7" s="97"/>
      <c r="F7" s="97"/>
      <c r="G7" s="97"/>
      <c r="H7" s="97"/>
      <c r="I7" s="97" t="s">
        <v>20</v>
      </c>
      <c r="J7" s="97"/>
      <c r="K7" s="97"/>
      <c r="L7" s="97"/>
      <c r="M7" s="97"/>
    </row>
    <row r="8" spans="1:18">
      <c r="A8" s="54" t="s">
        <v>21</v>
      </c>
      <c r="D8" s="98">
        <v>68</v>
      </c>
      <c r="E8" s="99">
        <v>2.57</v>
      </c>
      <c r="F8" s="99">
        <v>0.68</v>
      </c>
      <c r="G8" s="100">
        <v>1052.17</v>
      </c>
      <c r="H8" s="99">
        <v>2704</v>
      </c>
      <c r="J8" s="99"/>
      <c r="K8" s="99">
        <f t="shared" ref="K8:K19" si="0">SUM(H8:J8)</f>
        <v>2704</v>
      </c>
      <c r="Q8" s="14"/>
      <c r="R8" s="99"/>
    </row>
    <row r="9" spans="1:18">
      <c r="A9" s="54" t="s">
        <v>22</v>
      </c>
      <c r="D9" s="98">
        <v>100</v>
      </c>
      <c r="E9" s="99">
        <v>0.5</v>
      </c>
      <c r="F9" s="99">
        <v>0.5</v>
      </c>
      <c r="G9" s="100">
        <v>900</v>
      </c>
      <c r="H9" s="99">
        <v>450</v>
      </c>
      <c r="I9" s="54">
        <v>3220</v>
      </c>
      <c r="J9" s="99"/>
      <c r="K9" s="99">
        <f t="shared" si="0"/>
        <v>3670</v>
      </c>
      <c r="Q9" s="99"/>
      <c r="R9" s="99"/>
    </row>
    <row r="10" spans="1:18">
      <c r="A10" s="101" t="s">
        <v>285</v>
      </c>
      <c r="B10" s="98"/>
      <c r="D10" s="98">
        <v>100</v>
      </c>
      <c r="E10" s="99">
        <v>5.38</v>
      </c>
      <c r="F10" s="99">
        <v>0.02</v>
      </c>
      <c r="G10" s="100">
        <v>750</v>
      </c>
      <c r="H10" s="99">
        <f t="shared" ref="H10:H19" si="1">SUM(E10*G10)</f>
        <v>4035</v>
      </c>
      <c r="J10" s="99"/>
      <c r="K10" s="99">
        <f t="shared" si="0"/>
        <v>4035</v>
      </c>
      <c r="Q10" s="99"/>
      <c r="R10" s="99"/>
    </row>
    <row r="11" spans="1:18">
      <c r="A11" s="54" t="s">
        <v>286</v>
      </c>
      <c r="D11" s="98">
        <v>100</v>
      </c>
      <c r="E11" s="99">
        <v>11.27</v>
      </c>
      <c r="F11" s="99">
        <v>1.01</v>
      </c>
      <c r="G11" s="100">
        <v>750</v>
      </c>
      <c r="H11" s="99">
        <v>8453</v>
      </c>
      <c r="J11" s="99">
        <f>SUM(E28*G28)</f>
        <v>76704</v>
      </c>
      <c r="K11" s="99">
        <f t="shared" si="0"/>
        <v>85157</v>
      </c>
      <c r="L11" s="54">
        <v>0</v>
      </c>
      <c r="Q11" s="99"/>
      <c r="R11" s="99"/>
    </row>
    <row r="12" spans="1:18">
      <c r="A12" s="54" t="s">
        <v>34</v>
      </c>
      <c r="D12" s="98">
        <v>100</v>
      </c>
      <c r="E12" s="99">
        <v>2.2999999999999998</v>
      </c>
      <c r="F12" s="99">
        <v>0.83</v>
      </c>
      <c r="G12" s="100">
        <v>1051.97</v>
      </c>
      <c r="H12" s="99">
        <v>2420</v>
      </c>
      <c r="J12" s="99">
        <v>26574</v>
      </c>
      <c r="K12" s="99">
        <f t="shared" si="0"/>
        <v>28994</v>
      </c>
      <c r="Q12" s="99"/>
      <c r="R12" s="99"/>
    </row>
    <row r="13" spans="1:18">
      <c r="A13" s="54" t="s">
        <v>90</v>
      </c>
      <c r="D13" s="98">
        <v>84</v>
      </c>
      <c r="E13" s="99">
        <v>0.66</v>
      </c>
      <c r="F13" s="99">
        <v>0.31</v>
      </c>
      <c r="G13" s="100">
        <v>1013.11</v>
      </c>
      <c r="H13" s="99">
        <v>669</v>
      </c>
      <c r="J13" s="177">
        <v>1716</v>
      </c>
      <c r="K13" s="99">
        <f t="shared" si="0"/>
        <v>2385</v>
      </c>
      <c r="Q13" s="99"/>
      <c r="R13" s="99"/>
    </row>
    <row r="14" spans="1:18">
      <c r="A14" s="54" t="s">
        <v>287</v>
      </c>
      <c r="D14" s="98">
        <v>60</v>
      </c>
      <c r="E14" s="99">
        <v>10.039999999999999</v>
      </c>
      <c r="F14" s="99">
        <v>0.44</v>
      </c>
      <c r="G14" s="100">
        <v>750</v>
      </c>
      <c r="H14" s="99">
        <f t="shared" si="1"/>
        <v>7529.9999999999991</v>
      </c>
      <c r="J14" s="99"/>
      <c r="K14" s="99">
        <f t="shared" si="0"/>
        <v>7529.9999999999991</v>
      </c>
      <c r="Q14" s="14"/>
      <c r="R14" s="99"/>
    </row>
    <row r="15" spans="1:18">
      <c r="A15" s="54" t="s">
        <v>36</v>
      </c>
      <c r="D15" s="98">
        <v>98</v>
      </c>
      <c r="E15" s="99">
        <v>0.66</v>
      </c>
      <c r="F15" s="99">
        <v>0.25</v>
      </c>
      <c r="G15" s="100">
        <v>1019.63</v>
      </c>
      <c r="H15" s="99">
        <v>673</v>
      </c>
      <c r="J15" s="99">
        <v>2596</v>
      </c>
      <c r="K15" s="99">
        <f t="shared" si="0"/>
        <v>3269</v>
      </c>
      <c r="O15" s="99"/>
    </row>
    <row r="16" spans="1:18">
      <c r="A16" s="54" t="s">
        <v>92</v>
      </c>
      <c r="D16" s="98">
        <v>100</v>
      </c>
      <c r="E16" s="99">
        <v>24.12</v>
      </c>
      <c r="F16" s="99">
        <v>21</v>
      </c>
      <c r="G16" s="100">
        <v>1000</v>
      </c>
      <c r="H16" s="99">
        <v>24120</v>
      </c>
      <c r="I16" s="99">
        <v>8953</v>
      </c>
      <c r="J16" s="14"/>
      <c r="K16" s="99">
        <f t="shared" si="0"/>
        <v>33073</v>
      </c>
      <c r="O16" s="99"/>
    </row>
    <row r="17" spans="1:13">
      <c r="A17" s="54" t="s">
        <v>119</v>
      </c>
      <c r="D17" s="98">
        <v>100</v>
      </c>
      <c r="E17" s="99">
        <v>12.35</v>
      </c>
      <c r="F17" s="99">
        <v>0.35</v>
      </c>
      <c r="G17" s="100">
        <v>574.53</v>
      </c>
      <c r="H17" s="99">
        <v>7095</v>
      </c>
      <c r="J17" s="99" t="s">
        <v>288</v>
      </c>
      <c r="K17" s="99">
        <v>9649</v>
      </c>
    </row>
    <row r="18" spans="1:13">
      <c r="A18" s="54" t="s">
        <v>289</v>
      </c>
      <c r="D18" s="98">
        <v>100</v>
      </c>
      <c r="E18" s="99">
        <v>14.05</v>
      </c>
      <c r="F18" s="99">
        <v>0.3</v>
      </c>
      <c r="G18" s="100">
        <v>1018.18</v>
      </c>
      <c r="H18" s="99">
        <v>14305</v>
      </c>
      <c r="J18" s="99"/>
      <c r="K18" s="99">
        <f t="shared" si="0"/>
        <v>14305</v>
      </c>
    </row>
    <row r="19" spans="1:13">
      <c r="A19" s="54" t="s">
        <v>94</v>
      </c>
      <c r="D19" s="98">
        <v>70</v>
      </c>
      <c r="E19" s="99">
        <v>0.5</v>
      </c>
      <c r="F19" s="99">
        <v>0.5</v>
      </c>
      <c r="G19" s="100">
        <v>1000</v>
      </c>
      <c r="H19" s="99">
        <f t="shared" si="1"/>
        <v>500</v>
      </c>
      <c r="I19" s="54">
        <v>2092</v>
      </c>
      <c r="J19" s="99"/>
      <c r="K19" s="99">
        <f t="shared" si="0"/>
        <v>2592</v>
      </c>
    </row>
    <row r="20" spans="1:13">
      <c r="A20" s="92" t="s">
        <v>42</v>
      </c>
      <c r="B20" s="92"/>
      <c r="C20" s="92"/>
      <c r="D20" s="103"/>
      <c r="E20" s="104">
        <f>SUM(E8:E19)</f>
        <v>84.399999999999991</v>
      </c>
      <c r="F20" s="104">
        <f>SUM(F8:F19)</f>
        <v>26.19</v>
      </c>
      <c r="G20" s="104"/>
      <c r="H20" s="104">
        <f>SUM(H8:H19)</f>
        <v>72954</v>
      </c>
      <c r="I20" s="104">
        <f>SUM(I8:I19)</f>
        <v>14265</v>
      </c>
      <c r="J20" s="104">
        <v>110144</v>
      </c>
      <c r="K20" s="104">
        <f>SUM(H20:J20)</f>
        <v>197363</v>
      </c>
      <c r="L20" s="92">
        <f>SUM(L8:L19)</f>
        <v>0</v>
      </c>
      <c r="M20" s="92">
        <f>SUM(M8:M19)</f>
        <v>0</v>
      </c>
    </row>
    <row r="21" spans="1:13">
      <c r="A21" s="96" t="s">
        <v>43</v>
      </c>
      <c r="B21" s="96"/>
      <c r="C21" s="96"/>
      <c r="D21" s="105"/>
      <c r="E21" s="106">
        <f>SUM(E20-F20)</f>
        <v>58.209999999999994</v>
      </c>
      <c r="F21" s="106"/>
      <c r="G21" s="106"/>
      <c r="H21" s="106">
        <f>SUM(E32*G32)</f>
        <v>50402</v>
      </c>
      <c r="I21" s="106">
        <f>I20-L20</f>
        <v>14265</v>
      </c>
      <c r="J21" s="106">
        <f>J20-M20</f>
        <v>110144</v>
      </c>
      <c r="K21" s="106">
        <f>SUM(H21:J21)</f>
        <v>174811</v>
      </c>
      <c r="L21" s="96"/>
      <c r="M21" s="96"/>
    </row>
    <row r="22" spans="1:13">
      <c r="A22" s="54" t="s">
        <v>290</v>
      </c>
    </row>
    <row r="23" spans="1:13">
      <c r="C23" s="54" t="s">
        <v>44</v>
      </c>
    </row>
    <row r="25" spans="1:13">
      <c r="A25" s="54" t="s">
        <v>45</v>
      </c>
    </row>
    <row r="26" spans="1:13">
      <c r="A26" s="108" t="s">
        <v>46</v>
      </c>
      <c r="B26" s="108"/>
      <c r="C26" s="108"/>
      <c r="D26" s="108" t="s">
        <v>47</v>
      </c>
      <c r="E26" s="108" t="s">
        <v>48</v>
      </c>
      <c r="F26" s="108"/>
      <c r="G26" s="108" t="s">
        <v>49</v>
      </c>
    </row>
    <row r="27" spans="1:13">
      <c r="A27" s="54" t="s">
        <v>52</v>
      </c>
      <c r="I27" s="109" t="s">
        <v>60</v>
      </c>
      <c r="J27" s="109">
        <v>1.68</v>
      </c>
    </row>
    <row r="28" spans="1:13">
      <c r="A28" s="54" t="s">
        <v>121</v>
      </c>
      <c r="D28" s="54" t="s">
        <v>55</v>
      </c>
      <c r="E28" s="14">
        <v>544</v>
      </c>
      <c r="F28" s="99"/>
      <c r="G28" s="14">
        <v>141</v>
      </c>
      <c r="I28" s="109" t="s">
        <v>62</v>
      </c>
      <c r="J28" s="168">
        <v>1</v>
      </c>
    </row>
    <row r="30" spans="1:13">
      <c r="I30" s="109" t="s">
        <v>291</v>
      </c>
      <c r="J30" s="114">
        <v>0.94</v>
      </c>
    </row>
    <row r="31" spans="1:13">
      <c r="A31" s="54" t="s">
        <v>57</v>
      </c>
      <c r="I31" s="109" t="s">
        <v>292</v>
      </c>
      <c r="J31" s="114">
        <v>0.06</v>
      </c>
      <c r="K31" s="113"/>
    </row>
    <row r="32" spans="1:13">
      <c r="A32" s="54" t="s">
        <v>58</v>
      </c>
      <c r="D32" s="54" t="s">
        <v>59</v>
      </c>
      <c r="E32" s="54">
        <v>58</v>
      </c>
      <c r="G32" s="99">
        <v>869</v>
      </c>
      <c r="K32" s="113"/>
    </row>
    <row r="33" spans="1:8">
      <c r="A33" s="54" t="s">
        <v>61</v>
      </c>
      <c r="D33" s="54" t="s">
        <v>59</v>
      </c>
      <c r="E33" s="54">
        <v>26</v>
      </c>
    </row>
    <row r="34" spans="1:8">
      <c r="A34" s="54" t="s">
        <v>6</v>
      </c>
      <c r="E34" s="54">
        <f>SUM(E32:E33)</f>
        <v>84</v>
      </c>
    </row>
    <row r="36" spans="1:8">
      <c r="A36" s="92" t="s">
        <v>63</v>
      </c>
      <c r="B36" s="92"/>
      <c r="C36" s="92" t="s">
        <v>64</v>
      </c>
      <c r="D36" s="92"/>
      <c r="E36" s="92"/>
      <c r="F36" s="92"/>
      <c r="G36" s="92"/>
    </row>
    <row r="37" spans="1:8">
      <c r="A37" s="51"/>
      <c r="B37" s="95" t="s">
        <v>127</v>
      </c>
      <c r="C37" s="115">
        <v>64</v>
      </c>
      <c r="D37" s="51" t="s">
        <v>55</v>
      </c>
      <c r="E37" s="116">
        <v>52</v>
      </c>
      <c r="F37" s="51"/>
      <c r="G37" s="116">
        <v>50</v>
      </c>
    </row>
    <row r="38" spans="1:8">
      <c r="B38" s="95" t="s">
        <v>293</v>
      </c>
      <c r="C38" s="115">
        <v>84</v>
      </c>
      <c r="D38" s="51" t="s">
        <v>55</v>
      </c>
      <c r="E38" s="116">
        <v>102</v>
      </c>
      <c r="F38" s="51"/>
      <c r="G38" s="30">
        <v>58</v>
      </c>
    </row>
    <row r="39" spans="1:8">
      <c r="A39" s="51"/>
      <c r="B39" s="95" t="s">
        <v>294</v>
      </c>
      <c r="C39" s="115">
        <v>40</v>
      </c>
      <c r="D39" s="51" t="s">
        <v>55</v>
      </c>
      <c r="E39" s="116">
        <v>61</v>
      </c>
      <c r="F39" s="51"/>
      <c r="G39" s="30">
        <v>52</v>
      </c>
    </row>
    <row r="40" spans="1:8">
      <c r="A40" s="51"/>
      <c r="B40" s="7" t="s">
        <v>295</v>
      </c>
      <c r="C40" s="29">
        <v>70</v>
      </c>
      <c r="D40" s="5" t="s">
        <v>296</v>
      </c>
      <c r="E40" s="30">
        <v>1.4</v>
      </c>
      <c r="F40" s="5"/>
      <c r="G40" s="30">
        <v>10633</v>
      </c>
    </row>
    <row r="41" spans="1:8">
      <c r="A41" s="92" t="s">
        <v>68</v>
      </c>
      <c r="B41" s="92"/>
      <c r="C41" s="92"/>
      <c r="D41" s="92"/>
      <c r="E41" s="92"/>
      <c r="F41" s="92"/>
      <c r="G41" s="117" t="s">
        <v>129</v>
      </c>
      <c r="H41" s="118" t="s">
        <v>70</v>
      </c>
    </row>
    <row r="42" spans="1:8">
      <c r="A42" s="51" t="s">
        <v>71</v>
      </c>
      <c r="B42" s="51"/>
      <c r="C42" s="51"/>
      <c r="D42" s="51"/>
      <c r="E42" s="51"/>
      <c r="F42" s="51"/>
      <c r="G42" s="34">
        <v>4646</v>
      </c>
      <c r="H42" s="119">
        <f>G42*2.471</f>
        <v>11480.266</v>
      </c>
    </row>
    <row r="43" spans="1:8">
      <c r="A43" s="51" t="s">
        <v>72</v>
      </c>
      <c r="B43" s="51"/>
      <c r="C43" s="51"/>
      <c r="D43" s="51"/>
      <c r="E43" s="51"/>
      <c r="F43" s="51"/>
      <c r="G43" s="120">
        <v>78</v>
      </c>
      <c r="H43" s="119"/>
    </row>
    <row r="44" spans="1:8">
      <c r="A44" s="51" t="s">
        <v>73</v>
      </c>
      <c r="B44" s="51"/>
      <c r="C44" s="51"/>
      <c r="D44" s="51"/>
      <c r="E44" s="51"/>
      <c r="F44" s="51"/>
      <c r="G44" s="120">
        <f>SUM(G42*G43)</f>
        <v>362388</v>
      </c>
      <c r="H44" s="119">
        <f>G44*2.471</f>
        <v>895460.74800000002</v>
      </c>
    </row>
    <row r="45" spans="1:8">
      <c r="A45" s="51" t="s">
        <v>74</v>
      </c>
      <c r="B45" s="51"/>
      <c r="C45" s="51"/>
      <c r="D45" s="51"/>
      <c r="E45" s="51"/>
      <c r="F45" s="51"/>
      <c r="G45" s="120">
        <f>SUM(G44-K20)</f>
        <v>165025</v>
      </c>
      <c r="H45" s="119">
        <f>G45*2.471</f>
        <v>407776.77500000002</v>
      </c>
    </row>
    <row r="46" spans="1:8">
      <c r="A46" s="51" t="s">
        <v>75</v>
      </c>
      <c r="B46" s="51"/>
      <c r="C46" s="51"/>
      <c r="D46" s="51"/>
      <c r="E46" s="51"/>
      <c r="F46" s="51"/>
      <c r="G46" s="120">
        <f>SUM(G44-K21)</f>
        <v>187577</v>
      </c>
      <c r="H46" s="119">
        <f>G46*2.471</f>
        <v>463502.76699999999</v>
      </c>
    </row>
    <row r="47" spans="1:8">
      <c r="A47" s="51"/>
      <c r="B47" s="51"/>
      <c r="C47" s="51"/>
      <c r="D47" s="51"/>
      <c r="E47" s="51"/>
      <c r="F47" s="51"/>
      <c r="G47" s="120"/>
    </row>
    <row r="48" spans="1:8">
      <c r="A48" s="51" t="s">
        <v>76</v>
      </c>
      <c r="B48" s="51"/>
      <c r="C48" s="51"/>
      <c r="D48" s="51"/>
      <c r="E48" s="51"/>
      <c r="F48" s="51"/>
      <c r="G48" s="120">
        <f>SUM(K20/G42)</f>
        <v>42.480198019801982</v>
      </c>
    </row>
    <row r="49" spans="1:13">
      <c r="A49" s="96" t="s">
        <v>77</v>
      </c>
      <c r="B49" s="96"/>
      <c r="C49" s="96"/>
      <c r="D49" s="96"/>
      <c r="E49" s="96"/>
      <c r="F49" s="96"/>
      <c r="G49" s="121">
        <f>SUM(K21/G42)</f>
        <v>37.626130004304777</v>
      </c>
    </row>
    <row r="51" spans="1:13" ht="15">
      <c r="A51" s="213" t="s">
        <v>297</v>
      </c>
      <c r="B51" s="213"/>
      <c r="C51" s="213"/>
      <c r="D51" s="212"/>
      <c r="E51" s="212"/>
    </row>
    <row r="58" spans="1:13">
      <c r="A58" s="92"/>
      <c r="B58" s="92"/>
      <c r="C58" s="92"/>
      <c r="D58" s="93"/>
      <c r="E58" s="93"/>
      <c r="F58" s="93"/>
      <c r="G58" s="93"/>
      <c r="H58" s="93"/>
      <c r="I58" s="93"/>
      <c r="J58" s="93"/>
      <c r="K58" s="93"/>
      <c r="L58" s="94"/>
      <c r="M58" s="93"/>
    </row>
    <row r="59" spans="1:13">
      <c r="A59" s="51"/>
      <c r="B59" s="51"/>
      <c r="C59" s="51"/>
      <c r="D59" s="52"/>
      <c r="E59" s="52"/>
      <c r="F59" s="52"/>
      <c r="G59" s="52"/>
      <c r="H59" s="52"/>
      <c r="I59" s="52"/>
      <c r="J59" s="52"/>
      <c r="K59" s="52"/>
      <c r="L59" s="95"/>
      <c r="M59" s="52"/>
    </row>
    <row r="60" spans="1:13">
      <c r="A60" s="51"/>
      <c r="B60" s="51"/>
      <c r="C60" s="51"/>
      <c r="D60" s="52"/>
      <c r="E60" s="52"/>
      <c r="F60" s="52"/>
      <c r="G60" s="52"/>
      <c r="H60" s="52"/>
      <c r="I60" s="52"/>
      <c r="J60" s="52"/>
      <c r="K60" s="52"/>
      <c r="L60" s="52"/>
      <c r="M60" s="52"/>
    </row>
    <row r="61" spans="1:13">
      <c r="A61" s="96"/>
      <c r="B61" s="96"/>
      <c r="C61" s="96"/>
      <c r="D61" s="97"/>
      <c r="E61" s="97"/>
      <c r="F61" s="97"/>
      <c r="G61" s="97"/>
      <c r="H61" s="97"/>
      <c r="I61" s="97"/>
      <c r="J61" s="97"/>
      <c r="K61" s="97"/>
      <c r="L61" s="97"/>
      <c r="M61" s="97"/>
    </row>
    <row r="62" spans="1:13">
      <c r="D62" s="98"/>
      <c r="E62" s="99"/>
      <c r="F62" s="99"/>
      <c r="G62" s="100"/>
      <c r="H62" s="99"/>
      <c r="J62" s="99"/>
      <c r="K62" s="99"/>
    </row>
    <row r="63" spans="1:13">
      <c r="D63" s="98"/>
      <c r="E63" s="99"/>
      <c r="F63" s="99"/>
      <c r="G63" s="100"/>
      <c r="H63" s="99"/>
      <c r="J63" s="99"/>
      <c r="K63" s="99"/>
    </row>
    <row r="64" spans="1:13">
      <c r="A64" s="101"/>
      <c r="B64" s="98"/>
      <c r="D64" s="98"/>
      <c r="E64" s="99"/>
      <c r="F64" s="99"/>
      <c r="G64" s="100"/>
      <c r="H64" s="99"/>
      <c r="J64" s="99"/>
      <c r="K64" s="99"/>
    </row>
    <row r="65" spans="1:13">
      <c r="D65" s="98"/>
      <c r="E65" s="99"/>
      <c r="F65" s="99"/>
      <c r="G65" s="100"/>
      <c r="H65" s="99"/>
      <c r="J65" s="99"/>
      <c r="K65" s="99"/>
    </row>
    <row r="66" spans="1:13">
      <c r="D66" s="98"/>
      <c r="E66" s="99"/>
      <c r="F66" s="99"/>
      <c r="G66" s="100"/>
      <c r="H66" s="99"/>
      <c r="J66" s="99"/>
      <c r="K66" s="99"/>
    </row>
    <row r="67" spans="1:13">
      <c r="D67" s="98"/>
      <c r="E67" s="99"/>
      <c r="F67" s="99"/>
      <c r="G67" s="100"/>
      <c r="H67" s="99"/>
      <c r="J67" s="177"/>
      <c r="K67" s="99"/>
    </row>
    <row r="68" spans="1:13">
      <c r="D68" s="98"/>
      <c r="E68" s="99"/>
      <c r="F68" s="99"/>
      <c r="G68" s="100"/>
      <c r="H68" s="99"/>
      <c r="J68" s="99"/>
      <c r="K68" s="99"/>
    </row>
    <row r="69" spans="1:13">
      <c r="D69" s="98"/>
      <c r="E69" s="99"/>
      <c r="F69" s="99"/>
      <c r="G69" s="100"/>
      <c r="H69" s="99"/>
      <c r="J69" s="99"/>
      <c r="K69" s="99"/>
    </row>
    <row r="70" spans="1:13">
      <c r="D70" s="98"/>
      <c r="E70" s="99"/>
      <c r="F70" s="99"/>
      <c r="G70" s="100"/>
      <c r="H70" s="99"/>
      <c r="I70" s="99"/>
      <c r="J70" s="14"/>
      <c r="K70" s="99"/>
    </row>
    <row r="71" spans="1:13">
      <c r="D71" s="98"/>
      <c r="E71" s="99"/>
      <c r="F71" s="99"/>
      <c r="G71" s="100"/>
      <c r="H71" s="99"/>
      <c r="J71" s="99"/>
      <c r="K71" s="99"/>
    </row>
    <row r="72" spans="1:13">
      <c r="D72" s="98"/>
      <c r="E72" s="99"/>
      <c r="F72" s="99"/>
      <c r="G72" s="100"/>
      <c r="H72" s="99"/>
      <c r="J72" s="99"/>
      <c r="K72" s="99"/>
    </row>
    <row r="73" spans="1:13">
      <c r="D73" s="98"/>
      <c r="E73" s="99"/>
      <c r="F73" s="99"/>
      <c r="G73" s="100"/>
      <c r="H73" s="99"/>
      <c r="J73" s="99"/>
      <c r="K73" s="99"/>
    </row>
    <row r="74" spans="1:13">
      <c r="D74" s="98"/>
      <c r="E74" s="99"/>
      <c r="F74" s="99"/>
      <c r="G74" s="100"/>
      <c r="H74" s="99"/>
      <c r="J74" s="99"/>
      <c r="K74" s="99"/>
    </row>
    <row r="75" spans="1:13">
      <c r="A75" s="92"/>
      <c r="B75" s="92"/>
      <c r="C75" s="92"/>
      <c r="D75" s="103"/>
      <c r="E75" s="104"/>
      <c r="F75" s="104"/>
      <c r="G75" s="104"/>
      <c r="H75" s="104"/>
      <c r="I75" s="104"/>
      <c r="J75" s="104"/>
      <c r="K75" s="104"/>
      <c r="L75" s="92"/>
      <c r="M75" s="92"/>
    </row>
    <row r="76" spans="1:13">
      <c r="A76" s="96"/>
      <c r="B76" s="96"/>
      <c r="C76" s="96"/>
      <c r="D76" s="105"/>
      <c r="E76" s="106"/>
      <c r="F76" s="106"/>
      <c r="G76" s="106"/>
      <c r="H76" s="106"/>
      <c r="I76" s="96"/>
      <c r="J76" s="106"/>
      <c r="K76" s="106"/>
      <c r="L76" s="96"/>
      <c r="M76" s="96"/>
    </row>
    <row r="81" spans="1:11">
      <c r="A81" s="108"/>
      <c r="B81" s="108"/>
      <c r="C81" s="108"/>
      <c r="D81" s="108"/>
      <c r="E81" s="108"/>
      <c r="F81" s="108"/>
      <c r="G81" s="108"/>
    </row>
    <row r="83" spans="1:11">
      <c r="G83" s="1"/>
    </row>
    <row r="84" spans="1:11">
      <c r="K84" s="113"/>
    </row>
    <row r="85" spans="1:11">
      <c r="G85" s="99"/>
      <c r="K85" s="113"/>
    </row>
    <row r="88" spans="1:11">
      <c r="A88" s="92"/>
      <c r="B88" s="92"/>
      <c r="C88" s="92"/>
      <c r="D88" s="92"/>
      <c r="E88" s="92"/>
      <c r="F88" s="92"/>
      <c r="G88" s="92"/>
    </row>
    <row r="89" spans="1:11">
      <c r="A89" s="51"/>
      <c r="B89" s="95"/>
      <c r="C89" s="115"/>
      <c r="D89" s="51"/>
      <c r="E89" s="116"/>
      <c r="F89" s="51"/>
      <c r="G89" s="116"/>
    </row>
    <row r="90" spans="1:11">
      <c r="A90" s="51"/>
      <c r="B90" s="95"/>
      <c r="C90" s="115"/>
      <c r="D90" s="51"/>
      <c r="E90" s="51"/>
      <c r="F90" s="51"/>
      <c r="G90" s="116"/>
    </row>
    <row r="91" spans="1:11">
      <c r="B91" s="95"/>
      <c r="C91" s="115"/>
      <c r="D91" s="51"/>
      <c r="E91" s="51"/>
      <c r="F91" s="51"/>
      <c r="G91" s="116"/>
    </row>
    <row r="92" spans="1:11">
      <c r="A92" s="51"/>
      <c r="B92" s="95"/>
      <c r="C92" s="115"/>
      <c r="D92" s="51"/>
      <c r="E92" s="51"/>
      <c r="F92" s="51"/>
      <c r="G92" s="116"/>
    </row>
    <row r="93" spans="1:11">
      <c r="A93" s="92"/>
      <c r="B93" s="92"/>
      <c r="C93" s="92"/>
      <c r="D93" s="92"/>
      <c r="E93" s="92"/>
      <c r="F93" s="92"/>
      <c r="G93" s="117"/>
      <c r="H93" s="118"/>
    </row>
    <row r="94" spans="1:11">
      <c r="A94" s="51"/>
      <c r="B94" s="51"/>
      <c r="C94" s="51"/>
      <c r="D94" s="51"/>
      <c r="E94" s="51"/>
      <c r="F94" s="51"/>
      <c r="G94" s="203"/>
      <c r="H94" s="99"/>
    </row>
    <row r="95" spans="1:11">
      <c r="A95" s="51"/>
      <c r="B95" s="51"/>
      <c r="C95" s="51"/>
      <c r="D95" s="51"/>
      <c r="E95" s="51"/>
      <c r="F95" s="51"/>
      <c r="G95" s="120"/>
      <c r="H95" s="99"/>
    </row>
    <row r="96" spans="1:11">
      <c r="A96" s="51"/>
      <c r="B96" s="51"/>
      <c r="C96" s="51"/>
      <c r="D96" s="51"/>
      <c r="E96" s="51"/>
      <c r="F96" s="51"/>
      <c r="G96" s="120"/>
      <c r="H96" s="99"/>
    </row>
    <row r="97" spans="1:8">
      <c r="A97" s="51"/>
      <c r="B97" s="51"/>
      <c r="C97" s="51"/>
      <c r="D97" s="51"/>
      <c r="E97" s="51"/>
      <c r="F97" s="51"/>
      <c r="G97" s="120"/>
      <c r="H97" s="99"/>
    </row>
    <row r="98" spans="1:8">
      <c r="A98" s="51"/>
      <c r="B98" s="51"/>
      <c r="C98" s="51"/>
      <c r="D98" s="51"/>
      <c r="E98" s="51"/>
      <c r="F98" s="51"/>
      <c r="G98" s="120"/>
      <c r="H98" s="99"/>
    </row>
    <row r="99" spans="1:8">
      <c r="A99" s="51"/>
      <c r="B99" s="51"/>
      <c r="C99" s="51"/>
      <c r="D99" s="51"/>
      <c r="E99" s="51"/>
      <c r="F99" s="51"/>
      <c r="G99" s="120"/>
    </row>
    <row r="100" spans="1:8">
      <c r="A100" s="96"/>
      <c r="B100" s="96"/>
      <c r="C100" s="96"/>
      <c r="D100" s="96"/>
      <c r="E100" s="96"/>
      <c r="F100" s="96"/>
      <c r="G100" s="121"/>
    </row>
    <row r="102" spans="1:8">
      <c r="C102" s="212"/>
      <c r="D102" s="212"/>
      <c r="E102" s="21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1"/>
  <sheetViews>
    <sheetView workbookViewId="0">
      <selection sqref="A1:XFD1048576"/>
    </sheetView>
  </sheetViews>
  <sheetFormatPr defaultRowHeight="14.25"/>
  <cols>
    <col min="1" max="2" width="9.140625" style="54"/>
    <col min="3" max="3" width="5.85546875" style="54" customWidth="1"/>
    <col min="4" max="4" width="4.7109375" style="54" customWidth="1"/>
    <col min="5" max="5" width="6.140625" style="54" customWidth="1"/>
    <col min="6" max="6" width="5.42578125" style="54" customWidth="1"/>
    <col min="7" max="7" width="10.28515625" style="54" customWidth="1"/>
    <col min="8" max="8" width="9.42578125" style="54" customWidth="1"/>
    <col min="9" max="10" width="8.140625" style="54" customWidth="1"/>
    <col min="11" max="11" width="9.28515625" style="54" customWidth="1"/>
    <col min="12" max="12" width="7.5703125" style="54" customWidth="1"/>
    <col min="13" max="13" width="5.85546875" style="54" customWidth="1"/>
    <col min="14" max="15" width="9.140625" style="54"/>
    <col min="16" max="16" width="4.5703125" style="54" customWidth="1"/>
    <col min="17" max="17" width="6.5703125" style="54" customWidth="1"/>
    <col min="18" max="18" width="6.85546875" style="54" customWidth="1"/>
    <col min="19" max="16384" width="9.140625" style="54"/>
  </cols>
  <sheetData>
    <row r="1" spans="1:19">
      <c r="A1" s="54" t="s">
        <v>0</v>
      </c>
      <c r="B1" s="118" t="s">
        <v>298</v>
      </c>
    </row>
    <row r="2" spans="1:19">
      <c r="B2" s="118" t="s">
        <v>299</v>
      </c>
    </row>
    <row r="3" spans="1:19">
      <c r="B3" s="118" t="s">
        <v>300</v>
      </c>
    </row>
    <row r="4" spans="1:19">
      <c r="A4" s="117" t="s">
        <v>4</v>
      </c>
      <c r="B4" s="117"/>
      <c r="C4" s="117"/>
      <c r="D4" s="160" t="s">
        <v>5</v>
      </c>
      <c r="E4" s="160" t="s">
        <v>6</v>
      </c>
      <c r="F4" s="160" t="s">
        <v>7</v>
      </c>
      <c r="G4" s="160" t="s">
        <v>8</v>
      </c>
      <c r="H4" s="160" t="s">
        <v>9</v>
      </c>
      <c r="I4" s="160" t="s">
        <v>10</v>
      </c>
      <c r="J4" s="160" t="s">
        <v>11</v>
      </c>
      <c r="K4" s="160" t="s">
        <v>12</v>
      </c>
      <c r="L4" s="161" t="s">
        <v>13</v>
      </c>
      <c r="M4" s="160"/>
    </row>
    <row r="5" spans="1:19">
      <c r="A5" s="162"/>
      <c r="B5" s="162"/>
      <c r="C5" s="162"/>
      <c r="D5" s="163" t="s">
        <v>14</v>
      </c>
      <c r="E5" s="163" t="s">
        <v>15</v>
      </c>
      <c r="F5" s="163" t="s">
        <v>15</v>
      </c>
      <c r="G5" s="163" t="s">
        <v>16</v>
      </c>
      <c r="H5" s="163" t="s">
        <v>17</v>
      </c>
      <c r="I5" s="163" t="s">
        <v>18</v>
      </c>
      <c r="J5" s="163" t="s">
        <v>17</v>
      </c>
      <c r="K5" s="163" t="s">
        <v>17</v>
      </c>
      <c r="L5" s="164" t="s">
        <v>10</v>
      </c>
      <c r="M5" s="163" t="s">
        <v>11</v>
      </c>
    </row>
    <row r="6" spans="1:19">
      <c r="A6" s="162"/>
      <c r="B6" s="162"/>
      <c r="C6" s="162"/>
      <c r="D6" s="163" t="s">
        <v>19</v>
      </c>
      <c r="E6" s="163"/>
      <c r="F6" s="163"/>
      <c r="G6" s="163"/>
      <c r="H6" s="163" t="s">
        <v>20</v>
      </c>
      <c r="I6" s="163" t="s">
        <v>17</v>
      </c>
      <c r="J6" s="163" t="s">
        <v>20</v>
      </c>
      <c r="K6" s="163" t="s">
        <v>20</v>
      </c>
      <c r="L6" s="163"/>
      <c r="M6" s="163"/>
    </row>
    <row r="7" spans="1:19">
      <c r="A7" s="165"/>
      <c r="B7" s="165"/>
      <c r="C7" s="165"/>
      <c r="D7" s="166"/>
      <c r="E7" s="166"/>
      <c r="F7" s="166"/>
      <c r="G7" s="166"/>
      <c r="H7" s="166"/>
      <c r="I7" s="166" t="s">
        <v>20</v>
      </c>
      <c r="J7" s="166"/>
      <c r="K7" s="166"/>
      <c r="L7" s="166"/>
      <c r="M7" s="166"/>
      <c r="Q7" s="214"/>
      <c r="R7" s="214"/>
      <c r="S7" s="51"/>
    </row>
    <row r="8" spans="1:19">
      <c r="A8" s="51" t="s">
        <v>198</v>
      </c>
      <c r="B8" s="51"/>
      <c r="C8" s="51"/>
      <c r="D8" s="52">
        <v>70</v>
      </c>
      <c r="E8" s="52">
        <v>5.8</v>
      </c>
      <c r="F8" s="52">
        <v>0.38</v>
      </c>
      <c r="G8" s="52">
        <v>950</v>
      </c>
      <c r="H8" s="99">
        <f>E8*G8</f>
        <v>5510</v>
      </c>
      <c r="I8" s="52"/>
      <c r="J8" s="52"/>
      <c r="K8" s="99">
        <f t="shared" ref="K8:K19" si="0">SUM(H8:J8)</f>
        <v>5510</v>
      </c>
      <c r="L8" s="163"/>
      <c r="M8" s="163"/>
      <c r="Q8" s="99"/>
      <c r="R8" s="99"/>
      <c r="S8" s="51"/>
    </row>
    <row r="9" spans="1:19">
      <c r="A9" s="102" t="s">
        <v>301</v>
      </c>
      <c r="B9" s="51"/>
      <c r="D9" s="98">
        <v>100</v>
      </c>
      <c r="E9" s="99">
        <v>1.21</v>
      </c>
      <c r="F9" s="99">
        <v>1.21</v>
      </c>
      <c r="G9" s="167">
        <v>900</v>
      </c>
      <c r="H9" s="99">
        <f t="shared" ref="H9:H19" si="1">E9*G9</f>
        <v>1089</v>
      </c>
      <c r="I9" s="30">
        <v>7580</v>
      </c>
      <c r="J9" s="99"/>
      <c r="K9" s="99">
        <f t="shared" si="0"/>
        <v>8669</v>
      </c>
      <c r="L9" s="99">
        <v>223</v>
      </c>
      <c r="N9" s="1"/>
      <c r="Q9" s="14"/>
      <c r="R9" s="99"/>
      <c r="S9" s="51"/>
    </row>
    <row r="10" spans="1:19">
      <c r="A10" s="51" t="s">
        <v>88</v>
      </c>
      <c r="D10" s="98">
        <v>100</v>
      </c>
      <c r="E10" s="215">
        <v>12.73</v>
      </c>
      <c r="F10" s="99">
        <v>5.65</v>
      </c>
      <c r="G10" s="167">
        <v>980</v>
      </c>
      <c r="H10" s="99">
        <v>12475</v>
      </c>
      <c r="J10" s="99"/>
      <c r="K10" s="99">
        <f t="shared" si="0"/>
        <v>12475</v>
      </c>
      <c r="L10" s="99"/>
      <c r="N10" s="1"/>
      <c r="Q10" s="99"/>
      <c r="R10" s="99"/>
      <c r="S10" s="51"/>
    </row>
    <row r="11" spans="1:19">
      <c r="A11" s="102" t="s">
        <v>302</v>
      </c>
      <c r="D11" s="98">
        <v>100</v>
      </c>
      <c r="E11" s="99">
        <v>10</v>
      </c>
      <c r="F11" s="99">
        <v>0.7</v>
      </c>
      <c r="G11" s="167">
        <v>1000</v>
      </c>
      <c r="H11" s="99">
        <f t="shared" si="1"/>
        <v>10000</v>
      </c>
      <c r="J11" s="99">
        <f>SUM(E30*G30)</f>
        <v>57120</v>
      </c>
      <c r="K11" s="99">
        <f t="shared" si="0"/>
        <v>67120</v>
      </c>
      <c r="L11" s="14">
        <v>5040</v>
      </c>
      <c r="N11" s="1"/>
      <c r="Q11" s="99"/>
      <c r="R11" s="99"/>
      <c r="S11" s="51"/>
    </row>
    <row r="12" spans="1:19">
      <c r="A12" s="54" t="s">
        <v>34</v>
      </c>
      <c r="D12" s="98">
        <v>100</v>
      </c>
      <c r="E12" s="14">
        <v>3.42</v>
      </c>
      <c r="F12" s="99">
        <v>2.08</v>
      </c>
      <c r="G12" s="167">
        <v>900</v>
      </c>
      <c r="H12" s="99">
        <f t="shared" si="1"/>
        <v>3078</v>
      </c>
      <c r="J12" s="99">
        <v>24343</v>
      </c>
      <c r="K12" s="99">
        <f t="shared" si="0"/>
        <v>27421</v>
      </c>
      <c r="Q12" s="99"/>
      <c r="R12" s="99"/>
    </row>
    <row r="13" spans="1:19">
      <c r="A13" s="102" t="s">
        <v>303</v>
      </c>
      <c r="D13" s="98">
        <v>100</v>
      </c>
      <c r="E13" s="99">
        <v>0.6</v>
      </c>
      <c r="F13" s="99">
        <v>0.5</v>
      </c>
      <c r="G13" s="216">
        <v>1046</v>
      </c>
      <c r="H13" s="99">
        <v>628</v>
      </c>
      <c r="J13" s="99">
        <v>1688</v>
      </c>
      <c r="K13" s="99">
        <f t="shared" si="0"/>
        <v>2316</v>
      </c>
      <c r="Q13" s="99"/>
      <c r="R13" s="99"/>
    </row>
    <row r="14" spans="1:19">
      <c r="A14" s="54" t="s">
        <v>304</v>
      </c>
      <c r="D14" s="98">
        <v>100</v>
      </c>
      <c r="E14" s="99">
        <v>9.16</v>
      </c>
      <c r="F14" s="99">
        <v>0</v>
      </c>
      <c r="G14" s="167">
        <v>850</v>
      </c>
      <c r="H14" s="99">
        <f t="shared" si="1"/>
        <v>7786</v>
      </c>
      <c r="I14" s="119"/>
      <c r="J14" s="99"/>
      <c r="K14" s="99">
        <f t="shared" si="0"/>
        <v>7786</v>
      </c>
      <c r="N14" s="1"/>
      <c r="Q14" s="99"/>
      <c r="R14" s="99"/>
    </row>
    <row r="15" spans="1:19">
      <c r="A15" s="54" t="s">
        <v>36</v>
      </c>
      <c r="D15" s="98">
        <v>100</v>
      </c>
      <c r="E15" s="99">
        <v>1.9</v>
      </c>
      <c r="F15" s="99">
        <v>0.9</v>
      </c>
      <c r="G15" s="167">
        <v>1203</v>
      </c>
      <c r="H15" s="99">
        <v>2286</v>
      </c>
      <c r="J15" s="99">
        <v>7065</v>
      </c>
      <c r="K15" s="99">
        <f t="shared" si="0"/>
        <v>9351</v>
      </c>
      <c r="Q15" s="99"/>
      <c r="R15" s="99"/>
    </row>
    <row r="16" spans="1:19">
      <c r="A16" s="54" t="s">
        <v>92</v>
      </c>
      <c r="D16" s="98">
        <v>100</v>
      </c>
      <c r="E16" s="14">
        <v>28</v>
      </c>
      <c r="F16" s="99">
        <v>29</v>
      </c>
      <c r="G16" s="167">
        <v>900</v>
      </c>
      <c r="H16" s="99">
        <f t="shared" si="1"/>
        <v>25200</v>
      </c>
      <c r="I16" s="14">
        <v>8583</v>
      </c>
      <c r="J16" s="99"/>
      <c r="K16" s="99">
        <f t="shared" si="0"/>
        <v>33783</v>
      </c>
      <c r="Q16" s="14"/>
      <c r="R16" s="99"/>
    </row>
    <row r="17" spans="1:18">
      <c r="A17" s="54" t="s">
        <v>305</v>
      </c>
      <c r="D17" s="98">
        <v>100</v>
      </c>
      <c r="E17" s="99">
        <v>10.1</v>
      </c>
      <c r="F17" s="99">
        <f>0.15+0.03</f>
        <v>0.18</v>
      </c>
      <c r="G17" s="167">
        <v>950</v>
      </c>
      <c r="H17" s="99">
        <f t="shared" si="1"/>
        <v>9595</v>
      </c>
      <c r="J17" s="99"/>
      <c r="K17" s="99">
        <f t="shared" si="0"/>
        <v>9595</v>
      </c>
      <c r="N17" s="1"/>
      <c r="Q17" s="99"/>
      <c r="R17" s="99"/>
    </row>
    <row r="18" spans="1:18">
      <c r="A18" s="217" t="s">
        <v>136</v>
      </c>
      <c r="D18" s="98">
        <v>100</v>
      </c>
      <c r="E18" s="99">
        <v>13.9</v>
      </c>
      <c r="F18" s="99">
        <v>0.2</v>
      </c>
      <c r="G18" s="167">
        <v>925</v>
      </c>
      <c r="H18" s="99">
        <v>12858</v>
      </c>
      <c r="J18" s="99"/>
      <c r="K18" s="99">
        <f t="shared" si="0"/>
        <v>12858</v>
      </c>
      <c r="N18" s="1"/>
      <c r="Q18" s="99"/>
      <c r="R18" s="99"/>
    </row>
    <row r="19" spans="1:18">
      <c r="A19" s="217" t="s">
        <v>306</v>
      </c>
      <c r="D19" s="98">
        <v>74</v>
      </c>
      <c r="E19" s="99">
        <v>0.4</v>
      </c>
      <c r="F19" s="99">
        <v>0.4</v>
      </c>
      <c r="G19" s="167">
        <v>950</v>
      </c>
      <c r="H19" s="99">
        <f t="shared" si="1"/>
        <v>380</v>
      </c>
      <c r="I19" s="99">
        <v>1600</v>
      </c>
      <c r="J19" s="99"/>
      <c r="K19" s="99">
        <f t="shared" si="0"/>
        <v>1980</v>
      </c>
      <c r="L19" s="99">
        <v>133</v>
      </c>
      <c r="Q19" s="99"/>
      <c r="R19" s="99"/>
    </row>
    <row r="20" spans="1:18">
      <c r="D20" s="98"/>
      <c r="H20" s="99"/>
      <c r="J20" s="99"/>
      <c r="K20" s="99"/>
      <c r="L20" s="99"/>
    </row>
    <row r="21" spans="1:18">
      <c r="A21" s="92" t="s">
        <v>42</v>
      </c>
      <c r="B21" s="92"/>
      <c r="C21" s="92"/>
      <c r="D21" s="103"/>
      <c r="E21" s="104">
        <f>SUM(E8:E19)</f>
        <v>97.22</v>
      </c>
      <c r="F21" s="104">
        <f>SUM(F9:F19)</f>
        <v>40.82</v>
      </c>
      <c r="G21" s="104"/>
      <c r="H21" s="104">
        <f>H8+H9+H10+H11+H12+H13+H14+H15+H16+H18+H19+H17</f>
        <v>90885</v>
      </c>
      <c r="I21" s="104">
        <f>SUM(I9:I20)</f>
        <v>17763</v>
      </c>
      <c r="J21" s="104">
        <f>SUM(J8:J20)</f>
        <v>90216</v>
      </c>
      <c r="K21" s="104">
        <f>SUM(H21:J21)</f>
        <v>198864</v>
      </c>
      <c r="L21" s="104">
        <f>SUM(L9:L20)</f>
        <v>5396</v>
      </c>
      <c r="M21" s="92">
        <f>SUM(M9:M20)</f>
        <v>0</v>
      </c>
    </row>
    <row r="22" spans="1:18">
      <c r="A22" s="96" t="s">
        <v>43</v>
      </c>
      <c r="B22" s="96"/>
      <c r="C22" s="96"/>
      <c r="D22" s="105"/>
      <c r="E22" s="106">
        <f>SUM(E21-F21)</f>
        <v>56.4</v>
      </c>
      <c r="F22" s="106"/>
      <c r="G22" s="106"/>
      <c r="H22" s="106">
        <f>+E32*G32</f>
        <v>52472</v>
      </c>
      <c r="I22" s="106">
        <f>I21-L21</f>
        <v>12367</v>
      </c>
      <c r="J22" s="106">
        <f>J21-M21</f>
        <v>90216</v>
      </c>
      <c r="K22" s="106">
        <f>SUM(H22:J22)</f>
        <v>155055</v>
      </c>
      <c r="L22" s="96"/>
      <c r="M22" s="96"/>
    </row>
    <row r="23" spans="1:18">
      <c r="A23" s="51"/>
      <c r="B23" s="51"/>
      <c r="C23" s="51"/>
      <c r="D23" s="132"/>
      <c r="E23" s="116"/>
      <c r="F23" s="116"/>
      <c r="G23" s="116"/>
      <c r="H23" s="116"/>
      <c r="I23" s="51"/>
      <c r="J23" s="116"/>
      <c r="K23" s="116"/>
      <c r="L23" s="51"/>
      <c r="M23" s="51"/>
    </row>
    <row r="25" spans="1:18">
      <c r="C25" s="118" t="s">
        <v>44</v>
      </c>
      <c r="K25" s="119"/>
    </row>
    <row r="26" spans="1:18">
      <c r="K26" s="1"/>
    </row>
    <row r="27" spans="1:18">
      <c r="A27" s="118" t="s">
        <v>45</v>
      </c>
    </row>
    <row r="28" spans="1:18">
      <c r="A28" s="218" t="s">
        <v>46</v>
      </c>
      <c r="B28" s="218"/>
      <c r="C28" s="218"/>
      <c r="D28" s="218" t="s">
        <v>47</v>
      </c>
      <c r="E28" s="218" t="s">
        <v>48</v>
      </c>
      <c r="F28" s="218"/>
      <c r="G28" s="218" t="s">
        <v>49</v>
      </c>
    </row>
    <row r="29" spans="1:18">
      <c r="A29" s="118" t="s">
        <v>52</v>
      </c>
      <c r="I29" s="118" t="s">
        <v>50</v>
      </c>
    </row>
    <row r="30" spans="1:18">
      <c r="A30" s="54" t="s">
        <v>121</v>
      </c>
      <c r="D30" s="54" t="s">
        <v>55</v>
      </c>
      <c r="E30" s="14">
        <v>680</v>
      </c>
      <c r="F30" s="99"/>
      <c r="G30" s="14">
        <v>84</v>
      </c>
      <c r="I30" s="219" t="s">
        <v>307</v>
      </c>
      <c r="J30" s="220">
        <v>100</v>
      </c>
      <c r="K30" s="221"/>
    </row>
    <row r="31" spans="1:18">
      <c r="A31" s="118" t="s">
        <v>57</v>
      </c>
    </row>
    <row r="32" spans="1:18">
      <c r="A32" s="54" t="s">
        <v>58</v>
      </c>
      <c r="D32" s="54" t="s">
        <v>59</v>
      </c>
      <c r="E32" s="99">
        <v>56</v>
      </c>
      <c r="G32" s="99">
        <v>937</v>
      </c>
      <c r="I32" s="222" t="s">
        <v>60</v>
      </c>
      <c r="J32" s="223">
        <v>1.1000000000000001</v>
      </c>
      <c r="K32" s="212"/>
      <c r="L32" s="212"/>
      <c r="M32" s="212"/>
      <c r="N32" s="212"/>
    </row>
    <row r="33" spans="1:14">
      <c r="A33" s="54" t="s">
        <v>61</v>
      </c>
      <c r="D33" s="54" t="s">
        <v>59</v>
      </c>
      <c r="E33" s="99">
        <v>41</v>
      </c>
      <c r="I33" s="222" t="s">
        <v>62</v>
      </c>
      <c r="J33" s="223">
        <v>1</v>
      </c>
      <c r="K33" s="212"/>
      <c r="L33" s="212"/>
      <c r="M33" s="212"/>
      <c r="N33" s="212"/>
    </row>
    <row r="34" spans="1:14">
      <c r="A34" s="54" t="s">
        <v>6</v>
      </c>
      <c r="E34" s="99">
        <f>SUM(E32:E33)</f>
        <v>97</v>
      </c>
    </row>
    <row r="35" spans="1:14">
      <c r="A35" s="92" t="s">
        <v>63</v>
      </c>
      <c r="B35" s="92"/>
      <c r="C35" s="92" t="s">
        <v>64</v>
      </c>
      <c r="D35" s="92"/>
      <c r="E35" s="92"/>
      <c r="F35" s="92"/>
      <c r="G35" s="92"/>
    </row>
    <row r="36" spans="1:14">
      <c r="A36" s="51"/>
      <c r="B36" s="95" t="s">
        <v>127</v>
      </c>
      <c r="C36" s="224">
        <v>100</v>
      </c>
      <c r="D36" s="51" t="s">
        <v>55</v>
      </c>
      <c r="E36" s="51">
        <v>58</v>
      </c>
      <c r="F36" s="51"/>
      <c r="G36" s="116">
        <v>50</v>
      </c>
    </row>
    <row r="37" spans="1:14">
      <c r="A37" s="51"/>
      <c r="B37" s="95" t="s">
        <v>255</v>
      </c>
      <c r="C37" s="224">
        <v>98</v>
      </c>
      <c r="D37" s="51" t="s">
        <v>55</v>
      </c>
      <c r="E37" s="225">
        <v>44</v>
      </c>
      <c r="F37" s="51"/>
      <c r="G37" s="116">
        <v>50</v>
      </c>
      <c r="J37" s="1"/>
    </row>
    <row r="38" spans="1:14">
      <c r="A38" s="51"/>
      <c r="B38" s="95"/>
      <c r="C38" s="224"/>
      <c r="D38" s="51"/>
      <c r="E38" s="51"/>
      <c r="F38" s="51"/>
      <c r="G38" s="116"/>
    </row>
    <row r="39" spans="1:14">
      <c r="A39" s="51"/>
      <c r="B39" s="95" t="s">
        <v>308</v>
      </c>
      <c r="C39" s="224">
        <v>94</v>
      </c>
      <c r="D39" s="51" t="s">
        <v>296</v>
      </c>
      <c r="E39" s="226">
        <v>2.23</v>
      </c>
      <c r="F39" s="51"/>
      <c r="G39" s="30">
        <v>8629</v>
      </c>
    </row>
    <row r="40" spans="1:14">
      <c r="A40" s="117" t="s">
        <v>68</v>
      </c>
      <c r="B40" s="92"/>
      <c r="C40" s="92"/>
      <c r="D40" s="92"/>
      <c r="E40" s="92"/>
      <c r="F40" s="92"/>
      <c r="G40" s="117" t="s">
        <v>69</v>
      </c>
      <c r="I40" s="118" t="s">
        <v>70</v>
      </c>
    </row>
    <row r="41" spans="1:14">
      <c r="A41" s="51" t="s">
        <v>71</v>
      </c>
      <c r="B41" s="51"/>
      <c r="C41" s="51"/>
      <c r="D41" s="51"/>
      <c r="E41" s="51"/>
      <c r="F41" s="51"/>
      <c r="G41" s="34">
        <v>5231</v>
      </c>
      <c r="I41" s="119">
        <v>12926</v>
      </c>
    </row>
    <row r="42" spans="1:14">
      <c r="A42" s="51" t="s">
        <v>72</v>
      </c>
      <c r="B42" s="51"/>
      <c r="C42" s="51"/>
      <c r="D42" s="51"/>
      <c r="E42" s="51"/>
      <c r="F42" s="51"/>
      <c r="G42" s="120">
        <v>72</v>
      </c>
      <c r="I42" s="119"/>
    </row>
    <row r="43" spans="1:14">
      <c r="A43" s="51" t="s">
        <v>73</v>
      </c>
      <c r="B43" s="51"/>
      <c r="C43" s="51"/>
      <c r="D43" s="51"/>
      <c r="E43" s="51"/>
      <c r="F43" s="51"/>
      <c r="G43" s="120">
        <f>SUM(G41*G42)</f>
        <v>376632</v>
      </c>
      <c r="I43" s="119">
        <f>G43*2.471</f>
        <v>930657.67200000002</v>
      </c>
    </row>
    <row r="44" spans="1:14">
      <c r="A44" s="51" t="s">
        <v>74</v>
      </c>
      <c r="B44" s="51"/>
      <c r="C44" s="51"/>
      <c r="D44" s="51"/>
      <c r="E44" s="51"/>
      <c r="F44" s="51"/>
      <c r="G44" s="120">
        <f>SUM(G43-K21)</f>
        <v>177768</v>
      </c>
      <c r="I44" s="119">
        <f t="shared" ref="I44:I45" si="2">G44*2.471</f>
        <v>439264.728</v>
      </c>
    </row>
    <row r="45" spans="1:14">
      <c r="A45" s="51" t="s">
        <v>75</v>
      </c>
      <c r="B45" s="51"/>
      <c r="C45" s="51"/>
      <c r="D45" s="51"/>
      <c r="E45" s="51"/>
      <c r="F45" s="51"/>
      <c r="G45" s="120">
        <f>SUM(G43-K22)</f>
        <v>221577</v>
      </c>
      <c r="I45" s="119">
        <f t="shared" si="2"/>
        <v>547516.76699999999</v>
      </c>
    </row>
    <row r="46" spans="1:14">
      <c r="A46" s="51" t="s">
        <v>76</v>
      </c>
      <c r="B46" s="51"/>
      <c r="C46" s="51"/>
      <c r="D46" s="51"/>
      <c r="E46" s="51"/>
      <c r="F46" s="51"/>
      <c r="G46" s="120">
        <f>SUM(K21/G41)</f>
        <v>38.016440451156569</v>
      </c>
    </row>
    <row r="47" spans="1:14">
      <c r="A47" s="96" t="s">
        <v>77</v>
      </c>
      <c r="B47" s="96"/>
      <c r="C47" s="96"/>
      <c r="D47" s="96"/>
      <c r="E47" s="96"/>
      <c r="F47" s="96"/>
      <c r="G47" s="121">
        <f>SUM(K22/G41)</f>
        <v>29.641559931179508</v>
      </c>
    </row>
    <row r="49" spans="1:3">
      <c r="A49" s="54" t="s">
        <v>130</v>
      </c>
      <c r="C49" s="54" t="s">
        <v>79</v>
      </c>
    </row>
    <row r="51" spans="1:3">
      <c r="B51" s="227"/>
    </row>
  </sheetData>
  <mergeCells count="1">
    <mergeCell ref="Q7:R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50"/>
  <sheetViews>
    <sheetView workbookViewId="0">
      <selection sqref="A1:XFD1048576"/>
    </sheetView>
  </sheetViews>
  <sheetFormatPr defaultRowHeight="15"/>
  <cols>
    <col min="1" max="16384" width="9.140625" style="172"/>
  </cols>
  <sheetData>
    <row r="1" spans="1:18" ht="19.5">
      <c r="A1" s="38" t="s">
        <v>0</v>
      </c>
      <c r="B1" s="228" t="s">
        <v>309</v>
      </c>
      <c r="C1" s="228"/>
      <c r="D1" s="228"/>
      <c r="E1" s="228"/>
      <c r="F1" s="228"/>
      <c r="G1" s="38"/>
      <c r="H1" s="38"/>
      <c r="I1" s="38"/>
      <c r="J1" s="38"/>
      <c r="K1" s="38"/>
      <c r="L1" s="38"/>
      <c r="M1" s="38"/>
      <c r="N1" s="81"/>
      <c r="O1" s="38"/>
    </row>
    <row r="2" spans="1:18" ht="19.5">
      <c r="A2" s="228"/>
      <c r="B2" s="228" t="s">
        <v>310</v>
      </c>
      <c r="C2" s="228" t="s">
        <v>311</v>
      </c>
      <c r="D2" s="228" t="s">
        <v>312</v>
      </c>
      <c r="E2" s="228" t="s">
        <v>313</v>
      </c>
      <c r="F2" s="228"/>
      <c r="G2" s="228"/>
      <c r="H2" s="228" t="s">
        <v>314</v>
      </c>
      <c r="I2" s="228"/>
      <c r="J2" s="38"/>
      <c r="K2" s="38"/>
      <c r="L2" s="38"/>
      <c r="M2" s="38"/>
      <c r="N2" s="81"/>
      <c r="O2" s="38"/>
    </row>
    <row r="3" spans="1:18">
      <c r="A3" s="40" t="s">
        <v>4</v>
      </c>
      <c r="B3" s="40"/>
      <c r="C3" s="40"/>
      <c r="D3" s="41" t="s">
        <v>5</v>
      </c>
      <c r="E3" s="41" t="s">
        <v>6</v>
      </c>
      <c r="F3" s="41" t="s">
        <v>7</v>
      </c>
      <c r="G3" s="41" t="s">
        <v>8</v>
      </c>
      <c r="H3" s="41" t="s">
        <v>9</v>
      </c>
      <c r="I3" s="41" t="s">
        <v>10</v>
      </c>
      <c r="J3" s="41" t="s">
        <v>11</v>
      </c>
      <c r="K3" s="41" t="s">
        <v>12</v>
      </c>
      <c r="L3" s="42" t="s">
        <v>13</v>
      </c>
      <c r="M3" s="41"/>
      <c r="N3" s="81"/>
      <c r="O3" s="38"/>
    </row>
    <row r="4" spans="1:18">
      <c r="A4" s="39"/>
      <c r="B4" s="39"/>
      <c r="C4" s="39"/>
      <c r="D4" s="43" t="s">
        <v>14</v>
      </c>
      <c r="E4" s="43" t="s">
        <v>15</v>
      </c>
      <c r="F4" s="43" t="s">
        <v>15</v>
      </c>
      <c r="G4" s="43" t="s">
        <v>16</v>
      </c>
      <c r="H4" s="43" t="s">
        <v>17</v>
      </c>
      <c r="I4" s="43" t="s">
        <v>18</v>
      </c>
      <c r="J4" s="43" t="s">
        <v>17</v>
      </c>
      <c r="K4" s="43" t="s">
        <v>17</v>
      </c>
      <c r="L4" s="43" t="s">
        <v>10</v>
      </c>
      <c r="M4" s="43" t="s">
        <v>11</v>
      </c>
      <c r="N4" s="81"/>
      <c r="O4" s="38"/>
    </row>
    <row r="5" spans="1:18">
      <c r="A5" s="39"/>
      <c r="B5" s="39"/>
      <c r="C5" s="39"/>
      <c r="D5" s="43" t="s">
        <v>19</v>
      </c>
      <c r="E5" s="43"/>
      <c r="F5" s="43"/>
      <c r="G5" s="43"/>
      <c r="H5" s="43" t="s">
        <v>20</v>
      </c>
      <c r="I5" s="43" t="s">
        <v>17</v>
      </c>
      <c r="J5" s="43" t="s">
        <v>20</v>
      </c>
      <c r="K5" s="43" t="s">
        <v>20</v>
      </c>
      <c r="L5" s="43"/>
      <c r="M5" s="43"/>
      <c r="N5" s="81"/>
      <c r="O5" s="38"/>
    </row>
    <row r="6" spans="1:18">
      <c r="A6" s="44"/>
      <c r="B6" s="44"/>
      <c r="C6" s="44"/>
      <c r="D6" s="45"/>
      <c r="E6" s="45"/>
      <c r="F6" s="45"/>
      <c r="G6" s="45"/>
      <c r="H6" s="45"/>
      <c r="I6" s="45" t="s">
        <v>20</v>
      </c>
      <c r="J6" s="45"/>
      <c r="K6" s="45"/>
      <c r="L6" s="45"/>
      <c r="M6" s="45"/>
      <c r="N6" s="81"/>
      <c r="O6" s="38"/>
    </row>
    <row r="7" spans="1:18" s="174" customFormat="1">
      <c r="A7" s="229" t="s">
        <v>315</v>
      </c>
      <c r="B7" s="229"/>
      <c r="C7" s="229"/>
      <c r="D7" s="230">
        <v>40</v>
      </c>
      <c r="E7" s="230">
        <v>1.94</v>
      </c>
      <c r="F7" s="230">
        <v>1.1499999999999999</v>
      </c>
      <c r="G7" s="231">
        <v>973</v>
      </c>
      <c r="H7" s="231">
        <v>1888</v>
      </c>
      <c r="I7" s="230"/>
      <c r="J7" s="230"/>
      <c r="K7" s="231">
        <f>SUM(H7:J7)</f>
        <v>1888</v>
      </c>
      <c r="L7" s="230"/>
      <c r="M7" s="230"/>
      <c r="N7" s="81"/>
      <c r="O7" s="81"/>
    </row>
    <row r="8" spans="1:18" s="174" customFormat="1">
      <c r="A8" s="81" t="s">
        <v>22</v>
      </c>
      <c r="B8" s="81"/>
      <c r="C8" s="81"/>
      <c r="D8" s="46">
        <v>74</v>
      </c>
      <c r="E8" s="47">
        <v>0.65</v>
      </c>
      <c r="F8" s="47">
        <v>0.57999999999999996</v>
      </c>
      <c r="G8" s="232">
        <v>1200</v>
      </c>
      <c r="H8" s="231">
        <f t="shared" ref="H8:H15" si="0">E8*G8</f>
        <v>780</v>
      </c>
      <c r="I8" s="47">
        <v>6711</v>
      </c>
      <c r="J8" s="47"/>
      <c r="K8" s="47">
        <f t="shared" ref="K8:K19" si="1">SUM(H8:J8)</f>
        <v>7491</v>
      </c>
      <c r="L8" s="47">
        <v>104</v>
      </c>
      <c r="M8" s="47"/>
      <c r="N8" s="81"/>
      <c r="O8" s="81"/>
    </row>
    <row r="9" spans="1:18" s="174" customFormat="1">
      <c r="A9" s="81" t="s">
        <v>316</v>
      </c>
      <c r="B9" s="81"/>
      <c r="C9" s="81"/>
      <c r="D9" s="46" t="s">
        <v>40</v>
      </c>
      <c r="E9" s="47" t="s">
        <v>317</v>
      </c>
      <c r="F9" s="47" t="s">
        <v>317</v>
      </c>
      <c r="G9" s="232"/>
      <c r="H9" s="231"/>
      <c r="I9" s="47" t="s">
        <v>318</v>
      </c>
      <c r="J9" s="47"/>
      <c r="K9" s="47">
        <f t="shared" si="1"/>
        <v>0</v>
      </c>
      <c r="L9" s="47"/>
      <c r="M9" s="47"/>
      <c r="N9" s="81"/>
      <c r="O9" s="81"/>
    </row>
    <row r="10" spans="1:18" s="174" customFormat="1">
      <c r="A10" s="34" t="s">
        <v>319</v>
      </c>
      <c r="B10" s="34"/>
      <c r="C10" s="34"/>
      <c r="D10" s="46">
        <v>100</v>
      </c>
      <c r="E10" s="47">
        <v>6.34</v>
      </c>
      <c r="F10" s="47">
        <v>2.35</v>
      </c>
      <c r="G10" s="232">
        <v>963</v>
      </c>
      <c r="H10" s="231">
        <v>6105</v>
      </c>
      <c r="I10" s="47"/>
      <c r="J10" s="47"/>
      <c r="K10" s="47">
        <f t="shared" si="1"/>
        <v>6105</v>
      </c>
      <c r="L10" s="47"/>
      <c r="M10" s="47"/>
      <c r="N10" s="81"/>
      <c r="O10" s="81"/>
      <c r="Q10" s="233"/>
      <c r="R10" s="234"/>
    </row>
    <row r="11" spans="1:18" s="174" customFormat="1">
      <c r="A11" s="81" t="s">
        <v>320</v>
      </c>
      <c r="B11" s="81"/>
      <c r="C11" s="81"/>
      <c r="D11" s="46">
        <v>100</v>
      </c>
      <c r="E11" s="47">
        <v>6.85</v>
      </c>
      <c r="F11" s="47">
        <v>2.1</v>
      </c>
      <c r="G11" s="232">
        <v>976</v>
      </c>
      <c r="H11" s="231">
        <v>6686</v>
      </c>
      <c r="I11" s="47"/>
      <c r="J11" s="47">
        <f>E26*G26</f>
        <v>2706</v>
      </c>
      <c r="K11" s="47">
        <f t="shared" si="1"/>
        <v>9392</v>
      </c>
      <c r="L11" s="47"/>
      <c r="M11" s="47">
        <v>147</v>
      </c>
      <c r="N11" s="81"/>
      <c r="O11" s="81"/>
      <c r="Q11" s="233"/>
      <c r="R11" s="234"/>
    </row>
    <row r="12" spans="1:18" s="174" customFormat="1">
      <c r="A12" s="81" t="s">
        <v>321</v>
      </c>
      <c r="B12" s="81"/>
      <c r="C12" s="81"/>
      <c r="D12" s="46">
        <v>100</v>
      </c>
      <c r="E12" s="47">
        <v>0.72</v>
      </c>
      <c r="F12" s="47">
        <v>0.66</v>
      </c>
      <c r="G12" s="232">
        <v>1120</v>
      </c>
      <c r="H12" s="231">
        <v>806</v>
      </c>
      <c r="I12" s="47"/>
      <c r="J12" s="47">
        <f>+E32*G32</f>
        <v>1050</v>
      </c>
      <c r="K12" s="47">
        <f t="shared" si="1"/>
        <v>1856</v>
      </c>
      <c r="L12" s="47"/>
      <c r="M12" s="47"/>
      <c r="N12" s="81"/>
      <c r="O12" s="81"/>
      <c r="Q12" s="233"/>
      <c r="R12" s="234"/>
    </row>
    <row r="13" spans="1:18" s="174" customFormat="1">
      <c r="A13" s="81" t="s">
        <v>202</v>
      </c>
      <c r="B13" s="81"/>
      <c r="C13" s="81"/>
      <c r="D13" s="46">
        <v>48</v>
      </c>
      <c r="E13" s="47">
        <v>0.51</v>
      </c>
      <c r="F13" s="47">
        <v>0.48</v>
      </c>
      <c r="G13" s="232">
        <v>1200</v>
      </c>
      <c r="H13" s="231">
        <f t="shared" si="0"/>
        <v>612</v>
      </c>
      <c r="I13" s="47"/>
      <c r="J13" s="47">
        <v>2176</v>
      </c>
      <c r="K13" s="47">
        <f t="shared" si="1"/>
        <v>2788</v>
      </c>
      <c r="L13" s="47"/>
      <c r="M13" s="47"/>
      <c r="N13" s="81"/>
      <c r="O13" s="81"/>
      <c r="Q13" s="233"/>
      <c r="R13" s="234"/>
    </row>
    <row r="14" spans="1:18" s="174" customFormat="1">
      <c r="A14" s="81" t="s">
        <v>322</v>
      </c>
      <c r="B14" s="81"/>
      <c r="C14" s="81"/>
      <c r="D14" s="235">
        <v>60</v>
      </c>
      <c r="E14" s="47">
        <v>7.85</v>
      </c>
      <c r="F14" s="47">
        <v>2.37</v>
      </c>
      <c r="G14" s="232">
        <v>1000</v>
      </c>
      <c r="H14" s="231">
        <f t="shared" si="0"/>
        <v>7850</v>
      </c>
      <c r="I14" s="47"/>
      <c r="J14" s="47"/>
      <c r="K14" s="47">
        <f t="shared" si="1"/>
        <v>7850</v>
      </c>
      <c r="L14" s="47"/>
      <c r="M14" s="47"/>
      <c r="N14" s="81"/>
      <c r="O14" s="81"/>
      <c r="Q14" s="233"/>
      <c r="R14" s="234"/>
    </row>
    <row r="15" spans="1:18" s="174" customFormat="1">
      <c r="A15" s="81" t="s">
        <v>323</v>
      </c>
      <c r="B15" s="81"/>
      <c r="C15" s="81"/>
      <c r="D15" s="46">
        <v>94</v>
      </c>
      <c r="E15" s="47">
        <v>0.83</v>
      </c>
      <c r="F15" s="47">
        <v>0.56000000000000005</v>
      </c>
      <c r="G15" s="232">
        <v>1200</v>
      </c>
      <c r="H15" s="231">
        <f t="shared" si="0"/>
        <v>996</v>
      </c>
      <c r="I15" s="47"/>
      <c r="J15" s="47">
        <v>2569</v>
      </c>
      <c r="K15" s="47">
        <f t="shared" si="1"/>
        <v>3565</v>
      </c>
      <c r="L15" s="47"/>
      <c r="M15" s="47"/>
      <c r="N15" s="81"/>
      <c r="O15" s="81"/>
      <c r="Q15" s="233"/>
      <c r="R15" s="234"/>
    </row>
    <row r="16" spans="1:18" s="174" customFormat="1">
      <c r="A16" s="81" t="s">
        <v>324</v>
      </c>
      <c r="B16" s="81"/>
      <c r="C16" s="81"/>
      <c r="D16" s="46">
        <v>100</v>
      </c>
      <c r="E16" s="47">
        <v>3.03</v>
      </c>
      <c r="F16" s="47">
        <v>3.03</v>
      </c>
      <c r="G16" s="232">
        <v>950</v>
      </c>
      <c r="H16" s="231">
        <v>2879</v>
      </c>
      <c r="I16" s="47"/>
      <c r="J16" s="47"/>
      <c r="K16" s="47">
        <f t="shared" si="1"/>
        <v>2879</v>
      </c>
      <c r="L16" s="47"/>
      <c r="M16" s="47"/>
      <c r="N16" s="81"/>
      <c r="O16" s="81"/>
      <c r="Q16" s="233"/>
      <c r="R16" s="234"/>
    </row>
    <row r="17" spans="1:18" s="174" customFormat="1">
      <c r="A17" s="81" t="s">
        <v>325</v>
      </c>
      <c r="B17" s="81"/>
      <c r="C17" s="81"/>
      <c r="D17" s="46">
        <v>100</v>
      </c>
      <c r="E17" s="47">
        <v>8.61</v>
      </c>
      <c r="F17" s="47">
        <v>1.95</v>
      </c>
      <c r="G17" s="232">
        <v>950</v>
      </c>
      <c r="H17" s="231">
        <v>8180</v>
      </c>
      <c r="I17" s="47"/>
      <c r="J17" s="47"/>
      <c r="K17" s="47">
        <f t="shared" si="1"/>
        <v>8180</v>
      </c>
      <c r="L17" s="47"/>
      <c r="M17" s="47"/>
      <c r="N17" s="81"/>
      <c r="O17" s="81"/>
      <c r="Q17" s="233"/>
      <c r="R17" s="234"/>
    </row>
    <row r="18" spans="1:18" s="174" customFormat="1">
      <c r="A18" s="81" t="s">
        <v>326</v>
      </c>
      <c r="B18" s="81"/>
      <c r="C18" s="81"/>
      <c r="D18" s="235">
        <v>100</v>
      </c>
      <c r="E18" s="47">
        <v>3.09</v>
      </c>
      <c r="F18" s="47">
        <v>1.45</v>
      </c>
      <c r="G18" s="232">
        <v>1057</v>
      </c>
      <c r="H18" s="231">
        <v>3266</v>
      </c>
      <c r="I18" s="47">
        <v>2274</v>
      </c>
      <c r="J18" s="47"/>
      <c r="K18" s="47">
        <f t="shared" si="1"/>
        <v>5540</v>
      </c>
      <c r="L18" s="47"/>
      <c r="M18" s="47"/>
      <c r="N18" s="81"/>
      <c r="O18" s="81"/>
      <c r="Q18" s="233"/>
      <c r="R18" s="234"/>
    </row>
    <row r="19" spans="1:18" s="174" customFormat="1">
      <c r="A19" s="81" t="s">
        <v>204</v>
      </c>
      <c r="B19" s="81"/>
      <c r="C19" s="81"/>
      <c r="D19" s="46">
        <v>80</v>
      </c>
      <c r="E19" s="47">
        <v>0.38</v>
      </c>
      <c r="F19" s="47">
        <v>0.38</v>
      </c>
      <c r="G19" s="232">
        <v>925</v>
      </c>
      <c r="H19" s="231">
        <v>352</v>
      </c>
      <c r="I19" s="47">
        <v>591</v>
      </c>
      <c r="J19" s="47"/>
      <c r="K19" s="47">
        <f t="shared" si="1"/>
        <v>943</v>
      </c>
      <c r="L19" s="47">
        <v>338</v>
      </c>
      <c r="M19" s="47"/>
      <c r="N19" s="81"/>
      <c r="O19" s="81"/>
      <c r="Q19" s="233"/>
      <c r="R19" s="234"/>
    </row>
    <row r="20" spans="1:18">
      <c r="A20" s="40" t="s">
        <v>137</v>
      </c>
      <c r="B20" s="40"/>
      <c r="C20" s="40"/>
      <c r="D20" s="60"/>
      <c r="E20" s="61">
        <f>SUM(E7:E19)</f>
        <v>40.800000000000004</v>
      </c>
      <c r="F20" s="61">
        <f>SUM(F7:F19)</f>
        <v>17.059999999999999</v>
      </c>
      <c r="G20" s="61"/>
      <c r="H20" s="61">
        <f>SUM(H7:H19)</f>
        <v>40400</v>
      </c>
      <c r="I20" s="61">
        <f>SUM(I7:I19)</f>
        <v>9576</v>
      </c>
      <c r="J20" s="61">
        <f>SUM(J7:J19)</f>
        <v>8501</v>
      </c>
      <c r="K20" s="61">
        <f>SUM(H20:J20)</f>
        <v>58477</v>
      </c>
      <c r="L20" s="61">
        <f>SUM(L7:L19)</f>
        <v>442</v>
      </c>
      <c r="M20" s="61">
        <f>SUM(M7:M19)</f>
        <v>147</v>
      </c>
      <c r="N20" s="81"/>
      <c r="O20" s="81"/>
      <c r="P20" s="174"/>
      <c r="Q20" s="174"/>
      <c r="R20" s="174"/>
    </row>
    <row r="21" spans="1:18">
      <c r="A21" s="44" t="s">
        <v>138</v>
      </c>
      <c r="B21" s="44"/>
      <c r="C21" s="44"/>
      <c r="D21" s="63"/>
      <c r="E21" s="64">
        <f>SUM(E20-F20)</f>
        <v>23.740000000000006</v>
      </c>
      <c r="F21" s="64"/>
      <c r="G21" s="64"/>
      <c r="H21" s="64">
        <f>SUM(E28*G28)</f>
        <v>23640</v>
      </c>
      <c r="I21" s="64">
        <f>I20-L20</f>
        <v>9134</v>
      </c>
      <c r="J21" s="64">
        <f>J20-M20</f>
        <v>8354</v>
      </c>
      <c r="K21" s="64">
        <f>SUM(H21:J21)</f>
        <v>41128</v>
      </c>
      <c r="L21" s="44"/>
      <c r="M21" s="44"/>
      <c r="N21" s="81"/>
      <c r="O21" s="38"/>
    </row>
    <row r="22" spans="1:18">
      <c r="A22" s="38"/>
      <c r="B22" s="38"/>
      <c r="C22" s="38" t="s">
        <v>44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81"/>
      <c r="O22" s="38"/>
    </row>
    <row r="23" spans="1:18">
      <c r="A23" s="38" t="s">
        <v>45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81"/>
      <c r="O23" s="38"/>
    </row>
    <row r="24" spans="1:18">
      <c r="A24" s="66" t="s">
        <v>46</v>
      </c>
      <c r="B24" s="66"/>
      <c r="C24" s="66"/>
      <c r="D24" s="66" t="s">
        <v>47</v>
      </c>
      <c r="E24" s="66" t="s">
        <v>48</v>
      </c>
      <c r="F24" s="66"/>
      <c r="G24" s="66" t="s">
        <v>49</v>
      </c>
      <c r="H24" s="38"/>
      <c r="I24" s="38"/>
      <c r="J24" s="38"/>
      <c r="K24" s="38"/>
      <c r="L24" s="38"/>
      <c r="M24" s="38"/>
      <c r="N24" s="81"/>
      <c r="O24" s="38"/>
    </row>
    <row r="25" spans="1:18">
      <c r="A25" s="38" t="s">
        <v>52</v>
      </c>
      <c r="B25" s="38"/>
      <c r="C25" s="38"/>
      <c r="D25" s="38"/>
      <c r="E25" s="38"/>
      <c r="F25" s="38"/>
      <c r="G25" s="38"/>
      <c r="H25" s="38"/>
      <c r="I25" s="38"/>
      <c r="J25" s="182" t="s">
        <v>60</v>
      </c>
      <c r="K25" s="236">
        <v>1.4</v>
      </c>
      <c r="L25" s="38"/>
      <c r="M25" s="38"/>
      <c r="N25" s="81"/>
      <c r="O25" s="38"/>
    </row>
    <row r="26" spans="1:18">
      <c r="A26" s="38" t="s">
        <v>286</v>
      </c>
      <c r="B26" s="38"/>
      <c r="C26" s="38"/>
      <c r="D26" s="38" t="s">
        <v>55</v>
      </c>
      <c r="E26" s="47">
        <v>22</v>
      </c>
      <c r="F26" s="53"/>
      <c r="G26" s="53">
        <v>123</v>
      </c>
      <c r="H26" s="38"/>
      <c r="I26" s="38"/>
      <c r="J26" s="182" t="s">
        <v>62</v>
      </c>
      <c r="K26" s="236">
        <v>1</v>
      </c>
      <c r="L26" s="38"/>
      <c r="M26" s="38"/>
      <c r="N26" s="81"/>
      <c r="O26" s="38"/>
    </row>
    <row r="27" spans="1:18">
      <c r="A27" s="38" t="s">
        <v>57</v>
      </c>
      <c r="B27" s="38"/>
      <c r="C27" s="38"/>
      <c r="D27" s="38"/>
      <c r="E27" s="53"/>
      <c r="F27" s="53"/>
      <c r="G27" s="53"/>
      <c r="H27" s="38"/>
      <c r="I27" s="38"/>
      <c r="J27" s="179"/>
      <c r="K27" s="38"/>
      <c r="L27" s="38"/>
      <c r="M27" s="38"/>
      <c r="N27" s="81"/>
      <c r="O27" s="38"/>
    </row>
    <row r="28" spans="1:18">
      <c r="A28" s="38" t="s">
        <v>58</v>
      </c>
      <c r="B28" s="38"/>
      <c r="C28" s="38"/>
      <c r="D28" s="38" t="s">
        <v>59</v>
      </c>
      <c r="E28" s="53">
        <v>24</v>
      </c>
      <c r="F28" s="53"/>
      <c r="G28" s="53">
        <v>985</v>
      </c>
      <c r="H28" s="38"/>
      <c r="I28" s="179"/>
      <c r="J28" s="222" t="s">
        <v>50</v>
      </c>
      <c r="K28" s="28" t="s">
        <v>165</v>
      </c>
      <c r="L28" s="38"/>
      <c r="M28" s="38"/>
      <c r="N28" s="81"/>
      <c r="O28" s="38"/>
    </row>
    <row r="29" spans="1:18">
      <c r="A29" s="38" t="s">
        <v>61</v>
      </c>
      <c r="B29" s="38"/>
      <c r="C29" s="38"/>
      <c r="D29" s="38" t="s">
        <v>59</v>
      </c>
      <c r="E29" s="53">
        <v>17</v>
      </c>
      <c r="F29" s="53"/>
      <c r="G29" s="53"/>
      <c r="H29" s="38"/>
      <c r="I29" s="179"/>
      <c r="J29" s="222" t="s">
        <v>327</v>
      </c>
      <c r="K29" s="28">
        <v>30</v>
      </c>
      <c r="L29" s="38"/>
      <c r="M29" s="38"/>
      <c r="N29" s="81"/>
      <c r="O29" s="38"/>
    </row>
    <row r="30" spans="1:18">
      <c r="A30" s="38" t="s">
        <v>6</v>
      </c>
      <c r="B30" s="38"/>
      <c r="C30" s="38"/>
      <c r="D30" s="38" t="s">
        <v>59</v>
      </c>
      <c r="E30" s="53">
        <f>SUM(E28:E29)</f>
        <v>41</v>
      </c>
      <c r="F30" s="38"/>
      <c r="G30" s="38"/>
      <c r="H30" s="38"/>
      <c r="I30" s="179"/>
      <c r="J30" s="182" t="s">
        <v>328</v>
      </c>
      <c r="K30" s="182">
        <v>70</v>
      </c>
      <c r="L30" s="38"/>
      <c r="M30" s="38"/>
      <c r="N30" s="81"/>
      <c r="O30" s="38"/>
    </row>
    <row r="31" spans="1:18">
      <c r="A31" s="40" t="s">
        <v>329</v>
      </c>
      <c r="B31" s="40"/>
      <c r="C31" s="40" t="s">
        <v>64</v>
      </c>
      <c r="D31" s="40"/>
      <c r="E31" s="40"/>
      <c r="F31" s="40"/>
      <c r="G31" s="40"/>
      <c r="H31" s="38"/>
      <c r="I31" s="179"/>
      <c r="L31" s="38"/>
      <c r="M31" s="38"/>
      <c r="N31" s="81"/>
      <c r="O31" s="38"/>
    </row>
    <row r="32" spans="1:18">
      <c r="A32" s="39"/>
      <c r="B32" s="39" t="s">
        <v>127</v>
      </c>
      <c r="C32" s="237">
        <v>77</v>
      </c>
      <c r="D32" s="39" t="s">
        <v>55</v>
      </c>
      <c r="E32" s="238">
        <v>21</v>
      </c>
      <c r="F32" s="79"/>
      <c r="G32" s="79">
        <v>50</v>
      </c>
      <c r="H32" s="38"/>
      <c r="I32" s="179"/>
      <c r="L32" s="38"/>
      <c r="M32" s="38"/>
      <c r="N32" s="81"/>
      <c r="O32" s="38"/>
    </row>
    <row r="33" spans="1:15">
      <c r="A33" s="39"/>
      <c r="B33" s="39" t="s">
        <v>126</v>
      </c>
      <c r="C33" s="239" t="s">
        <v>330</v>
      </c>
      <c r="D33" s="39" t="s">
        <v>55</v>
      </c>
      <c r="E33" s="240">
        <v>-20</v>
      </c>
      <c r="F33" s="79"/>
      <c r="G33" s="79" t="s">
        <v>331</v>
      </c>
      <c r="H33" s="38"/>
      <c r="I33" s="179"/>
      <c r="L33" s="38"/>
      <c r="M33" s="38"/>
      <c r="N33" s="81"/>
      <c r="O33" s="38"/>
    </row>
    <row r="34" spans="1:15">
      <c r="A34" s="39"/>
      <c r="B34" s="39" t="s">
        <v>255</v>
      </c>
      <c r="C34" s="239" t="s">
        <v>330</v>
      </c>
      <c r="D34" s="39" t="s">
        <v>55</v>
      </c>
      <c r="E34" s="240">
        <v>-20</v>
      </c>
      <c r="F34" s="79"/>
      <c r="G34" s="79" t="s">
        <v>331</v>
      </c>
      <c r="H34" s="38"/>
      <c r="I34" s="179"/>
      <c r="L34" s="38"/>
      <c r="M34" s="38"/>
      <c r="N34" s="81"/>
      <c r="O34" s="38"/>
    </row>
    <row r="35" spans="1:15">
      <c r="A35" s="39"/>
      <c r="B35" s="39" t="s">
        <v>332</v>
      </c>
      <c r="C35" s="239" t="s">
        <v>86</v>
      </c>
      <c r="D35" s="39"/>
      <c r="E35" s="79" t="s">
        <v>333</v>
      </c>
      <c r="F35" s="79"/>
      <c r="G35" s="80"/>
      <c r="H35" s="38"/>
      <c r="I35" s="179"/>
      <c r="J35" s="241"/>
      <c r="K35" s="38"/>
      <c r="L35" s="38"/>
      <c r="M35" s="38"/>
      <c r="N35" s="81"/>
      <c r="O35" s="38"/>
    </row>
    <row r="36" spans="1:15">
      <c r="A36" s="39"/>
      <c r="B36" s="39"/>
      <c r="C36" s="237"/>
      <c r="D36" s="39"/>
      <c r="E36" s="79"/>
      <c r="F36" s="79"/>
      <c r="G36" s="79"/>
      <c r="H36" s="38"/>
      <c r="I36" s="179"/>
      <c r="J36" s="179"/>
      <c r="K36" s="38"/>
      <c r="L36" s="38"/>
      <c r="M36" s="38"/>
      <c r="N36" s="81"/>
      <c r="O36" s="38"/>
    </row>
    <row r="37" spans="1:15">
      <c r="A37" s="66" t="s">
        <v>68</v>
      </c>
      <c r="B37" s="66"/>
      <c r="C37" s="66"/>
      <c r="D37" s="66"/>
      <c r="E37" s="66"/>
      <c r="F37" s="66"/>
      <c r="G37" s="242" t="s">
        <v>334</v>
      </c>
      <c r="H37" s="243"/>
      <c r="I37" s="244" t="s">
        <v>335</v>
      </c>
      <c r="J37" s="53"/>
      <c r="K37" s="38"/>
      <c r="L37" s="38"/>
      <c r="M37" s="38"/>
      <c r="N37" s="81"/>
      <c r="O37" s="38"/>
    </row>
    <row r="38" spans="1:15">
      <c r="A38" s="39"/>
      <c r="B38" s="39"/>
      <c r="C38" s="39"/>
      <c r="D38" s="39"/>
      <c r="E38" s="39"/>
      <c r="F38" s="39"/>
      <c r="G38" s="39"/>
      <c r="H38" s="38"/>
      <c r="I38" s="38"/>
      <c r="J38" s="53"/>
      <c r="K38" s="38"/>
      <c r="L38" s="38"/>
      <c r="M38" s="38"/>
      <c r="N38" s="81"/>
      <c r="O38" s="38"/>
    </row>
    <row r="39" spans="1:15">
      <c r="A39" s="39" t="s">
        <v>141</v>
      </c>
      <c r="B39" s="39"/>
      <c r="C39" s="39"/>
      <c r="D39" s="39"/>
      <c r="E39" s="39"/>
      <c r="F39" s="39"/>
      <c r="G39" s="158">
        <v>871</v>
      </c>
      <c r="H39" s="1" t="s">
        <v>142</v>
      </c>
      <c r="I39" s="159">
        <f>G39*2.471</f>
        <v>2152.241</v>
      </c>
      <c r="J39" s="38"/>
      <c r="K39" s="38"/>
      <c r="L39" s="38"/>
      <c r="M39" s="38"/>
      <c r="N39" s="81"/>
      <c r="O39" s="38"/>
    </row>
    <row r="40" spans="1:15">
      <c r="A40" s="39" t="s">
        <v>72</v>
      </c>
      <c r="B40" s="39"/>
      <c r="C40" s="39"/>
      <c r="D40" s="39"/>
      <c r="E40" s="39"/>
      <c r="F40" s="39"/>
      <c r="G40" s="89">
        <v>98</v>
      </c>
      <c r="H40" s="38"/>
      <c r="I40" s="159"/>
      <c r="J40" s="38"/>
      <c r="K40" s="38"/>
      <c r="L40" s="38"/>
      <c r="M40" s="38"/>
      <c r="N40" s="81"/>
      <c r="O40" s="38"/>
    </row>
    <row r="41" spans="1:15">
      <c r="A41" s="39" t="s">
        <v>143</v>
      </c>
      <c r="B41" s="39"/>
      <c r="C41" s="39"/>
      <c r="D41" s="39"/>
      <c r="E41" s="39"/>
      <c r="F41" s="39"/>
      <c r="G41" s="79">
        <f>G39*G40</f>
        <v>85358</v>
      </c>
      <c r="H41" s="53"/>
      <c r="I41" s="159">
        <f>G41*2.471</f>
        <v>210919.61800000002</v>
      </c>
      <c r="J41" s="38"/>
      <c r="K41" s="38"/>
      <c r="L41" s="38"/>
      <c r="M41" s="38"/>
      <c r="N41" s="81"/>
      <c r="O41" s="38"/>
    </row>
    <row r="42" spans="1:15">
      <c r="A42" s="39" t="s">
        <v>144</v>
      </c>
      <c r="B42" s="39"/>
      <c r="C42" s="39"/>
      <c r="D42" s="39"/>
      <c r="E42" s="39"/>
      <c r="F42" s="39"/>
      <c r="G42" s="79">
        <f>G41-K20</f>
        <v>26881</v>
      </c>
      <c r="H42" s="53"/>
      <c r="I42" s="159">
        <f>G42*2.471</f>
        <v>66422.951000000001</v>
      </c>
      <c r="J42" s="38"/>
      <c r="K42" s="38"/>
      <c r="L42" s="38"/>
      <c r="M42" s="38"/>
      <c r="N42" s="81"/>
      <c r="O42" s="38"/>
    </row>
    <row r="43" spans="1:15">
      <c r="A43" s="39" t="s">
        <v>145</v>
      </c>
      <c r="B43" s="39"/>
      <c r="C43" s="39"/>
      <c r="D43" s="39"/>
      <c r="E43" s="39"/>
      <c r="F43" s="39"/>
      <c r="G43" s="79">
        <f>G41-K21</f>
        <v>44230</v>
      </c>
      <c r="H43" s="53"/>
      <c r="I43" s="159">
        <f>G43*2.471</f>
        <v>109292.33</v>
      </c>
      <c r="J43" s="38"/>
      <c r="K43" s="38"/>
      <c r="L43" s="38"/>
      <c r="M43" s="38"/>
      <c r="N43" s="81"/>
      <c r="O43" s="38"/>
    </row>
    <row r="44" spans="1:15">
      <c r="A44" s="39" t="s">
        <v>146</v>
      </c>
      <c r="B44" s="39"/>
      <c r="C44" s="39"/>
      <c r="D44" s="39"/>
      <c r="E44" s="39"/>
      <c r="F44" s="39"/>
      <c r="G44" s="89">
        <f>K20/G39</f>
        <v>67.137772675086111</v>
      </c>
      <c r="H44" s="38"/>
      <c r="I44" s="38"/>
      <c r="J44" s="38"/>
      <c r="K44" s="38"/>
      <c r="L44" s="38"/>
      <c r="M44" s="38"/>
      <c r="N44" s="81"/>
      <c r="O44" s="38"/>
    </row>
    <row r="45" spans="1:15">
      <c r="A45" s="44" t="s">
        <v>147</v>
      </c>
      <c r="B45" s="44"/>
      <c r="C45" s="44"/>
      <c r="D45" s="44"/>
      <c r="E45" s="44"/>
      <c r="F45" s="44"/>
      <c r="G45" s="90">
        <f>K21/G39</f>
        <v>47.219288174512052</v>
      </c>
      <c r="H45" s="38"/>
      <c r="I45" s="38"/>
      <c r="J45" s="38"/>
      <c r="K45" s="38"/>
      <c r="L45" s="38"/>
      <c r="M45" s="38"/>
      <c r="N45" s="81"/>
      <c r="O45" s="38"/>
    </row>
    <row r="46" spans="1:1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81"/>
      <c r="O46" s="38"/>
    </row>
    <row r="47" spans="1:15" ht="16.5">
      <c r="A47" s="245" t="s">
        <v>175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81"/>
      <c r="O47" s="38"/>
    </row>
    <row r="48" spans="1:15">
      <c r="A48" s="38" t="s">
        <v>336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81"/>
      <c r="O48" s="38"/>
    </row>
    <row r="49" spans="1:1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81"/>
      <c r="O49" s="38"/>
    </row>
    <row r="50" spans="1:1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81"/>
      <c r="O50" s="3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57"/>
  <sheetViews>
    <sheetView workbookViewId="0">
      <selection sqref="A1:XFD1048576"/>
    </sheetView>
  </sheetViews>
  <sheetFormatPr defaultRowHeight="14.25"/>
  <cols>
    <col min="1" max="2" width="9.140625" style="54"/>
    <col min="3" max="3" width="3.5703125" style="54" customWidth="1"/>
    <col min="4" max="4" width="5.28515625" style="54" customWidth="1"/>
    <col min="5" max="5" width="6.140625" style="54" customWidth="1"/>
    <col min="6" max="6" width="6.28515625" style="54" customWidth="1"/>
    <col min="7" max="7" width="9.7109375" style="54" customWidth="1"/>
    <col min="8" max="8" width="8.85546875" style="54" customWidth="1"/>
    <col min="9" max="9" width="9.5703125" style="54" customWidth="1"/>
    <col min="10" max="10" width="9.28515625" style="54" customWidth="1"/>
    <col min="11" max="11" width="9.140625" style="54" customWidth="1"/>
    <col min="12" max="13" width="7.5703125" style="54" customWidth="1"/>
    <col min="14" max="16384" width="9.140625" style="54"/>
  </cols>
  <sheetData>
    <row r="1" spans="1:18">
      <c r="A1" s="54" t="s">
        <v>0</v>
      </c>
      <c r="B1" s="54" t="s">
        <v>337</v>
      </c>
    </row>
    <row r="2" spans="1:18">
      <c r="B2" s="54" t="s">
        <v>338</v>
      </c>
    </row>
    <row r="3" spans="1:18">
      <c r="B3" s="54" t="s">
        <v>339</v>
      </c>
    </row>
    <row r="4" spans="1:18">
      <c r="A4" s="92" t="s">
        <v>4</v>
      </c>
      <c r="B4" s="92"/>
      <c r="C4" s="92"/>
      <c r="D4" s="93" t="s">
        <v>5</v>
      </c>
      <c r="E4" s="93" t="s">
        <v>6</v>
      </c>
      <c r="F4" s="93" t="s">
        <v>7</v>
      </c>
      <c r="G4" s="93" t="s">
        <v>8</v>
      </c>
      <c r="H4" s="93" t="s">
        <v>9</v>
      </c>
      <c r="I4" s="93" t="s">
        <v>10</v>
      </c>
      <c r="J4" s="93" t="s">
        <v>11</v>
      </c>
      <c r="K4" s="93" t="s">
        <v>12</v>
      </c>
      <c r="L4" s="94" t="s">
        <v>13</v>
      </c>
      <c r="M4" s="93"/>
    </row>
    <row r="5" spans="1:18">
      <c r="A5" s="51"/>
      <c r="B5" s="51"/>
      <c r="C5" s="51"/>
      <c r="D5" s="52" t="s">
        <v>14</v>
      </c>
      <c r="E5" s="52" t="s">
        <v>15</v>
      </c>
      <c r="F5" s="52" t="s">
        <v>15</v>
      </c>
      <c r="G5" s="52" t="s">
        <v>16</v>
      </c>
      <c r="H5" s="52" t="s">
        <v>17</v>
      </c>
      <c r="I5" s="52" t="s">
        <v>18</v>
      </c>
      <c r="J5" s="52" t="s">
        <v>17</v>
      </c>
      <c r="K5" s="52" t="s">
        <v>17</v>
      </c>
      <c r="L5" s="95" t="s">
        <v>10</v>
      </c>
      <c r="M5" s="52" t="s">
        <v>11</v>
      </c>
    </row>
    <row r="6" spans="1:18">
      <c r="A6" s="51"/>
      <c r="B6" s="51"/>
      <c r="C6" s="51"/>
      <c r="D6" s="52" t="s">
        <v>19</v>
      </c>
      <c r="E6" s="52"/>
      <c r="F6" s="52"/>
      <c r="G6" s="52"/>
      <c r="H6" s="52" t="s">
        <v>20</v>
      </c>
      <c r="I6" s="52" t="s">
        <v>17</v>
      </c>
      <c r="J6" s="52" t="s">
        <v>20</v>
      </c>
      <c r="K6" s="52" t="s">
        <v>20</v>
      </c>
      <c r="L6" s="52"/>
      <c r="M6" s="52"/>
    </row>
    <row r="7" spans="1:18">
      <c r="A7" s="96"/>
      <c r="B7" s="96"/>
      <c r="C7" s="96"/>
      <c r="D7" s="97"/>
      <c r="E7" s="97"/>
      <c r="F7" s="97"/>
      <c r="G7" s="97"/>
      <c r="H7" s="97"/>
      <c r="I7" s="97" t="s">
        <v>20</v>
      </c>
      <c r="J7" s="97"/>
      <c r="K7" s="97"/>
      <c r="L7" s="97"/>
      <c r="M7" s="97"/>
    </row>
    <row r="8" spans="1:18">
      <c r="A8" s="54" t="s">
        <v>21</v>
      </c>
      <c r="D8" s="98">
        <v>58</v>
      </c>
      <c r="E8" s="14">
        <v>9.15</v>
      </c>
      <c r="F8" s="99">
        <v>3.38</v>
      </c>
      <c r="G8" s="100">
        <v>1064.5</v>
      </c>
      <c r="H8" s="99">
        <v>9740</v>
      </c>
      <c r="J8" s="99"/>
      <c r="K8" s="99">
        <f t="shared" ref="K8:K17" si="0">SUM(H8:J8)</f>
        <v>9740</v>
      </c>
      <c r="N8" s="1"/>
      <c r="O8" s="1"/>
      <c r="P8" s="1"/>
      <c r="Q8" s="14"/>
      <c r="R8" s="14"/>
    </row>
    <row r="9" spans="1:18">
      <c r="A9" s="54" t="s">
        <v>340</v>
      </c>
      <c r="D9" s="98" t="s">
        <v>341</v>
      </c>
      <c r="E9" s="99" t="s">
        <v>342</v>
      </c>
      <c r="F9" s="99" t="s">
        <v>343</v>
      </c>
      <c r="G9" s="100" t="s">
        <v>344</v>
      </c>
      <c r="H9" s="99" t="s">
        <v>345</v>
      </c>
      <c r="J9" s="99"/>
      <c r="K9" s="99">
        <f t="shared" si="0"/>
        <v>0</v>
      </c>
      <c r="N9" s="1"/>
      <c r="O9" s="1"/>
      <c r="P9" s="1"/>
      <c r="Q9" s="14"/>
      <c r="R9" s="14"/>
    </row>
    <row r="10" spans="1:18">
      <c r="A10" s="54" t="s">
        <v>346</v>
      </c>
      <c r="D10" s="98">
        <v>88</v>
      </c>
      <c r="E10" s="99">
        <v>0.5</v>
      </c>
      <c r="F10" s="99">
        <v>0.5</v>
      </c>
      <c r="G10" s="100">
        <v>1000</v>
      </c>
      <c r="H10" s="99">
        <f t="shared" ref="H10:H16" si="1">SUM(E10*G10)</f>
        <v>500</v>
      </c>
      <c r="I10" s="99">
        <v>8052</v>
      </c>
      <c r="J10" s="99"/>
      <c r="K10" s="99">
        <f t="shared" si="0"/>
        <v>8552</v>
      </c>
      <c r="L10" s="99">
        <v>3095</v>
      </c>
      <c r="M10" s="99"/>
      <c r="N10" s="1"/>
      <c r="O10" s="1"/>
      <c r="P10" s="1"/>
      <c r="Q10" s="14"/>
      <c r="R10" s="14"/>
    </row>
    <row r="11" spans="1:18">
      <c r="A11" s="54" t="s">
        <v>347</v>
      </c>
      <c r="D11" s="98">
        <v>100</v>
      </c>
      <c r="E11" s="99">
        <v>11.6</v>
      </c>
      <c r="F11" s="99">
        <f>2.1+0.1</f>
        <v>2.2000000000000002</v>
      </c>
      <c r="G11" s="100">
        <v>1060.5</v>
      </c>
      <c r="H11" s="99">
        <v>12302</v>
      </c>
      <c r="I11" s="99"/>
      <c r="J11" s="99"/>
      <c r="K11" s="99">
        <f t="shared" si="0"/>
        <v>12302</v>
      </c>
      <c r="L11" s="99"/>
      <c r="M11" s="99"/>
      <c r="N11" s="1"/>
      <c r="O11" s="1"/>
      <c r="P11" s="1"/>
      <c r="Q11" s="14"/>
      <c r="R11" s="14"/>
    </row>
    <row r="12" spans="1:18">
      <c r="A12" s="1" t="s">
        <v>348</v>
      </c>
      <c r="B12" s="1"/>
      <c r="D12" s="98">
        <v>100</v>
      </c>
      <c r="E12" s="14">
        <v>16.559999999999999</v>
      </c>
      <c r="F12" s="99">
        <v>7.8</v>
      </c>
      <c r="G12" s="100">
        <v>977.7</v>
      </c>
      <c r="H12" s="99">
        <v>16191</v>
      </c>
      <c r="I12" s="99"/>
      <c r="J12" s="99">
        <f>SUM(E26*G26)</f>
        <v>142758</v>
      </c>
      <c r="K12" s="99">
        <f>SUM(H12:J12)</f>
        <v>158949</v>
      </c>
      <c r="L12" s="99"/>
      <c r="M12" s="99">
        <v>3693</v>
      </c>
      <c r="N12" s="1"/>
      <c r="O12" s="1"/>
      <c r="P12" s="1"/>
      <c r="Q12" s="14"/>
      <c r="R12" s="14"/>
    </row>
    <row r="13" spans="1:18">
      <c r="A13" s="54" t="s">
        <v>34</v>
      </c>
      <c r="D13" s="98">
        <v>100</v>
      </c>
      <c r="E13" s="99">
        <v>5.3</v>
      </c>
      <c r="F13" s="99">
        <f>3.7+0.6</f>
        <v>4.3</v>
      </c>
      <c r="G13" s="100">
        <v>970</v>
      </c>
      <c r="H13" s="99">
        <f t="shared" si="1"/>
        <v>5141</v>
      </c>
      <c r="I13" s="99"/>
      <c r="J13" s="99">
        <f>E35*G35+E36*G36+E37*G37</f>
        <v>49075</v>
      </c>
      <c r="K13" s="99">
        <f t="shared" si="0"/>
        <v>54216</v>
      </c>
      <c r="L13" s="99"/>
      <c r="M13" s="99"/>
      <c r="N13" s="1"/>
      <c r="O13" s="1"/>
      <c r="P13" s="1"/>
      <c r="Q13" s="14"/>
      <c r="R13" s="14"/>
    </row>
    <row r="14" spans="1:18">
      <c r="A14" s="54" t="s">
        <v>91</v>
      </c>
      <c r="D14" s="98">
        <v>100</v>
      </c>
      <c r="E14" s="99">
        <v>12.87</v>
      </c>
      <c r="F14" s="99">
        <f>4.4+0.9</f>
        <v>5.3000000000000007</v>
      </c>
      <c r="G14" s="100">
        <v>944.7</v>
      </c>
      <c r="H14" s="99">
        <v>12158</v>
      </c>
      <c r="I14" s="99"/>
      <c r="J14" s="99"/>
      <c r="K14" s="99">
        <f t="shared" si="0"/>
        <v>12158</v>
      </c>
      <c r="L14" s="99"/>
      <c r="M14" s="99"/>
    </row>
    <row r="15" spans="1:18">
      <c r="A15" s="54" t="s">
        <v>36</v>
      </c>
      <c r="D15" s="98">
        <v>100</v>
      </c>
      <c r="E15" s="99">
        <v>8.84</v>
      </c>
      <c r="F15" s="99">
        <f>8.1+0.2</f>
        <v>8.2999999999999989</v>
      </c>
      <c r="G15" s="100">
        <v>1141.7</v>
      </c>
      <c r="H15" s="99">
        <v>10093</v>
      </c>
      <c r="I15" s="99"/>
      <c r="J15" s="14">
        <v>13437</v>
      </c>
      <c r="K15" s="99">
        <f t="shared" si="0"/>
        <v>23530</v>
      </c>
      <c r="L15" s="99"/>
      <c r="M15" s="99"/>
    </row>
    <row r="16" spans="1:18">
      <c r="A16" s="54" t="s">
        <v>349</v>
      </c>
      <c r="D16" s="98">
        <v>74</v>
      </c>
      <c r="E16" s="14">
        <v>22.08</v>
      </c>
      <c r="F16" s="99">
        <v>19.329999999999998</v>
      </c>
      <c r="G16" s="100">
        <v>850</v>
      </c>
      <c r="H16" s="99">
        <f t="shared" si="1"/>
        <v>18768</v>
      </c>
      <c r="I16" s="99"/>
      <c r="J16" s="99"/>
      <c r="K16" s="99">
        <f t="shared" si="0"/>
        <v>18768</v>
      </c>
      <c r="L16" s="99"/>
      <c r="M16" s="99"/>
    </row>
    <row r="17" spans="1:13">
      <c r="A17" s="54" t="s">
        <v>350</v>
      </c>
      <c r="D17" s="98">
        <v>100</v>
      </c>
      <c r="E17" s="14">
        <v>24.98</v>
      </c>
      <c r="F17" s="99">
        <v>4.0599999999999996</v>
      </c>
      <c r="G17" s="100">
        <v>1166.8</v>
      </c>
      <c r="H17" s="99">
        <v>29147</v>
      </c>
      <c r="I17" s="99"/>
      <c r="J17" s="99"/>
      <c r="K17" s="99">
        <f t="shared" si="0"/>
        <v>29147</v>
      </c>
      <c r="L17" s="99"/>
      <c r="M17" s="99"/>
    </row>
    <row r="18" spans="1:13">
      <c r="A18" s="92" t="s">
        <v>42</v>
      </c>
      <c r="B18" s="92"/>
      <c r="C18" s="92"/>
      <c r="D18" s="103"/>
      <c r="E18" s="104">
        <f>SUM(E8:E17)</f>
        <v>111.88</v>
      </c>
      <c r="F18" s="104">
        <f>SUM(F8:F17)</f>
        <v>55.17</v>
      </c>
      <c r="G18" s="104"/>
      <c r="H18" s="104">
        <f>SUM(H8:H17)</f>
        <v>114040</v>
      </c>
      <c r="I18" s="104">
        <f>SUM(I8:I17)</f>
        <v>8052</v>
      </c>
      <c r="J18" s="104">
        <f>SUM(J8:J17)</f>
        <v>205270</v>
      </c>
      <c r="K18" s="104">
        <f>SUM(H18:J18)</f>
        <v>327362</v>
      </c>
      <c r="L18" s="104">
        <f>SUM(L8:L17)</f>
        <v>3095</v>
      </c>
      <c r="M18" s="104">
        <f>SUM(M8:M17)</f>
        <v>3693</v>
      </c>
    </row>
    <row r="19" spans="1:13">
      <c r="A19" s="96" t="s">
        <v>43</v>
      </c>
      <c r="B19" s="96"/>
      <c r="C19" s="96"/>
      <c r="D19" s="105"/>
      <c r="E19" s="106">
        <f>SUM(E18-F18)</f>
        <v>56.709999999999994</v>
      </c>
      <c r="F19" s="106"/>
      <c r="G19" s="106"/>
      <c r="H19" s="106">
        <f>SUM(E30*G30)</f>
        <v>58026</v>
      </c>
      <c r="I19" s="106">
        <f>I18-L18</f>
        <v>4957</v>
      </c>
      <c r="J19" s="106">
        <f>J18-M18</f>
        <v>201577</v>
      </c>
      <c r="K19" s="106">
        <f>SUM(H19:J19)</f>
        <v>264560</v>
      </c>
      <c r="L19" s="96"/>
      <c r="M19" s="96"/>
    </row>
    <row r="21" spans="1:13">
      <c r="C21" s="54" t="s">
        <v>44</v>
      </c>
    </row>
    <row r="23" spans="1:13">
      <c r="A23" s="54" t="s">
        <v>45</v>
      </c>
    </row>
    <row r="24" spans="1:13">
      <c r="A24" s="108" t="s">
        <v>46</v>
      </c>
      <c r="B24" s="108"/>
      <c r="C24" s="108"/>
      <c r="D24" s="108" t="s">
        <v>47</v>
      </c>
      <c r="E24" s="108" t="s">
        <v>48</v>
      </c>
      <c r="F24" s="108"/>
      <c r="G24" s="108" t="s">
        <v>49</v>
      </c>
      <c r="K24" s="113"/>
    </row>
    <row r="25" spans="1:13">
      <c r="A25" s="54" t="s">
        <v>52</v>
      </c>
      <c r="K25" s="113"/>
    </row>
    <row r="26" spans="1:13">
      <c r="A26" s="54" t="s">
        <v>246</v>
      </c>
      <c r="D26" s="54" t="s">
        <v>55</v>
      </c>
      <c r="E26" s="99">
        <v>721</v>
      </c>
      <c r="F26" s="99"/>
      <c r="G26" s="99">
        <v>198</v>
      </c>
      <c r="J26" s="109" t="s">
        <v>351</v>
      </c>
      <c r="K26" s="114">
        <v>1</v>
      </c>
    </row>
    <row r="27" spans="1:13">
      <c r="K27" s="113"/>
    </row>
    <row r="29" spans="1:13">
      <c r="A29" s="54" t="s">
        <v>57</v>
      </c>
      <c r="J29" s="109" t="s">
        <v>60</v>
      </c>
      <c r="K29" s="168">
        <v>0.66</v>
      </c>
    </row>
    <row r="30" spans="1:13">
      <c r="A30" s="54" t="s">
        <v>58</v>
      </c>
      <c r="D30" s="54" t="s">
        <v>59</v>
      </c>
      <c r="E30" s="99">
        <v>57</v>
      </c>
      <c r="G30" s="99">
        <v>1018</v>
      </c>
      <c r="J30" s="109" t="s">
        <v>62</v>
      </c>
      <c r="K30" s="168">
        <v>0.5</v>
      </c>
    </row>
    <row r="31" spans="1:13">
      <c r="A31" s="54" t="s">
        <v>61</v>
      </c>
      <c r="D31" s="54" t="s">
        <v>59</v>
      </c>
      <c r="E31" s="99">
        <v>55</v>
      </c>
    </row>
    <row r="32" spans="1:13">
      <c r="A32" s="54" t="s">
        <v>6</v>
      </c>
      <c r="E32" s="99">
        <f>SUM(E30:E31)</f>
        <v>112</v>
      </c>
      <c r="K32" s="246"/>
    </row>
    <row r="34" spans="1:11">
      <c r="A34" s="92" t="s">
        <v>63</v>
      </c>
      <c r="B34" s="92"/>
      <c r="C34" s="92" t="s">
        <v>64</v>
      </c>
      <c r="D34" s="92"/>
      <c r="E34" s="92"/>
      <c r="F34" s="92"/>
      <c r="G34" s="92"/>
    </row>
    <row r="35" spans="1:11">
      <c r="A35" s="51" t="s">
        <v>352</v>
      </c>
      <c r="B35" s="95"/>
      <c r="C35" s="115">
        <v>64</v>
      </c>
      <c r="D35" s="51" t="s">
        <v>192</v>
      </c>
      <c r="E35" s="116">
        <v>26</v>
      </c>
      <c r="F35" s="116"/>
      <c r="G35" s="116">
        <v>154</v>
      </c>
    </row>
    <row r="36" spans="1:11">
      <c r="A36" s="51" t="s">
        <v>353</v>
      </c>
      <c r="B36" s="95"/>
      <c r="C36" s="115">
        <v>84</v>
      </c>
      <c r="D36" s="51" t="s">
        <v>55</v>
      </c>
      <c r="E36" s="116">
        <v>467</v>
      </c>
      <c r="F36" s="116"/>
      <c r="G36" s="116">
        <v>63</v>
      </c>
    </row>
    <row r="37" spans="1:11">
      <c r="A37" s="51" t="s">
        <v>354</v>
      </c>
      <c r="B37" s="95"/>
      <c r="C37" s="115">
        <v>48</v>
      </c>
      <c r="D37" s="51" t="s">
        <v>55</v>
      </c>
      <c r="E37" s="116">
        <v>313</v>
      </c>
      <c r="F37" s="116"/>
      <c r="G37" s="116">
        <v>50</v>
      </c>
    </row>
    <row r="38" spans="1:11">
      <c r="A38" s="92" t="s">
        <v>68</v>
      </c>
      <c r="B38" s="92"/>
      <c r="C38" s="92"/>
      <c r="D38" s="92"/>
      <c r="E38" s="92"/>
      <c r="F38" s="92"/>
      <c r="G38" s="92"/>
      <c r="I38" s="54" t="s">
        <v>355</v>
      </c>
    </row>
    <row r="39" spans="1:11">
      <c r="A39" s="51" t="s">
        <v>71</v>
      </c>
      <c r="B39" s="51"/>
      <c r="C39" s="51"/>
      <c r="D39" s="51"/>
      <c r="E39" s="51"/>
      <c r="F39" s="51"/>
      <c r="G39" s="203">
        <v>5773</v>
      </c>
      <c r="I39" s="119">
        <v>14265</v>
      </c>
      <c r="J39" s="119"/>
    </row>
    <row r="40" spans="1:11">
      <c r="A40" s="51" t="s">
        <v>72</v>
      </c>
      <c r="B40" s="51"/>
      <c r="C40" s="51"/>
      <c r="D40" s="51"/>
      <c r="E40" s="51"/>
      <c r="F40" s="51"/>
      <c r="G40" s="120">
        <v>78</v>
      </c>
      <c r="I40" s="119"/>
      <c r="J40" s="119"/>
    </row>
    <row r="41" spans="1:11">
      <c r="A41" s="51" t="s">
        <v>73</v>
      </c>
      <c r="B41" s="51"/>
      <c r="C41" s="51"/>
      <c r="D41" s="51"/>
      <c r="E41" s="51"/>
      <c r="F41" s="51"/>
      <c r="G41" s="120">
        <f>SUM(G39*G40)</f>
        <v>450294</v>
      </c>
      <c r="I41" s="119">
        <v>1112676</v>
      </c>
      <c r="J41" s="119"/>
      <c r="K41" s="119"/>
    </row>
    <row r="42" spans="1:11">
      <c r="A42" s="51" t="s">
        <v>74</v>
      </c>
      <c r="B42" s="51"/>
      <c r="C42" s="51"/>
      <c r="D42" s="51"/>
      <c r="E42" s="51"/>
      <c r="F42" s="51"/>
      <c r="G42" s="120">
        <f>SUM(G41-K18)</f>
        <v>122932</v>
      </c>
      <c r="I42" s="119">
        <f>G42*2.471</f>
        <v>303764.97200000001</v>
      </c>
      <c r="J42" s="119"/>
      <c r="K42" s="119"/>
    </row>
    <row r="43" spans="1:11">
      <c r="A43" s="51" t="s">
        <v>75</v>
      </c>
      <c r="B43" s="51"/>
      <c r="C43" s="51"/>
      <c r="D43" s="51"/>
      <c r="E43" s="51"/>
      <c r="F43" s="51"/>
      <c r="G43" s="120">
        <f>SUM(G41-K19)</f>
        <v>185734</v>
      </c>
      <c r="I43" s="119">
        <f>G43*2.471</f>
        <v>458948.71400000004</v>
      </c>
      <c r="J43" s="119"/>
      <c r="K43" s="119"/>
    </row>
    <row r="44" spans="1:11">
      <c r="A44" s="51"/>
      <c r="B44" s="51"/>
      <c r="C44" s="51"/>
      <c r="D44" s="51"/>
      <c r="E44" s="51"/>
      <c r="F44" s="51"/>
      <c r="G44" s="120"/>
    </row>
    <row r="45" spans="1:11">
      <c r="A45" s="51" t="s">
        <v>76</v>
      </c>
      <c r="B45" s="51"/>
      <c r="C45" s="51"/>
      <c r="D45" s="51"/>
      <c r="E45" s="51"/>
      <c r="F45" s="51"/>
      <c r="G45" s="120">
        <f>SUM(K18/G39)</f>
        <v>56.705698943357007</v>
      </c>
    </row>
    <row r="46" spans="1:11">
      <c r="A46" s="96" t="s">
        <v>77</v>
      </c>
      <c r="B46" s="96"/>
      <c r="C46" s="96"/>
      <c r="D46" s="96"/>
      <c r="E46" s="96"/>
      <c r="F46" s="96"/>
      <c r="G46" s="121">
        <f>SUM(K19/G39)</f>
        <v>45.827126277498699</v>
      </c>
    </row>
    <row r="48" spans="1:11">
      <c r="A48" s="54" t="s">
        <v>130</v>
      </c>
    </row>
    <row r="57" spans="7:7">
      <c r="G57" s="54" t="s">
        <v>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72"/>
  <sheetViews>
    <sheetView workbookViewId="0">
      <selection sqref="A1:XFD1048576"/>
    </sheetView>
  </sheetViews>
  <sheetFormatPr defaultRowHeight="14.25"/>
  <cols>
    <col min="1" max="2" width="9.140625" style="1"/>
    <col min="3" max="3" width="4" style="1" customWidth="1"/>
    <col min="4" max="4" width="4.140625" style="1" customWidth="1"/>
    <col min="5" max="5" width="6.42578125" style="1" customWidth="1"/>
    <col min="6" max="6" width="7" style="1" customWidth="1"/>
    <col min="7" max="7" width="10.140625" style="1" customWidth="1"/>
    <col min="8" max="8" width="9.42578125" style="1" customWidth="1"/>
    <col min="9" max="9" width="8.140625" style="1" customWidth="1"/>
    <col min="10" max="10" width="8.85546875" style="1" customWidth="1"/>
    <col min="11" max="11" width="9" style="1" customWidth="1"/>
    <col min="12" max="12" width="9.140625" style="1" customWidth="1"/>
    <col min="13" max="13" width="6.42578125" style="1" customWidth="1"/>
    <col min="14" max="16" width="9.140625" style="1"/>
    <col min="17" max="18" width="7" style="1" customWidth="1"/>
    <col min="19" max="16384" width="9.140625" style="1"/>
  </cols>
  <sheetData>
    <row r="1" spans="1:18">
      <c r="A1" s="1" t="s">
        <v>0</v>
      </c>
      <c r="B1" s="1" t="s">
        <v>356</v>
      </c>
    </row>
    <row r="2" spans="1:18">
      <c r="B2" s="1" t="s">
        <v>357</v>
      </c>
    </row>
    <row r="3" spans="1:18">
      <c r="B3" s="1" t="s">
        <v>358</v>
      </c>
    </row>
    <row r="4" spans="1:18">
      <c r="A4" s="2" t="s">
        <v>4</v>
      </c>
      <c r="B4" s="2"/>
      <c r="C4" s="2"/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4" t="s">
        <v>13</v>
      </c>
      <c r="M4" s="3"/>
    </row>
    <row r="5" spans="1:18">
      <c r="A5" s="5"/>
      <c r="B5" s="5"/>
      <c r="C5" s="5"/>
      <c r="D5" s="6" t="s">
        <v>14</v>
      </c>
      <c r="E5" s="6" t="s">
        <v>15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17</v>
      </c>
      <c r="K5" s="6" t="s">
        <v>17</v>
      </c>
      <c r="L5" s="7" t="s">
        <v>10</v>
      </c>
      <c r="M5" s="6" t="s">
        <v>11</v>
      </c>
    </row>
    <row r="6" spans="1:18">
      <c r="A6" s="5"/>
      <c r="B6" s="5"/>
      <c r="C6" s="5"/>
      <c r="D6" s="6" t="s">
        <v>19</v>
      </c>
      <c r="E6" s="6"/>
      <c r="F6" s="6"/>
      <c r="G6" s="6"/>
      <c r="H6" s="6" t="s">
        <v>20</v>
      </c>
      <c r="I6" s="6" t="s">
        <v>17</v>
      </c>
      <c r="J6" s="6" t="s">
        <v>20</v>
      </c>
      <c r="K6" s="6" t="s">
        <v>20</v>
      </c>
      <c r="L6" s="6"/>
      <c r="M6" s="6"/>
    </row>
    <row r="7" spans="1:18">
      <c r="A7" s="8"/>
      <c r="B7" s="8"/>
      <c r="C7" s="8"/>
      <c r="D7" s="9"/>
      <c r="E7" s="9"/>
      <c r="F7" s="9"/>
      <c r="G7" s="9"/>
      <c r="H7" s="9"/>
      <c r="I7" s="9" t="s">
        <v>20</v>
      </c>
      <c r="J7" s="9"/>
      <c r="K7" s="9"/>
      <c r="L7" s="9"/>
      <c r="M7" s="9"/>
    </row>
    <row r="8" spans="1:18">
      <c r="A8" s="1" t="s">
        <v>359</v>
      </c>
      <c r="D8" s="20">
        <v>100</v>
      </c>
      <c r="E8" s="247">
        <v>1.5</v>
      </c>
      <c r="F8" s="1">
        <v>1.42</v>
      </c>
      <c r="G8" s="176">
        <v>1260</v>
      </c>
      <c r="H8" s="14">
        <f t="shared" ref="H8:H9" si="0">SUM(E8*G8)</f>
        <v>1890</v>
      </c>
      <c r="J8" s="14">
        <v>410</v>
      </c>
      <c r="K8" s="14">
        <f>H8+I8+J8</f>
        <v>2300</v>
      </c>
      <c r="Q8" s="247"/>
    </row>
    <row r="9" spans="1:18">
      <c r="A9" s="1" t="s">
        <v>22</v>
      </c>
      <c r="D9" s="20">
        <v>70</v>
      </c>
      <c r="E9" s="14">
        <v>0.5</v>
      </c>
      <c r="F9" s="14">
        <v>0.5</v>
      </c>
      <c r="G9" s="21">
        <v>1214</v>
      </c>
      <c r="H9" s="14">
        <f t="shared" si="0"/>
        <v>607</v>
      </c>
      <c r="I9" s="14">
        <v>6369</v>
      </c>
      <c r="J9" s="14"/>
      <c r="K9" s="14">
        <f t="shared" ref="K9:K16" si="1">H9+I9+J9</f>
        <v>6976</v>
      </c>
      <c r="Q9" s="14"/>
      <c r="R9" s="14"/>
    </row>
    <row r="10" spans="1:18">
      <c r="A10" s="1" t="s">
        <v>360</v>
      </c>
      <c r="D10" s="248" t="s">
        <v>86</v>
      </c>
      <c r="E10" s="14" t="s">
        <v>361</v>
      </c>
      <c r="F10" s="14" t="s">
        <v>362</v>
      </c>
      <c r="G10" s="21">
        <v>1214</v>
      </c>
      <c r="H10" s="14" t="s">
        <v>363</v>
      </c>
      <c r="J10" s="14"/>
      <c r="K10" s="14">
        <v>0</v>
      </c>
      <c r="Q10" s="14"/>
      <c r="R10" s="14"/>
    </row>
    <row r="11" spans="1:18">
      <c r="A11" s="1" t="s">
        <v>364</v>
      </c>
      <c r="D11" s="20">
        <v>100</v>
      </c>
      <c r="E11" s="14">
        <v>6.6</v>
      </c>
      <c r="F11" s="14">
        <v>2.6</v>
      </c>
      <c r="G11" s="21">
        <v>1193</v>
      </c>
      <c r="H11" s="14">
        <v>7874</v>
      </c>
      <c r="J11" s="14">
        <f>E24*G24</f>
        <v>3471</v>
      </c>
      <c r="K11" s="14">
        <f t="shared" si="1"/>
        <v>11345</v>
      </c>
      <c r="M11" s="14"/>
      <c r="Q11" s="14"/>
      <c r="R11" s="14"/>
    </row>
    <row r="12" spans="1:18">
      <c r="A12" s="1" t="s">
        <v>34</v>
      </c>
      <c r="D12" s="20">
        <v>100</v>
      </c>
      <c r="E12" s="14">
        <v>8.5</v>
      </c>
      <c r="F12" s="14">
        <v>3</v>
      </c>
      <c r="G12" s="21">
        <v>1197</v>
      </c>
      <c r="H12" s="14">
        <v>10175</v>
      </c>
      <c r="J12" s="14">
        <f>SUM(E31*G31+E32*G32+E33*G33)</f>
        <v>15400</v>
      </c>
      <c r="K12" s="14">
        <f t="shared" si="1"/>
        <v>25575</v>
      </c>
      <c r="Q12" s="14"/>
      <c r="R12" s="14"/>
    </row>
    <row r="13" spans="1:18">
      <c r="A13" s="1" t="s">
        <v>35</v>
      </c>
      <c r="D13" s="20">
        <v>100</v>
      </c>
      <c r="E13" s="14">
        <v>14.2</v>
      </c>
      <c r="F13" s="14">
        <v>4.2</v>
      </c>
      <c r="G13" s="21">
        <v>1177</v>
      </c>
      <c r="H13" s="14">
        <v>16713</v>
      </c>
      <c r="J13" s="14"/>
      <c r="K13" s="14">
        <f t="shared" si="1"/>
        <v>16713</v>
      </c>
      <c r="Q13" s="14"/>
      <c r="R13" s="14"/>
    </row>
    <row r="14" spans="1:18">
      <c r="A14" s="1" t="s">
        <v>36</v>
      </c>
      <c r="D14" s="20">
        <v>100</v>
      </c>
      <c r="E14" s="14">
        <v>8.6999999999999993</v>
      </c>
      <c r="F14" s="14">
        <v>5.2</v>
      </c>
      <c r="G14" s="21">
        <v>1435</v>
      </c>
      <c r="H14" s="14">
        <v>12485</v>
      </c>
      <c r="J14" s="14">
        <v>25492</v>
      </c>
      <c r="K14" s="14">
        <f t="shared" si="1"/>
        <v>37977</v>
      </c>
      <c r="Q14" s="14"/>
      <c r="R14" s="14"/>
    </row>
    <row r="15" spans="1:18">
      <c r="A15" s="1" t="s">
        <v>92</v>
      </c>
      <c r="D15" s="20">
        <v>100</v>
      </c>
      <c r="E15" s="14">
        <v>11.5</v>
      </c>
      <c r="F15" s="14">
        <v>9.5</v>
      </c>
      <c r="G15" s="21">
        <v>1218</v>
      </c>
      <c r="H15" s="14">
        <v>14007</v>
      </c>
      <c r="I15" s="14">
        <v>12523</v>
      </c>
      <c r="J15" s="14"/>
      <c r="K15" s="14">
        <f t="shared" si="1"/>
        <v>26530</v>
      </c>
      <c r="Q15" s="14"/>
      <c r="R15" s="14"/>
    </row>
    <row r="16" spans="1:18">
      <c r="A16" s="1" t="s">
        <v>37</v>
      </c>
      <c r="D16" s="20">
        <v>100</v>
      </c>
      <c r="E16" s="14">
        <v>33.5</v>
      </c>
      <c r="F16" s="14">
        <v>22</v>
      </c>
      <c r="G16" s="21">
        <v>1200</v>
      </c>
      <c r="H16" s="14">
        <v>40200</v>
      </c>
      <c r="J16" s="14"/>
      <c r="K16" s="14">
        <f t="shared" si="1"/>
        <v>40200</v>
      </c>
      <c r="Q16" s="14"/>
      <c r="R16" s="14"/>
    </row>
    <row r="17" spans="1:18">
      <c r="A17" s="2" t="s">
        <v>42</v>
      </c>
      <c r="B17" s="2"/>
      <c r="C17" s="2"/>
      <c r="D17" s="22"/>
      <c r="E17" s="23">
        <f>SUM(E8:E16)</f>
        <v>85</v>
      </c>
      <c r="F17" s="23">
        <f>SUM(F8:F16)</f>
        <v>48.42</v>
      </c>
      <c r="G17" s="23"/>
      <c r="H17" s="23">
        <f t="shared" ref="H17:J17" si="2">SUM(H8:H16)</f>
        <v>103951</v>
      </c>
      <c r="I17" s="23">
        <f t="shared" si="2"/>
        <v>18892</v>
      </c>
      <c r="J17" s="23">
        <f t="shared" si="2"/>
        <v>44773</v>
      </c>
      <c r="K17" s="23">
        <f>SUM(K8:K16)</f>
        <v>167616</v>
      </c>
      <c r="L17" s="2"/>
      <c r="Q17" s="14"/>
      <c r="R17" s="14"/>
    </row>
    <row r="18" spans="1:18">
      <c r="A18" s="8" t="s">
        <v>43</v>
      </c>
      <c r="B18" s="8"/>
      <c r="C18" s="8"/>
      <c r="D18" s="24"/>
      <c r="E18" s="25">
        <f>SUM(E17-F17)</f>
        <v>36.58</v>
      </c>
      <c r="F18" s="25"/>
      <c r="G18" s="25"/>
      <c r="H18" s="25">
        <f>E27*G27</f>
        <v>45251</v>
      </c>
      <c r="I18" s="25">
        <f>I17-L17</f>
        <v>18892</v>
      </c>
      <c r="J18" s="25">
        <f>J17-M18</f>
        <v>44773</v>
      </c>
      <c r="K18" s="25">
        <f>H18+I18+J18</f>
        <v>108916</v>
      </c>
      <c r="L18" s="8"/>
    </row>
    <row r="20" spans="1:18">
      <c r="C20" s="1" t="s">
        <v>44</v>
      </c>
      <c r="M20" s="5"/>
    </row>
    <row r="21" spans="1:18">
      <c r="A21" s="1" t="s">
        <v>45</v>
      </c>
      <c r="M21" s="5"/>
    </row>
    <row r="22" spans="1:18">
      <c r="A22" s="27" t="s">
        <v>46</v>
      </c>
      <c r="B22" s="27"/>
      <c r="C22" s="27"/>
      <c r="D22" s="249" t="s">
        <v>47</v>
      </c>
      <c r="E22" s="27" t="s">
        <v>48</v>
      </c>
      <c r="F22" s="27"/>
      <c r="G22" s="27" t="s">
        <v>49</v>
      </c>
      <c r="J22" s="250" t="s">
        <v>60</v>
      </c>
      <c r="K22" s="251">
        <v>1.1000000000000001</v>
      </c>
    </row>
    <row r="23" spans="1:18">
      <c r="A23" s="1" t="s">
        <v>52</v>
      </c>
      <c r="J23" s="250" t="s">
        <v>62</v>
      </c>
      <c r="K23" s="251">
        <v>1</v>
      </c>
    </row>
    <row r="24" spans="1:18">
      <c r="A24" s="1" t="s">
        <v>365</v>
      </c>
      <c r="D24" s="13" t="s">
        <v>55</v>
      </c>
      <c r="E24" s="252">
        <v>0.2</v>
      </c>
      <c r="G24" s="14">
        <v>17355</v>
      </c>
    </row>
    <row r="25" spans="1:18">
      <c r="J25" s="253" t="s">
        <v>366</v>
      </c>
      <c r="K25" s="253"/>
      <c r="M25" s="217"/>
      <c r="N25" s="217"/>
    </row>
    <row r="26" spans="1:18">
      <c r="A26" s="1" t="s">
        <v>57</v>
      </c>
      <c r="J26" s="254" t="s">
        <v>367</v>
      </c>
      <c r="K26" s="254">
        <v>80</v>
      </c>
      <c r="M26" s="217"/>
    </row>
    <row r="27" spans="1:18">
      <c r="A27" s="1" t="s">
        <v>58</v>
      </c>
      <c r="D27" s="13" t="s">
        <v>59</v>
      </c>
      <c r="E27" s="252">
        <v>37</v>
      </c>
      <c r="G27" s="14">
        <v>1223</v>
      </c>
      <c r="J27" s="254" t="s">
        <v>245</v>
      </c>
      <c r="K27" s="254">
        <v>20</v>
      </c>
      <c r="L27" s="217"/>
      <c r="M27" s="217"/>
    </row>
    <row r="28" spans="1:18">
      <c r="A28" s="1" t="s">
        <v>61</v>
      </c>
      <c r="D28" s="13" t="s">
        <v>59</v>
      </c>
      <c r="E28" s="252">
        <v>48</v>
      </c>
      <c r="M28" s="217"/>
    </row>
    <row r="29" spans="1:18">
      <c r="A29" s="1" t="s">
        <v>6</v>
      </c>
      <c r="D29" s="13"/>
      <c r="E29" s="252">
        <v>85</v>
      </c>
    </row>
    <row r="30" spans="1:18">
      <c r="A30" s="2" t="s">
        <v>63</v>
      </c>
      <c r="B30" s="2"/>
      <c r="C30" s="2" t="s">
        <v>64</v>
      </c>
      <c r="D30" s="2"/>
      <c r="E30" s="2"/>
      <c r="F30" s="2"/>
      <c r="G30" s="2"/>
    </row>
    <row r="31" spans="1:18">
      <c r="A31" s="5"/>
      <c r="B31" s="7" t="s">
        <v>127</v>
      </c>
      <c r="C31" s="255">
        <v>94</v>
      </c>
      <c r="D31" s="6" t="s">
        <v>55</v>
      </c>
      <c r="E31" s="256">
        <v>180</v>
      </c>
      <c r="F31" s="5"/>
      <c r="G31" s="30">
        <v>50</v>
      </c>
    </row>
    <row r="32" spans="1:18">
      <c r="A32" s="5"/>
      <c r="B32" s="7" t="s">
        <v>126</v>
      </c>
      <c r="C32" s="255">
        <v>48</v>
      </c>
      <c r="D32" s="6" t="s">
        <v>55</v>
      </c>
      <c r="E32" s="256">
        <v>54</v>
      </c>
      <c r="F32" s="5"/>
      <c r="G32" s="30">
        <v>50</v>
      </c>
    </row>
    <row r="33" spans="1:10">
      <c r="A33" s="5"/>
      <c r="B33" s="7" t="s">
        <v>255</v>
      </c>
      <c r="C33" s="255">
        <v>44</v>
      </c>
      <c r="D33" s="6" t="s">
        <v>55</v>
      </c>
      <c r="E33" s="256">
        <v>74</v>
      </c>
      <c r="F33" s="5"/>
      <c r="G33" s="30">
        <v>50</v>
      </c>
    </row>
    <row r="34" spans="1:10">
      <c r="A34" s="2" t="s">
        <v>68</v>
      </c>
      <c r="B34" s="2"/>
      <c r="C34" s="2"/>
      <c r="D34" s="2"/>
      <c r="E34" s="2"/>
      <c r="F34" s="2"/>
      <c r="G34" s="2"/>
      <c r="H34" s="1" t="s">
        <v>70</v>
      </c>
    </row>
    <row r="35" spans="1:10">
      <c r="A35" s="5" t="s">
        <v>71</v>
      </c>
      <c r="B35" s="5"/>
      <c r="C35" s="5"/>
      <c r="D35" s="5"/>
      <c r="E35" s="5"/>
      <c r="F35" s="5"/>
      <c r="G35" s="34">
        <v>8833</v>
      </c>
      <c r="H35" s="35">
        <f>G35*2.471</f>
        <v>21826.343000000001</v>
      </c>
    </row>
    <row r="36" spans="1:10">
      <c r="A36" s="5" t="s">
        <v>72</v>
      </c>
      <c r="B36" s="5"/>
      <c r="C36" s="5"/>
      <c r="D36" s="5"/>
      <c r="E36" s="5"/>
      <c r="F36" s="5"/>
      <c r="G36" s="36">
        <v>20</v>
      </c>
      <c r="H36" s="35"/>
    </row>
    <row r="37" spans="1:10">
      <c r="A37" s="5" t="s">
        <v>73</v>
      </c>
      <c r="B37" s="5"/>
      <c r="C37" s="5"/>
      <c r="D37" s="5"/>
      <c r="E37" s="5"/>
      <c r="F37" s="5"/>
      <c r="G37" s="36">
        <f>G35*G36</f>
        <v>176660</v>
      </c>
      <c r="H37" s="35">
        <f t="shared" ref="H37:H39" si="3">G37*2.471</f>
        <v>436526.86</v>
      </c>
      <c r="J37" s="14"/>
    </row>
    <row r="38" spans="1:10">
      <c r="A38" s="5" t="s">
        <v>74</v>
      </c>
      <c r="B38" s="5"/>
      <c r="C38" s="5"/>
      <c r="D38" s="5"/>
      <c r="E38" s="5"/>
      <c r="F38" s="5"/>
      <c r="G38" s="36">
        <f>G37-K17</f>
        <v>9044</v>
      </c>
      <c r="H38" s="35">
        <f t="shared" si="3"/>
        <v>22347.724000000002</v>
      </c>
      <c r="J38" s="14"/>
    </row>
    <row r="39" spans="1:10">
      <c r="A39" s="5" t="s">
        <v>75</v>
      </c>
      <c r="B39" s="5"/>
      <c r="C39" s="5"/>
      <c r="D39" s="5"/>
      <c r="E39" s="5"/>
      <c r="F39" s="5"/>
      <c r="G39" s="36">
        <f>G37-K18</f>
        <v>67744</v>
      </c>
      <c r="H39" s="35">
        <f t="shared" si="3"/>
        <v>167395.424</v>
      </c>
    </row>
    <row r="40" spans="1:10">
      <c r="A40" s="5"/>
      <c r="B40" s="5"/>
      <c r="C40" s="5"/>
      <c r="D40" s="5"/>
      <c r="E40" s="5"/>
      <c r="F40" s="5"/>
      <c r="G40" s="36"/>
    </row>
    <row r="41" spans="1:10">
      <c r="A41" s="5" t="s">
        <v>76</v>
      </c>
      <c r="B41" s="5"/>
      <c r="C41" s="5"/>
      <c r="D41" s="5"/>
      <c r="E41" s="5"/>
      <c r="F41" s="5"/>
      <c r="G41" s="36">
        <f>SUM(K17/G35)</f>
        <v>18.976112306124758</v>
      </c>
    </row>
    <row r="42" spans="1:10">
      <c r="A42" s="8" t="s">
        <v>77</v>
      </c>
      <c r="B42" s="8"/>
      <c r="C42" s="8"/>
      <c r="D42" s="8"/>
      <c r="E42" s="8"/>
      <c r="F42" s="8"/>
      <c r="G42" s="37">
        <f>SUM(K18/G35)</f>
        <v>12.330578512396695</v>
      </c>
    </row>
    <row r="53" spans="7:7">
      <c r="G53" s="1" t="s">
        <v>80</v>
      </c>
    </row>
    <row r="62" spans="7:7">
      <c r="G62" s="14"/>
    </row>
    <row r="63" spans="7:7">
      <c r="G63" s="14"/>
    </row>
    <row r="64" spans="7:7">
      <c r="G64" s="14"/>
    </row>
    <row r="65" spans="7:7">
      <c r="G65" s="14"/>
    </row>
    <row r="66" spans="7:7">
      <c r="G66" s="14"/>
    </row>
    <row r="67" spans="7:7">
      <c r="G67" s="14"/>
    </row>
    <row r="68" spans="7:7">
      <c r="G68" s="14"/>
    </row>
    <row r="69" spans="7:7">
      <c r="G69" s="14"/>
    </row>
    <row r="70" spans="7:7">
      <c r="G70" s="14"/>
    </row>
    <row r="71" spans="7:7">
      <c r="G71" s="14"/>
    </row>
    <row r="72" spans="7:7">
      <c r="G72" s="1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56"/>
  <sheetViews>
    <sheetView workbookViewId="0">
      <selection sqref="A1:XFD1048576"/>
    </sheetView>
  </sheetViews>
  <sheetFormatPr defaultRowHeight="14.25"/>
  <cols>
    <col min="1" max="1" width="15.140625" style="54" customWidth="1"/>
    <col min="2" max="2" width="7.5703125" style="54" customWidth="1"/>
    <col min="3" max="3" width="4.140625" style="54" customWidth="1"/>
    <col min="4" max="4" width="5.28515625" style="54" customWidth="1"/>
    <col min="5" max="5" width="6.140625" style="54" customWidth="1"/>
    <col min="6" max="6" width="6.28515625" style="54" customWidth="1"/>
    <col min="7" max="7" width="9.85546875" style="54" customWidth="1"/>
    <col min="8" max="8" width="9.7109375" style="54" customWidth="1"/>
    <col min="9" max="9" width="5.5703125" style="54" customWidth="1"/>
    <col min="10" max="10" width="8.42578125" style="54" customWidth="1"/>
    <col min="11" max="11" width="10" style="54" customWidth="1"/>
    <col min="12" max="12" width="5.85546875" style="54" customWidth="1"/>
    <col min="13" max="13" width="7" style="54" customWidth="1"/>
    <col min="14" max="16" width="9.140625" style="54"/>
    <col min="17" max="17" width="5.42578125" style="54" customWidth="1"/>
    <col min="18" max="18" width="7.42578125" style="54" customWidth="1"/>
    <col min="19" max="16384" width="9.140625" style="54"/>
  </cols>
  <sheetData>
    <row r="1" spans="1:18">
      <c r="A1" s="54" t="s">
        <v>0</v>
      </c>
      <c r="B1" s="54" t="s">
        <v>368</v>
      </c>
    </row>
    <row r="2" spans="1:18">
      <c r="B2" s="54" t="s">
        <v>369</v>
      </c>
    </row>
    <row r="3" spans="1:18">
      <c r="B3" s="54" t="s">
        <v>370</v>
      </c>
    </row>
    <row r="4" spans="1:18">
      <c r="A4" s="92" t="s">
        <v>4</v>
      </c>
      <c r="B4" s="92"/>
      <c r="C4" s="92"/>
      <c r="D4" s="93" t="s">
        <v>5</v>
      </c>
      <c r="E4" s="93" t="s">
        <v>6</v>
      </c>
      <c r="F4" s="93" t="s">
        <v>7</v>
      </c>
      <c r="G4" s="93" t="s">
        <v>8</v>
      </c>
      <c r="H4" s="93" t="s">
        <v>9</v>
      </c>
      <c r="I4" s="93" t="s">
        <v>10</v>
      </c>
      <c r="J4" s="93" t="s">
        <v>11</v>
      </c>
      <c r="K4" s="93" t="s">
        <v>12</v>
      </c>
      <c r="L4" s="94" t="s">
        <v>13</v>
      </c>
      <c r="M4" s="93"/>
    </row>
    <row r="5" spans="1:18">
      <c r="A5" s="51"/>
      <c r="B5" s="51"/>
      <c r="C5" s="51"/>
      <c r="D5" s="52" t="s">
        <v>14</v>
      </c>
      <c r="E5" s="52" t="s">
        <v>15</v>
      </c>
      <c r="F5" s="52" t="s">
        <v>15</v>
      </c>
      <c r="G5" s="52" t="s">
        <v>16</v>
      </c>
      <c r="H5" s="52" t="s">
        <v>17</v>
      </c>
      <c r="I5" s="52" t="s">
        <v>18</v>
      </c>
      <c r="J5" s="52" t="s">
        <v>17</v>
      </c>
      <c r="K5" s="52" t="s">
        <v>17</v>
      </c>
      <c r="L5" s="95" t="s">
        <v>10</v>
      </c>
      <c r="M5" s="52" t="s">
        <v>11</v>
      </c>
    </row>
    <row r="6" spans="1:18">
      <c r="A6" s="51"/>
      <c r="B6" s="51"/>
      <c r="C6" s="51"/>
      <c r="D6" s="52" t="s">
        <v>19</v>
      </c>
      <c r="E6" s="52"/>
      <c r="F6" s="52"/>
      <c r="G6" s="52"/>
      <c r="H6" s="52" t="s">
        <v>20</v>
      </c>
      <c r="I6" s="52" t="s">
        <v>17</v>
      </c>
      <c r="J6" s="52" t="s">
        <v>20</v>
      </c>
      <c r="K6" s="52" t="s">
        <v>20</v>
      </c>
      <c r="L6" s="52"/>
      <c r="M6" s="52"/>
    </row>
    <row r="7" spans="1:18">
      <c r="A7" s="96"/>
      <c r="B7" s="96"/>
      <c r="C7" s="96"/>
      <c r="D7" s="97"/>
      <c r="E7" s="97"/>
      <c r="F7" s="97"/>
      <c r="G7" s="97"/>
      <c r="H7" s="97"/>
      <c r="I7" s="97" t="s">
        <v>20</v>
      </c>
      <c r="J7" s="97"/>
      <c r="K7" s="97"/>
      <c r="L7" s="97"/>
      <c r="M7" s="97"/>
    </row>
    <row r="8" spans="1:18">
      <c r="A8" s="54" t="s">
        <v>371</v>
      </c>
      <c r="D8" s="98">
        <v>44</v>
      </c>
      <c r="E8" s="99">
        <v>0.7</v>
      </c>
      <c r="F8" s="99">
        <v>0.5</v>
      </c>
      <c r="G8" s="100">
        <v>1300</v>
      </c>
      <c r="H8" s="99">
        <f>E8*G8</f>
        <v>909.99999999999989</v>
      </c>
      <c r="J8" s="54">
        <v>3606</v>
      </c>
      <c r="K8" s="99">
        <f t="shared" ref="K8:K18" si="0">SUM(H8:J8)</f>
        <v>4516</v>
      </c>
      <c r="N8" s="1"/>
      <c r="O8" s="1"/>
      <c r="P8" s="1"/>
      <c r="Q8" s="14"/>
      <c r="R8" s="14"/>
    </row>
    <row r="9" spans="1:18">
      <c r="A9" s="54" t="s">
        <v>346</v>
      </c>
      <c r="D9" s="98">
        <v>84</v>
      </c>
      <c r="E9" s="99">
        <v>1.1000000000000001</v>
      </c>
      <c r="F9" s="99">
        <v>1</v>
      </c>
      <c r="G9" s="100">
        <v>1243</v>
      </c>
      <c r="H9" s="99">
        <v>1367</v>
      </c>
      <c r="I9" s="54">
        <v>6557</v>
      </c>
      <c r="J9" s="99"/>
      <c r="K9" s="99">
        <f t="shared" si="0"/>
        <v>7924</v>
      </c>
      <c r="N9" s="1"/>
      <c r="O9" s="1"/>
      <c r="P9" s="1"/>
      <c r="Q9" s="14"/>
      <c r="R9" s="14"/>
    </row>
    <row r="10" spans="1:18">
      <c r="A10" s="54" t="s">
        <v>372</v>
      </c>
      <c r="D10" s="257" t="s">
        <v>373</v>
      </c>
      <c r="E10" s="258"/>
      <c r="F10" s="258"/>
      <c r="G10" s="259"/>
      <c r="H10" s="99">
        <f t="shared" ref="H10:H17" si="1">E10*G10</f>
        <v>0</v>
      </c>
      <c r="I10" s="260" t="s">
        <v>374</v>
      </c>
      <c r="J10" s="99"/>
      <c r="K10" s="261">
        <f t="shared" si="0"/>
        <v>0</v>
      </c>
      <c r="N10" s="1"/>
      <c r="O10" s="1"/>
      <c r="P10" s="1"/>
      <c r="Q10" s="14"/>
      <c r="R10" s="14"/>
    </row>
    <row r="11" spans="1:18">
      <c r="A11" s="54" t="s">
        <v>348</v>
      </c>
      <c r="D11" s="98">
        <v>100</v>
      </c>
      <c r="E11" s="99">
        <v>8</v>
      </c>
      <c r="F11" s="99">
        <v>1.8</v>
      </c>
      <c r="G11" s="100">
        <v>1230</v>
      </c>
      <c r="H11" s="99">
        <f t="shared" si="1"/>
        <v>9840</v>
      </c>
      <c r="J11" s="99">
        <f>SUM(E27*G27)</f>
        <v>7139.0000000000009</v>
      </c>
      <c r="K11" s="99">
        <f>SUM(H11:J11)</f>
        <v>16979</v>
      </c>
      <c r="N11" s="1"/>
      <c r="O11" s="1"/>
      <c r="P11" s="1"/>
      <c r="Q11" s="14"/>
      <c r="R11" s="14"/>
    </row>
    <row r="12" spans="1:18">
      <c r="A12" s="54" t="s">
        <v>34</v>
      </c>
      <c r="D12" s="98">
        <v>100</v>
      </c>
      <c r="E12" s="99">
        <v>10.5</v>
      </c>
      <c r="F12" s="99">
        <v>4.9000000000000004</v>
      </c>
      <c r="G12" s="100">
        <v>1190</v>
      </c>
      <c r="H12" s="99">
        <f t="shared" si="1"/>
        <v>12495</v>
      </c>
      <c r="J12" s="99">
        <f>SUM(E34*G34+E35*G35)</f>
        <v>15974</v>
      </c>
      <c r="K12" s="99">
        <f t="shared" si="0"/>
        <v>28469</v>
      </c>
      <c r="N12" s="1"/>
      <c r="O12" s="1"/>
      <c r="P12" s="1"/>
      <c r="Q12" s="14"/>
      <c r="R12" s="14"/>
    </row>
    <row r="13" spans="1:18">
      <c r="A13" s="54" t="s">
        <v>375</v>
      </c>
      <c r="D13" s="98">
        <v>100</v>
      </c>
      <c r="E13" s="14">
        <v>15.08</v>
      </c>
      <c r="F13" s="99">
        <v>5.65</v>
      </c>
      <c r="G13" s="100">
        <v>1224</v>
      </c>
      <c r="H13" s="99">
        <v>18458</v>
      </c>
      <c r="J13" s="99"/>
      <c r="K13" s="99">
        <f t="shared" si="0"/>
        <v>18458</v>
      </c>
      <c r="N13" s="1"/>
      <c r="O13" s="1"/>
      <c r="P13" s="1"/>
      <c r="Q13" s="14"/>
      <c r="R13" s="14"/>
    </row>
    <row r="14" spans="1:18">
      <c r="A14" s="54" t="s">
        <v>36</v>
      </c>
      <c r="D14" s="98">
        <v>100</v>
      </c>
      <c r="E14" s="99">
        <v>9.5</v>
      </c>
      <c r="F14" s="99">
        <v>5.9</v>
      </c>
      <c r="G14" s="100">
        <v>1317</v>
      </c>
      <c r="H14" s="99">
        <v>12512</v>
      </c>
      <c r="J14" s="99">
        <v>23595</v>
      </c>
      <c r="K14" s="99">
        <f t="shared" si="0"/>
        <v>36107</v>
      </c>
      <c r="N14" s="1"/>
      <c r="O14" s="1"/>
      <c r="P14" s="1"/>
      <c r="Q14" s="14"/>
      <c r="R14" s="14"/>
    </row>
    <row r="15" spans="1:18">
      <c r="A15" s="54" t="s">
        <v>376</v>
      </c>
      <c r="D15" s="98">
        <v>100</v>
      </c>
      <c r="E15" s="99">
        <v>22.2</v>
      </c>
      <c r="F15" s="99">
        <v>7.3</v>
      </c>
      <c r="G15" s="100">
        <v>1200</v>
      </c>
      <c r="H15" s="99">
        <f t="shared" si="1"/>
        <v>26640</v>
      </c>
      <c r="J15" s="99">
        <v>19603</v>
      </c>
      <c r="K15" s="99">
        <f t="shared" si="0"/>
        <v>46243</v>
      </c>
      <c r="N15" s="1"/>
      <c r="O15" s="1"/>
      <c r="P15" s="1"/>
      <c r="Q15" s="14"/>
      <c r="R15" s="14"/>
    </row>
    <row r="16" spans="1:18">
      <c r="A16" s="54" t="s">
        <v>92</v>
      </c>
      <c r="D16" s="98">
        <v>100</v>
      </c>
      <c r="E16" s="99">
        <v>12.4</v>
      </c>
      <c r="F16" s="99">
        <v>9.9</v>
      </c>
      <c r="G16" s="100">
        <v>1272</v>
      </c>
      <c r="H16" s="99">
        <v>15773</v>
      </c>
      <c r="I16" s="54">
        <v>11773</v>
      </c>
      <c r="J16" s="99"/>
      <c r="K16" s="99">
        <f t="shared" si="0"/>
        <v>27546</v>
      </c>
    </row>
    <row r="17" spans="1:13">
      <c r="A17" s="54" t="s">
        <v>37</v>
      </c>
      <c r="D17" s="98">
        <v>100</v>
      </c>
      <c r="E17" s="99">
        <v>28.5</v>
      </c>
      <c r="F17" s="99">
        <v>17.5</v>
      </c>
      <c r="G17" s="100">
        <v>1284</v>
      </c>
      <c r="H17" s="99">
        <f t="shared" si="1"/>
        <v>36594</v>
      </c>
      <c r="J17" s="99"/>
      <c r="K17" s="99">
        <f t="shared" si="0"/>
        <v>36594</v>
      </c>
    </row>
    <row r="18" spans="1:13">
      <c r="A18" s="54" t="s">
        <v>94</v>
      </c>
      <c r="D18" s="98">
        <v>40</v>
      </c>
      <c r="E18" s="99">
        <v>2.1</v>
      </c>
      <c r="F18" s="99">
        <v>1.4</v>
      </c>
      <c r="G18" s="100">
        <v>1233</v>
      </c>
      <c r="H18" s="99">
        <v>2589</v>
      </c>
      <c r="I18" s="54">
        <v>2585</v>
      </c>
      <c r="J18" s="99"/>
      <c r="K18" s="99">
        <f t="shared" si="0"/>
        <v>5174</v>
      </c>
    </row>
    <row r="19" spans="1:13">
      <c r="A19" s="92" t="s">
        <v>42</v>
      </c>
      <c r="B19" s="92"/>
      <c r="C19" s="92"/>
      <c r="D19" s="103"/>
      <c r="E19" s="104">
        <f>SUM(E8:E18)</f>
        <v>110.08</v>
      </c>
      <c r="F19" s="104">
        <f>SUM(F8:F18)</f>
        <v>55.85</v>
      </c>
      <c r="G19" s="104"/>
      <c r="H19" s="104">
        <f>SUM(H8:H18)</f>
        <v>137178</v>
      </c>
      <c r="I19" s="92">
        <f>SUM(I8:I18)</f>
        <v>20915</v>
      </c>
      <c r="J19" s="104">
        <f>SUM(J8:J18)</f>
        <v>69917</v>
      </c>
      <c r="K19" s="104">
        <f>SUM(H19:J19)</f>
        <v>228010</v>
      </c>
      <c r="L19" s="92">
        <f>SUM(L8:L18)</f>
        <v>0</v>
      </c>
      <c r="M19" s="92">
        <f>SUM(M8:M18)</f>
        <v>0</v>
      </c>
    </row>
    <row r="20" spans="1:13">
      <c r="A20" s="96" t="s">
        <v>43</v>
      </c>
      <c r="B20" s="96"/>
      <c r="C20" s="96"/>
      <c r="D20" s="105"/>
      <c r="E20" s="106">
        <f>SUM(E19-F19)</f>
        <v>54.23</v>
      </c>
      <c r="F20" s="106"/>
      <c r="G20" s="106"/>
      <c r="H20" s="106">
        <f>E29*G29</f>
        <v>67338</v>
      </c>
      <c r="I20" s="96">
        <f>I19-L19</f>
        <v>20915</v>
      </c>
      <c r="J20" s="106">
        <f>J19-M19</f>
        <v>69917</v>
      </c>
      <c r="K20" s="106">
        <f>SUM(H20:J20)</f>
        <v>158170</v>
      </c>
      <c r="L20" s="96"/>
      <c r="M20" s="96"/>
    </row>
    <row r="22" spans="1:13">
      <c r="C22" s="54" t="s">
        <v>44</v>
      </c>
    </row>
    <row r="24" spans="1:13">
      <c r="A24" s="54" t="s">
        <v>45</v>
      </c>
    </row>
    <row r="25" spans="1:13">
      <c r="A25" s="108" t="s">
        <v>46</v>
      </c>
      <c r="B25" s="108"/>
      <c r="C25" s="108"/>
      <c r="D25" s="108" t="s">
        <v>47</v>
      </c>
      <c r="E25" s="108" t="s">
        <v>48</v>
      </c>
      <c r="F25" s="108"/>
      <c r="G25" s="108" t="s">
        <v>49</v>
      </c>
    </row>
    <row r="26" spans="1:13">
      <c r="A26" s="54" t="s">
        <v>52</v>
      </c>
    </row>
    <row r="27" spans="1:13">
      <c r="A27" s="54" t="s">
        <v>121</v>
      </c>
      <c r="D27" s="54" t="s">
        <v>377</v>
      </c>
      <c r="E27" s="99">
        <v>1.1000000000000001</v>
      </c>
      <c r="G27" s="99">
        <v>6490</v>
      </c>
    </row>
    <row r="28" spans="1:13">
      <c r="A28" s="54" t="s">
        <v>57</v>
      </c>
    </row>
    <row r="29" spans="1:13">
      <c r="A29" s="54" t="s">
        <v>58</v>
      </c>
      <c r="D29" s="246" t="s">
        <v>59</v>
      </c>
      <c r="E29" s="262">
        <v>54</v>
      </c>
      <c r="G29" s="99">
        <v>1247</v>
      </c>
    </row>
    <row r="30" spans="1:13">
      <c r="A30" s="54" t="s">
        <v>61</v>
      </c>
      <c r="D30" s="246" t="s">
        <v>59</v>
      </c>
      <c r="E30" s="262">
        <v>56</v>
      </c>
      <c r="I30" s="169" t="s">
        <v>366</v>
      </c>
      <c r="J30" s="169"/>
    </row>
    <row r="31" spans="1:13">
      <c r="A31" s="54" t="s">
        <v>6</v>
      </c>
      <c r="E31" s="262">
        <f>SUM(E29:E30)</f>
        <v>110</v>
      </c>
      <c r="I31" s="169" t="s">
        <v>245</v>
      </c>
      <c r="J31" s="109">
        <v>54</v>
      </c>
    </row>
    <row r="32" spans="1:13">
      <c r="E32" s="246"/>
      <c r="I32" s="169" t="s">
        <v>367</v>
      </c>
      <c r="J32" s="109">
        <v>48</v>
      </c>
      <c r="K32" s="51"/>
    </row>
    <row r="33" spans="1:13">
      <c r="A33" s="92" t="s">
        <v>63</v>
      </c>
      <c r="B33" s="92"/>
      <c r="C33" s="92" t="s">
        <v>64</v>
      </c>
      <c r="D33" s="92"/>
      <c r="E33" s="263"/>
      <c r="F33" s="92"/>
      <c r="G33" s="92"/>
    </row>
    <row r="34" spans="1:13">
      <c r="A34" s="51" t="s">
        <v>65</v>
      </c>
      <c r="B34" s="95" t="s">
        <v>378</v>
      </c>
      <c r="C34" s="224">
        <v>80</v>
      </c>
      <c r="D34" s="264" t="s">
        <v>55</v>
      </c>
      <c r="E34" s="264">
        <v>100</v>
      </c>
      <c r="F34" s="51"/>
      <c r="G34" s="116">
        <v>50</v>
      </c>
      <c r="I34" s="169" t="s">
        <v>60</v>
      </c>
      <c r="J34" s="168">
        <v>1.2</v>
      </c>
    </row>
    <row r="35" spans="1:13">
      <c r="A35" s="51"/>
      <c r="B35" s="95" t="s">
        <v>379</v>
      </c>
      <c r="C35" s="224">
        <v>58</v>
      </c>
      <c r="D35" s="264" t="s">
        <v>55</v>
      </c>
      <c r="E35" s="264">
        <v>177</v>
      </c>
      <c r="F35" s="51"/>
      <c r="G35" s="116">
        <v>62</v>
      </c>
      <c r="I35" s="169" t="s">
        <v>62</v>
      </c>
      <c r="J35" s="168">
        <v>1</v>
      </c>
      <c r="L35" s="51"/>
    </row>
    <row r="36" spans="1:13">
      <c r="A36" s="51"/>
      <c r="B36" s="7" t="s">
        <v>380</v>
      </c>
      <c r="C36" s="255">
        <v>39</v>
      </c>
      <c r="D36" s="265" t="s">
        <v>55</v>
      </c>
      <c r="E36" s="266" t="s">
        <v>381</v>
      </c>
      <c r="F36" s="5"/>
      <c r="G36" s="267" t="s">
        <v>382</v>
      </c>
      <c r="L36" s="51"/>
      <c r="M36" s="102"/>
    </row>
    <row r="37" spans="1:13">
      <c r="A37" s="92" t="s">
        <v>68</v>
      </c>
      <c r="B37" s="92"/>
      <c r="C37" s="92"/>
      <c r="D37" s="92"/>
      <c r="E37" s="92"/>
      <c r="F37" s="92"/>
      <c r="G37" s="92"/>
      <c r="H37" s="118" t="s">
        <v>70</v>
      </c>
      <c r="K37" s="268" t="s">
        <v>383</v>
      </c>
      <c r="L37" s="1"/>
    </row>
    <row r="38" spans="1:13" ht="15">
      <c r="A38" s="51" t="s">
        <v>71</v>
      </c>
      <c r="B38" s="51"/>
      <c r="C38" s="51"/>
      <c r="D38" s="51"/>
      <c r="E38" s="51"/>
      <c r="F38" s="203"/>
      <c r="G38" s="203">
        <v>3820</v>
      </c>
      <c r="H38" s="119">
        <f>G38*2.471</f>
        <v>9439.2200000000012</v>
      </c>
      <c r="K38" s="269" t="s">
        <v>367</v>
      </c>
      <c r="L38" s="270">
        <v>3419</v>
      </c>
    </row>
    <row r="39" spans="1:13" ht="15">
      <c r="A39" s="51" t="s">
        <v>72</v>
      </c>
      <c r="B39" s="51"/>
      <c r="C39" s="51"/>
      <c r="D39" s="51"/>
      <c r="E39" s="51"/>
      <c r="F39" s="120"/>
      <c r="G39" s="120">
        <v>82</v>
      </c>
      <c r="H39" s="119"/>
      <c r="J39" s="271"/>
      <c r="K39" s="269" t="s">
        <v>245</v>
      </c>
      <c r="L39" s="270">
        <v>3295</v>
      </c>
    </row>
    <row r="40" spans="1:13">
      <c r="A40" s="51" t="s">
        <v>73</v>
      </c>
      <c r="B40" s="51"/>
      <c r="C40" s="51"/>
      <c r="D40" s="51"/>
      <c r="E40" s="51"/>
      <c r="F40" s="120"/>
      <c r="G40" s="120">
        <f>SUM(G38*G39)</f>
        <v>313240</v>
      </c>
      <c r="H40" s="119">
        <f t="shared" ref="H40:H42" si="2">G40*2.471</f>
        <v>774016.04</v>
      </c>
    </row>
    <row r="41" spans="1:13">
      <c r="A41" s="51" t="s">
        <v>74</v>
      </c>
      <c r="B41" s="51"/>
      <c r="C41" s="51"/>
      <c r="D41" s="51"/>
      <c r="E41" s="51"/>
      <c r="F41" s="120"/>
      <c r="G41" s="120">
        <f>SUM(G40-K19)</f>
        <v>85230</v>
      </c>
      <c r="H41" s="119">
        <f t="shared" si="2"/>
        <v>210603.33000000002</v>
      </c>
    </row>
    <row r="42" spans="1:13">
      <c r="A42" s="51" t="s">
        <v>75</v>
      </c>
      <c r="B42" s="51"/>
      <c r="C42" s="51"/>
      <c r="D42" s="51"/>
      <c r="E42" s="51"/>
      <c r="F42" s="120"/>
      <c r="G42" s="120">
        <f>SUM(G40-K20)</f>
        <v>155070</v>
      </c>
      <c r="H42" s="119">
        <f t="shared" si="2"/>
        <v>383177.97000000003</v>
      </c>
    </row>
    <row r="43" spans="1:13">
      <c r="A43" s="51"/>
      <c r="B43" s="51"/>
      <c r="C43" s="51"/>
      <c r="D43" s="51"/>
      <c r="E43" s="51"/>
      <c r="F43" s="120"/>
      <c r="G43" s="120"/>
    </row>
    <row r="44" spans="1:13">
      <c r="A44" s="51" t="s">
        <v>76</v>
      </c>
      <c r="B44" s="51"/>
      <c r="C44" s="51"/>
      <c r="D44" s="51"/>
      <c r="E44" s="51"/>
      <c r="F44" s="120"/>
      <c r="G44" s="120">
        <f>SUM(K19/G38)</f>
        <v>59.688481675392673</v>
      </c>
    </row>
    <row r="45" spans="1:13">
      <c r="A45" s="96" t="s">
        <v>77</v>
      </c>
      <c r="B45" s="96"/>
      <c r="C45" s="96"/>
      <c r="D45" s="96"/>
      <c r="E45" s="96"/>
      <c r="F45" s="121"/>
      <c r="G45" s="121">
        <f>SUM(K20/G38)</f>
        <v>41.405759162303667</v>
      </c>
    </row>
    <row r="47" spans="1:13">
      <c r="A47" s="54" t="s">
        <v>130</v>
      </c>
      <c r="B47" s="217" t="s">
        <v>384</v>
      </c>
      <c r="C47" s="217"/>
      <c r="D47" s="217"/>
      <c r="E47" s="217"/>
      <c r="F47" s="217"/>
      <c r="G47" s="217"/>
      <c r="H47" s="217"/>
    </row>
    <row r="56" spans="7:7">
      <c r="G56" s="54" t="s">
        <v>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61"/>
  <sheetViews>
    <sheetView topLeftCell="A13" workbookViewId="0">
      <selection activeCell="N39" sqref="N39"/>
    </sheetView>
  </sheetViews>
  <sheetFormatPr defaultRowHeight="12.75"/>
  <cols>
    <col min="1" max="1" width="16.28515625" style="38" customWidth="1"/>
    <col min="2" max="2" width="5" style="38" customWidth="1"/>
    <col min="3" max="3" width="4.140625" style="38" customWidth="1"/>
    <col min="4" max="4" width="4.7109375" style="38" customWidth="1"/>
    <col min="5" max="5" width="5.5703125" style="38" customWidth="1"/>
    <col min="6" max="6" width="5.140625" style="38" customWidth="1"/>
    <col min="7" max="7" width="8.85546875" style="38" customWidth="1"/>
    <col min="8" max="8" width="8.28515625" style="38" customWidth="1"/>
    <col min="9" max="9" width="8.85546875" style="38" customWidth="1"/>
    <col min="10" max="10" width="7.85546875" style="38" customWidth="1"/>
    <col min="11" max="11" width="9.28515625" style="38" customWidth="1"/>
    <col min="12" max="12" width="6.28515625" style="38" customWidth="1"/>
    <col min="13" max="13" width="7.7109375" style="38" customWidth="1"/>
    <col min="14" max="17" width="9.140625" style="38"/>
    <col min="18" max="18" width="15.7109375" style="38" bestFit="1" customWidth="1"/>
    <col min="19" max="16384" width="9.140625" style="38"/>
  </cols>
  <sheetData>
    <row r="1" spans="1:20" ht="16.5">
      <c r="A1" s="272" t="s">
        <v>0</v>
      </c>
      <c r="B1" s="272" t="s">
        <v>385</v>
      </c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3"/>
    </row>
    <row r="2" spans="1:20" ht="16.5">
      <c r="A2" s="272"/>
      <c r="B2" s="272" t="s">
        <v>211</v>
      </c>
      <c r="C2" s="272"/>
      <c r="D2" s="272" t="s">
        <v>386</v>
      </c>
      <c r="E2" s="272"/>
      <c r="F2" s="272"/>
      <c r="G2" s="272"/>
      <c r="H2" s="272"/>
      <c r="I2" s="272"/>
      <c r="J2" s="272"/>
      <c r="K2" s="272"/>
      <c r="L2" s="272"/>
      <c r="M2" s="272"/>
      <c r="N2" s="273"/>
    </row>
    <row r="3" spans="1:20">
      <c r="A3" s="274" t="s">
        <v>4</v>
      </c>
      <c r="B3" s="274"/>
      <c r="C3" s="274"/>
      <c r="D3" s="275" t="s">
        <v>5</v>
      </c>
      <c r="E3" s="275" t="s">
        <v>6</v>
      </c>
      <c r="F3" s="275" t="s">
        <v>7</v>
      </c>
      <c r="G3" s="275" t="s">
        <v>8</v>
      </c>
      <c r="H3" s="275" t="s">
        <v>9</v>
      </c>
      <c r="I3" s="275" t="s">
        <v>10</v>
      </c>
      <c r="J3" s="275" t="s">
        <v>11</v>
      </c>
      <c r="K3" s="275" t="s">
        <v>12</v>
      </c>
      <c r="L3" s="276" t="s">
        <v>13</v>
      </c>
      <c r="M3" s="275"/>
      <c r="N3" s="273"/>
    </row>
    <row r="4" spans="1:20">
      <c r="A4" s="277"/>
      <c r="B4" s="277"/>
      <c r="C4" s="277"/>
      <c r="D4" s="278" t="s">
        <v>14</v>
      </c>
      <c r="E4" s="278" t="s">
        <v>15</v>
      </c>
      <c r="F4" s="278" t="s">
        <v>15</v>
      </c>
      <c r="G4" s="278" t="s">
        <v>16</v>
      </c>
      <c r="H4" s="278" t="s">
        <v>17</v>
      </c>
      <c r="I4" s="278" t="s">
        <v>18</v>
      </c>
      <c r="J4" s="278" t="s">
        <v>17</v>
      </c>
      <c r="K4" s="278" t="s">
        <v>17</v>
      </c>
      <c r="L4" s="278" t="s">
        <v>10</v>
      </c>
      <c r="M4" s="278" t="s">
        <v>11</v>
      </c>
      <c r="N4" s="273"/>
    </row>
    <row r="5" spans="1:20">
      <c r="A5" s="277"/>
      <c r="B5" s="277"/>
      <c r="C5" s="277"/>
      <c r="D5" s="278" t="s">
        <v>19</v>
      </c>
      <c r="E5" s="278"/>
      <c r="F5" s="278"/>
      <c r="G5" s="278"/>
      <c r="H5" s="278" t="s">
        <v>20</v>
      </c>
      <c r="I5" s="278" t="s">
        <v>17</v>
      </c>
      <c r="J5" s="278" t="s">
        <v>20</v>
      </c>
      <c r="K5" s="278" t="s">
        <v>20</v>
      </c>
      <c r="L5" s="278"/>
      <c r="M5" s="278"/>
      <c r="N5" s="273"/>
    </row>
    <row r="6" spans="1:20">
      <c r="A6" s="279"/>
      <c r="B6" s="279"/>
      <c r="C6" s="279"/>
      <c r="D6" s="280"/>
      <c r="E6" s="280"/>
      <c r="F6" s="280"/>
      <c r="G6" s="280"/>
      <c r="H6" s="280"/>
      <c r="I6" s="280" t="s">
        <v>20</v>
      </c>
      <c r="J6" s="280"/>
      <c r="K6" s="280"/>
      <c r="L6" s="280"/>
      <c r="M6" s="280"/>
      <c r="N6" s="273"/>
      <c r="P6" s="281"/>
      <c r="Q6" s="281"/>
      <c r="R6" s="281"/>
    </row>
    <row r="7" spans="1:20" ht="14.25">
      <c r="A7" s="277" t="s">
        <v>83</v>
      </c>
      <c r="B7" s="277"/>
      <c r="C7" s="277"/>
      <c r="D7" s="278">
        <v>54</v>
      </c>
      <c r="E7" s="282">
        <v>4.6403061224489797</v>
      </c>
      <c r="F7" s="281">
        <v>4.5178571428571432</v>
      </c>
      <c r="G7" s="282">
        <v>1433.3333333333333</v>
      </c>
      <c r="H7" s="282">
        <v>6651</v>
      </c>
      <c r="I7" s="283"/>
      <c r="J7" s="282">
        <v>1104</v>
      </c>
      <c r="K7" s="282">
        <f t="shared" ref="K7:K16" si="0">SUM(H7:J7)</f>
        <v>7755</v>
      </c>
      <c r="L7" s="278"/>
      <c r="M7" s="278"/>
      <c r="N7" s="5"/>
      <c r="O7" s="5"/>
      <c r="P7" s="5"/>
      <c r="Q7" s="284"/>
      <c r="R7" s="285"/>
    </row>
    <row r="8" spans="1:20" ht="14.25">
      <c r="A8" s="281" t="s">
        <v>21</v>
      </c>
      <c r="B8" s="273"/>
      <c r="C8" s="273"/>
      <c r="D8" s="159">
        <v>100</v>
      </c>
      <c r="E8" s="53">
        <v>7.8453666856168276</v>
      </c>
      <c r="F8" s="53">
        <v>1.3786242183058557</v>
      </c>
      <c r="G8" s="53">
        <v>1106.8131868131868</v>
      </c>
      <c r="H8" s="282">
        <v>8683</v>
      </c>
      <c r="I8" s="286"/>
      <c r="J8" s="286"/>
      <c r="K8" s="282">
        <f t="shared" si="0"/>
        <v>8683</v>
      </c>
      <c r="L8" s="273"/>
      <c r="M8" s="273"/>
      <c r="N8" s="5"/>
      <c r="O8" s="5"/>
      <c r="P8" s="5"/>
      <c r="Q8" s="284"/>
      <c r="R8" s="285"/>
      <c r="S8" s="281"/>
      <c r="T8" s="281"/>
    </row>
    <row r="9" spans="1:20" ht="14.25">
      <c r="A9" s="281" t="s">
        <v>222</v>
      </c>
      <c r="B9" s="273"/>
      <c r="C9" s="273"/>
      <c r="D9" s="287">
        <v>80</v>
      </c>
      <c r="E9" s="282">
        <v>0.46557562076749437</v>
      </c>
      <c r="F9" s="281">
        <v>0.40914221218961627</v>
      </c>
      <c r="G9" s="281">
        <v>1000</v>
      </c>
      <c r="H9" s="282">
        <v>466</v>
      </c>
      <c r="I9" s="288">
        <v>6683</v>
      </c>
      <c r="J9" s="286"/>
      <c r="K9" s="282">
        <f>SUM(H9:J9)</f>
        <v>7149</v>
      </c>
      <c r="L9" s="286"/>
      <c r="M9" s="273"/>
      <c r="N9" s="5"/>
      <c r="O9" s="5"/>
      <c r="P9" s="5"/>
      <c r="Q9" s="284"/>
      <c r="R9" s="285"/>
      <c r="S9" s="281"/>
      <c r="T9" s="281"/>
    </row>
    <row r="10" spans="1:20" ht="14.25">
      <c r="A10" s="281" t="s">
        <v>387</v>
      </c>
      <c r="B10" s="273"/>
      <c r="C10" s="273"/>
      <c r="D10" s="289" t="s">
        <v>330</v>
      </c>
      <c r="E10" s="290" t="s">
        <v>388</v>
      </c>
      <c r="F10" s="291" t="s">
        <v>389</v>
      </c>
      <c r="G10" s="292">
        <v>1000</v>
      </c>
      <c r="H10" s="282" t="s">
        <v>390</v>
      </c>
      <c r="I10" s="293"/>
      <c r="J10" s="286"/>
      <c r="K10" s="53">
        <v>0</v>
      </c>
      <c r="L10" s="273"/>
      <c r="M10" s="273"/>
      <c r="N10" s="5"/>
      <c r="O10" s="5"/>
      <c r="P10" s="5"/>
      <c r="Q10" s="284"/>
      <c r="R10" s="285"/>
      <c r="S10" s="281"/>
      <c r="T10" s="281"/>
    </row>
    <row r="11" spans="1:20" ht="14.25">
      <c r="A11" s="281" t="s">
        <v>391</v>
      </c>
      <c r="B11" s="273"/>
      <c r="C11" s="273"/>
      <c r="D11" s="294">
        <v>100</v>
      </c>
      <c r="E11" s="282">
        <v>9.0343698854337156</v>
      </c>
      <c r="F11" s="282">
        <v>2.0189852700490998</v>
      </c>
      <c r="G11" s="282">
        <v>1156.4339781328849</v>
      </c>
      <c r="H11" s="282">
        <v>10448</v>
      </c>
      <c r="I11" s="286"/>
      <c r="J11" s="282" t="s">
        <v>392</v>
      </c>
      <c r="K11" s="282">
        <v>15871</v>
      </c>
      <c r="L11" s="273"/>
      <c r="M11" s="273"/>
      <c r="N11" s="5"/>
      <c r="O11" s="5"/>
      <c r="P11" s="5"/>
      <c r="Q11" s="284"/>
      <c r="R11" s="285"/>
      <c r="S11" s="295"/>
      <c r="T11" s="281"/>
    </row>
    <row r="12" spans="1:20" ht="14.25">
      <c r="A12" s="281" t="s">
        <v>393</v>
      </c>
      <c r="B12" s="273"/>
      <c r="C12" s="273"/>
      <c r="D12" s="294">
        <v>100</v>
      </c>
      <c r="E12" s="288">
        <v>13.23</v>
      </c>
      <c r="F12" s="282">
        <v>2.44</v>
      </c>
      <c r="G12" s="282">
        <v>1065.8683281414008</v>
      </c>
      <c r="H12" s="282">
        <v>14101</v>
      </c>
      <c r="I12" s="286"/>
      <c r="J12" s="282">
        <f>+E26*G26</f>
        <v>7275</v>
      </c>
      <c r="K12" s="282">
        <f t="shared" si="0"/>
        <v>21376</v>
      </c>
      <c r="L12" s="273"/>
      <c r="M12" s="286"/>
      <c r="N12" s="5"/>
      <c r="O12" s="5"/>
      <c r="P12" s="5"/>
      <c r="Q12" s="284"/>
      <c r="R12" s="285"/>
      <c r="S12" s="281"/>
      <c r="T12" s="281"/>
    </row>
    <row r="13" spans="1:20" ht="14.25">
      <c r="A13" s="281" t="s">
        <v>394</v>
      </c>
      <c r="B13" s="273"/>
      <c r="C13" s="273"/>
      <c r="D13" s="294">
        <v>100</v>
      </c>
      <c r="E13" s="288">
        <v>12.76</v>
      </c>
      <c r="F13" s="281">
        <v>1.85</v>
      </c>
      <c r="G13" s="282">
        <v>989.54090527539245</v>
      </c>
      <c r="H13" s="282">
        <v>12627</v>
      </c>
      <c r="I13" s="286"/>
      <c r="J13" s="282"/>
      <c r="K13" s="282">
        <f t="shared" si="0"/>
        <v>12627</v>
      </c>
      <c r="L13" s="273"/>
      <c r="M13" s="273"/>
      <c r="N13" s="5"/>
      <c r="O13" s="5"/>
      <c r="P13" s="5"/>
      <c r="Q13" s="284"/>
      <c r="R13" s="285"/>
      <c r="S13" s="281"/>
      <c r="T13" s="281"/>
    </row>
    <row r="14" spans="1:20" ht="14.25">
      <c r="A14" s="281" t="s">
        <v>34</v>
      </c>
      <c r="B14" s="273"/>
      <c r="C14" s="273"/>
      <c r="D14" s="294">
        <v>100</v>
      </c>
      <c r="E14" s="288">
        <v>6.27</v>
      </c>
      <c r="F14" s="282">
        <v>2.473977086743044</v>
      </c>
      <c r="G14" s="282">
        <v>1039.2090805568048</v>
      </c>
      <c r="H14" s="282">
        <v>6516</v>
      </c>
      <c r="I14" s="286"/>
      <c r="J14" s="288">
        <f>+E36*G36+E37*G37</f>
        <v>18300</v>
      </c>
      <c r="K14" s="282">
        <f>SUM(H14:J14)</f>
        <v>24816</v>
      </c>
      <c r="L14" s="273"/>
      <c r="M14" s="273"/>
      <c r="N14" s="5"/>
      <c r="O14" s="5"/>
      <c r="P14" s="5"/>
      <c r="Q14" s="284"/>
      <c r="R14" s="285"/>
      <c r="S14" s="281"/>
      <c r="T14" s="281"/>
    </row>
    <row r="15" spans="1:20" ht="14.25">
      <c r="A15" s="281" t="s">
        <v>36</v>
      </c>
      <c r="B15" s="273"/>
      <c r="C15" s="273"/>
      <c r="D15" s="294">
        <v>100</v>
      </c>
      <c r="E15" s="282">
        <v>5.8036006546644838</v>
      </c>
      <c r="F15" s="282">
        <v>3.7675941080196398</v>
      </c>
      <c r="G15" s="282">
        <v>1045.0160771704179</v>
      </c>
      <c r="H15" s="282">
        <v>6065</v>
      </c>
      <c r="I15" s="286"/>
      <c r="J15" s="282">
        <v>9685</v>
      </c>
      <c r="K15" s="282">
        <f t="shared" si="0"/>
        <v>15750</v>
      </c>
      <c r="L15" s="273"/>
      <c r="M15" s="273"/>
      <c r="N15" s="5"/>
      <c r="O15" s="5"/>
      <c r="P15" s="5"/>
      <c r="Q15" s="284"/>
      <c r="R15" s="285"/>
      <c r="S15" s="281"/>
      <c r="T15" s="281"/>
    </row>
    <row r="16" spans="1:20" ht="14.25">
      <c r="A16" s="281" t="s">
        <v>92</v>
      </c>
      <c r="B16" s="273"/>
      <c r="C16" s="273"/>
      <c r="D16" s="289">
        <v>100</v>
      </c>
      <c r="E16" s="288">
        <v>17.649999999999999</v>
      </c>
      <c r="F16" s="281">
        <v>12.92</v>
      </c>
      <c r="G16" s="282">
        <v>1057.391304347826</v>
      </c>
      <c r="H16" s="282">
        <v>18663</v>
      </c>
      <c r="I16" s="282">
        <v>7383</v>
      </c>
      <c r="J16" s="286"/>
      <c r="K16" s="282">
        <f t="shared" si="0"/>
        <v>26046</v>
      </c>
      <c r="L16" s="273"/>
      <c r="M16" s="273"/>
      <c r="N16" s="5"/>
      <c r="O16" s="5"/>
      <c r="P16" s="5"/>
      <c r="Q16" s="256"/>
      <c r="R16" s="30"/>
      <c r="S16" s="281"/>
      <c r="T16" s="281"/>
    </row>
    <row r="17" spans="1:20" ht="14.25">
      <c r="A17" s="281" t="s">
        <v>395</v>
      </c>
      <c r="B17" s="273"/>
      <c r="C17" s="273"/>
      <c r="D17" s="289">
        <v>74</v>
      </c>
      <c r="H17" s="296"/>
      <c r="I17" s="296"/>
      <c r="J17" s="296"/>
      <c r="K17" s="53">
        <v>0</v>
      </c>
      <c r="L17" s="273"/>
      <c r="M17" s="273"/>
      <c r="N17" s="5"/>
      <c r="O17" s="5"/>
      <c r="P17" s="5"/>
      <c r="Q17" s="256"/>
      <c r="R17" s="30"/>
      <c r="S17" s="281"/>
      <c r="T17" s="281"/>
    </row>
    <row r="18" spans="1:20">
      <c r="A18" s="281" t="s">
        <v>396</v>
      </c>
      <c r="B18" s="273"/>
      <c r="C18" s="273"/>
      <c r="D18" s="289" t="s">
        <v>397</v>
      </c>
      <c r="E18" s="290" t="s">
        <v>398</v>
      </c>
      <c r="F18" s="297" t="s">
        <v>399</v>
      </c>
      <c r="G18" s="282">
        <v>1011.25</v>
      </c>
      <c r="H18" s="159" t="s">
        <v>400</v>
      </c>
      <c r="I18" s="296"/>
      <c r="J18" s="296"/>
      <c r="K18" s="53">
        <v>0</v>
      </c>
      <c r="L18" s="273"/>
      <c r="M18" s="273"/>
      <c r="N18" s="273"/>
      <c r="P18" s="298"/>
      <c r="Q18" s="299"/>
    </row>
    <row r="19" spans="1:20">
      <c r="A19" s="274" t="s">
        <v>42</v>
      </c>
      <c r="B19" s="274"/>
      <c r="C19" s="274"/>
      <c r="D19" s="300"/>
      <c r="E19" s="301">
        <f>SUM(E7:E18)</f>
        <v>77.699218968931504</v>
      </c>
      <c r="F19" s="301">
        <f>SUM(F7:F18)</f>
        <v>31.776180038164398</v>
      </c>
      <c r="G19" s="301"/>
      <c r="H19" s="302">
        <f>SUM(H7:H18)</f>
        <v>84220</v>
      </c>
      <c r="I19" s="302">
        <f>SUM(I7:I18)</f>
        <v>14066</v>
      </c>
      <c r="J19" s="302">
        <v>41787</v>
      </c>
      <c r="K19" s="302">
        <f>SUM(K7:K18)</f>
        <v>140073</v>
      </c>
      <c r="L19" s="301">
        <f>SUM(L8:L17)</f>
        <v>0</v>
      </c>
      <c r="M19" s="301">
        <f>SUM(M8:M17)</f>
        <v>0</v>
      </c>
      <c r="N19" s="273"/>
      <c r="P19" s="53"/>
      <c r="Q19" s="53"/>
    </row>
    <row r="20" spans="1:20">
      <c r="A20" s="279" t="s">
        <v>43</v>
      </c>
      <c r="B20" s="279"/>
      <c r="C20" s="279"/>
      <c r="D20" s="303"/>
      <c r="E20" s="304">
        <f>SUM(E19-F19)</f>
        <v>45.923038930767106</v>
      </c>
      <c r="F20" s="304"/>
      <c r="G20" s="304"/>
      <c r="H20" s="304">
        <f>SUM(E31*G31)</f>
        <v>49680</v>
      </c>
      <c r="I20" s="304">
        <f>+I19-L19</f>
        <v>14066</v>
      </c>
      <c r="J20" s="304">
        <f>J19-M19</f>
        <v>41787</v>
      </c>
      <c r="K20" s="304">
        <f>SUM(H20:J20)</f>
        <v>105533</v>
      </c>
      <c r="L20" s="305"/>
      <c r="M20" s="305"/>
      <c r="N20" s="273"/>
    </row>
    <row r="21" spans="1:20">
      <c r="A21" s="281" t="s">
        <v>401</v>
      </c>
      <c r="B21" s="273"/>
      <c r="C21" s="273"/>
      <c r="D21" s="273"/>
      <c r="E21" s="273"/>
      <c r="F21" s="273"/>
      <c r="G21" s="273"/>
      <c r="H21" s="273"/>
      <c r="I21" s="286"/>
      <c r="J21" s="273"/>
      <c r="K21" s="296"/>
      <c r="L21" s="273"/>
      <c r="M21" s="273"/>
      <c r="N21" s="273"/>
    </row>
    <row r="22" spans="1:20" ht="14.25">
      <c r="A22" s="54" t="s">
        <v>402</v>
      </c>
      <c r="B22" s="273"/>
      <c r="C22" s="281" t="s">
        <v>44</v>
      </c>
      <c r="D22" s="273"/>
      <c r="E22" s="273"/>
      <c r="F22" s="273"/>
      <c r="G22" s="273"/>
      <c r="H22" s="273"/>
      <c r="I22" s="273"/>
      <c r="J22" s="273"/>
      <c r="K22" s="286"/>
      <c r="L22" s="273"/>
      <c r="M22" s="273"/>
      <c r="N22" s="273"/>
    </row>
    <row r="23" spans="1:20">
      <c r="A23" s="273"/>
      <c r="B23" s="273"/>
      <c r="C23" s="273"/>
      <c r="D23" s="273"/>
      <c r="E23" s="273"/>
      <c r="F23" s="273"/>
      <c r="G23" s="273"/>
      <c r="H23" s="273"/>
      <c r="I23" s="286"/>
      <c r="J23" s="273"/>
      <c r="K23" s="273"/>
      <c r="L23" s="273"/>
      <c r="M23" s="273"/>
      <c r="N23" s="273"/>
    </row>
    <row r="24" spans="1:20" ht="13.5">
      <c r="A24" s="281" t="s">
        <v>45</v>
      </c>
      <c r="B24" s="273"/>
      <c r="C24" s="273"/>
      <c r="D24" s="273"/>
      <c r="E24" s="273"/>
      <c r="F24" s="273"/>
      <c r="G24" s="273"/>
      <c r="H24" s="273"/>
      <c r="I24" s="273"/>
      <c r="K24" s="306"/>
      <c r="L24" s="273"/>
      <c r="M24" s="273"/>
      <c r="N24" s="273"/>
    </row>
    <row r="25" spans="1:20" ht="16.5">
      <c r="A25" s="307" t="s">
        <v>46</v>
      </c>
      <c r="B25" s="307"/>
      <c r="C25" s="307"/>
      <c r="D25" s="307" t="s">
        <v>47</v>
      </c>
      <c r="E25" s="307" t="s">
        <v>48</v>
      </c>
      <c r="F25" s="307"/>
      <c r="G25" s="307" t="s">
        <v>49</v>
      </c>
      <c r="H25" s="273"/>
      <c r="I25" s="308"/>
      <c r="J25" s="309" t="s">
        <v>50</v>
      </c>
      <c r="K25" s="310" t="s">
        <v>51</v>
      </c>
      <c r="L25" s="273"/>
      <c r="M25" s="273"/>
      <c r="N25" s="273"/>
    </row>
    <row r="26" spans="1:20" ht="13.5">
      <c r="A26" s="281" t="s">
        <v>52</v>
      </c>
      <c r="B26" s="273"/>
      <c r="C26" s="159">
        <v>54</v>
      </c>
      <c r="D26" s="281" t="s">
        <v>403</v>
      </c>
      <c r="E26" s="53">
        <v>97</v>
      </c>
      <c r="F26" s="273"/>
      <c r="G26" s="282">
        <v>75</v>
      </c>
      <c r="H26" s="273"/>
      <c r="I26" s="273"/>
      <c r="J26" s="311" t="s">
        <v>404</v>
      </c>
      <c r="K26" s="312">
        <v>46.507364975450081</v>
      </c>
      <c r="L26" s="273"/>
      <c r="M26" s="273"/>
      <c r="N26" s="273"/>
    </row>
    <row r="27" spans="1:20">
      <c r="A27" s="281" t="s">
        <v>405</v>
      </c>
      <c r="B27" s="273"/>
      <c r="C27" s="53" t="s">
        <v>406</v>
      </c>
      <c r="D27" s="273"/>
      <c r="E27" s="159" t="s">
        <v>407</v>
      </c>
      <c r="F27" s="273"/>
      <c r="G27" s="282" t="s">
        <v>408</v>
      </c>
      <c r="H27" s="273"/>
      <c r="I27" s="273"/>
      <c r="J27" s="313" t="s">
        <v>409</v>
      </c>
      <c r="K27" s="312">
        <v>31.266775777414075</v>
      </c>
      <c r="L27" s="273"/>
      <c r="M27" s="273"/>
      <c r="N27" s="273"/>
    </row>
    <row r="28" spans="1:20" ht="13.5">
      <c r="A28" s="281"/>
      <c r="B28" s="273"/>
      <c r="C28" s="273"/>
      <c r="D28" s="273"/>
      <c r="E28" s="273"/>
      <c r="F28" s="273"/>
      <c r="G28" s="314"/>
      <c r="H28" s="273"/>
      <c r="I28" s="273"/>
      <c r="J28" s="311" t="s">
        <v>125</v>
      </c>
      <c r="K28" s="312">
        <v>22.225859247135844</v>
      </c>
      <c r="L28" s="286"/>
      <c r="M28" s="273"/>
      <c r="N28" s="273"/>
    </row>
    <row r="29" spans="1:20" ht="13.5">
      <c r="A29" s="281"/>
      <c r="B29" s="273"/>
      <c r="C29" s="273"/>
      <c r="D29" s="273"/>
      <c r="E29" s="273"/>
      <c r="F29" s="273"/>
      <c r="G29" s="273"/>
      <c r="H29" s="273"/>
      <c r="I29" s="273"/>
      <c r="J29" s="314"/>
      <c r="K29" s="315"/>
      <c r="L29" s="273"/>
      <c r="M29" s="273"/>
      <c r="N29" s="273"/>
    </row>
    <row r="30" spans="1:20" ht="13.5">
      <c r="A30" s="281" t="s">
        <v>57</v>
      </c>
      <c r="B30" s="273"/>
      <c r="C30" s="273"/>
      <c r="D30" s="273"/>
      <c r="E30" s="273"/>
      <c r="F30" s="273"/>
      <c r="G30" s="273"/>
      <c r="H30" s="273"/>
      <c r="I30" s="273"/>
      <c r="J30" s="314"/>
      <c r="K30" s="316"/>
      <c r="L30" s="273"/>
      <c r="M30" s="273"/>
      <c r="N30" s="273"/>
    </row>
    <row r="31" spans="1:20" ht="13.5">
      <c r="A31" s="281" t="s">
        <v>58</v>
      </c>
      <c r="B31" s="273"/>
      <c r="C31" s="273"/>
      <c r="D31" s="281" t="s">
        <v>59</v>
      </c>
      <c r="E31" s="282">
        <v>46</v>
      </c>
      <c r="F31" s="282"/>
      <c r="G31" s="282">
        <v>1080</v>
      </c>
      <c r="H31" s="273"/>
      <c r="I31" s="273"/>
      <c r="J31" s="314"/>
      <c r="K31" s="316"/>
      <c r="L31" s="273"/>
      <c r="M31" s="273"/>
      <c r="N31" s="273"/>
    </row>
    <row r="32" spans="1:20" ht="13.5">
      <c r="A32" s="281" t="s">
        <v>61</v>
      </c>
      <c r="B32" s="273"/>
      <c r="C32" s="273"/>
      <c r="D32" s="281" t="s">
        <v>59</v>
      </c>
      <c r="E32" s="282">
        <v>32</v>
      </c>
      <c r="F32" s="282"/>
      <c r="G32" s="282"/>
      <c r="H32" s="273"/>
      <c r="I32" s="273"/>
      <c r="J32" s="317"/>
      <c r="K32" s="318"/>
      <c r="L32" s="273"/>
      <c r="M32" s="273"/>
      <c r="N32" s="273"/>
    </row>
    <row r="33" spans="1:14" ht="13.5">
      <c r="A33" s="281" t="s">
        <v>6</v>
      </c>
      <c r="B33" s="273"/>
      <c r="C33" s="273"/>
      <c r="D33" s="281"/>
      <c r="E33" s="282">
        <f>+E31+E32</f>
        <v>78</v>
      </c>
      <c r="F33" s="282"/>
      <c r="G33" s="282"/>
      <c r="H33" s="273"/>
      <c r="I33" s="273"/>
      <c r="J33" s="311" t="s">
        <v>98</v>
      </c>
      <c r="K33" s="319">
        <v>0.63645833333333335</v>
      </c>
      <c r="L33" s="273"/>
      <c r="M33" s="273"/>
      <c r="N33" s="273"/>
    </row>
    <row r="34" spans="1:14" ht="13.5">
      <c r="A34" s="273"/>
      <c r="B34" s="273"/>
      <c r="C34" s="273"/>
      <c r="D34" s="273"/>
      <c r="E34" s="273"/>
      <c r="F34" s="273"/>
      <c r="G34" s="273"/>
      <c r="H34" s="273"/>
      <c r="I34" s="273"/>
      <c r="J34" s="320" t="s">
        <v>99</v>
      </c>
      <c r="K34" s="321" t="s">
        <v>410</v>
      </c>
      <c r="L34" s="273"/>
      <c r="M34" s="273"/>
      <c r="N34" s="273"/>
    </row>
    <row r="35" spans="1:14" ht="15">
      <c r="A35" s="274" t="s">
        <v>63</v>
      </c>
      <c r="B35" s="274"/>
      <c r="C35" s="274" t="s">
        <v>64</v>
      </c>
      <c r="D35" s="274"/>
      <c r="E35" s="322"/>
      <c r="F35" s="322"/>
      <c r="G35" s="322"/>
      <c r="H35" s="273"/>
      <c r="I35" s="273"/>
      <c r="J35" s="273"/>
      <c r="K35" s="323"/>
      <c r="L35" s="273"/>
      <c r="M35" s="273"/>
      <c r="N35" s="273"/>
    </row>
    <row r="36" spans="1:14">
      <c r="A36" s="277" t="s">
        <v>411</v>
      </c>
      <c r="B36" s="324"/>
      <c r="C36" s="325">
        <v>84</v>
      </c>
      <c r="D36" s="277" t="s">
        <v>55</v>
      </c>
      <c r="E36" s="326">
        <v>305</v>
      </c>
      <c r="F36" s="277"/>
      <c r="G36" s="288">
        <v>60</v>
      </c>
      <c r="H36" s="281"/>
      <c r="I36" s="273"/>
      <c r="J36" s="286"/>
      <c r="K36" s="273"/>
      <c r="L36" s="273"/>
      <c r="M36" s="273"/>
      <c r="N36" s="273"/>
    </row>
    <row r="37" spans="1:14">
      <c r="A37" s="277"/>
      <c r="B37" s="324"/>
      <c r="C37" s="327"/>
      <c r="D37" s="277"/>
      <c r="E37" s="328"/>
      <c r="F37" s="277"/>
      <c r="G37" s="328"/>
      <c r="H37" s="281"/>
      <c r="I37" s="273"/>
      <c r="J37" s="273"/>
      <c r="K37" s="273"/>
      <c r="L37" s="273"/>
      <c r="M37" s="273"/>
      <c r="N37" s="273"/>
    </row>
    <row r="38" spans="1:14">
      <c r="A38" s="329"/>
      <c r="B38" s="324"/>
      <c r="C38" s="327"/>
      <c r="D38" s="329"/>
      <c r="E38" s="330"/>
      <c r="F38" s="329"/>
      <c r="G38" s="330"/>
      <c r="H38" s="273"/>
      <c r="I38" s="273"/>
      <c r="J38" s="273"/>
      <c r="K38" s="273"/>
      <c r="L38" s="273"/>
      <c r="M38" s="273"/>
      <c r="N38" s="273"/>
    </row>
    <row r="39" spans="1:14">
      <c r="A39" s="329"/>
      <c r="B39" s="331"/>
      <c r="C39" s="332"/>
      <c r="D39" s="329"/>
      <c r="E39" s="329"/>
      <c r="F39" s="329"/>
      <c r="G39" s="329"/>
      <c r="H39" s="273"/>
      <c r="I39" s="273"/>
      <c r="J39" s="273"/>
      <c r="K39" s="273"/>
      <c r="L39" s="273"/>
      <c r="M39" s="273"/>
      <c r="N39" s="273"/>
    </row>
    <row r="40" spans="1:14">
      <c r="A40" s="329"/>
      <c r="B40" s="331"/>
      <c r="C40" s="333"/>
      <c r="D40" s="273"/>
      <c r="E40" s="329"/>
      <c r="F40" s="329"/>
      <c r="G40" s="329"/>
      <c r="H40" s="273"/>
      <c r="I40" s="273"/>
      <c r="J40" s="273"/>
      <c r="K40" s="273"/>
      <c r="L40" s="273"/>
      <c r="M40" s="273"/>
      <c r="N40" s="273"/>
    </row>
    <row r="41" spans="1:14">
      <c r="A41" s="273"/>
      <c r="B41" s="273"/>
      <c r="C41" s="273"/>
      <c r="D41" s="273"/>
      <c r="E41" s="273"/>
      <c r="F41" s="273"/>
      <c r="G41" s="273"/>
      <c r="H41" s="273"/>
      <c r="I41" s="273"/>
      <c r="J41" s="273"/>
      <c r="K41" s="273"/>
      <c r="L41" s="273"/>
      <c r="M41" s="273"/>
      <c r="N41" s="273"/>
    </row>
    <row r="42" spans="1:14">
      <c r="A42" s="274" t="s">
        <v>68</v>
      </c>
      <c r="B42" s="274"/>
      <c r="C42" s="274"/>
      <c r="D42" s="274"/>
      <c r="E42" s="274"/>
      <c r="F42" s="274"/>
      <c r="G42" s="274"/>
      <c r="H42" s="281"/>
      <c r="I42" s="281" t="s">
        <v>412</v>
      </c>
      <c r="J42" s="281"/>
      <c r="K42" s="273"/>
      <c r="L42" s="273"/>
      <c r="M42" s="273"/>
      <c r="N42" s="273"/>
    </row>
    <row r="43" spans="1:14">
      <c r="A43" s="277" t="s">
        <v>71</v>
      </c>
      <c r="B43" s="277"/>
      <c r="C43" s="277"/>
      <c r="D43" s="277"/>
      <c r="E43" s="277"/>
      <c r="F43" s="277"/>
      <c r="G43" s="282">
        <v>8505</v>
      </c>
      <c r="H43" s="281"/>
      <c r="I43" s="334">
        <v>21016</v>
      </c>
      <c r="J43" s="281"/>
      <c r="K43" s="273"/>
      <c r="L43" s="273"/>
      <c r="M43" s="273"/>
      <c r="N43" s="273"/>
    </row>
    <row r="44" spans="1:14">
      <c r="A44" s="277" t="s">
        <v>72</v>
      </c>
      <c r="B44" s="277"/>
      <c r="C44" s="277"/>
      <c r="D44" s="277"/>
      <c r="E44" s="277"/>
      <c r="F44" s="277"/>
      <c r="G44" s="288">
        <v>11</v>
      </c>
      <c r="H44" s="281"/>
      <c r="I44" s="334"/>
      <c r="J44" s="281"/>
      <c r="K44" s="273"/>
      <c r="L44" s="273"/>
      <c r="M44" s="273"/>
      <c r="N44" s="273"/>
    </row>
    <row r="45" spans="1:14">
      <c r="A45" s="277" t="s">
        <v>73</v>
      </c>
      <c r="B45" s="277"/>
      <c r="C45" s="277"/>
      <c r="D45" s="277"/>
      <c r="E45" s="277"/>
      <c r="F45" s="277"/>
      <c r="G45" s="328">
        <f>SUM(G43*G44)</f>
        <v>93555</v>
      </c>
      <c r="H45" s="281"/>
      <c r="I45" s="334">
        <v>231174</v>
      </c>
      <c r="J45" s="281"/>
      <c r="K45" s="273"/>
      <c r="L45" s="273"/>
      <c r="M45" s="273"/>
      <c r="N45" s="273"/>
    </row>
    <row r="46" spans="1:14">
      <c r="A46" s="277" t="s">
        <v>74</v>
      </c>
      <c r="B46" s="277"/>
      <c r="C46" s="277"/>
      <c r="D46" s="277"/>
      <c r="E46" s="277"/>
      <c r="F46" s="277"/>
      <c r="G46" s="328">
        <f>SUM(G45-K19)</f>
        <v>-46518</v>
      </c>
      <c r="H46" s="281"/>
      <c r="I46" s="334">
        <f>G46*2.471</f>
        <v>-114945.978</v>
      </c>
      <c r="J46" s="281"/>
      <c r="K46" s="273"/>
      <c r="L46" s="273"/>
      <c r="M46" s="273"/>
      <c r="N46" s="273"/>
    </row>
    <row r="47" spans="1:14">
      <c r="A47" s="277" t="s">
        <v>75</v>
      </c>
      <c r="B47" s="277"/>
      <c r="C47" s="277"/>
      <c r="D47" s="277"/>
      <c r="E47" s="277"/>
      <c r="F47" s="277"/>
      <c r="G47" s="328">
        <f>+G45-K20</f>
        <v>-11978</v>
      </c>
      <c r="H47" s="334"/>
      <c r="I47" s="334">
        <f>G47*2.471</f>
        <v>-29597.638000000003</v>
      </c>
      <c r="J47" s="281"/>
      <c r="K47" s="273"/>
      <c r="L47" s="273"/>
      <c r="M47" s="273"/>
      <c r="N47" s="273"/>
    </row>
    <row r="48" spans="1:14">
      <c r="A48" s="277"/>
      <c r="B48" s="277"/>
      <c r="C48" s="277"/>
      <c r="D48" s="277"/>
      <c r="E48" s="277"/>
      <c r="F48" s="277"/>
      <c r="G48" s="335"/>
      <c r="H48" s="281"/>
      <c r="I48" s="281"/>
      <c r="J48" s="281"/>
      <c r="K48" s="273"/>
      <c r="L48" s="273"/>
      <c r="M48" s="273"/>
      <c r="N48" s="273"/>
    </row>
    <row r="49" spans="1:14">
      <c r="A49" s="277" t="s">
        <v>76</v>
      </c>
      <c r="B49" s="277"/>
      <c r="C49" s="277"/>
      <c r="D49" s="277"/>
      <c r="E49" s="277"/>
      <c r="F49" s="277"/>
      <c r="G49" s="335">
        <f>SUM(K19/G43)</f>
        <v>16.469488536155204</v>
      </c>
      <c r="H49" s="281"/>
      <c r="I49" s="281"/>
      <c r="J49" s="281"/>
      <c r="K49" s="273"/>
      <c r="L49" s="273"/>
      <c r="M49" s="273"/>
      <c r="N49" s="273"/>
    </row>
    <row r="50" spans="1:14">
      <c r="A50" s="279" t="s">
        <v>77</v>
      </c>
      <c r="B50" s="279"/>
      <c r="C50" s="279"/>
      <c r="D50" s="279"/>
      <c r="E50" s="279"/>
      <c r="F50" s="279"/>
      <c r="G50" s="336">
        <f>SUM(K20/G43)</f>
        <v>12.408348030570252</v>
      </c>
      <c r="H50" s="281"/>
      <c r="I50" s="281"/>
      <c r="J50" s="281"/>
      <c r="K50" s="273"/>
      <c r="L50" s="273"/>
      <c r="M50" s="273"/>
      <c r="N50" s="273"/>
    </row>
    <row r="51" spans="1:14">
      <c r="A51" s="273"/>
      <c r="B51" s="273"/>
      <c r="C51" s="273"/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</row>
    <row r="52" spans="1:14" ht="18">
      <c r="A52" s="337" t="s">
        <v>413</v>
      </c>
      <c r="B52" s="273"/>
      <c r="C52" s="273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</row>
    <row r="53" spans="1:14">
      <c r="A53" s="273"/>
      <c r="B53" s="273"/>
      <c r="C53" s="273"/>
      <c r="D53" s="273"/>
      <c r="E53" s="273"/>
      <c r="F53" s="273"/>
      <c r="G53" s="273"/>
      <c r="H53" s="273"/>
      <c r="I53" s="273"/>
      <c r="J53" s="273"/>
      <c r="K53" s="273"/>
      <c r="L53" s="273"/>
      <c r="M53" s="273"/>
      <c r="N53" s="273"/>
    </row>
    <row r="54" spans="1:14">
      <c r="A54" s="273"/>
      <c r="B54" s="273"/>
      <c r="C54" s="273"/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/>
    </row>
    <row r="55" spans="1:14">
      <c r="A55" s="273"/>
      <c r="B55" s="273"/>
      <c r="C55" s="273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</row>
    <row r="61" spans="1:14">
      <c r="G61" s="38" t="s">
        <v>80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X975"/>
  <sheetViews>
    <sheetView workbookViewId="0">
      <selection sqref="A1:XFD1048576"/>
    </sheetView>
  </sheetViews>
  <sheetFormatPr defaultColWidth="12.5703125" defaultRowHeight="14.25"/>
  <cols>
    <col min="1" max="2" width="8" style="338" customWidth="1"/>
    <col min="3" max="3" width="5.5703125" style="338" customWidth="1"/>
    <col min="4" max="4" width="4.5703125" style="338" customWidth="1"/>
    <col min="5" max="5" width="6.140625" style="338" customWidth="1"/>
    <col min="6" max="6" width="5.85546875" style="338" customWidth="1"/>
    <col min="7" max="7" width="9.7109375" style="338" customWidth="1"/>
    <col min="8" max="8" width="9.140625" style="338" customWidth="1"/>
    <col min="9" max="9" width="8.28515625" style="338" customWidth="1"/>
    <col min="10" max="10" width="10" style="338" customWidth="1"/>
    <col min="11" max="11" width="9.42578125" style="338" customWidth="1"/>
    <col min="12" max="12" width="8" style="338" customWidth="1"/>
    <col min="13" max="13" width="6.140625" style="338" customWidth="1"/>
    <col min="14" max="24" width="7.5703125" style="338" customWidth="1"/>
    <col min="25" max="16384" width="12.5703125" style="338"/>
  </cols>
  <sheetData>
    <row r="1" spans="1:24">
      <c r="A1" s="54" t="s">
        <v>0</v>
      </c>
      <c r="B1" s="54" t="s">
        <v>414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</row>
    <row r="2" spans="1:24">
      <c r="A2" s="54"/>
      <c r="B2" s="54" t="s">
        <v>415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</row>
    <row r="3" spans="1:24">
      <c r="A3" s="54"/>
      <c r="B3" s="54" t="s">
        <v>339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</row>
    <row r="4" spans="1:24">
      <c r="A4" s="339" t="s">
        <v>4</v>
      </c>
      <c r="B4" s="339"/>
      <c r="C4" s="339"/>
      <c r="D4" s="340" t="s">
        <v>5</v>
      </c>
      <c r="E4" s="340" t="s">
        <v>6</v>
      </c>
      <c r="F4" s="340" t="s">
        <v>7</v>
      </c>
      <c r="G4" s="340" t="s">
        <v>8</v>
      </c>
      <c r="H4" s="340" t="s">
        <v>9</v>
      </c>
      <c r="I4" s="340" t="s">
        <v>10</v>
      </c>
      <c r="J4" s="340" t="s">
        <v>11</v>
      </c>
      <c r="K4" s="340" t="s">
        <v>12</v>
      </c>
      <c r="L4" s="341" t="s">
        <v>13</v>
      </c>
      <c r="M4" s="340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</row>
    <row r="5" spans="1:24">
      <c r="A5" s="54"/>
      <c r="B5" s="54"/>
      <c r="C5" s="54"/>
      <c r="D5" s="244" t="s">
        <v>14</v>
      </c>
      <c r="E5" s="244" t="s">
        <v>15</v>
      </c>
      <c r="F5" s="244" t="s">
        <v>15</v>
      </c>
      <c r="G5" s="244" t="s">
        <v>16</v>
      </c>
      <c r="H5" s="244" t="s">
        <v>17</v>
      </c>
      <c r="I5" s="244" t="s">
        <v>18</v>
      </c>
      <c r="J5" s="244" t="s">
        <v>17</v>
      </c>
      <c r="K5" s="244" t="s">
        <v>17</v>
      </c>
      <c r="L5" s="342" t="s">
        <v>10</v>
      </c>
      <c r="M5" s="244" t="s">
        <v>11</v>
      </c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</row>
    <row r="6" spans="1:24">
      <c r="A6" s="54"/>
      <c r="B6" s="54"/>
      <c r="C6" s="54"/>
      <c r="D6" s="244" t="s">
        <v>19</v>
      </c>
      <c r="E6" s="244"/>
      <c r="F6" s="244"/>
      <c r="G6" s="244"/>
      <c r="H6" s="244" t="s">
        <v>20</v>
      </c>
      <c r="I6" s="244" t="s">
        <v>17</v>
      </c>
      <c r="J6" s="244" t="s">
        <v>20</v>
      </c>
      <c r="K6" s="244" t="s">
        <v>20</v>
      </c>
      <c r="L6" s="244"/>
      <c r="M6" s="24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</row>
    <row r="7" spans="1:24">
      <c r="A7" s="343"/>
      <c r="B7" s="343"/>
      <c r="C7" s="343"/>
      <c r="D7" s="344"/>
      <c r="E7" s="344"/>
      <c r="F7" s="344"/>
      <c r="G7" s="344"/>
      <c r="H7" s="344"/>
      <c r="I7" s="344" t="s">
        <v>20</v>
      </c>
      <c r="J7" s="344"/>
      <c r="K7" s="344"/>
      <c r="L7" s="344"/>
      <c r="M7" s="344"/>
      <c r="N7" s="54"/>
      <c r="O7" s="51"/>
      <c r="P7" s="51"/>
      <c r="Q7" s="51"/>
      <c r="R7" s="51"/>
      <c r="S7" s="51"/>
      <c r="T7" s="54"/>
      <c r="U7" s="54"/>
      <c r="V7" s="54"/>
      <c r="W7" s="54"/>
      <c r="X7" s="54"/>
    </row>
    <row r="8" spans="1:24">
      <c r="A8" s="54" t="s">
        <v>21</v>
      </c>
      <c r="B8" s="54"/>
      <c r="C8" s="54"/>
      <c r="D8" s="345">
        <v>68</v>
      </c>
      <c r="E8" s="99">
        <v>5.45</v>
      </c>
      <c r="F8" s="99">
        <f>2.9+0.6</f>
        <v>3.5</v>
      </c>
      <c r="G8" s="99">
        <v>1047.8</v>
      </c>
      <c r="H8" s="99">
        <v>5711</v>
      </c>
      <c r="I8" s="54"/>
      <c r="J8" s="99"/>
      <c r="K8" s="99">
        <f t="shared" ref="K8:K20" si="0">SUM(H8:J8)</f>
        <v>5711</v>
      </c>
      <c r="L8" s="54"/>
      <c r="M8" s="54"/>
      <c r="N8" s="54"/>
      <c r="O8" s="5"/>
      <c r="P8" s="5"/>
      <c r="Q8" s="5"/>
      <c r="R8" s="30"/>
      <c r="S8" s="51"/>
      <c r="T8" s="54"/>
      <c r="U8" s="54"/>
      <c r="V8" s="54"/>
      <c r="W8" s="54"/>
      <c r="X8" s="54"/>
    </row>
    <row r="9" spans="1:24">
      <c r="A9" s="54" t="s">
        <v>340</v>
      </c>
      <c r="B9" s="54"/>
      <c r="C9" s="54"/>
      <c r="D9" s="345" t="s">
        <v>416</v>
      </c>
      <c r="E9" s="99" t="s">
        <v>417</v>
      </c>
      <c r="F9" s="99" t="s">
        <v>219</v>
      </c>
      <c r="G9" s="99">
        <v>1045</v>
      </c>
      <c r="H9" s="99" t="s">
        <v>418</v>
      </c>
      <c r="I9" s="54"/>
      <c r="J9" s="99"/>
      <c r="K9" s="99">
        <f t="shared" si="0"/>
        <v>0</v>
      </c>
      <c r="L9" s="54"/>
      <c r="M9" s="54"/>
      <c r="N9" s="54"/>
      <c r="O9" s="5"/>
      <c r="P9" s="5"/>
      <c r="Q9" s="5"/>
      <c r="R9" s="30"/>
      <c r="S9" s="51"/>
      <c r="T9" s="54"/>
      <c r="U9" s="54"/>
      <c r="V9" s="54"/>
      <c r="W9" s="54"/>
      <c r="X9" s="54"/>
    </row>
    <row r="10" spans="1:24">
      <c r="A10" s="54" t="s">
        <v>346</v>
      </c>
      <c r="B10" s="54"/>
      <c r="C10" s="54"/>
      <c r="D10" s="345">
        <v>54</v>
      </c>
      <c r="E10" s="99">
        <v>0.5</v>
      </c>
      <c r="F10" s="99">
        <v>0.5</v>
      </c>
      <c r="G10" s="99">
        <v>1000</v>
      </c>
      <c r="H10" s="99">
        <f t="shared" ref="H10:H17" si="1">SUM(E10*G10)</f>
        <v>500</v>
      </c>
      <c r="I10" s="54">
        <v>8721</v>
      </c>
      <c r="J10" s="99"/>
      <c r="K10" s="99">
        <f t="shared" si="0"/>
        <v>9221</v>
      </c>
      <c r="L10" s="54">
        <v>2067</v>
      </c>
      <c r="M10" s="54"/>
      <c r="N10" s="54"/>
      <c r="O10" s="5"/>
      <c r="P10" s="5"/>
      <c r="Q10" s="5"/>
      <c r="R10" s="30"/>
      <c r="S10" s="51"/>
      <c r="T10" s="54"/>
      <c r="U10" s="54"/>
      <c r="V10" s="54"/>
      <c r="W10" s="54"/>
      <c r="X10" s="54"/>
    </row>
    <row r="11" spans="1:24">
      <c r="A11" s="54" t="s">
        <v>347</v>
      </c>
      <c r="B11" s="54"/>
      <c r="C11" s="54"/>
      <c r="D11" s="345">
        <v>100</v>
      </c>
      <c r="E11" s="99">
        <v>7.8</v>
      </c>
      <c r="F11" s="99">
        <f>3.1+0.3</f>
        <v>3.4</v>
      </c>
      <c r="G11" s="99">
        <v>1030.3</v>
      </c>
      <c r="H11" s="99">
        <v>8036</v>
      </c>
      <c r="I11" s="54"/>
      <c r="J11" s="99"/>
      <c r="K11" s="99">
        <f t="shared" si="0"/>
        <v>8036</v>
      </c>
      <c r="L11" s="54"/>
      <c r="M11" s="54"/>
      <c r="N11" s="54"/>
      <c r="O11" s="5"/>
      <c r="P11" s="5"/>
      <c r="Q11" s="5"/>
      <c r="R11" s="30"/>
      <c r="S11" s="51"/>
      <c r="T11" s="54"/>
      <c r="U11" s="54"/>
      <c r="V11" s="54"/>
      <c r="W11" s="54"/>
      <c r="X11" s="54"/>
    </row>
    <row r="12" spans="1:24">
      <c r="A12" s="1" t="s">
        <v>348</v>
      </c>
      <c r="B12" s="1"/>
      <c r="C12" s="1"/>
      <c r="D12" s="345">
        <v>100</v>
      </c>
      <c r="E12" s="99">
        <v>12.21</v>
      </c>
      <c r="F12" s="99">
        <v>8.6999999999999993</v>
      </c>
      <c r="G12" s="99">
        <v>1057</v>
      </c>
      <c r="H12" s="99">
        <v>12906</v>
      </c>
      <c r="I12" s="54"/>
      <c r="J12" s="99">
        <f>SUM(E27*G27)</f>
        <v>17248</v>
      </c>
      <c r="K12" s="99">
        <f>SUM(H12:J12)</f>
        <v>30154</v>
      </c>
      <c r="L12" s="54"/>
      <c r="M12" s="54"/>
      <c r="N12" s="54"/>
      <c r="O12" s="5"/>
      <c r="P12" s="5"/>
      <c r="Q12" s="5"/>
      <c r="R12" s="30"/>
      <c r="S12" s="51"/>
      <c r="T12" s="54"/>
      <c r="U12" s="54"/>
      <c r="V12" s="54"/>
      <c r="W12" s="54"/>
      <c r="X12" s="54"/>
    </row>
    <row r="13" spans="1:24">
      <c r="A13" s="54" t="s">
        <v>34</v>
      </c>
      <c r="B13" s="54"/>
      <c r="C13" s="54"/>
      <c r="D13" s="345">
        <v>100</v>
      </c>
      <c r="E13" s="99">
        <v>5.4</v>
      </c>
      <c r="F13" s="99">
        <f>4.2+0.2</f>
        <v>4.4000000000000004</v>
      </c>
      <c r="G13" s="99">
        <v>1000</v>
      </c>
      <c r="H13" s="99">
        <f t="shared" si="1"/>
        <v>5400</v>
      </c>
      <c r="I13" s="54"/>
      <c r="J13" s="99">
        <f>E36*G36+E37*G37+E38*G38</f>
        <v>30735</v>
      </c>
      <c r="K13" s="99">
        <f t="shared" si="0"/>
        <v>36135</v>
      </c>
      <c r="L13" s="54"/>
      <c r="M13" s="54"/>
      <c r="N13" s="54"/>
      <c r="O13" s="5"/>
      <c r="P13" s="5"/>
      <c r="Q13" s="5"/>
      <c r="R13" s="30"/>
      <c r="S13" s="51"/>
      <c r="T13" s="54"/>
      <c r="U13" s="54"/>
      <c r="V13" s="54"/>
      <c r="W13" s="54"/>
      <c r="X13" s="54"/>
    </row>
    <row r="14" spans="1:24">
      <c r="A14" s="54" t="s">
        <v>91</v>
      </c>
      <c r="B14" s="54"/>
      <c r="C14" s="54"/>
      <c r="D14" s="345">
        <v>100</v>
      </c>
      <c r="E14" s="99">
        <v>10.8</v>
      </c>
      <c r="F14" s="99">
        <v>7.3</v>
      </c>
      <c r="G14" s="99">
        <v>867.3</v>
      </c>
      <c r="H14" s="99">
        <v>9367</v>
      </c>
      <c r="I14" s="54"/>
      <c r="J14" s="99"/>
      <c r="K14" s="99">
        <f t="shared" si="0"/>
        <v>9367</v>
      </c>
      <c r="L14" s="54"/>
      <c r="M14" s="54"/>
      <c r="N14" s="54"/>
      <c r="O14" s="346"/>
      <c r="P14" s="346"/>
      <c r="Q14" s="346"/>
      <c r="R14" s="346"/>
      <c r="S14" s="51"/>
      <c r="T14" s="54"/>
      <c r="U14" s="54"/>
      <c r="V14" s="54"/>
      <c r="W14" s="54"/>
      <c r="X14" s="54"/>
    </row>
    <row r="15" spans="1:24">
      <c r="A15" s="54" t="s">
        <v>36</v>
      </c>
      <c r="B15" s="54"/>
      <c r="C15" s="54"/>
      <c r="D15" s="345">
        <v>100</v>
      </c>
      <c r="E15" s="99">
        <v>6.9</v>
      </c>
      <c r="F15" s="99">
        <f>6.4+0.03</f>
        <v>6.4300000000000006</v>
      </c>
      <c r="G15" s="99">
        <v>1250</v>
      </c>
      <c r="H15" s="99">
        <f t="shared" si="1"/>
        <v>8625</v>
      </c>
      <c r="I15" s="54"/>
      <c r="J15" s="14">
        <v>9092</v>
      </c>
      <c r="K15" s="99">
        <f t="shared" si="0"/>
        <v>17717</v>
      </c>
      <c r="L15" s="54"/>
      <c r="M15" s="54"/>
      <c r="N15" s="54"/>
      <c r="S15" s="54"/>
      <c r="T15" s="54"/>
      <c r="U15" s="54"/>
      <c r="V15" s="54"/>
      <c r="W15" s="54"/>
      <c r="X15" s="54"/>
    </row>
    <row r="16" spans="1:24">
      <c r="A16" s="54" t="s">
        <v>419</v>
      </c>
      <c r="B16" s="54"/>
      <c r="C16" s="54"/>
      <c r="D16" s="345">
        <v>100</v>
      </c>
      <c r="E16" s="99">
        <v>9.1</v>
      </c>
      <c r="F16" s="99">
        <f>3.7+2.5</f>
        <v>6.2</v>
      </c>
      <c r="G16" s="99">
        <v>1025</v>
      </c>
      <c r="H16" s="99">
        <v>9328</v>
      </c>
      <c r="I16" s="54"/>
      <c r="J16" s="99">
        <v>18000</v>
      </c>
      <c r="K16" s="99">
        <f t="shared" si="0"/>
        <v>27328</v>
      </c>
      <c r="L16" s="54"/>
      <c r="M16" s="54">
        <v>7787</v>
      </c>
      <c r="N16" s="54"/>
      <c r="S16" s="54"/>
      <c r="T16" s="54"/>
      <c r="U16" s="54"/>
      <c r="V16" s="54"/>
      <c r="W16" s="54"/>
      <c r="X16" s="54"/>
    </row>
    <row r="17" spans="1:24">
      <c r="A17" s="54" t="s">
        <v>349</v>
      </c>
      <c r="B17" s="54"/>
      <c r="C17" s="54"/>
      <c r="D17" s="345">
        <v>100</v>
      </c>
      <c r="E17" s="99">
        <v>16.899999999999999</v>
      </c>
      <c r="F17" s="99">
        <v>16.899999999999999</v>
      </c>
      <c r="G17" s="99">
        <v>900</v>
      </c>
      <c r="H17" s="99">
        <f t="shared" si="1"/>
        <v>15209.999999999998</v>
      </c>
      <c r="I17" s="54"/>
      <c r="J17" s="99"/>
      <c r="K17" s="99">
        <f t="shared" si="0"/>
        <v>15209.999999999998</v>
      </c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</row>
    <row r="18" spans="1:24">
      <c r="A18" s="54" t="s">
        <v>350</v>
      </c>
      <c r="B18" s="54"/>
      <c r="C18" s="54"/>
      <c r="D18" s="345">
        <v>100</v>
      </c>
      <c r="E18" s="99">
        <v>26.7</v>
      </c>
      <c r="F18" s="99">
        <v>18</v>
      </c>
      <c r="G18" s="99">
        <v>773.7</v>
      </c>
      <c r="H18" s="99">
        <v>20658</v>
      </c>
      <c r="I18" s="54"/>
      <c r="J18" s="99"/>
      <c r="K18" s="99">
        <f t="shared" si="0"/>
        <v>20658</v>
      </c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</row>
    <row r="19" spans="1:24">
      <c r="A19" s="339" t="s">
        <v>42</v>
      </c>
      <c r="B19" s="339"/>
      <c r="C19" s="339"/>
      <c r="D19" s="347"/>
      <c r="E19" s="348">
        <f>SUM(E8:E18)</f>
        <v>101.76</v>
      </c>
      <c r="F19" s="348">
        <f>SUM(F8:F18)</f>
        <v>75.330000000000013</v>
      </c>
      <c r="G19" s="348"/>
      <c r="H19" s="348">
        <f>SUM(H8:H18)</f>
        <v>95741</v>
      </c>
      <c r="I19" s="348">
        <f>SUM(I8:I18)</f>
        <v>8721</v>
      </c>
      <c r="J19" s="348">
        <f>SUM(J8:J18)</f>
        <v>75075</v>
      </c>
      <c r="K19" s="348">
        <f t="shared" si="0"/>
        <v>179537</v>
      </c>
      <c r="L19" s="339">
        <f>SUM(L8:L18)</f>
        <v>2067</v>
      </c>
      <c r="M19" s="339">
        <f>SUM(M8:M18)</f>
        <v>7787</v>
      </c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</row>
    <row r="20" spans="1:24">
      <c r="A20" s="343" t="s">
        <v>43</v>
      </c>
      <c r="B20" s="343"/>
      <c r="C20" s="343"/>
      <c r="D20" s="349"/>
      <c r="E20" s="350">
        <f>SUM(E19-F19)</f>
        <v>26.429999999999993</v>
      </c>
      <c r="F20" s="350"/>
      <c r="G20" s="350"/>
      <c r="H20" s="350">
        <f>E31*G31</f>
        <v>24648</v>
      </c>
      <c r="I20" s="350">
        <f t="shared" ref="I20:J20" si="2">I19-L19</f>
        <v>6654</v>
      </c>
      <c r="J20" s="350">
        <f t="shared" si="2"/>
        <v>67288</v>
      </c>
      <c r="K20" s="350">
        <f t="shared" si="0"/>
        <v>98590</v>
      </c>
      <c r="L20" s="343"/>
      <c r="M20" s="343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</row>
    <row r="21" spans="1:24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</row>
    <row r="22" spans="1:24">
      <c r="A22" s="54"/>
      <c r="B22" s="54"/>
      <c r="C22" s="54" t="s">
        <v>44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</row>
    <row r="23" spans="1:24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</row>
    <row r="24" spans="1:24">
      <c r="A24" s="54" t="s">
        <v>45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</row>
    <row r="25" spans="1:24">
      <c r="A25" s="351" t="s">
        <v>46</v>
      </c>
      <c r="B25" s="351"/>
      <c r="C25" s="351"/>
      <c r="D25" s="351" t="s">
        <v>47</v>
      </c>
      <c r="E25" s="351" t="s">
        <v>48</v>
      </c>
      <c r="F25" s="351"/>
      <c r="G25" s="351" t="s">
        <v>49</v>
      </c>
      <c r="H25" s="54"/>
      <c r="I25" s="54"/>
      <c r="J25" s="54"/>
      <c r="K25" s="113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</row>
    <row r="26" spans="1:24">
      <c r="A26" s="54" t="s">
        <v>52</v>
      </c>
      <c r="B26" s="54"/>
      <c r="C26" s="54"/>
      <c r="D26" s="54"/>
      <c r="E26" s="54"/>
      <c r="F26" s="54"/>
      <c r="G26" s="54"/>
      <c r="H26" s="54"/>
      <c r="I26" s="54"/>
      <c r="J26" s="54"/>
      <c r="K26" s="113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</row>
    <row r="27" spans="1:24">
      <c r="A27" s="54" t="s">
        <v>246</v>
      </c>
      <c r="B27" s="54"/>
      <c r="C27" s="54"/>
      <c r="D27" s="54" t="s">
        <v>55</v>
      </c>
      <c r="E27" s="99">
        <v>14</v>
      </c>
      <c r="F27" s="54"/>
      <c r="G27" s="54">
        <v>1232</v>
      </c>
      <c r="H27" s="54"/>
      <c r="I27" s="54"/>
      <c r="J27" s="54"/>
      <c r="K27" s="113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</row>
    <row r="28" spans="1:24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113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</row>
    <row r="29" spans="1:24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</row>
    <row r="30" spans="1:24">
      <c r="A30" s="54" t="s">
        <v>57</v>
      </c>
      <c r="B30" s="54"/>
      <c r="C30" s="54"/>
      <c r="D30" s="54"/>
      <c r="E30" s="54"/>
      <c r="F30" s="54"/>
      <c r="G30" s="54"/>
      <c r="H30" s="54"/>
      <c r="I30" s="54"/>
      <c r="J30" s="109" t="s">
        <v>60</v>
      </c>
      <c r="K30" s="109">
        <v>0.38</v>
      </c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</row>
    <row r="31" spans="1:24">
      <c r="A31" s="54" t="s">
        <v>58</v>
      </c>
      <c r="B31" s="54"/>
      <c r="C31" s="54"/>
      <c r="D31" s="54" t="s">
        <v>59</v>
      </c>
      <c r="E31" s="99">
        <v>26</v>
      </c>
      <c r="F31" s="54"/>
      <c r="G31" s="99">
        <v>948</v>
      </c>
      <c r="H31" s="54"/>
      <c r="I31" s="54"/>
      <c r="J31" s="109" t="s">
        <v>62</v>
      </c>
      <c r="K31" s="109">
        <v>0.5</v>
      </c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</row>
    <row r="32" spans="1:24">
      <c r="A32" s="54" t="s">
        <v>61</v>
      </c>
      <c r="B32" s="54"/>
      <c r="C32" s="54"/>
      <c r="D32" s="54" t="s">
        <v>59</v>
      </c>
      <c r="E32" s="99">
        <v>75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</row>
    <row r="33" spans="1:24">
      <c r="A33" s="54" t="s">
        <v>6</v>
      </c>
      <c r="B33" s="54"/>
      <c r="C33" s="54"/>
      <c r="D33" s="54"/>
      <c r="E33" s="99">
        <f>SUM(E31:E32)</f>
        <v>101</v>
      </c>
      <c r="F33" s="54"/>
      <c r="G33" s="54"/>
      <c r="H33" s="54"/>
      <c r="I33" s="54"/>
      <c r="J33" s="54"/>
      <c r="K33" s="244" t="s">
        <v>51</v>
      </c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</row>
    <row r="34" spans="1:24">
      <c r="A34" s="54"/>
      <c r="B34" s="54"/>
      <c r="C34" s="54"/>
      <c r="D34" s="54"/>
      <c r="E34" s="54"/>
      <c r="F34" s="54"/>
      <c r="G34" s="54"/>
      <c r="H34" s="54"/>
      <c r="I34" s="54"/>
      <c r="J34" s="109" t="s">
        <v>420</v>
      </c>
      <c r="K34" s="109">
        <v>94</v>
      </c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</row>
    <row r="35" spans="1:24">
      <c r="A35" s="339" t="s">
        <v>63</v>
      </c>
      <c r="B35" s="339"/>
      <c r="C35" s="339" t="s">
        <v>64</v>
      </c>
      <c r="D35" s="339"/>
      <c r="E35" s="339"/>
      <c r="F35" s="339"/>
      <c r="G35" s="339"/>
      <c r="H35" s="54"/>
      <c r="I35" s="54"/>
      <c r="J35" s="109" t="s">
        <v>125</v>
      </c>
      <c r="K35" s="109">
        <v>6</v>
      </c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</row>
    <row r="36" spans="1:24">
      <c r="A36" s="54" t="s">
        <v>352</v>
      </c>
      <c r="B36" s="342"/>
      <c r="C36" s="54">
        <v>68</v>
      </c>
      <c r="D36" s="54" t="s">
        <v>192</v>
      </c>
      <c r="E36" s="99">
        <v>19</v>
      </c>
      <c r="F36" s="99"/>
      <c r="G36" s="99">
        <v>175</v>
      </c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</row>
    <row r="37" spans="1:24">
      <c r="A37" s="54" t="s">
        <v>421</v>
      </c>
      <c r="B37" s="342"/>
      <c r="C37" s="54">
        <v>100</v>
      </c>
      <c r="D37" s="54" t="s">
        <v>55</v>
      </c>
      <c r="E37" s="99">
        <v>335</v>
      </c>
      <c r="F37" s="99"/>
      <c r="G37" s="14">
        <v>58</v>
      </c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</row>
    <row r="38" spans="1:24">
      <c r="A38" s="54" t="s">
        <v>354</v>
      </c>
      <c r="B38" s="342"/>
      <c r="C38" s="54">
        <v>68</v>
      </c>
      <c r="D38" s="54" t="s">
        <v>55</v>
      </c>
      <c r="E38" s="99">
        <v>133</v>
      </c>
      <c r="F38" s="99"/>
      <c r="G38" s="14">
        <v>60</v>
      </c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</row>
    <row r="39" spans="1:24">
      <c r="A39" s="339" t="s">
        <v>68</v>
      </c>
      <c r="B39" s="339"/>
      <c r="C39" s="339"/>
      <c r="D39" s="339"/>
      <c r="E39" s="339"/>
      <c r="F39" s="339"/>
      <c r="G39" s="339"/>
      <c r="H39" s="54"/>
      <c r="I39" s="54"/>
      <c r="J39" s="54" t="s">
        <v>355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</row>
    <row r="40" spans="1:24">
      <c r="A40" s="54" t="s">
        <v>71</v>
      </c>
      <c r="B40" s="54"/>
      <c r="C40" s="54"/>
      <c r="D40" s="54"/>
      <c r="E40" s="54"/>
      <c r="F40" s="54"/>
      <c r="G40" s="352">
        <v>4150</v>
      </c>
      <c r="H40" s="54"/>
      <c r="I40" s="54"/>
      <c r="J40" s="119">
        <f>+G40*2.471</f>
        <v>10254.65</v>
      </c>
      <c r="K40" s="99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</row>
    <row r="41" spans="1:24">
      <c r="A41" s="54" t="s">
        <v>72</v>
      </c>
      <c r="B41" s="54"/>
      <c r="C41" s="54"/>
      <c r="D41" s="54"/>
      <c r="E41" s="54"/>
      <c r="F41" s="54"/>
      <c r="G41" s="352">
        <v>102</v>
      </c>
      <c r="H41" s="54"/>
      <c r="I41" s="54"/>
      <c r="J41" s="119"/>
      <c r="K41" s="99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</row>
    <row r="42" spans="1:24">
      <c r="A42" s="54" t="s">
        <v>73</v>
      </c>
      <c r="B42" s="54"/>
      <c r="C42" s="54"/>
      <c r="D42" s="54"/>
      <c r="E42" s="54"/>
      <c r="F42" s="54"/>
      <c r="G42" s="352">
        <f>SUM(G40*G41)</f>
        <v>423300</v>
      </c>
      <c r="H42" s="54"/>
      <c r="I42" s="54"/>
      <c r="J42" s="119">
        <f t="shared" ref="J42:J44" si="3">+G42*2.471</f>
        <v>1045974.3</v>
      </c>
      <c r="K42" s="99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</row>
    <row r="43" spans="1:24">
      <c r="A43" s="54" t="s">
        <v>74</v>
      </c>
      <c r="B43" s="54"/>
      <c r="C43" s="54"/>
      <c r="D43" s="54"/>
      <c r="E43" s="54"/>
      <c r="F43" s="54"/>
      <c r="G43" s="352">
        <f>SUM(G42-K19)</f>
        <v>243763</v>
      </c>
      <c r="H43" s="54"/>
      <c r="I43" s="54"/>
      <c r="J43" s="119">
        <f t="shared" si="3"/>
        <v>602338.37300000002</v>
      </c>
      <c r="K43" s="99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</row>
    <row r="44" spans="1:24">
      <c r="A44" s="54" t="s">
        <v>75</v>
      </c>
      <c r="B44" s="54"/>
      <c r="C44" s="54"/>
      <c r="D44" s="54"/>
      <c r="E44" s="54"/>
      <c r="F44" s="54"/>
      <c r="G44" s="352">
        <f>SUM(G42-K20)</f>
        <v>324710</v>
      </c>
      <c r="H44" s="54"/>
      <c r="I44" s="54"/>
      <c r="J44" s="119">
        <f t="shared" si="3"/>
        <v>802358.41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</row>
    <row r="45" spans="1:24">
      <c r="A45" s="54"/>
      <c r="B45" s="54"/>
      <c r="C45" s="54"/>
      <c r="D45" s="54"/>
      <c r="E45" s="54"/>
      <c r="F45" s="54"/>
      <c r="G45" s="352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</row>
    <row r="46" spans="1:24">
      <c r="A46" s="54" t="s">
        <v>76</v>
      </c>
      <c r="B46" s="54"/>
      <c r="C46" s="54"/>
      <c r="D46" s="54"/>
      <c r="E46" s="54"/>
      <c r="F46" s="54"/>
      <c r="G46" s="352">
        <f>SUM(K19/G40)</f>
        <v>43.261927710843374</v>
      </c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</row>
    <row r="47" spans="1:24">
      <c r="A47" s="343" t="s">
        <v>77</v>
      </c>
      <c r="B47" s="343"/>
      <c r="C47" s="343"/>
      <c r="D47" s="343"/>
      <c r="E47" s="343"/>
      <c r="F47" s="343"/>
      <c r="G47" s="353">
        <f>SUM(K20/G40)</f>
        <v>23.756626506024098</v>
      </c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</row>
    <row r="48" spans="1:24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</row>
    <row r="49" spans="1:24">
      <c r="A49" s="54" t="s">
        <v>130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</row>
    <row r="50" spans="1:24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</row>
    <row r="51" spans="1:24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</row>
    <row r="52" spans="1:24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</row>
    <row r="53" spans="1:24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</row>
    <row r="54" spans="1:2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</row>
    <row r="55" spans="1:24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</row>
    <row r="56" spans="1:24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</row>
    <row r="57" spans="1:24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</row>
    <row r="58" spans="1:24">
      <c r="A58" s="54"/>
      <c r="B58" s="54"/>
      <c r="C58" s="54"/>
      <c r="D58" s="54"/>
      <c r="E58" s="54"/>
      <c r="F58" s="54"/>
      <c r="G58" s="54" t="s">
        <v>80</v>
      </c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</row>
    <row r="59" spans="1:24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</row>
    <row r="60" spans="1:24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</row>
    <row r="61" spans="1:24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</row>
    <row r="62" spans="1:24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</row>
    <row r="63" spans="1:24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</row>
    <row r="64" spans="1:2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</row>
    <row r="65" spans="1:24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</row>
    <row r="66" spans="1:24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</row>
    <row r="67" spans="1:24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</row>
    <row r="68" spans="1:24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</row>
    <row r="69" spans="1:24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</row>
    <row r="70" spans="1:24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</row>
    <row r="71" spans="1:24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</row>
    <row r="72" spans="1:24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</row>
    <row r="73" spans="1:24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</row>
    <row r="74" spans="1:2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</row>
    <row r="75" spans="1:24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</row>
    <row r="76" spans="1:24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</row>
    <row r="77" spans="1:24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</row>
    <row r="78" spans="1:24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</row>
    <row r="79" spans="1:24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</row>
    <row r="80" spans="1:24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</row>
    <row r="81" spans="1:24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</row>
    <row r="82" spans="1:24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</row>
    <row r="83" spans="1:24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</row>
    <row r="84" spans="1:2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</row>
    <row r="85" spans="1:24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</row>
    <row r="86" spans="1:24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</row>
    <row r="87" spans="1:24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</row>
    <row r="88" spans="1:24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</row>
    <row r="89" spans="1:24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</row>
    <row r="90" spans="1:24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</row>
    <row r="91" spans="1:24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</row>
    <row r="92" spans="1:24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</row>
    <row r="93" spans="1:24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</row>
    <row r="94" spans="1:2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</row>
    <row r="95" spans="1:24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</row>
    <row r="96" spans="1:24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</row>
    <row r="97" spans="1:24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</row>
    <row r="98" spans="1:24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</row>
    <row r="99" spans="1:24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</row>
    <row r="100" spans="1:24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</row>
    <row r="101" spans="1:24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</row>
    <row r="102" spans="1:24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</row>
    <row r="103" spans="1:24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</row>
    <row r="104" spans="1:2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</row>
    <row r="105" spans="1:24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</row>
    <row r="106" spans="1:24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</row>
    <row r="107" spans="1:24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</row>
    <row r="108" spans="1:24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</row>
    <row r="109" spans="1:24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</row>
    <row r="110" spans="1:24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</row>
    <row r="111" spans="1:24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</row>
    <row r="112" spans="1:24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</row>
    <row r="113" spans="1:24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</row>
    <row r="114" spans="1:2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</row>
    <row r="115" spans="1:24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</row>
    <row r="116" spans="1:24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</row>
    <row r="117" spans="1:24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</row>
    <row r="118" spans="1:24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</row>
    <row r="119" spans="1:24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</row>
    <row r="120" spans="1:24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</row>
    <row r="121" spans="1:24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</row>
    <row r="122" spans="1:24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</row>
    <row r="123" spans="1:24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</row>
    <row r="124" spans="1: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</row>
    <row r="125" spans="1:24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</row>
    <row r="126" spans="1:24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</row>
    <row r="127" spans="1:24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</row>
    <row r="128" spans="1:24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</row>
    <row r="129" spans="1:24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</row>
    <row r="130" spans="1:24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</row>
    <row r="131" spans="1:24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</row>
    <row r="132" spans="1:24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</row>
    <row r="133" spans="1:24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</row>
    <row r="134" spans="1:2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</row>
    <row r="135" spans="1:24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</row>
    <row r="136" spans="1:24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</row>
    <row r="137" spans="1:24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</row>
    <row r="138" spans="1:24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</row>
    <row r="139" spans="1:24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</row>
    <row r="140" spans="1:24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</row>
    <row r="141" spans="1:24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</row>
    <row r="142" spans="1:24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</row>
    <row r="143" spans="1:24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</row>
    <row r="144" spans="1:2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</row>
    <row r="145" spans="1:24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</row>
    <row r="146" spans="1:24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</row>
    <row r="147" spans="1:24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</row>
    <row r="148" spans="1:24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</row>
    <row r="149" spans="1:24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</row>
    <row r="150" spans="1:24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</row>
    <row r="151" spans="1:24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</row>
    <row r="152" spans="1:24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</row>
    <row r="153" spans="1:24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</row>
    <row r="154" spans="1:2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</row>
    <row r="155" spans="1:24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</row>
    <row r="156" spans="1:24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</row>
    <row r="157" spans="1:24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</row>
    <row r="158" spans="1:24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</row>
    <row r="159" spans="1:24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</row>
    <row r="160" spans="1:24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</row>
    <row r="161" spans="1:24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</row>
    <row r="162" spans="1:24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</row>
    <row r="163" spans="1:24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</row>
    <row r="164" spans="1:2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</row>
    <row r="165" spans="1:24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</row>
    <row r="166" spans="1:24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</row>
    <row r="167" spans="1:24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</row>
    <row r="168" spans="1:24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</row>
    <row r="169" spans="1:24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</row>
    <row r="170" spans="1:24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</row>
    <row r="171" spans="1:24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</row>
    <row r="172" spans="1:24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</row>
    <row r="173" spans="1:24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</row>
    <row r="174" spans="1:2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</row>
    <row r="175" spans="1:24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</row>
    <row r="176" spans="1:24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</row>
    <row r="177" spans="1:24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</row>
    <row r="178" spans="1:24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</row>
    <row r="179" spans="1:24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</row>
    <row r="180" spans="1:24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</row>
    <row r="181" spans="1:24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</row>
    <row r="182" spans="1:24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</row>
    <row r="183" spans="1:24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</row>
    <row r="184" spans="1:2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</row>
    <row r="185" spans="1:24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</row>
    <row r="186" spans="1:24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</row>
    <row r="187" spans="1:24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</row>
    <row r="188" spans="1:24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</row>
    <row r="189" spans="1:24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</row>
    <row r="190" spans="1:24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</row>
    <row r="191" spans="1:24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</row>
    <row r="192" spans="1:24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</row>
    <row r="193" spans="1:24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</row>
    <row r="194" spans="1:2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</row>
    <row r="195" spans="1:24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</row>
    <row r="196" spans="1:24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</row>
    <row r="197" spans="1:24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</row>
    <row r="198" spans="1:24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</row>
    <row r="199" spans="1:24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</row>
    <row r="200" spans="1:24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</row>
    <row r="201" spans="1:24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</row>
    <row r="202" spans="1:24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</row>
    <row r="203" spans="1:24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</row>
    <row r="204" spans="1:2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</row>
    <row r="205" spans="1:24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</row>
    <row r="206" spans="1:24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</row>
    <row r="207" spans="1:24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</row>
    <row r="208" spans="1:24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</row>
    <row r="209" spans="1:24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</row>
    <row r="210" spans="1:24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</row>
    <row r="211" spans="1:24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</row>
    <row r="212" spans="1:24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</row>
    <row r="213" spans="1:24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</row>
    <row r="214" spans="1:2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</row>
    <row r="215" spans="1:24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</row>
    <row r="216" spans="1:24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</row>
    <row r="217" spans="1:24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</row>
    <row r="218" spans="1:24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</row>
    <row r="219" spans="1:24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</row>
    <row r="220" spans="1:24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</row>
    <row r="221" spans="1:24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</row>
    <row r="222" spans="1:24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</row>
    <row r="223" spans="1:24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</row>
    <row r="224" spans="1: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</row>
    <row r="225" spans="1:24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</row>
    <row r="226" spans="1:24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</row>
    <row r="227" spans="1:24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</row>
    <row r="228" spans="1:24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</row>
    <row r="229" spans="1:24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</row>
    <row r="230" spans="1:24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</row>
    <row r="231" spans="1:24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</row>
    <row r="232" spans="1:24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</row>
    <row r="233" spans="1:24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</row>
    <row r="234" spans="1:2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</row>
    <row r="235" spans="1:24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</row>
    <row r="236" spans="1:24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</row>
    <row r="237" spans="1:24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</row>
    <row r="238" spans="1:24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</row>
    <row r="239" spans="1:24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</row>
    <row r="240" spans="1:24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</row>
    <row r="241" spans="1:24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</row>
    <row r="242" spans="1:24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</row>
    <row r="243" spans="1:24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</row>
    <row r="244" spans="1:2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</row>
    <row r="245" spans="1:24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</row>
    <row r="246" spans="1:24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</row>
    <row r="247" spans="1:24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</row>
    <row r="248" spans="1:24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</row>
    <row r="249" spans="1:24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</row>
    <row r="250" spans="1:24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</row>
    <row r="251" spans="1:24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</row>
    <row r="252" spans="1:24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</row>
    <row r="253" spans="1:24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</row>
    <row r="254" spans="1:2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</row>
    <row r="255" spans="1:24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</row>
    <row r="256" spans="1:24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</row>
    <row r="257" spans="1:24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</row>
    <row r="258" spans="1:24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</row>
    <row r="259" spans="1:24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</row>
    <row r="260" spans="1:24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</row>
    <row r="261" spans="1:24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</row>
    <row r="262" spans="1:24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</row>
    <row r="263" spans="1:24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</row>
    <row r="264" spans="1:2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</row>
    <row r="265" spans="1:24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</row>
    <row r="266" spans="1:24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</row>
    <row r="267" spans="1:24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</row>
    <row r="268" spans="1:24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</row>
    <row r="269" spans="1:24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</row>
    <row r="270" spans="1:24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</row>
    <row r="271" spans="1:24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</row>
    <row r="272" spans="1:24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</row>
    <row r="273" spans="1:24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</row>
    <row r="274" spans="1:2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</row>
    <row r="275" spans="1:24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</row>
    <row r="276" spans="1:24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</row>
    <row r="277" spans="1:24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</row>
    <row r="278" spans="1:24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</row>
    <row r="279" spans="1:24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</row>
    <row r="280" spans="1:24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</row>
    <row r="281" spans="1:24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</row>
    <row r="282" spans="1:24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</row>
    <row r="283" spans="1:24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</row>
    <row r="284" spans="1:2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</row>
    <row r="285" spans="1:24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</row>
    <row r="286" spans="1:24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</row>
    <row r="287" spans="1:24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</row>
    <row r="288" spans="1:24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</row>
    <row r="289" spans="1:24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</row>
    <row r="290" spans="1:24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</row>
    <row r="291" spans="1:24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</row>
    <row r="292" spans="1:24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</row>
    <row r="293" spans="1:24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</row>
    <row r="294" spans="1:2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</row>
    <row r="295" spans="1:24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</row>
    <row r="296" spans="1:24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</row>
    <row r="297" spans="1:24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</row>
    <row r="298" spans="1:24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</row>
    <row r="299" spans="1:24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</row>
    <row r="300" spans="1:24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</row>
    <row r="301" spans="1:24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</row>
    <row r="302" spans="1:24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</row>
    <row r="303" spans="1:24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</row>
    <row r="304" spans="1:2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</row>
    <row r="305" spans="1:24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</row>
    <row r="306" spans="1:24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</row>
    <row r="307" spans="1:24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</row>
    <row r="308" spans="1:24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</row>
    <row r="309" spans="1:24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</row>
    <row r="310" spans="1:24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</row>
    <row r="311" spans="1:24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</row>
    <row r="312" spans="1:24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</row>
    <row r="313" spans="1:24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</row>
    <row r="314" spans="1:2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</row>
    <row r="315" spans="1:24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</row>
    <row r="316" spans="1:24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</row>
    <row r="317" spans="1:24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</row>
    <row r="318" spans="1:24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</row>
    <row r="319" spans="1:24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</row>
    <row r="320" spans="1:24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</row>
    <row r="321" spans="1:24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</row>
    <row r="322" spans="1:24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</row>
    <row r="323" spans="1:24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</row>
    <row r="324" spans="1: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</row>
    <row r="325" spans="1:24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</row>
    <row r="326" spans="1:24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</row>
    <row r="327" spans="1:24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</row>
    <row r="328" spans="1:24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</row>
    <row r="329" spans="1:24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</row>
    <row r="330" spans="1:24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</row>
    <row r="331" spans="1:24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</row>
    <row r="332" spans="1:24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</row>
    <row r="333" spans="1:24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</row>
    <row r="334" spans="1:2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</row>
    <row r="335" spans="1:24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</row>
    <row r="336" spans="1:24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</row>
    <row r="337" spans="1:24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</row>
    <row r="338" spans="1:24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</row>
    <row r="339" spans="1:24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</row>
    <row r="340" spans="1:24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</row>
    <row r="341" spans="1:24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</row>
    <row r="342" spans="1:24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</row>
    <row r="343" spans="1:24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</row>
    <row r="344" spans="1:2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</row>
    <row r="345" spans="1:24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</row>
    <row r="346" spans="1:24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</row>
    <row r="347" spans="1:24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</row>
    <row r="348" spans="1:24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</row>
    <row r="349" spans="1:24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</row>
    <row r="350" spans="1:24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</row>
    <row r="351" spans="1:24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</row>
    <row r="352" spans="1:24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</row>
    <row r="353" spans="1:24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</row>
    <row r="354" spans="1:2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</row>
    <row r="355" spans="1:24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</row>
    <row r="356" spans="1:24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</row>
    <row r="357" spans="1:24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</row>
    <row r="358" spans="1:24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</row>
    <row r="359" spans="1:24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</row>
    <row r="360" spans="1:24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</row>
    <row r="361" spans="1:24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</row>
    <row r="362" spans="1:24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</row>
    <row r="363" spans="1:24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</row>
    <row r="364" spans="1:2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</row>
    <row r="365" spans="1:24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</row>
    <row r="366" spans="1:24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</row>
    <row r="367" spans="1:24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</row>
    <row r="368" spans="1:24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</row>
    <row r="369" spans="1:24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</row>
    <row r="370" spans="1:24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</row>
    <row r="371" spans="1:24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</row>
    <row r="372" spans="1:24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</row>
    <row r="373" spans="1:24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</row>
    <row r="374" spans="1:2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</row>
    <row r="375" spans="1:24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</row>
    <row r="376" spans="1:24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</row>
    <row r="377" spans="1:24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</row>
    <row r="378" spans="1:24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</row>
    <row r="379" spans="1:24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</row>
    <row r="380" spans="1:24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</row>
    <row r="381" spans="1:24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</row>
    <row r="382" spans="1:24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</row>
    <row r="383" spans="1:24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</row>
    <row r="384" spans="1:2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</row>
    <row r="385" spans="1:24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</row>
    <row r="386" spans="1:24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</row>
    <row r="387" spans="1:24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</row>
    <row r="388" spans="1:24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</row>
    <row r="389" spans="1:24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</row>
    <row r="390" spans="1:24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</row>
    <row r="391" spans="1:24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</row>
    <row r="392" spans="1:24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</row>
    <row r="393" spans="1:24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</row>
    <row r="394" spans="1:2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</row>
    <row r="395" spans="1:24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</row>
    <row r="396" spans="1:24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</row>
    <row r="397" spans="1:24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</row>
    <row r="398" spans="1:24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</row>
    <row r="399" spans="1:24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</row>
    <row r="400" spans="1:24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</row>
    <row r="401" spans="1:24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</row>
    <row r="402" spans="1:24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</row>
    <row r="403" spans="1:24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</row>
    <row r="404" spans="1:2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</row>
    <row r="405" spans="1:24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</row>
    <row r="406" spans="1:24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</row>
    <row r="407" spans="1:24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</row>
    <row r="408" spans="1:24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</row>
    <row r="409" spans="1:24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</row>
    <row r="410" spans="1:24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</row>
    <row r="411" spans="1:24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</row>
    <row r="412" spans="1:24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</row>
    <row r="413" spans="1:24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</row>
    <row r="414" spans="1:2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</row>
    <row r="415" spans="1:24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</row>
    <row r="416" spans="1:24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</row>
    <row r="417" spans="1:24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</row>
    <row r="418" spans="1:24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</row>
    <row r="419" spans="1:24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</row>
    <row r="420" spans="1:24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</row>
    <row r="421" spans="1:24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</row>
    <row r="422" spans="1:24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</row>
    <row r="423" spans="1:24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</row>
    <row r="424" spans="1: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</row>
    <row r="425" spans="1:24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</row>
    <row r="426" spans="1:24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</row>
    <row r="427" spans="1:24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</row>
    <row r="428" spans="1:24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</row>
    <row r="429" spans="1:24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</row>
    <row r="430" spans="1:24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</row>
    <row r="431" spans="1:24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</row>
    <row r="432" spans="1:24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</row>
    <row r="433" spans="1:24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</row>
    <row r="434" spans="1:2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</row>
    <row r="435" spans="1:24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</row>
    <row r="436" spans="1:24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</row>
    <row r="437" spans="1:24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</row>
    <row r="438" spans="1:24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</row>
    <row r="439" spans="1:24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</row>
    <row r="440" spans="1:24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</row>
    <row r="441" spans="1:24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</row>
    <row r="442" spans="1:24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</row>
    <row r="443" spans="1:24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</row>
    <row r="444" spans="1:2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</row>
    <row r="445" spans="1:24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</row>
    <row r="446" spans="1:24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</row>
    <row r="447" spans="1:24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</row>
    <row r="448" spans="1:24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</row>
    <row r="449" spans="1:24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</row>
    <row r="450" spans="1:24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</row>
    <row r="451" spans="1:24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</row>
    <row r="452" spans="1:24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</row>
    <row r="453" spans="1:24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</row>
    <row r="454" spans="1:2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</row>
    <row r="455" spans="1:24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</row>
    <row r="456" spans="1:24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</row>
    <row r="457" spans="1:24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</row>
    <row r="458" spans="1:24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</row>
    <row r="459" spans="1:24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</row>
    <row r="460" spans="1:24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</row>
    <row r="461" spans="1:24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</row>
    <row r="462" spans="1:24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</row>
    <row r="463" spans="1:24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</row>
    <row r="464" spans="1:2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</row>
    <row r="465" spans="1:24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</row>
    <row r="466" spans="1:24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</row>
    <row r="467" spans="1:24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</row>
    <row r="468" spans="1:24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</row>
    <row r="469" spans="1:24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</row>
    <row r="470" spans="1:24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</row>
    <row r="471" spans="1:24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</row>
    <row r="472" spans="1:24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</row>
    <row r="473" spans="1:24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</row>
    <row r="474" spans="1:2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</row>
    <row r="475" spans="1:24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</row>
    <row r="476" spans="1:24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</row>
    <row r="477" spans="1:24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</row>
    <row r="478" spans="1:24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</row>
    <row r="479" spans="1:24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</row>
    <row r="480" spans="1:24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</row>
    <row r="481" spans="1:24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</row>
    <row r="482" spans="1:24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</row>
    <row r="483" spans="1:24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</row>
    <row r="484" spans="1:2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</row>
    <row r="485" spans="1:24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</row>
    <row r="486" spans="1:24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</row>
    <row r="487" spans="1:24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</row>
    <row r="488" spans="1:24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</row>
    <row r="489" spans="1:24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</row>
    <row r="490" spans="1:24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</row>
    <row r="491" spans="1:24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</row>
    <row r="492" spans="1:24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</row>
    <row r="493" spans="1:24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</row>
    <row r="494" spans="1:2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</row>
    <row r="495" spans="1:24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</row>
    <row r="496" spans="1:24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</row>
    <row r="497" spans="1:24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</row>
    <row r="498" spans="1:24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</row>
    <row r="499" spans="1:24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</row>
    <row r="500" spans="1:24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</row>
    <row r="501" spans="1:24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</row>
    <row r="502" spans="1:24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</row>
    <row r="503" spans="1:24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</row>
    <row r="504" spans="1:2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</row>
    <row r="505" spans="1:24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</row>
    <row r="506" spans="1:24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</row>
    <row r="507" spans="1:24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</row>
    <row r="508" spans="1:24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</row>
    <row r="509" spans="1:24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</row>
    <row r="510" spans="1:24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</row>
    <row r="511" spans="1:24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</row>
    <row r="512" spans="1:24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</row>
    <row r="513" spans="1:24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</row>
    <row r="514" spans="1:2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</row>
    <row r="515" spans="1:24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</row>
    <row r="516" spans="1:24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</row>
    <row r="517" spans="1:24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</row>
    <row r="518" spans="1:24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</row>
    <row r="519" spans="1:24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</row>
    <row r="520" spans="1:24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</row>
    <row r="521" spans="1:24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</row>
    <row r="522" spans="1:24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</row>
    <row r="523" spans="1:24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</row>
    <row r="524" spans="1: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</row>
    <row r="525" spans="1:24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</row>
    <row r="526" spans="1:24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</row>
    <row r="527" spans="1:24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</row>
    <row r="528" spans="1:24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</row>
    <row r="529" spans="1:24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</row>
    <row r="530" spans="1:24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</row>
    <row r="531" spans="1:24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</row>
    <row r="532" spans="1:24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</row>
    <row r="533" spans="1:24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</row>
    <row r="534" spans="1:2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</row>
    <row r="535" spans="1:24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</row>
    <row r="536" spans="1:24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</row>
    <row r="537" spans="1:24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</row>
    <row r="538" spans="1:24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</row>
    <row r="539" spans="1:24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</row>
    <row r="540" spans="1:24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</row>
    <row r="541" spans="1:24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</row>
    <row r="542" spans="1:24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</row>
    <row r="543" spans="1:24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</row>
    <row r="544" spans="1:2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</row>
    <row r="545" spans="1:24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</row>
    <row r="546" spans="1:24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</row>
    <row r="547" spans="1:24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</row>
    <row r="548" spans="1:24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</row>
    <row r="549" spans="1:24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</row>
    <row r="550" spans="1:24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</row>
    <row r="551" spans="1:24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</row>
    <row r="552" spans="1:24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</row>
    <row r="553" spans="1:24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</row>
    <row r="554" spans="1:2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</row>
    <row r="555" spans="1:24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</row>
    <row r="556" spans="1:24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</row>
    <row r="557" spans="1:24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</row>
    <row r="558" spans="1:24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</row>
    <row r="559" spans="1:24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</row>
    <row r="560" spans="1:24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</row>
    <row r="561" spans="1:24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</row>
    <row r="562" spans="1:24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</row>
    <row r="563" spans="1:24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</row>
    <row r="564" spans="1:2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</row>
    <row r="565" spans="1:24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</row>
    <row r="566" spans="1:24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</row>
    <row r="567" spans="1:24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</row>
    <row r="568" spans="1:24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</row>
    <row r="569" spans="1:24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</row>
    <row r="570" spans="1:24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</row>
    <row r="571" spans="1:24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</row>
    <row r="572" spans="1:24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</row>
    <row r="573" spans="1:24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</row>
    <row r="574" spans="1:2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</row>
    <row r="575" spans="1:24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</row>
    <row r="576" spans="1:24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</row>
    <row r="577" spans="1:24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</row>
    <row r="578" spans="1:24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</row>
    <row r="579" spans="1:24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</row>
    <row r="580" spans="1:24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</row>
    <row r="581" spans="1:24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</row>
    <row r="582" spans="1:24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</row>
    <row r="583" spans="1:24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</row>
    <row r="584" spans="1:2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</row>
    <row r="585" spans="1:24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</row>
    <row r="586" spans="1:24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</row>
    <row r="587" spans="1:24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</row>
    <row r="588" spans="1:24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</row>
    <row r="589" spans="1:24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</row>
    <row r="590" spans="1:24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</row>
    <row r="591" spans="1:24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</row>
    <row r="592" spans="1:24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</row>
    <row r="593" spans="1:24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</row>
    <row r="594" spans="1:2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</row>
    <row r="595" spans="1:24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</row>
    <row r="596" spans="1:24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</row>
    <row r="597" spans="1:24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</row>
    <row r="598" spans="1:24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</row>
    <row r="599" spans="1:24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</row>
    <row r="600" spans="1:24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</row>
    <row r="601" spans="1:24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</row>
    <row r="602" spans="1:24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</row>
    <row r="603" spans="1:24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</row>
    <row r="604" spans="1:2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</row>
    <row r="605" spans="1:24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</row>
    <row r="606" spans="1:24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</row>
    <row r="607" spans="1:24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</row>
    <row r="608" spans="1:24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</row>
    <row r="609" spans="1:24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</row>
    <row r="610" spans="1:24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</row>
    <row r="611" spans="1:24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</row>
    <row r="612" spans="1:24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</row>
    <row r="613" spans="1:24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</row>
    <row r="614" spans="1:2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</row>
    <row r="615" spans="1:24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</row>
    <row r="616" spans="1:24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</row>
    <row r="617" spans="1:24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</row>
    <row r="618" spans="1:24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</row>
    <row r="619" spans="1:24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</row>
    <row r="620" spans="1:24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</row>
    <row r="621" spans="1:24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</row>
    <row r="622" spans="1:24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</row>
    <row r="623" spans="1:24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</row>
    <row r="624" spans="1: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</row>
    <row r="625" spans="1:24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</row>
    <row r="626" spans="1:24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</row>
    <row r="627" spans="1:24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</row>
    <row r="628" spans="1:24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</row>
    <row r="629" spans="1:24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</row>
    <row r="630" spans="1:24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</row>
    <row r="631" spans="1:24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</row>
    <row r="632" spans="1:24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</row>
    <row r="633" spans="1:24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</row>
    <row r="634" spans="1:2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</row>
    <row r="635" spans="1:24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</row>
    <row r="636" spans="1:24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</row>
    <row r="637" spans="1:24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</row>
    <row r="638" spans="1:24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</row>
    <row r="639" spans="1:24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</row>
    <row r="640" spans="1:24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</row>
    <row r="641" spans="1:24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</row>
    <row r="642" spans="1:24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</row>
    <row r="643" spans="1:24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</row>
    <row r="644" spans="1:2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</row>
    <row r="645" spans="1:24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</row>
    <row r="646" spans="1:24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</row>
    <row r="647" spans="1:24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</row>
    <row r="648" spans="1:24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</row>
    <row r="649" spans="1:24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</row>
    <row r="650" spans="1:24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</row>
    <row r="651" spans="1:24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</row>
    <row r="652" spans="1:24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</row>
    <row r="653" spans="1:24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</row>
    <row r="654" spans="1:2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</row>
    <row r="655" spans="1:24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</row>
    <row r="656" spans="1:24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</row>
    <row r="657" spans="1:24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</row>
    <row r="658" spans="1:24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</row>
    <row r="659" spans="1:24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</row>
    <row r="660" spans="1:24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</row>
    <row r="661" spans="1:24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</row>
    <row r="662" spans="1:24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</row>
    <row r="663" spans="1:24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</row>
    <row r="664" spans="1:2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</row>
    <row r="665" spans="1:24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</row>
    <row r="666" spans="1:24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</row>
    <row r="667" spans="1:24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</row>
    <row r="668" spans="1:24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</row>
    <row r="669" spans="1:24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</row>
    <row r="670" spans="1:24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</row>
    <row r="671" spans="1:24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</row>
    <row r="672" spans="1:24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</row>
    <row r="673" spans="1:24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</row>
    <row r="674" spans="1:2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</row>
    <row r="675" spans="1:24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</row>
    <row r="676" spans="1:24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</row>
    <row r="677" spans="1:24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</row>
    <row r="678" spans="1:24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</row>
    <row r="679" spans="1:24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</row>
    <row r="680" spans="1:24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</row>
    <row r="681" spans="1:24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</row>
    <row r="682" spans="1:24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</row>
    <row r="683" spans="1:24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</row>
    <row r="684" spans="1:2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</row>
    <row r="685" spans="1:24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</row>
    <row r="686" spans="1:24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</row>
    <row r="687" spans="1:24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</row>
    <row r="688" spans="1:24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</row>
    <row r="689" spans="1:24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</row>
    <row r="690" spans="1:24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</row>
    <row r="691" spans="1:24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</row>
    <row r="692" spans="1:24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</row>
    <row r="693" spans="1:24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</row>
    <row r="694" spans="1:2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</row>
    <row r="695" spans="1:24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</row>
    <row r="696" spans="1:24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</row>
    <row r="697" spans="1:24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</row>
    <row r="698" spans="1:24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</row>
    <row r="699" spans="1:24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</row>
    <row r="700" spans="1:24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</row>
    <row r="701" spans="1:24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</row>
    <row r="702" spans="1:24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</row>
    <row r="703" spans="1:24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</row>
    <row r="704" spans="1:2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</row>
    <row r="705" spans="1:24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</row>
    <row r="706" spans="1:24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</row>
    <row r="707" spans="1:24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</row>
    <row r="708" spans="1:24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</row>
    <row r="709" spans="1:24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</row>
    <row r="710" spans="1:24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</row>
    <row r="711" spans="1:24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</row>
    <row r="712" spans="1:24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</row>
    <row r="713" spans="1:24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</row>
    <row r="714" spans="1:2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</row>
    <row r="715" spans="1:24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</row>
    <row r="716" spans="1:24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</row>
    <row r="717" spans="1:24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</row>
    <row r="718" spans="1:24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</row>
    <row r="719" spans="1:24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</row>
    <row r="720" spans="1:24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</row>
    <row r="721" spans="1:24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</row>
    <row r="722" spans="1:24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</row>
    <row r="723" spans="1:24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</row>
    <row r="724" spans="1: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</row>
    <row r="725" spans="1:24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</row>
    <row r="726" spans="1:24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</row>
    <row r="727" spans="1:24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</row>
    <row r="728" spans="1:24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</row>
    <row r="729" spans="1:24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</row>
    <row r="730" spans="1:24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</row>
    <row r="731" spans="1:24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</row>
    <row r="732" spans="1:24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</row>
    <row r="733" spans="1:24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</row>
    <row r="734" spans="1:2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</row>
    <row r="735" spans="1:24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</row>
    <row r="736" spans="1:24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</row>
    <row r="737" spans="1:24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</row>
    <row r="738" spans="1:24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</row>
    <row r="739" spans="1:24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</row>
    <row r="740" spans="1:24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</row>
    <row r="741" spans="1:24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</row>
    <row r="742" spans="1:24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</row>
    <row r="743" spans="1:24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</row>
    <row r="744" spans="1:2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</row>
    <row r="745" spans="1:24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</row>
    <row r="746" spans="1:24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</row>
    <row r="747" spans="1:24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</row>
    <row r="748" spans="1:24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</row>
    <row r="749" spans="1:24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</row>
    <row r="750" spans="1:24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</row>
    <row r="751" spans="1:24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</row>
    <row r="752" spans="1:24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</row>
    <row r="753" spans="1:24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</row>
    <row r="754" spans="1:2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</row>
    <row r="755" spans="1:24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</row>
    <row r="756" spans="1:24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</row>
    <row r="757" spans="1:24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</row>
    <row r="758" spans="1:24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</row>
    <row r="759" spans="1:24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</row>
    <row r="760" spans="1:24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</row>
    <row r="761" spans="1:24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</row>
    <row r="762" spans="1:24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</row>
    <row r="763" spans="1:24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</row>
    <row r="764" spans="1:2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</row>
    <row r="765" spans="1:24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</row>
    <row r="766" spans="1:24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</row>
    <row r="767" spans="1:24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</row>
    <row r="768" spans="1:24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</row>
    <row r="769" spans="1:24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</row>
    <row r="770" spans="1:24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</row>
    <row r="771" spans="1:24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</row>
    <row r="772" spans="1:24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</row>
    <row r="773" spans="1:24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</row>
    <row r="774" spans="1:2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</row>
    <row r="775" spans="1:24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</row>
    <row r="776" spans="1:24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</row>
    <row r="777" spans="1:24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</row>
    <row r="778" spans="1:24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</row>
    <row r="779" spans="1:24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</row>
    <row r="780" spans="1:24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</row>
    <row r="781" spans="1:24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</row>
    <row r="782" spans="1:24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</row>
    <row r="783" spans="1:24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</row>
    <row r="784" spans="1:2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</row>
    <row r="785" spans="1:24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</row>
    <row r="786" spans="1:24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</row>
    <row r="787" spans="1:24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</row>
    <row r="788" spans="1:24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</row>
    <row r="789" spans="1:24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</row>
    <row r="790" spans="1:24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</row>
    <row r="791" spans="1:24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</row>
    <row r="792" spans="1:24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</row>
    <row r="793" spans="1:24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</row>
    <row r="794" spans="1:2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</row>
    <row r="795" spans="1:24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</row>
    <row r="796" spans="1:24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</row>
    <row r="797" spans="1:24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</row>
    <row r="798" spans="1:24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</row>
    <row r="799" spans="1:24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</row>
    <row r="800" spans="1:24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</row>
    <row r="801" spans="1:24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</row>
    <row r="802" spans="1:24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</row>
    <row r="803" spans="1:24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</row>
    <row r="804" spans="1:2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</row>
    <row r="805" spans="1:24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</row>
    <row r="806" spans="1:24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</row>
    <row r="807" spans="1:24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</row>
    <row r="808" spans="1:24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</row>
    <row r="809" spans="1:24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</row>
    <row r="810" spans="1:24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</row>
    <row r="811" spans="1:24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</row>
    <row r="812" spans="1:24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</row>
    <row r="813" spans="1:24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</row>
    <row r="814" spans="1:2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</row>
    <row r="815" spans="1:24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</row>
    <row r="816" spans="1:24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</row>
    <row r="817" spans="1:24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</row>
    <row r="818" spans="1:24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</row>
    <row r="819" spans="1:24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</row>
    <row r="820" spans="1:24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</row>
    <row r="821" spans="1:24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</row>
    <row r="822" spans="1:24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</row>
    <row r="823" spans="1:24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</row>
    <row r="824" spans="1: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</row>
    <row r="825" spans="1:24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</row>
    <row r="826" spans="1:24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</row>
    <row r="827" spans="1:24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</row>
    <row r="828" spans="1:24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</row>
    <row r="829" spans="1:24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</row>
    <row r="830" spans="1:24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</row>
    <row r="831" spans="1:24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</row>
    <row r="832" spans="1:24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</row>
    <row r="833" spans="1:24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</row>
    <row r="834" spans="1:2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</row>
    <row r="835" spans="1:24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</row>
    <row r="836" spans="1:24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</row>
    <row r="837" spans="1:24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</row>
    <row r="838" spans="1:24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</row>
    <row r="839" spans="1:24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</row>
    <row r="840" spans="1:24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</row>
    <row r="841" spans="1:24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</row>
    <row r="842" spans="1:24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</row>
    <row r="843" spans="1:24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</row>
    <row r="844" spans="1:2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</row>
    <row r="845" spans="1:24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</row>
    <row r="846" spans="1:24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</row>
    <row r="847" spans="1:24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</row>
    <row r="848" spans="1:24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</row>
    <row r="849" spans="1:24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</row>
    <row r="850" spans="1:24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</row>
    <row r="851" spans="1:24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</row>
    <row r="852" spans="1:24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</row>
    <row r="853" spans="1:24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</row>
    <row r="854" spans="1:2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</row>
    <row r="855" spans="1:24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</row>
    <row r="856" spans="1:24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</row>
    <row r="857" spans="1:24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</row>
    <row r="858" spans="1:24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</row>
    <row r="859" spans="1:24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</row>
    <row r="860" spans="1:24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</row>
    <row r="861" spans="1:24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</row>
    <row r="862" spans="1:24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</row>
    <row r="863" spans="1:24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</row>
    <row r="864" spans="1:2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</row>
    <row r="865" spans="1:24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</row>
    <row r="866" spans="1:24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</row>
    <row r="867" spans="1:24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</row>
    <row r="868" spans="1:24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</row>
    <row r="869" spans="1:24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</row>
    <row r="870" spans="1:24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</row>
    <row r="871" spans="1:24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</row>
    <row r="872" spans="1:24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</row>
    <row r="873" spans="1:24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</row>
    <row r="874" spans="1:2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</row>
    <row r="875" spans="1:24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</row>
    <row r="876" spans="1:24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</row>
    <row r="877" spans="1:24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</row>
    <row r="878" spans="1:24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</row>
    <row r="879" spans="1:24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</row>
    <row r="880" spans="1:24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</row>
    <row r="881" spans="1:24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</row>
    <row r="882" spans="1:24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</row>
    <row r="883" spans="1:24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</row>
    <row r="884" spans="1:2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</row>
    <row r="885" spans="1:24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</row>
    <row r="886" spans="1:24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</row>
    <row r="887" spans="1:24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</row>
    <row r="888" spans="1:24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</row>
    <row r="889" spans="1:24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</row>
    <row r="890" spans="1:24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</row>
    <row r="891" spans="1:24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</row>
    <row r="892" spans="1:24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</row>
    <row r="893" spans="1:24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</row>
    <row r="894" spans="1:2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</row>
    <row r="895" spans="1:24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</row>
    <row r="896" spans="1:24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</row>
    <row r="897" spans="1:24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</row>
    <row r="898" spans="1:24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</row>
    <row r="899" spans="1:24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</row>
    <row r="900" spans="1:24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</row>
    <row r="901" spans="1:24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</row>
    <row r="902" spans="1:24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</row>
    <row r="903" spans="1:24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</row>
    <row r="904" spans="1:2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</row>
    <row r="905" spans="1:24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</row>
    <row r="906" spans="1:24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</row>
    <row r="907" spans="1:24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</row>
    <row r="908" spans="1:24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</row>
    <row r="909" spans="1:24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</row>
    <row r="910" spans="1:24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</row>
    <row r="911" spans="1:24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</row>
    <row r="912" spans="1:24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</row>
    <row r="913" spans="1:24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</row>
    <row r="914" spans="1:2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</row>
    <row r="915" spans="1:24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</row>
    <row r="916" spans="1:24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</row>
    <row r="917" spans="1:24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</row>
    <row r="918" spans="1:24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</row>
    <row r="919" spans="1:24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</row>
    <row r="920" spans="1:24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</row>
    <row r="921" spans="1:24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</row>
    <row r="922" spans="1:24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</row>
    <row r="923" spans="1:24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</row>
    <row r="924" spans="1: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</row>
    <row r="925" spans="1:24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</row>
    <row r="926" spans="1:24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</row>
    <row r="927" spans="1:24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</row>
    <row r="928" spans="1:24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</row>
    <row r="929" spans="1:24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</row>
    <row r="930" spans="1:24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</row>
    <row r="931" spans="1:24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</row>
    <row r="932" spans="1:24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</row>
    <row r="933" spans="1:24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</row>
    <row r="934" spans="1:2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</row>
    <row r="935" spans="1:24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</row>
    <row r="936" spans="1:24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</row>
    <row r="937" spans="1:24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</row>
    <row r="938" spans="1:24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</row>
    <row r="939" spans="1:24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</row>
    <row r="940" spans="1:24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</row>
    <row r="941" spans="1:24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</row>
    <row r="942" spans="1:24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</row>
    <row r="943" spans="1:24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</row>
    <row r="944" spans="1:2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</row>
    <row r="945" spans="1:24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</row>
    <row r="946" spans="1:24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</row>
    <row r="947" spans="1:24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</row>
    <row r="948" spans="1:24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</row>
    <row r="949" spans="1:24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</row>
    <row r="950" spans="1:24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</row>
    <row r="951" spans="1:24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</row>
    <row r="952" spans="1:24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</row>
    <row r="953" spans="1:24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</row>
    <row r="954" spans="1:2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</row>
    <row r="955" spans="1:24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</row>
    <row r="956" spans="1:24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</row>
    <row r="957" spans="1:24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</row>
    <row r="958" spans="1:24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</row>
    <row r="959" spans="1:24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</row>
    <row r="960" spans="1:24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</row>
    <row r="961" spans="1:24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</row>
    <row r="962" spans="1:24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</row>
    <row r="963" spans="1:24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</row>
    <row r="964" spans="1:2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</row>
    <row r="965" spans="1:24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</row>
    <row r="966" spans="1:24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</row>
    <row r="967" spans="1:24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</row>
    <row r="968" spans="1:24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</row>
    <row r="969" spans="1:24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</row>
    <row r="970" spans="1:24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</row>
    <row r="971" spans="1:24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</row>
    <row r="972" spans="1:24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</row>
    <row r="973" spans="1:24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</row>
    <row r="974" spans="1:2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</row>
    <row r="975" spans="1:24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977"/>
  <sheetViews>
    <sheetView workbookViewId="0">
      <selection sqref="A1:XFD1048576"/>
    </sheetView>
  </sheetViews>
  <sheetFormatPr defaultColWidth="12.5703125" defaultRowHeight="14.25"/>
  <cols>
    <col min="1" max="2" width="8" style="354" customWidth="1"/>
    <col min="3" max="3" width="7.5703125" style="354" customWidth="1"/>
    <col min="4" max="4" width="5" style="354" customWidth="1"/>
    <col min="5" max="5" width="6" style="354" customWidth="1"/>
    <col min="6" max="6" width="6.28515625" style="354" customWidth="1"/>
    <col min="7" max="7" width="9.7109375" style="354" customWidth="1"/>
    <col min="8" max="8" width="9" style="354" customWidth="1"/>
    <col min="9" max="9" width="8.140625" style="354" customWidth="1"/>
    <col min="10" max="10" width="8.42578125" style="354" customWidth="1"/>
    <col min="11" max="11" width="9.140625" style="354" customWidth="1"/>
    <col min="12" max="12" width="5.7109375" style="354" customWidth="1"/>
    <col min="13" max="13" width="7.7109375" style="354" customWidth="1"/>
    <col min="14" max="26" width="7.5703125" style="354" customWidth="1"/>
    <col min="27" max="16384" width="12.5703125" style="354"/>
  </cols>
  <sheetData>
    <row r="1" spans="1:26">
      <c r="A1" s="1" t="s">
        <v>0</v>
      </c>
      <c r="B1" s="1" t="s">
        <v>422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 t="s">
        <v>423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 t="s">
        <v>424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55" t="s">
        <v>4</v>
      </c>
      <c r="B4" s="355"/>
      <c r="C4" s="355"/>
      <c r="D4" s="356" t="s">
        <v>5</v>
      </c>
      <c r="E4" s="356" t="s">
        <v>6</v>
      </c>
      <c r="F4" s="356" t="s">
        <v>7</v>
      </c>
      <c r="G4" s="356" t="s">
        <v>8</v>
      </c>
      <c r="H4" s="356" t="s">
        <v>9</v>
      </c>
      <c r="I4" s="356" t="s">
        <v>10</v>
      </c>
      <c r="J4" s="356" t="s">
        <v>11</v>
      </c>
      <c r="K4" s="356" t="s">
        <v>12</v>
      </c>
      <c r="L4" s="357" t="s">
        <v>13</v>
      </c>
      <c r="M4" s="35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3" t="s">
        <v>14</v>
      </c>
      <c r="E5" s="13" t="s">
        <v>15</v>
      </c>
      <c r="F5" s="13" t="s">
        <v>15</v>
      </c>
      <c r="G5" s="13" t="s">
        <v>16</v>
      </c>
      <c r="H5" s="13" t="s">
        <v>17</v>
      </c>
      <c r="I5" s="13" t="s">
        <v>18</v>
      </c>
      <c r="J5" s="13" t="s">
        <v>17</v>
      </c>
      <c r="K5" s="13" t="s">
        <v>17</v>
      </c>
      <c r="L5" s="358" t="s">
        <v>10</v>
      </c>
      <c r="M5" s="13" t="s">
        <v>11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3" t="s">
        <v>19</v>
      </c>
      <c r="E6" s="13"/>
      <c r="F6" s="13"/>
      <c r="G6" s="13"/>
      <c r="H6" s="13" t="s">
        <v>20</v>
      </c>
      <c r="I6" s="13" t="s">
        <v>17</v>
      </c>
      <c r="J6" s="13" t="s">
        <v>20</v>
      </c>
      <c r="K6" s="13" t="s">
        <v>20</v>
      </c>
      <c r="L6" s="13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59"/>
      <c r="B7" s="359"/>
      <c r="C7" s="359"/>
      <c r="D7" s="360"/>
      <c r="E7" s="360"/>
      <c r="F7" s="360"/>
      <c r="G7" s="360"/>
      <c r="H7" s="360"/>
      <c r="I7" s="360" t="s">
        <v>20</v>
      </c>
      <c r="J7" s="360"/>
      <c r="K7" s="360"/>
      <c r="L7" s="360"/>
      <c r="M7" s="36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425</v>
      </c>
      <c r="B8" s="1"/>
      <c r="C8" s="1"/>
      <c r="D8" s="361">
        <v>90</v>
      </c>
      <c r="E8" s="1">
        <v>3.6</v>
      </c>
      <c r="F8" s="1">
        <v>3.6</v>
      </c>
      <c r="G8" s="362">
        <v>900</v>
      </c>
      <c r="H8" s="14">
        <f t="shared" ref="H8:H18" si="0">SUM(E8*G8)</f>
        <v>3240</v>
      </c>
      <c r="I8" s="14"/>
      <c r="J8" s="14">
        <v>635</v>
      </c>
      <c r="K8" s="14">
        <f t="shared" ref="K8:K21" si="1">SUM(H8:J8)</f>
        <v>3875</v>
      </c>
      <c r="L8" s="14"/>
      <c r="M8" s="14"/>
      <c r="N8" s="1"/>
      <c r="O8" s="1"/>
      <c r="P8" s="1"/>
      <c r="Q8" s="20"/>
      <c r="R8" s="14"/>
      <c r="S8" s="14"/>
      <c r="T8" s="1"/>
      <c r="U8" s="1"/>
      <c r="V8" s="1"/>
      <c r="W8" s="1"/>
      <c r="X8" s="1"/>
      <c r="Y8" s="1"/>
      <c r="Z8" s="1"/>
    </row>
    <row r="9" spans="1:26">
      <c r="A9" s="1" t="s">
        <v>21</v>
      </c>
      <c r="B9" s="1"/>
      <c r="C9" s="1"/>
      <c r="D9" s="361">
        <v>94</v>
      </c>
      <c r="E9" s="14">
        <v>8.6</v>
      </c>
      <c r="F9" s="14">
        <f>4.6+0.65</f>
        <v>5.25</v>
      </c>
      <c r="G9" s="14">
        <v>1116</v>
      </c>
      <c r="H9" s="14">
        <v>9598</v>
      </c>
      <c r="I9" s="14"/>
      <c r="J9" s="14"/>
      <c r="K9" s="14">
        <f t="shared" si="1"/>
        <v>9598</v>
      </c>
      <c r="L9" s="14"/>
      <c r="M9" s="14"/>
      <c r="N9" s="1"/>
      <c r="O9" s="1"/>
      <c r="P9" s="1"/>
      <c r="Q9" s="175"/>
      <c r="R9" s="14"/>
      <c r="S9" s="14"/>
      <c r="T9" s="1"/>
      <c r="U9" s="1"/>
      <c r="V9" s="1"/>
      <c r="W9" s="1"/>
      <c r="X9" s="1"/>
      <c r="Y9" s="1"/>
      <c r="Z9" s="1"/>
    </row>
    <row r="10" spans="1:26">
      <c r="A10" s="1" t="s">
        <v>426</v>
      </c>
      <c r="B10" s="1"/>
      <c r="C10" s="1"/>
      <c r="D10" s="361" t="s">
        <v>427</v>
      </c>
      <c r="E10" s="14"/>
      <c r="F10" s="14"/>
      <c r="G10" s="14"/>
      <c r="H10" s="14">
        <f t="shared" si="0"/>
        <v>0</v>
      </c>
      <c r="I10" s="14" t="s">
        <v>428</v>
      </c>
      <c r="J10" s="14"/>
      <c r="K10" s="14">
        <f t="shared" si="1"/>
        <v>0</v>
      </c>
      <c r="L10" s="14"/>
      <c r="M10" s="14"/>
      <c r="N10" s="1"/>
      <c r="O10" s="1"/>
      <c r="P10" s="1"/>
      <c r="Q10" s="20"/>
      <c r="R10" s="14"/>
      <c r="S10" s="14"/>
      <c r="T10" s="1"/>
      <c r="U10" s="1"/>
      <c r="V10" s="1"/>
      <c r="W10" s="1"/>
      <c r="X10" s="1"/>
      <c r="Y10" s="1"/>
      <c r="Z10" s="1"/>
    </row>
    <row r="11" spans="1:26">
      <c r="A11" s="1" t="s">
        <v>429</v>
      </c>
      <c r="B11" s="1"/>
      <c r="C11" s="1"/>
      <c r="D11" s="361">
        <v>100</v>
      </c>
      <c r="E11" s="14">
        <v>8.3000000000000007</v>
      </c>
      <c r="F11" s="14">
        <f>3.7+0.8</f>
        <v>4.5</v>
      </c>
      <c r="G11" s="14">
        <v>1100</v>
      </c>
      <c r="H11" s="14">
        <f t="shared" si="0"/>
        <v>9130</v>
      </c>
      <c r="I11" s="14"/>
      <c r="J11" s="14"/>
      <c r="K11" s="14">
        <f t="shared" si="1"/>
        <v>9130</v>
      </c>
      <c r="L11" s="14"/>
      <c r="M11" s="14"/>
      <c r="N11" s="1"/>
      <c r="O11" s="1"/>
      <c r="P11" s="1"/>
      <c r="Q11" s="20"/>
      <c r="R11" s="14"/>
      <c r="S11" s="14"/>
      <c r="T11" s="1"/>
      <c r="U11" s="1"/>
      <c r="V11" s="1"/>
      <c r="W11" s="1"/>
      <c r="X11" s="1"/>
      <c r="Y11" s="1"/>
      <c r="Z11" s="1"/>
    </row>
    <row r="12" spans="1:26">
      <c r="A12" s="1" t="s">
        <v>364</v>
      </c>
      <c r="B12" s="1"/>
      <c r="C12" s="1"/>
      <c r="D12" s="361">
        <v>100</v>
      </c>
      <c r="E12" s="14">
        <v>14.5</v>
      </c>
      <c r="F12" s="14">
        <v>9.1</v>
      </c>
      <c r="G12" s="14">
        <v>1096</v>
      </c>
      <c r="H12" s="14">
        <f t="shared" si="0"/>
        <v>15892</v>
      </c>
      <c r="I12" s="14"/>
      <c r="J12" s="14">
        <f>E28*G28</f>
        <v>7487.9999999999991</v>
      </c>
      <c r="K12" s="14">
        <f>SUM(H12:J12)</f>
        <v>23380</v>
      </c>
      <c r="L12" s="14"/>
      <c r="M12" s="14"/>
      <c r="N12" s="1"/>
      <c r="O12" s="1"/>
      <c r="P12" s="1"/>
      <c r="Q12" s="20"/>
      <c r="R12" s="14"/>
      <c r="S12" s="14"/>
      <c r="T12" s="1"/>
      <c r="U12" s="1"/>
      <c r="V12" s="1"/>
      <c r="W12" s="1"/>
      <c r="X12" s="1"/>
      <c r="Y12" s="1"/>
      <c r="Z12" s="1"/>
    </row>
    <row r="13" spans="1:26">
      <c r="A13" s="1" t="s">
        <v>34</v>
      </c>
      <c r="B13" s="1"/>
      <c r="C13" s="1"/>
      <c r="D13" s="361">
        <v>100</v>
      </c>
      <c r="E13" s="14">
        <v>5.3</v>
      </c>
      <c r="F13" s="14">
        <f>5+0.14</f>
        <v>5.14</v>
      </c>
      <c r="G13" s="14">
        <v>1100</v>
      </c>
      <c r="H13" s="14">
        <f t="shared" si="0"/>
        <v>5830</v>
      </c>
      <c r="I13" s="14"/>
      <c r="J13" s="14">
        <f>E38*G38+E39*G39+E40*G40+E41*G41</f>
        <v>30877</v>
      </c>
      <c r="K13" s="14">
        <f t="shared" si="1"/>
        <v>36707</v>
      </c>
      <c r="L13" s="14"/>
      <c r="M13" s="14"/>
      <c r="N13" s="1"/>
      <c r="O13" s="1"/>
      <c r="P13" s="1"/>
      <c r="Q13" s="20"/>
      <c r="R13" s="14"/>
      <c r="S13" s="14"/>
      <c r="T13" s="1"/>
      <c r="U13" s="1"/>
      <c r="V13" s="1"/>
      <c r="W13" s="1"/>
      <c r="X13" s="1"/>
      <c r="Y13" s="1"/>
      <c r="Z13" s="1"/>
    </row>
    <row r="14" spans="1:26">
      <c r="A14" s="1" t="s">
        <v>430</v>
      </c>
      <c r="B14" s="1"/>
      <c r="C14" s="1"/>
      <c r="D14" s="361">
        <v>100</v>
      </c>
      <c r="E14" s="14">
        <v>12</v>
      </c>
      <c r="F14" s="14">
        <f>4.5+3.6</f>
        <v>8.1</v>
      </c>
      <c r="G14" s="14">
        <v>979.5</v>
      </c>
      <c r="H14" s="14">
        <f t="shared" si="0"/>
        <v>11754</v>
      </c>
      <c r="I14" s="14"/>
      <c r="J14" s="14"/>
      <c r="K14" s="14">
        <f t="shared" si="1"/>
        <v>11754</v>
      </c>
      <c r="L14" s="14"/>
      <c r="M14" s="14"/>
      <c r="N14" s="1"/>
      <c r="O14" s="1"/>
      <c r="P14" s="1"/>
      <c r="Q14" s="20"/>
      <c r="R14" s="14"/>
      <c r="S14" s="14"/>
      <c r="T14" s="1"/>
      <c r="U14" s="1"/>
      <c r="V14" s="1"/>
      <c r="W14" s="1"/>
      <c r="X14" s="1"/>
      <c r="Y14" s="1"/>
      <c r="Z14" s="1"/>
    </row>
    <row r="15" spans="1:26">
      <c r="A15" s="1" t="s">
        <v>36</v>
      </c>
      <c r="B15" s="1"/>
      <c r="C15" s="1"/>
      <c r="D15" s="361">
        <v>100</v>
      </c>
      <c r="E15" s="14">
        <v>18.89</v>
      </c>
      <c r="F15" s="14">
        <v>18.399999999999999</v>
      </c>
      <c r="G15" s="14">
        <v>1000</v>
      </c>
      <c r="H15" s="14">
        <f t="shared" si="0"/>
        <v>18890</v>
      </c>
      <c r="I15" s="14"/>
      <c r="J15" s="14">
        <v>20767</v>
      </c>
      <c r="K15" s="14">
        <f t="shared" si="1"/>
        <v>39657</v>
      </c>
      <c r="L15" s="14"/>
      <c r="M15" s="1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 t="s">
        <v>419</v>
      </c>
      <c r="B16" s="1"/>
      <c r="C16" s="1"/>
      <c r="D16" s="361">
        <v>100</v>
      </c>
      <c r="E16" s="14">
        <v>11.3</v>
      </c>
      <c r="F16" s="14">
        <f>3.9+3.7</f>
        <v>7.6</v>
      </c>
      <c r="G16" s="14">
        <v>841</v>
      </c>
      <c r="H16" s="14">
        <v>9503</v>
      </c>
      <c r="I16" s="14"/>
      <c r="J16" s="14">
        <v>12270</v>
      </c>
      <c r="K16" s="14">
        <f t="shared" si="1"/>
        <v>21773</v>
      </c>
      <c r="L16" s="14"/>
      <c r="M16" s="14">
        <v>9389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 t="s">
        <v>431</v>
      </c>
      <c r="B17" s="1"/>
      <c r="C17" s="1"/>
      <c r="D17" s="361">
        <v>100</v>
      </c>
      <c r="E17" s="14">
        <v>13.78</v>
      </c>
      <c r="F17" s="14">
        <f>5.7+5.2</f>
        <v>10.9</v>
      </c>
      <c r="G17" s="14">
        <v>828.3</v>
      </c>
      <c r="H17" s="14">
        <v>11414</v>
      </c>
      <c r="I17" s="14"/>
      <c r="J17" s="14"/>
      <c r="K17" s="14">
        <f t="shared" si="1"/>
        <v>11414</v>
      </c>
      <c r="L17" s="14"/>
      <c r="M17" s="1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 t="s">
        <v>432</v>
      </c>
      <c r="B18" s="1"/>
      <c r="C18" s="1"/>
      <c r="D18" s="361">
        <v>100</v>
      </c>
      <c r="E18" s="14">
        <v>30.39</v>
      </c>
      <c r="F18" s="14">
        <v>25.33</v>
      </c>
      <c r="G18" s="14">
        <v>1000</v>
      </c>
      <c r="H18" s="14">
        <f t="shared" si="0"/>
        <v>30390</v>
      </c>
      <c r="I18" s="14"/>
      <c r="J18" s="14"/>
      <c r="K18" s="14">
        <f t="shared" si="1"/>
        <v>30390</v>
      </c>
      <c r="L18" s="14"/>
      <c r="M18" s="1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 t="s">
        <v>305</v>
      </c>
      <c r="B19" s="1"/>
      <c r="C19" s="1"/>
      <c r="D19" s="361">
        <v>100</v>
      </c>
      <c r="E19" s="14">
        <v>39.1</v>
      </c>
      <c r="F19" s="14">
        <f>15+16.2</f>
        <v>31.2</v>
      </c>
      <c r="G19" s="14">
        <v>926</v>
      </c>
      <c r="H19" s="14">
        <v>36207</v>
      </c>
      <c r="I19" s="14"/>
      <c r="J19" s="14"/>
      <c r="K19" s="14">
        <f t="shared" si="1"/>
        <v>36207</v>
      </c>
      <c r="L19" s="14"/>
      <c r="M19" s="1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55" t="s">
        <v>42</v>
      </c>
      <c r="B20" s="355"/>
      <c r="C20" s="355"/>
      <c r="D20" s="363"/>
      <c r="E20" s="364">
        <f>SUM(E8:E19)</f>
        <v>165.76</v>
      </c>
      <c r="F20" s="364">
        <f>SUM(F8:F19)</f>
        <v>129.12</v>
      </c>
      <c r="G20" s="364"/>
      <c r="H20" s="364">
        <f>SUM(H8:H19)</f>
        <v>161848</v>
      </c>
      <c r="I20" s="364">
        <f>SUM(I8:I19)</f>
        <v>0</v>
      </c>
      <c r="J20" s="364">
        <f>SUM(J8:J19)</f>
        <v>72037</v>
      </c>
      <c r="K20" s="364">
        <f t="shared" si="1"/>
        <v>233885</v>
      </c>
      <c r="L20" s="364">
        <f>SUM(L8:L19)</f>
        <v>0</v>
      </c>
      <c r="M20" s="364">
        <f>SUM(M8:M19)</f>
        <v>9389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59" t="s">
        <v>43</v>
      </c>
      <c r="B21" s="359"/>
      <c r="C21" s="359"/>
      <c r="D21" s="365"/>
      <c r="E21" s="366">
        <f>SUM(E20-F20)</f>
        <v>36.639999999999986</v>
      </c>
      <c r="F21" s="366"/>
      <c r="G21" s="366"/>
      <c r="H21" s="366">
        <f>SUM(E32*G32)</f>
        <v>36075</v>
      </c>
      <c r="I21" s="366">
        <f t="shared" ref="I21" si="2">I20-L20</f>
        <v>0</v>
      </c>
      <c r="J21" s="366">
        <f>J20-M20</f>
        <v>62648</v>
      </c>
      <c r="K21" s="366">
        <f t="shared" si="1"/>
        <v>98723</v>
      </c>
      <c r="L21" s="366"/>
      <c r="M21" s="36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 t="s">
        <v>44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 t="s">
        <v>45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67" t="s">
        <v>46</v>
      </c>
      <c r="B26" s="367"/>
      <c r="C26" s="367"/>
      <c r="D26" s="367" t="s">
        <v>47</v>
      </c>
      <c r="E26" s="367" t="s">
        <v>48</v>
      </c>
      <c r="F26" s="367"/>
      <c r="G26" s="367" t="s">
        <v>49</v>
      </c>
      <c r="H26" s="1"/>
      <c r="I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 t="s">
        <v>52</v>
      </c>
      <c r="B27" s="1"/>
      <c r="C27" s="1"/>
      <c r="D27" s="1"/>
      <c r="E27" s="1"/>
      <c r="F27" s="1"/>
      <c r="G27" s="1"/>
      <c r="H27" s="1"/>
      <c r="I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 t="s">
        <v>121</v>
      </c>
      <c r="B28" s="1"/>
      <c r="C28" s="1"/>
      <c r="D28" s="1" t="s">
        <v>55</v>
      </c>
      <c r="E28" s="1">
        <v>7.1999999999999995E-2</v>
      </c>
      <c r="F28" s="1"/>
      <c r="G28" s="14">
        <v>104000</v>
      </c>
      <c r="H28" s="1"/>
      <c r="I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 t="s">
        <v>50</v>
      </c>
      <c r="K30" s="1" t="s">
        <v>51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 t="s">
        <v>57</v>
      </c>
      <c r="B31" s="1"/>
      <c r="C31" s="1"/>
      <c r="D31" s="1"/>
      <c r="E31" s="1"/>
      <c r="F31" s="1"/>
      <c r="G31" s="1"/>
      <c r="H31" s="1"/>
      <c r="I31" s="1"/>
      <c r="J31" s="28" t="s">
        <v>433</v>
      </c>
      <c r="K31" s="28">
        <v>88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 t="s">
        <v>58</v>
      </c>
      <c r="B32" s="1"/>
      <c r="C32" s="1"/>
      <c r="D32" s="1" t="s">
        <v>59</v>
      </c>
      <c r="E32" s="14">
        <v>37</v>
      </c>
      <c r="F32" s="14"/>
      <c r="G32" s="14">
        <v>975</v>
      </c>
      <c r="H32" s="1"/>
      <c r="I32" s="1"/>
      <c r="J32" s="28" t="s">
        <v>125</v>
      </c>
      <c r="K32" s="28">
        <v>14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 t="s">
        <v>61</v>
      </c>
      <c r="B33" s="1"/>
      <c r="C33" s="1"/>
      <c r="D33" s="1" t="s">
        <v>59</v>
      </c>
      <c r="E33" s="14">
        <v>129</v>
      </c>
      <c r="F33" s="14"/>
      <c r="G33" s="1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 t="s">
        <v>6</v>
      </c>
      <c r="B34" s="1"/>
      <c r="C34" s="1"/>
      <c r="D34" s="1"/>
      <c r="E34" s="14">
        <f>SUM(E32:E33)</f>
        <v>166</v>
      </c>
      <c r="F34" s="14"/>
      <c r="G34" s="14"/>
      <c r="H34" s="1"/>
      <c r="I34" s="1"/>
      <c r="J34" s="28" t="s">
        <v>60</v>
      </c>
      <c r="K34" s="28">
        <v>0.35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28" t="s">
        <v>62</v>
      </c>
      <c r="K35" s="28">
        <v>0.25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355" t="s">
        <v>63</v>
      </c>
      <c r="B36" s="355"/>
      <c r="C36" s="355" t="s">
        <v>64</v>
      </c>
      <c r="D36" s="355"/>
      <c r="E36" s="355"/>
      <c r="F36" s="355"/>
      <c r="G36" s="35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358"/>
      <c r="C37" s="1"/>
      <c r="D37" s="1"/>
      <c r="E37" s="1"/>
      <c r="F37" s="1"/>
      <c r="G37" s="1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 t="s">
        <v>352</v>
      </c>
      <c r="B38" s="358"/>
      <c r="C38" s="1">
        <v>68</v>
      </c>
      <c r="D38" s="1" t="s">
        <v>192</v>
      </c>
      <c r="E38" s="14">
        <v>25</v>
      </c>
      <c r="F38" s="14"/>
      <c r="G38" s="14">
        <v>157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 t="s">
        <v>434</v>
      </c>
      <c r="B39" s="358"/>
      <c r="C39" s="1">
        <v>50</v>
      </c>
      <c r="D39" s="1" t="s">
        <v>55</v>
      </c>
      <c r="E39" s="14">
        <v>188</v>
      </c>
      <c r="F39" s="14"/>
      <c r="G39" s="14">
        <v>64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 t="s">
        <v>127</v>
      </c>
      <c r="B40" s="358"/>
      <c r="C40" s="1">
        <v>50</v>
      </c>
      <c r="D40" s="1" t="s">
        <v>55</v>
      </c>
      <c r="E40" s="14">
        <v>36</v>
      </c>
      <c r="F40" s="14"/>
      <c r="G40" s="14">
        <v>66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 t="s">
        <v>435</v>
      </c>
      <c r="B41" s="358"/>
      <c r="C41" s="1">
        <v>48</v>
      </c>
      <c r="D41" s="1" t="s">
        <v>55</v>
      </c>
      <c r="E41" s="14">
        <v>196</v>
      </c>
      <c r="F41" s="14"/>
      <c r="G41" s="14">
        <v>64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355" t="s">
        <v>68</v>
      </c>
      <c r="B42" s="355"/>
      <c r="C42" s="355"/>
      <c r="D42" s="355"/>
      <c r="E42" s="355"/>
      <c r="F42" s="355"/>
      <c r="G42" s="355"/>
      <c r="H42" s="1"/>
      <c r="I42" s="1" t="s">
        <v>436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 t="s">
        <v>71</v>
      </c>
      <c r="B43" s="1"/>
      <c r="C43" s="1"/>
      <c r="D43" s="1"/>
      <c r="E43" s="1"/>
      <c r="F43" s="1"/>
      <c r="G43" s="362">
        <v>7096</v>
      </c>
      <c r="H43" s="362"/>
      <c r="I43" s="361">
        <f>+G43*2.471</f>
        <v>17534.216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 t="s">
        <v>72</v>
      </c>
      <c r="B44" s="1"/>
      <c r="C44" s="1"/>
      <c r="D44" s="1"/>
      <c r="E44" s="1"/>
      <c r="F44" s="1"/>
      <c r="G44" s="362">
        <v>58</v>
      </c>
      <c r="H44" s="362"/>
      <c r="I44" s="36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 t="s">
        <v>73</v>
      </c>
      <c r="B45" s="1"/>
      <c r="C45" s="1"/>
      <c r="D45" s="1"/>
      <c r="E45" s="1"/>
      <c r="F45" s="1"/>
      <c r="G45" s="362">
        <f>SUM(G43*G44)</f>
        <v>411568</v>
      </c>
      <c r="H45" s="362"/>
      <c r="I45" s="361">
        <f t="shared" ref="I45:I47" si="3">+G45*2.471</f>
        <v>1016984.528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 t="s">
        <v>74</v>
      </c>
      <c r="B46" s="1"/>
      <c r="C46" s="1"/>
      <c r="D46" s="1"/>
      <c r="E46" s="1"/>
      <c r="F46" s="1"/>
      <c r="G46" s="362">
        <f>SUM(G45-K20)</f>
        <v>177683</v>
      </c>
      <c r="H46" s="362"/>
      <c r="I46" s="361">
        <f t="shared" si="3"/>
        <v>439054.69300000003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 t="s">
        <v>75</v>
      </c>
      <c r="B47" s="1"/>
      <c r="C47" s="1"/>
      <c r="D47" s="1"/>
      <c r="E47" s="1"/>
      <c r="F47" s="1"/>
      <c r="G47" s="362">
        <f>SUM(G45-K21)</f>
        <v>312845</v>
      </c>
      <c r="H47" s="362"/>
      <c r="I47" s="361">
        <f t="shared" si="3"/>
        <v>773039.995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36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 t="s">
        <v>76</v>
      </c>
      <c r="B49" s="1"/>
      <c r="C49" s="1"/>
      <c r="D49" s="1"/>
      <c r="E49" s="1"/>
      <c r="F49" s="1"/>
      <c r="G49" s="362">
        <f>SUM(K20/G43)</f>
        <v>32.96011837655017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359" t="s">
        <v>77</v>
      </c>
      <c r="B50" s="359"/>
      <c r="C50" s="359"/>
      <c r="D50" s="359"/>
      <c r="E50" s="359"/>
      <c r="F50" s="359"/>
      <c r="G50" s="368">
        <f>SUM(K21/G43)</f>
        <v>13.912485907553551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 t="s">
        <v>130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 t="s">
        <v>437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 t="s">
        <v>80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6"/>
  <sheetViews>
    <sheetView workbookViewId="0">
      <selection sqref="A1:XFD1048576"/>
    </sheetView>
  </sheetViews>
  <sheetFormatPr defaultRowHeight="15"/>
  <cols>
    <col min="1" max="1" width="11.140625" style="172" customWidth="1"/>
    <col min="2" max="2" width="9.140625" style="172"/>
    <col min="3" max="3" width="4.85546875" style="172" customWidth="1"/>
    <col min="4" max="4" width="5.7109375" style="172" customWidth="1"/>
    <col min="5" max="5" width="7.7109375" style="172" customWidth="1"/>
    <col min="6" max="6" width="5.7109375" style="172" customWidth="1"/>
    <col min="7" max="7" width="9.5703125" style="172" customWidth="1"/>
    <col min="8" max="8" width="9.28515625" style="172" customWidth="1"/>
    <col min="9" max="9" width="7.140625" style="172" customWidth="1"/>
    <col min="10" max="10" width="9.42578125" style="172" customWidth="1"/>
    <col min="11" max="11" width="10.85546875" style="172" customWidth="1"/>
    <col min="12" max="12" width="5.5703125" style="172" customWidth="1"/>
    <col min="13" max="13" width="4.7109375" style="172" customWidth="1"/>
    <col min="14" max="14" width="13.7109375" style="172" bestFit="1" customWidth="1"/>
    <col min="15" max="15" width="15" style="172" bestFit="1" customWidth="1"/>
    <col min="16" max="16" width="11.42578125" style="172" bestFit="1" customWidth="1"/>
    <col min="17" max="17" width="6.28515625" style="172" customWidth="1"/>
    <col min="18" max="18" width="8.140625" style="172" customWidth="1"/>
    <col min="19" max="16384" width="9.140625" style="172"/>
  </cols>
  <sheetData>
    <row r="1" spans="1:19">
      <c r="A1" s="54" t="s">
        <v>0</v>
      </c>
      <c r="B1" s="369" t="s">
        <v>438</v>
      </c>
      <c r="C1" s="369"/>
      <c r="D1" s="369"/>
      <c r="E1" s="369"/>
      <c r="F1" s="369"/>
      <c r="G1" s="369"/>
      <c r="H1" s="369"/>
      <c r="I1" s="54"/>
      <c r="J1" s="54" t="s">
        <v>439</v>
      </c>
      <c r="K1" s="54"/>
      <c r="L1" s="54"/>
      <c r="M1" s="38"/>
    </row>
    <row r="2" spans="1:19">
      <c r="A2" s="54"/>
      <c r="B2" s="54" t="s">
        <v>195</v>
      </c>
      <c r="C2" s="54" t="s">
        <v>440</v>
      </c>
      <c r="D2" s="54"/>
      <c r="E2" s="54"/>
      <c r="F2" s="54" t="s">
        <v>441</v>
      </c>
      <c r="G2" s="54"/>
      <c r="H2" s="54"/>
      <c r="I2" s="54"/>
      <c r="J2" s="54"/>
      <c r="K2" s="54"/>
      <c r="L2" s="54"/>
      <c r="M2" s="38"/>
      <c r="O2" s="174"/>
      <c r="P2" s="174"/>
    </row>
    <row r="3" spans="1:19">
      <c r="A3" s="92" t="s">
        <v>4</v>
      </c>
      <c r="B3" s="92"/>
      <c r="C3" s="92"/>
      <c r="D3" s="93" t="s">
        <v>5</v>
      </c>
      <c r="E3" s="93" t="s">
        <v>6</v>
      </c>
      <c r="F3" s="93" t="s">
        <v>7</v>
      </c>
      <c r="G3" s="93" t="s">
        <v>8</v>
      </c>
      <c r="H3" s="93" t="s">
        <v>9</v>
      </c>
      <c r="I3" s="93" t="s">
        <v>10</v>
      </c>
      <c r="J3" s="93" t="s">
        <v>11</v>
      </c>
      <c r="K3" s="93" t="s">
        <v>12</v>
      </c>
      <c r="L3" s="94" t="s">
        <v>13</v>
      </c>
      <c r="M3" s="41"/>
      <c r="O3" s="174"/>
      <c r="P3" s="174"/>
    </row>
    <row r="4" spans="1:19">
      <c r="A4" s="51"/>
      <c r="B4" s="51"/>
      <c r="C4" s="51"/>
      <c r="D4" s="52" t="s">
        <v>14</v>
      </c>
      <c r="E4" s="52" t="s">
        <v>15</v>
      </c>
      <c r="F4" s="52" t="s">
        <v>15</v>
      </c>
      <c r="G4" s="52" t="s">
        <v>16</v>
      </c>
      <c r="H4" s="52" t="s">
        <v>17</v>
      </c>
      <c r="I4" s="52" t="s">
        <v>18</v>
      </c>
      <c r="J4" s="52" t="s">
        <v>17</v>
      </c>
      <c r="K4" s="52" t="s">
        <v>17</v>
      </c>
      <c r="L4" s="52" t="s">
        <v>10</v>
      </c>
      <c r="M4" s="43" t="s">
        <v>11</v>
      </c>
      <c r="N4" s="173"/>
      <c r="O4" s="174"/>
      <c r="P4" s="174"/>
    </row>
    <row r="5" spans="1:19">
      <c r="A5" s="51"/>
      <c r="B5" s="51"/>
      <c r="C5" s="51"/>
      <c r="D5" s="52" t="s">
        <v>19</v>
      </c>
      <c r="E5" s="52"/>
      <c r="F5" s="52"/>
      <c r="G5" s="52"/>
      <c r="H5" s="52" t="s">
        <v>20</v>
      </c>
      <c r="I5" s="52" t="s">
        <v>17</v>
      </c>
      <c r="J5" s="52" t="s">
        <v>20</v>
      </c>
      <c r="K5" s="52" t="s">
        <v>20</v>
      </c>
      <c r="L5" s="52"/>
      <c r="M5" s="43"/>
      <c r="N5" s="174"/>
      <c r="O5" s="174"/>
      <c r="P5" s="174"/>
    </row>
    <row r="6" spans="1:19">
      <c r="A6" s="96"/>
      <c r="B6" s="96"/>
      <c r="C6" s="96"/>
      <c r="D6" s="97"/>
      <c r="E6" s="97"/>
      <c r="F6" s="97"/>
      <c r="G6" s="97"/>
      <c r="H6" s="97"/>
      <c r="I6" s="97" t="s">
        <v>20</v>
      </c>
      <c r="J6" s="97"/>
      <c r="K6" s="97"/>
      <c r="L6" s="97"/>
      <c r="M6" s="45"/>
      <c r="N6" s="174"/>
      <c r="O6" s="174"/>
      <c r="P6" s="174"/>
    </row>
    <row r="7" spans="1:19">
      <c r="A7" s="54" t="s">
        <v>442</v>
      </c>
      <c r="B7" s="54"/>
      <c r="C7" s="54"/>
      <c r="D7" s="98">
        <v>100</v>
      </c>
      <c r="E7" s="234">
        <v>5.91</v>
      </c>
      <c r="F7" s="173">
        <v>5.5</v>
      </c>
      <c r="G7" s="101">
        <v>1200</v>
      </c>
      <c r="H7" s="14">
        <f t="shared" ref="H7:H22" si="0">SUM(E7*G7)</f>
        <v>7092</v>
      </c>
      <c r="I7" s="99"/>
      <c r="J7" s="99">
        <v>1742</v>
      </c>
      <c r="K7" s="99">
        <f>SUM(H7:J7)</f>
        <v>8834</v>
      </c>
      <c r="L7" s="54"/>
      <c r="M7" s="38"/>
      <c r="N7" s="234"/>
      <c r="O7" s="38"/>
      <c r="P7" s="38"/>
      <c r="Q7" s="53"/>
      <c r="R7" s="53"/>
    </row>
    <row r="8" spans="1:19">
      <c r="A8" s="54" t="s">
        <v>21</v>
      </c>
      <c r="B8" s="54"/>
      <c r="C8" s="54"/>
      <c r="D8" s="370">
        <v>48</v>
      </c>
      <c r="E8" s="173">
        <v>6.12</v>
      </c>
      <c r="F8" s="234">
        <v>3.4937499999999999</v>
      </c>
      <c r="G8" s="173">
        <v>1142.8599999999999</v>
      </c>
      <c r="H8" s="14">
        <v>6994</v>
      </c>
      <c r="I8" s="99"/>
      <c r="J8" s="99"/>
      <c r="K8" s="99">
        <f>SUM(H8:I8)</f>
        <v>6994</v>
      </c>
      <c r="L8" s="54"/>
      <c r="M8" s="38"/>
      <c r="N8" s="234"/>
      <c r="O8" s="38"/>
      <c r="P8" s="38"/>
      <c r="Q8" s="53"/>
      <c r="R8" s="53"/>
    </row>
    <row r="9" spans="1:19">
      <c r="A9" s="54" t="s">
        <v>443</v>
      </c>
      <c r="B9" s="54"/>
      <c r="C9" s="54"/>
      <c r="D9" s="98">
        <v>60</v>
      </c>
      <c r="E9" s="173">
        <v>9.99</v>
      </c>
      <c r="F9" s="173">
        <v>5.32</v>
      </c>
      <c r="G9" s="371">
        <v>1183.43</v>
      </c>
      <c r="H9" s="14">
        <v>11822</v>
      </c>
      <c r="I9" s="99"/>
      <c r="J9" s="99"/>
      <c r="K9" s="99">
        <f>SUM(H9:I9)</f>
        <v>11822</v>
      </c>
      <c r="L9" s="54"/>
      <c r="M9" s="38"/>
      <c r="N9" s="234"/>
      <c r="O9" s="38"/>
      <c r="P9" s="38"/>
      <c r="Q9" s="53"/>
      <c r="R9" s="53"/>
    </row>
    <row r="10" spans="1:19">
      <c r="A10" s="54" t="s">
        <v>444</v>
      </c>
      <c r="B10" s="54"/>
      <c r="C10" s="54"/>
      <c r="D10" s="372" t="s">
        <v>445</v>
      </c>
      <c r="E10" s="173" t="s">
        <v>446</v>
      </c>
      <c r="F10" s="173" t="s">
        <v>447</v>
      </c>
      <c r="G10" s="98"/>
      <c r="H10" s="14"/>
      <c r="I10" s="177" t="s">
        <v>448</v>
      </c>
      <c r="J10" s="99"/>
      <c r="K10" s="99"/>
      <c r="L10" s="189" t="s">
        <v>449</v>
      </c>
      <c r="M10" s="38"/>
      <c r="N10" s="234"/>
      <c r="O10" s="81"/>
      <c r="P10" s="38"/>
      <c r="Q10" s="53"/>
      <c r="R10" s="53"/>
      <c r="S10" s="373"/>
    </row>
    <row r="11" spans="1:19">
      <c r="A11" s="54" t="s">
        <v>450</v>
      </c>
      <c r="B11" s="54"/>
      <c r="C11" s="54"/>
      <c r="D11" s="122" t="s">
        <v>451</v>
      </c>
      <c r="E11" s="173" t="s">
        <v>452</v>
      </c>
      <c r="F11" s="173" t="s">
        <v>452</v>
      </c>
      <c r="G11" s="98"/>
      <c r="H11" s="14"/>
      <c r="I11" s="177"/>
      <c r="J11" s="177" t="s">
        <v>453</v>
      </c>
      <c r="K11" s="99"/>
      <c r="L11" s="54"/>
      <c r="M11" s="38"/>
      <c r="N11" s="234"/>
      <c r="O11" s="81"/>
      <c r="P11" s="38"/>
      <c r="Q11" s="53"/>
      <c r="R11" s="53"/>
      <c r="S11" s="374"/>
    </row>
    <row r="12" spans="1:19">
      <c r="A12" s="54" t="s">
        <v>454</v>
      </c>
      <c r="B12" s="54"/>
      <c r="C12" s="54"/>
      <c r="D12" s="122" t="s">
        <v>455</v>
      </c>
      <c r="E12" s="173" t="s">
        <v>456</v>
      </c>
      <c r="F12" s="173" t="s">
        <v>456</v>
      </c>
      <c r="G12" s="98"/>
      <c r="H12" s="14"/>
      <c r="I12" s="177" t="s">
        <v>457</v>
      </c>
      <c r="J12" s="99"/>
      <c r="K12" s="99"/>
      <c r="L12" s="54"/>
      <c r="M12" s="38"/>
      <c r="N12" s="234"/>
      <c r="O12" s="38"/>
      <c r="P12" s="38"/>
      <c r="Q12" s="53"/>
      <c r="R12" s="53"/>
      <c r="S12" s="374"/>
    </row>
    <row r="13" spans="1:19" s="174" customFormat="1">
      <c r="A13" s="1" t="s">
        <v>458</v>
      </c>
      <c r="B13" s="1"/>
      <c r="C13" s="1"/>
      <c r="D13" s="375">
        <v>60</v>
      </c>
      <c r="E13" s="173">
        <v>7.89</v>
      </c>
      <c r="F13" s="174">
        <v>5.6</v>
      </c>
      <c r="G13" s="173">
        <v>1164.29</v>
      </c>
      <c r="H13" s="14">
        <v>9186</v>
      </c>
      <c r="I13" s="14"/>
      <c r="J13" s="14"/>
      <c r="K13" s="14">
        <f>SUM(H13:J13)</f>
        <v>9186</v>
      </c>
      <c r="L13" s="1"/>
      <c r="M13" s="81"/>
      <c r="N13" s="234"/>
      <c r="O13" s="81"/>
      <c r="P13" s="38"/>
      <c r="Q13" s="53"/>
      <c r="R13" s="53"/>
      <c r="S13" s="374"/>
    </row>
    <row r="14" spans="1:19" s="174" customFormat="1">
      <c r="A14" s="54" t="s">
        <v>454</v>
      </c>
      <c r="B14" s="1"/>
      <c r="C14" s="1"/>
      <c r="D14" s="175" t="s">
        <v>459</v>
      </c>
      <c r="E14" s="56" t="s">
        <v>460</v>
      </c>
      <c r="F14" s="56" t="s">
        <v>461</v>
      </c>
      <c r="G14" s="176"/>
      <c r="H14" s="14"/>
      <c r="I14" s="14"/>
      <c r="J14" s="14"/>
      <c r="K14" s="14"/>
      <c r="L14" s="1"/>
      <c r="M14" s="81"/>
      <c r="N14" s="234"/>
      <c r="O14" s="38"/>
      <c r="P14" s="38"/>
      <c r="Q14" s="53"/>
      <c r="R14" s="53"/>
      <c r="S14" s="374"/>
    </row>
    <row r="15" spans="1:19" s="174" customFormat="1">
      <c r="A15" s="54" t="s">
        <v>450</v>
      </c>
      <c r="B15" s="1"/>
      <c r="C15" s="1"/>
      <c r="D15" s="175" t="s">
        <v>159</v>
      </c>
      <c r="E15" s="56" t="s">
        <v>462</v>
      </c>
      <c r="F15" s="56" t="s">
        <v>462</v>
      </c>
      <c r="G15" s="176"/>
      <c r="H15" s="14"/>
      <c r="I15" s="14"/>
      <c r="J15" s="14"/>
      <c r="K15" s="14"/>
      <c r="L15" s="1"/>
      <c r="M15" s="81"/>
      <c r="N15" s="234"/>
      <c r="O15" s="81"/>
      <c r="P15" s="38"/>
      <c r="Q15" s="53"/>
      <c r="R15" s="53"/>
      <c r="S15" s="374"/>
    </row>
    <row r="16" spans="1:19">
      <c r="A16" s="54" t="s">
        <v>200</v>
      </c>
      <c r="B16" s="54"/>
      <c r="C16" s="54"/>
      <c r="D16" s="98">
        <v>100</v>
      </c>
      <c r="E16" s="234">
        <v>9.2200000000000006</v>
      </c>
      <c r="F16" s="173">
        <v>2.87</v>
      </c>
      <c r="G16" s="376">
        <v>1172.22</v>
      </c>
      <c r="H16" s="14">
        <v>10808</v>
      </c>
      <c r="I16" s="99"/>
      <c r="J16" s="99"/>
      <c r="K16" s="99">
        <f t="shared" ref="K16:K23" si="1">SUM(H16:J16)</f>
        <v>10808</v>
      </c>
      <c r="L16" s="54"/>
      <c r="M16" s="38"/>
      <c r="N16" s="234"/>
      <c r="O16" s="38"/>
      <c r="P16" s="38"/>
      <c r="Q16" s="53"/>
      <c r="R16" s="53"/>
    </row>
    <row r="17" spans="1:18">
      <c r="A17" s="1" t="s">
        <v>463</v>
      </c>
      <c r="B17" s="1" t="s">
        <v>464</v>
      </c>
      <c r="C17" s="1"/>
      <c r="D17" s="98">
        <v>100</v>
      </c>
      <c r="E17" s="377">
        <v>10.59</v>
      </c>
      <c r="F17" s="377">
        <v>4.7300000000000004</v>
      </c>
      <c r="G17" s="234">
        <v>904.43</v>
      </c>
      <c r="H17" s="14">
        <v>9578</v>
      </c>
      <c r="I17" s="99"/>
      <c r="J17" s="14">
        <f>+E31*G31</f>
        <v>10260</v>
      </c>
      <c r="K17" s="99">
        <f t="shared" si="1"/>
        <v>19838</v>
      </c>
      <c r="L17" s="54"/>
      <c r="M17" s="159">
        <v>159</v>
      </c>
      <c r="N17" s="234"/>
      <c r="O17" s="81"/>
      <c r="P17" s="38"/>
      <c r="Q17" s="53"/>
      <c r="R17" s="53"/>
    </row>
    <row r="18" spans="1:18">
      <c r="A18" s="54" t="s">
        <v>34</v>
      </c>
      <c r="B18" s="54"/>
      <c r="C18" s="54"/>
      <c r="D18" s="98">
        <v>100</v>
      </c>
      <c r="E18" s="376">
        <v>7.34</v>
      </c>
      <c r="F18" s="173">
        <v>5.05</v>
      </c>
      <c r="G18" s="173">
        <v>1106.72</v>
      </c>
      <c r="H18" s="14">
        <v>8123</v>
      </c>
      <c r="I18" s="99"/>
      <c r="J18" s="14">
        <f>(E40*G40)+(E39*G39)</f>
        <v>21402</v>
      </c>
      <c r="K18" s="99">
        <f t="shared" si="1"/>
        <v>29525</v>
      </c>
      <c r="L18" s="54"/>
      <c r="M18" s="159"/>
      <c r="N18" s="234"/>
      <c r="O18" s="174"/>
      <c r="P18" s="174"/>
    </row>
    <row r="19" spans="1:18">
      <c r="A19" s="54" t="s">
        <v>465</v>
      </c>
      <c r="B19" s="54"/>
      <c r="C19" s="54"/>
      <c r="D19" s="98">
        <v>100</v>
      </c>
      <c r="E19" s="173">
        <v>13.37</v>
      </c>
      <c r="F19" s="173">
        <v>5.68</v>
      </c>
      <c r="G19" s="173">
        <v>930.43</v>
      </c>
      <c r="H19" s="14">
        <v>12440</v>
      </c>
      <c r="I19" s="99"/>
      <c r="J19" s="99"/>
      <c r="K19" s="99">
        <f t="shared" si="1"/>
        <v>12440</v>
      </c>
      <c r="L19" s="54"/>
      <c r="M19" s="159"/>
      <c r="N19" s="234"/>
      <c r="O19" s="234"/>
      <c r="P19" s="174"/>
    </row>
    <row r="20" spans="1:18">
      <c r="A20" s="54" t="s">
        <v>36</v>
      </c>
      <c r="B20" s="54"/>
      <c r="C20" s="54"/>
      <c r="D20" s="370">
        <v>100</v>
      </c>
      <c r="E20" s="173">
        <v>9.39</v>
      </c>
      <c r="F20" s="234">
        <v>6.91</v>
      </c>
      <c r="G20" s="173">
        <v>1244.04</v>
      </c>
      <c r="H20" s="14">
        <v>11682</v>
      </c>
      <c r="I20" s="99"/>
      <c r="J20" s="234">
        <v>13404</v>
      </c>
      <c r="K20" s="99">
        <f>SUM(H20:J20)</f>
        <v>25086</v>
      </c>
      <c r="L20" s="54"/>
      <c r="M20" s="159"/>
      <c r="N20" s="234"/>
      <c r="O20" s="234"/>
      <c r="P20" s="174"/>
    </row>
    <row r="21" spans="1:18">
      <c r="A21" s="54" t="s">
        <v>466</v>
      </c>
      <c r="B21" s="54"/>
      <c r="C21" s="54"/>
      <c r="D21" s="98">
        <v>100</v>
      </c>
      <c r="E21" s="234">
        <v>13.81</v>
      </c>
      <c r="F21" s="234">
        <v>6.73</v>
      </c>
      <c r="G21" s="173">
        <v>784.44</v>
      </c>
      <c r="H21" s="14">
        <v>10833</v>
      </c>
      <c r="I21" s="99"/>
      <c r="J21" s="173">
        <v>17248</v>
      </c>
      <c r="K21" s="99">
        <f t="shared" si="1"/>
        <v>28081</v>
      </c>
      <c r="L21" s="54"/>
      <c r="M21" s="159"/>
      <c r="N21" s="234"/>
      <c r="O21" s="234"/>
      <c r="P21" s="174"/>
    </row>
    <row r="22" spans="1:18">
      <c r="A22" s="54" t="s">
        <v>92</v>
      </c>
      <c r="B22" s="54"/>
      <c r="C22" s="54"/>
      <c r="D22" s="98">
        <v>100</v>
      </c>
      <c r="E22" s="234">
        <v>11.02</v>
      </c>
      <c r="F22" s="376">
        <v>9.16</v>
      </c>
      <c r="G22" s="173">
        <v>1200</v>
      </c>
      <c r="H22" s="14">
        <f t="shared" si="0"/>
        <v>13224</v>
      </c>
      <c r="I22" s="99"/>
      <c r="J22" s="99"/>
      <c r="K22" s="99">
        <f t="shared" si="1"/>
        <v>13224</v>
      </c>
      <c r="L22" s="54"/>
      <c r="M22" s="159"/>
      <c r="N22" s="234"/>
      <c r="O22" s="234"/>
      <c r="P22" s="174"/>
    </row>
    <row r="23" spans="1:18">
      <c r="A23" s="54" t="s">
        <v>467</v>
      </c>
      <c r="B23" s="54"/>
      <c r="C23" s="54"/>
      <c r="D23" s="98">
        <v>100</v>
      </c>
      <c r="E23" s="173">
        <v>28.41</v>
      </c>
      <c r="F23" s="173">
        <v>19.62</v>
      </c>
      <c r="G23" s="173">
        <v>694.09</v>
      </c>
      <c r="H23" s="14">
        <v>19719</v>
      </c>
      <c r="I23" s="99"/>
      <c r="J23" s="99"/>
      <c r="K23" s="99">
        <f t="shared" si="1"/>
        <v>19719</v>
      </c>
      <c r="L23" s="54"/>
      <c r="M23" s="159"/>
      <c r="N23" s="234"/>
      <c r="O23" s="234"/>
      <c r="P23" s="174"/>
    </row>
    <row r="24" spans="1:18">
      <c r="A24" s="92" t="s">
        <v>42</v>
      </c>
      <c r="B24" s="92"/>
      <c r="C24" s="92"/>
      <c r="D24" s="103"/>
      <c r="E24" s="104">
        <f>SUM(E7:E23)</f>
        <v>133.06</v>
      </c>
      <c r="F24" s="104">
        <f>SUM(F7:F23)</f>
        <v>80.663750000000007</v>
      </c>
      <c r="G24" s="92"/>
      <c r="H24" s="104">
        <f>SUM(H7:H23)</f>
        <v>131501</v>
      </c>
      <c r="I24" s="104">
        <f>SUM(I7:I23)</f>
        <v>0</v>
      </c>
      <c r="J24" s="104">
        <f>SUM(J7:J23)</f>
        <v>64056</v>
      </c>
      <c r="K24" s="104">
        <f>SUM(H24:J24)</f>
        <v>195557</v>
      </c>
      <c r="L24" s="92">
        <f>SUM(L7:L23)</f>
        <v>0</v>
      </c>
      <c r="M24" s="378">
        <f>SUM(M7:M23)</f>
        <v>159</v>
      </c>
      <c r="O24" s="234"/>
      <c r="P24" s="174"/>
    </row>
    <row r="25" spans="1:18">
      <c r="A25" s="96" t="s">
        <v>43</v>
      </c>
      <c r="B25" s="96"/>
      <c r="C25" s="96"/>
      <c r="D25" s="105"/>
      <c r="E25" s="106">
        <f>SUM(E24-F24)</f>
        <v>52.396249999999995</v>
      </c>
      <c r="F25" s="96"/>
      <c r="G25" s="96"/>
      <c r="H25" s="106">
        <f>SUM(E35*G35)</f>
        <v>51428</v>
      </c>
      <c r="I25" s="106">
        <f>I24-L24</f>
        <v>0</v>
      </c>
      <c r="J25" s="106">
        <f>J24-M24</f>
        <v>63897</v>
      </c>
      <c r="K25" s="106">
        <f>SUM(H25:J25)</f>
        <v>115325</v>
      </c>
      <c r="L25" s="96"/>
      <c r="M25" s="44"/>
      <c r="O25" s="174"/>
      <c r="P25" s="174"/>
    </row>
    <row r="26" spans="1:18">
      <c r="A26" s="54"/>
      <c r="B26" s="54"/>
      <c r="C26" s="54" t="s">
        <v>44</v>
      </c>
      <c r="D26" s="54"/>
      <c r="E26" s="54"/>
      <c r="F26" s="54"/>
      <c r="G26" s="54"/>
      <c r="H26" s="54"/>
      <c r="I26" s="54"/>
      <c r="J26" s="54"/>
      <c r="K26" s="54"/>
      <c r="L26" s="54"/>
      <c r="M26" s="38"/>
    </row>
    <row r="27" spans="1:18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38"/>
    </row>
    <row r="28" spans="1:18">
      <c r="A28" s="54" t="s">
        <v>45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38"/>
    </row>
    <row r="29" spans="1:18">
      <c r="A29" s="108" t="s">
        <v>46</v>
      </c>
      <c r="B29" s="108"/>
      <c r="C29" s="108"/>
      <c r="D29" s="108" t="s">
        <v>47</v>
      </c>
      <c r="E29" s="108" t="s">
        <v>48</v>
      </c>
      <c r="F29" s="108"/>
      <c r="G29" s="108" t="s">
        <v>49</v>
      </c>
      <c r="H29" s="54"/>
      <c r="I29" s="54" t="s">
        <v>50</v>
      </c>
      <c r="J29" s="54"/>
      <c r="K29" s="54"/>
      <c r="L29" s="54"/>
      <c r="M29" s="38"/>
    </row>
    <row r="30" spans="1:18">
      <c r="A30" s="54" t="s">
        <v>52</v>
      </c>
      <c r="B30" s="54"/>
      <c r="C30" s="54"/>
      <c r="D30" s="54"/>
      <c r="E30" s="54"/>
      <c r="F30" s="54"/>
      <c r="G30" s="54"/>
      <c r="H30" s="54"/>
      <c r="I30" s="54"/>
      <c r="J30" s="54" t="s">
        <v>51</v>
      </c>
      <c r="K30" s="54"/>
      <c r="L30" s="54"/>
      <c r="M30" s="38"/>
    </row>
    <row r="31" spans="1:18">
      <c r="A31" s="54" t="s">
        <v>286</v>
      </c>
      <c r="B31" s="54"/>
      <c r="C31" s="54"/>
      <c r="D31" s="54" t="s">
        <v>403</v>
      </c>
      <c r="E31" s="379">
        <v>7.5999999999999998E-2</v>
      </c>
      <c r="F31" s="119"/>
      <c r="G31" s="119">
        <v>135000</v>
      </c>
      <c r="H31" s="54"/>
      <c r="I31" s="380" t="s">
        <v>468</v>
      </c>
      <c r="J31" s="381">
        <f>(8.25/17)*100</f>
        <v>48.529411764705884</v>
      </c>
      <c r="K31" s="54"/>
      <c r="L31" s="54"/>
      <c r="M31" s="38"/>
    </row>
    <row r="32" spans="1:18">
      <c r="A32" s="54"/>
      <c r="B32" s="54"/>
      <c r="C32" s="54"/>
      <c r="D32" s="54"/>
      <c r="E32" s="54"/>
      <c r="F32" s="54"/>
      <c r="G32" s="54"/>
      <c r="I32" s="380" t="s">
        <v>469</v>
      </c>
      <c r="J32" s="381">
        <f>(7/17)*100</f>
        <v>41.17647058823529</v>
      </c>
      <c r="L32" s="54"/>
      <c r="M32" s="38"/>
    </row>
    <row r="33" spans="1:14">
      <c r="A33" s="54"/>
      <c r="B33" s="54"/>
      <c r="C33" s="54"/>
      <c r="D33" s="54"/>
      <c r="E33" s="54"/>
      <c r="F33" s="54"/>
      <c r="G33" s="54"/>
      <c r="H33" s="54"/>
      <c r="I33" s="382" t="s">
        <v>470</v>
      </c>
      <c r="J33" s="381">
        <f>(1.75/17)*100</f>
        <v>10.294117647058822</v>
      </c>
      <c r="K33" s="54"/>
      <c r="L33" s="51"/>
      <c r="M33" s="39"/>
      <c r="N33" s="179"/>
    </row>
    <row r="34" spans="1:14">
      <c r="A34" s="54" t="s">
        <v>57</v>
      </c>
      <c r="B34" s="54"/>
      <c r="C34" s="54"/>
      <c r="D34" s="54"/>
      <c r="E34" s="54"/>
      <c r="F34" s="54"/>
      <c r="G34" s="54"/>
      <c r="H34" s="54"/>
      <c r="I34" s="54"/>
      <c r="J34" s="111"/>
      <c r="K34" s="54"/>
      <c r="L34" s="179"/>
      <c r="M34" s="179"/>
      <c r="N34" s="179"/>
    </row>
    <row r="35" spans="1:14">
      <c r="A35" s="54" t="s">
        <v>58</v>
      </c>
      <c r="B35" s="54"/>
      <c r="C35" s="54"/>
      <c r="D35" s="54" t="s">
        <v>59</v>
      </c>
      <c r="E35" s="99">
        <v>52</v>
      </c>
      <c r="F35" s="99"/>
      <c r="G35" s="99">
        <v>989</v>
      </c>
      <c r="H35" s="54"/>
      <c r="I35" s="109" t="s">
        <v>98</v>
      </c>
      <c r="J35" s="236">
        <v>0.56666666666666665</v>
      </c>
      <c r="K35" s="54"/>
      <c r="L35" s="383"/>
      <c r="M35" s="181"/>
      <c r="N35" s="179"/>
    </row>
    <row r="36" spans="1:14">
      <c r="A36" s="54" t="s">
        <v>61</v>
      </c>
      <c r="B36" s="54"/>
      <c r="C36" s="54"/>
      <c r="D36" s="54" t="s">
        <v>59</v>
      </c>
      <c r="E36" s="99">
        <v>81</v>
      </c>
      <c r="F36" s="99"/>
      <c r="G36" s="99"/>
      <c r="H36" s="54"/>
      <c r="I36" s="109" t="s">
        <v>99</v>
      </c>
      <c r="J36" s="236">
        <v>0.5</v>
      </c>
      <c r="K36" s="54"/>
      <c r="L36" s="383"/>
      <c r="M36" s="181"/>
      <c r="N36" s="179"/>
    </row>
    <row r="37" spans="1:14">
      <c r="A37" s="54" t="s">
        <v>6</v>
      </c>
      <c r="B37" s="54"/>
      <c r="C37" s="54"/>
      <c r="D37" s="54"/>
      <c r="E37" s="99">
        <f>E35+E36</f>
        <v>133</v>
      </c>
      <c r="F37" s="99"/>
      <c r="G37" s="99"/>
      <c r="H37" s="54"/>
      <c r="I37" s="54"/>
      <c r="J37" s="111"/>
      <c r="K37" s="54"/>
      <c r="L37" s="384"/>
      <c r="M37" s="181"/>
      <c r="N37" s="179"/>
    </row>
    <row r="38" spans="1:14">
      <c r="A38" s="92" t="s">
        <v>63</v>
      </c>
      <c r="B38" s="92"/>
      <c r="C38" s="92" t="s">
        <v>64</v>
      </c>
      <c r="D38" s="92"/>
      <c r="E38" s="92"/>
      <c r="F38" s="92"/>
      <c r="G38" s="92"/>
      <c r="H38" s="54"/>
      <c r="K38" s="54"/>
      <c r="L38" s="51"/>
      <c r="M38" s="39"/>
      <c r="N38" s="179"/>
    </row>
    <row r="39" spans="1:14">
      <c r="A39" s="51" t="s">
        <v>471</v>
      </c>
      <c r="B39" s="51"/>
      <c r="C39" s="51">
        <v>80</v>
      </c>
      <c r="D39" s="51" t="s">
        <v>55</v>
      </c>
      <c r="E39" s="385">
        <v>369</v>
      </c>
      <c r="F39" s="225"/>
      <c r="G39" s="385">
        <v>58</v>
      </c>
      <c r="H39" s="54"/>
      <c r="I39" s="54"/>
      <c r="J39" s="54"/>
      <c r="K39" s="54"/>
      <c r="L39" s="54"/>
      <c r="M39" s="38"/>
    </row>
    <row r="40" spans="1:14">
      <c r="A40" s="51"/>
      <c r="B40" s="51"/>
      <c r="C40" s="51"/>
      <c r="D40" s="51"/>
      <c r="E40" s="53"/>
      <c r="F40" s="51"/>
      <c r="G40" s="53"/>
      <c r="H40" s="54"/>
      <c r="I40" s="54"/>
      <c r="J40" s="54"/>
      <c r="K40" s="54"/>
      <c r="L40" s="54"/>
      <c r="M40" s="38"/>
    </row>
    <row r="41" spans="1:14">
      <c r="A41" s="96"/>
      <c r="B41" s="96"/>
      <c r="C41" s="96"/>
      <c r="D41" s="96"/>
      <c r="E41" s="96"/>
      <c r="F41" s="96"/>
      <c r="G41" s="96"/>
      <c r="H41" s="54"/>
      <c r="I41" s="54"/>
      <c r="J41" s="54"/>
      <c r="K41" s="54"/>
      <c r="L41" s="54"/>
      <c r="M41" s="38"/>
    </row>
    <row r="42" spans="1:14">
      <c r="A42" s="92" t="s">
        <v>68</v>
      </c>
      <c r="B42" s="92"/>
      <c r="C42" s="92"/>
      <c r="D42" s="92"/>
      <c r="E42" s="92"/>
      <c r="F42" s="92"/>
      <c r="G42" s="104" t="s">
        <v>69</v>
      </c>
      <c r="H42" s="54"/>
      <c r="I42" s="54" t="s">
        <v>70</v>
      </c>
      <c r="J42" s="54"/>
      <c r="K42" s="54"/>
      <c r="L42" s="54"/>
      <c r="M42" s="38"/>
    </row>
    <row r="43" spans="1:14">
      <c r="A43" s="51" t="s">
        <v>71</v>
      </c>
      <c r="B43" s="51"/>
      <c r="C43" s="51"/>
      <c r="D43" s="51"/>
      <c r="E43" s="51"/>
      <c r="F43" s="51"/>
      <c r="G43" s="386">
        <v>7444</v>
      </c>
      <c r="H43" s="99"/>
      <c r="I43" s="119">
        <f>G43*2.471</f>
        <v>18394.124</v>
      </c>
      <c r="J43" s="54"/>
      <c r="K43" s="54"/>
      <c r="L43" s="54"/>
      <c r="M43" s="38"/>
    </row>
    <row r="44" spans="1:14">
      <c r="A44" s="51" t="s">
        <v>72</v>
      </c>
      <c r="B44" s="51"/>
      <c r="C44" s="51"/>
      <c r="D44" s="51"/>
      <c r="E44" s="51"/>
      <c r="F44" s="51"/>
      <c r="G44" s="30">
        <v>44</v>
      </c>
      <c r="H44" s="99"/>
      <c r="I44" s="119"/>
      <c r="J44" s="54"/>
      <c r="K44" s="54"/>
      <c r="L44" s="54"/>
      <c r="M44" s="38"/>
    </row>
    <row r="45" spans="1:14">
      <c r="A45" s="51" t="s">
        <v>73</v>
      </c>
      <c r="B45" s="51"/>
      <c r="C45" s="51"/>
      <c r="D45" s="51"/>
      <c r="E45" s="51"/>
      <c r="F45" s="51"/>
      <c r="G45" s="116">
        <f>SUM(G43*G44)</f>
        <v>327536</v>
      </c>
      <c r="H45" s="99"/>
      <c r="I45" s="119">
        <f>I43*G44</f>
        <v>809341.45600000001</v>
      </c>
      <c r="J45" s="54"/>
      <c r="K45" s="54"/>
      <c r="L45" s="54"/>
      <c r="M45" s="38"/>
    </row>
    <row r="46" spans="1:14">
      <c r="A46" s="51" t="s">
        <v>74</v>
      </c>
      <c r="B46" s="51"/>
      <c r="C46" s="51"/>
      <c r="D46" s="51"/>
      <c r="E46" s="51"/>
      <c r="F46" s="51"/>
      <c r="G46" s="116">
        <f>SUM(G45-K24)</f>
        <v>131979</v>
      </c>
      <c r="H46" s="99"/>
      <c r="I46" s="119">
        <f>I45-(K24*2.471)</f>
        <v>326120.109</v>
      </c>
      <c r="J46" s="54"/>
      <c r="K46" s="54"/>
      <c r="L46" s="54"/>
      <c r="M46" s="38"/>
    </row>
    <row r="47" spans="1:14">
      <c r="A47" s="51" t="s">
        <v>75</v>
      </c>
      <c r="B47" s="51"/>
      <c r="C47" s="51"/>
      <c r="D47" s="51"/>
      <c r="E47" s="51"/>
      <c r="F47" s="51"/>
      <c r="G47" s="116">
        <f>SUM(G45-K25)</f>
        <v>212211</v>
      </c>
      <c r="H47" s="99"/>
      <c r="I47" s="119">
        <f>I45-(K25*2.471)</f>
        <v>524373.38100000005</v>
      </c>
      <c r="J47" s="54"/>
      <c r="K47" s="54"/>
      <c r="L47" s="54"/>
      <c r="M47" s="38"/>
    </row>
    <row r="48" spans="1:14">
      <c r="A48" s="51" t="s">
        <v>76</v>
      </c>
      <c r="B48" s="51"/>
      <c r="C48" s="51"/>
      <c r="D48" s="51"/>
      <c r="E48" s="51"/>
      <c r="F48" s="51"/>
      <c r="G48" s="116">
        <f>SUM(K24/G43)</f>
        <v>26.270419129500269</v>
      </c>
      <c r="H48" s="54"/>
      <c r="I48" s="54"/>
      <c r="J48" s="54"/>
      <c r="K48" s="54"/>
      <c r="L48" s="54"/>
      <c r="M48" s="38"/>
    </row>
    <row r="49" spans="1:13">
      <c r="A49" s="96" t="s">
        <v>77</v>
      </c>
      <c r="B49" s="96"/>
      <c r="C49" s="96"/>
      <c r="D49" s="96"/>
      <c r="E49" s="96"/>
      <c r="F49" s="96"/>
      <c r="G49" s="106">
        <f>SUM(K25/G43)</f>
        <v>15.492342826437399</v>
      </c>
      <c r="H49" s="54"/>
      <c r="I49" s="54"/>
      <c r="J49" s="54"/>
      <c r="K49" s="54"/>
      <c r="L49" s="54"/>
      <c r="M49" s="38"/>
    </row>
    <row r="50" spans="1:13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38"/>
    </row>
    <row r="51" spans="1:13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38"/>
    </row>
    <row r="52" spans="1:13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38"/>
    </row>
    <row r="53" spans="1:1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38"/>
    </row>
    <row r="54" spans="1:13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38"/>
    </row>
    <row r="55" spans="1:13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38"/>
    </row>
    <row r="56" spans="1:13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</row>
  </sheetData>
  <mergeCells count="1">
    <mergeCell ref="B1:H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H31" sqref="H3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Cowpea-Ampara</vt:lpstr>
      <vt:lpstr>Big Onion- Matale</vt:lpstr>
      <vt:lpstr>G Chilli -A'pura</vt:lpstr>
      <vt:lpstr>Gingerlly-A'pura</vt:lpstr>
      <vt:lpstr>Manioc-Gampaha</vt:lpstr>
      <vt:lpstr>Potato-NÉliya</vt:lpstr>
      <vt:lpstr>Sweet potato-Matale</vt:lpstr>
      <vt:lpstr>Maize-Badulla</vt:lpstr>
      <vt:lpstr>Maize-Sys H</vt:lpstr>
      <vt:lpstr>Black gram -Sys H</vt:lpstr>
      <vt:lpstr>Red Onion -Puttalam</vt:lpstr>
      <vt:lpstr>Red Onion-Trinco</vt:lpstr>
      <vt:lpstr>Soya bean -SysH</vt:lpstr>
      <vt:lpstr>Potato -Badulla</vt:lpstr>
      <vt:lpstr>Brinjal-H'tota</vt:lpstr>
      <vt:lpstr>Bitter goard-H'tota</vt:lpstr>
      <vt:lpstr>Cabbage 'NEliya</vt:lpstr>
      <vt:lpstr>Pole baen -Badulla</vt:lpstr>
      <vt:lpstr>Tomato-Badulla</vt:lpstr>
      <vt:lpstr>Tomato-Kandy</vt:lpstr>
      <vt:lpstr>Carrot-NËliya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2018-08-07T10:04:19Z</dcterms:created>
  <dcterms:modified xsi:type="dcterms:W3CDTF">2018-08-08T04:46:39Z</dcterms:modified>
</cp:coreProperties>
</file>