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25" yWindow="45" windowWidth="10635" windowHeight="11715" firstSheet="12" activeTab="19"/>
  </bookViews>
  <sheets>
    <sheet name="Sheet2" sheetId="23" r:id="rId1"/>
    <sheet name="Graphs" sheetId="19" r:id="rId2"/>
    <sheet name="Stat table" sheetId="18" r:id="rId3"/>
    <sheet name="Am-East" sheetId="2" r:id="rId4"/>
    <sheet name="Ampara wset" sheetId="9" r:id="rId5"/>
    <sheet name="A'pura" sheetId="3" r:id="rId6"/>
    <sheet name="Hambantota" sheetId="4" r:id="rId7"/>
    <sheet name="Polonnruwa" sheetId="11" r:id="rId8"/>
    <sheet name="Kuru (irr)" sheetId="16" r:id="rId9"/>
    <sheet name="SYS B" sheetId="12" r:id="rId10"/>
    <sheet name="Mahaweli C" sheetId="1" r:id="rId11"/>
    <sheet name="SYS H" sheetId="6" r:id="rId12"/>
    <sheet name="Trinco" sheetId="8" r:id="rId13"/>
    <sheet name="Batti" sheetId="10" r:id="rId14"/>
    <sheet name="GAmpaha" sheetId="7" r:id="rId15"/>
    <sheet name="Kandy" sheetId="13" r:id="rId16"/>
    <sheet name="Kalutara" sheetId="15" r:id="rId17"/>
    <sheet name="Kuru (Rf)" sheetId="5" r:id="rId18"/>
    <sheet name="WI (RF)" sheetId="17" r:id="rId19"/>
    <sheet name="WI(Irrigated)" sheetId="21" r:id="rId20"/>
    <sheet name="Sheet4" sheetId="22" r:id="rId21"/>
    <sheet name="s" sheetId="20" r:id="rId22"/>
  </sheets>
  <externalReferences>
    <externalReference r:id="rId23"/>
    <externalReference r:id="rId24"/>
    <externalReference r:id="rId25"/>
    <externalReference r:id="rId26"/>
    <externalReference r:id="rId27"/>
  </externalReferences>
  <calcPr calcId="144525"/>
</workbook>
</file>

<file path=xl/calcChain.xml><?xml version="1.0" encoding="utf-8"?>
<calcChain xmlns="http://schemas.openxmlformats.org/spreadsheetml/2006/main">
  <c r="F50" i="21" l="1"/>
  <c r="H48" i="21"/>
  <c r="H27" i="21"/>
  <c r="M26" i="21"/>
  <c r="L26" i="21"/>
  <c r="I26" i="21"/>
  <c r="I27" i="21" s="1"/>
  <c r="G26" i="21"/>
  <c r="F26" i="21"/>
  <c r="E26" i="21"/>
  <c r="E27" i="21" s="1"/>
  <c r="H24" i="21"/>
  <c r="K24" i="21" s="1"/>
  <c r="H23" i="21"/>
  <c r="K23" i="21" s="1"/>
  <c r="H20" i="21"/>
  <c r="K20" i="21" s="1"/>
  <c r="H19" i="21"/>
  <c r="K19" i="21" s="1"/>
  <c r="D19" i="21"/>
  <c r="H18" i="21"/>
  <c r="K18" i="21" s="1"/>
  <c r="H17" i="21"/>
  <c r="K17" i="21" s="1"/>
  <c r="J16" i="21"/>
  <c r="H15" i="21"/>
  <c r="K16" i="21" s="1"/>
  <c r="K14" i="21"/>
  <c r="J14" i="21"/>
  <c r="J26" i="21" s="1"/>
  <c r="J27" i="21" s="1"/>
  <c r="H14" i="21"/>
  <c r="D14" i="21"/>
  <c r="K13" i="21"/>
  <c r="H13" i="21"/>
  <c r="H8" i="21"/>
  <c r="K8" i="21" s="1"/>
  <c r="K7" i="21"/>
  <c r="K26" i="21" s="1"/>
  <c r="F53" i="21" s="1"/>
  <c r="H7" i="21"/>
  <c r="H26" i="21" s="1"/>
  <c r="K27" i="21" l="1"/>
  <c r="F54" i="21" s="1"/>
  <c r="F51" i="21"/>
  <c r="H51" i="21" s="1"/>
  <c r="H50" i="21"/>
  <c r="F52" i="21" l="1"/>
  <c r="H52" i="21" s="1"/>
  <c r="E196" i="19" l="1"/>
  <c r="E197" i="19"/>
  <c r="E198" i="19"/>
  <c r="E199" i="19"/>
  <c r="E200" i="19"/>
  <c r="E201" i="19"/>
  <c r="E202" i="19"/>
  <c r="E203" i="19"/>
  <c r="E204" i="19"/>
  <c r="E206" i="19"/>
  <c r="E207" i="19"/>
  <c r="E208" i="19"/>
  <c r="E209" i="19"/>
  <c r="E210" i="19"/>
  <c r="E212" i="19"/>
  <c r="E213" i="19"/>
  <c r="E195" i="19"/>
  <c r="AY23" i="18" l="1"/>
  <c r="AV23" i="18"/>
  <c r="AW23" i="18" s="1"/>
  <c r="AU23" i="18"/>
  <c r="AT23" i="18"/>
  <c r="AT24" i="18"/>
  <c r="AT21" i="18"/>
  <c r="G157" i="19"/>
  <c r="G153" i="19"/>
  <c r="D138" i="19"/>
  <c r="D137" i="19"/>
  <c r="E108" i="19"/>
  <c r="E105" i="19"/>
  <c r="E104" i="19"/>
  <c r="E103" i="19"/>
  <c r="E102" i="19"/>
  <c r="E101" i="19"/>
  <c r="E99" i="19"/>
  <c r="E98" i="19"/>
  <c r="E97" i="19"/>
  <c r="E96" i="19"/>
  <c r="E95" i="19"/>
  <c r="E94" i="19"/>
  <c r="E93" i="19"/>
  <c r="E92" i="19"/>
  <c r="E91" i="19"/>
  <c r="E90" i="19"/>
  <c r="G54" i="19"/>
  <c r="G50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4" i="19"/>
  <c r="D45" i="19"/>
  <c r="D28" i="19"/>
  <c r="I110" i="23"/>
  <c r="H7" i="23" l="1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2" i="23"/>
  <c r="H23" i="23"/>
  <c r="H6" i="23"/>
  <c r="I101" i="23"/>
  <c r="J101" i="23"/>
  <c r="V8" i="18"/>
  <c r="I24" i="9"/>
  <c r="K24" i="9"/>
  <c r="H24" i="9"/>
  <c r="F185" i="23" l="1"/>
  <c r="F178" i="23"/>
  <c r="F174" i="23"/>
  <c r="F175" i="23"/>
  <c r="F172" i="23"/>
  <c r="F171" i="23"/>
  <c r="J170" i="23"/>
  <c r="H170" i="23"/>
  <c r="F170" i="23"/>
  <c r="F160" i="23" l="1"/>
  <c r="G149" i="23"/>
  <c r="F154" i="23"/>
  <c r="L110" i="23"/>
  <c r="L87" i="23"/>
  <c r="K87" i="23"/>
  <c r="J87" i="23"/>
  <c r="I87" i="23"/>
  <c r="H20" i="10"/>
  <c r="F157" i="23"/>
  <c r="F145" i="23"/>
  <c r="F144" i="23"/>
  <c r="V7" i="18"/>
  <c r="G117" i="23"/>
  <c r="M23" i="18"/>
  <c r="O23" i="18"/>
  <c r="K23" i="18" s="1"/>
  <c r="V23" i="18"/>
  <c r="AX23" i="18" s="1"/>
  <c r="V21" i="18"/>
  <c r="X23" i="18"/>
  <c r="Y23" i="18"/>
  <c r="Z23" i="18"/>
  <c r="AG23" i="18"/>
  <c r="AE23" i="18"/>
  <c r="AC23" i="18"/>
  <c r="AQ23" i="18"/>
  <c r="AQ24" i="18"/>
  <c r="AZ23" i="18"/>
  <c r="BA23" i="18"/>
  <c r="BB23" i="18"/>
  <c r="E23" i="18"/>
  <c r="U23" i="18" l="1"/>
  <c r="W23" i="18" s="1"/>
  <c r="S23" i="18"/>
  <c r="Q23" i="18"/>
  <c r="G23" i="18"/>
  <c r="N23" i="18" s="1"/>
  <c r="AA23" i="18"/>
  <c r="I23" i="18"/>
  <c r="M79" i="23"/>
  <c r="M88" i="23"/>
  <c r="M92" i="23"/>
  <c r="M86" i="23"/>
  <c r="M89" i="23"/>
  <c r="M91" i="23"/>
  <c r="M87" i="23"/>
  <c r="M83" i="23"/>
  <c r="M93" i="23"/>
  <c r="M85" i="23"/>
  <c r="M81" i="23"/>
  <c r="M80" i="23" l="1"/>
  <c r="M90" i="23"/>
  <c r="M77" i="23"/>
  <c r="M84" i="23"/>
  <c r="M82" i="23"/>
  <c r="M78" i="23"/>
  <c r="AG46" i="23" l="1"/>
  <c r="AG45" i="23"/>
  <c r="AG30" i="23"/>
  <c r="AG31" i="23" s="1"/>
  <c r="AG32" i="23" s="1"/>
  <c r="AG33" i="23" s="1"/>
  <c r="AG34" i="23" s="1"/>
  <c r="AG35" i="23" s="1"/>
  <c r="AG36" i="23" s="1"/>
  <c r="AG37" i="23" s="1"/>
  <c r="AG38" i="23" s="1"/>
  <c r="AG39" i="23" s="1"/>
  <c r="AG40" i="23" s="1"/>
  <c r="AG41" i="23" s="1"/>
  <c r="AG42" i="23" s="1"/>
  <c r="AG43" i="23" s="1"/>
  <c r="AG29" i="23"/>
  <c r="G58" i="23"/>
  <c r="M58" i="23"/>
  <c r="G57" i="23"/>
  <c r="G55" i="23"/>
  <c r="G54" i="23"/>
  <c r="G53" i="23"/>
  <c r="G52" i="23"/>
  <c r="G49" i="23"/>
  <c r="G46" i="23"/>
  <c r="G45" i="23"/>
  <c r="G43" i="23"/>
  <c r="F258" i="23"/>
  <c r="E258" i="23"/>
  <c r="D258" i="23"/>
  <c r="C258" i="23"/>
  <c r="F159" i="23"/>
  <c r="F158" i="23"/>
  <c r="F156" i="23"/>
  <c r="F155" i="23"/>
  <c r="F153" i="23"/>
  <c r="F152" i="23"/>
  <c r="F151" i="23"/>
  <c r="F150" i="23"/>
  <c r="F149" i="23"/>
  <c r="F148" i="23"/>
  <c r="F147" i="23"/>
  <c r="F146" i="23"/>
  <c r="F49" i="20" l="1"/>
  <c r="H47" i="20"/>
  <c r="H26" i="20"/>
  <c r="M25" i="20"/>
  <c r="L25" i="20"/>
  <c r="I25" i="20"/>
  <c r="I26" i="20" s="1"/>
  <c r="G25" i="20"/>
  <c r="F25" i="20"/>
  <c r="E25" i="20"/>
  <c r="E26" i="20" s="1"/>
  <c r="H23" i="20"/>
  <c r="K23" i="20" s="1"/>
  <c r="H22" i="20"/>
  <c r="K22" i="20" s="1"/>
  <c r="H19" i="20"/>
  <c r="K19" i="20" s="1"/>
  <c r="H18" i="20"/>
  <c r="K18" i="20" s="1"/>
  <c r="D18" i="20"/>
  <c r="H17" i="20"/>
  <c r="K17" i="20" s="1"/>
  <c r="H16" i="20"/>
  <c r="K16" i="20" s="1"/>
  <c r="J15" i="20"/>
  <c r="H14" i="20"/>
  <c r="J13" i="20"/>
  <c r="H13" i="20"/>
  <c r="K13" i="20" s="1"/>
  <c r="D13" i="20"/>
  <c r="H12" i="20"/>
  <c r="K12" i="20" s="1"/>
  <c r="H9" i="20"/>
  <c r="H8" i="20"/>
  <c r="K8" i="20" s="1"/>
  <c r="H25" i="20" l="1"/>
  <c r="J25" i="20"/>
  <c r="J26" i="20" s="1"/>
  <c r="K26" i="20" s="1"/>
  <c r="F53" i="20" s="1"/>
  <c r="K9" i="20"/>
  <c r="K25" i="20" s="1"/>
  <c r="K15" i="20"/>
  <c r="H49" i="20"/>
  <c r="F52" i="20" l="1"/>
  <c r="F50" i="20"/>
  <c r="H50" i="20" s="1"/>
  <c r="F51" i="20"/>
  <c r="H51" i="20" s="1"/>
  <c r="G40" i="10" l="1"/>
  <c r="D40" i="10"/>
  <c r="G38" i="10"/>
  <c r="M19" i="10"/>
  <c r="L19" i="10"/>
  <c r="I20" i="10" s="1"/>
  <c r="J19" i="10"/>
  <c r="J20" i="10" s="1"/>
  <c r="I19" i="10"/>
  <c r="F19" i="10"/>
  <c r="E19" i="10"/>
  <c r="E20" i="10" s="1"/>
  <c r="K17" i="10"/>
  <c r="K16" i="10"/>
  <c r="H15" i="10"/>
  <c r="K15" i="10" s="1"/>
  <c r="H14" i="10"/>
  <c r="K14" i="10" s="1"/>
  <c r="J13" i="10"/>
  <c r="K12" i="10"/>
  <c r="H12" i="10"/>
  <c r="K11" i="10"/>
  <c r="J11" i="10"/>
  <c r="H11" i="10"/>
  <c r="H10" i="10"/>
  <c r="K10" i="10" s="1"/>
  <c r="H9" i="10"/>
  <c r="K9" i="10" s="1"/>
  <c r="K8" i="10"/>
  <c r="K19" i="10" s="1"/>
  <c r="D43" i="10" s="1"/>
  <c r="K20" i="10" l="1"/>
  <c r="D44" i="10" s="1"/>
  <c r="D41" i="10"/>
  <c r="G41" i="10" s="1"/>
  <c r="H19" i="10"/>
  <c r="D42" i="10" l="1"/>
  <c r="G42" i="10" s="1"/>
  <c r="F49" i="17" l="1"/>
  <c r="F53" i="17"/>
  <c r="F52" i="17"/>
  <c r="F51" i="17"/>
  <c r="D55" i="17"/>
  <c r="D54" i="17"/>
  <c r="D53" i="17"/>
  <c r="D52" i="17"/>
  <c r="D51" i="17"/>
  <c r="D26" i="17"/>
  <c r="J27" i="17"/>
  <c r="J24" i="17"/>
  <c r="J23" i="17"/>
  <c r="J20" i="17"/>
  <c r="J19" i="17"/>
  <c r="J18" i="17"/>
  <c r="J16" i="17"/>
  <c r="J14" i="17"/>
  <c r="J13" i="17"/>
  <c r="J9" i="17"/>
  <c r="J8" i="17"/>
  <c r="G24" i="17"/>
  <c r="G23" i="17"/>
  <c r="G20" i="17"/>
  <c r="G19" i="17"/>
  <c r="G18" i="17"/>
  <c r="G16" i="17"/>
  <c r="G14" i="17"/>
  <c r="G13" i="17"/>
  <c r="G9" i="17"/>
  <c r="G8" i="17"/>
  <c r="G20" i="5"/>
  <c r="H44" i="15"/>
  <c r="F50" i="15"/>
  <c r="F49" i="15"/>
  <c r="F48" i="15"/>
  <c r="H48" i="15" s="1"/>
  <c r="F47" i="15"/>
  <c r="H47" i="15" s="1"/>
  <c r="F46" i="15"/>
  <c r="H46" i="15" s="1"/>
  <c r="I27" i="13"/>
  <c r="H27" i="13"/>
  <c r="F50" i="7"/>
  <c r="H17" i="7"/>
  <c r="H47" i="12"/>
  <c r="H45" i="12"/>
  <c r="K20" i="12"/>
  <c r="K19" i="12"/>
  <c r="K18" i="12"/>
  <c r="K17" i="12"/>
  <c r="K16" i="12"/>
  <c r="K13" i="12"/>
  <c r="K11" i="12"/>
  <c r="K9" i="12"/>
  <c r="K8" i="12"/>
  <c r="J16" i="3"/>
  <c r="J14" i="3"/>
  <c r="G52" i="3"/>
  <c r="G56" i="3"/>
  <c r="G55" i="3"/>
  <c r="G54" i="3"/>
  <c r="E58" i="3"/>
  <c r="E57" i="3"/>
  <c r="E56" i="3"/>
  <c r="E55" i="3"/>
  <c r="E54" i="3"/>
  <c r="M26" i="3"/>
  <c r="L26" i="3"/>
  <c r="K27" i="3"/>
  <c r="H27" i="3"/>
  <c r="I27" i="3"/>
  <c r="J27" i="3"/>
  <c r="J26" i="3"/>
  <c r="K26" i="3"/>
  <c r="K24" i="3"/>
  <c r="K23" i="3"/>
  <c r="K20" i="3"/>
  <c r="K19" i="3"/>
  <c r="K18" i="3"/>
  <c r="K17" i="3"/>
  <c r="K15" i="3"/>
  <c r="K14" i="3"/>
  <c r="K13" i="3"/>
  <c r="K10" i="3"/>
  <c r="K9" i="3"/>
  <c r="J15" i="9"/>
  <c r="AK20" i="18" l="1"/>
  <c r="P20" i="18"/>
  <c r="C58" i="13"/>
  <c r="E56" i="13"/>
  <c r="K32" i="13"/>
  <c r="F28" i="13"/>
  <c r="K27" i="13"/>
  <c r="J27" i="13"/>
  <c r="G27" i="13"/>
  <c r="G28" i="13" s="1"/>
  <c r="E27" i="13"/>
  <c r="D27" i="13"/>
  <c r="C27" i="13"/>
  <c r="F25" i="13"/>
  <c r="I25" i="13" s="1"/>
  <c r="F24" i="13"/>
  <c r="I24" i="13" s="1"/>
  <c r="F22" i="13"/>
  <c r="I22" i="13" s="1"/>
  <c r="F20" i="13"/>
  <c r="I20" i="13" s="1"/>
  <c r="F18" i="13"/>
  <c r="I18" i="13" s="1"/>
  <c r="H17" i="13"/>
  <c r="B17" i="13"/>
  <c r="F16" i="13"/>
  <c r="I16" i="13" s="1"/>
  <c r="I14" i="13"/>
  <c r="H14" i="13"/>
  <c r="F14" i="13"/>
  <c r="F13" i="13"/>
  <c r="I13" i="13" s="1"/>
  <c r="I9" i="13"/>
  <c r="F9" i="13"/>
  <c r="F8" i="13"/>
  <c r="I8" i="13" s="1"/>
  <c r="F7" i="13"/>
  <c r="F27" i="13" s="1"/>
  <c r="AP11" i="18"/>
  <c r="AO11" i="18"/>
  <c r="P11" i="18"/>
  <c r="F52" i="16"/>
  <c r="H52" i="16" s="1"/>
  <c r="H50" i="16"/>
  <c r="C48" i="16"/>
  <c r="E41" i="16"/>
  <c r="H27" i="16"/>
  <c r="M26" i="16"/>
  <c r="L26" i="16"/>
  <c r="I26" i="16"/>
  <c r="F24" i="16"/>
  <c r="E24" i="16"/>
  <c r="H24" i="16" s="1"/>
  <c r="K24" i="16" s="1"/>
  <c r="D24" i="16"/>
  <c r="G23" i="16"/>
  <c r="H23" i="16" s="1"/>
  <c r="K23" i="16" s="1"/>
  <c r="D23" i="16"/>
  <c r="H20" i="16"/>
  <c r="K20" i="16" s="1"/>
  <c r="D20" i="16"/>
  <c r="H19" i="16"/>
  <c r="K19" i="16" s="1"/>
  <c r="K18" i="16"/>
  <c r="H18" i="16"/>
  <c r="D18" i="16"/>
  <c r="G17" i="16"/>
  <c r="F17" i="16"/>
  <c r="E17" i="16"/>
  <c r="D17" i="16"/>
  <c r="J16" i="16"/>
  <c r="F16" i="16"/>
  <c r="F26" i="16" s="1"/>
  <c r="E16" i="16"/>
  <c r="H16" i="16" s="1"/>
  <c r="J13" i="16"/>
  <c r="H13" i="16"/>
  <c r="K13" i="16" s="1"/>
  <c r="H12" i="16"/>
  <c r="K12" i="16" s="1"/>
  <c r="D12" i="16"/>
  <c r="H10" i="16"/>
  <c r="K10" i="16" s="1"/>
  <c r="D10" i="16"/>
  <c r="H9" i="16"/>
  <c r="D9" i="16"/>
  <c r="H17" i="16" l="1"/>
  <c r="K17" i="16" s="1"/>
  <c r="H28" i="13"/>
  <c r="I28" i="13" s="1"/>
  <c r="I7" i="13"/>
  <c r="C28" i="13"/>
  <c r="C61" i="13"/>
  <c r="E58" i="13"/>
  <c r="J26" i="16"/>
  <c r="J27" i="16" s="1"/>
  <c r="K27" i="16" s="1"/>
  <c r="F56" i="16" s="1"/>
  <c r="K16" i="16"/>
  <c r="I27" i="16"/>
  <c r="E26" i="16"/>
  <c r="E27" i="16" s="1"/>
  <c r="K9" i="16"/>
  <c r="H26" i="16" l="1"/>
  <c r="C62" i="13"/>
  <c r="C60" i="13"/>
  <c r="E60" i="13" s="1"/>
  <c r="C59" i="13"/>
  <c r="E59" i="13" s="1"/>
  <c r="F54" i="16"/>
  <c r="H54" i="16" s="1"/>
  <c r="K26" i="16" l="1"/>
  <c r="F55" i="16" s="1"/>
  <c r="H29" i="16"/>
  <c r="F53" i="16" l="1"/>
  <c r="H53" i="16" s="1"/>
  <c r="B44" i="17"/>
  <c r="G27" i="17"/>
  <c r="L26" i="17"/>
  <c r="K26" i="17"/>
  <c r="H26" i="17"/>
  <c r="H27" i="17" s="1"/>
  <c r="E26" i="17"/>
  <c r="D27" i="17"/>
  <c r="C17" i="17"/>
  <c r="I16" i="17"/>
  <c r="I14" i="17"/>
  <c r="G26" i="17"/>
  <c r="BA21" i="18"/>
  <c r="AP21" i="18"/>
  <c r="D50" i="5"/>
  <c r="F48" i="5"/>
  <c r="B44" i="5"/>
  <c r="G27" i="5"/>
  <c r="L26" i="5"/>
  <c r="K26" i="5"/>
  <c r="H26" i="5"/>
  <c r="H27" i="5" s="1"/>
  <c r="J24" i="5"/>
  <c r="G24" i="5"/>
  <c r="G23" i="5"/>
  <c r="J23" i="5" s="1"/>
  <c r="J20" i="5"/>
  <c r="C20" i="5"/>
  <c r="F19" i="5"/>
  <c r="E19" i="5"/>
  <c r="E26" i="5" s="1"/>
  <c r="D19" i="5"/>
  <c r="D26" i="5" s="1"/>
  <c r="C19" i="5"/>
  <c r="G17" i="5"/>
  <c r="J17" i="5" s="1"/>
  <c r="C17" i="5"/>
  <c r="I16" i="5"/>
  <c r="C16" i="5"/>
  <c r="G15" i="5"/>
  <c r="J15" i="5" s="1"/>
  <c r="C15" i="5"/>
  <c r="I13" i="5"/>
  <c r="I26" i="5" s="1"/>
  <c r="I27" i="5" s="1"/>
  <c r="G13" i="5"/>
  <c r="J13" i="5" s="1"/>
  <c r="C13" i="5"/>
  <c r="G12" i="5"/>
  <c r="J12" i="5" s="1"/>
  <c r="C12" i="5"/>
  <c r="G10" i="5"/>
  <c r="J10" i="5" s="1"/>
  <c r="G9" i="5"/>
  <c r="C9" i="5"/>
  <c r="G19" i="5" l="1"/>
  <c r="J19" i="5" s="1"/>
  <c r="D27" i="5"/>
  <c r="G26" i="5"/>
  <c r="I26" i="17"/>
  <c r="I27" i="17" s="1"/>
  <c r="J27" i="5"/>
  <c r="D54" i="5" s="1"/>
  <c r="F50" i="5"/>
  <c r="J9" i="5"/>
  <c r="J26" i="5" s="1"/>
  <c r="D53" i="5" s="1"/>
  <c r="J26" i="17" l="1"/>
  <c r="D51" i="5"/>
  <c r="F51" i="5" s="1"/>
  <c r="D52" i="5"/>
  <c r="F52" i="5" s="1"/>
  <c r="AP24" i="18" l="1"/>
  <c r="AK24" i="18"/>
  <c r="AP19" i="18" l="1"/>
  <c r="AO19" i="18"/>
  <c r="AL19" i="18"/>
  <c r="P19" i="18"/>
  <c r="K25" i="15"/>
  <c r="F25" i="15"/>
  <c r="G25" i="15"/>
  <c r="H25" i="15"/>
  <c r="I25" i="15"/>
  <c r="J25" i="15"/>
  <c r="E25" i="15"/>
  <c r="AO18" i="18" l="1"/>
  <c r="V18" i="18"/>
  <c r="AQ17" i="18"/>
  <c r="AP17" i="18"/>
  <c r="AP16" i="18"/>
  <c r="P16" i="18"/>
  <c r="AP15" i="18"/>
  <c r="AK15" i="18"/>
  <c r="P15" i="18"/>
  <c r="AP14" i="18"/>
  <c r="P14" i="18"/>
  <c r="AP13" i="18"/>
  <c r="P13" i="18"/>
  <c r="AK11" i="18"/>
  <c r="AP12" i="18" l="1"/>
  <c r="AK12" i="18"/>
  <c r="AH12" i="18"/>
  <c r="P12" i="18"/>
  <c r="E12" i="18"/>
  <c r="AP10" i="18"/>
  <c r="AC10" i="18"/>
  <c r="P10" i="18"/>
  <c r="AP9" i="18"/>
  <c r="AK9" i="18"/>
  <c r="P9" i="18"/>
  <c r="AP8" i="18"/>
  <c r="AK8" i="18"/>
  <c r="H49" i="9"/>
  <c r="F49" i="9"/>
  <c r="H47" i="9"/>
  <c r="L23" i="9"/>
  <c r="I23" i="9"/>
  <c r="G23" i="9"/>
  <c r="F23" i="9"/>
  <c r="E23" i="9"/>
  <c r="E24" i="9" s="1"/>
  <c r="E36" i="9" s="1"/>
  <c r="K21" i="9"/>
  <c r="H21" i="9"/>
  <c r="K20" i="9"/>
  <c r="H20" i="9"/>
  <c r="K19" i="9"/>
  <c r="H19" i="9"/>
  <c r="K18" i="9"/>
  <c r="H18" i="9"/>
  <c r="K17" i="9"/>
  <c r="H17" i="9"/>
  <c r="K16" i="9"/>
  <c r="H16" i="9"/>
  <c r="H14" i="9"/>
  <c r="K14" i="9" s="1"/>
  <c r="J13" i="9"/>
  <c r="J23" i="9" s="1"/>
  <c r="J24" i="9" s="1"/>
  <c r="H13" i="9"/>
  <c r="K13" i="9" s="1"/>
  <c r="K12" i="9"/>
  <c r="H12" i="9"/>
  <c r="K10" i="9"/>
  <c r="H10" i="9"/>
  <c r="K9" i="9"/>
  <c r="H9" i="9"/>
  <c r="AC8" i="18"/>
  <c r="M8" i="18"/>
  <c r="N8" i="18" s="1"/>
  <c r="O9" i="18"/>
  <c r="M9" i="18" s="1"/>
  <c r="O10" i="18"/>
  <c r="M10" i="18" s="1"/>
  <c r="O11" i="18"/>
  <c r="M11" i="18" s="1"/>
  <c r="O12" i="18"/>
  <c r="G12" i="18" s="1"/>
  <c r="O13" i="18"/>
  <c r="M13" i="18" s="1"/>
  <c r="O14" i="18"/>
  <c r="M14" i="18" s="1"/>
  <c r="O15" i="18"/>
  <c r="M15" i="18" s="1"/>
  <c r="O16" i="18"/>
  <c r="M16" i="18" s="1"/>
  <c r="O17" i="18"/>
  <c r="M17" i="18" s="1"/>
  <c r="O18" i="18"/>
  <c r="M18" i="18" s="1"/>
  <c r="O19" i="18"/>
  <c r="M19" i="18" s="1"/>
  <c r="O20" i="18"/>
  <c r="M20" i="18" s="1"/>
  <c r="O21" i="18"/>
  <c r="M21" i="18" s="1"/>
  <c r="O24" i="18"/>
  <c r="M24" i="18" s="1"/>
  <c r="O8" i="18"/>
  <c r="M12" i="18" l="1"/>
  <c r="E38" i="9"/>
  <c r="F54" i="9"/>
  <c r="H23" i="9"/>
  <c r="K23" i="9" s="1"/>
  <c r="F53" i="9" s="1"/>
  <c r="F50" i="9" l="1"/>
  <c r="H50" i="9" s="1"/>
  <c r="F51" i="9"/>
  <c r="H51" i="9" s="1"/>
  <c r="AP7" i="18" l="1"/>
  <c r="AM7" i="18"/>
  <c r="AK7" i="18"/>
  <c r="O7" i="18"/>
  <c r="M7" i="18" s="1"/>
  <c r="K14" i="18"/>
  <c r="K15" i="18"/>
  <c r="K16" i="18"/>
  <c r="K17" i="18"/>
  <c r="K18" i="18"/>
  <c r="K20" i="18"/>
  <c r="K21" i="18"/>
  <c r="I14" i="18"/>
  <c r="I15" i="18"/>
  <c r="I16" i="18"/>
  <c r="I17" i="18"/>
  <c r="I18" i="18"/>
  <c r="I20" i="18"/>
  <c r="I21" i="18"/>
  <c r="G9" i="18"/>
  <c r="G10" i="18"/>
  <c r="G11" i="18"/>
  <c r="G13" i="18"/>
  <c r="G14" i="18"/>
  <c r="N14" i="18" s="1"/>
  <c r="G15" i="18"/>
  <c r="N15" i="18" s="1"/>
  <c r="G16" i="18"/>
  <c r="N16" i="18" s="1"/>
  <c r="G17" i="18"/>
  <c r="G18" i="18"/>
  <c r="N18" i="18" s="1"/>
  <c r="G20" i="18"/>
  <c r="N20" i="18" s="1"/>
  <c r="G21" i="18"/>
  <c r="BB24" i="18"/>
  <c r="BA24" i="18"/>
  <c r="AZ24" i="18"/>
  <c r="AY24" i="18"/>
  <c r="AV24" i="18"/>
  <c r="AF24" i="18"/>
  <c r="AE24" i="18" s="1"/>
  <c r="Z24" i="18"/>
  <c r="Y24" i="18"/>
  <c r="X24" i="18"/>
  <c r="V24" i="18"/>
  <c r="U24" i="18" s="1"/>
  <c r="G24" i="18"/>
  <c r="E24" i="18"/>
  <c r="BB21" i="18"/>
  <c r="AZ21" i="18"/>
  <c r="AY21" i="18"/>
  <c r="AU21" i="18"/>
  <c r="AQ21" i="18"/>
  <c r="AF21" i="18"/>
  <c r="AE21" i="18" s="1"/>
  <c r="Z21" i="18"/>
  <c r="Y21" i="18"/>
  <c r="X21" i="18"/>
  <c r="U21" i="18"/>
  <c r="E21" i="18"/>
  <c r="BB20" i="18"/>
  <c r="BA20" i="18"/>
  <c r="AZ20" i="18"/>
  <c r="AY20" i="18"/>
  <c r="AU20" i="18"/>
  <c r="AT20" i="18"/>
  <c r="AV20" i="18" s="1"/>
  <c r="AQ20" i="18"/>
  <c r="AF20" i="18"/>
  <c r="AE20" i="18" s="1"/>
  <c r="Z20" i="18"/>
  <c r="Y20" i="18"/>
  <c r="X20" i="18"/>
  <c r="V20" i="18"/>
  <c r="U20" i="18" s="1"/>
  <c r="E20" i="18"/>
  <c r="BB19" i="18"/>
  <c r="BA19" i="18"/>
  <c r="AZ19" i="18"/>
  <c r="AY19" i="18"/>
  <c r="AT19" i="18"/>
  <c r="AQ19" i="18"/>
  <c r="AF19" i="18"/>
  <c r="AE19" i="18" s="1"/>
  <c r="Z19" i="18"/>
  <c r="Y19" i="18"/>
  <c r="X19" i="18"/>
  <c r="V19" i="18"/>
  <c r="U19" i="18" s="1"/>
  <c r="E19" i="18"/>
  <c r="BB18" i="18"/>
  <c r="BA18" i="18"/>
  <c r="AZ18" i="18"/>
  <c r="AY18" i="18"/>
  <c r="AT18" i="18"/>
  <c r="AV18" i="18" s="1"/>
  <c r="AQ18" i="18"/>
  <c r="AF18" i="18"/>
  <c r="AE18" i="18" s="1"/>
  <c r="Z18" i="18"/>
  <c r="Y18" i="18"/>
  <c r="X18" i="18"/>
  <c r="Q18" i="18"/>
  <c r="E18" i="18"/>
  <c r="BB17" i="18"/>
  <c r="BA17" i="18"/>
  <c r="AZ17" i="18"/>
  <c r="AY17" i="18"/>
  <c r="AT17" i="18"/>
  <c r="AV17" i="18" s="1"/>
  <c r="AF17" i="18"/>
  <c r="AE17" i="18" s="1"/>
  <c r="Z17" i="18"/>
  <c r="Y17" i="18"/>
  <c r="X17" i="18"/>
  <c r="V17" i="18"/>
  <c r="Q17" i="18" s="1"/>
  <c r="E17" i="18"/>
  <c r="BB16" i="18"/>
  <c r="BA16" i="18"/>
  <c r="AZ16" i="18"/>
  <c r="AY16" i="18"/>
  <c r="AT16" i="18"/>
  <c r="AV16" i="18" s="1"/>
  <c r="AQ16" i="18"/>
  <c r="AF16" i="18"/>
  <c r="AE16" i="18" s="1"/>
  <c r="Z16" i="18"/>
  <c r="Y16" i="18"/>
  <c r="X16" i="18"/>
  <c r="V16" i="18"/>
  <c r="Q16" i="18" s="1"/>
  <c r="E16" i="18"/>
  <c r="BB15" i="18"/>
  <c r="BA15" i="18"/>
  <c r="AZ15" i="18"/>
  <c r="AY15" i="18"/>
  <c r="AT15" i="18"/>
  <c r="AV15" i="18" s="1"/>
  <c r="AQ15" i="18"/>
  <c r="AF15" i="18"/>
  <c r="AE15" i="18" s="1"/>
  <c r="Z15" i="18"/>
  <c r="Y15" i="18"/>
  <c r="X15" i="18"/>
  <c r="V15" i="18"/>
  <c r="E15" i="18"/>
  <c r="BB14" i="18"/>
  <c r="BA14" i="18"/>
  <c r="AZ14" i="18"/>
  <c r="AY14" i="18"/>
  <c r="AT14" i="18"/>
  <c r="AV14" i="18" s="1"/>
  <c r="AQ14" i="18"/>
  <c r="AF14" i="18"/>
  <c r="AE14" i="18" s="1"/>
  <c r="Z14" i="18"/>
  <c r="Y14" i="18"/>
  <c r="X14" i="18"/>
  <c r="V14" i="18"/>
  <c r="E14" i="18"/>
  <c r="BB13" i="18"/>
  <c r="BA13" i="18"/>
  <c r="AZ13" i="18"/>
  <c r="AY13" i="18"/>
  <c r="AT13" i="18"/>
  <c r="AV13" i="18" s="1"/>
  <c r="AQ13" i="18"/>
  <c r="AF13" i="18"/>
  <c r="AE13" i="18" s="1"/>
  <c r="AC13" i="18"/>
  <c r="Z13" i="18"/>
  <c r="Y13" i="18"/>
  <c r="X13" i="18"/>
  <c r="V13" i="18"/>
  <c r="U13" i="18" s="1"/>
  <c r="S13" i="18"/>
  <c r="I13" i="18"/>
  <c r="E13" i="18"/>
  <c r="BB12" i="18"/>
  <c r="BA12" i="18"/>
  <c r="AZ12" i="18"/>
  <c r="AY12" i="18"/>
  <c r="AT12" i="18"/>
  <c r="AQ12" i="18"/>
  <c r="AF12" i="18"/>
  <c r="AC12" i="18" s="1"/>
  <c r="Z12" i="18"/>
  <c r="Y12" i="18"/>
  <c r="X12" i="18"/>
  <c r="V12" i="18"/>
  <c r="S12" i="18" s="1"/>
  <c r="K12" i="18"/>
  <c r="BB11" i="18"/>
  <c r="BA11" i="18"/>
  <c r="AZ11" i="18"/>
  <c r="AY11" i="18"/>
  <c r="AT11" i="18"/>
  <c r="AU11" i="18" s="1"/>
  <c r="AQ11" i="18"/>
  <c r="AF11" i="18"/>
  <c r="AE11" i="18" s="1"/>
  <c r="Z11" i="18"/>
  <c r="Y11" i="18"/>
  <c r="X11" i="18"/>
  <c r="V11" i="18"/>
  <c r="U11" i="18" s="1"/>
  <c r="I11" i="18"/>
  <c r="E11" i="18"/>
  <c r="BB10" i="18"/>
  <c r="BA10" i="18"/>
  <c r="AZ10" i="18"/>
  <c r="AY10" i="18"/>
  <c r="AT10" i="18"/>
  <c r="AV10" i="18" s="1"/>
  <c r="AQ10" i="18"/>
  <c r="AF10" i="18"/>
  <c r="AE10" i="18" s="1"/>
  <c r="Z10" i="18"/>
  <c r="Y10" i="18"/>
  <c r="X10" i="18"/>
  <c r="V10" i="18"/>
  <c r="U10" i="18" s="1"/>
  <c r="E10" i="18"/>
  <c r="BB9" i="18"/>
  <c r="BA9" i="18"/>
  <c r="AZ9" i="18"/>
  <c r="AY9" i="18"/>
  <c r="AT9" i="18"/>
  <c r="AV9" i="18" s="1"/>
  <c r="AQ9" i="18"/>
  <c r="AF9" i="18"/>
  <c r="AE9" i="18" s="1"/>
  <c r="Z9" i="18"/>
  <c r="Y9" i="18"/>
  <c r="X9" i="18"/>
  <c r="V9" i="18"/>
  <c r="U9" i="18" s="1"/>
  <c r="K9" i="18"/>
  <c r="E9" i="18"/>
  <c r="BB8" i="18"/>
  <c r="BA8" i="18"/>
  <c r="AZ8" i="18"/>
  <c r="AY8" i="18"/>
  <c r="AT8" i="18"/>
  <c r="AU8" i="18" s="1"/>
  <c r="AQ8" i="18"/>
  <c r="AF8" i="18"/>
  <c r="AE8" i="18" s="1"/>
  <c r="Z8" i="18"/>
  <c r="Y8" i="18"/>
  <c r="X8" i="18"/>
  <c r="U8" i="18"/>
  <c r="G8" i="18"/>
  <c r="E8" i="18"/>
  <c r="BB7" i="18"/>
  <c r="BA7" i="18"/>
  <c r="AZ7" i="18"/>
  <c r="AY7" i="18"/>
  <c r="AT7" i="18"/>
  <c r="AV7" i="18" s="1"/>
  <c r="AQ7" i="18"/>
  <c r="AF7" i="18"/>
  <c r="AE7" i="18" s="1"/>
  <c r="Z7" i="18"/>
  <c r="Y7" i="18"/>
  <c r="X7" i="18"/>
  <c r="S7" i="18"/>
  <c r="G7" i="18"/>
  <c r="E7" i="18"/>
  <c r="S19" i="18" l="1"/>
  <c r="N9" i="18"/>
  <c r="AU24" i="18"/>
  <c r="AC24" i="18"/>
  <c r="S24" i="18"/>
  <c r="AA24" i="18"/>
  <c r="Q24" i="18"/>
  <c r="N21" i="18"/>
  <c r="AX19" i="18"/>
  <c r="N19" i="18"/>
  <c r="U18" i="18"/>
  <c r="S18" i="18"/>
  <c r="U17" i="18"/>
  <c r="S17" i="18"/>
  <c r="N17" i="18"/>
  <c r="AU16" i="18"/>
  <c r="U16" i="18"/>
  <c r="S16" i="18"/>
  <c r="S15" i="18"/>
  <c r="W15" i="18" s="1"/>
  <c r="Q15" i="18"/>
  <c r="U15" i="18"/>
  <c r="AU14" i="18"/>
  <c r="U14" i="18"/>
  <c r="Q14" i="18"/>
  <c r="AV11" i="18"/>
  <c r="AW11" i="18" s="1"/>
  <c r="AW10" i="18"/>
  <c r="AG10" i="18"/>
  <c r="AU9" i="18"/>
  <c r="AV8" i="18"/>
  <c r="AW8" i="18" s="1"/>
  <c r="AA7" i="18"/>
  <c r="K7" i="18"/>
  <c r="I7" i="18"/>
  <c r="N7" i="18" s="1"/>
  <c r="AU19" i="18"/>
  <c r="AV19" i="18"/>
  <c r="AU17" i="18"/>
  <c r="AC11" i="18"/>
  <c r="AG11" i="18" s="1"/>
  <c r="AG13" i="18"/>
  <c r="AC15" i="18"/>
  <c r="AG15" i="18" s="1"/>
  <c r="AC18" i="18"/>
  <c r="AG18" i="18" s="1"/>
  <c r="AW18" i="18"/>
  <c r="AC7" i="18"/>
  <c r="AG7" i="18" s="1"/>
  <c r="AE12" i="18"/>
  <c r="AG12" i="18" s="1"/>
  <c r="AC16" i="18"/>
  <c r="AG16" i="18" s="1"/>
  <c r="AW17" i="18"/>
  <c r="AC19" i="18"/>
  <c r="AG19" i="18" s="1"/>
  <c r="AW20" i="18"/>
  <c r="AG24" i="18"/>
  <c r="AW24" i="18"/>
  <c r="AW9" i="18"/>
  <c r="AW19" i="18"/>
  <c r="AW15" i="18"/>
  <c r="AW16" i="18"/>
  <c r="AG8" i="18"/>
  <c r="AW14" i="18"/>
  <c r="AW7" i="18"/>
  <c r="AW13" i="18"/>
  <c r="U7" i="18"/>
  <c r="AX9" i="18"/>
  <c r="AX14" i="18"/>
  <c r="AX17" i="18"/>
  <c r="U12" i="18"/>
  <c r="AX12" i="18"/>
  <c r="AX21" i="18"/>
  <c r="S11" i="18"/>
  <c r="AA18" i="18"/>
  <c r="AX11" i="18"/>
  <c r="AA16" i="18"/>
  <c r="S10" i="18"/>
  <c r="Q8" i="18"/>
  <c r="S8" i="18"/>
  <c r="Q11" i="18"/>
  <c r="AX16" i="18"/>
  <c r="Q19" i="18"/>
  <c r="W19" i="18" s="1"/>
  <c r="AX20" i="18"/>
  <c r="AX24" i="18"/>
  <c r="I8" i="18"/>
  <c r="I24" i="18"/>
  <c r="K8" i="18"/>
  <c r="AA8" i="18"/>
  <c r="K11" i="18"/>
  <c r="N11" i="18" s="1"/>
  <c r="AA11" i="18"/>
  <c r="K13" i="18"/>
  <c r="N13" i="18" s="1"/>
  <c r="AA13" i="18"/>
  <c r="AA15" i="18"/>
  <c r="AA19" i="18"/>
  <c r="K24" i="18"/>
  <c r="I10" i="18"/>
  <c r="N10" i="18" s="1"/>
  <c r="K10" i="18"/>
  <c r="AA10" i="18"/>
  <c r="I9" i="18"/>
  <c r="AU12" i="18"/>
  <c r="Q20" i="18"/>
  <c r="AU7" i="18"/>
  <c r="AX8" i="18"/>
  <c r="S9" i="18"/>
  <c r="AC9" i="18"/>
  <c r="AG9" i="18" s="1"/>
  <c r="AU10" i="18"/>
  <c r="I12" i="18"/>
  <c r="N12" i="18" s="1"/>
  <c r="Q12" i="18"/>
  <c r="AA12" i="18"/>
  <c r="AV12" i="18"/>
  <c r="AW12" i="18" s="1"/>
  <c r="AU13" i="18"/>
  <c r="S14" i="18"/>
  <c r="AC14" i="18"/>
  <c r="AG14" i="18" s="1"/>
  <c r="AU15" i="18"/>
  <c r="AC17" i="18"/>
  <c r="AG17" i="18" s="1"/>
  <c r="AU18" i="18"/>
  <c r="S20" i="18"/>
  <c r="AC20" i="18"/>
  <c r="AG20" i="18" s="1"/>
  <c r="Q21" i="18"/>
  <c r="AA21" i="18"/>
  <c r="AV21" i="18"/>
  <c r="AW21" i="18" s="1"/>
  <c r="AX7" i="18"/>
  <c r="Q9" i="18"/>
  <c r="AA9" i="18"/>
  <c r="AX10" i="18"/>
  <c r="AX13" i="18"/>
  <c r="AA14" i="18"/>
  <c r="AX15" i="18"/>
  <c r="AA17" i="18"/>
  <c r="AX18" i="18"/>
  <c r="AA20" i="18"/>
  <c r="Q7" i="18"/>
  <c r="Q10" i="18"/>
  <c r="W10" i="18" s="1"/>
  <c r="Q13" i="18"/>
  <c r="W13" i="18" s="1"/>
  <c r="S21" i="18"/>
  <c r="AC21" i="18"/>
  <c r="AG21" i="18" s="1"/>
  <c r="W24" i="18" l="1"/>
  <c r="N24" i="18"/>
  <c r="W18" i="18"/>
  <c r="W16" i="18"/>
  <c r="W8" i="18"/>
  <c r="W11" i="18"/>
  <c r="W7" i="18"/>
  <c r="W21" i="18"/>
  <c r="W14" i="18"/>
  <c r="W12" i="18"/>
  <c r="W9" i="18"/>
  <c r="W20" i="18"/>
  <c r="W17" i="18"/>
  <c r="K37" i="15" l="1"/>
  <c r="J26" i="15"/>
  <c r="H26" i="15"/>
  <c r="M25" i="15"/>
  <c r="L25" i="15"/>
  <c r="I26" i="15"/>
  <c r="E26" i="15"/>
  <c r="K23" i="15"/>
  <c r="H23" i="15"/>
  <c r="K22" i="15"/>
  <c r="H22" i="15"/>
  <c r="H18" i="15"/>
  <c r="K18" i="15" s="1"/>
  <c r="H17" i="15"/>
  <c r="K17" i="15" s="1"/>
  <c r="K16" i="15"/>
  <c r="K15" i="15"/>
  <c r="H15" i="15"/>
  <c r="K13" i="15"/>
  <c r="H13" i="15"/>
  <c r="K12" i="15"/>
  <c r="H12" i="15"/>
  <c r="H9" i="15"/>
  <c r="K9" i="15" s="1"/>
  <c r="H8" i="15"/>
  <c r="K26" i="15" l="1"/>
  <c r="K8" i="15"/>
  <c r="F46" i="7" l="1"/>
  <c r="H44" i="7"/>
  <c r="H27" i="7"/>
  <c r="K27" i="7" s="1"/>
  <c r="M26" i="7"/>
  <c r="L26" i="7"/>
  <c r="I26" i="7"/>
  <c r="I27" i="7" s="1"/>
  <c r="G26" i="7"/>
  <c r="F26" i="7"/>
  <c r="E26" i="7"/>
  <c r="E27" i="7" s="1"/>
  <c r="K25" i="7"/>
  <c r="H24" i="7"/>
  <c r="K24" i="7" s="1"/>
  <c r="H21" i="7"/>
  <c r="K21" i="7" s="1"/>
  <c r="H20" i="7"/>
  <c r="K20" i="7" s="1"/>
  <c r="H19" i="7"/>
  <c r="K19" i="7" s="1"/>
  <c r="J18" i="7"/>
  <c r="K17" i="7"/>
  <c r="J17" i="7"/>
  <c r="J15" i="7"/>
  <c r="J26" i="7" s="1"/>
  <c r="J27" i="7" s="1"/>
  <c r="H15" i="7"/>
  <c r="K15" i="7" s="1"/>
  <c r="H14" i="7"/>
  <c r="K14" i="7" s="1"/>
  <c r="H10" i="7"/>
  <c r="K10" i="7" s="1"/>
  <c r="H9" i="7"/>
  <c r="K9" i="7" s="1"/>
  <c r="K26" i="7" l="1"/>
  <c r="F49" i="7" s="1"/>
  <c r="H26" i="7"/>
  <c r="F48" i="7"/>
  <c r="H48" i="7" s="1"/>
  <c r="H46" i="7"/>
  <c r="F47" i="7" l="1"/>
  <c r="H47" i="7" s="1"/>
  <c r="E40" i="3" l="1"/>
  <c r="I26" i="3"/>
  <c r="H24" i="3"/>
  <c r="H23" i="3"/>
  <c r="H19" i="3"/>
  <c r="H10" i="3"/>
  <c r="G9" i="3"/>
  <c r="G26" i="3" s="1"/>
  <c r="F9" i="3"/>
  <c r="F26" i="3" s="1"/>
  <c r="E9" i="3"/>
  <c r="E26" i="3" s="1"/>
  <c r="D9" i="3"/>
  <c r="E27" i="3" l="1"/>
  <c r="H26" i="3"/>
  <c r="F48" i="6" l="1"/>
  <c r="H46" i="6"/>
  <c r="E38" i="6"/>
  <c r="H26" i="6"/>
  <c r="M25" i="6"/>
  <c r="L25" i="6"/>
  <c r="I25" i="6"/>
  <c r="I26" i="6" s="1"/>
  <c r="G25" i="6"/>
  <c r="F25" i="6"/>
  <c r="E25" i="6"/>
  <c r="E26" i="6" s="1"/>
  <c r="K23" i="6"/>
  <c r="K22" i="6"/>
  <c r="K19" i="6"/>
  <c r="K18" i="6"/>
  <c r="K17" i="6"/>
  <c r="K16" i="6"/>
  <c r="J15" i="6"/>
  <c r="K14" i="6"/>
  <c r="H14" i="6"/>
  <c r="J13" i="6"/>
  <c r="K13" i="6" s="1"/>
  <c r="K12" i="6"/>
  <c r="K10" i="6"/>
  <c r="H10" i="6"/>
  <c r="H9" i="6"/>
  <c r="H25" i="6" s="1"/>
  <c r="F49" i="6" l="1"/>
  <c r="H49" i="6" s="1"/>
  <c r="J25" i="6"/>
  <c r="J26" i="6" s="1"/>
  <c r="K26" i="6" s="1"/>
  <c r="H48" i="6"/>
  <c r="K9" i="6"/>
  <c r="K25" i="6" s="1"/>
  <c r="F51" i="6" s="1"/>
  <c r="F52" i="6" l="1"/>
  <c r="F50" i="6"/>
  <c r="H50" i="6" s="1"/>
  <c r="F44" i="2" l="1"/>
  <c r="H42" i="2"/>
  <c r="E34" i="2"/>
  <c r="H22" i="2"/>
  <c r="M21" i="2"/>
  <c r="L21" i="2"/>
  <c r="I21" i="2"/>
  <c r="I22" i="2" s="1"/>
  <c r="G21" i="2"/>
  <c r="F21" i="2"/>
  <c r="E21" i="2"/>
  <c r="E22" i="2" s="1"/>
  <c r="K20" i="2"/>
  <c r="H19" i="2"/>
  <c r="K19" i="2" s="1"/>
  <c r="K18" i="2"/>
  <c r="H18" i="2"/>
  <c r="H17" i="2"/>
  <c r="K17" i="2" s="1"/>
  <c r="K16" i="2"/>
  <c r="H16" i="2"/>
  <c r="H15" i="2"/>
  <c r="K15" i="2" s="1"/>
  <c r="J14" i="2"/>
  <c r="H13" i="2"/>
  <c r="K13" i="2" s="1"/>
  <c r="J12" i="2"/>
  <c r="J21" i="2" s="1"/>
  <c r="J22" i="2" s="1"/>
  <c r="H12" i="2"/>
  <c r="H11" i="2"/>
  <c r="K11" i="2" s="1"/>
  <c r="K10" i="2"/>
  <c r="H10" i="2"/>
  <c r="H9" i="2"/>
  <c r="H21" i="2" s="1"/>
  <c r="K22" i="2" l="1"/>
  <c r="F48" i="2" s="1"/>
  <c r="F46" i="2"/>
  <c r="H46" i="2" s="1"/>
  <c r="K12" i="2"/>
  <c r="H44" i="2"/>
  <c r="K9" i="2"/>
  <c r="K21" i="2" s="1"/>
  <c r="F47" i="2" s="1"/>
  <c r="F45" i="2" l="1"/>
  <c r="H45" i="2" s="1"/>
  <c r="F47" i="12" l="1"/>
  <c r="E42" i="12"/>
  <c r="C42" i="12"/>
  <c r="C41" i="12"/>
  <c r="E38" i="12"/>
  <c r="K34" i="12"/>
  <c r="K33" i="12"/>
  <c r="K30" i="12"/>
  <c r="K29" i="12"/>
  <c r="K28" i="12"/>
  <c r="K31" i="12" s="1"/>
  <c r="H24" i="12"/>
  <c r="M23" i="12"/>
  <c r="L23" i="12"/>
  <c r="I23" i="12"/>
  <c r="I24" i="12" s="1"/>
  <c r="H23" i="12"/>
  <c r="K21" i="12"/>
  <c r="G21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G17" i="12"/>
  <c r="F17" i="12"/>
  <c r="E17" i="12"/>
  <c r="D17" i="12"/>
  <c r="F16" i="12"/>
  <c r="E16" i="12"/>
  <c r="D16" i="12"/>
  <c r="J15" i="12"/>
  <c r="K15" i="12" s="1"/>
  <c r="K23" i="12" s="1"/>
  <c r="F50" i="12" s="1"/>
  <c r="D15" i="12"/>
  <c r="G14" i="12"/>
  <c r="F14" i="12"/>
  <c r="E14" i="12"/>
  <c r="D14" i="12"/>
  <c r="J13" i="12"/>
  <c r="F13" i="12"/>
  <c r="E13" i="12"/>
  <c r="D13" i="12"/>
  <c r="F11" i="12"/>
  <c r="E11" i="12"/>
  <c r="D11" i="12"/>
  <c r="F10" i="12"/>
  <c r="F9" i="12"/>
  <c r="E9" i="12"/>
  <c r="D9" i="12"/>
  <c r="G8" i="12"/>
  <c r="F8" i="12"/>
  <c r="E8" i="12"/>
  <c r="D8" i="12"/>
  <c r="J23" i="12" l="1"/>
  <c r="J24" i="12" s="1"/>
  <c r="K24" i="12" s="1"/>
  <c r="F51" i="12" s="1"/>
  <c r="F23" i="12"/>
  <c r="G23" i="12"/>
  <c r="E23" i="12"/>
  <c r="F48" i="12"/>
  <c r="H48" i="12" s="1"/>
  <c r="E24" i="12" l="1"/>
  <c r="F49" i="12"/>
  <c r="H49" i="12" s="1"/>
  <c r="H47" i="11" l="1"/>
  <c r="F47" i="11"/>
  <c r="H45" i="11"/>
  <c r="H26" i="11"/>
  <c r="M25" i="11"/>
  <c r="L25" i="11"/>
  <c r="I25" i="11"/>
  <c r="I26" i="11" s="1"/>
  <c r="G25" i="11"/>
  <c r="F25" i="11"/>
  <c r="E25" i="11"/>
  <c r="E26" i="11" s="1"/>
  <c r="H23" i="11"/>
  <c r="K23" i="11" s="1"/>
  <c r="H22" i="11"/>
  <c r="K22" i="11" s="1"/>
  <c r="H19" i="11"/>
  <c r="K19" i="11" s="1"/>
  <c r="H18" i="11"/>
  <c r="K18" i="11" s="1"/>
  <c r="H17" i="11"/>
  <c r="K17" i="11" s="1"/>
  <c r="H16" i="11"/>
  <c r="K16" i="11" s="1"/>
  <c r="J15" i="11"/>
  <c r="K14" i="11"/>
  <c r="H14" i="11"/>
  <c r="K13" i="11"/>
  <c r="J13" i="11"/>
  <c r="J25" i="11" s="1"/>
  <c r="J26" i="11" s="1"/>
  <c r="H13" i="11"/>
  <c r="H12" i="11"/>
  <c r="K12" i="11" s="1"/>
  <c r="H10" i="11"/>
  <c r="K10" i="11" s="1"/>
  <c r="H9" i="11"/>
  <c r="K9" i="11" s="1"/>
  <c r="K26" i="11" l="1"/>
  <c r="F51" i="11" s="1"/>
  <c r="H25" i="11"/>
  <c r="K25" i="11" s="1"/>
  <c r="F50" i="11" s="1"/>
  <c r="F49" i="11" l="1"/>
  <c r="H49" i="11" s="1"/>
  <c r="F48" i="11"/>
  <c r="H48" i="11" s="1"/>
  <c r="H41" i="8" l="1"/>
  <c r="F41" i="8"/>
  <c r="H39" i="8"/>
  <c r="E32" i="8"/>
  <c r="H21" i="8"/>
  <c r="M20" i="8"/>
  <c r="L20" i="8"/>
  <c r="I21" i="8" s="1"/>
  <c r="I20" i="8"/>
  <c r="F20" i="8"/>
  <c r="E20" i="8"/>
  <c r="E21" i="8" s="1"/>
  <c r="H18" i="8"/>
  <c r="K18" i="8" s="1"/>
  <c r="K17" i="8"/>
  <c r="K16" i="8"/>
  <c r="H16" i="8"/>
  <c r="K15" i="8"/>
  <c r="K14" i="8"/>
  <c r="K13" i="8"/>
  <c r="J13" i="8"/>
  <c r="H13" i="8"/>
  <c r="H20" i="8" s="1"/>
  <c r="J12" i="8"/>
  <c r="K12" i="8" s="1"/>
  <c r="K11" i="8"/>
  <c r="K9" i="8"/>
  <c r="H9" i="8"/>
  <c r="K8" i="8"/>
  <c r="J20" i="8" l="1"/>
  <c r="J21" i="8" s="1"/>
  <c r="K21" i="8" s="1"/>
  <c r="F46" i="8" l="1"/>
  <c r="F43" i="8"/>
  <c r="H43" i="8" s="1"/>
  <c r="K20" i="8"/>
  <c r="F45" i="8" l="1"/>
  <c r="F42" i="8"/>
  <c r="H42" i="8" s="1"/>
  <c r="E46" i="4" l="1"/>
  <c r="G44" i="4"/>
  <c r="H23" i="4"/>
  <c r="M22" i="4"/>
  <c r="I22" i="4"/>
  <c r="I23" i="4" s="1"/>
  <c r="H22" i="4"/>
  <c r="O38" i="4" s="1"/>
  <c r="G22" i="4"/>
  <c r="F22" i="4"/>
  <c r="E22" i="4"/>
  <c r="E23" i="4" s="1"/>
  <c r="K20" i="4"/>
  <c r="K19" i="4"/>
  <c r="K18" i="4"/>
  <c r="K17" i="4"/>
  <c r="K16" i="4"/>
  <c r="K15" i="4"/>
  <c r="J14" i="4"/>
  <c r="K13" i="4" s="1"/>
  <c r="J12" i="4"/>
  <c r="J22" i="4" s="1"/>
  <c r="J23" i="4" s="1"/>
  <c r="K11" i="4"/>
  <c r="K10" i="4"/>
  <c r="K9" i="4"/>
  <c r="K23" i="4" l="1"/>
  <c r="E50" i="4" s="1"/>
  <c r="K12" i="4"/>
  <c r="K22" i="4" s="1"/>
  <c r="G46" i="4"/>
  <c r="E48" i="4" l="1"/>
  <c r="G48" i="4" s="1"/>
  <c r="E49" i="4"/>
  <c r="E47" i="4"/>
  <c r="G47" i="4" s="1"/>
  <c r="F20" i="1" l="1"/>
  <c r="E20" i="1"/>
  <c r="H42" i="1" l="1"/>
  <c r="G42" i="1"/>
  <c r="H40" i="1"/>
  <c r="H21" i="1"/>
  <c r="M20" i="1"/>
  <c r="L20" i="1"/>
  <c r="I21" i="1" s="1"/>
  <c r="J20" i="1"/>
  <c r="J21" i="1" s="1"/>
  <c r="K21" i="1" s="1"/>
  <c r="G46" i="1" s="1"/>
  <c r="I20" i="1"/>
  <c r="H20" i="1"/>
  <c r="K19" i="1"/>
  <c r="K18" i="1"/>
  <c r="H18" i="1"/>
  <c r="K17" i="1"/>
  <c r="K16" i="1"/>
  <c r="K15" i="1"/>
  <c r="H15" i="1"/>
  <c r="K14" i="1"/>
  <c r="K13" i="1"/>
  <c r="K12" i="1"/>
  <c r="J12" i="1"/>
  <c r="K11" i="1"/>
  <c r="J11" i="1"/>
  <c r="K10" i="1"/>
  <c r="K9" i="1"/>
  <c r="K8" i="1"/>
  <c r="K20" i="1" s="1"/>
  <c r="G45" i="1" s="1"/>
  <c r="G43" i="1" l="1"/>
  <c r="H43" i="1" s="1"/>
  <c r="G44" i="1"/>
  <c r="H44" i="1" s="1"/>
</calcChain>
</file>

<file path=xl/comments1.xml><?xml version="1.0" encoding="utf-8"?>
<comments xmlns="http://schemas.openxmlformats.org/spreadsheetml/2006/main">
  <authors>
    <author>ADMIN</author>
  </authors>
  <commentList>
    <comment ref="I26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J2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J2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sharedStrings.xml><?xml version="1.0" encoding="utf-8"?>
<sst xmlns="http://schemas.openxmlformats.org/spreadsheetml/2006/main" count="3162" uniqueCount="968">
  <si>
    <t>Table:</t>
  </si>
  <si>
    <t>COST OF CULTIVATION   Paddy   (IRRIGATED )</t>
  </si>
  <si>
    <t>DISTRICT:  Mahaweli C</t>
  </si>
  <si>
    <t>2022/23 Maha</t>
  </si>
  <si>
    <t xml:space="preserve">Season </t>
  </si>
  <si>
    <t>2022/23 maha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</si>
  <si>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</si>
  <si>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</si>
  <si>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</si>
  <si>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</si>
  <si>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</si>
  <si>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</si>
  <si>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</si>
  <si>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</si>
  <si>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</si>
  <si>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</si>
  <si>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</si>
  <si>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</si>
  <si>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</si>
  <si>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</si>
  <si>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</si>
  <si>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</si>
  <si>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</si>
  <si>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</si>
  <si>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1, 2, &amp; 3  plough with 4wt</t>
  </si>
  <si>
    <t>Plastering bunds</t>
  </si>
  <si>
    <t xml:space="preserve"> leveling &amp; broadcasting</t>
  </si>
  <si>
    <t>Fertilizer application</t>
  </si>
  <si>
    <t>Weed control with weedicides</t>
  </si>
  <si>
    <t>Pest &amp; disease control</t>
  </si>
  <si>
    <t>Water management</t>
  </si>
  <si>
    <t>Harvesting with combined harvester</t>
  </si>
  <si>
    <t xml:space="preserve">Additional drying </t>
  </si>
  <si>
    <t>Transport produce to sores</t>
  </si>
  <si>
    <t xml:space="preserve">Other cost </t>
  </si>
  <si>
    <t>Total including imputed cost</t>
  </si>
  <si>
    <t xml:space="preserve">Total excluding imputed cost </t>
  </si>
  <si>
    <t>RELATED INFORMATION</t>
  </si>
  <si>
    <t>Input</t>
  </si>
  <si>
    <t>Unit</t>
  </si>
  <si>
    <t>Quantity</t>
  </si>
  <si>
    <t>Unit Price (Rs)</t>
  </si>
  <si>
    <t>Variety</t>
  </si>
  <si>
    <t>SEED</t>
  </si>
  <si>
    <t>Bg360        -40</t>
  </si>
  <si>
    <t>mean  2.2</t>
  </si>
  <si>
    <t>Broadcasting</t>
  </si>
  <si>
    <t>kg</t>
  </si>
  <si>
    <t>Bg374        -22</t>
  </si>
  <si>
    <t>mode -2.5</t>
  </si>
  <si>
    <t>Bg366       -18</t>
  </si>
  <si>
    <t>LABOUR</t>
  </si>
  <si>
    <t>Mahasen -08</t>
  </si>
  <si>
    <t xml:space="preserve">Hired </t>
  </si>
  <si>
    <t>md</t>
  </si>
  <si>
    <t>Bg403       -07</t>
  </si>
  <si>
    <t xml:space="preserve">Family </t>
  </si>
  <si>
    <t>Bg409       -05</t>
  </si>
  <si>
    <t>FIELD FERTILIZER</t>
  </si>
  <si>
    <t>% Reporting</t>
  </si>
  <si>
    <t xml:space="preserve">Basal </t>
  </si>
  <si>
    <t>Urea</t>
  </si>
  <si>
    <t>TSP</t>
  </si>
  <si>
    <t>(27)</t>
  </si>
  <si>
    <t>(171)</t>
  </si>
  <si>
    <t>MOP</t>
  </si>
  <si>
    <t>(8)</t>
  </si>
  <si>
    <t>(530)</t>
  </si>
  <si>
    <t>All Top D.</t>
  </si>
  <si>
    <t xml:space="preserve">Organi </t>
  </si>
  <si>
    <t>free</t>
  </si>
  <si>
    <t>YIELD AND RETURNS</t>
  </si>
  <si>
    <t>Per ac</t>
  </si>
  <si>
    <t>Per ha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</si>
  <si>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</si>
  <si>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</si>
  <si>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</si>
  <si>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</si>
  <si>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</si>
  <si>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</si>
  <si>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</si>
  <si>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Special remarks-</t>
  </si>
  <si>
    <t xml:space="preserve">    </t>
  </si>
  <si>
    <t>COST OF CULTIVATION PER ACRE OF PADDY (IRR )</t>
  </si>
  <si>
    <t>DISTRICT: Ampara - East</t>
  </si>
  <si>
    <t>Season-2022-23 maha</t>
  </si>
  <si>
    <t xml:space="preserve">Labour cost </t>
  </si>
  <si>
    <t>without meals</t>
  </si>
  <si>
    <t>General Land Preparation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</si>
  <si>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</si>
  <si>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t xml:space="preserve"> Levelling &amp; broadcasting</t>
  </si>
  <si>
    <t>Fertilizer application (organic)</t>
  </si>
  <si>
    <t>Fertilizer application (inorganic)</t>
  </si>
  <si>
    <t>Pest control with pesticide</t>
  </si>
  <si>
    <t>Transport Produce to store</t>
  </si>
  <si>
    <t>%</t>
  </si>
  <si>
    <t>Quantity and Price of Inputs</t>
  </si>
  <si>
    <t>At 362</t>
  </si>
  <si>
    <t>Other</t>
  </si>
  <si>
    <t>Mean</t>
  </si>
  <si>
    <t>Mode</t>
  </si>
  <si>
    <t>Family</t>
  </si>
  <si>
    <t>FERTILIZER</t>
  </si>
  <si>
    <t>Compost</t>
  </si>
  <si>
    <t>All Top Dress.</t>
  </si>
  <si>
    <t>Urea (high price)</t>
  </si>
  <si>
    <t>urea (subsidy price)</t>
  </si>
  <si>
    <t>Urea (Other)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</si>
  <si>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</si>
  <si>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</si>
  <si>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</si>
  <si>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</si>
  <si>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</si>
  <si>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Unit Cost (Incl.Imputed Cost) (Rs/kg)</t>
  </si>
  <si>
    <t>Unit Cost (Excl. Imputed Cost (Rs/kg)</t>
  </si>
  <si>
    <t>DISTRICT: Anuradhapura</t>
  </si>
  <si>
    <t>Season -2022-23 maha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</si>
  <si>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</t>
    </r>
  </si>
  <si>
    <t>(1st 2nd &amp; 3rd plough with 4wt)</t>
  </si>
  <si>
    <t>(34)</t>
  </si>
  <si>
    <t>(1024)</t>
  </si>
  <si>
    <t>(19595)</t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</si>
  <si>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2wt)</t>
    </r>
  </si>
  <si>
    <t>(13)</t>
  </si>
  <si>
    <t>(4900)</t>
  </si>
  <si>
    <t>(14657)</t>
  </si>
  <si>
    <t>Levelling &amp; broadcasting</t>
  </si>
  <si>
    <t>(Do manually)</t>
  </si>
  <si>
    <t>(9)</t>
  </si>
  <si>
    <t>(10987)</t>
  </si>
  <si>
    <t>(Threshing &amp; winnowing with 4w thresher)</t>
  </si>
  <si>
    <t>(1750)</t>
  </si>
  <si>
    <t>(5857)</t>
  </si>
  <si>
    <t>Additional drying</t>
  </si>
  <si>
    <t>Total Including Imputed Cost</t>
  </si>
  <si>
    <t xml:space="preserve">Total Excluding Imputed Cost </t>
  </si>
  <si>
    <t>Variety %</t>
  </si>
  <si>
    <t>BG 352-38</t>
  </si>
  <si>
    <t xml:space="preserve">BG 360 -16 </t>
  </si>
  <si>
    <t>BG 300- 13</t>
  </si>
  <si>
    <t>Other-33</t>
  </si>
  <si>
    <t xml:space="preserve"> FERTILIZER</t>
  </si>
  <si>
    <t>-</t>
  </si>
  <si>
    <t>DISTRICT:</t>
  </si>
  <si>
    <t>HAMBANTOTA</t>
  </si>
  <si>
    <r>
      <t>1</t>
    </r>
    <r>
      <rPr>
        <vertAlign val="superscript"/>
        <sz val="11"/>
        <rFont val="Times New Roman"/>
        <family val="1"/>
      </rPr>
      <t xml:space="preserve">st </t>
    </r>
    <r>
      <rPr>
        <sz val="11"/>
        <rFont val="Times New Roman"/>
        <family val="1"/>
      </rPr>
      <t>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&amp;3</t>
    </r>
    <r>
      <rPr>
        <vertAlign val="superscript"/>
        <sz val="11"/>
        <rFont val="Times New Roman"/>
        <family val="1"/>
      </rPr>
      <t>rd</t>
    </r>
    <r>
      <rPr>
        <sz val="11"/>
        <rFont val="Times New Roman"/>
        <family val="1"/>
      </rPr>
      <t xml:space="preserve"> plough with 4wt</t>
    </r>
  </si>
  <si>
    <t>(33)</t>
  </si>
  <si>
    <t>Transport Produce</t>
  </si>
  <si>
    <t>Other cost ( For Meal)</t>
  </si>
  <si>
    <t>AT 362</t>
  </si>
  <si>
    <t>(Parachute)</t>
  </si>
  <si>
    <t>(Transplant)</t>
  </si>
  <si>
    <t xml:space="preserve"> </t>
  </si>
  <si>
    <t>(88)</t>
  </si>
  <si>
    <t>(29)</t>
  </si>
  <si>
    <t>(23)</t>
  </si>
  <si>
    <t>(487)</t>
  </si>
  <si>
    <t xml:space="preserve">Urea </t>
  </si>
  <si>
    <t>per hactare</t>
  </si>
  <si>
    <t>Low yield due to lack of  fertilizer &amp; disease</t>
  </si>
  <si>
    <t xml:space="preserve">Low Gross Income due to low price of produce </t>
  </si>
  <si>
    <t xml:space="preserve">Cost of cultivation of Paddy </t>
  </si>
  <si>
    <t>District-Kurunagala (RF)</t>
  </si>
  <si>
    <t>Season 2022-23 m</t>
  </si>
  <si>
    <r>
      <t>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&amp;3</t>
    </r>
    <r>
      <rPr>
        <vertAlign val="superscript"/>
        <sz val="11"/>
        <rFont val="Times New Roman"/>
        <family val="1"/>
      </rPr>
      <t>rd</t>
    </r>
    <r>
      <rPr>
        <sz val="11"/>
        <rFont val="Times New Roman"/>
        <family val="1"/>
      </rPr>
      <t xml:space="preserve"> plough with 4wt</t>
    </r>
  </si>
  <si>
    <t>(do with 2wt)</t>
  </si>
  <si>
    <t>(17)</t>
  </si>
  <si>
    <t>(2882)</t>
  </si>
  <si>
    <t xml:space="preserve">Transplanting </t>
  </si>
  <si>
    <t>(6)</t>
  </si>
  <si>
    <t>(12150)</t>
  </si>
  <si>
    <t>Mannual weeding</t>
  </si>
  <si>
    <t>(19)</t>
  </si>
  <si>
    <t>(6125)</t>
  </si>
  <si>
    <t>Harvesting  &amp; processing with combined harvester</t>
  </si>
  <si>
    <t>( harvesting manually )</t>
  </si>
  <si>
    <t>(12)</t>
  </si>
  <si>
    <t>(25531)</t>
  </si>
  <si>
    <t>( Threshing &amp; winowing with 4w thresher)</t>
  </si>
  <si>
    <t>(2653)</t>
  </si>
  <si>
    <t>(3380)</t>
  </si>
  <si>
    <t>Transport produce to stores</t>
  </si>
  <si>
    <t>percentage</t>
  </si>
  <si>
    <t>Unit price</t>
  </si>
  <si>
    <t>Bg 352</t>
  </si>
  <si>
    <t>Bg 366</t>
  </si>
  <si>
    <t>Bg 360</t>
  </si>
  <si>
    <t>Bg 300</t>
  </si>
  <si>
    <t>Bg 374</t>
  </si>
  <si>
    <t>Bg 375</t>
  </si>
  <si>
    <t>Unit cost</t>
  </si>
  <si>
    <t>Mode -1</t>
  </si>
  <si>
    <t>Basal -compost</t>
  </si>
  <si>
    <t>Own</t>
  </si>
  <si>
    <t>Mean -1</t>
  </si>
  <si>
    <t xml:space="preserve">           Urea </t>
  </si>
  <si>
    <t>(18)</t>
  </si>
  <si>
    <t>(200)</t>
  </si>
  <si>
    <t>TSP (subsidy)</t>
  </si>
  <si>
    <t>Free</t>
  </si>
  <si>
    <t>TSP (other)</t>
  </si>
  <si>
    <t>(11)</t>
  </si>
  <si>
    <t>(350)</t>
  </si>
  <si>
    <t>All Top Dress. Urea</t>
  </si>
  <si>
    <t xml:space="preserve">                     MOP</t>
  </si>
  <si>
    <t xml:space="preserve">                      Liquid</t>
  </si>
  <si>
    <t>l</t>
  </si>
  <si>
    <t>Average Yield (kg)</t>
  </si>
  <si>
    <t>Gross Income (Rs)</t>
  </si>
  <si>
    <t>Profit Incl. Imputed Cost (Rs)</t>
  </si>
  <si>
    <t>Profit Excl. Imputed Cost (Rs)</t>
  </si>
  <si>
    <t xml:space="preserve"> Unit cost (excl. imputed cost (Rs/kg)</t>
  </si>
  <si>
    <t>DISTRICT:  Mahaweli H</t>
  </si>
  <si>
    <t>Season: 2022/23 maha</t>
  </si>
  <si>
    <t>1st 2nd &amp;3rd plough with 4WT</t>
  </si>
  <si>
    <t>(1st 2nd &amp; 3rd plough with 2WT)</t>
  </si>
  <si>
    <t>(20)</t>
  </si>
  <si>
    <t>(520)</t>
  </si>
  <si>
    <t>(12000)</t>
  </si>
  <si>
    <t>Plastering Bunds</t>
  </si>
  <si>
    <t>Fertilizer Application (organic)</t>
  </si>
  <si>
    <t>Fertilizer Application (inorganic)</t>
  </si>
  <si>
    <t>Weed Control With Weedicides</t>
  </si>
  <si>
    <t>Pest Control with pesticide</t>
  </si>
  <si>
    <t>Water Management</t>
  </si>
  <si>
    <t>Harvesting with Combined Harvester</t>
  </si>
  <si>
    <t>(do Manually)</t>
  </si>
  <si>
    <t>(17380)</t>
  </si>
  <si>
    <t>Threshing  with 4w thresher</t>
  </si>
  <si>
    <t>(1700)</t>
  </si>
  <si>
    <t>(6952)</t>
  </si>
  <si>
    <t>Additional Drying</t>
  </si>
  <si>
    <t>Ext % of vareity</t>
  </si>
  <si>
    <t>Hired Labour</t>
  </si>
  <si>
    <t>Family Labour</t>
  </si>
  <si>
    <t>Urea (subsidy price)</t>
  </si>
  <si>
    <t>per ha</t>
  </si>
  <si>
    <t>Unit cost (Incl.Imputed Cost) (Rs/kg)</t>
  </si>
  <si>
    <t>Unit cost (Excl. Imputed Cost (Rs/kg)</t>
  </si>
  <si>
    <t>COST OF CULTIVATION PER ACRE OF PADDY (RF )</t>
  </si>
  <si>
    <t>DISTRICT: GAMPAHA</t>
  </si>
  <si>
    <t>(2875.00)</t>
  </si>
  <si>
    <t>(20645.00)</t>
  </si>
  <si>
    <t>(1st &amp; 2nd plough manual)</t>
  </si>
  <si>
    <t>(10)</t>
  </si>
  <si>
    <t>(2075.00)</t>
  </si>
  <si>
    <t>(19333.00)</t>
  </si>
  <si>
    <t>(Other method)</t>
  </si>
  <si>
    <t>(3)</t>
  </si>
  <si>
    <t>`(10000.00)</t>
  </si>
  <si>
    <t>(Harvesting with manual)</t>
  </si>
  <si>
    <t>Other cost</t>
  </si>
  <si>
    <t>BW 367</t>
  </si>
  <si>
    <t>Kg</t>
  </si>
  <si>
    <t>BG 366</t>
  </si>
  <si>
    <t>`(3%)</t>
  </si>
  <si>
    <t>`(15.00)</t>
  </si>
  <si>
    <t>`(213.00)</t>
  </si>
  <si>
    <t>BG 375</t>
  </si>
  <si>
    <t>BW 374</t>
  </si>
  <si>
    <t>Liquid fertilizer</t>
  </si>
  <si>
    <t>L</t>
  </si>
  <si>
    <t>Per Unit Cost (Incl.Imputed Cost) (Rs/kg)</t>
  </si>
  <si>
    <t>Per Unit Cost (Excl. Imputed Cost (Rs/kg)</t>
  </si>
  <si>
    <t>(1st &amp; 2nd plough with 4WT)</t>
  </si>
  <si>
    <t>`(28)</t>
  </si>
  <si>
    <t>`(0.498)</t>
  </si>
  <si>
    <t>`(0.49)</t>
  </si>
  <si>
    <t>`(2500)</t>
  </si>
  <si>
    <t>`(18800)</t>
  </si>
  <si>
    <t>Fertilizer Application</t>
  </si>
  <si>
    <t>`(3.00)</t>
  </si>
  <si>
    <t>`(20.00)</t>
  </si>
  <si>
    <t>`(600.00)</t>
  </si>
  <si>
    <t>`(9.00)</t>
  </si>
  <si>
    <t>`(18.00)</t>
  </si>
  <si>
    <t>`(280.00)</t>
  </si>
  <si>
    <t>*</t>
  </si>
  <si>
    <t>* Low yield due to lack of fertilizer &amp; yellowing</t>
  </si>
  <si>
    <t>DISTRICT: Ampara - West</t>
  </si>
  <si>
    <t>(0.20)</t>
  </si>
  <si>
    <t>(2029.00)</t>
  </si>
  <si>
    <t>`(406)</t>
  </si>
  <si>
    <t>`(10050)</t>
  </si>
  <si>
    <t>Bg 94/1</t>
  </si>
  <si>
    <t>Bg 16/39</t>
  </si>
  <si>
    <t>]</t>
  </si>
  <si>
    <t>COST OF CULTIVATION PER ACRE OF Paddy    (RF )</t>
  </si>
  <si>
    <t>DISTRICT: - Batticaloa       2022/23 MAHA  SEASON</t>
  </si>
  <si>
    <t>1 ,2,3 Plough with 4wt</t>
  </si>
  <si>
    <t>Levelling and Broadcasting</t>
  </si>
  <si>
    <t>Weed control with weedicide</t>
  </si>
  <si>
    <t>variety</t>
  </si>
  <si>
    <t>other</t>
  </si>
  <si>
    <t>(Compost)</t>
  </si>
  <si>
    <t>Urea (subsidy)</t>
  </si>
  <si>
    <t>DISTRICT: POLONNARUWA</t>
  </si>
  <si>
    <t>SEASON: 2022/2023 Maha</t>
  </si>
  <si>
    <t xml:space="preserve">       </t>
  </si>
  <si>
    <t>1,2&amp; 3  plough with 4wt</t>
  </si>
  <si>
    <t>1,2&amp; 3  plough with 2wt</t>
  </si>
  <si>
    <t>(41)</t>
  </si>
  <si>
    <t>(1.45)</t>
  </si>
  <si>
    <t>(1.35)</t>
  </si>
  <si>
    <t>(3000)</t>
  </si>
  <si>
    <t>(4350)</t>
  </si>
  <si>
    <t>(15273)</t>
  </si>
  <si>
    <t>(12473)</t>
  </si>
  <si>
    <t>Harvesting with mannual</t>
  </si>
  <si>
    <t>(10.33)</t>
  </si>
  <si>
    <t>(2.83)</t>
  </si>
  <si>
    <t>(2300)</t>
  </si>
  <si>
    <t>(23759.00)</t>
  </si>
  <si>
    <t>Threshing &amp; winnowing with enginepowerd paddy thresher</t>
  </si>
  <si>
    <t>(1.96)</t>
  </si>
  <si>
    <t>(0.79)</t>
  </si>
  <si>
    <t>(2143)</t>
  </si>
  <si>
    <t>(4200.00)</t>
  </si>
  <si>
    <t>`(9917)</t>
  </si>
  <si>
    <t>Bg 409</t>
  </si>
  <si>
    <t>urea (Other)</t>
  </si>
  <si>
    <t>(28)</t>
  </si>
  <si>
    <t>(25)</t>
  </si>
  <si>
    <t>(284)</t>
  </si>
  <si>
    <t>Note :</t>
  </si>
  <si>
    <t>*75% of farmers were get low yeild due to lack of fertilizer</t>
  </si>
  <si>
    <t>DISTRICT: Mahaweli System B</t>
  </si>
  <si>
    <t>.(33)</t>
  </si>
  <si>
    <t>,(1225.00)</t>
  </si>
  <si>
    <t>,(16828.00)</t>
  </si>
  <si>
    <t>Plastering Bunds (Manual)</t>
  </si>
  <si>
    <t>Plastering Bunds (Contract)</t>
  </si>
  <si>
    <t>,(13)</t>
  </si>
  <si>
    <t>,(10700.00)</t>
  </si>
  <si>
    <t>Transport Produce to srors</t>
  </si>
  <si>
    <t>BG 360</t>
  </si>
  <si>
    <t>*Low Yield due to yellowing</t>
  </si>
  <si>
    <t>63.33%</t>
  </si>
  <si>
    <t>DISTRICT: KAndy</t>
  </si>
  <si>
    <t>Cost (Rs/ac)</t>
  </si>
  <si>
    <t>Labour</t>
  </si>
  <si>
    <t>Nursury Preparation</t>
  </si>
  <si>
    <t>1st &amp; 2nd plough with 2wt</t>
  </si>
  <si>
    <t>(1st &amp; 2nd plough with buffalow)</t>
  </si>
  <si>
    <t>(1st &amp; 2nd plough with 4wt)</t>
  </si>
  <si>
    <t>`(7)</t>
  </si>
  <si>
    <t>(1st, 2nd &amp; 3rd plough with manual)</t>
  </si>
  <si>
    <t>`(17)</t>
  </si>
  <si>
    <t>Levelling and transplanting</t>
  </si>
  <si>
    <t>(Broadcasting)</t>
  </si>
  <si>
    <t>`(7810.00)</t>
  </si>
  <si>
    <t>Weed Control With Mannual</t>
  </si>
  <si>
    <t>(37)</t>
  </si>
  <si>
    <t>Harvesting &amp; drawing manually</t>
  </si>
  <si>
    <t>Threshing &amp; winnowing by engine powerd paddy thresher</t>
  </si>
  <si>
    <t>(do with 4W  thresher)</t>
  </si>
  <si>
    <t xml:space="preserve">Variety % of ext </t>
  </si>
  <si>
    <t>Transplanting</t>
  </si>
  <si>
    <t>Hired</t>
  </si>
  <si>
    <t xml:space="preserve">       % Reporting</t>
  </si>
  <si>
    <t>unit</t>
  </si>
  <si>
    <t>(7)</t>
  </si>
  <si>
    <t>60</t>
  </si>
  <si>
    <t>liquid fertlizer</t>
  </si>
  <si>
    <t>Per hec</t>
  </si>
  <si>
    <t>COST OF CULTIVATION PER ACRE OF PADDY 2022/23 MAHA (RAINFED )</t>
  </si>
  <si>
    <t>DISTRICT: KALUTARA</t>
  </si>
  <si>
    <t>1st &amp; 2nd  plough with 2WT</t>
  </si>
  <si>
    <t>(1st &amp; 2nd  plough with 4WT)</t>
  </si>
  <si>
    <t>(30)</t>
  </si>
  <si>
    <t>,(Other method)</t>
  </si>
  <si>
    <t>,(18)</t>
  </si>
  <si>
    <t>(4)</t>
  </si>
  <si>
    <t>(Harvesting with Manual)</t>
  </si>
  <si>
    <t>(7.4)</t>
  </si>
  <si>
    <t>(4.7)</t>
  </si>
  <si>
    <t>(2113.00)</t>
  </si>
  <si>
    <t>(Threshing &amp; winnowing  by EPPT)</t>
  </si>
  <si>
    <t>"(1.45)</t>
  </si>
  <si>
    <t>(1.42)</t>
  </si>
  <si>
    <t>(2500.00)</t>
  </si>
  <si>
    <t>LD 368</t>
  </si>
  <si>
    <t>(14)</t>
  </si>
  <si>
    <t>BW 372</t>
  </si>
  <si>
    <t>S 24</t>
  </si>
  <si>
    <t>COST OF CULTIVATION PER ACRE OF PADDY (IRRI)</t>
  </si>
  <si>
    <t>DISTRICT: KURUNEGALA</t>
  </si>
  <si>
    <t>(All nursery preparation)</t>
  </si>
  <si>
    <t>`(20)</t>
  </si>
  <si>
    <t>`(1.95)</t>
  </si>
  <si>
    <t>`(1.58)</t>
  </si>
  <si>
    <t>`(1798)</t>
  </si>
  <si>
    <t>`(3506)</t>
  </si>
  <si>
    <t>`(27)</t>
  </si>
  <si>
    <t>`(1.25)</t>
  </si>
  <si>
    <t>`(0.93)</t>
  </si>
  <si>
    <t>`(2000)</t>
  </si>
  <si>
    <t>`(20800)</t>
  </si>
  <si>
    <t>`(5.93)</t>
  </si>
  <si>
    <t>`(4.55)</t>
  </si>
  <si>
    <t>`(2016)</t>
  </si>
  <si>
    <t>`(11955)</t>
  </si>
  <si>
    <t>(Transplanter)</t>
  </si>
  <si>
    <t>`(3)</t>
  </si>
  <si>
    <t>(Harvesting by manualy)</t>
  </si>
  <si>
    <t>`(9.33)</t>
  </si>
  <si>
    <t>`(18660.00)</t>
  </si>
  <si>
    <t>(Threshing  by Tsunami)</t>
  </si>
  <si>
    <t>`(0.17)</t>
  </si>
  <si>
    <t>`(340)</t>
  </si>
  <si>
    <t>`(5489)</t>
  </si>
  <si>
    <t>Bg 367</t>
  </si>
  <si>
    <t>`(14)</t>
  </si>
  <si>
    <t>mean</t>
  </si>
  <si>
    <t>mode</t>
  </si>
  <si>
    <t>Kg/ac</t>
  </si>
  <si>
    <t>Compost -ownproduced</t>
  </si>
  <si>
    <t>Urea(subsidy)</t>
  </si>
  <si>
    <t>Urea (other)</t>
  </si>
  <si>
    <t>Cost</t>
  </si>
  <si>
    <r>
      <t>DISTRICT: Trincomalee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  2022/23 Maha</t>
    </r>
  </si>
  <si>
    <t>Cost of cultivation per acre of Paddy (rain-fed) - Whole island</t>
  </si>
  <si>
    <t>(7012)</t>
  </si>
  <si>
    <r>
      <t>(</t>
    </r>
    <r>
      <rPr>
        <vertAlign val="superscript"/>
        <sz val="11"/>
        <rFont val="Times New Roman"/>
        <family val="1"/>
      </rPr>
      <t>1st</t>
    </r>
    <r>
      <rPr>
        <sz val="11"/>
        <rFont val="Times New Roman"/>
        <family val="1"/>
      </rPr>
      <t xml:space="preserve">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&amp; 3</t>
    </r>
    <r>
      <rPr>
        <vertAlign val="superscript"/>
        <sz val="11"/>
        <rFont val="Times New Roman"/>
        <family val="1"/>
      </rPr>
      <t>rd</t>
    </r>
    <r>
      <rPr>
        <sz val="11"/>
        <rFont val="Times New Roman"/>
        <family val="1"/>
      </rPr>
      <t xml:space="preserve"> plough with 2wt)</t>
    </r>
  </si>
  <si>
    <t>(2020)</t>
  </si>
  <si>
    <t>(18382)</t>
  </si>
  <si>
    <t>(10281)</t>
  </si>
  <si>
    <t>(1st &amp; 2nd plough with 2wt)</t>
  </si>
  <si>
    <t>(1040)</t>
  </si>
  <si>
    <t>(18721)</t>
  </si>
  <si>
    <t>(2860)</t>
  </si>
  <si>
    <t>(22087)</t>
  </si>
  <si>
    <t>(9668)</t>
  </si>
  <si>
    <t>(22711)</t>
  </si>
  <si>
    <t>(4300)</t>
  </si>
  <si>
    <t>(10190)</t>
  </si>
  <si>
    <t>Bw 367</t>
  </si>
  <si>
    <t>(Transplanting)</t>
  </si>
  <si>
    <t>(21)</t>
  </si>
  <si>
    <t>Ld 368</t>
  </si>
  <si>
    <t xml:space="preserve">Mean </t>
  </si>
  <si>
    <t xml:space="preserve">                      Urea (other)</t>
  </si>
  <si>
    <t xml:space="preserve">                      MOP</t>
  </si>
  <si>
    <t>Cost (rs)</t>
  </si>
  <si>
    <t>Low yield due to Lack of fertilizer</t>
  </si>
  <si>
    <t>Tabulated &amp; analyzed by : Madhugeethika</t>
  </si>
  <si>
    <t>Corrected 2023-6-20</t>
  </si>
  <si>
    <t xml:space="preserve"> by Chandi</t>
  </si>
  <si>
    <t>Discovery</t>
  </si>
  <si>
    <t>Other Inorganic</t>
  </si>
  <si>
    <t xml:space="preserve">     P'samba </t>
  </si>
  <si>
    <t xml:space="preserve">     Bg 409    </t>
  </si>
  <si>
    <t xml:space="preserve">     Bw 367   </t>
  </si>
  <si>
    <t xml:space="preserve">  Other         </t>
  </si>
  <si>
    <t>`(26.00)</t>
  </si>
  <si>
    <t>`(349.00)</t>
  </si>
  <si>
    <t>,(775.00)</t>
  </si>
  <si>
    <t>"(21387.00)</t>
  </si>
  <si>
    <t>,(3248.00)</t>
  </si>
  <si>
    <t>finalized 2023-7-11</t>
  </si>
  <si>
    <t>chandi</t>
  </si>
  <si>
    <t>Data tabulated by</t>
  </si>
  <si>
    <t xml:space="preserve">Data analyzed by </t>
  </si>
  <si>
    <t xml:space="preserve">Submitted Date </t>
  </si>
  <si>
    <t>K.T.I.Wijewardana</t>
  </si>
  <si>
    <t>15/06/2023</t>
  </si>
  <si>
    <t>exc</t>
  </si>
  <si>
    <t>cheked by  Palipana</t>
  </si>
  <si>
    <t>1st &amp; 2nd  plough with 4wt</t>
  </si>
  <si>
    <t>(21438)</t>
  </si>
  <si>
    <t>(Threshing &amp; winnowing by EPPT )</t>
  </si>
  <si>
    <t>(3542)</t>
  </si>
  <si>
    <t>R.A.K. Kalyani</t>
  </si>
  <si>
    <t>18/07/2023</t>
  </si>
  <si>
    <t>Table 01</t>
  </si>
  <si>
    <t>Table 02</t>
  </si>
  <si>
    <t>Table 03</t>
  </si>
  <si>
    <t xml:space="preserve">Table 04 </t>
  </si>
  <si>
    <t xml:space="preserve">Table 05 </t>
  </si>
  <si>
    <t>Table 06             Type Quantity(kg.ac) &amp;Cost of fertilizer (rs/ac)</t>
  </si>
  <si>
    <t>Table 07        Yield, Producer Price &amp; revenue</t>
  </si>
  <si>
    <t>Table 08   Unit Cost (Rs/kg) &amp; breake even Yield (Kg/ac)Yield Paddy</t>
  </si>
  <si>
    <t>Including</t>
  </si>
  <si>
    <t>Excluding</t>
  </si>
  <si>
    <t>Cash Cost of Component</t>
  </si>
  <si>
    <t>Labour Use (md/ac) &amp; Wage rates ((rs/md)</t>
  </si>
  <si>
    <t>Basal (kg/ac)</t>
  </si>
  <si>
    <t>Top dressing (kg/ac)</t>
  </si>
  <si>
    <t>Net Return</t>
  </si>
  <si>
    <t xml:space="preserve">Return </t>
  </si>
  <si>
    <t>Unit Cost</t>
  </si>
  <si>
    <t>Breake</t>
  </si>
  <si>
    <t>District</t>
  </si>
  <si>
    <t>Irrigation</t>
  </si>
  <si>
    <t>Total Cost of Cultivation</t>
  </si>
  <si>
    <t xml:space="preserve">Power </t>
  </si>
  <si>
    <t>Material</t>
  </si>
  <si>
    <t>total %</t>
  </si>
  <si>
    <t>Total %</t>
  </si>
  <si>
    <t>Power</t>
  </si>
  <si>
    <t>Total Labour</t>
  </si>
  <si>
    <t>Wage rate</t>
  </si>
  <si>
    <t>Inorganic</t>
  </si>
  <si>
    <t xml:space="preserve">Organic </t>
  </si>
  <si>
    <t xml:space="preserve">MOP </t>
  </si>
  <si>
    <t xml:space="preserve">Other (inorganic)  </t>
  </si>
  <si>
    <t>fertilizer Cost (Rs/ac)</t>
  </si>
  <si>
    <t>Fer cost as a % of Mat cost</t>
  </si>
  <si>
    <t>Yield</t>
  </si>
  <si>
    <t>Farm gate</t>
  </si>
  <si>
    <t xml:space="preserve">Gross </t>
  </si>
  <si>
    <t>Exccluding</t>
  </si>
  <si>
    <t>to</t>
  </si>
  <si>
    <t>Rs/Kg</t>
  </si>
  <si>
    <t>Even Yield</t>
  </si>
  <si>
    <t xml:space="preserve"> Wage rate (Rs./Md)</t>
  </si>
  <si>
    <t>Organic</t>
  </si>
  <si>
    <t>Kg.</t>
  </si>
  <si>
    <t>Price rs/kg</t>
  </si>
  <si>
    <t>Return Rs.</t>
  </si>
  <si>
    <t>Rs/ac</t>
  </si>
  <si>
    <t>Capital</t>
  </si>
  <si>
    <t>Ampara -East</t>
  </si>
  <si>
    <t>IR</t>
  </si>
  <si>
    <t>Ampara-West</t>
  </si>
  <si>
    <t>Anuradhapura</t>
  </si>
  <si>
    <t>Hambantota</t>
  </si>
  <si>
    <t>Kurunegala</t>
  </si>
  <si>
    <t>Polonnaruwa</t>
  </si>
  <si>
    <t>Mahaweli B</t>
  </si>
  <si>
    <t>Mahaweli  C</t>
  </si>
  <si>
    <t>Mahaweli  H</t>
  </si>
  <si>
    <t>Trincomalee</t>
  </si>
  <si>
    <t>Gampaha</t>
  </si>
  <si>
    <t>RF</t>
  </si>
  <si>
    <t>Kalutara</t>
  </si>
  <si>
    <t>Kandy</t>
  </si>
  <si>
    <t>Batticaloa</t>
  </si>
  <si>
    <t>Whole island</t>
  </si>
  <si>
    <t>Irrigated</t>
  </si>
  <si>
    <t>Rainfed</t>
  </si>
  <si>
    <t>Cost Of Cultivation of Agricultural Crops  2022/23 maha  Season (paddy)</t>
  </si>
  <si>
    <t>liquid</t>
  </si>
  <si>
    <t>Plasterin bunds</t>
  </si>
  <si>
    <t xml:space="preserve">           Urea (subsidy)</t>
  </si>
  <si>
    <t>(15)</t>
  </si>
  <si>
    <t>(634)</t>
  </si>
  <si>
    <t xml:space="preserve">TSP </t>
  </si>
  <si>
    <t>(406)</t>
  </si>
  <si>
    <t>All Top Dress. Urea (subsidy)</t>
  </si>
  <si>
    <t>finalized on 17/7/2023</t>
  </si>
  <si>
    <t>Tbu &amp; Ana -Bambaradeniya</t>
  </si>
  <si>
    <t>Checked -Jayasinghe</t>
  </si>
  <si>
    <t xml:space="preserve">    -     chandi</t>
  </si>
  <si>
    <t>`(2849.00)</t>
  </si>
  <si>
    <t>`(10250.00)</t>
  </si>
  <si>
    <t>`(3323.00)</t>
  </si>
  <si>
    <t>`(23000.00)</t>
  </si>
  <si>
    <t>`(34182.00)</t>
  </si>
  <si>
    <t>`(1329.00)</t>
  </si>
  <si>
    <t>`(4500.00)</t>
  </si>
  <si>
    <t>`(674.00)</t>
  </si>
  <si>
    <t>`(22800.00)</t>
  </si>
  <si>
    <t>(5280)</t>
  </si>
  <si>
    <t>(9946)</t>
  </si>
  <si>
    <t>Bg 359-27</t>
  </si>
  <si>
    <t>Bg 1/94-20</t>
  </si>
  <si>
    <t>Bg 360 -10</t>
  </si>
  <si>
    <t>Other-43</t>
  </si>
  <si>
    <t>`(30)</t>
  </si>
  <si>
    <t>Harvesting with combine harvester</t>
  </si>
  <si>
    <t>Yeild</t>
  </si>
  <si>
    <t>FG price</t>
  </si>
  <si>
    <t xml:space="preserve">Unit cost </t>
  </si>
  <si>
    <t>inc</t>
  </si>
  <si>
    <t>Yield (kg/ac)</t>
  </si>
  <si>
    <t>Rs/kg</t>
  </si>
  <si>
    <t xml:space="preserve">Unit cost (Rs/kg) </t>
  </si>
  <si>
    <t>Proffit  (Rs/ac)</t>
  </si>
  <si>
    <t xml:space="preserve">2022/23 maha Paddy </t>
  </si>
  <si>
    <t>Incl</t>
  </si>
  <si>
    <t>Excl</t>
  </si>
  <si>
    <t>Total Cost of Cultivation (Rs/ac)</t>
  </si>
  <si>
    <t>(336)</t>
  </si>
  <si>
    <t>(16)</t>
  </si>
  <si>
    <t>(430)</t>
  </si>
  <si>
    <t>(263)</t>
  </si>
  <si>
    <t>(500)</t>
  </si>
  <si>
    <t>(288)</t>
  </si>
  <si>
    <t>Other   -48</t>
  </si>
  <si>
    <t>Bg 352  -11</t>
  </si>
  <si>
    <t>Bg 360  -12</t>
  </si>
  <si>
    <t xml:space="preserve">At 362  -13 </t>
  </si>
  <si>
    <t>Bg 366  -22</t>
  </si>
  <si>
    <t xml:space="preserve">      Bg 352 -57  </t>
  </si>
  <si>
    <t>Genaral land preparation</t>
  </si>
  <si>
    <t>Pesticide application</t>
  </si>
  <si>
    <t>Harvesting drawing &amp; processing</t>
  </si>
  <si>
    <t>Transport produce to ptores</t>
  </si>
  <si>
    <t>other cost</t>
  </si>
  <si>
    <t xml:space="preserve">Broadcasting </t>
  </si>
  <si>
    <t>DISTRICT: Wlole island</t>
  </si>
  <si>
    <t>(1st &amp;  2nd  plough with 4WT)</t>
  </si>
  <si>
    <t>(1050)</t>
  </si>
  <si>
    <t>(19223)</t>
  </si>
  <si>
    <t>(4423)</t>
  </si>
  <si>
    <t>(19573)</t>
  </si>
  <si>
    <t>(5)</t>
  </si>
  <si>
    <t>Do manually</t>
  </si>
  <si>
    <t>(9.47)</t>
  </si>
  <si>
    <t>(2.4)</t>
  </si>
  <si>
    <t>(2348)</t>
  </si>
  <si>
    <t>(22236)</t>
  </si>
  <si>
    <t>Threshing</t>
  </si>
  <si>
    <t>,(5)</t>
  </si>
  <si>
    <t>(0.91)</t>
  </si>
  <si>
    <t>(0.35)</t>
  </si>
  <si>
    <t>(2222)</t>
  </si>
  <si>
    <t>(2022)</t>
  </si>
  <si>
    <t>(8412)</t>
  </si>
  <si>
    <t>(3943)</t>
  </si>
  <si>
    <t>Transport Produce  stors</t>
  </si>
  <si>
    <t>.0.17</t>
  </si>
  <si>
    <t xml:space="preserve">Variety </t>
  </si>
  <si>
    <t>Pokuru samba</t>
  </si>
  <si>
    <t>Bg 358</t>
  </si>
  <si>
    <t>(35)</t>
  </si>
  <si>
    <t>Season 2022-23m</t>
  </si>
  <si>
    <t>Season --2022-23m</t>
  </si>
  <si>
    <t>Season -2022-23m</t>
  </si>
  <si>
    <t>COST OF CULTIVATION PER ACRE OF PADDY (IRRigated )</t>
  </si>
  <si>
    <t>Table 2.1 Cost for land preparation and harvesting</t>
  </si>
  <si>
    <t>Land preparation</t>
  </si>
  <si>
    <t xml:space="preserve">Manual Harvesting, </t>
  </si>
  <si>
    <t>Combine Harvester</t>
  </si>
  <si>
    <t>Tractor</t>
  </si>
  <si>
    <t>% reporting</t>
  </si>
  <si>
    <t xml:space="preserve">Cost </t>
  </si>
  <si>
    <t>Threshing , Winnowing</t>
  </si>
  <si>
    <t>(Rs/ac)</t>
  </si>
  <si>
    <t xml:space="preserve">% </t>
  </si>
  <si>
    <t>reporting</t>
  </si>
  <si>
    <t xml:space="preserve"> (Rs/ac)</t>
  </si>
  <si>
    <t>4wt</t>
  </si>
  <si>
    <t>Kurunegala (irr)</t>
  </si>
  <si>
    <t>87(#)</t>
  </si>
  <si>
    <t>2022 updated</t>
  </si>
  <si>
    <t>80(#)</t>
  </si>
  <si>
    <t>83(#)</t>
  </si>
  <si>
    <t>2wt</t>
  </si>
  <si>
    <t>Kurunegala (rf)</t>
  </si>
  <si>
    <t>5 (+,****)</t>
  </si>
  <si>
    <t>Rain fed</t>
  </si>
  <si>
    <t>* Buffaloes</t>
  </si>
  <si>
    <t># 2wt</t>
  </si>
  <si>
    <t>** Combine harvester</t>
  </si>
  <si>
    <t>+ Manually</t>
  </si>
  <si>
    <t># # 4wt</t>
  </si>
  <si>
    <t>*** Reeper</t>
  </si>
  <si>
    <t>+++2w thresher</t>
  </si>
  <si>
    <t>**** 4w thresher</t>
  </si>
  <si>
    <t>Table 2.2 Cultivated Extent by Varieties (%)</t>
  </si>
  <si>
    <t>Bg 357</t>
  </si>
  <si>
    <t>Bg 403</t>
  </si>
  <si>
    <t>Bg 359</t>
  </si>
  <si>
    <t>Bw 372</t>
  </si>
  <si>
    <t>Mahaweli C</t>
  </si>
  <si>
    <t xml:space="preserve">Table 2.3.Yield,  farm-gate price,  gross return,  net return, return to a labour </t>
  </si>
  <si>
    <t xml:space="preserve">                 and return to capital</t>
  </si>
  <si>
    <t>Water regime</t>
  </si>
  <si>
    <t>Yield( kg/ac)</t>
  </si>
  <si>
    <t>Farm gate price (Rs./kg)</t>
  </si>
  <si>
    <t>Gross return (Rs/ac)</t>
  </si>
  <si>
    <t>Net return (Rs/ac)</t>
  </si>
  <si>
    <t xml:space="preserve">  Return to</t>
  </si>
  <si>
    <t>Including family labour</t>
  </si>
  <si>
    <t>Excluding family labour</t>
  </si>
  <si>
    <t>Labour (Rs.)</t>
  </si>
  <si>
    <t>Capital (Rs.)</t>
  </si>
  <si>
    <t xml:space="preserve"> Irrigated</t>
  </si>
  <si>
    <t xml:space="preserve"> Rain fed</t>
  </si>
  <si>
    <t>Table 2.4: Cost of cultivation (including cost of farmer owned input) : Paddy</t>
  </si>
  <si>
    <t>District/</t>
  </si>
  <si>
    <t>Cost (Rs./ac)</t>
  </si>
  <si>
    <t>Mahaweli system</t>
  </si>
  <si>
    <t xml:space="preserve">Irrigation            </t>
  </si>
  <si>
    <t xml:space="preserve"> Labour  </t>
  </si>
  <si>
    <t xml:space="preserve">Power      </t>
  </si>
  <si>
    <t xml:space="preserve">   Material           </t>
  </si>
  <si>
    <t xml:space="preserve"> Total</t>
  </si>
  <si>
    <t xml:space="preserve">Ampara-East </t>
  </si>
  <si>
    <t>Mahaweli H</t>
  </si>
  <si>
    <t xml:space="preserve">Whole island            </t>
  </si>
  <si>
    <t>Table 2.5: Cash cost of cultivation (excluding cost of farmer owned input ) : Paddy</t>
  </si>
  <si>
    <t xml:space="preserve">Irrigation    </t>
  </si>
  <si>
    <t xml:space="preserve">Labor         </t>
  </si>
  <si>
    <t xml:space="preserve"> Material            </t>
  </si>
  <si>
    <t xml:space="preserve">  IR            </t>
  </si>
  <si>
    <t>Table 2.6:  Cash cost as a percentage of  total cost : Paddy</t>
  </si>
  <si>
    <t>% Cost</t>
  </si>
  <si>
    <t xml:space="preserve">            Labour</t>
  </si>
  <si>
    <t xml:space="preserve">       Power</t>
  </si>
  <si>
    <t xml:space="preserve">            Material        Total</t>
  </si>
  <si>
    <t xml:space="preserve">Whole island       </t>
  </si>
  <si>
    <t>Table 2.7:  Labour use and wage rates :  Paddy</t>
  </si>
  <si>
    <t>Labour (md/ac)</t>
  </si>
  <si>
    <t xml:space="preserve"> Irrigation</t>
  </si>
  <si>
    <t>(Rs./ md)</t>
  </si>
  <si>
    <t xml:space="preserve">Ampara-West </t>
  </si>
  <si>
    <t xml:space="preserve">Anuradhapura </t>
  </si>
  <si>
    <t xml:space="preserve">Gampaha </t>
  </si>
  <si>
    <t xml:space="preserve">Kalutara </t>
  </si>
  <si>
    <t xml:space="preserve">Kandy </t>
  </si>
  <si>
    <t xml:space="preserve">Whole island          </t>
  </si>
  <si>
    <t xml:space="preserve">  IR   </t>
  </si>
  <si>
    <t>Values within parentheses denote as a percentage of the total labour</t>
  </si>
  <si>
    <t>Table 2.8:  Type, quantity  and cost of fertilizer : Paddy</t>
  </si>
  <si>
    <t xml:space="preserve">Irrigation          </t>
  </si>
  <si>
    <t xml:space="preserve">               Quantity  (kg/ac)           </t>
  </si>
  <si>
    <t xml:space="preserve">      %  of cost share </t>
  </si>
  <si>
    <t xml:space="preserve">   Basal</t>
  </si>
  <si>
    <t xml:space="preserve">Top dressing </t>
  </si>
  <si>
    <t>Cost/ac (Rs.)</t>
  </si>
  <si>
    <t>inorganic</t>
  </si>
  <si>
    <t xml:space="preserve">    Urea</t>
  </si>
  <si>
    <t xml:space="preserve">Other </t>
  </si>
  <si>
    <t>Total (organic)</t>
  </si>
  <si>
    <t>Total ( inorganic)</t>
  </si>
  <si>
    <t xml:space="preserve">IR   </t>
  </si>
  <si>
    <t>Table 2.9: Yield, Farm-gate price &amp; returns-Paddy</t>
  </si>
  <si>
    <t xml:space="preserve">Irrigation </t>
  </si>
  <si>
    <t xml:space="preserve">Yield (kg)  </t>
  </si>
  <si>
    <t xml:space="preserve">  Farm-gate   Price (Rs./kg)          </t>
  </si>
  <si>
    <t xml:space="preserve">Return (Rs./ac)         </t>
  </si>
  <si>
    <t xml:space="preserve">Return to </t>
  </si>
  <si>
    <t xml:space="preserve">          Gross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</si>
  <si>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Net     </t>
  </si>
  <si>
    <t xml:space="preserve">Labour   (Rs.)        </t>
  </si>
  <si>
    <t xml:space="preserve">Capital   (Rs.)     </t>
  </si>
  <si>
    <t>Mahaweli  B</t>
  </si>
  <si>
    <t>Table 2.10 : Unit cost  and breakeven yield:  Paddy</t>
  </si>
  <si>
    <t xml:space="preserve">   Irrigation         </t>
  </si>
  <si>
    <t xml:space="preserve">         Unit cost (Rs./kg)</t>
  </si>
  <si>
    <t xml:space="preserve">        Breakeven yield (kg/ac)</t>
  </si>
  <si>
    <t xml:space="preserve">                     2                       1</t>
  </si>
  <si>
    <t xml:space="preserve">Ampara- East  </t>
  </si>
  <si>
    <t xml:space="preserve">Ampara-West  </t>
  </si>
  <si>
    <t xml:space="preserve">Anuradhapura  </t>
  </si>
  <si>
    <t xml:space="preserve">1. Including cost of farmer owned input </t>
  </si>
  <si>
    <t>2. Excluding cost of farmer owned inputs</t>
  </si>
  <si>
    <t>Table 1.3 sub sample size distribution of irrigated and rainfed paddy among districts</t>
  </si>
  <si>
    <t>District/ region</t>
  </si>
  <si>
    <t>Extent harvested</t>
  </si>
  <si>
    <t xml:space="preserve"> Sub sample size</t>
  </si>
  <si>
    <t>Sub sample size</t>
  </si>
  <si>
    <t>for irrigated</t>
  </si>
  <si>
    <t>for rain-fed</t>
  </si>
  <si>
    <t xml:space="preserve">   for  irrigated</t>
  </si>
  <si>
    <t xml:space="preserve">for  rain-fed </t>
  </si>
  <si>
    <t>paddy during</t>
  </si>
  <si>
    <t xml:space="preserve">paddy during </t>
  </si>
  <si>
    <t xml:space="preserve">   whole island</t>
  </si>
  <si>
    <t>whole island</t>
  </si>
  <si>
    <t xml:space="preserve">2022Yala  (ha)   </t>
  </si>
  <si>
    <t xml:space="preserve"> 2022Yala  (ha)</t>
  </si>
  <si>
    <t xml:space="preserve">   sample</t>
  </si>
  <si>
    <t>sample</t>
  </si>
  <si>
    <t>Ampara-East</t>
  </si>
  <si>
    <t>Nr</t>
  </si>
  <si>
    <t xml:space="preserve"> (Ampara district)</t>
  </si>
  <si>
    <t>(53351)</t>
  </si>
  <si>
    <t>Mahawelisystems</t>
  </si>
  <si>
    <t xml:space="preserve"> System B</t>
  </si>
  <si>
    <t xml:space="preserve"> System C</t>
  </si>
  <si>
    <t xml:space="preserve"> System H</t>
  </si>
  <si>
    <t xml:space="preserve"> Kandy</t>
  </si>
  <si>
    <t>67(#)</t>
  </si>
  <si>
    <t>73(#)</t>
  </si>
  <si>
    <t>9(+,****)</t>
  </si>
  <si>
    <t>07 (+,****)</t>
  </si>
  <si>
    <t>59(#)</t>
  </si>
  <si>
    <t>12 (+,+++)</t>
  </si>
  <si>
    <t>27 (****)</t>
  </si>
  <si>
    <t>72(#)</t>
  </si>
  <si>
    <t>Matticaloa</t>
  </si>
  <si>
    <t>57(#)</t>
  </si>
  <si>
    <t>17 (+++)</t>
  </si>
  <si>
    <t>52(##)</t>
  </si>
  <si>
    <t>28(+,+++)</t>
  </si>
  <si>
    <t>46(+,*,##)</t>
  </si>
  <si>
    <t>12 (+,****)</t>
  </si>
  <si>
    <t>66(#)</t>
  </si>
  <si>
    <t>20 (+,+++)</t>
  </si>
  <si>
    <t>2022 -23updated</t>
  </si>
  <si>
    <t>P'samba</t>
  </si>
  <si>
    <t xml:space="preserve">2022/23 </t>
  </si>
  <si>
    <t>2022/23 m</t>
  </si>
  <si>
    <t>900 (01)</t>
  </si>
  <si>
    <t>23,467 (19)</t>
  </si>
  <si>
    <t>27,012 (25)</t>
  </si>
  <si>
    <t>30,524 (23)</t>
  </si>
  <si>
    <t>45,679 (26)</t>
  </si>
  <si>
    <t>44,337 (35)</t>
  </si>
  <si>
    <t>37,073 (29)</t>
  </si>
  <si>
    <t>37,323 (34)</t>
  </si>
  <si>
    <t>43,067 (31)</t>
  </si>
  <si>
    <t>39,060 (26)</t>
  </si>
  <si>
    <t>31,379 (30)</t>
  </si>
  <si>
    <t>38,264 (33)</t>
  </si>
  <si>
    <t>41,578 (34)</t>
  </si>
  <si>
    <t>69,879 (62)</t>
  </si>
  <si>
    <t>31,918 (31)</t>
  </si>
  <si>
    <t>33,878 (23)</t>
  </si>
  <si>
    <t>33,910 (30)</t>
  </si>
  <si>
    <t>37,015 (29)</t>
  </si>
  <si>
    <t>38,754 (36)</t>
  </si>
  <si>
    <t>44,637 (34)</t>
  </si>
  <si>
    <t xml:space="preserve">55,706 (32) </t>
  </si>
  <si>
    <t>46,568 (37)</t>
  </si>
  <si>
    <t>43,460 (35)</t>
  </si>
  <si>
    <t>41,283 (38)</t>
  </si>
  <si>
    <t>42,152 (31)</t>
  </si>
  <si>
    <t>48,945 (33)</t>
  </si>
  <si>
    <t xml:space="preserve">39,796 (39) </t>
  </si>
  <si>
    <t xml:space="preserve">46,329 (40) </t>
  </si>
  <si>
    <t>40,824 (34)</t>
  </si>
  <si>
    <t>22,278 (20)</t>
  </si>
  <si>
    <t>44,629 (43)</t>
  </si>
  <si>
    <t>40,761 (28)</t>
  </si>
  <si>
    <t>45,809 (40)</t>
  </si>
  <si>
    <t>62,586 (50)</t>
  </si>
  <si>
    <t>40,511 (38)</t>
  </si>
  <si>
    <t>54,867 (42 )</t>
  </si>
  <si>
    <t xml:space="preserve">66,037 (38) </t>
  </si>
  <si>
    <t xml:space="preserve">34,606 (32) </t>
  </si>
  <si>
    <t xml:space="preserve">39,872 (32) </t>
  </si>
  <si>
    <t>28,198 (26)</t>
  </si>
  <si>
    <t>47,476 (35)</t>
  </si>
  <si>
    <t>56,961 (38)</t>
  </si>
  <si>
    <t>29,462 (29)</t>
  </si>
  <si>
    <t>30,062 (26)</t>
  </si>
  <si>
    <t>37,456 (31)</t>
  </si>
  <si>
    <t>18,168 (16)</t>
  </si>
  <si>
    <t>25,915 (25)</t>
  </si>
  <si>
    <t>68,617 (47)</t>
  </si>
  <si>
    <t>33,555 (29)</t>
  </si>
  <si>
    <t>2,800 (02)</t>
  </si>
  <si>
    <t>1,350 (01)</t>
  </si>
  <si>
    <t>2,000 (01)</t>
  </si>
  <si>
    <t>6,079 (04)</t>
  </si>
  <si>
    <t>1,500 (01)</t>
  </si>
  <si>
    <t>4,800 (04)</t>
  </si>
  <si>
    <t>2,500 (02)</t>
  </si>
  <si>
    <t>4,400 (03)</t>
  </si>
  <si>
    <t>4,050 (03)</t>
  </si>
  <si>
    <t>1,600 (01)</t>
  </si>
  <si>
    <t>3,000 (03)</t>
  </si>
  <si>
    <t>1,200 (01)</t>
  </si>
  <si>
    <t>2022/23</t>
  </si>
  <si>
    <t>2022/23 ok</t>
  </si>
  <si>
    <t>17,064 (16)</t>
  </si>
  <si>
    <t>10,900 (11)</t>
  </si>
  <si>
    <t>24,183 (18)</t>
  </si>
  <si>
    <t>10,555 (12)</t>
  </si>
  <si>
    <t>9,268 (11)</t>
  </si>
  <si>
    <t>11,665 (15)</t>
  </si>
  <si>
    <t>23,683 (22)</t>
  </si>
  <si>
    <t>16,740 (14)</t>
  </si>
  <si>
    <t>13,075 (18)</t>
  </si>
  <si>
    <t>9,564 (11)</t>
  </si>
  <si>
    <t>12,230 (14)</t>
  </si>
  <si>
    <t>17,973 (34)</t>
  </si>
  <si>
    <t>4,560 (06)</t>
  </si>
  <si>
    <t>15,806 (13)</t>
  </si>
  <si>
    <t>6,783  (08)</t>
  </si>
  <si>
    <t>33,725 (30)</t>
  </si>
  <si>
    <t>41,303 (40)</t>
  </si>
  <si>
    <t>55,706 (40)</t>
  </si>
  <si>
    <t>45,740 (52)</t>
  </si>
  <si>
    <t>42,344 (48)</t>
  </si>
  <si>
    <t>39,188 (50)</t>
  </si>
  <si>
    <t>41,326 (38)</t>
  </si>
  <si>
    <t>47,395 (39)</t>
  </si>
  <si>
    <t>34,821 (48)</t>
  </si>
  <si>
    <t xml:space="preserve">46,329 (55) </t>
  </si>
  <si>
    <t>36,105 (42)</t>
  </si>
  <si>
    <t>19,154 (36)</t>
  </si>
  <si>
    <t>43,168 (61)</t>
  </si>
  <si>
    <t>37,978 (32)</t>
  </si>
  <si>
    <t>44,409 (54)</t>
  </si>
  <si>
    <t>60,201 (54)</t>
  </si>
  <si>
    <t>49,488 (49)</t>
  </si>
  <si>
    <t>58,990 (42)</t>
  </si>
  <si>
    <t>32,256 (36)</t>
  </si>
  <si>
    <t>36,144 (41)</t>
  </si>
  <si>
    <t>27,350 (35)</t>
  </si>
  <si>
    <t>43,468 (40)</t>
  </si>
  <si>
    <t>56,425 (47)</t>
  </si>
  <si>
    <t>24,140 (34)</t>
  </si>
  <si>
    <t>28,803 (34)</t>
  </si>
  <si>
    <t>37,456 (44)</t>
  </si>
  <si>
    <t>15,929 (30)</t>
  </si>
  <si>
    <t>23,443 (33)</t>
  </si>
  <si>
    <t>64,819 (55)</t>
  </si>
  <si>
    <t>31,390 (38)</t>
  </si>
  <si>
    <t>2022-23 ok</t>
  </si>
  <si>
    <t>25,669 (28)</t>
  </si>
  <si>
    <t xml:space="preserve">31,889 (35) </t>
  </si>
  <si>
    <t xml:space="preserve">29,983 (33) </t>
  </si>
  <si>
    <t>3,500 (04)</t>
  </si>
  <si>
    <t>18,664 (23)</t>
  </si>
  <si>
    <t>31,206 (39)</t>
  </si>
  <si>
    <t>29,983 (38)</t>
  </si>
  <si>
    <t>2022-23</t>
  </si>
  <si>
    <t>Land holding size (ac)</t>
  </si>
  <si>
    <t>Total cost</t>
  </si>
  <si>
    <t xml:space="preserve">Cash cost </t>
  </si>
  <si>
    <t>Cash cost as a percentage of total cost</t>
  </si>
  <si>
    <t xml:space="preserve">Kurunegala </t>
  </si>
  <si>
    <t>6,533 (08)</t>
  </si>
  <si>
    <t xml:space="preserve">38,417 (46) </t>
  </si>
  <si>
    <t>38,159 (46)</t>
  </si>
  <si>
    <t>Figure 2.1 Cost of cultivation of paddy</t>
  </si>
  <si>
    <t>System</t>
  </si>
  <si>
    <t>Ampara-East  (Irr)</t>
  </si>
  <si>
    <t>Ampara-West  (Irr)</t>
  </si>
  <si>
    <t>Anuradhapura  (Irr)</t>
  </si>
  <si>
    <t>Hambantota (Irr)</t>
  </si>
  <si>
    <t>Kurunegala (Irr)</t>
  </si>
  <si>
    <t>Polonnaruwa (Irr)</t>
  </si>
  <si>
    <t>Mahaweli  B (Irr)</t>
  </si>
  <si>
    <t>Mahaweli  C (Irr)</t>
  </si>
  <si>
    <t>Mahaweli  H (Irr)</t>
  </si>
  <si>
    <t>Trincomalee (Irr)</t>
  </si>
  <si>
    <t>Gampaha (Rf)</t>
  </si>
  <si>
    <t>Kalutara (Rf)</t>
  </si>
  <si>
    <t>Kandy (Rf)</t>
  </si>
  <si>
    <t>Kurunegala (Rf)</t>
  </si>
  <si>
    <t>Figure 2.2 Major components of the total cost of cultivation</t>
  </si>
  <si>
    <t xml:space="preserve">Labour         </t>
  </si>
  <si>
    <t>Figure 2.3 Labour usage of paddy</t>
  </si>
  <si>
    <t>Figure 2… Cost of cultivation of paddy (whole island)</t>
  </si>
  <si>
    <t>Cash cost</t>
  </si>
  <si>
    <t>Figure 2.--- Major cost shares of the total cost of cultivation(Whole island)</t>
  </si>
  <si>
    <t>Net return</t>
  </si>
  <si>
    <t>Whole island (Rf)</t>
  </si>
  <si>
    <t>Batticaloa (Rf)</t>
  </si>
  <si>
    <t>own cost</t>
  </si>
  <si>
    <t>Whole island (Irr)</t>
  </si>
  <si>
    <t>Farm gate Price</t>
  </si>
  <si>
    <t>power</t>
  </si>
  <si>
    <t xml:space="preserve"> Gross Return </t>
  </si>
  <si>
    <t xml:space="preserve"> yield gap (kg/ac)</t>
  </si>
  <si>
    <t>Break even yield (kg/ac)</t>
  </si>
  <si>
    <t>(1st plough with 4wt)</t>
  </si>
  <si>
    <t>(924)</t>
  </si>
  <si>
    <t>(18966)</t>
  </si>
  <si>
    <t>(1st plough with 2wt)</t>
  </si>
  <si>
    <t>(1827)</t>
  </si>
  <si>
    <t>(9943)</t>
  </si>
  <si>
    <t>(3616)</t>
  </si>
  <si>
    <t>Yield 21-22 maha</t>
  </si>
  <si>
    <t>Yield comparison with last maha (2021-22)</t>
  </si>
  <si>
    <t>Farmgate price &amp; unit cost of paddy</t>
  </si>
  <si>
    <t>Figure 2.2 Major components of the total cost of cultivation of whole island</t>
  </si>
  <si>
    <t>Returns  of paddy cultivation</t>
  </si>
  <si>
    <t>*Excluding returns</t>
  </si>
  <si>
    <t>Breakeven yield &amp; yield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</si>
</sst>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0_)"/>
    <numFmt numFmtId="165" formatCode="_(* #,##0_);_(* \(#,##0\);_(* &quot;-&quot;??_);_(@_)"/>
    <numFmt numFmtId="166" formatCode="0.0"/>
    <numFmt numFmtId="167" formatCode="0.00_)"/>
    <numFmt numFmtId="168" formatCode="0.000"/>
    <numFmt numFmtId="169" formatCode="[$-409]d/mmm/yyyy;@"/>
    <numFmt numFmtId="170" formatCode="_-* #,##0_-;\-* #,##0_-;_-* &quot;-&quot;??_-;_-@_-"/>
    <numFmt numFmtId="171" formatCode="#,##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C00000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1"/>
      <name val="Times New Roman"/>
      <family val="1"/>
    </font>
    <font>
      <sz val="11"/>
      <color rgb="FFC00000"/>
      <name val="Times New Roman"/>
      <family val="1"/>
    </font>
    <font>
      <sz val="11"/>
      <color rgb="FFFF0000"/>
      <name val="Times New Roman"/>
      <family val="1"/>
    </font>
    <font>
      <i/>
      <sz val="11"/>
      <name val="Times New Roman"/>
      <family val="1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omic Sans MS"/>
      <family val="4"/>
    </font>
    <font>
      <i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name val="Times New Roman"/>
      <family val="1"/>
    </font>
    <font>
      <i/>
      <sz val="11"/>
      <color rgb="FFFF000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rgb="FFC00000"/>
      <name val="Times New Roman"/>
      <family val="1"/>
    </font>
    <font>
      <sz val="12"/>
      <color indexed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14"/>
      <color rgb="FFFF0000"/>
      <name val="Times New Roman"/>
      <family val="1"/>
    </font>
    <font>
      <b/>
      <sz val="10"/>
      <name val="Arial"/>
      <family val="2"/>
    </font>
    <font>
      <sz val="11"/>
      <name val="Comic Sans MS"/>
      <family val="4"/>
    </font>
    <font>
      <sz val="11"/>
      <color rgb="FFC00000"/>
      <name val="Comic Sans MS"/>
      <family val="4"/>
    </font>
    <font>
      <sz val="11"/>
      <color theme="1"/>
      <name val="Comic Sans MS"/>
      <family val="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</cellStyleXfs>
  <cellXfs count="107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2" fillId="0" borderId="0" xfId="0" applyFont="1" applyFill="1"/>
    <xf numFmtId="164" fontId="2" fillId="0" borderId="0" xfId="0" applyNumberFormat="1" applyFont="1" applyFill="1" applyProtection="1"/>
    <xf numFmtId="2" fontId="2" fillId="0" borderId="0" xfId="0" applyNumberFormat="1" applyFont="1" applyFill="1"/>
    <xf numFmtId="2" fontId="2" fillId="0" borderId="0" xfId="0" applyNumberFormat="1" applyFont="1" applyFill="1" applyProtection="1"/>
    <xf numFmtId="165" fontId="2" fillId="0" borderId="0" xfId="1" applyNumberFormat="1" applyFont="1" applyFill="1"/>
    <xf numFmtId="165" fontId="4" fillId="0" borderId="0" xfId="1" applyNumberFormat="1" applyFont="1" applyFill="1"/>
    <xf numFmtId="0" fontId="2" fillId="0" borderId="1" xfId="0" applyFont="1" applyBorder="1"/>
    <xf numFmtId="164" fontId="2" fillId="0" borderId="1" xfId="0" applyNumberFormat="1" applyFont="1" applyBorder="1" applyProtection="1"/>
    <xf numFmtId="2" fontId="2" fillId="0" borderId="1" xfId="0" applyNumberFormat="1" applyFont="1" applyBorder="1"/>
    <xf numFmtId="165" fontId="2" fillId="0" borderId="1" xfId="1" applyNumberFormat="1" applyFont="1" applyBorder="1"/>
    <xf numFmtId="0" fontId="2" fillId="0" borderId="2" xfId="0" applyFont="1" applyBorder="1"/>
    <xf numFmtId="164" fontId="2" fillId="0" borderId="2" xfId="0" applyNumberFormat="1" applyFont="1" applyBorder="1" applyProtection="1"/>
    <xf numFmtId="2" fontId="2" fillId="0" borderId="2" xfId="0" applyNumberFormat="1" applyFont="1" applyBorder="1"/>
    <xf numFmtId="165" fontId="2" fillId="0" borderId="2" xfId="1" applyNumberFormat="1" applyFont="1" applyBorder="1"/>
    <xf numFmtId="0" fontId="3" fillId="0" borderId="0" xfId="0" applyFont="1"/>
    <xf numFmtId="0" fontId="2" fillId="0" borderId="3" xfId="0" applyFont="1" applyBorder="1"/>
    <xf numFmtId="166" fontId="5" fillId="2" borderId="4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1" fontId="4" fillId="0" borderId="0" xfId="0" applyNumberFormat="1" applyFont="1" applyFill="1" applyBorder="1"/>
    <xf numFmtId="2" fontId="2" fillId="0" borderId="0" xfId="0" applyNumberFormat="1" applyFont="1"/>
    <xf numFmtId="0" fontId="6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quotePrefix="1" applyFont="1" applyBorder="1"/>
    <xf numFmtId="2" fontId="2" fillId="0" borderId="0" xfId="0" applyNumberFormat="1" applyFont="1" applyBorder="1"/>
    <xf numFmtId="167" fontId="5" fillId="0" borderId="0" xfId="0" applyNumberFormat="1" applyFont="1" applyFill="1" applyBorder="1" applyProtection="1"/>
    <xf numFmtId="0" fontId="2" fillId="0" borderId="0" xfId="0" quotePrefix="1" applyFont="1"/>
    <xf numFmtId="2" fontId="2" fillId="0" borderId="0" xfId="0" quotePrefix="1" applyNumberFormat="1" applyFont="1"/>
    <xf numFmtId="167" fontId="5" fillId="2" borderId="0" xfId="0" applyNumberFormat="1" applyFont="1" applyFill="1" applyBorder="1" applyProtection="1"/>
    <xf numFmtId="2" fontId="4" fillId="2" borderId="0" xfId="0" applyNumberFormat="1" applyFont="1" applyFill="1" applyBorder="1"/>
    <xf numFmtId="2" fontId="2" fillId="0" borderId="0" xfId="0" quotePrefix="1" applyNumberFormat="1" applyFont="1" applyBorder="1"/>
    <xf numFmtId="0" fontId="2" fillId="2" borderId="0" xfId="0" applyFont="1" applyFill="1" applyBorder="1"/>
    <xf numFmtId="0" fontId="3" fillId="2" borderId="0" xfId="0" applyFont="1" applyFill="1"/>
    <xf numFmtId="0" fontId="2" fillId="0" borderId="0" xfId="0" applyFont="1" applyAlignment="1">
      <alignment horizontal="right"/>
    </xf>
    <xf numFmtId="165" fontId="2" fillId="0" borderId="0" xfId="1" applyNumberFormat="1" applyFont="1" applyBorder="1" applyProtection="1"/>
    <xf numFmtId="165" fontId="2" fillId="0" borderId="0" xfId="1" applyNumberFormat="1" applyFont="1" applyBorder="1"/>
    <xf numFmtId="167" fontId="2" fillId="0" borderId="0" xfId="0" applyNumberFormat="1" applyFont="1" applyBorder="1"/>
    <xf numFmtId="1" fontId="2" fillId="0" borderId="0" xfId="0" applyNumberFormat="1" applyFont="1" applyBorder="1"/>
    <xf numFmtId="167" fontId="2" fillId="0" borderId="2" xfId="0" applyNumberFormat="1" applyFont="1" applyBorder="1"/>
    <xf numFmtId="0" fontId="5" fillId="2" borderId="7" xfId="0" applyFont="1" applyFill="1" applyBorder="1"/>
    <xf numFmtId="0" fontId="2" fillId="2" borderId="0" xfId="0" applyFont="1" applyFill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2" xfId="0" applyFont="1" applyBorder="1" applyAlignment="1">
      <alignment horizontal="left"/>
    </xf>
    <xf numFmtId="0" fontId="9" fillId="0" borderId="0" xfId="0" applyFont="1"/>
    <xf numFmtId="0" fontId="7" fillId="0" borderId="0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Fill="1" applyBorder="1" applyAlignment="1">
      <alignment horizontal="right"/>
    </xf>
    <xf numFmtId="0" fontId="10" fillId="0" borderId="0" xfId="0" applyFont="1"/>
    <xf numFmtId="164" fontId="10" fillId="0" borderId="0" xfId="0" quotePrefix="1" applyNumberFormat="1" applyFont="1" applyProtection="1"/>
    <xf numFmtId="2" fontId="10" fillId="0" borderId="0" xfId="0" applyNumberFormat="1" applyFont="1" applyAlignment="1">
      <alignment horizontal="right"/>
    </xf>
    <xf numFmtId="2" fontId="10" fillId="0" borderId="0" xfId="0" applyNumberFormat="1" applyFont="1" applyAlignment="1" applyProtection="1">
      <alignment horizontal="right"/>
    </xf>
    <xf numFmtId="0" fontId="10" fillId="0" borderId="0" xfId="0" applyFont="1" applyFill="1"/>
    <xf numFmtId="2" fontId="10" fillId="0" borderId="0" xfId="0" applyNumberFormat="1" applyFont="1" applyFill="1"/>
    <xf numFmtId="2" fontId="10" fillId="0" borderId="0" xfId="0" applyNumberFormat="1" applyFont="1"/>
    <xf numFmtId="2" fontId="10" fillId="0" borderId="0" xfId="0" applyNumberFormat="1" applyFont="1" applyProtection="1"/>
    <xf numFmtId="0" fontId="12" fillId="0" borderId="0" xfId="0" applyFont="1"/>
    <xf numFmtId="2" fontId="10" fillId="0" borderId="0" xfId="0" applyNumberFormat="1" applyFont="1" applyFill="1" applyAlignment="1">
      <alignment horizontal="right"/>
    </xf>
    <xf numFmtId="2" fontId="8" fillId="0" borderId="0" xfId="0" applyNumberFormat="1" applyFont="1"/>
    <xf numFmtId="0" fontId="8" fillId="0" borderId="0" xfId="0" applyFont="1" applyFill="1"/>
    <xf numFmtId="167" fontId="10" fillId="0" borderId="0" xfId="0" quotePrefix="1" applyNumberFormat="1" applyFont="1" applyProtection="1"/>
    <xf numFmtId="167" fontId="10" fillId="0" borderId="0" xfId="0" quotePrefix="1" applyNumberFormat="1" applyFont="1" applyFill="1" applyProtection="1"/>
    <xf numFmtId="167" fontId="10" fillId="0" borderId="0" xfId="0" applyNumberFormat="1" applyFont="1"/>
    <xf numFmtId="164" fontId="12" fillId="0" borderId="0" xfId="0" applyNumberFormat="1" applyFont="1" applyProtection="1"/>
    <xf numFmtId="2" fontId="12" fillId="0" borderId="0" xfId="0" applyNumberFormat="1" applyFont="1"/>
    <xf numFmtId="2" fontId="12" fillId="0" borderId="0" xfId="0" applyNumberFormat="1" applyFont="1" applyProtection="1"/>
    <xf numFmtId="2" fontId="12" fillId="0" borderId="0" xfId="0" applyNumberFormat="1" applyFont="1" applyFill="1"/>
    <xf numFmtId="164" fontId="10" fillId="0" borderId="1" xfId="0" applyNumberFormat="1" applyFont="1" applyBorder="1" applyProtection="1"/>
    <xf numFmtId="2" fontId="10" fillId="0" borderId="1" xfId="0" applyNumberFormat="1" applyFont="1" applyBorder="1"/>
    <xf numFmtId="2" fontId="10" fillId="0" borderId="1" xfId="0" applyNumberFormat="1" applyFont="1" applyFill="1" applyBorder="1"/>
    <xf numFmtId="1" fontId="8" fillId="0" borderId="0" xfId="0" applyNumberFormat="1" applyFont="1"/>
    <xf numFmtId="164" fontId="10" fillId="0" borderId="2" xfId="0" applyNumberFormat="1" applyFont="1" applyBorder="1" applyProtection="1"/>
    <xf numFmtId="2" fontId="10" fillId="0" borderId="2" xfId="0" applyNumberFormat="1" applyFont="1" applyBorder="1"/>
    <xf numFmtId="2" fontId="8" fillId="0" borderId="2" xfId="0" applyNumberFormat="1" applyFont="1" applyFill="1" applyBorder="1"/>
    <xf numFmtId="2" fontId="10" fillId="0" borderId="2" xfId="0" applyNumberFormat="1" applyFont="1" applyFill="1" applyBorder="1"/>
    <xf numFmtId="2" fontId="10" fillId="0" borderId="4" xfId="0" applyNumberFormat="1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9" xfId="3" applyFont="1" applyFill="1" applyBorder="1"/>
    <xf numFmtId="1" fontId="8" fillId="0" borderId="5" xfId="2" applyNumberFormat="1" applyFont="1" applyBorder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10" xfId="3" applyNumberFormat="1" applyFont="1" applyFill="1" applyBorder="1" applyProtection="1"/>
    <xf numFmtId="1" fontId="8" fillId="0" borderId="11" xfId="2" applyNumberFormat="1" applyFont="1" applyBorder="1" applyAlignment="1">
      <alignment horizontal="center"/>
    </xf>
    <xf numFmtId="0" fontId="10" fillId="0" borderId="1" xfId="3" applyNumberFormat="1" applyFont="1" applyFill="1" applyBorder="1" applyProtection="1"/>
    <xf numFmtId="9" fontId="8" fillId="0" borderId="1" xfId="0" applyNumberFormat="1" applyFont="1" applyBorder="1"/>
    <xf numFmtId="0" fontId="10" fillId="0" borderId="0" xfId="3" applyNumberFormat="1" applyFont="1" applyFill="1" applyBorder="1" applyProtection="1"/>
    <xf numFmtId="0" fontId="10" fillId="0" borderId="0" xfId="0" applyFont="1" applyAlignment="1">
      <alignment horizontal="center"/>
    </xf>
    <xf numFmtId="1" fontId="10" fillId="0" borderId="0" xfId="0" applyNumberFormat="1" applyFont="1" applyFill="1"/>
    <xf numFmtId="2" fontId="10" fillId="0" borderId="0" xfId="0" applyNumberFormat="1" applyFont="1" applyAlignment="1">
      <alignment horizontal="center"/>
    </xf>
    <xf numFmtId="2" fontId="10" fillId="0" borderId="0" xfId="0" quotePrefix="1" applyNumberFormat="1" applyFont="1" applyAlignment="1">
      <alignment horizontal="right"/>
    </xf>
    <xf numFmtId="2" fontId="10" fillId="0" borderId="0" xfId="0" quotePrefix="1" applyNumberFormat="1" applyFont="1"/>
    <xf numFmtId="0" fontId="8" fillId="0" borderId="9" xfId="0" applyFont="1" applyFill="1" applyBorder="1" applyAlignment="1">
      <alignment horizontal="center"/>
    </xf>
    <xf numFmtId="2" fontId="8" fillId="0" borderId="12" xfId="0" applyNumberFormat="1" applyFont="1" applyBorder="1"/>
    <xf numFmtId="0" fontId="8" fillId="0" borderId="13" xfId="0" applyFont="1" applyFill="1" applyBorder="1" applyAlignment="1">
      <alignment horizontal="center"/>
    </xf>
    <xf numFmtId="2" fontId="8" fillId="0" borderId="14" xfId="0" applyNumberFormat="1" applyFont="1" applyBorder="1"/>
    <xf numFmtId="1" fontId="10" fillId="0" borderId="0" xfId="0" applyNumberFormat="1" applyFont="1"/>
    <xf numFmtId="0" fontId="8" fillId="0" borderId="0" xfId="0" applyFont="1" applyBorder="1"/>
    <xf numFmtId="9" fontId="8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0" xfId="0" quotePrefix="1" applyNumberFormat="1" applyFont="1" applyBorder="1" applyAlignment="1">
      <alignment horizontal="center"/>
    </xf>
    <xf numFmtId="2" fontId="10" fillId="0" borderId="0" xfId="0" applyNumberFormat="1" applyFont="1" applyFill="1" applyBorder="1"/>
    <xf numFmtId="2" fontId="10" fillId="0" borderId="0" xfId="0" applyNumberFormat="1" applyFont="1" applyBorder="1"/>
    <xf numFmtId="2" fontId="10" fillId="0" borderId="0" xfId="0" quotePrefix="1" applyNumberFormat="1" applyFont="1" applyBorder="1"/>
    <xf numFmtId="167" fontId="10" fillId="0" borderId="0" xfId="0" applyNumberFormat="1" applyFont="1" applyBorder="1" applyProtection="1"/>
    <xf numFmtId="167" fontId="10" fillId="0" borderId="0" xfId="0" applyNumberFormat="1" applyFont="1" applyBorder="1"/>
    <xf numFmtId="167" fontId="10" fillId="0" borderId="2" xfId="0" applyNumberFormat="1" applyFont="1" applyBorder="1"/>
    <xf numFmtId="0" fontId="8" fillId="3" borderId="0" xfId="0" applyFont="1" applyFill="1"/>
    <xf numFmtId="14" fontId="8" fillId="0" borderId="0" xfId="0" applyNumberFormat="1" applyFont="1"/>
    <xf numFmtId="164" fontId="10" fillId="0" borderId="0" xfId="0" quotePrefix="1" applyNumberFormat="1" applyFont="1" applyAlignment="1" applyProtection="1">
      <alignment horizontal="center"/>
    </xf>
    <xf numFmtId="165" fontId="10" fillId="0" borderId="0" xfId="1" applyNumberFormat="1" applyFont="1"/>
    <xf numFmtId="165" fontId="10" fillId="0" borderId="0" xfId="1" applyNumberFormat="1" applyFont="1" applyFill="1"/>
    <xf numFmtId="164" fontId="12" fillId="0" borderId="0" xfId="0" quotePrefix="1" applyNumberFormat="1" applyFont="1" applyProtection="1"/>
    <xf numFmtId="165" fontId="8" fillId="0" borderId="0" xfId="1" applyNumberFormat="1" applyFont="1" applyFill="1"/>
    <xf numFmtId="165" fontId="10" fillId="0" borderId="0" xfId="1" applyNumberFormat="1" applyFont="1" applyFill="1" applyAlignment="1">
      <alignment horizontal="right"/>
    </xf>
    <xf numFmtId="165" fontId="10" fillId="0" borderId="0" xfId="1" quotePrefix="1" applyNumberFormat="1" applyFont="1" applyFill="1" applyProtection="1"/>
    <xf numFmtId="164" fontId="12" fillId="0" borderId="0" xfId="0" applyNumberFormat="1" applyFont="1" applyAlignment="1" applyProtection="1">
      <alignment horizontal="center"/>
    </xf>
    <xf numFmtId="165" fontId="12" fillId="0" borderId="0" xfId="1" applyNumberFormat="1" applyFont="1" applyProtection="1"/>
    <xf numFmtId="165" fontId="12" fillId="0" borderId="0" xfId="1" applyNumberFormat="1" applyFont="1" applyFill="1"/>
    <xf numFmtId="165" fontId="10" fillId="0" borderId="1" xfId="1" applyNumberFormat="1" applyFont="1" applyBorder="1"/>
    <xf numFmtId="165" fontId="10" fillId="0" borderId="1" xfId="1" applyNumberFormat="1" applyFont="1" applyFill="1" applyBorder="1"/>
    <xf numFmtId="165" fontId="10" fillId="0" borderId="2" xfId="1" applyNumberFormat="1" applyFont="1" applyBorder="1"/>
    <xf numFmtId="165" fontId="8" fillId="0" borderId="2" xfId="1" applyNumberFormat="1" applyFont="1" applyFill="1" applyBorder="1"/>
    <xf numFmtId="165" fontId="10" fillId="0" borderId="2" xfId="1" applyNumberFormat="1" applyFont="1" applyFill="1" applyBorder="1"/>
    <xf numFmtId="2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3" applyFont="1" applyFill="1"/>
    <xf numFmtId="0" fontId="8" fillId="0" borderId="3" xfId="0" applyFont="1" applyFill="1" applyBorder="1"/>
    <xf numFmtId="0" fontId="8" fillId="0" borderId="0" xfId="0" applyFont="1" applyFill="1" applyBorder="1" applyAlignment="1">
      <alignment horizontal="right"/>
    </xf>
    <xf numFmtId="2" fontId="10" fillId="0" borderId="0" xfId="0" quotePrefix="1" applyNumberFormat="1" applyFont="1" applyFill="1" applyBorder="1"/>
    <xf numFmtId="165" fontId="10" fillId="0" borderId="0" xfId="1" applyNumberFormat="1" applyFont="1" applyBorder="1"/>
    <xf numFmtId="0" fontId="8" fillId="0" borderId="2" xfId="0" applyFont="1" applyBorder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164" fontId="2" fillId="0" borderId="0" xfId="0" quotePrefix="1" applyNumberFormat="1" applyFont="1" applyAlignment="1" applyProtection="1">
      <alignment horizontal="right"/>
    </xf>
    <xf numFmtId="2" fontId="2" fillId="0" borderId="0" xfId="0" applyNumberFormat="1" applyFont="1" applyAlignment="1">
      <alignment horizontal="right"/>
    </xf>
    <xf numFmtId="165" fontId="2" fillId="0" borderId="0" xfId="1" applyNumberFormat="1" applyFont="1" applyAlignment="1" applyProtection="1">
      <alignment horizontal="right"/>
    </xf>
    <xf numFmtId="165" fontId="2" fillId="0" borderId="0" xfId="1" applyNumberFormat="1" applyFont="1" applyAlignment="1">
      <alignment horizontal="right"/>
    </xf>
    <xf numFmtId="167" fontId="2" fillId="0" borderId="0" xfId="0" quotePrefix="1" applyNumberFormat="1" applyFont="1" applyProtection="1"/>
    <xf numFmtId="2" fontId="2" fillId="0" borderId="0" xfId="0" applyNumberFormat="1" applyFont="1" applyProtection="1"/>
    <xf numFmtId="0" fontId="17" fillId="0" borderId="0" xfId="0" applyFont="1"/>
    <xf numFmtId="165" fontId="17" fillId="0" borderId="0" xfId="1" applyNumberFormat="1" applyFont="1"/>
    <xf numFmtId="165" fontId="2" fillId="0" borderId="0" xfId="1" applyNumberFormat="1" applyFont="1"/>
    <xf numFmtId="2" fontId="4" fillId="0" borderId="0" xfId="0" applyNumberFormat="1" applyFont="1"/>
    <xf numFmtId="167" fontId="2" fillId="0" borderId="0" xfId="0" quotePrefix="1" applyNumberFormat="1" applyFont="1" applyAlignment="1" applyProtection="1">
      <alignment horizontal="right"/>
    </xf>
    <xf numFmtId="165" fontId="2" fillId="0" borderId="0" xfId="1" quotePrefix="1" applyNumberFormat="1" applyFont="1" applyAlignment="1" applyProtection="1">
      <alignment horizontal="right"/>
    </xf>
    <xf numFmtId="165" fontId="2" fillId="0" borderId="0" xfId="1" quotePrefix="1" applyNumberFormat="1" applyFont="1" applyFill="1" applyProtection="1"/>
    <xf numFmtId="167" fontId="2" fillId="0" borderId="0" xfId="0" applyNumberFormat="1" applyFont="1"/>
    <xf numFmtId="164" fontId="17" fillId="0" borderId="0" xfId="0" applyNumberFormat="1" applyFont="1" applyAlignment="1" applyProtection="1">
      <alignment horizontal="right"/>
    </xf>
    <xf numFmtId="2" fontId="17" fillId="0" borderId="0" xfId="0" applyNumberFormat="1" applyFont="1" applyAlignment="1">
      <alignment horizontal="right"/>
    </xf>
    <xf numFmtId="165" fontId="17" fillId="0" borderId="0" xfId="1" applyNumberFormat="1" applyFont="1" applyAlignment="1" applyProtection="1">
      <alignment horizontal="right"/>
    </xf>
    <xf numFmtId="165" fontId="17" fillId="0" borderId="0" xfId="1" applyNumberFormat="1" applyFont="1" applyFill="1"/>
    <xf numFmtId="2" fontId="17" fillId="0" borderId="0" xfId="0" applyNumberFormat="1" applyFont="1"/>
    <xf numFmtId="2" fontId="17" fillId="0" borderId="0" xfId="0" applyNumberFormat="1" applyFont="1" applyProtection="1"/>
    <xf numFmtId="165" fontId="2" fillId="0" borderId="1" xfId="1" applyNumberFormat="1" applyFont="1" applyFill="1" applyBorder="1"/>
    <xf numFmtId="1" fontId="4" fillId="0" borderId="0" xfId="0" applyNumberFormat="1" applyFont="1"/>
    <xf numFmtId="165" fontId="4" fillId="0" borderId="2" xfId="1" applyNumberFormat="1" applyFont="1" applyFill="1" applyBorder="1"/>
    <xf numFmtId="165" fontId="2" fillId="0" borderId="2" xfId="1" applyNumberFormat="1" applyFont="1" applyFill="1" applyBorder="1"/>
    <xf numFmtId="2" fontId="2" fillId="0" borderId="4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4" xfId="3" applyFont="1" applyFill="1" applyBorder="1"/>
    <xf numFmtId="9" fontId="4" fillId="0" borderId="8" xfId="0" applyNumberFormat="1" applyFont="1" applyBorder="1"/>
    <xf numFmtId="0" fontId="2" fillId="0" borderId="0" xfId="3" applyFont="1" applyFill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3" applyNumberFormat="1" applyFont="1" applyFill="1" applyBorder="1" applyProtection="1"/>
    <xf numFmtId="9" fontId="4" fillId="0" borderId="0" xfId="0" applyNumberFormat="1" applyFont="1" applyBorder="1"/>
    <xf numFmtId="0" fontId="2" fillId="0" borderId="0" xfId="0" applyFont="1" applyAlignment="1">
      <alignment horizontal="center"/>
    </xf>
    <xf numFmtId="2" fontId="2" fillId="0" borderId="0" xfId="0" applyNumberFormat="1" applyFont="1" applyFill="1" applyAlignment="1">
      <alignment horizontal="right"/>
    </xf>
    <xf numFmtId="2" fontId="2" fillId="0" borderId="0" xfId="0" applyNumberFormat="1" applyFont="1" applyFill="1" applyBorder="1"/>
    <xf numFmtId="0" fontId="4" fillId="0" borderId="8" xfId="0" applyFont="1" applyFill="1" applyBorder="1" applyAlignment="1">
      <alignment horizontal="center"/>
    </xf>
    <xf numFmtId="2" fontId="4" fillId="0" borderId="8" xfId="0" applyNumberFormat="1" applyFont="1" applyBorder="1"/>
    <xf numFmtId="2" fontId="2" fillId="0" borderId="0" xfId="0" quotePrefix="1" applyNumberFormat="1" applyFont="1" applyAlignment="1">
      <alignment horizontal="right"/>
    </xf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2" fontId="2" fillId="0" borderId="0" xfId="0" quotePrefix="1" applyNumberFormat="1" applyFont="1" applyBorder="1" applyAlignment="1">
      <alignment horizontal="center"/>
    </xf>
    <xf numFmtId="2" fontId="2" fillId="0" borderId="0" xfId="0" quotePrefix="1" applyNumberFormat="1" applyFont="1" applyFill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2" fontId="2" fillId="0" borderId="0" xfId="0" quotePrefix="1" applyNumberFormat="1" applyFont="1" applyFill="1" applyBorder="1" applyAlignment="1">
      <alignment horizontal="right"/>
    </xf>
    <xf numFmtId="0" fontId="2" fillId="0" borderId="0" xfId="0" quotePrefix="1" applyFont="1" applyFill="1" applyAlignment="1">
      <alignment horizontal="right"/>
    </xf>
    <xf numFmtId="2" fontId="2" fillId="0" borderId="2" xfId="0" applyNumberFormat="1" applyFont="1" applyFill="1" applyBorder="1"/>
    <xf numFmtId="165" fontId="2" fillId="0" borderId="0" xfId="1" applyNumberFormat="1" applyFont="1" applyFill="1" applyBorder="1"/>
    <xf numFmtId="167" fontId="2" fillId="0" borderId="0" xfId="0" applyNumberFormat="1" applyFont="1" applyBorder="1" applyProtection="1"/>
    <xf numFmtId="43" fontId="2" fillId="0" borderId="0" xfId="1" applyFont="1" applyBorder="1" applyProtection="1"/>
    <xf numFmtId="0" fontId="4" fillId="0" borderId="0" xfId="0" applyFont="1" applyFill="1"/>
    <xf numFmtId="14" fontId="4" fillId="0" borderId="0" xfId="0" applyNumberFormat="1" applyFont="1"/>
    <xf numFmtId="0" fontId="2" fillId="0" borderId="0" xfId="0" applyFont="1" applyFill="1" applyAlignment="1">
      <alignment horizontal="right"/>
    </xf>
    <xf numFmtId="164" fontId="2" fillId="0" borderId="0" xfId="0" quotePrefix="1" applyNumberFormat="1" applyFont="1" applyAlignment="1">
      <alignment horizontal="center"/>
    </xf>
    <xf numFmtId="4" fontId="2" fillId="0" borderId="0" xfId="0" applyNumberFormat="1" applyFont="1"/>
    <xf numFmtId="4" fontId="4" fillId="0" borderId="0" xfId="0" applyNumberFormat="1" applyFont="1"/>
    <xf numFmtId="164" fontId="2" fillId="0" borderId="0" xfId="0" quotePrefix="1" applyNumberFormat="1" applyFont="1"/>
    <xf numFmtId="165" fontId="4" fillId="0" borderId="0" xfId="1" applyNumberFormat="1" applyFont="1"/>
    <xf numFmtId="165" fontId="2" fillId="0" borderId="0" xfId="1" quotePrefix="1" applyNumberFormat="1" applyFont="1"/>
    <xf numFmtId="165" fontId="18" fillId="0" borderId="0" xfId="1" applyNumberFormat="1" applyFont="1" applyFill="1"/>
    <xf numFmtId="165" fontId="18" fillId="0" borderId="0" xfId="1" quotePrefix="1" applyNumberFormat="1" applyFont="1" applyFill="1"/>
    <xf numFmtId="165" fontId="18" fillId="0" borderId="0" xfId="1" applyNumberFormat="1" applyFont="1"/>
    <xf numFmtId="164" fontId="17" fillId="0" borderId="0" xfId="0" quotePrefix="1" applyNumberFormat="1" applyFont="1"/>
    <xf numFmtId="165" fontId="2" fillId="0" borderId="0" xfId="1" quotePrefix="1" applyNumberFormat="1" applyFont="1" applyFill="1"/>
    <xf numFmtId="2" fontId="17" fillId="0" borderId="0" xfId="0" quotePrefix="1" applyNumberFormat="1" applyFont="1"/>
    <xf numFmtId="167" fontId="2" fillId="0" borderId="0" xfId="0" quotePrefix="1" applyNumberFormat="1" applyFont="1"/>
    <xf numFmtId="164" fontId="17" fillId="0" borderId="0" xfId="0" applyNumberFormat="1" applyFont="1"/>
    <xf numFmtId="164" fontId="2" fillId="0" borderId="1" xfId="0" applyNumberFormat="1" applyFont="1" applyBorder="1"/>
    <xf numFmtId="164" fontId="2" fillId="0" borderId="2" xfId="0" applyNumberFormat="1" applyFont="1" applyBorder="1"/>
    <xf numFmtId="2" fontId="2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3" applyFont="1"/>
    <xf numFmtId="0" fontId="2" fillId="0" borderId="10" xfId="3" applyFont="1" applyBorder="1"/>
    <xf numFmtId="1" fontId="4" fillId="0" borderId="11" xfId="0" applyNumberFormat="1" applyFont="1" applyBorder="1"/>
    <xf numFmtId="1" fontId="4" fillId="0" borderId="0" xfId="0" applyNumberFormat="1" applyFont="1" applyBorder="1"/>
    <xf numFmtId="2" fontId="18" fillId="0" borderId="0" xfId="0" applyNumberFormat="1" applyFont="1" applyFill="1" applyBorder="1"/>
    <xf numFmtId="2" fontId="18" fillId="0" borderId="0" xfId="0" applyNumberFormat="1" applyFont="1"/>
    <xf numFmtId="0" fontId="4" fillId="0" borderId="2" xfId="0" applyFont="1" applyBorder="1"/>
    <xf numFmtId="0" fontId="2" fillId="0" borderId="0" xfId="3" applyFont="1" applyBorder="1"/>
    <xf numFmtId="0" fontId="4" fillId="0" borderId="1" xfId="0" applyFont="1" applyBorder="1"/>
    <xf numFmtId="0" fontId="2" fillId="0" borderId="5" xfId="3" applyFont="1" applyBorder="1"/>
    <xf numFmtId="0" fontId="4" fillId="0" borderId="6" xfId="0" applyFont="1" applyBorder="1"/>
    <xf numFmtId="1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2" fontId="2" fillId="0" borderId="0" xfId="0" quotePrefix="1" applyNumberFormat="1" applyFont="1" applyFill="1"/>
    <xf numFmtId="2" fontId="2" fillId="0" borderId="0" xfId="0" quotePrefix="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indent="5"/>
    </xf>
    <xf numFmtId="1" fontId="2" fillId="0" borderId="0" xfId="0" quotePrefix="1" applyNumberFormat="1" applyFont="1" applyAlignment="1">
      <alignment horizontal="center"/>
    </xf>
    <xf numFmtId="0" fontId="19" fillId="0" borderId="0" xfId="0" applyFont="1" applyAlignment="1">
      <alignment horizontal="center"/>
    </xf>
    <xf numFmtId="3" fontId="2" fillId="0" borderId="0" xfId="0" applyNumberFormat="1" applyFont="1"/>
    <xf numFmtId="3" fontId="2" fillId="0" borderId="0" xfId="0" applyNumberFormat="1" applyFont="1" applyAlignment="1"/>
    <xf numFmtId="165" fontId="2" fillId="0" borderId="0" xfId="1" applyNumberFormat="1" applyFont="1" applyAlignment="1"/>
    <xf numFmtId="0" fontId="4" fillId="3" borderId="0" xfId="0" applyFont="1" applyFill="1"/>
    <xf numFmtId="14" fontId="4" fillId="3" borderId="0" xfId="0" applyNumberFormat="1" applyFont="1" applyFill="1"/>
    <xf numFmtId="164" fontId="2" fillId="0" borderId="0" xfId="0" quotePrefix="1" applyNumberFormat="1" applyFont="1" applyProtection="1"/>
    <xf numFmtId="2" fontId="2" fillId="0" borderId="0" xfId="0" quotePrefix="1" applyNumberFormat="1" applyFont="1" applyProtection="1"/>
    <xf numFmtId="164" fontId="17" fillId="0" borderId="0" xfId="0" quotePrefix="1" applyNumberFormat="1" applyFont="1" applyProtection="1"/>
    <xf numFmtId="167" fontId="2" fillId="0" borderId="0" xfId="0" quotePrefix="1" applyNumberFormat="1" applyFont="1" applyFill="1" applyProtection="1"/>
    <xf numFmtId="2" fontId="17" fillId="0" borderId="0" xfId="0" applyNumberFormat="1" applyFont="1" applyFill="1"/>
    <xf numFmtId="164" fontId="17" fillId="0" borderId="0" xfId="0" applyNumberFormat="1" applyFont="1" applyProtection="1"/>
    <xf numFmtId="2" fontId="2" fillId="0" borderId="1" xfId="0" applyNumberFormat="1" applyFont="1" applyFill="1" applyBorder="1"/>
    <xf numFmtId="2" fontId="4" fillId="0" borderId="2" xfId="0" applyNumberFormat="1" applyFont="1" applyFill="1" applyBorder="1"/>
    <xf numFmtId="2" fontId="2" fillId="0" borderId="0" xfId="0" quotePrefix="1" applyNumberFormat="1" applyFont="1" applyFill="1" applyBorder="1" applyAlignment="1">
      <alignment horizontal="center"/>
    </xf>
    <xf numFmtId="164" fontId="2" fillId="0" borderId="0" xfId="0" applyNumberFormat="1" applyFont="1" applyBorder="1" applyProtection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2" xfId="0" applyFont="1" applyFill="1" applyBorder="1"/>
    <xf numFmtId="164" fontId="2" fillId="0" borderId="0" xfId="0" quotePrefix="1" applyNumberFormat="1" applyFont="1" applyFill="1" applyProtection="1"/>
    <xf numFmtId="0" fontId="17" fillId="0" borderId="0" xfId="0" applyFont="1" applyFill="1"/>
    <xf numFmtId="0" fontId="4" fillId="0" borderId="0" xfId="0" quotePrefix="1" applyFont="1" applyFill="1"/>
    <xf numFmtId="164" fontId="17" fillId="0" borderId="0" xfId="0" quotePrefix="1" applyNumberFormat="1" applyFont="1" applyFill="1" applyProtection="1"/>
    <xf numFmtId="2" fontId="17" fillId="0" borderId="0" xfId="0" applyNumberFormat="1" applyFont="1" applyFill="1" applyProtection="1"/>
    <xf numFmtId="2" fontId="17" fillId="0" borderId="0" xfId="0" quotePrefix="1" applyNumberFormat="1" applyFont="1" applyFill="1"/>
    <xf numFmtId="2" fontId="4" fillId="0" borderId="0" xfId="0" applyNumberFormat="1" applyFont="1" applyFill="1"/>
    <xf numFmtId="164" fontId="2" fillId="0" borderId="1" xfId="0" applyNumberFormat="1" applyFont="1" applyFill="1" applyBorder="1" applyProtection="1"/>
    <xf numFmtId="1" fontId="4" fillId="0" borderId="0" xfId="0" applyNumberFormat="1" applyFont="1" applyFill="1"/>
    <xf numFmtId="164" fontId="2" fillId="0" borderId="2" xfId="0" applyNumberFormat="1" applyFont="1" applyFill="1" applyBorder="1" applyProtection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Border="1"/>
    <xf numFmtId="2" fontId="4" fillId="0" borderId="8" xfId="0" applyNumberFormat="1" applyFont="1" applyFill="1" applyBorder="1"/>
    <xf numFmtId="2" fontId="2" fillId="0" borderId="0" xfId="0" quotePrefix="1" applyNumberFormat="1" applyFont="1" applyFill="1" applyBorder="1"/>
    <xf numFmtId="167" fontId="2" fillId="0" borderId="0" xfId="0" applyNumberFormat="1" applyFont="1" applyFill="1" applyBorder="1" applyProtection="1"/>
    <xf numFmtId="164" fontId="2" fillId="0" borderId="0" xfId="0" applyNumberFormat="1" applyFont="1" applyFill="1" applyBorder="1" applyProtection="1"/>
    <xf numFmtId="167" fontId="2" fillId="0" borderId="0" xfId="0" applyNumberFormat="1" applyFont="1" applyFill="1" applyBorder="1"/>
    <xf numFmtId="167" fontId="2" fillId="0" borderId="2" xfId="0" applyNumberFormat="1" applyFont="1" applyFill="1" applyBorder="1"/>
    <xf numFmtId="14" fontId="4" fillId="0" borderId="0" xfId="0" applyNumberFormat="1" applyFont="1" applyFill="1"/>
    <xf numFmtId="0" fontId="20" fillId="0" borderId="0" xfId="3" applyFont="1" applyFill="1"/>
    <xf numFmtId="0" fontId="0" fillId="0" borderId="0" xfId="0" applyFill="1"/>
    <xf numFmtId="2" fontId="0" fillId="0" borderId="0" xfId="0" applyNumberFormat="1"/>
    <xf numFmtId="0" fontId="0" fillId="0" borderId="0" xfId="0" applyBorder="1"/>
    <xf numFmtId="0" fontId="10" fillId="0" borderId="0" xfId="0" applyFont="1" applyFill="1" applyBorder="1"/>
    <xf numFmtId="1" fontId="2" fillId="0" borderId="0" xfId="0" applyNumberFormat="1" applyFont="1" applyFill="1" applyBorder="1"/>
    <xf numFmtId="1" fontId="0" fillId="0" borderId="0" xfId="0" applyNumberFormat="1" applyFill="1" applyBorder="1"/>
    <xf numFmtId="0" fontId="0" fillId="0" borderId="0" xfId="0" applyFill="1" applyBorder="1"/>
    <xf numFmtId="0" fontId="21" fillId="0" borderId="0" xfId="0" applyFont="1" applyFill="1"/>
    <xf numFmtId="0" fontId="21" fillId="0" borderId="0" xfId="0" applyFont="1" applyFill="1" applyAlignment="1">
      <alignment horizontal="left"/>
    </xf>
    <xf numFmtId="0" fontId="22" fillId="0" borderId="0" xfId="0" applyFont="1" applyFill="1"/>
    <xf numFmtId="0" fontId="21" fillId="0" borderId="2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right"/>
    </xf>
    <xf numFmtId="0" fontId="23" fillId="0" borderId="1" xfId="0" applyFont="1" applyFill="1" applyBorder="1" applyAlignment="1">
      <alignment horizontal="left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right"/>
    </xf>
    <xf numFmtId="0" fontId="23" fillId="0" borderId="2" xfId="0" applyFont="1" applyFill="1" applyBorder="1"/>
    <xf numFmtId="0" fontId="23" fillId="0" borderId="2" xfId="0" applyFont="1" applyFill="1" applyBorder="1" applyAlignment="1">
      <alignment horizontal="right"/>
    </xf>
    <xf numFmtId="0" fontId="23" fillId="0" borderId="0" xfId="0" applyFont="1" applyFill="1"/>
    <xf numFmtId="164" fontId="23" fillId="0" borderId="0" xfId="0" quotePrefix="1" applyNumberFormat="1" applyFont="1" applyFill="1" applyProtection="1"/>
    <xf numFmtId="2" fontId="23" fillId="0" borderId="0" xfId="0" applyNumberFormat="1" applyFont="1" applyFill="1"/>
    <xf numFmtId="2" fontId="23" fillId="0" borderId="0" xfId="0" applyNumberFormat="1" applyFont="1" applyFill="1" applyProtection="1"/>
    <xf numFmtId="2" fontId="22" fillId="0" borderId="0" xfId="0" applyNumberFormat="1" applyFont="1" applyFill="1"/>
    <xf numFmtId="164" fontId="24" fillId="0" borderId="0" xfId="0" quotePrefix="1" applyNumberFormat="1" applyFont="1" applyFill="1" applyProtection="1"/>
    <xf numFmtId="2" fontId="24" fillId="0" borderId="0" xfId="0" applyNumberFormat="1" applyFont="1" applyFill="1"/>
    <xf numFmtId="2" fontId="24" fillId="0" borderId="0" xfId="0" applyNumberFormat="1" applyFont="1" applyFill="1" applyProtection="1"/>
    <xf numFmtId="0" fontId="24" fillId="0" borderId="0" xfId="0" applyFont="1" applyFill="1"/>
    <xf numFmtId="2" fontId="23" fillId="0" borderId="0" xfId="0" quotePrefix="1" applyNumberFormat="1" applyFont="1" applyFill="1"/>
    <xf numFmtId="2" fontId="23" fillId="0" borderId="0" xfId="0" quotePrefix="1" applyNumberFormat="1" applyFont="1" applyFill="1" applyProtection="1"/>
    <xf numFmtId="1" fontId="23" fillId="0" borderId="0" xfId="0" quotePrefix="1" applyNumberFormat="1" applyFont="1" applyFill="1"/>
    <xf numFmtId="167" fontId="23" fillId="0" borderId="0" xfId="0" quotePrefix="1" applyNumberFormat="1" applyFont="1" applyFill="1" applyProtection="1"/>
    <xf numFmtId="167" fontId="23" fillId="0" borderId="0" xfId="0" applyNumberFormat="1" applyFont="1" applyFill="1"/>
    <xf numFmtId="167" fontId="24" fillId="0" borderId="0" xfId="0" quotePrefix="1" applyNumberFormat="1" applyFont="1" applyFill="1" applyProtection="1"/>
    <xf numFmtId="167" fontId="24" fillId="0" borderId="0" xfId="0" applyNumberFormat="1" applyFont="1" applyFill="1"/>
    <xf numFmtId="164" fontId="23" fillId="0" borderId="0" xfId="0" applyNumberFormat="1" applyFont="1" applyFill="1" applyProtection="1"/>
    <xf numFmtId="164" fontId="24" fillId="0" borderId="0" xfId="0" applyNumberFormat="1" applyFont="1" applyFill="1" applyProtection="1"/>
    <xf numFmtId="164" fontId="23" fillId="0" borderId="1" xfId="0" applyNumberFormat="1" applyFont="1" applyFill="1" applyBorder="1" applyProtection="1"/>
    <xf numFmtId="2" fontId="23" fillId="0" borderId="1" xfId="0" applyNumberFormat="1" applyFont="1" applyFill="1" applyBorder="1"/>
    <xf numFmtId="1" fontId="22" fillId="0" borderId="0" xfId="0" applyNumberFormat="1" applyFont="1" applyFill="1"/>
    <xf numFmtId="0" fontId="23" fillId="0" borderId="15" xfId="0" applyFont="1" applyFill="1" applyBorder="1"/>
    <xf numFmtId="164" fontId="23" fillId="0" borderId="15" xfId="0" applyNumberFormat="1" applyFont="1" applyFill="1" applyBorder="1" applyProtection="1"/>
    <xf numFmtId="2" fontId="23" fillId="0" borderId="15" xfId="0" applyNumberFormat="1" applyFont="1" applyFill="1" applyBorder="1"/>
    <xf numFmtId="2" fontId="23" fillId="0" borderId="16" xfId="0" applyNumberFormat="1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18" xfId="0" applyFont="1" applyFill="1" applyBorder="1"/>
    <xf numFmtId="1" fontId="23" fillId="0" borderId="19" xfId="0" applyNumberFormat="1" applyFont="1" applyFill="1" applyBorder="1" applyProtection="1"/>
    <xf numFmtId="0" fontId="23" fillId="0" borderId="0" xfId="3" applyFont="1" applyFill="1"/>
    <xf numFmtId="0" fontId="23" fillId="0" borderId="3" xfId="0" applyFont="1" applyFill="1" applyBorder="1"/>
    <xf numFmtId="0" fontId="23" fillId="0" borderId="3" xfId="0" applyFont="1" applyFill="1" applyBorder="1" applyAlignment="1">
      <alignment horizontal="center"/>
    </xf>
    <xf numFmtId="1" fontId="23" fillId="0" borderId="19" xfId="0" applyNumberFormat="1" applyFont="1" applyFill="1" applyBorder="1"/>
    <xf numFmtId="0" fontId="23" fillId="0" borderId="0" xfId="3" applyNumberFormat="1" applyFont="1" applyFill="1" applyBorder="1" applyProtection="1"/>
    <xf numFmtId="0" fontId="23" fillId="0" borderId="0" xfId="0" applyFont="1" applyFill="1" applyAlignment="1">
      <alignment horizontal="center"/>
    </xf>
    <xf numFmtId="2" fontId="23" fillId="0" borderId="0" xfId="0" applyNumberFormat="1" applyFont="1" applyFill="1" applyAlignment="1">
      <alignment horizontal="right"/>
    </xf>
    <xf numFmtId="0" fontId="23" fillId="0" borderId="20" xfId="0" applyFont="1" applyFill="1" applyBorder="1"/>
    <xf numFmtId="166" fontId="23" fillId="0" borderId="21" xfId="0" applyNumberFormat="1" applyFont="1" applyFill="1" applyBorder="1" applyProtection="1"/>
    <xf numFmtId="2" fontId="23" fillId="0" borderId="0" xfId="0" quotePrefix="1" applyNumberFormat="1" applyFont="1" applyFill="1" applyAlignment="1">
      <alignment horizontal="right"/>
    </xf>
    <xf numFmtId="9" fontId="23" fillId="0" borderId="0" xfId="0" applyNumberFormat="1" applyFont="1" applyFill="1" applyBorder="1"/>
    <xf numFmtId="0" fontId="23" fillId="0" borderId="16" xfId="0" applyFont="1" applyFill="1" applyBorder="1" applyAlignment="1">
      <alignment horizontal="center"/>
    </xf>
    <xf numFmtId="2" fontId="23" fillId="0" borderId="17" xfId="0" applyNumberFormat="1" applyFont="1" applyFill="1" applyBorder="1"/>
    <xf numFmtId="0" fontId="23" fillId="0" borderId="20" xfId="0" applyFont="1" applyFill="1" applyBorder="1" applyAlignment="1">
      <alignment horizontal="center"/>
    </xf>
    <xf numFmtId="2" fontId="23" fillId="0" borderId="21" xfId="0" applyNumberFormat="1" applyFont="1" applyFill="1" applyBorder="1"/>
    <xf numFmtId="1" fontId="23" fillId="0" borderId="0" xfId="0" applyNumberFormat="1" applyFont="1" applyFill="1"/>
    <xf numFmtId="1" fontId="23" fillId="0" borderId="0" xfId="0" applyNumberFormat="1" applyFont="1" applyFill="1" applyBorder="1" applyAlignment="1">
      <alignment horizontal="center"/>
    </xf>
    <xf numFmtId="1" fontId="23" fillId="0" borderId="0" xfId="0" quotePrefix="1" applyNumberFormat="1" applyFont="1" applyFill="1" applyBorder="1"/>
    <xf numFmtId="2" fontId="23" fillId="0" borderId="0" xfId="0" applyNumberFormat="1" applyFont="1" applyFill="1" applyBorder="1"/>
    <xf numFmtId="2" fontId="23" fillId="0" borderId="2" xfId="0" applyNumberFormat="1" applyFont="1" applyFill="1" applyBorder="1"/>
    <xf numFmtId="0" fontId="23" fillId="0" borderId="1" xfId="0" applyFont="1" applyFill="1" applyBorder="1" applyAlignment="1"/>
    <xf numFmtId="167" fontId="23" fillId="0" borderId="0" xfId="0" applyNumberFormat="1" applyFont="1" applyFill="1" applyBorder="1" applyProtection="1"/>
    <xf numFmtId="167" fontId="23" fillId="0" borderId="0" xfId="0" applyNumberFormat="1" applyFont="1" applyFill="1" applyBorder="1"/>
    <xf numFmtId="167" fontId="23" fillId="0" borderId="2" xfId="0" applyNumberFormat="1" applyFont="1" applyFill="1" applyBorder="1"/>
    <xf numFmtId="49" fontId="23" fillId="0" borderId="0" xfId="0" applyNumberFormat="1" applyFont="1" applyFill="1" applyBorder="1" applyAlignment="1">
      <alignment horizontal="left" vertical="top"/>
    </xf>
    <xf numFmtId="14" fontId="23" fillId="0" borderId="0" xfId="0" applyNumberFormat="1" applyFont="1" applyFill="1"/>
    <xf numFmtId="2" fontId="10" fillId="0" borderId="0" xfId="0" quotePrefix="1" applyNumberFormat="1" applyFont="1" applyFill="1" applyAlignment="1">
      <alignment horizontal="right"/>
    </xf>
    <xf numFmtId="0" fontId="4" fillId="0" borderId="8" xfId="0" applyFont="1" applyFill="1" applyBorder="1"/>
    <xf numFmtId="49" fontId="4" fillId="0" borderId="0" xfId="0" applyNumberFormat="1" applyFont="1" applyFill="1" applyBorder="1"/>
    <xf numFmtId="14" fontId="8" fillId="0" borderId="0" xfId="0" applyNumberFormat="1" applyFont="1" applyFill="1"/>
    <xf numFmtId="0" fontId="4" fillId="0" borderId="0" xfId="0" applyFont="1" applyFill="1" applyAlignment="1">
      <alignment vertical="center"/>
    </xf>
    <xf numFmtId="167" fontId="2" fillId="0" borderId="0" xfId="0" applyNumberFormat="1" applyFont="1" applyFill="1"/>
    <xf numFmtId="2" fontId="3" fillId="0" borderId="4" xfId="0" applyNumberFormat="1" applyFont="1" applyFill="1" applyBorder="1" applyAlignment="1">
      <alignment horizontal="center"/>
    </xf>
    <xf numFmtId="0" fontId="2" fillId="0" borderId="8" xfId="3" applyFont="1" applyFill="1" applyBorder="1"/>
    <xf numFmtId="1" fontId="2" fillId="0" borderId="0" xfId="0" applyNumberFormat="1" applyFont="1" applyFill="1"/>
    <xf numFmtId="2" fontId="2" fillId="0" borderId="0" xfId="0" quotePrefix="1" applyNumberFormat="1" applyFont="1" applyFill="1" applyProtection="1"/>
    <xf numFmtId="0" fontId="0" fillId="0" borderId="8" xfId="0" applyBorder="1"/>
    <xf numFmtId="2" fontId="2" fillId="0" borderId="0" xfId="0" applyNumberFormat="1" applyFont="1" applyFill="1" applyAlignment="1">
      <alignment horizontal="right"/>
    </xf>
    <xf numFmtId="165" fontId="2" fillId="0" borderId="0" xfId="1" applyNumberFormat="1" applyFont="1" applyFill="1" applyBorder="1" applyProtection="1"/>
    <xf numFmtId="1" fontId="2" fillId="0" borderId="0" xfId="0" applyNumberFormat="1" applyFont="1" applyProtection="1"/>
    <xf numFmtId="1" fontId="2" fillId="0" borderId="0" xfId="0" applyNumberFormat="1" applyFont="1"/>
    <xf numFmtId="2" fontId="4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17" fillId="0" borderId="0" xfId="0" applyNumberFormat="1" applyFont="1"/>
    <xf numFmtId="3" fontId="4" fillId="0" borderId="0" xfId="0" applyNumberFormat="1" applyFont="1" applyAlignment="1">
      <alignment horizontal="right" vertical="center"/>
    </xf>
    <xf numFmtId="1" fontId="2" fillId="0" borderId="0" xfId="0" quotePrefix="1" applyNumberFormat="1" applyFont="1" applyProtection="1"/>
    <xf numFmtId="1" fontId="2" fillId="0" borderId="0" xfId="0" quotePrefix="1" applyNumberFormat="1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2" fillId="0" borderId="1" xfId="0" applyNumberFormat="1" applyFont="1" applyBorder="1"/>
    <xf numFmtId="1" fontId="2" fillId="0" borderId="2" xfId="0" applyNumberFormat="1" applyFont="1" applyBorder="1"/>
    <xf numFmtId="1" fontId="4" fillId="0" borderId="2" xfId="0" applyNumberFormat="1" applyFont="1" applyBorder="1"/>
    <xf numFmtId="0" fontId="4" fillId="0" borderId="8" xfId="0" applyFont="1" applyBorder="1"/>
    <xf numFmtId="0" fontId="27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right"/>
    </xf>
    <xf numFmtId="1" fontId="4" fillId="0" borderId="8" xfId="0" applyNumberFormat="1" applyFont="1" applyBorder="1"/>
    <xf numFmtId="0" fontId="2" fillId="0" borderId="8" xfId="3" applyFont="1" applyBorder="1"/>
    <xf numFmtId="2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0" borderId="0" xfId="1" applyNumberFormat="1" applyFont="1"/>
    <xf numFmtId="2" fontId="2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3" fontId="10" fillId="0" borderId="0" xfId="1" applyFont="1" applyBorder="1"/>
    <xf numFmtId="0" fontId="0" fillId="0" borderId="0" xfId="0" applyFont="1"/>
    <xf numFmtId="0" fontId="4" fillId="0" borderId="8" xfId="0" applyFont="1" applyBorder="1" applyAlignment="1">
      <alignment horizontal="left"/>
    </xf>
    <xf numFmtId="0" fontId="2" fillId="0" borderId="8" xfId="3" applyFont="1" applyFill="1" applyBorder="1" applyAlignment="1">
      <alignment horizontal="left"/>
    </xf>
    <xf numFmtId="0" fontId="23" fillId="0" borderId="0" xfId="0" applyFont="1"/>
    <xf numFmtId="0" fontId="13" fillId="0" borderId="0" xfId="3" applyFont="1" applyFill="1"/>
    <xf numFmtId="0" fontId="2" fillId="4" borderId="1" xfId="0" applyFont="1" applyFill="1" applyBorder="1" applyAlignment="1">
      <alignment horizontal="right"/>
    </xf>
    <xf numFmtId="0" fontId="2" fillId="4" borderId="0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2" fontId="2" fillId="0" borderId="0" xfId="0" applyNumberFormat="1" applyFont="1" applyFill="1" applyAlignment="1">
      <alignment horizontal="right"/>
    </xf>
    <xf numFmtId="0" fontId="25" fillId="0" borderId="0" xfId="0" applyFont="1"/>
    <xf numFmtId="2" fontId="10" fillId="0" borderId="0" xfId="0" quotePrefix="1" applyNumberFormat="1" applyFont="1" applyProtection="1"/>
    <xf numFmtId="166" fontId="10" fillId="0" borderId="0" xfId="0" quotePrefix="1" applyNumberFormat="1" applyFont="1" applyFill="1" applyAlignment="1">
      <alignment horizontal="right"/>
    </xf>
    <xf numFmtId="164" fontId="10" fillId="0" borderId="0" xfId="0" applyNumberFormat="1" applyFont="1" applyBorder="1" applyProtection="1"/>
    <xf numFmtId="165" fontId="10" fillId="0" borderId="0" xfId="1" applyNumberFormat="1" applyFont="1" applyAlignment="1" applyProtection="1">
      <alignment horizontal="right"/>
    </xf>
    <xf numFmtId="165" fontId="10" fillId="0" borderId="0" xfId="1" applyNumberFormat="1" applyFont="1" applyAlignment="1">
      <alignment horizontal="right"/>
    </xf>
    <xf numFmtId="49" fontId="10" fillId="0" borderId="0" xfId="0" quotePrefix="1" applyNumberFormat="1" applyFont="1" applyAlignment="1" applyProtection="1">
      <alignment horizontal="right"/>
    </xf>
    <xf numFmtId="49" fontId="10" fillId="0" borderId="0" xfId="0" applyNumberFormat="1" applyFont="1" applyAlignment="1">
      <alignment horizontal="right"/>
    </xf>
    <xf numFmtId="2" fontId="10" fillId="0" borderId="9" xfId="0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5" xfId="3" applyFont="1" applyFill="1" applyBorder="1"/>
    <xf numFmtId="9" fontId="8" fillId="0" borderId="12" xfId="0" applyNumberFormat="1" applyFont="1" applyBorder="1"/>
    <xf numFmtId="0" fontId="10" fillId="0" borderId="11" xfId="3" applyNumberFormat="1" applyFont="1" applyFill="1" applyBorder="1" applyProtection="1"/>
    <xf numFmtId="9" fontId="8" fillId="0" borderId="7" xfId="0" applyNumberFormat="1" applyFont="1" applyBorder="1"/>
    <xf numFmtId="0" fontId="10" fillId="0" borderId="6" xfId="3" applyNumberFormat="1" applyFont="1" applyFill="1" applyBorder="1" applyProtection="1"/>
    <xf numFmtId="9" fontId="8" fillId="0" borderId="14" xfId="0" applyNumberFormat="1" applyFont="1" applyBorder="1"/>
    <xf numFmtId="0" fontId="8" fillId="0" borderId="0" xfId="0" applyFont="1" applyFill="1" applyBorder="1" applyAlignment="1">
      <alignment horizontal="center"/>
    </xf>
    <xf numFmtId="2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165" fontId="2" fillId="0" borderId="0" xfId="1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right"/>
    </xf>
    <xf numFmtId="165" fontId="2" fillId="0" borderId="0" xfId="1" applyNumberFormat="1" applyFont="1" applyFill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2" fillId="0" borderId="0" xfId="1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Fill="1" applyAlignment="1">
      <alignment horizontal="right"/>
    </xf>
    <xf numFmtId="0" fontId="28" fillId="0" borderId="0" xfId="0" applyFont="1" applyFill="1"/>
    <xf numFmtId="0" fontId="3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1" fontId="2" fillId="0" borderId="0" xfId="0" applyNumberFormat="1" applyFont="1" applyFill="1" applyAlignment="1" applyProtection="1">
      <alignment horizontal="righ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2" fontId="2" fillId="0" borderId="0" xfId="0" applyNumberFormat="1" applyFont="1" applyFill="1" applyAlignment="1" applyProtection="1">
      <alignment horizontal="right"/>
    </xf>
    <xf numFmtId="2" fontId="2" fillId="0" borderId="0" xfId="0" quotePrefix="1" applyNumberFormat="1" applyFont="1" applyFill="1" applyAlignment="1" applyProtection="1">
      <alignment horizontal="right"/>
    </xf>
    <xf numFmtId="0" fontId="2" fillId="0" borderId="0" xfId="0" applyFont="1" applyFill="1" applyAlignment="1">
      <alignment horizontal="left" wrapText="1"/>
    </xf>
    <xf numFmtId="167" fontId="2" fillId="0" borderId="0" xfId="0" quotePrefix="1" applyNumberFormat="1" applyFont="1" applyFill="1" applyAlignment="1" applyProtection="1">
      <alignment horizontal="right"/>
    </xf>
    <xf numFmtId="164" fontId="17" fillId="0" borderId="0" xfId="0" applyNumberFormat="1" applyFont="1" applyFill="1" applyProtection="1"/>
    <xf numFmtId="2" fontId="17" fillId="0" borderId="0" xfId="0" applyNumberFormat="1" applyFont="1" applyFill="1" applyAlignment="1">
      <alignment horizontal="right"/>
    </xf>
    <xf numFmtId="2" fontId="17" fillId="0" borderId="0" xfId="0" applyNumberFormat="1" applyFont="1" applyFill="1" applyAlignment="1" applyProtection="1">
      <alignment horizontal="right"/>
    </xf>
    <xf numFmtId="0" fontId="2" fillId="0" borderId="0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9" fontId="4" fillId="0" borderId="0" xfId="0" applyNumberFormat="1" applyFont="1" applyFill="1" applyBorder="1"/>
    <xf numFmtId="1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49" fontId="4" fillId="0" borderId="0" xfId="0" applyNumberFormat="1" applyFont="1" applyFill="1" applyAlignment="1">
      <alignment horizontal="right"/>
    </xf>
    <xf numFmtId="49" fontId="2" fillId="0" borderId="0" xfId="0" quotePrefix="1" applyNumberFormat="1" applyFont="1" applyFill="1" applyBorder="1" applyAlignment="1">
      <alignment horizontal="right"/>
    </xf>
    <xf numFmtId="0" fontId="19" fillId="0" borderId="0" xfId="0" applyFont="1" applyFill="1" applyAlignment="1">
      <alignment horizontal="center"/>
    </xf>
    <xf numFmtId="2" fontId="2" fillId="0" borderId="2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/>
    <xf numFmtId="0" fontId="27" fillId="0" borderId="0" xfId="0" applyFont="1" applyFill="1"/>
    <xf numFmtId="0" fontId="27" fillId="0" borderId="0" xfId="0" applyFont="1" applyFill="1" applyAlignment="1">
      <alignment horizontal="left"/>
    </xf>
    <xf numFmtId="0" fontId="27" fillId="0" borderId="0" xfId="0" applyFont="1" applyFill="1" applyBorder="1" applyAlignment="1">
      <alignment horizontal="left"/>
    </xf>
    <xf numFmtId="0" fontId="30" fillId="0" borderId="1" xfId="0" applyFont="1" applyFill="1" applyBorder="1"/>
    <xf numFmtId="0" fontId="30" fillId="0" borderId="1" xfId="0" applyFont="1" applyFill="1" applyBorder="1" applyAlignment="1">
      <alignment horizontal="right"/>
    </xf>
    <xf numFmtId="0" fontId="30" fillId="0" borderId="1" xfId="0" applyFont="1" applyFill="1" applyBorder="1" applyAlignment="1">
      <alignment horizontal="left"/>
    </xf>
    <xf numFmtId="0" fontId="30" fillId="0" borderId="0" xfId="0" applyFont="1" applyFill="1" applyBorder="1"/>
    <xf numFmtId="0" fontId="30" fillId="0" borderId="0" xfId="0" applyFont="1" applyFill="1" applyBorder="1" applyAlignment="1">
      <alignment horizontal="right"/>
    </xf>
    <xf numFmtId="0" fontId="30" fillId="0" borderId="2" xfId="0" applyFont="1" applyFill="1" applyBorder="1"/>
    <xf numFmtId="0" fontId="30" fillId="0" borderId="2" xfId="0" applyFont="1" applyFill="1" applyBorder="1" applyAlignment="1">
      <alignment horizontal="right"/>
    </xf>
    <xf numFmtId="0" fontId="30" fillId="0" borderId="0" xfId="0" applyFont="1" applyFill="1"/>
    <xf numFmtId="164" fontId="30" fillId="0" borderId="0" xfId="0" quotePrefix="1" applyNumberFormat="1" applyFont="1" applyFill="1" applyAlignment="1" applyProtection="1">
      <alignment horizontal="center" vertical="center"/>
    </xf>
    <xf numFmtId="2" fontId="30" fillId="0" borderId="0" xfId="0" applyNumberFormat="1" applyFont="1" applyFill="1" applyAlignment="1">
      <alignment horizontal="right" vertical="center"/>
    </xf>
    <xf numFmtId="165" fontId="30" fillId="0" borderId="0" xfId="1" applyNumberFormat="1" applyFont="1" applyFill="1" applyAlignment="1" applyProtection="1">
      <alignment horizontal="right" vertical="center"/>
    </xf>
    <xf numFmtId="43" fontId="30" fillId="0" borderId="0" xfId="1" applyNumberFormat="1" applyFont="1" applyFill="1" applyAlignment="1">
      <alignment horizontal="right" vertical="center"/>
    </xf>
    <xf numFmtId="165" fontId="30" fillId="0" borderId="0" xfId="1" applyNumberFormat="1" applyFont="1" applyFill="1"/>
    <xf numFmtId="0" fontId="31" fillId="0" borderId="0" xfId="0" applyFont="1" applyFill="1"/>
    <xf numFmtId="2" fontId="30" fillId="0" borderId="0" xfId="0" quotePrefix="1" applyNumberFormat="1" applyFont="1" applyFill="1" applyAlignment="1">
      <alignment horizontal="right" vertical="center"/>
    </xf>
    <xf numFmtId="165" fontId="30" fillId="0" borderId="0" xfId="1" quotePrefix="1" applyNumberFormat="1" applyFont="1" applyFill="1" applyAlignment="1" applyProtection="1">
      <alignment horizontal="right" vertical="center"/>
    </xf>
    <xf numFmtId="165" fontId="30" fillId="0" borderId="0" xfId="1" applyNumberFormat="1" applyFont="1" applyFill="1" applyAlignment="1">
      <alignment horizontal="right" vertical="center"/>
    </xf>
    <xf numFmtId="165" fontId="30" fillId="0" borderId="0" xfId="1" quotePrefix="1" applyNumberFormat="1" applyFont="1" applyFill="1" applyAlignment="1">
      <alignment horizontal="right"/>
    </xf>
    <xf numFmtId="2" fontId="30" fillId="0" borderId="0" xfId="0" quotePrefix="1" applyNumberFormat="1" applyFont="1" applyFill="1"/>
    <xf numFmtId="165" fontId="30" fillId="0" borderId="0" xfId="1" quotePrefix="1" applyNumberFormat="1" applyFont="1" applyFill="1" applyAlignment="1">
      <alignment horizontal="right" vertical="center"/>
    </xf>
    <xf numFmtId="165" fontId="30" fillId="0" borderId="0" xfId="1" quotePrefix="1" applyNumberFormat="1" applyFont="1" applyFill="1"/>
    <xf numFmtId="2" fontId="30" fillId="0" borderId="0" xfId="0" applyNumberFormat="1" applyFont="1" applyFill="1"/>
    <xf numFmtId="2" fontId="31" fillId="0" borderId="0" xfId="0" applyNumberFormat="1" applyFont="1" applyFill="1"/>
    <xf numFmtId="165" fontId="23" fillId="0" borderId="0" xfId="1" applyNumberFormat="1" applyFont="1" applyFill="1"/>
    <xf numFmtId="164" fontId="30" fillId="0" borderId="1" xfId="0" applyNumberFormat="1" applyFont="1" applyFill="1" applyBorder="1" applyProtection="1"/>
    <xf numFmtId="2" fontId="30" fillId="0" borderId="1" xfId="0" applyNumberFormat="1" applyFont="1" applyFill="1" applyBorder="1"/>
    <xf numFmtId="165" fontId="30" fillId="0" borderId="1" xfId="1" applyNumberFormat="1" applyFont="1" applyFill="1" applyBorder="1"/>
    <xf numFmtId="164" fontId="30" fillId="0" borderId="2" xfId="0" applyNumberFormat="1" applyFont="1" applyFill="1" applyBorder="1" applyProtection="1"/>
    <xf numFmtId="2" fontId="30" fillId="0" borderId="2" xfId="0" applyNumberFormat="1" applyFont="1" applyFill="1" applyBorder="1"/>
    <xf numFmtId="165" fontId="30" fillId="0" borderId="2" xfId="1" applyNumberFormat="1" applyFont="1" applyFill="1" applyBorder="1"/>
    <xf numFmtId="165" fontId="23" fillId="0" borderId="2" xfId="1" applyNumberFormat="1" applyFont="1" applyFill="1" applyBorder="1"/>
    <xf numFmtId="0" fontId="30" fillId="0" borderId="0" xfId="3" applyFont="1" applyFill="1"/>
    <xf numFmtId="0" fontId="30" fillId="0" borderId="3" xfId="0" applyFont="1" applyFill="1" applyBorder="1"/>
    <xf numFmtId="0" fontId="30" fillId="0" borderId="3" xfId="0" applyFont="1" applyFill="1" applyBorder="1" applyAlignment="1">
      <alignment horizontal="center"/>
    </xf>
    <xf numFmtId="2" fontId="27" fillId="0" borderId="8" xfId="0" applyNumberFormat="1" applyFont="1" applyFill="1" applyBorder="1" applyAlignment="1">
      <alignment horizontal="center"/>
    </xf>
    <xf numFmtId="0" fontId="27" fillId="0" borderId="8" xfId="0" applyFont="1" applyFill="1" applyBorder="1" applyAlignment="1">
      <alignment horizontal="center"/>
    </xf>
    <xf numFmtId="0" fontId="30" fillId="0" borderId="0" xfId="3" applyNumberFormat="1" applyFont="1" applyFill="1" applyBorder="1" applyProtection="1"/>
    <xf numFmtId="0" fontId="30" fillId="0" borderId="0" xfId="0" applyFont="1" applyFill="1" applyAlignment="1">
      <alignment horizontal="center"/>
    </xf>
    <xf numFmtId="0" fontId="30" fillId="0" borderId="8" xfId="0" applyFont="1" applyFill="1" applyBorder="1"/>
    <xf numFmtId="0" fontId="30" fillId="0" borderId="8" xfId="0" applyFont="1" applyFill="1" applyBorder="1" applyAlignment="1">
      <alignment horizontal="center"/>
    </xf>
    <xf numFmtId="9" fontId="30" fillId="0" borderId="0" xfId="0" applyNumberFormat="1" applyFont="1" applyFill="1"/>
    <xf numFmtId="2" fontId="30" fillId="0" borderId="0" xfId="0" applyNumberFormat="1" applyFont="1" applyFill="1" applyAlignment="1">
      <alignment horizontal="right"/>
    </xf>
    <xf numFmtId="0" fontId="30" fillId="0" borderId="0" xfId="0" applyFont="1" applyFill="1" applyAlignment="1">
      <alignment horizontal="right"/>
    </xf>
    <xf numFmtId="2" fontId="30" fillId="0" borderId="0" xfId="0" quotePrefix="1" applyNumberFormat="1" applyFont="1" applyFill="1" applyAlignment="1">
      <alignment horizontal="right"/>
    </xf>
    <xf numFmtId="0" fontId="23" fillId="0" borderId="8" xfId="0" applyFont="1" applyFill="1" applyBorder="1" applyAlignment="1">
      <alignment horizontal="center"/>
    </xf>
    <xf numFmtId="2" fontId="23" fillId="0" borderId="8" xfId="0" applyNumberFormat="1" applyFont="1" applyFill="1" applyBorder="1"/>
    <xf numFmtId="2" fontId="30" fillId="0" borderId="0" xfId="0" quotePrefix="1" applyNumberFormat="1" applyFont="1" applyFill="1" applyBorder="1"/>
    <xf numFmtId="2" fontId="30" fillId="0" borderId="0" xfId="0" applyNumberFormat="1" applyFont="1" applyFill="1" applyBorder="1"/>
    <xf numFmtId="167" fontId="30" fillId="0" borderId="0" xfId="0" applyNumberFormat="1" applyFont="1" applyFill="1" applyBorder="1" applyProtection="1"/>
    <xf numFmtId="164" fontId="30" fillId="0" borderId="0" xfId="0" applyNumberFormat="1" applyFont="1" applyFill="1" applyBorder="1" applyProtection="1"/>
    <xf numFmtId="167" fontId="30" fillId="0" borderId="0" xfId="0" applyNumberFormat="1" applyFont="1" applyFill="1" applyBorder="1"/>
    <xf numFmtId="167" fontId="30" fillId="0" borderId="2" xfId="0" applyNumberFormat="1" applyFont="1" applyFill="1" applyBorder="1"/>
    <xf numFmtId="0" fontId="27" fillId="6" borderId="9" xfId="0" applyFont="1" applyFill="1" applyBorder="1" applyAlignment="1"/>
    <xf numFmtId="0" fontId="27" fillId="6" borderId="1" xfId="0" applyFont="1" applyFill="1" applyBorder="1" applyAlignment="1"/>
    <xf numFmtId="0" fontId="30" fillId="6" borderId="1" xfId="0" applyFont="1" applyFill="1" applyBorder="1" applyAlignment="1"/>
    <xf numFmtId="0" fontId="30" fillId="6" borderId="12" xfId="0" applyFont="1" applyFill="1" applyBorder="1" applyAlignment="1"/>
    <xf numFmtId="0" fontId="30" fillId="6" borderId="0" xfId="0" applyFont="1" applyFill="1" applyAlignment="1"/>
    <xf numFmtId="0" fontId="30" fillId="0" borderId="0" xfId="0" applyFont="1" applyFill="1" applyAlignment="1"/>
    <xf numFmtId="0" fontId="32" fillId="0" borderId="0" xfId="0" applyFont="1" applyFill="1" applyAlignment="1"/>
    <xf numFmtId="1" fontId="30" fillId="0" borderId="0" xfId="0" applyNumberFormat="1" applyFont="1" applyFill="1" applyAlignment="1"/>
    <xf numFmtId="0" fontId="30" fillId="0" borderId="0" xfId="0" applyFont="1" applyFill="1" applyBorder="1" applyAlignment="1"/>
    <xf numFmtId="0" fontId="33" fillId="0" borderId="0" xfId="0" applyFont="1" applyFill="1" applyBorder="1"/>
    <xf numFmtId="0" fontId="33" fillId="0" borderId="0" xfId="0" applyFont="1" applyFill="1"/>
    <xf numFmtId="0" fontId="27" fillId="0" borderId="9" xfId="0" applyFont="1" applyFill="1" applyBorder="1" applyAlignment="1"/>
    <xf numFmtId="0" fontId="27" fillId="0" borderId="1" xfId="0" applyFont="1" applyFill="1" applyBorder="1" applyAlignment="1"/>
    <xf numFmtId="0" fontId="27" fillId="0" borderId="0" xfId="0" applyFont="1" applyFill="1" applyBorder="1" applyAlignment="1"/>
    <xf numFmtId="0" fontId="27" fillId="0" borderId="0" xfId="0" applyFont="1" applyFill="1" applyBorder="1"/>
    <xf numFmtId="0" fontId="34" fillId="0" borderId="0" xfId="0" applyFont="1" applyFill="1" applyBorder="1"/>
    <xf numFmtId="0" fontId="30" fillId="0" borderId="10" xfId="0" applyFont="1" applyFill="1" applyBorder="1" applyAlignment="1"/>
    <xf numFmtId="0" fontId="27" fillId="0" borderId="7" xfId="0" applyFont="1" applyFill="1" applyBorder="1" applyAlignment="1"/>
    <xf numFmtId="0" fontId="27" fillId="0" borderId="7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7" borderId="10" xfId="0" applyFont="1" applyFill="1" applyBorder="1" applyAlignment="1">
      <alignment wrapText="1"/>
    </xf>
    <xf numFmtId="0" fontId="27" fillId="5" borderId="7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wrapText="1"/>
    </xf>
    <xf numFmtId="0" fontId="27" fillId="9" borderId="0" xfId="0" applyFont="1" applyFill="1" applyBorder="1" applyAlignment="1">
      <alignment wrapText="1"/>
    </xf>
    <xf numFmtId="0" fontId="27" fillId="0" borderId="7" xfId="0" applyFont="1" applyFill="1" applyBorder="1" applyAlignment="1">
      <alignment wrapText="1"/>
    </xf>
    <xf numFmtId="0" fontId="27" fillId="0" borderId="0" xfId="0" applyFont="1" applyFill="1" applyBorder="1" applyAlignment="1">
      <alignment horizontal="center" wrapText="1"/>
    </xf>
    <xf numFmtId="0" fontId="27" fillId="0" borderId="2" xfId="0" applyFont="1" applyFill="1" applyBorder="1" applyAlignment="1"/>
    <xf numFmtId="0" fontId="27" fillId="0" borderId="14" xfId="0" applyFont="1" applyFill="1" applyBorder="1" applyAlignment="1"/>
    <xf numFmtId="0" fontId="27" fillId="0" borderId="13" xfId="0" applyFont="1" applyFill="1" applyBorder="1" applyAlignment="1"/>
    <xf numFmtId="0" fontId="30" fillId="0" borderId="2" xfId="0" applyFont="1" applyFill="1" applyBorder="1" applyAlignment="1"/>
    <xf numFmtId="1" fontId="27" fillId="0" borderId="8" xfId="0" applyNumberFormat="1" applyFont="1" applyFill="1" applyBorder="1" applyAlignment="1"/>
    <xf numFmtId="1" fontId="30" fillId="0" borderId="8" xfId="0" applyNumberFormat="1" applyFont="1" applyFill="1" applyBorder="1" applyAlignment="1"/>
    <xf numFmtId="1" fontId="30" fillId="0" borderId="5" xfId="0" applyNumberFormat="1" applyFont="1" applyFill="1" applyBorder="1" applyAlignment="1" applyProtection="1"/>
    <xf numFmtId="1" fontId="30" fillId="0" borderId="3" xfId="0" applyNumberFormat="1" applyFont="1" applyFill="1" applyBorder="1" applyAlignment="1" applyProtection="1"/>
    <xf numFmtId="1" fontId="30" fillId="0" borderId="1" xfId="0" applyNumberFormat="1" applyFont="1" applyFill="1" applyBorder="1" applyAlignment="1" applyProtection="1"/>
    <xf numFmtId="1" fontId="30" fillId="0" borderId="5" xfId="0" applyNumberFormat="1" applyFont="1" applyFill="1" applyBorder="1" applyAlignment="1"/>
    <xf numFmtId="1" fontId="30" fillId="0" borderId="3" xfId="0" applyNumberFormat="1" applyFont="1" applyFill="1" applyBorder="1" applyAlignment="1"/>
    <xf numFmtId="1" fontId="30" fillId="0" borderId="0" xfId="0" applyNumberFormat="1" applyFont="1" applyFill="1" applyBorder="1" applyAlignment="1"/>
    <xf numFmtId="2" fontId="30" fillId="0" borderId="8" xfId="0" applyNumberFormat="1" applyFont="1" applyFill="1" applyBorder="1" applyAlignment="1"/>
    <xf numFmtId="1" fontId="30" fillId="0" borderId="4" xfId="0" applyNumberFormat="1" applyFont="1" applyFill="1" applyBorder="1" applyAlignment="1" applyProtection="1"/>
    <xf numFmtId="1" fontId="30" fillId="0" borderId="8" xfId="0" applyNumberFormat="1" applyFont="1" applyFill="1" applyBorder="1" applyAlignment="1" applyProtection="1"/>
    <xf numFmtId="1" fontId="30" fillId="0" borderId="13" xfId="0" applyNumberFormat="1" applyFont="1" applyFill="1" applyBorder="1" applyAlignment="1"/>
    <xf numFmtId="1" fontId="30" fillId="0" borderId="2" xfId="0" applyNumberFormat="1" applyFont="1" applyFill="1" applyBorder="1" applyAlignment="1"/>
    <xf numFmtId="1" fontId="30" fillId="0" borderId="6" xfId="0" applyNumberFormat="1" applyFont="1" applyFill="1" applyBorder="1" applyAlignment="1"/>
    <xf numFmtId="1" fontId="30" fillId="0" borderId="14" xfId="0" applyNumberFormat="1" applyFont="1" applyFill="1" applyBorder="1" applyAlignment="1"/>
    <xf numFmtId="1" fontId="30" fillId="0" borderId="22" xfId="0" applyNumberFormat="1" applyFont="1" applyFill="1" applyBorder="1" applyAlignment="1" applyProtection="1"/>
    <xf numFmtId="2" fontId="30" fillId="0" borderId="22" xfId="0" applyNumberFormat="1" applyFont="1" applyFill="1" applyBorder="1" applyAlignment="1" applyProtection="1"/>
    <xf numFmtId="2" fontId="30" fillId="0" borderId="3" xfId="0" applyNumberFormat="1" applyFont="1" applyFill="1" applyBorder="1" applyAlignment="1"/>
    <xf numFmtId="1" fontId="27" fillId="0" borderId="0" xfId="0" applyNumberFormat="1" applyFont="1" applyFill="1" applyBorder="1" applyAlignment="1"/>
    <xf numFmtId="1" fontId="30" fillId="0" borderId="0" xfId="0" applyNumberFormat="1" applyFont="1" applyFill="1" applyBorder="1"/>
    <xf numFmtId="1" fontId="33" fillId="0" borderId="0" xfId="0" applyNumberFormat="1" applyFont="1" applyFill="1" applyBorder="1"/>
    <xf numFmtId="1" fontId="33" fillId="0" borderId="0" xfId="0" applyNumberFormat="1" applyFont="1" applyFill="1"/>
    <xf numFmtId="1" fontId="27" fillId="0" borderId="11" xfId="0" applyNumberFormat="1" applyFont="1" applyFill="1" applyBorder="1" applyAlignment="1"/>
    <xf numFmtId="1" fontId="30" fillId="0" borderId="11" xfId="0" applyNumberFormat="1" applyFont="1" applyFill="1" applyBorder="1" applyAlignment="1"/>
    <xf numFmtId="1" fontId="30" fillId="0" borderId="5" xfId="0" applyNumberFormat="1" applyFont="1" applyFill="1" applyBorder="1" applyAlignment="1" applyProtection="1">
      <alignment horizontal="right"/>
    </xf>
    <xf numFmtId="1" fontId="30" fillId="0" borderId="2" xfId="0" applyNumberFormat="1" applyFont="1" applyFill="1" applyBorder="1" applyAlignment="1" applyProtection="1"/>
    <xf numFmtId="1" fontId="30" fillId="0" borderId="10" xfId="0" applyNumberFormat="1" applyFont="1" applyFill="1" applyBorder="1" applyAlignment="1" applyProtection="1"/>
    <xf numFmtId="1" fontId="30" fillId="0" borderId="11" xfId="0" applyNumberFormat="1" applyFont="1" applyFill="1" applyBorder="1" applyAlignment="1" applyProtection="1"/>
    <xf numFmtId="1" fontId="30" fillId="0" borderId="10" xfId="0" applyNumberFormat="1" applyFont="1" applyFill="1" applyBorder="1" applyAlignment="1"/>
    <xf numFmtId="1" fontId="30" fillId="0" borderId="7" xfId="0" applyNumberFormat="1" applyFont="1" applyFill="1" applyBorder="1" applyAlignment="1" applyProtection="1"/>
    <xf numFmtId="2" fontId="30" fillId="0" borderId="0" xfId="0" applyNumberFormat="1" applyFont="1" applyFill="1" applyBorder="1" applyAlignment="1" applyProtection="1"/>
    <xf numFmtId="1" fontId="30" fillId="0" borderId="4" xfId="0" applyNumberFormat="1" applyFont="1" applyFill="1" applyBorder="1" applyAlignment="1"/>
    <xf numFmtId="1" fontId="30" fillId="0" borderId="13" xfId="0" applyNumberFormat="1" applyFont="1" applyFill="1" applyBorder="1" applyAlignment="1" applyProtection="1"/>
    <xf numFmtId="1" fontId="30" fillId="0" borderId="6" xfId="0" applyNumberFormat="1" applyFont="1" applyFill="1" applyBorder="1" applyAlignment="1" applyProtection="1"/>
    <xf numFmtId="2" fontId="30" fillId="0" borderId="11" xfId="0" applyNumberFormat="1" applyFont="1" applyFill="1" applyBorder="1" applyAlignment="1"/>
    <xf numFmtId="2" fontId="30" fillId="0" borderId="0" xfId="0" applyNumberFormat="1" applyFont="1" applyFill="1" applyBorder="1" applyAlignment="1"/>
    <xf numFmtId="1" fontId="27" fillId="0" borderId="6" xfId="0" applyNumberFormat="1" applyFont="1" applyFill="1" applyBorder="1" applyAlignment="1"/>
    <xf numFmtId="2" fontId="30" fillId="0" borderId="6" xfId="0" applyNumberFormat="1" applyFont="1" applyFill="1" applyBorder="1" applyAlignment="1"/>
    <xf numFmtId="2" fontId="30" fillId="0" borderId="2" xfId="0" applyNumberFormat="1" applyFont="1" applyFill="1" applyBorder="1" applyAlignment="1"/>
    <xf numFmtId="2" fontId="33" fillId="0" borderId="0" xfId="0" applyNumberFormat="1" applyFont="1" applyFill="1" applyBorder="1"/>
    <xf numFmtId="1" fontId="27" fillId="0" borderId="10" xfId="0" applyNumberFormat="1" applyFont="1" applyFill="1" applyBorder="1" applyAlignment="1"/>
    <xf numFmtId="1" fontId="30" fillId="0" borderId="7" xfId="0" applyNumberFormat="1" applyFont="1" applyFill="1" applyBorder="1" applyAlignment="1"/>
    <xf numFmtId="1" fontId="29" fillId="0" borderId="0" xfId="0" applyNumberFormat="1" applyFont="1" applyFill="1" applyBorder="1" applyAlignment="1"/>
    <xf numFmtId="0" fontId="35" fillId="6" borderId="0" xfId="0" applyFont="1" applyFill="1" applyBorder="1" applyAlignment="1"/>
    <xf numFmtId="0" fontId="30" fillId="6" borderId="0" xfId="0" applyFont="1" applyFill="1" applyBorder="1" applyAlignment="1"/>
    <xf numFmtId="0" fontId="32" fillId="0" borderId="0" xfId="0" applyFont="1" applyFill="1" applyBorder="1" applyAlignment="1"/>
    <xf numFmtId="2" fontId="29" fillId="0" borderId="0" xfId="0" applyNumberFormat="1" applyFont="1" applyFill="1" applyBorder="1" applyAlignment="1"/>
    <xf numFmtId="1" fontId="10" fillId="0" borderId="0" xfId="0" applyNumberFormat="1" applyFont="1" applyFill="1" applyBorder="1" applyAlignment="1"/>
    <xf numFmtId="1" fontId="10" fillId="0" borderId="0" xfId="0" applyNumberFormat="1" applyFont="1" applyFill="1" applyBorder="1"/>
    <xf numFmtId="0" fontId="27" fillId="0" borderId="0" xfId="0" applyFont="1" applyFill="1" applyBorder="1" applyAlignment="1">
      <alignment horizontal="center"/>
    </xf>
    <xf numFmtId="0" fontId="13" fillId="0" borderId="0" xfId="0" applyFont="1" applyFill="1" applyBorder="1"/>
    <xf numFmtId="1" fontId="30" fillId="0" borderId="0" xfId="0" applyNumberFormat="1" applyFont="1" applyFill="1" applyBorder="1" applyAlignment="1" applyProtection="1"/>
    <xf numFmtId="0" fontId="36" fillId="0" borderId="0" xfId="0" applyFont="1" applyFill="1" applyBorder="1"/>
    <xf numFmtId="2" fontId="0" fillId="0" borderId="0" xfId="0" applyNumberFormat="1" applyFill="1" applyBorder="1"/>
    <xf numFmtId="1" fontId="30" fillId="0" borderId="1" xfId="0" applyNumberFormat="1" applyFont="1" applyFill="1" applyBorder="1" applyAlignment="1"/>
    <xf numFmtId="165" fontId="8" fillId="0" borderId="0" xfId="0" applyNumberFormat="1" applyFont="1"/>
    <xf numFmtId="166" fontId="2" fillId="0" borderId="0" xfId="0" applyNumberFormat="1" applyFont="1" applyFill="1"/>
    <xf numFmtId="165" fontId="2" fillId="0" borderId="0" xfId="1" applyNumberFormat="1" applyFont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165" fontId="18" fillId="0" borderId="0" xfId="1" applyNumberFormat="1" applyFont="1" applyFill="1" applyAlignment="1">
      <alignment horizontal="center"/>
    </xf>
    <xf numFmtId="165" fontId="2" fillId="0" borderId="0" xfId="1" quotePrefix="1" applyNumberFormat="1" applyFont="1" applyFill="1" applyAlignment="1">
      <alignment horizontal="center"/>
    </xf>
    <xf numFmtId="0" fontId="4" fillId="0" borderId="11" xfId="0" applyFont="1" applyFill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4" fontId="2" fillId="0" borderId="0" xfId="0" applyNumberFormat="1" applyFont="1" applyProtection="1"/>
    <xf numFmtId="4" fontId="2" fillId="0" borderId="0" xfId="0" applyNumberFormat="1" applyFont="1" applyFill="1"/>
    <xf numFmtId="3" fontId="2" fillId="0" borderId="0" xfId="0" applyNumberFormat="1" applyFont="1" applyFill="1"/>
    <xf numFmtId="164" fontId="37" fillId="0" borderId="0" xfId="0" quotePrefix="1" applyNumberFormat="1" applyFont="1" applyProtection="1"/>
    <xf numFmtId="2" fontId="37" fillId="0" borderId="0" xfId="0" applyNumberFormat="1" applyFont="1"/>
    <xf numFmtId="2" fontId="37" fillId="0" borderId="0" xfId="0" applyNumberFormat="1" applyFont="1" applyProtection="1"/>
    <xf numFmtId="0" fontId="37" fillId="0" borderId="0" xfId="0" applyFont="1"/>
    <xf numFmtId="0" fontId="38" fillId="0" borderId="0" xfId="0" applyFont="1"/>
    <xf numFmtId="0" fontId="2" fillId="0" borderId="0" xfId="0" applyFont="1" applyAlignment="1">
      <alignment horizontal="left"/>
    </xf>
    <xf numFmtId="164" fontId="2" fillId="0" borderId="0" xfId="0" quotePrefix="1" applyNumberFormat="1" applyFont="1" applyAlignment="1" applyProtection="1">
      <alignment horizontal="left"/>
    </xf>
    <xf numFmtId="2" fontId="2" fillId="0" borderId="0" xfId="0" quotePrefix="1" applyNumberFormat="1" applyFont="1" applyAlignment="1">
      <alignment horizontal="left"/>
    </xf>
    <xf numFmtId="4" fontId="2" fillId="0" borderId="0" xfId="0" quotePrefix="1" applyNumberFormat="1" applyFont="1" applyAlignment="1" applyProtection="1">
      <alignment horizontal="left"/>
    </xf>
    <xf numFmtId="4" fontId="2" fillId="0" borderId="0" xfId="0" applyNumberFormat="1" applyFont="1" applyAlignment="1">
      <alignment horizontal="left"/>
    </xf>
    <xf numFmtId="4" fontId="2" fillId="0" borderId="0" xfId="0" quotePrefix="1" applyNumberFormat="1" applyFont="1" applyFill="1" applyAlignment="1">
      <alignment horizontal="left"/>
    </xf>
    <xf numFmtId="3" fontId="18" fillId="0" borderId="0" xfId="0" applyNumberFormat="1" applyFont="1" applyFill="1"/>
    <xf numFmtId="3" fontId="2" fillId="0" borderId="0" xfId="0" quotePrefix="1" applyNumberFormat="1" applyFont="1"/>
    <xf numFmtId="3" fontId="4" fillId="0" borderId="0" xfId="0" applyNumberFormat="1" applyFont="1"/>
    <xf numFmtId="164" fontId="38" fillId="0" borderId="0" xfId="0" quotePrefix="1" applyNumberFormat="1" applyFont="1" applyProtection="1"/>
    <xf numFmtId="2" fontId="38" fillId="0" borderId="0" xfId="0" applyNumberFormat="1" applyFont="1"/>
    <xf numFmtId="2" fontId="38" fillId="0" borderId="0" xfId="0" applyNumberFormat="1" applyFont="1" applyProtection="1"/>
    <xf numFmtId="4" fontId="2" fillId="0" borderId="0" xfId="0" quotePrefix="1" applyNumberFormat="1" applyFont="1" applyProtection="1"/>
    <xf numFmtId="4" fontId="18" fillId="0" borderId="0" xfId="0" applyNumberFormat="1" applyFont="1" applyFill="1"/>
    <xf numFmtId="3" fontId="18" fillId="0" borderId="0" xfId="0" quotePrefix="1" applyNumberFormat="1" applyFont="1" applyFill="1"/>
    <xf numFmtId="3" fontId="17" fillId="0" borderId="0" xfId="0" applyNumberFormat="1" applyFont="1"/>
    <xf numFmtId="2" fontId="38" fillId="0" borderId="0" xfId="0" quotePrefix="1" applyNumberFormat="1" applyFont="1"/>
    <xf numFmtId="2" fontId="18" fillId="0" borderId="0" xfId="0" quotePrefix="1" applyNumberFormat="1" applyFont="1"/>
    <xf numFmtId="4" fontId="18" fillId="0" borderId="0" xfId="0" quotePrefix="1" applyNumberFormat="1" applyFont="1" applyProtection="1"/>
    <xf numFmtId="4" fontId="18" fillId="0" borderId="0" xfId="0" applyNumberFormat="1" applyFont="1"/>
    <xf numFmtId="4" fontId="18" fillId="0" borderId="0" xfId="0" quotePrefix="1" applyNumberFormat="1" applyFont="1" applyFill="1"/>
    <xf numFmtId="4" fontId="2" fillId="0" borderId="0" xfId="0" applyNumberFormat="1" applyFont="1" applyAlignment="1" applyProtection="1">
      <alignment horizontal="right"/>
    </xf>
    <xf numFmtId="4" fontId="2" fillId="0" borderId="0" xfId="0" applyNumberFormat="1" applyFont="1" applyAlignment="1">
      <alignment horizontal="center"/>
    </xf>
    <xf numFmtId="3" fontId="2" fillId="0" borderId="0" xfId="0" applyNumberFormat="1" applyFont="1" applyFill="1" applyAlignment="1">
      <alignment horizontal="right"/>
    </xf>
    <xf numFmtId="2" fontId="0" fillId="0" borderId="0" xfId="0" applyNumberFormat="1" applyFont="1"/>
    <xf numFmtId="164" fontId="4" fillId="0" borderId="0" xfId="0" quotePrefix="1" applyNumberFormat="1" applyFont="1" applyProtection="1"/>
    <xf numFmtId="4" fontId="4" fillId="0" borderId="0" xfId="0" applyNumberFormat="1" applyFont="1" applyProtection="1"/>
    <xf numFmtId="4" fontId="4" fillId="0" borderId="0" xfId="0" applyNumberFormat="1" applyFont="1" applyFill="1"/>
    <xf numFmtId="3" fontId="4" fillId="0" borderId="0" xfId="0" applyNumberFormat="1" applyFont="1" applyFill="1"/>
    <xf numFmtId="3" fontId="2" fillId="0" borderId="0" xfId="0" quotePrefix="1" applyNumberFormat="1" applyFont="1" applyFill="1" applyProtection="1"/>
    <xf numFmtId="3" fontId="2" fillId="0" borderId="0" xfId="0" quotePrefix="1" applyNumberFormat="1" applyFont="1" applyProtection="1"/>
    <xf numFmtId="167" fontId="37" fillId="0" borderId="0" xfId="0" quotePrefix="1" applyNumberFormat="1" applyFont="1" applyProtection="1"/>
    <xf numFmtId="167" fontId="37" fillId="0" borderId="0" xfId="0" applyNumberFormat="1" applyFont="1"/>
    <xf numFmtId="4" fontId="17" fillId="0" borderId="0" xfId="0" applyNumberFormat="1" applyFont="1" applyProtection="1"/>
    <xf numFmtId="3" fontId="17" fillId="0" borderId="0" xfId="0" applyNumberFormat="1" applyFont="1" applyFill="1"/>
    <xf numFmtId="164" fontId="38" fillId="0" borderId="0" xfId="0" applyNumberFormat="1" applyFont="1" applyProtection="1"/>
    <xf numFmtId="4" fontId="2" fillId="0" borderId="1" xfId="0" applyNumberFormat="1" applyFont="1" applyBorder="1"/>
    <xf numFmtId="3" fontId="2" fillId="0" borderId="1" xfId="0" applyNumberFormat="1" applyFont="1" applyBorder="1"/>
    <xf numFmtId="3" fontId="2" fillId="0" borderId="1" xfId="0" applyNumberFormat="1" applyFont="1" applyFill="1" applyBorder="1"/>
    <xf numFmtId="1" fontId="0" fillId="0" borderId="0" xfId="0" applyNumberFormat="1" applyFont="1"/>
    <xf numFmtId="4" fontId="2" fillId="0" borderId="2" xfId="0" applyNumberFormat="1" applyFont="1" applyBorder="1"/>
    <xf numFmtId="3" fontId="2" fillId="0" borderId="2" xfId="0" applyNumberFormat="1" applyFont="1" applyBorder="1"/>
    <xf numFmtId="3" fontId="4" fillId="0" borderId="2" xfId="0" applyNumberFormat="1" applyFont="1" applyFill="1" applyBorder="1"/>
    <xf numFmtId="3" fontId="2" fillId="0" borderId="2" xfId="0" applyNumberFormat="1" applyFont="1" applyFill="1" applyBorder="1"/>
    <xf numFmtId="1" fontId="4" fillId="0" borderId="11" xfId="0" applyNumberFormat="1" applyFont="1" applyFill="1" applyBorder="1"/>
    <xf numFmtId="0" fontId="4" fillId="0" borderId="0" xfId="0" applyFont="1" applyFill="1" applyBorder="1" applyAlignment="1">
      <alignment horizontal="center"/>
    </xf>
    <xf numFmtId="1" fontId="2" fillId="0" borderId="0" xfId="0" quotePrefix="1" applyNumberFormat="1" applyFont="1" applyBorder="1"/>
    <xf numFmtId="4" fontId="2" fillId="0" borderId="0" xfId="0" applyNumberFormat="1" applyFont="1" applyBorder="1"/>
    <xf numFmtId="4" fontId="2" fillId="0" borderId="0" xfId="0" applyNumberFormat="1" applyFont="1" applyBorder="1" applyProtection="1"/>
    <xf numFmtId="3" fontId="2" fillId="0" borderId="0" xfId="0" applyNumberFormat="1" applyFont="1" applyBorder="1" applyProtection="1"/>
    <xf numFmtId="3" fontId="2" fillId="0" borderId="0" xfId="0" applyNumberFormat="1" applyFont="1" applyBorder="1"/>
    <xf numFmtId="0" fontId="39" fillId="0" borderId="0" xfId="0" applyFont="1"/>
    <xf numFmtId="0" fontId="0" fillId="3" borderId="0" xfId="0" applyFont="1" applyFill="1"/>
    <xf numFmtId="14" fontId="39" fillId="0" borderId="0" xfId="0" applyNumberFormat="1" applyFont="1"/>
    <xf numFmtId="14" fontId="0" fillId="3" borderId="0" xfId="0" applyNumberFormat="1" applyFont="1" applyFill="1"/>
    <xf numFmtId="164" fontId="2" fillId="0" borderId="0" xfId="0" quotePrefix="1" applyNumberFormat="1" applyFont="1" applyFill="1" applyAlignment="1" applyProtection="1">
      <alignment horizontal="right"/>
    </xf>
    <xf numFmtId="49" fontId="2" fillId="0" borderId="0" xfId="0" quotePrefix="1" applyNumberFormat="1" applyFont="1" applyFill="1" applyAlignment="1" applyProtection="1">
      <alignment horizontal="left"/>
    </xf>
    <xf numFmtId="166" fontId="2" fillId="0" borderId="1" xfId="0" applyNumberFormat="1" applyFont="1" applyFill="1" applyBorder="1"/>
    <xf numFmtId="0" fontId="30" fillId="0" borderId="8" xfId="0" applyFont="1" applyFill="1" applyBorder="1" applyAlignment="1"/>
    <xf numFmtId="43" fontId="30" fillId="0" borderId="0" xfId="0" applyNumberFormat="1" applyFont="1" applyFill="1" applyBorder="1" applyAlignment="1"/>
    <xf numFmtId="165" fontId="2" fillId="0" borderId="8" xfId="1" applyNumberFormat="1" applyFont="1" applyFill="1" applyBorder="1" applyAlignment="1" applyProtection="1"/>
    <xf numFmtId="43" fontId="2" fillId="0" borderId="8" xfId="1" applyNumberFormat="1" applyFont="1" applyFill="1" applyBorder="1" applyAlignment="1" applyProtection="1"/>
    <xf numFmtId="165" fontId="1" fillId="0" borderId="8" xfId="1" applyNumberFormat="1" applyFont="1" applyBorder="1"/>
    <xf numFmtId="2" fontId="2" fillId="0" borderId="8" xfId="0" applyNumberFormat="1" applyFont="1" applyFill="1" applyBorder="1" applyAlignment="1"/>
    <xf numFmtId="165" fontId="2" fillId="0" borderId="8" xfId="1" applyNumberFormat="1" applyFont="1" applyFill="1" applyBorder="1" applyAlignment="1" applyProtection="1">
      <alignment horizontal="right"/>
    </xf>
    <xf numFmtId="2" fontId="10" fillId="0" borderId="2" xfId="0" quotePrefix="1" applyNumberFormat="1" applyFont="1" applyFill="1" applyBorder="1"/>
    <xf numFmtId="2" fontId="10" fillId="0" borderId="0" xfId="0" quotePrefix="1" applyNumberFormat="1" applyFont="1" applyFill="1"/>
    <xf numFmtId="164" fontId="2" fillId="0" borderId="0" xfId="0" quotePrefix="1" applyNumberFormat="1" applyFont="1" applyFill="1" applyAlignment="1" applyProtection="1"/>
    <xf numFmtId="2" fontId="2" fillId="0" borderId="0" xfId="0" quotePrefix="1" applyNumberFormat="1" applyFont="1" applyFill="1" applyBorder="1" applyProtection="1"/>
    <xf numFmtId="1" fontId="2" fillId="0" borderId="0" xfId="0" quotePrefix="1" applyNumberFormat="1" applyFont="1" applyFill="1" applyProtection="1"/>
    <xf numFmtId="2" fontId="17" fillId="0" borderId="0" xfId="0" applyNumberFormat="1" applyFont="1" applyFill="1" applyBorder="1"/>
    <xf numFmtId="0" fontId="2" fillId="0" borderId="10" xfId="3" applyNumberFormat="1" applyFont="1" applyFill="1" applyBorder="1" applyProtection="1"/>
    <xf numFmtId="9" fontId="4" fillId="0" borderId="11" xfId="0" applyNumberFormat="1" applyFont="1" applyFill="1" applyBorder="1"/>
    <xf numFmtId="0" fontId="2" fillId="0" borderId="13" xfId="3" applyNumberFormat="1" applyFont="1" applyFill="1" applyBorder="1" applyProtection="1"/>
    <xf numFmtId="9" fontId="4" fillId="0" borderId="6" xfId="0" applyNumberFormat="1" applyFont="1" applyFill="1" applyBorder="1"/>
    <xf numFmtId="1" fontId="2" fillId="0" borderId="0" xfId="0" quotePrefix="1" applyNumberFormat="1" applyFont="1" applyFill="1" applyBorder="1"/>
    <xf numFmtId="1" fontId="2" fillId="0" borderId="0" xfId="0" quotePrefix="1" applyNumberFormat="1" applyFont="1" applyFill="1" applyBorder="1" applyAlignment="1">
      <alignment horizontal="right"/>
    </xf>
    <xf numFmtId="1" fontId="2" fillId="0" borderId="0" xfId="0" quotePrefix="1" applyNumberFormat="1" applyFont="1" applyFill="1" applyAlignment="1">
      <alignment horizontal="right"/>
    </xf>
    <xf numFmtId="2" fontId="2" fillId="0" borderId="2" xfId="0" quotePrefix="1" applyNumberFormat="1" applyFont="1" applyFill="1" applyBorder="1" applyAlignment="1">
      <alignment horizontal="right"/>
    </xf>
    <xf numFmtId="0" fontId="18" fillId="0" borderId="0" xfId="0" applyFont="1" applyFill="1" applyBorder="1"/>
    <xf numFmtId="1" fontId="23" fillId="0" borderId="0" xfId="0" applyNumberFormat="1" applyFont="1" applyFill="1" applyBorder="1" applyAlignment="1"/>
    <xf numFmtId="1" fontId="4" fillId="0" borderId="0" xfId="0" applyNumberFormat="1" applyFont="1" applyFill="1" applyAlignment="1">
      <alignment vertical="center"/>
    </xf>
    <xf numFmtId="43" fontId="2" fillId="0" borderId="0" xfId="1" applyNumberFormat="1" applyFont="1" applyAlignment="1">
      <alignment horizontal="center"/>
    </xf>
    <xf numFmtId="43" fontId="2" fillId="0" borderId="0" xfId="1" applyNumberFormat="1" applyFont="1" applyAlignment="1"/>
    <xf numFmtId="165" fontId="2" fillId="0" borderId="0" xfId="1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 applyBorder="1" applyAlignment="1">
      <alignment horizontal="center"/>
    </xf>
    <xf numFmtId="0" fontId="18" fillId="0" borderId="0" xfId="0" applyFont="1" applyBorder="1"/>
    <xf numFmtId="164" fontId="2" fillId="0" borderId="0" xfId="0" applyNumberFormat="1" applyFont="1" applyAlignment="1" applyProtection="1">
      <alignment horizontal="left"/>
    </xf>
    <xf numFmtId="0" fontId="18" fillId="0" borderId="0" xfId="0" applyFont="1"/>
    <xf numFmtId="2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 applyProtection="1">
      <alignment horizontal="right" vertical="center"/>
    </xf>
    <xf numFmtId="9" fontId="2" fillId="0" borderId="0" xfId="0" applyNumberFormat="1" applyFont="1"/>
    <xf numFmtId="168" fontId="2" fillId="0" borderId="0" xfId="0" applyNumberFormat="1" applyFont="1"/>
    <xf numFmtId="0" fontId="2" fillId="0" borderId="8" xfId="0" applyFont="1" applyBorder="1"/>
    <xf numFmtId="9" fontId="2" fillId="0" borderId="8" xfId="0" applyNumberFormat="1" applyFont="1" applyBorder="1"/>
    <xf numFmtId="9" fontId="2" fillId="0" borderId="8" xfId="2" applyFont="1" applyBorder="1"/>
    <xf numFmtId="0" fontId="4" fillId="0" borderId="0" xfId="0" applyFont="1" applyFill="1" applyBorder="1" applyAlignment="1">
      <alignment horizontal="left"/>
    </xf>
    <xf numFmtId="0" fontId="4" fillId="0" borderId="0" xfId="0" quotePrefix="1" applyFont="1" applyBorder="1"/>
    <xf numFmtId="165" fontId="4" fillId="0" borderId="0" xfId="1" applyNumberFormat="1" applyFont="1" applyBorder="1"/>
    <xf numFmtId="0" fontId="40" fillId="0" borderId="0" xfId="0" applyFont="1"/>
    <xf numFmtId="0" fontId="40" fillId="0" borderId="0" xfId="0" applyFont="1" applyAlignment="1">
      <alignment horizontal="left"/>
    </xf>
    <xf numFmtId="0" fontId="41" fillId="0" borderId="0" xfId="0" applyFont="1"/>
    <xf numFmtId="0" fontId="40" fillId="0" borderId="2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8" fillId="0" borderId="2" xfId="0" applyFont="1" applyBorder="1" applyAlignment="1">
      <alignment horizontal="right"/>
    </xf>
    <xf numFmtId="164" fontId="8" fillId="0" borderId="0" xfId="0" quotePrefix="1" applyNumberFormat="1" applyFont="1" applyFill="1"/>
    <xf numFmtId="2" fontId="8" fillId="0" borderId="0" xfId="0" applyNumberFormat="1" applyFont="1" applyFill="1"/>
    <xf numFmtId="164" fontId="42" fillId="0" borderId="0" xfId="0" quotePrefix="1" applyNumberFormat="1" applyFont="1"/>
    <xf numFmtId="2" fontId="42" fillId="0" borderId="0" xfId="0" applyNumberFormat="1" applyFont="1"/>
    <xf numFmtId="0" fontId="42" fillId="0" borderId="0" xfId="0" applyFont="1"/>
    <xf numFmtId="2" fontId="8" fillId="0" borderId="0" xfId="0" quotePrefix="1" applyNumberFormat="1" applyFont="1" applyFill="1"/>
    <xf numFmtId="165" fontId="8" fillId="0" borderId="0" xfId="1" quotePrefix="1" applyNumberFormat="1" applyFont="1" applyFill="1"/>
    <xf numFmtId="2" fontId="41" fillId="0" borderId="0" xfId="0" applyNumberFormat="1" applyFont="1"/>
    <xf numFmtId="165" fontId="41" fillId="0" borderId="0" xfId="0" applyNumberFormat="1" applyFont="1"/>
    <xf numFmtId="167" fontId="8" fillId="0" borderId="0" xfId="0" quotePrefix="1" applyNumberFormat="1" applyFont="1" applyFill="1"/>
    <xf numFmtId="167" fontId="42" fillId="0" borderId="0" xfId="0" quotePrefix="1" applyNumberFormat="1" applyFont="1"/>
    <xf numFmtId="167" fontId="42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165" fontId="8" fillId="0" borderId="2" xfId="1" applyNumberFormat="1" applyFont="1" applyBorder="1"/>
    <xf numFmtId="2" fontId="8" fillId="0" borderId="2" xfId="1" applyNumberFormat="1" applyFont="1" applyBorder="1"/>
    <xf numFmtId="164" fontId="42" fillId="0" borderId="0" xfId="0" applyNumberFormat="1" applyFont="1"/>
    <xf numFmtId="164" fontId="8" fillId="0" borderId="1" xfId="0" applyNumberFormat="1" applyFont="1" applyBorder="1"/>
    <xf numFmtId="2" fontId="8" fillId="0" borderId="1" xfId="0" applyNumberFormat="1" applyFont="1" applyBorder="1"/>
    <xf numFmtId="165" fontId="8" fillId="0" borderId="1" xfId="1" applyNumberFormat="1" applyFont="1" applyBorder="1"/>
    <xf numFmtId="1" fontId="41" fillId="0" borderId="0" xfId="0" applyNumberFormat="1" applyFont="1"/>
    <xf numFmtId="164" fontId="8" fillId="0" borderId="2" xfId="0" applyNumberFormat="1" applyFont="1" applyBorder="1"/>
    <xf numFmtId="2" fontId="8" fillId="0" borderId="2" xfId="0" applyNumberFormat="1" applyFont="1" applyBorder="1"/>
    <xf numFmtId="0" fontId="8" fillId="0" borderId="16" xfId="0" applyFont="1" applyBorder="1" applyAlignment="1">
      <alignment horizontal="center"/>
    </xf>
    <xf numFmtId="2" fontId="8" fillId="0" borderId="17" xfId="0" applyNumberFormat="1" applyFont="1" applyBorder="1"/>
    <xf numFmtId="0" fontId="8" fillId="0" borderId="20" xfId="0" applyFont="1" applyBorder="1" applyAlignment="1">
      <alignment horizontal="center"/>
    </xf>
    <xf numFmtId="2" fontId="8" fillId="0" borderId="21" xfId="0" applyNumberFormat="1" applyFont="1" applyBorder="1"/>
    <xf numFmtId="0" fontId="8" fillId="0" borderId="0" xfId="3" applyFont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43" fillId="0" borderId="8" xfId="0" applyFont="1" applyBorder="1"/>
    <xf numFmtId="2" fontId="8" fillId="0" borderId="0" xfId="0" applyNumberFormat="1" applyFont="1" applyAlignment="1">
      <alignment horizontal="right"/>
    </xf>
    <xf numFmtId="0" fontId="10" fillId="0" borderId="8" xfId="3" applyFont="1" applyFill="1" applyBorder="1" applyAlignment="1">
      <alignment horizontal="left"/>
    </xf>
    <xf numFmtId="0" fontId="41" fillId="0" borderId="8" xfId="0" applyFont="1" applyBorder="1"/>
    <xf numFmtId="0" fontId="10" fillId="0" borderId="8" xfId="3" applyFont="1" applyBorder="1" applyAlignment="1">
      <alignment horizontal="left"/>
    </xf>
    <xf numFmtId="0" fontId="10" fillId="0" borderId="0" xfId="3" applyFont="1" applyAlignment="1">
      <alignment horizontal="left"/>
    </xf>
    <xf numFmtId="0" fontId="10" fillId="0" borderId="0" xfId="3" applyFont="1" applyFill="1" applyAlignment="1">
      <alignment horizontal="left"/>
    </xf>
    <xf numFmtId="1" fontId="8" fillId="0" borderId="0" xfId="0" quotePrefix="1" applyNumberFormat="1" applyFont="1"/>
    <xf numFmtId="2" fontId="8" fillId="0" borderId="0" xfId="0" quotePrefix="1" applyNumberFormat="1" applyFont="1"/>
    <xf numFmtId="0" fontId="41" fillId="0" borderId="2" xfId="0" applyFont="1" applyBorder="1"/>
    <xf numFmtId="167" fontId="8" fillId="0" borderId="0" xfId="0" applyNumberFormat="1" applyFont="1"/>
    <xf numFmtId="167" fontId="8" fillId="0" borderId="2" xfId="0" applyNumberFormat="1" applyFont="1" applyBorder="1"/>
    <xf numFmtId="49" fontId="8" fillId="0" borderId="0" xfId="0" applyNumberFormat="1" applyFont="1" applyAlignment="1">
      <alignment horizontal="left" vertical="top"/>
    </xf>
    <xf numFmtId="0" fontId="22" fillId="0" borderId="2" xfId="0" applyFont="1" applyFill="1" applyBorder="1"/>
    <xf numFmtId="2" fontId="23" fillId="0" borderId="0" xfId="0" quotePrefix="1" applyNumberFormat="1" applyFont="1" applyFill="1" applyBorder="1"/>
    <xf numFmtId="0" fontId="40" fillId="0" borderId="0" xfId="0" applyFont="1" applyBorder="1" applyAlignment="1">
      <alignment horizontal="left"/>
    </xf>
    <xf numFmtId="0" fontId="8" fillId="11" borderId="0" xfId="0" applyFont="1" applyFill="1"/>
    <xf numFmtId="0" fontId="7" fillId="0" borderId="5" xfId="0" applyFont="1" applyFill="1" applyBorder="1"/>
    <xf numFmtId="0" fontId="8" fillId="0" borderId="3" xfId="0" applyFont="1" applyBorder="1" applyAlignment="1">
      <alignment horizontal="center"/>
    </xf>
    <xf numFmtId="0" fontId="7" fillId="0" borderId="9" xfId="0" applyFont="1" applyFill="1" applyBorder="1"/>
    <xf numFmtId="0" fontId="7" fillId="0" borderId="12" xfId="0" applyFont="1" applyFill="1" applyBorder="1"/>
    <xf numFmtId="0" fontId="7" fillId="0" borderId="9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0" xfId="0" applyFont="1" applyFill="1" applyBorder="1"/>
    <xf numFmtId="0" fontId="7" fillId="0" borderId="7" xfId="0" applyFont="1" applyFill="1" applyBorder="1"/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6" xfId="0" applyFont="1" applyFill="1" applyBorder="1"/>
    <xf numFmtId="0" fontId="7" fillId="0" borderId="13" xfId="0" applyFont="1" applyFill="1" applyBorder="1"/>
    <xf numFmtId="0" fontId="7" fillId="0" borderId="14" xfId="0" applyFont="1" applyFill="1" applyBorder="1"/>
    <xf numFmtId="1" fontId="7" fillId="0" borderId="8" xfId="0" applyNumberFormat="1" applyFont="1" applyFill="1" applyBorder="1"/>
    <xf numFmtId="0" fontId="8" fillId="0" borderId="8" xfId="0" applyFont="1" applyFill="1" applyBorder="1"/>
    <xf numFmtId="0" fontId="8" fillId="0" borderId="8" xfId="0" applyFont="1" applyFill="1" applyBorder="1" applyAlignment="1">
      <alignment horizontal="left"/>
    </xf>
    <xf numFmtId="3" fontId="8" fillId="0" borderId="8" xfId="0" applyNumberFormat="1" applyFont="1" applyBorder="1"/>
    <xf numFmtId="0" fontId="8" fillId="0" borderId="8" xfId="0" applyFont="1" applyFill="1" applyBorder="1" applyAlignment="1">
      <alignment horizontal="center"/>
    </xf>
    <xf numFmtId="3" fontId="8" fillId="0" borderId="22" xfId="0" applyNumberFormat="1" applyFont="1" applyBorder="1"/>
    <xf numFmtId="0" fontId="10" fillId="0" borderId="8" xfId="0" applyFont="1" applyFill="1" applyBorder="1"/>
    <xf numFmtId="0" fontId="10" fillId="0" borderId="8" xfId="0" applyFont="1" applyFill="1" applyBorder="1" applyAlignment="1">
      <alignment horizontal="left"/>
    </xf>
    <xf numFmtId="0" fontId="10" fillId="0" borderId="8" xfId="0" quotePrefix="1" applyFont="1" applyFill="1" applyBorder="1"/>
    <xf numFmtId="0" fontId="8" fillId="0" borderId="8" xfId="0" applyFont="1" applyBorder="1"/>
    <xf numFmtId="3" fontId="8" fillId="0" borderId="7" xfId="0" applyNumberFormat="1" applyFont="1" applyFill="1" applyBorder="1"/>
    <xf numFmtId="0" fontId="10" fillId="0" borderId="8" xfId="0" quotePrefix="1" applyFont="1" applyFill="1" applyBorder="1" applyAlignment="1">
      <alignment horizontal="center"/>
    </xf>
    <xf numFmtId="3" fontId="8" fillId="0" borderId="22" xfId="0" quotePrefix="1" applyNumberFormat="1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22" xfId="0" applyFont="1" applyBorder="1"/>
    <xf numFmtId="1" fontId="10" fillId="0" borderId="0" xfId="0" quotePrefix="1" applyNumberFormat="1" applyFont="1" applyFill="1" applyBorder="1"/>
    <xf numFmtId="0" fontId="8" fillId="0" borderId="0" xfId="0" quotePrefix="1" applyFont="1" applyFill="1"/>
    <xf numFmtId="0" fontId="10" fillId="0" borderId="0" xfId="0" quotePrefix="1" applyFont="1" applyFill="1"/>
    <xf numFmtId="0" fontId="7" fillId="0" borderId="8" xfId="0" applyFont="1" applyBorder="1"/>
    <xf numFmtId="0" fontId="7" fillId="0" borderId="8" xfId="0" applyFont="1" applyBorder="1" applyAlignment="1">
      <alignment textRotation="90" wrapText="1"/>
    </xf>
    <xf numFmtId="0" fontId="7" fillId="0" borderId="8" xfId="0" applyFont="1" applyBorder="1" applyAlignment="1">
      <alignment textRotation="90"/>
    </xf>
    <xf numFmtId="0" fontId="7" fillId="0" borderId="8" xfId="0" applyFont="1" applyFill="1" applyBorder="1" applyAlignment="1">
      <alignment textRotation="90"/>
    </xf>
    <xf numFmtId="0" fontId="7" fillId="0" borderId="4" xfId="0" applyFont="1" applyBorder="1" applyAlignment="1">
      <alignment textRotation="90"/>
    </xf>
    <xf numFmtId="0" fontId="7" fillId="0" borderId="22" xfId="0" applyFont="1" applyBorder="1" applyAlignment="1">
      <alignment textRotation="90"/>
    </xf>
    <xf numFmtId="0" fontId="8" fillId="0" borderId="4" xfId="0" applyFont="1" applyBorder="1"/>
    <xf numFmtId="1" fontId="8" fillId="0" borderId="8" xfId="0" applyNumberFormat="1" applyFont="1" applyBorder="1"/>
    <xf numFmtId="1" fontId="7" fillId="0" borderId="11" xfId="0" applyNumberFormat="1" applyFont="1" applyFill="1" applyBorder="1"/>
    <xf numFmtId="0" fontId="8" fillId="0" borderId="6" xfId="0" applyFont="1" applyBorder="1"/>
    <xf numFmtId="0" fontId="8" fillId="0" borderId="6" xfId="0" applyFont="1" applyFill="1" applyBorder="1"/>
    <xf numFmtId="0" fontId="8" fillId="0" borderId="0" xfId="0" applyFont="1" applyFill="1" applyBorder="1"/>
    <xf numFmtId="0" fontId="8" fillId="0" borderId="13" xfId="0" applyFont="1" applyBorder="1"/>
    <xf numFmtId="0" fontId="8" fillId="0" borderId="14" xfId="0" applyFont="1" applyBorder="1"/>
    <xf numFmtId="1" fontId="8" fillId="0" borderId="6" xfId="0" applyNumberFormat="1" applyFont="1" applyBorder="1"/>
    <xf numFmtId="1" fontId="8" fillId="0" borderId="22" xfId="0" applyNumberFormat="1" applyFont="1" applyBorder="1"/>
    <xf numFmtId="0" fontId="10" fillId="0" borderId="8" xfId="0" applyFont="1" applyBorder="1"/>
    <xf numFmtId="0" fontId="10" fillId="0" borderId="4" xfId="0" applyFont="1" applyBorder="1"/>
    <xf numFmtId="0" fontId="10" fillId="0" borderId="22" xfId="0" applyFont="1" applyBorder="1"/>
    <xf numFmtId="1" fontId="10" fillId="0" borderId="8" xfId="0" applyNumberFormat="1" applyFont="1" applyBorder="1"/>
    <xf numFmtId="0" fontId="8" fillId="0" borderId="4" xfId="0" applyFont="1" applyFill="1" applyBorder="1"/>
    <xf numFmtId="0" fontId="8" fillId="0" borderId="5" xfId="0" applyFont="1" applyBorder="1"/>
    <xf numFmtId="0" fontId="8" fillId="0" borderId="5" xfId="0" applyFont="1" applyFill="1" applyBorder="1"/>
    <xf numFmtId="0" fontId="8" fillId="0" borderId="9" xfId="0" applyFont="1" applyBorder="1"/>
    <xf numFmtId="0" fontId="8" fillId="0" borderId="12" xfId="0" applyFont="1" applyBorder="1"/>
    <xf numFmtId="1" fontId="8" fillId="0" borderId="5" xfId="0" applyNumberFormat="1" applyFont="1" applyBorder="1"/>
    <xf numFmtId="1" fontId="7" fillId="0" borderId="4" xfId="0" applyNumberFormat="1" applyFont="1" applyFill="1" applyBorder="1"/>
    <xf numFmtId="1" fontId="7" fillId="0" borderId="6" xfId="0" applyNumberFormat="1" applyFont="1" applyFill="1" applyBorder="1"/>
    <xf numFmtId="0" fontId="8" fillId="0" borderId="8" xfId="0" applyFont="1" applyBorder="1" applyAlignment="1">
      <alignment horizontal="center" wrapText="1"/>
    </xf>
    <xf numFmtId="0" fontId="8" fillId="0" borderId="8" xfId="0" applyFont="1" applyBorder="1" applyAlignment="1">
      <alignment wrapText="1"/>
    </xf>
    <xf numFmtId="2" fontId="8" fillId="0" borderId="8" xfId="0" applyNumberFormat="1" applyFont="1" applyBorder="1"/>
    <xf numFmtId="4" fontId="8" fillId="0" borderId="8" xfId="0" applyNumberFormat="1" applyFont="1" applyBorder="1"/>
    <xf numFmtId="0" fontId="8" fillId="0" borderId="0" xfId="0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170" fontId="10" fillId="0" borderId="0" xfId="1" applyNumberFormat="1" applyFont="1" applyFill="1" applyBorder="1" applyAlignment="1" applyProtection="1">
      <alignment horizontal="right"/>
    </xf>
    <xf numFmtId="3" fontId="8" fillId="0" borderId="0" xfId="0" applyNumberFormat="1" applyFont="1" applyFill="1"/>
    <xf numFmtId="0" fontId="8" fillId="0" borderId="0" xfId="0" applyFont="1" applyFill="1" applyAlignment="1">
      <alignment horizontal="left"/>
    </xf>
    <xf numFmtId="1" fontId="8" fillId="0" borderId="0" xfId="0" applyNumberFormat="1" applyFont="1" applyFill="1"/>
    <xf numFmtId="1" fontId="10" fillId="0" borderId="0" xfId="0" applyNumberFormat="1" applyFont="1" applyFill="1" applyBorder="1" applyAlignment="1">
      <alignment horizontal="right"/>
    </xf>
    <xf numFmtId="0" fontId="8" fillId="5" borderId="0" xfId="0" applyFont="1" applyFill="1"/>
    <xf numFmtId="0" fontId="8" fillId="0" borderId="0" xfId="0" applyFont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right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1" fontId="10" fillId="0" borderId="0" xfId="0" applyNumberFormat="1" applyFont="1" applyAlignment="1">
      <alignment horizontal="right"/>
    </xf>
    <xf numFmtId="3" fontId="8" fillId="11" borderId="0" xfId="0" applyNumberFormat="1" applyFont="1" applyFill="1"/>
    <xf numFmtId="0" fontId="8" fillId="4" borderId="1" xfId="0" applyFont="1" applyFill="1" applyBorder="1" applyAlignment="1">
      <alignment horizontal="center" vertical="center"/>
    </xf>
    <xf numFmtId="3" fontId="8" fillId="4" borderId="2" xfId="0" applyNumberFormat="1" applyFont="1" applyFill="1" applyBorder="1"/>
    <xf numFmtId="0" fontId="8" fillId="0" borderId="2" xfId="0" applyFont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1" fontId="10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/>
    <xf numFmtId="1" fontId="8" fillId="11" borderId="0" xfId="0" applyNumberFormat="1" applyFont="1" applyFill="1"/>
    <xf numFmtId="1" fontId="10" fillId="4" borderId="2" xfId="0" applyNumberFormat="1" applyFont="1" applyFill="1" applyBorder="1" applyAlignment="1" applyProtection="1">
      <alignment horizontal="center"/>
    </xf>
    <xf numFmtId="0" fontId="8" fillId="11" borderId="0" xfId="0" applyFont="1" applyFill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170" fontId="8" fillId="0" borderId="8" xfId="1" applyNumberFormat="1" applyFont="1" applyBorder="1"/>
    <xf numFmtId="170" fontId="10" fillId="0" borderId="8" xfId="1" applyNumberFormat="1" applyFont="1" applyBorder="1"/>
    <xf numFmtId="170" fontId="8" fillId="11" borderId="0" xfId="1" applyNumberFormat="1" applyFont="1" applyFill="1"/>
    <xf numFmtId="170" fontId="8" fillId="4" borderId="8" xfId="1" applyNumberFormat="1" applyFont="1" applyFill="1" applyBorder="1"/>
    <xf numFmtId="170" fontId="10" fillId="4" borderId="8" xfId="1" applyNumberFormat="1" applyFont="1" applyFill="1" applyBorder="1"/>
    <xf numFmtId="0" fontId="40" fillId="0" borderId="2" xfId="0" applyFont="1" applyBorder="1"/>
    <xf numFmtId="0" fontId="8" fillId="0" borderId="1" xfId="0" applyFont="1" applyBorder="1" applyAlignment="1"/>
    <xf numFmtId="1" fontId="10" fillId="0" borderId="0" xfId="0" applyNumberFormat="1" applyFont="1" applyAlignment="1">
      <alignment horizontal="left"/>
    </xf>
    <xf numFmtId="0" fontId="8" fillId="4" borderId="8" xfId="0" applyFont="1" applyFill="1" applyBorder="1"/>
    <xf numFmtId="0" fontId="8" fillId="4" borderId="8" xfId="0" applyFont="1" applyFill="1" applyBorder="1" applyAlignment="1">
      <alignment horizontal="center"/>
    </xf>
    <xf numFmtId="3" fontId="10" fillId="0" borderId="1" xfId="0" applyNumberFormat="1" applyFont="1" applyBorder="1"/>
    <xf numFmtId="3" fontId="10" fillId="0" borderId="0" xfId="0" applyNumberFormat="1" applyFont="1"/>
    <xf numFmtId="3" fontId="10" fillId="4" borderId="1" xfId="0" applyNumberFormat="1" applyFont="1" applyFill="1" applyBorder="1"/>
    <xf numFmtId="3" fontId="10" fillId="4" borderId="2" xfId="0" applyNumberFormat="1" applyFont="1" applyFill="1" applyBorder="1"/>
    <xf numFmtId="0" fontId="44" fillId="0" borderId="0" xfId="0" applyFont="1"/>
    <xf numFmtId="0" fontId="45" fillId="0" borderId="9" xfId="0" applyFont="1" applyBorder="1"/>
    <xf numFmtId="0" fontId="45" fillId="0" borderId="1" xfId="0" applyFont="1" applyBorder="1"/>
    <xf numFmtId="0" fontId="8" fillId="0" borderId="10" xfId="0" applyFont="1" applyBorder="1"/>
    <xf numFmtId="0" fontId="45" fillId="0" borderId="0" xfId="0" applyFont="1" applyBorder="1"/>
    <xf numFmtId="0" fontId="45" fillId="0" borderId="2" xfId="0" applyFont="1" applyBorder="1"/>
    <xf numFmtId="0" fontId="45" fillId="0" borderId="10" xfId="0" applyFont="1" applyBorder="1"/>
    <xf numFmtId="0" fontId="45" fillId="0" borderId="0" xfId="0" applyFont="1" applyBorder="1" applyAlignment="1">
      <alignment horizontal="center"/>
    </xf>
    <xf numFmtId="0" fontId="46" fillId="0" borderId="10" xfId="0" applyFont="1" applyBorder="1"/>
    <xf numFmtId="0" fontId="46" fillId="0" borderId="0" xfId="0" quotePrefix="1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5" fillId="0" borderId="4" xfId="0" applyFont="1" applyBorder="1"/>
    <xf numFmtId="3" fontId="45" fillId="0" borderId="3" xfId="0" applyNumberFormat="1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3" fillId="0" borderId="8" xfId="0" applyFont="1" applyFill="1" applyBorder="1"/>
    <xf numFmtId="2" fontId="30" fillId="0" borderId="5" xfId="0" applyNumberFormat="1" applyFont="1" applyFill="1" applyBorder="1" applyAlignment="1"/>
    <xf numFmtId="1" fontId="30" fillId="0" borderId="9" xfId="0" applyNumberFormat="1" applyFont="1" applyFill="1" applyBorder="1" applyAlignment="1" applyProtection="1"/>
    <xf numFmtId="2" fontId="30" fillId="0" borderId="1" xfId="0" applyNumberFormat="1" applyFont="1" applyFill="1" applyBorder="1" applyAlignment="1"/>
    <xf numFmtId="1" fontId="33" fillId="0" borderId="8" xfId="0" applyNumberFormat="1" applyFont="1" applyFill="1" applyBorder="1"/>
    <xf numFmtId="0" fontId="8" fillId="0" borderId="8" xfId="0" applyFont="1" applyBorder="1" applyAlignment="1">
      <alignment horizontal="left"/>
    </xf>
    <xf numFmtId="165" fontId="8" fillId="11" borderId="0" xfId="0" applyNumberFormat="1" applyFont="1" applyFill="1"/>
    <xf numFmtId="0" fontId="12" fillId="5" borderId="0" xfId="0" applyFont="1" applyFill="1"/>
    <xf numFmtId="166" fontId="8" fillId="0" borderId="0" xfId="0" applyNumberFormat="1" applyFont="1" applyFill="1"/>
    <xf numFmtId="3" fontId="8" fillId="4" borderId="1" xfId="0" applyNumberFormat="1" applyFont="1" applyFill="1" applyBorder="1" applyAlignment="1">
      <alignment horizontal="right"/>
    </xf>
    <xf numFmtId="3" fontId="8" fillId="4" borderId="2" xfId="0" applyNumberFormat="1" applyFont="1" applyFill="1" applyBorder="1" applyAlignment="1">
      <alignment horizontal="right"/>
    </xf>
    <xf numFmtId="3" fontId="8" fillId="4" borderId="1" xfId="0" applyNumberFormat="1" applyFont="1" applyFill="1" applyBorder="1"/>
    <xf numFmtId="2" fontId="8" fillId="0" borderId="8" xfId="0" applyNumberFormat="1" applyFont="1" applyBorder="1" applyAlignment="1">
      <alignment horizontal="left"/>
    </xf>
    <xf numFmtId="1" fontId="8" fillId="0" borderId="8" xfId="0" applyNumberFormat="1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1" fontId="8" fillId="4" borderId="8" xfId="0" applyNumberFormat="1" applyFont="1" applyFill="1" applyBorder="1" applyAlignment="1">
      <alignment horizontal="left"/>
    </xf>
    <xf numFmtId="2" fontId="8" fillId="4" borderId="8" xfId="0" applyNumberFormat="1" applyFont="1" applyFill="1" applyBorder="1" applyAlignment="1">
      <alignment horizontal="left"/>
    </xf>
    <xf numFmtId="170" fontId="44" fillId="4" borderId="8" xfId="1" applyNumberFormat="1" applyFont="1" applyFill="1" applyBorder="1"/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Border="1" applyAlignment="1">
      <alignment wrapText="1"/>
    </xf>
    <xf numFmtId="3" fontId="8" fillId="0" borderId="0" xfId="0" applyNumberFormat="1" applyFont="1" applyBorder="1"/>
    <xf numFmtId="3" fontId="8" fillId="0" borderId="0" xfId="0" applyNumberFormat="1" applyFont="1" applyFill="1" applyBorder="1"/>
    <xf numFmtId="3" fontId="8" fillId="0" borderId="0" xfId="0" quotePrefix="1" applyNumberFormat="1" applyFont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166" fontId="8" fillId="0" borderId="8" xfId="0" applyNumberFormat="1" applyFont="1" applyFill="1" applyBorder="1" applyAlignment="1">
      <alignment horizontal="center"/>
    </xf>
    <xf numFmtId="171" fontId="8" fillId="0" borderId="8" xfId="0" applyNumberFormat="1" applyFont="1" applyBorder="1" applyAlignment="1">
      <alignment horizontal="center"/>
    </xf>
    <xf numFmtId="166" fontId="10" fillId="0" borderId="8" xfId="0" applyNumberFormat="1" applyFont="1" applyFill="1" applyBorder="1" applyAlignment="1">
      <alignment horizontal="center"/>
    </xf>
    <xf numFmtId="166" fontId="8" fillId="0" borderId="8" xfId="0" applyNumberFormat="1" applyFont="1" applyBorder="1" applyAlignment="1">
      <alignment horizontal="center"/>
    </xf>
    <xf numFmtId="165" fontId="8" fillId="0" borderId="8" xfId="1" applyNumberFormat="1" applyFont="1" applyFill="1" applyBorder="1" applyAlignment="1">
      <alignment horizontal="center"/>
    </xf>
    <xf numFmtId="165" fontId="8" fillId="0" borderId="8" xfId="1" applyNumberFormat="1" applyFont="1" applyFill="1" applyBorder="1"/>
    <xf numFmtId="165" fontId="10" fillId="0" borderId="8" xfId="1" applyNumberFormat="1" applyFont="1" applyFill="1" applyBorder="1"/>
    <xf numFmtId="165" fontId="10" fillId="0" borderId="8" xfId="1" quotePrefix="1" applyNumberFormat="1" applyFont="1" applyFill="1" applyBorder="1"/>
    <xf numFmtId="165" fontId="8" fillId="0" borderId="8" xfId="1" applyNumberFormat="1" applyFont="1" applyBorder="1"/>
    <xf numFmtId="165" fontId="8" fillId="0" borderId="8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7" fillId="0" borderId="0" xfId="0" applyFont="1"/>
    <xf numFmtId="0" fontId="48" fillId="0" borderId="8" xfId="0" applyFont="1" applyBorder="1"/>
    <xf numFmtId="0" fontId="49" fillId="0" borderId="0" xfId="0" applyFont="1"/>
    <xf numFmtId="0" fontId="48" fillId="0" borderId="1" xfId="0" applyFont="1" applyBorder="1"/>
    <xf numFmtId="0" fontId="48" fillId="0" borderId="2" xfId="0" applyFont="1" applyBorder="1"/>
    <xf numFmtId="0" fontId="48" fillId="0" borderId="3" xfId="0" applyFont="1" applyBorder="1" applyAlignment="1">
      <alignment horizontal="center"/>
    </xf>
    <xf numFmtId="0" fontId="48" fillId="4" borderId="8" xfId="0" applyFont="1" applyFill="1" applyBorder="1"/>
    <xf numFmtId="0" fontId="48" fillId="0" borderId="8" xfId="0" applyFont="1" applyBorder="1" applyAlignment="1">
      <alignment horizontal="center"/>
    </xf>
    <xf numFmtId="1" fontId="0" fillId="0" borderId="0" xfId="0" applyNumberFormat="1"/>
    <xf numFmtId="0" fontId="48" fillId="0" borderId="8" xfId="0" applyFont="1" applyFill="1" applyBorder="1" applyAlignment="1">
      <alignment horizontal="center"/>
    </xf>
    <xf numFmtId="1" fontId="0" fillId="0" borderId="8" xfId="0" applyNumberFormat="1" applyBorder="1"/>
    <xf numFmtId="4" fontId="10" fillId="0" borderId="0" xfId="0" applyNumberFormat="1" applyFont="1"/>
    <xf numFmtId="0" fontId="48" fillId="0" borderId="4" xfId="0" applyFont="1" applyBorder="1"/>
    <xf numFmtId="0" fontId="48" fillId="0" borderId="10" xfId="0" applyFont="1" applyFill="1" applyBorder="1"/>
    <xf numFmtId="1" fontId="30" fillId="0" borderId="12" xfId="0" applyNumberFormat="1" applyFont="1" applyFill="1" applyBorder="1" applyAlignment="1" applyProtection="1"/>
    <xf numFmtId="1" fontId="30" fillId="0" borderId="12" xfId="0" applyNumberFormat="1" applyFont="1" applyFill="1" applyBorder="1" applyAlignment="1" applyProtection="1">
      <alignment horizontal="right"/>
    </xf>
    <xf numFmtId="0" fontId="0" fillId="0" borderId="8" xfId="0" applyFill="1" applyBorder="1"/>
    <xf numFmtId="0" fontId="48" fillId="0" borderId="8" xfId="0" applyFont="1" applyFill="1" applyBorder="1"/>
    <xf numFmtId="0" fontId="27" fillId="0" borderId="8" xfId="0" applyFont="1" applyFill="1" applyBorder="1" applyAlignment="1"/>
    <xf numFmtId="165" fontId="2" fillId="0" borderId="4" xfId="1" applyNumberFormat="1" applyFont="1" applyFill="1" applyBorder="1" applyAlignment="1" applyProtection="1"/>
    <xf numFmtId="0" fontId="0" fillId="0" borderId="4" xfId="0" applyBorder="1"/>
    <xf numFmtId="2" fontId="33" fillId="0" borderId="8" xfId="0" applyNumberFormat="1" applyFont="1" applyFill="1" applyBorder="1"/>
    <xf numFmtId="0" fontId="7" fillId="0" borderId="9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0" xfId="0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3" fontId="10" fillId="0" borderId="1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0" fontId="45" fillId="0" borderId="1" xfId="0" applyFont="1" applyBorder="1" applyAlignment="1">
      <alignment horizontal="center"/>
    </xf>
    <xf numFmtId="0" fontId="27" fillId="0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" fontId="27" fillId="0" borderId="8" xfId="0" applyNumberFormat="1" applyFont="1" applyFill="1" applyBorder="1" applyAlignment="1">
      <alignment horizontal="center"/>
    </xf>
    <xf numFmtId="1" fontId="30" fillId="0" borderId="8" xfId="0" applyNumberFormat="1" applyFont="1" applyFill="1" applyBorder="1" applyAlignment="1">
      <alignment horizontal="center"/>
    </xf>
    <xf numFmtId="1" fontId="30" fillId="0" borderId="5" xfId="0" applyNumberFormat="1" applyFont="1" applyFill="1" applyBorder="1" applyAlignment="1" applyProtection="1">
      <alignment horizontal="center"/>
    </xf>
    <xf numFmtId="1" fontId="30" fillId="0" borderId="6" xfId="0" applyNumberFormat="1" applyFont="1" applyFill="1" applyBorder="1" applyAlignment="1" applyProtection="1">
      <alignment horizontal="center"/>
    </xf>
    <xf numFmtId="0" fontId="27" fillId="0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27" fillId="0" borderId="0" xfId="0" applyFont="1" applyFill="1" applyBorder="1" applyAlignment="1">
      <alignment wrapText="1"/>
    </xf>
    <xf numFmtId="0" fontId="27" fillId="0" borderId="0" xfId="0" applyFont="1" applyFill="1" applyBorder="1" applyAlignment="1">
      <alignment horizontal="center"/>
    </xf>
    <xf numFmtId="0" fontId="27" fillId="0" borderId="7" xfId="0" applyFont="1" applyFill="1" applyBorder="1" applyAlignment="1">
      <alignment horizontal="center"/>
    </xf>
    <xf numFmtId="0" fontId="27" fillId="10" borderId="0" xfId="0" applyFont="1" applyFill="1" applyBorder="1" applyAlignment="1">
      <alignment wrapText="1"/>
    </xf>
    <xf numFmtId="0" fontId="27" fillId="0" borderId="0" xfId="0" applyFont="1" applyFill="1" applyBorder="1" applyAlignment="1">
      <alignment horizontal="center" wrapText="1"/>
    </xf>
    <xf numFmtId="0" fontId="27" fillId="0" borderId="7" xfId="0" applyFont="1" applyFill="1" applyBorder="1" applyAlignment="1">
      <alignment wrapText="1"/>
    </xf>
    <xf numFmtId="0" fontId="27" fillId="0" borderId="10" xfId="0" applyFont="1" applyFill="1" applyBorder="1" applyAlignment="1">
      <alignment horizontal="center"/>
    </xf>
    <xf numFmtId="0" fontId="27" fillId="0" borderId="8" xfId="0" applyFont="1" applyFill="1" applyBorder="1" applyAlignment="1">
      <alignment horizontal="center"/>
    </xf>
    <xf numFmtId="0" fontId="27" fillId="0" borderId="8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30" fillId="0" borderId="0" xfId="0" applyFont="1" applyFill="1" applyBorder="1" applyAlignment="1">
      <alignment horizontal="center"/>
    </xf>
    <xf numFmtId="0" fontId="27" fillId="0" borderId="9" xfId="0" applyNumberFormat="1" applyFont="1" applyFill="1" applyBorder="1" applyAlignment="1">
      <alignment horizontal="center" wrapText="1"/>
    </xf>
    <xf numFmtId="0" fontId="27" fillId="0" borderId="1" xfId="0" applyNumberFormat="1" applyFont="1" applyFill="1" applyBorder="1" applyAlignment="1">
      <alignment horizontal="center" wrapText="1"/>
    </xf>
    <xf numFmtId="0" fontId="27" fillId="0" borderId="12" xfId="0" applyNumberFormat="1" applyFont="1" applyFill="1" applyBorder="1" applyAlignment="1">
      <alignment horizontal="center" wrapText="1"/>
    </xf>
    <xf numFmtId="0" fontId="27" fillId="0" borderId="1" xfId="0" applyFont="1" applyFill="1" applyBorder="1" applyAlignment="1">
      <alignment horizontal="center"/>
    </xf>
    <xf numFmtId="0" fontId="27" fillId="0" borderId="12" xfId="0" applyFont="1" applyFill="1" applyBorder="1" applyAlignment="1">
      <alignment horizontal="center"/>
    </xf>
    <xf numFmtId="0" fontId="27" fillId="0" borderId="9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0" fontId="27" fillId="0" borderId="9" xfId="0" applyFont="1" applyFill="1" applyBorder="1" applyAlignment="1">
      <alignment horizontal="center"/>
    </xf>
    <xf numFmtId="2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 applyProtection="1">
      <alignment horizontal="right" vertical="center"/>
    </xf>
    <xf numFmtId="2" fontId="10" fillId="0" borderId="0" xfId="0" applyNumberFormat="1" applyFont="1" applyFill="1" applyAlignment="1">
      <alignment horizontal="right" vertical="center"/>
    </xf>
    <xf numFmtId="2" fontId="10" fillId="0" borderId="0" xfId="0" applyNumberFormat="1" applyFont="1" applyAlignment="1">
      <alignment vertical="center"/>
    </xf>
    <xf numFmtId="165" fontId="10" fillId="0" borderId="0" xfId="1" applyNumberFormat="1" applyFont="1" applyAlignment="1" applyProtection="1">
      <alignment horizontal="right" vertical="center"/>
    </xf>
    <xf numFmtId="165" fontId="10" fillId="0" borderId="0" xfId="1" applyNumberFormat="1" applyFont="1" applyAlignment="1">
      <alignment vertical="center"/>
    </xf>
    <xf numFmtId="165" fontId="10" fillId="0" borderId="0" xfId="1" applyNumberFormat="1" applyFont="1" applyFill="1" applyAlignment="1">
      <alignment horizontal="right" vertical="center"/>
    </xf>
    <xf numFmtId="2" fontId="2" fillId="0" borderId="0" xfId="0" applyNumberFormat="1" applyFont="1" applyAlignment="1">
      <alignment horizontal="right"/>
    </xf>
    <xf numFmtId="165" fontId="2" fillId="0" borderId="0" xfId="1" applyNumberFormat="1" applyFont="1" applyAlignment="1" applyProtection="1">
      <alignment horizontal="right"/>
    </xf>
    <xf numFmtId="165" fontId="2" fillId="0" borderId="0" xfId="1" applyNumberFormat="1" applyFont="1" applyAlignment="1">
      <alignment horizontal="right"/>
    </xf>
    <xf numFmtId="165" fontId="2" fillId="0" borderId="0" xfId="1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right"/>
    </xf>
    <xf numFmtId="2" fontId="2" fillId="0" borderId="0" xfId="0" applyNumberFormat="1" applyFont="1" applyFill="1" applyAlignment="1">
      <alignment horizontal="right" vertical="center"/>
    </xf>
    <xf numFmtId="2" fontId="2" fillId="0" borderId="0" xfId="0" applyNumberFormat="1" applyFont="1" applyFill="1" applyAlignment="1" applyProtection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23" fillId="0" borderId="0" xfId="0" applyNumberFormat="1" applyFont="1" applyFill="1" applyAlignment="1">
      <alignment horizontal="center"/>
    </xf>
    <xf numFmtId="2" fontId="23" fillId="0" borderId="0" xfId="0" applyNumberFormat="1" applyFont="1" applyFill="1" applyAlignment="1" applyProtection="1">
      <alignment horizontal="right"/>
    </xf>
    <xf numFmtId="2" fontId="23" fillId="0" borderId="0" xfId="0" applyNumberFormat="1" applyFont="1" applyFill="1" applyAlignment="1">
      <alignment horizontal="right"/>
    </xf>
    <xf numFmtId="169" fontId="23" fillId="0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 applyProtection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 applyProtection="1">
      <alignment horizontal="right" vertical="center"/>
    </xf>
    <xf numFmtId="165" fontId="2" fillId="0" borderId="0" xfId="1" applyNumberFormat="1" applyFont="1" applyFill="1" applyAlignment="1">
      <alignment horizontal="center" vertical="center"/>
    </xf>
    <xf numFmtId="2" fontId="30" fillId="0" borderId="0" xfId="0" applyNumberFormat="1" applyFont="1" applyFill="1" applyAlignment="1">
      <alignment horizontal="right" vertical="center"/>
    </xf>
    <xf numFmtId="165" fontId="30" fillId="0" borderId="0" xfId="1" applyNumberFormat="1" applyFont="1" applyFill="1" applyAlignment="1" applyProtection="1">
      <alignment horizontal="right" vertical="center"/>
    </xf>
    <xf numFmtId="165" fontId="30" fillId="0" borderId="0" xfId="1" applyNumberFormat="1" applyFont="1" applyFill="1" applyAlignment="1">
      <alignment horizontal="right" vertical="center"/>
    </xf>
    <xf numFmtId="165" fontId="30" fillId="0" borderId="0" xfId="1" applyNumberFormat="1" applyFont="1" applyFill="1" applyAlignment="1">
      <alignment horizontal="right"/>
    </xf>
    <xf numFmtId="2" fontId="2" fillId="0" borderId="0" xfId="0" applyNumberFormat="1" applyFont="1" applyFill="1" applyAlignment="1" applyProtection="1">
      <alignment horizontal="right" vertical="center"/>
    </xf>
    <xf numFmtId="14" fontId="4" fillId="0" borderId="0" xfId="0" applyNumberFormat="1" applyFont="1" applyFill="1" applyAlignment="1">
      <alignment horizontal="left"/>
    </xf>
    <xf numFmtId="2" fontId="2" fillId="0" borderId="0" xfId="0" applyNumberFormat="1" applyFont="1" applyFill="1" applyAlignment="1" applyProtection="1">
      <alignment horizontal="center"/>
    </xf>
    <xf numFmtId="165" fontId="2" fillId="0" borderId="0" xfId="1" applyNumberFormat="1" applyFont="1" applyAlignment="1">
      <alignment horizontal="center" vertical="center"/>
    </xf>
    <xf numFmtId="2" fontId="8" fillId="0" borderId="0" xfId="0" applyNumberFormat="1" applyFont="1" applyFill="1" applyAlignment="1">
      <alignment horizontal="right"/>
    </xf>
    <xf numFmtId="2" fontId="8" fillId="0" borderId="0" xfId="0" applyNumberFormat="1" applyFont="1" applyFill="1" applyAlignment="1">
      <alignment horizontal="center"/>
    </xf>
    <xf numFmtId="165" fontId="8" fillId="0" borderId="0" xfId="1" applyNumberFormat="1" applyFont="1" applyFill="1" applyAlignment="1">
      <alignment horizontal="right"/>
    </xf>
    <xf numFmtId="169" fontId="8" fillId="0" borderId="0" xfId="0" applyNumberFormat="1" applyFont="1" applyAlignment="1">
      <alignment horizontal="left"/>
    </xf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5.1400554097404488E-2"/>
          <c:w val="0.82169203849518813"/>
          <c:h val="0.468715368912219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Graphs!$C$27</c:f>
              <c:strCache>
                <c:ptCount val="1"/>
                <c:pt idx="0">
                  <c:v>Cash cost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  <c:invertIfNegative val="0"/>
          <c:cat>
            <c:strRef>
              <c:f>Graphs!$B$28:$B$45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</c:v>
                </c:pt>
                <c:pt idx="17">
                  <c:v>Whole island</c:v>
                </c:pt>
              </c:strCache>
            </c:strRef>
          </c:cat>
          <c:val>
            <c:numRef>
              <c:f>Graphs!$C$28:$C$45</c:f>
              <c:numCache>
                <c:formatCode>0</c:formatCode>
                <c:ptCount val="18"/>
                <c:pt idx="0">
                  <c:v>110990</c:v>
                </c:pt>
                <c:pt idx="1">
                  <c:v>85462</c:v>
                </c:pt>
                <c:pt idx="2">
                  <c:v>101691</c:v>
                </c:pt>
                <c:pt idx="3">
                  <c:v>138879</c:v>
                </c:pt>
                <c:pt idx="4">
                  <c:v>88577</c:v>
                </c:pt>
                <c:pt idx="5">
                  <c:v>87756</c:v>
                </c:pt>
                <c:pt idx="6">
                  <c:v>78203</c:v>
                </c:pt>
                <c:pt idx="7">
                  <c:v>108477</c:v>
                </c:pt>
                <c:pt idx="8">
                  <c:v>120560</c:v>
                </c:pt>
                <c:pt idx="9">
                  <c:v>72036</c:v>
                </c:pt>
                <c:pt idx="10">
                  <c:v>79853</c:v>
                </c:pt>
                <c:pt idx="11">
                  <c:v>84696</c:v>
                </c:pt>
                <c:pt idx="12">
                  <c:v>85791</c:v>
                </c:pt>
                <c:pt idx="13">
                  <c:v>53056</c:v>
                </c:pt>
                <c:pt idx="14">
                  <c:v>71171</c:v>
                </c:pt>
                <c:pt idx="16" formatCode="General">
                  <c:v>110253</c:v>
                </c:pt>
                <c:pt idx="17">
                  <c:v>82582</c:v>
                </c:pt>
              </c:numCache>
            </c:numRef>
          </c:val>
        </c:ser>
        <c:ser>
          <c:idx val="1"/>
          <c:order val="1"/>
          <c:tx>
            <c:strRef>
              <c:f>Graphs!$D$27</c:f>
              <c:strCache>
                <c:ptCount val="1"/>
                <c:pt idx="0">
                  <c:v>own cost</c:v>
                </c:pt>
              </c:strCache>
            </c:strRef>
          </c:tx>
          <c:spPr>
            <a:pattFill prst="lt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strRef>
              <c:f>Graphs!$B$28:$B$45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</c:v>
                </c:pt>
                <c:pt idx="17">
                  <c:v>Whole island</c:v>
                </c:pt>
              </c:strCache>
            </c:strRef>
          </c:cat>
          <c:val>
            <c:numRef>
              <c:f>Graphs!$D$28:$D$45</c:f>
              <c:numCache>
                <c:formatCode>0</c:formatCode>
                <c:ptCount val="18"/>
                <c:pt idx="0">
                  <c:v>14879</c:v>
                </c:pt>
                <c:pt idx="1">
                  <c:v>22165</c:v>
                </c:pt>
                <c:pt idx="2">
                  <c:v>30337</c:v>
                </c:pt>
                <c:pt idx="3">
                  <c:v>34622</c:v>
                </c:pt>
                <c:pt idx="4">
                  <c:v>38434</c:v>
                </c:pt>
                <c:pt idx="5">
                  <c:v>37449</c:v>
                </c:pt>
                <c:pt idx="6">
                  <c:v>31101</c:v>
                </c:pt>
                <c:pt idx="7">
                  <c:v>28618</c:v>
                </c:pt>
                <c:pt idx="8">
                  <c:v>28456</c:v>
                </c:pt>
                <c:pt idx="9">
                  <c:v>31101</c:v>
                </c:pt>
                <c:pt idx="10">
                  <c:v>11188</c:v>
                </c:pt>
                <c:pt idx="11">
                  <c:v>31559</c:v>
                </c:pt>
                <c:pt idx="12">
                  <c:v>36067</c:v>
                </c:pt>
                <c:pt idx="13">
                  <c:v>60269</c:v>
                </c:pt>
                <c:pt idx="14">
                  <c:v>32191</c:v>
                </c:pt>
                <c:pt idx="16">
                  <c:v>27453</c:v>
                </c:pt>
                <c:pt idx="17">
                  <c:v>31892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48379264"/>
        <c:axId val="248380800"/>
      </c:barChart>
      <c:catAx>
        <c:axId val="2483792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8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8380800"/>
        <c:crosses val="autoZero"/>
        <c:auto val="1"/>
        <c:lblAlgn val="ctr"/>
        <c:lblOffset val="100"/>
        <c:noMultiLvlLbl val="0"/>
      </c:catAx>
      <c:valAx>
        <c:axId val="248380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/>
                  <a:t>(Rs'000/ac)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8379264"/>
        <c:crosses val="autoZero"/>
        <c:crossBetween val="between"/>
        <c:dispUnits>
          <c:builtInUnit val="thousands"/>
        </c:dispUnits>
      </c:valAx>
    </c:plotArea>
    <c:legend>
      <c:legendPos val="b"/>
      <c:overlay val="0"/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6057350063162308"/>
          <c:y val="5.1282051282051282E-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Graphs!$B$50</c:f>
              <c:strCache>
                <c:ptCount val="1"/>
                <c:pt idx="0">
                  <c:v>Kalutara</c:v>
                </c:pt>
              </c:strCache>
            </c:strRef>
          </c:tx>
          <c:dPt>
            <c:idx val="0"/>
            <c:bubble3D val="0"/>
            <c:spPr>
              <a:pattFill prst="ltHorz">
                <a:fgClr>
                  <a:schemeClr val="tx1">
                    <a:lumMod val="85000"/>
                    <a:lumOff val="15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75000"/>
                  </a:schemeClr>
                </a:solidFill>
              </a:ln>
            </c:spPr>
          </c:dPt>
          <c:dPt>
            <c:idx val="1"/>
            <c:bubble3D val="0"/>
            <c:spPr>
              <a:pattFill prst="dashVert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2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dPt>
          <c:dLbls>
            <c:dLbl>
              <c:idx val="0"/>
              <c:layout>
                <c:manualLayout>
                  <c:x val="9.9750623441396506E-3"/>
                  <c:y val="-7.17948717948718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0.26932668329177056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9.6425602660016624E-2"/>
                  <c:y val="-7.69230769230769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2.9925187032418952E-2"/>
                  <c:y val="-4.1025641025641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Graphs!$C$49:$F$49</c:f>
              <c:strCache>
                <c:ptCount val="4"/>
                <c:pt idx="0">
                  <c:v>Labour         </c:v>
                </c:pt>
                <c:pt idx="1">
                  <c:v>Power      </c:v>
                </c:pt>
                <c:pt idx="2">
                  <c:v> Material            </c:v>
                </c:pt>
                <c:pt idx="3">
                  <c:v>Other</c:v>
                </c:pt>
              </c:strCache>
            </c:strRef>
          </c:cat>
          <c:val>
            <c:numRef>
              <c:f>Graphs!$C$50:$F$50</c:f>
              <c:numCache>
                <c:formatCode>General</c:formatCode>
                <c:ptCount val="4"/>
                <c:pt idx="0">
                  <c:v>34</c:v>
                </c:pt>
                <c:pt idx="1">
                  <c:v>33</c:v>
                </c:pt>
                <c:pt idx="2">
                  <c:v>31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77305387404609105"/>
          <c:y val="0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Graphs!$B$54</c:f>
              <c:strCache>
                <c:ptCount val="1"/>
                <c:pt idx="0">
                  <c:v>Hambantota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1"/>
            <c:bubble3D val="0"/>
            <c:spPr>
              <a:pattFill prst="dashVert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</c:spPr>
          </c:dPt>
          <c:dPt>
            <c:idx val="2"/>
            <c:bubble3D val="0"/>
            <c:spPr>
              <a:pattFill prst="dkDnDiag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Labour 26%         
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9.1150911049413627E-2"/>
                  <c:y val="-1.110864944163348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Power      
32%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1.8227360308285163E-2"/>
                  <c:y val="-0.108040278235182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4.2494500326187554E-2"/>
                  <c:y val="-6.13458678881869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Graphs!$C$53:$F$53</c:f>
              <c:strCache>
                <c:ptCount val="4"/>
                <c:pt idx="0">
                  <c:v>Labour         </c:v>
                </c:pt>
                <c:pt idx="1">
                  <c:v>Power      </c:v>
                </c:pt>
                <c:pt idx="2">
                  <c:v> Material            </c:v>
                </c:pt>
                <c:pt idx="3">
                  <c:v>Other</c:v>
                </c:pt>
              </c:strCache>
            </c:strRef>
          </c:cat>
          <c:val>
            <c:numRef>
              <c:f>Graphs!$C$54:$F$54</c:f>
              <c:numCache>
                <c:formatCode>General</c:formatCode>
                <c:ptCount val="4"/>
                <c:pt idx="0">
                  <c:v>26</c:v>
                </c:pt>
                <c:pt idx="1">
                  <c:v>32</c:v>
                </c:pt>
                <c:pt idx="2">
                  <c:v>38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69277031649537E-2"/>
          <c:y val="2.938475665748393E-2"/>
          <c:w val="0.90315209283050157"/>
          <c:h val="0.55077686155372307"/>
        </c:manualLayout>
      </c:layout>
      <c:lineChart>
        <c:grouping val="standard"/>
        <c:varyColors val="0"/>
        <c:ser>
          <c:idx val="0"/>
          <c:order val="0"/>
          <c:tx>
            <c:strRef>
              <c:f>Graphs!$C$88</c:f>
              <c:strCache>
                <c:ptCount val="1"/>
                <c:pt idx="0">
                  <c:v>Family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cat>
            <c:strRef>
              <c:f>Graphs!$B$90:$B$108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Graphs!$C$90:$C$108</c:f>
              <c:numCache>
                <c:formatCode>0</c:formatCode>
                <c:ptCount val="19"/>
                <c:pt idx="0">
                  <c:v>3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12</c:v>
                </c:pt>
                <c:pt idx="9">
                  <c:v>7</c:v>
                </c:pt>
                <c:pt idx="11">
                  <c:v>3</c:v>
                </c:pt>
                <c:pt idx="12">
                  <c:v>12</c:v>
                </c:pt>
                <c:pt idx="13">
                  <c:v>12</c:v>
                </c:pt>
                <c:pt idx="14">
                  <c:v>26</c:v>
                </c:pt>
                <c:pt idx="15">
                  <c:v>12</c:v>
                </c:pt>
                <c:pt idx="17" formatCode="General">
                  <c:v>8</c:v>
                </c:pt>
                <c:pt idx="18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Graphs!$D$88</c:f>
              <c:strCache>
                <c:ptCount val="1"/>
                <c:pt idx="0">
                  <c:v>Hired 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bg1">
                  <a:lumMod val="65000"/>
                  <a:alpha val="60000"/>
                </a:schemeClr>
              </a:solidFill>
              <a:ln w="3175">
                <a:solidFill>
                  <a:schemeClr val="tx1"/>
                </a:solidFill>
              </a:ln>
            </c:spPr>
          </c:marker>
          <c:cat>
            <c:strRef>
              <c:f>Graphs!$B$90:$B$108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Graphs!$D$90:$D$108</c:f>
              <c:numCache>
                <c:formatCode>0</c:formatCode>
                <c:ptCount val="19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11</c:v>
                </c:pt>
                <c:pt idx="8">
                  <c:v>9</c:v>
                </c:pt>
                <c:pt idx="9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5</c:v>
                </c:pt>
                <c:pt idx="14">
                  <c:v>9</c:v>
                </c:pt>
                <c:pt idx="15">
                  <c:v>2</c:v>
                </c:pt>
                <c:pt idx="17" formatCode="General">
                  <c:v>7</c:v>
                </c:pt>
                <c:pt idx="18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Graphs!$E$88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Graphs!$B$90:$B$108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Graphs!$E$90:$E$108</c:f>
              <c:numCache>
                <c:formatCode>0</c:formatCode>
                <c:ptCount val="19"/>
                <c:pt idx="0">
                  <c:v>3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12</c:v>
                </c:pt>
                <c:pt idx="9">
                  <c:v>7</c:v>
                </c:pt>
                <c:pt idx="11">
                  <c:v>3</c:v>
                </c:pt>
                <c:pt idx="12">
                  <c:v>12</c:v>
                </c:pt>
                <c:pt idx="13">
                  <c:v>12</c:v>
                </c:pt>
                <c:pt idx="14">
                  <c:v>26</c:v>
                </c:pt>
                <c:pt idx="15">
                  <c:v>12</c:v>
                </c:pt>
                <c:pt idx="17" formatCode="General">
                  <c:v>15</c:v>
                </c:pt>
                <c:pt idx="18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268096"/>
        <c:axId val="249278464"/>
      </c:lineChart>
      <c:catAx>
        <c:axId val="24926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9278464"/>
        <c:crosses val="autoZero"/>
        <c:auto val="1"/>
        <c:lblAlgn val="ctr"/>
        <c:lblOffset val="100"/>
        <c:noMultiLvlLbl val="0"/>
      </c:catAx>
      <c:valAx>
        <c:axId val="249278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#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mandays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0980028880472992E-3"/>
              <c:y val="0.238894116893924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49268096"/>
        <c:crosses val="autoZero"/>
        <c:crossBetween val="between"/>
      </c:valAx>
      <c:spPr>
        <a:noFill/>
        <a:ln w="6350"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Graphs!$C$112:$C$113</c:f>
              <c:strCache>
                <c:ptCount val="1"/>
                <c:pt idx="0">
                  <c:v>Farm gate Price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Graphs!$B$114:$B$132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Graphs!$C$114:$C$132</c:f>
              <c:numCache>
                <c:formatCode>0.00</c:formatCode>
                <c:ptCount val="19"/>
                <c:pt idx="0">
                  <c:v>79</c:v>
                </c:pt>
                <c:pt idx="1">
                  <c:v>94</c:v>
                </c:pt>
                <c:pt idx="2">
                  <c:v>92</c:v>
                </c:pt>
                <c:pt idx="3">
                  <c:v>86</c:v>
                </c:pt>
                <c:pt idx="4">
                  <c:v>96</c:v>
                </c:pt>
                <c:pt idx="5">
                  <c:v>93</c:v>
                </c:pt>
                <c:pt idx="6">
                  <c:v>92</c:v>
                </c:pt>
                <c:pt idx="7">
                  <c:v>90</c:v>
                </c:pt>
                <c:pt idx="8">
                  <c:v>92</c:v>
                </c:pt>
                <c:pt idx="9">
                  <c:v>82</c:v>
                </c:pt>
                <c:pt idx="11">
                  <c:v>80</c:v>
                </c:pt>
                <c:pt idx="12">
                  <c:v>87</c:v>
                </c:pt>
                <c:pt idx="13">
                  <c:v>87</c:v>
                </c:pt>
                <c:pt idx="14">
                  <c:v>90</c:v>
                </c:pt>
                <c:pt idx="15">
                  <c:v>93</c:v>
                </c:pt>
                <c:pt idx="17">
                  <c:v>90</c:v>
                </c:pt>
                <c:pt idx="18">
                  <c:v>92</c:v>
                </c:pt>
              </c:numCache>
            </c:numRef>
          </c:val>
        </c:ser>
        <c:ser>
          <c:idx val="1"/>
          <c:order val="1"/>
          <c:tx>
            <c:strRef>
              <c:f>Graphs!$D$112:$D$113</c:f>
              <c:strCache>
                <c:ptCount val="1"/>
                <c:pt idx="0">
                  <c:v>Unit Cost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strRef>
              <c:f>Graphs!$B$114:$B$132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Graphs!$D$114:$D$132</c:f>
              <c:numCache>
                <c:formatCode>0.00</c:formatCode>
                <c:ptCount val="19"/>
                <c:pt idx="0">
                  <c:v>64.548205128205126</c:v>
                </c:pt>
                <c:pt idx="1">
                  <c:v>75.263636363636365</c:v>
                </c:pt>
                <c:pt idx="2">
                  <c:v>83.036477987421378</c:v>
                </c:pt>
                <c:pt idx="3">
                  <c:v>76.197189284145807</c:v>
                </c:pt>
                <c:pt idx="4">
                  <c:v>80.032136105860118</c:v>
                </c:pt>
                <c:pt idx="5">
                  <c:v>79.143489254108729</c:v>
                </c:pt>
                <c:pt idx="6">
                  <c:v>78.074285714285708</c:v>
                </c:pt>
                <c:pt idx="7">
                  <c:v>69.380060728744937</c:v>
                </c:pt>
                <c:pt idx="8">
                  <c:v>80.899022801302934</c:v>
                </c:pt>
                <c:pt idx="9">
                  <c:v>78.371580547112458</c:v>
                </c:pt>
                <c:pt idx="11">
                  <c:v>77.153389830508473</c:v>
                </c:pt>
                <c:pt idx="12">
                  <c:v>84.672250546249089</c:v>
                </c:pt>
                <c:pt idx="13">
                  <c:v>85.514385964912279</c:v>
                </c:pt>
                <c:pt idx="14">
                  <c:v>105.32063197026022</c:v>
                </c:pt>
                <c:pt idx="15">
                  <c:v>83.76175040518639</c:v>
                </c:pt>
                <c:pt idx="17">
                  <c:v>77.06</c:v>
                </c:pt>
                <c:pt idx="18">
                  <c:v>84.607538802660756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9296000"/>
        <c:axId val="249297536"/>
      </c:barChart>
      <c:catAx>
        <c:axId val="24929600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297536"/>
        <c:crosses val="autoZero"/>
        <c:auto val="1"/>
        <c:lblAlgn val="ctr"/>
        <c:lblOffset val="100"/>
        <c:noMultiLvlLbl val="0"/>
      </c:catAx>
      <c:valAx>
        <c:axId val="249297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000" b="0">
                    <a:latin typeface="Times New Roman" pitchFamily="18" charset="0"/>
                    <a:cs typeface="Times New Roman" pitchFamily="18" charset="0"/>
                  </a:rPr>
                  <a:t>Farmgate Price/Unit</a:t>
                </a:r>
                <a:r>
                  <a:rPr lang="en-US" sz="1000" b="0" baseline="0">
                    <a:latin typeface="Times New Roman" pitchFamily="18" charset="0"/>
                    <a:cs typeface="Times New Roman" pitchFamily="18" charset="0"/>
                  </a:rPr>
                  <a:t> cost </a:t>
                </a:r>
              </a:p>
              <a:p>
                <a:pPr>
                  <a:defRPr sz="10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000" b="0" baseline="0">
                    <a:latin typeface="Times New Roman" pitchFamily="18" charset="0"/>
                    <a:cs typeface="Times New Roman" pitchFamily="18" charset="0"/>
                  </a:rPr>
                  <a:t>(Rs/kg)</a:t>
                </a:r>
                <a:endParaRPr lang="en-US" sz="10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2960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Graphs!$C$136</c:f>
              <c:strCache>
                <c:ptCount val="1"/>
                <c:pt idx="0">
                  <c:v>Cash cost</c:v>
                </c:pt>
              </c:strCache>
            </c:strRef>
          </c:tx>
          <c:spPr>
            <a:pattFill prst="pct7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Graphs!$B$137:$B$138</c:f>
              <c:strCache>
                <c:ptCount val="2"/>
                <c:pt idx="0">
                  <c:v>Whole island (Irr)</c:v>
                </c:pt>
                <c:pt idx="1">
                  <c:v>Whole island (Rf)</c:v>
                </c:pt>
              </c:strCache>
            </c:strRef>
          </c:cat>
          <c:val>
            <c:numRef>
              <c:f>Graphs!$C$137:$C$138</c:f>
              <c:numCache>
                <c:formatCode>General</c:formatCode>
                <c:ptCount val="2"/>
                <c:pt idx="0">
                  <c:v>110253</c:v>
                </c:pt>
                <c:pt idx="1">
                  <c:v>82582</c:v>
                </c:pt>
              </c:numCache>
            </c:numRef>
          </c:val>
        </c:ser>
        <c:ser>
          <c:idx val="1"/>
          <c:order val="1"/>
          <c:tx>
            <c:strRef>
              <c:f>Graphs!$D$136</c:f>
              <c:strCache>
                <c:ptCount val="1"/>
                <c:pt idx="0">
                  <c:v>own cost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Graphs!$B$137:$B$138</c:f>
              <c:strCache>
                <c:ptCount val="2"/>
                <c:pt idx="0">
                  <c:v>Whole island (Irr)</c:v>
                </c:pt>
                <c:pt idx="1">
                  <c:v>Whole island (Rf)</c:v>
                </c:pt>
              </c:strCache>
            </c:strRef>
          </c:cat>
          <c:val>
            <c:numRef>
              <c:f>Graphs!$D$137:$D$138</c:f>
              <c:numCache>
                <c:formatCode>General</c:formatCode>
                <c:ptCount val="2"/>
                <c:pt idx="0">
                  <c:v>27453</c:v>
                </c:pt>
                <c:pt idx="1">
                  <c:v>31892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49326976"/>
        <c:axId val="249336960"/>
      </c:barChart>
      <c:catAx>
        <c:axId val="2493269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336960"/>
        <c:crosses val="autoZero"/>
        <c:auto val="1"/>
        <c:lblAlgn val="ctr"/>
        <c:lblOffset val="100"/>
        <c:noMultiLvlLbl val="0"/>
      </c:catAx>
      <c:valAx>
        <c:axId val="249336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Cost (Rs'000/ac)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326976"/>
        <c:crosses val="autoZero"/>
        <c:crossBetween val="between"/>
        <c:dispUnits>
          <c:builtInUnit val="thousands"/>
        </c:dispUnits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8584060232489374"/>
          <c:y val="3.1746031746031744E-2"/>
        </c:manualLayout>
      </c:layout>
      <c:overlay val="0"/>
      <c:txPr>
        <a:bodyPr/>
        <a:lstStyle/>
        <a:p>
          <a:pPr>
            <a:defRPr sz="12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Graphs!$B$153</c:f>
              <c:strCache>
                <c:ptCount val="1"/>
                <c:pt idx="0">
                  <c:v>Whole island (Irr)</c:v>
                </c:pt>
              </c:strCache>
            </c:strRef>
          </c:tx>
          <c:dPt>
            <c:idx val="0"/>
            <c:bubble3D val="0"/>
            <c:spPr>
              <a:pattFill prst="dashVert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1"/>
            <c:bubble3D val="0"/>
            <c:spPr>
              <a:pattFill prst="pct70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2"/>
            <c:bubble3D val="0"/>
            <c:spPr>
              <a:pattFill prst="lgGrid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Lbls>
            <c:dLbl>
              <c:idx val="0"/>
              <c:layout>
                <c:manualLayout>
                  <c:x val="-6.0516294838145232E-2"/>
                  <c:y val="-4.26505540974044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0208923884514436"/>
                  <c:y val="-9.36275153105861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13397222222222221"/>
                  <c:y val="-0.1025940507436570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Graphs!$C$152:$F$152</c:f>
              <c:strCache>
                <c:ptCount val="4"/>
                <c:pt idx="0">
                  <c:v>Labour</c:v>
                </c:pt>
                <c:pt idx="1">
                  <c:v>power</c:v>
                </c:pt>
                <c:pt idx="2">
                  <c:v>Material</c:v>
                </c:pt>
                <c:pt idx="3">
                  <c:v>other</c:v>
                </c:pt>
              </c:strCache>
            </c:strRef>
          </c:cat>
          <c:val>
            <c:numRef>
              <c:f>Graphs!$C$153:$F$153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44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69430863755666905"/>
          <c:y val="2.0833333333333332E-2"/>
        </c:manualLayout>
      </c:layout>
      <c:overlay val="0"/>
      <c:txPr>
        <a:bodyPr/>
        <a:lstStyle/>
        <a:p>
          <a:pPr>
            <a:defRPr sz="12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Graphs!$B$157</c:f>
              <c:strCache>
                <c:ptCount val="1"/>
                <c:pt idx="0">
                  <c:v>Whole island (Rf)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dPt>
            <c:idx val="0"/>
            <c:bubble3D val="0"/>
            <c:spPr>
              <a:pattFill prst="wdUpDiag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1"/>
            <c:bubble3D val="0"/>
            <c:spPr>
              <a:pattFill prst="pct60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Pt>
            <c:idx val="2"/>
            <c:bubble3D val="0"/>
            <c:spPr>
              <a:pattFill prst="ltUpDiag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dPt>
          <c:dLbls>
            <c:dLbl>
              <c:idx val="0"/>
              <c:layout>
                <c:manualLayout>
                  <c:x val="2.8311570428696413E-2"/>
                  <c:y val="-8.08460921551472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1.1474628171478565E-2"/>
                  <c:y val="-1.43354476523767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7.6049868766404202E-3"/>
                  <c:y val="-1.92731116943715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Graphs!$C$156:$F$156</c:f>
              <c:strCache>
                <c:ptCount val="4"/>
                <c:pt idx="0">
                  <c:v>Labour</c:v>
                </c:pt>
                <c:pt idx="1">
                  <c:v>power</c:v>
                </c:pt>
                <c:pt idx="2">
                  <c:v>Material</c:v>
                </c:pt>
                <c:pt idx="3">
                  <c:v>other</c:v>
                </c:pt>
              </c:strCache>
            </c:strRef>
          </c:cat>
          <c:val>
            <c:numRef>
              <c:f>Graphs!$C$157:$F$157</c:f>
              <c:numCache>
                <c:formatCode>General</c:formatCode>
                <c:ptCount val="4"/>
                <c:pt idx="0">
                  <c:v>30</c:v>
                </c:pt>
                <c:pt idx="1">
                  <c:v>40</c:v>
                </c:pt>
                <c:pt idx="2">
                  <c:v>29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88472148223906"/>
          <c:y val="0.13732360131239404"/>
          <c:w val="0.71485387726636196"/>
          <c:h val="0.42990120616945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Graphs!$C$168</c:f>
              <c:strCache>
                <c:ptCount val="1"/>
                <c:pt idx="0">
                  <c:v> Gross Return 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Graphs!$B$169:$B$187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Graphs!$C$169:$C$187</c:f>
              <c:numCache>
                <c:formatCode>0</c:formatCode>
                <c:ptCount val="19"/>
                <c:pt idx="0">
                  <c:v>154050</c:v>
                </c:pt>
                <c:pt idx="1">
                  <c:v>134420</c:v>
                </c:pt>
                <c:pt idx="2">
                  <c:v>146280</c:v>
                </c:pt>
                <c:pt idx="3">
                  <c:v>195822</c:v>
                </c:pt>
                <c:pt idx="4">
                  <c:v>152352</c:v>
                </c:pt>
                <c:pt idx="5">
                  <c:v>147126</c:v>
                </c:pt>
                <c:pt idx="6">
                  <c:v>128800</c:v>
                </c:pt>
                <c:pt idx="7">
                  <c:v>177840</c:v>
                </c:pt>
                <c:pt idx="8">
                  <c:v>169464</c:v>
                </c:pt>
                <c:pt idx="9">
                  <c:v>107912</c:v>
                </c:pt>
                <c:pt idx="11">
                  <c:v>94400</c:v>
                </c:pt>
                <c:pt idx="12">
                  <c:v>119451</c:v>
                </c:pt>
                <c:pt idx="13">
                  <c:v>123975</c:v>
                </c:pt>
                <c:pt idx="14">
                  <c:v>96840</c:v>
                </c:pt>
                <c:pt idx="15">
                  <c:v>114762</c:v>
                </c:pt>
                <c:pt idx="17" formatCode="General">
                  <c:v>160830</c:v>
                </c:pt>
                <c:pt idx="18">
                  <c:v>124476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1C-4392-848A-C66A712DFE4B}"/>
            </c:ext>
          </c:extLst>
        </c:ser>
        <c:ser>
          <c:idx val="1"/>
          <c:order val="1"/>
          <c:tx>
            <c:strRef>
              <c:f>Graphs!$D$168</c:f>
              <c:strCache>
                <c:ptCount val="1"/>
                <c:pt idx="0">
                  <c:v>Net return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Graphs!$B$169:$B$187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Graphs!$D$169:$D$187</c:f>
              <c:numCache>
                <c:formatCode>0</c:formatCode>
                <c:ptCount val="19"/>
                <c:pt idx="0">
                  <c:v>43060</c:v>
                </c:pt>
                <c:pt idx="1">
                  <c:v>48958</c:v>
                </c:pt>
                <c:pt idx="2">
                  <c:v>44589</c:v>
                </c:pt>
                <c:pt idx="3">
                  <c:v>56943</c:v>
                </c:pt>
                <c:pt idx="4">
                  <c:v>63775</c:v>
                </c:pt>
                <c:pt idx="5">
                  <c:v>59370</c:v>
                </c:pt>
                <c:pt idx="6">
                  <c:v>50597</c:v>
                </c:pt>
                <c:pt idx="7">
                  <c:v>69363</c:v>
                </c:pt>
                <c:pt idx="8">
                  <c:v>48904</c:v>
                </c:pt>
                <c:pt idx="9">
                  <c:v>35876</c:v>
                </c:pt>
                <c:pt idx="11">
                  <c:v>14547</c:v>
                </c:pt>
                <c:pt idx="12">
                  <c:v>34755</c:v>
                </c:pt>
                <c:pt idx="13">
                  <c:v>38184</c:v>
                </c:pt>
                <c:pt idx="14">
                  <c:v>43784</c:v>
                </c:pt>
                <c:pt idx="15">
                  <c:v>43591</c:v>
                </c:pt>
                <c:pt idx="17">
                  <c:v>50577</c:v>
                </c:pt>
                <c:pt idx="18">
                  <c:v>41894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1C-4392-848A-C66A712DF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9524608"/>
        <c:axId val="249526144"/>
      </c:barChart>
      <c:catAx>
        <c:axId val="24952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526144"/>
        <c:crosses val="autoZero"/>
        <c:auto val="1"/>
        <c:lblAlgn val="ctr"/>
        <c:lblOffset val="100"/>
        <c:noMultiLvlLbl val="0"/>
      </c:catAx>
      <c:valAx>
        <c:axId val="249526144"/>
        <c:scaling>
          <c:orientation val="minMax"/>
          <c:max val="2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900" b="0">
                    <a:latin typeface="Times New Roman" pitchFamily="18" charset="0"/>
                    <a:cs typeface="Times New Roman" pitchFamily="18" charset="0"/>
                  </a:rPr>
                  <a:t>(Rs'000/ac)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524608"/>
        <c:crosses val="autoZero"/>
        <c:crossBetween val="between"/>
        <c:majorUnit val="25000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31828503639457512"/>
          <c:y val="0.87602935014380001"/>
          <c:w val="0.35256414679540765"/>
          <c:h val="0.1221224074940581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Graphs!$D$194</c:f>
              <c:strCache>
                <c:ptCount val="1"/>
                <c:pt idx="0">
                  <c:v>Break even yield (kg/ac)</c:v>
                </c:pt>
              </c:strCache>
            </c:strRef>
          </c:tx>
          <c:invertIfNegative val="0"/>
          <c:cat>
            <c:strRef>
              <c:f>Graphs!$B$195:$B$213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Graphs!$D$195:$D$213</c:f>
              <c:numCache>
                <c:formatCode>0</c:formatCode>
                <c:ptCount val="19"/>
                <c:pt idx="0">
                  <c:v>1593.2784810126582</c:v>
                </c:pt>
                <c:pt idx="1">
                  <c:v>1144.9680851063829</c:v>
                </c:pt>
                <c:pt idx="2">
                  <c:v>1435.0869565217392</c:v>
                </c:pt>
                <c:pt idx="3">
                  <c:v>2017.453488372093</c:v>
                </c:pt>
                <c:pt idx="4">
                  <c:v>1323.03125</c:v>
                </c:pt>
                <c:pt idx="5">
                  <c:v>1346.2903225806451</c:v>
                </c:pt>
                <c:pt idx="6">
                  <c:v>1188.0869565217392</c:v>
                </c:pt>
                <c:pt idx="7">
                  <c:v>1523.2777777777778</c:v>
                </c:pt>
                <c:pt idx="8">
                  <c:v>1619.7391304347825</c:v>
                </c:pt>
                <c:pt idx="9">
                  <c:v>1257.7682926829268</c:v>
                </c:pt>
                <c:pt idx="11">
                  <c:v>1138.0125</c:v>
                </c:pt>
                <c:pt idx="12">
                  <c:v>1336.2643678160919</c:v>
                </c:pt>
                <c:pt idx="13">
                  <c:v>1400.6666666666667</c:v>
                </c:pt>
                <c:pt idx="14">
                  <c:v>1259.1666666666667</c:v>
                </c:pt>
                <c:pt idx="15">
                  <c:v>1111.4193548387098</c:v>
                </c:pt>
                <c:pt idx="17">
                  <c:v>1530</c:v>
                </c:pt>
                <c:pt idx="18">
                  <c:v>1244.2826086956522</c:v>
                </c:pt>
              </c:numCache>
            </c:numRef>
          </c:val>
        </c:ser>
        <c:ser>
          <c:idx val="1"/>
          <c:order val="1"/>
          <c:tx>
            <c:strRef>
              <c:f>Graphs!$E$194</c:f>
              <c:strCache>
                <c:ptCount val="1"/>
                <c:pt idx="0">
                  <c:v> yield gap (kg/ac)</c:v>
                </c:pt>
              </c:strCache>
            </c:strRef>
          </c:tx>
          <c:invertIfNegative val="0"/>
          <c:cat>
            <c:strRef>
              <c:f>Graphs!$B$195:$B$213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Graphs!$E$195:$E$213</c:f>
              <c:numCache>
                <c:formatCode>0</c:formatCode>
                <c:ptCount val="19"/>
                <c:pt idx="0">
                  <c:v>356.72151898734182</c:v>
                </c:pt>
                <c:pt idx="1">
                  <c:v>285.03191489361711</c:v>
                </c:pt>
                <c:pt idx="2">
                  <c:v>154.91304347826076</c:v>
                </c:pt>
                <c:pt idx="3">
                  <c:v>259.54651162790697</c:v>
                </c:pt>
                <c:pt idx="4">
                  <c:v>263.96875</c:v>
                </c:pt>
                <c:pt idx="5">
                  <c:v>235.70967741935488</c:v>
                </c:pt>
                <c:pt idx="6">
                  <c:v>211.91304347826076</c:v>
                </c:pt>
                <c:pt idx="7">
                  <c:v>452.72222222222217</c:v>
                </c:pt>
                <c:pt idx="8">
                  <c:v>222.26086956521749</c:v>
                </c:pt>
                <c:pt idx="9">
                  <c:v>58.231707317073187</c:v>
                </c:pt>
                <c:pt idx="11">
                  <c:v>-105.01250000000005</c:v>
                </c:pt>
                <c:pt idx="12">
                  <c:v>36.735632183908137</c:v>
                </c:pt>
                <c:pt idx="13">
                  <c:v>24.333333333333258</c:v>
                </c:pt>
                <c:pt idx="14">
                  <c:v>-183.16666666666674</c:v>
                </c:pt>
                <c:pt idx="15">
                  <c:v>122.58064516129025</c:v>
                </c:pt>
                <c:pt idx="17">
                  <c:v>257</c:v>
                </c:pt>
                <c:pt idx="18">
                  <c:v>108.71739130434776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49535488"/>
        <c:axId val="249561856"/>
      </c:barChart>
      <c:catAx>
        <c:axId val="2495354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561856"/>
        <c:crosses val="autoZero"/>
        <c:auto val="1"/>
        <c:lblAlgn val="ctr"/>
        <c:lblOffset val="100"/>
        <c:noMultiLvlLbl val="0"/>
      </c:catAx>
      <c:valAx>
        <c:axId val="249561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yield (kg/ac)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6507072032662587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2495354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Graphs!$C$64</c:f>
              <c:strCache>
                <c:ptCount val="1"/>
                <c:pt idx="0">
                  <c:v>Labour</c:v>
                </c:pt>
              </c:strCache>
            </c:strRef>
          </c:tx>
          <c:invertIfNegative val="0"/>
          <c:cat>
            <c:strRef>
              <c:f>Graphs!$B$65:$B$82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Graphs!$C$65:$C$82</c:f>
              <c:numCache>
                <c:formatCode>0</c:formatCode>
                <c:ptCount val="18"/>
                <c:pt idx="0">
                  <c:v>23467</c:v>
                </c:pt>
                <c:pt idx="1">
                  <c:v>27012</c:v>
                </c:pt>
                <c:pt idx="2">
                  <c:v>30524</c:v>
                </c:pt>
                <c:pt idx="3">
                  <c:v>45679</c:v>
                </c:pt>
                <c:pt idx="4">
                  <c:v>44337</c:v>
                </c:pt>
                <c:pt idx="5">
                  <c:v>37073</c:v>
                </c:pt>
                <c:pt idx="6">
                  <c:v>37323</c:v>
                </c:pt>
                <c:pt idx="7">
                  <c:v>43067</c:v>
                </c:pt>
                <c:pt idx="8">
                  <c:v>39060</c:v>
                </c:pt>
                <c:pt idx="9">
                  <c:v>31379</c:v>
                </c:pt>
                <c:pt idx="10">
                  <c:v>25669</c:v>
                </c:pt>
                <c:pt idx="11">
                  <c:v>38264</c:v>
                </c:pt>
                <c:pt idx="12">
                  <c:v>41578</c:v>
                </c:pt>
                <c:pt idx="13">
                  <c:v>69879</c:v>
                </c:pt>
                <c:pt idx="14">
                  <c:v>31918</c:v>
                </c:pt>
                <c:pt idx="16" formatCode="General">
                  <c:v>33878</c:v>
                </c:pt>
                <c:pt idx="17">
                  <c:v>33910</c:v>
                </c:pt>
              </c:numCache>
            </c:numRef>
          </c:val>
        </c:ser>
        <c:ser>
          <c:idx val="1"/>
          <c:order val="1"/>
          <c:tx>
            <c:strRef>
              <c:f>Graphs!$D$64</c:f>
              <c:strCache>
                <c:ptCount val="1"/>
                <c:pt idx="0">
                  <c:v>Power</c:v>
                </c:pt>
              </c:strCache>
            </c:strRef>
          </c:tx>
          <c:invertIfNegative val="0"/>
          <c:cat>
            <c:strRef>
              <c:f>Graphs!$B$65:$B$82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Graphs!$D$65:$D$82</c:f>
              <c:numCache>
                <c:formatCode>0</c:formatCode>
                <c:ptCount val="18"/>
                <c:pt idx="0">
                  <c:v>37015</c:v>
                </c:pt>
                <c:pt idx="1">
                  <c:v>38754</c:v>
                </c:pt>
                <c:pt idx="2">
                  <c:v>44637</c:v>
                </c:pt>
                <c:pt idx="3">
                  <c:v>55706</c:v>
                </c:pt>
                <c:pt idx="4">
                  <c:v>46568</c:v>
                </c:pt>
                <c:pt idx="5">
                  <c:v>43460</c:v>
                </c:pt>
                <c:pt idx="6">
                  <c:v>41283</c:v>
                </c:pt>
                <c:pt idx="7">
                  <c:v>42152</c:v>
                </c:pt>
                <c:pt idx="8">
                  <c:v>48945</c:v>
                </c:pt>
                <c:pt idx="9">
                  <c:v>39796</c:v>
                </c:pt>
                <c:pt idx="10">
                  <c:v>31889</c:v>
                </c:pt>
                <c:pt idx="11">
                  <c:v>46329</c:v>
                </c:pt>
                <c:pt idx="12">
                  <c:v>40824</c:v>
                </c:pt>
                <c:pt idx="13">
                  <c:v>22278</c:v>
                </c:pt>
                <c:pt idx="14">
                  <c:v>44629</c:v>
                </c:pt>
                <c:pt idx="16">
                  <c:v>40761</c:v>
                </c:pt>
                <c:pt idx="17">
                  <c:v>45809</c:v>
                </c:pt>
              </c:numCache>
            </c:numRef>
          </c:val>
        </c:ser>
        <c:ser>
          <c:idx val="2"/>
          <c:order val="2"/>
          <c:tx>
            <c:strRef>
              <c:f>Graphs!$E$64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Graphs!$B$65:$B$82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Graphs!$E$65:$E$82</c:f>
              <c:numCache>
                <c:formatCode>0</c:formatCode>
                <c:ptCount val="18"/>
                <c:pt idx="0">
                  <c:v>62586</c:v>
                </c:pt>
                <c:pt idx="1">
                  <c:v>40511</c:v>
                </c:pt>
                <c:pt idx="2">
                  <c:v>54867</c:v>
                </c:pt>
                <c:pt idx="3">
                  <c:v>66037</c:v>
                </c:pt>
                <c:pt idx="4">
                  <c:v>34606</c:v>
                </c:pt>
                <c:pt idx="5">
                  <c:v>39872</c:v>
                </c:pt>
                <c:pt idx="6">
                  <c:v>28198</c:v>
                </c:pt>
                <c:pt idx="7">
                  <c:v>47476</c:v>
                </c:pt>
                <c:pt idx="8">
                  <c:v>56961</c:v>
                </c:pt>
                <c:pt idx="9">
                  <c:v>29462</c:v>
                </c:pt>
                <c:pt idx="10">
                  <c:v>29983</c:v>
                </c:pt>
                <c:pt idx="11">
                  <c:v>30062</c:v>
                </c:pt>
                <c:pt idx="12">
                  <c:v>37456</c:v>
                </c:pt>
                <c:pt idx="13">
                  <c:v>18168</c:v>
                </c:pt>
                <c:pt idx="14">
                  <c:v>25915</c:v>
                </c:pt>
                <c:pt idx="16">
                  <c:v>60267</c:v>
                </c:pt>
                <c:pt idx="17">
                  <c:v>33555</c:v>
                </c:pt>
              </c:numCache>
            </c:numRef>
          </c:val>
        </c:ser>
        <c:ser>
          <c:idx val="3"/>
          <c:order val="3"/>
          <c:tx>
            <c:strRef>
              <c:f>Graphs!$F$64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cat>
            <c:strRef>
              <c:f>Graphs!$B$65:$B$82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Batticaloa (Rf)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Graphs!$F$65:$F$82</c:f>
              <c:numCache>
                <c:formatCode>0</c:formatCode>
                <c:ptCount val="18"/>
                <c:pt idx="0">
                  <c:v>2800</c:v>
                </c:pt>
                <c:pt idx="1">
                  <c:v>1350</c:v>
                </c:pt>
                <c:pt idx="2">
                  <c:v>2000</c:v>
                </c:pt>
                <c:pt idx="3">
                  <c:v>6079</c:v>
                </c:pt>
                <c:pt idx="4">
                  <c:v>1500</c:v>
                </c:pt>
                <c:pt idx="5">
                  <c:v>4800</c:v>
                </c:pt>
                <c:pt idx="6">
                  <c:v>2500</c:v>
                </c:pt>
                <c:pt idx="7">
                  <c:v>4400</c:v>
                </c:pt>
                <c:pt idx="8">
                  <c:v>4050</c:v>
                </c:pt>
                <c:pt idx="9">
                  <c:v>2500</c:v>
                </c:pt>
                <c:pt idx="10">
                  <c:v>3500</c:v>
                </c:pt>
                <c:pt idx="11">
                  <c:v>1600</c:v>
                </c:pt>
                <c:pt idx="12">
                  <c:v>2000</c:v>
                </c:pt>
                <c:pt idx="13">
                  <c:v>3000</c:v>
                </c:pt>
                <c:pt idx="14">
                  <c:v>900</c:v>
                </c:pt>
                <c:pt idx="16">
                  <c:v>2800</c:v>
                </c:pt>
                <c:pt idx="17">
                  <c:v>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9584640"/>
        <c:axId val="249594624"/>
      </c:barChart>
      <c:catAx>
        <c:axId val="2495846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9594624"/>
        <c:crosses val="autoZero"/>
        <c:auto val="1"/>
        <c:lblAlgn val="ctr"/>
        <c:lblOffset val="100"/>
        <c:noMultiLvlLbl val="0"/>
      </c:catAx>
      <c:valAx>
        <c:axId val="24959462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49584640"/>
        <c:crosses val="autoZero"/>
        <c:crossBetween val="between"/>
        <c:maj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Graphs!$C$219</c:f>
              <c:strCache>
                <c:ptCount val="1"/>
                <c:pt idx="0">
                  <c:v>Yield (kg/ac)</c:v>
                </c:pt>
              </c:strCache>
            </c:strRef>
          </c:tx>
          <c:invertIfNegative val="0"/>
          <c:cat>
            <c:strRef>
              <c:f>Graphs!$B$220:$B$238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Graphs!$C$220:$C$238</c:f>
              <c:numCache>
                <c:formatCode>_(* #,##0_);_(* \(#,##0\);_(* "-"??_);_(@_)</c:formatCode>
                <c:ptCount val="19"/>
                <c:pt idx="0">
                  <c:v>1950</c:v>
                </c:pt>
                <c:pt idx="1">
                  <c:v>1430</c:v>
                </c:pt>
                <c:pt idx="2">
                  <c:v>1590</c:v>
                </c:pt>
                <c:pt idx="3">
                  <c:v>2277</c:v>
                </c:pt>
                <c:pt idx="4">
                  <c:v>1587</c:v>
                </c:pt>
                <c:pt idx="5">
                  <c:v>1582</c:v>
                </c:pt>
                <c:pt idx="6">
                  <c:v>1400</c:v>
                </c:pt>
                <c:pt idx="7">
                  <c:v>1976</c:v>
                </c:pt>
                <c:pt idx="8">
                  <c:v>1842</c:v>
                </c:pt>
                <c:pt idx="9">
                  <c:v>1316</c:v>
                </c:pt>
                <c:pt idx="11">
                  <c:v>1033</c:v>
                </c:pt>
                <c:pt idx="12">
                  <c:v>1373</c:v>
                </c:pt>
                <c:pt idx="13">
                  <c:v>1425</c:v>
                </c:pt>
                <c:pt idx="14">
                  <c:v>1076</c:v>
                </c:pt>
                <c:pt idx="15">
                  <c:v>1234</c:v>
                </c:pt>
                <c:pt idx="17" formatCode="General">
                  <c:v>1787</c:v>
                </c:pt>
                <c:pt idx="18" formatCode="0">
                  <c:v>1353</c:v>
                </c:pt>
              </c:numCache>
            </c:numRef>
          </c:val>
        </c:ser>
        <c:ser>
          <c:idx val="1"/>
          <c:order val="1"/>
          <c:tx>
            <c:strRef>
              <c:f>Graphs!$D$219</c:f>
              <c:strCache>
                <c:ptCount val="1"/>
                <c:pt idx="0">
                  <c:v>Yield 21-22 maha</c:v>
                </c:pt>
              </c:strCache>
            </c:strRef>
          </c:tx>
          <c:invertIfNegative val="0"/>
          <c:cat>
            <c:strRef>
              <c:f>Graphs!$B$220:$B$238</c:f>
              <c:strCache>
                <c:ptCount val="19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Batticaloa (Rf)</c:v>
                </c:pt>
                <c:pt idx="12">
                  <c:v>Gampaha (Rf)</c:v>
                </c:pt>
                <c:pt idx="13">
                  <c:v>Kalutara (Rf)</c:v>
                </c:pt>
                <c:pt idx="14">
                  <c:v>Kandy (Rf)</c:v>
                </c:pt>
                <c:pt idx="15">
                  <c:v>Kurunegala (Rf)</c:v>
                </c:pt>
                <c:pt idx="17">
                  <c:v>Whole island (Irr)</c:v>
                </c:pt>
                <c:pt idx="18">
                  <c:v>Whole island (Rf)</c:v>
                </c:pt>
              </c:strCache>
            </c:strRef>
          </c:cat>
          <c:val>
            <c:numRef>
              <c:f>Graphs!$D$220:$D$238</c:f>
              <c:numCache>
                <c:formatCode>General</c:formatCode>
                <c:ptCount val="19"/>
                <c:pt idx="0">
                  <c:v>1300</c:v>
                </c:pt>
                <c:pt idx="1">
                  <c:v>1554</c:v>
                </c:pt>
                <c:pt idx="2">
                  <c:v>1250</c:v>
                </c:pt>
                <c:pt idx="3">
                  <c:v>1498</c:v>
                </c:pt>
                <c:pt idx="4">
                  <c:v>1400</c:v>
                </c:pt>
                <c:pt idx="5">
                  <c:v>1126</c:v>
                </c:pt>
                <c:pt idx="6">
                  <c:v>1060</c:v>
                </c:pt>
                <c:pt idx="7">
                  <c:v>1172</c:v>
                </c:pt>
                <c:pt idx="8">
                  <c:v>1557</c:v>
                </c:pt>
                <c:pt idx="9">
                  <c:v>1400</c:v>
                </c:pt>
                <c:pt idx="11">
                  <c:v>930</c:v>
                </c:pt>
                <c:pt idx="12">
                  <c:v>1432</c:v>
                </c:pt>
                <c:pt idx="13">
                  <c:v>964</c:v>
                </c:pt>
                <c:pt idx="14">
                  <c:v>959</c:v>
                </c:pt>
                <c:pt idx="15">
                  <c:v>623</c:v>
                </c:pt>
                <c:pt idx="17">
                  <c:v>1374</c:v>
                </c:pt>
                <c:pt idx="18">
                  <c:v>1082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49619584"/>
        <c:axId val="249621120"/>
      </c:barChart>
      <c:catAx>
        <c:axId val="2496195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9621120"/>
        <c:crosses val="autoZero"/>
        <c:auto val="1"/>
        <c:lblAlgn val="ctr"/>
        <c:lblOffset val="100"/>
        <c:noMultiLvlLbl val="0"/>
      </c:catAx>
      <c:valAx>
        <c:axId val="249621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Yield</a:t>
                </a:r>
                <a:r>
                  <a:rPr lang="en-US" b="0" baseline="0"/>
                  <a:t> (kg/ac)</a:t>
                </a:r>
                <a:endParaRPr lang="en-US" b="0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2496195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25</xdr:row>
      <xdr:rowOff>57150</xdr:rowOff>
    </xdr:from>
    <xdr:to>
      <xdr:col>15</xdr:col>
      <xdr:colOff>352425</xdr:colOff>
      <xdr:row>39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12</xdr:col>
      <xdr:colOff>533400</xdr:colOff>
      <xdr:row>59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19</xdr:col>
      <xdr:colOff>247650</xdr:colOff>
      <xdr:row>59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88</xdr:row>
      <xdr:rowOff>1</xdr:rowOff>
    </xdr:from>
    <xdr:to>
      <xdr:col>18</xdr:col>
      <xdr:colOff>114300</xdr:colOff>
      <xdr:row>105</xdr:row>
      <xdr:rowOff>190501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112</xdr:row>
      <xdr:rowOff>0</xdr:rowOff>
    </xdr:from>
    <xdr:to>
      <xdr:col>15</xdr:col>
      <xdr:colOff>315968</xdr:colOff>
      <xdr:row>128</xdr:row>
      <xdr:rowOff>24196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134</xdr:row>
      <xdr:rowOff>0</xdr:rowOff>
    </xdr:from>
    <xdr:to>
      <xdr:col>12</xdr:col>
      <xdr:colOff>514350</xdr:colOff>
      <xdr:row>148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152</xdr:row>
      <xdr:rowOff>0</xdr:rowOff>
    </xdr:from>
    <xdr:to>
      <xdr:col>13</xdr:col>
      <xdr:colOff>123824</xdr:colOff>
      <xdr:row>164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152</xdr:row>
      <xdr:rowOff>0</xdr:rowOff>
    </xdr:from>
    <xdr:to>
      <xdr:col>19</xdr:col>
      <xdr:colOff>304800</xdr:colOff>
      <xdr:row>164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952500</xdr:colOff>
      <xdr:row>167</xdr:row>
      <xdr:rowOff>171450</xdr:rowOff>
    </xdr:from>
    <xdr:to>
      <xdr:col>13</xdr:col>
      <xdr:colOff>131707</xdr:colOff>
      <xdr:row>184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lc="http://schemas.openxmlformats.org/drawingml/2006/lockedCanvas" xmlns="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o="urn:schemas-microsoft-com:office:office" xmlns:oel="http://schemas.microsoft.com/office/2019/extlst" xmlns:v="urn:schemas-microsoft-com:vml" xmlns:w10="urn:schemas-microsoft-com:office:word" xmlns:w="http://schemas.openxmlformats.org/wordprocessingml/2006/main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a16="http://schemas.microsoft.com/office/drawing/2014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CF9A73FE-82F5-4B61-A513-C77B9C19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194</xdr:row>
      <xdr:rowOff>66675</xdr:rowOff>
    </xdr:from>
    <xdr:to>
      <xdr:col>12</xdr:col>
      <xdr:colOff>361950</xdr:colOff>
      <xdr:row>208</xdr:row>
      <xdr:rowOff>19050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742950</xdr:colOff>
      <xdr:row>64</xdr:row>
      <xdr:rowOff>9525</xdr:rowOff>
    </xdr:from>
    <xdr:to>
      <xdr:col>13</xdr:col>
      <xdr:colOff>495300</xdr:colOff>
      <xdr:row>77</xdr:row>
      <xdr:rowOff>152400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47625</xdr:colOff>
      <xdr:row>222</xdr:row>
      <xdr:rowOff>142875</xdr:rowOff>
    </xdr:from>
    <xdr:to>
      <xdr:col>12</xdr:col>
      <xdr:colOff>409575</xdr:colOff>
      <xdr:row>237</xdr:row>
      <xdr:rowOff>28575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3/2022-23%20COC/Riceived%20cheked/Paddy/COC-Paddy%20%20Anuradhapura%20-%202022-23%20Mah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3/2022-23%20COC/Riceived%20cheked/Paddy/COC-Paddy%20-Kurunegala%20(Irri)-2022-23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3/2022-23%20COC/Riceived%20cheked/Paddy/Paddy%20Mahaweli%20System%20B%20-%202022-23%20Mah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3/2022-23%20COC/Riceived%20cheked/Paddy/COC%20-Paddy-%20Kuru%20(RF)%202022-2023%20Mah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AP%2022-23%20Maha%20final\2022-23%20final\Paddy%20Mahaweli%20System%20B%20-%202022-23%20Ma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Final table"/>
      <sheetName val="COC Team"/>
      <sheetName val="new"/>
      <sheetName val="Sheet1"/>
      <sheetName val="Sheet2"/>
    </sheetNames>
    <sheetDataSet>
      <sheetData sheetId="0"/>
      <sheetData sheetId="1"/>
      <sheetData sheetId="2"/>
      <sheetData sheetId="3">
        <row r="46">
          <cell r="AS46">
            <v>56.25</v>
          </cell>
        </row>
        <row r="50">
          <cell r="AS50">
            <v>0.67965367965367973</v>
          </cell>
        </row>
        <row r="54">
          <cell r="AS54">
            <v>0.74891774891774898</v>
          </cell>
        </row>
        <row r="55">
          <cell r="AS55">
            <v>2000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Final table"/>
      <sheetName val="Data sheet analysis by chanika"/>
      <sheetName val="edit by coc team"/>
      <sheetName val="Gen Land"/>
      <sheetName val="Plough"/>
      <sheetName val="4WT"/>
      <sheetName val="2WT"/>
      <sheetName val="Plastn bunts"/>
      <sheetName val="Broadcasting"/>
      <sheetName val="Broadcastn 2"/>
      <sheetName val="Variety"/>
      <sheetName val="Fertilizer"/>
      <sheetName val="Fertilizer top dressing"/>
      <sheetName val="MD fertilizer"/>
      <sheetName val="Weedicide and Pesticide"/>
      <sheetName val="Water mgt"/>
      <sheetName val="Harvesting"/>
      <sheetName val="Drying"/>
      <sheetName val="Transport to produce"/>
      <sheetName val="Meal cost"/>
      <sheetName val="av y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E44">
            <v>63.333333333333329</v>
          </cell>
        </row>
      </sheetData>
      <sheetData sheetId="14">
        <row r="2">
          <cell r="M2">
            <v>1.5281124497991967</v>
          </cell>
        </row>
        <row r="4">
          <cell r="M4">
            <v>1.5281124497991967</v>
          </cell>
        </row>
      </sheetData>
      <sheetData sheetId="15">
        <row r="34">
          <cell r="H34">
            <v>2166.6666666666665</v>
          </cell>
        </row>
        <row r="38">
          <cell r="C38">
            <v>0.52335164835164838</v>
          </cell>
        </row>
        <row r="40">
          <cell r="C40">
            <v>1.5533516483516485</v>
          </cell>
        </row>
      </sheetData>
      <sheetData sheetId="16"/>
      <sheetData sheetId="17"/>
      <sheetData sheetId="18">
        <row r="34">
          <cell r="F34">
            <v>2166.6666666666665</v>
          </cell>
        </row>
      </sheetData>
      <sheetData sheetId="19">
        <row r="38">
          <cell r="D38">
            <v>0.28786307053941906</v>
          </cell>
        </row>
        <row r="40">
          <cell r="D40">
            <v>0.35286307053941907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Analized Sheet"/>
      <sheetName val="Final table"/>
      <sheetName val="Print"/>
      <sheetName val="JAP final"/>
    </sheetNames>
    <sheetDataSet>
      <sheetData sheetId="0"/>
      <sheetData sheetId="1">
        <row r="43">
          <cell r="N43">
            <v>2.35</v>
          </cell>
        </row>
        <row r="44">
          <cell r="N44">
            <v>2.5</v>
          </cell>
          <cell r="BD44">
            <v>66.666666666666657</v>
          </cell>
          <cell r="FV44">
            <v>93.333333333333329</v>
          </cell>
          <cell r="LU44">
            <v>83.333333333333343</v>
          </cell>
        </row>
        <row r="45">
          <cell r="FV45">
            <v>50</v>
          </cell>
        </row>
        <row r="46">
          <cell r="DR46">
            <v>86.666666666666671</v>
          </cell>
          <cell r="EE46">
            <v>100</v>
          </cell>
          <cell r="HV46">
            <v>96.666666666666671</v>
          </cell>
          <cell r="IH46">
            <v>60</v>
          </cell>
          <cell r="JB46">
            <v>100</v>
          </cell>
          <cell r="JO46">
            <v>100</v>
          </cell>
          <cell r="LL46">
            <v>63.333333333333329</v>
          </cell>
        </row>
        <row r="47">
          <cell r="AS47">
            <v>86.666666666666671</v>
          </cell>
          <cell r="EO47">
            <v>66.666666666666657</v>
          </cell>
        </row>
        <row r="48">
          <cell r="BD48">
            <v>0.50507614213197971</v>
          </cell>
          <cell r="BG48">
            <v>1.0588235294117647</v>
          </cell>
          <cell r="LU48">
            <v>0.17307017543859651</v>
          </cell>
        </row>
        <row r="50">
          <cell r="DR50">
            <v>2.2357723577235773</v>
          </cell>
          <cell r="EE50">
            <v>0.6028368794326241</v>
          </cell>
          <cell r="GY50">
            <v>0.66496453900709218</v>
          </cell>
          <cell r="HV50">
            <v>0.24306569343065693</v>
          </cell>
          <cell r="IH50">
            <v>0.34853932584269665</v>
          </cell>
          <cell r="JB50">
            <v>3.2358156028368796</v>
          </cell>
          <cell r="JO50">
            <v>0.3475177304964539</v>
          </cell>
          <cell r="LL50">
            <v>1.024390243902439</v>
          </cell>
        </row>
        <row r="51">
          <cell r="AS51">
            <v>0.78099173553719003</v>
          </cell>
        </row>
        <row r="52">
          <cell r="BD52">
            <v>0.50507614213197971</v>
          </cell>
          <cell r="LU52">
            <v>0.38359649122807016</v>
          </cell>
        </row>
        <row r="53">
          <cell r="LU53">
            <v>2125</v>
          </cell>
        </row>
        <row r="54">
          <cell r="DR54">
            <v>4.308943089430894</v>
          </cell>
          <cell r="EE54">
            <v>2.2056737588652484</v>
          </cell>
          <cell r="GY54">
            <v>0.68092198581560281</v>
          </cell>
          <cell r="HV54">
            <v>0.3362043795620438</v>
          </cell>
          <cell r="IH54">
            <v>0.40202247191011237</v>
          </cell>
          <cell r="JB54">
            <v>3.2358156028368796</v>
          </cell>
          <cell r="JO54">
            <v>0.79971631205673765</v>
          </cell>
          <cell r="LL54">
            <v>1.8780487804878048</v>
          </cell>
        </row>
        <row r="55">
          <cell r="AS55">
            <v>0.86363636363636354</v>
          </cell>
          <cell r="GY55">
            <v>2500</v>
          </cell>
          <cell r="IH55">
            <v>3000</v>
          </cell>
        </row>
        <row r="56">
          <cell r="AS56">
            <v>2500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C team edited"/>
      <sheetName val="DAta sheet"/>
      <sheetName val="Final table"/>
      <sheetName val="Gen land"/>
      <sheetName val="4wt"/>
      <sheetName val="2WT"/>
      <sheetName val="PLASTERRING"/>
      <sheetName val="brodcasting"/>
      <sheetName val="Fertilizer"/>
      <sheetName val="Fertilizer top"/>
      <sheetName val="Weedicide Pest"/>
      <sheetName val="Harvesting"/>
      <sheetName val="Drying"/>
      <sheetName val="Transport to produce"/>
      <sheetName val="Meal cost"/>
      <sheetName val="Ave 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7">
          <cell r="X37">
            <v>2250</v>
          </cell>
        </row>
        <row r="39">
          <cell r="S39">
            <v>0.63942307692307676</v>
          </cell>
        </row>
        <row r="41">
          <cell r="S41">
            <v>1.0341599190283399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Analized Sheet"/>
      <sheetName val="Final table"/>
      <sheetName val="Print"/>
      <sheetName val="JAP final"/>
    </sheetNames>
    <sheetDataSet>
      <sheetData sheetId="0" refreshError="1"/>
      <sheetData sheetId="1" refreshError="1">
        <row r="44">
          <cell r="MZ44">
            <v>6679.1395348837214</v>
          </cell>
        </row>
        <row r="46">
          <cell r="EE46">
            <v>100</v>
          </cell>
          <cell r="JB46">
            <v>100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261"/>
  <sheetViews>
    <sheetView topLeftCell="K13" workbookViewId="0">
      <selection activeCell="N28" sqref="N28:AG46"/>
    </sheetView>
  </sheetViews>
  <sheetFormatPr defaultRowHeight="12.75" x14ac:dyDescent="0.2"/>
  <cols>
    <col min="1" max="1" width="15" style="56" customWidth="1"/>
    <col min="2" max="2" width="19.28515625" style="56" customWidth="1"/>
    <col min="3" max="3" width="13.28515625" style="56" customWidth="1"/>
    <col min="4" max="4" width="13.85546875" style="56" customWidth="1"/>
    <col min="5" max="5" width="9.85546875" style="56" customWidth="1"/>
    <col min="6" max="6" width="12.140625" style="56" customWidth="1"/>
    <col min="7" max="7" width="11.7109375" style="56" customWidth="1"/>
    <col min="8" max="8" width="13.42578125" style="56" customWidth="1"/>
    <col min="9" max="9" width="15.42578125" style="56" customWidth="1"/>
    <col min="10" max="10" width="17.140625" style="56" customWidth="1"/>
    <col min="11" max="11" width="7" style="56" customWidth="1"/>
    <col min="12" max="12" width="7.7109375" style="56" customWidth="1"/>
    <col min="13" max="13" width="10.140625" style="56" customWidth="1"/>
    <col min="14" max="14" width="14.85546875" style="56" customWidth="1"/>
    <col min="15" max="15" width="6.85546875" style="56" customWidth="1"/>
    <col min="16" max="16" width="6.7109375" style="56" customWidth="1"/>
    <col min="17" max="17" width="4.42578125" style="56" customWidth="1"/>
    <col min="18" max="18" width="6.28515625" style="56" customWidth="1"/>
    <col min="19" max="19" width="6.140625" style="56" customWidth="1"/>
    <col min="20" max="20" width="4.85546875" style="56" customWidth="1"/>
    <col min="21" max="21" width="5.42578125" style="56" customWidth="1"/>
    <col min="22" max="22" width="4.28515625" style="56" customWidth="1"/>
    <col min="23" max="24" width="7.42578125" style="56" customWidth="1"/>
    <col min="25" max="25" width="5" style="56" customWidth="1"/>
    <col min="26" max="26" width="3.42578125" style="56" customWidth="1"/>
    <col min="27" max="27" width="4" style="56" customWidth="1"/>
    <col min="28" max="28" width="4.5703125" style="56" customWidth="1"/>
    <col min="29" max="29" width="3.85546875" style="56" customWidth="1"/>
    <col min="30" max="30" width="4.140625" style="56" customWidth="1"/>
    <col min="31" max="31" width="5" style="56" customWidth="1"/>
    <col min="32" max="32" width="5.42578125" style="56" customWidth="1"/>
    <col min="33" max="34" width="3.5703125" style="56" customWidth="1"/>
    <col min="35" max="35" width="3.28515625" style="56" customWidth="1"/>
    <col min="36" max="36" width="4.5703125" style="56" customWidth="1"/>
    <col min="37" max="37" width="4" style="56" customWidth="1"/>
    <col min="38" max="16384" width="9.140625" style="56"/>
  </cols>
  <sheetData>
    <row r="2" spans="2:19" x14ac:dyDescent="0.2">
      <c r="B2" s="118"/>
      <c r="C2" s="944"/>
      <c r="D2" s="939"/>
      <c r="E2" s="939"/>
      <c r="F2" s="939"/>
      <c r="G2" s="939"/>
      <c r="H2" s="944"/>
      <c r="I2" s="938"/>
      <c r="N2" s="56" t="s">
        <v>661</v>
      </c>
      <c r="O2" s="54"/>
      <c r="P2" s="54"/>
      <c r="Q2" s="54"/>
      <c r="R2" s="54"/>
      <c r="S2" s="54"/>
    </row>
    <row r="3" spans="2:19" x14ac:dyDescent="0.2">
      <c r="B3" s="939"/>
      <c r="C3" s="944"/>
      <c r="D3" s="939"/>
      <c r="E3" s="939"/>
      <c r="F3" s="939"/>
      <c r="G3" s="939"/>
      <c r="H3" s="939"/>
      <c r="I3" s="939"/>
      <c r="O3" s="54"/>
      <c r="P3" s="54"/>
      <c r="Q3" s="54"/>
      <c r="R3" s="54"/>
      <c r="S3" s="54"/>
    </row>
    <row r="4" spans="2:19" ht="12.75" customHeight="1" x14ac:dyDescent="0.25">
      <c r="B4" s="788" t="s">
        <v>492</v>
      </c>
      <c r="C4" s="795" t="s">
        <v>669</v>
      </c>
      <c r="D4" s="979" t="s">
        <v>914</v>
      </c>
      <c r="E4" s="980"/>
      <c r="F4" s="790" t="s">
        <v>915</v>
      </c>
      <c r="G4" s="791" t="s">
        <v>916</v>
      </c>
      <c r="H4" s="983" t="s">
        <v>917</v>
      </c>
      <c r="I4" s="940"/>
      <c r="O4" s="54"/>
      <c r="P4" s="54"/>
      <c r="Q4" s="54"/>
      <c r="R4" s="54"/>
      <c r="S4" s="54"/>
    </row>
    <row r="5" spans="2:19" ht="12.75" customHeight="1" x14ac:dyDescent="0.25">
      <c r="B5" s="801"/>
      <c r="C5" s="801"/>
      <c r="D5" s="937" t="s">
        <v>99</v>
      </c>
      <c r="E5" s="937" t="s">
        <v>414</v>
      </c>
      <c r="F5" s="981" t="s">
        <v>639</v>
      </c>
      <c r="G5" s="982"/>
      <c r="H5" s="984"/>
      <c r="I5" s="940"/>
      <c r="O5" s="54"/>
      <c r="P5" s="54"/>
      <c r="Q5" s="54"/>
      <c r="R5" s="54"/>
      <c r="S5" s="54"/>
    </row>
    <row r="6" spans="2:19" x14ac:dyDescent="0.2">
      <c r="B6" s="804" t="s">
        <v>522</v>
      </c>
      <c r="C6" s="805" t="s">
        <v>523</v>
      </c>
      <c r="D6" s="945">
        <v>5.98</v>
      </c>
      <c r="E6" s="946">
        <v>3</v>
      </c>
      <c r="F6" s="949">
        <v>125869</v>
      </c>
      <c r="G6" s="953">
        <v>110990</v>
      </c>
      <c r="H6" s="954">
        <f>+G6/F6*100</f>
        <v>88.178979732896906</v>
      </c>
      <c r="I6" s="941"/>
      <c r="O6" s="54"/>
      <c r="P6" s="54"/>
      <c r="Q6" s="54"/>
      <c r="R6" s="54"/>
      <c r="S6" s="54"/>
    </row>
    <row r="7" spans="2:19" x14ac:dyDescent="0.2">
      <c r="B7" s="804" t="s">
        <v>524</v>
      </c>
      <c r="C7" s="805" t="s">
        <v>523</v>
      </c>
      <c r="D7" s="947">
        <v>2.71</v>
      </c>
      <c r="E7" s="946">
        <v>2</v>
      </c>
      <c r="F7" s="950">
        <v>105275</v>
      </c>
      <c r="G7" s="953">
        <v>83110</v>
      </c>
      <c r="H7" s="954">
        <f t="shared" ref="H7:H23" si="0">+G7/F7*100</f>
        <v>78.945618617905495</v>
      </c>
      <c r="I7" s="941"/>
      <c r="O7" s="54"/>
      <c r="P7" s="54"/>
      <c r="Q7" s="54"/>
      <c r="R7" s="54"/>
      <c r="S7" s="54"/>
    </row>
    <row r="8" spans="2:19" x14ac:dyDescent="0.2">
      <c r="B8" s="804" t="s">
        <v>525</v>
      </c>
      <c r="C8" s="805" t="s">
        <v>523</v>
      </c>
      <c r="D8" s="947">
        <v>1.83</v>
      </c>
      <c r="E8" s="946">
        <v>1</v>
      </c>
      <c r="F8" s="951">
        <v>132028</v>
      </c>
      <c r="G8" s="953">
        <v>101691</v>
      </c>
      <c r="H8" s="954">
        <f t="shared" si="0"/>
        <v>77.022298300360532</v>
      </c>
      <c r="I8" s="941"/>
      <c r="O8" s="54"/>
      <c r="P8" s="54"/>
      <c r="Q8" s="54"/>
      <c r="R8" s="54"/>
      <c r="S8" s="54"/>
    </row>
    <row r="9" spans="2:19" x14ac:dyDescent="0.2">
      <c r="B9" s="804" t="s">
        <v>526</v>
      </c>
      <c r="C9" s="805" t="s">
        <v>523</v>
      </c>
      <c r="D9" s="947">
        <v>2.9</v>
      </c>
      <c r="E9" s="946">
        <v>2.5</v>
      </c>
      <c r="F9" s="949">
        <v>173501</v>
      </c>
      <c r="G9" s="953">
        <v>138879</v>
      </c>
      <c r="H9" s="954">
        <f t="shared" si="0"/>
        <v>80.045071786329757</v>
      </c>
      <c r="I9" s="941"/>
      <c r="O9" s="54"/>
      <c r="P9" s="54"/>
      <c r="Q9" s="54"/>
      <c r="R9" s="54"/>
      <c r="S9" s="54"/>
    </row>
    <row r="10" spans="2:19" x14ac:dyDescent="0.2">
      <c r="B10" s="804" t="s">
        <v>644</v>
      </c>
      <c r="C10" s="805" t="s">
        <v>523</v>
      </c>
      <c r="D10" s="947">
        <v>2.0699999999999998</v>
      </c>
      <c r="E10" s="946">
        <v>1</v>
      </c>
      <c r="F10" s="951">
        <v>127011</v>
      </c>
      <c r="G10" s="953">
        <v>88437</v>
      </c>
      <c r="H10" s="954">
        <f t="shared" si="0"/>
        <v>69.629402177764135</v>
      </c>
      <c r="I10" s="941"/>
      <c r="O10" s="54"/>
      <c r="P10" s="54"/>
      <c r="Q10" s="54"/>
      <c r="R10" s="54"/>
      <c r="S10" s="54"/>
    </row>
    <row r="11" spans="2:19" x14ac:dyDescent="0.2">
      <c r="B11" s="804" t="s">
        <v>528</v>
      </c>
      <c r="C11" s="805" t="s">
        <v>523</v>
      </c>
      <c r="D11" s="947">
        <v>2.17</v>
      </c>
      <c r="E11" s="946">
        <v>2</v>
      </c>
      <c r="F11" s="950">
        <v>125205</v>
      </c>
      <c r="G11" s="953">
        <v>87756</v>
      </c>
      <c r="H11" s="954">
        <f t="shared" si="0"/>
        <v>70.089852641667662</v>
      </c>
      <c r="I11" s="941"/>
      <c r="O11" s="54"/>
      <c r="P11" s="54"/>
      <c r="Q11" s="54"/>
      <c r="R11" s="54"/>
      <c r="S11" s="54"/>
    </row>
    <row r="12" spans="2:19" x14ac:dyDescent="0.2">
      <c r="B12" s="804" t="s">
        <v>529</v>
      </c>
      <c r="C12" s="805" t="s">
        <v>523</v>
      </c>
      <c r="D12" s="947">
        <v>2.35</v>
      </c>
      <c r="E12" s="946">
        <v>2.5</v>
      </c>
      <c r="F12" s="951">
        <v>109304</v>
      </c>
      <c r="G12" s="953">
        <v>78203</v>
      </c>
      <c r="H12" s="954">
        <f t="shared" si="0"/>
        <v>71.546329503037398</v>
      </c>
      <c r="I12" s="941"/>
      <c r="O12" s="54"/>
      <c r="P12" s="54"/>
      <c r="Q12" s="54"/>
      <c r="R12" s="54"/>
      <c r="S12" s="54"/>
    </row>
    <row r="13" spans="2:19" x14ac:dyDescent="0.2">
      <c r="B13" s="804" t="s">
        <v>530</v>
      </c>
      <c r="C13" s="805" t="s">
        <v>523</v>
      </c>
      <c r="D13" s="947">
        <v>2.2000000000000002</v>
      </c>
      <c r="E13" s="946">
        <v>2.5</v>
      </c>
      <c r="F13" s="951">
        <v>137095</v>
      </c>
      <c r="G13" s="953">
        <v>108477</v>
      </c>
      <c r="H13" s="954">
        <f t="shared" si="0"/>
        <v>79.125423976074984</v>
      </c>
      <c r="I13" s="941"/>
      <c r="O13" s="54"/>
      <c r="P13" s="54"/>
      <c r="Q13" s="54"/>
      <c r="R13" s="54"/>
      <c r="S13" s="54"/>
    </row>
    <row r="14" spans="2:19" x14ac:dyDescent="0.2">
      <c r="B14" s="804" t="s">
        <v>531</v>
      </c>
      <c r="C14" s="805" t="s">
        <v>523</v>
      </c>
      <c r="D14" s="947">
        <v>1.5</v>
      </c>
      <c r="E14" s="946">
        <v>2.5</v>
      </c>
      <c r="F14" s="951">
        <v>149016</v>
      </c>
      <c r="G14" s="953">
        <v>120560</v>
      </c>
      <c r="H14" s="954">
        <f t="shared" si="0"/>
        <v>80.904063993128247</v>
      </c>
      <c r="I14" s="941"/>
      <c r="O14" s="54"/>
      <c r="P14" s="54"/>
      <c r="Q14" s="54"/>
      <c r="R14" s="54"/>
      <c r="S14" s="54"/>
    </row>
    <row r="15" spans="2:19" x14ac:dyDescent="0.2">
      <c r="B15" s="804" t="s">
        <v>532</v>
      </c>
      <c r="C15" s="805" t="s">
        <v>523</v>
      </c>
      <c r="D15" s="947">
        <v>3</v>
      </c>
      <c r="E15" s="946">
        <v>3</v>
      </c>
      <c r="F15" s="952">
        <v>103138</v>
      </c>
      <c r="G15" s="953">
        <v>72036</v>
      </c>
      <c r="H15" s="954">
        <f t="shared" si="0"/>
        <v>69.84428629603056</v>
      </c>
      <c r="I15" s="941"/>
      <c r="O15" s="54"/>
      <c r="P15" s="54"/>
      <c r="Q15" s="54"/>
      <c r="R15" s="54"/>
      <c r="S15" s="54"/>
    </row>
    <row r="16" spans="2:19" x14ac:dyDescent="0.2">
      <c r="B16" s="804" t="s">
        <v>537</v>
      </c>
      <c r="C16" s="810" t="s">
        <v>534</v>
      </c>
      <c r="D16" s="947">
        <v>3.74</v>
      </c>
      <c r="E16" s="946">
        <v>5</v>
      </c>
      <c r="F16" s="952">
        <v>91041</v>
      </c>
      <c r="G16" s="953">
        <v>79853</v>
      </c>
      <c r="H16" s="954">
        <f t="shared" si="0"/>
        <v>87.711031293592995</v>
      </c>
      <c r="I16" s="941"/>
      <c r="O16" s="54"/>
      <c r="P16" s="54"/>
      <c r="Q16" s="54"/>
      <c r="R16" s="54"/>
      <c r="S16" s="54"/>
    </row>
    <row r="17" spans="2:33" x14ac:dyDescent="0.2">
      <c r="B17" s="804" t="s">
        <v>533</v>
      </c>
      <c r="C17" s="810" t="s">
        <v>534</v>
      </c>
      <c r="D17" s="947">
        <v>1.38</v>
      </c>
      <c r="E17" s="946">
        <v>1</v>
      </c>
      <c r="F17" s="951">
        <v>116255</v>
      </c>
      <c r="G17" s="953">
        <v>84696</v>
      </c>
      <c r="H17" s="954">
        <f t="shared" si="0"/>
        <v>72.853640703625658</v>
      </c>
      <c r="I17" s="941"/>
      <c r="O17" s="54"/>
      <c r="P17" s="54"/>
      <c r="Q17" s="54"/>
      <c r="R17" s="54"/>
      <c r="S17" s="54"/>
    </row>
    <row r="18" spans="2:33" x14ac:dyDescent="0.2">
      <c r="B18" s="804" t="s">
        <v>535</v>
      </c>
      <c r="C18" s="810" t="s">
        <v>534</v>
      </c>
      <c r="D18" s="947">
        <v>1.07</v>
      </c>
      <c r="E18" s="946">
        <v>0.5</v>
      </c>
      <c r="F18" s="953">
        <v>121857</v>
      </c>
      <c r="G18" s="953">
        <v>85791</v>
      </c>
      <c r="H18" s="954">
        <f t="shared" si="0"/>
        <v>70.403013368128214</v>
      </c>
      <c r="I18" s="942"/>
      <c r="O18" s="54"/>
      <c r="P18" s="54"/>
      <c r="Q18" s="54"/>
      <c r="R18" s="54"/>
      <c r="S18" s="54"/>
    </row>
    <row r="19" spans="2:33" x14ac:dyDescent="0.2">
      <c r="B19" s="804" t="s">
        <v>536</v>
      </c>
      <c r="C19" s="810" t="s">
        <v>534</v>
      </c>
      <c r="D19" s="947">
        <v>0.8</v>
      </c>
      <c r="E19" s="946">
        <v>0.5</v>
      </c>
      <c r="F19" s="951">
        <v>113324</v>
      </c>
      <c r="G19" s="953">
        <v>53056</v>
      </c>
      <c r="H19" s="954">
        <f t="shared" si="0"/>
        <v>46.817973244855459</v>
      </c>
      <c r="I19" s="943"/>
      <c r="O19" s="54"/>
      <c r="P19" s="54"/>
      <c r="Q19" s="54"/>
      <c r="R19" s="54"/>
      <c r="S19" s="54"/>
    </row>
    <row r="20" spans="2:33" x14ac:dyDescent="0.2">
      <c r="B20" s="804" t="s">
        <v>918</v>
      </c>
      <c r="C20" s="810" t="s">
        <v>534</v>
      </c>
      <c r="D20" s="947">
        <v>1</v>
      </c>
      <c r="E20" s="946">
        <v>1</v>
      </c>
      <c r="F20" s="951">
        <v>103384</v>
      </c>
      <c r="G20" s="953">
        <v>71171</v>
      </c>
      <c r="H20" s="954">
        <f t="shared" si="0"/>
        <v>68.841406794088059</v>
      </c>
      <c r="I20" s="941"/>
      <c r="O20" s="54"/>
      <c r="P20" s="54"/>
      <c r="Q20" s="54"/>
      <c r="R20" s="54"/>
      <c r="S20" s="54"/>
    </row>
    <row r="21" spans="2:33" x14ac:dyDescent="0.2">
      <c r="B21" s="804" t="s">
        <v>538</v>
      </c>
      <c r="C21" s="813"/>
      <c r="D21" s="948"/>
      <c r="E21" s="946"/>
      <c r="F21" s="953"/>
      <c r="G21" s="953"/>
      <c r="H21" s="954"/>
      <c r="I21" s="118"/>
      <c r="O21" s="54"/>
      <c r="P21" s="54"/>
      <c r="Q21" s="54"/>
      <c r="R21" s="54"/>
      <c r="S21" s="54"/>
    </row>
    <row r="22" spans="2:33" x14ac:dyDescent="0.2">
      <c r="B22" s="804" t="s">
        <v>539</v>
      </c>
      <c r="C22" s="813" t="s">
        <v>523</v>
      </c>
      <c r="D22" s="948">
        <v>3.15</v>
      </c>
      <c r="E22" s="946">
        <v>2.5</v>
      </c>
      <c r="F22" s="953">
        <v>146056</v>
      </c>
      <c r="G22" s="953">
        <v>118603</v>
      </c>
      <c r="H22" s="954">
        <f t="shared" si="0"/>
        <v>81.203784849646709</v>
      </c>
      <c r="I22" s="941"/>
      <c r="O22" s="54"/>
      <c r="P22" s="54"/>
      <c r="Q22" s="54"/>
      <c r="R22" s="54"/>
      <c r="S22" s="54"/>
    </row>
    <row r="23" spans="2:33" x14ac:dyDescent="0.2">
      <c r="B23" s="804" t="s">
        <v>652</v>
      </c>
      <c r="C23" s="813" t="s">
        <v>534</v>
      </c>
      <c r="D23" s="948">
        <v>0.5</v>
      </c>
      <c r="E23" s="946">
        <v>1.1000000000000001</v>
      </c>
      <c r="F23" s="953">
        <v>114424</v>
      </c>
      <c r="G23" s="953">
        <v>82582</v>
      </c>
      <c r="H23" s="954">
        <f t="shared" si="0"/>
        <v>72.171921974410964</v>
      </c>
      <c r="I23" s="941"/>
      <c r="O23" s="54"/>
      <c r="P23" s="54"/>
      <c r="Q23" s="54"/>
      <c r="R23" s="54"/>
      <c r="S23" s="54"/>
    </row>
    <row r="24" spans="2:33" x14ac:dyDescent="0.2">
      <c r="I24" s="118"/>
      <c r="O24" s="54"/>
      <c r="P24" s="54"/>
      <c r="Q24" s="54"/>
      <c r="R24" s="54"/>
      <c r="S24" s="54"/>
    </row>
    <row r="25" spans="2:33" x14ac:dyDescent="0.2">
      <c r="O25" s="54"/>
      <c r="P25" s="54"/>
      <c r="Q25" s="54"/>
      <c r="R25" s="54"/>
      <c r="S25" s="54"/>
    </row>
    <row r="26" spans="2:33" x14ac:dyDescent="0.2">
      <c r="O26" s="54"/>
      <c r="P26" s="54"/>
      <c r="Q26" s="54"/>
      <c r="R26" s="54"/>
      <c r="S26" s="54"/>
    </row>
    <row r="27" spans="2:33" x14ac:dyDescent="0.2">
      <c r="N27" s="54"/>
      <c r="P27" s="54"/>
    </row>
    <row r="28" spans="2:33" ht="39.75" x14ac:dyDescent="0.2">
      <c r="N28" s="822"/>
      <c r="O28" s="823" t="s">
        <v>97</v>
      </c>
      <c r="P28" s="824" t="s">
        <v>284</v>
      </c>
      <c r="Q28" s="824" t="s">
        <v>662</v>
      </c>
      <c r="R28" s="824" t="s">
        <v>185</v>
      </c>
      <c r="S28" s="824" t="s">
        <v>436</v>
      </c>
      <c r="T28" s="824" t="s">
        <v>184</v>
      </c>
      <c r="U28" s="824" t="s">
        <v>187</v>
      </c>
      <c r="V28" s="824" t="s">
        <v>186</v>
      </c>
      <c r="W28" s="824" t="s">
        <v>319</v>
      </c>
      <c r="X28" s="824" t="s">
        <v>188</v>
      </c>
      <c r="Y28" s="824" t="s">
        <v>663</v>
      </c>
      <c r="Z28" s="824" t="s">
        <v>664</v>
      </c>
      <c r="AA28" s="824" t="s">
        <v>625</v>
      </c>
      <c r="AB28" s="824" t="s">
        <v>665</v>
      </c>
      <c r="AC28" s="826" t="s">
        <v>439</v>
      </c>
      <c r="AD28" s="825" t="s">
        <v>189</v>
      </c>
      <c r="AE28" s="825" t="s">
        <v>794</v>
      </c>
      <c r="AF28" s="827" t="s">
        <v>98</v>
      </c>
      <c r="AG28" s="824"/>
    </row>
    <row r="29" spans="2:33" x14ac:dyDescent="0.2">
      <c r="N29" s="804" t="s">
        <v>522</v>
      </c>
      <c r="O29" s="813">
        <v>90</v>
      </c>
      <c r="P29" s="813"/>
      <c r="Q29" s="813"/>
      <c r="R29" s="813"/>
      <c r="S29" s="813"/>
      <c r="T29" s="813"/>
      <c r="U29" s="813"/>
      <c r="V29" s="813"/>
      <c r="W29" s="813"/>
      <c r="X29" s="813"/>
      <c r="Y29" s="813"/>
      <c r="Z29" s="813"/>
      <c r="AA29" s="813"/>
      <c r="AB29" s="813"/>
      <c r="AC29" s="828"/>
      <c r="AD29" s="813"/>
      <c r="AE29" s="813"/>
      <c r="AF29" s="818">
        <v>10</v>
      </c>
      <c r="AG29" s="829">
        <f t="shared" ref="AG29:AG43" si="1">SUM(O29:AF29)</f>
        <v>100</v>
      </c>
    </row>
    <row r="30" spans="2:33" x14ac:dyDescent="0.2">
      <c r="N30" s="830" t="s">
        <v>524</v>
      </c>
      <c r="O30" s="831">
        <v>23</v>
      </c>
      <c r="P30" s="831">
        <v>31</v>
      </c>
      <c r="Q30" s="831">
        <v>23</v>
      </c>
      <c r="R30" s="831"/>
      <c r="S30" s="831"/>
      <c r="T30" s="831"/>
      <c r="U30" s="832"/>
      <c r="V30" s="833"/>
      <c r="X30" s="831"/>
      <c r="Y30" s="831"/>
      <c r="Z30" s="831"/>
      <c r="AA30" s="831"/>
      <c r="AB30" s="831"/>
      <c r="AC30" s="834"/>
      <c r="AD30" s="813"/>
      <c r="AE30" s="813"/>
      <c r="AF30" s="835">
        <v>23</v>
      </c>
      <c r="AG30" s="836">
        <f t="shared" si="1"/>
        <v>100</v>
      </c>
    </row>
    <row r="31" spans="2:33" x14ac:dyDescent="0.2">
      <c r="N31" s="804" t="s">
        <v>525</v>
      </c>
      <c r="O31" s="813"/>
      <c r="P31" s="813"/>
      <c r="Q31" s="813"/>
      <c r="R31" s="813"/>
      <c r="S31" s="813"/>
      <c r="T31" s="813">
        <v>38</v>
      </c>
      <c r="U31" s="813">
        <v>13</v>
      </c>
      <c r="V31" s="813">
        <v>16</v>
      </c>
      <c r="W31" s="813"/>
      <c r="X31" s="813"/>
      <c r="Y31" s="813"/>
      <c r="Z31" s="813"/>
      <c r="AA31" s="813"/>
      <c r="AB31" s="813"/>
      <c r="AC31" s="828"/>
      <c r="AD31" s="813"/>
      <c r="AE31" s="813"/>
      <c r="AF31" s="818">
        <v>33</v>
      </c>
      <c r="AG31" s="829">
        <f t="shared" si="1"/>
        <v>100</v>
      </c>
    </row>
    <row r="32" spans="2:33" x14ac:dyDescent="0.2">
      <c r="N32" s="830" t="s">
        <v>526</v>
      </c>
      <c r="O32" s="813">
        <v>100</v>
      </c>
      <c r="P32" s="813"/>
      <c r="Q32" s="813"/>
      <c r="R32" s="813"/>
      <c r="S32" s="813"/>
      <c r="T32" s="813"/>
      <c r="U32" s="813"/>
      <c r="V32" s="813"/>
      <c r="W32" s="813"/>
      <c r="X32" s="813"/>
      <c r="Y32" s="813"/>
      <c r="Z32" s="813"/>
      <c r="AA32" s="813"/>
      <c r="AB32" s="813"/>
      <c r="AC32" s="828"/>
      <c r="AD32" s="813"/>
      <c r="AE32" s="813"/>
      <c r="AF32" s="818"/>
      <c r="AG32" s="829">
        <f t="shared" si="1"/>
        <v>100</v>
      </c>
    </row>
    <row r="33" spans="2:37" x14ac:dyDescent="0.2">
      <c r="N33" s="804" t="s">
        <v>644</v>
      </c>
      <c r="O33" s="813"/>
      <c r="P33" s="813"/>
      <c r="Q33" s="813"/>
      <c r="R33" s="813">
        <v>24</v>
      </c>
      <c r="S33" s="813">
        <v>12</v>
      </c>
      <c r="T33" s="813">
        <v>36</v>
      </c>
      <c r="U33" s="813"/>
      <c r="V33" s="813"/>
      <c r="W33" s="813">
        <v>16</v>
      </c>
      <c r="X33" s="813">
        <v>5</v>
      </c>
      <c r="Y33" s="813"/>
      <c r="Z33" s="813"/>
      <c r="AA33" s="813"/>
      <c r="AB33" s="813"/>
      <c r="AC33" s="828"/>
      <c r="AD33" s="813"/>
      <c r="AE33" s="813"/>
      <c r="AF33" s="837">
        <v>7</v>
      </c>
      <c r="AG33" s="829">
        <f t="shared" si="1"/>
        <v>100</v>
      </c>
    </row>
    <row r="34" spans="2:37" x14ac:dyDescent="0.2">
      <c r="B34" s="732" t="s">
        <v>631</v>
      </c>
      <c r="D34" s="408"/>
      <c r="E34" s="408"/>
      <c r="F34" s="408"/>
      <c r="G34" s="408"/>
      <c r="H34" s="408"/>
      <c r="I34" s="408"/>
      <c r="N34" s="830" t="s">
        <v>528</v>
      </c>
      <c r="O34" s="838"/>
      <c r="P34" s="838"/>
      <c r="Q34" s="838"/>
      <c r="R34" s="838">
        <v>25</v>
      </c>
      <c r="S34" s="838"/>
      <c r="T34" s="838">
        <v>34</v>
      </c>
      <c r="U34" s="838"/>
      <c r="V34" s="838"/>
      <c r="W34" s="838">
        <v>19</v>
      </c>
      <c r="X34" s="838"/>
      <c r="Y34" s="838"/>
      <c r="Z34" s="838"/>
      <c r="AA34" s="838"/>
      <c r="AB34" s="838"/>
      <c r="AC34" s="839"/>
      <c r="AD34" s="813"/>
      <c r="AE34" s="813"/>
      <c r="AF34" s="840">
        <v>22</v>
      </c>
      <c r="AG34" s="841">
        <f t="shared" si="1"/>
        <v>100</v>
      </c>
    </row>
    <row r="35" spans="2:37" x14ac:dyDescent="0.2">
      <c r="N35" s="804" t="s">
        <v>529</v>
      </c>
      <c r="O35" s="813"/>
      <c r="P35" s="805"/>
      <c r="Q35" s="813"/>
      <c r="R35" s="805">
        <v>43</v>
      </c>
      <c r="S35" s="805"/>
      <c r="T35" s="813"/>
      <c r="U35" s="813"/>
      <c r="V35" s="813">
        <v>30</v>
      </c>
      <c r="W35" s="805"/>
      <c r="X35" s="805"/>
      <c r="Y35" s="813"/>
      <c r="Z35" s="813"/>
      <c r="AA35" s="813"/>
      <c r="AB35" s="813"/>
      <c r="AC35" s="842"/>
      <c r="AD35" s="813"/>
      <c r="AE35" s="813"/>
      <c r="AF35" s="818">
        <v>27</v>
      </c>
      <c r="AG35" s="829">
        <f t="shared" si="1"/>
        <v>100</v>
      </c>
    </row>
    <row r="36" spans="2:37" x14ac:dyDescent="0.2">
      <c r="B36" s="788"/>
      <c r="C36" s="986" t="s">
        <v>632</v>
      </c>
      <c r="D36" s="985"/>
      <c r="E36" s="987"/>
      <c r="F36" s="790" t="s">
        <v>633</v>
      </c>
      <c r="G36" s="791"/>
      <c r="H36" s="792" t="s">
        <v>634</v>
      </c>
      <c r="I36" s="793"/>
      <c r="N36" s="804" t="s">
        <v>666</v>
      </c>
      <c r="O36" s="813"/>
      <c r="P36" s="813"/>
      <c r="Q36" s="813"/>
      <c r="R36" s="813">
        <v>18</v>
      </c>
      <c r="S36" s="813"/>
      <c r="T36" s="813"/>
      <c r="U36" s="813"/>
      <c r="V36" s="813">
        <v>40</v>
      </c>
      <c r="W36" s="813"/>
      <c r="X36" s="813">
        <v>22</v>
      </c>
      <c r="Y36" s="813">
        <v>15</v>
      </c>
      <c r="Z36" s="813"/>
      <c r="AA36" s="813"/>
      <c r="AB36" s="813"/>
      <c r="AC36" s="828"/>
      <c r="AD36" s="813"/>
      <c r="AE36" s="813"/>
      <c r="AF36" s="818">
        <v>5</v>
      </c>
      <c r="AG36" s="829">
        <f t="shared" si="1"/>
        <v>100</v>
      </c>
    </row>
    <row r="37" spans="2:37" x14ac:dyDescent="0.2">
      <c r="B37" s="794" t="s">
        <v>492</v>
      </c>
      <c r="C37" s="795" t="s">
        <v>635</v>
      </c>
      <c r="D37" s="794" t="s">
        <v>636</v>
      </c>
      <c r="E37" s="794" t="s">
        <v>637</v>
      </c>
      <c r="F37" s="796" t="s">
        <v>638</v>
      </c>
      <c r="G37" s="797"/>
      <c r="H37" s="798"/>
      <c r="I37" s="799"/>
      <c r="N37" s="804" t="s">
        <v>531</v>
      </c>
      <c r="O37" s="813"/>
      <c r="P37" s="805"/>
      <c r="Q37" s="813"/>
      <c r="R37" s="805"/>
      <c r="S37" s="805">
        <v>3</v>
      </c>
      <c r="T37" s="813">
        <v>57</v>
      </c>
      <c r="U37" s="813"/>
      <c r="V37" s="813"/>
      <c r="W37" s="805">
        <v>12</v>
      </c>
      <c r="X37" s="805"/>
      <c r="Y37" s="813"/>
      <c r="Z37" s="813"/>
      <c r="AA37" s="813"/>
      <c r="AB37" s="813"/>
      <c r="AC37" s="842"/>
      <c r="AD37" s="813"/>
      <c r="AE37" s="813">
        <v>18</v>
      </c>
      <c r="AF37" s="818">
        <v>10</v>
      </c>
      <c r="AG37" s="829">
        <f t="shared" si="1"/>
        <v>100</v>
      </c>
    </row>
    <row r="38" spans="2:37" x14ac:dyDescent="0.2">
      <c r="B38" s="794"/>
      <c r="C38" s="800"/>
      <c r="D38" s="794"/>
      <c r="E38" s="794" t="s">
        <v>639</v>
      </c>
      <c r="F38" s="790"/>
      <c r="G38" s="791"/>
      <c r="H38" s="796" t="s">
        <v>640</v>
      </c>
      <c r="I38" s="797" t="s">
        <v>419</v>
      </c>
      <c r="N38" s="804" t="s">
        <v>532</v>
      </c>
      <c r="O38" s="813">
        <v>13</v>
      </c>
      <c r="P38" s="813"/>
      <c r="Q38" s="813"/>
      <c r="R38" s="813">
        <v>22</v>
      </c>
      <c r="S38" s="813"/>
      <c r="T38" s="813">
        <v>11</v>
      </c>
      <c r="U38" s="813"/>
      <c r="V38" s="813">
        <v>12</v>
      </c>
      <c r="W38" s="813"/>
      <c r="X38" s="813"/>
      <c r="Y38" s="813"/>
      <c r="Z38" s="813"/>
      <c r="AA38" s="813"/>
      <c r="AB38" s="813"/>
      <c r="AC38" s="828"/>
      <c r="AD38" s="813"/>
      <c r="AE38" s="813"/>
      <c r="AF38" s="818">
        <v>42</v>
      </c>
      <c r="AG38" s="829">
        <f t="shared" si="1"/>
        <v>100</v>
      </c>
    </row>
    <row r="39" spans="2:37" x14ac:dyDescent="0.2">
      <c r="B39" s="794"/>
      <c r="C39" s="800"/>
      <c r="D39" s="794"/>
      <c r="E39" s="794"/>
      <c r="F39" s="796"/>
      <c r="G39" s="797"/>
      <c r="H39" s="796"/>
      <c r="I39" s="797"/>
      <c r="N39" s="804" t="s">
        <v>537</v>
      </c>
      <c r="O39" s="813">
        <v>53</v>
      </c>
      <c r="P39" s="813"/>
      <c r="Q39" s="813"/>
      <c r="R39" s="813"/>
      <c r="S39" s="813"/>
      <c r="T39" s="813"/>
      <c r="U39" s="813">
        <v>34</v>
      </c>
      <c r="V39" s="813"/>
      <c r="W39" s="813"/>
      <c r="X39" s="813"/>
      <c r="Y39" s="813"/>
      <c r="Z39" s="813"/>
      <c r="AA39" s="813"/>
      <c r="AB39" s="813"/>
      <c r="AC39" s="828"/>
      <c r="AD39" s="813"/>
      <c r="AE39" s="813"/>
      <c r="AF39" s="818">
        <v>13</v>
      </c>
      <c r="AG39" s="829">
        <f t="shared" si="1"/>
        <v>100</v>
      </c>
      <c r="AK39" s="78" t="s">
        <v>795</v>
      </c>
    </row>
    <row r="40" spans="2:37" x14ac:dyDescent="0.2">
      <c r="B40" s="801"/>
      <c r="C40" s="801"/>
      <c r="D40" s="801"/>
      <c r="E40" s="801"/>
      <c r="F40" s="802" t="s">
        <v>636</v>
      </c>
      <c r="G40" s="803" t="s">
        <v>339</v>
      </c>
      <c r="H40" s="802" t="s">
        <v>641</v>
      </c>
      <c r="I40" s="803" t="s">
        <v>642</v>
      </c>
      <c r="N40" s="804" t="s">
        <v>533</v>
      </c>
      <c r="O40" s="838"/>
      <c r="P40" s="838"/>
      <c r="Q40" s="838"/>
      <c r="R40" s="838">
        <v>17</v>
      </c>
      <c r="S40" s="838">
        <v>37</v>
      </c>
      <c r="T40" s="838"/>
      <c r="U40" s="838"/>
      <c r="V40" s="838"/>
      <c r="W40" s="838"/>
      <c r="X40" s="838">
        <v>13</v>
      </c>
      <c r="Y40" s="838"/>
      <c r="Z40" s="838"/>
      <c r="AA40" s="838"/>
      <c r="AB40" s="838"/>
      <c r="AC40" s="839"/>
      <c r="AD40" s="813">
        <v>13</v>
      </c>
      <c r="AE40" s="813"/>
      <c r="AF40" s="840">
        <v>20</v>
      </c>
      <c r="AG40" s="841">
        <f t="shared" si="1"/>
        <v>100</v>
      </c>
    </row>
    <row r="41" spans="2:37" x14ac:dyDescent="0.2">
      <c r="B41" s="804" t="s">
        <v>522</v>
      </c>
      <c r="C41" s="805" t="s">
        <v>643</v>
      </c>
      <c r="D41" s="806">
        <v>100</v>
      </c>
      <c r="E41" s="807">
        <v>17027</v>
      </c>
      <c r="F41" s="808"/>
      <c r="G41" s="807"/>
      <c r="H41" s="808">
        <v>100</v>
      </c>
      <c r="I41" s="809">
        <v>14856</v>
      </c>
      <c r="N41" s="804" t="s">
        <v>535</v>
      </c>
      <c r="O41" s="813"/>
      <c r="P41" s="813"/>
      <c r="Q41" s="813"/>
      <c r="R41" s="813"/>
      <c r="S41" s="813">
        <v>18</v>
      </c>
      <c r="T41" s="813"/>
      <c r="U41" s="813"/>
      <c r="V41" s="813"/>
      <c r="W41" s="813"/>
      <c r="X41" s="813"/>
      <c r="Y41" s="813"/>
      <c r="Z41" s="813"/>
      <c r="AA41" s="813"/>
      <c r="AB41" s="813">
        <v>11</v>
      </c>
      <c r="AC41" s="828">
        <v>44</v>
      </c>
      <c r="AD41" s="813"/>
      <c r="AE41" s="813"/>
      <c r="AF41" s="818">
        <v>27</v>
      </c>
      <c r="AG41" s="829">
        <f t="shared" si="1"/>
        <v>100</v>
      </c>
    </row>
    <row r="42" spans="2:37" x14ac:dyDescent="0.2">
      <c r="B42" s="804" t="s">
        <v>524</v>
      </c>
      <c r="C42" s="810" t="s">
        <v>643</v>
      </c>
      <c r="D42" s="811">
        <v>100</v>
      </c>
      <c r="E42" s="807">
        <v>19624</v>
      </c>
      <c r="F42" s="805"/>
      <c r="G42" s="807"/>
      <c r="H42" s="808">
        <v>100</v>
      </c>
      <c r="I42" s="809">
        <v>17058</v>
      </c>
      <c r="N42" s="804" t="s">
        <v>536</v>
      </c>
      <c r="O42" s="813"/>
      <c r="P42" s="805">
        <v>20</v>
      </c>
      <c r="Q42" s="813"/>
      <c r="R42" s="805"/>
      <c r="S42" s="805"/>
      <c r="T42" s="813"/>
      <c r="U42" s="813"/>
      <c r="V42" s="813">
        <v>10</v>
      </c>
      <c r="W42" s="805"/>
      <c r="X42" s="805"/>
      <c r="Y42" s="813"/>
      <c r="Z42" s="813">
        <v>27</v>
      </c>
      <c r="AA42" s="813"/>
      <c r="AB42" s="813"/>
      <c r="AC42" s="828"/>
      <c r="AD42" s="813"/>
      <c r="AE42" s="813"/>
      <c r="AF42" s="818">
        <v>43</v>
      </c>
      <c r="AG42" s="829">
        <f t="shared" si="1"/>
        <v>100</v>
      </c>
    </row>
    <row r="43" spans="2:37" x14ac:dyDescent="0.2">
      <c r="B43" s="804" t="s">
        <v>525</v>
      </c>
      <c r="C43" s="810" t="s">
        <v>643</v>
      </c>
      <c r="D43" s="811" t="s">
        <v>645</v>
      </c>
      <c r="E43" s="807">
        <v>21813</v>
      </c>
      <c r="F43" s="810" t="s">
        <v>778</v>
      </c>
      <c r="G43" s="807">
        <f>5857+1750+10987</f>
        <v>18594</v>
      </c>
      <c r="H43" s="98">
        <v>91</v>
      </c>
      <c r="I43" s="809">
        <v>21287</v>
      </c>
      <c r="N43" s="804" t="s">
        <v>650</v>
      </c>
      <c r="O43" s="843"/>
      <c r="P43" s="844"/>
      <c r="Q43" s="843"/>
      <c r="R43" s="844">
        <v>14</v>
      </c>
      <c r="S43" s="844"/>
      <c r="T43" s="843">
        <v>33</v>
      </c>
      <c r="U43" s="843">
        <v>10</v>
      </c>
      <c r="V43" s="843">
        <v>13</v>
      </c>
      <c r="W43" s="844"/>
      <c r="X43" s="844">
        <v>10</v>
      </c>
      <c r="Y43" s="843"/>
      <c r="Z43" s="843"/>
      <c r="AA43" s="843"/>
      <c r="AB43" s="843"/>
      <c r="AC43" s="845"/>
      <c r="AD43" s="813">
        <v>10</v>
      </c>
      <c r="AE43" s="813"/>
      <c r="AF43" s="846">
        <v>10</v>
      </c>
      <c r="AG43" s="847">
        <f t="shared" si="1"/>
        <v>100</v>
      </c>
    </row>
    <row r="44" spans="2:37" x14ac:dyDescent="0.2">
      <c r="B44" s="804" t="s">
        <v>526</v>
      </c>
      <c r="C44" s="810" t="s">
        <v>643</v>
      </c>
      <c r="D44" s="811">
        <v>100</v>
      </c>
      <c r="E44" s="807">
        <v>27750</v>
      </c>
      <c r="F44" s="808"/>
      <c r="G44" s="807"/>
      <c r="H44" s="808">
        <v>100</v>
      </c>
      <c r="I44" s="809">
        <v>24642</v>
      </c>
      <c r="N44" s="848" t="s">
        <v>538</v>
      </c>
      <c r="O44" s="828"/>
      <c r="P44" s="769"/>
      <c r="Q44" s="769"/>
      <c r="R44" s="769"/>
      <c r="S44" s="769"/>
      <c r="T44" s="769"/>
      <c r="U44" s="769"/>
      <c r="V44" s="769"/>
      <c r="W44" s="769"/>
      <c r="X44" s="769"/>
      <c r="Y44" s="769"/>
      <c r="Z44" s="769"/>
      <c r="AA44" s="769"/>
      <c r="AB44" s="769"/>
      <c r="AC44" s="769"/>
      <c r="AD44" s="813"/>
      <c r="AE44" s="813"/>
      <c r="AF44" s="769"/>
      <c r="AG44" s="847"/>
    </row>
    <row r="45" spans="2:37" x14ac:dyDescent="0.2">
      <c r="B45" s="804" t="s">
        <v>644</v>
      </c>
      <c r="C45" s="810" t="s">
        <v>643</v>
      </c>
      <c r="D45" s="811" t="s">
        <v>777</v>
      </c>
      <c r="E45" s="807">
        <v>22382</v>
      </c>
      <c r="F45" s="810" t="s">
        <v>779</v>
      </c>
      <c r="G45" s="807">
        <f>5489+340+18660</f>
        <v>24489</v>
      </c>
      <c r="H45" s="98">
        <v>93</v>
      </c>
      <c r="I45" s="809">
        <v>22636</v>
      </c>
      <c r="N45" s="804" t="s">
        <v>539</v>
      </c>
      <c r="O45" s="831">
        <v>33</v>
      </c>
      <c r="P45" s="831"/>
      <c r="Q45" s="831"/>
      <c r="R45" s="831">
        <v>15</v>
      </c>
      <c r="S45" s="831"/>
      <c r="T45" s="831">
        <v>17</v>
      </c>
      <c r="U45" s="831">
        <v>3</v>
      </c>
      <c r="V45" s="831">
        <v>14</v>
      </c>
      <c r="W45" s="831">
        <v>5</v>
      </c>
      <c r="X45" s="831">
        <v>1</v>
      </c>
      <c r="Y45" s="831"/>
      <c r="Z45" s="831"/>
      <c r="AA45" s="831">
        <v>1</v>
      </c>
      <c r="AB45" s="831"/>
      <c r="AC45" s="834"/>
      <c r="AD45" s="813"/>
      <c r="AE45" s="813">
        <v>2</v>
      </c>
      <c r="AF45" s="835">
        <v>9</v>
      </c>
      <c r="AG45" s="847">
        <f>SUM(O45:AF45)</f>
        <v>100</v>
      </c>
    </row>
    <row r="46" spans="2:37" x14ac:dyDescent="0.2">
      <c r="B46" s="804" t="s">
        <v>528</v>
      </c>
      <c r="C46" s="805" t="s">
        <v>643</v>
      </c>
      <c r="D46" s="811" t="s">
        <v>780</v>
      </c>
      <c r="E46" s="807">
        <v>22266</v>
      </c>
      <c r="F46" s="805" t="s">
        <v>781</v>
      </c>
      <c r="G46" s="807">
        <f>23759+4200+9917</f>
        <v>37876</v>
      </c>
      <c r="H46" s="808">
        <v>88</v>
      </c>
      <c r="I46" s="809">
        <v>19450</v>
      </c>
      <c r="N46" s="849" t="s">
        <v>540</v>
      </c>
      <c r="O46" s="813"/>
      <c r="P46" s="813"/>
      <c r="Q46" s="813"/>
      <c r="R46" s="813">
        <v>16</v>
      </c>
      <c r="S46" s="813">
        <v>14</v>
      </c>
      <c r="T46" s="813">
        <v>15</v>
      </c>
      <c r="U46" s="813"/>
      <c r="V46" s="813">
        <v>8</v>
      </c>
      <c r="W46" s="813"/>
      <c r="X46" s="813">
        <v>7</v>
      </c>
      <c r="Y46" s="813"/>
      <c r="Z46" s="813"/>
      <c r="AA46" s="813"/>
      <c r="AB46" s="813"/>
      <c r="AC46" s="828">
        <v>9</v>
      </c>
      <c r="AD46" s="813">
        <v>14</v>
      </c>
      <c r="AE46" s="813"/>
      <c r="AF46" s="818">
        <v>17</v>
      </c>
      <c r="AG46" s="829">
        <f>SUM(O46:AF46)</f>
        <v>100</v>
      </c>
    </row>
    <row r="47" spans="2:37" x14ac:dyDescent="0.2">
      <c r="B47" s="804" t="s">
        <v>529</v>
      </c>
      <c r="C47" s="810" t="s">
        <v>643</v>
      </c>
      <c r="D47" s="811" t="s">
        <v>776</v>
      </c>
      <c r="E47" s="807">
        <v>19487</v>
      </c>
      <c r="F47" s="810"/>
      <c r="G47" s="807"/>
      <c r="H47" s="98">
        <v>100</v>
      </c>
      <c r="I47" s="809">
        <v>19135</v>
      </c>
      <c r="K47" s="903" t="s">
        <v>793</v>
      </c>
    </row>
    <row r="48" spans="2:37" x14ac:dyDescent="0.2">
      <c r="B48" s="804" t="s">
        <v>530</v>
      </c>
      <c r="C48" s="810" t="s">
        <v>643</v>
      </c>
      <c r="D48" s="811">
        <v>100</v>
      </c>
      <c r="E48" s="807">
        <v>20474</v>
      </c>
      <c r="F48" s="810"/>
      <c r="G48" s="807"/>
      <c r="H48" s="808">
        <v>100</v>
      </c>
      <c r="I48" s="809">
        <v>20036</v>
      </c>
    </row>
    <row r="49" spans="2:13" x14ac:dyDescent="0.2">
      <c r="B49" s="804" t="s">
        <v>531</v>
      </c>
      <c r="C49" s="805" t="s">
        <v>643</v>
      </c>
      <c r="D49" s="811" t="s">
        <v>647</v>
      </c>
      <c r="E49" s="807">
        <v>24029</v>
      </c>
      <c r="F49" s="810" t="s">
        <v>782</v>
      </c>
      <c r="G49" s="807">
        <f>6952+1700+17380</f>
        <v>26032</v>
      </c>
      <c r="H49" s="98">
        <v>73</v>
      </c>
      <c r="I49" s="809">
        <v>23538</v>
      </c>
    </row>
    <row r="50" spans="2:13" x14ac:dyDescent="0.2">
      <c r="B50" s="804" t="s">
        <v>532</v>
      </c>
      <c r="C50" s="810" t="s">
        <v>643</v>
      </c>
      <c r="D50" s="811" t="s">
        <v>783</v>
      </c>
      <c r="E50" s="807">
        <v>18996</v>
      </c>
      <c r="F50" s="812"/>
      <c r="G50" s="807"/>
      <c r="H50" s="98">
        <v>100</v>
      </c>
      <c r="I50" s="809">
        <v>19139</v>
      </c>
    </row>
    <row r="51" spans="2:13" x14ac:dyDescent="0.2">
      <c r="B51" s="804" t="s">
        <v>784</v>
      </c>
      <c r="C51" s="810" t="s">
        <v>643</v>
      </c>
      <c r="D51" s="811">
        <v>100</v>
      </c>
      <c r="E51" s="807">
        <v>14657</v>
      </c>
      <c r="F51" s="812"/>
      <c r="G51" s="807"/>
      <c r="H51" s="98">
        <v>100</v>
      </c>
      <c r="I51" s="809">
        <v>15232</v>
      </c>
    </row>
    <row r="52" spans="2:13" x14ac:dyDescent="0.2">
      <c r="B52" s="804" t="s">
        <v>533</v>
      </c>
      <c r="C52" s="810" t="s">
        <v>643</v>
      </c>
      <c r="D52" s="811" t="s">
        <v>785</v>
      </c>
      <c r="E52" s="807">
        <v>25781</v>
      </c>
      <c r="F52" s="810" t="s">
        <v>786</v>
      </c>
      <c r="G52" s="807">
        <f>21438+3542</f>
        <v>24980</v>
      </c>
      <c r="H52" s="98">
        <v>83</v>
      </c>
      <c r="I52" s="809">
        <v>20548</v>
      </c>
    </row>
    <row r="53" spans="2:13" x14ac:dyDescent="0.2">
      <c r="B53" s="804" t="s">
        <v>535</v>
      </c>
      <c r="C53" s="810" t="s">
        <v>649</v>
      </c>
      <c r="D53" s="811" t="s">
        <v>787</v>
      </c>
      <c r="E53" s="807">
        <v>17130</v>
      </c>
      <c r="F53" s="813" t="s">
        <v>788</v>
      </c>
      <c r="G53" s="813">
        <f>(2113*7.4)+(2500*1.45)</f>
        <v>19261.2</v>
      </c>
      <c r="H53" s="98">
        <v>72</v>
      </c>
      <c r="I53" s="814">
        <v>22567</v>
      </c>
    </row>
    <row r="54" spans="2:13" x14ac:dyDescent="0.2">
      <c r="B54" s="804" t="s">
        <v>536</v>
      </c>
      <c r="C54" s="810" t="s">
        <v>649</v>
      </c>
      <c r="D54" s="811" t="s">
        <v>789</v>
      </c>
      <c r="E54" s="807">
        <v>16387</v>
      </c>
      <c r="F54" s="810">
        <v>80</v>
      </c>
      <c r="G54" s="807">
        <f>17549+4782+4657</f>
        <v>26988</v>
      </c>
      <c r="H54" s="815">
        <v>20</v>
      </c>
      <c r="I54" s="816">
        <v>22800</v>
      </c>
    </row>
    <row r="55" spans="2:13" x14ac:dyDescent="0.2">
      <c r="B55" s="804" t="s">
        <v>650</v>
      </c>
      <c r="C55" s="810" t="s">
        <v>643</v>
      </c>
      <c r="D55" s="811" t="s">
        <v>648</v>
      </c>
      <c r="E55" s="807">
        <v>23507</v>
      </c>
      <c r="F55" s="810" t="s">
        <v>790</v>
      </c>
      <c r="G55" s="807">
        <f>25531+2653+3380</f>
        <v>31564</v>
      </c>
      <c r="H55" s="98">
        <v>88</v>
      </c>
      <c r="I55" s="809">
        <v>19195</v>
      </c>
    </row>
    <row r="56" spans="2:13" x14ac:dyDescent="0.2">
      <c r="B56" s="804" t="s">
        <v>538</v>
      </c>
      <c r="C56" s="813"/>
      <c r="D56" s="813"/>
      <c r="E56" s="807"/>
      <c r="F56" s="813"/>
      <c r="G56" s="807"/>
      <c r="H56" s="817"/>
      <c r="I56" s="818"/>
    </row>
    <row r="57" spans="2:13" x14ac:dyDescent="0.2">
      <c r="B57" s="804" t="s">
        <v>539</v>
      </c>
      <c r="C57" s="813" t="s">
        <v>643</v>
      </c>
      <c r="D57" s="813" t="s">
        <v>645</v>
      </c>
      <c r="E57" s="807">
        <v>19668</v>
      </c>
      <c r="F57" s="813" t="s">
        <v>651</v>
      </c>
      <c r="G57" s="807">
        <f>8412+2022+22236</f>
        <v>32670</v>
      </c>
      <c r="H57" s="817">
        <v>95</v>
      </c>
      <c r="I57" s="809">
        <v>18768</v>
      </c>
    </row>
    <row r="58" spans="2:13" x14ac:dyDescent="0.2">
      <c r="B58" s="804" t="s">
        <v>652</v>
      </c>
      <c r="C58" s="813" t="s">
        <v>643</v>
      </c>
      <c r="D58" s="813" t="s">
        <v>791</v>
      </c>
      <c r="E58" s="807">
        <v>23486</v>
      </c>
      <c r="F58" s="813" t="s">
        <v>792</v>
      </c>
      <c r="G58" s="807">
        <f>22711+4300+10190</f>
        <v>37201</v>
      </c>
      <c r="H58" s="817">
        <v>80</v>
      </c>
      <c r="I58" s="809">
        <v>20737</v>
      </c>
      <c r="M58" s="56">
        <f>49+17</f>
        <v>66</v>
      </c>
    </row>
    <row r="59" spans="2:13" x14ac:dyDescent="0.2">
      <c r="C59" s="606" t="s">
        <v>653</v>
      </c>
      <c r="D59" s="81"/>
      <c r="E59" s="81"/>
      <c r="F59" s="81" t="s">
        <v>654</v>
      </c>
      <c r="G59" s="81"/>
      <c r="H59" s="81" t="s">
        <v>655</v>
      </c>
      <c r="I59" s="81"/>
    </row>
    <row r="60" spans="2:13" x14ac:dyDescent="0.2">
      <c r="C60" s="819" t="s">
        <v>656</v>
      </c>
      <c r="D60" s="81"/>
      <c r="E60" s="81"/>
      <c r="F60" s="81" t="s">
        <v>657</v>
      </c>
      <c r="G60" s="81"/>
      <c r="H60" s="81" t="s">
        <v>658</v>
      </c>
      <c r="I60" s="81"/>
    </row>
    <row r="61" spans="2:13" x14ac:dyDescent="0.2">
      <c r="C61" s="820"/>
      <c r="D61" s="81"/>
      <c r="E61" s="81"/>
      <c r="F61" s="821" t="s">
        <v>659</v>
      </c>
      <c r="G61" s="81"/>
      <c r="H61" s="74" t="s">
        <v>660</v>
      </c>
      <c r="I61" s="81"/>
    </row>
    <row r="64" spans="2:13" x14ac:dyDescent="0.2">
      <c r="B64" s="732" t="s">
        <v>667</v>
      </c>
      <c r="C64" s="732"/>
      <c r="D64" s="732"/>
      <c r="E64" s="732"/>
      <c r="F64" s="732"/>
      <c r="G64" s="732"/>
      <c r="H64" s="732"/>
      <c r="I64" s="732"/>
    </row>
    <row r="65" spans="2:29" x14ac:dyDescent="0.2">
      <c r="B65" s="732" t="s">
        <v>668</v>
      </c>
      <c r="C65" s="732"/>
      <c r="D65" s="732"/>
      <c r="E65" s="732"/>
      <c r="F65" s="732"/>
      <c r="G65" s="732"/>
      <c r="H65" s="732"/>
      <c r="I65" s="732"/>
    </row>
    <row r="66" spans="2:29" ht="38.25" x14ac:dyDescent="0.2">
      <c r="B66" s="988" t="s">
        <v>669</v>
      </c>
      <c r="C66" s="850" t="s">
        <v>670</v>
      </c>
      <c r="D66" s="850" t="s">
        <v>671</v>
      </c>
      <c r="E66" s="850" t="s">
        <v>672</v>
      </c>
      <c r="F66" s="989" t="s">
        <v>673</v>
      </c>
      <c r="G66" s="990"/>
      <c r="H66" s="986" t="s">
        <v>674</v>
      </c>
      <c r="I66" s="987"/>
    </row>
    <row r="67" spans="2:29" ht="25.5" x14ac:dyDescent="0.2">
      <c r="B67" s="988"/>
      <c r="C67" s="850"/>
      <c r="D67" s="850"/>
      <c r="E67" s="850"/>
      <c r="F67" s="850" t="s">
        <v>675</v>
      </c>
      <c r="G67" s="850" t="s">
        <v>676</v>
      </c>
      <c r="H67" s="851" t="s">
        <v>677</v>
      </c>
      <c r="I67" s="851" t="s">
        <v>678</v>
      </c>
    </row>
    <row r="68" spans="2:29" x14ac:dyDescent="0.2">
      <c r="B68" s="813" t="s">
        <v>679</v>
      </c>
      <c r="C68" s="807">
        <v>1787</v>
      </c>
      <c r="D68" s="852">
        <v>90</v>
      </c>
      <c r="E68" s="807">
        <v>160830</v>
      </c>
      <c r="F68" s="807">
        <v>14774</v>
      </c>
      <c r="G68" s="807">
        <v>42227</v>
      </c>
      <c r="H68" s="807">
        <v>3869</v>
      </c>
      <c r="I68" s="853">
        <v>0.51</v>
      </c>
      <c r="J68" s="78" t="s">
        <v>796</v>
      </c>
    </row>
    <row r="69" spans="2:29" x14ac:dyDescent="0.2">
      <c r="B69" s="813" t="s">
        <v>680</v>
      </c>
      <c r="C69" s="807">
        <v>1353</v>
      </c>
      <c r="D69" s="852">
        <v>92</v>
      </c>
      <c r="E69" s="807">
        <v>124476</v>
      </c>
      <c r="F69" s="807">
        <v>10002</v>
      </c>
      <c r="G69" s="807">
        <v>41894</v>
      </c>
      <c r="H69" s="807">
        <v>3030</v>
      </c>
      <c r="I69" s="813">
        <v>1.51</v>
      </c>
    </row>
    <row r="73" spans="2:29" x14ac:dyDescent="0.2">
      <c r="B73" s="732" t="s">
        <v>681</v>
      </c>
    </row>
    <row r="75" spans="2:29" x14ac:dyDescent="0.2">
      <c r="B75" s="736" t="s">
        <v>682</v>
      </c>
      <c r="C75" s="736"/>
      <c r="D75" s="985" t="s">
        <v>683</v>
      </c>
      <c r="E75" s="985"/>
      <c r="F75" s="985"/>
      <c r="G75" s="985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spans="2:29" x14ac:dyDescent="0.2">
      <c r="B76" s="153" t="s">
        <v>684</v>
      </c>
      <c r="C76" s="153" t="s">
        <v>685</v>
      </c>
      <c r="D76" s="789" t="s">
        <v>686</v>
      </c>
      <c r="E76" s="789" t="s">
        <v>687</v>
      </c>
      <c r="F76" s="789" t="s">
        <v>688</v>
      </c>
      <c r="G76" s="855" t="s">
        <v>251</v>
      </c>
      <c r="H76" s="770" t="s">
        <v>689</v>
      </c>
      <c r="I76" s="787"/>
      <c r="J76" s="81"/>
      <c r="K76" s="81"/>
      <c r="L76" s="81"/>
      <c r="M76" s="81"/>
      <c r="N76" s="81"/>
      <c r="O76" s="856"/>
      <c r="P76" s="856"/>
      <c r="Q76" s="856"/>
      <c r="R76" s="856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spans="2:29" x14ac:dyDescent="0.2">
      <c r="B77" s="857" t="s">
        <v>690</v>
      </c>
      <c r="C77" s="408" t="s">
        <v>523</v>
      </c>
      <c r="D77" s="858" t="s">
        <v>798</v>
      </c>
      <c r="E77" s="858" t="s">
        <v>814</v>
      </c>
      <c r="F77" s="858" t="s">
        <v>830</v>
      </c>
      <c r="G77" s="858" t="s">
        <v>846</v>
      </c>
      <c r="H77" s="858">
        <v>125868</v>
      </c>
      <c r="I77" s="925">
        <v>19</v>
      </c>
      <c r="J77" s="925">
        <v>29</v>
      </c>
      <c r="K77" s="925">
        <v>49.723519877967391</v>
      </c>
      <c r="L77" s="925">
        <v>2.2245527060094701</v>
      </c>
      <c r="M77" s="859">
        <f>+I77+J77+K77+L77</f>
        <v>99.948072583976867</v>
      </c>
      <c r="N77" s="81"/>
      <c r="O77" s="860"/>
      <c r="P77" s="861"/>
      <c r="Q77" s="861"/>
      <c r="R77" s="861"/>
      <c r="S77" s="861"/>
      <c r="T77" s="861"/>
      <c r="U77" s="81"/>
      <c r="V77" s="81"/>
      <c r="W77" s="81"/>
      <c r="X77" s="81"/>
      <c r="Y77" s="81"/>
      <c r="Z77" s="81"/>
      <c r="AA77" s="81"/>
      <c r="AB77" s="81"/>
      <c r="AC77" s="81"/>
    </row>
    <row r="78" spans="2:29" x14ac:dyDescent="0.2">
      <c r="B78" s="857" t="s">
        <v>524</v>
      </c>
      <c r="C78" s="408" t="s">
        <v>523</v>
      </c>
      <c r="D78" s="858" t="s">
        <v>799</v>
      </c>
      <c r="E78" s="858" t="s">
        <v>815</v>
      </c>
      <c r="F78" s="858" t="s">
        <v>831</v>
      </c>
      <c r="G78" s="858" t="s">
        <v>847</v>
      </c>
      <c r="H78" s="858">
        <v>107627</v>
      </c>
      <c r="I78" s="925">
        <v>25.097791446384271</v>
      </c>
      <c r="J78" s="925">
        <v>36.007693236827194</v>
      </c>
      <c r="K78" s="925">
        <v>37.640183225398829</v>
      </c>
      <c r="L78" s="925">
        <v>1.2543320913897071</v>
      </c>
      <c r="M78" s="859">
        <f t="shared" ref="M78:M93" si="2">+I78+J78+K78+L78</f>
        <v>100.00000000000001</v>
      </c>
      <c r="N78" s="81"/>
      <c r="O78" s="860"/>
      <c r="P78" s="861"/>
      <c r="Q78" s="861"/>
      <c r="R78" s="861"/>
      <c r="S78" s="861"/>
      <c r="T78" s="861"/>
      <c r="U78" s="81"/>
      <c r="V78" s="81"/>
      <c r="W78" s="81"/>
      <c r="X78" s="81"/>
      <c r="Y78" s="81"/>
      <c r="Z78" s="81"/>
      <c r="AA78" s="81"/>
      <c r="AB78" s="81"/>
      <c r="AC78" s="81"/>
    </row>
    <row r="79" spans="2:29" x14ac:dyDescent="0.2">
      <c r="B79" s="857" t="s">
        <v>525</v>
      </c>
      <c r="C79" s="408" t="s">
        <v>523</v>
      </c>
      <c r="D79" s="858" t="s">
        <v>800</v>
      </c>
      <c r="E79" s="858" t="s">
        <v>816</v>
      </c>
      <c r="F79" s="858" t="s">
        <v>832</v>
      </c>
      <c r="G79" s="858" t="s">
        <v>848</v>
      </c>
      <c r="H79" s="858">
        <v>132028</v>
      </c>
      <c r="I79" s="925">
        <v>23.119338322174084</v>
      </c>
      <c r="J79" s="925">
        <v>34</v>
      </c>
      <c r="K79" s="925">
        <v>42</v>
      </c>
      <c r="L79" s="925">
        <v>1</v>
      </c>
      <c r="M79" s="859">
        <f t="shared" si="2"/>
        <v>100.11933832217409</v>
      </c>
      <c r="N79" s="81"/>
      <c r="O79" s="860"/>
      <c r="P79" s="861"/>
      <c r="Q79" s="861"/>
      <c r="R79" s="861"/>
      <c r="S79" s="861"/>
      <c r="T79" s="861"/>
      <c r="U79" s="81"/>
      <c r="V79" s="81"/>
      <c r="W79" s="81"/>
      <c r="X79" s="81"/>
      <c r="Y79" s="81"/>
      <c r="Z79" s="81"/>
      <c r="AA79" s="81"/>
      <c r="AB79" s="81"/>
      <c r="AC79" s="81"/>
    </row>
    <row r="80" spans="2:29" x14ac:dyDescent="0.2">
      <c r="B80" s="857" t="s">
        <v>526</v>
      </c>
      <c r="C80" s="408" t="s">
        <v>523</v>
      </c>
      <c r="D80" s="858" t="s">
        <v>801</v>
      </c>
      <c r="E80" s="858" t="s">
        <v>817</v>
      </c>
      <c r="F80" s="858" t="s">
        <v>833</v>
      </c>
      <c r="G80" s="858" t="s">
        <v>849</v>
      </c>
      <c r="H80" s="858">
        <v>173501</v>
      </c>
      <c r="I80" s="925">
        <v>26</v>
      </c>
      <c r="J80" s="925">
        <v>32</v>
      </c>
      <c r="K80" s="925">
        <v>38</v>
      </c>
      <c r="L80" s="925">
        <v>4</v>
      </c>
      <c r="M80" s="859">
        <f t="shared" si="2"/>
        <v>100</v>
      </c>
      <c r="N80" s="81"/>
      <c r="O80" s="860"/>
      <c r="P80" s="861"/>
      <c r="Q80" s="861"/>
      <c r="R80" s="861"/>
      <c r="S80" s="861"/>
      <c r="T80" s="861"/>
      <c r="U80" s="81"/>
      <c r="V80" s="81"/>
      <c r="W80" s="81"/>
      <c r="X80" s="81"/>
      <c r="Y80" s="81"/>
      <c r="Z80" s="81"/>
      <c r="AA80" s="81"/>
      <c r="AB80" s="81"/>
      <c r="AC80" s="81"/>
    </row>
    <row r="81" spans="1:29" x14ac:dyDescent="0.2">
      <c r="B81" s="857" t="s">
        <v>527</v>
      </c>
      <c r="C81" s="408" t="s">
        <v>523</v>
      </c>
      <c r="D81" s="858" t="s">
        <v>802</v>
      </c>
      <c r="E81" s="858" t="s">
        <v>818</v>
      </c>
      <c r="F81" s="858" t="s">
        <v>834</v>
      </c>
      <c r="G81" s="858" t="s">
        <v>850</v>
      </c>
      <c r="H81" s="858">
        <v>127011</v>
      </c>
      <c r="I81" s="925">
        <v>35</v>
      </c>
      <c r="J81" s="925">
        <v>37</v>
      </c>
      <c r="K81" s="925">
        <v>27</v>
      </c>
      <c r="L81" s="925">
        <v>1</v>
      </c>
      <c r="M81" s="859">
        <f t="shared" si="2"/>
        <v>100</v>
      </c>
      <c r="N81" s="81"/>
      <c r="O81" s="860"/>
      <c r="P81" s="861"/>
      <c r="Q81" s="861"/>
      <c r="R81" s="861"/>
      <c r="S81" s="861"/>
      <c r="T81" s="861"/>
      <c r="U81" s="81"/>
      <c r="V81" s="81"/>
      <c r="W81" s="81"/>
      <c r="X81" s="81"/>
      <c r="Y81" s="81"/>
      <c r="Z81" s="81"/>
      <c r="AA81" s="81"/>
      <c r="AB81" s="81"/>
      <c r="AC81" s="81"/>
    </row>
    <row r="82" spans="1:29" x14ac:dyDescent="0.2">
      <c r="B82" s="857" t="s">
        <v>528</v>
      </c>
      <c r="C82" s="408" t="s">
        <v>523</v>
      </c>
      <c r="D82" s="858" t="s">
        <v>803</v>
      </c>
      <c r="E82" s="858" t="s">
        <v>819</v>
      </c>
      <c r="F82" s="858" t="s">
        <v>835</v>
      </c>
      <c r="G82" s="858" t="s">
        <v>851</v>
      </c>
      <c r="H82" s="858">
        <v>125205</v>
      </c>
      <c r="I82" s="925">
        <v>29</v>
      </c>
      <c r="J82" s="925">
        <v>35</v>
      </c>
      <c r="K82" s="925">
        <v>32</v>
      </c>
      <c r="L82" s="925">
        <v>4</v>
      </c>
      <c r="M82" s="859">
        <f t="shared" si="2"/>
        <v>100</v>
      </c>
      <c r="N82" s="81"/>
      <c r="O82" s="860"/>
      <c r="P82" s="861"/>
      <c r="Q82" s="861"/>
      <c r="R82" s="861"/>
      <c r="S82" s="861"/>
      <c r="T82" s="861"/>
      <c r="U82" s="81"/>
      <c r="V82" s="81"/>
      <c r="W82" s="81"/>
      <c r="X82" s="81"/>
      <c r="Y82" s="81"/>
      <c r="Z82" s="81"/>
      <c r="AA82" s="81"/>
      <c r="AB82" s="81"/>
      <c r="AC82" s="81"/>
    </row>
    <row r="83" spans="1:29" x14ac:dyDescent="0.2">
      <c r="B83" s="857" t="s">
        <v>529</v>
      </c>
      <c r="C83" s="408" t="s">
        <v>523</v>
      </c>
      <c r="D83" s="858" t="s">
        <v>804</v>
      </c>
      <c r="E83" s="858" t="s">
        <v>820</v>
      </c>
      <c r="F83" s="858" t="s">
        <v>836</v>
      </c>
      <c r="G83" s="858" t="s">
        <v>852</v>
      </c>
      <c r="H83" s="858">
        <v>109304</v>
      </c>
      <c r="I83" s="925">
        <v>34</v>
      </c>
      <c r="J83" s="925">
        <v>38</v>
      </c>
      <c r="K83" s="925">
        <v>26</v>
      </c>
      <c r="L83" s="925">
        <v>2</v>
      </c>
      <c r="M83" s="859">
        <f t="shared" si="2"/>
        <v>100</v>
      </c>
      <c r="N83" s="81"/>
      <c r="O83" s="860"/>
      <c r="P83" s="861"/>
      <c r="Q83" s="861"/>
      <c r="R83" s="861"/>
      <c r="S83" s="861"/>
      <c r="T83" s="861"/>
      <c r="U83" s="81"/>
      <c r="V83" s="81"/>
      <c r="W83" s="81"/>
      <c r="X83" s="81"/>
      <c r="Y83" s="81"/>
      <c r="Z83" s="81"/>
      <c r="AA83" s="81"/>
      <c r="AB83" s="81"/>
      <c r="AC83" s="81"/>
    </row>
    <row r="84" spans="1:29" x14ac:dyDescent="0.2">
      <c r="B84" s="857" t="s">
        <v>666</v>
      </c>
      <c r="C84" s="408" t="s">
        <v>523</v>
      </c>
      <c r="D84" s="858" t="s">
        <v>805</v>
      </c>
      <c r="E84" s="858" t="s">
        <v>821</v>
      </c>
      <c r="F84" s="858" t="s">
        <v>837</v>
      </c>
      <c r="G84" s="858" t="s">
        <v>853</v>
      </c>
      <c r="H84" s="858">
        <v>137095</v>
      </c>
      <c r="I84" s="925">
        <v>31</v>
      </c>
      <c r="J84" s="925">
        <v>31</v>
      </c>
      <c r="K84" s="925">
        <v>35</v>
      </c>
      <c r="L84" s="925">
        <v>3</v>
      </c>
      <c r="M84" s="859">
        <f t="shared" si="2"/>
        <v>100</v>
      </c>
      <c r="N84" s="81"/>
      <c r="O84" s="860"/>
      <c r="P84" s="861"/>
      <c r="Q84" s="861"/>
      <c r="R84" s="861"/>
      <c r="S84" s="861"/>
      <c r="T84" s="861"/>
      <c r="U84" s="81"/>
      <c r="V84" s="81"/>
      <c r="W84" s="81"/>
      <c r="X84" s="81"/>
      <c r="Y84" s="81"/>
      <c r="Z84" s="81"/>
      <c r="AA84" s="81"/>
      <c r="AB84" s="81"/>
      <c r="AC84" s="81"/>
    </row>
    <row r="85" spans="1:29" x14ac:dyDescent="0.2">
      <c r="A85" s="926" t="s">
        <v>859</v>
      </c>
      <c r="B85" s="857" t="s">
        <v>691</v>
      </c>
      <c r="C85" s="408" t="s">
        <v>523</v>
      </c>
      <c r="D85" s="858" t="s">
        <v>806</v>
      </c>
      <c r="E85" s="858" t="s">
        <v>822</v>
      </c>
      <c r="F85" s="858" t="s">
        <v>838</v>
      </c>
      <c r="G85" s="858" t="s">
        <v>854</v>
      </c>
      <c r="H85" s="858">
        <v>149016</v>
      </c>
      <c r="I85" s="925">
        <v>26</v>
      </c>
      <c r="J85" s="925">
        <v>33</v>
      </c>
      <c r="K85" s="925">
        <v>38</v>
      </c>
      <c r="L85" s="925">
        <v>3</v>
      </c>
      <c r="M85" s="859">
        <f t="shared" si="2"/>
        <v>100</v>
      </c>
      <c r="N85" s="81"/>
      <c r="O85" s="860"/>
      <c r="P85" s="861"/>
      <c r="Q85" s="861"/>
      <c r="R85" s="861"/>
      <c r="S85" s="861"/>
      <c r="T85" s="861"/>
      <c r="U85" s="81"/>
      <c r="V85" s="81"/>
      <c r="W85" s="81"/>
      <c r="X85" s="81"/>
      <c r="Y85" s="81"/>
      <c r="Z85" s="81"/>
      <c r="AA85" s="81"/>
      <c r="AB85" s="81"/>
      <c r="AC85" s="81"/>
    </row>
    <row r="86" spans="1:29" x14ac:dyDescent="0.2">
      <c r="B86" s="857" t="s">
        <v>532</v>
      </c>
      <c r="C86" s="408" t="s">
        <v>523</v>
      </c>
      <c r="D86" s="858" t="s">
        <v>807</v>
      </c>
      <c r="E86" s="858" t="s">
        <v>823</v>
      </c>
      <c r="F86" s="858" t="s">
        <v>839</v>
      </c>
      <c r="G86" s="858" t="s">
        <v>852</v>
      </c>
      <c r="H86" s="858">
        <v>103137</v>
      </c>
      <c r="I86" s="925">
        <v>30</v>
      </c>
      <c r="J86" s="925">
        <v>39</v>
      </c>
      <c r="K86" s="925">
        <v>29</v>
      </c>
      <c r="L86" s="925">
        <v>2</v>
      </c>
      <c r="M86" s="859">
        <f t="shared" si="2"/>
        <v>100</v>
      </c>
      <c r="N86" s="81"/>
      <c r="O86" s="860"/>
      <c r="P86" s="861"/>
      <c r="Q86" s="861"/>
      <c r="R86" s="861"/>
      <c r="S86" s="861"/>
      <c r="T86" s="861"/>
      <c r="U86" s="81"/>
      <c r="V86" s="81"/>
      <c r="W86" s="81"/>
      <c r="X86" s="81"/>
      <c r="Y86" s="81"/>
      <c r="Z86" s="81"/>
      <c r="AA86" s="81"/>
      <c r="AB86" s="81"/>
      <c r="AC86" s="81"/>
    </row>
    <row r="87" spans="1:29" x14ac:dyDescent="0.2">
      <c r="B87" s="857" t="s">
        <v>537</v>
      </c>
      <c r="C87" s="856" t="s">
        <v>534</v>
      </c>
      <c r="D87" s="858" t="s">
        <v>906</v>
      </c>
      <c r="E87" s="858" t="s">
        <v>907</v>
      </c>
      <c r="F87" s="858" t="s">
        <v>908</v>
      </c>
      <c r="G87" s="858" t="s">
        <v>909</v>
      </c>
      <c r="H87" s="858">
        <v>91041</v>
      </c>
      <c r="I87" s="925">
        <f>25669/91041*100</f>
        <v>28.194989070858185</v>
      </c>
      <c r="J87" s="925">
        <f>31889/91041*100</f>
        <v>35.027075713140235</v>
      </c>
      <c r="K87" s="925">
        <f>29983/91041*100</f>
        <v>32.933513471952196</v>
      </c>
      <c r="L87" s="925">
        <f>3500/91041*100</f>
        <v>3.8444217440493844</v>
      </c>
      <c r="M87" s="859">
        <f t="shared" si="2"/>
        <v>100</v>
      </c>
      <c r="N87" s="81"/>
      <c r="O87" s="860"/>
      <c r="P87" s="861"/>
      <c r="Q87" s="861"/>
      <c r="R87" s="861"/>
      <c r="S87" s="861"/>
      <c r="T87" s="861"/>
      <c r="U87" s="81"/>
      <c r="V87" s="81"/>
      <c r="W87" s="81"/>
      <c r="X87" s="81"/>
      <c r="Y87" s="81"/>
      <c r="Z87" s="81"/>
      <c r="AA87" s="81"/>
      <c r="AB87" s="81"/>
      <c r="AC87" s="81"/>
    </row>
    <row r="88" spans="1:29" s="863" customFormat="1" x14ac:dyDescent="0.2">
      <c r="A88" s="56"/>
      <c r="B88" s="857" t="s">
        <v>533</v>
      </c>
      <c r="C88" s="856" t="s">
        <v>534</v>
      </c>
      <c r="D88" s="858" t="s">
        <v>808</v>
      </c>
      <c r="E88" s="858" t="s">
        <v>824</v>
      </c>
      <c r="F88" s="858" t="s">
        <v>840</v>
      </c>
      <c r="G88" s="858" t="s">
        <v>855</v>
      </c>
      <c r="H88" s="858">
        <v>116255</v>
      </c>
      <c r="I88" s="925">
        <v>32.913853167605694</v>
      </c>
      <c r="J88" s="925">
        <v>39.851189196163602</v>
      </c>
      <c r="K88" s="925">
        <v>25.858672745258271</v>
      </c>
      <c r="L88" s="925">
        <v>1.3762848909724312</v>
      </c>
      <c r="M88" s="859">
        <f t="shared" si="2"/>
        <v>100</v>
      </c>
      <c r="N88" s="81"/>
      <c r="O88" s="860"/>
      <c r="P88" s="861"/>
      <c r="Q88" s="861"/>
      <c r="R88" s="861"/>
      <c r="S88" s="81"/>
      <c r="T88" s="861"/>
      <c r="U88" s="81"/>
      <c r="V88" s="81"/>
      <c r="W88" s="81"/>
      <c r="X88" s="81"/>
      <c r="Y88" s="81"/>
      <c r="Z88" s="81"/>
      <c r="AA88" s="81"/>
      <c r="AB88" s="81"/>
      <c r="AC88" s="81"/>
    </row>
    <row r="89" spans="1:29" s="863" customFormat="1" x14ac:dyDescent="0.2">
      <c r="A89" s="56"/>
      <c r="B89" s="857" t="s">
        <v>535</v>
      </c>
      <c r="C89" s="856" t="s">
        <v>534</v>
      </c>
      <c r="D89" s="858" t="s">
        <v>809</v>
      </c>
      <c r="E89" s="858" t="s">
        <v>825</v>
      </c>
      <c r="F89" s="858" t="s">
        <v>841</v>
      </c>
      <c r="G89" s="858" t="s">
        <v>848</v>
      </c>
      <c r="H89" s="858">
        <v>121858</v>
      </c>
      <c r="I89" s="925">
        <v>34</v>
      </c>
      <c r="J89" s="925">
        <v>34</v>
      </c>
      <c r="K89" s="925">
        <v>31</v>
      </c>
      <c r="L89" s="925">
        <v>1</v>
      </c>
      <c r="M89" s="859">
        <f t="shared" si="2"/>
        <v>100</v>
      </c>
      <c r="N89" s="81"/>
      <c r="O89" s="860"/>
      <c r="P89" s="861"/>
      <c r="Q89" s="861"/>
      <c r="R89" s="861"/>
      <c r="S89" s="81"/>
      <c r="T89" s="861"/>
      <c r="U89" s="81"/>
      <c r="V89" s="81"/>
      <c r="W89" s="81"/>
      <c r="X89" s="81"/>
      <c r="Y89" s="81"/>
      <c r="Z89" s="81"/>
      <c r="AA89" s="81"/>
      <c r="AB89" s="81"/>
      <c r="AC89" s="81"/>
    </row>
    <row r="90" spans="1:29" s="863" customFormat="1" x14ac:dyDescent="0.2">
      <c r="A90" s="56"/>
      <c r="B90" s="857" t="s">
        <v>536</v>
      </c>
      <c r="C90" s="856" t="s">
        <v>534</v>
      </c>
      <c r="D90" s="858" t="s">
        <v>810</v>
      </c>
      <c r="E90" s="858" t="s">
        <v>826</v>
      </c>
      <c r="F90" s="858" t="s">
        <v>842</v>
      </c>
      <c r="G90" s="858" t="s">
        <v>856</v>
      </c>
      <c r="H90" s="858">
        <v>113325</v>
      </c>
      <c r="I90" s="925">
        <v>62</v>
      </c>
      <c r="J90" s="925">
        <v>20</v>
      </c>
      <c r="K90" s="925">
        <v>16</v>
      </c>
      <c r="L90" s="925">
        <v>2</v>
      </c>
      <c r="M90" s="859">
        <f t="shared" si="2"/>
        <v>100</v>
      </c>
      <c r="N90" s="81"/>
      <c r="O90" s="860"/>
      <c r="P90" s="861"/>
      <c r="Q90" s="861"/>
      <c r="R90" s="861"/>
      <c r="S90" s="81"/>
      <c r="T90" s="861"/>
      <c r="U90" s="81"/>
      <c r="V90" s="81"/>
      <c r="W90" s="81"/>
      <c r="X90" s="81"/>
      <c r="Y90" s="81"/>
      <c r="Z90" s="81"/>
      <c r="AA90" s="81"/>
      <c r="AB90" s="81"/>
      <c r="AC90" s="81"/>
    </row>
    <row r="91" spans="1:29" s="863" customFormat="1" x14ac:dyDescent="0.2">
      <c r="A91" s="56"/>
      <c r="B91" s="864" t="s">
        <v>527</v>
      </c>
      <c r="C91" s="856" t="s">
        <v>534</v>
      </c>
      <c r="D91" s="858" t="s">
        <v>811</v>
      </c>
      <c r="E91" s="858" t="s">
        <v>827</v>
      </c>
      <c r="F91" s="858" t="s">
        <v>843</v>
      </c>
      <c r="G91" s="858" t="s">
        <v>797</v>
      </c>
      <c r="H91" s="858">
        <v>103362</v>
      </c>
      <c r="I91" s="925">
        <v>30.87982043691105</v>
      </c>
      <c r="J91" s="925">
        <v>43.177376598750023</v>
      </c>
      <c r="K91" s="925">
        <v>25.072076778700104</v>
      </c>
      <c r="L91" s="925">
        <v>0.87072618563882287</v>
      </c>
      <c r="M91" s="859">
        <f t="shared" si="2"/>
        <v>100</v>
      </c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spans="1:29" x14ac:dyDescent="0.2">
      <c r="B92" s="865" t="s">
        <v>692</v>
      </c>
      <c r="C92" s="866" t="s">
        <v>523</v>
      </c>
      <c r="D92" s="867" t="s">
        <v>812</v>
      </c>
      <c r="E92" s="867" t="s">
        <v>828</v>
      </c>
      <c r="F92" s="867" t="s">
        <v>844</v>
      </c>
      <c r="G92" s="867" t="s">
        <v>846</v>
      </c>
      <c r="H92" s="928">
        <v>146056</v>
      </c>
      <c r="I92" s="925">
        <v>23.195212795092292</v>
      </c>
      <c r="J92" s="925">
        <v>27.907788793339538</v>
      </c>
      <c r="K92" s="925">
        <v>46.979925508024316</v>
      </c>
      <c r="L92" s="925">
        <v>1.9170729035438463</v>
      </c>
      <c r="M92" s="859">
        <f t="shared" si="2"/>
        <v>99.999999999999986</v>
      </c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spans="1:29" x14ac:dyDescent="0.2">
      <c r="B93" s="868" t="s">
        <v>692</v>
      </c>
      <c r="C93" s="869" t="s">
        <v>534</v>
      </c>
      <c r="D93" s="870" t="s">
        <v>813</v>
      </c>
      <c r="E93" s="870" t="s">
        <v>829</v>
      </c>
      <c r="F93" s="870" t="s">
        <v>845</v>
      </c>
      <c r="G93" s="870" t="s">
        <v>857</v>
      </c>
      <c r="H93" s="929">
        <v>114474</v>
      </c>
      <c r="I93" s="925">
        <v>29.622447018536963</v>
      </c>
      <c r="J93" s="925">
        <v>40.016947079686219</v>
      </c>
      <c r="K93" s="925">
        <v>29.312332931495362</v>
      </c>
      <c r="L93" s="925">
        <v>1.0482729702814613</v>
      </c>
      <c r="M93" s="859">
        <f t="shared" si="2"/>
        <v>100</v>
      </c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spans="1:29" x14ac:dyDescent="0.2">
      <c r="J94" s="81"/>
      <c r="K94" s="81"/>
      <c r="L94" s="81"/>
      <c r="M94" s="859"/>
      <c r="N94" s="81"/>
      <c r="O94" s="871"/>
      <c r="P94" s="861"/>
      <c r="Q94" s="861"/>
      <c r="R94" s="861"/>
      <c r="S94" s="81"/>
      <c r="T94" s="861"/>
      <c r="U94" s="81"/>
      <c r="V94" s="81"/>
      <c r="W94" s="81"/>
      <c r="X94" s="81"/>
      <c r="Y94" s="81"/>
      <c r="Z94" s="81"/>
      <c r="AA94" s="81"/>
      <c r="AB94" s="81"/>
      <c r="AC94" s="81"/>
    </row>
    <row r="95" spans="1:29" x14ac:dyDescent="0.2">
      <c r="J95" s="81"/>
      <c r="K95" s="81"/>
      <c r="L95" s="81"/>
      <c r="M95" s="859"/>
      <c r="N95" s="81"/>
      <c r="O95" s="833"/>
      <c r="P95" s="861"/>
      <c r="Q95" s="861"/>
      <c r="R95" s="861"/>
      <c r="S95" s="81"/>
      <c r="T95" s="861"/>
      <c r="U95" s="81"/>
      <c r="V95" s="81"/>
      <c r="W95" s="81"/>
      <c r="X95" s="81"/>
      <c r="Y95" s="81"/>
      <c r="Z95" s="81"/>
      <c r="AA95" s="81"/>
      <c r="AB95" s="81"/>
      <c r="AC95" s="81"/>
    </row>
    <row r="96" spans="1:29" x14ac:dyDescent="0.2">
      <c r="B96" s="732" t="s">
        <v>693</v>
      </c>
      <c r="J96" s="81"/>
      <c r="K96" s="81"/>
      <c r="L96" s="81"/>
      <c r="M96" s="859"/>
      <c r="N96" s="81"/>
      <c r="O96" s="833"/>
      <c r="P96" s="861"/>
      <c r="Q96" s="861"/>
      <c r="R96" s="861"/>
      <c r="S96" s="81"/>
      <c r="T96" s="861"/>
      <c r="U96" s="81"/>
      <c r="V96" s="81"/>
      <c r="W96" s="81"/>
    </row>
    <row r="97" spans="1:23" x14ac:dyDescent="0.2"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</row>
    <row r="98" spans="1:23" x14ac:dyDescent="0.2">
      <c r="B98" s="736" t="s">
        <v>682</v>
      </c>
      <c r="C98" s="736"/>
      <c r="D98" s="985" t="s">
        <v>683</v>
      </c>
      <c r="E98" s="985"/>
      <c r="F98" s="985"/>
      <c r="G98" s="985"/>
      <c r="J98" s="81"/>
      <c r="K98" s="81"/>
      <c r="L98" s="81"/>
      <c r="M98" s="81"/>
      <c r="N98" s="81"/>
      <c r="O98" s="861"/>
      <c r="P98" s="861"/>
      <c r="Q98" s="861"/>
      <c r="R98" s="81"/>
      <c r="S98" s="81"/>
      <c r="T98" s="81"/>
      <c r="U98" s="81"/>
      <c r="V98" s="81"/>
      <c r="W98" s="81"/>
    </row>
    <row r="99" spans="1:23" x14ac:dyDescent="0.2">
      <c r="B99" s="153" t="s">
        <v>684</v>
      </c>
      <c r="C99" s="153" t="s">
        <v>694</v>
      </c>
      <c r="D99" s="770" t="s">
        <v>695</v>
      </c>
      <c r="E99" s="770" t="s">
        <v>687</v>
      </c>
      <c r="F99" s="770" t="s">
        <v>696</v>
      </c>
      <c r="G99" s="770" t="s">
        <v>8</v>
      </c>
      <c r="H99" s="787"/>
      <c r="J99" s="81"/>
      <c r="K99" s="81"/>
      <c r="L99" s="81"/>
      <c r="M99" s="81"/>
      <c r="N99" s="81"/>
      <c r="O99" s="861"/>
      <c r="P99" s="861"/>
      <c r="Q99" s="861"/>
      <c r="R99" s="81"/>
      <c r="S99" s="81"/>
      <c r="T99" s="81"/>
      <c r="U99" s="81"/>
      <c r="V99" s="81"/>
      <c r="W99" s="81"/>
    </row>
    <row r="100" spans="1:23" x14ac:dyDescent="0.2">
      <c r="B100" s="857" t="s">
        <v>690</v>
      </c>
      <c r="C100" s="408" t="s">
        <v>523</v>
      </c>
      <c r="D100" s="858" t="s">
        <v>860</v>
      </c>
      <c r="E100" s="858" t="s">
        <v>875</v>
      </c>
      <c r="F100" s="858" t="s">
        <v>890</v>
      </c>
      <c r="G100" s="858">
        <v>110990</v>
      </c>
      <c r="H100" s="873"/>
      <c r="I100" s="754">
        <v>16</v>
      </c>
      <c r="J100" s="754">
        <v>30</v>
      </c>
      <c r="K100" s="754">
        <v>54</v>
      </c>
      <c r="L100" s="927">
        <v>100</v>
      </c>
      <c r="M100" s="81"/>
      <c r="N100" s="81"/>
      <c r="O100" s="861"/>
      <c r="P100" s="861"/>
      <c r="Q100" s="861"/>
      <c r="R100" s="81"/>
      <c r="S100" s="81"/>
      <c r="T100" s="81"/>
      <c r="U100" s="81"/>
      <c r="V100" s="81"/>
      <c r="W100" s="81"/>
    </row>
    <row r="101" spans="1:23" x14ac:dyDescent="0.2">
      <c r="B101" s="857" t="s">
        <v>524</v>
      </c>
      <c r="C101" s="408" t="s">
        <v>523</v>
      </c>
      <c r="D101" s="858" t="s">
        <v>919</v>
      </c>
      <c r="E101" s="858" t="s">
        <v>920</v>
      </c>
      <c r="F101" s="858" t="s">
        <v>921</v>
      </c>
      <c r="G101" s="858">
        <v>85816</v>
      </c>
      <c r="H101" s="873"/>
      <c r="I101" s="92">
        <f>6533/83110*100</f>
        <v>7.8606665864516909</v>
      </c>
      <c r="J101" s="92">
        <f>38417/83110*100</f>
        <v>46.22428107327638</v>
      </c>
      <c r="K101" s="92">
        <v>47.206814580031697</v>
      </c>
      <c r="L101" s="927">
        <v>100</v>
      </c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</row>
    <row r="102" spans="1:23" x14ac:dyDescent="0.2">
      <c r="B102" s="857" t="s">
        <v>525</v>
      </c>
      <c r="C102" s="408" t="s">
        <v>523</v>
      </c>
      <c r="D102" s="858" t="s">
        <v>861</v>
      </c>
      <c r="E102" s="858" t="s">
        <v>876</v>
      </c>
      <c r="F102" s="858" t="s">
        <v>891</v>
      </c>
      <c r="G102" s="858">
        <v>101691</v>
      </c>
      <c r="H102" s="873"/>
      <c r="I102" s="92">
        <v>11</v>
      </c>
      <c r="J102" s="92">
        <v>40</v>
      </c>
      <c r="K102" s="92">
        <v>49</v>
      </c>
      <c r="L102" s="927">
        <v>100</v>
      </c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</row>
    <row r="103" spans="1:23" x14ac:dyDescent="0.2">
      <c r="B103" s="857" t="s">
        <v>526</v>
      </c>
      <c r="C103" s="408" t="s">
        <v>523</v>
      </c>
      <c r="D103" s="858" t="s">
        <v>862</v>
      </c>
      <c r="E103" s="858" t="s">
        <v>877</v>
      </c>
      <c r="F103" s="858" t="s">
        <v>892</v>
      </c>
      <c r="G103" s="858">
        <v>138879</v>
      </c>
      <c r="H103" s="787"/>
      <c r="I103" s="92">
        <v>18</v>
      </c>
      <c r="J103" s="92">
        <v>40.111175915725198</v>
      </c>
      <c r="K103" s="92">
        <v>42.475824278688648</v>
      </c>
      <c r="L103" s="927">
        <v>100.58700019441385</v>
      </c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</row>
    <row r="104" spans="1:23" x14ac:dyDescent="0.2">
      <c r="B104" s="857" t="s">
        <v>527</v>
      </c>
      <c r="C104" s="408" t="s">
        <v>523</v>
      </c>
      <c r="D104" s="858" t="s">
        <v>863</v>
      </c>
      <c r="E104" s="858" t="s">
        <v>878</v>
      </c>
      <c r="F104" s="858" t="s">
        <v>893</v>
      </c>
      <c r="G104" s="858">
        <v>88551</v>
      </c>
      <c r="H104" s="873"/>
      <c r="I104" s="92">
        <v>11.919684701471468</v>
      </c>
      <c r="J104" s="92">
        <v>51.653849194249645</v>
      </c>
      <c r="K104" s="92">
        <v>36.426466104278894</v>
      </c>
      <c r="L104" s="927">
        <v>100</v>
      </c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</row>
    <row r="105" spans="1:23" x14ac:dyDescent="0.2">
      <c r="A105" s="926" t="s">
        <v>905</v>
      </c>
      <c r="B105" s="857" t="s">
        <v>528</v>
      </c>
      <c r="C105" s="408" t="s">
        <v>523</v>
      </c>
      <c r="D105" s="858" t="s">
        <v>864</v>
      </c>
      <c r="E105" s="858" t="s">
        <v>879</v>
      </c>
      <c r="F105" s="858" t="s">
        <v>894</v>
      </c>
      <c r="G105" s="858">
        <v>87756</v>
      </c>
      <c r="H105" s="873"/>
      <c r="I105" s="92">
        <v>10.561101235243173</v>
      </c>
      <c r="J105" s="92">
        <v>48.25197137517663</v>
      </c>
      <c r="K105" s="92">
        <v>41.186927389580205</v>
      </c>
      <c r="L105" s="927">
        <v>100</v>
      </c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</row>
    <row r="106" spans="1:23" x14ac:dyDescent="0.2">
      <c r="B106" s="857" t="s">
        <v>529</v>
      </c>
      <c r="C106" s="408" t="s">
        <v>523</v>
      </c>
      <c r="D106" s="858" t="s">
        <v>865</v>
      </c>
      <c r="E106" s="858" t="s">
        <v>880</v>
      </c>
      <c r="F106" s="858" t="s">
        <v>895</v>
      </c>
      <c r="G106" s="858">
        <v>78203</v>
      </c>
      <c r="H106" s="787"/>
      <c r="I106" s="92">
        <v>14.916307558533559</v>
      </c>
      <c r="J106" s="92">
        <v>50.110609567407906</v>
      </c>
      <c r="K106" s="92">
        <v>34.973082874058541</v>
      </c>
      <c r="L106" s="927">
        <v>100</v>
      </c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</row>
    <row r="107" spans="1:23" x14ac:dyDescent="0.2">
      <c r="B107" s="857" t="s">
        <v>666</v>
      </c>
      <c r="C107" s="408" t="s">
        <v>523</v>
      </c>
      <c r="D107" s="858" t="s">
        <v>866</v>
      </c>
      <c r="E107" s="858" t="s">
        <v>881</v>
      </c>
      <c r="F107" s="858" t="s">
        <v>896</v>
      </c>
      <c r="G107" s="858">
        <v>108477</v>
      </c>
      <c r="H107" s="787"/>
      <c r="I107" s="92">
        <v>21.832277810042683</v>
      </c>
      <c r="J107" s="92">
        <v>38.096555030098543</v>
      </c>
      <c r="K107" s="92">
        <v>40.071167159858774</v>
      </c>
      <c r="L107" s="927">
        <v>100</v>
      </c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</row>
    <row r="108" spans="1:23" x14ac:dyDescent="0.2">
      <c r="B108" s="857" t="s">
        <v>691</v>
      </c>
      <c r="C108" s="408" t="s">
        <v>523</v>
      </c>
      <c r="D108" s="858" t="s">
        <v>867</v>
      </c>
      <c r="E108" s="858" t="s">
        <v>882</v>
      </c>
      <c r="F108" s="858" t="s">
        <v>897</v>
      </c>
      <c r="G108" s="858">
        <v>120560</v>
      </c>
      <c r="H108" s="787"/>
      <c r="I108" s="92">
        <v>13.885202388852026</v>
      </c>
      <c r="J108" s="92">
        <v>39.312375580623751</v>
      </c>
      <c r="K108" s="92">
        <v>46.80242203052422</v>
      </c>
      <c r="L108" s="927">
        <v>100</v>
      </c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</row>
    <row r="109" spans="1:23" x14ac:dyDescent="0.2">
      <c r="B109" s="857" t="s">
        <v>532</v>
      </c>
      <c r="C109" s="408" t="s">
        <v>523</v>
      </c>
      <c r="D109" s="858" t="s">
        <v>868</v>
      </c>
      <c r="E109" s="858" t="s">
        <v>883</v>
      </c>
      <c r="F109" s="858" t="s">
        <v>898</v>
      </c>
      <c r="G109" s="858">
        <v>72036</v>
      </c>
      <c r="H109" s="787"/>
      <c r="I109" s="92">
        <v>18.150646898772834</v>
      </c>
      <c r="J109" s="92">
        <v>48.338330834582713</v>
      </c>
      <c r="K109" s="92">
        <v>33.51102226664446</v>
      </c>
      <c r="L109" s="927">
        <v>100</v>
      </c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</row>
    <row r="110" spans="1:23" x14ac:dyDescent="0.2">
      <c r="B110" s="857" t="s">
        <v>537</v>
      </c>
      <c r="C110" s="856" t="s">
        <v>534</v>
      </c>
      <c r="D110" s="858" t="s">
        <v>910</v>
      </c>
      <c r="E110" s="858" t="s">
        <v>911</v>
      </c>
      <c r="F110" s="858" t="s">
        <v>912</v>
      </c>
      <c r="G110" s="858">
        <v>79853</v>
      </c>
      <c r="H110" s="787"/>
      <c r="I110" s="92">
        <f>18664/79853*100</f>
        <v>23.372947791567004</v>
      </c>
      <c r="J110" s="92">
        <v>39</v>
      </c>
      <c r="K110" s="92">
        <v>38</v>
      </c>
      <c r="L110" s="927">
        <f>+I110+J110+K110</f>
        <v>100.372947791567</v>
      </c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</row>
    <row r="111" spans="1:23" x14ac:dyDescent="0.2">
      <c r="B111" s="857" t="s">
        <v>533</v>
      </c>
      <c r="C111" s="408" t="s">
        <v>534</v>
      </c>
      <c r="D111" s="858" t="s">
        <v>869</v>
      </c>
      <c r="E111" s="858" t="s">
        <v>884</v>
      </c>
      <c r="F111" s="858" t="s">
        <v>899</v>
      </c>
      <c r="G111" s="858">
        <v>84696</v>
      </c>
      <c r="H111" s="787"/>
      <c r="I111" s="92">
        <v>11.292150750920941</v>
      </c>
      <c r="J111" s="92">
        <v>54.700340039671289</v>
      </c>
      <c r="K111" s="92">
        <v>34.007509209407765</v>
      </c>
      <c r="L111" s="927">
        <v>100</v>
      </c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</row>
    <row r="112" spans="1:23" x14ac:dyDescent="0.2">
      <c r="B112" s="857" t="s">
        <v>535</v>
      </c>
      <c r="C112" s="408" t="s">
        <v>534</v>
      </c>
      <c r="D112" s="858" t="s">
        <v>870</v>
      </c>
      <c r="E112" s="858" t="s">
        <v>885</v>
      </c>
      <c r="F112" s="858" t="s">
        <v>900</v>
      </c>
      <c r="G112" s="858">
        <v>85791</v>
      </c>
      <c r="H112" s="787"/>
      <c r="I112" s="92">
        <v>14.255574594071641</v>
      </c>
      <c r="J112" s="92">
        <v>42.084834073504211</v>
      </c>
      <c r="K112" s="92">
        <v>43.659591332424149</v>
      </c>
      <c r="L112" s="927">
        <v>100</v>
      </c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</row>
    <row r="113" spans="2:23" x14ac:dyDescent="0.2">
      <c r="B113" s="857" t="s">
        <v>536</v>
      </c>
      <c r="C113" s="408" t="s">
        <v>534</v>
      </c>
      <c r="D113" s="858" t="s">
        <v>871</v>
      </c>
      <c r="E113" s="858" t="s">
        <v>886</v>
      </c>
      <c r="F113" s="858" t="s">
        <v>901</v>
      </c>
      <c r="G113" s="858">
        <v>53056</v>
      </c>
      <c r="H113" s="787"/>
      <c r="I113" s="92">
        <v>33.875527744270208</v>
      </c>
      <c r="J113" s="92">
        <v>36.101477683956574</v>
      </c>
      <c r="K113" s="92">
        <v>30.022994571773221</v>
      </c>
      <c r="L113" s="927">
        <v>100.00000000000001</v>
      </c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</row>
    <row r="114" spans="2:23" x14ac:dyDescent="0.2">
      <c r="B114" s="857" t="s">
        <v>527</v>
      </c>
      <c r="C114" s="408" t="s">
        <v>534</v>
      </c>
      <c r="D114" s="858" t="s">
        <v>872</v>
      </c>
      <c r="E114" s="858" t="s">
        <v>887</v>
      </c>
      <c r="F114" s="858" t="s">
        <v>902</v>
      </c>
      <c r="G114" s="858">
        <v>71171</v>
      </c>
      <c r="H114" s="787"/>
      <c r="I114" s="92">
        <v>6.4071040170856106</v>
      </c>
      <c r="J114" s="92">
        <v>60.653918028410445</v>
      </c>
      <c r="K114" s="92">
        <v>32.93897795450394</v>
      </c>
      <c r="L114" s="927">
        <v>100</v>
      </c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</row>
    <row r="115" spans="2:23" x14ac:dyDescent="0.2">
      <c r="B115" s="865" t="s">
        <v>692</v>
      </c>
      <c r="C115" s="874" t="s">
        <v>697</v>
      </c>
      <c r="D115" s="865" t="s">
        <v>873</v>
      </c>
      <c r="E115" s="865" t="s">
        <v>888</v>
      </c>
      <c r="F115" s="865" t="s">
        <v>903</v>
      </c>
      <c r="G115" s="930">
        <v>118603</v>
      </c>
      <c r="H115" s="787"/>
      <c r="I115" s="92">
        <v>13.326812981121893</v>
      </c>
      <c r="J115" s="92">
        <v>32.021112450781175</v>
      </c>
      <c r="K115" s="92">
        <v>54.652074568096928</v>
      </c>
      <c r="L115" s="927">
        <v>100</v>
      </c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</row>
    <row r="116" spans="2:23" x14ac:dyDescent="0.2">
      <c r="B116" s="868" t="s">
        <v>692</v>
      </c>
      <c r="C116" s="869" t="s">
        <v>534</v>
      </c>
      <c r="D116" s="868" t="s">
        <v>874</v>
      </c>
      <c r="E116" s="868" t="s">
        <v>889</v>
      </c>
      <c r="F116" s="868" t="s">
        <v>904</v>
      </c>
      <c r="G116" s="875">
        <v>82582</v>
      </c>
      <c r="H116" s="787"/>
      <c r="I116" s="92">
        <v>8.2136543072340231</v>
      </c>
      <c r="J116" s="92">
        <v>53.775641180886879</v>
      </c>
      <c r="K116" s="92">
        <v>38.010704511879098</v>
      </c>
      <c r="L116" s="927">
        <v>100</v>
      </c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</row>
    <row r="117" spans="2:23" ht="15.75" x14ac:dyDescent="0.25">
      <c r="G117" s="559">
        <f>+E117+C117+A117</f>
        <v>0</v>
      </c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</row>
    <row r="118" spans="2:23" x14ac:dyDescent="0.2"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</row>
    <row r="119" spans="2:23" x14ac:dyDescent="0.2">
      <c r="B119" s="732" t="s">
        <v>698</v>
      </c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</row>
    <row r="120" spans="2:23" x14ac:dyDescent="0.2"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</row>
    <row r="121" spans="2:23" x14ac:dyDescent="0.2">
      <c r="B121" s="736" t="s">
        <v>682</v>
      </c>
      <c r="C121" s="736"/>
      <c r="D121" s="985" t="s">
        <v>699</v>
      </c>
      <c r="E121" s="985"/>
      <c r="F121" s="985"/>
      <c r="G121" s="985"/>
      <c r="H121" s="787"/>
    </row>
    <row r="122" spans="2:23" x14ac:dyDescent="0.2">
      <c r="B122" s="153" t="s">
        <v>684</v>
      </c>
      <c r="C122" s="876" t="s">
        <v>493</v>
      </c>
      <c r="D122" s="876" t="s">
        <v>700</v>
      </c>
      <c r="E122" s="876" t="s">
        <v>701</v>
      </c>
      <c r="F122" s="876" t="s">
        <v>702</v>
      </c>
      <c r="G122" s="876"/>
      <c r="H122" s="787"/>
    </row>
    <row r="123" spans="2:23" ht="15.75" x14ac:dyDescent="0.25">
      <c r="B123" s="857" t="s">
        <v>690</v>
      </c>
      <c r="C123" s="408" t="s">
        <v>523</v>
      </c>
      <c r="D123" s="564">
        <v>72.714876209144748</v>
      </c>
      <c r="E123" s="559">
        <v>91.111711468323648</v>
      </c>
      <c r="F123" s="564">
        <v>96.189243600805298</v>
      </c>
      <c r="G123" s="559">
        <v>88.179680299996818</v>
      </c>
      <c r="H123" s="787"/>
    </row>
    <row r="124" spans="2:23" ht="15.75" x14ac:dyDescent="0.25">
      <c r="B124" s="857" t="s">
        <v>524</v>
      </c>
      <c r="C124" s="408" t="s">
        <v>523</v>
      </c>
      <c r="D124" s="564">
        <v>25.499777876499337</v>
      </c>
      <c r="E124" s="559">
        <v>99.130412344532175</v>
      </c>
      <c r="F124" s="564">
        <v>100</v>
      </c>
      <c r="G124" s="559">
        <v>79.734639077554888</v>
      </c>
      <c r="H124" s="787"/>
    </row>
    <row r="125" spans="2:23" ht="15.75" x14ac:dyDescent="0.25">
      <c r="B125" s="857" t="s">
        <v>525</v>
      </c>
      <c r="C125" s="408" t="s">
        <v>523</v>
      </c>
      <c r="D125" s="564">
        <v>35.709605556283577</v>
      </c>
      <c r="E125" s="559">
        <v>92.530860048838406</v>
      </c>
      <c r="F125" s="564">
        <v>90.196292853627867</v>
      </c>
      <c r="G125" s="559">
        <v>77.022298300360532</v>
      </c>
      <c r="H125" s="787"/>
    </row>
    <row r="126" spans="2:23" ht="15.75" x14ac:dyDescent="0.25">
      <c r="B126" s="857" t="s">
        <v>526</v>
      </c>
      <c r="C126" s="408" t="s">
        <v>523</v>
      </c>
      <c r="D126" s="564">
        <v>52.941176470588239</v>
      </c>
      <c r="E126" s="559">
        <v>100</v>
      </c>
      <c r="F126" s="564">
        <v>89.328709662764822</v>
      </c>
      <c r="G126" s="559">
        <v>80.045071786329757</v>
      </c>
      <c r="H126" s="787"/>
    </row>
    <row r="127" spans="2:23" ht="15.75" x14ac:dyDescent="0.25">
      <c r="B127" s="857" t="s">
        <v>527</v>
      </c>
      <c r="C127" s="408" t="s">
        <v>523</v>
      </c>
      <c r="D127" s="564">
        <v>23.806301734443018</v>
      </c>
      <c r="E127" s="559">
        <v>98.221954990551453</v>
      </c>
      <c r="F127" s="564">
        <v>93.209270068774202</v>
      </c>
      <c r="G127" s="559">
        <v>69.719158183149489</v>
      </c>
      <c r="H127" s="787"/>
    </row>
    <row r="128" spans="2:23" ht="15.75" x14ac:dyDescent="0.25">
      <c r="B128" s="857" t="s">
        <v>528</v>
      </c>
      <c r="C128" s="408" t="s">
        <v>523</v>
      </c>
      <c r="D128" s="564">
        <v>24.9993256547892</v>
      </c>
      <c r="E128" s="559">
        <v>97.432121491026237</v>
      </c>
      <c r="F128" s="564">
        <v>90.650080256821823</v>
      </c>
      <c r="G128" s="559">
        <v>70.089852641667662</v>
      </c>
      <c r="H128" s="787"/>
      <c r="J128" s="872"/>
    </row>
    <row r="129" spans="1:16" ht="15.75" x14ac:dyDescent="0.25">
      <c r="A129" s="863" t="s">
        <v>858</v>
      </c>
      <c r="B129" s="857" t="s">
        <v>529</v>
      </c>
      <c r="C129" s="408" t="s">
        <v>523</v>
      </c>
      <c r="D129" s="564">
        <v>31.254186426600221</v>
      </c>
      <c r="E129" s="559">
        <v>94.925271903689165</v>
      </c>
      <c r="F129" s="564">
        <v>96.992694517341661</v>
      </c>
      <c r="G129" s="559">
        <v>71.546329503037398</v>
      </c>
      <c r="H129" s="787"/>
    </row>
    <row r="130" spans="1:16" ht="15.75" x14ac:dyDescent="0.25">
      <c r="B130" s="857" t="s">
        <v>666</v>
      </c>
      <c r="C130" s="408" t="s">
        <v>523</v>
      </c>
      <c r="D130" s="564">
        <v>54.991060440708658</v>
      </c>
      <c r="E130" s="559">
        <v>98.040425128107799</v>
      </c>
      <c r="F130" s="564">
        <v>91.557839750610839</v>
      </c>
      <c r="G130" s="559">
        <v>79.125423976074984</v>
      </c>
      <c r="H130" s="787"/>
    </row>
    <row r="131" spans="1:16" ht="15.75" x14ac:dyDescent="0.25">
      <c r="B131" s="857" t="s">
        <v>691</v>
      </c>
      <c r="C131" s="408" t="s">
        <v>523</v>
      </c>
      <c r="D131" s="564">
        <v>42.857142857142854</v>
      </c>
      <c r="E131" s="559">
        <v>96.833180100112372</v>
      </c>
      <c r="F131" s="564">
        <v>99.059005284317337</v>
      </c>
      <c r="G131" s="559">
        <v>80.904063993128247</v>
      </c>
      <c r="H131" s="787"/>
    </row>
    <row r="132" spans="1:16" ht="15.75" x14ac:dyDescent="0.25">
      <c r="B132" s="857" t="s">
        <v>532</v>
      </c>
      <c r="C132" s="408" t="s">
        <v>523</v>
      </c>
      <c r="D132" s="564">
        <v>41.667994518627104</v>
      </c>
      <c r="E132" s="559">
        <v>87.498743592320835</v>
      </c>
      <c r="F132" s="564">
        <v>81.936053221098362</v>
      </c>
      <c r="G132" s="559">
        <v>69.844963495156932</v>
      </c>
      <c r="H132" s="787"/>
    </row>
    <row r="133" spans="1:16" ht="15.75" x14ac:dyDescent="0.25">
      <c r="B133" s="857" t="s">
        <v>537</v>
      </c>
      <c r="C133" s="856" t="s">
        <v>534</v>
      </c>
      <c r="D133" s="564">
        <v>72.710273092056596</v>
      </c>
      <c r="E133" s="559">
        <v>97.858195616043105</v>
      </c>
      <c r="F133" s="564">
        <v>100</v>
      </c>
      <c r="G133" s="559">
        <v>87.711031293592995</v>
      </c>
      <c r="H133" s="787"/>
    </row>
    <row r="134" spans="1:16" ht="15.75" x14ac:dyDescent="0.25">
      <c r="B134" s="857" t="s">
        <v>533</v>
      </c>
      <c r="C134" s="856" t="s">
        <v>534</v>
      </c>
      <c r="D134" s="565">
        <v>24.994773154923688</v>
      </c>
      <c r="E134" s="581">
        <v>100</v>
      </c>
      <c r="F134" s="565">
        <v>95.811988556982243</v>
      </c>
      <c r="G134" s="581">
        <v>72.853640703625658</v>
      </c>
      <c r="H134" s="787"/>
    </row>
    <row r="135" spans="1:16" ht="15.75" x14ac:dyDescent="0.25">
      <c r="B135" s="857" t="s">
        <v>535</v>
      </c>
      <c r="C135" s="856" t="s">
        <v>534</v>
      </c>
      <c r="D135" s="570">
        <v>29.414594256577999</v>
      </c>
      <c r="E135" s="571">
        <v>88.440623162845384</v>
      </c>
      <c r="F135" s="570">
        <v>100</v>
      </c>
      <c r="G135" s="571">
        <v>70.402435621789294</v>
      </c>
      <c r="H135" s="787"/>
    </row>
    <row r="136" spans="1:16" ht="15.75" x14ac:dyDescent="0.25">
      <c r="B136" s="857" t="s">
        <v>536</v>
      </c>
      <c r="C136" s="856" t="s">
        <v>534</v>
      </c>
      <c r="D136" s="564">
        <v>25.720173442665178</v>
      </c>
      <c r="E136" s="559">
        <v>85.977197234940292</v>
      </c>
      <c r="F136" s="564">
        <v>87.676133861734911</v>
      </c>
      <c r="G136" s="559">
        <v>46.817560114714318</v>
      </c>
      <c r="H136" s="787"/>
    </row>
    <row r="137" spans="1:16" ht="15.75" x14ac:dyDescent="0.25">
      <c r="B137" s="864" t="s">
        <v>527</v>
      </c>
      <c r="C137" s="856" t="s">
        <v>534</v>
      </c>
      <c r="D137" s="564">
        <v>14.286609436681497</v>
      </c>
      <c r="E137" s="559">
        <v>96.726343857133259</v>
      </c>
      <c r="F137" s="564">
        <v>90.46112290179434</v>
      </c>
      <c r="G137" s="559">
        <v>68.856059286778503</v>
      </c>
      <c r="H137" s="787"/>
    </row>
    <row r="138" spans="1:16" ht="15.75" x14ac:dyDescent="0.25">
      <c r="B138" s="877" t="s">
        <v>538</v>
      </c>
      <c r="C138" s="878" t="s">
        <v>523</v>
      </c>
      <c r="D138" s="559">
        <v>46.655646732392704</v>
      </c>
      <c r="E138" s="559">
        <v>93.172395181668747</v>
      </c>
      <c r="F138" s="559">
        <v>94.464928516256904</v>
      </c>
      <c r="G138" s="559">
        <v>81.203784849646709</v>
      </c>
      <c r="H138" s="787"/>
      <c r="I138" s="833"/>
      <c r="J138" s="833"/>
      <c r="K138" s="833"/>
      <c r="L138" s="833"/>
      <c r="M138" s="833"/>
      <c r="N138" s="833"/>
      <c r="O138" s="833"/>
      <c r="P138" s="833"/>
    </row>
    <row r="139" spans="1:16" ht="15.75" x14ac:dyDescent="0.25">
      <c r="B139" s="879" t="s">
        <v>703</v>
      </c>
      <c r="C139" s="880" t="s">
        <v>534</v>
      </c>
      <c r="D139" s="559">
        <v>20.002948982601001</v>
      </c>
      <c r="E139" s="559">
        <v>96.943831998078977</v>
      </c>
      <c r="F139" s="559">
        <v>93.54790642229176</v>
      </c>
      <c r="G139" s="559">
        <v>72.140398693153031</v>
      </c>
      <c r="H139" s="787"/>
      <c r="I139" s="833"/>
      <c r="J139" s="833"/>
      <c r="K139" s="833"/>
      <c r="L139" s="833"/>
      <c r="M139" s="833"/>
      <c r="N139" s="833"/>
      <c r="O139" s="833"/>
      <c r="P139" s="833"/>
    </row>
    <row r="140" spans="1:16" x14ac:dyDescent="0.2">
      <c r="I140" s="833"/>
      <c r="J140" s="833"/>
      <c r="K140" s="833"/>
      <c r="L140" s="833"/>
      <c r="M140" s="833"/>
      <c r="N140" s="833"/>
      <c r="O140" s="833"/>
      <c r="P140" s="833"/>
    </row>
    <row r="141" spans="1:16" x14ac:dyDescent="0.2">
      <c r="B141" s="732" t="s">
        <v>704</v>
      </c>
      <c r="I141" s="833"/>
      <c r="J141" s="833"/>
      <c r="K141" s="833"/>
      <c r="L141" s="833"/>
      <c r="M141" s="833"/>
      <c r="N141" s="833"/>
      <c r="O141" s="833"/>
      <c r="P141" s="833"/>
    </row>
    <row r="142" spans="1:16" x14ac:dyDescent="0.2">
      <c r="B142" s="736" t="s">
        <v>682</v>
      </c>
      <c r="C142" s="736"/>
      <c r="D142" s="985" t="s">
        <v>705</v>
      </c>
      <c r="E142" s="985"/>
      <c r="F142" s="985"/>
      <c r="G142" s="736" t="s">
        <v>501</v>
      </c>
      <c r="H142" s="787"/>
      <c r="I142" s="833"/>
      <c r="J142" s="833"/>
      <c r="K142" s="991"/>
      <c r="L142" s="991"/>
      <c r="M142" s="991"/>
      <c r="N142" s="833"/>
      <c r="O142" s="833"/>
      <c r="P142" s="833"/>
    </row>
    <row r="143" spans="1:16" x14ac:dyDescent="0.2">
      <c r="B143" s="153" t="s">
        <v>684</v>
      </c>
      <c r="C143" s="153" t="s">
        <v>706</v>
      </c>
      <c r="D143" s="118" t="s">
        <v>101</v>
      </c>
      <c r="E143" s="118" t="s">
        <v>358</v>
      </c>
      <c r="F143" s="769" t="s">
        <v>8</v>
      </c>
      <c r="G143" s="153" t="s">
        <v>707</v>
      </c>
      <c r="H143" s="787"/>
      <c r="I143" s="833"/>
      <c r="J143" s="833"/>
      <c r="K143" s="833"/>
      <c r="L143" s="833"/>
      <c r="M143" s="833"/>
      <c r="N143" s="833"/>
      <c r="O143" s="833"/>
      <c r="P143" s="833"/>
    </row>
    <row r="144" spans="1:16" ht="15.75" x14ac:dyDescent="0.25">
      <c r="B144" s="56" t="s">
        <v>690</v>
      </c>
      <c r="C144" s="408" t="s">
        <v>523</v>
      </c>
      <c r="D144" s="567">
        <v>3</v>
      </c>
      <c r="E144" s="568">
        <v>8</v>
      </c>
      <c r="F144" s="881">
        <f>+D144+E144</f>
        <v>11</v>
      </c>
      <c r="G144" s="568">
        <v>2133</v>
      </c>
      <c r="H144" s="787"/>
      <c r="I144" s="833"/>
      <c r="J144" s="833"/>
      <c r="K144" s="882"/>
      <c r="L144" s="882"/>
      <c r="M144" s="882"/>
      <c r="N144" s="883"/>
      <c r="O144" s="833"/>
      <c r="P144" s="833"/>
    </row>
    <row r="145" spans="1:16" ht="15.75" x14ac:dyDescent="0.25">
      <c r="B145" s="56" t="s">
        <v>708</v>
      </c>
      <c r="C145" s="408" t="s">
        <v>523</v>
      </c>
      <c r="D145" s="584">
        <v>9</v>
      </c>
      <c r="E145" s="585">
        <v>3</v>
      </c>
      <c r="F145" s="881">
        <f>+D145+E145</f>
        <v>12</v>
      </c>
      <c r="G145" s="568">
        <v>2048</v>
      </c>
      <c r="H145" s="787"/>
      <c r="I145" s="833"/>
      <c r="J145" s="833"/>
      <c r="K145" s="882"/>
      <c r="L145" s="882"/>
      <c r="M145" s="882"/>
      <c r="N145" s="883"/>
      <c r="O145" s="833"/>
      <c r="P145" s="833"/>
    </row>
    <row r="146" spans="1:16" ht="15.75" x14ac:dyDescent="0.25">
      <c r="B146" s="56" t="s">
        <v>709</v>
      </c>
      <c r="C146" s="408" t="s">
        <v>523</v>
      </c>
      <c r="D146" s="567">
        <v>9</v>
      </c>
      <c r="E146" s="568">
        <v>5</v>
      </c>
      <c r="F146" s="881">
        <f t="shared" ref="F146:F155" si="3">+D146+E146</f>
        <v>14</v>
      </c>
      <c r="G146" s="568">
        <v>2180.2857142857142</v>
      </c>
      <c r="H146" s="787"/>
      <c r="I146" s="833"/>
      <c r="J146" s="833"/>
      <c r="K146" s="882"/>
      <c r="L146" s="882"/>
      <c r="M146" s="882"/>
      <c r="N146" s="883"/>
      <c r="O146" s="833"/>
      <c r="P146" s="833"/>
    </row>
    <row r="147" spans="1:16" ht="15.75" x14ac:dyDescent="0.25">
      <c r="B147" s="56" t="s">
        <v>526</v>
      </c>
      <c r="C147" s="408" t="s">
        <v>523</v>
      </c>
      <c r="D147" s="584">
        <v>8</v>
      </c>
      <c r="E147" s="585">
        <v>9</v>
      </c>
      <c r="F147" s="881">
        <f t="shared" si="3"/>
        <v>17</v>
      </c>
      <c r="G147" s="568">
        <v>2277</v>
      </c>
      <c r="H147" s="787"/>
      <c r="I147" s="833"/>
      <c r="J147" s="833"/>
      <c r="K147" s="882"/>
      <c r="L147" s="882"/>
      <c r="M147" s="882"/>
      <c r="N147" s="883"/>
      <c r="O147" s="833"/>
      <c r="P147" s="833"/>
    </row>
    <row r="148" spans="1:16" ht="15.75" x14ac:dyDescent="0.25">
      <c r="B148" s="56" t="s">
        <v>527</v>
      </c>
      <c r="C148" s="408" t="s">
        <v>523</v>
      </c>
      <c r="D148" s="567">
        <v>16</v>
      </c>
      <c r="E148" s="568">
        <v>5</v>
      </c>
      <c r="F148" s="881">
        <f t="shared" si="3"/>
        <v>21</v>
      </c>
      <c r="G148" s="568">
        <v>2111</v>
      </c>
      <c r="H148" s="787"/>
      <c r="I148" s="833"/>
      <c r="J148" s="833"/>
      <c r="K148" s="882"/>
      <c r="L148" s="882"/>
      <c r="M148" s="882"/>
      <c r="N148" s="883"/>
      <c r="O148" s="833"/>
      <c r="P148" s="833"/>
    </row>
    <row r="149" spans="1:16" ht="15.75" x14ac:dyDescent="0.25">
      <c r="B149" s="56" t="s">
        <v>528</v>
      </c>
      <c r="C149" s="408" t="s">
        <v>523</v>
      </c>
      <c r="D149" s="567">
        <v>12</v>
      </c>
      <c r="E149" s="568">
        <v>4</v>
      </c>
      <c r="F149" s="881">
        <f t="shared" si="3"/>
        <v>16</v>
      </c>
      <c r="G149" s="568">
        <f>37073/16</f>
        <v>2317.0625</v>
      </c>
      <c r="H149" s="787"/>
      <c r="I149" s="833"/>
      <c r="J149" s="833"/>
      <c r="K149" s="882"/>
      <c r="L149" s="882"/>
      <c r="M149" s="882"/>
      <c r="N149" s="882"/>
      <c r="O149" s="833"/>
      <c r="P149" s="833"/>
    </row>
    <row r="150" spans="1:16" ht="15.75" x14ac:dyDescent="0.25">
      <c r="A150" s="863" t="s">
        <v>858</v>
      </c>
      <c r="B150" s="56" t="s">
        <v>529</v>
      </c>
      <c r="C150" s="408" t="s">
        <v>523</v>
      </c>
      <c r="D150" s="590">
        <v>11</v>
      </c>
      <c r="E150" s="591">
        <v>5</v>
      </c>
      <c r="F150" s="881">
        <f t="shared" si="3"/>
        <v>16</v>
      </c>
      <c r="G150" s="568">
        <v>2333</v>
      </c>
      <c r="H150" s="787"/>
      <c r="I150" s="833"/>
      <c r="J150" s="833"/>
      <c r="K150" s="882"/>
      <c r="L150" s="882"/>
      <c r="M150" s="882"/>
      <c r="N150" s="883"/>
      <c r="O150" s="833"/>
      <c r="P150" s="862"/>
    </row>
    <row r="151" spans="1:16" ht="15.75" x14ac:dyDescent="0.25">
      <c r="B151" s="56" t="s">
        <v>666</v>
      </c>
      <c r="C151" s="408" t="s">
        <v>523</v>
      </c>
      <c r="D151" s="584">
        <v>9</v>
      </c>
      <c r="E151" s="585">
        <v>11</v>
      </c>
      <c r="F151" s="881">
        <f t="shared" si="3"/>
        <v>20</v>
      </c>
      <c r="G151" s="568">
        <v>2153</v>
      </c>
      <c r="H151" s="787"/>
      <c r="I151" s="833"/>
      <c r="J151" s="833"/>
      <c r="K151" s="882"/>
      <c r="L151" s="882"/>
      <c r="M151" s="882"/>
      <c r="N151" s="883"/>
      <c r="O151" s="833"/>
      <c r="P151" s="833"/>
    </row>
    <row r="152" spans="1:16" ht="15.75" x14ac:dyDescent="0.25">
      <c r="B152" s="56" t="s">
        <v>691</v>
      </c>
      <c r="C152" s="408" t="s">
        <v>523</v>
      </c>
      <c r="D152" s="567">
        <v>12</v>
      </c>
      <c r="E152" s="568">
        <v>9</v>
      </c>
      <c r="F152" s="881">
        <f t="shared" si="3"/>
        <v>21</v>
      </c>
      <c r="G152" s="568">
        <v>1860</v>
      </c>
      <c r="H152" s="787"/>
      <c r="I152" s="833"/>
      <c r="J152" s="833"/>
      <c r="K152" s="882"/>
      <c r="L152" s="882"/>
      <c r="M152" s="882"/>
      <c r="N152" s="883"/>
      <c r="O152" s="833"/>
      <c r="P152" s="833"/>
    </row>
    <row r="153" spans="1:16" ht="15.75" x14ac:dyDescent="0.25">
      <c r="B153" s="56" t="s">
        <v>532</v>
      </c>
      <c r="C153" s="408" t="s">
        <v>523</v>
      </c>
      <c r="D153" s="568">
        <v>7</v>
      </c>
      <c r="E153" s="585">
        <v>5</v>
      </c>
      <c r="F153" s="881">
        <f t="shared" si="3"/>
        <v>12</v>
      </c>
      <c r="G153" s="568">
        <v>2614.9166666666665</v>
      </c>
      <c r="H153" s="787"/>
      <c r="I153" s="833"/>
      <c r="J153" s="833"/>
      <c r="K153" s="882"/>
      <c r="L153" s="882"/>
      <c r="M153" s="882"/>
      <c r="N153" s="883"/>
      <c r="O153" s="884"/>
      <c r="P153" s="884"/>
    </row>
    <row r="154" spans="1:16" ht="15.75" x14ac:dyDescent="0.25">
      <c r="B154" s="857" t="s">
        <v>537</v>
      </c>
      <c r="C154" s="856" t="s">
        <v>534</v>
      </c>
      <c r="D154" s="584">
        <v>3</v>
      </c>
      <c r="E154" s="585">
        <v>8</v>
      </c>
      <c r="F154" s="881">
        <f t="shared" si="3"/>
        <v>11</v>
      </c>
      <c r="G154" s="568">
        <v>2333</v>
      </c>
      <c r="H154" s="787"/>
      <c r="I154" s="833"/>
      <c r="J154" s="833"/>
      <c r="K154" s="882"/>
      <c r="L154" s="882"/>
      <c r="M154" s="882"/>
      <c r="N154" s="883"/>
      <c r="O154" s="884"/>
      <c r="P154" s="884"/>
    </row>
    <row r="155" spans="1:16" ht="15.75" x14ac:dyDescent="0.25">
      <c r="B155" s="56" t="s">
        <v>710</v>
      </c>
      <c r="C155" s="408" t="s">
        <v>534</v>
      </c>
      <c r="D155" s="567">
        <v>12</v>
      </c>
      <c r="E155" s="568">
        <v>5</v>
      </c>
      <c r="F155" s="881">
        <f t="shared" si="3"/>
        <v>17</v>
      </c>
      <c r="G155" s="568">
        <v>2391</v>
      </c>
      <c r="H155" s="787"/>
      <c r="I155" s="833"/>
      <c r="J155" s="833"/>
      <c r="K155" s="882"/>
      <c r="L155" s="882"/>
      <c r="M155" s="882"/>
      <c r="N155" s="883"/>
      <c r="O155" s="884"/>
      <c r="P155" s="884"/>
    </row>
    <row r="156" spans="1:16" ht="15.75" x14ac:dyDescent="0.25">
      <c r="B156" s="56" t="s">
        <v>711</v>
      </c>
      <c r="C156" s="408" t="s">
        <v>534</v>
      </c>
      <c r="D156" s="590">
        <v>12</v>
      </c>
      <c r="E156" s="571">
        <v>5</v>
      </c>
      <c r="F156" s="881">
        <f>+D156+E156</f>
        <v>17</v>
      </c>
      <c r="G156" s="568">
        <v>2446</v>
      </c>
      <c r="H156" s="885"/>
      <c r="I156" s="833"/>
      <c r="J156" s="833"/>
      <c r="K156" s="882"/>
      <c r="L156" s="882"/>
      <c r="M156" s="882"/>
      <c r="N156" s="883"/>
      <c r="O156" s="833"/>
      <c r="P156" s="833"/>
    </row>
    <row r="157" spans="1:16" ht="15.75" x14ac:dyDescent="0.25">
      <c r="B157" s="56" t="s">
        <v>712</v>
      </c>
      <c r="C157" s="408" t="s">
        <v>534</v>
      </c>
      <c r="D157" s="590">
        <v>26</v>
      </c>
      <c r="E157" s="571">
        <v>9</v>
      </c>
      <c r="F157" s="881">
        <f>+D157+E157</f>
        <v>35</v>
      </c>
      <c r="G157" s="568">
        <v>1997</v>
      </c>
      <c r="H157" s="885"/>
      <c r="I157" s="833"/>
      <c r="J157" s="833"/>
      <c r="K157" s="882"/>
      <c r="L157" s="882"/>
      <c r="M157" s="882"/>
      <c r="N157" s="883"/>
      <c r="O157" s="833"/>
      <c r="P157" s="833"/>
    </row>
    <row r="158" spans="1:16" ht="15.75" x14ac:dyDescent="0.25">
      <c r="B158" s="56" t="s">
        <v>527</v>
      </c>
      <c r="C158" s="408" t="s">
        <v>534</v>
      </c>
      <c r="D158" s="590">
        <v>12</v>
      </c>
      <c r="E158" s="571">
        <v>2</v>
      </c>
      <c r="F158" s="881">
        <f>+D158+E158</f>
        <v>14</v>
      </c>
      <c r="G158" s="591">
        <v>2280</v>
      </c>
      <c r="H158" s="787"/>
      <c r="I158" s="833"/>
      <c r="J158" s="833"/>
      <c r="K158" s="882"/>
      <c r="L158" s="882"/>
      <c r="M158" s="882"/>
      <c r="N158" s="883"/>
      <c r="O158" s="833"/>
      <c r="P158" s="833"/>
    </row>
    <row r="159" spans="1:16" ht="15" x14ac:dyDescent="0.2">
      <c r="B159" s="865" t="s">
        <v>713</v>
      </c>
      <c r="C159" s="866" t="s">
        <v>714</v>
      </c>
      <c r="D159" s="919">
        <v>8</v>
      </c>
      <c r="E159" s="919">
        <v>7</v>
      </c>
      <c r="F159" s="886">
        <f>+D159+E159</f>
        <v>15</v>
      </c>
      <c r="G159" s="919">
        <v>2258</v>
      </c>
      <c r="H159" s="787"/>
      <c r="I159" s="833"/>
      <c r="J159" s="833"/>
      <c r="K159" s="882"/>
      <c r="L159" s="882"/>
      <c r="M159" s="882"/>
      <c r="N159" s="883"/>
      <c r="O159" s="833"/>
      <c r="P159" s="833"/>
    </row>
    <row r="160" spans="1:16" ht="15.75" x14ac:dyDescent="0.25">
      <c r="B160" s="868" t="s">
        <v>538</v>
      </c>
      <c r="C160" s="869" t="s">
        <v>534</v>
      </c>
      <c r="D160" s="559">
        <v>12</v>
      </c>
      <c r="E160" s="559">
        <v>4</v>
      </c>
      <c r="F160" s="886">
        <f>+D160+E160</f>
        <v>16</v>
      </c>
      <c r="G160" s="559">
        <v>2261</v>
      </c>
      <c r="H160" s="787"/>
      <c r="I160" s="833"/>
      <c r="J160" s="833"/>
      <c r="K160" s="882"/>
      <c r="L160" s="882"/>
      <c r="M160" s="882"/>
      <c r="N160" s="883"/>
      <c r="O160" s="833"/>
      <c r="P160" s="833"/>
    </row>
    <row r="161" spans="1:38" x14ac:dyDescent="0.2">
      <c r="B161" s="56" t="s">
        <v>715</v>
      </c>
      <c r="I161" s="833"/>
      <c r="J161" s="833"/>
      <c r="K161" s="882"/>
      <c r="L161" s="882"/>
      <c r="M161" s="882"/>
      <c r="N161" s="883"/>
      <c r="O161" s="833"/>
      <c r="P161" s="833"/>
    </row>
    <row r="162" spans="1:38" x14ac:dyDescent="0.2">
      <c r="I162" s="833"/>
      <c r="J162" s="833"/>
      <c r="K162" s="882"/>
      <c r="L162" s="882"/>
      <c r="M162" s="882"/>
      <c r="N162" s="883"/>
      <c r="O162" s="833"/>
      <c r="P162" s="833"/>
    </row>
    <row r="163" spans="1:38" x14ac:dyDescent="0.2">
      <c r="I163" s="833"/>
      <c r="J163" s="833"/>
      <c r="K163" s="833"/>
      <c r="L163" s="833"/>
      <c r="M163" s="833"/>
      <c r="N163" s="833"/>
      <c r="O163" s="833"/>
      <c r="P163" s="833"/>
      <c r="Q163" s="833"/>
      <c r="R163" s="833"/>
      <c r="S163" s="833"/>
      <c r="T163" s="833"/>
      <c r="U163" s="833"/>
      <c r="V163" s="833"/>
      <c r="W163" s="833"/>
      <c r="X163" s="833"/>
      <c r="Y163" s="833"/>
      <c r="Z163" s="833"/>
      <c r="AA163" s="833"/>
      <c r="AB163" s="833"/>
      <c r="AC163" s="833"/>
      <c r="AD163" s="833"/>
      <c r="AE163" s="833"/>
      <c r="AF163" s="833"/>
      <c r="AG163" s="833"/>
      <c r="AH163" s="833"/>
      <c r="AI163" s="833"/>
      <c r="AJ163" s="833"/>
      <c r="AK163" s="833"/>
      <c r="AL163" s="833"/>
    </row>
    <row r="164" spans="1:38" x14ac:dyDescent="0.2">
      <c r="O164" s="833"/>
      <c r="P164" s="833"/>
      <c r="Q164" s="833"/>
      <c r="R164" s="833"/>
      <c r="S164" s="833"/>
      <c r="T164" s="833"/>
      <c r="U164" s="833"/>
      <c r="V164" s="833"/>
      <c r="W164" s="833"/>
      <c r="X164" s="833"/>
      <c r="Y164" s="833"/>
      <c r="Z164" s="833"/>
      <c r="AA164" s="833"/>
      <c r="AB164" s="833"/>
      <c r="AC164" s="833"/>
      <c r="AD164" s="833"/>
      <c r="AE164" s="833"/>
      <c r="AF164" s="833"/>
      <c r="AG164" s="833"/>
      <c r="AH164" s="833"/>
      <c r="AI164" s="833"/>
      <c r="AJ164" s="833"/>
      <c r="AK164" s="833"/>
      <c r="AL164" s="833"/>
    </row>
    <row r="165" spans="1:38" x14ac:dyDescent="0.2">
      <c r="B165" s="153" t="s">
        <v>716</v>
      </c>
      <c r="O165" s="833"/>
      <c r="P165" s="833"/>
      <c r="Q165" s="833"/>
      <c r="R165" s="833"/>
      <c r="S165" s="833"/>
      <c r="T165" s="833"/>
      <c r="U165" s="833"/>
      <c r="V165" s="833"/>
      <c r="W165" s="833"/>
      <c r="X165" s="833"/>
      <c r="Y165" s="833"/>
      <c r="Z165" s="833"/>
      <c r="AA165" s="833"/>
      <c r="AB165" s="833"/>
      <c r="AC165" s="833"/>
      <c r="AD165" s="833"/>
      <c r="AE165" s="833"/>
      <c r="AF165" s="833"/>
      <c r="AG165" s="833"/>
      <c r="AH165" s="833"/>
      <c r="AI165" s="833"/>
      <c r="AJ165" s="833"/>
      <c r="AK165" s="833"/>
      <c r="AL165" s="833"/>
    </row>
    <row r="166" spans="1:38" x14ac:dyDescent="0.2">
      <c r="F166" s="56" t="s">
        <v>152</v>
      </c>
      <c r="O166" s="833"/>
      <c r="P166" s="833"/>
      <c r="Q166" s="833"/>
      <c r="R166" s="833"/>
      <c r="S166" s="833"/>
      <c r="T166" s="833"/>
      <c r="U166" s="833"/>
      <c r="V166" s="833"/>
      <c r="W166" s="833"/>
      <c r="X166" s="833"/>
      <c r="Y166" s="833"/>
      <c r="Z166" s="833"/>
      <c r="AA166" s="833"/>
      <c r="AB166" s="833"/>
      <c r="AC166" s="833"/>
      <c r="AD166" s="833"/>
      <c r="AE166" s="833"/>
      <c r="AF166" s="833"/>
      <c r="AG166" s="833"/>
      <c r="AH166" s="833"/>
      <c r="AI166" s="833"/>
      <c r="AJ166" s="833"/>
      <c r="AK166" s="833"/>
      <c r="AL166" s="833"/>
    </row>
    <row r="167" spans="1:38" x14ac:dyDescent="0.2">
      <c r="B167" s="992" t="s">
        <v>682</v>
      </c>
      <c r="C167" s="994" t="s">
        <v>717</v>
      </c>
      <c r="D167" s="997" t="s">
        <v>718</v>
      </c>
      <c r="E167" s="997"/>
      <c r="F167" s="997"/>
      <c r="G167" s="997"/>
      <c r="H167" s="997"/>
      <c r="I167" s="997"/>
      <c r="J167" s="997"/>
      <c r="K167" s="845"/>
      <c r="L167" s="736"/>
      <c r="M167" s="998" t="s">
        <v>719</v>
      </c>
      <c r="N167" s="887"/>
      <c r="O167" s="888"/>
      <c r="P167" s="833"/>
      <c r="Q167" s="833"/>
      <c r="R167" s="833"/>
      <c r="S167" s="833"/>
      <c r="T167" s="833"/>
      <c r="U167" s="833"/>
      <c r="V167" s="833"/>
      <c r="W167" s="833"/>
      <c r="X167" s="833"/>
      <c r="Y167" s="833"/>
      <c r="Z167" s="833"/>
      <c r="AA167" s="833"/>
      <c r="AB167" s="833"/>
      <c r="AC167" s="833"/>
      <c r="AD167" s="833"/>
      <c r="AE167" s="833"/>
      <c r="AF167" s="833"/>
      <c r="AG167" s="833"/>
      <c r="AH167" s="833"/>
      <c r="AI167" s="833"/>
      <c r="AJ167" s="833"/>
      <c r="AK167" s="833"/>
      <c r="AL167" s="833"/>
    </row>
    <row r="168" spans="1:38" x14ac:dyDescent="0.2">
      <c r="B168" s="993"/>
      <c r="C168" s="995"/>
      <c r="D168" s="986" t="s">
        <v>720</v>
      </c>
      <c r="E168" s="987"/>
      <c r="F168" s="1001" t="s">
        <v>721</v>
      </c>
      <c r="G168" s="1001"/>
      <c r="H168" s="1001"/>
      <c r="I168" s="1001"/>
      <c r="J168" s="1001"/>
      <c r="K168" s="1002" t="s">
        <v>722</v>
      </c>
      <c r="L168" s="1003"/>
      <c r="M168" s="999"/>
      <c r="N168" s="887"/>
      <c r="O168" s="888"/>
      <c r="P168" s="833"/>
      <c r="Q168" s="833"/>
      <c r="R168" s="833"/>
      <c r="S168" s="833"/>
      <c r="T168" s="833"/>
      <c r="U168" s="833"/>
      <c r="V168" s="833"/>
      <c r="W168" s="833"/>
      <c r="X168" s="833"/>
      <c r="Y168" s="833"/>
      <c r="Z168" s="833"/>
      <c r="AA168" s="833"/>
      <c r="AB168" s="833"/>
      <c r="AC168" s="833"/>
      <c r="AD168" s="833"/>
      <c r="AE168" s="833"/>
      <c r="AF168" s="833"/>
      <c r="AG168" s="833"/>
      <c r="AH168" s="833"/>
      <c r="AI168" s="833"/>
      <c r="AJ168" s="833"/>
      <c r="AK168" s="833"/>
      <c r="AL168" s="833"/>
    </row>
    <row r="169" spans="1:38" x14ac:dyDescent="0.2">
      <c r="B169" s="831" t="s">
        <v>684</v>
      </c>
      <c r="C169" s="996"/>
      <c r="D169" s="817" t="s">
        <v>516</v>
      </c>
      <c r="E169" s="817" t="s">
        <v>723</v>
      </c>
      <c r="F169" s="817" t="s">
        <v>724</v>
      </c>
      <c r="G169" s="817" t="s">
        <v>65</v>
      </c>
      <c r="H169" s="817" t="s">
        <v>725</v>
      </c>
      <c r="I169" s="817" t="s">
        <v>726</v>
      </c>
      <c r="J169" s="817" t="s">
        <v>727</v>
      </c>
      <c r="K169" s="817" t="s">
        <v>516</v>
      </c>
      <c r="L169" s="817" t="s">
        <v>502</v>
      </c>
      <c r="M169" s="1000"/>
      <c r="N169" s="887"/>
      <c r="O169" s="888"/>
      <c r="P169" s="833"/>
      <c r="Q169" s="833"/>
      <c r="R169" s="833"/>
      <c r="S169" s="833"/>
      <c r="T169" s="833"/>
      <c r="U169" s="833"/>
      <c r="V169" s="833"/>
      <c r="W169" s="833"/>
      <c r="X169" s="833"/>
      <c r="Y169" s="833"/>
      <c r="Z169" s="833"/>
      <c r="AA169" s="833"/>
      <c r="AB169" s="833"/>
      <c r="AC169" s="833"/>
      <c r="AD169" s="833"/>
      <c r="AE169" s="833"/>
      <c r="AF169" s="833"/>
      <c r="AG169" s="833"/>
      <c r="AH169" s="833"/>
      <c r="AI169" s="833"/>
      <c r="AJ169" s="833"/>
      <c r="AK169" s="833"/>
      <c r="AL169" s="833"/>
    </row>
    <row r="170" spans="1:38" x14ac:dyDescent="0.2">
      <c r="B170" s="889" t="s">
        <v>690</v>
      </c>
      <c r="C170" s="889" t="s">
        <v>523</v>
      </c>
      <c r="D170" s="890">
        <v>124</v>
      </c>
      <c r="E170" s="890"/>
      <c r="F170" s="890">
        <f>59+43</f>
        <v>102</v>
      </c>
      <c r="G170" s="890"/>
      <c r="H170" s="890">
        <f>9+14</f>
        <v>23</v>
      </c>
      <c r="I170" s="889"/>
      <c r="J170" s="889">
        <f>+F170+G170+H170</f>
        <v>125</v>
      </c>
      <c r="K170" s="889"/>
      <c r="L170" s="889">
        <v>37723</v>
      </c>
      <c r="M170" s="889"/>
      <c r="N170" s="891"/>
      <c r="O170" s="884"/>
      <c r="P170" s="833"/>
      <c r="Q170" s="833"/>
      <c r="R170" s="884"/>
      <c r="S170" s="833"/>
      <c r="T170" s="884"/>
      <c r="U170" s="833"/>
      <c r="V170" s="833"/>
      <c r="W170" s="833"/>
      <c r="X170" s="833"/>
      <c r="Y170" s="884"/>
      <c r="Z170" s="833"/>
      <c r="AA170" s="884"/>
      <c r="AB170" s="884"/>
      <c r="AC170" s="833"/>
      <c r="AD170" s="833"/>
      <c r="AE170" s="833"/>
      <c r="AF170" s="833"/>
      <c r="AG170" s="833"/>
      <c r="AH170" s="833"/>
      <c r="AI170" s="833"/>
      <c r="AJ170" s="833"/>
      <c r="AK170" s="833"/>
      <c r="AL170" s="833"/>
    </row>
    <row r="171" spans="1:38" x14ac:dyDescent="0.2">
      <c r="B171" s="889" t="s">
        <v>708</v>
      </c>
      <c r="C171" s="889" t="s">
        <v>523</v>
      </c>
      <c r="D171" s="890">
        <v>128</v>
      </c>
      <c r="E171" s="890"/>
      <c r="F171" s="890">
        <f>46+21</f>
        <v>67</v>
      </c>
      <c r="G171" s="890"/>
      <c r="H171" s="890"/>
      <c r="I171" s="889"/>
      <c r="J171" s="889"/>
      <c r="K171" s="889"/>
      <c r="L171" s="889">
        <v>16550</v>
      </c>
      <c r="M171" s="889"/>
      <c r="N171" s="891"/>
      <c r="O171" s="884"/>
      <c r="P171" s="833"/>
      <c r="Q171" s="833"/>
      <c r="R171" s="884"/>
      <c r="S171" s="833"/>
      <c r="T171" s="833"/>
      <c r="U171" s="833"/>
      <c r="V171" s="833"/>
      <c r="W171" s="833"/>
      <c r="X171" s="833"/>
      <c r="Y171" s="884"/>
      <c r="Z171" s="833"/>
      <c r="AA171" s="884"/>
      <c r="AB171" s="884"/>
      <c r="AC171" s="833"/>
      <c r="AD171" s="833"/>
      <c r="AE171" s="833"/>
      <c r="AF171" s="833"/>
      <c r="AG171" s="833"/>
      <c r="AH171" s="833"/>
      <c r="AI171" s="833"/>
      <c r="AJ171" s="833"/>
      <c r="AK171" s="833"/>
      <c r="AL171" s="833"/>
    </row>
    <row r="172" spans="1:38" x14ac:dyDescent="0.2">
      <c r="B172" s="889" t="s">
        <v>709</v>
      </c>
      <c r="C172" s="889" t="s">
        <v>523</v>
      </c>
      <c r="D172" s="890">
        <v>105</v>
      </c>
      <c r="E172" s="890"/>
      <c r="F172" s="890">
        <f>59+52</f>
        <v>111</v>
      </c>
      <c r="G172" s="890">
        <v>17</v>
      </c>
      <c r="H172" s="890"/>
      <c r="I172" s="889"/>
      <c r="J172" s="889"/>
      <c r="K172" s="889"/>
      <c r="L172" s="889">
        <v>38159</v>
      </c>
      <c r="M172" s="889"/>
      <c r="N172" s="891"/>
      <c r="O172" s="884"/>
      <c r="P172" s="833"/>
      <c r="Q172" s="833"/>
      <c r="R172" s="884"/>
      <c r="S172" s="833"/>
      <c r="T172" s="833"/>
      <c r="U172" s="833"/>
      <c r="V172" s="833"/>
      <c r="W172" s="833"/>
      <c r="X172" s="833"/>
      <c r="Y172" s="884"/>
      <c r="Z172" s="833"/>
      <c r="AA172" s="884"/>
      <c r="AB172" s="884"/>
      <c r="AC172" s="833"/>
      <c r="AD172" s="833"/>
      <c r="AE172" s="833"/>
      <c r="AF172" s="833"/>
      <c r="AG172" s="833"/>
      <c r="AH172" s="833"/>
      <c r="AI172" s="833"/>
      <c r="AJ172" s="833"/>
      <c r="AK172" s="833"/>
      <c r="AL172" s="833"/>
    </row>
    <row r="173" spans="1:38" x14ac:dyDescent="0.2">
      <c r="B173" s="889" t="s">
        <v>526</v>
      </c>
      <c r="C173" s="889" t="s">
        <v>523</v>
      </c>
      <c r="D173" s="890"/>
      <c r="E173" s="890"/>
      <c r="F173" s="890">
        <v>92</v>
      </c>
      <c r="G173" s="890">
        <v>16</v>
      </c>
      <c r="H173" s="890"/>
      <c r="I173" s="889"/>
      <c r="J173" s="889"/>
      <c r="K173" s="889"/>
      <c r="L173" s="889">
        <v>37752</v>
      </c>
      <c r="M173" s="889"/>
      <c r="N173" s="891"/>
      <c r="O173" s="884"/>
      <c r="P173" s="833"/>
      <c r="Q173" s="833"/>
      <c r="R173" s="884"/>
      <c r="S173" s="833"/>
      <c r="T173" s="833"/>
      <c r="U173" s="833"/>
      <c r="V173" s="833"/>
      <c r="W173" s="833"/>
      <c r="X173" s="833"/>
      <c r="Y173" s="884"/>
      <c r="Z173" s="833"/>
      <c r="AA173" s="884"/>
      <c r="AB173" s="884"/>
      <c r="AC173" s="833"/>
      <c r="AD173" s="833"/>
      <c r="AE173" s="833"/>
      <c r="AF173" s="833"/>
      <c r="AG173" s="833"/>
      <c r="AH173" s="833"/>
      <c r="AI173" s="833"/>
      <c r="AJ173" s="833"/>
      <c r="AK173" s="833"/>
      <c r="AL173" s="833"/>
    </row>
    <row r="174" spans="1:38" x14ac:dyDescent="0.2">
      <c r="B174" s="889" t="s">
        <v>527</v>
      </c>
      <c r="C174" s="889" t="s">
        <v>523</v>
      </c>
      <c r="D174" s="890">
        <v>172</v>
      </c>
      <c r="E174" s="890"/>
      <c r="F174" s="890">
        <f>35+18</f>
        <v>53</v>
      </c>
      <c r="G174" s="890"/>
      <c r="H174" s="890"/>
      <c r="I174" s="889"/>
      <c r="J174" s="889"/>
      <c r="K174" s="889"/>
      <c r="L174" s="889">
        <v>16532</v>
      </c>
      <c r="M174" s="889"/>
      <c r="N174" s="891"/>
      <c r="O174" s="884"/>
      <c r="P174" s="833"/>
      <c r="Q174" s="833"/>
      <c r="R174" s="884"/>
      <c r="S174" s="833"/>
      <c r="T174" s="833"/>
      <c r="U174" s="833"/>
      <c r="V174" s="833"/>
      <c r="W174" s="833"/>
      <c r="X174" s="833"/>
      <c r="Y174" s="884"/>
      <c r="Z174" s="833"/>
      <c r="AA174" s="884"/>
      <c r="AB174" s="884"/>
      <c r="AC174" s="833"/>
      <c r="AD174" s="833"/>
      <c r="AE174" s="833"/>
      <c r="AF174" s="833"/>
      <c r="AG174" s="833"/>
      <c r="AH174" s="833"/>
      <c r="AI174" s="833"/>
      <c r="AJ174" s="833"/>
      <c r="AK174" s="833"/>
      <c r="AL174" s="833"/>
    </row>
    <row r="175" spans="1:38" x14ac:dyDescent="0.2">
      <c r="A175" s="863" t="s">
        <v>858</v>
      </c>
      <c r="B175" s="889" t="s">
        <v>528</v>
      </c>
      <c r="C175" s="889" t="s">
        <v>523</v>
      </c>
      <c r="D175" s="890">
        <v>199</v>
      </c>
      <c r="E175" s="890"/>
      <c r="F175" s="890">
        <f>53+30</f>
        <v>83</v>
      </c>
      <c r="G175" s="890"/>
      <c r="H175" s="890"/>
      <c r="I175" s="889"/>
      <c r="J175" s="889"/>
      <c r="K175" s="889"/>
      <c r="L175" s="889">
        <v>21970</v>
      </c>
      <c r="M175" s="889"/>
      <c r="N175" s="891"/>
      <c r="O175" s="884"/>
      <c r="P175" s="833"/>
      <c r="Q175" s="833"/>
      <c r="R175" s="884"/>
      <c r="S175" s="833"/>
      <c r="T175" s="833"/>
      <c r="U175" s="833"/>
      <c r="V175" s="833"/>
      <c r="W175" s="833"/>
      <c r="X175" s="833"/>
      <c r="Y175" s="884"/>
      <c r="Z175" s="833"/>
      <c r="AA175" s="884"/>
      <c r="AB175" s="884"/>
      <c r="AC175" s="833"/>
      <c r="AD175" s="833"/>
      <c r="AE175" s="833"/>
      <c r="AF175" s="833"/>
      <c r="AG175" s="833"/>
      <c r="AH175" s="833"/>
      <c r="AI175" s="833"/>
      <c r="AJ175" s="833"/>
      <c r="AK175" s="833"/>
      <c r="AL175" s="833"/>
    </row>
    <row r="176" spans="1:38" x14ac:dyDescent="0.2">
      <c r="A176" s="81"/>
      <c r="B176" s="889" t="s">
        <v>529</v>
      </c>
      <c r="C176" s="889" t="s">
        <v>523</v>
      </c>
      <c r="D176" s="890">
        <v>94</v>
      </c>
      <c r="E176" s="890"/>
      <c r="F176" s="890">
        <v>50</v>
      </c>
      <c r="G176" s="890"/>
      <c r="H176" s="890"/>
      <c r="I176" s="889"/>
      <c r="J176" s="889"/>
      <c r="K176" s="889"/>
      <c r="L176" s="889">
        <v>10000</v>
      </c>
      <c r="M176" s="889"/>
      <c r="N176" s="891"/>
      <c r="O176" s="884"/>
      <c r="P176" s="833"/>
      <c r="Q176" s="833"/>
      <c r="R176" s="884"/>
      <c r="S176" s="833"/>
      <c r="T176" s="833"/>
      <c r="U176" s="833"/>
      <c r="V176" s="833"/>
      <c r="W176" s="833"/>
      <c r="X176" s="833"/>
      <c r="Y176" s="884"/>
      <c r="Z176" s="833"/>
      <c r="AA176" s="884"/>
      <c r="AB176" s="884"/>
      <c r="AC176" s="833"/>
      <c r="AD176" s="833"/>
      <c r="AE176" s="833"/>
      <c r="AF176" s="833"/>
      <c r="AG176" s="833"/>
      <c r="AH176" s="833"/>
      <c r="AI176" s="833"/>
      <c r="AJ176" s="833"/>
      <c r="AK176" s="833"/>
      <c r="AL176" s="833"/>
    </row>
    <row r="177" spans="2:38" x14ac:dyDescent="0.2">
      <c r="B177" s="889" t="s">
        <v>666</v>
      </c>
      <c r="C177" s="889" t="s">
        <v>523</v>
      </c>
      <c r="D177" s="890">
        <v>221</v>
      </c>
      <c r="E177" s="890">
        <v>36</v>
      </c>
      <c r="F177" s="890">
        <v>49</v>
      </c>
      <c r="G177" s="890">
        <v>16</v>
      </c>
      <c r="H177" s="890"/>
      <c r="I177" s="889"/>
      <c r="J177" s="889"/>
      <c r="K177" s="889"/>
      <c r="L177" s="889">
        <v>27575</v>
      </c>
      <c r="M177" s="889"/>
      <c r="N177" s="891"/>
      <c r="O177" s="884"/>
      <c r="P177" s="833"/>
      <c r="Q177" s="833"/>
      <c r="R177" s="884"/>
      <c r="S177" s="833"/>
      <c r="T177" s="833"/>
      <c r="U177" s="833"/>
      <c r="V177" s="833"/>
      <c r="W177" s="833"/>
      <c r="X177" s="833"/>
      <c r="Y177" s="884"/>
      <c r="Z177" s="833"/>
      <c r="AA177" s="884"/>
      <c r="AB177" s="884"/>
      <c r="AC177" s="833"/>
      <c r="AD177" s="833"/>
      <c r="AE177" s="833"/>
      <c r="AF177" s="833"/>
      <c r="AG177" s="833"/>
      <c r="AH177" s="833"/>
      <c r="AI177" s="833"/>
      <c r="AJ177" s="833"/>
      <c r="AK177" s="833"/>
      <c r="AL177" s="833"/>
    </row>
    <row r="178" spans="2:38" x14ac:dyDescent="0.2">
      <c r="B178" s="889" t="s">
        <v>691</v>
      </c>
      <c r="C178" s="889" t="s">
        <v>523</v>
      </c>
      <c r="D178" s="890">
        <v>105</v>
      </c>
      <c r="E178" s="890"/>
      <c r="F178" s="890">
        <f>77+67</f>
        <v>144</v>
      </c>
      <c r="G178" s="890"/>
      <c r="H178" s="890"/>
      <c r="I178" s="889"/>
      <c r="J178" s="889"/>
      <c r="K178" s="889"/>
      <c r="L178" s="889">
        <v>36639</v>
      </c>
      <c r="M178" s="889"/>
      <c r="N178" s="891"/>
      <c r="O178" s="884"/>
      <c r="P178" s="833"/>
      <c r="Q178" s="833"/>
      <c r="R178" s="884"/>
      <c r="S178" s="833"/>
      <c r="T178" s="833"/>
      <c r="U178" s="833"/>
      <c r="V178" s="833"/>
      <c r="W178" s="833"/>
      <c r="X178" s="833"/>
      <c r="Y178" s="884"/>
      <c r="Z178" s="833"/>
      <c r="AA178" s="884"/>
      <c r="AB178" s="884"/>
      <c r="AC178" s="833"/>
      <c r="AD178" s="833"/>
      <c r="AE178" s="833"/>
      <c r="AF178" s="833"/>
      <c r="AG178" s="833"/>
      <c r="AH178" s="833"/>
      <c r="AI178" s="833"/>
      <c r="AJ178" s="833"/>
      <c r="AK178" s="833"/>
      <c r="AL178" s="833"/>
    </row>
    <row r="179" spans="2:38" x14ac:dyDescent="0.2">
      <c r="B179" s="889" t="s">
        <v>532</v>
      </c>
      <c r="C179" s="889" t="s">
        <v>523</v>
      </c>
      <c r="D179" s="890"/>
      <c r="E179" s="890"/>
      <c r="F179" s="890">
        <v>91</v>
      </c>
      <c r="G179" s="890"/>
      <c r="H179" s="890"/>
      <c r="I179" s="889"/>
      <c r="J179" s="889"/>
      <c r="K179" s="889"/>
      <c r="L179" s="889">
        <v>8041</v>
      </c>
      <c r="M179" s="889"/>
      <c r="N179" s="891"/>
      <c r="O179" s="884"/>
      <c r="P179" s="833"/>
      <c r="Q179" s="833"/>
      <c r="R179" s="884"/>
      <c r="S179" s="833"/>
      <c r="T179" s="833"/>
      <c r="U179" s="833"/>
      <c r="V179" s="833"/>
      <c r="W179" s="833"/>
      <c r="X179" s="833"/>
      <c r="Y179" s="884"/>
      <c r="Z179" s="833"/>
      <c r="AA179" s="884"/>
      <c r="AB179" s="884"/>
      <c r="AC179" s="833"/>
      <c r="AD179" s="833"/>
      <c r="AE179" s="833"/>
      <c r="AF179" s="833"/>
      <c r="AG179" s="833"/>
      <c r="AH179" s="833"/>
      <c r="AI179" s="833"/>
      <c r="AJ179" s="833"/>
      <c r="AK179" s="833"/>
      <c r="AL179" s="833"/>
    </row>
    <row r="180" spans="2:38" x14ac:dyDescent="0.2">
      <c r="B180" s="857" t="s">
        <v>537</v>
      </c>
      <c r="C180" s="860" t="s">
        <v>534</v>
      </c>
      <c r="D180" s="890">
        <v>106</v>
      </c>
      <c r="E180" s="890"/>
      <c r="F180" s="890">
        <v>47</v>
      </c>
      <c r="G180" s="890"/>
      <c r="H180" s="890"/>
      <c r="I180" s="889"/>
      <c r="J180" s="889"/>
      <c r="K180" s="889"/>
      <c r="L180" s="889">
        <v>10011</v>
      </c>
      <c r="M180" s="889"/>
      <c r="N180" s="891"/>
      <c r="O180" s="884"/>
      <c r="P180" s="833"/>
      <c r="Q180" s="833"/>
      <c r="R180" s="884"/>
      <c r="S180" s="833"/>
      <c r="T180" s="833"/>
      <c r="U180" s="833"/>
      <c r="V180" s="833"/>
      <c r="W180" s="833"/>
      <c r="X180" s="833"/>
      <c r="Y180" s="884"/>
      <c r="Z180" s="833"/>
      <c r="AA180" s="884"/>
      <c r="AB180" s="884"/>
      <c r="AC180" s="833"/>
      <c r="AD180" s="833"/>
      <c r="AE180" s="833"/>
      <c r="AF180" s="833"/>
      <c r="AG180" s="833"/>
      <c r="AH180" s="833"/>
      <c r="AI180" s="833"/>
      <c r="AJ180" s="833"/>
      <c r="AK180" s="833"/>
      <c r="AL180" s="833"/>
    </row>
    <row r="181" spans="2:38" x14ac:dyDescent="0.2">
      <c r="B181" s="889" t="s">
        <v>533</v>
      </c>
      <c r="C181" s="889" t="s">
        <v>534</v>
      </c>
      <c r="D181" s="890">
        <v>188</v>
      </c>
      <c r="E181" s="890"/>
      <c r="F181" s="890">
        <v>15</v>
      </c>
      <c r="G181" s="890">
        <v>18</v>
      </c>
      <c r="H181" s="890"/>
      <c r="I181" s="889"/>
      <c r="J181" s="889"/>
      <c r="K181" s="889">
        <v>3572</v>
      </c>
      <c r="L181" s="889">
        <v>9681</v>
      </c>
      <c r="M181" s="889"/>
      <c r="N181" s="891"/>
      <c r="O181" s="884"/>
      <c r="P181" s="833"/>
      <c r="Q181" s="833"/>
      <c r="R181" s="833"/>
      <c r="S181" s="833"/>
      <c r="T181" s="833"/>
      <c r="U181" s="833"/>
      <c r="V181" s="833"/>
      <c r="W181" s="833"/>
      <c r="X181" s="833"/>
      <c r="Y181" s="884"/>
      <c r="Z181" s="833"/>
      <c r="AA181" s="884"/>
      <c r="AB181" s="884"/>
      <c r="AC181" s="833"/>
      <c r="AD181" s="833"/>
      <c r="AE181" s="833"/>
      <c r="AF181" s="833"/>
      <c r="AG181" s="833"/>
      <c r="AH181" s="833"/>
      <c r="AI181" s="833"/>
      <c r="AJ181" s="833"/>
      <c r="AK181" s="833"/>
      <c r="AL181" s="833"/>
    </row>
    <row r="182" spans="2:38" x14ac:dyDescent="0.2">
      <c r="B182" s="889" t="s">
        <v>535</v>
      </c>
      <c r="C182" s="889" t="s">
        <v>534</v>
      </c>
      <c r="D182" s="890">
        <v>114</v>
      </c>
      <c r="E182" s="890"/>
      <c r="F182" s="890">
        <v>57</v>
      </c>
      <c r="G182" s="890">
        <v>18</v>
      </c>
      <c r="H182" s="890"/>
      <c r="I182" s="889"/>
      <c r="J182" s="889"/>
      <c r="K182" s="889"/>
      <c r="L182" s="889">
        <v>25536</v>
      </c>
      <c r="M182" s="889"/>
      <c r="N182" s="891"/>
      <c r="O182" s="884"/>
      <c r="P182" s="833"/>
      <c r="Q182" s="833"/>
      <c r="R182" s="833"/>
      <c r="S182" s="833"/>
      <c r="T182" s="833"/>
      <c r="U182" s="833"/>
      <c r="V182" s="833"/>
      <c r="W182" s="833"/>
      <c r="X182" s="833"/>
      <c r="Y182" s="884"/>
      <c r="Z182" s="833"/>
      <c r="AA182" s="884"/>
      <c r="AB182" s="884"/>
      <c r="AC182" s="833"/>
      <c r="AD182" s="833"/>
      <c r="AE182" s="833"/>
      <c r="AF182" s="833"/>
      <c r="AG182" s="833"/>
      <c r="AH182" s="833"/>
      <c r="AI182" s="833"/>
      <c r="AJ182" s="833"/>
      <c r="AK182" s="833"/>
      <c r="AL182" s="833"/>
    </row>
    <row r="183" spans="2:38" x14ac:dyDescent="0.2">
      <c r="B183" s="889" t="s">
        <v>536</v>
      </c>
      <c r="C183" s="889" t="s">
        <v>534</v>
      </c>
      <c r="D183" s="890">
        <v>144</v>
      </c>
      <c r="E183" s="890"/>
      <c r="F183" s="890">
        <v>36</v>
      </c>
      <c r="G183" s="890"/>
      <c r="H183" s="890"/>
      <c r="I183" s="889"/>
      <c r="J183" s="889"/>
      <c r="K183" s="889"/>
      <c r="L183" s="889">
        <v>9874</v>
      </c>
      <c r="M183" s="889"/>
      <c r="N183" s="891"/>
      <c r="O183" s="884"/>
      <c r="P183" s="833"/>
      <c r="Q183" s="833"/>
      <c r="R183" s="833"/>
      <c r="S183" s="833"/>
      <c r="T183" s="833"/>
      <c r="U183" s="833"/>
      <c r="V183" s="833"/>
      <c r="W183" s="833"/>
      <c r="X183" s="833"/>
      <c r="Y183" s="884"/>
      <c r="Z183" s="833"/>
      <c r="AA183" s="884"/>
      <c r="AB183" s="884"/>
      <c r="AC183" s="833"/>
      <c r="AD183" s="833"/>
      <c r="AE183" s="833"/>
      <c r="AF183" s="833"/>
      <c r="AG183" s="833"/>
      <c r="AH183" s="833"/>
      <c r="AI183" s="833"/>
      <c r="AJ183" s="833"/>
      <c r="AK183" s="833"/>
      <c r="AL183" s="833"/>
    </row>
    <row r="184" spans="2:38" x14ac:dyDescent="0.2">
      <c r="B184" s="889" t="s">
        <v>527</v>
      </c>
      <c r="C184" s="889" t="s">
        <v>534</v>
      </c>
      <c r="D184" s="890">
        <v>160</v>
      </c>
      <c r="E184" s="890"/>
      <c r="F184" s="890">
        <v>30</v>
      </c>
      <c r="G184" s="890">
        <v>9</v>
      </c>
      <c r="H184" s="890"/>
      <c r="I184" s="889"/>
      <c r="J184" s="889"/>
      <c r="K184" s="889"/>
      <c r="L184" s="889">
        <v>9321</v>
      </c>
      <c r="M184" s="889"/>
      <c r="N184" s="891"/>
      <c r="O184" s="884"/>
      <c r="P184" s="833"/>
      <c r="Q184" s="833"/>
      <c r="R184" s="833"/>
      <c r="S184" s="833"/>
      <c r="T184" s="833"/>
      <c r="U184" s="833"/>
      <c r="V184" s="833"/>
      <c r="W184" s="833"/>
      <c r="X184" s="833"/>
      <c r="Y184" s="884"/>
      <c r="Z184" s="833"/>
      <c r="AA184" s="884"/>
      <c r="AB184" s="884"/>
      <c r="AC184" s="833"/>
      <c r="AD184" s="833"/>
      <c r="AE184" s="833"/>
      <c r="AF184" s="833"/>
      <c r="AG184" s="833"/>
      <c r="AH184" s="833"/>
      <c r="AI184" s="833"/>
      <c r="AJ184" s="833"/>
      <c r="AK184" s="833"/>
      <c r="AL184" s="833"/>
    </row>
    <row r="185" spans="2:38" x14ac:dyDescent="0.2">
      <c r="B185" s="892" t="s">
        <v>713</v>
      </c>
      <c r="C185" s="892" t="s">
        <v>728</v>
      </c>
      <c r="D185" s="893">
        <v>145</v>
      </c>
      <c r="E185" s="893"/>
      <c r="F185" s="893">
        <f>40+58+47</f>
        <v>145</v>
      </c>
      <c r="G185" s="893"/>
      <c r="H185" s="893"/>
      <c r="I185" s="892"/>
      <c r="J185" s="892"/>
      <c r="K185" s="892"/>
      <c r="L185" s="936">
        <v>46890</v>
      </c>
      <c r="M185" s="892"/>
      <c r="N185" s="891"/>
      <c r="O185" s="884"/>
      <c r="P185" s="833"/>
      <c r="Q185" s="833"/>
      <c r="R185" s="833"/>
      <c r="S185" s="833"/>
      <c r="T185" s="833"/>
      <c r="U185" s="833"/>
      <c r="V185" s="833"/>
      <c r="W185" s="833"/>
      <c r="X185" s="833"/>
      <c r="Y185" s="884"/>
      <c r="Z185" s="833"/>
      <c r="AA185" s="884"/>
      <c r="AB185" s="884"/>
      <c r="AC185" s="833"/>
      <c r="AD185" s="833"/>
      <c r="AE185" s="833"/>
      <c r="AF185" s="833"/>
      <c r="AG185" s="833"/>
      <c r="AH185" s="833"/>
      <c r="AI185" s="833"/>
      <c r="AJ185" s="833"/>
      <c r="AK185" s="833"/>
      <c r="AL185" s="833"/>
    </row>
    <row r="186" spans="2:38" x14ac:dyDescent="0.2">
      <c r="B186" s="892" t="s">
        <v>538</v>
      </c>
      <c r="C186" s="892" t="s">
        <v>534</v>
      </c>
      <c r="D186" s="893">
        <v>136</v>
      </c>
      <c r="E186" s="893"/>
      <c r="F186" s="893">
        <v>43</v>
      </c>
      <c r="G186" s="893">
        <v>12</v>
      </c>
      <c r="H186" s="893"/>
      <c r="I186" s="892"/>
      <c r="J186" s="892"/>
      <c r="K186" s="892"/>
      <c r="L186" s="936">
        <v>18536</v>
      </c>
      <c r="M186" s="892"/>
      <c r="N186" s="891"/>
      <c r="O186" s="884"/>
      <c r="P186" s="833"/>
      <c r="Q186" s="833"/>
      <c r="R186" s="833"/>
      <c r="S186" s="833"/>
      <c r="T186" s="833"/>
      <c r="U186" s="833"/>
      <c r="V186" s="833"/>
      <c r="W186" s="833"/>
      <c r="X186" s="833"/>
      <c r="Y186" s="884"/>
      <c r="Z186" s="833"/>
      <c r="AA186" s="884"/>
      <c r="AB186" s="884"/>
      <c r="AC186" s="833"/>
      <c r="AD186" s="833"/>
      <c r="AE186" s="833"/>
      <c r="AF186" s="833"/>
      <c r="AG186" s="833"/>
      <c r="AH186" s="833"/>
      <c r="AI186" s="833"/>
      <c r="AJ186" s="833"/>
      <c r="AK186" s="833"/>
      <c r="AL186" s="833"/>
    </row>
    <row r="187" spans="2:38" x14ac:dyDescent="0.2">
      <c r="F187" s="92"/>
      <c r="M187" s="92"/>
      <c r="N187" s="92"/>
      <c r="O187" s="884"/>
      <c r="P187" s="833"/>
      <c r="Q187" s="833"/>
      <c r="R187" s="833"/>
      <c r="S187" s="833"/>
      <c r="T187" s="833"/>
      <c r="U187" s="833"/>
      <c r="V187" s="833"/>
      <c r="W187" s="833"/>
      <c r="X187" s="833"/>
      <c r="Y187" s="833"/>
      <c r="Z187" s="833"/>
      <c r="AA187" s="833"/>
      <c r="AB187" s="833"/>
      <c r="AC187" s="833"/>
      <c r="AD187" s="833"/>
      <c r="AE187" s="833"/>
      <c r="AF187" s="833"/>
      <c r="AG187" s="833"/>
      <c r="AH187" s="833"/>
      <c r="AI187" s="833"/>
      <c r="AJ187" s="833"/>
      <c r="AK187" s="833"/>
      <c r="AL187" s="833"/>
    </row>
    <row r="188" spans="2:38" x14ac:dyDescent="0.2">
      <c r="D188" s="92"/>
      <c r="G188" s="92"/>
      <c r="O188" s="833"/>
      <c r="P188" s="833"/>
      <c r="Q188" s="833"/>
      <c r="R188" s="833"/>
      <c r="S188" s="833"/>
      <c r="T188" s="833"/>
      <c r="U188" s="833"/>
      <c r="V188" s="833"/>
      <c r="W188" s="833"/>
      <c r="X188" s="833"/>
      <c r="Y188" s="833"/>
      <c r="Z188" s="833"/>
      <c r="AA188" s="833"/>
      <c r="AB188" s="833"/>
      <c r="AC188" s="833"/>
      <c r="AD188" s="833"/>
      <c r="AE188" s="833"/>
      <c r="AF188" s="833"/>
      <c r="AG188" s="833"/>
      <c r="AH188" s="833"/>
      <c r="AI188" s="833"/>
      <c r="AJ188" s="833"/>
      <c r="AK188" s="833"/>
      <c r="AL188" s="833"/>
    </row>
    <row r="189" spans="2:38" x14ac:dyDescent="0.2">
      <c r="F189" s="92"/>
      <c r="G189" s="92"/>
      <c r="I189" s="92"/>
      <c r="O189" s="833"/>
      <c r="P189" s="833"/>
      <c r="Q189" s="833"/>
      <c r="R189" s="833"/>
      <c r="S189" s="833"/>
      <c r="T189" s="833"/>
      <c r="U189" s="833"/>
      <c r="V189" s="833"/>
      <c r="W189" s="833"/>
      <c r="X189" s="833"/>
      <c r="Y189" s="833"/>
      <c r="Z189" s="833"/>
      <c r="AA189" s="833"/>
      <c r="AB189" s="833"/>
      <c r="AC189" s="833"/>
      <c r="AD189" s="833"/>
      <c r="AE189" s="833"/>
      <c r="AF189" s="833"/>
      <c r="AG189" s="833"/>
      <c r="AH189" s="833"/>
      <c r="AI189" s="833"/>
      <c r="AJ189" s="833"/>
      <c r="AK189" s="833"/>
      <c r="AL189" s="833"/>
    </row>
    <row r="190" spans="2:38" x14ac:dyDescent="0.2">
      <c r="B190" s="894" t="s">
        <v>729</v>
      </c>
      <c r="O190" s="833"/>
      <c r="P190" s="833"/>
      <c r="Q190" s="833"/>
      <c r="R190" s="833"/>
      <c r="S190" s="833"/>
      <c r="T190" s="833"/>
      <c r="U190" s="833"/>
      <c r="V190" s="833"/>
      <c r="W190" s="833"/>
      <c r="X190" s="833"/>
      <c r="Y190" s="833"/>
      <c r="Z190" s="833"/>
      <c r="AA190" s="833"/>
      <c r="AB190" s="833"/>
      <c r="AC190" s="833"/>
      <c r="AD190" s="833"/>
      <c r="AE190" s="833"/>
      <c r="AF190" s="833"/>
      <c r="AG190" s="833"/>
      <c r="AH190" s="833"/>
      <c r="AI190" s="833"/>
      <c r="AJ190" s="833"/>
      <c r="AK190" s="833"/>
      <c r="AL190" s="833"/>
    </row>
    <row r="191" spans="2:38" x14ac:dyDescent="0.2">
      <c r="B191" s="895"/>
      <c r="C191" s="997" t="s">
        <v>730</v>
      </c>
      <c r="D191" s="997" t="s">
        <v>731</v>
      </c>
      <c r="E191" s="1005" t="s">
        <v>732</v>
      </c>
      <c r="F191" s="985" t="s">
        <v>733</v>
      </c>
      <c r="G191" s="985"/>
      <c r="H191" s="985"/>
      <c r="I191" s="985" t="s">
        <v>734</v>
      </c>
      <c r="J191" s="985"/>
      <c r="K191" s="787"/>
      <c r="O191" s="833"/>
      <c r="P191" s="833"/>
      <c r="Q191" s="833"/>
      <c r="R191" s="833"/>
      <c r="S191" s="833"/>
      <c r="T191" s="833"/>
      <c r="U191" s="833"/>
      <c r="V191" s="833"/>
      <c r="W191" s="833"/>
      <c r="X191" s="833"/>
      <c r="Y191" s="833"/>
      <c r="Z191" s="833"/>
      <c r="AA191" s="833"/>
      <c r="AB191" s="833"/>
      <c r="AC191" s="833"/>
      <c r="AD191" s="833"/>
      <c r="AE191" s="833"/>
      <c r="AF191" s="833"/>
      <c r="AG191" s="833"/>
      <c r="AH191" s="833"/>
      <c r="AI191" s="833"/>
      <c r="AJ191" s="833"/>
      <c r="AK191" s="833"/>
      <c r="AL191" s="833"/>
    </row>
    <row r="192" spans="2:38" x14ac:dyDescent="0.2">
      <c r="B192" s="118" t="s">
        <v>682</v>
      </c>
      <c r="C192" s="1004"/>
      <c r="D192" s="1004"/>
      <c r="E192" s="1006"/>
      <c r="F192" s="1006" t="s">
        <v>735</v>
      </c>
      <c r="G192" s="985" t="s">
        <v>736</v>
      </c>
      <c r="H192" s="985"/>
      <c r="I192" s="1006" t="s">
        <v>737</v>
      </c>
      <c r="J192" s="1006" t="s">
        <v>738</v>
      </c>
      <c r="K192" s="787"/>
      <c r="O192" s="833"/>
      <c r="P192" s="833"/>
      <c r="Q192" s="833"/>
      <c r="R192" s="833"/>
      <c r="S192" s="833"/>
      <c r="T192" s="833"/>
      <c r="U192" s="833"/>
      <c r="V192" s="833"/>
      <c r="W192" s="833"/>
      <c r="X192" s="833"/>
      <c r="Y192" s="833"/>
      <c r="Z192" s="833"/>
      <c r="AA192" s="833"/>
      <c r="AB192" s="833"/>
      <c r="AC192" s="833"/>
      <c r="AD192" s="833"/>
      <c r="AE192" s="833"/>
      <c r="AF192" s="833"/>
      <c r="AG192" s="833"/>
      <c r="AH192" s="833"/>
      <c r="AI192" s="833"/>
      <c r="AJ192" s="833"/>
      <c r="AK192" s="833"/>
      <c r="AL192" s="833"/>
    </row>
    <row r="193" spans="1:12" x14ac:dyDescent="0.2">
      <c r="B193" s="153" t="s">
        <v>684</v>
      </c>
      <c r="C193" s="1003"/>
      <c r="D193" s="1003"/>
      <c r="E193" s="1007"/>
      <c r="F193" s="1007"/>
      <c r="G193" s="876">
        <v>1</v>
      </c>
      <c r="H193" s="876">
        <v>2</v>
      </c>
      <c r="I193" s="1007"/>
      <c r="J193" s="1007"/>
      <c r="K193" s="787"/>
    </row>
    <row r="194" spans="1:12" x14ac:dyDescent="0.2">
      <c r="B194" s="813" t="s">
        <v>690</v>
      </c>
      <c r="C194" s="817" t="s">
        <v>523</v>
      </c>
      <c r="D194" s="924">
        <v>1950</v>
      </c>
      <c r="E194" s="924">
        <v>79</v>
      </c>
      <c r="F194" s="924">
        <v>154050</v>
      </c>
      <c r="G194" s="924">
        <v>28181</v>
      </c>
      <c r="H194" s="924">
        <v>43060</v>
      </c>
      <c r="I194" s="932">
        <v>5465.818181818182</v>
      </c>
      <c r="J194" s="931">
        <v>1.3879628795386971</v>
      </c>
      <c r="K194" s="787"/>
    </row>
    <row r="195" spans="1:12" x14ac:dyDescent="0.2">
      <c r="B195" s="813" t="s">
        <v>708</v>
      </c>
      <c r="C195" s="817" t="s">
        <v>523</v>
      </c>
      <c r="D195" s="924">
        <v>1430</v>
      </c>
      <c r="E195" s="924">
        <v>94</v>
      </c>
      <c r="F195" s="924">
        <v>134420</v>
      </c>
      <c r="G195" s="924">
        <v>26793</v>
      </c>
      <c r="H195" s="924">
        <v>48958</v>
      </c>
      <c r="I195" s="932">
        <v>4653.833333333333</v>
      </c>
      <c r="J195" s="931">
        <v>1.5663745688449706</v>
      </c>
      <c r="K195" s="787"/>
    </row>
    <row r="196" spans="1:12" x14ac:dyDescent="0.2">
      <c r="B196" s="813" t="s">
        <v>709</v>
      </c>
      <c r="C196" s="817" t="s">
        <v>523</v>
      </c>
      <c r="D196" s="924">
        <v>1590</v>
      </c>
      <c r="E196" s="924">
        <v>92</v>
      </c>
      <c r="F196" s="924">
        <v>146280</v>
      </c>
      <c r="G196" s="924">
        <v>14252</v>
      </c>
      <c r="H196" s="924">
        <v>44589</v>
      </c>
      <c r="I196" s="932">
        <v>3963.5</v>
      </c>
      <c r="J196" s="931">
        <v>1.4384753813021802</v>
      </c>
      <c r="K196" s="787"/>
    </row>
    <row r="197" spans="1:12" x14ac:dyDescent="0.2">
      <c r="B197" s="813" t="s">
        <v>526</v>
      </c>
      <c r="C197" s="817" t="s">
        <v>523</v>
      </c>
      <c r="D197" s="924">
        <v>2277</v>
      </c>
      <c r="E197" s="924">
        <v>86</v>
      </c>
      <c r="F197" s="924">
        <v>195822</v>
      </c>
      <c r="G197" s="924">
        <v>22321</v>
      </c>
      <c r="H197" s="924">
        <v>56943</v>
      </c>
      <c r="I197" s="932">
        <v>4772.1176470588234</v>
      </c>
      <c r="J197" s="931">
        <v>1.4100187933380857</v>
      </c>
      <c r="K197" s="787"/>
    </row>
    <row r="198" spans="1:12" x14ac:dyDescent="0.2">
      <c r="B198" s="813" t="s">
        <v>527</v>
      </c>
      <c r="C198" s="817" t="s">
        <v>523</v>
      </c>
      <c r="D198" s="924">
        <v>1587</v>
      </c>
      <c r="E198" s="924">
        <v>96</v>
      </c>
      <c r="F198" s="924">
        <v>152352</v>
      </c>
      <c r="G198" s="924">
        <v>25341</v>
      </c>
      <c r="H198" s="924">
        <v>63775</v>
      </c>
      <c r="I198" s="932">
        <v>3539.5238095238096</v>
      </c>
      <c r="J198" s="931">
        <v>1.7205000508181725</v>
      </c>
      <c r="K198" s="787"/>
    </row>
    <row r="199" spans="1:12" x14ac:dyDescent="0.2">
      <c r="B199" s="813" t="s">
        <v>528</v>
      </c>
      <c r="C199" s="817" t="s">
        <v>523</v>
      </c>
      <c r="D199" s="924">
        <v>1582</v>
      </c>
      <c r="E199" s="924">
        <v>93</v>
      </c>
      <c r="F199" s="924">
        <v>147126</v>
      </c>
      <c r="G199" s="924">
        <v>21921</v>
      </c>
      <c r="H199" s="924">
        <v>59370</v>
      </c>
      <c r="I199" s="932">
        <v>4289.875</v>
      </c>
      <c r="J199" s="931">
        <v>1.676534937782032</v>
      </c>
      <c r="K199" s="787"/>
    </row>
    <row r="200" spans="1:12" x14ac:dyDescent="0.2">
      <c r="B200" s="813" t="s">
        <v>739</v>
      </c>
      <c r="C200" s="817" t="s">
        <v>523</v>
      </c>
      <c r="D200" s="924">
        <v>1400</v>
      </c>
      <c r="E200" s="924">
        <v>92</v>
      </c>
      <c r="F200" s="924">
        <v>128800</v>
      </c>
      <c r="G200" s="924">
        <v>19496</v>
      </c>
      <c r="H200" s="924">
        <v>50597</v>
      </c>
      <c r="I200" s="932">
        <v>3891.375</v>
      </c>
      <c r="J200" s="931">
        <v>1.6469956395534697</v>
      </c>
      <c r="K200" s="787"/>
      <c r="L200" s="896"/>
    </row>
    <row r="201" spans="1:12" x14ac:dyDescent="0.2">
      <c r="A201" s="863" t="s">
        <v>913</v>
      </c>
      <c r="B201" s="813" t="s">
        <v>530</v>
      </c>
      <c r="C201" s="817" t="s">
        <v>523</v>
      </c>
      <c r="D201" s="924">
        <v>1976</v>
      </c>
      <c r="E201" s="924">
        <v>90</v>
      </c>
      <c r="F201" s="924">
        <v>177840</v>
      </c>
      <c r="G201" s="924">
        <v>40745</v>
      </c>
      <c r="H201" s="924">
        <v>69363</v>
      </c>
      <c r="I201" s="932">
        <v>4652.3</v>
      </c>
      <c r="J201" s="931">
        <v>1.6394258690782377</v>
      </c>
      <c r="K201" s="787"/>
    </row>
    <row r="202" spans="1:12" x14ac:dyDescent="0.2">
      <c r="B202" s="813" t="s">
        <v>531</v>
      </c>
      <c r="C202" s="817" t="s">
        <v>523</v>
      </c>
      <c r="D202" s="924">
        <v>1842</v>
      </c>
      <c r="E202" s="924">
        <v>92</v>
      </c>
      <c r="F202" s="924">
        <v>169464</v>
      </c>
      <c r="G202" s="924">
        <v>20448</v>
      </c>
      <c r="H202" s="924">
        <v>48904</v>
      </c>
      <c r="I202" s="932">
        <v>3125.9047619047619</v>
      </c>
      <c r="J202" s="931">
        <v>1.4056403450564035</v>
      </c>
      <c r="K202" s="787"/>
    </row>
    <row r="203" spans="1:12" x14ac:dyDescent="0.2">
      <c r="B203" s="813" t="s">
        <v>532</v>
      </c>
      <c r="C203" s="817" t="s">
        <v>523</v>
      </c>
      <c r="D203" s="924">
        <v>1316</v>
      </c>
      <c r="E203" s="924">
        <v>82</v>
      </c>
      <c r="F203" s="924">
        <v>107912</v>
      </c>
      <c r="G203" s="924">
        <v>4775</v>
      </c>
      <c r="H203" s="924">
        <v>35876</v>
      </c>
      <c r="I203" s="932">
        <v>4079.25</v>
      </c>
      <c r="J203" s="931">
        <v>1.4980287633960798</v>
      </c>
      <c r="K203" s="787"/>
    </row>
    <row r="204" spans="1:12" x14ac:dyDescent="0.2">
      <c r="B204" s="924" t="s">
        <v>537</v>
      </c>
      <c r="C204" s="856" t="s">
        <v>534</v>
      </c>
      <c r="D204" s="924">
        <v>1180</v>
      </c>
      <c r="E204" s="924">
        <v>80</v>
      </c>
      <c r="F204" s="924">
        <v>94400</v>
      </c>
      <c r="G204" s="924">
        <v>3359</v>
      </c>
      <c r="H204" s="924">
        <v>14547</v>
      </c>
      <c r="I204" s="932">
        <v>3019.181818181818</v>
      </c>
      <c r="J204" s="931">
        <v>1.1821722414937448</v>
      </c>
      <c r="K204" s="787"/>
    </row>
    <row r="205" spans="1:12" x14ac:dyDescent="0.2">
      <c r="B205" s="813" t="s">
        <v>533</v>
      </c>
      <c r="C205" s="817" t="s">
        <v>534</v>
      </c>
      <c r="D205" s="924">
        <v>1373</v>
      </c>
      <c r="E205" s="924">
        <v>87</v>
      </c>
      <c r="F205" s="924">
        <v>119451</v>
      </c>
      <c r="G205" s="924">
        <v>3196</v>
      </c>
      <c r="H205" s="924">
        <v>34755</v>
      </c>
      <c r="I205" s="932">
        <v>2607</v>
      </c>
      <c r="J205" s="931">
        <v>1.4103499574950411</v>
      </c>
      <c r="K205" s="787"/>
    </row>
    <row r="206" spans="1:12" x14ac:dyDescent="0.2">
      <c r="B206" s="813" t="s">
        <v>535</v>
      </c>
      <c r="C206" s="817" t="s">
        <v>534</v>
      </c>
      <c r="D206" s="924">
        <v>1425</v>
      </c>
      <c r="E206" s="924">
        <v>87</v>
      </c>
      <c r="F206" s="924">
        <v>123975</v>
      </c>
      <c r="G206" s="924">
        <v>2117</v>
      </c>
      <c r="H206" s="924">
        <v>38184</v>
      </c>
      <c r="I206" s="932">
        <v>2965.5294117647059</v>
      </c>
      <c r="J206" s="931">
        <v>1.4450816519215302</v>
      </c>
      <c r="K206" s="787"/>
    </row>
    <row r="207" spans="1:12" x14ac:dyDescent="0.2">
      <c r="B207" s="813" t="s">
        <v>536</v>
      </c>
      <c r="C207" s="817" t="s">
        <v>534</v>
      </c>
      <c r="D207" s="924">
        <v>1076</v>
      </c>
      <c r="E207" s="924">
        <v>90</v>
      </c>
      <c r="F207" s="924">
        <v>96840</v>
      </c>
      <c r="G207" s="924">
        <v>-16485</v>
      </c>
      <c r="H207" s="924">
        <v>43784</v>
      </c>
      <c r="I207" s="932">
        <v>1764.4857142857143</v>
      </c>
      <c r="J207" s="931">
        <v>1.8252412545235224</v>
      </c>
      <c r="K207" s="787"/>
    </row>
    <row r="208" spans="1:12" x14ac:dyDescent="0.2">
      <c r="B208" s="813" t="s">
        <v>527</v>
      </c>
      <c r="C208" s="817" t="s">
        <v>534</v>
      </c>
      <c r="D208" s="924">
        <v>1234</v>
      </c>
      <c r="E208" s="924">
        <v>93</v>
      </c>
      <c r="F208" s="924">
        <v>114762</v>
      </c>
      <c r="G208" s="924">
        <v>11400</v>
      </c>
      <c r="H208" s="924">
        <v>43591</v>
      </c>
      <c r="I208" s="932">
        <v>3439.3571428571427</v>
      </c>
      <c r="J208" s="931">
        <v>1.6124826122999536</v>
      </c>
      <c r="K208" s="787"/>
    </row>
    <row r="209" spans="1:15" x14ac:dyDescent="0.2">
      <c r="B209" s="897" t="s">
        <v>538</v>
      </c>
      <c r="C209" s="898" t="s">
        <v>523</v>
      </c>
      <c r="D209" s="933">
        <v>1787</v>
      </c>
      <c r="E209" s="933">
        <v>90</v>
      </c>
      <c r="F209" s="933">
        <v>60830</v>
      </c>
      <c r="G209" s="933">
        <v>14774</v>
      </c>
      <c r="H209" s="933">
        <v>42227</v>
      </c>
      <c r="I209" s="934">
        <v>3868.8666666666668</v>
      </c>
      <c r="J209" s="935">
        <v>0.51288753235584261</v>
      </c>
      <c r="K209" s="787"/>
    </row>
    <row r="210" spans="1:15" x14ac:dyDescent="0.2">
      <c r="B210" s="897" t="s">
        <v>538</v>
      </c>
      <c r="C210" s="898" t="s">
        <v>534</v>
      </c>
      <c r="D210" s="933">
        <v>1353</v>
      </c>
      <c r="E210" s="933">
        <v>92</v>
      </c>
      <c r="F210" s="933">
        <v>124476</v>
      </c>
      <c r="G210" s="933">
        <v>10002</v>
      </c>
      <c r="H210" s="933">
        <v>41894</v>
      </c>
      <c r="I210" s="934">
        <v>3042</v>
      </c>
      <c r="J210" s="935">
        <v>1.5073018333292969</v>
      </c>
      <c r="K210" s="787"/>
    </row>
    <row r="211" spans="1:15" x14ac:dyDescent="0.2">
      <c r="K211" s="78"/>
      <c r="L211" s="78"/>
      <c r="M211" s="78"/>
      <c r="N211" s="78"/>
      <c r="O211" s="78"/>
    </row>
    <row r="213" spans="1:15" x14ac:dyDescent="0.2">
      <c r="B213" s="732" t="s">
        <v>740</v>
      </c>
      <c r="C213" s="732"/>
      <c r="D213" s="732"/>
    </row>
    <row r="214" spans="1:15" x14ac:dyDescent="0.2">
      <c r="B214" s="736" t="s">
        <v>682</v>
      </c>
      <c r="C214" s="1008" t="s">
        <v>741</v>
      </c>
      <c r="D214" s="985" t="s">
        <v>742</v>
      </c>
      <c r="E214" s="985"/>
      <c r="F214" s="985" t="s">
        <v>743</v>
      </c>
      <c r="G214" s="985"/>
      <c r="H214" s="787"/>
    </row>
    <row r="215" spans="1:15" x14ac:dyDescent="0.2">
      <c r="B215" s="153" t="s">
        <v>684</v>
      </c>
      <c r="C215" s="1009"/>
      <c r="D215" s="770">
        <v>1</v>
      </c>
      <c r="E215" s="770" t="s">
        <v>744</v>
      </c>
      <c r="F215" s="918">
        <v>1</v>
      </c>
      <c r="G215" s="918">
        <v>2</v>
      </c>
      <c r="H215" s="787"/>
    </row>
    <row r="216" spans="1:15" x14ac:dyDescent="0.2">
      <c r="B216" s="899" t="s">
        <v>745</v>
      </c>
      <c r="C216" s="899" t="s">
        <v>523</v>
      </c>
      <c r="D216" s="968">
        <v>64.548205128205126</v>
      </c>
      <c r="E216" s="968">
        <v>56.917948717948718</v>
      </c>
      <c r="F216" s="900">
        <v>1593.2784810126582</v>
      </c>
      <c r="G216" s="900">
        <v>1404.9367088607594</v>
      </c>
      <c r="H216" s="787"/>
    </row>
    <row r="217" spans="1:15" x14ac:dyDescent="0.2">
      <c r="B217" s="900" t="s">
        <v>746</v>
      </c>
      <c r="C217" s="900" t="s">
        <v>523</v>
      </c>
      <c r="D217" s="968">
        <v>75.263636363636365</v>
      </c>
      <c r="E217" s="968">
        <v>59.763636363636365</v>
      </c>
      <c r="F217" s="900">
        <v>1144.9680851063829</v>
      </c>
      <c r="G217" s="900">
        <v>909.17021276595744</v>
      </c>
      <c r="H217" s="787"/>
    </row>
    <row r="218" spans="1:15" x14ac:dyDescent="0.2">
      <c r="B218" s="900" t="s">
        <v>747</v>
      </c>
      <c r="C218" s="900" t="s">
        <v>523</v>
      </c>
      <c r="D218" s="968">
        <v>83.036477987421378</v>
      </c>
      <c r="E218" s="968">
        <v>63.956603773584902</v>
      </c>
      <c r="F218" s="900">
        <v>1435.0869565217392</v>
      </c>
      <c r="G218" s="900">
        <v>1105.3369565217392</v>
      </c>
      <c r="H218" s="787"/>
    </row>
    <row r="219" spans="1:15" x14ac:dyDescent="0.2">
      <c r="B219" s="900" t="s">
        <v>526</v>
      </c>
      <c r="C219" s="900" t="s">
        <v>523</v>
      </c>
      <c r="D219" s="968">
        <v>76.197189284145807</v>
      </c>
      <c r="E219" s="968">
        <v>60.992094861660078</v>
      </c>
      <c r="F219" s="900">
        <v>2017.453488372093</v>
      </c>
      <c r="G219" s="900">
        <v>1614.8720930232557</v>
      </c>
      <c r="H219" s="787"/>
    </row>
    <row r="220" spans="1:15" x14ac:dyDescent="0.2">
      <c r="B220" s="900" t="s">
        <v>527</v>
      </c>
      <c r="C220" s="900" t="s">
        <v>523</v>
      </c>
      <c r="D220" s="968">
        <v>80.032136105860118</v>
      </c>
      <c r="E220" s="968">
        <v>55.81411468178954</v>
      </c>
      <c r="F220" s="900">
        <v>1323.03125</v>
      </c>
      <c r="G220" s="900">
        <v>922.67708333333337</v>
      </c>
      <c r="H220" s="787"/>
    </row>
    <row r="221" spans="1:15" x14ac:dyDescent="0.2">
      <c r="B221" s="900" t="s">
        <v>528</v>
      </c>
      <c r="C221" s="900" t="s">
        <v>523</v>
      </c>
      <c r="D221" s="968">
        <v>79.143489254108729</v>
      </c>
      <c r="E221" s="968">
        <v>55.471554993678886</v>
      </c>
      <c r="F221" s="900">
        <v>1346.2903225806451</v>
      </c>
      <c r="G221" s="900">
        <v>943.61290322580646</v>
      </c>
      <c r="H221" s="787"/>
    </row>
    <row r="222" spans="1:15" x14ac:dyDescent="0.2">
      <c r="B222" s="900" t="s">
        <v>739</v>
      </c>
      <c r="C222" s="900" t="s">
        <v>523</v>
      </c>
      <c r="D222" s="968">
        <v>78.074285714285708</v>
      </c>
      <c r="E222" s="968">
        <v>55.859285714285711</v>
      </c>
      <c r="F222" s="900">
        <v>1188.0869565217392</v>
      </c>
      <c r="G222" s="900">
        <v>850.03260869565213</v>
      </c>
      <c r="H222" s="787"/>
    </row>
    <row r="223" spans="1:15" x14ac:dyDescent="0.2">
      <c r="A223" s="863" t="s">
        <v>913</v>
      </c>
      <c r="B223" s="900" t="s">
        <v>530</v>
      </c>
      <c r="C223" s="900" t="s">
        <v>523</v>
      </c>
      <c r="D223" s="968">
        <v>69.380060728744937</v>
      </c>
      <c r="E223" s="968">
        <v>54.897267206477736</v>
      </c>
      <c r="F223" s="900">
        <v>1523.2777777777778</v>
      </c>
      <c r="G223" s="900">
        <v>1205.3</v>
      </c>
      <c r="H223" s="787"/>
      <c r="I223" s="896"/>
    </row>
    <row r="224" spans="1:15" x14ac:dyDescent="0.2">
      <c r="B224" s="900" t="s">
        <v>531</v>
      </c>
      <c r="C224" s="900" t="s">
        <v>523</v>
      </c>
      <c r="D224" s="968">
        <v>80.899022801302934</v>
      </c>
      <c r="E224" s="968">
        <v>65.450597176981546</v>
      </c>
      <c r="F224" s="900">
        <v>1619.7391304347825</v>
      </c>
      <c r="G224" s="900">
        <v>1310.4347826086957</v>
      </c>
      <c r="H224" s="787"/>
    </row>
    <row r="225" spans="2:8" x14ac:dyDescent="0.2">
      <c r="B225" s="900" t="s">
        <v>532</v>
      </c>
      <c r="C225" s="900" t="s">
        <v>523</v>
      </c>
      <c r="D225" s="968">
        <v>78.371580547112458</v>
      </c>
      <c r="E225" s="968">
        <v>54.738601823708208</v>
      </c>
      <c r="F225" s="900">
        <v>1257.7682926829268</v>
      </c>
      <c r="G225" s="900">
        <v>878.48780487804879</v>
      </c>
      <c r="H225" s="787"/>
    </row>
    <row r="226" spans="2:8" x14ac:dyDescent="0.2">
      <c r="B226" s="857" t="s">
        <v>537</v>
      </c>
      <c r="C226" s="860" t="s">
        <v>534</v>
      </c>
      <c r="D226" s="968">
        <v>77.153389830508502</v>
      </c>
      <c r="E226" s="968">
        <v>67.67</v>
      </c>
      <c r="F226" s="900">
        <v>1138.0125</v>
      </c>
      <c r="G226" s="900">
        <v>998.16250000000002</v>
      </c>
      <c r="H226" s="787"/>
    </row>
    <row r="227" spans="2:8" x14ac:dyDescent="0.2">
      <c r="B227" s="900" t="s">
        <v>533</v>
      </c>
      <c r="C227" s="900" t="s">
        <v>534</v>
      </c>
      <c r="D227" s="968">
        <v>84.672250546249089</v>
      </c>
      <c r="E227" s="968">
        <v>61.686817188638017</v>
      </c>
      <c r="F227" s="900">
        <v>1336.2643678160919</v>
      </c>
      <c r="G227" s="900">
        <v>973.51724137931035</v>
      </c>
      <c r="H227" s="787"/>
    </row>
    <row r="228" spans="2:8" x14ac:dyDescent="0.2">
      <c r="B228" s="900" t="s">
        <v>535</v>
      </c>
      <c r="C228" s="900" t="s">
        <v>534</v>
      </c>
      <c r="D228" s="968">
        <v>85.514385964912279</v>
      </c>
      <c r="E228" s="968">
        <v>60.204210526315791</v>
      </c>
      <c r="F228" s="900">
        <v>1400.6666666666667</v>
      </c>
      <c r="G228" s="900">
        <v>986.10344827586209</v>
      </c>
      <c r="H228" s="787"/>
    </row>
    <row r="229" spans="2:8" x14ac:dyDescent="0.2">
      <c r="B229" s="900" t="s">
        <v>536</v>
      </c>
      <c r="C229" s="900" t="s">
        <v>534</v>
      </c>
      <c r="D229" s="968">
        <v>105.32063197026022</v>
      </c>
      <c r="E229" s="968">
        <v>49.308550185873607</v>
      </c>
      <c r="F229" s="900">
        <v>1259.1666666666667</v>
      </c>
      <c r="G229" s="900">
        <v>589.51111111111106</v>
      </c>
      <c r="H229" s="787"/>
    </row>
    <row r="230" spans="2:8" x14ac:dyDescent="0.2">
      <c r="B230" s="900" t="s">
        <v>527</v>
      </c>
      <c r="C230" s="900" t="s">
        <v>534</v>
      </c>
      <c r="D230" s="968">
        <v>83.76175040518639</v>
      </c>
      <c r="E230" s="968">
        <v>57.675040518638575</v>
      </c>
      <c r="F230" s="900">
        <v>1111.4193548387098</v>
      </c>
      <c r="G230" s="900">
        <v>765.27956989247309</v>
      </c>
      <c r="H230" s="787"/>
    </row>
    <row r="231" spans="2:8" x14ac:dyDescent="0.2">
      <c r="B231" s="901" t="s">
        <v>538</v>
      </c>
      <c r="C231" s="901" t="s">
        <v>523</v>
      </c>
      <c r="D231" s="901">
        <v>81.732512590934533</v>
      </c>
      <c r="E231" s="901">
        <v>66.369893676552877</v>
      </c>
      <c r="F231" s="901">
        <v>1622.8444444444444</v>
      </c>
      <c r="G231" s="901">
        <v>1317.8111111111111</v>
      </c>
      <c r="H231" s="787"/>
    </row>
    <row r="232" spans="2:8" x14ac:dyDescent="0.2">
      <c r="B232" s="902" t="s">
        <v>538</v>
      </c>
      <c r="C232" s="902" t="s">
        <v>534</v>
      </c>
      <c r="D232" s="902">
        <v>84.607538802660756</v>
      </c>
      <c r="E232" s="902">
        <v>61.036215816703624</v>
      </c>
      <c r="F232" s="902">
        <v>1244.2826086956522</v>
      </c>
      <c r="G232" s="902">
        <v>897.63043478260875</v>
      </c>
      <c r="H232" s="787"/>
    </row>
    <row r="234" spans="2:8" x14ac:dyDescent="0.2">
      <c r="B234" s="56" t="s">
        <v>748</v>
      </c>
      <c r="D234" s="56" t="s">
        <v>749</v>
      </c>
    </row>
    <row r="237" spans="2:8" x14ac:dyDescent="0.2">
      <c r="B237" s="56" t="s">
        <v>750</v>
      </c>
    </row>
    <row r="238" spans="2:8" x14ac:dyDescent="0.2">
      <c r="B238" s="904" t="s">
        <v>751</v>
      </c>
      <c r="C238" s="905" t="s">
        <v>752</v>
      </c>
      <c r="D238" s="905" t="s">
        <v>753</v>
      </c>
      <c r="E238" s="1010" t="s">
        <v>754</v>
      </c>
      <c r="F238" s="1010"/>
      <c r="G238" s="118"/>
    </row>
    <row r="239" spans="2:8" x14ac:dyDescent="0.2">
      <c r="B239" s="906"/>
      <c r="C239" s="907" t="s">
        <v>755</v>
      </c>
      <c r="D239" s="907" t="s">
        <v>756</v>
      </c>
      <c r="E239" s="907" t="s">
        <v>757</v>
      </c>
      <c r="F239" s="907" t="s">
        <v>758</v>
      </c>
      <c r="G239" s="118"/>
    </row>
    <row r="240" spans="2:8" x14ac:dyDescent="0.2">
      <c r="B240" s="906"/>
      <c r="C240" s="907" t="s">
        <v>759</v>
      </c>
      <c r="D240" s="907" t="s">
        <v>760</v>
      </c>
      <c r="E240" s="907" t="s">
        <v>761</v>
      </c>
      <c r="F240" s="907" t="s">
        <v>762</v>
      </c>
      <c r="G240" s="118"/>
    </row>
    <row r="241" spans="2:8" x14ac:dyDescent="0.2">
      <c r="B241" s="834"/>
      <c r="C241" s="908" t="s">
        <v>763</v>
      </c>
      <c r="D241" s="908" t="s">
        <v>764</v>
      </c>
      <c r="E241" s="908" t="s">
        <v>765</v>
      </c>
      <c r="F241" s="908" t="s">
        <v>766</v>
      </c>
      <c r="G241" s="118"/>
    </row>
    <row r="242" spans="2:8" x14ac:dyDescent="0.2">
      <c r="B242" s="909" t="s">
        <v>767</v>
      </c>
      <c r="C242" s="910">
        <v>35984</v>
      </c>
      <c r="D242" s="910" t="s">
        <v>768</v>
      </c>
      <c r="E242" s="910">
        <v>15</v>
      </c>
      <c r="F242" s="910" t="s">
        <v>142</v>
      </c>
      <c r="G242" s="118"/>
    </row>
    <row r="243" spans="2:8" x14ac:dyDescent="0.2">
      <c r="B243" s="909" t="s">
        <v>524</v>
      </c>
      <c r="C243" s="910">
        <v>17367</v>
      </c>
      <c r="D243" s="910" t="s">
        <v>768</v>
      </c>
      <c r="E243" s="910">
        <v>8</v>
      </c>
      <c r="F243" s="910" t="s">
        <v>142</v>
      </c>
      <c r="G243" s="118"/>
    </row>
    <row r="244" spans="2:8" x14ac:dyDescent="0.2">
      <c r="B244" s="911" t="s">
        <v>769</v>
      </c>
      <c r="C244" s="912" t="s">
        <v>770</v>
      </c>
      <c r="D244" s="913" t="s">
        <v>768</v>
      </c>
      <c r="E244" s="912" t="s">
        <v>155</v>
      </c>
      <c r="F244" s="910" t="s">
        <v>142</v>
      </c>
      <c r="G244" s="118"/>
    </row>
    <row r="245" spans="2:8" x14ac:dyDescent="0.2">
      <c r="B245" s="909" t="s">
        <v>528</v>
      </c>
      <c r="C245" s="910">
        <v>34000</v>
      </c>
      <c r="D245" s="910" t="s">
        <v>768</v>
      </c>
      <c r="E245" s="910">
        <v>30</v>
      </c>
      <c r="F245" s="910" t="s">
        <v>142</v>
      </c>
      <c r="G245" s="118"/>
    </row>
    <row r="246" spans="2:8" x14ac:dyDescent="0.2">
      <c r="B246" s="909" t="s">
        <v>525</v>
      </c>
      <c r="C246" s="910">
        <v>37249</v>
      </c>
      <c r="D246" s="910" t="s">
        <v>768</v>
      </c>
      <c r="E246" s="910">
        <v>16</v>
      </c>
      <c r="F246" s="910" t="s">
        <v>142</v>
      </c>
      <c r="G246" s="118"/>
      <c r="H246" s="56" t="s">
        <v>646</v>
      </c>
    </row>
    <row r="247" spans="2:8" x14ac:dyDescent="0.2">
      <c r="B247" s="909" t="s">
        <v>526</v>
      </c>
      <c r="C247" s="910">
        <v>28250</v>
      </c>
      <c r="D247" s="910" t="s">
        <v>768</v>
      </c>
      <c r="E247" s="910">
        <v>15</v>
      </c>
      <c r="F247" s="910" t="s">
        <v>142</v>
      </c>
      <c r="G247" s="118"/>
    </row>
    <row r="248" spans="2:8" x14ac:dyDescent="0.2">
      <c r="B248" s="911" t="s">
        <v>771</v>
      </c>
      <c r="C248" s="854"/>
      <c r="D248" s="854"/>
      <c r="E248" s="854"/>
      <c r="F248" s="854"/>
      <c r="G248" s="118"/>
    </row>
    <row r="249" spans="2:8" x14ac:dyDescent="0.2">
      <c r="B249" s="909" t="s">
        <v>772</v>
      </c>
      <c r="C249" s="910">
        <v>19088</v>
      </c>
      <c r="D249" s="910" t="s">
        <v>768</v>
      </c>
      <c r="E249" s="910">
        <v>10</v>
      </c>
      <c r="F249" s="910" t="s">
        <v>142</v>
      </c>
      <c r="G249" s="118"/>
    </row>
    <row r="250" spans="2:8" x14ac:dyDescent="0.2">
      <c r="B250" s="909" t="s">
        <v>773</v>
      </c>
      <c r="C250" s="910">
        <v>21237</v>
      </c>
      <c r="D250" s="910" t="s">
        <v>768</v>
      </c>
      <c r="E250" s="910">
        <v>11</v>
      </c>
      <c r="F250" s="910" t="s">
        <v>142</v>
      </c>
      <c r="G250" s="118"/>
    </row>
    <row r="251" spans="2:8" x14ac:dyDescent="0.2">
      <c r="B251" s="909" t="s">
        <v>774</v>
      </c>
      <c r="C251" s="910">
        <v>12918</v>
      </c>
      <c r="D251" s="910" t="s">
        <v>768</v>
      </c>
      <c r="E251" s="910">
        <v>1</v>
      </c>
      <c r="F251" s="910" t="s">
        <v>142</v>
      </c>
      <c r="G251" s="118"/>
    </row>
    <row r="252" spans="2:8" x14ac:dyDescent="0.2">
      <c r="B252" s="909" t="s">
        <v>532</v>
      </c>
      <c r="C252" s="910">
        <v>18099</v>
      </c>
      <c r="D252" s="910" t="s">
        <v>768</v>
      </c>
      <c r="E252" s="910">
        <v>9</v>
      </c>
      <c r="F252" s="910" t="s">
        <v>142</v>
      </c>
      <c r="G252" s="118"/>
    </row>
    <row r="253" spans="2:8" x14ac:dyDescent="0.2">
      <c r="B253" s="857" t="s">
        <v>537</v>
      </c>
      <c r="C253" s="856"/>
      <c r="D253" s="910"/>
      <c r="E253" s="910"/>
      <c r="F253" s="910"/>
      <c r="G253" s="118"/>
    </row>
    <row r="254" spans="2:8" x14ac:dyDescent="0.2">
      <c r="B254" s="909" t="s">
        <v>527</v>
      </c>
      <c r="C254" s="910">
        <v>14183</v>
      </c>
      <c r="D254" s="914">
        <v>19728</v>
      </c>
      <c r="E254" s="910">
        <v>11</v>
      </c>
      <c r="F254" s="910">
        <v>30</v>
      </c>
      <c r="G254" s="118"/>
    </row>
    <row r="255" spans="2:8" x14ac:dyDescent="0.2">
      <c r="B255" s="909" t="s">
        <v>535</v>
      </c>
      <c r="C255" s="910" t="s">
        <v>768</v>
      </c>
      <c r="D255" s="914">
        <v>9023</v>
      </c>
      <c r="E255" s="910" t="s">
        <v>142</v>
      </c>
      <c r="F255" s="910">
        <v>14</v>
      </c>
      <c r="G255" s="118"/>
    </row>
    <row r="256" spans="2:8" x14ac:dyDescent="0.2">
      <c r="B256" s="909" t="s">
        <v>533</v>
      </c>
      <c r="C256" s="910" t="s">
        <v>768</v>
      </c>
      <c r="D256" s="914">
        <v>5205</v>
      </c>
      <c r="E256" s="910" t="s">
        <v>142</v>
      </c>
      <c r="F256" s="910">
        <v>8</v>
      </c>
      <c r="G256" s="118"/>
    </row>
    <row r="257" spans="2:10" x14ac:dyDescent="0.2">
      <c r="B257" s="909" t="s">
        <v>775</v>
      </c>
      <c r="C257" s="910" t="s">
        <v>768</v>
      </c>
      <c r="D257" s="914">
        <v>2517</v>
      </c>
      <c r="E257" s="910" t="s">
        <v>142</v>
      </c>
      <c r="F257" s="910">
        <v>4</v>
      </c>
      <c r="G257" s="118"/>
    </row>
    <row r="258" spans="2:10" x14ac:dyDescent="0.2">
      <c r="B258" s="915" t="s">
        <v>8</v>
      </c>
      <c r="C258" s="916">
        <f>SUM(C242:C254)</f>
        <v>238375</v>
      </c>
      <c r="D258" s="916">
        <f>SUM(D254:D257)</f>
        <v>36473</v>
      </c>
      <c r="E258" s="917">
        <f>SUM(E242:E254)</f>
        <v>126</v>
      </c>
      <c r="F258" s="917">
        <f>SUM(F254:F257)</f>
        <v>56</v>
      </c>
      <c r="G258" s="118"/>
    </row>
    <row r="261" spans="2:10" x14ac:dyDescent="0.2">
      <c r="C261" s="732" t="s">
        <v>631</v>
      </c>
      <c r="E261" s="1004"/>
      <c r="F261" s="1004"/>
      <c r="G261" s="1004"/>
      <c r="H261" s="1004"/>
      <c r="I261" s="1004"/>
      <c r="J261" s="1004"/>
    </row>
  </sheetData>
  <mergeCells count="33">
    <mergeCell ref="C214:C215"/>
    <mergeCell ref="D214:E214"/>
    <mergeCell ref="F214:G214"/>
    <mergeCell ref="E238:F238"/>
    <mergeCell ref="E261:J261"/>
    <mergeCell ref="C191:C193"/>
    <mergeCell ref="D191:D193"/>
    <mergeCell ref="E191:E193"/>
    <mergeCell ref="F191:H191"/>
    <mergeCell ref="I191:J191"/>
    <mergeCell ref="F192:F193"/>
    <mergeCell ref="G192:H192"/>
    <mergeCell ref="I192:I193"/>
    <mergeCell ref="J192:J193"/>
    <mergeCell ref="D142:F142"/>
    <mergeCell ref="K142:M142"/>
    <mergeCell ref="B167:B168"/>
    <mergeCell ref="C167:C169"/>
    <mergeCell ref="D167:J167"/>
    <mergeCell ref="M167:M169"/>
    <mergeCell ref="D168:E168"/>
    <mergeCell ref="F168:J168"/>
    <mergeCell ref="K168:L168"/>
    <mergeCell ref="B66:B67"/>
    <mergeCell ref="F66:G66"/>
    <mergeCell ref="H66:I66"/>
    <mergeCell ref="D75:G75"/>
    <mergeCell ref="D121:G121"/>
    <mergeCell ref="D4:E4"/>
    <mergeCell ref="F5:G5"/>
    <mergeCell ref="H4:H5"/>
    <mergeCell ref="D98:G98"/>
    <mergeCell ref="C36:E3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8"/>
  <sheetViews>
    <sheetView topLeftCell="A139" workbookViewId="0">
      <selection activeCell="O171" sqref="O171"/>
    </sheetView>
  </sheetViews>
  <sheetFormatPr defaultRowHeight="15" x14ac:dyDescent="0.25"/>
  <cols>
    <col min="2" max="2" width="16.7109375" customWidth="1"/>
    <col min="3" max="3" width="11.42578125" customWidth="1"/>
    <col min="4" max="4" width="15.5703125" customWidth="1"/>
    <col min="5" max="5" width="15.28515625" customWidth="1"/>
    <col min="6" max="7" width="13.85546875" customWidth="1"/>
    <col min="8" max="8" width="11.28515625" bestFit="1" customWidth="1"/>
    <col min="9" max="9" width="10.5703125" bestFit="1" customWidth="1"/>
  </cols>
  <sheetData>
    <row r="2" spans="2:11" x14ac:dyDescent="0.25">
      <c r="C2" t="s">
        <v>579</v>
      </c>
    </row>
    <row r="3" spans="2:11" ht="15.75" x14ac:dyDescent="0.25">
      <c r="B3" s="535"/>
      <c r="C3" s="540"/>
      <c r="E3" s="540"/>
      <c r="F3" s="544"/>
      <c r="G3" s="540"/>
      <c r="H3" s="540"/>
      <c r="I3" s="540"/>
      <c r="J3" s="540"/>
    </row>
    <row r="4" spans="2:11" ht="30" customHeight="1" x14ac:dyDescent="0.25">
      <c r="B4" s="1013"/>
      <c r="C4" s="1014"/>
      <c r="D4" s="1011" t="s">
        <v>582</v>
      </c>
      <c r="E4" s="1012"/>
      <c r="F4" s="1015" t="s">
        <v>575</v>
      </c>
      <c r="G4" s="559" t="s">
        <v>572</v>
      </c>
      <c r="H4" s="568" t="s">
        <v>578</v>
      </c>
      <c r="I4" s="381"/>
      <c r="J4" s="568" t="s">
        <v>577</v>
      </c>
      <c r="K4" s="559"/>
    </row>
    <row r="5" spans="2:11" ht="15.75" x14ac:dyDescent="0.25">
      <c r="B5" s="1013"/>
      <c r="C5" s="1014"/>
      <c r="D5" s="690" t="s">
        <v>580</v>
      </c>
      <c r="E5" s="690" t="s">
        <v>581</v>
      </c>
      <c r="F5" s="1016"/>
      <c r="G5" s="381" t="s">
        <v>576</v>
      </c>
      <c r="H5" s="568" t="s">
        <v>574</v>
      </c>
      <c r="I5" s="559" t="s">
        <v>466</v>
      </c>
      <c r="J5" s="568" t="s">
        <v>574</v>
      </c>
      <c r="K5" s="559" t="s">
        <v>466</v>
      </c>
    </row>
    <row r="6" spans="2:11" ht="15.75" x14ac:dyDescent="0.25">
      <c r="B6" s="589" t="s">
        <v>522</v>
      </c>
      <c r="C6" s="559" t="s">
        <v>523</v>
      </c>
      <c r="D6" s="692">
        <v>125869</v>
      </c>
      <c r="E6" s="692">
        <v>110990</v>
      </c>
      <c r="F6" s="692">
        <v>1950</v>
      </c>
      <c r="G6" s="693">
        <v>79</v>
      </c>
      <c r="H6" s="694">
        <v>28181</v>
      </c>
      <c r="I6" s="694">
        <v>43060</v>
      </c>
      <c r="J6" s="695">
        <v>64.548205128205126</v>
      </c>
      <c r="K6" s="695">
        <v>56.917948717948718</v>
      </c>
    </row>
    <row r="7" spans="2:11" ht="15.75" x14ac:dyDescent="0.25">
      <c r="B7" s="586" t="s">
        <v>524</v>
      </c>
      <c r="C7" s="559" t="s">
        <v>523</v>
      </c>
      <c r="D7" s="696">
        <v>107627</v>
      </c>
      <c r="E7" s="692">
        <v>85462</v>
      </c>
      <c r="F7" s="692">
        <v>1430</v>
      </c>
      <c r="G7" s="693">
        <v>94</v>
      </c>
      <c r="H7" s="694">
        <v>26793</v>
      </c>
      <c r="I7" s="694">
        <v>48958</v>
      </c>
      <c r="J7" s="695">
        <v>75.263636363636365</v>
      </c>
      <c r="K7" s="695">
        <v>59.763636363636365</v>
      </c>
    </row>
    <row r="8" spans="2:11" ht="15.75" x14ac:dyDescent="0.25">
      <c r="B8" s="589" t="s">
        <v>525</v>
      </c>
      <c r="C8" s="559" t="s">
        <v>523</v>
      </c>
      <c r="D8" s="692">
        <v>132028</v>
      </c>
      <c r="E8" s="692">
        <v>101691</v>
      </c>
      <c r="F8" s="692">
        <v>1590</v>
      </c>
      <c r="G8" s="693">
        <v>92</v>
      </c>
      <c r="H8" s="694">
        <v>14252</v>
      </c>
      <c r="I8" s="694">
        <v>44589</v>
      </c>
      <c r="J8" s="695">
        <v>83.036477987421378</v>
      </c>
      <c r="K8" s="695">
        <v>63.956603773584902</v>
      </c>
    </row>
    <row r="9" spans="2:11" ht="15.75" x14ac:dyDescent="0.25">
      <c r="B9" s="586" t="s">
        <v>526</v>
      </c>
      <c r="C9" s="559" t="s">
        <v>523</v>
      </c>
      <c r="D9" s="692">
        <v>173501</v>
      </c>
      <c r="E9" s="692">
        <v>138879</v>
      </c>
      <c r="F9" s="692">
        <v>2277</v>
      </c>
      <c r="G9" s="693">
        <v>86</v>
      </c>
      <c r="H9" s="694">
        <v>22321</v>
      </c>
      <c r="I9" s="694">
        <v>56943</v>
      </c>
      <c r="J9" s="695">
        <v>76.197189284145807</v>
      </c>
      <c r="K9" s="695">
        <v>60.992094861660078</v>
      </c>
    </row>
    <row r="10" spans="2:11" ht="15.75" x14ac:dyDescent="0.25">
      <c r="B10" s="589" t="s">
        <v>527</v>
      </c>
      <c r="C10" s="559" t="s">
        <v>523</v>
      </c>
      <c r="D10" s="692">
        <v>127011</v>
      </c>
      <c r="E10" s="692">
        <v>88577</v>
      </c>
      <c r="F10" s="692">
        <v>1587</v>
      </c>
      <c r="G10" s="693">
        <v>96</v>
      </c>
      <c r="H10" s="694">
        <v>25341</v>
      </c>
      <c r="I10" s="694">
        <v>63775</v>
      </c>
      <c r="J10" s="695">
        <v>80.032136105860118</v>
      </c>
      <c r="K10" s="695">
        <v>55.81411468178954</v>
      </c>
    </row>
    <row r="11" spans="2:11" ht="15.75" x14ac:dyDescent="0.25">
      <c r="B11" s="586" t="s">
        <v>528</v>
      </c>
      <c r="C11" s="559" t="s">
        <v>523</v>
      </c>
      <c r="D11" s="692">
        <v>125205</v>
      </c>
      <c r="E11" s="692">
        <v>87756</v>
      </c>
      <c r="F11" s="692">
        <v>1582</v>
      </c>
      <c r="G11" s="693">
        <v>93</v>
      </c>
      <c r="H11" s="694">
        <v>21921</v>
      </c>
      <c r="I11" s="694">
        <v>59370</v>
      </c>
      <c r="J11" s="695">
        <v>79.143489254108729</v>
      </c>
      <c r="K11" s="695">
        <v>55.471554993678886</v>
      </c>
    </row>
    <row r="12" spans="2:11" ht="15.75" x14ac:dyDescent="0.25">
      <c r="B12" s="589" t="s">
        <v>529</v>
      </c>
      <c r="C12" s="559" t="s">
        <v>523</v>
      </c>
      <c r="D12" s="692">
        <v>109304</v>
      </c>
      <c r="E12" s="692">
        <v>78203</v>
      </c>
      <c r="F12" s="692">
        <v>1400</v>
      </c>
      <c r="G12" s="693">
        <v>92</v>
      </c>
      <c r="H12" s="694">
        <v>19496</v>
      </c>
      <c r="I12" s="694">
        <v>50597</v>
      </c>
      <c r="J12" s="695">
        <v>78.074285714285708</v>
      </c>
      <c r="K12" s="695">
        <v>55.859285714285711</v>
      </c>
    </row>
    <row r="13" spans="2:11" ht="15.75" x14ac:dyDescent="0.25">
      <c r="B13" s="589" t="s">
        <v>530</v>
      </c>
      <c r="C13" s="559" t="s">
        <v>523</v>
      </c>
      <c r="D13" s="692">
        <v>137095</v>
      </c>
      <c r="E13" s="692">
        <v>108477</v>
      </c>
      <c r="F13" s="692">
        <v>1976</v>
      </c>
      <c r="G13" s="693">
        <v>90</v>
      </c>
      <c r="H13" s="694">
        <v>40745</v>
      </c>
      <c r="I13" s="694">
        <v>69363</v>
      </c>
      <c r="J13" s="695">
        <v>69.380060728744937</v>
      </c>
      <c r="K13" s="695">
        <v>54.897267206477736</v>
      </c>
    </row>
    <row r="14" spans="2:11" ht="15.75" x14ac:dyDescent="0.25">
      <c r="B14" s="589" t="s">
        <v>531</v>
      </c>
      <c r="C14" s="559" t="s">
        <v>523</v>
      </c>
      <c r="D14" s="692">
        <v>149016</v>
      </c>
      <c r="E14" s="692">
        <v>120560</v>
      </c>
      <c r="F14" s="692">
        <v>1842</v>
      </c>
      <c r="G14" s="693">
        <v>92</v>
      </c>
      <c r="H14" s="694">
        <v>20448</v>
      </c>
      <c r="I14" s="694">
        <v>48904</v>
      </c>
      <c r="J14" s="695">
        <v>80.899022801302934</v>
      </c>
      <c r="K14" s="695">
        <v>65.450597176981546</v>
      </c>
    </row>
    <row r="15" spans="2:11" ht="15.75" x14ac:dyDescent="0.25">
      <c r="B15" s="586" t="s">
        <v>532</v>
      </c>
      <c r="C15" s="559" t="s">
        <v>523</v>
      </c>
      <c r="D15" s="692">
        <v>103137</v>
      </c>
      <c r="E15" s="692">
        <v>72036</v>
      </c>
      <c r="F15" s="692">
        <v>1316</v>
      </c>
      <c r="G15" s="693">
        <v>82</v>
      </c>
      <c r="H15" s="694">
        <v>4775</v>
      </c>
      <c r="I15" s="694">
        <v>35876</v>
      </c>
      <c r="J15" s="695">
        <v>78.371580547112458</v>
      </c>
      <c r="K15" s="695">
        <v>54.738601823708208</v>
      </c>
    </row>
    <row r="16" spans="2:11" ht="15.75" x14ac:dyDescent="0.25">
      <c r="B16" s="589" t="s">
        <v>537</v>
      </c>
      <c r="C16" s="559" t="s">
        <v>534</v>
      </c>
      <c r="D16" s="692">
        <v>76079</v>
      </c>
      <c r="E16" s="692">
        <v>66965</v>
      </c>
      <c r="F16" s="692">
        <v>1033</v>
      </c>
      <c r="G16" s="693">
        <v>80</v>
      </c>
      <c r="H16" s="694">
        <v>6561</v>
      </c>
      <c r="I16" s="694">
        <v>15675</v>
      </c>
      <c r="J16" s="695">
        <v>73.648596321393995</v>
      </c>
      <c r="K16" s="695">
        <v>64.825750242013555</v>
      </c>
    </row>
    <row r="17" spans="2:11" ht="15.75" x14ac:dyDescent="0.25">
      <c r="B17" s="589" t="s">
        <v>533</v>
      </c>
      <c r="C17" s="559" t="s">
        <v>534</v>
      </c>
      <c r="D17" s="692">
        <v>116255</v>
      </c>
      <c r="E17" s="692">
        <v>84696</v>
      </c>
      <c r="F17" s="692">
        <v>1373</v>
      </c>
      <c r="G17" s="693">
        <v>87</v>
      </c>
      <c r="H17" s="694">
        <v>3196</v>
      </c>
      <c r="I17" s="694">
        <v>34755</v>
      </c>
      <c r="J17" s="695">
        <v>84.672250546249089</v>
      </c>
      <c r="K17" s="695">
        <v>61.686817188638017</v>
      </c>
    </row>
    <row r="18" spans="2:11" ht="15.75" x14ac:dyDescent="0.25">
      <c r="B18" s="589" t="s">
        <v>535</v>
      </c>
      <c r="C18" s="559" t="s">
        <v>534</v>
      </c>
      <c r="D18" s="692">
        <v>121858</v>
      </c>
      <c r="E18" s="692">
        <v>85791</v>
      </c>
      <c r="F18" s="692">
        <v>1425</v>
      </c>
      <c r="G18" s="693">
        <v>87</v>
      </c>
      <c r="H18" s="694">
        <v>2117</v>
      </c>
      <c r="I18" s="694">
        <v>38184</v>
      </c>
      <c r="J18" s="695">
        <v>85.514385964912279</v>
      </c>
      <c r="K18" s="695">
        <v>60.204210526315791</v>
      </c>
    </row>
    <row r="19" spans="2:11" ht="15.75" x14ac:dyDescent="0.25">
      <c r="B19" s="569" t="s">
        <v>536</v>
      </c>
      <c r="C19" s="559" t="s">
        <v>534</v>
      </c>
      <c r="D19" s="692">
        <v>113325</v>
      </c>
      <c r="E19" s="692">
        <v>53056</v>
      </c>
      <c r="F19" s="692">
        <v>1076</v>
      </c>
      <c r="G19" s="693">
        <v>90</v>
      </c>
      <c r="H19" s="694">
        <v>-16485</v>
      </c>
      <c r="I19" s="694">
        <v>43784</v>
      </c>
      <c r="J19" s="695">
        <v>105.32063197026022</v>
      </c>
      <c r="K19" s="695">
        <v>49.308550185873607</v>
      </c>
    </row>
    <row r="20" spans="2:11" ht="15.75" x14ac:dyDescent="0.25">
      <c r="B20" s="589" t="s">
        <v>527</v>
      </c>
      <c r="C20" s="559" t="s">
        <v>534</v>
      </c>
      <c r="D20" s="692">
        <v>103362</v>
      </c>
      <c r="E20" s="692">
        <v>71171</v>
      </c>
      <c r="F20" s="692">
        <v>1234</v>
      </c>
      <c r="G20" s="693">
        <v>93</v>
      </c>
      <c r="H20" s="694">
        <v>11400</v>
      </c>
      <c r="I20" s="694">
        <v>43591</v>
      </c>
      <c r="J20" s="695">
        <v>83.76175040518639</v>
      </c>
      <c r="K20" s="695">
        <v>57.675040518638575</v>
      </c>
    </row>
    <row r="21" spans="2:11" ht="15.75" x14ac:dyDescent="0.25">
      <c r="B21" s="586" t="s">
        <v>538</v>
      </c>
      <c r="C21" s="565"/>
      <c r="D21" s="565"/>
      <c r="E21" s="565"/>
      <c r="F21" s="565"/>
      <c r="G21" s="691"/>
      <c r="H21" s="300"/>
      <c r="I21" s="300"/>
      <c r="J21" s="565"/>
      <c r="K21" s="565"/>
    </row>
    <row r="22" spans="2:11" ht="15.75" x14ac:dyDescent="0.25">
      <c r="B22" s="589" t="s">
        <v>539</v>
      </c>
      <c r="C22" s="559" t="s">
        <v>523</v>
      </c>
      <c r="D22" s="381">
        <v>137706</v>
      </c>
      <c r="E22" s="381">
        <v>110253</v>
      </c>
      <c r="F22" s="381">
        <v>1787</v>
      </c>
      <c r="G22" s="381">
        <v>90</v>
      </c>
      <c r="H22" s="381">
        <v>23124</v>
      </c>
      <c r="I22" s="381">
        <v>50577</v>
      </c>
      <c r="J22" s="381">
        <v>77.06</v>
      </c>
      <c r="K22" s="381">
        <v>61.7</v>
      </c>
    </row>
    <row r="23" spans="2:11" ht="15.75" x14ac:dyDescent="0.25">
      <c r="B23" s="569" t="s">
        <v>540</v>
      </c>
      <c r="C23" s="559" t="s">
        <v>534</v>
      </c>
      <c r="D23" s="559">
        <v>114474</v>
      </c>
      <c r="E23" s="559">
        <v>82783</v>
      </c>
      <c r="F23" s="559">
        <v>1353</v>
      </c>
      <c r="G23" s="566">
        <v>92</v>
      </c>
      <c r="H23" s="381">
        <v>10002</v>
      </c>
      <c r="I23" s="381">
        <v>41693</v>
      </c>
      <c r="J23" s="566">
        <v>84.607538802660756</v>
      </c>
      <c r="K23" s="566">
        <v>61.18477457501848</v>
      </c>
    </row>
    <row r="25" spans="2:11" x14ac:dyDescent="0.25">
      <c r="H25" s="959" t="s">
        <v>922</v>
      </c>
    </row>
    <row r="26" spans="2:11" x14ac:dyDescent="0.25">
      <c r="B26" s="960" t="s">
        <v>682</v>
      </c>
      <c r="E26" t="s">
        <v>683</v>
      </c>
    </row>
    <row r="27" spans="2:11" x14ac:dyDescent="0.25">
      <c r="B27" s="961" t="s">
        <v>923</v>
      </c>
      <c r="C27" s="381" t="s">
        <v>942</v>
      </c>
      <c r="D27" s="381" t="s">
        <v>947</v>
      </c>
      <c r="E27" s="962" t="s">
        <v>915</v>
      </c>
    </row>
    <row r="28" spans="2:11" ht="15.75" x14ac:dyDescent="0.25">
      <c r="B28" s="969" t="s">
        <v>924</v>
      </c>
      <c r="C28" s="568">
        <v>110990</v>
      </c>
      <c r="D28" s="967">
        <f t="shared" ref="D28:D42" si="0">+E28-C28</f>
        <v>14879</v>
      </c>
      <c r="E28" s="971">
        <v>125869</v>
      </c>
    </row>
    <row r="29" spans="2:11" ht="15.75" x14ac:dyDescent="0.25">
      <c r="B29" s="969" t="s">
        <v>925</v>
      </c>
      <c r="C29" s="568">
        <v>85462</v>
      </c>
      <c r="D29" s="967">
        <f t="shared" si="0"/>
        <v>22165</v>
      </c>
      <c r="E29" s="972">
        <v>107627</v>
      </c>
    </row>
    <row r="30" spans="2:11" ht="15.75" x14ac:dyDescent="0.25">
      <c r="B30" s="969" t="s">
        <v>926</v>
      </c>
      <c r="C30" s="568">
        <v>101691</v>
      </c>
      <c r="D30" s="967">
        <f t="shared" si="0"/>
        <v>30337</v>
      </c>
      <c r="E30" s="971">
        <v>132028</v>
      </c>
    </row>
    <row r="31" spans="2:11" ht="15.75" x14ac:dyDescent="0.25">
      <c r="B31" s="969" t="s">
        <v>927</v>
      </c>
      <c r="C31" s="568">
        <v>138879</v>
      </c>
      <c r="D31" s="967">
        <f t="shared" si="0"/>
        <v>34622</v>
      </c>
      <c r="E31" s="971">
        <v>173501</v>
      </c>
    </row>
    <row r="32" spans="2:11" ht="15.75" x14ac:dyDescent="0.25">
      <c r="B32" s="969" t="s">
        <v>928</v>
      </c>
      <c r="C32" s="568">
        <v>88577</v>
      </c>
      <c r="D32" s="967">
        <f t="shared" si="0"/>
        <v>38434</v>
      </c>
      <c r="E32" s="971">
        <v>127011</v>
      </c>
    </row>
    <row r="33" spans="2:8" ht="15.75" x14ac:dyDescent="0.25">
      <c r="B33" s="969" t="s">
        <v>929</v>
      </c>
      <c r="C33" s="568">
        <v>87756</v>
      </c>
      <c r="D33" s="967">
        <f t="shared" si="0"/>
        <v>37449</v>
      </c>
      <c r="E33" s="971">
        <v>125205</v>
      </c>
    </row>
    <row r="34" spans="2:8" ht="15.75" x14ac:dyDescent="0.25">
      <c r="B34" s="969" t="s">
        <v>930</v>
      </c>
      <c r="C34" s="568">
        <v>78203</v>
      </c>
      <c r="D34" s="967">
        <f t="shared" si="0"/>
        <v>31101</v>
      </c>
      <c r="E34" s="971">
        <v>109304</v>
      </c>
    </row>
    <row r="35" spans="2:8" ht="15.75" x14ac:dyDescent="0.25">
      <c r="B35" s="969" t="s">
        <v>931</v>
      </c>
      <c r="C35" s="568">
        <v>108477</v>
      </c>
      <c r="D35" s="967">
        <f t="shared" si="0"/>
        <v>28618</v>
      </c>
      <c r="E35" s="971">
        <v>137095</v>
      </c>
    </row>
    <row r="36" spans="2:8" ht="15.75" x14ac:dyDescent="0.25">
      <c r="B36" s="969" t="s">
        <v>932</v>
      </c>
      <c r="C36" s="568">
        <v>120560</v>
      </c>
      <c r="D36" s="967">
        <f t="shared" si="0"/>
        <v>28456</v>
      </c>
      <c r="E36" s="971">
        <v>149016</v>
      </c>
    </row>
    <row r="37" spans="2:8" ht="15.75" x14ac:dyDescent="0.25">
      <c r="B37" s="969" t="s">
        <v>933</v>
      </c>
      <c r="C37" s="568">
        <v>72036</v>
      </c>
      <c r="D37" s="967">
        <f t="shared" si="0"/>
        <v>31101</v>
      </c>
      <c r="E37" s="971">
        <v>103137</v>
      </c>
    </row>
    <row r="38" spans="2:8" ht="15.75" x14ac:dyDescent="0.25">
      <c r="B38" s="970" t="s">
        <v>946</v>
      </c>
      <c r="C38" s="568">
        <v>79853</v>
      </c>
      <c r="D38" s="967">
        <f t="shared" si="0"/>
        <v>11188</v>
      </c>
      <c r="E38" s="971">
        <v>91041</v>
      </c>
    </row>
    <row r="39" spans="2:8" ht="15.75" x14ac:dyDescent="0.25">
      <c r="B39" s="969" t="s">
        <v>934</v>
      </c>
      <c r="C39" s="568">
        <v>84696</v>
      </c>
      <c r="D39" s="967">
        <f t="shared" si="0"/>
        <v>31559</v>
      </c>
      <c r="E39" s="971">
        <v>116255</v>
      </c>
    </row>
    <row r="40" spans="2:8" ht="15.75" x14ac:dyDescent="0.25">
      <c r="B40" s="969" t="s">
        <v>935</v>
      </c>
      <c r="C40" s="568">
        <v>85791</v>
      </c>
      <c r="D40" s="967">
        <f t="shared" si="0"/>
        <v>36067</v>
      </c>
      <c r="E40" s="971">
        <v>121858</v>
      </c>
    </row>
    <row r="41" spans="2:8" ht="15.75" x14ac:dyDescent="0.25">
      <c r="B41" s="969" t="s">
        <v>936</v>
      </c>
      <c r="C41" s="568">
        <v>53056</v>
      </c>
      <c r="D41" s="967">
        <f t="shared" si="0"/>
        <v>60269</v>
      </c>
      <c r="E41" s="573">
        <v>113325</v>
      </c>
    </row>
    <row r="42" spans="2:8" ht="15.75" x14ac:dyDescent="0.25">
      <c r="B42" s="969" t="s">
        <v>937</v>
      </c>
      <c r="C42" s="568">
        <v>71171</v>
      </c>
      <c r="D42" s="967">
        <f t="shared" si="0"/>
        <v>32191</v>
      </c>
      <c r="E42" s="573">
        <v>103362</v>
      </c>
    </row>
    <row r="43" spans="2:8" ht="15.75" x14ac:dyDescent="0.25">
      <c r="C43" s="534"/>
      <c r="D43" s="965"/>
      <c r="E43" s="534"/>
    </row>
    <row r="44" spans="2:8" ht="15.75" x14ac:dyDescent="0.25">
      <c r="B44" s="963" t="s">
        <v>538</v>
      </c>
      <c r="C44" s="919">
        <v>110253</v>
      </c>
      <c r="D44" s="967">
        <f>+E44-C44</f>
        <v>27453</v>
      </c>
      <c r="E44" s="919">
        <v>137706</v>
      </c>
    </row>
    <row r="45" spans="2:8" ht="15.75" x14ac:dyDescent="0.25">
      <c r="B45" s="963" t="s">
        <v>538</v>
      </c>
      <c r="C45" s="559">
        <v>82582</v>
      </c>
      <c r="D45" s="967">
        <f>+E45-C45</f>
        <v>31892</v>
      </c>
      <c r="E45" s="559">
        <v>114474</v>
      </c>
      <c r="H45" s="959" t="s">
        <v>964</v>
      </c>
    </row>
    <row r="49" spans="2:8" x14ac:dyDescent="0.25">
      <c r="B49" s="381"/>
      <c r="C49" s="964" t="s">
        <v>939</v>
      </c>
      <c r="D49" s="964" t="s">
        <v>687</v>
      </c>
      <c r="E49" s="964" t="s">
        <v>696</v>
      </c>
      <c r="F49" s="966" t="s">
        <v>98</v>
      </c>
      <c r="G49" s="964" t="s">
        <v>8</v>
      </c>
    </row>
    <row r="50" spans="2:8" x14ac:dyDescent="0.25">
      <c r="B50" s="381" t="s">
        <v>535</v>
      </c>
      <c r="C50" s="381">
        <v>34</v>
      </c>
      <c r="D50" s="381">
        <v>33</v>
      </c>
      <c r="E50" s="381">
        <v>31</v>
      </c>
      <c r="F50" s="973">
        <v>2</v>
      </c>
      <c r="G50" s="381">
        <f>SUM(C50:F50)</f>
        <v>100</v>
      </c>
    </row>
    <row r="53" spans="2:8" x14ac:dyDescent="0.25">
      <c r="B53" s="381"/>
      <c r="C53" s="964" t="s">
        <v>939</v>
      </c>
      <c r="D53" s="964" t="s">
        <v>687</v>
      </c>
      <c r="E53" s="964" t="s">
        <v>696</v>
      </c>
      <c r="F53" s="966" t="s">
        <v>98</v>
      </c>
      <c r="G53" s="964" t="s">
        <v>8</v>
      </c>
    </row>
    <row r="54" spans="2:8" x14ac:dyDescent="0.25">
      <c r="B54" s="381" t="s">
        <v>526</v>
      </c>
      <c r="C54" s="381">
        <v>26</v>
      </c>
      <c r="D54" s="381">
        <v>32</v>
      </c>
      <c r="E54" s="381">
        <v>38</v>
      </c>
      <c r="F54" s="381">
        <v>4</v>
      </c>
      <c r="G54" s="381">
        <f>SUM(C54:F54)</f>
        <v>100</v>
      </c>
    </row>
    <row r="63" spans="2:8" x14ac:dyDescent="0.25">
      <c r="B63" s="960" t="s">
        <v>682</v>
      </c>
      <c r="H63" s="959" t="s">
        <v>938</v>
      </c>
    </row>
    <row r="64" spans="2:8" ht="15.75" x14ac:dyDescent="0.25">
      <c r="B64" s="961" t="s">
        <v>923</v>
      </c>
      <c r="C64" s="547" t="s">
        <v>340</v>
      </c>
      <c r="D64" s="540" t="s">
        <v>499</v>
      </c>
      <c r="E64" s="540" t="s">
        <v>496</v>
      </c>
      <c r="F64" s="540" t="s">
        <v>98</v>
      </c>
    </row>
    <row r="65" spans="2:6" ht="15.75" x14ac:dyDescent="0.25">
      <c r="B65" s="969" t="s">
        <v>924</v>
      </c>
      <c r="C65" s="562">
        <v>23467</v>
      </c>
      <c r="D65" s="562">
        <v>37015</v>
      </c>
      <c r="E65" s="562">
        <v>62586</v>
      </c>
      <c r="F65" s="559">
        <v>2800</v>
      </c>
    </row>
    <row r="66" spans="2:6" ht="15.75" x14ac:dyDescent="0.25">
      <c r="B66" s="969" t="s">
        <v>925</v>
      </c>
      <c r="C66" s="562">
        <v>27012</v>
      </c>
      <c r="D66" s="562">
        <v>38754</v>
      </c>
      <c r="E66" s="562">
        <v>40511</v>
      </c>
      <c r="F66" s="559">
        <v>1350</v>
      </c>
    </row>
    <row r="67" spans="2:6" ht="15.75" x14ac:dyDescent="0.25">
      <c r="B67" s="969" t="s">
        <v>926</v>
      </c>
      <c r="C67" s="562">
        <v>30524</v>
      </c>
      <c r="D67" s="562">
        <v>44637</v>
      </c>
      <c r="E67" s="562">
        <v>54867</v>
      </c>
      <c r="F67" s="559">
        <v>2000</v>
      </c>
    </row>
    <row r="68" spans="2:6" ht="15.75" x14ac:dyDescent="0.25">
      <c r="B68" s="969" t="s">
        <v>927</v>
      </c>
      <c r="C68" s="562">
        <v>45679</v>
      </c>
      <c r="D68" s="562">
        <v>55706</v>
      </c>
      <c r="E68" s="562">
        <v>66037</v>
      </c>
      <c r="F68" s="559">
        <v>6079</v>
      </c>
    </row>
    <row r="69" spans="2:6" ht="15.75" x14ac:dyDescent="0.25">
      <c r="B69" s="969" t="s">
        <v>928</v>
      </c>
      <c r="C69" s="562">
        <v>44337</v>
      </c>
      <c r="D69" s="562">
        <v>46568</v>
      </c>
      <c r="E69" s="562">
        <v>34606</v>
      </c>
      <c r="F69" s="559">
        <v>1500</v>
      </c>
    </row>
    <row r="70" spans="2:6" ht="15.75" x14ac:dyDescent="0.25">
      <c r="B70" s="969" t="s">
        <v>929</v>
      </c>
      <c r="C70" s="562">
        <v>37073</v>
      </c>
      <c r="D70" s="562">
        <v>43460</v>
      </c>
      <c r="E70" s="562">
        <v>39872</v>
      </c>
      <c r="F70" s="559">
        <v>4800</v>
      </c>
    </row>
    <row r="71" spans="2:6" ht="15.75" x14ac:dyDescent="0.25">
      <c r="B71" s="969" t="s">
        <v>930</v>
      </c>
      <c r="C71" s="562">
        <v>37323</v>
      </c>
      <c r="D71" s="562">
        <v>41283</v>
      </c>
      <c r="E71" s="562">
        <v>28198</v>
      </c>
      <c r="F71" s="559">
        <v>2500</v>
      </c>
    </row>
    <row r="72" spans="2:6" ht="15.75" x14ac:dyDescent="0.25">
      <c r="B72" s="969" t="s">
        <v>931</v>
      </c>
      <c r="C72" s="562">
        <v>43067</v>
      </c>
      <c r="D72" s="562">
        <v>42152</v>
      </c>
      <c r="E72" s="562">
        <v>47476</v>
      </c>
      <c r="F72" s="559">
        <v>4400</v>
      </c>
    </row>
    <row r="73" spans="2:6" ht="15.75" x14ac:dyDescent="0.25">
      <c r="B73" s="969" t="s">
        <v>932</v>
      </c>
      <c r="C73" s="562">
        <v>39060</v>
      </c>
      <c r="D73" s="562">
        <v>48945</v>
      </c>
      <c r="E73" s="562">
        <v>56961</v>
      </c>
      <c r="F73" s="559">
        <v>4050</v>
      </c>
    </row>
    <row r="74" spans="2:6" ht="15.75" x14ac:dyDescent="0.25">
      <c r="B74" s="969" t="s">
        <v>933</v>
      </c>
      <c r="C74" s="562">
        <v>31379</v>
      </c>
      <c r="D74" s="562">
        <v>39796</v>
      </c>
      <c r="E74" s="562">
        <v>29462</v>
      </c>
      <c r="F74" s="559">
        <v>2500</v>
      </c>
    </row>
    <row r="75" spans="2:6" ht="15.75" x14ac:dyDescent="0.25">
      <c r="B75" s="970" t="s">
        <v>946</v>
      </c>
      <c r="C75" s="562">
        <v>25669</v>
      </c>
      <c r="D75" s="562">
        <v>31889</v>
      </c>
      <c r="E75" s="562">
        <v>29983</v>
      </c>
      <c r="F75" s="559">
        <v>3500</v>
      </c>
    </row>
    <row r="76" spans="2:6" ht="15.75" x14ac:dyDescent="0.25">
      <c r="B76" s="969" t="s">
        <v>934</v>
      </c>
      <c r="C76" s="562">
        <v>38264</v>
      </c>
      <c r="D76" s="562">
        <v>46329</v>
      </c>
      <c r="E76" s="562">
        <v>30062</v>
      </c>
      <c r="F76" s="559">
        <v>1600</v>
      </c>
    </row>
    <row r="77" spans="2:6" ht="15.75" x14ac:dyDescent="0.25">
      <c r="B77" s="969" t="s">
        <v>935</v>
      </c>
      <c r="C77" s="562">
        <v>41578</v>
      </c>
      <c r="D77" s="562">
        <v>40824</v>
      </c>
      <c r="E77" s="562">
        <v>37456</v>
      </c>
      <c r="F77" s="559">
        <v>2000</v>
      </c>
    </row>
    <row r="78" spans="2:6" ht="15.75" x14ac:dyDescent="0.25">
      <c r="B78" s="969" t="s">
        <v>936</v>
      </c>
      <c r="C78" s="561">
        <v>69879</v>
      </c>
      <c r="D78" s="561">
        <v>22278</v>
      </c>
      <c r="E78" s="561">
        <v>18168</v>
      </c>
      <c r="F78" s="559">
        <v>3000</v>
      </c>
    </row>
    <row r="79" spans="2:6" ht="15.75" x14ac:dyDescent="0.25">
      <c r="B79" s="969" t="s">
        <v>937</v>
      </c>
      <c r="C79" s="561">
        <v>31918</v>
      </c>
      <c r="D79" s="561">
        <v>44629</v>
      </c>
      <c r="E79" s="561">
        <v>25915</v>
      </c>
      <c r="F79" s="559">
        <v>900</v>
      </c>
    </row>
    <row r="80" spans="2:6" ht="15.75" x14ac:dyDescent="0.25">
      <c r="C80" s="534"/>
      <c r="D80" s="534"/>
      <c r="E80" s="534"/>
      <c r="F80" s="565"/>
    </row>
    <row r="81" spans="2:10" ht="15.75" x14ac:dyDescent="0.25">
      <c r="B81" s="963" t="s">
        <v>948</v>
      </c>
      <c r="C81" s="919">
        <v>33878</v>
      </c>
      <c r="D81" s="923">
        <v>40761</v>
      </c>
      <c r="E81" s="923">
        <v>60267</v>
      </c>
      <c r="F81" s="923">
        <v>2800</v>
      </c>
    </row>
    <row r="82" spans="2:10" ht="15.75" x14ac:dyDescent="0.25">
      <c r="B82" s="963" t="s">
        <v>945</v>
      </c>
      <c r="C82" s="559">
        <v>33910</v>
      </c>
      <c r="D82" s="559">
        <v>45809</v>
      </c>
      <c r="E82" s="559">
        <v>33555</v>
      </c>
      <c r="F82" s="559">
        <v>1200</v>
      </c>
    </row>
    <row r="87" spans="2:10" x14ac:dyDescent="0.25">
      <c r="J87" s="959" t="s">
        <v>940</v>
      </c>
    </row>
    <row r="88" spans="2:10" x14ac:dyDescent="0.25">
      <c r="B88" s="960" t="s">
        <v>682</v>
      </c>
      <c r="C88" s="1017" t="s">
        <v>56</v>
      </c>
      <c r="D88" s="1019" t="s">
        <v>53</v>
      </c>
      <c r="E88" s="1019" t="s">
        <v>8</v>
      </c>
    </row>
    <row r="89" spans="2:10" x14ac:dyDescent="0.25">
      <c r="B89" s="961" t="s">
        <v>923</v>
      </c>
      <c r="C89" s="1018"/>
      <c r="D89" s="1019" t="s">
        <v>340</v>
      </c>
      <c r="E89" s="1019"/>
    </row>
    <row r="90" spans="2:10" ht="15.75" x14ac:dyDescent="0.25">
      <c r="B90" s="969" t="s">
        <v>924</v>
      </c>
      <c r="C90" s="567">
        <v>3</v>
      </c>
      <c r="D90" s="568">
        <v>8</v>
      </c>
      <c r="E90" s="559">
        <f>+C90+A90</f>
        <v>3</v>
      </c>
    </row>
    <row r="91" spans="2:10" ht="15.75" x14ac:dyDescent="0.25">
      <c r="B91" s="969" t="s">
        <v>925</v>
      </c>
      <c r="C91" s="584">
        <v>9</v>
      </c>
      <c r="D91" s="585">
        <v>3</v>
      </c>
      <c r="E91" s="559">
        <f t="shared" ref="E91:E99" si="1">+C91+A91</f>
        <v>9</v>
      </c>
    </row>
    <row r="92" spans="2:10" ht="15.75" x14ac:dyDescent="0.25">
      <c r="B92" s="969" t="s">
        <v>926</v>
      </c>
      <c r="C92" s="567">
        <v>9</v>
      </c>
      <c r="D92" s="568">
        <v>5</v>
      </c>
      <c r="E92" s="559">
        <f t="shared" si="1"/>
        <v>9</v>
      </c>
    </row>
    <row r="93" spans="2:10" ht="15.75" x14ac:dyDescent="0.25">
      <c r="B93" s="969" t="s">
        <v>927</v>
      </c>
      <c r="C93" s="584">
        <v>8</v>
      </c>
      <c r="D93" s="585">
        <v>9</v>
      </c>
      <c r="E93" s="559">
        <f t="shared" si="1"/>
        <v>8</v>
      </c>
    </row>
    <row r="94" spans="2:10" ht="15.75" x14ac:dyDescent="0.25">
      <c r="B94" s="969" t="s">
        <v>928</v>
      </c>
      <c r="C94" s="567">
        <v>16</v>
      </c>
      <c r="D94" s="568">
        <v>5</v>
      </c>
      <c r="E94" s="559">
        <f t="shared" si="1"/>
        <v>16</v>
      </c>
    </row>
    <row r="95" spans="2:10" ht="15.75" x14ac:dyDescent="0.25">
      <c r="B95" s="969" t="s">
        <v>929</v>
      </c>
      <c r="C95" s="567">
        <v>12</v>
      </c>
      <c r="D95" s="568">
        <v>4</v>
      </c>
      <c r="E95" s="559">
        <f>+C95+A95</f>
        <v>12</v>
      </c>
    </row>
    <row r="96" spans="2:10" ht="15.75" x14ac:dyDescent="0.25">
      <c r="B96" s="969" t="s">
        <v>930</v>
      </c>
      <c r="C96" s="590">
        <v>11</v>
      </c>
      <c r="D96" s="591">
        <v>5</v>
      </c>
      <c r="E96" s="559">
        <f t="shared" si="1"/>
        <v>11</v>
      </c>
    </row>
    <row r="97" spans="2:9" ht="15.75" x14ac:dyDescent="0.25">
      <c r="B97" s="969" t="s">
        <v>931</v>
      </c>
      <c r="C97" s="584">
        <v>9</v>
      </c>
      <c r="D97" s="585">
        <v>11</v>
      </c>
      <c r="E97" s="559">
        <f t="shared" si="1"/>
        <v>9</v>
      </c>
    </row>
    <row r="98" spans="2:9" ht="15.75" x14ac:dyDescent="0.25">
      <c r="B98" s="969" t="s">
        <v>932</v>
      </c>
      <c r="C98" s="567">
        <v>12</v>
      </c>
      <c r="D98" s="568">
        <v>9</v>
      </c>
      <c r="E98" s="559">
        <f t="shared" si="1"/>
        <v>12</v>
      </c>
    </row>
    <row r="99" spans="2:9" ht="15.75" x14ac:dyDescent="0.25">
      <c r="B99" s="969" t="s">
        <v>933</v>
      </c>
      <c r="C99" s="568">
        <v>7</v>
      </c>
      <c r="D99" s="568">
        <v>5</v>
      </c>
      <c r="E99" s="559">
        <f t="shared" si="1"/>
        <v>7</v>
      </c>
    </row>
    <row r="101" spans="2:9" ht="15.75" x14ac:dyDescent="0.25">
      <c r="B101" s="974" t="s">
        <v>946</v>
      </c>
      <c r="C101" s="568">
        <v>3</v>
      </c>
      <c r="D101" s="568">
        <v>8</v>
      </c>
      <c r="E101" s="559">
        <f>+C101+A100</f>
        <v>3</v>
      </c>
    </row>
    <row r="102" spans="2:9" ht="15.75" x14ac:dyDescent="0.25">
      <c r="B102" s="969" t="s">
        <v>934</v>
      </c>
      <c r="C102" s="567">
        <v>12</v>
      </c>
      <c r="D102" s="568">
        <v>5</v>
      </c>
      <c r="E102" s="559">
        <f>+C102+A101</f>
        <v>12</v>
      </c>
    </row>
    <row r="103" spans="2:9" ht="15.75" x14ac:dyDescent="0.25">
      <c r="B103" s="969" t="s">
        <v>935</v>
      </c>
      <c r="C103" s="590">
        <v>12</v>
      </c>
      <c r="D103" s="571">
        <v>5</v>
      </c>
      <c r="E103" s="559">
        <f>+C103+A102</f>
        <v>12</v>
      </c>
    </row>
    <row r="104" spans="2:9" ht="15.75" x14ac:dyDescent="0.25">
      <c r="B104" s="969" t="s">
        <v>936</v>
      </c>
      <c r="C104" s="590">
        <v>26</v>
      </c>
      <c r="D104" s="571">
        <v>9</v>
      </c>
      <c r="E104" s="559">
        <f>+C104+A103</f>
        <v>26</v>
      </c>
    </row>
    <row r="105" spans="2:9" ht="15.75" x14ac:dyDescent="0.25">
      <c r="B105" s="969" t="s">
        <v>937</v>
      </c>
      <c r="C105" s="590">
        <v>12</v>
      </c>
      <c r="D105" s="571">
        <v>2</v>
      </c>
      <c r="E105" s="559">
        <f>+C105+A104</f>
        <v>12</v>
      </c>
    </row>
    <row r="106" spans="2:9" ht="15.75" x14ac:dyDescent="0.25">
      <c r="C106" s="534"/>
      <c r="D106" s="534"/>
      <c r="E106" s="534"/>
    </row>
    <row r="107" spans="2:9" ht="15.75" x14ac:dyDescent="0.25">
      <c r="B107" s="963" t="s">
        <v>948</v>
      </c>
      <c r="C107" s="919">
        <v>8</v>
      </c>
      <c r="D107" s="919">
        <v>7</v>
      </c>
      <c r="E107" s="919">
        <v>15</v>
      </c>
    </row>
    <row r="108" spans="2:9" ht="15.75" x14ac:dyDescent="0.25">
      <c r="B108" s="963" t="s">
        <v>945</v>
      </c>
      <c r="C108" s="559">
        <v>12</v>
      </c>
      <c r="D108" s="559">
        <v>4</v>
      </c>
      <c r="E108" s="559">
        <f>+C108+A107</f>
        <v>12</v>
      </c>
    </row>
    <row r="111" spans="2:9" x14ac:dyDescent="0.25">
      <c r="I111" s="957" t="s">
        <v>963</v>
      </c>
    </row>
    <row r="112" spans="2:9" ht="15.75" x14ac:dyDescent="0.25">
      <c r="B112" s="960" t="s">
        <v>682</v>
      </c>
      <c r="C112" s="540" t="s">
        <v>949</v>
      </c>
      <c r="D112" s="547" t="s">
        <v>490</v>
      </c>
    </row>
    <row r="113" spans="2:4" x14ac:dyDescent="0.25">
      <c r="B113" s="961" t="s">
        <v>923</v>
      </c>
    </row>
    <row r="114" spans="2:4" ht="15.75" x14ac:dyDescent="0.25">
      <c r="B114" s="969" t="s">
        <v>924</v>
      </c>
      <c r="C114" s="574">
        <v>79</v>
      </c>
      <c r="D114" s="575">
        <v>64.548205128205126</v>
      </c>
    </row>
    <row r="115" spans="2:4" ht="15.75" x14ac:dyDescent="0.25">
      <c r="B115" s="969" t="s">
        <v>925</v>
      </c>
      <c r="C115" s="588">
        <v>94</v>
      </c>
      <c r="D115" s="575">
        <v>75.263636363636365</v>
      </c>
    </row>
    <row r="116" spans="2:4" ht="15.75" x14ac:dyDescent="0.25">
      <c r="B116" s="969" t="s">
        <v>926</v>
      </c>
      <c r="C116" s="574">
        <v>92</v>
      </c>
      <c r="D116" s="575">
        <v>83.036477987421378</v>
      </c>
    </row>
    <row r="117" spans="2:4" ht="15.75" x14ac:dyDescent="0.25">
      <c r="B117" s="969" t="s">
        <v>927</v>
      </c>
      <c r="C117" s="588">
        <v>86</v>
      </c>
      <c r="D117" s="575">
        <v>76.197189284145807</v>
      </c>
    </row>
    <row r="118" spans="2:4" ht="15.75" x14ac:dyDescent="0.25">
      <c r="B118" s="969" t="s">
        <v>928</v>
      </c>
      <c r="C118" s="574">
        <v>96</v>
      </c>
      <c r="D118" s="575">
        <v>80.032136105860118</v>
      </c>
    </row>
    <row r="119" spans="2:4" ht="15.75" x14ac:dyDescent="0.25">
      <c r="B119" s="969" t="s">
        <v>929</v>
      </c>
      <c r="C119" s="588">
        <v>93</v>
      </c>
      <c r="D119" s="575">
        <v>79.143489254108729</v>
      </c>
    </row>
    <row r="120" spans="2:4" ht="15.75" x14ac:dyDescent="0.25">
      <c r="B120" s="969" t="s">
        <v>930</v>
      </c>
      <c r="C120" s="574">
        <v>92</v>
      </c>
      <c r="D120" s="575">
        <v>78.074285714285708</v>
      </c>
    </row>
    <row r="121" spans="2:4" ht="15.75" x14ac:dyDescent="0.25">
      <c r="B121" s="969" t="s">
        <v>931</v>
      </c>
      <c r="C121" s="588">
        <v>90</v>
      </c>
      <c r="D121" s="575">
        <v>69.380060728744937</v>
      </c>
    </row>
    <row r="122" spans="2:4" ht="15.75" x14ac:dyDescent="0.25">
      <c r="B122" s="969" t="s">
        <v>932</v>
      </c>
      <c r="C122" s="574">
        <v>92</v>
      </c>
      <c r="D122" s="575">
        <v>80.899022801302934</v>
      </c>
    </row>
    <row r="123" spans="2:4" ht="15.75" x14ac:dyDescent="0.25">
      <c r="B123" s="969" t="s">
        <v>933</v>
      </c>
      <c r="C123" s="574">
        <v>82</v>
      </c>
      <c r="D123" s="575">
        <v>78.371580547112458</v>
      </c>
    </row>
    <row r="125" spans="2:4" ht="15.75" x14ac:dyDescent="0.25">
      <c r="B125" s="970" t="s">
        <v>946</v>
      </c>
      <c r="C125" s="588">
        <v>80</v>
      </c>
      <c r="D125" s="575">
        <v>77.153389830508473</v>
      </c>
    </row>
    <row r="126" spans="2:4" ht="15.75" x14ac:dyDescent="0.25">
      <c r="B126" s="969" t="s">
        <v>934</v>
      </c>
      <c r="C126" s="574">
        <v>87</v>
      </c>
      <c r="D126" s="593">
        <v>84.672250546249089</v>
      </c>
    </row>
    <row r="127" spans="2:4" ht="15.75" x14ac:dyDescent="0.25">
      <c r="B127" s="969" t="s">
        <v>935</v>
      </c>
      <c r="C127" s="588">
        <v>87</v>
      </c>
      <c r="D127" s="596">
        <v>85.514385964912279</v>
      </c>
    </row>
    <row r="128" spans="2:4" ht="15.75" x14ac:dyDescent="0.25">
      <c r="B128" s="969" t="s">
        <v>936</v>
      </c>
      <c r="C128" s="574">
        <v>90</v>
      </c>
      <c r="D128" s="575">
        <v>105.32063197026022</v>
      </c>
    </row>
    <row r="129" spans="2:9" ht="15.75" x14ac:dyDescent="0.25">
      <c r="B129" s="969" t="s">
        <v>937</v>
      </c>
      <c r="C129" s="574">
        <v>93</v>
      </c>
      <c r="D129" s="575">
        <v>83.76175040518639</v>
      </c>
    </row>
    <row r="130" spans="2:9" ht="15.75" x14ac:dyDescent="0.25">
      <c r="C130" s="534"/>
      <c r="D130" s="922"/>
    </row>
    <row r="131" spans="2:9" ht="15.75" x14ac:dyDescent="0.25">
      <c r="B131" s="963" t="s">
        <v>948</v>
      </c>
      <c r="C131" s="978">
        <v>90</v>
      </c>
      <c r="D131" s="566">
        <v>77.06</v>
      </c>
    </row>
    <row r="132" spans="2:9" ht="15.75" x14ac:dyDescent="0.25">
      <c r="B132" s="963" t="s">
        <v>945</v>
      </c>
      <c r="C132" s="566">
        <v>92</v>
      </c>
      <c r="D132" s="566">
        <v>84.607538802660756</v>
      </c>
    </row>
    <row r="134" spans="2:9" x14ac:dyDescent="0.25">
      <c r="I134" s="959" t="s">
        <v>941</v>
      </c>
    </row>
    <row r="136" spans="2:9" x14ac:dyDescent="0.25">
      <c r="C136" t="s">
        <v>942</v>
      </c>
      <c r="D136" t="s">
        <v>947</v>
      </c>
      <c r="F136" t="s">
        <v>915</v>
      </c>
    </row>
    <row r="137" spans="2:9" x14ac:dyDescent="0.25">
      <c r="B137" s="963" t="s">
        <v>948</v>
      </c>
      <c r="C137">
        <v>110253</v>
      </c>
      <c r="D137">
        <f>+F137-C137</f>
        <v>27453</v>
      </c>
      <c r="F137">
        <v>137706</v>
      </c>
    </row>
    <row r="138" spans="2:9" x14ac:dyDescent="0.25">
      <c r="B138" s="963" t="s">
        <v>945</v>
      </c>
      <c r="C138">
        <v>82582</v>
      </c>
      <c r="D138">
        <f>+F138-C138</f>
        <v>31892</v>
      </c>
      <c r="F138">
        <v>114474</v>
      </c>
    </row>
    <row r="151" spans="2:9" x14ac:dyDescent="0.25">
      <c r="I151" s="957" t="s">
        <v>943</v>
      </c>
    </row>
    <row r="152" spans="2:9" x14ac:dyDescent="0.25">
      <c r="B152" s="381"/>
      <c r="C152" s="381" t="s">
        <v>340</v>
      </c>
      <c r="D152" s="381" t="s">
        <v>950</v>
      </c>
      <c r="E152" s="381" t="s">
        <v>496</v>
      </c>
      <c r="F152" s="381" t="s">
        <v>293</v>
      </c>
      <c r="G152" s="381" t="s">
        <v>8</v>
      </c>
    </row>
    <row r="153" spans="2:9" x14ac:dyDescent="0.25">
      <c r="B153" s="963" t="s">
        <v>948</v>
      </c>
      <c r="C153" s="381">
        <v>25</v>
      </c>
      <c r="D153" s="381">
        <v>30</v>
      </c>
      <c r="E153" s="381">
        <v>44</v>
      </c>
      <c r="F153" s="381">
        <v>2</v>
      </c>
      <c r="G153" s="381">
        <f>+C153+D153+E153+F153</f>
        <v>101</v>
      </c>
    </row>
    <row r="156" spans="2:9" x14ac:dyDescent="0.25">
      <c r="B156" s="381"/>
      <c r="C156" s="381" t="s">
        <v>340</v>
      </c>
      <c r="D156" s="381" t="s">
        <v>950</v>
      </c>
      <c r="E156" s="381" t="s">
        <v>496</v>
      </c>
      <c r="F156" s="381" t="s">
        <v>293</v>
      </c>
      <c r="G156" s="381" t="s">
        <v>8</v>
      </c>
    </row>
    <row r="157" spans="2:9" x14ac:dyDescent="0.25">
      <c r="B157" s="963" t="s">
        <v>945</v>
      </c>
      <c r="C157" s="381">
        <v>30</v>
      </c>
      <c r="D157" s="381">
        <v>40</v>
      </c>
      <c r="E157" s="381">
        <v>29</v>
      </c>
      <c r="F157" s="381">
        <v>1</v>
      </c>
      <c r="G157" s="381">
        <f>+C157+D157+E157+F157</f>
        <v>100</v>
      </c>
    </row>
    <row r="166" spans="2:6" ht="15.75" x14ac:dyDescent="0.25">
      <c r="D166" s="540"/>
    </row>
    <row r="167" spans="2:6" ht="15.75" x14ac:dyDescent="0.25">
      <c r="B167" s="960"/>
      <c r="C167" s="540"/>
      <c r="F167" s="957" t="s">
        <v>965</v>
      </c>
    </row>
    <row r="168" spans="2:6" ht="15.75" x14ac:dyDescent="0.25">
      <c r="B168" s="958" t="s">
        <v>492</v>
      </c>
      <c r="C168" s="975" t="s">
        <v>951</v>
      </c>
      <c r="D168" s="975" t="s">
        <v>944</v>
      </c>
    </row>
    <row r="169" spans="2:6" ht="15.75" x14ac:dyDescent="0.25">
      <c r="B169" s="969" t="s">
        <v>924</v>
      </c>
      <c r="C169" s="559">
        <v>154050</v>
      </c>
      <c r="D169" s="559">
        <v>43060</v>
      </c>
    </row>
    <row r="170" spans="2:6" ht="15.75" x14ac:dyDescent="0.25">
      <c r="B170" s="969" t="s">
        <v>925</v>
      </c>
      <c r="C170" s="559">
        <v>134420</v>
      </c>
      <c r="D170" s="559">
        <v>48958</v>
      </c>
    </row>
    <row r="171" spans="2:6" ht="15.75" x14ac:dyDescent="0.25">
      <c r="B171" s="969" t="s">
        <v>926</v>
      </c>
      <c r="C171" s="559">
        <v>146280</v>
      </c>
      <c r="D171" s="559">
        <v>44589</v>
      </c>
    </row>
    <row r="172" spans="2:6" ht="15.75" x14ac:dyDescent="0.25">
      <c r="B172" s="969" t="s">
        <v>927</v>
      </c>
      <c r="C172" s="559">
        <v>195822</v>
      </c>
      <c r="D172" s="559">
        <v>56943</v>
      </c>
    </row>
    <row r="173" spans="2:6" ht="15.75" x14ac:dyDescent="0.25">
      <c r="B173" s="969" t="s">
        <v>928</v>
      </c>
      <c r="C173" s="559">
        <v>152352</v>
      </c>
      <c r="D173" s="559">
        <v>63775</v>
      </c>
    </row>
    <row r="174" spans="2:6" ht="15.75" x14ac:dyDescent="0.25">
      <c r="B174" s="969" t="s">
        <v>929</v>
      </c>
      <c r="C174" s="559">
        <v>147126</v>
      </c>
      <c r="D174" s="559">
        <v>59370</v>
      </c>
    </row>
    <row r="175" spans="2:6" ht="15.75" x14ac:dyDescent="0.25">
      <c r="B175" s="969" t="s">
        <v>930</v>
      </c>
      <c r="C175" s="559">
        <v>128800</v>
      </c>
      <c r="D175" s="559">
        <v>50597</v>
      </c>
    </row>
    <row r="176" spans="2:6" ht="15.75" x14ac:dyDescent="0.25">
      <c r="B176" s="969" t="s">
        <v>931</v>
      </c>
      <c r="C176" s="559">
        <v>177840</v>
      </c>
      <c r="D176" s="559">
        <v>69363</v>
      </c>
    </row>
    <row r="177" spans="2:4" ht="15.75" x14ac:dyDescent="0.25">
      <c r="B177" s="969" t="s">
        <v>932</v>
      </c>
      <c r="C177" s="559">
        <v>169464</v>
      </c>
      <c r="D177" s="559">
        <v>48904</v>
      </c>
    </row>
    <row r="178" spans="2:4" ht="15.75" x14ac:dyDescent="0.25">
      <c r="B178" s="969" t="s">
        <v>933</v>
      </c>
      <c r="C178" s="559">
        <v>107912</v>
      </c>
      <c r="D178" s="559">
        <v>35876</v>
      </c>
    </row>
    <row r="180" spans="2:4" ht="15.75" x14ac:dyDescent="0.25">
      <c r="B180" s="974" t="s">
        <v>946</v>
      </c>
      <c r="C180" s="559">
        <v>94400</v>
      </c>
      <c r="D180" s="559">
        <v>14547</v>
      </c>
    </row>
    <row r="181" spans="2:4" ht="15.75" x14ac:dyDescent="0.25">
      <c r="B181" s="969" t="s">
        <v>934</v>
      </c>
      <c r="C181" s="559">
        <v>119451</v>
      </c>
      <c r="D181" s="559">
        <v>34755</v>
      </c>
    </row>
    <row r="182" spans="2:4" ht="15.75" x14ac:dyDescent="0.25">
      <c r="B182" s="969" t="s">
        <v>935</v>
      </c>
      <c r="C182" s="559">
        <v>123975</v>
      </c>
      <c r="D182" s="559">
        <v>38184</v>
      </c>
    </row>
    <row r="183" spans="2:4" ht="15.75" x14ac:dyDescent="0.25">
      <c r="B183" s="969" t="s">
        <v>936</v>
      </c>
      <c r="C183" s="559">
        <v>96840</v>
      </c>
      <c r="D183" s="559">
        <v>43784</v>
      </c>
    </row>
    <row r="184" spans="2:4" ht="15.75" x14ac:dyDescent="0.25">
      <c r="B184" s="969" t="s">
        <v>937</v>
      </c>
      <c r="C184" s="559">
        <v>114762</v>
      </c>
      <c r="D184" s="559">
        <v>43591</v>
      </c>
    </row>
    <row r="185" spans="2:4" ht="15.75" x14ac:dyDescent="0.25">
      <c r="C185" s="534"/>
    </row>
    <row r="186" spans="2:4" ht="15.75" x14ac:dyDescent="0.25">
      <c r="B186" s="963" t="s">
        <v>948</v>
      </c>
      <c r="C186" s="919">
        <v>160830</v>
      </c>
      <c r="D186" s="559">
        <v>50577</v>
      </c>
    </row>
    <row r="187" spans="2:4" ht="15.75" x14ac:dyDescent="0.25">
      <c r="B187" s="963" t="s">
        <v>945</v>
      </c>
      <c r="C187" s="559">
        <v>124476</v>
      </c>
      <c r="D187" s="559">
        <v>41894</v>
      </c>
    </row>
    <row r="188" spans="2:4" x14ac:dyDescent="0.25">
      <c r="B188" t="s">
        <v>966</v>
      </c>
    </row>
    <row r="193" spans="2:7" ht="15" customHeight="1" x14ac:dyDescent="0.25">
      <c r="D193" s="560"/>
    </row>
    <row r="194" spans="2:7" ht="15" customHeight="1" x14ac:dyDescent="0.25">
      <c r="C194" s="560" t="s">
        <v>575</v>
      </c>
      <c r="D194" s="591" t="s">
        <v>953</v>
      </c>
      <c r="E194" t="s">
        <v>952</v>
      </c>
      <c r="G194" s="957" t="s">
        <v>967</v>
      </c>
    </row>
    <row r="195" spans="2:7" ht="15.75" x14ac:dyDescent="0.25">
      <c r="B195" s="969" t="s">
        <v>924</v>
      </c>
      <c r="C195" s="692">
        <v>1950</v>
      </c>
      <c r="D195" s="589">
        <v>1593.2784810126582</v>
      </c>
      <c r="E195" s="967">
        <f>+C195-D195</f>
        <v>356.72151898734182</v>
      </c>
    </row>
    <row r="196" spans="2:7" ht="15.75" x14ac:dyDescent="0.25">
      <c r="B196" s="969" t="s">
        <v>925</v>
      </c>
      <c r="C196" s="692">
        <v>1430</v>
      </c>
      <c r="D196" s="589">
        <v>1144.9680851063829</v>
      </c>
      <c r="E196" s="967">
        <f t="shared" ref="E196:E213" si="2">+C196-D196</f>
        <v>285.03191489361711</v>
      </c>
    </row>
    <row r="197" spans="2:7" ht="15.75" x14ac:dyDescent="0.25">
      <c r="B197" s="969" t="s">
        <v>926</v>
      </c>
      <c r="C197" s="692">
        <v>1590</v>
      </c>
      <c r="D197" s="589">
        <v>1435.0869565217392</v>
      </c>
      <c r="E197" s="967">
        <f t="shared" si="2"/>
        <v>154.91304347826076</v>
      </c>
    </row>
    <row r="198" spans="2:7" ht="15.75" x14ac:dyDescent="0.25">
      <c r="B198" s="969" t="s">
        <v>927</v>
      </c>
      <c r="C198" s="692">
        <v>2277</v>
      </c>
      <c r="D198" s="589">
        <v>2017.453488372093</v>
      </c>
      <c r="E198" s="967">
        <f t="shared" si="2"/>
        <v>259.54651162790697</v>
      </c>
    </row>
    <row r="199" spans="2:7" ht="15.75" x14ac:dyDescent="0.25">
      <c r="B199" s="969" t="s">
        <v>928</v>
      </c>
      <c r="C199" s="692">
        <v>1587</v>
      </c>
      <c r="D199" s="589">
        <v>1323.03125</v>
      </c>
      <c r="E199" s="967">
        <f t="shared" si="2"/>
        <v>263.96875</v>
      </c>
    </row>
    <row r="200" spans="2:7" ht="15.75" x14ac:dyDescent="0.25">
      <c r="B200" s="969" t="s">
        <v>929</v>
      </c>
      <c r="C200" s="692">
        <v>1582</v>
      </c>
      <c r="D200" s="589">
        <v>1346.2903225806451</v>
      </c>
      <c r="E200" s="967">
        <f t="shared" si="2"/>
        <v>235.70967741935488</v>
      </c>
    </row>
    <row r="201" spans="2:7" ht="15.75" x14ac:dyDescent="0.25">
      <c r="B201" s="969" t="s">
        <v>930</v>
      </c>
      <c r="C201" s="692">
        <v>1400</v>
      </c>
      <c r="D201" s="589">
        <v>1188.0869565217392</v>
      </c>
      <c r="E201" s="967">
        <f t="shared" si="2"/>
        <v>211.91304347826076</v>
      </c>
    </row>
    <row r="202" spans="2:7" ht="15.75" x14ac:dyDescent="0.25">
      <c r="B202" s="969" t="s">
        <v>931</v>
      </c>
      <c r="C202" s="692">
        <v>1976</v>
      </c>
      <c r="D202" s="589">
        <v>1523.2777777777778</v>
      </c>
      <c r="E202" s="967">
        <f t="shared" si="2"/>
        <v>452.72222222222217</v>
      </c>
    </row>
    <row r="203" spans="2:7" ht="15.75" x14ac:dyDescent="0.25">
      <c r="B203" s="969" t="s">
        <v>932</v>
      </c>
      <c r="C203" s="692">
        <v>1842</v>
      </c>
      <c r="D203" s="589">
        <v>1619.7391304347825</v>
      </c>
      <c r="E203" s="967">
        <f t="shared" si="2"/>
        <v>222.26086956521749</v>
      </c>
    </row>
    <row r="204" spans="2:7" ht="15.75" x14ac:dyDescent="0.25">
      <c r="B204" s="969" t="s">
        <v>933</v>
      </c>
      <c r="C204" s="692">
        <v>1316</v>
      </c>
      <c r="D204" s="589">
        <v>1257.7682926829268</v>
      </c>
      <c r="E204" s="967">
        <f t="shared" si="2"/>
        <v>58.231707317073187</v>
      </c>
    </row>
    <row r="205" spans="2:7" x14ac:dyDescent="0.25">
      <c r="E205" s="967"/>
    </row>
    <row r="206" spans="2:7" ht="15.75" x14ac:dyDescent="0.25">
      <c r="B206" s="974" t="s">
        <v>946</v>
      </c>
      <c r="C206" s="692">
        <v>1033</v>
      </c>
      <c r="D206" s="589">
        <v>1138.0125</v>
      </c>
      <c r="E206" s="967">
        <f t="shared" si="2"/>
        <v>-105.01250000000005</v>
      </c>
    </row>
    <row r="207" spans="2:7" ht="15.75" x14ac:dyDescent="0.25">
      <c r="B207" s="969" t="s">
        <v>934</v>
      </c>
      <c r="C207" s="692">
        <v>1373</v>
      </c>
      <c r="D207" s="586">
        <v>1336.2643678160919</v>
      </c>
      <c r="E207" s="967">
        <f t="shared" si="2"/>
        <v>36.735632183908137</v>
      </c>
    </row>
    <row r="208" spans="2:7" ht="15.75" x14ac:dyDescent="0.25">
      <c r="B208" s="969" t="s">
        <v>935</v>
      </c>
      <c r="C208" s="692">
        <v>1425</v>
      </c>
      <c r="D208" s="569">
        <v>1400.6666666666667</v>
      </c>
      <c r="E208" s="967">
        <f t="shared" si="2"/>
        <v>24.333333333333258</v>
      </c>
    </row>
    <row r="209" spans="2:7" ht="15.75" x14ac:dyDescent="0.25">
      <c r="B209" s="969" t="s">
        <v>936</v>
      </c>
      <c r="C209" s="692">
        <v>1076</v>
      </c>
      <c r="D209" s="589">
        <v>1259.1666666666667</v>
      </c>
      <c r="E209" s="967">
        <f t="shared" si="2"/>
        <v>-183.16666666666674</v>
      </c>
    </row>
    <row r="210" spans="2:7" ht="15.75" x14ac:dyDescent="0.25">
      <c r="B210" s="969" t="s">
        <v>937</v>
      </c>
      <c r="C210" s="692">
        <v>1234</v>
      </c>
      <c r="D210" s="589">
        <v>1111.4193548387098</v>
      </c>
      <c r="E210" s="967">
        <f t="shared" si="2"/>
        <v>122.58064516129025</v>
      </c>
    </row>
    <row r="211" spans="2:7" x14ac:dyDescent="0.25">
      <c r="E211" s="967"/>
    </row>
    <row r="212" spans="2:7" ht="15.75" x14ac:dyDescent="0.25">
      <c r="B212" s="963" t="s">
        <v>948</v>
      </c>
      <c r="C212" s="381">
        <v>1787</v>
      </c>
      <c r="D212" s="589">
        <v>1530</v>
      </c>
      <c r="E212" s="967">
        <f t="shared" si="2"/>
        <v>257</v>
      </c>
    </row>
    <row r="213" spans="2:7" ht="15.75" x14ac:dyDescent="0.25">
      <c r="B213" s="963" t="s">
        <v>945</v>
      </c>
      <c r="C213" s="559">
        <v>1353</v>
      </c>
      <c r="D213" s="589">
        <v>1244.2826086956522</v>
      </c>
      <c r="E213" s="967">
        <f t="shared" si="2"/>
        <v>108.71739130434776</v>
      </c>
    </row>
    <row r="219" spans="2:7" ht="15.75" x14ac:dyDescent="0.25">
      <c r="C219" s="921" t="s">
        <v>575</v>
      </c>
      <c r="D219" s="381" t="s">
        <v>961</v>
      </c>
    </row>
    <row r="220" spans="2:7" x14ac:dyDescent="0.25">
      <c r="B220" s="969" t="s">
        <v>924</v>
      </c>
      <c r="C220" s="976">
        <v>1950</v>
      </c>
      <c r="D220" s="381">
        <v>1300</v>
      </c>
    </row>
    <row r="221" spans="2:7" x14ac:dyDescent="0.25">
      <c r="B221" s="969" t="s">
        <v>925</v>
      </c>
      <c r="C221" s="976">
        <v>1430</v>
      </c>
      <c r="D221" s="381">
        <v>1554</v>
      </c>
    </row>
    <row r="222" spans="2:7" x14ac:dyDescent="0.25">
      <c r="B222" s="969" t="s">
        <v>926</v>
      </c>
      <c r="C222" s="976">
        <v>1590</v>
      </c>
      <c r="D222" s="381">
        <v>1250</v>
      </c>
      <c r="G222" s="957" t="s">
        <v>962</v>
      </c>
    </row>
    <row r="223" spans="2:7" x14ac:dyDescent="0.25">
      <c r="B223" s="969" t="s">
        <v>927</v>
      </c>
      <c r="C223" s="976">
        <v>2277</v>
      </c>
      <c r="D223" s="381">
        <v>1498</v>
      </c>
    </row>
    <row r="224" spans="2:7" x14ac:dyDescent="0.25">
      <c r="B224" s="969" t="s">
        <v>928</v>
      </c>
      <c r="C224" s="976">
        <v>1587</v>
      </c>
      <c r="D224" s="381">
        <v>1400</v>
      </c>
    </row>
    <row r="225" spans="2:4" x14ac:dyDescent="0.25">
      <c r="B225" s="969" t="s">
        <v>929</v>
      </c>
      <c r="C225" s="976">
        <v>1582</v>
      </c>
      <c r="D225" s="381">
        <v>1126</v>
      </c>
    </row>
    <row r="226" spans="2:4" x14ac:dyDescent="0.25">
      <c r="B226" s="969" t="s">
        <v>930</v>
      </c>
      <c r="C226" s="976">
        <v>1400</v>
      </c>
      <c r="D226" s="381">
        <v>1060</v>
      </c>
    </row>
    <row r="227" spans="2:4" x14ac:dyDescent="0.25">
      <c r="B227" s="969" t="s">
        <v>931</v>
      </c>
      <c r="C227" s="976">
        <v>1976</v>
      </c>
      <c r="D227" s="381">
        <v>1172</v>
      </c>
    </row>
    <row r="228" spans="2:4" x14ac:dyDescent="0.25">
      <c r="B228" s="969" t="s">
        <v>932</v>
      </c>
      <c r="C228" s="976">
        <v>1842</v>
      </c>
      <c r="D228" s="381">
        <v>1557</v>
      </c>
    </row>
    <row r="229" spans="2:4" x14ac:dyDescent="0.25">
      <c r="B229" s="969" t="s">
        <v>933</v>
      </c>
      <c r="C229" s="976">
        <v>1316</v>
      </c>
      <c r="D229" s="381">
        <v>1400</v>
      </c>
    </row>
    <row r="230" spans="2:4" x14ac:dyDescent="0.25">
      <c r="D230" s="381"/>
    </row>
    <row r="231" spans="2:4" x14ac:dyDescent="0.25">
      <c r="B231" s="974" t="s">
        <v>946</v>
      </c>
      <c r="C231" s="976">
        <v>1033</v>
      </c>
      <c r="D231" s="381">
        <v>930</v>
      </c>
    </row>
    <row r="232" spans="2:4" x14ac:dyDescent="0.25">
      <c r="B232" s="969" t="s">
        <v>934</v>
      </c>
      <c r="C232" s="976">
        <v>1373</v>
      </c>
      <c r="D232" s="381">
        <v>1432</v>
      </c>
    </row>
    <row r="233" spans="2:4" x14ac:dyDescent="0.25">
      <c r="B233" s="969" t="s">
        <v>935</v>
      </c>
      <c r="C233" s="976">
        <v>1425</v>
      </c>
      <c r="D233" s="381">
        <v>964</v>
      </c>
    </row>
    <row r="234" spans="2:4" x14ac:dyDescent="0.25">
      <c r="B234" s="969" t="s">
        <v>936</v>
      </c>
      <c r="C234" s="976">
        <v>1076</v>
      </c>
      <c r="D234" s="381">
        <v>959</v>
      </c>
    </row>
    <row r="235" spans="2:4" x14ac:dyDescent="0.25">
      <c r="B235" s="969" t="s">
        <v>937</v>
      </c>
      <c r="C235" s="976">
        <v>1234</v>
      </c>
      <c r="D235" s="381">
        <v>623</v>
      </c>
    </row>
    <row r="236" spans="2:4" x14ac:dyDescent="0.25">
      <c r="D236" s="381"/>
    </row>
    <row r="237" spans="2:4" x14ac:dyDescent="0.25">
      <c r="B237" s="963" t="s">
        <v>948</v>
      </c>
      <c r="C237" s="977">
        <v>1787</v>
      </c>
      <c r="D237" s="381">
        <v>1374</v>
      </c>
    </row>
    <row r="238" spans="2:4" ht="15.75" x14ac:dyDescent="0.25">
      <c r="B238" s="963" t="s">
        <v>945</v>
      </c>
      <c r="C238" s="589">
        <v>1353</v>
      </c>
      <c r="D238" s="381">
        <v>1082</v>
      </c>
    </row>
  </sheetData>
  <mergeCells count="7">
    <mergeCell ref="D4:E4"/>
    <mergeCell ref="B4:B5"/>
    <mergeCell ref="C4:C5"/>
    <mergeCell ref="F4:F5"/>
    <mergeCell ref="C88:C89"/>
    <mergeCell ref="D88:D89"/>
    <mergeCell ref="E88:E89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120"/>
  <sheetViews>
    <sheetView workbookViewId="0">
      <selection sqref="A1:BB24"/>
    </sheetView>
  </sheetViews>
  <sheetFormatPr defaultColWidth="9.140625" defaultRowHeight="15" x14ac:dyDescent="0.25"/>
  <cols>
    <col min="1" max="1" width="15" style="298" customWidth="1"/>
    <col min="2" max="2" width="5.7109375" style="298" customWidth="1"/>
    <col min="3" max="3" width="9.28515625" style="298" customWidth="1"/>
    <col min="4" max="4" width="9.85546875" style="298" customWidth="1"/>
    <col min="5" max="5" width="7.28515625" style="298" customWidth="1"/>
    <col min="6" max="6" width="8.140625" style="298" hidden="1" customWidth="1"/>
    <col min="7" max="7" width="7.42578125" style="298" hidden="1" customWidth="1"/>
    <col min="8" max="8" width="8.7109375" style="298" hidden="1" customWidth="1"/>
    <col min="9" max="9" width="6.42578125" style="298" hidden="1" customWidth="1"/>
    <col min="10" max="10" width="7.42578125" style="298" hidden="1" customWidth="1"/>
    <col min="11" max="11" width="5.42578125" style="298" hidden="1" customWidth="1"/>
    <col min="12" max="12" width="6.5703125" style="298" hidden="1" customWidth="1"/>
    <col min="13" max="13" width="5.42578125" style="298" hidden="1" customWidth="1"/>
    <col min="14" max="14" width="6.42578125" style="298" hidden="1" customWidth="1"/>
    <col min="15" max="15" width="8.5703125" style="298" hidden="1" customWidth="1"/>
    <col min="16" max="16" width="9" style="298" hidden="1" customWidth="1"/>
    <col min="17" max="17" width="6.7109375" style="298" hidden="1" customWidth="1"/>
    <col min="18" max="18" width="7.5703125" style="298" hidden="1" customWidth="1"/>
    <col min="19" max="19" width="7" style="298" hidden="1" customWidth="1"/>
    <col min="20" max="20" width="8.42578125" style="298" hidden="1" customWidth="1"/>
    <col min="21" max="21" width="6.42578125" style="298" hidden="1" customWidth="1"/>
    <col min="22" max="22" width="8.28515625" style="298" hidden="1" customWidth="1"/>
    <col min="23" max="24" width="9.140625" style="298" hidden="1" customWidth="1"/>
    <col min="25" max="25" width="6.42578125" style="298" hidden="1" customWidth="1"/>
    <col min="26" max="26" width="7.85546875" style="298" hidden="1" customWidth="1"/>
    <col min="27" max="27" width="8.85546875" style="298" hidden="1" customWidth="1"/>
    <col min="28" max="28" width="8.28515625" style="298" hidden="1" customWidth="1"/>
    <col min="29" max="29" width="5.42578125" style="298" hidden="1" customWidth="1"/>
    <col min="30" max="30" width="6.5703125" style="298" hidden="1" customWidth="1"/>
    <col min="31" max="31" width="5.85546875" style="298" hidden="1" customWidth="1"/>
    <col min="32" max="32" width="6.7109375" style="298" hidden="1" customWidth="1"/>
    <col min="33" max="33" width="6" style="298" hidden="1" customWidth="1"/>
    <col min="34" max="34" width="8.42578125" style="298" hidden="1" customWidth="1"/>
    <col min="35" max="35" width="10.28515625" style="298" hidden="1" customWidth="1"/>
    <col min="36" max="36" width="12.7109375" style="298" hidden="1" customWidth="1"/>
    <col min="37" max="37" width="13.28515625" style="298" hidden="1" customWidth="1"/>
    <col min="38" max="38" width="8.5703125" style="298" hidden="1" customWidth="1"/>
    <col min="39" max="39" width="7.28515625" style="298" hidden="1" customWidth="1"/>
    <col min="40" max="40" width="6.140625" style="298" hidden="1" customWidth="1"/>
    <col min="41" max="41" width="7.5703125" style="298" hidden="1" customWidth="1"/>
    <col min="42" max="42" width="10" style="298" hidden="1" customWidth="1"/>
    <col min="43" max="43" width="12.7109375" style="298" hidden="1" customWidth="1"/>
    <col min="44" max="45" width="8.140625" style="298" customWidth="1"/>
    <col min="46" max="46" width="9.140625" style="298"/>
    <col min="47" max="47" width="11.42578125" style="298" customWidth="1"/>
    <col min="48" max="48" width="11" style="298" customWidth="1"/>
    <col min="49" max="49" width="9.140625" style="298"/>
    <col min="50" max="50" width="8.7109375" style="298" customWidth="1"/>
    <col min="51" max="52" width="12.28515625" style="298" customWidth="1"/>
    <col min="53" max="53" width="9.5703125" style="298" customWidth="1"/>
    <col min="54" max="54" width="11.5703125" style="298" customWidth="1"/>
    <col min="55" max="16384" width="9.140625" style="298"/>
  </cols>
  <sheetData>
    <row r="1" spans="1:85" s="537" customFormat="1" ht="24" customHeight="1" x14ac:dyDescent="0.25">
      <c r="A1" s="527" t="s">
        <v>541</v>
      </c>
      <c r="B1" s="528"/>
      <c r="C1" s="528"/>
      <c r="D1" s="528"/>
      <c r="E1" s="528"/>
      <c r="F1" s="528"/>
      <c r="G1" s="529"/>
      <c r="H1" s="529"/>
      <c r="I1" s="528"/>
      <c r="J1" s="529"/>
      <c r="K1" s="529"/>
      <c r="L1" s="529"/>
      <c r="M1" s="529"/>
      <c r="N1" s="529"/>
      <c r="O1" s="530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2"/>
      <c r="AA1" s="532"/>
      <c r="AB1" s="533"/>
      <c r="AC1" s="533"/>
      <c r="AD1" s="533"/>
      <c r="AE1" s="533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4"/>
      <c r="AR1" s="532"/>
      <c r="AS1" s="532"/>
      <c r="AT1" s="532"/>
      <c r="AU1" s="532"/>
      <c r="AV1" s="532"/>
      <c r="AW1" s="532"/>
      <c r="AX1" s="532"/>
      <c r="AY1" s="532"/>
      <c r="AZ1" s="532"/>
      <c r="BA1" s="532"/>
      <c r="BB1" s="532"/>
      <c r="BC1" s="535"/>
      <c r="BD1" s="535"/>
      <c r="BE1" s="478"/>
      <c r="BF1" s="478"/>
      <c r="BG1" s="536"/>
      <c r="BH1" s="536"/>
      <c r="BI1" s="536"/>
      <c r="BJ1" s="536"/>
      <c r="BK1" s="536"/>
      <c r="BL1" s="536"/>
      <c r="BM1" s="536"/>
      <c r="BO1" s="536"/>
      <c r="BP1" s="536"/>
      <c r="BQ1" s="536"/>
      <c r="BR1" s="536"/>
      <c r="BS1" s="536"/>
      <c r="BT1" s="536"/>
      <c r="BU1" s="536"/>
      <c r="BV1" s="536"/>
      <c r="BW1" s="536"/>
      <c r="BX1" s="536"/>
      <c r="BY1" s="536"/>
      <c r="BZ1" s="536"/>
      <c r="CA1" s="536"/>
      <c r="CB1" s="536"/>
      <c r="CC1" s="536"/>
      <c r="CD1" s="536"/>
      <c r="CE1" s="536"/>
      <c r="CF1" s="536"/>
      <c r="CG1" s="536"/>
    </row>
    <row r="2" spans="1:85" s="537" customFormat="1" ht="44.25" customHeight="1" x14ac:dyDescent="0.25">
      <c r="A2" s="538"/>
      <c r="B2" s="539"/>
      <c r="C2" s="1033" t="s">
        <v>474</v>
      </c>
      <c r="D2" s="1034"/>
      <c r="E2" s="539"/>
      <c r="F2" s="1035" t="s">
        <v>475</v>
      </c>
      <c r="G2" s="1036"/>
      <c r="H2" s="1036"/>
      <c r="I2" s="1036"/>
      <c r="J2" s="1036"/>
      <c r="K2" s="1036"/>
      <c r="L2" s="1036"/>
      <c r="M2" s="1036"/>
      <c r="N2" s="1036"/>
      <c r="O2" s="1037"/>
      <c r="P2" s="1035" t="s">
        <v>476</v>
      </c>
      <c r="Q2" s="1036"/>
      <c r="R2" s="1036"/>
      <c r="S2" s="1036"/>
      <c r="T2" s="1036"/>
      <c r="U2" s="1036"/>
      <c r="V2" s="1036"/>
      <c r="W2" s="1037"/>
      <c r="X2" s="1038" t="s">
        <v>477</v>
      </c>
      <c r="Y2" s="1033"/>
      <c r="Z2" s="1033"/>
      <c r="AA2" s="1034"/>
      <c r="AB2" s="1038" t="s">
        <v>478</v>
      </c>
      <c r="AC2" s="1033"/>
      <c r="AD2" s="1033"/>
      <c r="AE2" s="1033"/>
      <c r="AF2" s="1033"/>
      <c r="AG2" s="1033"/>
      <c r="AH2" s="1034"/>
      <c r="AI2" s="1030" t="s">
        <v>479</v>
      </c>
      <c r="AJ2" s="1031"/>
      <c r="AK2" s="1031"/>
      <c r="AL2" s="1031"/>
      <c r="AM2" s="1031"/>
      <c r="AN2" s="1031"/>
      <c r="AO2" s="1031"/>
      <c r="AP2" s="1031"/>
      <c r="AQ2" s="1032"/>
      <c r="AR2" s="1026" t="s">
        <v>480</v>
      </c>
      <c r="AS2" s="1026"/>
      <c r="AT2" s="1026"/>
      <c r="AU2" s="1026"/>
      <c r="AV2" s="1026"/>
      <c r="AW2" s="1026"/>
      <c r="AX2" s="1026"/>
      <c r="AY2" s="1027" t="s">
        <v>481</v>
      </c>
      <c r="AZ2" s="1028"/>
      <c r="BA2" s="1028"/>
      <c r="BB2" s="1028"/>
      <c r="BC2" s="540"/>
      <c r="BD2" s="540"/>
      <c r="BE2" s="541"/>
      <c r="BF2" s="541"/>
      <c r="BG2" s="542"/>
      <c r="BH2" s="542"/>
      <c r="BI2" s="542"/>
      <c r="BJ2" s="542"/>
      <c r="BK2" s="542"/>
      <c r="BL2" s="542"/>
      <c r="BM2" s="542"/>
      <c r="BO2" s="542"/>
      <c r="BP2" s="542"/>
      <c r="BQ2" s="542"/>
      <c r="BR2" s="542"/>
      <c r="BS2" s="542"/>
      <c r="BT2" s="542"/>
      <c r="BU2" s="542"/>
      <c r="BV2" s="542"/>
      <c r="BW2" s="542"/>
      <c r="BX2" s="542"/>
      <c r="BY2" s="542"/>
      <c r="BZ2" s="542"/>
      <c r="CA2" s="542"/>
      <c r="CB2" s="542"/>
      <c r="CC2" s="542"/>
      <c r="CD2" s="542"/>
      <c r="CE2" s="542"/>
      <c r="CF2" s="542"/>
      <c r="CG2" s="542"/>
    </row>
    <row r="3" spans="1:85" s="537" customFormat="1" ht="15.75" x14ac:dyDescent="0.25">
      <c r="A3" s="543"/>
      <c r="B3" s="540"/>
      <c r="C3" s="540"/>
      <c r="D3" s="544"/>
      <c r="E3" s="540"/>
      <c r="F3" s="1025" t="s">
        <v>482</v>
      </c>
      <c r="G3" s="1020"/>
      <c r="H3" s="1020"/>
      <c r="I3" s="1020"/>
      <c r="J3" s="1020"/>
      <c r="K3" s="1020"/>
      <c r="L3" s="1020"/>
      <c r="M3" s="1020"/>
      <c r="N3" s="1020"/>
      <c r="O3" s="1021"/>
      <c r="P3" s="1020" t="s">
        <v>483</v>
      </c>
      <c r="Q3" s="1020"/>
      <c r="R3" s="1020"/>
      <c r="S3" s="1020"/>
      <c r="T3" s="1020"/>
      <c r="U3" s="1020"/>
      <c r="V3" s="1020"/>
      <c r="W3" s="545"/>
      <c r="X3" s="1025" t="s">
        <v>484</v>
      </c>
      <c r="Y3" s="1020"/>
      <c r="Z3" s="1020"/>
      <c r="AA3" s="1021"/>
      <c r="AB3" s="1025" t="s">
        <v>485</v>
      </c>
      <c r="AC3" s="1020"/>
      <c r="AD3" s="1020"/>
      <c r="AE3" s="1020"/>
      <c r="AF3" s="1020"/>
      <c r="AG3" s="1020"/>
      <c r="AH3" s="1021"/>
      <c r="AI3" s="1025" t="s">
        <v>486</v>
      </c>
      <c r="AJ3" s="1020"/>
      <c r="AK3" s="1029" t="s">
        <v>487</v>
      </c>
      <c r="AL3" s="1029"/>
      <c r="AM3" s="1029"/>
      <c r="AN3" s="1029"/>
      <c r="AO3" s="546"/>
      <c r="AP3" s="535"/>
      <c r="AQ3" s="544"/>
      <c r="AR3" s="547"/>
      <c r="AS3" s="540"/>
      <c r="AT3" s="540"/>
      <c r="AU3" s="540" t="s">
        <v>488</v>
      </c>
      <c r="AV3" s="540" t="s">
        <v>488</v>
      </c>
      <c r="AW3" s="540" t="s">
        <v>489</v>
      </c>
      <c r="AX3" s="544" t="s">
        <v>489</v>
      </c>
      <c r="AY3" s="547" t="s">
        <v>490</v>
      </c>
      <c r="AZ3" s="540" t="s">
        <v>490</v>
      </c>
      <c r="BA3" s="540" t="s">
        <v>491</v>
      </c>
      <c r="BB3" s="544" t="s">
        <v>491</v>
      </c>
      <c r="BC3" s="540"/>
      <c r="BD3" s="535"/>
      <c r="BE3" s="541"/>
      <c r="BF3" s="541"/>
      <c r="BG3" s="542"/>
      <c r="BH3" s="542"/>
      <c r="BI3" s="542"/>
      <c r="BJ3" s="542"/>
      <c r="BK3" s="542"/>
      <c r="BL3" s="542"/>
      <c r="BM3" s="542"/>
      <c r="BO3" s="542"/>
      <c r="BP3" s="542"/>
      <c r="BQ3" s="542"/>
      <c r="BR3" s="542"/>
      <c r="BS3" s="542"/>
      <c r="BT3" s="542"/>
      <c r="BU3" s="542"/>
      <c r="BV3" s="542"/>
      <c r="BW3" s="542"/>
      <c r="BX3" s="542"/>
      <c r="BY3" s="542"/>
      <c r="BZ3" s="542"/>
      <c r="CA3" s="542"/>
      <c r="CB3" s="542"/>
      <c r="CC3" s="542"/>
      <c r="CD3" s="542"/>
      <c r="CE3" s="542"/>
      <c r="CF3" s="542"/>
      <c r="CG3" s="542"/>
    </row>
    <row r="4" spans="1:85" s="537" customFormat="1" ht="30" customHeight="1" x14ac:dyDescent="0.25">
      <c r="A4" s="547" t="s">
        <v>492</v>
      </c>
      <c r="B4" s="540" t="s">
        <v>493</v>
      </c>
      <c r="C4" s="1020" t="s">
        <v>494</v>
      </c>
      <c r="D4" s="1020"/>
      <c r="E4" s="1021"/>
      <c r="F4" s="1025" t="s">
        <v>340</v>
      </c>
      <c r="G4" s="1020"/>
      <c r="H4" s="1020" t="s">
        <v>495</v>
      </c>
      <c r="I4" s="1020"/>
      <c r="J4" s="1020" t="s">
        <v>496</v>
      </c>
      <c r="K4" s="1020"/>
      <c r="L4" s="607" t="s">
        <v>98</v>
      </c>
      <c r="M4" s="607"/>
      <c r="N4" s="540" t="s">
        <v>497</v>
      </c>
      <c r="O4" s="544" t="s">
        <v>8</v>
      </c>
      <c r="P4" s="540" t="s">
        <v>340</v>
      </c>
      <c r="Q4" s="540" t="s">
        <v>95</v>
      </c>
      <c r="R4" s="540" t="s">
        <v>495</v>
      </c>
      <c r="S4" s="540" t="s">
        <v>95</v>
      </c>
      <c r="T4" s="540" t="s">
        <v>496</v>
      </c>
      <c r="U4" s="540" t="s">
        <v>95</v>
      </c>
      <c r="V4" s="540" t="s">
        <v>8</v>
      </c>
      <c r="W4" s="544" t="s">
        <v>498</v>
      </c>
      <c r="X4" s="547" t="s">
        <v>340</v>
      </c>
      <c r="Y4" s="540" t="s">
        <v>499</v>
      </c>
      <c r="Z4" s="540" t="s">
        <v>496</v>
      </c>
      <c r="AA4" s="544" t="s">
        <v>8</v>
      </c>
      <c r="AB4" s="1017" t="s">
        <v>234</v>
      </c>
      <c r="AC4" s="540"/>
      <c r="AD4" s="1019" t="s">
        <v>233</v>
      </c>
      <c r="AE4" s="540"/>
      <c r="AF4" s="1019" t="s">
        <v>500</v>
      </c>
      <c r="AG4" s="540"/>
      <c r="AH4" s="544" t="s">
        <v>501</v>
      </c>
      <c r="AI4" s="548" t="s">
        <v>502</v>
      </c>
      <c r="AJ4" s="549" t="s">
        <v>503</v>
      </c>
      <c r="AK4" s="550" t="s">
        <v>157</v>
      </c>
      <c r="AL4" s="551" t="s">
        <v>504</v>
      </c>
      <c r="AM4" s="1022" t="s">
        <v>505</v>
      </c>
      <c r="AN4" s="1019" t="s">
        <v>542</v>
      </c>
      <c r="AO4" s="1023" t="s">
        <v>506</v>
      </c>
      <c r="AP4" s="1023"/>
      <c r="AQ4" s="1024" t="s">
        <v>507</v>
      </c>
      <c r="AR4" s="547" t="s">
        <v>508</v>
      </c>
      <c r="AS4" s="540" t="s">
        <v>509</v>
      </c>
      <c r="AT4" s="540" t="s">
        <v>510</v>
      </c>
      <c r="AU4" s="540" t="s">
        <v>482</v>
      </c>
      <c r="AV4" s="540" t="s">
        <v>511</v>
      </c>
      <c r="AW4" s="540" t="s">
        <v>512</v>
      </c>
      <c r="AX4" s="544" t="s">
        <v>512</v>
      </c>
      <c r="AY4" s="547" t="s">
        <v>513</v>
      </c>
      <c r="AZ4" s="540" t="s">
        <v>513</v>
      </c>
      <c r="BA4" s="540" t="s">
        <v>514</v>
      </c>
      <c r="BB4" s="544" t="s">
        <v>514</v>
      </c>
      <c r="BC4" s="540"/>
      <c r="BD4" s="540"/>
      <c r="BE4" s="541"/>
      <c r="BF4" s="541"/>
      <c r="BG4" s="542"/>
      <c r="BH4" s="542"/>
      <c r="BI4" s="542"/>
      <c r="BJ4" s="542"/>
      <c r="BK4" s="542"/>
      <c r="BL4" s="542"/>
      <c r="BM4" s="542"/>
      <c r="BO4" s="542"/>
      <c r="BP4" s="542"/>
      <c r="BQ4" s="542"/>
      <c r="BR4" s="542"/>
      <c r="BS4" s="542"/>
      <c r="BT4" s="542"/>
      <c r="BU4" s="542"/>
      <c r="BV4" s="542"/>
      <c r="BW4" s="542"/>
      <c r="BX4" s="542"/>
      <c r="BY4" s="542"/>
      <c r="BZ4" s="542"/>
      <c r="CA4" s="542"/>
      <c r="CB4" s="542"/>
      <c r="CC4" s="542"/>
      <c r="CD4" s="542"/>
      <c r="CE4" s="542"/>
      <c r="CF4" s="542"/>
      <c r="CG4" s="542"/>
    </row>
    <row r="5" spans="1:85" s="537" customFormat="1" ht="33" customHeight="1" x14ac:dyDescent="0.25">
      <c r="A5" s="543"/>
      <c r="B5" s="540"/>
      <c r="C5" s="1020"/>
      <c r="D5" s="1020"/>
      <c r="E5" s="1021"/>
      <c r="F5" s="547" t="s">
        <v>419</v>
      </c>
      <c r="G5" s="540" t="s">
        <v>95</v>
      </c>
      <c r="H5" s="540" t="s">
        <v>419</v>
      </c>
      <c r="I5" s="540" t="s">
        <v>95</v>
      </c>
      <c r="J5" s="540" t="s">
        <v>419</v>
      </c>
      <c r="K5" s="540" t="s">
        <v>95</v>
      </c>
      <c r="L5" s="540" t="s">
        <v>419</v>
      </c>
      <c r="M5" s="540" t="s">
        <v>95</v>
      </c>
      <c r="N5" s="540"/>
      <c r="O5" s="544"/>
      <c r="P5" s="540" t="s">
        <v>419</v>
      </c>
      <c r="Q5" s="540"/>
      <c r="R5" s="540" t="s">
        <v>419</v>
      </c>
      <c r="S5" s="540"/>
      <c r="T5" s="540" t="s">
        <v>419</v>
      </c>
      <c r="U5" s="540"/>
      <c r="V5" s="540"/>
      <c r="W5" s="544"/>
      <c r="X5" s="547" t="s">
        <v>95</v>
      </c>
      <c r="Y5" s="540" t="s">
        <v>95</v>
      </c>
      <c r="Z5" s="540" t="s">
        <v>95</v>
      </c>
      <c r="AA5" s="544" t="s">
        <v>95</v>
      </c>
      <c r="AB5" s="1018"/>
      <c r="AC5" s="540" t="s">
        <v>95</v>
      </c>
      <c r="AD5" s="1019" t="s">
        <v>340</v>
      </c>
      <c r="AE5" s="540" t="s">
        <v>95</v>
      </c>
      <c r="AF5" s="1019"/>
      <c r="AG5" s="540" t="s">
        <v>95</v>
      </c>
      <c r="AH5" s="552" t="s">
        <v>515</v>
      </c>
      <c r="AI5" s="548"/>
      <c r="AK5" s="550"/>
      <c r="AL5" s="551"/>
      <c r="AM5" s="1022"/>
      <c r="AN5" s="1019"/>
      <c r="AO5" s="553" t="s">
        <v>516</v>
      </c>
      <c r="AP5" s="553" t="s">
        <v>502</v>
      </c>
      <c r="AQ5" s="1024"/>
      <c r="AR5" s="547" t="s">
        <v>517</v>
      </c>
      <c r="AS5" s="540" t="s">
        <v>518</v>
      </c>
      <c r="AT5" s="540" t="s">
        <v>519</v>
      </c>
      <c r="AU5" s="540" t="s">
        <v>520</v>
      </c>
      <c r="AV5" s="540" t="s">
        <v>520</v>
      </c>
      <c r="AW5" s="540" t="s">
        <v>340</v>
      </c>
      <c r="AX5" s="544" t="s">
        <v>521</v>
      </c>
      <c r="AY5" s="547" t="s">
        <v>482</v>
      </c>
      <c r="AZ5" s="540" t="s">
        <v>483</v>
      </c>
      <c r="BA5" s="540" t="s">
        <v>482</v>
      </c>
      <c r="BB5" s="544" t="s">
        <v>483</v>
      </c>
      <c r="BC5" s="540"/>
      <c r="BD5" s="535"/>
      <c r="BE5" s="541"/>
      <c r="BF5" s="541"/>
      <c r="BG5" s="542"/>
      <c r="BH5" s="542"/>
      <c r="BI5" s="542"/>
      <c r="BJ5" s="542"/>
      <c r="BK5" s="542"/>
      <c r="BL5" s="542"/>
      <c r="BM5" s="542"/>
      <c r="BO5" s="542"/>
      <c r="BP5" s="542"/>
      <c r="BQ5" s="542"/>
      <c r="BR5" s="542"/>
      <c r="BS5" s="542"/>
      <c r="BT5" s="542"/>
      <c r="BU5" s="542"/>
      <c r="BV5" s="542"/>
      <c r="BW5" s="542"/>
      <c r="BX5" s="542"/>
      <c r="BY5" s="542"/>
      <c r="BZ5" s="542"/>
      <c r="CA5" s="542"/>
      <c r="CB5" s="542"/>
      <c r="CC5" s="542"/>
      <c r="CD5" s="542"/>
      <c r="CE5" s="542"/>
      <c r="CF5" s="542"/>
      <c r="CG5" s="542"/>
    </row>
    <row r="6" spans="1:85" s="537" customFormat="1" ht="15.75" x14ac:dyDescent="0.25">
      <c r="A6" s="543"/>
      <c r="B6" s="540"/>
      <c r="C6" s="540" t="s">
        <v>482</v>
      </c>
      <c r="D6" s="544" t="s">
        <v>483</v>
      </c>
      <c r="E6" s="540" t="s">
        <v>95</v>
      </c>
      <c r="F6" s="547"/>
      <c r="G6" s="540"/>
      <c r="H6" s="540"/>
      <c r="I6" s="540"/>
      <c r="J6" s="540"/>
      <c r="K6" s="540"/>
      <c r="L6" s="540"/>
      <c r="M6" s="540"/>
      <c r="N6" s="540"/>
      <c r="O6" s="544"/>
      <c r="P6" s="540"/>
      <c r="Q6" s="540"/>
      <c r="R6" s="540"/>
      <c r="S6" s="540"/>
      <c r="T6" s="540"/>
      <c r="U6" s="540"/>
      <c r="V6" s="554"/>
      <c r="W6" s="555"/>
      <c r="X6" s="556"/>
      <c r="Y6" s="540"/>
      <c r="Z6" s="554"/>
      <c r="AA6" s="555"/>
      <c r="AB6" s="556"/>
      <c r="AC6" s="554"/>
      <c r="AD6" s="554"/>
      <c r="AE6" s="554"/>
      <c r="AF6" s="554"/>
      <c r="AG6" s="554"/>
      <c r="AH6" s="555"/>
      <c r="AI6" s="556"/>
      <c r="AJ6" s="555"/>
      <c r="AK6" s="554"/>
      <c r="AL6" s="554"/>
      <c r="AM6" s="554"/>
      <c r="AN6" s="557"/>
      <c r="AO6" s="554"/>
      <c r="AP6" s="557"/>
      <c r="AQ6" s="555"/>
      <c r="AR6" s="556"/>
      <c r="AS6" s="554"/>
      <c r="AT6" s="554"/>
      <c r="AU6" s="554"/>
      <c r="AV6" s="554"/>
      <c r="AW6" s="554"/>
      <c r="AX6" s="555"/>
      <c r="AY6" s="556"/>
      <c r="AZ6" s="554"/>
      <c r="BA6" s="554"/>
      <c r="BB6" s="555"/>
      <c r="BC6" s="540"/>
      <c r="BD6" s="535"/>
      <c r="BE6" s="541"/>
      <c r="BF6" s="541"/>
      <c r="BG6" s="542"/>
      <c r="BH6" s="542"/>
      <c r="BI6" s="542"/>
      <c r="BJ6" s="542"/>
      <c r="BK6" s="542"/>
      <c r="BL6" s="542"/>
      <c r="BM6" s="542"/>
      <c r="BO6" s="542"/>
      <c r="BP6" s="542"/>
      <c r="BQ6" s="542"/>
      <c r="BR6" s="542"/>
      <c r="BS6" s="542"/>
      <c r="BT6" s="542"/>
      <c r="BU6" s="542"/>
      <c r="BV6" s="542"/>
      <c r="BW6" s="542"/>
      <c r="BX6" s="542"/>
      <c r="BY6" s="542"/>
      <c r="BZ6" s="542"/>
      <c r="CA6" s="542"/>
      <c r="CB6" s="542"/>
      <c r="CC6" s="542"/>
      <c r="CD6" s="542"/>
      <c r="CE6" s="542"/>
      <c r="CF6" s="542"/>
      <c r="CG6" s="542"/>
    </row>
    <row r="7" spans="1:85" s="537" customFormat="1" ht="15.75" x14ac:dyDescent="0.25">
      <c r="A7" s="558" t="s">
        <v>522</v>
      </c>
      <c r="B7" s="559" t="s">
        <v>523</v>
      </c>
      <c r="C7" s="560">
        <v>125869</v>
      </c>
      <c r="D7" s="561">
        <v>110990</v>
      </c>
      <c r="E7" s="559">
        <f t="shared" ref="E7:E21" si="0">+(D7/C7)*100</f>
        <v>88.178979732896906</v>
      </c>
      <c r="F7" s="562">
        <v>23467</v>
      </c>
      <c r="G7" s="559">
        <f t="shared" ref="G7:G21" si="1">+(F7/O7)*100</f>
        <v>18.644135125687228</v>
      </c>
      <c r="H7" s="562">
        <v>37015</v>
      </c>
      <c r="I7" s="559">
        <f t="shared" ref="I7:I21" si="2">+(H7/O7)*100</f>
        <v>29.407792290335909</v>
      </c>
      <c r="J7" s="562">
        <v>62586</v>
      </c>
      <c r="K7" s="563">
        <f t="shared" ref="K7:K21" si="3">+(J7/O7)*100</f>
        <v>49.723519877967391</v>
      </c>
      <c r="L7" s="559">
        <v>2800</v>
      </c>
      <c r="M7" s="559">
        <f>+L7/O7*100</f>
        <v>2.2245527060094701</v>
      </c>
      <c r="N7" s="559">
        <f>G7+I7+K7+M7</f>
        <v>100</v>
      </c>
      <c r="O7" s="559">
        <f>+J7+H7+F7+L7</f>
        <v>125868</v>
      </c>
      <c r="P7" s="561">
        <v>17064</v>
      </c>
      <c r="Q7" s="559">
        <f t="shared" ref="Q7:Q21" si="4">+(P7/V7)*100</f>
        <v>15.3743580502748</v>
      </c>
      <c r="R7" s="561">
        <v>33725</v>
      </c>
      <c r="S7" s="559">
        <f>+(R7/V7)*100</f>
        <v>30.385620326155511</v>
      </c>
      <c r="T7" s="561">
        <v>60201</v>
      </c>
      <c r="U7" s="559">
        <f t="shared" ref="U7:U21" si="5">+(T7/V7)*100</f>
        <v>54.240021623569689</v>
      </c>
      <c r="V7" s="565">
        <f>+T7+R7+P7</f>
        <v>110990</v>
      </c>
      <c r="W7" s="566">
        <f>+U7+S7+Q7</f>
        <v>100</v>
      </c>
      <c r="X7" s="564">
        <f t="shared" ref="X7:X18" si="6">+(P7/F7)*100</f>
        <v>72.714876209144748</v>
      </c>
      <c r="Y7" s="559">
        <f t="shared" ref="Y7:Y18" si="7">+(R7/H7)*100</f>
        <v>91.111711468323648</v>
      </c>
      <c r="Z7" s="564">
        <f t="shared" ref="Z7:Z18" si="8">+(T7/J7)*100</f>
        <v>96.189243600805298</v>
      </c>
      <c r="AA7" s="559">
        <f t="shared" ref="AA7:AA18" si="9">+(V7/O7)*100</f>
        <v>88.179680299996818</v>
      </c>
      <c r="AB7" s="567">
        <v>3</v>
      </c>
      <c r="AC7" s="567">
        <f>+(AB7)/AF7*100</f>
        <v>27.27272727272727</v>
      </c>
      <c r="AD7" s="568">
        <v>8</v>
      </c>
      <c r="AE7" s="568">
        <f>+AD7/AF7*100</f>
        <v>72.727272727272734</v>
      </c>
      <c r="AF7" s="559">
        <f>+AD7+AB7</f>
        <v>11</v>
      </c>
      <c r="AG7" s="563">
        <f>+AE7+AC7</f>
        <v>100</v>
      </c>
      <c r="AH7" s="568">
        <v>2133</v>
      </c>
      <c r="AI7" s="589">
        <v>0</v>
      </c>
      <c r="AJ7" s="559">
        <v>124</v>
      </c>
      <c r="AK7" s="570">
        <f>59+43</f>
        <v>102</v>
      </c>
      <c r="AL7" s="571"/>
      <c r="AM7" s="559">
        <f>9+14</f>
        <v>23</v>
      </c>
      <c r="AN7" s="568"/>
      <c r="AO7" s="568"/>
      <c r="AP7" s="568">
        <f>59*200+43*389+9*286+14*473</f>
        <v>37723</v>
      </c>
      <c r="AQ7" s="572">
        <f t="shared" ref="AQ7:AQ21" si="10">+(AO7+AP7)/J7*100</f>
        <v>60.273863164285949</v>
      </c>
      <c r="AR7" s="573">
        <v>1950</v>
      </c>
      <c r="AS7" s="574">
        <v>79</v>
      </c>
      <c r="AT7" s="559">
        <f>+AS7*AR7</f>
        <v>154050</v>
      </c>
      <c r="AU7" s="559">
        <f t="shared" ref="AU7:AU21" si="11">+AT7-C7</f>
        <v>28181</v>
      </c>
      <c r="AV7" s="559">
        <f t="shared" ref="AV7:AV21" si="12">+AT7-D7</f>
        <v>43060</v>
      </c>
      <c r="AW7" s="559">
        <f t="shared" ref="AW7:AW21" si="13">+(AV7+P7)/AF7</f>
        <v>5465.818181818182</v>
      </c>
      <c r="AX7" s="566">
        <f t="shared" ref="AX7:AX21" si="14">+(AT7/V7)</f>
        <v>1.3879628795386971</v>
      </c>
      <c r="AY7" s="575">
        <f t="shared" ref="AY7:AY21" si="15">+C7/AR7</f>
        <v>64.548205128205126</v>
      </c>
      <c r="AZ7" s="566">
        <f t="shared" ref="AZ7:AZ21" si="16">+D7/AR7</f>
        <v>56.917948717948718</v>
      </c>
      <c r="BA7" s="559">
        <f t="shared" ref="BA7:BA20" si="17">+(C7/AS7)</f>
        <v>1593.2784810126582</v>
      </c>
      <c r="BB7" s="559">
        <f t="shared" ref="BB7:BB21" si="18">+(D7/AS7)</f>
        <v>1404.9367088607594</v>
      </c>
      <c r="BC7" s="565"/>
      <c r="BD7" s="576"/>
      <c r="BE7" s="577"/>
      <c r="BF7" s="577"/>
      <c r="BG7" s="578"/>
      <c r="BH7" s="578"/>
      <c r="BI7" s="578"/>
      <c r="BJ7" s="578"/>
      <c r="BK7" s="578"/>
      <c r="BL7" s="578"/>
      <c r="BM7" s="578"/>
      <c r="BN7" s="579"/>
      <c r="BO7" s="578"/>
      <c r="BP7" s="578"/>
      <c r="BQ7" s="578"/>
      <c r="BR7" s="578"/>
      <c r="BS7" s="578"/>
      <c r="BT7" s="578"/>
      <c r="BU7" s="578"/>
      <c r="BV7" s="578"/>
      <c r="BW7" s="578"/>
      <c r="BX7" s="536"/>
      <c r="BY7" s="536"/>
      <c r="BZ7" s="536"/>
      <c r="CA7" s="536"/>
      <c r="CB7" s="536"/>
      <c r="CC7" s="536"/>
      <c r="CD7" s="536"/>
      <c r="CE7" s="536"/>
      <c r="CF7" s="536"/>
      <c r="CG7" s="536"/>
    </row>
    <row r="8" spans="1:85" s="537" customFormat="1" ht="15.75" x14ac:dyDescent="0.25">
      <c r="A8" s="580" t="s">
        <v>524</v>
      </c>
      <c r="B8" s="581" t="s">
        <v>523</v>
      </c>
      <c r="C8" s="582">
        <v>105275</v>
      </c>
      <c r="D8" s="583">
        <v>83110</v>
      </c>
      <c r="E8" s="581">
        <f t="shared" si="0"/>
        <v>78.945618617905495</v>
      </c>
      <c r="F8" s="562">
        <v>27012</v>
      </c>
      <c r="G8" s="559">
        <f t="shared" si="1"/>
        <v>25.097791446384271</v>
      </c>
      <c r="H8" s="562">
        <v>38754</v>
      </c>
      <c r="I8" s="559">
        <f t="shared" si="2"/>
        <v>36.007693236827194</v>
      </c>
      <c r="J8" s="562">
        <v>40511</v>
      </c>
      <c r="K8" s="563">
        <f t="shared" si="3"/>
        <v>37.640183225398829</v>
      </c>
      <c r="L8" s="559">
        <v>1350</v>
      </c>
      <c r="M8" s="559">
        <f t="shared" ref="M8:M21" si="19">+L8/O8*100</f>
        <v>1.2543320913897071</v>
      </c>
      <c r="N8" s="559">
        <f t="shared" ref="N8:N21" si="20">G8+I8+K8+M8</f>
        <v>100.00000000000001</v>
      </c>
      <c r="O8" s="559">
        <f>+J8+H8+F8+L8</f>
        <v>107627</v>
      </c>
      <c r="P8" s="583">
        <v>6533</v>
      </c>
      <c r="Q8" s="559">
        <f t="shared" si="4"/>
        <v>7.8607611690671293</v>
      </c>
      <c r="R8" s="583">
        <v>38417</v>
      </c>
      <c r="S8" s="559">
        <f t="shared" ref="S8:S21" si="21">+(R8/V8)*100</f>
        <v>46.224837261909059</v>
      </c>
      <c r="T8" s="583">
        <v>38159</v>
      </c>
      <c r="U8" s="559">
        <f t="shared" si="5"/>
        <v>45.914401569023809</v>
      </c>
      <c r="V8" s="565">
        <f>+T8+R8+P8</f>
        <v>83109</v>
      </c>
      <c r="W8" s="566">
        <f t="shared" ref="V8:W21" si="22">+U8+S8+Q8</f>
        <v>100</v>
      </c>
      <c r="X8" s="564">
        <f t="shared" si="6"/>
        <v>24.185547164223308</v>
      </c>
      <c r="Y8" s="559">
        <f t="shared" si="7"/>
        <v>99.130412344532175</v>
      </c>
      <c r="Z8" s="564">
        <f t="shared" si="8"/>
        <v>94.194169484831278</v>
      </c>
      <c r="AA8" s="559">
        <f t="shared" si="9"/>
        <v>77.219470950597895</v>
      </c>
      <c r="AB8" s="584">
        <v>9</v>
      </c>
      <c r="AC8" s="567">
        <f>+(AB8)/AF8*100</f>
        <v>75</v>
      </c>
      <c r="AD8" s="585">
        <v>3</v>
      </c>
      <c r="AE8" s="568">
        <f t="shared" ref="AE8:AE21" si="23">+AD8/AF8*100</f>
        <v>25</v>
      </c>
      <c r="AF8" s="559">
        <f t="shared" ref="AF8:AG21" si="24">+AD8+AB8</f>
        <v>12</v>
      </c>
      <c r="AG8" s="563">
        <f t="shared" si="24"/>
        <v>100</v>
      </c>
      <c r="AH8" s="568">
        <v>2048</v>
      </c>
      <c r="AI8" s="589">
        <v>0</v>
      </c>
      <c r="AJ8" s="581">
        <v>128</v>
      </c>
      <c r="AK8" s="565">
        <f>46+21</f>
        <v>67</v>
      </c>
      <c r="AL8" s="581">
        <v>7</v>
      </c>
      <c r="AM8" s="559"/>
      <c r="AN8" s="568"/>
      <c r="AO8" s="568"/>
      <c r="AP8" s="568">
        <f>46*200+21*350+7*336</f>
        <v>18902</v>
      </c>
      <c r="AQ8" s="572">
        <f t="shared" si="10"/>
        <v>46.658932141887391</v>
      </c>
      <c r="AR8" s="587">
        <v>1430</v>
      </c>
      <c r="AS8" s="588">
        <v>94</v>
      </c>
      <c r="AT8" s="559">
        <f t="shared" ref="AT8:AT20" si="25">+AS8*AR8</f>
        <v>134420</v>
      </c>
      <c r="AU8" s="559">
        <f t="shared" si="11"/>
        <v>29145</v>
      </c>
      <c r="AV8" s="559">
        <f t="shared" si="12"/>
        <v>51310</v>
      </c>
      <c r="AW8" s="559">
        <f t="shared" si="13"/>
        <v>4820.25</v>
      </c>
      <c r="AX8" s="566">
        <f t="shared" si="14"/>
        <v>1.6173940247145315</v>
      </c>
      <c r="AY8" s="575">
        <f t="shared" si="15"/>
        <v>73.61888111888112</v>
      </c>
      <c r="AZ8" s="566">
        <f t="shared" si="16"/>
        <v>58.11888111888112</v>
      </c>
      <c r="BA8" s="559">
        <f t="shared" si="17"/>
        <v>1119.9468085106382</v>
      </c>
      <c r="BB8" s="559">
        <f t="shared" si="18"/>
        <v>884.14893617021278</v>
      </c>
      <c r="BC8" s="565"/>
      <c r="BD8" s="576"/>
      <c r="BE8" s="577"/>
      <c r="BF8" s="577"/>
      <c r="BG8" s="578"/>
      <c r="BH8" s="578"/>
      <c r="BI8" s="578"/>
      <c r="BJ8" s="578"/>
      <c r="BK8" s="578"/>
      <c r="BL8" s="578"/>
      <c r="BM8" s="578"/>
      <c r="BN8" s="579"/>
      <c r="BO8" s="578"/>
      <c r="BP8" s="578"/>
      <c r="BQ8" s="578"/>
      <c r="BR8" s="578"/>
      <c r="BS8" s="578"/>
      <c r="BT8" s="578"/>
      <c r="BU8" s="578"/>
      <c r="BV8" s="578"/>
      <c r="BW8" s="578"/>
      <c r="BX8" s="536"/>
      <c r="BY8" s="536"/>
      <c r="BZ8" s="536"/>
      <c r="CA8" s="536"/>
      <c r="CB8" s="536"/>
      <c r="CC8" s="536"/>
      <c r="CD8" s="536"/>
      <c r="CE8" s="536"/>
      <c r="CF8" s="536"/>
      <c r="CG8" s="536"/>
    </row>
    <row r="9" spans="1:85" s="537" customFormat="1" ht="15.75" x14ac:dyDescent="0.25">
      <c r="A9" s="558" t="s">
        <v>525</v>
      </c>
      <c r="B9" s="559" t="s">
        <v>523</v>
      </c>
      <c r="C9" s="560">
        <v>132028</v>
      </c>
      <c r="D9" s="583">
        <v>101691</v>
      </c>
      <c r="E9" s="559">
        <f t="shared" si="0"/>
        <v>77.022298300360532</v>
      </c>
      <c r="F9" s="562">
        <v>30524</v>
      </c>
      <c r="G9" s="559">
        <f t="shared" si="1"/>
        <v>23.119338322174084</v>
      </c>
      <c r="H9" s="562">
        <v>44637</v>
      </c>
      <c r="I9" s="559">
        <f t="shared" si="2"/>
        <v>33.808737540521705</v>
      </c>
      <c r="J9" s="562">
        <v>54867</v>
      </c>
      <c r="K9" s="563">
        <f t="shared" si="3"/>
        <v>41.55709394976823</v>
      </c>
      <c r="L9" s="559">
        <v>2000</v>
      </c>
      <c r="M9" s="559">
        <f t="shared" si="19"/>
        <v>1.5148301875359771</v>
      </c>
      <c r="N9" s="559">
        <f t="shared" si="20"/>
        <v>100</v>
      </c>
      <c r="O9" s="559">
        <f t="shared" ref="O9:O23" si="26">+J9+H9+F9+L9</f>
        <v>132028</v>
      </c>
      <c r="P9" s="583">
        <f>5*2180</f>
        <v>10900</v>
      </c>
      <c r="Q9" s="559">
        <f t="shared" si="4"/>
        <v>10.718746005054527</v>
      </c>
      <c r="R9" s="583">
        <v>41303</v>
      </c>
      <c r="S9" s="559">
        <f t="shared" si="21"/>
        <v>40.616180389611664</v>
      </c>
      <c r="T9" s="583">
        <v>49488</v>
      </c>
      <c r="U9" s="559">
        <f t="shared" si="5"/>
        <v>48.665073605333802</v>
      </c>
      <c r="V9" s="564">
        <f t="shared" si="22"/>
        <v>101691</v>
      </c>
      <c r="W9" s="566">
        <f t="shared" si="22"/>
        <v>100</v>
      </c>
      <c r="X9" s="564">
        <f t="shared" si="6"/>
        <v>35.709605556283577</v>
      </c>
      <c r="Y9" s="559">
        <f t="shared" si="7"/>
        <v>92.530860048838406</v>
      </c>
      <c r="Z9" s="564">
        <f t="shared" si="8"/>
        <v>90.196292853627867</v>
      </c>
      <c r="AA9" s="559">
        <f t="shared" si="9"/>
        <v>77.022298300360532</v>
      </c>
      <c r="AB9" s="567">
        <v>9</v>
      </c>
      <c r="AC9" s="567">
        <f t="shared" ref="AC9:AC21" si="27">+(AB9)/AF9*100</f>
        <v>64.285714285714292</v>
      </c>
      <c r="AD9" s="568">
        <v>5</v>
      </c>
      <c r="AE9" s="568">
        <f t="shared" si="23"/>
        <v>35.714285714285715</v>
      </c>
      <c r="AF9" s="559">
        <f t="shared" si="24"/>
        <v>14</v>
      </c>
      <c r="AG9" s="563">
        <f t="shared" si="24"/>
        <v>100</v>
      </c>
      <c r="AH9" s="568">
        <v>2180.2857142857142</v>
      </c>
      <c r="AI9" s="589">
        <v>0</v>
      </c>
      <c r="AJ9" s="559">
        <v>105</v>
      </c>
      <c r="AK9" s="564">
        <f>59+52</f>
        <v>111</v>
      </c>
      <c r="AL9" s="559">
        <v>17</v>
      </c>
      <c r="AM9" s="559"/>
      <c r="AN9" s="568"/>
      <c r="AO9" s="568"/>
      <c r="AP9" s="568">
        <f>59*200+52*400+17*327</f>
        <v>38159</v>
      </c>
      <c r="AQ9" s="572">
        <f t="shared" si="10"/>
        <v>69.548180144713584</v>
      </c>
      <c r="AR9" s="573">
        <v>1590</v>
      </c>
      <c r="AS9" s="574">
        <v>92</v>
      </c>
      <c r="AT9" s="559">
        <f t="shared" si="25"/>
        <v>146280</v>
      </c>
      <c r="AU9" s="559">
        <f t="shared" si="11"/>
        <v>14252</v>
      </c>
      <c r="AV9" s="559">
        <f t="shared" si="12"/>
        <v>44589</v>
      </c>
      <c r="AW9" s="559">
        <f t="shared" si="13"/>
        <v>3963.5</v>
      </c>
      <c r="AX9" s="566">
        <f t="shared" si="14"/>
        <v>1.4384753813021802</v>
      </c>
      <c r="AY9" s="575">
        <f t="shared" si="15"/>
        <v>83.036477987421378</v>
      </c>
      <c r="AZ9" s="566">
        <f t="shared" si="16"/>
        <v>63.956603773584902</v>
      </c>
      <c r="BA9" s="559">
        <f t="shared" si="17"/>
        <v>1435.0869565217392</v>
      </c>
      <c r="BB9" s="559">
        <f t="shared" si="18"/>
        <v>1105.3369565217392</v>
      </c>
      <c r="BC9" s="565"/>
      <c r="BD9" s="576"/>
      <c r="BE9" s="577"/>
      <c r="BF9" s="577"/>
      <c r="BG9" s="578"/>
      <c r="BH9" s="578"/>
      <c r="BI9" s="578"/>
      <c r="BJ9" s="578"/>
      <c r="BK9" s="578"/>
      <c r="BL9" s="578"/>
      <c r="BM9" s="578"/>
      <c r="BN9" s="579"/>
      <c r="BO9" s="578"/>
      <c r="BP9" s="578"/>
      <c r="BQ9" s="578"/>
      <c r="BR9" s="578"/>
      <c r="BS9" s="578"/>
      <c r="BT9" s="578"/>
      <c r="BU9" s="578"/>
      <c r="BV9" s="578"/>
      <c r="BW9" s="578"/>
      <c r="BX9" s="536"/>
      <c r="BY9" s="536"/>
      <c r="BZ9" s="536"/>
      <c r="CA9" s="536"/>
      <c r="CB9" s="536"/>
      <c r="CC9" s="536"/>
      <c r="CD9" s="536"/>
      <c r="CE9" s="536"/>
      <c r="CF9" s="536"/>
      <c r="CG9" s="536"/>
    </row>
    <row r="10" spans="1:85" s="537" customFormat="1" ht="15.75" x14ac:dyDescent="0.25">
      <c r="A10" s="580" t="s">
        <v>526</v>
      </c>
      <c r="B10" s="581" t="s">
        <v>523</v>
      </c>
      <c r="C10" s="560">
        <v>173501</v>
      </c>
      <c r="D10" s="583">
        <v>138879</v>
      </c>
      <c r="E10" s="581">
        <f t="shared" si="0"/>
        <v>80.045071786329757</v>
      </c>
      <c r="F10" s="562">
        <v>45679</v>
      </c>
      <c r="G10" s="559">
        <f t="shared" si="1"/>
        <v>26.327802145232592</v>
      </c>
      <c r="H10" s="562">
        <v>55706</v>
      </c>
      <c r="I10" s="559">
        <f t="shared" si="2"/>
        <v>32.107019556083252</v>
      </c>
      <c r="J10" s="562">
        <v>66037</v>
      </c>
      <c r="K10" s="563">
        <f t="shared" si="3"/>
        <v>38.061452095376971</v>
      </c>
      <c r="L10" s="559">
        <v>6079</v>
      </c>
      <c r="M10" s="559">
        <f t="shared" si="19"/>
        <v>3.5037262033071856</v>
      </c>
      <c r="N10" s="559">
        <f t="shared" si="20"/>
        <v>99.999999999999986</v>
      </c>
      <c r="O10" s="559">
        <f t="shared" si="26"/>
        <v>173501</v>
      </c>
      <c r="P10" s="583">
        <f>9*2687</f>
        <v>24183</v>
      </c>
      <c r="Q10" s="559">
        <f t="shared" si="4"/>
        <v>17.412999805586157</v>
      </c>
      <c r="R10" s="583">
        <v>55706</v>
      </c>
      <c r="S10" s="559">
        <f t="shared" si="21"/>
        <v>40.111175915725198</v>
      </c>
      <c r="T10" s="583">
        <v>58990</v>
      </c>
      <c r="U10" s="559">
        <f t="shared" si="5"/>
        <v>42.475824278688648</v>
      </c>
      <c r="V10" s="565">
        <f t="shared" si="22"/>
        <v>138879</v>
      </c>
      <c r="W10" s="566">
        <f t="shared" si="22"/>
        <v>100</v>
      </c>
      <c r="X10" s="564">
        <f t="shared" si="6"/>
        <v>52.941176470588239</v>
      </c>
      <c r="Y10" s="559">
        <f t="shared" si="7"/>
        <v>100</v>
      </c>
      <c r="Z10" s="564">
        <f t="shared" si="8"/>
        <v>89.328709662764822</v>
      </c>
      <c r="AA10" s="559">
        <f t="shared" si="9"/>
        <v>80.045071786329757</v>
      </c>
      <c r="AB10" s="584">
        <v>8</v>
      </c>
      <c r="AC10" s="567">
        <f t="shared" si="27"/>
        <v>47.058823529411761</v>
      </c>
      <c r="AD10" s="585">
        <v>9</v>
      </c>
      <c r="AE10" s="568">
        <f t="shared" si="23"/>
        <v>52.941176470588239</v>
      </c>
      <c r="AF10" s="559">
        <f t="shared" si="24"/>
        <v>17</v>
      </c>
      <c r="AG10" s="563">
        <f t="shared" si="24"/>
        <v>100</v>
      </c>
      <c r="AH10" s="568">
        <v>2277</v>
      </c>
      <c r="AI10" s="589">
        <v>0</v>
      </c>
      <c r="AJ10" s="581"/>
      <c r="AK10" s="565">
        <v>92</v>
      </c>
      <c r="AL10" s="581">
        <v>16</v>
      </c>
      <c r="AM10" s="559"/>
      <c r="AN10" s="568"/>
      <c r="AO10" s="568"/>
      <c r="AP10" s="568">
        <f>92*342+16*393</f>
        <v>37752</v>
      </c>
      <c r="AQ10" s="572">
        <f t="shared" si="10"/>
        <v>57.167951300028776</v>
      </c>
      <c r="AR10" s="587">
        <v>2277</v>
      </c>
      <c r="AS10" s="588">
        <v>86</v>
      </c>
      <c r="AT10" s="559">
        <f t="shared" si="25"/>
        <v>195822</v>
      </c>
      <c r="AU10" s="559">
        <f t="shared" si="11"/>
        <v>22321</v>
      </c>
      <c r="AV10" s="559">
        <f t="shared" si="12"/>
        <v>56943</v>
      </c>
      <c r="AW10" s="559">
        <f t="shared" si="13"/>
        <v>4772.1176470588234</v>
      </c>
      <c r="AX10" s="566">
        <f t="shared" si="14"/>
        <v>1.4100187933380857</v>
      </c>
      <c r="AY10" s="575">
        <f t="shared" si="15"/>
        <v>76.197189284145807</v>
      </c>
      <c r="AZ10" s="566">
        <f t="shared" si="16"/>
        <v>60.992094861660078</v>
      </c>
      <c r="BA10" s="559">
        <f t="shared" si="17"/>
        <v>2017.453488372093</v>
      </c>
      <c r="BB10" s="559">
        <f t="shared" si="18"/>
        <v>1614.8720930232557</v>
      </c>
      <c r="BC10" s="565"/>
      <c r="BD10" s="576"/>
      <c r="BE10" s="577"/>
      <c r="BF10" s="577"/>
      <c r="BG10" s="578"/>
      <c r="BH10" s="578"/>
      <c r="BI10" s="578"/>
      <c r="BJ10" s="578"/>
      <c r="BK10" s="578"/>
      <c r="BL10" s="578"/>
      <c r="BM10" s="578"/>
      <c r="BN10" s="579"/>
      <c r="BO10" s="578"/>
      <c r="BP10" s="578"/>
      <c r="BQ10" s="578"/>
      <c r="BR10" s="578"/>
      <c r="BS10" s="578"/>
      <c r="BT10" s="578"/>
      <c r="BU10" s="578"/>
      <c r="BV10" s="578"/>
      <c r="BW10" s="578"/>
      <c r="BX10" s="536"/>
      <c r="BY10" s="536"/>
      <c r="BZ10" s="536"/>
      <c r="CA10" s="536"/>
      <c r="CB10" s="536"/>
      <c r="CC10" s="536"/>
      <c r="CD10" s="536"/>
      <c r="CE10" s="536"/>
      <c r="CF10" s="536"/>
      <c r="CG10" s="536"/>
    </row>
    <row r="11" spans="1:85" s="537" customFormat="1" ht="15.75" x14ac:dyDescent="0.25">
      <c r="A11" s="558" t="s">
        <v>527</v>
      </c>
      <c r="B11" s="559" t="s">
        <v>523</v>
      </c>
      <c r="C11" s="560">
        <v>127011</v>
      </c>
      <c r="D11" s="583">
        <v>88437</v>
      </c>
      <c r="E11" s="559">
        <f t="shared" si="0"/>
        <v>69.629402177764135</v>
      </c>
      <c r="F11" s="562">
        <v>44337</v>
      </c>
      <c r="G11" s="559">
        <f t="shared" si="1"/>
        <v>34.908000094480009</v>
      </c>
      <c r="H11" s="562">
        <v>46568</v>
      </c>
      <c r="I11" s="559">
        <f t="shared" si="2"/>
        <v>36.66454086653912</v>
      </c>
      <c r="J11" s="562">
        <v>34606</v>
      </c>
      <c r="K11" s="563">
        <f t="shared" si="3"/>
        <v>27.246458968120873</v>
      </c>
      <c r="L11" s="559">
        <v>1500</v>
      </c>
      <c r="M11" s="559">
        <f t="shared" si="19"/>
        <v>1.1810000708600044</v>
      </c>
      <c r="N11" s="559">
        <f t="shared" si="20"/>
        <v>100.00000000000001</v>
      </c>
      <c r="O11" s="559">
        <f t="shared" si="26"/>
        <v>127011</v>
      </c>
      <c r="P11" s="583">
        <f>2111*5</f>
        <v>10555</v>
      </c>
      <c r="Q11" s="559">
        <f t="shared" si="4"/>
        <v>11.919684701471468</v>
      </c>
      <c r="R11" s="583">
        <v>45740</v>
      </c>
      <c r="S11" s="559">
        <f t="shared" si="21"/>
        <v>51.653849194249645</v>
      </c>
      <c r="T11" s="583">
        <v>32256</v>
      </c>
      <c r="U11" s="559">
        <f t="shared" si="5"/>
        <v>36.426466104278894</v>
      </c>
      <c r="V11" s="564">
        <f t="shared" si="22"/>
        <v>88551</v>
      </c>
      <c r="W11" s="566">
        <f t="shared" si="22"/>
        <v>100.00000000000001</v>
      </c>
      <c r="X11" s="564">
        <f t="shared" si="6"/>
        <v>23.806301734443018</v>
      </c>
      <c r="Y11" s="559">
        <f t="shared" si="7"/>
        <v>98.221954990551453</v>
      </c>
      <c r="Z11" s="564">
        <f t="shared" si="8"/>
        <v>93.209270068774202</v>
      </c>
      <c r="AA11" s="559">
        <f t="shared" si="9"/>
        <v>69.719158183149489</v>
      </c>
      <c r="AB11" s="567">
        <v>16</v>
      </c>
      <c r="AC11" s="567">
        <f t="shared" si="27"/>
        <v>76.19047619047619</v>
      </c>
      <c r="AD11" s="568">
        <v>5</v>
      </c>
      <c r="AE11" s="568">
        <f t="shared" si="23"/>
        <v>23.809523809523807</v>
      </c>
      <c r="AF11" s="559">
        <f t="shared" si="24"/>
        <v>21</v>
      </c>
      <c r="AG11" s="563">
        <f t="shared" si="24"/>
        <v>100</v>
      </c>
      <c r="AH11" s="568">
        <v>2111</v>
      </c>
      <c r="AI11" s="589">
        <v>0</v>
      </c>
      <c r="AJ11" s="559">
        <v>172</v>
      </c>
      <c r="AK11" s="564">
        <f>35+18</f>
        <v>53</v>
      </c>
      <c r="AL11" s="559"/>
      <c r="AM11" s="559"/>
      <c r="AN11" s="568"/>
      <c r="AO11" s="568">
        <f>172*10</f>
        <v>1720</v>
      </c>
      <c r="AP11" s="568">
        <f>35*200+18*434</f>
        <v>14812</v>
      </c>
      <c r="AQ11" s="572">
        <f t="shared" si="10"/>
        <v>47.772062648095705</v>
      </c>
      <c r="AR11" s="573">
        <v>1587</v>
      </c>
      <c r="AS11" s="574">
        <v>96</v>
      </c>
      <c r="AT11" s="559">
        <f t="shared" si="25"/>
        <v>152352</v>
      </c>
      <c r="AU11" s="559">
        <f t="shared" si="11"/>
        <v>25341</v>
      </c>
      <c r="AV11" s="559">
        <f t="shared" si="12"/>
        <v>63915</v>
      </c>
      <c r="AW11" s="559">
        <f t="shared" si="13"/>
        <v>3546.1904761904761</v>
      </c>
      <c r="AX11" s="566">
        <f t="shared" si="14"/>
        <v>1.7205000508181725</v>
      </c>
      <c r="AY11" s="575">
        <f t="shared" si="15"/>
        <v>80.032136105860118</v>
      </c>
      <c r="AZ11" s="566">
        <f t="shared" si="16"/>
        <v>55.725897920604915</v>
      </c>
      <c r="BA11" s="559">
        <f t="shared" si="17"/>
        <v>1323.03125</v>
      </c>
      <c r="BB11" s="559">
        <f t="shared" si="18"/>
        <v>921.21875</v>
      </c>
      <c r="BC11" s="565"/>
      <c r="BD11" s="576"/>
      <c r="BE11" s="577"/>
      <c r="BF11" s="577"/>
      <c r="BG11" s="578"/>
      <c r="BH11" s="578"/>
      <c r="BI11" s="578"/>
      <c r="BJ11" s="578"/>
      <c r="BK11" s="578"/>
      <c r="BL11" s="578"/>
      <c r="BM11" s="578"/>
      <c r="BN11" s="579"/>
      <c r="BO11" s="578"/>
      <c r="BP11" s="578"/>
      <c r="BQ11" s="578"/>
      <c r="BR11" s="578"/>
      <c r="BS11" s="578"/>
      <c r="BT11" s="578"/>
      <c r="BU11" s="578"/>
      <c r="BV11" s="578"/>
      <c r="BW11" s="578"/>
      <c r="BX11" s="536"/>
      <c r="BY11" s="536"/>
      <c r="BZ11" s="536"/>
      <c r="CA11" s="536"/>
      <c r="CB11" s="536"/>
      <c r="CC11" s="536"/>
      <c r="CD11" s="536"/>
      <c r="CE11" s="536"/>
      <c r="CF11" s="536"/>
      <c r="CG11" s="536"/>
    </row>
    <row r="12" spans="1:85" s="537" customFormat="1" ht="15.75" x14ac:dyDescent="0.25">
      <c r="A12" s="580" t="s">
        <v>528</v>
      </c>
      <c r="B12" s="581" t="s">
        <v>523</v>
      </c>
      <c r="C12" s="560">
        <v>125205</v>
      </c>
      <c r="D12" s="583">
        <v>87756</v>
      </c>
      <c r="E12" s="559">
        <f t="shared" si="0"/>
        <v>70.089852641667662</v>
      </c>
      <c r="F12" s="562">
        <v>37073</v>
      </c>
      <c r="G12" s="559">
        <f t="shared" si="1"/>
        <v>29.609839862625293</v>
      </c>
      <c r="H12" s="562">
        <v>43460</v>
      </c>
      <c r="I12" s="559">
        <f t="shared" si="2"/>
        <v>34.711073838904198</v>
      </c>
      <c r="J12" s="562">
        <v>39872</v>
      </c>
      <c r="K12" s="563">
        <f t="shared" si="3"/>
        <v>31.8453735873168</v>
      </c>
      <c r="L12" s="559">
        <v>4800</v>
      </c>
      <c r="M12" s="559">
        <f t="shared" si="19"/>
        <v>3.8337127111537077</v>
      </c>
      <c r="N12" s="559">
        <f t="shared" si="20"/>
        <v>100</v>
      </c>
      <c r="O12" s="559">
        <f t="shared" si="26"/>
        <v>125205</v>
      </c>
      <c r="P12" s="583">
        <f>4*2317</f>
        <v>9268</v>
      </c>
      <c r="Q12" s="559">
        <f t="shared" si="4"/>
        <v>10.561101235243173</v>
      </c>
      <c r="R12" s="583">
        <v>42344</v>
      </c>
      <c r="S12" s="559">
        <f t="shared" si="21"/>
        <v>48.25197137517663</v>
      </c>
      <c r="T12" s="583">
        <v>36144</v>
      </c>
      <c r="U12" s="559">
        <f t="shared" si="5"/>
        <v>41.186927389580205</v>
      </c>
      <c r="V12" s="589">
        <f>+T12+R12+P12</f>
        <v>87756</v>
      </c>
      <c r="W12" s="566">
        <f>+U12+S12+Q12</f>
        <v>100</v>
      </c>
      <c r="X12" s="564">
        <f>+(P12/F12)*100</f>
        <v>24.9993256547892</v>
      </c>
      <c r="Y12" s="559">
        <f>+(R12/H12)*100</f>
        <v>97.432121491026237</v>
      </c>
      <c r="Z12" s="564">
        <f>+(T12/J12)*100</f>
        <v>90.650080256821823</v>
      </c>
      <c r="AA12" s="559">
        <f>+(V12/O12)*100</f>
        <v>70.089852641667662</v>
      </c>
      <c r="AB12" s="567">
        <v>12</v>
      </c>
      <c r="AC12" s="567">
        <f>+(AB12)/AF12*100</f>
        <v>75</v>
      </c>
      <c r="AD12" s="568">
        <v>4</v>
      </c>
      <c r="AE12" s="568">
        <f>+AD12/AF12*100</f>
        <v>25</v>
      </c>
      <c r="AF12" s="559">
        <f>+AD12+AB12</f>
        <v>16</v>
      </c>
      <c r="AG12" s="563">
        <f>+AE12+AC12</f>
        <v>100</v>
      </c>
      <c r="AH12" s="568">
        <f>37073/16</f>
        <v>2317.0625</v>
      </c>
      <c r="AI12" s="589">
        <v>0</v>
      </c>
      <c r="AJ12" s="559">
        <v>199</v>
      </c>
      <c r="AK12" s="559">
        <f>53+30</f>
        <v>83</v>
      </c>
      <c r="AL12" s="559"/>
      <c r="AM12" s="559"/>
      <c r="AN12" s="568"/>
      <c r="AO12" s="568"/>
      <c r="AP12" s="568">
        <f>53*200+30*379</f>
        <v>21970</v>
      </c>
      <c r="AQ12" s="572">
        <f t="shared" si="10"/>
        <v>55.101324237560192</v>
      </c>
      <c r="AR12" s="587">
        <v>1582</v>
      </c>
      <c r="AS12" s="588">
        <v>93</v>
      </c>
      <c r="AT12" s="559">
        <f>+AS12*AR12</f>
        <v>147126</v>
      </c>
      <c r="AU12" s="559">
        <f t="shared" si="11"/>
        <v>21921</v>
      </c>
      <c r="AV12" s="559">
        <f t="shared" si="12"/>
        <v>59370</v>
      </c>
      <c r="AW12" s="559">
        <f t="shared" si="13"/>
        <v>4289.875</v>
      </c>
      <c r="AX12" s="566">
        <f t="shared" si="14"/>
        <v>1.676534937782032</v>
      </c>
      <c r="AY12" s="575">
        <f t="shared" si="15"/>
        <v>79.143489254108729</v>
      </c>
      <c r="AZ12" s="566">
        <f t="shared" si="16"/>
        <v>55.471554993678886</v>
      </c>
      <c r="BA12" s="559">
        <f t="shared" si="17"/>
        <v>1346.2903225806451</v>
      </c>
      <c r="BB12" s="559">
        <f t="shared" si="18"/>
        <v>943.61290322580646</v>
      </c>
      <c r="BC12" s="565"/>
      <c r="BD12" s="576"/>
      <c r="BE12" s="577"/>
      <c r="BF12" s="577"/>
      <c r="BG12" s="578"/>
      <c r="BH12" s="578"/>
      <c r="BI12" s="578"/>
      <c r="BJ12" s="578"/>
      <c r="BK12" s="578"/>
      <c r="BL12" s="578"/>
      <c r="BM12" s="578"/>
      <c r="BN12" s="579"/>
      <c r="BO12" s="578"/>
      <c r="BP12" s="578"/>
      <c r="BQ12" s="578"/>
      <c r="BR12" s="578"/>
      <c r="BS12" s="578"/>
      <c r="BT12" s="578"/>
      <c r="BU12" s="578"/>
      <c r="BV12" s="578"/>
      <c r="BW12" s="578"/>
      <c r="BX12" s="536"/>
      <c r="BY12" s="536"/>
      <c r="BZ12" s="536"/>
      <c r="CA12" s="536"/>
      <c r="CB12" s="536"/>
      <c r="CC12" s="536"/>
      <c r="CD12" s="536"/>
      <c r="CE12" s="536"/>
      <c r="CF12" s="536"/>
      <c r="CG12" s="536"/>
    </row>
    <row r="13" spans="1:85" s="537" customFormat="1" ht="15.75" x14ac:dyDescent="0.25">
      <c r="A13" s="558" t="s">
        <v>529</v>
      </c>
      <c r="B13" s="581" t="s">
        <v>523</v>
      </c>
      <c r="C13" s="560">
        <v>109304</v>
      </c>
      <c r="D13" s="583">
        <v>78203</v>
      </c>
      <c r="E13" s="581">
        <f t="shared" si="0"/>
        <v>71.546329503037398</v>
      </c>
      <c r="F13" s="562">
        <v>37323</v>
      </c>
      <c r="G13" s="559">
        <f t="shared" si="1"/>
        <v>34.146051379638436</v>
      </c>
      <c r="H13" s="562">
        <v>41283</v>
      </c>
      <c r="I13" s="559">
        <f t="shared" si="2"/>
        <v>37.768974602942251</v>
      </c>
      <c r="J13" s="562">
        <v>28198</v>
      </c>
      <c r="K13" s="563">
        <f t="shared" si="3"/>
        <v>25.797775012808316</v>
      </c>
      <c r="L13" s="559">
        <v>2500</v>
      </c>
      <c r="M13" s="559">
        <f t="shared" si="19"/>
        <v>2.2871990046109936</v>
      </c>
      <c r="N13" s="559">
        <f t="shared" si="20"/>
        <v>100</v>
      </c>
      <c r="O13" s="559">
        <f t="shared" si="26"/>
        <v>109304</v>
      </c>
      <c r="P13" s="583">
        <f>5*2333</f>
        <v>11665</v>
      </c>
      <c r="Q13" s="559">
        <f t="shared" si="4"/>
        <v>14.916307558533559</v>
      </c>
      <c r="R13" s="583">
        <v>39188</v>
      </c>
      <c r="S13" s="559">
        <f t="shared" si="21"/>
        <v>50.110609567407906</v>
      </c>
      <c r="T13" s="583">
        <v>27350</v>
      </c>
      <c r="U13" s="559">
        <f t="shared" si="5"/>
        <v>34.973082874058541</v>
      </c>
      <c r="V13" s="565">
        <f t="shared" si="22"/>
        <v>78203</v>
      </c>
      <c r="W13" s="566">
        <f t="shared" si="22"/>
        <v>100</v>
      </c>
      <c r="X13" s="564">
        <f t="shared" si="6"/>
        <v>31.254186426600221</v>
      </c>
      <c r="Y13" s="559">
        <f t="shared" si="7"/>
        <v>94.925271903689165</v>
      </c>
      <c r="Z13" s="564">
        <f t="shared" si="8"/>
        <v>96.992694517341661</v>
      </c>
      <c r="AA13" s="559">
        <f t="shared" si="9"/>
        <v>71.546329503037398</v>
      </c>
      <c r="AB13" s="590">
        <v>11</v>
      </c>
      <c r="AC13" s="567">
        <f t="shared" si="27"/>
        <v>68.75</v>
      </c>
      <c r="AD13" s="591">
        <v>5</v>
      </c>
      <c r="AE13" s="568">
        <f t="shared" si="23"/>
        <v>31.25</v>
      </c>
      <c r="AF13" s="559">
        <f t="shared" si="24"/>
        <v>16</v>
      </c>
      <c r="AG13" s="563">
        <f t="shared" si="24"/>
        <v>100</v>
      </c>
      <c r="AH13" s="568">
        <v>2333</v>
      </c>
      <c r="AI13" s="589">
        <v>0</v>
      </c>
      <c r="AJ13" s="581">
        <v>94</v>
      </c>
      <c r="AK13" s="565">
        <v>50</v>
      </c>
      <c r="AL13" s="581"/>
      <c r="AM13" s="559"/>
      <c r="AN13" s="568"/>
      <c r="AO13" s="568"/>
      <c r="AP13" s="568">
        <f>50*200</f>
        <v>10000</v>
      </c>
      <c r="AQ13" s="572">
        <f t="shared" si="10"/>
        <v>35.463508050216326</v>
      </c>
      <c r="AR13" s="573">
        <v>1400</v>
      </c>
      <c r="AS13" s="574">
        <v>92</v>
      </c>
      <c r="AT13" s="559">
        <f t="shared" si="25"/>
        <v>128800</v>
      </c>
      <c r="AU13" s="559">
        <f t="shared" si="11"/>
        <v>19496</v>
      </c>
      <c r="AV13" s="559">
        <f t="shared" si="12"/>
        <v>50597</v>
      </c>
      <c r="AW13" s="559">
        <f t="shared" si="13"/>
        <v>3891.375</v>
      </c>
      <c r="AX13" s="566">
        <f t="shared" si="14"/>
        <v>1.6469956395534697</v>
      </c>
      <c r="AY13" s="575">
        <f t="shared" si="15"/>
        <v>78.074285714285708</v>
      </c>
      <c r="AZ13" s="566">
        <f t="shared" si="16"/>
        <v>55.859285714285711</v>
      </c>
      <c r="BA13" s="559">
        <f t="shared" si="17"/>
        <v>1188.0869565217392</v>
      </c>
      <c r="BB13" s="559">
        <f t="shared" si="18"/>
        <v>850.03260869565213</v>
      </c>
      <c r="BC13" s="565"/>
      <c r="BD13" s="576"/>
      <c r="BE13" s="577"/>
      <c r="BF13" s="577"/>
      <c r="BG13" s="578"/>
      <c r="BH13" s="578"/>
      <c r="BI13" s="578"/>
      <c r="BJ13" s="578"/>
      <c r="BK13" s="578"/>
      <c r="BL13" s="578"/>
      <c r="BM13" s="578"/>
      <c r="BN13" s="579"/>
      <c r="BO13" s="578"/>
      <c r="BP13" s="578"/>
      <c r="BQ13" s="578"/>
      <c r="BR13" s="578"/>
      <c r="BS13" s="578"/>
      <c r="BT13" s="578"/>
      <c r="BU13" s="578"/>
      <c r="BV13" s="578"/>
      <c r="BW13" s="578"/>
      <c r="BX13" s="536"/>
      <c r="BY13" s="536"/>
      <c r="BZ13" s="536"/>
      <c r="CA13" s="536"/>
      <c r="CB13" s="536"/>
      <c r="CC13" s="536"/>
      <c r="CD13" s="536"/>
      <c r="CE13" s="536"/>
      <c r="CF13" s="536"/>
      <c r="CG13" s="536"/>
    </row>
    <row r="14" spans="1:85" s="537" customFormat="1" ht="15.75" x14ac:dyDescent="0.25">
      <c r="A14" s="558" t="s">
        <v>530</v>
      </c>
      <c r="B14" s="559" t="s">
        <v>523</v>
      </c>
      <c r="C14" s="560">
        <v>137095</v>
      </c>
      <c r="D14" s="583">
        <v>108477</v>
      </c>
      <c r="E14" s="559">
        <f t="shared" si="0"/>
        <v>79.125423976074984</v>
      </c>
      <c r="F14" s="562">
        <v>43067</v>
      </c>
      <c r="G14" s="559">
        <f t="shared" si="1"/>
        <v>31.413983004485939</v>
      </c>
      <c r="H14" s="562">
        <v>42152</v>
      </c>
      <c r="I14" s="559">
        <f t="shared" si="2"/>
        <v>30.746562602574855</v>
      </c>
      <c r="J14" s="562">
        <v>47476</v>
      </c>
      <c r="K14" s="563">
        <f t="shared" si="3"/>
        <v>34.630001094131806</v>
      </c>
      <c r="L14" s="559">
        <v>4400</v>
      </c>
      <c r="M14" s="559">
        <f t="shared" si="19"/>
        <v>3.2094532988073965</v>
      </c>
      <c r="N14" s="559">
        <f t="shared" si="20"/>
        <v>100</v>
      </c>
      <c r="O14" s="559">
        <f t="shared" si="26"/>
        <v>137095</v>
      </c>
      <c r="P14" s="583">
        <f>2153*11</f>
        <v>23683</v>
      </c>
      <c r="Q14" s="559">
        <f t="shared" si="4"/>
        <v>21.832277810042683</v>
      </c>
      <c r="R14" s="583">
        <v>41326</v>
      </c>
      <c r="S14" s="559">
        <f t="shared" si="21"/>
        <v>38.096555030098543</v>
      </c>
      <c r="T14" s="583">
        <v>43468</v>
      </c>
      <c r="U14" s="559">
        <f t="shared" si="5"/>
        <v>40.071167159858774</v>
      </c>
      <c r="V14" s="564">
        <f t="shared" si="22"/>
        <v>108477</v>
      </c>
      <c r="W14" s="566">
        <f t="shared" si="22"/>
        <v>100</v>
      </c>
      <c r="X14" s="564">
        <f t="shared" si="6"/>
        <v>54.991060440708658</v>
      </c>
      <c r="Y14" s="559">
        <f t="shared" si="7"/>
        <v>98.040425128107799</v>
      </c>
      <c r="Z14" s="564">
        <f t="shared" si="8"/>
        <v>91.557839750610839</v>
      </c>
      <c r="AA14" s="559">
        <f t="shared" si="9"/>
        <v>79.125423976074984</v>
      </c>
      <c r="AB14" s="584">
        <v>9</v>
      </c>
      <c r="AC14" s="567">
        <f t="shared" si="27"/>
        <v>45</v>
      </c>
      <c r="AD14" s="585">
        <v>11</v>
      </c>
      <c r="AE14" s="568">
        <f t="shared" si="23"/>
        <v>55.000000000000007</v>
      </c>
      <c r="AF14" s="559">
        <f t="shared" si="24"/>
        <v>20</v>
      </c>
      <c r="AG14" s="563">
        <f t="shared" si="24"/>
        <v>100</v>
      </c>
      <c r="AH14" s="568">
        <v>2153</v>
      </c>
      <c r="AI14" s="589">
        <v>36</v>
      </c>
      <c r="AJ14" s="559">
        <v>221</v>
      </c>
      <c r="AK14" s="564">
        <v>49</v>
      </c>
      <c r="AL14" s="559">
        <v>16</v>
      </c>
      <c r="AM14" s="559"/>
      <c r="AN14" s="568"/>
      <c r="AO14" s="568"/>
      <c r="AP14" s="568">
        <f>49*223+487*16+36*246</f>
        <v>27575</v>
      </c>
      <c r="AQ14" s="572">
        <f t="shared" si="10"/>
        <v>58.081978262701149</v>
      </c>
      <c r="AR14" s="587">
        <v>1976</v>
      </c>
      <c r="AS14" s="588">
        <v>90</v>
      </c>
      <c r="AT14" s="559">
        <f t="shared" si="25"/>
        <v>177840</v>
      </c>
      <c r="AU14" s="559">
        <f t="shared" si="11"/>
        <v>40745</v>
      </c>
      <c r="AV14" s="559">
        <f t="shared" si="12"/>
        <v>69363</v>
      </c>
      <c r="AW14" s="559">
        <f t="shared" si="13"/>
        <v>4652.3</v>
      </c>
      <c r="AX14" s="566">
        <f t="shared" si="14"/>
        <v>1.6394258690782377</v>
      </c>
      <c r="AY14" s="575">
        <f t="shared" si="15"/>
        <v>69.380060728744937</v>
      </c>
      <c r="AZ14" s="566">
        <f t="shared" si="16"/>
        <v>54.897267206477736</v>
      </c>
      <c r="BA14" s="559">
        <f t="shared" si="17"/>
        <v>1523.2777777777778</v>
      </c>
      <c r="BB14" s="559">
        <f t="shared" si="18"/>
        <v>1205.3</v>
      </c>
      <c r="BC14" s="565"/>
      <c r="BD14" s="576"/>
      <c r="BE14" s="577"/>
      <c r="BF14" s="577"/>
      <c r="BG14" s="578"/>
      <c r="BH14" s="578"/>
      <c r="BI14" s="578"/>
      <c r="BJ14" s="578"/>
      <c r="BK14" s="578"/>
      <c r="BL14" s="578"/>
      <c r="BM14" s="578"/>
      <c r="BN14" s="579"/>
      <c r="BO14" s="578"/>
      <c r="BP14" s="578"/>
      <c r="BQ14" s="578"/>
      <c r="BR14" s="578"/>
      <c r="BS14" s="578"/>
      <c r="BT14" s="578"/>
      <c r="BU14" s="578"/>
      <c r="BV14" s="578"/>
      <c r="BW14" s="578"/>
      <c r="BX14" s="536"/>
      <c r="BY14" s="536"/>
      <c r="BZ14" s="536"/>
      <c r="CA14" s="536"/>
      <c r="CB14" s="536"/>
      <c r="CC14" s="536"/>
      <c r="CD14" s="536"/>
      <c r="CE14" s="536"/>
      <c r="CF14" s="536"/>
      <c r="CG14" s="536"/>
    </row>
    <row r="15" spans="1:85" s="537" customFormat="1" ht="15.75" x14ac:dyDescent="0.25">
      <c r="A15" s="558" t="s">
        <v>531</v>
      </c>
      <c r="B15" s="559" t="s">
        <v>523</v>
      </c>
      <c r="C15" s="560">
        <v>149016</v>
      </c>
      <c r="D15" s="583">
        <v>120560</v>
      </c>
      <c r="E15" s="581">
        <f t="shared" si="0"/>
        <v>80.904063993128247</v>
      </c>
      <c r="F15" s="562">
        <v>39060</v>
      </c>
      <c r="G15" s="559">
        <f t="shared" si="1"/>
        <v>26.211950394588502</v>
      </c>
      <c r="H15" s="562">
        <v>48945</v>
      </c>
      <c r="I15" s="559">
        <f t="shared" si="2"/>
        <v>32.845466258656785</v>
      </c>
      <c r="J15" s="562">
        <v>56961</v>
      </c>
      <c r="K15" s="563">
        <f t="shared" si="3"/>
        <v>38.224754388790465</v>
      </c>
      <c r="L15" s="559">
        <v>4050</v>
      </c>
      <c r="M15" s="559">
        <f t="shared" si="19"/>
        <v>2.7178289579642452</v>
      </c>
      <c r="N15" s="559">
        <f t="shared" si="20"/>
        <v>99.999999999999986</v>
      </c>
      <c r="O15" s="559">
        <f t="shared" si="26"/>
        <v>149016</v>
      </c>
      <c r="P15" s="583">
        <f>1860*9</f>
        <v>16740</v>
      </c>
      <c r="Q15" s="559">
        <f t="shared" si="4"/>
        <v>13.885202388852026</v>
      </c>
      <c r="R15" s="583">
        <v>47395</v>
      </c>
      <c r="S15" s="559">
        <f t="shared" si="21"/>
        <v>39.312375580623751</v>
      </c>
      <c r="T15" s="583">
        <v>56425</v>
      </c>
      <c r="U15" s="559">
        <f t="shared" si="5"/>
        <v>46.80242203052422</v>
      </c>
      <c r="V15" s="565">
        <f t="shared" si="22"/>
        <v>120560</v>
      </c>
      <c r="W15" s="566">
        <f t="shared" si="22"/>
        <v>99.999999999999986</v>
      </c>
      <c r="X15" s="564">
        <f t="shared" si="6"/>
        <v>42.857142857142854</v>
      </c>
      <c r="Y15" s="559">
        <f t="shared" si="7"/>
        <v>96.833180100112372</v>
      </c>
      <c r="Z15" s="564">
        <f t="shared" si="8"/>
        <v>99.059005284317337</v>
      </c>
      <c r="AA15" s="559">
        <f t="shared" si="9"/>
        <v>80.904063993128247</v>
      </c>
      <c r="AB15" s="567">
        <v>12</v>
      </c>
      <c r="AC15" s="567">
        <f t="shared" si="27"/>
        <v>57.142857142857139</v>
      </c>
      <c r="AD15" s="568">
        <v>9</v>
      </c>
      <c r="AE15" s="568">
        <f t="shared" si="23"/>
        <v>42.857142857142854</v>
      </c>
      <c r="AF15" s="559">
        <f t="shared" si="24"/>
        <v>21</v>
      </c>
      <c r="AG15" s="563">
        <f t="shared" si="24"/>
        <v>100</v>
      </c>
      <c r="AH15" s="568">
        <v>1860</v>
      </c>
      <c r="AI15" s="559">
        <v>0</v>
      </c>
      <c r="AJ15" s="559">
        <v>105</v>
      </c>
      <c r="AK15" s="559">
        <f>77+67</f>
        <v>144</v>
      </c>
      <c r="AL15" s="559"/>
      <c r="AM15" s="559"/>
      <c r="AN15" s="568"/>
      <c r="AO15" s="568"/>
      <c r="AP15" s="568">
        <f>77*200+67*317</f>
        <v>36639</v>
      </c>
      <c r="AQ15" s="572">
        <f t="shared" si="10"/>
        <v>64.322957813240635</v>
      </c>
      <c r="AR15" s="573">
        <v>1842</v>
      </c>
      <c r="AS15" s="574">
        <v>92</v>
      </c>
      <c r="AT15" s="559">
        <f t="shared" si="25"/>
        <v>169464</v>
      </c>
      <c r="AU15" s="559">
        <f t="shared" si="11"/>
        <v>20448</v>
      </c>
      <c r="AV15" s="559">
        <f t="shared" si="12"/>
        <v>48904</v>
      </c>
      <c r="AW15" s="559">
        <f t="shared" si="13"/>
        <v>3125.9047619047619</v>
      </c>
      <c r="AX15" s="566">
        <f t="shared" si="14"/>
        <v>1.4056403450564035</v>
      </c>
      <c r="AY15" s="575">
        <f t="shared" si="15"/>
        <v>80.899022801302934</v>
      </c>
      <c r="AZ15" s="566">
        <f t="shared" si="16"/>
        <v>65.450597176981546</v>
      </c>
      <c r="BA15" s="559">
        <f t="shared" si="17"/>
        <v>1619.7391304347825</v>
      </c>
      <c r="BB15" s="559">
        <f t="shared" si="18"/>
        <v>1310.4347826086957</v>
      </c>
      <c r="BC15" s="565"/>
      <c r="BD15" s="576"/>
      <c r="BE15" s="577"/>
      <c r="BF15" s="577"/>
      <c r="BG15" s="578"/>
      <c r="BH15" s="578"/>
      <c r="BI15" s="578"/>
      <c r="BJ15" s="578"/>
      <c r="BK15" s="578"/>
      <c r="BL15" s="578"/>
      <c r="BM15" s="578"/>
      <c r="BN15" s="579"/>
      <c r="BO15" s="578"/>
      <c r="BP15" s="578"/>
      <c r="BQ15" s="578"/>
      <c r="BR15" s="578"/>
      <c r="BS15" s="578"/>
      <c r="BT15" s="578"/>
      <c r="BU15" s="578"/>
      <c r="BV15" s="578"/>
      <c r="BW15" s="578"/>
      <c r="BX15" s="536"/>
      <c r="BY15" s="536"/>
      <c r="BZ15" s="536"/>
      <c r="CA15" s="536"/>
      <c r="CB15" s="536"/>
      <c r="CC15" s="536"/>
      <c r="CD15" s="536"/>
      <c r="CE15" s="536"/>
      <c r="CF15" s="536"/>
      <c r="CG15" s="536"/>
    </row>
    <row r="16" spans="1:85" s="537" customFormat="1" ht="15.75" x14ac:dyDescent="0.25">
      <c r="A16" s="580" t="s">
        <v>532</v>
      </c>
      <c r="B16" s="581" t="s">
        <v>523</v>
      </c>
      <c r="C16" s="560">
        <v>103137</v>
      </c>
      <c r="D16" s="583">
        <v>72036</v>
      </c>
      <c r="E16" s="581">
        <f t="shared" si="0"/>
        <v>69.844963495156932</v>
      </c>
      <c r="F16" s="562">
        <v>31379</v>
      </c>
      <c r="G16" s="559">
        <f t="shared" si="1"/>
        <v>30.424580897253168</v>
      </c>
      <c r="H16" s="562">
        <v>39796</v>
      </c>
      <c r="I16" s="559">
        <f t="shared" si="2"/>
        <v>38.58557064874875</v>
      </c>
      <c r="J16" s="562">
        <v>29462</v>
      </c>
      <c r="K16" s="563">
        <f t="shared" si="3"/>
        <v>28.565888090597941</v>
      </c>
      <c r="L16" s="559">
        <v>2500</v>
      </c>
      <c r="M16" s="559">
        <f t="shared" si="19"/>
        <v>2.4239603634001377</v>
      </c>
      <c r="N16" s="559">
        <f t="shared" si="20"/>
        <v>100</v>
      </c>
      <c r="O16" s="559">
        <f t="shared" si="26"/>
        <v>103137</v>
      </c>
      <c r="P16" s="583">
        <f>2615*5</f>
        <v>13075</v>
      </c>
      <c r="Q16" s="559">
        <f t="shared" si="4"/>
        <v>18.150646898772834</v>
      </c>
      <c r="R16" s="583">
        <v>34821</v>
      </c>
      <c r="S16" s="559">
        <f t="shared" si="21"/>
        <v>48.338330834582713</v>
      </c>
      <c r="T16" s="583">
        <v>24140</v>
      </c>
      <c r="U16" s="559">
        <f t="shared" si="5"/>
        <v>33.51102226664446</v>
      </c>
      <c r="V16" s="565">
        <f t="shared" si="22"/>
        <v>72036</v>
      </c>
      <c r="W16" s="566">
        <f t="shared" si="22"/>
        <v>100</v>
      </c>
      <c r="X16" s="564">
        <f t="shared" si="6"/>
        <v>41.667994518627104</v>
      </c>
      <c r="Y16" s="559">
        <f t="shared" si="7"/>
        <v>87.498743592320835</v>
      </c>
      <c r="Z16" s="564">
        <f t="shared" si="8"/>
        <v>81.936053221098362</v>
      </c>
      <c r="AA16" s="559">
        <f t="shared" si="9"/>
        <v>69.844963495156932</v>
      </c>
      <c r="AB16" s="568">
        <v>7</v>
      </c>
      <c r="AC16" s="567">
        <f t="shared" si="27"/>
        <v>58.333333333333336</v>
      </c>
      <c r="AD16" s="585">
        <v>5</v>
      </c>
      <c r="AE16" s="568">
        <f t="shared" si="23"/>
        <v>41.666666666666671</v>
      </c>
      <c r="AF16" s="559">
        <f t="shared" si="24"/>
        <v>12</v>
      </c>
      <c r="AG16" s="563">
        <f t="shared" si="24"/>
        <v>100</v>
      </c>
      <c r="AH16" s="568">
        <v>2614.9166666666665</v>
      </c>
      <c r="AI16" s="586">
        <v>0</v>
      </c>
      <c r="AJ16" s="581"/>
      <c r="AK16" s="565">
        <v>43</v>
      </c>
      <c r="AL16" s="581"/>
      <c r="AM16" s="559"/>
      <c r="AN16" s="568"/>
      <c r="AO16" s="568"/>
      <c r="AP16" s="568">
        <f>43*187</f>
        <v>8041</v>
      </c>
      <c r="AQ16" s="572">
        <f t="shared" si="10"/>
        <v>27.292783925056003</v>
      </c>
      <c r="AR16" s="568">
        <v>1316</v>
      </c>
      <c r="AS16" s="574">
        <v>82</v>
      </c>
      <c r="AT16" s="559">
        <f t="shared" si="25"/>
        <v>107912</v>
      </c>
      <c r="AU16" s="559">
        <f t="shared" si="11"/>
        <v>4775</v>
      </c>
      <c r="AV16" s="559">
        <f t="shared" si="12"/>
        <v>35876</v>
      </c>
      <c r="AW16" s="559">
        <f t="shared" si="13"/>
        <v>4079.25</v>
      </c>
      <c r="AX16" s="592">
        <f t="shared" si="14"/>
        <v>1.4980287633960798</v>
      </c>
      <c r="AY16" s="575">
        <f t="shared" si="15"/>
        <v>78.371580547112458</v>
      </c>
      <c r="AZ16" s="566">
        <f t="shared" si="16"/>
        <v>54.738601823708208</v>
      </c>
      <c r="BA16" s="559">
        <f t="shared" si="17"/>
        <v>1257.7682926829268</v>
      </c>
      <c r="BB16" s="559">
        <f t="shared" si="18"/>
        <v>878.48780487804879</v>
      </c>
      <c r="BC16" s="565"/>
      <c r="BD16" s="576"/>
      <c r="BE16" s="577"/>
      <c r="BF16" s="577"/>
      <c r="BG16" s="578"/>
      <c r="BH16" s="578"/>
      <c r="BI16" s="578"/>
      <c r="BJ16" s="578"/>
      <c r="BK16" s="578"/>
      <c r="BL16" s="578"/>
      <c r="BM16" s="578"/>
      <c r="BN16" s="579"/>
      <c r="BO16" s="578"/>
      <c r="BP16" s="578"/>
      <c r="BQ16" s="578"/>
      <c r="BR16" s="578"/>
      <c r="BS16" s="578"/>
      <c r="BT16" s="578"/>
      <c r="BU16" s="578"/>
      <c r="BV16" s="578"/>
      <c r="BW16" s="578"/>
      <c r="BX16" s="536"/>
      <c r="BY16" s="536"/>
      <c r="BZ16" s="536"/>
      <c r="CA16" s="536"/>
      <c r="CB16" s="536"/>
      <c r="CC16" s="536"/>
      <c r="CD16" s="536"/>
      <c r="CE16" s="536"/>
      <c r="CF16" s="536"/>
      <c r="CG16" s="536"/>
    </row>
    <row r="17" spans="1:85" s="537" customFormat="1" ht="15.75" x14ac:dyDescent="0.25">
      <c r="A17" s="558" t="s">
        <v>537</v>
      </c>
      <c r="B17" s="559" t="s">
        <v>534</v>
      </c>
      <c r="C17" s="560">
        <v>91041</v>
      </c>
      <c r="D17" s="583">
        <v>79853</v>
      </c>
      <c r="E17" s="559">
        <f t="shared" si="0"/>
        <v>87.711031293592995</v>
      </c>
      <c r="F17" s="562">
        <v>25669</v>
      </c>
      <c r="G17" s="559">
        <f t="shared" si="1"/>
        <v>28.194989070858185</v>
      </c>
      <c r="H17" s="562">
        <v>31889</v>
      </c>
      <c r="I17" s="559">
        <f t="shared" si="2"/>
        <v>35.027075713140235</v>
      </c>
      <c r="J17" s="562">
        <v>29983</v>
      </c>
      <c r="K17" s="563">
        <f t="shared" si="3"/>
        <v>32.933513471952196</v>
      </c>
      <c r="L17" s="559">
        <v>3500</v>
      </c>
      <c r="M17" s="559">
        <f t="shared" si="19"/>
        <v>3.8444217440493844</v>
      </c>
      <c r="N17" s="559">
        <f t="shared" si="20"/>
        <v>100</v>
      </c>
      <c r="O17" s="559">
        <f t="shared" si="26"/>
        <v>91041</v>
      </c>
      <c r="P17" s="583">
        <v>18664</v>
      </c>
      <c r="Q17" s="559">
        <f t="shared" si="4"/>
        <v>23.372947791567004</v>
      </c>
      <c r="R17" s="583">
        <v>31206</v>
      </c>
      <c r="S17" s="559">
        <f t="shared" si="21"/>
        <v>39.079308228870552</v>
      </c>
      <c r="T17" s="583">
        <v>29983</v>
      </c>
      <c r="U17" s="559">
        <f t="shared" si="5"/>
        <v>37.547743979562448</v>
      </c>
      <c r="V17" s="564">
        <f>+T17+R17+P17</f>
        <v>79853</v>
      </c>
      <c r="W17" s="566">
        <f>+U17+S17+Q17</f>
        <v>100</v>
      </c>
      <c r="X17" s="564">
        <f t="shared" si="6"/>
        <v>72.710273092056568</v>
      </c>
      <c r="Y17" s="559">
        <f>+(R17/H17)*100</f>
        <v>97.858195616043147</v>
      </c>
      <c r="Z17" s="564">
        <f t="shared" si="8"/>
        <v>100</v>
      </c>
      <c r="AA17" s="559">
        <f t="shared" si="9"/>
        <v>87.711031293592995</v>
      </c>
      <c r="AB17" s="584">
        <v>3</v>
      </c>
      <c r="AC17" s="567">
        <f t="shared" si="27"/>
        <v>27.27272727272727</v>
      </c>
      <c r="AD17" s="585">
        <v>8</v>
      </c>
      <c r="AE17" s="568">
        <f t="shared" si="23"/>
        <v>72.727272727272734</v>
      </c>
      <c r="AF17" s="559">
        <f t="shared" si="24"/>
        <v>11</v>
      </c>
      <c r="AG17" s="563">
        <f t="shared" si="24"/>
        <v>100</v>
      </c>
      <c r="AH17" s="568">
        <v>2333</v>
      </c>
      <c r="AI17" s="589">
        <v>0</v>
      </c>
      <c r="AJ17" s="559">
        <v>106</v>
      </c>
      <c r="AK17" s="564">
        <v>47</v>
      </c>
      <c r="AL17" s="559"/>
      <c r="AM17" s="559"/>
      <c r="AN17" s="568"/>
      <c r="AO17" s="568"/>
      <c r="AP17" s="568">
        <f>47*213</f>
        <v>10011</v>
      </c>
      <c r="AQ17" s="572">
        <f t="shared" si="10"/>
        <v>33.388920388219987</v>
      </c>
      <c r="AR17" s="587">
        <v>1180</v>
      </c>
      <c r="AS17" s="588">
        <v>80</v>
      </c>
      <c r="AT17" s="559">
        <f t="shared" si="25"/>
        <v>94400</v>
      </c>
      <c r="AU17" s="559">
        <f t="shared" si="11"/>
        <v>3359</v>
      </c>
      <c r="AV17" s="559">
        <f t="shared" si="12"/>
        <v>14547</v>
      </c>
      <c r="AW17" s="559">
        <f t="shared" si="13"/>
        <v>3019.181818181818</v>
      </c>
      <c r="AX17" s="592">
        <f t="shared" si="14"/>
        <v>1.1821722414937448</v>
      </c>
      <c r="AY17" s="575">
        <f t="shared" si="15"/>
        <v>77.153389830508473</v>
      </c>
      <c r="AZ17" s="566">
        <f t="shared" si="16"/>
        <v>67.672033898305088</v>
      </c>
      <c r="BA17" s="559">
        <f t="shared" si="17"/>
        <v>1138.0125</v>
      </c>
      <c r="BB17" s="559">
        <f t="shared" si="18"/>
        <v>998.16250000000002</v>
      </c>
      <c r="BC17" s="565"/>
      <c r="BD17" s="576"/>
      <c r="BE17" s="577"/>
      <c r="BF17" s="577"/>
      <c r="BG17" s="578"/>
      <c r="BH17" s="578"/>
      <c r="BI17" s="578"/>
      <c r="BJ17" s="578"/>
      <c r="BK17" s="578"/>
      <c r="BL17" s="578"/>
      <c r="BM17" s="578"/>
      <c r="BN17" s="579"/>
      <c r="BO17" s="578"/>
      <c r="BP17" s="578"/>
      <c r="BQ17" s="578"/>
      <c r="BR17" s="578"/>
      <c r="BS17" s="578"/>
      <c r="BT17" s="578"/>
      <c r="BU17" s="578"/>
      <c r="BV17" s="578"/>
      <c r="BW17" s="578"/>
      <c r="BX17" s="536"/>
      <c r="BY17" s="536"/>
      <c r="BZ17" s="536"/>
      <c r="CA17" s="536"/>
      <c r="CB17" s="536"/>
      <c r="CC17" s="536"/>
      <c r="CD17" s="536"/>
      <c r="CE17" s="536"/>
      <c r="CF17" s="536"/>
      <c r="CG17" s="536"/>
    </row>
    <row r="18" spans="1:85" s="537" customFormat="1" ht="15.75" x14ac:dyDescent="0.25">
      <c r="A18" s="558" t="s">
        <v>533</v>
      </c>
      <c r="B18" s="581" t="s">
        <v>534</v>
      </c>
      <c r="C18" s="560">
        <v>116255</v>
      </c>
      <c r="D18" s="583">
        <v>84696</v>
      </c>
      <c r="E18" s="581">
        <f t="shared" si="0"/>
        <v>72.853640703625658</v>
      </c>
      <c r="F18" s="562">
        <v>38264</v>
      </c>
      <c r="G18" s="559">
        <f t="shared" si="1"/>
        <v>32.913853167605694</v>
      </c>
      <c r="H18" s="562">
        <v>46329</v>
      </c>
      <c r="I18" s="559">
        <f t="shared" si="2"/>
        <v>39.851189196163602</v>
      </c>
      <c r="J18" s="562">
        <v>30062</v>
      </c>
      <c r="K18" s="563">
        <f t="shared" si="3"/>
        <v>25.858672745258271</v>
      </c>
      <c r="L18" s="559">
        <v>1600</v>
      </c>
      <c r="M18" s="559">
        <f t="shared" si="19"/>
        <v>1.3762848909724312</v>
      </c>
      <c r="N18" s="559">
        <f t="shared" si="20"/>
        <v>100</v>
      </c>
      <c r="O18" s="559">
        <f t="shared" si="26"/>
        <v>116255</v>
      </c>
      <c r="P18" s="583">
        <v>9564</v>
      </c>
      <c r="Q18" s="559">
        <f t="shared" si="4"/>
        <v>11.292150750920941</v>
      </c>
      <c r="R18" s="583">
        <v>46329</v>
      </c>
      <c r="S18" s="559">
        <f t="shared" si="21"/>
        <v>54.700340039671289</v>
      </c>
      <c r="T18" s="583">
        <v>28803</v>
      </c>
      <c r="U18" s="559">
        <f t="shared" si="5"/>
        <v>34.007509209407765</v>
      </c>
      <c r="V18" s="565">
        <f>+T18+R18+P18</f>
        <v>84696</v>
      </c>
      <c r="W18" s="566">
        <f t="shared" si="22"/>
        <v>100</v>
      </c>
      <c r="X18" s="565">
        <f t="shared" si="6"/>
        <v>24.994773154923688</v>
      </c>
      <c r="Y18" s="581">
        <f t="shared" si="7"/>
        <v>100</v>
      </c>
      <c r="Z18" s="565">
        <f t="shared" si="8"/>
        <v>95.811988556982243</v>
      </c>
      <c r="AA18" s="581">
        <f t="shared" si="9"/>
        <v>72.853640703625658</v>
      </c>
      <c r="AB18" s="567">
        <v>12</v>
      </c>
      <c r="AC18" s="567">
        <f t="shared" si="27"/>
        <v>70.588235294117652</v>
      </c>
      <c r="AD18" s="568">
        <v>5</v>
      </c>
      <c r="AE18" s="568">
        <f t="shared" si="23"/>
        <v>29.411764705882355</v>
      </c>
      <c r="AF18" s="559">
        <f t="shared" si="24"/>
        <v>17</v>
      </c>
      <c r="AG18" s="563">
        <f t="shared" si="24"/>
        <v>100</v>
      </c>
      <c r="AH18" s="568">
        <v>2391</v>
      </c>
      <c r="AI18" s="559">
        <v>0</v>
      </c>
      <c r="AJ18" s="559">
        <v>188</v>
      </c>
      <c r="AK18" s="559">
        <v>15</v>
      </c>
      <c r="AL18" s="559">
        <v>18</v>
      </c>
      <c r="AM18" s="559"/>
      <c r="AN18" s="568">
        <v>3</v>
      </c>
      <c r="AO18" s="568">
        <f>188*19</f>
        <v>3572</v>
      </c>
      <c r="AP18" s="568">
        <v>9681</v>
      </c>
      <c r="AQ18" s="572">
        <f t="shared" si="10"/>
        <v>44.085556516532499</v>
      </c>
      <c r="AR18" s="573">
        <v>1373</v>
      </c>
      <c r="AS18" s="574">
        <v>87</v>
      </c>
      <c r="AT18" s="559">
        <f t="shared" si="25"/>
        <v>119451</v>
      </c>
      <c r="AU18" s="559">
        <f t="shared" si="11"/>
        <v>3196</v>
      </c>
      <c r="AV18" s="559">
        <f t="shared" si="12"/>
        <v>34755</v>
      </c>
      <c r="AW18" s="559">
        <f t="shared" si="13"/>
        <v>2607</v>
      </c>
      <c r="AX18" s="566">
        <f t="shared" si="14"/>
        <v>1.4103499574950411</v>
      </c>
      <c r="AY18" s="593">
        <f t="shared" si="15"/>
        <v>84.672250546249089</v>
      </c>
      <c r="AZ18" s="592">
        <f t="shared" si="16"/>
        <v>61.686817188638017</v>
      </c>
      <c r="BA18" s="581">
        <f t="shared" si="17"/>
        <v>1336.2643678160919</v>
      </c>
      <c r="BB18" s="581">
        <f t="shared" si="18"/>
        <v>973.51724137931035</v>
      </c>
      <c r="BC18" s="565"/>
      <c r="BD18" s="576"/>
      <c r="BE18" s="577"/>
      <c r="BF18" s="577"/>
      <c r="BG18" s="578"/>
      <c r="BH18" s="578"/>
      <c r="BI18" s="578"/>
      <c r="BJ18" s="578"/>
      <c r="BK18" s="578"/>
      <c r="BL18" s="578"/>
      <c r="BM18" s="578"/>
      <c r="BN18" s="579"/>
      <c r="BO18" s="578"/>
      <c r="BP18" s="578"/>
      <c r="BQ18" s="578"/>
      <c r="BR18" s="578"/>
      <c r="BS18" s="578"/>
      <c r="BT18" s="578"/>
      <c r="BU18" s="578"/>
      <c r="BV18" s="578"/>
      <c r="BW18" s="578"/>
      <c r="BX18" s="536"/>
      <c r="BY18" s="536"/>
      <c r="BZ18" s="536"/>
      <c r="CA18" s="536"/>
      <c r="CB18" s="536"/>
      <c r="CC18" s="536"/>
      <c r="CD18" s="536"/>
      <c r="CE18" s="536"/>
      <c r="CF18" s="536"/>
      <c r="CG18" s="536"/>
    </row>
    <row r="19" spans="1:85" s="537" customFormat="1" ht="15.75" x14ac:dyDescent="0.25">
      <c r="A19" s="558" t="s">
        <v>535</v>
      </c>
      <c r="B19" s="571" t="s">
        <v>534</v>
      </c>
      <c r="C19" s="560">
        <v>121858</v>
      </c>
      <c r="D19" s="583">
        <v>85791</v>
      </c>
      <c r="E19" s="571">
        <f t="shared" si="0"/>
        <v>70.402435621789294</v>
      </c>
      <c r="F19" s="562">
        <v>41578</v>
      </c>
      <c r="G19" s="559">
        <v>34</v>
      </c>
      <c r="H19" s="562">
        <v>40824</v>
      </c>
      <c r="I19" s="559">
        <v>33</v>
      </c>
      <c r="J19" s="562">
        <v>37456</v>
      </c>
      <c r="K19" s="563">
        <v>31</v>
      </c>
      <c r="L19" s="559">
        <v>2000</v>
      </c>
      <c r="M19" s="559">
        <f t="shared" si="19"/>
        <v>1.6412545749971277</v>
      </c>
      <c r="N19" s="559">
        <f t="shared" si="20"/>
        <v>99.641254574997134</v>
      </c>
      <c r="O19" s="559">
        <f t="shared" si="26"/>
        <v>121858</v>
      </c>
      <c r="P19" s="583">
        <f>5*2446</f>
        <v>12230</v>
      </c>
      <c r="Q19" s="559">
        <f t="shared" si="4"/>
        <v>14.255574594071641</v>
      </c>
      <c r="R19" s="583">
        <v>36105</v>
      </c>
      <c r="S19" s="559">
        <f t="shared" si="21"/>
        <v>42.084834073504211</v>
      </c>
      <c r="T19" s="583">
        <v>37456</v>
      </c>
      <c r="U19" s="559">
        <f t="shared" si="5"/>
        <v>43.659591332424149</v>
      </c>
      <c r="V19" s="565">
        <f t="shared" si="22"/>
        <v>85791</v>
      </c>
      <c r="W19" s="566">
        <f t="shared" si="22"/>
        <v>100</v>
      </c>
      <c r="X19" s="570">
        <f>+(P19/F19)*100</f>
        <v>29.414594256577999</v>
      </c>
      <c r="Y19" s="571">
        <f>+(R19/H19)*100</f>
        <v>88.440623162845384</v>
      </c>
      <c r="Z19" s="570">
        <f>+(T19/J19)*100</f>
        <v>100</v>
      </c>
      <c r="AA19" s="571">
        <f>+(V19/O19)*100</f>
        <v>70.402435621789294</v>
      </c>
      <c r="AB19" s="590">
        <v>12</v>
      </c>
      <c r="AC19" s="567">
        <f t="shared" si="27"/>
        <v>70.588235294117652</v>
      </c>
      <c r="AD19" s="571">
        <v>5</v>
      </c>
      <c r="AE19" s="568">
        <f t="shared" si="23"/>
        <v>29.411764705882355</v>
      </c>
      <c r="AF19" s="559">
        <f t="shared" si="24"/>
        <v>17</v>
      </c>
      <c r="AG19" s="563">
        <f t="shared" si="24"/>
        <v>100</v>
      </c>
      <c r="AH19" s="568">
        <v>2446</v>
      </c>
      <c r="AI19" s="569">
        <v>0</v>
      </c>
      <c r="AJ19" s="571">
        <v>114</v>
      </c>
      <c r="AK19" s="570"/>
      <c r="AL19" s="571">
        <f>10+20+27</f>
        <v>57</v>
      </c>
      <c r="AM19" s="559">
        <v>18</v>
      </c>
      <c r="AN19" s="568"/>
      <c r="AO19" s="568">
        <f>114*18</f>
        <v>2052</v>
      </c>
      <c r="AP19" s="568">
        <f>10*521+20*200+27*298+18*346</f>
        <v>23484</v>
      </c>
      <c r="AQ19" s="572">
        <f t="shared" si="10"/>
        <v>68.175993165313969</v>
      </c>
      <c r="AR19" s="587">
        <v>1425</v>
      </c>
      <c r="AS19" s="588">
        <v>87</v>
      </c>
      <c r="AT19" s="559">
        <f t="shared" si="25"/>
        <v>123975</v>
      </c>
      <c r="AU19" s="559">
        <f t="shared" si="11"/>
        <v>2117</v>
      </c>
      <c r="AV19" s="559">
        <f t="shared" si="12"/>
        <v>38184</v>
      </c>
      <c r="AW19" s="559">
        <f t="shared" si="13"/>
        <v>2965.5294117647059</v>
      </c>
      <c r="AX19" s="595">
        <f t="shared" si="14"/>
        <v>1.4450816519215302</v>
      </c>
      <c r="AY19" s="596">
        <f t="shared" si="15"/>
        <v>85.514385964912279</v>
      </c>
      <c r="AZ19" s="595">
        <f t="shared" si="16"/>
        <v>60.204210526315791</v>
      </c>
      <c r="BA19" s="571">
        <f t="shared" si="17"/>
        <v>1400.6666666666667</v>
      </c>
      <c r="BB19" s="571">
        <f t="shared" si="18"/>
        <v>986.10344827586209</v>
      </c>
      <c r="BC19" s="565"/>
      <c r="BD19" s="576"/>
      <c r="BE19" s="577"/>
      <c r="BF19" s="577"/>
      <c r="BG19" s="578"/>
      <c r="BH19" s="578"/>
      <c r="BI19" s="597"/>
      <c r="BJ19" s="578"/>
      <c r="BK19" s="578"/>
      <c r="BL19" s="578"/>
      <c r="BM19" s="578"/>
      <c r="BN19" s="579"/>
      <c r="BO19" s="578"/>
      <c r="BP19" s="578"/>
      <c r="BQ19" s="578"/>
      <c r="BR19" s="578"/>
      <c r="BS19" s="578"/>
      <c r="BT19" s="578"/>
      <c r="BU19" s="578"/>
      <c r="BV19" s="578"/>
      <c r="BW19" s="578"/>
      <c r="BX19" s="536"/>
      <c r="BY19" s="536"/>
      <c r="BZ19" s="536"/>
      <c r="CA19" s="536"/>
      <c r="CB19" s="536"/>
      <c r="CC19" s="536"/>
      <c r="CD19" s="536"/>
      <c r="CE19" s="536"/>
      <c r="CF19" s="536"/>
      <c r="CG19" s="536"/>
    </row>
    <row r="20" spans="1:85" s="537" customFormat="1" ht="15.75" x14ac:dyDescent="0.25">
      <c r="A20" s="594" t="s">
        <v>536</v>
      </c>
      <c r="B20" s="559" t="s">
        <v>534</v>
      </c>
      <c r="C20" s="568">
        <v>113325</v>
      </c>
      <c r="D20" s="583">
        <v>53056</v>
      </c>
      <c r="E20" s="559">
        <f t="shared" si="0"/>
        <v>46.817560114714318</v>
      </c>
      <c r="F20" s="561">
        <v>69879</v>
      </c>
      <c r="G20" s="559">
        <f t="shared" si="1"/>
        <v>61.66247518199868</v>
      </c>
      <c r="H20" s="561">
        <v>22278</v>
      </c>
      <c r="I20" s="559">
        <f t="shared" si="2"/>
        <v>19.658504301786898</v>
      </c>
      <c r="J20" s="561">
        <v>18168</v>
      </c>
      <c r="K20" s="563">
        <f t="shared" si="3"/>
        <v>16.031767041694241</v>
      </c>
      <c r="L20" s="559">
        <v>3000</v>
      </c>
      <c r="M20" s="559">
        <f t="shared" si="19"/>
        <v>2.6472534745201854</v>
      </c>
      <c r="N20" s="559">
        <f t="shared" si="20"/>
        <v>100</v>
      </c>
      <c r="O20" s="559">
        <f t="shared" si="26"/>
        <v>113325</v>
      </c>
      <c r="P20" s="583">
        <f>1997*9</f>
        <v>17973</v>
      </c>
      <c r="Q20" s="559">
        <f t="shared" si="4"/>
        <v>33.875527744270208</v>
      </c>
      <c r="R20" s="583">
        <v>19154</v>
      </c>
      <c r="S20" s="559">
        <f t="shared" si="21"/>
        <v>36.101477683956574</v>
      </c>
      <c r="T20" s="583">
        <v>15929</v>
      </c>
      <c r="U20" s="559">
        <f t="shared" si="5"/>
        <v>30.022994571773221</v>
      </c>
      <c r="V20" s="564">
        <f t="shared" si="22"/>
        <v>53056</v>
      </c>
      <c r="W20" s="566">
        <f t="shared" si="22"/>
        <v>100</v>
      </c>
      <c r="X20" s="564">
        <f>+(P20/F20)*100</f>
        <v>25.720173442665178</v>
      </c>
      <c r="Y20" s="559">
        <f>+(R20/H20)*100</f>
        <v>85.977197234940292</v>
      </c>
      <c r="Z20" s="564">
        <f>+(T20/J20)*100</f>
        <v>87.676133861734911</v>
      </c>
      <c r="AA20" s="559">
        <f>+(V20/O20)*100</f>
        <v>46.817560114714318</v>
      </c>
      <c r="AB20" s="590">
        <v>26</v>
      </c>
      <c r="AC20" s="567">
        <f t="shared" si="27"/>
        <v>74.285714285714292</v>
      </c>
      <c r="AD20" s="571">
        <v>9</v>
      </c>
      <c r="AE20" s="568">
        <f t="shared" si="23"/>
        <v>25.714285714285712</v>
      </c>
      <c r="AF20" s="559">
        <f t="shared" si="24"/>
        <v>35</v>
      </c>
      <c r="AG20" s="563">
        <f t="shared" si="24"/>
        <v>100</v>
      </c>
      <c r="AH20" s="568">
        <v>1997</v>
      </c>
      <c r="AI20" s="589">
        <v>0</v>
      </c>
      <c r="AJ20" s="559">
        <v>144</v>
      </c>
      <c r="AK20" s="564">
        <f>22+14</f>
        <v>36</v>
      </c>
      <c r="AL20" s="559"/>
      <c r="AM20" s="559"/>
      <c r="AN20" s="568"/>
      <c r="AO20" s="568"/>
      <c r="AP20" s="568">
        <v>9874</v>
      </c>
      <c r="AQ20" s="572">
        <f t="shared" si="10"/>
        <v>54.348304711580795</v>
      </c>
      <c r="AR20" s="573">
        <v>1076</v>
      </c>
      <c r="AS20" s="574">
        <v>90</v>
      </c>
      <c r="AT20" s="559">
        <f t="shared" si="25"/>
        <v>96840</v>
      </c>
      <c r="AU20" s="559">
        <f t="shared" si="11"/>
        <v>-16485</v>
      </c>
      <c r="AV20" s="559">
        <f t="shared" si="12"/>
        <v>43784</v>
      </c>
      <c r="AW20" s="559">
        <f t="shared" si="13"/>
        <v>1764.4857142857143</v>
      </c>
      <c r="AX20" s="566">
        <f t="shared" si="14"/>
        <v>1.8252412545235224</v>
      </c>
      <c r="AY20" s="575">
        <f t="shared" si="15"/>
        <v>105.32063197026022</v>
      </c>
      <c r="AZ20" s="566">
        <f t="shared" si="16"/>
        <v>49.308550185873607</v>
      </c>
      <c r="BA20" s="559">
        <f t="shared" si="17"/>
        <v>1259.1666666666667</v>
      </c>
      <c r="BB20" s="559">
        <f t="shared" si="18"/>
        <v>589.51111111111106</v>
      </c>
      <c r="BC20" s="565"/>
      <c r="BD20" s="576"/>
      <c r="BE20" s="577"/>
      <c r="BF20" s="577"/>
      <c r="BG20" s="578"/>
      <c r="BH20" s="578"/>
      <c r="BI20" s="578"/>
      <c r="BJ20" s="578"/>
      <c r="BK20" s="578"/>
      <c r="BL20" s="578"/>
      <c r="BM20" s="578"/>
      <c r="BN20" s="579"/>
      <c r="BO20" s="578"/>
      <c r="BP20" s="578"/>
      <c r="BQ20" s="578"/>
      <c r="BR20" s="578"/>
      <c r="BS20" s="578"/>
      <c r="BT20" s="578"/>
      <c r="BU20" s="578"/>
      <c r="BV20" s="578"/>
      <c r="BW20" s="578"/>
      <c r="BX20" s="536"/>
      <c r="BY20" s="536"/>
      <c r="BZ20" s="536"/>
      <c r="CA20" s="536"/>
      <c r="CB20" s="536"/>
      <c r="CC20" s="536"/>
      <c r="CD20" s="536"/>
      <c r="CE20" s="536"/>
      <c r="CF20" s="536"/>
      <c r="CG20" s="536"/>
    </row>
    <row r="21" spans="1:85" s="537" customFormat="1" ht="15.75" x14ac:dyDescent="0.25">
      <c r="A21" s="558" t="s">
        <v>527</v>
      </c>
      <c r="B21" s="559" t="s">
        <v>534</v>
      </c>
      <c r="C21" s="568">
        <v>103362</v>
      </c>
      <c r="D21" s="583">
        <v>71171</v>
      </c>
      <c r="E21" s="559">
        <f t="shared" si="0"/>
        <v>68.856059286778503</v>
      </c>
      <c r="F21" s="561">
        <v>31918</v>
      </c>
      <c r="G21" s="559">
        <f t="shared" si="1"/>
        <v>30.87982043691105</v>
      </c>
      <c r="H21" s="561">
        <v>44629</v>
      </c>
      <c r="I21" s="559">
        <f t="shared" si="2"/>
        <v>43.177376598750023</v>
      </c>
      <c r="J21" s="561">
        <v>25915</v>
      </c>
      <c r="K21" s="563">
        <f t="shared" si="3"/>
        <v>25.072076778700104</v>
      </c>
      <c r="L21" s="559">
        <v>900</v>
      </c>
      <c r="M21" s="559">
        <f t="shared" si="19"/>
        <v>0.87072618563882287</v>
      </c>
      <c r="N21" s="559">
        <f t="shared" si="20"/>
        <v>100</v>
      </c>
      <c r="O21" s="559">
        <f t="shared" si="26"/>
        <v>103362</v>
      </c>
      <c r="P21" s="583">
        <v>4560</v>
      </c>
      <c r="Q21" s="559">
        <f t="shared" si="4"/>
        <v>6.4071040170856106</v>
      </c>
      <c r="R21" s="583">
        <v>43168</v>
      </c>
      <c r="S21" s="559">
        <f t="shared" si="21"/>
        <v>60.653918028410445</v>
      </c>
      <c r="T21" s="583">
        <v>23443</v>
      </c>
      <c r="U21" s="559">
        <f t="shared" si="5"/>
        <v>32.93897795450394</v>
      </c>
      <c r="V21" s="564">
        <f>+T21+R21+P21</f>
        <v>71171</v>
      </c>
      <c r="W21" s="566">
        <f t="shared" si="22"/>
        <v>100</v>
      </c>
      <c r="X21" s="564">
        <f>+(P21/F21)*100</f>
        <v>14.286609436681497</v>
      </c>
      <c r="Y21" s="559">
        <f>+(R21/H21)*100</f>
        <v>96.726343857133259</v>
      </c>
      <c r="Z21" s="564">
        <f>+(T21/J21)*100</f>
        <v>90.46112290179434</v>
      </c>
      <c r="AA21" s="559">
        <f>+(V21/O21)*100</f>
        <v>68.856059286778503</v>
      </c>
      <c r="AB21" s="590">
        <v>12</v>
      </c>
      <c r="AC21" s="567">
        <f t="shared" si="27"/>
        <v>85.714285714285708</v>
      </c>
      <c r="AD21" s="571">
        <v>2</v>
      </c>
      <c r="AE21" s="568">
        <f t="shared" si="23"/>
        <v>14.285714285714285</v>
      </c>
      <c r="AF21" s="559">
        <f t="shared" si="24"/>
        <v>14</v>
      </c>
      <c r="AG21" s="563">
        <f t="shared" si="24"/>
        <v>100</v>
      </c>
      <c r="AH21" s="591">
        <v>2280</v>
      </c>
      <c r="AI21" s="589">
        <v>0</v>
      </c>
      <c r="AJ21" s="559">
        <v>160</v>
      </c>
      <c r="AK21" s="564">
        <v>30</v>
      </c>
      <c r="AL21" s="559">
        <v>9</v>
      </c>
      <c r="AM21" s="569"/>
      <c r="AN21" s="568">
        <v>3</v>
      </c>
      <c r="AO21" s="568"/>
      <c r="AP21" s="568">
        <f>30*203+9*359</f>
        <v>9321</v>
      </c>
      <c r="AQ21" s="572">
        <f t="shared" si="10"/>
        <v>35.967586339957549</v>
      </c>
      <c r="AR21" s="573">
        <v>1234</v>
      </c>
      <c r="AS21" s="574">
        <v>93</v>
      </c>
      <c r="AT21" s="559">
        <f>+AS21*AR21</f>
        <v>114762</v>
      </c>
      <c r="AU21" s="559">
        <f t="shared" si="11"/>
        <v>11400</v>
      </c>
      <c r="AV21" s="559">
        <f t="shared" si="12"/>
        <v>43591</v>
      </c>
      <c r="AW21" s="559">
        <f t="shared" si="13"/>
        <v>3439.3571428571427</v>
      </c>
      <c r="AX21" s="566">
        <f t="shared" si="14"/>
        <v>1.6124826122999536</v>
      </c>
      <c r="AY21" s="575">
        <f t="shared" si="15"/>
        <v>83.76175040518639</v>
      </c>
      <c r="AZ21" s="566">
        <f t="shared" si="16"/>
        <v>57.675040518638575</v>
      </c>
      <c r="BA21" s="559">
        <f>+(C21/AS21)</f>
        <v>1111.4193548387098</v>
      </c>
      <c r="BB21" s="559">
        <f t="shared" si="18"/>
        <v>765.27956989247309</v>
      </c>
      <c r="BC21" s="565"/>
      <c r="BD21" s="576"/>
      <c r="BE21" s="577"/>
      <c r="BF21" s="577"/>
      <c r="BG21" s="578"/>
      <c r="BH21" s="578"/>
      <c r="BI21" s="578"/>
      <c r="BJ21" s="578"/>
      <c r="BK21" s="578"/>
      <c r="BL21" s="578"/>
      <c r="BM21" s="578"/>
      <c r="BN21" s="579"/>
      <c r="BO21" s="578"/>
      <c r="BP21" s="578"/>
      <c r="BQ21" s="578"/>
      <c r="BR21" s="578"/>
      <c r="BS21" s="578"/>
      <c r="BT21" s="578"/>
      <c r="BU21" s="578"/>
      <c r="BV21" s="578"/>
      <c r="BW21" s="578"/>
      <c r="BX21" s="536"/>
      <c r="BY21" s="536"/>
      <c r="BZ21" s="536"/>
      <c r="CA21" s="536"/>
      <c r="CB21" s="536"/>
      <c r="CC21" s="536"/>
      <c r="CD21" s="536"/>
      <c r="CE21" s="536"/>
      <c r="CF21" s="536"/>
      <c r="CG21" s="536"/>
    </row>
    <row r="22" spans="1:85" s="537" customFormat="1" ht="15.75" x14ac:dyDescent="0.25">
      <c r="A22" s="598" t="s">
        <v>538</v>
      </c>
      <c r="B22" s="565"/>
      <c r="C22" s="534"/>
      <c r="D22" s="534"/>
      <c r="E22" s="534"/>
      <c r="F22" s="534"/>
      <c r="G22" s="563"/>
      <c r="H22" s="534"/>
      <c r="I22" s="563"/>
      <c r="J22" s="534"/>
      <c r="K22" s="563"/>
      <c r="L22" s="565"/>
      <c r="M22" s="612"/>
      <c r="N22" s="612"/>
      <c r="O22" s="563"/>
      <c r="P22" s="534"/>
      <c r="Q22" s="563"/>
      <c r="R22" s="534"/>
      <c r="S22" s="563"/>
      <c r="T22" s="534"/>
      <c r="U22" s="563"/>
      <c r="V22" s="612"/>
      <c r="W22" s="920"/>
      <c r="X22" s="534"/>
      <c r="Y22" s="534"/>
      <c r="Z22" s="534"/>
      <c r="AA22" s="534"/>
      <c r="AB22" s="534"/>
      <c r="AC22" s="921"/>
      <c r="AD22" s="534"/>
      <c r="AE22" s="560"/>
      <c r="AF22" s="534"/>
      <c r="AG22" s="563"/>
      <c r="AH22" s="534"/>
      <c r="AI22" s="534"/>
      <c r="AJ22" s="581"/>
      <c r="AK22" s="534"/>
      <c r="AL22" s="534"/>
      <c r="AM22" s="534"/>
      <c r="AN22" s="534"/>
      <c r="AO22" s="562"/>
      <c r="AP22" s="534"/>
      <c r="AQ22" s="599"/>
      <c r="AR22" s="599"/>
      <c r="AS22" s="534"/>
      <c r="AT22" s="534"/>
      <c r="AU22" s="534"/>
      <c r="AV22" s="563"/>
      <c r="AW22" s="563"/>
      <c r="AX22" s="920"/>
      <c r="AY22" s="922"/>
      <c r="AZ22" s="920"/>
      <c r="BA22" s="563"/>
      <c r="BB22" s="563"/>
      <c r="BC22" s="534"/>
      <c r="BD22" s="576"/>
      <c r="BE22" s="577"/>
      <c r="BF22" s="577"/>
      <c r="BG22" s="578"/>
      <c r="BH22" s="578"/>
      <c r="BI22" s="578"/>
      <c r="BJ22" s="578"/>
      <c r="BK22" s="578"/>
      <c r="BL22" s="578"/>
      <c r="BM22" s="578"/>
      <c r="BN22" s="578"/>
      <c r="BO22" s="578"/>
      <c r="BP22" s="578"/>
      <c r="BQ22" s="578"/>
      <c r="BR22" s="578"/>
      <c r="BS22" s="579"/>
      <c r="BT22" s="579"/>
      <c r="BU22" s="579"/>
      <c r="BV22" s="579"/>
      <c r="BW22" s="579"/>
    </row>
    <row r="23" spans="1:85" s="537" customFormat="1" ht="15.75" x14ac:dyDescent="0.25">
      <c r="A23" s="558" t="s">
        <v>539</v>
      </c>
      <c r="B23" s="559" t="s">
        <v>523</v>
      </c>
      <c r="C23" s="919">
        <v>137706</v>
      </c>
      <c r="D23" s="919">
        <v>110253</v>
      </c>
      <c r="E23" s="559">
        <f>+(D23/C23)*100</f>
        <v>80.064049496753952</v>
      </c>
      <c r="F23" s="919">
        <v>33878</v>
      </c>
      <c r="G23" s="559">
        <f>+(F23/O23)*100</f>
        <v>24.601687653406533</v>
      </c>
      <c r="H23" s="923">
        <v>40761</v>
      </c>
      <c r="I23" s="559">
        <f>+(H23/O23)*100</f>
        <v>29.600017428434487</v>
      </c>
      <c r="J23" s="923">
        <v>60267</v>
      </c>
      <c r="K23" s="559">
        <f>+(J23/O23)*100</f>
        <v>43.764977560890593</v>
      </c>
      <c r="L23" s="923">
        <v>2800</v>
      </c>
      <c r="M23" s="559">
        <f>+L23/O23*100</f>
        <v>2.0333173572683836</v>
      </c>
      <c r="N23" s="559">
        <f>G23+I23+K23+M23</f>
        <v>100</v>
      </c>
      <c r="O23" s="559">
        <f t="shared" si="26"/>
        <v>137706</v>
      </c>
      <c r="P23" s="919">
        <v>15806</v>
      </c>
      <c r="Q23" s="559">
        <f>+(P23/V23)*100</f>
        <v>14.336117838063364</v>
      </c>
      <c r="R23" s="919">
        <v>37978</v>
      </c>
      <c r="S23" s="559">
        <f>+(R23/V23)*100</f>
        <v>34.44622822054729</v>
      </c>
      <c r="T23" s="919">
        <v>56469</v>
      </c>
      <c r="U23" s="559">
        <f>+(T23/V23)*100</f>
        <v>51.217653941389351</v>
      </c>
      <c r="V23" s="559">
        <f t="shared" ref="V23" si="28">+T23+R23+P23</f>
        <v>110253</v>
      </c>
      <c r="W23" s="566">
        <f>+U23+S23+Q23</f>
        <v>100</v>
      </c>
      <c r="X23" s="559">
        <f>+(P23/F23)*100</f>
        <v>46.655646732392704</v>
      </c>
      <c r="Y23" s="559">
        <f>+(R23/H23)*100</f>
        <v>93.172395181668747</v>
      </c>
      <c r="Z23" s="559">
        <f>+(T23/J23)*100</f>
        <v>93.698043705510486</v>
      </c>
      <c r="AA23" s="559">
        <f>+(V23/O23)*100</f>
        <v>80.064049496753952</v>
      </c>
      <c r="AB23" s="919">
        <v>8</v>
      </c>
      <c r="AC23" s="568">
        <f>+(AB23)/AF23*100</f>
        <v>53.333333333333336</v>
      </c>
      <c r="AD23" s="919">
        <v>7</v>
      </c>
      <c r="AE23" s="568">
        <f>+AD23/AF23*100</f>
        <v>46.666666666666664</v>
      </c>
      <c r="AF23" s="919">
        <v>15</v>
      </c>
      <c r="AG23" s="559">
        <f>+AE23+AC23</f>
        <v>100</v>
      </c>
      <c r="AH23" s="919">
        <v>2258</v>
      </c>
      <c r="AI23" s="919"/>
      <c r="AJ23" s="919">
        <v>145</v>
      </c>
      <c r="AK23" s="919">
        <v>124</v>
      </c>
      <c r="AL23" s="919"/>
      <c r="AM23" s="919"/>
      <c r="AN23" s="919"/>
      <c r="AO23" s="919"/>
      <c r="AP23" s="919">
        <v>38540</v>
      </c>
      <c r="AQ23" s="559">
        <f>+(AO23+AP23)/J23*100</f>
        <v>63.94876134534654</v>
      </c>
      <c r="AR23" s="919">
        <v>1787</v>
      </c>
      <c r="AS23" s="919">
        <v>90</v>
      </c>
      <c r="AT23" s="559">
        <f>+AS23*AR23</f>
        <v>160830</v>
      </c>
      <c r="AU23" s="559">
        <f>+AT23-C23</f>
        <v>23124</v>
      </c>
      <c r="AV23" s="559">
        <f>+AT23-D23</f>
        <v>50577</v>
      </c>
      <c r="AW23" s="559">
        <f>+(AV23+P23)/AF23</f>
        <v>4425.5333333333338</v>
      </c>
      <c r="AX23" s="566">
        <f>+(AT23/V23)</f>
        <v>1.4587358167124704</v>
      </c>
      <c r="AY23" s="566">
        <f>+C23/AR23</f>
        <v>77.059876888640176</v>
      </c>
      <c r="AZ23" s="566">
        <f t="shared" ref="AZ23" si="29">+D23/AR23</f>
        <v>61.697257974258534</v>
      </c>
      <c r="BA23" s="559">
        <f t="shared" ref="BA23" si="30">+(C23/AS23)</f>
        <v>1530.0666666666666</v>
      </c>
      <c r="BB23" s="559">
        <f t="shared" ref="BB23" si="31">+(D23/AS23)</f>
        <v>1225.0333333333333</v>
      </c>
      <c r="BC23" s="534"/>
      <c r="BD23" s="576"/>
      <c r="BE23" s="577"/>
      <c r="BF23" s="577"/>
      <c r="BG23" s="578"/>
      <c r="BH23" s="578"/>
      <c r="BI23" s="578"/>
      <c r="BJ23" s="578"/>
      <c r="BK23" s="578"/>
      <c r="BL23" s="578"/>
      <c r="BM23" s="578"/>
      <c r="BN23" s="578"/>
      <c r="BO23" s="578"/>
      <c r="BP23" s="578"/>
      <c r="BQ23" s="578"/>
      <c r="BR23" s="578"/>
      <c r="BS23" s="579"/>
      <c r="BT23" s="579"/>
      <c r="BU23" s="579"/>
      <c r="BV23" s="579"/>
      <c r="BW23" s="579"/>
    </row>
    <row r="24" spans="1:85" s="537" customFormat="1" ht="15.75" x14ac:dyDescent="0.25">
      <c r="A24" s="594" t="s">
        <v>540</v>
      </c>
      <c r="B24" s="559" t="s">
        <v>534</v>
      </c>
      <c r="C24" s="559">
        <v>114474</v>
      </c>
      <c r="D24" s="559">
        <v>82582</v>
      </c>
      <c r="E24" s="559">
        <f>+(D24/C24)*100</f>
        <v>72.140398693153031</v>
      </c>
      <c r="F24" s="559">
        <v>33910</v>
      </c>
      <c r="G24" s="559">
        <f>+(F24/O24)*100</f>
        <v>29.622447018536963</v>
      </c>
      <c r="H24" s="559">
        <v>45809</v>
      </c>
      <c r="I24" s="559">
        <f>+(H24/O24)*100</f>
        <v>40.016947079686219</v>
      </c>
      <c r="J24" s="559">
        <v>33555</v>
      </c>
      <c r="K24" s="559">
        <f>+(J24/O24)*100</f>
        <v>29.312332931495362</v>
      </c>
      <c r="L24" s="559">
        <v>1200</v>
      </c>
      <c r="M24" s="559">
        <f>+L24/O24*100</f>
        <v>1.0482729702814613</v>
      </c>
      <c r="N24" s="559">
        <f>G24+I24+K24+M24</f>
        <v>100</v>
      </c>
      <c r="O24" s="559">
        <f>+J24+H24+F24+L24</f>
        <v>114474</v>
      </c>
      <c r="P24" s="559">
        <v>6783</v>
      </c>
      <c r="Q24" s="559">
        <f>+(P24/V24)*100</f>
        <v>8.2136543072340231</v>
      </c>
      <c r="R24" s="559">
        <v>44409</v>
      </c>
      <c r="S24" s="559">
        <f>+(R24/V24)*100</f>
        <v>53.775641180886879</v>
      </c>
      <c r="T24" s="559">
        <v>31390</v>
      </c>
      <c r="U24" s="559">
        <f>+(T24/V24)*100</f>
        <v>38.010704511879098</v>
      </c>
      <c r="V24" s="559">
        <f>+T24+R24+P24</f>
        <v>82582</v>
      </c>
      <c r="W24" s="566">
        <f>+U24+S24+Q24</f>
        <v>100</v>
      </c>
      <c r="X24" s="559">
        <f>+(P24/F24)*100</f>
        <v>20.002948982601001</v>
      </c>
      <c r="Y24" s="559">
        <f>+(R24/H24)*100</f>
        <v>96.943831998078977</v>
      </c>
      <c r="Z24" s="559">
        <f>+(T24/J24)*100</f>
        <v>93.54790642229176</v>
      </c>
      <c r="AA24" s="559">
        <f>+(V24/O24)*100</f>
        <v>72.140398693153031</v>
      </c>
      <c r="AB24" s="559">
        <v>12</v>
      </c>
      <c r="AC24" s="568">
        <f>+(AB24)/AF24*100</f>
        <v>75</v>
      </c>
      <c r="AD24" s="559">
        <v>4</v>
      </c>
      <c r="AE24" s="568">
        <f>+AD24/AF24*100</f>
        <v>25</v>
      </c>
      <c r="AF24" s="559">
        <f>+AD24+AB24</f>
        <v>16</v>
      </c>
      <c r="AG24" s="559">
        <f>+AE24+AC24</f>
        <v>100</v>
      </c>
      <c r="AH24" s="559">
        <v>2261</v>
      </c>
      <c r="AI24" s="559">
        <v>0</v>
      </c>
      <c r="AJ24" s="559">
        <v>136</v>
      </c>
      <c r="AK24" s="559">
        <f>23+20</f>
        <v>43</v>
      </c>
      <c r="AL24" s="559">
        <v>12</v>
      </c>
      <c r="AM24" s="559">
        <v>0</v>
      </c>
      <c r="AN24" s="559"/>
      <c r="AO24" s="568"/>
      <c r="AP24" s="559">
        <f>23*200+20*458+12*398</f>
        <v>18536</v>
      </c>
      <c r="AQ24" s="559">
        <f>+(AO24+AP24)/J24*100</f>
        <v>55.240649679630458</v>
      </c>
      <c r="AR24" s="559">
        <v>1353</v>
      </c>
      <c r="AS24" s="566">
        <v>92</v>
      </c>
      <c r="AT24" s="559">
        <f>+AS24*AR24</f>
        <v>124476</v>
      </c>
      <c r="AU24" s="559">
        <f>+AT24-C24</f>
        <v>10002</v>
      </c>
      <c r="AV24" s="559">
        <f>+AT24-D24</f>
        <v>41894</v>
      </c>
      <c r="AW24" s="559">
        <f>+(AV24+P24)/AF24</f>
        <v>3042.3125</v>
      </c>
      <c r="AX24" s="566">
        <f>+(AT24/V24)</f>
        <v>1.5073018333292969</v>
      </c>
      <c r="AY24" s="566">
        <f>+C24/AR24</f>
        <v>84.607538802660756</v>
      </c>
      <c r="AZ24" s="566">
        <f>+D24/AR24</f>
        <v>61.036215816703624</v>
      </c>
      <c r="BA24" s="559">
        <f>+(C24/AS24)</f>
        <v>1244.2826086956522</v>
      </c>
      <c r="BB24" s="559">
        <f>+(D24/AS24)</f>
        <v>897.63043478260875</v>
      </c>
      <c r="BC24" s="534"/>
      <c r="BD24" s="576"/>
      <c r="BE24" s="577"/>
      <c r="BF24" s="577"/>
      <c r="BG24" s="578"/>
      <c r="BH24" s="578"/>
      <c r="BI24" s="578"/>
      <c r="BJ24" s="578"/>
      <c r="BK24" s="578"/>
      <c r="BL24" s="578"/>
      <c r="BM24" s="578"/>
      <c r="BN24" s="578"/>
      <c r="BO24" s="578"/>
      <c r="BP24" s="578"/>
      <c r="BQ24" s="578"/>
      <c r="BR24" s="578"/>
      <c r="BS24" s="579"/>
      <c r="BT24" s="579"/>
      <c r="BU24" s="579"/>
      <c r="BV24" s="579"/>
      <c r="BW24" s="579"/>
    </row>
    <row r="25" spans="1:85" s="482" customFormat="1" ht="19.5" customHeight="1" x14ac:dyDescent="0.25">
      <c r="B25" s="565"/>
      <c r="C25" s="534"/>
      <c r="D25" s="534"/>
      <c r="E25" s="534"/>
      <c r="F25" s="534"/>
      <c r="G25" s="534"/>
      <c r="H25" s="534"/>
      <c r="I25" s="534"/>
      <c r="J25" s="534"/>
      <c r="K25" s="534"/>
      <c r="L25" s="534"/>
      <c r="M25" s="534"/>
      <c r="N25" s="534"/>
      <c r="O25" s="534"/>
      <c r="P25" s="534"/>
      <c r="Q25" s="534"/>
      <c r="R25" s="534"/>
      <c r="S25" s="534"/>
      <c r="T25" s="534"/>
      <c r="U25" s="534"/>
      <c r="V25" s="534"/>
      <c r="W25" s="534"/>
      <c r="X25" s="534"/>
      <c r="Y25" s="534"/>
      <c r="Z25" s="534"/>
      <c r="AA25" s="534"/>
      <c r="AB25" s="534"/>
      <c r="AC25" s="534"/>
      <c r="AD25" s="534"/>
      <c r="AE25" s="534"/>
      <c r="AF25" s="534"/>
      <c r="AG25" s="534"/>
      <c r="AH25" s="534"/>
      <c r="AI25" s="534"/>
      <c r="AJ25" s="534"/>
      <c r="AK25" s="534"/>
      <c r="AL25" s="534"/>
      <c r="AM25" s="534"/>
      <c r="AN25" s="534"/>
      <c r="AO25" s="534"/>
      <c r="AP25" s="534"/>
      <c r="AQ25" s="534"/>
      <c r="AR25" s="534"/>
      <c r="AS25" s="534"/>
      <c r="AT25" s="534"/>
      <c r="AU25" s="534"/>
      <c r="AV25" s="534"/>
      <c r="AW25" s="534"/>
      <c r="AX25" s="534"/>
      <c r="AY25" s="534"/>
      <c r="AZ25" s="534"/>
      <c r="BA25" s="534"/>
      <c r="BB25" s="534"/>
      <c r="BC25" s="534"/>
      <c r="BD25" s="565"/>
    </row>
    <row r="26" spans="1:85" s="301" customFormat="1" ht="15" customHeight="1" x14ac:dyDescent="0.3">
      <c r="A26" s="600"/>
      <c r="B26" s="600"/>
      <c r="C26" s="601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535"/>
      <c r="P26" s="535"/>
      <c r="Q26" s="603"/>
      <c r="R26" s="603"/>
      <c r="S26" s="603"/>
      <c r="T26" s="603"/>
      <c r="U26" s="535"/>
      <c r="V26" s="535"/>
      <c r="W26" s="535"/>
      <c r="X26" s="600"/>
      <c r="Y26" s="600"/>
      <c r="Z26" s="600"/>
      <c r="AA26" s="600"/>
      <c r="AB26" s="600"/>
      <c r="AC26" s="600"/>
      <c r="AD26" s="600"/>
      <c r="AE26" s="600"/>
      <c r="AF26" s="600"/>
      <c r="AG26" s="600"/>
      <c r="AH26" s="600"/>
      <c r="AI26" s="600"/>
      <c r="AJ26" s="600"/>
      <c r="AK26" s="600"/>
      <c r="AL26" s="600"/>
      <c r="AM26" s="600"/>
      <c r="AN26" s="600"/>
      <c r="AO26" s="600"/>
      <c r="AP26" s="600"/>
      <c r="AQ26" s="600"/>
      <c r="AR26" s="600"/>
      <c r="AS26" s="600"/>
      <c r="AT26" s="600"/>
      <c r="AU26" s="600"/>
      <c r="AV26" s="600"/>
      <c r="AW26" s="600"/>
      <c r="AX26" s="600"/>
      <c r="AY26" s="600"/>
      <c r="AZ26" s="604"/>
      <c r="BA26" s="600"/>
      <c r="BB26" s="600"/>
      <c r="BC26" s="605"/>
      <c r="BD26" s="605"/>
      <c r="BE26" s="606"/>
      <c r="BF26" s="606"/>
      <c r="BG26" s="606"/>
      <c r="BH26" s="606"/>
      <c r="BI26" s="606"/>
      <c r="BJ26" s="606"/>
      <c r="BK26" s="606"/>
      <c r="BL26" s="606"/>
      <c r="BM26" s="606"/>
      <c r="BN26" s="606"/>
      <c r="BO26" s="606"/>
      <c r="BP26" s="606"/>
      <c r="BQ26" s="606"/>
      <c r="BR26" s="606"/>
      <c r="BS26" s="606"/>
      <c r="BT26" s="606"/>
      <c r="BU26" s="606"/>
      <c r="BV26" s="606"/>
      <c r="BW26" s="606"/>
    </row>
    <row r="27" spans="1:85" s="301" customFormat="1" ht="15.75" x14ac:dyDescent="0.25">
      <c r="A27" s="606"/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</row>
    <row r="28" spans="1:85" s="304" customFormat="1" ht="15.75" x14ac:dyDescent="0.25">
      <c r="C28" s="1020"/>
      <c r="D28" s="1020"/>
      <c r="E28" s="1020"/>
      <c r="F28" s="1020"/>
      <c r="G28" s="1020"/>
      <c r="H28" s="1020"/>
      <c r="I28" s="1020"/>
      <c r="J28" s="607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0"/>
      <c r="V28" s="540"/>
      <c r="W28" s="540"/>
    </row>
    <row r="29" spans="1:85" s="304" customFormat="1" ht="15.75" x14ac:dyDescent="0.25">
      <c r="A29" s="540"/>
      <c r="B29" s="540"/>
      <c r="C29" s="540"/>
      <c r="D29" s="540"/>
      <c r="E29" s="540"/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  <c r="W29" s="540"/>
    </row>
    <row r="30" spans="1:85" s="304" customFormat="1" ht="15.75" x14ac:dyDescent="0.25">
      <c r="A30" s="535"/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AU30" s="608"/>
    </row>
    <row r="31" spans="1:85" s="304" customFormat="1" ht="15.75" x14ac:dyDescent="0.25">
      <c r="A31" s="535"/>
      <c r="B31" s="540"/>
      <c r="C31" s="1020" t="s">
        <v>494</v>
      </c>
      <c r="D31" s="1020"/>
      <c r="E31" s="1021"/>
      <c r="F31" s="540"/>
      <c r="G31" s="540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0"/>
      <c r="V31" s="540"/>
      <c r="W31" s="540"/>
    </row>
    <row r="32" spans="1:85" s="304" customFormat="1" ht="15.75" x14ac:dyDescent="0.25">
      <c r="A32" s="576"/>
      <c r="B32" s="565"/>
      <c r="C32" s="1020"/>
      <c r="D32" s="1020"/>
      <c r="E32" s="1021"/>
      <c r="F32" s="565"/>
      <c r="G32" s="609" t="s">
        <v>573</v>
      </c>
      <c r="H32" s="565"/>
      <c r="I32" s="565"/>
      <c r="J32" s="565"/>
      <c r="K32" s="565"/>
      <c r="L32" s="565"/>
      <c r="M32" s="565"/>
      <c r="N32" s="565"/>
      <c r="O32" s="565"/>
      <c r="P32" s="565"/>
      <c r="Q32" s="609"/>
      <c r="R32" s="609"/>
      <c r="S32" s="609"/>
      <c r="T32" s="609"/>
      <c r="U32" s="565"/>
      <c r="V32" s="565"/>
      <c r="W32" s="609"/>
    </row>
    <row r="33" spans="1:23" s="304" customFormat="1" ht="15.75" x14ac:dyDescent="0.25">
      <c r="C33" s="540" t="s">
        <v>482</v>
      </c>
      <c r="D33" s="544" t="s">
        <v>483</v>
      </c>
      <c r="E33" s="609" t="s">
        <v>571</v>
      </c>
      <c r="F33" s="565" t="s">
        <v>572</v>
      </c>
      <c r="G33" s="609" t="s">
        <v>574</v>
      </c>
      <c r="H33" s="565" t="s">
        <v>466</v>
      </c>
      <c r="I33" s="565"/>
      <c r="J33" s="565"/>
      <c r="K33" s="565"/>
      <c r="L33" s="565"/>
      <c r="M33" s="565"/>
      <c r="N33" s="565"/>
      <c r="O33" s="565"/>
      <c r="P33" s="565"/>
      <c r="Q33" s="609"/>
      <c r="R33" s="609"/>
      <c r="S33" s="609"/>
      <c r="T33" s="609"/>
      <c r="U33" s="565"/>
      <c r="V33" s="565"/>
      <c r="W33" s="609"/>
    </row>
    <row r="34" spans="1:23" s="304" customFormat="1" ht="15.75" x14ac:dyDescent="0.25">
      <c r="A34" s="558" t="s">
        <v>522</v>
      </c>
      <c r="B34" s="559" t="s">
        <v>523</v>
      </c>
      <c r="C34" s="560">
        <v>125869</v>
      </c>
      <c r="D34" s="561">
        <v>110990</v>
      </c>
      <c r="E34" s="573">
        <v>1950</v>
      </c>
      <c r="F34" s="574">
        <v>79</v>
      </c>
      <c r="G34" s="575">
        <v>64.548205128205126</v>
      </c>
      <c r="H34" s="566">
        <v>56.917948717948718</v>
      </c>
      <c r="I34" s="565"/>
      <c r="J34" s="565"/>
      <c r="K34" s="565"/>
      <c r="L34" s="565"/>
      <c r="M34" s="565"/>
      <c r="N34" s="565"/>
      <c r="O34" s="565"/>
      <c r="P34" s="565"/>
      <c r="Q34" s="609"/>
      <c r="R34" s="609"/>
      <c r="S34" s="609"/>
      <c r="T34" s="609"/>
      <c r="U34" s="565"/>
      <c r="V34" s="565"/>
      <c r="W34" s="609"/>
    </row>
    <row r="35" spans="1:23" s="304" customFormat="1" ht="15.75" x14ac:dyDescent="0.25">
      <c r="A35" s="580" t="s">
        <v>524</v>
      </c>
      <c r="B35" s="581" t="s">
        <v>523</v>
      </c>
      <c r="C35" s="582">
        <v>107627</v>
      </c>
      <c r="D35" s="583">
        <v>85462</v>
      </c>
      <c r="E35" s="587">
        <v>1430</v>
      </c>
      <c r="F35" s="588">
        <v>94</v>
      </c>
      <c r="G35" s="575">
        <v>75.263636363636365</v>
      </c>
      <c r="H35" s="566">
        <v>59.763636363636365</v>
      </c>
      <c r="I35" s="565"/>
      <c r="J35" s="565"/>
      <c r="K35" s="565"/>
      <c r="L35" s="565"/>
      <c r="M35" s="565"/>
      <c r="N35" s="565"/>
      <c r="O35" s="565"/>
      <c r="P35" s="565"/>
      <c r="Q35" s="609"/>
      <c r="R35" s="609"/>
      <c r="S35" s="609"/>
      <c r="T35" s="609"/>
      <c r="U35" s="565"/>
      <c r="V35" s="565"/>
      <c r="W35" s="609"/>
    </row>
    <row r="36" spans="1:23" s="304" customFormat="1" ht="15.75" x14ac:dyDescent="0.25">
      <c r="A36" s="558" t="s">
        <v>525</v>
      </c>
      <c r="B36" s="559" t="s">
        <v>523</v>
      </c>
      <c r="C36" s="560">
        <v>132028</v>
      </c>
      <c r="D36" s="583">
        <v>101691</v>
      </c>
      <c r="E36" s="573">
        <v>1590</v>
      </c>
      <c r="F36" s="574">
        <v>92</v>
      </c>
      <c r="G36" s="575">
        <v>83.036477987421378</v>
      </c>
      <c r="H36" s="566">
        <v>63.956603773584902</v>
      </c>
      <c r="I36" s="565"/>
      <c r="J36" s="565"/>
      <c r="K36" s="565"/>
      <c r="L36" s="565"/>
      <c r="M36" s="565"/>
      <c r="N36" s="565"/>
      <c r="O36" s="565"/>
      <c r="P36" s="565"/>
      <c r="Q36" s="609"/>
      <c r="R36" s="609"/>
      <c r="S36" s="609"/>
      <c r="T36" s="609"/>
      <c r="U36" s="565"/>
      <c r="V36" s="565"/>
      <c r="W36" s="609"/>
    </row>
    <row r="37" spans="1:23" s="304" customFormat="1" ht="15.75" x14ac:dyDescent="0.25">
      <c r="A37" s="580" t="s">
        <v>526</v>
      </c>
      <c r="B37" s="581" t="s">
        <v>523</v>
      </c>
      <c r="C37" s="560">
        <v>173501</v>
      </c>
      <c r="D37" s="583">
        <v>138879</v>
      </c>
      <c r="E37" s="587">
        <v>2277</v>
      </c>
      <c r="F37" s="588">
        <v>86</v>
      </c>
      <c r="G37" s="575">
        <v>76.197189284145807</v>
      </c>
      <c r="H37" s="566">
        <v>60.992094861660078</v>
      </c>
      <c r="I37" s="565"/>
      <c r="J37" s="565"/>
      <c r="K37" s="565"/>
      <c r="L37" s="565"/>
      <c r="M37" s="565"/>
      <c r="N37" s="565"/>
      <c r="O37" s="565"/>
      <c r="P37" s="565"/>
      <c r="Q37" s="609"/>
      <c r="R37" s="609"/>
      <c r="S37" s="609"/>
      <c r="T37" s="609"/>
      <c r="U37" s="565"/>
      <c r="V37" s="565"/>
      <c r="W37" s="609"/>
    </row>
    <row r="38" spans="1:23" s="304" customFormat="1" ht="15.75" x14ac:dyDescent="0.25">
      <c r="A38" s="558" t="s">
        <v>527</v>
      </c>
      <c r="B38" s="559" t="s">
        <v>523</v>
      </c>
      <c r="C38" s="560">
        <v>127011</v>
      </c>
      <c r="D38" s="583">
        <v>88577</v>
      </c>
      <c r="E38" s="573">
        <v>1587</v>
      </c>
      <c r="F38" s="574">
        <v>96</v>
      </c>
      <c r="G38" s="575">
        <v>80.032136105860118</v>
      </c>
      <c r="H38" s="566">
        <v>55.81411468178954</v>
      </c>
      <c r="I38" s="565"/>
      <c r="J38" s="565"/>
      <c r="K38" s="565"/>
      <c r="L38" s="565"/>
      <c r="M38" s="565"/>
      <c r="N38" s="565"/>
      <c r="O38" s="565"/>
      <c r="P38" s="565"/>
      <c r="Q38" s="609"/>
      <c r="R38" s="609"/>
      <c r="S38" s="609"/>
      <c r="T38" s="609"/>
      <c r="U38" s="565"/>
      <c r="V38" s="565"/>
      <c r="W38" s="609"/>
    </row>
    <row r="39" spans="1:23" s="304" customFormat="1" ht="15.75" x14ac:dyDescent="0.25">
      <c r="A39" s="580" t="s">
        <v>528</v>
      </c>
      <c r="B39" s="581" t="s">
        <v>523</v>
      </c>
      <c r="C39" s="560">
        <v>125205</v>
      </c>
      <c r="D39" s="583">
        <v>87756</v>
      </c>
      <c r="E39" s="587">
        <v>1582</v>
      </c>
      <c r="F39" s="588">
        <v>93</v>
      </c>
      <c r="G39" s="575">
        <v>79.143489254108729</v>
      </c>
      <c r="H39" s="566">
        <v>55.471554993678886</v>
      </c>
      <c r="I39" s="565"/>
      <c r="J39" s="565"/>
      <c r="K39" s="565"/>
      <c r="L39" s="565"/>
      <c r="M39" s="565"/>
      <c r="N39" s="565"/>
      <c r="O39" s="565"/>
      <c r="P39" s="565"/>
      <c r="Q39" s="609"/>
      <c r="R39" s="609"/>
      <c r="S39" s="609"/>
      <c r="T39" s="609"/>
      <c r="U39" s="565"/>
      <c r="V39" s="565"/>
      <c r="W39" s="609"/>
    </row>
    <row r="40" spans="1:23" s="304" customFormat="1" ht="15.75" x14ac:dyDescent="0.25">
      <c r="A40" s="558" t="s">
        <v>529</v>
      </c>
      <c r="B40" s="581" t="s">
        <v>523</v>
      </c>
      <c r="C40" s="560">
        <v>109304</v>
      </c>
      <c r="D40" s="583">
        <v>78203</v>
      </c>
      <c r="E40" s="573">
        <v>1400</v>
      </c>
      <c r="F40" s="574">
        <v>92</v>
      </c>
      <c r="G40" s="575">
        <v>78.074285714285708</v>
      </c>
      <c r="H40" s="566">
        <v>55.859285714285711</v>
      </c>
      <c r="I40" s="565"/>
      <c r="J40" s="565"/>
      <c r="K40" s="565"/>
      <c r="L40" s="565"/>
      <c r="M40" s="565"/>
      <c r="N40" s="565"/>
      <c r="O40" s="565"/>
      <c r="P40" s="565"/>
      <c r="Q40" s="609"/>
      <c r="R40" s="609"/>
      <c r="S40" s="609"/>
      <c r="T40" s="609"/>
      <c r="U40" s="565"/>
      <c r="V40" s="565"/>
      <c r="W40" s="609"/>
    </row>
    <row r="41" spans="1:23" s="304" customFormat="1" ht="15.75" x14ac:dyDescent="0.25">
      <c r="A41" s="558" t="s">
        <v>530</v>
      </c>
      <c r="B41" s="559" t="s">
        <v>523</v>
      </c>
      <c r="C41" s="560">
        <v>137095</v>
      </c>
      <c r="D41" s="583">
        <v>108477</v>
      </c>
      <c r="E41" s="587">
        <v>1976</v>
      </c>
      <c r="F41" s="588">
        <v>90</v>
      </c>
      <c r="G41" s="575">
        <v>69.380060728744937</v>
      </c>
      <c r="H41" s="566">
        <v>54.897267206477736</v>
      </c>
      <c r="I41" s="565"/>
      <c r="J41" s="565"/>
      <c r="K41" s="565"/>
      <c r="L41" s="565"/>
      <c r="M41" s="565"/>
      <c r="N41" s="565"/>
      <c r="O41" s="565"/>
      <c r="P41" s="565"/>
      <c r="Q41" s="609"/>
      <c r="R41" s="609"/>
      <c r="S41" s="609"/>
      <c r="T41" s="609"/>
      <c r="U41" s="565"/>
      <c r="V41" s="565"/>
      <c r="W41" s="609"/>
    </row>
    <row r="42" spans="1:23" s="304" customFormat="1" ht="15.75" x14ac:dyDescent="0.25">
      <c r="A42" s="558" t="s">
        <v>531</v>
      </c>
      <c r="B42" s="559" t="s">
        <v>523</v>
      </c>
      <c r="C42" s="560">
        <v>149016</v>
      </c>
      <c r="D42" s="583">
        <v>120560</v>
      </c>
      <c r="E42" s="573">
        <v>1842</v>
      </c>
      <c r="F42" s="574">
        <v>92</v>
      </c>
      <c r="G42" s="575">
        <v>80.899022801302934</v>
      </c>
      <c r="H42" s="566">
        <v>65.450597176981546</v>
      </c>
      <c r="I42" s="565"/>
      <c r="J42" s="565"/>
      <c r="K42" s="565"/>
      <c r="L42" s="565"/>
      <c r="M42" s="565"/>
      <c r="N42" s="565"/>
      <c r="O42" s="565"/>
      <c r="P42" s="565"/>
      <c r="Q42" s="609"/>
      <c r="R42" s="609"/>
      <c r="S42" s="609"/>
      <c r="T42" s="609"/>
      <c r="U42" s="565"/>
      <c r="V42" s="565"/>
      <c r="W42" s="609"/>
    </row>
    <row r="43" spans="1:23" s="304" customFormat="1" ht="15.75" x14ac:dyDescent="0.25">
      <c r="A43" s="580" t="s">
        <v>532</v>
      </c>
      <c r="B43" s="581" t="s">
        <v>523</v>
      </c>
      <c r="C43" s="560">
        <v>103137</v>
      </c>
      <c r="D43" s="583">
        <v>72036</v>
      </c>
      <c r="E43" s="568">
        <v>1316</v>
      </c>
      <c r="F43" s="574">
        <v>82</v>
      </c>
      <c r="G43" s="575">
        <v>78.371580547112458</v>
      </c>
      <c r="H43" s="566">
        <v>54.738601823708208</v>
      </c>
      <c r="I43" s="565"/>
      <c r="J43" s="565"/>
      <c r="K43" s="565"/>
      <c r="L43" s="565"/>
      <c r="M43" s="565"/>
      <c r="N43" s="565"/>
      <c r="O43" s="565"/>
      <c r="P43" s="565"/>
      <c r="Q43" s="609"/>
      <c r="R43" s="609"/>
      <c r="S43" s="609"/>
      <c r="T43" s="609"/>
      <c r="U43" s="565"/>
      <c r="V43" s="565"/>
      <c r="W43" s="609"/>
    </row>
    <row r="44" spans="1:23" s="304" customFormat="1" ht="15.75" x14ac:dyDescent="0.25">
      <c r="A44" s="558" t="s">
        <v>537</v>
      </c>
      <c r="B44" s="559" t="s">
        <v>534</v>
      </c>
      <c r="C44" s="560">
        <v>76079</v>
      </c>
      <c r="D44" s="583">
        <v>66965</v>
      </c>
      <c r="E44" s="587">
        <v>1033</v>
      </c>
      <c r="F44" s="588">
        <v>80</v>
      </c>
      <c r="G44" s="575">
        <v>73.648596321393995</v>
      </c>
      <c r="H44" s="566">
        <v>64.825750242013555</v>
      </c>
      <c r="I44" s="565"/>
      <c r="J44" s="565"/>
      <c r="K44" s="565"/>
      <c r="L44" s="565"/>
      <c r="M44" s="565"/>
      <c r="N44" s="565"/>
      <c r="O44" s="565"/>
      <c r="P44" s="565"/>
      <c r="Q44" s="609"/>
      <c r="R44" s="609"/>
      <c r="S44" s="609"/>
      <c r="T44" s="609"/>
      <c r="U44" s="565"/>
      <c r="V44" s="565"/>
      <c r="W44" s="609"/>
    </row>
    <row r="45" spans="1:23" s="304" customFormat="1" ht="15.75" x14ac:dyDescent="0.25">
      <c r="A45" s="558" t="s">
        <v>533</v>
      </c>
      <c r="B45" s="581" t="s">
        <v>534</v>
      </c>
      <c r="C45" s="560">
        <v>116255</v>
      </c>
      <c r="D45" s="583">
        <v>84696</v>
      </c>
      <c r="E45" s="573">
        <v>1373</v>
      </c>
      <c r="F45" s="574">
        <v>87</v>
      </c>
      <c r="G45" s="593">
        <v>84.672250546249089</v>
      </c>
      <c r="H45" s="592">
        <v>61.686817188638017</v>
      </c>
      <c r="I45" s="565"/>
      <c r="J45" s="565"/>
      <c r="K45" s="565"/>
      <c r="L45" s="565"/>
      <c r="M45" s="565"/>
      <c r="N45" s="565"/>
      <c r="O45" s="565"/>
      <c r="P45" s="565"/>
      <c r="Q45" s="609"/>
      <c r="R45" s="609"/>
      <c r="S45" s="565"/>
      <c r="T45" s="609"/>
      <c r="U45" s="565"/>
      <c r="V45" s="565"/>
      <c r="W45" s="609"/>
    </row>
    <row r="46" spans="1:23" s="304" customFormat="1" ht="15.75" x14ac:dyDescent="0.25">
      <c r="A46" s="558" t="s">
        <v>535</v>
      </c>
      <c r="B46" s="571" t="s">
        <v>534</v>
      </c>
      <c r="C46" s="560">
        <v>121858</v>
      </c>
      <c r="D46" s="583">
        <v>85791</v>
      </c>
      <c r="E46" s="587">
        <v>1425</v>
      </c>
      <c r="F46" s="588">
        <v>87</v>
      </c>
      <c r="G46" s="596">
        <v>85.514385964912279</v>
      </c>
      <c r="H46" s="595">
        <v>60.204210526315791</v>
      </c>
      <c r="I46" s="565"/>
      <c r="J46" s="565"/>
      <c r="K46" s="565"/>
      <c r="L46" s="565"/>
      <c r="M46" s="565"/>
      <c r="N46" s="565"/>
      <c r="O46" s="565"/>
      <c r="P46" s="565"/>
      <c r="Q46" s="609"/>
      <c r="R46" s="609"/>
      <c r="S46" s="565"/>
      <c r="T46" s="609"/>
      <c r="U46" s="565"/>
      <c r="V46" s="565"/>
      <c r="W46" s="609"/>
    </row>
    <row r="47" spans="1:23" s="304" customFormat="1" ht="15.75" x14ac:dyDescent="0.25">
      <c r="A47" s="594" t="s">
        <v>536</v>
      </c>
      <c r="B47" s="559" t="s">
        <v>534</v>
      </c>
      <c r="C47" s="568">
        <v>113325</v>
      </c>
      <c r="D47" s="583">
        <v>53056</v>
      </c>
      <c r="E47" s="573">
        <v>1076</v>
      </c>
      <c r="F47" s="574">
        <v>90</v>
      </c>
      <c r="G47" s="575">
        <v>105.32063197026022</v>
      </c>
      <c r="H47" s="566">
        <v>49.308550185873607</v>
      </c>
      <c r="I47" s="565"/>
      <c r="J47" s="565"/>
      <c r="K47" s="565"/>
      <c r="L47" s="565"/>
      <c r="M47" s="565"/>
      <c r="N47" s="565"/>
      <c r="O47" s="565"/>
      <c r="P47" s="565"/>
      <c r="Q47" s="609"/>
      <c r="R47" s="609"/>
      <c r="S47" s="565"/>
      <c r="T47" s="609"/>
      <c r="U47" s="565"/>
      <c r="V47" s="565"/>
      <c r="W47" s="609"/>
    </row>
    <row r="48" spans="1:23" s="304" customFormat="1" ht="15.75" x14ac:dyDescent="0.25">
      <c r="A48" s="558" t="s">
        <v>527</v>
      </c>
      <c r="B48" s="559" t="s">
        <v>534</v>
      </c>
      <c r="C48" s="568">
        <v>103362</v>
      </c>
      <c r="D48" s="583">
        <v>71171</v>
      </c>
      <c r="E48" s="573">
        <v>1234</v>
      </c>
      <c r="F48" s="574">
        <v>93</v>
      </c>
      <c r="G48" s="575">
        <v>83.76175040518639</v>
      </c>
      <c r="H48" s="566">
        <v>57.675040518638575</v>
      </c>
      <c r="I48" s="565"/>
      <c r="J48" s="565"/>
      <c r="K48" s="565"/>
      <c r="L48" s="565"/>
      <c r="M48" s="565"/>
      <c r="N48" s="565"/>
      <c r="O48" s="565"/>
      <c r="P48" s="565"/>
      <c r="Q48" s="565"/>
      <c r="R48" s="609"/>
      <c r="S48" s="565"/>
      <c r="T48" s="609"/>
      <c r="U48" s="565"/>
      <c r="V48" s="565"/>
      <c r="W48" s="565"/>
    </row>
    <row r="49" spans="1:23" s="304" customFormat="1" ht="15.75" x14ac:dyDescent="0.25">
      <c r="A49" s="598" t="s">
        <v>538</v>
      </c>
      <c r="B49" s="565"/>
      <c r="C49" s="534"/>
      <c r="D49" s="534"/>
      <c r="E49" s="599"/>
      <c r="F49" s="534"/>
      <c r="G49" s="534"/>
      <c r="H49" s="534"/>
      <c r="I49" s="565"/>
      <c r="J49" s="565"/>
      <c r="K49" s="565"/>
      <c r="L49" s="565"/>
      <c r="M49" s="565"/>
      <c r="N49" s="565"/>
      <c r="O49" s="565"/>
      <c r="P49" s="565"/>
      <c r="Q49" s="565"/>
      <c r="R49" s="609"/>
      <c r="S49" s="565"/>
      <c r="T49" s="609"/>
      <c r="U49" s="565"/>
      <c r="V49" s="565"/>
      <c r="W49" s="565"/>
    </row>
    <row r="50" spans="1:23" s="304" customFormat="1" ht="15.75" x14ac:dyDescent="0.25">
      <c r="A50" s="558" t="s">
        <v>539</v>
      </c>
      <c r="B50" s="559" t="s">
        <v>523</v>
      </c>
      <c r="C50" s="559">
        <v>114474</v>
      </c>
      <c r="D50" s="564">
        <v>82783</v>
      </c>
      <c r="E50" s="559">
        <v>1353</v>
      </c>
      <c r="F50" s="575">
        <v>92</v>
      </c>
      <c r="G50" s="575">
        <v>84.607538802660756</v>
      </c>
      <c r="H50" s="566">
        <v>61.18477457501848</v>
      </c>
      <c r="I50" s="565"/>
      <c r="J50" s="565"/>
      <c r="K50" s="565"/>
      <c r="L50" s="565"/>
      <c r="M50" s="565"/>
      <c r="N50" s="565"/>
      <c r="O50" s="565"/>
      <c r="P50" s="565"/>
      <c r="Q50" s="565"/>
      <c r="R50" s="609"/>
      <c r="S50" s="565"/>
      <c r="T50" s="609"/>
      <c r="U50" s="565"/>
      <c r="V50" s="565"/>
      <c r="W50" s="565"/>
    </row>
    <row r="51" spans="1:23" s="304" customFormat="1" ht="15.75" x14ac:dyDescent="0.25">
      <c r="A51" s="594" t="s">
        <v>540</v>
      </c>
      <c r="B51" s="571" t="s">
        <v>534</v>
      </c>
      <c r="C51" s="571"/>
      <c r="G51" s="596" t="e">
        <v>#DIV/0!</v>
      </c>
      <c r="H51" s="566" t="e">
        <v>#DIV/0!</v>
      </c>
    </row>
    <row r="52" spans="1:23" s="304" customFormat="1" ht="18.75" x14ac:dyDescent="0.3">
      <c r="C52" s="601"/>
    </row>
    <row r="53" spans="1:23" s="304" customFormat="1" ht="15.75" x14ac:dyDescent="0.25">
      <c r="C53" s="610"/>
      <c r="J53" s="610"/>
      <c r="S53" s="540"/>
      <c r="T53" s="540"/>
      <c r="U53" s="540"/>
      <c r="V53" s="540"/>
    </row>
    <row r="54" spans="1:23" s="304" customFormat="1" ht="15.75" x14ac:dyDescent="0.25">
      <c r="S54" s="540"/>
      <c r="T54" s="540"/>
      <c r="U54" s="540"/>
      <c r="V54" s="540"/>
    </row>
    <row r="55" spans="1:23" s="304" customFormat="1" ht="15.75" x14ac:dyDescent="0.25">
      <c r="A55" s="540"/>
      <c r="B55" s="540"/>
      <c r="S55" s="540"/>
      <c r="T55" s="540"/>
      <c r="U55" s="540"/>
      <c r="V55" s="540"/>
    </row>
    <row r="56" spans="1:23" s="304" customFormat="1" ht="15.75" x14ac:dyDescent="0.25">
      <c r="A56" s="535"/>
      <c r="B56" s="540"/>
      <c r="S56" s="540"/>
      <c r="T56" s="540"/>
      <c r="U56" s="540"/>
      <c r="V56" s="540"/>
    </row>
    <row r="57" spans="1:23" s="304" customFormat="1" ht="15.75" x14ac:dyDescent="0.25">
      <c r="A57" s="535"/>
      <c r="B57" s="540"/>
      <c r="S57" s="540"/>
      <c r="T57" s="540"/>
      <c r="U57" s="540"/>
      <c r="V57" s="540"/>
    </row>
    <row r="58" spans="1:23" s="304" customFormat="1" ht="15.75" x14ac:dyDescent="0.25">
      <c r="A58" s="576"/>
      <c r="B58" s="565"/>
      <c r="I58" s="303"/>
      <c r="K58" s="611"/>
      <c r="L58" s="611"/>
      <c r="M58" s="611"/>
      <c r="N58" s="303"/>
      <c r="O58" s="303"/>
      <c r="P58" s="303"/>
      <c r="Q58" s="303"/>
      <c r="R58" s="611"/>
      <c r="S58" s="593"/>
      <c r="T58" s="593"/>
      <c r="U58" s="565"/>
      <c r="V58" s="565"/>
    </row>
    <row r="59" spans="1:23" s="304" customFormat="1" ht="15.75" x14ac:dyDescent="0.25">
      <c r="A59" s="576"/>
      <c r="B59" s="565"/>
      <c r="I59" s="303"/>
      <c r="K59" s="611"/>
      <c r="L59" s="611"/>
      <c r="M59" s="611"/>
      <c r="N59" s="303"/>
      <c r="O59" s="303"/>
      <c r="P59" s="303"/>
      <c r="Q59" s="303"/>
      <c r="R59" s="611"/>
      <c r="S59" s="593"/>
      <c r="T59" s="593"/>
      <c r="U59" s="565"/>
      <c r="V59" s="565"/>
    </row>
    <row r="60" spans="1:23" s="304" customFormat="1" ht="15.75" x14ac:dyDescent="0.25">
      <c r="A60" s="576"/>
      <c r="B60" s="565"/>
      <c r="I60" s="303"/>
      <c r="K60" s="611"/>
      <c r="L60" s="611"/>
      <c r="M60" s="611"/>
      <c r="N60" s="303"/>
      <c r="O60" s="303"/>
      <c r="P60" s="303"/>
      <c r="Q60" s="303"/>
      <c r="R60" s="611"/>
      <c r="S60" s="593"/>
      <c r="T60" s="593"/>
      <c r="U60" s="565"/>
      <c r="V60" s="565"/>
    </row>
    <row r="61" spans="1:23" s="304" customFormat="1" ht="15.75" x14ac:dyDescent="0.25">
      <c r="A61" s="576"/>
      <c r="B61" s="565"/>
      <c r="I61" s="303"/>
      <c r="K61" s="611"/>
      <c r="L61" s="611"/>
      <c r="M61" s="611"/>
      <c r="N61" s="303"/>
      <c r="O61" s="303"/>
      <c r="P61" s="303"/>
      <c r="Q61" s="303"/>
      <c r="R61" s="611"/>
      <c r="S61" s="593"/>
      <c r="T61" s="593"/>
      <c r="U61" s="565"/>
      <c r="V61" s="565"/>
    </row>
    <row r="62" spans="1:23" s="304" customFormat="1" ht="15.75" x14ac:dyDescent="0.25">
      <c r="A62" s="576"/>
      <c r="B62" s="565"/>
      <c r="I62" s="303"/>
      <c r="K62" s="611"/>
      <c r="L62" s="611"/>
      <c r="M62" s="611"/>
      <c r="N62" s="303"/>
      <c r="O62" s="303"/>
      <c r="P62" s="303"/>
      <c r="Q62" s="303"/>
      <c r="R62" s="611"/>
      <c r="S62" s="593"/>
      <c r="T62" s="593"/>
      <c r="U62" s="565"/>
      <c r="V62" s="565"/>
    </row>
    <row r="63" spans="1:23" s="304" customFormat="1" ht="15.75" x14ac:dyDescent="0.25">
      <c r="A63" s="576"/>
      <c r="B63" s="565"/>
      <c r="I63" s="303"/>
      <c r="K63" s="611"/>
      <c r="L63" s="611"/>
      <c r="M63" s="611"/>
      <c r="N63" s="303"/>
      <c r="O63" s="303"/>
      <c r="P63" s="303"/>
      <c r="Q63" s="303"/>
      <c r="R63" s="611"/>
      <c r="S63" s="593"/>
      <c r="T63" s="593"/>
      <c r="U63" s="565"/>
      <c r="V63" s="565"/>
    </row>
    <row r="64" spans="1:23" s="304" customFormat="1" ht="15.75" x14ac:dyDescent="0.25">
      <c r="A64" s="576"/>
      <c r="B64" s="565"/>
      <c r="I64" s="303"/>
      <c r="K64" s="611"/>
      <c r="L64" s="611"/>
      <c r="M64" s="611"/>
      <c r="N64" s="303"/>
      <c r="O64" s="303"/>
      <c r="P64" s="303"/>
      <c r="Q64" s="303"/>
      <c r="R64" s="611"/>
      <c r="S64" s="593"/>
      <c r="T64" s="593"/>
      <c r="U64" s="565"/>
      <c r="V64" s="565"/>
    </row>
    <row r="65" spans="1:22" s="304" customFormat="1" ht="15.75" x14ac:dyDescent="0.25">
      <c r="A65" s="576"/>
      <c r="B65" s="565"/>
      <c r="I65" s="303"/>
      <c r="K65" s="611"/>
      <c r="L65" s="611"/>
      <c r="M65" s="611"/>
      <c r="N65" s="303"/>
      <c r="O65" s="303"/>
      <c r="P65" s="303"/>
      <c r="Q65" s="303"/>
      <c r="R65" s="611"/>
      <c r="S65" s="593"/>
      <c r="T65" s="593"/>
      <c r="U65" s="565"/>
      <c r="V65" s="565"/>
    </row>
    <row r="66" spans="1:22" s="304" customFormat="1" ht="15.75" x14ac:dyDescent="0.25">
      <c r="A66" s="576"/>
      <c r="B66" s="565"/>
      <c r="I66" s="303"/>
      <c r="K66" s="611"/>
      <c r="L66" s="611"/>
      <c r="M66" s="611"/>
      <c r="N66" s="303"/>
      <c r="O66" s="303"/>
      <c r="P66" s="303"/>
      <c r="Q66" s="303"/>
      <c r="R66" s="611"/>
      <c r="S66" s="593"/>
      <c r="T66" s="593"/>
      <c r="U66" s="565"/>
      <c r="V66" s="565"/>
    </row>
    <row r="67" spans="1:22" s="304" customFormat="1" ht="15.75" x14ac:dyDescent="0.25">
      <c r="A67" s="576"/>
      <c r="B67" s="565"/>
      <c r="I67" s="303"/>
      <c r="K67" s="611"/>
      <c r="L67" s="611"/>
      <c r="M67" s="611"/>
      <c r="N67" s="303"/>
      <c r="O67" s="303"/>
      <c r="P67" s="303"/>
      <c r="Q67" s="303"/>
      <c r="R67" s="611"/>
      <c r="S67" s="593"/>
      <c r="T67" s="593"/>
      <c r="U67" s="565"/>
      <c r="V67" s="565"/>
    </row>
    <row r="68" spans="1:22" s="304" customFormat="1" ht="15.75" x14ac:dyDescent="0.25">
      <c r="A68" s="576"/>
      <c r="B68" s="565"/>
      <c r="I68" s="303"/>
      <c r="K68" s="611"/>
      <c r="L68" s="611"/>
      <c r="M68" s="611"/>
      <c r="N68" s="303"/>
      <c r="O68" s="303"/>
      <c r="P68" s="303"/>
      <c r="Q68" s="303"/>
      <c r="R68" s="611"/>
      <c r="S68" s="593"/>
      <c r="T68" s="593"/>
      <c r="U68" s="565"/>
      <c r="V68" s="565"/>
    </row>
    <row r="69" spans="1:22" s="304" customFormat="1" ht="15.75" x14ac:dyDescent="0.25">
      <c r="A69" s="576"/>
      <c r="B69" s="565"/>
      <c r="I69" s="303"/>
      <c r="K69" s="611"/>
      <c r="L69" s="611"/>
      <c r="M69" s="611"/>
      <c r="N69" s="303"/>
      <c r="O69" s="303"/>
      <c r="P69" s="303"/>
      <c r="Q69" s="303"/>
      <c r="R69" s="611"/>
      <c r="S69" s="593"/>
      <c r="T69" s="593"/>
      <c r="U69" s="565"/>
      <c r="V69" s="565"/>
    </row>
    <row r="70" spans="1:22" s="304" customFormat="1" ht="15.75" x14ac:dyDescent="0.25">
      <c r="A70" s="576"/>
      <c r="B70" s="565"/>
      <c r="I70" s="303"/>
      <c r="K70" s="611"/>
      <c r="L70" s="611"/>
      <c r="M70" s="611"/>
      <c r="N70" s="303"/>
      <c r="O70" s="303"/>
      <c r="P70" s="303"/>
      <c r="Q70" s="303"/>
      <c r="R70" s="611"/>
      <c r="S70" s="593"/>
      <c r="T70" s="593"/>
      <c r="U70" s="565"/>
      <c r="V70" s="565"/>
    </row>
    <row r="71" spans="1:22" s="304" customFormat="1" ht="15.75" x14ac:dyDescent="0.25">
      <c r="A71" s="576"/>
      <c r="B71" s="565"/>
      <c r="I71" s="303"/>
      <c r="K71" s="611"/>
      <c r="L71" s="611"/>
      <c r="M71" s="611"/>
      <c r="N71" s="303"/>
      <c r="O71" s="303"/>
      <c r="P71" s="303"/>
      <c r="Q71" s="303"/>
      <c r="R71" s="611"/>
      <c r="S71" s="593"/>
      <c r="T71" s="593"/>
      <c r="U71" s="565"/>
      <c r="V71" s="565"/>
    </row>
    <row r="72" spans="1:22" s="304" customFormat="1" ht="15.75" x14ac:dyDescent="0.25">
      <c r="A72" s="576"/>
      <c r="B72" s="565"/>
      <c r="I72" s="303"/>
      <c r="K72" s="611"/>
      <c r="L72" s="611"/>
      <c r="M72" s="611"/>
      <c r="N72" s="303"/>
      <c r="O72" s="303"/>
      <c r="P72" s="303"/>
      <c r="Q72" s="303"/>
      <c r="R72" s="611"/>
      <c r="S72" s="593"/>
      <c r="T72" s="593"/>
      <c r="U72" s="565"/>
      <c r="V72" s="565"/>
    </row>
    <row r="73" spans="1:22" s="304" customFormat="1" ht="15.75" x14ac:dyDescent="0.25">
      <c r="A73" s="576"/>
      <c r="B73" s="565"/>
      <c r="I73" s="303"/>
      <c r="K73" s="611"/>
      <c r="L73" s="611"/>
      <c r="M73" s="611"/>
      <c r="N73" s="303"/>
      <c r="O73" s="303"/>
      <c r="P73" s="303"/>
      <c r="Q73" s="303"/>
      <c r="R73" s="611"/>
      <c r="S73" s="593"/>
      <c r="T73" s="593"/>
      <c r="U73" s="565"/>
      <c r="V73" s="565"/>
    </row>
    <row r="74" spans="1:22" s="304" customFormat="1" ht="15.75" x14ac:dyDescent="0.25">
      <c r="A74" s="576"/>
      <c r="B74" s="565"/>
      <c r="I74" s="303"/>
      <c r="K74" s="611"/>
      <c r="L74" s="611"/>
      <c r="M74" s="611"/>
      <c r="N74" s="303"/>
      <c r="O74" s="303"/>
      <c r="P74" s="303"/>
      <c r="Q74" s="303"/>
      <c r="R74" s="611"/>
      <c r="S74" s="565"/>
      <c r="T74" s="565"/>
      <c r="U74" s="565"/>
      <c r="V74" s="565"/>
    </row>
    <row r="75" spans="1:22" s="304" customFormat="1" ht="15.75" x14ac:dyDescent="0.25">
      <c r="A75" s="576"/>
      <c r="B75" s="565"/>
      <c r="I75" s="303"/>
      <c r="K75" s="611"/>
      <c r="L75" s="611"/>
      <c r="M75" s="611"/>
      <c r="N75" s="303"/>
      <c r="O75" s="303"/>
      <c r="P75" s="303"/>
      <c r="Q75" s="303"/>
      <c r="R75" s="611"/>
      <c r="S75" s="593"/>
      <c r="T75" s="593"/>
      <c r="U75" s="565"/>
      <c r="V75" s="565"/>
    </row>
    <row r="76" spans="1:22" s="304" customFormat="1" ht="15.75" x14ac:dyDescent="0.25">
      <c r="A76" s="576"/>
      <c r="B76" s="565"/>
      <c r="I76" s="303"/>
      <c r="K76" s="611"/>
      <c r="L76" s="611"/>
      <c r="M76" s="611"/>
      <c r="N76" s="303"/>
      <c r="O76" s="303"/>
      <c r="P76" s="303"/>
      <c r="Q76" s="303"/>
      <c r="R76" s="611"/>
      <c r="S76" s="593"/>
      <c r="T76" s="593"/>
      <c r="U76" s="565"/>
      <c r="V76" s="565"/>
    </row>
    <row r="77" spans="1:22" s="304" customFormat="1" x14ac:dyDescent="0.25"/>
    <row r="78" spans="1:22" s="304" customFormat="1" x14ac:dyDescent="0.25"/>
    <row r="79" spans="1:22" s="304" customFormat="1" ht="15.75" x14ac:dyDescent="0.25">
      <c r="C79" s="540"/>
      <c r="D79" s="540"/>
      <c r="E79" s="540"/>
      <c r="F79" s="540"/>
    </row>
    <row r="80" spans="1:22" s="304" customFormat="1" ht="15.75" x14ac:dyDescent="0.25">
      <c r="C80" s="540"/>
      <c r="D80" s="540"/>
      <c r="E80" s="540"/>
      <c r="F80" s="540"/>
    </row>
    <row r="81" spans="1:6" s="304" customFormat="1" ht="15.75" x14ac:dyDescent="0.25">
      <c r="A81" s="540"/>
      <c r="B81" s="540"/>
      <c r="C81" s="540"/>
      <c r="D81" s="540"/>
      <c r="E81" s="540"/>
      <c r="F81" s="540"/>
    </row>
    <row r="82" spans="1:6" s="304" customFormat="1" ht="15.75" x14ac:dyDescent="0.25">
      <c r="A82" s="535"/>
      <c r="B82" s="540"/>
      <c r="C82" s="540"/>
      <c r="D82" s="540"/>
      <c r="E82" s="540"/>
      <c r="F82" s="540"/>
    </row>
    <row r="83" spans="1:6" s="304" customFormat="1" ht="15.75" x14ac:dyDescent="0.25">
      <c r="A83" s="535"/>
      <c r="B83" s="540"/>
      <c r="C83" s="540"/>
      <c r="D83" s="540"/>
      <c r="E83" s="540"/>
      <c r="F83" s="540"/>
    </row>
    <row r="84" spans="1:6" s="304" customFormat="1" ht="15.75" x14ac:dyDescent="0.25">
      <c r="A84" s="576"/>
      <c r="B84" s="565"/>
      <c r="C84" s="593"/>
      <c r="D84" s="593"/>
      <c r="E84" s="565"/>
      <c r="F84" s="565"/>
    </row>
    <row r="85" spans="1:6" s="304" customFormat="1" ht="15.75" x14ac:dyDescent="0.25">
      <c r="A85" s="576"/>
      <c r="B85" s="565"/>
      <c r="C85" s="593"/>
      <c r="D85" s="593"/>
      <c r="E85" s="565"/>
      <c r="F85" s="565"/>
    </row>
    <row r="86" spans="1:6" s="304" customFormat="1" ht="15.75" x14ac:dyDescent="0.25">
      <c r="A86" s="576"/>
      <c r="B86" s="565"/>
      <c r="C86" s="593"/>
      <c r="D86" s="593"/>
      <c r="E86" s="565"/>
      <c r="F86" s="565"/>
    </row>
    <row r="87" spans="1:6" s="304" customFormat="1" ht="15.75" x14ac:dyDescent="0.25">
      <c r="A87" s="576"/>
      <c r="B87" s="565"/>
      <c r="C87" s="593"/>
      <c r="D87" s="593"/>
      <c r="E87" s="565"/>
      <c r="F87" s="565"/>
    </row>
    <row r="88" spans="1:6" s="304" customFormat="1" ht="15.75" x14ac:dyDescent="0.25">
      <c r="A88" s="576"/>
      <c r="B88" s="565"/>
      <c r="C88" s="593"/>
      <c r="D88" s="593"/>
      <c r="E88" s="565"/>
      <c r="F88" s="565"/>
    </row>
    <row r="89" spans="1:6" s="304" customFormat="1" ht="15.75" x14ac:dyDescent="0.25">
      <c r="A89" s="576"/>
      <c r="B89" s="565"/>
      <c r="C89" s="593"/>
      <c r="D89" s="593"/>
      <c r="E89" s="565"/>
      <c r="F89" s="565"/>
    </row>
    <row r="90" spans="1:6" s="304" customFormat="1" ht="15.75" x14ac:dyDescent="0.25">
      <c r="A90" s="576"/>
      <c r="B90" s="565"/>
      <c r="C90" s="593"/>
      <c r="D90" s="593"/>
      <c r="E90" s="565"/>
      <c r="F90" s="565"/>
    </row>
    <row r="91" spans="1:6" s="304" customFormat="1" ht="15.75" x14ac:dyDescent="0.25">
      <c r="A91" s="576"/>
      <c r="B91" s="565"/>
      <c r="C91" s="593"/>
      <c r="D91" s="593"/>
      <c r="E91" s="565"/>
      <c r="F91" s="565"/>
    </row>
    <row r="92" spans="1:6" s="304" customFormat="1" ht="15.75" x14ac:dyDescent="0.25">
      <c r="A92" s="576"/>
      <c r="B92" s="565"/>
      <c r="C92" s="593"/>
      <c r="D92" s="593"/>
      <c r="E92" s="565"/>
      <c r="F92" s="565"/>
    </row>
    <row r="93" spans="1:6" s="304" customFormat="1" ht="15.75" x14ac:dyDescent="0.25">
      <c r="A93" s="576"/>
      <c r="B93" s="565"/>
      <c r="C93" s="593"/>
      <c r="D93" s="593"/>
      <c r="E93" s="565"/>
      <c r="F93" s="565"/>
    </row>
    <row r="94" spans="1:6" s="304" customFormat="1" ht="15.75" x14ac:dyDescent="0.25">
      <c r="A94" s="576"/>
      <c r="B94" s="565"/>
      <c r="C94" s="593"/>
      <c r="D94" s="593"/>
      <c r="E94" s="565"/>
      <c r="F94" s="565"/>
    </row>
    <row r="95" spans="1:6" s="304" customFormat="1" ht="15.75" x14ac:dyDescent="0.25">
      <c r="A95" s="576"/>
      <c r="B95" s="565"/>
      <c r="C95" s="593"/>
      <c r="D95" s="593"/>
      <c r="E95" s="565"/>
      <c r="F95" s="565"/>
    </row>
    <row r="96" spans="1:6" s="304" customFormat="1" ht="15.75" x14ac:dyDescent="0.25">
      <c r="A96" s="576"/>
      <c r="B96" s="565"/>
      <c r="C96" s="593"/>
      <c r="D96" s="593"/>
      <c r="E96" s="565"/>
      <c r="F96" s="565"/>
    </row>
    <row r="97" spans="1:6" s="304" customFormat="1" ht="15.75" x14ac:dyDescent="0.25">
      <c r="A97" s="576"/>
      <c r="B97" s="565"/>
      <c r="C97" s="593"/>
      <c r="D97" s="593"/>
      <c r="E97" s="565"/>
      <c r="F97" s="565"/>
    </row>
    <row r="98" spans="1:6" s="304" customFormat="1" ht="15.75" x14ac:dyDescent="0.25">
      <c r="A98" s="576"/>
      <c r="B98" s="565"/>
      <c r="C98" s="593"/>
      <c r="D98" s="593"/>
      <c r="E98" s="565"/>
      <c r="F98" s="565"/>
    </row>
    <row r="99" spans="1:6" s="304" customFormat="1" ht="15.75" x14ac:dyDescent="0.25">
      <c r="A99" s="576"/>
      <c r="B99" s="565"/>
      <c r="C99" s="593"/>
      <c r="D99" s="593"/>
      <c r="E99" s="565"/>
      <c r="F99" s="565"/>
    </row>
    <row r="100" spans="1:6" s="304" customFormat="1" ht="15.75" x14ac:dyDescent="0.25">
      <c r="A100" s="576"/>
      <c r="B100" s="565"/>
      <c r="C100" s="565"/>
      <c r="D100" s="565"/>
      <c r="E100" s="565"/>
      <c r="F100" s="565"/>
    </row>
    <row r="101" spans="1:6" s="304" customFormat="1" ht="15.75" x14ac:dyDescent="0.25">
      <c r="A101" s="576"/>
      <c r="B101" s="565"/>
      <c r="C101" s="593"/>
      <c r="D101" s="593"/>
      <c r="E101" s="565"/>
      <c r="F101" s="565"/>
    </row>
    <row r="102" spans="1:6" s="304" customFormat="1" ht="15.75" x14ac:dyDescent="0.25">
      <c r="A102" s="576"/>
      <c r="B102" s="565"/>
      <c r="C102" s="593"/>
      <c r="D102" s="593"/>
      <c r="E102" s="565"/>
      <c r="F102" s="565"/>
    </row>
    <row r="103" spans="1:6" s="304" customFormat="1" x14ac:dyDescent="0.25"/>
    <row r="104" spans="1:6" s="304" customFormat="1" x14ac:dyDescent="0.25"/>
    <row r="105" spans="1:6" s="304" customFormat="1" x14ac:dyDescent="0.25"/>
    <row r="106" spans="1:6" s="304" customFormat="1" x14ac:dyDescent="0.25"/>
    <row r="107" spans="1:6" s="304" customFormat="1" x14ac:dyDescent="0.25"/>
    <row r="108" spans="1:6" s="304" customFormat="1" x14ac:dyDescent="0.25"/>
    <row r="109" spans="1:6" s="304" customFormat="1" x14ac:dyDescent="0.25"/>
    <row r="110" spans="1:6" s="304" customFormat="1" x14ac:dyDescent="0.25"/>
    <row r="111" spans="1:6" s="304" customFormat="1" x14ac:dyDescent="0.25"/>
    <row r="112" spans="1:6" s="304" customFormat="1" x14ac:dyDescent="0.25"/>
    <row r="113" s="304" customFormat="1" x14ac:dyDescent="0.25"/>
    <row r="114" s="304" customFormat="1" x14ac:dyDescent="0.25"/>
    <row r="115" s="304" customFormat="1" x14ac:dyDescent="0.25"/>
    <row r="116" s="304" customFormat="1" x14ac:dyDescent="0.25"/>
    <row r="117" s="304" customFormat="1" x14ac:dyDescent="0.25"/>
    <row r="118" s="304" customFormat="1" x14ac:dyDescent="0.25"/>
    <row r="119" s="304" customFormat="1" x14ac:dyDescent="0.25"/>
    <row r="120" s="304" customFormat="1" x14ac:dyDescent="0.25"/>
  </sheetData>
  <mergeCells count="27">
    <mergeCell ref="C2:D2"/>
    <mergeCell ref="F2:O2"/>
    <mergeCell ref="P2:W2"/>
    <mergeCell ref="X2:AA2"/>
    <mergeCell ref="AB2:AH2"/>
    <mergeCell ref="AR2:AX2"/>
    <mergeCell ref="AY2:BB2"/>
    <mergeCell ref="F3:O3"/>
    <mergeCell ref="P3:V3"/>
    <mergeCell ref="X3:AA3"/>
    <mergeCell ref="AB3:AH3"/>
    <mergeCell ref="AI3:AJ3"/>
    <mergeCell ref="AK3:AN3"/>
    <mergeCell ref="AI2:AQ2"/>
    <mergeCell ref="AQ4:AQ5"/>
    <mergeCell ref="C28:I28"/>
    <mergeCell ref="C4:E5"/>
    <mergeCell ref="F4:G4"/>
    <mergeCell ref="H4:I4"/>
    <mergeCell ref="J4:K4"/>
    <mergeCell ref="AB4:AB5"/>
    <mergeCell ref="AD4:AD5"/>
    <mergeCell ref="C31:E32"/>
    <mergeCell ref="AF4:AF5"/>
    <mergeCell ref="AM4:AM5"/>
    <mergeCell ref="AN4:AN5"/>
    <mergeCell ref="AO4:AP4"/>
  </mergeCells>
  <pageMargins left="0.7" right="0.7" top="0.75" bottom="0.75" header="0.3" footer="0.3"/>
  <pageSetup paperSize="9" scale="82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3"/>
  <sheetViews>
    <sheetView zoomScale="86" zoomScaleNormal="86" workbookViewId="0">
      <selection sqref="A1:M49"/>
    </sheetView>
  </sheetViews>
  <sheetFormatPr defaultRowHeight="12.75" x14ac:dyDescent="0.2"/>
  <cols>
    <col min="1" max="1" width="12.85546875" style="56" customWidth="1"/>
    <col min="2" max="2" width="10.5703125" style="56" customWidth="1"/>
    <col min="3" max="3" width="7" style="56" customWidth="1"/>
    <col min="4" max="4" width="6.7109375" style="56" customWidth="1"/>
    <col min="5" max="5" width="7" style="56" customWidth="1"/>
    <col min="6" max="6" width="11.42578125" style="56" bestFit="1" customWidth="1"/>
    <col min="7" max="7" width="10.42578125" style="56" customWidth="1"/>
    <col min="8" max="8" width="9.85546875" style="56" bestFit="1" customWidth="1"/>
    <col min="9" max="9" width="11.140625" style="56" bestFit="1" customWidth="1"/>
    <col min="10" max="10" width="9.140625" style="56"/>
    <col min="11" max="11" width="11.42578125" style="56" customWidth="1"/>
    <col min="12" max="16" width="9.140625" style="56"/>
    <col min="17" max="17" width="10.42578125" style="56" bestFit="1" customWidth="1"/>
    <col min="18" max="18" width="9.140625" style="56"/>
    <col min="19" max="19" width="14.7109375" style="56" bestFit="1" customWidth="1"/>
    <col min="20" max="16384" width="9.140625" style="56"/>
  </cols>
  <sheetData>
    <row r="1" spans="1:25" x14ac:dyDescent="0.2">
      <c r="A1" s="54" t="s">
        <v>0</v>
      </c>
      <c r="B1" s="55" t="s">
        <v>83</v>
      </c>
      <c r="C1" s="55"/>
      <c r="D1" s="55"/>
      <c r="E1" s="55"/>
      <c r="F1" s="55"/>
      <c r="G1" s="55"/>
      <c r="H1" s="55"/>
      <c r="I1" s="54"/>
      <c r="J1" s="54"/>
      <c r="K1" s="54"/>
      <c r="L1" s="54"/>
      <c r="M1" s="54"/>
    </row>
    <row r="2" spans="1:25" x14ac:dyDescent="0.2">
      <c r="A2" s="54"/>
      <c r="B2" s="57" t="s">
        <v>84</v>
      </c>
      <c r="C2" s="57"/>
      <c r="D2" s="57"/>
      <c r="E2" s="57"/>
      <c r="F2" s="54"/>
      <c r="G2" s="54"/>
      <c r="H2" s="54"/>
      <c r="I2" s="54"/>
      <c r="J2" s="54"/>
      <c r="K2" s="54"/>
      <c r="L2" s="54"/>
      <c r="M2" s="54"/>
      <c r="O2" s="58" t="s">
        <v>446</v>
      </c>
    </row>
    <row r="3" spans="1:25" x14ac:dyDescent="0.2">
      <c r="A3" s="54"/>
      <c r="B3" s="59" t="s">
        <v>85</v>
      </c>
      <c r="C3" s="59"/>
      <c r="D3" s="59"/>
      <c r="E3" s="59"/>
      <c r="F3" s="54"/>
      <c r="G3" s="54"/>
      <c r="H3" s="54"/>
      <c r="I3" s="54"/>
      <c r="J3" s="54"/>
      <c r="K3" s="54"/>
      <c r="L3" s="54"/>
      <c r="M3" s="54"/>
      <c r="O3" s="56" t="s">
        <v>447</v>
      </c>
    </row>
    <row r="4" spans="1:25" x14ac:dyDescent="0.2">
      <c r="A4" s="54"/>
      <c r="B4" s="59"/>
      <c r="C4" s="59"/>
      <c r="D4" s="59"/>
      <c r="E4" s="59"/>
      <c r="F4" s="54"/>
      <c r="G4" s="54"/>
      <c r="H4" s="54"/>
      <c r="I4" s="54"/>
      <c r="J4" s="54"/>
      <c r="K4" s="54"/>
      <c r="L4" s="54"/>
      <c r="M4" s="54"/>
    </row>
    <row r="5" spans="1:25" x14ac:dyDescent="0.2">
      <c r="A5" s="60" t="s">
        <v>6</v>
      </c>
      <c r="B5" s="60"/>
      <c r="C5" s="60"/>
      <c r="D5" s="61" t="s">
        <v>7</v>
      </c>
      <c r="E5" s="61" t="s">
        <v>8</v>
      </c>
      <c r="F5" s="61" t="s">
        <v>9</v>
      </c>
      <c r="G5" s="61" t="s">
        <v>10</v>
      </c>
      <c r="H5" s="61" t="s">
        <v>86</v>
      </c>
      <c r="I5" s="62" t="s">
        <v>12</v>
      </c>
      <c r="J5" s="62" t="s">
        <v>13</v>
      </c>
      <c r="K5" s="62" t="s">
        <v>14</v>
      </c>
      <c r="L5" s="63" t="s">
        <v>15</v>
      </c>
      <c r="M5" s="61"/>
    </row>
    <row r="6" spans="1:25" x14ac:dyDescent="0.2">
      <c r="A6" s="64"/>
      <c r="B6" s="64"/>
      <c r="C6" s="64"/>
      <c r="D6" s="65" t="s">
        <v>16</v>
      </c>
      <c r="E6" s="65" t="s">
        <v>17</v>
      </c>
      <c r="F6" s="65" t="s">
        <v>17</v>
      </c>
      <c r="G6" s="65" t="s">
        <v>18</v>
      </c>
      <c r="H6" s="65" t="s">
        <v>87</v>
      </c>
      <c r="I6" s="66" t="s">
        <v>20</v>
      </c>
      <c r="J6" s="66" t="s">
        <v>19</v>
      </c>
      <c r="K6" s="66" t="s">
        <v>19</v>
      </c>
      <c r="L6" s="65" t="s">
        <v>12</v>
      </c>
      <c r="M6" s="65" t="s">
        <v>13</v>
      </c>
    </row>
    <row r="7" spans="1:25" x14ac:dyDescent="0.2">
      <c r="A7" s="64"/>
      <c r="B7" s="64"/>
      <c r="C7" s="64"/>
      <c r="D7" s="65" t="s">
        <v>21</v>
      </c>
      <c r="E7" s="65"/>
      <c r="F7" s="65"/>
      <c r="G7" s="65"/>
      <c r="H7" s="65"/>
      <c r="I7" s="66" t="s">
        <v>19</v>
      </c>
      <c r="J7" s="66" t="s">
        <v>22</v>
      </c>
      <c r="K7" s="66" t="s">
        <v>22</v>
      </c>
      <c r="L7" s="65"/>
      <c r="M7" s="65"/>
    </row>
    <row r="8" spans="1:25" x14ac:dyDescent="0.2">
      <c r="A8" s="67"/>
      <c r="B8" s="67"/>
      <c r="C8" s="67"/>
      <c r="D8" s="68"/>
      <c r="E8" s="68"/>
      <c r="F8" s="68"/>
      <c r="G8" s="68"/>
      <c r="H8" s="68"/>
      <c r="I8" s="69" t="s">
        <v>22</v>
      </c>
      <c r="J8" s="69"/>
      <c r="K8" s="69"/>
      <c r="L8" s="68"/>
      <c r="M8" s="68"/>
    </row>
    <row r="9" spans="1:25" x14ac:dyDescent="0.2">
      <c r="A9" s="70" t="s">
        <v>88</v>
      </c>
      <c r="B9" s="70"/>
      <c r="C9" s="70"/>
      <c r="D9" s="71">
        <v>53</v>
      </c>
      <c r="E9" s="72">
        <v>1.05</v>
      </c>
      <c r="F9" s="72">
        <v>7.0000000000000007E-2</v>
      </c>
      <c r="G9" s="73">
        <v>2031</v>
      </c>
      <c r="H9" s="72">
        <f>+E9*G9</f>
        <v>2132.5500000000002</v>
      </c>
      <c r="I9" s="74"/>
      <c r="J9" s="75"/>
      <c r="K9" s="75">
        <f>+H9+I9+J9</f>
        <v>2132.5500000000002</v>
      </c>
      <c r="L9" s="70"/>
      <c r="M9" s="70"/>
      <c r="P9" s="71"/>
      <c r="Q9" s="76"/>
      <c r="R9" s="76"/>
      <c r="S9" s="77"/>
      <c r="T9" s="76"/>
      <c r="U9" s="70"/>
      <c r="V9" s="76"/>
      <c r="W9" s="76"/>
      <c r="X9" s="70"/>
      <c r="Y9" s="70"/>
    </row>
    <row r="10" spans="1:25" ht="15.75" x14ac:dyDescent="0.2">
      <c r="A10" s="70" t="s">
        <v>89</v>
      </c>
      <c r="B10" s="78"/>
      <c r="C10" s="78"/>
      <c r="D10" s="71">
        <v>100</v>
      </c>
      <c r="E10" s="72">
        <v>0.27536231884057971</v>
      </c>
      <c r="F10" s="72">
        <v>0.27247987117552303</v>
      </c>
      <c r="G10" s="73">
        <v>2500</v>
      </c>
      <c r="H10" s="72">
        <f>+E10*G10</f>
        <v>688.40579710144925</v>
      </c>
      <c r="I10" s="75">
        <v>17027</v>
      </c>
      <c r="J10" s="75"/>
      <c r="K10" s="75">
        <f>+H10+I10+J10</f>
        <v>17715.405797101448</v>
      </c>
      <c r="L10" s="76">
        <v>3290</v>
      </c>
      <c r="M10" s="78"/>
      <c r="P10" s="71"/>
      <c r="Q10" s="76"/>
      <c r="R10" s="76"/>
      <c r="S10" s="77"/>
      <c r="T10" s="76"/>
      <c r="U10" s="76"/>
      <c r="V10" s="76"/>
      <c r="W10" s="76"/>
      <c r="X10" s="70"/>
      <c r="Y10" s="78"/>
    </row>
    <row r="11" spans="1:25" x14ac:dyDescent="0.2">
      <c r="A11" s="70" t="s">
        <v>25</v>
      </c>
      <c r="B11" s="70"/>
      <c r="C11" s="70"/>
      <c r="D11" s="71">
        <v>100</v>
      </c>
      <c r="E11" s="72">
        <v>1.96</v>
      </c>
      <c r="F11" s="72">
        <v>0.12</v>
      </c>
      <c r="G11" s="73">
        <v>2265</v>
      </c>
      <c r="H11" s="72">
        <f>+E11*G11</f>
        <v>4439.3999999999996</v>
      </c>
      <c r="I11" s="75"/>
      <c r="J11" s="75"/>
      <c r="K11" s="75">
        <f>+H11+I11+J11</f>
        <v>4439.3999999999996</v>
      </c>
      <c r="L11" s="76"/>
      <c r="M11" s="76"/>
      <c r="P11" s="71"/>
      <c r="Q11" s="76"/>
      <c r="R11" s="76"/>
      <c r="S11" s="77"/>
      <c r="T11" s="76"/>
      <c r="U11" s="76"/>
      <c r="V11" s="76"/>
      <c r="W11" s="76"/>
      <c r="X11" s="76"/>
      <c r="Y11" s="76"/>
    </row>
    <row r="12" spans="1:25" x14ac:dyDescent="0.2">
      <c r="A12" s="70" t="s">
        <v>90</v>
      </c>
      <c r="B12" s="70"/>
      <c r="C12" s="70"/>
      <c r="D12" s="71">
        <v>100</v>
      </c>
      <c r="E12" s="72">
        <v>2.0499999999999998</v>
      </c>
      <c r="F12" s="72">
        <v>0.16</v>
      </c>
      <c r="G12" s="73">
        <v>2249</v>
      </c>
      <c r="H12" s="72">
        <f>+E12*G12</f>
        <v>4610.45</v>
      </c>
      <c r="I12" s="75"/>
      <c r="J12" s="75">
        <f>+E29*G29</f>
        <v>11220</v>
      </c>
      <c r="K12" s="79">
        <f>+H12+I12+J12</f>
        <v>15830.45</v>
      </c>
      <c r="L12" s="70"/>
      <c r="M12" s="76">
        <v>2385</v>
      </c>
      <c r="P12" s="71"/>
      <c r="Q12" s="76"/>
      <c r="R12" s="76"/>
      <c r="S12" s="77"/>
      <c r="T12" s="76"/>
      <c r="U12" s="76"/>
      <c r="V12" s="76"/>
      <c r="W12" s="76"/>
      <c r="X12" s="70"/>
      <c r="Y12" s="76"/>
    </row>
    <row r="13" spans="1:25" x14ac:dyDescent="0.2">
      <c r="A13" s="70" t="s">
        <v>91</v>
      </c>
      <c r="B13" s="70"/>
      <c r="C13" s="70"/>
      <c r="D13" s="71">
        <v>90</v>
      </c>
      <c r="E13" s="1039">
        <v>1.04</v>
      </c>
      <c r="F13" s="1039">
        <v>0.31</v>
      </c>
      <c r="G13" s="1040">
        <v>2302</v>
      </c>
      <c r="H13" s="1039">
        <f>+E13*G13</f>
        <v>2394.08</v>
      </c>
      <c r="I13" s="75"/>
      <c r="K13" s="1041">
        <f>+H13+I13+J14</f>
        <v>40117.08</v>
      </c>
      <c r="L13" s="76"/>
      <c r="M13" s="76"/>
      <c r="N13" s="80"/>
      <c r="P13" s="71"/>
      <c r="Q13" s="76"/>
      <c r="R13" s="76"/>
      <c r="S13" s="77"/>
      <c r="T13" s="76"/>
      <c r="U13" s="76"/>
      <c r="V13" s="76"/>
      <c r="W13" s="76"/>
      <c r="X13" s="76"/>
      <c r="Y13" s="76"/>
    </row>
    <row r="14" spans="1:25" x14ac:dyDescent="0.2">
      <c r="A14" s="70" t="s">
        <v>92</v>
      </c>
      <c r="B14" s="70"/>
      <c r="C14" s="70"/>
      <c r="D14" s="71">
        <v>100</v>
      </c>
      <c r="E14" s="1039"/>
      <c r="F14" s="1039"/>
      <c r="G14" s="1040"/>
      <c r="H14" s="1039"/>
      <c r="I14" s="81"/>
      <c r="J14" s="75">
        <f>(+(E37*G37)+(E38*G38)+E39*G39+E40*G40)</f>
        <v>37723</v>
      </c>
      <c r="K14" s="1041"/>
      <c r="L14" s="76"/>
      <c r="M14" s="76"/>
      <c r="N14" s="80"/>
      <c r="P14" s="71"/>
      <c r="Q14" s="76"/>
      <c r="R14" s="76"/>
      <c r="S14" s="77"/>
      <c r="T14" s="76"/>
      <c r="U14" s="76"/>
      <c r="V14" s="76"/>
      <c r="W14" s="76"/>
      <c r="X14" s="76"/>
      <c r="Y14" s="76"/>
    </row>
    <row r="15" spans="1:25" x14ac:dyDescent="0.2">
      <c r="A15" s="70" t="s">
        <v>28</v>
      </c>
      <c r="B15" s="70"/>
      <c r="C15" s="70"/>
      <c r="D15" s="71">
        <v>100</v>
      </c>
      <c r="E15" s="76">
        <v>0.64</v>
      </c>
      <c r="F15" s="76">
        <v>7.3268921095008058E-2</v>
      </c>
      <c r="G15" s="77">
        <v>2313</v>
      </c>
      <c r="H15" s="76">
        <f>+E15*G15</f>
        <v>1480.32</v>
      </c>
      <c r="I15" s="75"/>
      <c r="J15" s="75">
        <v>8627</v>
      </c>
      <c r="K15" s="79">
        <f>+H15+I15+J15</f>
        <v>10107.32</v>
      </c>
      <c r="L15" s="76"/>
      <c r="M15" s="76"/>
      <c r="P15" s="71"/>
      <c r="Q15" s="76"/>
      <c r="R15" s="76"/>
      <c r="S15" s="77"/>
      <c r="T15" s="76"/>
      <c r="U15" s="76"/>
      <c r="V15" s="76"/>
      <c r="W15" s="76"/>
      <c r="X15" s="76"/>
      <c r="Y15" s="76"/>
    </row>
    <row r="16" spans="1:25" x14ac:dyDescent="0.2">
      <c r="A16" s="70" t="s">
        <v>93</v>
      </c>
      <c r="B16" s="70"/>
      <c r="C16" s="70"/>
      <c r="D16" s="71">
        <v>83</v>
      </c>
      <c r="E16" s="76">
        <v>0.59251559251559249</v>
      </c>
      <c r="F16" s="76">
        <v>7.4844074844074848E-2</v>
      </c>
      <c r="G16" s="77">
        <v>2287</v>
      </c>
      <c r="H16" s="76">
        <f>+E16*G16</f>
        <v>1355.08316008316</v>
      </c>
      <c r="I16" s="75"/>
      <c r="J16" s="75">
        <v>5016</v>
      </c>
      <c r="K16" s="79">
        <f>+H16+I16+J16</f>
        <v>6371.0831600831598</v>
      </c>
      <c r="L16" s="76"/>
      <c r="M16" s="76"/>
      <c r="P16" s="71"/>
      <c r="Q16" s="76"/>
      <c r="R16" s="76"/>
      <c r="S16" s="77"/>
      <c r="T16" s="76"/>
      <c r="U16" s="76"/>
      <c r="V16" s="76"/>
      <c r="W16" s="76"/>
      <c r="X16" s="76"/>
      <c r="Y16" s="76"/>
    </row>
    <row r="17" spans="1:25" x14ac:dyDescent="0.2">
      <c r="A17" s="70" t="s">
        <v>30</v>
      </c>
      <c r="B17" s="70"/>
      <c r="C17" s="70"/>
      <c r="D17" s="71">
        <v>70</v>
      </c>
      <c r="E17" s="76">
        <v>1.7</v>
      </c>
      <c r="F17" s="76">
        <v>1.7</v>
      </c>
      <c r="G17" s="77">
        <v>2031</v>
      </c>
      <c r="H17" s="76">
        <f>+E17*G17</f>
        <v>3452.7</v>
      </c>
      <c r="I17" s="75"/>
      <c r="J17" s="75"/>
      <c r="K17" s="79">
        <f>+H17+I17+J17</f>
        <v>3452.7</v>
      </c>
      <c r="L17" s="76"/>
      <c r="M17" s="76"/>
      <c r="P17" s="71"/>
      <c r="Q17" s="76"/>
      <c r="R17" s="76"/>
      <c r="S17" s="77"/>
      <c r="T17" s="76"/>
      <c r="U17" s="76"/>
      <c r="V17" s="76"/>
      <c r="W17" s="76"/>
      <c r="X17" s="76"/>
      <c r="Y17" s="76"/>
    </row>
    <row r="18" spans="1:25" x14ac:dyDescent="0.2">
      <c r="A18" s="70" t="s">
        <v>31</v>
      </c>
      <c r="B18" s="70"/>
      <c r="C18" s="70"/>
      <c r="D18" s="71">
        <v>100</v>
      </c>
      <c r="E18" s="76">
        <v>1.03</v>
      </c>
      <c r="F18" s="76">
        <v>0.23</v>
      </c>
      <c r="G18" s="82">
        <v>2223</v>
      </c>
      <c r="H18" s="76">
        <f>+E18*G18</f>
        <v>2289.69</v>
      </c>
      <c r="I18" s="75">
        <v>14856</v>
      </c>
      <c r="J18" s="75"/>
      <c r="K18" s="75">
        <f>+H18+I18+J18</f>
        <v>17145.689999999999</v>
      </c>
      <c r="L18" s="76"/>
      <c r="M18" s="70"/>
      <c r="P18" s="71"/>
      <c r="Q18" s="76"/>
      <c r="R18" s="76"/>
      <c r="S18" s="77"/>
      <c r="T18" s="76"/>
      <c r="U18" s="76"/>
      <c r="V18" s="76"/>
      <c r="W18" s="76"/>
      <c r="X18" s="76"/>
      <c r="Y18" s="70"/>
    </row>
    <row r="19" spans="1:25" x14ac:dyDescent="0.2">
      <c r="A19" s="70" t="s">
        <v>94</v>
      </c>
      <c r="B19" s="70"/>
      <c r="C19" s="70"/>
      <c r="D19" s="71">
        <v>87</v>
      </c>
      <c r="E19" s="82">
        <v>0.25</v>
      </c>
      <c r="F19" s="82">
        <v>7.0000000000000007E-2</v>
      </c>
      <c r="G19" s="82">
        <v>2500</v>
      </c>
      <c r="H19" s="76">
        <f>+E19*G19</f>
        <v>625</v>
      </c>
      <c r="I19" s="83">
        <v>5132</v>
      </c>
      <c r="J19" s="83"/>
      <c r="K19" s="75">
        <f>+H19+I19+J19</f>
        <v>5757</v>
      </c>
      <c r="L19" s="82"/>
      <c r="M19" s="84"/>
      <c r="P19" s="71"/>
      <c r="Q19" s="82"/>
      <c r="R19" s="82"/>
      <c r="S19" s="82"/>
      <c r="T19" s="76"/>
      <c r="U19" s="82"/>
      <c r="V19" s="82"/>
      <c r="W19" s="76"/>
      <c r="X19" s="82"/>
      <c r="Y19" s="84"/>
    </row>
    <row r="20" spans="1:25" x14ac:dyDescent="0.2">
      <c r="A20" s="70" t="s">
        <v>34</v>
      </c>
      <c r="B20" s="78"/>
      <c r="C20" s="78"/>
      <c r="D20" s="85"/>
      <c r="E20" s="86"/>
      <c r="F20" s="86"/>
      <c r="G20" s="87"/>
      <c r="H20" s="76"/>
      <c r="I20" s="88"/>
      <c r="J20" s="88"/>
      <c r="K20" s="75">
        <f>+E32*350</f>
        <v>2800</v>
      </c>
      <c r="L20" s="86"/>
      <c r="M20" s="86"/>
      <c r="P20" s="85"/>
      <c r="Q20" s="86"/>
      <c r="R20" s="86"/>
      <c r="S20" s="87"/>
      <c r="T20" s="86"/>
      <c r="U20" s="86"/>
      <c r="V20" s="86"/>
      <c r="W20" s="76"/>
      <c r="X20" s="86"/>
      <c r="Y20" s="86"/>
    </row>
    <row r="21" spans="1:25" x14ac:dyDescent="0.2">
      <c r="A21" s="60" t="s">
        <v>35</v>
      </c>
      <c r="B21" s="60"/>
      <c r="C21" s="60"/>
      <c r="D21" s="89"/>
      <c r="E21" s="90">
        <f t="shared" ref="E21:J21" si="0">SUM(E9:E20)</f>
        <v>10.587877911356172</v>
      </c>
      <c r="F21" s="90">
        <f t="shared" si="0"/>
        <v>3.0805928671146061</v>
      </c>
      <c r="G21" s="90">
        <f t="shared" si="0"/>
        <v>22701</v>
      </c>
      <c r="H21" s="90">
        <f t="shared" si="0"/>
        <v>23467.678957184609</v>
      </c>
      <c r="I21" s="91">
        <f t="shared" si="0"/>
        <v>37015</v>
      </c>
      <c r="J21" s="91">
        <f t="shared" si="0"/>
        <v>62586</v>
      </c>
      <c r="K21" s="91">
        <f>SUM(K9:K20)</f>
        <v>125868.67895718462</v>
      </c>
      <c r="L21" s="91">
        <f>SUM(L9:L20)</f>
        <v>3290</v>
      </c>
      <c r="M21" s="91">
        <f>SUM(M9:M20)</f>
        <v>2385</v>
      </c>
      <c r="O21" s="80"/>
      <c r="P21" s="80"/>
      <c r="Q21" s="92"/>
      <c r="R21" s="80"/>
    </row>
    <row r="22" spans="1:25" x14ac:dyDescent="0.2">
      <c r="A22" s="67" t="s">
        <v>36</v>
      </c>
      <c r="B22" s="67"/>
      <c r="C22" s="67"/>
      <c r="D22" s="93"/>
      <c r="E22" s="94">
        <f>+E21-F21</f>
        <v>7.5072850442415655</v>
      </c>
      <c r="F22" s="94"/>
      <c r="G22" s="94"/>
      <c r="H22" s="94">
        <f>+E32*G32</f>
        <v>17064</v>
      </c>
      <c r="I22" s="95">
        <f>+I21-L21</f>
        <v>33725</v>
      </c>
      <c r="J22" s="95">
        <f>+J21-M21</f>
        <v>60201</v>
      </c>
      <c r="K22" s="96">
        <f>+H22+I22+J22</f>
        <v>110990</v>
      </c>
      <c r="L22" s="67"/>
      <c r="M22" s="67"/>
      <c r="O22" s="80"/>
      <c r="P22" s="80"/>
      <c r="Q22" s="92"/>
      <c r="R22" s="80"/>
    </row>
    <row r="23" spans="1:25" x14ac:dyDescent="0.2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</row>
    <row r="24" spans="1:25" x14ac:dyDescent="0.2">
      <c r="A24" s="70"/>
      <c r="B24" s="70"/>
      <c r="C24" s="70" t="s">
        <v>37</v>
      </c>
      <c r="D24" s="70"/>
      <c r="E24" s="70"/>
      <c r="F24" s="70"/>
      <c r="G24" s="70"/>
      <c r="H24" s="70"/>
      <c r="I24" s="70"/>
      <c r="J24" s="70"/>
      <c r="K24" s="70"/>
      <c r="L24" s="70"/>
      <c r="M24" s="70"/>
    </row>
    <row r="25" spans="1:25" x14ac:dyDescent="0.2">
      <c r="A25" s="70"/>
      <c r="B25" s="70"/>
      <c r="C25" s="70"/>
      <c r="D25" s="70"/>
      <c r="E25" s="70"/>
      <c r="F25" s="70"/>
      <c r="G25" s="70"/>
      <c r="H25" s="70"/>
      <c r="I25" s="70"/>
      <c r="J25" s="97" t="s">
        <v>42</v>
      </c>
      <c r="K25" s="98" t="s">
        <v>95</v>
      </c>
    </row>
    <row r="26" spans="1:25" x14ac:dyDescent="0.2">
      <c r="A26" s="70" t="s">
        <v>96</v>
      </c>
      <c r="B26" s="70"/>
      <c r="C26" s="70"/>
      <c r="D26" s="70"/>
      <c r="E26" s="70"/>
      <c r="F26" s="70"/>
      <c r="G26" s="70"/>
      <c r="H26" s="70"/>
      <c r="I26" s="70"/>
      <c r="J26" s="99" t="s">
        <v>97</v>
      </c>
      <c r="K26" s="100">
        <v>90</v>
      </c>
    </row>
    <row r="27" spans="1:25" x14ac:dyDescent="0.2">
      <c r="A27" s="101" t="s">
        <v>38</v>
      </c>
      <c r="B27" s="101"/>
      <c r="C27" s="101"/>
      <c r="D27" s="102" t="s">
        <v>39</v>
      </c>
      <c r="E27" s="102" t="s">
        <v>40</v>
      </c>
      <c r="F27" s="102"/>
      <c r="G27" s="102" t="s">
        <v>41</v>
      </c>
      <c r="H27" s="102"/>
      <c r="I27" s="70"/>
      <c r="J27" s="103" t="s">
        <v>98</v>
      </c>
      <c r="K27" s="104">
        <v>10</v>
      </c>
    </row>
    <row r="28" spans="1:25" x14ac:dyDescent="0.2">
      <c r="A28" s="70" t="s">
        <v>43</v>
      </c>
      <c r="B28" s="70"/>
      <c r="C28" s="70"/>
      <c r="E28" s="70"/>
      <c r="F28" s="70"/>
      <c r="G28" s="70"/>
      <c r="H28" s="70"/>
      <c r="I28" s="70"/>
      <c r="J28" s="105"/>
      <c r="K28" s="106"/>
      <c r="L28" s="70"/>
      <c r="M28" s="107"/>
    </row>
    <row r="29" spans="1:25" x14ac:dyDescent="0.2">
      <c r="A29" s="70" t="s">
        <v>46</v>
      </c>
      <c r="B29" s="70"/>
      <c r="C29" s="70"/>
      <c r="D29" s="108" t="s">
        <v>47</v>
      </c>
      <c r="E29" s="79">
        <v>66</v>
      </c>
      <c r="F29" s="74"/>
      <c r="G29" s="109">
        <v>170</v>
      </c>
      <c r="H29" s="75"/>
      <c r="I29" s="70"/>
      <c r="J29" s="70"/>
      <c r="K29" s="70"/>
      <c r="L29" s="70"/>
      <c r="M29" s="107"/>
    </row>
    <row r="30" spans="1:25" x14ac:dyDescent="0.2">
      <c r="A30" s="70"/>
      <c r="B30" s="70"/>
      <c r="C30" s="70"/>
      <c r="D30" s="110"/>
      <c r="E30" s="111"/>
      <c r="F30" s="70"/>
      <c r="G30" s="112"/>
      <c r="H30" s="112"/>
      <c r="I30" s="70"/>
      <c r="J30" s="113" t="s">
        <v>99</v>
      </c>
      <c r="K30" s="114">
        <v>5.9749999999999996</v>
      </c>
      <c r="L30" s="70"/>
      <c r="M30" s="107"/>
    </row>
    <row r="31" spans="1:25" x14ac:dyDescent="0.2">
      <c r="A31" s="70" t="s">
        <v>51</v>
      </c>
      <c r="B31" s="70"/>
      <c r="C31" s="70"/>
      <c r="D31" s="110"/>
      <c r="E31" s="70"/>
      <c r="F31" s="70"/>
      <c r="G31" s="70"/>
      <c r="H31" s="70"/>
      <c r="I31" s="70"/>
      <c r="J31" s="115" t="s">
        <v>100</v>
      </c>
      <c r="K31" s="116">
        <v>3</v>
      </c>
      <c r="L31" s="70"/>
      <c r="M31" s="107"/>
    </row>
    <row r="32" spans="1:25" x14ac:dyDescent="0.2">
      <c r="A32" s="70" t="s">
        <v>53</v>
      </c>
      <c r="B32" s="70"/>
      <c r="C32" s="70"/>
      <c r="D32" s="108" t="s">
        <v>54</v>
      </c>
      <c r="E32" s="117">
        <v>8</v>
      </c>
      <c r="F32" s="70"/>
      <c r="G32" s="117">
        <v>2133</v>
      </c>
      <c r="H32" s="76"/>
      <c r="I32" s="118"/>
      <c r="J32" s="107"/>
      <c r="K32" s="119"/>
      <c r="L32" s="70"/>
      <c r="M32" s="107"/>
    </row>
    <row r="33" spans="1:17" x14ac:dyDescent="0.2">
      <c r="A33" s="70" t="s">
        <v>101</v>
      </c>
      <c r="B33" s="70"/>
      <c r="C33" s="70"/>
      <c r="D33" s="108" t="s">
        <v>54</v>
      </c>
      <c r="E33" s="117">
        <v>3</v>
      </c>
      <c r="F33" s="70"/>
      <c r="G33" s="70"/>
      <c r="H33" s="70"/>
      <c r="I33" s="118"/>
      <c r="J33" s="107"/>
      <c r="K33" s="119"/>
      <c r="L33" s="70"/>
      <c r="M33" s="107"/>
      <c r="N33" s="80"/>
      <c r="O33" s="80"/>
      <c r="P33" s="80"/>
      <c r="Q33" s="80"/>
    </row>
    <row r="34" spans="1:17" x14ac:dyDescent="0.2">
      <c r="A34" s="70" t="s">
        <v>8</v>
      </c>
      <c r="B34" s="70"/>
      <c r="C34" s="70"/>
      <c r="D34" s="108" t="s">
        <v>54</v>
      </c>
      <c r="E34" s="117">
        <f>E32+E33</f>
        <v>11</v>
      </c>
      <c r="F34" s="70"/>
      <c r="G34" s="70"/>
      <c r="H34" s="70"/>
      <c r="I34" s="118"/>
      <c r="J34" s="118"/>
      <c r="K34" s="120"/>
      <c r="L34" s="70"/>
      <c r="M34" s="70"/>
    </row>
    <row r="35" spans="1:17" x14ac:dyDescent="0.2">
      <c r="A35" s="60" t="s">
        <v>102</v>
      </c>
      <c r="B35" s="60"/>
      <c r="C35" s="60" t="s">
        <v>59</v>
      </c>
      <c r="D35" s="121"/>
      <c r="E35" s="60"/>
      <c r="F35" s="60"/>
      <c r="G35" s="60"/>
      <c r="H35" s="60"/>
      <c r="I35" s="118"/>
      <c r="L35" s="70"/>
      <c r="M35" s="70"/>
    </row>
    <row r="36" spans="1:17" x14ac:dyDescent="0.2">
      <c r="A36" s="64" t="s">
        <v>60</v>
      </c>
      <c r="B36" s="70" t="s">
        <v>103</v>
      </c>
      <c r="C36" s="122">
        <v>90</v>
      </c>
      <c r="D36" s="108" t="s">
        <v>47</v>
      </c>
      <c r="E36" s="109">
        <v>123.68641114982579</v>
      </c>
      <c r="F36" s="123"/>
      <c r="G36" s="123" t="s">
        <v>70</v>
      </c>
      <c r="H36" s="123"/>
      <c r="I36" s="124"/>
      <c r="J36" s="70"/>
      <c r="K36" s="70"/>
      <c r="L36" s="70"/>
      <c r="M36" s="70"/>
    </row>
    <row r="37" spans="1:17" x14ac:dyDescent="0.2">
      <c r="A37" s="64" t="s">
        <v>104</v>
      </c>
      <c r="B37" s="64" t="s">
        <v>106</v>
      </c>
      <c r="C37" s="122">
        <v>87</v>
      </c>
      <c r="D37" s="108" t="s">
        <v>47</v>
      </c>
      <c r="E37" s="109">
        <v>59</v>
      </c>
      <c r="F37" s="123"/>
      <c r="G37" s="123">
        <v>200</v>
      </c>
      <c r="H37" s="123"/>
      <c r="I37" s="124"/>
      <c r="J37" s="70"/>
      <c r="K37" s="70"/>
      <c r="L37" s="70"/>
      <c r="M37" s="70"/>
    </row>
    <row r="38" spans="1:17" x14ac:dyDescent="0.2">
      <c r="A38" s="64"/>
      <c r="B38" s="64" t="s">
        <v>107</v>
      </c>
      <c r="C38" s="122">
        <v>33</v>
      </c>
      <c r="D38" s="108" t="s">
        <v>47</v>
      </c>
      <c r="E38" s="109">
        <v>43</v>
      </c>
      <c r="F38" s="123"/>
      <c r="G38" s="123">
        <v>389</v>
      </c>
      <c r="H38" s="123"/>
      <c r="I38" s="124"/>
      <c r="J38" s="70"/>
      <c r="K38" s="70"/>
      <c r="L38" s="70"/>
      <c r="M38" s="70"/>
    </row>
    <row r="39" spans="1:17" x14ac:dyDescent="0.2">
      <c r="A39" s="64"/>
      <c r="B39" s="56" t="s">
        <v>448</v>
      </c>
      <c r="C39" s="56">
        <v>40</v>
      </c>
      <c r="D39" s="408" t="s">
        <v>47</v>
      </c>
      <c r="E39" s="56">
        <v>9</v>
      </c>
      <c r="F39" s="118"/>
      <c r="G39" s="118">
        <v>286</v>
      </c>
      <c r="H39" s="123"/>
      <c r="I39" s="124"/>
      <c r="J39" s="70"/>
      <c r="K39" s="70"/>
      <c r="L39" s="70"/>
      <c r="M39" s="70"/>
    </row>
    <row r="40" spans="1:17" x14ac:dyDescent="0.2">
      <c r="A40" s="64"/>
      <c r="B40" s="56" t="s">
        <v>449</v>
      </c>
      <c r="C40" s="56">
        <v>43</v>
      </c>
      <c r="D40" s="408" t="s">
        <v>47</v>
      </c>
      <c r="E40" s="56">
        <v>14</v>
      </c>
      <c r="F40" s="153"/>
      <c r="G40" s="153">
        <v>473</v>
      </c>
      <c r="H40" s="96"/>
      <c r="I40" s="124"/>
      <c r="J40" s="70"/>
      <c r="K40" s="70"/>
      <c r="L40" s="70"/>
      <c r="M40" s="70"/>
    </row>
    <row r="41" spans="1:17" x14ac:dyDescent="0.2">
      <c r="A41" s="60" t="s">
        <v>71</v>
      </c>
      <c r="B41" s="60"/>
      <c r="C41" s="60"/>
      <c r="D41" s="60"/>
      <c r="E41" s="60"/>
      <c r="F41" s="65" t="s">
        <v>72</v>
      </c>
      <c r="G41" s="64"/>
      <c r="H41" s="65" t="s">
        <v>73</v>
      </c>
      <c r="I41" s="70"/>
      <c r="J41" s="70"/>
      <c r="K41" s="70"/>
      <c r="L41" s="70"/>
      <c r="M41" s="70"/>
    </row>
    <row r="42" spans="1:17" x14ac:dyDescent="0.2">
      <c r="A42" s="64" t="s">
        <v>108</v>
      </c>
      <c r="B42" s="64"/>
      <c r="C42" s="64"/>
      <c r="D42" s="64"/>
      <c r="E42" s="64"/>
      <c r="F42" s="124">
        <v>1950</v>
      </c>
      <c r="G42" s="126"/>
      <c r="H42" s="152">
        <f>+F42*2.471</f>
        <v>4818.45</v>
      </c>
      <c r="J42" s="70"/>
      <c r="K42" s="70"/>
      <c r="L42" s="70"/>
      <c r="M42" s="70"/>
    </row>
    <row r="43" spans="1:17" x14ac:dyDescent="0.2">
      <c r="A43" s="64" t="s">
        <v>109</v>
      </c>
      <c r="B43" s="64"/>
      <c r="C43" s="64"/>
      <c r="D43" s="64"/>
      <c r="E43" s="64"/>
      <c r="F43" s="124">
        <v>79</v>
      </c>
      <c r="G43" s="127"/>
      <c r="H43" s="409"/>
      <c r="J43" s="70"/>
      <c r="K43" s="70"/>
      <c r="L43" s="70"/>
      <c r="M43" s="70"/>
    </row>
    <row r="44" spans="1:17" x14ac:dyDescent="0.2">
      <c r="A44" s="64" t="s">
        <v>110</v>
      </c>
      <c r="B44" s="64"/>
      <c r="C44" s="64"/>
      <c r="D44" s="64"/>
      <c r="E44" s="64"/>
      <c r="F44" s="152">
        <f>+F42*F43</f>
        <v>154050</v>
      </c>
      <c r="G44" s="127"/>
      <c r="H44" s="152">
        <f>+F44*2.471</f>
        <v>380657.55</v>
      </c>
      <c r="I44" s="124"/>
      <c r="J44" s="70"/>
      <c r="K44" s="70"/>
      <c r="L44" s="70"/>
      <c r="M44" s="70"/>
    </row>
    <row r="45" spans="1:17" x14ac:dyDescent="0.2">
      <c r="A45" s="64" t="s">
        <v>111</v>
      </c>
      <c r="B45" s="64"/>
      <c r="C45" s="64"/>
      <c r="D45" s="64"/>
      <c r="E45" s="64"/>
      <c r="F45" s="152">
        <f>+F44-K21</f>
        <v>28181.321042815383</v>
      </c>
      <c r="G45" s="127"/>
      <c r="H45" s="152">
        <f>+F45*2.471</f>
        <v>69636.044296796812</v>
      </c>
      <c r="I45" s="124"/>
      <c r="J45" s="76"/>
      <c r="K45" s="76"/>
      <c r="L45" s="70"/>
      <c r="M45" s="70"/>
    </row>
    <row r="46" spans="1:17" x14ac:dyDescent="0.2">
      <c r="A46" s="64" t="s">
        <v>112</v>
      </c>
      <c r="B46" s="64"/>
      <c r="C46" s="64"/>
      <c r="D46" s="64"/>
      <c r="E46" s="64"/>
      <c r="F46" s="152">
        <f>+F44-K22</f>
        <v>43060</v>
      </c>
      <c r="G46" s="127"/>
      <c r="H46" s="152">
        <f>+F46*2.471</f>
        <v>106401.26000000001</v>
      </c>
      <c r="I46" s="124"/>
      <c r="J46" s="76"/>
      <c r="K46" s="70"/>
      <c r="L46" s="70"/>
      <c r="M46" s="70"/>
    </row>
    <row r="47" spans="1:17" x14ac:dyDescent="0.2">
      <c r="A47" s="64" t="s">
        <v>113</v>
      </c>
      <c r="B47" s="64"/>
      <c r="C47" s="64"/>
      <c r="D47" s="64"/>
      <c r="E47" s="64"/>
      <c r="F47" s="124">
        <f>+K21/F42</f>
        <v>64.548040490863912</v>
      </c>
      <c r="G47" s="127"/>
      <c r="H47" s="127"/>
      <c r="I47" s="70"/>
      <c r="J47" s="70"/>
      <c r="K47" s="70"/>
      <c r="L47" s="70"/>
      <c r="M47" s="70"/>
    </row>
    <row r="48" spans="1:17" x14ac:dyDescent="0.2">
      <c r="A48" s="67" t="s">
        <v>114</v>
      </c>
      <c r="B48" s="67"/>
      <c r="C48" s="67"/>
      <c r="D48" s="67"/>
      <c r="E48" s="67"/>
      <c r="F48" s="94">
        <f>+K22/F42</f>
        <v>56.917948717948718</v>
      </c>
      <c r="G48" s="128"/>
      <c r="H48" s="128"/>
      <c r="I48" s="70"/>
      <c r="J48" s="70"/>
      <c r="K48" s="70"/>
      <c r="L48" s="70"/>
      <c r="M48" s="70"/>
    </row>
    <row r="51" spans="1:3" x14ac:dyDescent="0.2">
      <c r="C51" s="129"/>
    </row>
    <row r="52" spans="1:3" x14ac:dyDescent="0.2">
      <c r="C52" s="129"/>
    </row>
    <row r="53" spans="1:3" x14ac:dyDescent="0.2">
      <c r="A53" s="130"/>
      <c r="C53" s="129"/>
    </row>
  </sheetData>
  <mergeCells count="5">
    <mergeCell ref="E13:E14"/>
    <mergeCell ref="F13:F14"/>
    <mergeCell ref="G13:G14"/>
    <mergeCell ref="H13:H14"/>
    <mergeCell ref="K13:K14"/>
  </mergeCells>
  <pageMargins left="0.7" right="0.7" top="0.75" bottom="0.75" header="0.3" footer="0.3"/>
  <pageSetup paperSize="9" scale="57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9"/>
  <sheetViews>
    <sheetView topLeftCell="A16" workbookViewId="0">
      <selection activeCell="M27" sqref="M27"/>
    </sheetView>
  </sheetViews>
  <sheetFormatPr defaultRowHeight="12.75" x14ac:dyDescent="0.2"/>
  <cols>
    <col min="1" max="1" width="9.140625" style="56"/>
    <col min="2" max="2" width="6.7109375" style="56" customWidth="1"/>
    <col min="3" max="3" width="7" style="56" customWidth="1"/>
    <col min="4" max="4" width="6.7109375" style="56" customWidth="1"/>
    <col min="5" max="5" width="7" style="56" customWidth="1"/>
    <col min="6" max="6" width="9.140625" style="56"/>
    <col min="7" max="7" width="10.42578125" style="56" customWidth="1"/>
    <col min="8" max="8" width="10" style="56" bestFit="1" customWidth="1"/>
    <col min="9" max="10" width="9.7109375" style="56" bestFit="1" customWidth="1"/>
    <col min="11" max="11" width="10.42578125" style="56" bestFit="1" customWidth="1"/>
    <col min="12" max="14" width="9.140625" style="56"/>
    <col min="15" max="15" width="9.5703125" style="56" bestFit="1" customWidth="1"/>
    <col min="16" max="16" width="9.140625" style="56"/>
    <col min="17" max="17" width="10.42578125" style="56" bestFit="1" customWidth="1"/>
    <col min="18" max="18" width="9.140625" style="56"/>
    <col min="19" max="19" width="14.7109375" style="56" bestFit="1" customWidth="1"/>
    <col min="20" max="16384" width="9.140625" style="56"/>
  </cols>
  <sheetData>
    <row r="1" spans="1:25" x14ac:dyDescent="0.2">
      <c r="A1" s="54" t="s">
        <v>0</v>
      </c>
      <c r="B1" s="55" t="s">
        <v>83</v>
      </c>
      <c r="C1" s="55"/>
      <c r="D1" s="55"/>
      <c r="E1" s="55"/>
      <c r="F1" s="55"/>
      <c r="G1" s="55"/>
      <c r="H1" s="55"/>
      <c r="I1" s="54"/>
      <c r="J1" s="54"/>
      <c r="K1" s="54"/>
      <c r="L1" s="54"/>
      <c r="M1" s="54"/>
    </row>
    <row r="2" spans="1:25" x14ac:dyDescent="0.2">
      <c r="A2" s="54"/>
      <c r="B2" s="57" t="s">
        <v>279</v>
      </c>
      <c r="C2" s="57"/>
      <c r="D2" s="57"/>
      <c r="E2" s="57"/>
      <c r="F2" s="54"/>
      <c r="G2" s="54"/>
      <c r="H2" s="54"/>
      <c r="I2" s="54"/>
      <c r="J2" s="54"/>
      <c r="K2" s="54"/>
      <c r="L2" s="54"/>
      <c r="M2" s="54"/>
    </row>
    <row r="3" spans="1:25" x14ac:dyDescent="0.2">
      <c r="A3" s="54"/>
      <c r="B3" s="59" t="s">
        <v>627</v>
      </c>
      <c r="C3" s="59"/>
      <c r="D3" s="59"/>
      <c r="E3" s="59"/>
      <c r="F3" s="54"/>
      <c r="G3" s="54"/>
      <c r="H3" s="54"/>
      <c r="I3" s="54"/>
      <c r="J3" s="54"/>
      <c r="K3" s="54"/>
      <c r="L3" s="54"/>
      <c r="M3" s="54"/>
    </row>
    <row r="4" spans="1:25" x14ac:dyDescent="0.2">
      <c r="A4" s="54"/>
      <c r="B4" s="59"/>
      <c r="C4" s="59"/>
      <c r="D4" s="59"/>
      <c r="E4" s="59"/>
      <c r="F4" s="54"/>
      <c r="G4" s="54"/>
      <c r="H4" s="54"/>
      <c r="I4" s="54"/>
      <c r="J4" s="54"/>
      <c r="K4" s="54"/>
      <c r="L4" s="54"/>
      <c r="M4" s="54"/>
    </row>
    <row r="5" spans="1:25" x14ac:dyDescent="0.2">
      <c r="A5" s="60" t="s">
        <v>6</v>
      </c>
      <c r="B5" s="60"/>
      <c r="C5" s="60"/>
      <c r="D5" s="61" t="s">
        <v>7</v>
      </c>
      <c r="E5" s="61" t="s">
        <v>8</v>
      </c>
      <c r="F5" s="61" t="s">
        <v>9</v>
      </c>
      <c r="G5" s="61" t="s">
        <v>10</v>
      </c>
      <c r="H5" s="61" t="s">
        <v>86</v>
      </c>
      <c r="I5" s="62" t="s">
        <v>12</v>
      </c>
      <c r="J5" s="62" t="s">
        <v>13</v>
      </c>
      <c r="K5" s="62" t="s">
        <v>14</v>
      </c>
      <c r="L5" s="63" t="s">
        <v>15</v>
      </c>
      <c r="M5" s="61"/>
    </row>
    <row r="6" spans="1:25" x14ac:dyDescent="0.2">
      <c r="A6" s="64"/>
      <c r="B6" s="64"/>
      <c r="C6" s="64"/>
      <c r="D6" s="65" t="s">
        <v>16</v>
      </c>
      <c r="E6" s="65" t="s">
        <v>17</v>
      </c>
      <c r="F6" s="65" t="s">
        <v>17</v>
      </c>
      <c r="G6" s="65" t="s">
        <v>18</v>
      </c>
      <c r="H6" s="65" t="s">
        <v>87</v>
      </c>
      <c r="I6" s="66" t="s">
        <v>20</v>
      </c>
      <c r="J6" s="66" t="s">
        <v>19</v>
      </c>
      <c r="K6" s="66" t="s">
        <v>19</v>
      </c>
      <c r="L6" s="65" t="s">
        <v>12</v>
      </c>
      <c r="M6" s="65" t="s">
        <v>13</v>
      </c>
    </row>
    <row r="7" spans="1:25" x14ac:dyDescent="0.2">
      <c r="A7" s="64"/>
      <c r="B7" s="64"/>
      <c r="C7" s="64"/>
      <c r="D7" s="65" t="s">
        <v>21</v>
      </c>
      <c r="E7" s="65"/>
      <c r="F7" s="65"/>
      <c r="G7" s="65"/>
      <c r="H7" s="65"/>
      <c r="I7" s="66" t="s">
        <v>19</v>
      </c>
      <c r="J7" s="66" t="s">
        <v>22</v>
      </c>
      <c r="K7" s="66" t="s">
        <v>22</v>
      </c>
      <c r="L7" s="65"/>
      <c r="M7" s="65"/>
    </row>
    <row r="8" spans="1:25" x14ac:dyDescent="0.2">
      <c r="A8" s="67"/>
      <c r="B8" s="67"/>
      <c r="C8" s="67"/>
      <c r="D8" s="68"/>
      <c r="E8" s="68"/>
      <c r="F8" s="68"/>
      <c r="G8" s="68"/>
      <c r="H8" s="68"/>
      <c r="I8" s="69" t="s">
        <v>22</v>
      </c>
      <c r="J8" s="69"/>
      <c r="K8" s="69"/>
      <c r="L8" s="68"/>
      <c r="M8" s="68"/>
    </row>
    <row r="9" spans="1:25" x14ac:dyDescent="0.2">
      <c r="A9" s="70" t="s">
        <v>88</v>
      </c>
      <c r="B9" s="70"/>
      <c r="C9" s="70"/>
      <c r="D9" s="71">
        <v>80</v>
      </c>
      <c r="E9" s="72">
        <v>1.08</v>
      </c>
      <c r="F9" s="72">
        <v>0.83</v>
      </c>
      <c r="G9" s="423">
        <v>2029</v>
      </c>
      <c r="H9" s="424">
        <f>+E9*G9</f>
        <v>2191.3200000000002</v>
      </c>
      <c r="I9" s="133"/>
      <c r="J9" s="133"/>
      <c r="K9" s="133">
        <f>+H9+I9+J9</f>
        <v>2191.3200000000002</v>
      </c>
      <c r="L9" s="70"/>
      <c r="M9" s="70"/>
      <c r="P9" s="71"/>
      <c r="Q9" s="76"/>
      <c r="R9" s="76"/>
      <c r="S9" s="77"/>
      <c r="T9" s="76"/>
      <c r="U9" s="70"/>
      <c r="V9" s="76"/>
      <c r="W9" s="76"/>
      <c r="X9" s="70"/>
      <c r="Y9" s="70"/>
    </row>
    <row r="10" spans="1:25" x14ac:dyDescent="0.2">
      <c r="A10" s="70" t="s">
        <v>214</v>
      </c>
      <c r="B10" s="78"/>
      <c r="C10" s="78"/>
      <c r="D10" s="71">
        <v>67</v>
      </c>
      <c r="E10" s="72">
        <v>0.53</v>
      </c>
      <c r="F10" s="72">
        <v>0.53</v>
      </c>
      <c r="G10" s="423">
        <v>2029</v>
      </c>
      <c r="H10" s="424">
        <f>+E10*G10</f>
        <v>1075.3700000000001</v>
      </c>
      <c r="I10" s="133">
        <v>19624.454148471599</v>
      </c>
      <c r="J10" s="133"/>
      <c r="K10" s="133">
        <f>+H10+I10+J10</f>
        <v>20699.824148471598</v>
      </c>
      <c r="L10" s="76">
        <v>336.90050040294619</v>
      </c>
      <c r="M10" s="78"/>
      <c r="O10" s="81"/>
      <c r="P10" s="71"/>
      <c r="Q10" s="76"/>
      <c r="R10" s="76"/>
      <c r="S10" s="77"/>
      <c r="T10" s="76"/>
      <c r="U10" s="76"/>
      <c r="V10" s="76"/>
      <c r="W10" s="76"/>
      <c r="X10" s="70"/>
      <c r="Y10" s="78"/>
    </row>
    <row r="11" spans="1:25" x14ac:dyDescent="0.2">
      <c r="A11" s="70" t="s">
        <v>264</v>
      </c>
      <c r="B11" s="78"/>
      <c r="C11" s="78"/>
      <c r="D11" s="425" t="s">
        <v>146</v>
      </c>
      <c r="E11" s="426" t="s">
        <v>280</v>
      </c>
      <c r="F11" s="426" t="s">
        <v>280</v>
      </c>
      <c r="G11" s="423" t="s">
        <v>281</v>
      </c>
      <c r="H11" s="424" t="s">
        <v>282</v>
      </c>
      <c r="I11" s="133" t="s">
        <v>283</v>
      </c>
      <c r="J11" s="133"/>
      <c r="K11" s="133"/>
      <c r="L11" s="76"/>
      <c r="M11" s="78"/>
      <c r="P11" s="71"/>
      <c r="Q11" s="76"/>
      <c r="R11" s="76"/>
      <c r="S11" s="77"/>
      <c r="T11" s="76"/>
      <c r="U11" s="76"/>
      <c r="V11" s="76"/>
      <c r="W11" s="76"/>
      <c r="X11" s="70"/>
      <c r="Y11" s="78"/>
    </row>
    <row r="12" spans="1:25" x14ac:dyDescent="0.2">
      <c r="A12" s="70" t="s">
        <v>219</v>
      </c>
      <c r="B12" s="70"/>
      <c r="C12" s="70"/>
      <c r="D12" s="71">
        <v>100</v>
      </c>
      <c r="E12" s="72">
        <v>2.84</v>
      </c>
      <c r="F12" s="72">
        <v>1.25</v>
      </c>
      <c r="G12" s="423">
        <v>2179</v>
      </c>
      <c r="H12" s="424">
        <f>+E12*G12</f>
        <v>6188.36</v>
      </c>
      <c r="I12" s="133"/>
      <c r="J12" s="133"/>
      <c r="K12" s="133">
        <f>+H12+I12+J12</f>
        <v>6188.36</v>
      </c>
      <c r="L12" s="76"/>
      <c r="M12" s="76"/>
      <c r="P12" s="71"/>
      <c r="Q12" s="76"/>
      <c r="R12" s="76"/>
      <c r="S12" s="77"/>
      <c r="T12" s="76"/>
      <c r="U12" s="76"/>
      <c r="V12" s="76"/>
      <c r="W12" s="76"/>
      <c r="X12" s="76"/>
      <c r="Y12" s="76"/>
    </row>
    <row r="13" spans="1:25" x14ac:dyDescent="0.2">
      <c r="A13" s="70" t="s">
        <v>46</v>
      </c>
      <c r="B13" s="70"/>
      <c r="C13" s="70"/>
      <c r="D13" s="71">
        <v>100</v>
      </c>
      <c r="E13" s="72">
        <v>1.42</v>
      </c>
      <c r="F13" s="72">
        <v>0.66</v>
      </c>
      <c r="G13" s="423">
        <v>2355</v>
      </c>
      <c r="H13" s="424">
        <f>+E13*G13</f>
        <v>3344.1</v>
      </c>
      <c r="I13" s="133"/>
      <c r="J13" s="133">
        <f>D31*G31</f>
        <v>9649.5577707623543</v>
      </c>
      <c r="K13" s="136">
        <f>+H13+I13+J13</f>
        <v>12993.657770762355</v>
      </c>
      <c r="L13" s="70"/>
      <c r="M13" s="76"/>
      <c r="O13" s="80"/>
      <c r="P13" s="71"/>
      <c r="Q13" s="76"/>
      <c r="R13" s="76"/>
      <c r="S13" s="77"/>
      <c r="T13" s="76"/>
      <c r="U13" s="76"/>
      <c r="V13" s="76"/>
      <c r="W13" s="76"/>
      <c r="X13" s="70"/>
      <c r="Y13" s="76"/>
    </row>
    <row r="14" spans="1:25" x14ac:dyDescent="0.2">
      <c r="A14" s="70" t="s">
        <v>220</v>
      </c>
      <c r="B14" s="70"/>
      <c r="C14" s="70"/>
      <c r="D14" s="71">
        <v>100</v>
      </c>
      <c r="E14" s="1042">
        <v>0.42</v>
      </c>
      <c r="F14" s="1042">
        <v>0.42</v>
      </c>
      <c r="G14" s="1043">
        <v>2029</v>
      </c>
      <c r="H14" s="1044">
        <f>+E14*G14</f>
        <v>852.18</v>
      </c>
      <c r="I14" s="133"/>
      <c r="J14" s="135"/>
      <c r="K14" s="1045">
        <f>+H14+J14+J15</f>
        <v>17402.18</v>
      </c>
      <c r="L14" s="76"/>
      <c r="M14" s="76"/>
      <c r="N14" s="80"/>
      <c r="P14" s="71"/>
      <c r="Q14" s="76"/>
      <c r="R14" s="76"/>
      <c r="S14" s="77"/>
      <c r="T14" s="76"/>
      <c r="U14" s="76"/>
      <c r="V14" s="76"/>
      <c r="W14" s="76"/>
      <c r="X14" s="76"/>
      <c r="Y14" s="76"/>
    </row>
    <row r="15" spans="1:25" x14ac:dyDescent="0.2">
      <c r="A15" s="70" t="s">
        <v>221</v>
      </c>
      <c r="B15" s="70"/>
      <c r="C15" s="70"/>
      <c r="D15" s="71">
        <v>57</v>
      </c>
      <c r="E15" s="1042"/>
      <c r="F15" s="1042"/>
      <c r="G15" s="1043"/>
      <c r="H15" s="1044"/>
      <c r="I15" s="135"/>
      <c r="J15" s="133">
        <f>(+E41*G41)+(E43*G43)+(E44*G44)</f>
        <v>16550</v>
      </c>
      <c r="K15" s="1045"/>
      <c r="L15" s="76"/>
      <c r="M15" s="76"/>
      <c r="N15" s="80"/>
      <c r="P15" s="71"/>
      <c r="Q15" s="76"/>
      <c r="R15" s="76"/>
      <c r="S15" s="77"/>
      <c r="T15" s="76"/>
      <c r="U15" s="76"/>
      <c r="V15" s="76"/>
      <c r="W15" s="76"/>
      <c r="X15" s="76"/>
      <c r="Y15" s="76"/>
    </row>
    <row r="16" spans="1:25" x14ac:dyDescent="0.2">
      <c r="A16" s="70" t="s">
        <v>222</v>
      </c>
      <c r="B16" s="70"/>
      <c r="C16" s="70"/>
      <c r="D16" s="71">
        <v>97</v>
      </c>
      <c r="E16" s="76">
        <v>0.38</v>
      </c>
      <c r="F16" s="76">
        <v>0.28000000000000003</v>
      </c>
      <c r="G16" s="423">
        <v>2246</v>
      </c>
      <c r="H16" s="132">
        <f t="shared" ref="H16:H21" si="0">+E16*G16</f>
        <v>853.48</v>
      </c>
      <c r="I16" s="133"/>
      <c r="J16" s="133">
        <v>8760</v>
      </c>
      <c r="K16" s="136">
        <f>+H16+I16+J16</f>
        <v>9613.48</v>
      </c>
      <c r="L16" s="76"/>
      <c r="M16" s="76"/>
      <c r="P16" s="71"/>
      <c r="Q16" s="76"/>
      <c r="R16" s="76"/>
      <c r="S16" s="77"/>
      <c r="T16" s="76"/>
      <c r="U16" s="76"/>
      <c r="V16" s="76"/>
      <c r="W16" s="76"/>
      <c r="X16" s="76"/>
      <c r="Y16" s="76"/>
    </row>
    <row r="17" spans="1:25" x14ac:dyDescent="0.2">
      <c r="A17" s="70" t="s">
        <v>223</v>
      </c>
      <c r="B17" s="70"/>
      <c r="C17" s="70"/>
      <c r="D17" s="71">
        <v>67</v>
      </c>
      <c r="E17" s="76">
        <v>0.36</v>
      </c>
      <c r="F17" s="76">
        <v>0.32</v>
      </c>
      <c r="G17" s="423">
        <v>2500</v>
      </c>
      <c r="H17" s="132">
        <f t="shared" si="0"/>
        <v>900</v>
      </c>
      <c r="I17" s="133"/>
      <c r="J17" s="133">
        <v>3199.5811518324608</v>
      </c>
      <c r="K17" s="136">
        <f>+H17+I17+J17</f>
        <v>4099.5811518324608</v>
      </c>
      <c r="L17" s="76"/>
      <c r="M17" s="76"/>
      <c r="P17" s="71"/>
      <c r="Q17" s="76"/>
      <c r="R17" s="76"/>
      <c r="S17" s="77"/>
      <c r="T17" s="76"/>
      <c r="U17" s="76"/>
      <c r="V17" s="76"/>
      <c r="W17" s="76"/>
      <c r="X17" s="76"/>
      <c r="Y17" s="76"/>
    </row>
    <row r="18" spans="1:25" x14ac:dyDescent="0.2">
      <c r="A18" s="70" t="s">
        <v>224</v>
      </c>
      <c r="B18" s="70"/>
      <c r="C18" s="70"/>
      <c r="D18" s="71">
        <v>100</v>
      </c>
      <c r="E18" s="76">
        <v>3.44</v>
      </c>
      <c r="F18" s="76">
        <v>3.44</v>
      </c>
      <c r="G18" s="423">
        <v>2029</v>
      </c>
      <c r="H18" s="132">
        <f t="shared" si="0"/>
        <v>6979.76</v>
      </c>
      <c r="I18" s="133"/>
      <c r="J18" s="133"/>
      <c r="K18" s="136">
        <f>+H18+I18+J18</f>
        <v>6979.76</v>
      </c>
      <c r="L18" s="76"/>
      <c r="M18" s="76"/>
      <c r="P18" s="71"/>
      <c r="Q18" s="76"/>
      <c r="R18" s="76"/>
      <c r="S18" s="77"/>
      <c r="T18" s="76"/>
      <c r="U18" s="76"/>
      <c r="V18" s="76"/>
      <c r="W18" s="76"/>
      <c r="X18" s="76"/>
      <c r="Y18" s="76"/>
    </row>
    <row r="19" spans="1:25" x14ac:dyDescent="0.2">
      <c r="A19" s="70" t="s">
        <v>225</v>
      </c>
      <c r="B19" s="70"/>
      <c r="C19" s="70"/>
      <c r="D19" s="71">
        <v>100</v>
      </c>
      <c r="E19" s="76">
        <v>0.61</v>
      </c>
      <c r="F19" s="76">
        <v>0.45</v>
      </c>
      <c r="G19" s="423">
        <v>2436</v>
      </c>
      <c r="H19" s="132">
        <f t="shared" si="0"/>
        <v>1485.96</v>
      </c>
      <c r="I19" s="133">
        <v>17058.461538461539</v>
      </c>
      <c r="J19" s="133"/>
      <c r="K19" s="133">
        <f>+H19+I19+J19</f>
        <v>18544.421538461538</v>
      </c>
      <c r="L19" s="76"/>
      <c r="M19" s="70"/>
      <c r="P19" s="71"/>
      <c r="Q19" s="76"/>
      <c r="R19" s="76"/>
      <c r="S19" s="77"/>
      <c r="T19" s="76"/>
      <c r="U19" s="76"/>
      <c r="V19" s="76"/>
      <c r="W19" s="76"/>
      <c r="X19" s="76"/>
      <c r="Y19" s="70"/>
    </row>
    <row r="20" spans="1:25" x14ac:dyDescent="0.2">
      <c r="A20" s="70" t="s">
        <v>231</v>
      </c>
      <c r="B20" s="70"/>
      <c r="C20" s="70"/>
      <c r="D20" s="71">
        <v>93</v>
      </c>
      <c r="E20" s="76">
        <v>1.34</v>
      </c>
      <c r="F20" s="76">
        <v>1.05</v>
      </c>
      <c r="G20" s="423">
        <v>2208</v>
      </c>
      <c r="H20" s="132">
        <f t="shared" si="0"/>
        <v>2958.7200000000003</v>
      </c>
      <c r="I20" s="133"/>
      <c r="J20" s="133"/>
      <c r="K20" s="133">
        <f>SUM(H20:J20)</f>
        <v>2958.7200000000003</v>
      </c>
      <c r="L20" s="76"/>
      <c r="M20" s="70"/>
      <c r="P20" s="71"/>
      <c r="Q20" s="76"/>
      <c r="R20" s="76"/>
      <c r="S20" s="77"/>
      <c r="T20" s="76"/>
      <c r="U20" s="76"/>
      <c r="V20" s="76"/>
      <c r="W20" s="76"/>
      <c r="X20" s="76"/>
      <c r="Y20" s="70"/>
    </row>
    <row r="21" spans="1:25" x14ac:dyDescent="0.2">
      <c r="A21" s="70" t="s">
        <v>147</v>
      </c>
      <c r="B21" s="70"/>
      <c r="C21" s="70"/>
      <c r="D21" s="71">
        <v>90</v>
      </c>
      <c r="E21" s="82">
        <v>0.09</v>
      </c>
      <c r="F21" s="82">
        <v>0.09</v>
      </c>
      <c r="G21" s="423">
        <v>2029</v>
      </c>
      <c r="H21" s="132">
        <f t="shared" si="0"/>
        <v>182.60999999999999</v>
      </c>
      <c r="I21" s="137">
        <v>2071.2727272727275</v>
      </c>
      <c r="J21" s="137"/>
      <c r="K21" s="133">
        <f>+H21+I21+J21</f>
        <v>2253.8827272727276</v>
      </c>
      <c r="L21" s="82"/>
      <c r="M21" s="84"/>
      <c r="P21" s="71"/>
      <c r="Q21" s="82"/>
      <c r="R21" s="82"/>
      <c r="S21" s="82"/>
      <c r="T21" s="76"/>
      <c r="U21" s="82"/>
      <c r="V21" s="82"/>
      <c r="W21" s="76"/>
      <c r="X21" s="82"/>
      <c r="Y21" s="84"/>
    </row>
    <row r="22" spans="1:25" x14ac:dyDescent="0.2">
      <c r="A22" s="78" t="s">
        <v>34</v>
      </c>
      <c r="B22" s="78"/>
      <c r="C22" s="78"/>
      <c r="D22" s="85"/>
      <c r="E22" s="86"/>
      <c r="F22" s="86"/>
      <c r="G22" s="139"/>
      <c r="H22" s="132"/>
      <c r="I22" s="140"/>
      <c r="J22" s="140"/>
      <c r="K22" s="133">
        <v>1350</v>
      </c>
      <c r="L22" s="86"/>
      <c r="M22" s="86"/>
      <c r="P22" s="85"/>
      <c r="Q22" s="86"/>
      <c r="R22" s="86"/>
      <c r="S22" s="87"/>
      <c r="T22" s="86"/>
      <c r="U22" s="86"/>
      <c r="V22" s="86"/>
      <c r="W22" s="76"/>
      <c r="X22" s="86"/>
      <c r="Y22" s="86"/>
    </row>
    <row r="23" spans="1:25" x14ac:dyDescent="0.2">
      <c r="A23" s="60" t="s">
        <v>134</v>
      </c>
      <c r="B23" s="60"/>
      <c r="C23" s="60"/>
      <c r="D23" s="89"/>
      <c r="E23" s="90">
        <f t="shared" ref="E23:J23" si="1">SUM(E9:E22)</f>
        <v>12.51</v>
      </c>
      <c r="F23" s="90">
        <f t="shared" si="1"/>
        <v>9.32</v>
      </c>
      <c r="G23" s="141">
        <f t="shared" si="1"/>
        <v>24069</v>
      </c>
      <c r="H23" s="141">
        <f t="shared" si="1"/>
        <v>27011.86</v>
      </c>
      <c r="I23" s="142">
        <f t="shared" si="1"/>
        <v>38754.188414205863</v>
      </c>
      <c r="J23" s="142">
        <f t="shared" si="1"/>
        <v>38159.138922594815</v>
      </c>
      <c r="K23" s="142">
        <f>SUM(H23:J23)+K22</f>
        <v>105275.18733680068</v>
      </c>
      <c r="L23" s="91">
        <f>SUM(L9:L22)</f>
        <v>336.90050040294619</v>
      </c>
      <c r="M23" s="90"/>
      <c r="O23" s="80"/>
      <c r="P23" s="80"/>
      <c r="Q23" s="92"/>
      <c r="R23" s="80"/>
    </row>
    <row r="24" spans="1:25" x14ac:dyDescent="0.2">
      <c r="A24" s="67" t="s">
        <v>135</v>
      </c>
      <c r="B24" s="67"/>
      <c r="C24" s="67"/>
      <c r="D24" s="93"/>
      <c r="E24" s="94">
        <f>+E23-F23</f>
        <v>3.1899999999999995</v>
      </c>
      <c r="F24" s="94"/>
      <c r="G24" s="143"/>
      <c r="H24" s="143">
        <f>+E36*G36</f>
        <v>6533.119999999999</v>
      </c>
      <c r="I24" s="144">
        <f>+I23-L23</f>
        <v>38417.287913802917</v>
      </c>
      <c r="J24" s="144">
        <f>+J23-M23</f>
        <v>38159.138922594815</v>
      </c>
      <c r="K24" s="145">
        <f>+H24+I24+J24</f>
        <v>83109.546836397727</v>
      </c>
      <c r="L24" s="67"/>
      <c r="M24" s="67"/>
      <c r="O24" s="80"/>
      <c r="P24" s="80"/>
      <c r="Q24" s="92"/>
      <c r="R24" s="80"/>
    </row>
    <row r="25" spans="1:25" x14ac:dyDescent="0.2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spans="1:25" x14ac:dyDescent="0.2">
      <c r="A26" s="70"/>
      <c r="B26" s="70"/>
      <c r="C26" s="70" t="s">
        <v>37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</row>
    <row r="27" spans="1:25" x14ac:dyDescent="0.2">
      <c r="A27" s="70"/>
      <c r="B27" s="70"/>
      <c r="C27" s="70"/>
      <c r="D27" s="70"/>
      <c r="E27" s="70"/>
      <c r="F27" s="70"/>
      <c r="G27" s="70"/>
      <c r="H27" s="70"/>
      <c r="I27" s="70"/>
      <c r="J27" s="427" t="s">
        <v>42</v>
      </c>
      <c r="K27" s="428" t="s">
        <v>95</v>
      </c>
      <c r="L27" s="70"/>
      <c r="M27" s="70"/>
    </row>
    <row r="28" spans="1:25" x14ac:dyDescent="0.2">
      <c r="A28" s="70" t="s">
        <v>96</v>
      </c>
      <c r="B28" s="70"/>
      <c r="C28" s="70"/>
      <c r="D28" s="70"/>
      <c r="E28" s="70"/>
      <c r="F28" s="70"/>
      <c r="G28" s="70"/>
      <c r="H28" s="70"/>
      <c r="I28" s="70"/>
      <c r="J28" s="429" t="s">
        <v>284</v>
      </c>
      <c r="K28" s="430">
        <v>0.31</v>
      </c>
      <c r="L28" s="70"/>
      <c r="M28" s="148"/>
      <c r="O28" s="613"/>
    </row>
    <row r="29" spans="1:25" x14ac:dyDescent="0.2">
      <c r="A29" s="101" t="s">
        <v>38</v>
      </c>
      <c r="B29" s="101"/>
      <c r="C29" s="101"/>
      <c r="D29" s="102" t="s">
        <v>39</v>
      </c>
      <c r="E29" s="102" t="s">
        <v>40</v>
      </c>
      <c r="F29" s="102"/>
      <c r="G29" s="102" t="s">
        <v>41</v>
      </c>
      <c r="H29" s="102"/>
      <c r="I29" s="70"/>
      <c r="J29" s="431" t="s">
        <v>97</v>
      </c>
      <c r="K29" s="432">
        <v>0.23333333333333334</v>
      </c>
      <c r="L29" s="70"/>
      <c r="M29" s="107"/>
    </row>
    <row r="30" spans="1:25" x14ac:dyDescent="0.2">
      <c r="A30" s="70" t="s">
        <v>43</v>
      </c>
      <c r="B30" s="70"/>
      <c r="C30" s="70"/>
      <c r="D30" s="108" t="s">
        <v>47</v>
      </c>
      <c r="E30" s="70"/>
      <c r="F30" s="70"/>
      <c r="G30" s="70"/>
      <c r="H30" s="70"/>
      <c r="I30" s="70"/>
      <c r="J30" s="431" t="s">
        <v>285</v>
      </c>
      <c r="K30" s="432">
        <v>0.23333333333333334</v>
      </c>
      <c r="L30" s="70"/>
      <c r="M30" s="107"/>
    </row>
    <row r="31" spans="1:25" x14ac:dyDescent="0.2">
      <c r="A31" s="70" t="s">
        <v>46</v>
      </c>
      <c r="B31" s="70"/>
      <c r="C31" s="70"/>
      <c r="D31" s="109">
        <v>59.895384615384614</v>
      </c>
      <c r="E31" s="79"/>
      <c r="F31" s="74"/>
      <c r="G31" s="109">
        <v>161.10686712718407</v>
      </c>
      <c r="H31" s="75"/>
      <c r="I31" s="70"/>
      <c r="J31" s="433" t="s">
        <v>98</v>
      </c>
      <c r="K31" s="434">
        <v>0.23333333333333334</v>
      </c>
      <c r="L31" s="70"/>
      <c r="M31" s="107"/>
    </row>
    <row r="32" spans="1:25" x14ac:dyDescent="0.2">
      <c r="A32" s="70" t="s">
        <v>150</v>
      </c>
      <c r="B32" s="70"/>
      <c r="C32" s="70"/>
      <c r="D32" s="76"/>
      <c r="E32" s="111"/>
      <c r="F32" s="70"/>
      <c r="G32" s="112"/>
      <c r="H32" s="112"/>
      <c r="I32" s="70"/>
      <c r="J32" s="107"/>
      <c r="K32" s="119"/>
      <c r="L32" s="70"/>
      <c r="M32" s="107"/>
    </row>
    <row r="33" spans="1:18" x14ac:dyDescent="0.2">
      <c r="A33" s="70" t="s">
        <v>151</v>
      </c>
      <c r="B33" s="70"/>
      <c r="C33" s="70"/>
      <c r="D33" s="76"/>
      <c r="E33" s="111"/>
      <c r="F33" s="70"/>
      <c r="G33" s="112"/>
      <c r="H33" s="112"/>
      <c r="I33" s="70"/>
      <c r="J33" s="107"/>
      <c r="K33" s="119"/>
      <c r="L33" s="70"/>
      <c r="M33" s="107"/>
    </row>
    <row r="34" spans="1:18" x14ac:dyDescent="0.2">
      <c r="A34" s="70"/>
      <c r="B34" s="70"/>
      <c r="C34" s="70"/>
      <c r="D34" s="76"/>
      <c r="E34" s="70"/>
      <c r="F34" s="70"/>
      <c r="G34" s="70"/>
      <c r="H34" s="70"/>
      <c r="I34" s="70"/>
      <c r="J34" s="107"/>
      <c r="K34" s="119"/>
      <c r="L34" s="70"/>
      <c r="M34" s="107"/>
      <c r="R34" s="56" t="s">
        <v>152</v>
      </c>
    </row>
    <row r="35" spans="1:18" x14ac:dyDescent="0.2">
      <c r="A35" s="70" t="s">
        <v>51</v>
      </c>
      <c r="B35" s="70"/>
      <c r="C35" s="70"/>
      <c r="D35" s="76"/>
      <c r="E35" s="70"/>
      <c r="F35" s="70"/>
      <c r="G35" s="70"/>
      <c r="H35" s="70"/>
      <c r="I35" s="70"/>
      <c r="J35" s="107"/>
      <c r="K35" s="119"/>
      <c r="L35" s="70"/>
      <c r="M35" s="107"/>
    </row>
    <row r="36" spans="1:18" x14ac:dyDescent="0.2">
      <c r="A36" s="70" t="s">
        <v>233</v>
      </c>
      <c r="B36" s="70"/>
      <c r="C36" s="70"/>
      <c r="D36" s="70" t="s">
        <v>54</v>
      </c>
      <c r="E36" s="117">
        <f>E24</f>
        <v>3.1899999999999995</v>
      </c>
      <c r="F36" s="70"/>
      <c r="G36" s="76">
        <v>2048</v>
      </c>
      <c r="H36" s="76"/>
      <c r="I36" s="118"/>
      <c r="J36" s="107"/>
      <c r="K36" s="119"/>
      <c r="L36" s="70"/>
      <c r="M36" s="107"/>
    </row>
    <row r="37" spans="1:18" x14ac:dyDescent="0.2">
      <c r="A37" s="70" t="s">
        <v>234</v>
      </c>
      <c r="B37" s="70"/>
      <c r="C37" s="70"/>
      <c r="D37" s="70" t="s">
        <v>54</v>
      </c>
      <c r="E37" s="117">
        <v>10</v>
      </c>
      <c r="F37" s="70"/>
      <c r="G37" s="70"/>
      <c r="H37" s="70"/>
      <c r="I37" s="118"/>
      <c r="J37" s="107"/>
      <c r="K37" s="119"/>
      <c r="L37" s="70"/>
      <c r="M37" s="107"/>
      <c r="N37" s="80"/>
      <c r="O37" s="80"/>
      <c r="P37" s="80"/>
      <c r="Q37" s="80"/>
    </row>
    <row r="38" spans="1:18" x14ac:dyDescent="0.2">
      <c r="A38" s="70" t="s">
        <v>8</v>
      </c>
      <c r="B38" s="70"/>
      <c r="C38" s="70"/>
      <c r="D38" s="70" t="s">
        <v>54</v>
      </c>
      <c r="E38" s="117">
        <f>E36+E37</f>
        <v>13.19</v>
      </c>
      <c r="F38" s="70"/>
      <c r="G38" s="70"/>
      <c r="H38" s="70"/>
      <c r="I38" s="118"/>
      <c r="J38" s="118"/>
      <c r="K38" s="120"/>
      <c r="L38" s="70"/>
      <c r="M38" s="70"/>
    </row>
    <row r="39" spans="1:18" x14ac:dyDescent="0.2">
      <c r="A39" s="70"/>
      <c r="B39" s="70"/>
      <c r="C39" s="70"/>
      <c r="D39" s="76"/>
      <c r="E39" s="70"/>
      <c r="F39" s="70"/>
      <c r="G39" s="70"/>
      <c r="H39" s="70"/>
      <c r="I39" s="118"/>
      <c r="J39" s="435" t="s">
        <v>99</v>
      </c>
      <c r="K39" s="80">
        <v>2.7083333333333335</v>
      </c>
      <c r="L39" s="70"/>
      <c r="M39" s="70"/>
    </row>
    <row r="40" spans="1:18" x14ac:dyDescent="0.2">
      <c r="A40" s="60" t="s">
        <v>58</v>
      </c>
      <c r="B40" s="60"/>
      <c r="C40" s="60" t="s">
        <v>59</v>
      </c>
      <c r="D40" s="60"/>
      <c r="E40" s="60"/>
      <c r="F40" s="60"/>
      <c r="G40" s="60"/>
      <c r="H40" s="60"/>
      <c r="I40" s="118"/>
      <c r="J40" s="435" t="s">
        <v>100</v>
      </c>
      <c r="K40" s="80">
        <v>2</v>
      </c>
      <c r="L40" s="70"/>
      <c r="M40" s="70"/>
    </row>
    <row r="41" spans="1:18" x14ac:dyDescent="0.2">
      <c r="A41" s="64" t="s">
        <v>60</v>
      </c>
      <c r="B41" s="70" t="s">
        <v>103</v>
      </c>
      <c r="C41" s="125">
        <v>57</v>
      </c>
      <c r="D41" s="108" t="s">
        <v>47</v>
      </c>
      <c r="E41" s="75">
        <v>128.25</v>
      </c>
      <c r="F41" s="123"/>
      <c r="G41" s="123">
        <v>0</v>
      </c>
      <c r="H41" s="123"/>
      <c r="I41" s="124"/>
      <c r="J41" s="70"/>
      <c r="K41" s="70"/>
      <c r="L41" s="70"/>
      <c r="M41" s="70"/>
    </row>
    <row r="42" spans="1:18" x14ac:dyDescent="0.2">
      <c r="A42" s="64" t="s">
        <v>104</v>
      </c>
      <c r="B42" s="64" t="s">
        <v>105</v>
      </c>
      <c r="C42" s="125"/>
      <c r="D42" s="108"/>
      <c r="E42" s="75"/>
      <c r="F42" s="123"/>
      <c r="G42" s="123"/>
      <c r="H42" s="123"/>
      <c r="I42" s="124"/>
      <c r="J42" s="70"/>
      <c r="K42" s="70"/>
      <c r="L42" s="70"/>
      <c r="M42" s="70"/>
    </row>
    <row r="43" spans="1:18" x14ac:dyDescent="0.2">
      <c r="A43" s="64"/>
      <c r="B43" s="64" t="s">
        <v>106</v>
      </c>
      <c r="C43" s="125">
        <v>57</v>
      </c>
      <c r="D43" s="108" t="s">
        <v>47</v>
      </c>
      <c r="E43" s="75">
        <v>46</v>
      </c>
      <c r="F43" s="123"/>
      <c r="G43" s="123">
        <v>200</v>
      </c>
      <c r="H43" s="123"/>
      <c r="I43" s="124"/>
      <c r="J43" s="70"/>
      <c r="K43" s="70"/>
      <c r="L43" s="70"/>
      <c r="M43" s="70"/>
    </row>
    <row r="44" spans="1:18" x14ac:dyDescent="0.2">
      <c r="A44" s="64"/>
      <c r="B44" s="64" t="s">
        <v>107</v>
      </c>
      <c r="C44" s="125">
        <v>30</v>
      </c>
      <c r="D44" s="108" t="s">
        <v>47</v>
      </c>
      <c r="E44" s="75">
        <v>21</v>
      </c>
      <c r="F44" s="123"/>
      <c r="G44" s="123">
        <v>350</v>
      </c>
      <c r="H44" s="123"/>
      <c r="I44" s="124"/>
      <c r="J44" s="70"/>
      <c r="K44" s="70"/>
      <c r="L44" s="70"/>
      <c r="M44" s="70"/>
    </row>
    <row r="45" spans="1:18" x14ac:dyDescent="0.2">
      <c r="A45" s="64"/>
      <c r="B45" s="64" t="s">
        <v>65</v>
      </c>
      <c r="C45" s="125" t="s">
        <v>369</v>
      </c>
      <c r="D45" s="108" t="s">
        <v>47</v>
      </c>
      <c r="E45" s="698" t="s">
        <v>361</v>
      </c>
      <c r="F45" s="96"/>
      <c r="G45" s="697" t="s">
        <v>583</v>
      </c>
      <c r="H45" s="96"/>
      <c r="I45" s="124"/>
      <c r="J45" s="118"/>
      <c r="K45" s="70"/>
      <c r="L45" s="70"/>
      <c r="M45" s="70"/>
    </row>
    <row r="46" spans="1:18" x14ac:dyDescent="0.2">
      <c r="A46" s="60" t="s">
        <v>71</v>
      </c>
      <c r="B46" s="60"/>
      <c r="C46" s="60"/>
      <c r="D46" s="60"/>
      <c r="E46" s="60"/>
      <c r="F46" s="65" t="s">
        <v>72</v>
      </c>
      <c r="G46" s="64"/>
      <c r="H46" s="65" t="s">
        <v>73</v>
      </c>
      <c r="I46" s="70"/>
      <c r="J46" s="70"/>
      <c r="K46" s="70"/>
      <c r="L46" s="70"/>
      <c r="M46" s="70"/>
    </row>
    <row r="47" spans="1:18" x14ac:dyDescent="0.2">
      <c r="A47" s="64" t="s">
        <v>108</v>
      </c>
      <c r="B47" s="64"/>
      <c r="C47" s="64"/>
      <c r="D47" s="64"/>
      <c r="E47" s="64"/>
      <c r="F47" s="124">
        <v>1430</v>
      </c>
      <c r="G47" s="126"/>
      <c r="H47" s="124">
        <f>F47*2.471</f>
        <v>3533.53</v>
      </c>
      <c r="I47" s="70"/>
      <c r="J47" s="70"/>
      <c r="K47" s="70"/>
      <c r="L47" s="70"/>
      <c r="M47" s="70"/>
      <c r="P47" s="56">
        <v>1554</v>
      </c>
    </row>
    <row r="48" spans="1:18" x14ac:dyDescent="0.2">
      <c r="A48" s="64" t="s">
        <v>109</v>
      </c>
      <c r="B48" s="64"/>
      <c r="C48" s="64"/>
      <c r="D48" s="64"/>
      <c r="E48" s="64"/>
      <c r="F48" s="124">
        <v>94</v>
      </c>
      <c r="G48" s="127"/>
      <c r="H48" s="124"/>
      <c r="I48" s="70"/>
      <c r="J48" s="70"/>
      <c r="K48" s="70"/>
      <c r="L48" s="70"/>
      <c r="M48" s="70"/>
      <c r="P48" s="56">
        <v>100</v>
      </c>
    </row>
    <row r="49" spans="1:13" x14ac:dyDescent="0.2">
      <c r="A49" s="64" t="s">
        <v>110</v>
      </c>
      <c r="B49" s="64"/>
      <c r="C49" s="64"/>
      <c r="D49" s="64"/>
      <c r="E49" s="64"/>
      <c r="F49" s="124">
        <f>+F47*F48</f>
        <v>134420</v>
      </c>
      <c r="G49" s="127"/>
      <c r="H49" s="124">
        <f>F49*2.471</f>
        <v>332151.82</v>
      </c>
      <c r="I49" s="70"/>
      <c r="J49" s="70"/>
      <c r="K49" s="70"/>
      <c r="L49" s="70"/>
      <c r="M49" s="70"/>
    </row>
    <row r="50" spans="1:13" x14ac:dyDescent="0.2">
      <c r="A50" s="64" t="s">
        <v>111</v>
      </c>
      <c r="B50" s="64"/>
      <c r="C50" s="64"/>
      <c r="D50" s="64"/>
      <c r="E50" s="64"/>
      <c r="F50" s="124">
        <f>+F49-K23</f>
        <v>29144.812663199322</v>
      </c>
      <c r="G50" s="127"/>
      <c r="H50" s="124">
        <f>F50*2.471</f>
        <v>72016.832090765529</v>
      </c>
      <c r="I50" s="70"/>
      <c r="J50" s="76"/>
      <c r="K50" s="76"/>
      <c r="L50" s="70"/>
      <c r="M50" s="70"/>
    </row>
    <row r="51" spans="1:13" x14ac:dyDescent="0.2">
      <c r="A51" s="64" t="s">
        <v>112</v>
      </c>
      <c r="B51" s="64"/>
      <c r="C51" s="64"/>
      <c r="D51" s="64"/>
      <c r="E51" s="64"/>
      <c r="F51" s="124">
        <f>+F49-K24</f>
        <v>51310.453163602273</v>
      </c>
      <c r="G51" s="127"/>
      <c r="H51" s="124">
        <f>F51*2.471</f>
        <v>126788.12976726123</v>
      </c>
      <c r="I51" s="70"/>
      <c r="J51" s="76"/>
      <c r="K51" s="70"/>
      <c r="L51" s="70"/>
      <c r="M51" s="70"/>
    </row>
    <row r="52" spans="1:13" x14ac:dyDescent="0.2">
      <c r="A52" s="64"/>
      <c r="B52" s="64"/>
      <c r="C52" s="64"/>
      <c r="D52" s="64"/>
      <c r="E52" s="64"/>
      <c r="F52" s="124"/>
      <c r="G52" s="127"/>
      <c r="H52" s="127"/>
      <c r="I52" s="70"/>
      <c r="J52" s="70"/>
      <c r="K52" s="70"/>
      <c r="L52" s="70"/>
      <c r="M52" s="70"/>
    </row>
    <row r="53" spans="1:13" x14ac:dyDescent="0.2">
      <c r="A53" s="64" t="s">
        <v>262</v>
      </c>
      <c r="B53" s="64"/>
      <c r="C53" s="64"/>
      <c r="D53" s="64"/>
      <c r="E53" s="64"/>
      <c r="F53" s="124">
        <f>+K23/F47</f>
        <v>73.619012123636836</v>
      </c>
      <c r="G53" s="127"/>
      <c r="H53" s="127"/>
      <c r="I53" s="70"/>
      <c r="J53" s="70"/>
      <c r="K53" s="70"/>
      <c r="L53" s="70"/>
      <c r="M53" s="70"/>
    </row>
    <row r="54" spans="1:13" x14ac:dyDescent="0.2">
      <c r="A54" s="67" t="s">
        <v>263</v>
      </c>
      <c r="B54" s="67"/>
      <c r="C54" s="67"/>
      <c r="D54" s="67"/>
      <c r="E54" s="67"/>
      <c r="F54" s="94">
        <f>+K24/F47</f>
        <v>58.118564221257152</v>
      </c>
      <c r="G54" s="128"/>
      <c r="H54" s="128"/>
      <c r="I54" s="70"/>
      <c r="J54" s="70"/>
      <c r="K54" s="70"/>
      <c r="L54" s="70"/>
      <c r="M54" s="70"/>
    </row>
    <row r="57" spans="1:13" x14ac:dyDescent="0.2">
      <c r="A57" s="81" t="s">
        <v>461</v>
      </c>
      <c r="B57" s="81"/>
      <c r="C57" s="81" t="s">
        <v>464</v>
      </c>
      <c r="D57" s="81"/>
      <c r="E57" s="81"/>
    </row>
    <row r="58" spans="1:13" x14ac:dyDescent="0.2">
      <c r="A58" s="81" t="s">
        <v>462</v>
      </c>
      <c r="B58" s="81"/>
      <c r="C58" s="81" t="s">
        <v>464</v>
      </c>
      <c r="D58" s="81"/>
      <c r="E58" s="81"/>
    </row>
    <row r="59" spans="1:13" x14ac:dyDescent="0.2">
      <c r="A59" s="374" t="s">
        <v>463</v>
      </c>
      <c r="B59" s="81"/>
      <c r="C59" s="81" t="s">
        <v>465</v>
      </c>
      <c r="D59" s="81"/>
      <c r="E59" s="81"/>
    </row>
  </sheetData>
  <mergeCells count="5">
    <mergeCell ref="E14:E15"/>
    <mergeCell ref="F14:F15"/>
    <mergeCell ref="G14:G15"/>
    <mergeCell ref="H14:H15"/>
    <mergeCell ref="K14:K15"/>
  </mergeCells>
  <pageMargins left="0.7" right="0.7" top="0.75" bottom="0.75" header="0.3" footer="0.3"/>
  <pageSetup paperSize="9" scale="54" fitToHeight="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topLeftCell="A31" workbookViewId="0">
      <selection activeCell="J72" sqref="J72"/>
    </sheetView>
  </sheetViews>
  <sheetFormatPr defaultRowHeight="12.75" x14ac:dyDescent="0.2"/>
  <cols>
    <col min="1" max="1" width="9.140625" style="56"/>
    <col min="2" max="2" width="6.7109375" style="56" customWidth="1"/>
    <col min="3" max="3" width="14.5703125" style="56" customWidth="1"/>
    <col min="4" max="4" width="6.7109375" style="56" customWidth="1"/>
    <col min="5" max="5" width="8.5703125" style="56" customWidth="1"/>
    <col min="6" max="6" width="10" style="56" bestFit="1" customWidth="1"/>
    <col min="7" max="7" width="10.42578125" style="56" customWidth="1"/>
    <col min="8" max="8" width="10" style="56" bestFit="1" customWidth="1"/>
    <col min="9" max="9" width="9.42578125" style="56" bestFit="1" customWidth="1"/>
    <col min="10" max="10" width="11.5703125" style="56" customWidth="1"/>
    <col min="11" max="11" width="10.28515625" style="56" bestFit="1" customWidth="1"/>
    <col min="12" max="14" width="9.28515625" style="56" bestFit="1" customWidth="1"/>
    <col min="15" max="15" width="9.140625" style="56"/>
    <col min="16" max="16" width="9.28515625" style="56" bestFit="1" customWidth="1"/>
    <col min="17" max="16384" width="9.140625" style="56"/>
  </cols>
  <sheetData>
    <row r="1" spans="1:25" x14ac:dyDescent="0.2">
      <c r="A1" s="54" t="s">
        <v>0</v>
      </c>
      <c r="B1" s="55" t="s">
        <v>83</v>
      </c>
      <c r="C1" s="55"/>
      <c r="D1" s="55"/>
      <c r="E1" s="55"/>
      <c r="F1" s="55"/>
      <c r="G1" s="55"/>
      <c r="H1" s="55"/>
      <c r="I1" s="54"/>
      <c r="J1" s="54"/>
      <c r="K1" s="54"/>
      <c r="L1" s="54"/>
      <c r="M1" s="54"/>
      <c r="O1" s="419" t="s">
        <v>459</v>
      </c>
    </row>
    <row r="2" spans="1:25" x14ac:dyDescent="0.2">
      <c r="A2" s="54"/>
      <c r="B2" s="57" t="s">
        <v>115</v>
      </c>
      <c r="C2" s="57"/>
      <c r="D2" s="57"/>
      <c r="E2" s="57"/>
      <c r="F2" s="54"/>
      <c r="G2" s="54"/>
      <c r="H2" s="54"/>
      <c r="I2" s="54"/>
      <c r="J2" s="54"/>
      <c r="K2" s="54"/>
      <c r="L2" s="54"/>
      <c r="M2" s="54"/>
      <c r="O2" s="56" t="s">
        <v>460</v>
      </c>
    </row>
    <row r="3" spans="1:25" x14ac:dyDescent="0.2">
      <c r="A3" s="54"/>
      <c r="B3" s="59" t="s">
        <v>116</v>
      </c>
      <c r="C3" s="59"/>
      <c r="D3" s="59"/>
      <c r="E3" s="59"/>
      <c r="F3" s="54"/>
      <c r="G3" s="54"/>
      <c r="H3" s="54"/>
      <c r="I3" s="54"/>
      <c r="J3" s="54"/>
      <c r="K3" s="54"/>
      <c r="L3" s="54"/>
      <c r="M3" s="54"/>
    </row>
    <row r="4" spans="1:25" x14ac:dyDescent="0.2">
      <c r="A4" s="54"/>
      <c r="B4" s="59"/>
      <c r="C4" s="59"/>
      <c r="D4" s="59"/>
      <c r="E4" s="59"/>
      <c r="F4" s="54"/>
      <c r="G4" s="54"/>
      <c r="H4" s="54"/>
      <c r="I4" s="54"/>
      <c r="J4" s="54"/>
      <c r="K4" s="54"/>
      <c r="L4" s="54"/>
      <c r="M4" s="54"/>
    </row>
    <row r="5" spans="1:25" x14ac:dyDescent="0.2">
      <c r="A5" s="60" t="s">
        <v>6</v>
      </c>
      <c r="B5" s="60"/>
      <c r="C5" s="60"/>
      <c r="D5" s="61" t="s">
        <v>7</v>
      </c>
      <c r="E5" s="61" t="s">
        <v>8</v>
      </c>
      <c r="F5" s="61" t="s">
        <v>9</v>
      </c>
      <c r="G5" s="61" t="s">
        <v>10</v>
      </c>
      <c r="H5" s="61" t="s">
        <v>86</v>
      </c>
      <c r="I5" s="62" t="s">
        <v>12</v>
      </c>
      <c r="J5" s="62" t="s">
        <v>13</v>
      </c>
      <c r="K5" s="62" t="s">
        <v>14</v>
      </c>
      <c r="L5" s="63" t="s">
        <v>15</v>
      </c>
      <c r="M5" s="61"/>
    </row>
    <row r="6" spans="1:25" x14ac:dyDescent="0.2">
      <c r="A6" s="64"/>
      <c r="B6" s="64"/>
      <c r="C6" s="64"/>
      <c r="D6" s="65" t="s">
        <v>16</v>
      </c>
      <c r="E6" s="65" t="s">
        <v>17</v>
      </c>
      <c r="F6" s="65" t="s">
        <v>17</v>
      </c>
      <c r="G6" s="65" t="s">
        <v>18</v>
      </c>
      <c r="H6" s="65" t="s">
        <v>87</v>
      </c>
      <c r="I6" s="66" t="s">
        <v>20</v>
      </c>
      <c r="J6" s="66" t="s">
        <v>19</v>
      </c>
      <c r="K6" s="66" t="s">
        <v>19</v>
      </c>
      <c r="L6" s="65" t="s">
        <v>12</v>
      </c>
      <c r="M6" s="65" t="s">
        <v>13</v>
      </c>
    </row>
    <row r="7" spans="1:25" x14ac:dyDescent="0.2">
      <c r="A7" s="64"/>
      <c r="B7" s="64"/>
      <c r="C7" s="64"/>
      <c r="D7" s="65" t="s">
        <v>21</v>
      </c>
      <c r="E7" s="65"/>
      <c r="F7" s="65"/>
      <c r="G7" s="65"/>
      <c r="H7" s="65"/>
      <c r="I7" s="66" t="s">
        <v>19</v>
      </c>
      <c r="J7" s="66" t="s">
        <v>22</v>
      </c>
      <c r="K7" s="66" t="s">
        <v>22</v>
      </c>
      <c r="L7" s="65"/>
      <c r="M7" s="65"/>
    </row>
    <row r="8" spans="1:25" x14ac:dyDescent="0.2">
      <c r="A8" s="67"/>
      <c r="B8" s="67"/>
      <c r="C8" s="67"/>
      <c r="D8" s="68"/>
      <c r="E8" s="68"/>
      <c r="F8" s="68"/>
      <c r="G8" s="68"/>
      <c r="H8" s="68"/>
      <c r="I8" s="69" t="s">
        <v>22</v>
      </c>
      <c r="J8" s="69"/>
      <c r="K8" s="69"/>
      <c r="L8" s="68"/>
      <c r="M8" s="68"/>
    </row>
    <row r="9" spans="1:25" x14ac:dyDescent="0.2">
      <c r="A9" s="70" t="s">
        <v>23</v>
      </c>
      <c r="B9" s="70"/>
      <c r="C9" s="70"/>
      <c r="D9" s="131">
        <f>[1]new!AS46</f>
        <v>56.25</v>
      </c>
      <c r="E9" s="76">
        <f>[1]new!AS54</f>
        <v>0.74891774891774898</v>
      </c>
      <c r="F9" s="76">
        <f>[1]new!AS50</f>
        <v>0.67965367965367973</v>
      </c>
      <c r="G9" s="77">
        <f>[1]new!AS55</f>
        <v>2000</v>
      </c>
      <c r="H9" s="76">
        <v>1498</v>
      </c>
      <c r="I9" s="74"/>
      <c r="J9" s="75"/>
      <c r="K9" s="75">
        <f>+H9+I9+J9</f>
        <v>1498</v>
      </c>
      <c r="L9" s="70"/>
      <c r="M9" s="70"/>
      <c r="O9" s="92"/>
      <c r="P9" s="71"/>
      <c r="Q9" s="76"/>
      <c r="R9" s="76"/>
      <c r="S9" s="77"/>
      <c r="T9" s="76"/>
      <c r="U9" s="70"/>
      <c r="V9" s="76"/>
      <c r="W9" s="76"/>
      <c r="X9" s="70"/>
      <c r="Y9" s="70"/>
    </row>
    <row r="10" spans="1:25" ht="15.75" x14ac:dyDescent="0.2">
      <c r="A10" s="70" t="s">
        <v>117</v>
      </c>
      <c r="B10" s="78"/>
      <c r="C10" s="78"/>
      <c r="D10" s="131">
        <v>53</v>
      </c>
      <c r="E10" s="76">
        <v>0.56000000000000005</v>
      </c>
      <c r="F10" s="76">
        <v>0.56000000000000005</v>
      </c>
      <c r="G10" s="77">
        <v>1600</v>
      </c>
      <c r="H10" s="76">
        <f>+E10*G10</f>
        <v>896.00000000000011</v>
      </c>
      <c r="I10" s="75">
        <v>21813</v>
      </c>
      <c r="J10" s="75"/>
      <c r="K10" s="75">
        <f>+H10+I10+J10</f>
        <v>22709</v>
      </c>
      <c r="L10" s="70">
        <v>2257</v>
      </c>
      <c r="M10" s="78"/>
      <c r="O10" s="92"/>
      <c r="P10" s="71"/>
      <c r="Q10" s="76"/>
      <c r="R10" s="76"/>
      <c r="S10" s="77"/>
      <c r="T10" s="76"/>
      <c r="U10" s="76"/>
      <c r="V10" s="76"/>
      <c r="W10" s="76"/>
      <c r="X10" s="70"/>
      <c r="Y10" s="78"/>
    </row>
    <row r="11" spans="1:25" x14ac:dyDescent="0.2">
      <c r="A11" s="70" t="s">
        <v>118</v>
      </c>
      <c r="B11" s="70"/>
      <c r="C11" s="70"/>
      <c r="D11" s="131" t="s">
        <v>119</v>
      </c>
      <c r="E11" s="112"/>
      <c r="F11" s="112"/>
      <c r="G11" s="420"/>
      <c r="H11" s="111" t="s">
        <v>120</v>
      </c>
      <c r="I11" s="421" t="s">
        <v>121</v>
      </c>
      <c r="J11" s="75"/>
      <c r="K11" s="75"/>
      <c r="L11" s="112"/>
      <c r="M11" s="78"/>
      <c r="O11" s="92"/>
      <c r="P11" s="134"/>
      <c r="Q11" s="86"/>
      <c r="R11" s="86"/>
      <c r="S11" s="87"/>
      <c r="T11" s="86"/>
      <c r="U11" s="86"/>
      <c r="V11" s="86"/>
      <c r="W11" s="86"/>
      <c r="X11" s="86"/>
      <c r="Y11" s="78"/>
    </row>
    <row r="12" spans="1:25" ht="15.75" x14ac:dyDescent="0.2">
      <c r="A12" s="70" t="s">
        <v>122</v>
      </c>
      <c r="B12" s="70"/>
      <c r="C12" s="70"/>
      <c r="D12" s="131" t="s">
        <v>123</v>
      </c>
      <c r="E12" s="112"/>
      <c r="F12" s="112"/>
      <c r="G12" s="420"/>
      <c r="H12" s="111" t="s">
        <v>124</v>
      </c>
      <c r="I12" s="421" t="s">
        <v>125</v>
      </c>
      <c r="J12" s="75"/>
      <c r="K12" s="75"/>
      <c r="L12" s="112"/>
      <c r="M12" s="78"/>
      <c r="O12" s="92"/>
      <c r="P12" s="134"/>
      <c r="Q12" s="86"/>
      <c r="R12" s="86"/>
      <c r="S12" s="87"/>
      <c r="T12" s="86"/>
      <c r="U12" s="86"/>
      <c r="V12" s="86"/>
      <c r="W12" s="86"/>
      <c r="X12" s="86"/>
      <c r="Y12" s="78"/>
    </row>
    <row r="13" spans="1:25" x14ac:dyDescent="0.2">
      <c r="A13" s="70" t="s">
        <v>25</v>
      </c>
      <c r="B13" s="70"/>
      <c r="C13" s="70"/>
      <c r="D13" s="131">
        <v>100</v>
      </c>
      <c r="E13" s="76">
        <v>3.81</v>
      </c>
      <c r="F13" s="76">
        <v>1.31</v>
      </c>
      <c r="G13" s="77">
        <v>2452</v>
      </c>
      <c r="H13" s="76">
        <v>9342</v>
      </c>
      <c r="I13" s="75"/>
      <c r="J13" s="75"/>
      <c r="K13" s="75">
        <f>+H13+I13+J13</f>
        <v>9342</v>
      </c>
      <c r="L13" s="76"/>
      <c r="M13" s="76"/>
      <c r="O13" s="92"/>
      <c r="P13" s="71"/>
      <c r="Q13" s="76"/>
      <c r="R13" s="76"/>
      <c r="S13" s="77"/>
      <c r="T13" s="76"/>
      <c r="U13" s="76"/>
      <c r="V13" s="76"/>
      <c r="W13" s="76"/>
      <c r="X13" s="76"/>
      <c r="Y13" s="76"/>
    </row>
    <row r="14" spans="1:25" x14ac:dyDescent="0.2">
      <c r="A14" s="70" t="s">
        <v>126</v>
      </c>
      <c r="B14" s="70"/>
      <c r="C14" s="70"/>
      <c r="D14" s="131">
        <v>100</v>
      </c>
      <c r="E14" s="76">
        <v>2.29</v>
      </c>
      <c r="F14" s="76">
        <v>0.79</v>
      </c>
      <c r="G14" s="77">
        <v>2510</v>
      </c>
      <c r="H14" s="76">
        <v>5748</v>
      </c>
      <c r="I14" s="75"/>
      <c r="J14" s="75">
        <f>+D34*G34</f>
        <v>9126</v>
      </c>
      <c r="K14" s="75">
        <f>+H14+I14+J14</f>
        <v>14874</v>
      </c>
      <c r="L14" s="70"/>
      <c r="M14" s="76">
        <v>5379</v>
      </c>
      <c r="O14" s="92"/>
      <c r="P14" s="71"/>
      <c r="Q14" s="76"/>
      <c r="R14" s="76"/>
      <c r="S14" s="77"/>
      <c r="T14" s="76"/>
      <c r="U14" s="76"/>
      <c r="V14" s="76"/>
      <c r="W14" s="76"/>
      <c r="X14" s="70"/>
      <c r="Y14" s="76"/>
    </row>
    <row r="15" spans="1:25" x14ac:dyDescent="0.2">
      <c r="A15" s="70" t="s">
        <v>91</v>
      </c>
      <c r="B15" s="70"/>
      <c r="C15" s="70"/>
      <c r="D15" s="131">
        <v>44</v>
      </c>
      <c r="E15" s="1039">
        <v>0.85</v>
      </c>
      <c r="F15" s="1039">
        <v>0.78</v>
      </c>
      <c r="G15" s="1040">
        <v>2357</v>
      </c>
      <c r="H15" s="1039">
        <v>2003</v>
      </c>
      <c r="I15" s="75"/>
      <c r="J15" s="75"/>
      <c r="K15" s="1041">
        <f>+H15+I15+J15+J16</f>
        <v>40162</v>
      </c>
      <c r="L15" s="76"/>
      <c r="M15" s="76"/>
      <c r="N15" s="80"/>
      <c r="O15" s="92"/>
      <c r="P15" s="71"/>
      <c r="Q15" s="76"/>
      <c r="R15" s="76"/>
      <c r="S15" s="77"/>
      <c r="T15" s="76"/>
      <c r="U15" s="76"/>
      <c r="V15" s="76"/>
      <c r="W15" s="76"/>
      <c r="X15" s="76"/>
      <c r="Y15" s="76"/>
    </row>
    <row r="16" spans="1:25" x14ac:dyDescent="0.2">
      <c r="A16" s="70" t="s">
        <v>92</v>
      </c>
      <c r="B16" s="70"/>
      <c r="C16" s="70"/>
      <c r="D16" s="131">
        <v>100</v>
      </c>
      <c r="E16" s="1039"/>
      <c r="F16" s="1039"/>
      <c r="G16" s="1040"/>
      <c r="H16" s="1039"/>
      <c r="I16" s="81"/>
      <c r="J16" s="75">
        <f>+(E48*G48+E49*G49+E50*G50)</f>
        <v>38159</v>
      </c>
      <c r="K16" s="1041"/>
      <c r="L16" s="76"/>
      <c r="M16" s="76"/>
      <c r="N16" s="80"/>
      <c r="O16" s="92"/>
      <c r="P16" s="71"/>
      <c r="Q16" s="76"/>
      <c r="R16" s="76"/>
      <c r="S16" s="77"/>
      <c r="T16" s="76"/>
      <c r="U16" s="76"/>
      <c r="V16" s="76"/>
      <c r="W16" s="76"/>
      <c r="X16" s="76"/>
      <c r="Y16" s="76"/>
    </row>
    <row r="17" spans="1:25" x14ac:dyDescent="0.2">
      <c r="A17" s="70" t="s">
        <v>28</v>
      </c>
      <c r="B17" s="70"/>
      <c r="C17" s="70"/>
      <c r="D17" s="131">
        <v>84</v>
      </c>
      <c r="E17" s="76">
        <v>0.37</v>
      </c>
      <c r="F17" s="76">
        <v>0.19</v>
      </c>
      <c r="G17" s="77">
        <v>1670</v>
      </c>
      <c r="H17" s="76">
        <v>618</v>
      </c>
      <c r="I17" s="75"/>
      <c r="J17" s="75">
        <v>4262</v>
      </c>
      <c r="K17" s="75">
        <f>+H17+I17+J17</f>
        <v>4880</v>
      </c>
      <c r="L17" s="76"/>
      <c r="M17" s="76"/>
      <c r="O17" s="92"/>
      <c r="P17" s="71"/>
      <c r="Q17" s="76"/>
      <c r="R17" s="76"/>
      <c r="S17" s="77"/>
      <c r="T17" s="76"/>
      <c r="U17" s="76"/>
      <c r="V17" s="76"/>
      <c r="W17" s="76"/>
      <c r="X17" s="76"/>
      <c r="Y17" s="76"/>
    </row>
    <row r="18" spans="1:25" x14ac:dyDescent="0.2">
      <c r="A18" s="70" t="s">
        <v>93</v>
      </c>
      <c r="B18" s="70"/>
      <c r="C18" s="70"/>
      <c r="D18" s="131">
        <v>56</v>
      </c>
      <c r="E18" s="76">
        <v>0.45</v>
      </c>
      <c r="F18" s="76">
        <v>0.37</v>
      </c>
      <c r="G18" s="77">
        <v>1971</v>
      </c>
      <c r="H18" s="76">
        <v>887</v>
      </c>
      <c r="I18" s="75"/>
      <c r="J18" s="75">
        <v>3320</v>
      </c>
      <c r="K18" s="75">
        <f>+H18+I18+J18</f>
        <v>4207</v>
      </c>
      <c r="L18" s="76"/>
      <c r="M18" s="76"/>
      <c r="O18" s="92"/>
      <c r="P18" s="71"/>
      <c r="Q18" s="76"/>
      <c r="R18" s="76"/>
      <c r="S18" s="77"/>
      <c r="T18" s="76"/>
      <c r="U18" s="76"/>
      <c r="V18" s="76"/>
      <c r="W18" s="76"/>
      <c r="X18" s="76"/>
      <c r="Y18" s="76"/>
    </row>
    <row r="19" spans="1:25" x14ac:dyDescent="0.2">
      <c r="A19" s="70" t="s">
        <v>30</v>
      </c>
      <c r="B19" s="70"/>
      <c r="C19" s="70"/>
      <c r="D19" s="131">
        <v>100</v>
      </c>
      <c r="E19" s="76">
        <v>2.44</v>
      </c>
      <c r="F19" s="76">
        <v>2.44</v>
      </c>
      <c r="G19" s="77">
        <v>1600</v>
      </c>
      <c r="H19" s="76">
        <f>+E19*G19</f>
        <v>3904</v>
      </c>
      <c r="I19" s="75"/>
      <c r="J19" s="75"/>
      <c r="K19" s="75">
        <f>+H19+I19+J19</f>
        <v>3904</v>
      </c>
      <c r="L19" s="76"/>
      <c r="M19" s="76"/>
      <c r="O19" s="92"/>
      <c r="P19" s="71"/>
      <c r="Q19" s="76"/>
      <c r="R19" s="76"/>
      <c r="S19" s="77"/>
      <c r="T19" s="76"/>
      <c r="U19" s="76"/>
      <c r="V19" s="76"/>
      <c r="W19" s="76"/>
      <c r="X19" s="76"/>
      <c r="Y19" s="76"/>
    </row>
    <row r="20" spans="1:25" x14ac:dyDescent="0.2">
      <c r="A20" s="70" t="s">
        <v>31</v>
      </c>
      <c r="B20" s="70"/>
      <c r="C20" s="70"/>
      <c r="D20" s="131">
        <v>91</v>
      </c>
      <c r="E20" s="76">
        <v>0.49</v>
      </c>
      <c r="F20" s="76">
        <v>0.39</v>
      </c>
      <c r="G20" s="77">
        <v>2150</v>
      </c>
      <c r="H20" s="76">
        <v>1054</v>
      </c>
      <c r="I20" s="75">
        <v>21287</v>
      </c>
      <c r="J20" s="75"/>
      <c r="K20" s="75">
        <f>+H20+I20+J20</f>
        <v>22341</v>
      </c>
      <c r="L20" s="76">
        <v>577</v>
      </c>
      <c r="M20" s="70"/>
      <c r="O20" s="92"/>
      <c r="P20" s="71"/>
      <c r="Q20" s="76"/>
      <c r="R20" s="76"/>
      <c r="S20" s="77"/>
      <c r="T20" s="76"/>
      <c r="U20" s="76"/>
      <c r="V20" s="76"/>
      <c r="W20" s="76"/>
      <c r="X20" s="76"/>
      <c r="Y20" s="70"/>
    </row>
    <row r="21" spans="1:25" x14ac:dyDescent="0.2">
      <c r="A21" s="70" t="s">
        <v>127</v>
      </c>
      <c r="B21" s="70"/>
      <c r="C21" s="70"/>
      <c r="D21" s="131" t="s">
        <v>128</v>
      </c>
      <c r="E21" s="76"/>
      <c r="F21" s="76"/>
      <c r="G21" s="77"/>
      <c r="H21" s="111" t="s">
        <v>129</v>
      </c>
      <c r="I21" s="79"/>
      <c r="J21" s="75"/>
      <c r="K21" s="75"/>
      <c r="L21" s="76"/>
      <c r="M21" s="70"/>
      <c r="O21" s="92"/>
      <c r="P21" s="71"/>
      <c r="Q21" s="76"/>
      <c r="R21" s="76"/>
      <c r="S21" s="77"/>
      <c r="T21" s="76"/>
      <c r="U21" s="76"/>
      <c r="V21" s="76"/>
      <c r="W21" s="76"/>
      <c r="X21" s="76"/>
      <c r="Y21" s="70"/>
    </row>
    <row r="22" spans="1:25" x14ac:dyDescent="0.2">
      <c r="A22" s="70" t="s">
        <v>130</v>
      </c>
      <c r="B22" s="70"/>
      <c r="C22" s="70"/>
      <c r="D22" s="131" t="s">
        <v>128</v>
      </c>
      <c r="E22" s="76"/>
      <c r="F22" s="76"/>
      <c r="G22" s="77"/>
      <c r="H22" s="111" t="s">
        <v>131</v>
      </c>
      <c r="I22" s="371" t="s">
        <v>132</v>
      </c>
      <c r="J22" s="75"/>
      <c r="K22" s="75"/>
      <c r="L22" s="76"/>
      <c r="M22" s="70"/>
      <c r="O22" s="92"/>
      <c r="P22" s="71"/>
      <c r="Q22" s="76"/>
      <c r="R22" s="76"/>
      <c r="S22" s="77"/>
      <c r="T22" s="76"/>
      <c r="U22" s="76"/>
      <c r="V22" s="76"/>
      <c r="W22" s="76"/>
      <c r="X22" s="76"/>
      <c r="Y22" s="70"/>
    </row>
    <row r="23" spans="1:25" x14ac:dyDescent="0.2">
      <c r="A23" s="70" t="s">
        <v>133</v>
      </c>
      <c r="B23" s="70"/>
      <c r="C23" s="70"/>
      <c r="D23" s="131">
        <v>84</v>
      </c>
      <c r="E23" s="76">
        <v>1.74</v>
      </c>
      <c r="F23" s="76">
        <v>1.49</v>
      </c>
      <c r="G23" s="77">
        <v>2500</v>
      </c>
      <c r="H23" s="76">
        <f>+E23*G23</f>
        <v>4350</v>
      </c>
      <c r="I23" s="75"/>
      <c r="J23" s="75"/>
      <c r="K23" s="75">
        <f>+H23+I23+J23</f>
        <v>4350</v>
      </c>
      <c r="L23" s="76"/>
      <c r="M23" s="76"/>
      <c r="O23" s="92"/>
      <c r="P23" s="71"/>
      <c r="Q23" s="76"/>
      <c r="R23" s="76"/>
      <c r="S23" s="77"/>
      <c r="T23" s="76"/>
      <c r="U23" s="76"/>
      <c r="V23" s="76"/>
      <c r="W23" s="76"/>
      <c r="X23" s="76"/>
      <c r="Y23" s="76"/>
    </row>
    <row r="24" spans="1:25" x14ac:dyDescent="0.2">
      <c r="A24" s="70" t="s">
        <v>94</v>
      </c>
      <c r="B24" s="70"/>
      <c r="C24" s="70"/>
      <c r="D24" s="131">
        <v>91</v>
      </c>
      <c r="E24" s="82">
        <v>0.14000000000000001</v>
      </c>
      <c r="F24" s="82">
        <v>0.12</v>
      </c>
      <c r="G24" s="82">
        <v>1600</v>
      </c>
      <c r="H24" s="76">
        <f>+E24*G24</f>
        <v>224.00000000000003</v>
      </c>
      <c r="I24" s="83">
        <v>1537</v>
      </c>
      <c r="J24" s="83"/>
      <c r="K24" s="75">
        <f>+H24+I24+J24</f>
        <v>1761</v>
      </c>
      <c r="L24" s="82">
        <v>500</v>
      </c>
      <c r="M24" s="84"/>
      <c r="O24" s="92"/>
      <c r="P24" s="71"/>
      <c r="Q24" s="82"/>
      <c r="R24" s="82"/>
      <c r="S24" s="82"/>
      <c r="T24" s="76"/>
      <c r="U24" s="82"/>
      <c r="V24" s="82"/>
      <c r="W24" s="76"/>
      <c r="X24" s="82"/>
      <c r="Y24" s="84"/>
    </row>
    <row r="25" spans="1:25" x14ac:dyDescent="0.2">
      <c r="A25" s="78" t="s">
        <v>34</v>
      </c>
      <c r="B25" s="78"/>
      <c r="C25" s="78"/>
      <c r="D25" s="138"/>
      <c r="E25" s="86"/>
      <c r="F25" s="86"/>
      <c r="G25" s="87"/>
      <c r="H25" s="76"/>
      <c r="I25" s="88"/>
      <c r="J25" s="88"/>
      <c r="K25" s="75">
        <v>2000</v>
      </c>
      <c r="L25" s="86"/>
      <c r="M25" s="86"/>
      <c r="O25" s="92"/>
      <c r="P25" s="85"/>
      <c r="Q25" s="86"/>
      <c r="R25" s="86"/>
      <c r="S25" s="87"/>
      <c r="T25" s="86"/>
      <c r="U25" s="86"/>
      <c r="V25" s="86"/>
      <c r="W25" s="76"/>
      <c r="X25" s="86"/>
      <c r="Y25" s="86"/>
    </row>
    <row r="26" spans="1:25" x14ac:dyDescent="0.2">
      <c r="A26" s="60" t="s">
        <v>134</v>
      </c>
      <c r="B26" s="60"/>
      <c r="C26" s="60"/>
      <c r="D26" s="89"/>
      <c r="E26" s="90">
        <f t="shared" ref="E26:M26" si="0">SUM(E9:E25)</f>
        <v>13.888917748917748</v>
      </c>
      <c r="F26" s="90">
        <f t="shared" si="0"/>
        <v>9.1196536796536787</v>
      </c>
      <c r="G26" s="90">
        <f t="shared" si="0"/>
        <v>22410</v>
      </c>
      <c r="H26" s="90">
        <f t="shared" si="0"/>
        <v>30524</v>
      </c>
      <c r="I26" s="91">
        <f t="shared" si="0"/>
        <v>44637</v>
      </c>
      <c r="J26" s="91">
        <f t="shared" si="0"/>
        <v>54867</v>
      </c>
      <c r="K26" s="91">
        <f t="shared" si="0"/>
        <v>132028</v>
      </c>
      <c r="L26" s="91">
        <f t="shared" si="0"/>
        <v>3334</v>
      </c>
      <c r="M26" s="91">
        <f t="shared" si="0"/>
        <v>5379</v>
      </c>
      <c r="O26" s="80"/>
      <c r="P26" s="80"/>
      <c r="Q26" s="92"/>
      <c r="R26" s="80"/>
    </row>
    <row r="27" spans="1:25" x14ac:dyDescent="0.2">
      <c r="A27" s="67" t="s">
        <v>135</v>
      </c>
      <c r="B27" s="67"/>
      <c r="C27" s="67"/>
      <c r="D27" s="93"/>
      <c r="E27" s="94">
        <f>+E26-F26</f>
        <v>4.7692640692640698</v>
      </c>
      <c r="F27" s="94"/>
      <c r="G27" s="94"/>
      <c r="H27" s="94">
        <f>+E38*G38</f>
        <v>10900</v>
      </c>
      <c r="I27" s="95">
        <f>+I26-L26</f>
        <v>41303</v>
      </c>
      <c r="J27" s="95">
        <f>+J26-M26</f>
        <v>49488</v>
      </c>
      <c r="K27" s="96">
        <f>+H27+I27+J27</f>
        <v>101691</v>
      </c>
      <c r="L27" s="67"/>
      <c r="M27" s="67"/>
      <c r="O27" s="80"/>
      <c r="P27" s="80"/>
      <c r="Q27" s="92"/>
      <c r="R27" s="80"/>
    </row>
    <row r="28" spans="1:25" x14ac:dyDescent="0.2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</row>
    <row r="29" spans="1:25" x14ac:dyDescent="0.2">
      <c r="A29" s="70"/>
      <c r="B29" s="70"/>
      <c r="C29" s="70" t="s">
        <v>37</v>
      </c>
      <c r="D29" s="70"/>
      <c r="E29" s="70"/>
      <c r="F29" s="70"/>
      <c r="G29" s="70"/>
      <c r="H29" s="70"/>
      <c r="I29" s="70"/>
      <c r="J29" s="70"/>
      <c r="K29" s="70"/>
      <c r="L29" s="70"/>
      <c r="M29" s="70"/>
    </row>
    <row r="30" spans="1:25" x14ac:dyDescent="0.2">
      <c r="A30" s="70"/>
      <c r="B30" s="70"/>
      <c r="C30" s="70"/>
      <c r="D30" s="70"/>
      <c r="E30" s="70"/>
      <c r="F30" s="70"/>
      <c r="G30" s="70"/>
      <c r="H30" s="70"/>
      <c r="I30" s="70"/>
      <c r="J30" s="146"/>
      <c r="K30" s="147"/>
      <c r="L30" s="70"/>
      <c r="M30" s="70"/>
    </row>
    <row r="31" spans="1:25" x14ac:dyDescent="0.2">
      <c r="A31" s="70" t="s">
        <v>96</v>
      </c>
      <c r="B31" s="70"/>
      <c r="C31" s="70"/>
      <c r="D31" s="70"/>
      <c r="E31" s="70"/>
      <c r="F31" s="70"/>
      <c r="G31" s="70"/>
      <c r="H31" s="70"/>
      <c r="I31" s="70"/>
      <c r="K31" s="119"/>
      <c r="L31" s="70"/>
      <c r="M31" s="148"/>
    </row>
    <row r="32" spans="1:25" x14ac:dyDescent="0.2">
      <c r="A32" s="101" t="s">
        <v>38</v>
      </c>
      <c r="B32" s="101"/>
      <c r="C32" s="101"/>
      <c r="D32" s="102" t="s">
        <v>39</v>
      </c>
      <c r="E32" s="102" t="s">
        <v>40</v>
      </c>
      <c r="F32" s="102"/>
      <c r="G32" s="102" t="s">
        <v>41</v>
      </c>
      <c r="H32" s="149" t="s">
        <v>136</v>
      </c>
      <c r="I32" s="70"/>
      <c r="M32" s="107"/>
    </row>
    <row r="33" spans="1:17" x14ac:dyDescent="0.2">
      <c r="A33" s="70" t="s">
        <v>43</v>
      </c>
      <c r="B33" s="70"/>
      <c r="C33" s="70"/>
      <c r="D33" s="108" t="s">
        <v>47</v>
      </c>
      <c r="E33" s="70"/>
      <c r="F33" s="70"/>
      <c r="G33" s="70"/>
      <c r="H33" s="150" t="s">
        <v>137</v>
      </c>
      <c r="I33" s="70"/>
      <c r="M33" s="107"/>
    </row>
    <row r="34" spans="1:17" x14ac:dyDescent="0.2">
      <c r="A34" s="70" t="s">
        <v>46</v>
      </c>
      <c r="B34" s="70"/>
      <c r="C34" s="70"/>
      <c r="D34" s="74">
        <v>54</v>
      </c>
      <c r="E34" s="79"/>
      <c r="F34" s="74"/>
      <c r="G34" s="75">
        <v>169</v>
      </c>
      <c r="H34" s="150" t="s">
        <v>138</v>
      </c>
      <c r="I34" s="70"/>
      <c r="K34" s="119"/>
      <c r="L34" s="70"/>
      <c r="M34" s="107"/>
    </row>
    <row r="35" spans="1:17" x14ac:dyDescent="0.2">
      <c r="A35" s="70"/>
      <c r="B35" s="70"/>
      <c r="C35" s="70"/>
      <c r="D35" s="76"/>
      <c r="E35" s="111"/>
      <c r="F35" s="70"/>
      <c r="G35" s="112"/>
      <c r="H35" s="150" t="s">
        <v>139</v>
      </c>
      <c r="I35" s="70"/>
      <c r="K35" s="119"/>
      <c r="L35" s="70"/>
      <c r="M35" s="107"/>
    </row>
    <row r="36" spans="1:17" x14ac:dyDescent="0.2">
      <c r="A36" s="70"/>
      <c r="B36" s="70"/>
      <c r="C36" s="70"/>
      <c r="D36" s="76"/>
      <c r="E36" s="111"/>
      <c r="F36" s="70"/>
      <c r="G36" s="112"/>
      <c r="H36" s="150" t="s">
        <v>140</v>
      </c>
      <c r="I36" s="70"/>
      <c r="J36" s="107"/>
      <c r="K36" s="119"/>
      <c r="L36" s="70"/>
      <c r="M36" s="107"/>
    </row>
    <row r="37" spans="1:17" x14ac:dyDescent="0.2">
      <c r="A37" s="70" t="s">
        <v>51</v>
      </c>
      <c r="B37" s="70"/>
      <c r="C37" s="70"/>
      <c r="D37" s="76"/>
      <c r="E37" s="70"/>
      <c r="F37" s="70"/>
      <c r="G37" s="70"/>
      <c r="H37" s="70"/>
      <c r="I37" s="70"/>
      <c r="J37" s="107"/>
      <c r="K37" s="119"/>
      <c r="L37" s="70"/>
      <c r="M37" s="107"/>
    </row>
    <row r="38" spans="1:17" x14ac:dyDescent="0.2">
      <c r="A38" s="70" t="s">
        <v>53</v>
      </c>
      <c r="B38" s="70"/>
      <c r="C38" s="70"/>
      <c r="D38" s="70" t="s">
        <v>54</v>
      </c>
      <c r="E38" s="76">
        <v>5</v>
      </c>
      <c r="F38" s="70"/>
      <c r="G38" s="76">
        <v>2180</v>
      </c>
      <c r="H38" s="76"/>
      <c r="I38" s="118"/>
      <c r="J38" s="107"/>
      <c r="K38" s="119"/>
      <c r="L38" s="70"/>
      <c r="M38" s="107"/>
    </row>
    <row r="39" spans="1:17" x14ac:dyDescent="0.2">
      <c r="A39" s="70" t="s">
        <v>56</v>
      </c>
      <c r="B39" s="70"/>
      <c r="C39" s="70"/>
      <c r="D39" s="70" t="s">
        <v>54</v>
      </c>
      <c r="E39" s="76">
        <v>9</v>
      </c>
      <c r="F39" s="70"/>
      <c r="G39" s="70"/>
      <c r="H39" s="70"/>
      <c r="I39" s="118"/>
      <c r="J39" s="107"/>
      <c r="K39" s="119"/>
      <c r="L39" s="70"/>
      <c r="M39" s="107"/>
      <c r="N39" s="80"/>
      <c r="O39" s="80"/>
      <c r="P39" s="80"/>
      <c r="Q39" s="80"/>
    </row>
    <row r="40" spans="1:17" x14ac:dyDescent="0.2">
      <c r="A40" s="70" t="s">
        <v>8</v>
      </c>
      <c r="B40" s="70"/>
      <c r="C40" s="70"/>
      <c r="D40" s="70" t="s">
        <v>54</v>
      </c>
      <c r="E40" s="76">
        <f>E38+E39</f>
        <v>14</v>
      </c>
      <c r="F40" s="70"/>
      <c r="G40" s="70"/>
      <c r="H40" s="70"/>
      <c r="I40" s="118"/>
      <c r="J40" s="118"/>
      <c r="K40" s="120"/>
      <c r="L40" s="70"/>
      <c r="M40" s="70"/>
    </row>
    <row r="41" spans="1:17" x14ac:dyDescent="0.2">
      <c r="A41" s="70"/>
      <c r="B41" s="70"/>
      <c r="C41" s="70"/>
      <c r="D41" s="76"/>
      <c r="E41" s="70"/>
      <c r="F41" s="70"/>
      <c r="G41" s="70"/>
      <c r="H41" s="70"/>
      <c r="I41" s="118"/>
      <c r="L41" s="70"/>
      <c r="M41" s="70"/>
    </row>
    <row r="42" spans="1:17" x14ac:dyDescent="0.2">
      <c r="A42" s="60" t="s">
        <v>141</v>
      </c>
      <c r="B42" s="60"/>
      <c r="C42" s="60" t="s">
        <v>59</v>
      </c>
      <c r="D42" s="60"/>
      <c r="E42" s="60"/>
      <c r="F42" s="60"/>
      <c r="G42" s="60"/>
      <c r="H42" s="60"/>
      <c r="I42" s="118"/>
      <c r="L42" s="70"/>
      <c r="M42" s="70"/>
    </row>
    <row r="43" spans="1:17" x14ac:dyDescent="0.2">
      <c r="A43" s="64" t="s">
        <v>60</v>
      </c>
      <c r="B43" s="70" t="s">
        <v>103</v>
      </c>
      <c r="C43" s="125">
        <v>44</v>
      </c>
      <c r="D43" s="108" t="s">
        <v>47</v>
      </c>
      <c r="E43" s="75">
        <v>105</v>
      </c>
      <c r="F43" s="123"/>
      <c r="G43" s="151" t="s">
        <v>142</v>
      </c>
      <c r="H43" s="123"/>
      <c r="I43" s="124"/>
      <c r="J43" s="70"/>
      <c r="K43" s="70"/>
      <c r="L43" s="70"/>
      <c r="M43" s="70"/>
    </row>
    <row r="44" spans="1:17" x14ac:dyDescent="0.2">
      <c r="B44" s="56" t="s">
        <v>157</v>
      </c>
      <c r="E44" s="75"/>
      <c r="F44" s="123"/>
      <c r="G44" s="123"/>
      <c r="H44" s="123"/>
      <c r="I44" s="124"/>
      <c r="J44" s="70"/>
      <c r="K44" s="113" t="s">
        <v>99</v>
      </c>
      <c r="L44" s="114">
        <v>1.8257575757575757</v>
      </c>
      <c r="M44" s="70"/>
    </row>
    <row r="45" spans="1:17" x14ac:dyDescent="0.2">
      <c r="A45" s="64"/>
      <c r="B45" s="64" t="s">
        <v>62</v>
      </c>
      <c r="C45" s="125"/>
      <c r="D45" s="108"/>
      <c r="E45" s="75"/>
      <c r="F45" s="123"/>
      <c r="G45" s="123"/>
      <c r="H45" s="123"/>
      <c r="I45" s="124"/>
      <c r="J45" s="70"/>
      <c r="K45" s="115" t="s">
        <v>100</v>
      </c>
      <c r="L45" s="116">
        <v>1</v>
      </c>
      <c r="M45" s="70"/>
    </row>
    <row r="46" spans="1:17" x14ac:dyDescent="0.2">
      <c r="A46" s="64"/>
      <c r="B46" s="64" t="s">
        <v>65</v>
      </c>
      <c r="C46" s="125"/>
      <c r="D46" s="108"/>
      <c r="E46" s="75"/>
      <c r="F46" s="123"/>
      <c r="G46" s="123"/>
      <c r="H46" s="123"/>
      <c r="I46" s="124"/>
      <c r="J46" s="70"/>
      <c r="K46" s="70"/>
      <c r="L46" s="70"/>
      <c r="M46" s="70"/>
    </row>
    <row r="47" spans="1:17" x14ac:dyDescent="0.2">
      <c r="A47" s="64" t="s">
        <v>104</v>
      </c>
      <c r="B47" s="64" t="s">
        <v>105</v>
      </c>
      <c r="C47" s="125"/>
      <c r="D47" s="108" t="s">
        <v>47</v>
      </c>
      <c r="E47" s="75"/>
      <c r="F47" s="123"/>
      <c r="G47" s="123"/>
      <c r="H47" s="123"/>
      <c r="I47" s="124"/>
      <c r="J47" s="70"/>
      <c r="K47" s="70"/>
      <c r="L47" s="70"/>
      <c r="M47" s="70"/>
    </row>
    <row r="48" spans="1:17" x14ac:dyDescent="0.2">
      <c r="A48" s="64"/>
      <c r="B48" s="64" t="s">
        <v>106</v>
      </c>
      <c r="C48" s="125">
        <v>53</v>
      </c>
      <c r="D48" s="108"/>
      <c r="E48" s="75">
        <v>59</v>
      </c>
      <c r="F48" s="123"/>
      <c r="G48" s="123">
        <v>200</v>
      </c>
      <c r="H48" s="123"/>
      <c r="I48" s="124"/>
      <c r="J48" s="70"/>
      <c r="K48" s="70"/>
      <c r="L48" s="70"/>
      <c r="M48" s="70"/>
    </row>
    <row r="49" spans="1:13" x14ac:dyDescent="0.2">
      <c r="A49" s="64"/>
      <c r="B49" s="64" t="s">
        <v>107</v>
      </c>
      <c r="C49" s="125">
        <v>43</v>
      </c>
      <c r="D49" s="108"/>
      <c r="E49" s="75">
        <v>52</v>
      </c>
      <c r="F49" s="123"/>
      <c r="G49" s="123">
        <v>400</v>
      </c>
      <c r="H49" s="123"/>
      <c r="I49" s="124"/>
      <c r="J49" s="70"/>
      <c r="K49" s="70"/>
      <c r="L49" s="70"/>
      <c r="M49" s="70"/>
    </row>
    <row r="50" spans="1:13" x14ac:dyDescent="0.2">
      <c r="A50" s="64"/>
      <c r="B50" s="64" t="s">
        <v>65</v>
      </c>
      <c r="C50" s="125">
        <v>40</v>
      </c>
      <c r="D50" s="108" t="s">
        <v>47</v>
      </c>
      <c r="E50" s="75">
        <v>17</v>
      </c>
      <c r="F50" s="96"/>
      <c r="G50" s="96">
        <v>327</v>
      </c>
      <c r="H50" s="96"/>
      <c r="I50" s="124"/>
      <c r="J50" s="118"/>
      <c r="K50" s="70"/>
      <c r="L50" s="70"/>
      <c r="M50" s="70"/>
    </row>
    <row r="51" spans="1:13" x14ac:dyDescent="0.2">
      <c r="A51" s="60" t="s">
        <v>71</v>
      </c>
      <c r="B51" s="60"/>
      <c r="C51" s="60"/>
      <c r="D51" s="60"/>
      <c r="E51" s="61" t="s">
        <v>72</v>
      </c>
      <c r="G51" s="64" t="s">
        <v>73</v>
      </c>
      <c r="I51" s="70"/>
      <c r="J51" s="70"/>
      <c r="K51" s="70"/>
      <c r="L51" s="70"/>
      <c r="M51" s="70"/>
    </row>
    <row r="52" spans="1:13" x14ac:dyDescent="0.2">
      <c r="A52" s="64" t="s">
        <v>108</v>
      </c>
      <c r="B52" s="64"/>
      <c r="C52" s="64"/>
      <c r="D52" s="64"/>
      <c r="E52" s="124">
        <v>1590</v>
      </c>
      <c r="G52" s="422">
        <f>+E52*2.471</f>
        <v>3928.8900000000003</v>
      </c>
      <c r="I52" s="70"/>
      <c r="J52" s="70"/>
      <c r="K52" s="70"/>
      <c r="L52" s="70"/>
      <c r="M52" s="70"/>
    </row>
    <row r="53" spans="1:13" x14ac:dyDescent="0.2">
      <c r="A53" s="64" t="s">
        <v>109</v>
      </c>
      <c r="B53" s="64"/>
      <c r="C53" s="64"/>
      <c r="D53" s="64"/>
      <c r="E53" s="124">
        <v>92</v>
      </c>
      <c r="G53" s="126"/>
      <c r="I53" s="70"/>
      <c r="J53" s="70"/>
      <c r="K53" s="70"/>
      <c r="L53" s="70"/>
      <c r="M53" s="70"/>
    </row>
    <row r="54" spans="1:13" x14ac:dyDescent="0.2">
      <c r="A54" s="64" t="s">
        <v>110</v>
      </c>
      <c r="B54" s="64"/>
      <c r="C54" s="64"/>
      <c r="D54" s="64"/>
      <c r="E54" s="124">
        <f>+E52*E53</f>
        <v>146280</v>
      </c>
      <c r="G54" s="422">
        <f>+E54*2.471</f>
        <v>361457.88</v>
      </c>
      <c r="I54" s="70"/>
      <c r="J54" s="70"/>
      <c r="K54" s="70"/>
      <c r="L54" s="70"/>
      <c r="M54" s="70"/>
    </row>
    <row r="55" spans="1:13" x14ac:dyDescent="0.2">
      <c r="A55" s="64" t="s">
        <v>111</v>
      </c>
      <c r="B55" s="64"/>
      <c r="C55" s="64"/>
      <c r="D55" s="64"/>
      <c r="E55" s="124">
        <f>+E54-K26</f>
        <v>14252</v>
      </c>
      <c r="G55" s="422">
        <f>+E55*2.471</f>
        <v>35216.692000000003</v>
      </c>
      <c r="I55" s="70"/>
      <c r="J55" s="76"/>
      <c r="K55" s="76"/>
      <c r="L55" s="70"/>
      <c r="M55" s="70"/>
    </row>
    <row r="56" spans="1:13" x14ac:dyDescent="0.2">
      <c r="A56" s="64" t="s">
        <v>112</v>
      </c>
      <c r="B56" s="64"/>
      <c r="C56" s="64"/>
      <c r="D56" s="64"/>
      <c r="E56" s="124">
        <f>+E54-K27</f>
        <v>44589</v>
      </c>
      <c r="G56" s="422">
        <f>+E56*2.471</f>
        <v>110179.41900000001</v>
      </c>
      <c r="I56" s="70"/>
      <c r="J56" s="76"/>
      <c r="K56" s="70"/>
      <c r="L56" s="70"/>
      <c r="M56" s="70"/>
    </row>
    <row r="57" spans="1:13" x14ac:dyDescent="0.2">
      <c r="A57" s="64" t="s">
        <v>113</v>
      </c>
      <c r="B57" s="64"/>
      <c r="C57" s="64"/>
      <c r="D57" s="64"/>
      <c r="E57" s="124">
        <f>+K26/E52</f>
        <v>83.036477987421378</v>
      </c>
      <c r="G57" s="127"/>
      <c r="I57" s="70"/>
      <c r="J57" s="70"/>
      <c r="K57" s="70"/>
      <c r="L57" s="70"/>
      <c r="M57" s="70"/>
    </row>
    <row r="58" spans="1:13" x14ac:dyDescent="0.2">
      <c r="A58" s="67" t="s">
        <v>114</v>
      </c>
      <c r="B58" s="67"/>
      <c r="C58" s="67"/>
      <c r="D58" s="67"/>
      <c r="E58" s="94">
        <f>+K27/E52</f>
        <v>63.956603773584902</v>
      </c>
      <c r="F58" s="153"/>
      <c r="G58" s="128"/>
      <c r="I58" s="70"/>
      <c r="J58" s="70"/>
      <c r="K58" s="70"/>
      <c r="L58" s="70"/>
      <c r="M58" s="70"/>
    </row>
    <row r="61" spans="1:13" x14ac:dyDescent="0.2">
      <c r="A61" s="56" t="s">
        <v>461</v>
      </c>
      <c r="C61" s="129"/>
    </row>
    <row r="62" spans="1:13" x14ac:dyDescent="0.2">
      <c r="A62" s="56" t="s">
        <v>462</v>
      </c>
      <c r="C62" s="129"/>
    </row>
    <row r="63" spans="1:13" x14ac:dyDescent="0.2">
      <c r="A63" s="130" t="s">
        <v>463</v>
      </c>
      <c r="C63" s="129"/>
    </row>
  </sheetData>
  <mergeCells count="5">
    <mergeCell ref="E15:E16"/>
    <mergeCell ref="F15:F16"/>
    <mergeCell ref="G15:G16"/>
    <mergeCell ref="H15:H16"/>
    <mergeCell ref="K15:K16"/>
  </mergeCells>
  <pageMargins left="0.7" right="0.7" top="0.75" bottom="0.75" header="0.3" footer="0.3"/>
  <pageSetup paperSize="9" scale="56" fitToHeight="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6"/>
  <sheetViews>
    <sheetView topLeftCell="A7" zoomScale="86" zoomScaleNormal="86" workbookViewId="0">
      <selection sqref="A1:M53"/>
    </sheetView>
  </sheetViews>
  <sheetFormatPr defaultColWidth="9.140625" defaultRowHeight="15" x14ac:dyDescent="0.25"/>
  <cols>
    <col min="1" max="1" width="18.5703125" style="155" customWidth="1"/>
    <col min="2" max="2" width="8.85546875" style="155" customWidth="1"/>
    <col min="3" max="3" width="10" style="155" customWidth="1"/>
    <col min="4" max="4" width="6.7109375" style="155" customWidth="1"/>
    <col min="5" max="5" width="10.85546875" style="155" customWidth="1"/>
    <col min="6" max="6" width="14" style="155" customWidth="1"/>
    <col min="7" max="7" width="10.42578125" style="155" customWidth="1"/>
    <col min="8" max="8" width="15.85546875" style="155" customWidth="1"/>
    <col min="9" max="9" width="10.42578125" style="155" bestFit="1" customWidth="1"/>
    <col min="10" max="10" width="9.7109375" style="155" customWidth="1"/>
    <col min="11" max="11" width="11.42578125" style="155" bestFit="1" customWidth="1"/>
    <col min="12" max="12" width="9.140625" style="155"/>
    <col min="13" max="13" width="9.28515625" style="155" bestFit="1" customWidth="1"/>
    <col min="14" max="14" width="9.140625" style="155"/>
    <col min="15" max="15" width="9.28515625" style="155" bestFit="1" customWidth="1"/>
    <col min="16" max="16384" width="9.140625" style="155"/>
  </cols>
  <sheetData>
    <row r="1" spans="1:25" x14ac:dyDescent="0.25">
      <c r="A1" s="24" t="s">
        <v>0</v>
      </c>
      <c r="B1" s="154" t="s">
        <v>83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25" x14ac:dyDescent="0.25">
      <c r="A2" s="24"/>
      <c r="B2" s="156" t="s">
        <v>143</v>
      </c>
      <c r="C2" s="156" t="s">
        <v>144</v>
      </c>
      <c r="D2" s="156"/>
      <c r="E2" s="156"/>
      <c r="F2" s="24"/>
      <c r="G2" s="24"/>
      <c r="H2" s="24"/>
      <c r="I2" s="24"/>
      <c r="J2" s="24"/>
      <c r="K2" s="24"/>
      <c r="L2" s="24"/>
      <c r="M2" s="24"/>
    </row>
    <row r="3" spans="1:25" x14ac:dyDescent="0.25">
      <c r="A3" s="24"/>
      <c r="B3" s="7" t="s">
        <v>628</v>
      </c>
      <c r="C3" s="7"/>
      <c r="D3" s="7"/>
      <c r="E3" s="7"/>
      <c r="F3" s="24"/>
      <c r="G3" s="24"/>
      <c r="H3" s="24"/>
      <c r="I3" s="24"/>
      <c r="J3" s="24"/>
      <c r="K3" s="24"/>
      <c r="L3" s="24"/>
      <c r="M3" s="24"/>
    </row>
    <row r="4" spans="1:25" x14ac:dyDescent="0.25">
      <c r="A4" s="24"/>
      <c r="B4" s="7"/>
      <c r="C4" s="7"/>
      <c r="D4" s="7"/>
      <c r="E4" s="7"/>
      <c r="F4" s="24"/>
      <c r="G4" s="24"/>
      <c r="H4" s="24"/>
      <c r="I4" s="24"/>
      <c r="J4" s="24"/>
      <c r="K4" s="24"/>
      <c r="L4" s="24"/>
      <c r="M4" s="24"/>
    </row>
    <row r="5" spans="1:25" x14ac:dyDescent="0.25">
      <c r="A5" s="16" t="s">
        <v>6</v>
      </c>
      <c r="B5" s="16"/>
      <c r="C5" s="16"/>
      <c r="D5" s="157" t="s">
        <v>7</v>
      </c>
      <c r="E5" s="157" t="s">
        <v>8</v>
      </c>
      <c r="F5" s="157" t="s">
        <v>9</v>
      </c>
      <c r="G5" s="157" t="s">
        <v>10</v>
      </c>
      <c r="H5" s="157" t="s">
        <v>86</v>
      </c>
      <c r="I5" s="158" t="s">
        <v>12</v>
      </c>
      <c r="J5" s="158" t="s">
        <v>13</v>
      </c>
      <c r="K5" s="158" t="s">
        <v>14</v>
      </c>
      <c r="L5" s="159" t="s">
        <v>15</v>
      </c>
      <c r="M5" s="157"/>
    </row>
    <row r="6" spans="1:25" x14ac:dyDescent="0.25">
      <c r="A6" s="34"/>
      <c r="B6" s="34"/>
      <c r="C6" s="34"/>
      <c r="D6" s="160" t="s">
        <v>16</v>
      </c>
      <c r="E6" s="160" t="s">
        <v>17</v>
      </c>
      <c r="F6" s="160" t="s">
        <v>17</v>
      </c>
      <c r="G6" s="160" t="s">
        <v>18</v>
      </c>
      <c r="H6" s="160" t="s">
        <v>87</v>
      </c>
      <c r="I6" s="27" t="s">
        <v>20</v>
      </c>
      <c r="J6" s="27" t="s">
        <v>19</v>
      </c>
      <c r="K6" s="27" t="s">
        <v>19</v>
      </c>
      <c r="L6" s="160" t="s">
        <v>12</v>
      </c>
      <c r="M6" s="160" t="s">
        <v>13</v>
      </c>
    </row>
    <row r="7" spans="1:25" x14ac:dyDescent="0.25">
      <c r="A7" s="34"/>
      <c r="B7" s="34"/>
      <c r="C7" s="34"/>
      <c r="D7" s="160" t="s">
        <v>21</v>
      </c>
      <c r="E7" s="160"/>
      <c r="F7" s="160"/>
      <c r="G7" s="160"/>
      <c r="H7" s="160"/>
      <c r="I7" s="27" t="s">
        <v>19</v>
      </c>
      <c r="J7" s="27" t="s">
        <v>22</v>
      </c>
      <c r="K7" s="27" t="s">
        <v>22</v>
      </c>
      <c r="L7" s="160"/>
      <c r="M7" s="160"/>
    </row>
    <row r="8" spans="1:25" x14ac:dyDescent="0.25">
      <c r="A8" s="20"/>
      <c r="B8" s="20"/>
      <c r="C8" s="20"/>
      <c r="D8" s="161"/>
      <c r="E8" s="161"/>
      <c r="F8" s="161"/>
      <c r="G8" s="161"/>
      <c r="H8" s="161"/>
      <c r="I8" s="162" t="s">
        <v>22</v>
      </c>
      <c r="J8" s="162"/>
      <c r="K8" s="162"/>
      <c r="L8" s="161"/>
      <c r="M8" s="161"/>
    </row>
    <row r="9" spans="1:25" x14ac:dyDescent="0.25">
      <c r="A9" s="1" t="s">
        <v>23</v>
      </c>
      <c r="B9" s="1"/>
      <c r="C9" s="1"/>
      <c r="D9" s="163">
        <v>100</v>
      </c>
      <c r="E9" s="164">
        <v>0.6</v>
      </c>
      <c r="F9" s="164">
        <v>0.4</v>
      </c>
      <c r="G9" s="165">
        <v>2591</v>
      </c>
      <c r="H9" s="166">
        <v>1555</v>
      </c>
      <c r="I9" s="14"/>
      <c r="J9" s="14"/>
      <c r="K9" s="14">
        <f>+H9+I9+J9</f>
        <v>1555</v>
      </c>
      <c r="L9" s="1"/>
      <c r="M9" s="1"/>
      <c r="P9" s="258"/>
      <c r="Q9" s="31"/>
      <c r="R9" s="31"/>
      <c r="S9" s="168"/>
      <c r="T9" s="31"/>
      <c r="U9" s="1"/>
      <c r="V9" s="31"/>
      <c r="W9" s="31"/>
      <c r="X9" s="1"/>
      <c r="Y9" s="1"/>
    </row>
    <row r="10" spans="1:25" ht="18" x14ac:dyDescent="0.25">
      <c r="A10" s="1" t="s">
        <v>145</v>
      </c>
      <c r="B10" s="169"/>
      <c r="C10" s="169"/>
      <c r="D10" s="163">
        <v>100</v>
      </c>
      <c r="E10" s="164">
        <v>0.3</v>
      </c>
      <c r="F10" s="164">
        <v>0.3</v>
      </c>
      <c r="G10" s="165">
        <v>2591</v>
      </c>
      <c r="H10" s="166">
        <v>777</v>
      </c>
      <c r="I10" s="14">
        <v>27750</v>
      </c>
      <c r="J10" s="14"/>
      <c r="K10" s="14">
        <f>+H10+I10+J10</f>
        <v>28527</v>
      </c>
      <c r="L10" s="1"/>
      <c r="M10" s="170"/>
      <c r="P10" s="258"/>
      <c r="Q10" s="31"/>
      <c r="R10" s="31"/>
      <c r="S10" s="168"/>
      <c r="T10" s="31"/>
      <c r="U10" s="31"/>
      <c r="V10" s="31"/>
      <c r="W10" s="31"/>
      <c r="X10" s="1"/>
      <c r="Y10" s="169"/>
    </row>
    <row r="11" spans="1:25" x14ac:dyDescent="0.25">
      <c r="A11" s="1" t="s">
        <v>25</v>
      </c>
      <c r="B11" s="1"/>
      <c r="C11" s="1"/>
      <c r="D11" s="163">
        <v>100</v>
      </c>
      <c r="E11" s="164">
        <v>4.8</v>
      </c>
      <c r="F11" s="164">
        <v>0.6</v>
      </c>
      <c r="G11" s="165">
        <v>2635</v>
      </c>
      <c r="H11" s="166">
        <v>12648</v>
      </c>
      <c r="I11" s="14"/>
      <c r="J11" s="14"/>
      <c r="K11" s="14">
        <f>+H11+I11+J11</f>
        <v>12648</v>
      </c>
      <c r="L11" s="31"/>
      <c r="M11" s="171"/>
      <c r="P11" s="258"/>
      <c r="Q11" s="31"/>
      <c r="R11" s="31"/>
      <c r="S11" s="168"/>
      <c r="T11" s="31"/>
      <c r="U11" s="31"/>
      <c r="V11" s="31"/>
      <c r="W11" s="31"/>
      <c r="X11" s="31"/>
      <c r="Y11" s="31"/>
    </row>
    <row r="12" spans="1:25" x14ac:dyDescent="0.25">
      <c r="A12" s="1" t="s">
        <v>90</v>
      </c>
      <c r="B12" s="1"/>
      <c r="C12" s="1"/>
      <c r="D12" s="163">
        <v>100</v>
      </c>
      <c r="E12" s="164">
        <v>2.5</v>
      </c>
      <c r="F12" s="164">
        <v>0.2</v>
      </c>
      <c r="G12" s="165">
        <v>2652</v>
      </c>
      <c r="H12" s="166">
        <v>6630</v>
      </c>
      <c r="I12" s="14"/>
      <c r="J12" s="14">
        <f>+E30*G30</f>
        <v>11786</v>
      </c>
      <c r="K12" s="14">
        <f>+H12+I12+J12</f>
        <v>18416</v>
      </c>
      <c r="L12" s="1"/>
      <c r="M12" s="171">
        <v>7047</v>
      </c>
      <c r="P12" s="258"/>
      <c r="Q12" s="31"/>
      <c r="R12" s="31"/>
      <c r="S12" s="168"/>
      <c r="T12" s="31"/>
      <c r="U12" s="31"/>
      <c r="V12" s="31"/>
      <c r="W12" s="31"/>
      <c r="X12" s="1"/>
      <c r="Y12" s="31"/>
    </row>
    <row r="13" spans="1:25" x14ac:dyDescent="0.25">
      <c r="A13" s="1" t="s">
        <v>91</v>
      </c>
      <c r="B13" s="1"/>
      <c r="C13" s="1"/>
      <c r="D13" s="163" t="s">
        <v>146</v>
      </c>
      <c r="E13" s="1046">
        <v>0.7</v>
      </c>
      <c r="F13" s="1046">
        <v>0.7</v>
      </c>
      <c r="G13" s="1047">
        <v>2652</v>
      </c>
      <c r="H13" s="1048">
        <v>1856</v>
      </c>
      <c r="I13" s="14">
        <v>245</v>
      </c>
      <c r="J13" s="14">
        <v>0</v>
      </c>
      <c r="K13" s="1049">
        <f>+H13+I13+J13+J14</f>
        <v>39853</v>
      </c>
      <c r="L13" s="31"/>
      <c r="M13" s="171"/>
      <c r="N13" s="172"/>
      <c r="P13" s="258"/>
      <c r="Q13" s="31"/>
      <c r="R13" s="31"/>
      <c r="S13" s="168"/>
      <c r="T13" s="31"/>
      <c r="U13" s="31"/>
      <c r="V13" s="31"/>
      <c r="W13" s="31"/>
      <c r="X13" s="31"/>
      <c r="Y13" s="31"/>
    </row>
    <row r="14" spans="1:25" x14ac:dyDescent="0.25">
      <c r="A14" s="1" t="s">
        <v>92</v>
      </c>
      <c r="B14" s="1"/>
      <c r="C14" s="1"/>
      <c r="D14" s="163">
        <v>100</v>
      </c>
      <c r="E14" s="1046"/>
      <c r="F14" s="1046"/>
      <c r="G14" s="1047"/>
      <c r="H14" s="1048"/>
      <c r="I14" s="15"/>
      <c r="J14" s="14">
        <f>+E41*G41+E42*G42</f>
        <v>37752</v>
      </c>
      <c r="K14" s="1049"/>
      <c r="L14" s="31"/>
      <c r="M14" s="171"/>
      <c r="N14" s="172"/>
      <c r="P14" s="258"/>
      <c r="Q14" s="31"/>
      <c r="R14" s="31"/>
      <c r="S14" s="168"/>
      <c r="T14" s="31"/>
      <c r="U14" s="31"/>
      <c r="V14" s="31"/>
      <c r="W14" s="31"/>
      <c r="X14" s="31"/>
      <c r="Y14" s="31"/>
    </row>
    <row r="15" spans="1:25" x14ac:dyDescent="0.25">
      <c r="A15" s="1" t="s">
        <v>28</v>
      </c>
      <c r="B15" s="1"/>
      <c r="C15" s="1"/>
      <c r="D15" s="163">
        <v>100</v>
      </c>
      <c r="E15" s="164">
        <v>0.4</v>
      </c>
      <c r="F15" s="164">
        <v>0.1</v>
      </c>
      <c r="G15" s="165">
        <v>3176</v>
      </c>
      <c r="H15" s="166">
        <v>1270</v>
      </c>
      <c r="I15" s="14"/>
      <c r="J15" s="14">
        <v>12306</v>
      </c>
      <c r="K15" s="14">
        <f t="shared" ref="K15:K20" si="0">+H15+I15+J15</f>
        <v>13576</v>
      </c>
      <c r="L15" s="31"/>
      <c r="M15" s="171"/>
      <c r="P15" s="258"/>
      <c r="Q15" s="31"/>
      <c r="R15" s="31"/>
      <c r="S15" s="168"/>
      <c r="T15" s="31"/>
      <c r="U15" s="31"/>
      <c r="V15" s="31"/>
      <c r="W15" s="31"/>
      <c r="X15" s="31"/>
      <c r="Y15" s="31"/>
    </row>
    <row r="16" spans="1:25" x14ac:dyDescent="0.25">
      <c r="A16" s="1" t="s">
        <v>93</v>
      </c>
      <c r="B16" s="1"/>
      <c r="C16" s="1"/>
      <c r="D16" s="163">
        <v>63</v>
      </c>
      <c r="E16" s="164">
        <v>0.4</v>
      </c>
      <c r="F16" s="164">
        <v>0.1</v>
      </c>
      <c r="G16" s="165">
        <v>3147</v>
      </c>
      <c r="H16" s="166">
        <v>1259</v>
      </c>
      <c r="I16" s="14"/>
      <c r="J16" s="14">
        <v>4193</v>
      </c>
      <c r="K16" s="14">
        <f t="shared" si="0"/>
        <v>5452</v>
      </c>
      <c r="L16" s="31"/>
      <c r="M16" s="171"/>
      <c r="P16" s="258"/>
      <c r="Q16" s="31"/>
      <c r="R16" s="31"/>
      <c r="S16" s="168"/>
      <c r="T16" s="31"/>
      <c r="U16" s="31"/>
      <c r="V16" s="31"/>
      <c r="W16" s="31"/>
      <c r="X16" s="31"/>
      <c r="Y16" s="31"/>
    </row>
    <row r="17" spans="1:25" x14ac:dyDescent="0.25">
      <c r="A17" s="1" t="s">
        <v>30</v>
      </c>
      <c r="B17" s="1"/>
      <c r="C17" s="1"/>
      <c r="D17" s="163">
        <v>100</v>
      </c>
      <c r="E17" s="164">
        <v>4.9000000000000004</v>
      </c>
      <c r="F17" s="164">
        <v>4.9000000000000004</v>
      </c>
      <c r="G17" s="165">
        <v>2652</v>
      </c>
      <c r="H17" s="166">
        <v>12995</v>
      </c>
      <c r="I17" s="14"/>
      <c r="J17" s="14"/>
      <c r="K17" s="14">
        <f t="shared" si="0"/>
        <v>12995</v>
      </c>
      <c r="L17" s="31"/>
      <c r="M17" s="171"/>
      <c r="P17" s="258"/>
      <c r="Q17" s="31"/>
      <c r="R17" s="31"/>
      <c r="S17" s="168"/>
      <c r="T17" s="31"/>
      <c r="U17" s="31"/>
      <c r="V17" s="31"/>
      <c r="W17" s="31"/>
      <c r="X17" s="31"/>
      <c r="Y17" s="31"/>
    </row>
    <row r="18" spans="1:25" x14ac:dyDescent="0.25">
      <c r="A18" s="1" t="s">
        <v>31</v>
      </c>
      <c r="B18" s="1"/>
      <c r="C18" s="1"/>
      <c r="D18" s="163">
        <v>100</v>
      </c>
      <c r="E18" s="164">
        <v>1.5</v>
      </c>
      <c r="F18" s="164">
        <v>0.2</v>
      </c>
      <c r="G18" s="165">
        <v>2911</v>
      </c>
      <c r="H18" s="166">
        <v>4367</v>
      </c>
      <c r="I18" s="14">
        <v>24642</v>
      </c>
      <c r="J18" s="14"/>
      <c r="K18" s="14">
        <f t="shared" si="0"/>
        <v>29009</v>
      </c>
      <c r="L18" s="31"/>
      <c r="M18" s="171"/>
      <c r="P18" s="258"/>
      <c r="Q18" s="31"/>
      <c r="R18" s="31"/>
      <c r="S18" s="168"/>
      <c r="T18" s="31"/>
      <c r="U18" s="31"/>
      <c r="V18" s="31"/>
      <c r="W18" s="31"/>
      <c r="X18" s="31"/>
      <c r="Y18" s="1"/>
    </row>
    <row r="19" spans="1:25" x14ac:dyDescent="0.25">
      <c r="A19" s="1" t="s">
        <v>133</v>
      </c>
      <c r="B19" s="1"/>
      <c r="C19" s="1"/>
      <c r="D19" s="163">
        <v>47</v>
      </c>
      <c r="E19" s="164">
        <v>0.6</v>
      </c>
      <c r="F19" s="164">
        <v>0.3</v>
      </c>
      <c r="G19" s="165">
        <v>2731</v>
      </c>
      <c r="H19" s="166">
        <v>1639</v>
      </c>
      <c r="I19" s="14"/>
      <c r="J19" s="14"/>
      <c r="K19" s="14">
        <f t="shared" si="0"/>
        <v>1639</v>
      </c>
      <c r="L19" s="31"/>
      <c r="M19" s="171"/>
      <c r="P19" s="258"/>
      <c r="Q19" s="31"/>
      <c r="R19" s="31"/>
      <c r="S19" s="168"/>
      <c r="T19" s="31"/>
      <c r="U19" s="31"/>
      <c r="V19" s="31"/>
      <c r="W19" s="31"/>
      <c r="X19" s="31"/>
      <c r="Y19" s="31"/>
    </row>
    <row r="20" spans="1:25" x14ac:dyDescent="0.25">
      <c r="A20" s="1" t="s">
        <v>147</v>
      </c>
      <c r="B20" s="1"/>
      <c r="C20" s="1"/>
      <c r="D20" s="163">
        <v>100</v>
      </c>
      <c r="E20" s="173">
        <v>0.25</v>
      </c>
      <c r="F20" s="173">
        <v>0.25</v>
      </c>
      <c r="G20" s="174">
        <v>2731</v>
      </c>
      <c r="H20" s="166">
        <v>683</v>
      </c>
      <c r="I20" s="175">
        <v>3069</v>
      </c>
      <c r="J20" s="175"/>
      <c r="K20" s="14">
        <f t="shared" si="0"/>
        <v>3752</v>
      </c>
      <c r="L20" s="167"/>
      <c r="M20" s="171"/>
      <c r="P20" s="258"/>
      <c r="Q20" s="167"/>
      <c r="R20" s="167"/>
      <c r="S20" s="167"/>
      <c r="T20" s="31"/>
      <c r="U20" s="167"/>
      <c r="V20" s="167"/>
      <c r="W20" s="31"/>
      <c r="X20" s="167"/>
      <c r="Y20" s="176"/>
    </row>
    <row r="21" spans="1:25" x14ac:dyDescent="0.25">
      <c r="A21" s="169" t="s">
        <v>148</v>
      </c>
      <c r="B21" s="169"/>
      <c r="C21" s="169"/>
      <c r="D21" s="177"/>
      <c r="E21" s="178"/>
      <c r="F21" s="178"/>
      <c r="G21" s="179"/>
      <c r="H21" s="166"/>
      <c r="I21" s="180"/>
      <c r="J21" s="180"/>
      <c r="K21" s="14">
        <v>6079</v>
      </c>
      <c r="L21" s="181"/>
      <c r="M21" s="170"/>
      <c r="P21" s="258"/>
      <c r="Q21" s="181"/>
      <c r="R21" s="181"/>
      <c r="S21" s="182"/>
      <c r="T21" s="181"/>
      <c r="U21" s="181"/>
      <c r="V21" s="181"/>
      <c r="W21" s="31"/>
      <c r="X21" s="181"/>
      <c r="Y21" s="181"/>
    </row>
    <row r="22" spans="1:25" x14ac:dyDescent="0.25">
      <c r="A22" s="16" t="s">
        <v>134</v>
      </c>
      <c r="B22" s="16"/>
      <c r="C22" s="16"/>
      <c r="D22" s="17"/>
      <c r="E22" s="18">
        <f t="shared" ref="E22:K22" si="1">SUM(E9:E21)</f>
        <v>16.950000000000003</v>
      </c>
      <c r="F22" s="18">
        <f t="shared" si="1"/>
        <v>8.0500000000000007</v>
      </c>
      <c r="G22" s="19">
        <f t="shared" si="1"/>
        <v>30469</v>
      </c>
      <c r="H22" s="183">
        <f t="shared" si="1"/>
        <v>45679</v>
      </c>
      <c r="I22" s="183">
        <f t="shared" si="1"/>
        <v>55706</v>
      </c>
      <c r="J22" s="183">
        <f t="shared" si="1"/>
        <v>66037</v>
      </c>
      <c r="K22" s="183">
        <f t="shared" si="1"/>
        <v>173501</v>
      </c>
      <c r="L22" s="18"/>
      <c r="M22" s="19">
        <f>SUM(M9:M21)</f>
        <v>7047</v>
      </c>
      <c r="O22" s="172"/>
      <c r="P22" s="258"/>
      <c r="Q22" s="184"/>
      <c r="R22" s="172"/>
    </row>
    <row r="23" spans="1:25" x14ac:dyDescent="0.25">
      <c r="A23" s="20" t="s">
        <v>135</v>
      </c>
      <c r="B23" s="20"/>
      <c r="C23" s="20"/>
      <c r="D23" s="21"/>
      <c r="E23" s="22">
        <f>+E22-F22</f>
        <v>8.9000000000000021</v>
      </c>
      <c r="F23" s="22"/>
      <c r="G23" s="23"/>
      <c r="H23" s="23">
        <f>+E35*G35</f>
        <v>24183</v>
      </c>
      <c r="I23" s="185">
        <f>+I22-L22</f>
        <v>55706</v>
      </c>
      <c r="J23" s="185">
        <f>+J22-M22</f>
        <v>58990</v>
      </c>
      <c r="K23" s="186">
        <f>SUM(H23:J23)</f>
        <v>138879</v>
      </c>
      <c r="L23" s="20"/>
      <c r="M23" s="23"/>
      <c r="O23" s="172"/>
      <c r="P23" s="172"/>
      <c r="Q23" s="184"/>
      <c r="R23" s="172"/>
    </row>
    <row r="24" spans="1:2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5" x14ac:dyDescent="0.25">
      <c r="A25" s="1"/>
      <c r="B25" s="1"/>
      <c r="C25" s="1" t="s">
        <v>37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5" x14ac:dyDescent="0.25">
      <c r="A26" s="1"/>
      <c r="B26" s="1"/>
      <c r="C26" s="1"/>
      <c r="D26" s="1"/>
      <c r="E26" s="1"/>
      <c r="F26" s="1"/>
      <c r="G26" s="1"/>
      <c r="H26" s="34"/>
      <c r="I26" s="1"/>
      <c r="J26" s="187" t="s">
        <v>42</v>
      </c>
      <c r="K26" s="188" t="s">
        <v>95</v>
      </c>
      <c r="L26" s="1"/>
      <c r="M26" s="1"/>
    </row>
    <row r="27" spans="1:25" x14ac:dyDescent="0.25">
      <c r="A27" s="1" t="s">
        <v>96</v>
      </c>
      <c r="B27" s="1"/>
      <c r="C27" s="1"/>
      <c r="D27" s="1"/>
      <c r="E27" s="1"/>
      <c r="F27" s="1"/>
      <c r="G27" s="1"/>
      <c r="H27" s="34"/>
      <c r="I27" s="1"/>
      <c r="J27" s="189" t="s">
        <v>149</v>
      </c>
      <c r="K27" s="190">
        <v>1</v>
      </c>
      <c r="L27" s="1"/>
      <c r="M27" s="191"/>
    </row>
    <row r="28" spans="1:25" x14ac:dyDescent="0.25">
      <c r="A28" s="25" t="s">
        <v>38</v>
      </c>
      <c r="B28" s="25"/>
      <c r="C28" s="25"/>
      <c r="D28" s="192" t="s">
        <v>39</v>
      </c>
      <c r="E28" s="192" t="s">
        <v>40</v>
      </c>
      <c r="F28" s="192"/>
      <c r="G28" s="192" t="s">
        <v>41</v>
      </c>
      <c r="H28" s="193"/>
      <c r="I28" s="1"/>
      <c r="J28" s="194"/>
      <c r="K28" s="195"/>
      <c r="L28" s="1"/>
      <c r="M28" s="194"/>
    </row>
    <row r="29" spans="1:25" x14ac:dyDescent="0.25">
      <c r="A29" s="1" t="s">
        <v>43</v>
      </c>
      <c r="B29" s="1"/>
      <c r="C29" s="1"/>
      <c r="E29" s="1"/>
      <c r="F29" s="1"/>
      <c r="G29" s="1"/>
      <c r="H29" s="34"/>
      <c r="I29" s="1"/>
      <c r="J29" s="194"/>
      <c r="K29" s="195"/>
      <c r="L29" s="1"/>
      <c r="M29" s="194"/>
    </row>
    <row r="30" spans="1:25" x14ac:dyDescent="0.25">
      <c r="A30" s="1" t="s">
        <v>46</v>
      </c>
      <c r="B30" s="1"/>
      <c r="C30" s="1"/>
      <c r="D30" s="196" t="s">
        <v>47</v>
      </c>
      <c r="E30" s="197">
        <v>71</v>
      </c>
      <c r="F30" s="10"/>
      <c r="G30" s="12">
        <v>166</v>
      </c>
      <c r="H30" s="198"/>
      <c r="I30" s="1"/>
      <c r="J30" s="199" t="s">
        <v>99</v>
      </c>
      <c r="K30" s="200">
        <v>2.9</v>
      </c>
      <c r="L30" s="1"/>
      <c r="M30" s="194"/>
    </row>
    <row r="31" spans="1:25" x14ac:dyDescent="0.25">
      <c r="A31" s="1" t="s">
        <v>150</v>
      </c>
      <c r="B31" s="1"/>
      <c r="C31" s="1"/>
      <c r="D31" s="31"/>
      <c r="E31" s="201"/>
      <c r="F31" s="1"/>
      <c r="G31" s="40"/>
      <c r="H31" s="43"/>
      <c r="I31" s="1"/>
      <c r="J31" s="199" t="s">
        <v>100</v>
      </c>
      <c r="K31" s="200">
        <v>2.5</v>
      </c>
      <c r="L31" s="1"/>
      <c r="M31" s="194"/>
    </row>
    <row r="32" spans="1:25" x14ac:dyDescent="0.25">
      <c r="A32" s="1" t="s">
        <v>151</v>
      </c>
      <c r="B32" s="1"/>
      <c r="C32" s="1"/>
      <c r="D32" s="31"/>
      <c r="E32" s="201"/>
      <c r="F32" s="1"/>
      <c r="G32" s="40"/>
      <c r="H32" s="43"/>
      <c r="I32" s="1"/>
      <c r="J32" s="194"/>
      <c r="K32" s="195"/>
      <c r="L32" s="1"/>
      <c r="M32" s="194"/>
    </row>
    <row r="33" spans="1:18" x14ac:dyDescent="0.25">
      <c r="A33" s="1"/>
      <c r="B33" s="1"/>
      <c r="C33" s="1"/>
      <c r="D33" s="31"/>
      <c r="E33" s="1"/>
      <c r="F33" s="1"/>
      <c r="G33" s="1"/>
      <c r="H33" s="34"/>
      <c r="I33" s="1"/>
      <c r="J33" s="194"/>
      <c r="K33" s="195"/>
      <c r="L33" s="1"/>
      <c r="M33" s="194"/>
      <c r="R33" s="155" t="s">
        <v>152</v>
      </c>
    </row>
    <row r="34" spans="1:18" x14ac:dyDescent="0.25">
      <c r="A34" s="1" t="s">
        <v>51</v>
      </c>
      <c r="B34" s="1"/>
      <c r="C34" s="1"/>
      <c r="D34" s="31"/>
      <c r="E34" s="1"/>
      <c r="F34" s="1"/>
      <c r="G34" s="1"/>
      <c r="H34" s="34"/>
      <c r="I34" s="1"/>
      <c r="J34" s="194"/>
      <c r="K34" s="195"/>
      <c r="L34" s="1"/>
      <c r="M34" s="194"/>
    </row>
    <row r="35" spans="1:18" x14ac:dyDescent="0.25">
      <c r="A35" s="1" t="s">
        <v>53</v>
      </c>
      <c r="B35" s="1"/>
      <c r="C35" s="1"/>
      <c r="D35" s="1" t="s">
        <v>54</v>
      </c>
      <c r="E35" s="31">
        <v>9</v>
      </c>
      <c r="F35" s="1"/>
      <c r="G35" s="31">
        <v>2687</v>
      </c>
      <c r="H35" s="37"/>
      <c r="I35" s="202"/>
      <c r="J35" s="194"/>
      <c r="K35" s="195"/>
      <c r="L35" s="1"/>
      <c r="M35" s="194"/>
    </row>
    <row r="36" spans="1:18" x14ac:dyDescent="0.25">
      <c r="A36" s="1" t="s">
        <v>56</v>
      </c>
      <c r="B36" s="1"/>
      <c r="C36" s="1"/>
      <c r="D36" s="1" t="s">
        <v>54</v>
      </c>
      <c r="E36" s="31">
        <v>8</v>
      </c>
      <c r="F36" s="1"/>
      <c r="G36" s="1"/>
      <c r="H36" s="34"/>
      <c r="I36" s="202"/>
      <c r="J36" s="194"/>
      <c r="K36" s="195"/>
      <c r="L36" s="1"/>
      <c r="M36" s="194"/>
      <c r="N36" s="172"/>
      <c r="O36" s="172"/>
      <c r="P36" s="172"/>
      <c r="Q36" s="172"/>
    </row>
    <row r="37" spans="1:18" x14ac:dyDescent="0.25">
      <c r="A37" s="1" t="s">
        <v>8</v>
      </c>
      <c r="B37" s="1"/>
      <c r="C37" s="1"/>
      <c r="D37" s="1" t="s">
        <v>54</v>
      </c>
      <c r="E37" s="31">
        <v>17</v>
      </c>
      <c r="F37" s="1"/>
      <c r="G37" s="1"/>
      <c r="H37" s="34"/>
      <c r="I37" s="202"/>
      <c r="J37" s="202"/>
      <c r="K37" s="203"/>
      <c r="L37" s="1"/>
      <c r="M37" s="1"/>
    </row>
    <row r="38" spans="1:18" x14ac:dyDescent="0.25">
      <c r="A38" s="16" t="s">
        <v>58</v>
      </c>
      <c r="B38" s="16"/>
      <c r="C38" s="16" t="s">
        <v>59</v>
      </c>
      <c r="D38" s="16"/>
      <c r="E38" s="16"/>
      <c r="F38" s="16"/>
      <c r="G38" s="16"/>
      <c r="H38" s="34"/>
      <c r="I38" s="202"/>
      <c r="L38" s="1"/>
      <c r="M38" s="1"/>
      <c r="O38" s="155">
        <f>+H22/E37</f>
        <v>2687</v>
      </c>
    </row>
    <row r="39" spans="1:18" x14ac:dyDescent="0.25">
      <c r="A39" s="34" t="s">
        <v>60</v>
      </c>
      <c r="B39" s="1" t="s">
        <v>103</v>
      </c>
      <c r="C39" s="204" t="s">
        <v>146</v>
      </c>
      <c r="D39" s="196" t="s">
        <v>47</v>
      </c>
      <c r="E39" s="205" t="s">
        <v>153</v>
      </c>
      <c r="F39" s="206"/>
      <c r="G39" s="207" t="s">
        <v>154</v>
      </c>
      <c r="H39" s="198"/>
      <c r="I39" s="37"/>
      <c r="J39" s="1"/>
      <c r="K39" s="1"/>
      <c r="L39" s="1"/>
      <c r="M39" s="1"/>
    </row>
    <row r="40" spans="1:18" x14ac:dyDescent="0.25">
      <c r="A40" s="34"/>
      <c r="B40" s="34" t="s">
        <v>62</v>
      </c>
      <c r="C40" s="204" t="s">
        <v>63</v>
      </c>
      <c r="D40" s="196" t="s">
        <v>47</v>
      </c>
      <c r="E40" s="208" t="s">
        <v>155</v>
      </c>
      <c r="F40" s="206"/>
      <c r="G40" s="207" t="s">
        <v>156</v>
      </c>
      <c r="H40" s="198"/>
      <c r="I40" s="37"/>
      <c r="J40" s="1"/>
      <c r="K40" s="1"/>
      <c r="L40" s="1"/>
      <c r="M40" s="1"/>
    </row>
    <row r="41" spans="1:18" x14ac:dyDescent="0.25">
      <c r="A41" s="34" t="s">
        <v>104</v>
      </c>
      <c r="B41" s="34" t="s">
        <v>157</v>
      </c>
      <c r="C41" s="204">
        <v>100</v>
      </c>
      <c r="D41" s="196" t="s">
        <v>47</v>
      </c>
      <c r="E41" s="12">
        <v>92</v>
      </c>
      <c r="F41" s="198"/>
      <c r="G41" s="198">
        <v>342</v>
      </c>
      <c r="H41" s="198"/>
      <c r="I41" s="37"/>
      <c r="J41" s="1"/>
      <c r="K41" s="1"/>
      <c r="L41" s="1"/>
      <c r="M41" s="1"/>
    </row>
    <row r="42" spans="1:18" x14ac:dyDescent="0.25">
      <c r="A42" s="34"/>
      <c r="B42" s="34" t="s">
        <v>65</v>
      </c>
      <c r="C42" s="204">
        <v>73</v>
      </c>
      <c r="D42" s="196" t="s">
        <v>47</v>
      </c>
      <c r="E42" s="209">
        <v>16</v>
      </c>
      <c r="F42" s="209"/>
      <c r="G42" s="209">
        <v>393</v>
      </c>
      <c r="H42" s="198"/>
      <c r="I42" s="37"/>
      <c r="J42" s="202"/>
      <c r="K42" s="1"/>
      <c r="L42" s="1"/>
      <c r="M42" s="1"/>
    </row>
    <row r="43" spans="1:18" x14ac:dyDescent="0.25">
      <c r="A43" s="16" t="s">
        <v>71</v>
      </c>
      <c r="B43" s="16"/>
      <c r="C43" s="16"/>
      <c r="D43" s="16"/>
      <c r="E43" s="160" t="s">
        <v>72</v>
      </c>
      <c r="F43" s="34"/>
      <c r="G43" s="34" t="s">
        <v>158</v>
      </c>
      <c r="H43" s="202"/>
      <c r="I43" s="1"/>
      <c r="J43" s="1"/>
      <c r="K43" s="1"/>
      <c r="L43" s="1"/>
      <c r="M43" s="1"/>
    </row>
    <row r="44" spans="1:18" x14ac:dyDescent="0.25">
      <c r="A44" s="34" t="s">
        <v>108</v>
      </c>
      <c r="B44" s="34"/>
      <c r="C44" s="34"/>
      <c r="D44" s="34"/>
      <c r="E44" s="210">
        <v>2277</v>
      </c>
      <c r="F44" s="211"/>
      <c r="G44" s="47">
        <f>+E44*2.471</f>
        <v>5626.4670000000006</v>
      </c>
      <c r="H44" s="202"/>
      <c r="I44" s="1"/>
      <c r="J44" s="1"/>
      <c r="K44" s="1"/>
      <c r="L44" s="1"/>
      <c r="M44" s="1"/>
    </row>
    <row r="45" spans="1:18" x14ac:dyDescent="0.25">
      <c r="A45" s="34" t="s">
        <v>109</v>
      </c>
      <c r="B45" s="34"/>
      <c r="C45" s="34"/>
      <c r="D45" s="34"/>
      <c r="E45" s="198">
        <v>86</v>
      </c>
      <c r="F45" s="49"/>
      <c r="G45" s="212"/>
      <c r="H45" s="202"/>
      <c r="I45" s="1"/>
      <c r="J45" s="1"/>
      <c r="K45" s="1"/>
      <c r="L45" s="1"/>
      <c r="M45" s="1"/>
    </row>
    <row r="46" spans="1:18" x14ac:dyDescent="0.25">
      <c r="A46" s="34" t="s">
        <v>110</v>
      </c>
      <c r="B46" s="34"/>
      <c r="C46" s="34"/>
      <c r="D46" s="34"/>
      <c r="E46" s="48">
        <f>+E44*E45</f>
        <v>195822</v>
      </c>
      <c r="F46" s="49"/>
      <c r="G46" s="47">
        <f>+E46*2.471</f>
        <v>483876.16200000001</v>
      </c>
      <c r="H46" s="202"/>
      <c r="I46" s="1"/>
      <c r="J46" s="1"/>
      <c r="K46" s="1"/>
      <c r="L46" s="1"/>
      <c r="M46" s="1"/>
    </row>
    <row r="47" spans="1:18" x14ac:dyDescent="0.25">
      <c r="A47" s="34" t="s">
        <v>111</v>
      </c>
      <c r="B47" s="34"/>
      <c r="C47" s="34"/>
      <c r="D47" s="34"/>
      <c r="E47" s="48">
        <f>+E46-K22</f>
        <v>22321</v>
      </c>
      <c r="F47" s="49"/>
      <c r="G47" s="47">
        <f>+E47*2.471</f>
        <v>55155.190999999999</v>
      </c>
      <c r="H47" s="202"/>
      <c r="I47" s="1"/>
      <c r="J47" s="31"/>
      <c r="K47" s="31"/>
      <c r="L47" s="1"/>
      <c r="M47" s="1"/>
    </row>
    <row r="48" spans="1:18" x14ac:dyDescent="0.25">
      <c r="A48" s="34" t="s">
        <v>112</v>
      </c>
      <c r="B48" s="34"/>
      <c r="C48" s="34"/>
      <c r="D48" s="34"/>
      <c r="E48" s="48">
        <f>+E46-K23</f>
        <v>56943</v>
      </c>
      <c r="F48" s="49"/>
      <c r="G48" s="47">
        <f>+E48*2.471</f>
        <v>140706.15299999999</v>
      </c>
      <c r="H48" s="202"/>
      <c r="I48" s="1"/>
      <c r="J48" s="31"/>
      <c r="K48" s="1"/>
      <c r="L48" s="1"/>
      <c r="M48" s="1"/>
    </row>
    <row r="49" spans="1:13" x14ac:dyDescent="0.25">
      <c r="A49" s="34" t="s">
        <v>113</v>
      </c>
      <c r="B49" s="34"/>
      <c r="C49" s="34"/>
      <c r="D49" s="34"/>
      <c r="E49" s="37">
        <f>+K22/E44</f>
        <v>76.197189284145807</v>
      </c>
      <c r="F49" s="49"/>
      <c r="G49" s="49"/>
      <c r="I49" s="1"/>
      <c r="J49" s="1"/>
      <c r="K49" s="1"/>
      <c r="L49" s="1"/>
      <c r="M49" s="1"/>
    </row>
    <row r="50" spans="1:13" x14ac:dyDescent="0.25">
      <c r="A50" s="20" t="s">
        <v>114</v>
      </c>
      <c r="B50" s="20"/>
      <c r="C50" s="20"/>
      <c r="D50" s="20"/>
      <c r="E50" s="22">
        <f>+K23/E44</f>
        <v>60.992094861660078</v>
      </c>
      <c r="F50" s="51"/>
      <c r="G50" s="51"/>
      <c r="I50" s="1"/>
      <c r="J50" s="1"/>
      <c r="K50" s="1"/>
      <c r="L50" s="1"/>
      <c r="M50" s="1"/>
    </row>
    <row r="52" spans="1:13" x14ac:dyDescent="0.25">
      <c r="B52" s="213" t="s">
        <v>159</v>
      </c>
      <c r="C52" s="213"/>
      <c r="D52" s="213"/>
    </row>
    <row r="53" spans="1:13" x14ac:dyDescent="0.25">
      <c r="B53" s="213" t="s">
        <v>160</v>
      </c>
      <c r="C53" s="213"/>
    </row>
    <row r="54" spans="1:13" x14ac:dyDescent="0.25">
      <c r="C54" s="213"/>
      <c r="D54" s="213"/>
    </row>
    <row r="55" spans="1:13" x14ac:dyDescent="0.25">
      <c r="A55" s="214"/>
      <c r="C55" s="213"/>
      <c r="D55" s="213"/>
    </row>
    <row r="56" spans="1:13" x14ac:dyDescent="0.25">
      <c r="C56" s="213"/>
      <c r="D56" s="213"/>
    </row>
  </sheetData>
  <mergeCells count="5">
    <mergeCell ref="E13:E14"/>
    <mergeCell ref="F13:F14"/>
    <mergeCell ref="G13:G14"/>
    <mergeCell ref="H13:H14"/>
    <mergeCell ref="K13:K14"/>
  </mergeCells>
  <pageMargins left="0.7" right="0.7" top="0.75" bottom="0.75" header="0.3" footer="0.3"/>
  <pageSetup paperSize="9" scale="45" fitToHeight="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7"/>
  <sheetViews>
    <sheetView topLeftCell="A20" workbookViewId="0">
      <selection sqref="A1:M52"/>
    </sheetView>
  </sheetViews>
  <sheetFormatPr defaultRowHeight="15" x14ac:dyDescent="0.25"/>
  <cols>
    <col min="1" max="1" width="25.140625" style="155" customWidth="1"/>
    <col min="2" max="2" width="6.7109375" style="155" customWidth="1"/>
    <col min="3" max="3" width="3.140625" style="155" customWidth="1"/>
    <col min="4" max="4" width="6.7109375" style="155" customWidth="1"/>
    <col min="5" max="5" width="7" style="155" customWidth="1"/>
    <col min="6" max="6" width="9.7109375" style="155" bestFit="1" customWidth="1"/>
    <col min="7" max="7" width="10.42578125" style="155" customWidth="1"/>
    <col min="8" max="8" width="13.140625" style="155" customWidth="1"/>
    <col min="9" max="9" width="9.140625" style="155"/>
    <col min="10" max="10" width="10" style="155" customWidth="1"/>
    <col min="11" max="12" width="9.42578125" style="155" bestFit="1" customWidth="1"/>
    <col min="13" max="18" width="9.140625" style="155"/>
    <col min="19" max="19" width="10.42578125" style="155" bestFit="1" customWidth="1"/>
    <col min="20" max="16384" width="9.140625" style="155"/>
  </cols>
  <sheetData>
    <row r="1" spans="1:25" x14ac:dyDescent="0.25">
      <c r="A1" s="24" t="s">
        <v>0</v>
      </c>
      <c r="B1" s="154" t="s">
        <v>83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  <c r="O1" s="7"/>
    </row>
    <row r="2" spans="1:25" x14ac:dyDescent="0.25">
      <c r="A2" s="24"/>
      <c r="B2" s="7" t="s">
        <v>296</v>
      </c>
      <c r="C2" s="7"/>
      <c r="D2" s="7"/>
      <c r="E2" s="7"/>
      <c r="F2" s="24"/>
      <c r="G2" s="24"/>
      <c r="H2" s="24"/>
      <c r="I2" s="24"/>
      <c r="J2" s="24"/>
      <c r="K2" s="24"/>
      <c r="L2" s="24"/>
      <c r="M2" s="24"/>
    </row>
    <row r="3" spans="1:25" x14ac:dyDescent="0.25">
      <c r="A3" s="24"/>
      <c r="B3" s="7" t="s">
        <v>297</v>
      </c>
      <c r="C3" s="7"/>
      <c r="D3" s="7"/>
      <c r="E3" s="7"/>
      <c r="F3" s="24"/>
      <c r="G3" s="24"/>
      <c r="H3" s="24"/>
      <c r="I3" s="24"/>
      <c r="J3" s="24"/>
      <c r="K3" s="24"/>
      <c r="L3" s="24"/>
      <c r="M3" s="24"/>
    </row>
    <row r="4" spans="1:25" x14ac:dyDescent="0.25">
      <c r="A4" s="24"/>
      <c r="C4" s="7"/>
      <c r="D4" s="7"/>
      <c r="E4" s="7"/>
      <c r="F4" s="24"/>
      <c r="G4" s="24"/>
      <c r="H4" s="24"/>
      <c r="I4" s="24"/>
      <c r="J4" s="24"/>
      <c r="K4" s="24"/>
      <c r="L4" s="24"/>
      <c r="M4" s="24"/>
    </row>
    <row r="5" spans="1:25" x14ac:dyDescent="0.25">
      <c r="A5" s="16" t="s">
        <v>6</v>
      </c>
      <c r="B5" s="16"/>
      <c r="C5" s="16"/>
      <c r="D5" s="157" t="s">
        <v>7</v>
      </c>
      <c r="E5" s="157" t="s">
        <v>8</v>
      </c>
      <c r="F5" s="157" t="s">
        <v>9</v>
      </c>
      <c r="G5" s="157" t="s">
        <v>10</v>
      </c>
      <c r="H5" s="157" t="s">
        <v>86</v>
      </c>
      <c r="I5" s="158" t="s">
        <v>12</v>
      </c>
      <c r="J5" s="158" t="s">
        <v>13</v>
      </c>
      <c r="K5" s="158" t="s">
        <v>14</v>
      </c>
      <c r="L5" s="159" t="s">
        <v>15</v>
      </c>
      <c r="M5" s="157"/>
    </row>
    <row r="6" spans="1:25" x14ac:dyDescent="0.25">
      <c r="A6" s="34"/>
      <c r="B6" s="34"/>
      <c r="C6" s="34"/>
      <c r="D6" s="160" t="s">
        <v>16</v>
      </c>
      <c r="E6" s="160" t="s">
        <v>17</v>
      </c>
      <c r="F6" s="160" t="s">
        <v>17</v>
      </c>
      <c r="G6" s="160" t="s">
        <v>18</v>
      </c>
      <c r="H6" s="160" t="s">
        <v>87</v>
      </c>
      <c r="I6" s="27" t="s">
        <v>20</v>
      </c>
      <c r="J6" s="27" t="s">
        <v>19</v>
      </c>
      <c r="K6" s="27" t="s">
        <v>19</v>
      </c>
      <c r="L6" s="160" t="s">
        <v>12</v>
      </c>
      <c r="M6" s="160" t="s">
        <v>13</v>
      </c>
      <c r="O6" s="155" t="s">
        <v>298</v>
      </c>
    </row>
    <row r="7" spans="1:25" x14ac:dyDescent="0.25">
      <c r="A7" s="34"/>
      <c r="B7" s="34"/>
      <c r="C7" s="34"/>
      <c r="D7" s="160" t="s">
        <v>21</v>
      </c>
      <c r="E7" s="160"/>
      <c r="F7" s="160"/>
      <c r="G7" s="160"/>
      <c r="H7" s="160"/>
      <c r="I7" s="27" t="s">
        <v>19</v>
      </c>
      <c r="J7" s="27" t="s">
        <v>22</v>
      </c>
      <c r="K7" s="27" t="s">
        <v>22</v>
      </c>
      <c r="L7" s="160"/>
      <c r="M7" s="160"/>
    </row>
    <row r="8" spans="1:25" x14ac:dyDescent="0.25">
      <c r="A8" s="20"/>
      <c r="B8" s="20"/>
      <c r="C8" s="20"/>
      <c r="D8" s="161"/>
      <c r="E8" s="161"/>
      <c r="F8" s="161"/>
      <c r="G8" s="161"/>
      <c r="H8" s="161"/>
      <c r="I8" s="162" t="s">
        <v>22</v>
      </c>
      <c r="J8" s="162"/>
      <c r="K8" s="162"/>
      <c r="L8" s="161"/>
      <c r="M8" s="161"/>
    </row>
    <row r="9" spans="1:25" s="213" customFormat="1" x14ac:dyDescent="0.25">
      <c r="A9" s="10" t="s">
        <v>88</v>
      </c>
      <c r="B9" s="10"/>
      <c r="C9" s="10"/>
      <c r="D9" s="687">
        <v>94</v>
      </c>
      <c r="E9" s="445">
        <v>1</v>
      </c>
      <c r="F9" s="445">
        <v>0.59</v>
      </c>
      <c r="G9" s="13">
        <v>2426</v>
      </c>
      <c r="H9" s="12">
        <f>+E9*G9</f>
        <v>2426</v>
      </c>
      <c r="I9" s="10"/>
      <c r="J9" s="12"/>
      <c r="K9" s="12">
        <f>+H9+I9+J9</f>
        <v>2426</v>
      </c>
      <c r="L9" s="10"/>
      <c r="M9" s="10"/>
      <c r="O9" s="281"/>
      <c r="P9" s="275"/>
      <c r="Q9" s="12"/>
      <c r="R9" s="12"/>
      <c r="S9" s="13"/>
      <c r="T9" s="12"/>
      <c r="U9" s="10"/>
      <c r="V9" s="12"/>
      <c r="W9" s="12"/>
      <c r="X9" s="10"/>
      <c r="Y9" s="10"/>
    </row>
    <row r="10" spans="1:25" s="213" customFormat="1" x14ac:dyDescent="0.25">
      <c r="A10" s="10" t="s">
        <v>299</v>
      </c>
      <c r="B10" s="276"/>
      <c r="C10" s="276"/>
      <c r="D10" s="687">
        <v>59</v>
      </c>
      <c r="E10" s="205">
        <v>0.54</v>
      </c>
      <c r="F10" s="205">
        <v>0.54</v>
      </c>
      <c r="G10" s="380">
        <v>2300</v>
      </c>
      <c r="H10" s="12">
        <f>+E10*G10</f>
        <v>1242</v>
      </c>
      <c r="I10" s="247">
        <v>21266</v>
      </c>
      <c r="J10" s="12"/>
      <c r="K10" s="12">
        <f>+H10+I10+J10</f>
        <v>22508</v>
      </c>
      <c r="L10" s="10"/>
      <c r="M10" s="276"/>
      <c r="O10" s="281"/>
      <c r="P10" s="275"/>
      <c r="Q10" s="12"/>
      <c r="R10" s="12"/>
      <c r="S10" s="13"/>
      <c r="T10" s="12"/>
      <c r="U10" s="12"/>
      <c r="V10" s="12"/>
      <c r="W10" s="12"/>
      <c r="X10" s="10"/>
      <c r="Y10" s="276"/>
    </row>
    <row r="11" spans="1:25" s="213" customFormat="1" x14ac:dyDescent="0.25">
      <c r="A11" s="10" t="s">
        <v>300</v>
      </c>
      <c r="B11" s="276"/>
      <c r="C11" s="276"/>
      <c r="D11" s="687" t="s">
        <v>301</v>
      </c>
      <c r="E11" s="205" t="s">
        <v>302</v>
      </c>
      <c r="F11" s="205" t="s">
        <v>303</v>
      </c>
      <c r="G11" s="454" t="s">
        <v>304</v>
      </c>
      <c r="H11" s="205" t="s">
        <v>305</v>
      </c>
      <c r="I11" s="205" t="s">
        <v>306</v>
      </c>
      <c r="J11" s="12"/>
      <c r="K11" s="12"/>
      <c r="L11" s="208" t="s">
        <v>307</v>
      </c>
      <c r="M11" s="276"/>
      <c r="P11" s="275"/>
      <c r="Q11" s="12"/>
      <c r="R11" s="12"/>
      <c r="S11" s="13"/>
      <c r="T11" s="12"/>
      <c r="U11" s="12"/>
      <c r="V11" s="12"/>
      <c r="W11" s="12"/>
      <c r="X11" s="10"/>
      <c r="Y11" s="276"/>
    </row>
    <row r="12" spans="1:25" s="213" customFormat="1" x14ac:dyDescent="0.25">
      <c r="A12" s="10" t="s">
        <v>219</v>
      </c>
      <c r="B12" s="10"/>
      <c r="C12" s="10"/>
      <c r="D12" s="687">
        <v>100</v>
      </c>
      <c r="E12" s="445">
        <v>3.45</v>
      </c>
      <c r="F12" s="445">
        <v>1.85</v>
      </c>
      <c r="G12" s="13">
        <v>2378</v>
      </c>
      <c r="H12" s="12">
        <f>+E12*G12</f>
        <v>8204.1</v>
      </c>
      <c r="I12" s="247"/>
      <c r="J12" s="12"/>
      <c r="K12" s="12">
        <f>+H12+I12+J12</f>
        <v>8204.1</v>
      </c>
      <c r="L12" s="12"/>
      <c r="M12" s="12"/>
      <c r="O12" s="198"/>
      <c r="P12" s="273"/>
      <c r="Q12" s="198"/>
      <c r="R12" s="12"/>
      <c r="S12" s="13"/>
      <c r="T12" s="12"/>
      <c r="U12" s="12"/>
      <c r="V12" s="12"/>
      <c r="W12" s="12"/>
      <c r="X12" s="12"/>
      <c r="Y12" s="12"/>
    </row>
    <row r="13" spans="1:25" s="213" customFormat="1" x14ac:dyDescent="0.25">
      <c r="A13" s="10" t="s">
        <v>46</v>
      </c>
      <c r="B13" s="10"/>
      <c r="C13" s="10"/>
      <c r="D13" s="687">
        <v>100</v>
      </c>
      <c r="E13" s="445">
        <v>1.93</v>
      </c>
      <c r="F13" s="445">
        <v>0.91</v>
      </c>
      <c r="G13" s="13">
        <v>2430</v>
      </c>
      <c r="H13" s="12">
        <f>+E13*G13</f>
        <v>4689.8999999999996</v>
      </c>
      <c r="I13" s="12"/>
      <c r="J13" s="379">
        <f>+D32*G32</f>
        <v>7059</v>
      </c>
      <c r="K13" s="12">
        <f>+H13+I13+J13</f>
        <v>11748.9</v>
      </c>
      <c r="L13" s="10"/>
      <c r="M13" s="12">
        <v>3728</v>
      </c>
      <c r="O13" s="198"/>
      <c r="R13" s="12"/>
      <c r="S13" s="13"/>
      <c r="T13" s="12"/>
      <c r="U13" s="12"/>
      <c r="V13" s="12"/>
      <c r="W13" s="12"/>
      <c r="X13" s="10"/>
      <c r="Y13" s="12"/>
    </row>
    <row r="14" spans="1:25" s="213" customFormat="1" x14ac:dyDescent="0.25">
      <c r="A14" s="10" t="s">
        <v>220</v>
      </c>
      <c r="B14" s="10"/>
      <c r="C14" s="10"/>
      <c r="D14" s="699">
        <v>56</v>
      </c>
      <c r="E14" s="1051">
        <v>0.61</v>
      </c>
      <c r="F14" s="1051">
        <v>0.55000000000000004</v>
      </c>
      <c r="G14" s="1052">
        <v>2500</v>
      </c>
      <c r="H14" s="1051">
        <f>+E14*G14</f>
        <v>1525</v>
      </c>
      <c r="I14" s="1053">
        <v>417</v>
      </c>
      <c r="J14" s="281"/>
      <c r="K14" s="1053">
        <f>+H14+I14+J15</f>
        <v>23912</v>
      </c>
      <c r="L14" s="1050"/>
      <c r="M14" s="12"/>
      <c r="N14" s="281"/>
      <c r="O14" s="198"/>
      <c r="P14" s="27"/>
      <c r="Q14" s="198"/>
      <c r="R14" s="379"/>
      <c r="S14" s="13"/>
      <c r="T14" s="12"/>
      <c r="U14" s="12"/>
      <c r="V14" s="12"/>
      <c r="W14" s="12"/>
      <c r="X14" s="12"/>
      <c r="Y14" s="12"/>
    </row>
    <row r="15" spans="1:25" s="213" customFormat="1" x14ac:dyDescent="0.25">
      <c r="A15" s="10" t="s">
        <v>221</v>
      </c>
      <c r="B15" s="10"/>
      <c r="C15" s="10"/>
      <c r="D15" s="699">
        <v>100</v>
      </c>
      <c r="E15" s="1051"/>
      <c r="F15" s="1051"/>
      <c r="G15" s="1052"/>
      <c r="H15" s="1051"/>
      <c r="I15" s="1053"/>
      <c r="J15" s="12">
        <f>+E41*G41+E42*G42</f>
        <v>21970</v>
      </c>
      <c r="K15" s="1053"/>
      <c r="L15" s="1050"/>
      <c r="M15" s="12"/>
      <c r="N15" s="281"/>
      <c r="O15" s="302"/>
      <c r="P15" s="27"/>
      <c r="Q15" s="198"/>
      <c r="R15" s="379"/>
      <c r="S15" s="13"/>
      <c r="T15" s="12"/>
      <c r="U15" s="12"/>
      <c r="V15" s="12"/>
      <c r="W15" s="12"/>
      <c r="X15" s="12"/>
      <c r="Y15" s="12"/>
    </row>
    <row r="16" spans="1:25" s="213" customFormat="1" x14ac:dyDescent="0.25">
      <c r="A16" s="10" t="s">
        <v>222</v>
      </c>
      <c r="B16" s="10"/>
      <c r="C16" s="10"/>
      <c r="D16" s="275">
        <v>94</v>
      </c>
      <c r="E16" s="12">
        <v>0.3</v>
      </c>
      <c r="F16" s="12">
        <v>0.21</v>
      </c>
      <c r="G16" s="13">
        <v>2180</v>
      </c>
      <c r="H16" s="12">
        <f>+E16*G16</f>
        <v>654</v>
      </c>
      <c r="I16" s="12"/>
      <c r="J16" s="12">
        <v>7459</v>
      </c>
      <c r="K16" s="12">
        <f>+H16+I16+J16</f>
        <v>8113</v>
      </c>
      <c r="L16" s="12"/>
      <c r="M16" s="12"/>
      <c r="O16" s="198"/>
      <c r="P16" s="198"/>
      <c r="Q16" s="198"/>
      <c r="R16" s="12"/>
      <c r="S16" s="13"/>
      <c r="T16" s="12"/>
      <c r="U16" s="12"/>
      <c r="V16" s="12"/>
      <c r="W16" s="12"/>
      <c r="X16" s="12"/>
      <c r="Y16" s="12"/>
    </row>
    <row r="17" spans="1:25" s="213" customFormat="1" x14ac:dyDescent="0.25">
      <c r="A17" s="10" t="s">
        <v>223</v>
      </c>
      <c r="B17" s="10"/>
      <c r="C17" s="10"/>
      <c r="D17" s="275">
        <v>72</v>
      </c>
      <c r="E17" s="12">
        <v>0.24</v>
      </c>
      <c r="F17" s="12">
        <v>0.2</v>
      </c>
      <c r="G17" s="13">
        <v>2300</v>
      </c>
      <c r="H17" s="12">
        <f>+E17*G17</f>
        <v>552</v>
      </c>
      <c r="I17" s="12"/>
      <c r="J17" s="12">
        <v>3384</v>
      </c>
      <c r="K17" s="12">
        <f t="shared" ref="K17:K22" si="0">+H17+I17+J17</f>
        <v>3936</v>
      </c>
      <c r="L17" s="12"/>
      <c r="M17" s="12"/>
      <c r="O17" s="198"/>
      <c r="P17" s="198"/>
      <c r="Q17" s="198"/>
      <c r="R17" s="379"/>
      <c r="S17" s="13"/>
      <c r="T17" s="12"/>
      <c r="U17" s="12"/>
      <c r="V17" s="12"/>
      <c r="W17" s="12"/>
      <c r="X17" s="12"/>
      <c r="Y17" s="12"/>
    </row>
    <row r="18" spans="1:25" s="213" customFormat="1" x14ac:dyDescent="0.25">
      <c r="A18" s="10" t="s">
        <v>224</v>
      </c>
      <c r="B18" s="10"/>
      <c r="C18" s="10"/>
      <c r="D18" s="275">
        <v>100</v>
      </c>
      <c r="E18" s="12">
        <v>4.59</v>
      </c>
      <c r="F18" s="12">
        <v>4.59</v>
      </c>
      <c r="G18" s="13">
        <v>2300</v>
      </c>
      <c r="H18" s="12">
        <f>+E18*G18</f>
        <v>10557</v>
      </c>
      <c r="I18" s="12"/>
      <c r="J18" s="12"/>
      <c r="K18" s="12">
        <f t="shared" si="0"/>
        <v>10557</v>
      </c>
      <c r="L18" s="12"/>
      <c r="M18" s="12"/>
      <c r="O18" s="198"/>
      <c r="P18" s="198"/>
      <c r="Q18" s="198"/>
      <c r="R18" s="379"/>
      <c r="S18" s="13"/>
      <c r="T18" s="12"/>
      <c r="U18" s="12"/>
      <c r="V18" s="12"/>
      <c r="W18" s="12"/>
      <c r="X18" s="12"/>
      <c r="Y18" s="12"/>
    </row>
    <row r="19" spans="1:25" s="213" customFormat="1" x14ac:dyDescent="0.25">
      <c r="A19" s="10" t="s">
        <v>225</v>
      </c>
      <c r="B19" s="10"/>
      <c r="C19" s="10"/>
      <c r="D19" s="275">
        <v>88</v>
      </c>
      <c r="E19" s="12">
        <v>1.48</v>
      </c>
      <c r="F19" s="12">
        <v>0.65</v>
      </c>
      <c r="G19" s="13">
        <v>2500</v>
      </c>
      <c r="H19" s="12">
        <f>+E19*G19</f>
        <v>3700</v>
      </c>
      <c r="I19" s="12">
        <v>19450</v>
      </c>
      <c r="J19" s="12"/>
      <c r="K19" s="12">
        <f>+H19+I19+J19</f>
        <v>23150</v>
      </c>
      <c r="L19" s="12"/>
      <c r="M19" s="10"/>
      <c r="O19" s="198"/>
      <c r="P19" s="198"/>
      <c r="Q19" s="198"/>
      <c r="R19" s="379"/>
      <c r="S19" s="13"/>
      <c r="T19" s="12"/>
      <c r="U19" s="12"/>
      <c r="V19" s="12"/>
      <c r="W19" s="12"/>
      <c r="X19" s="12"/>
      <c r="Y19" s="10"/>
    </row>
    <row r="20" spans="1:25" s="213" customFormat="1" x14ac:dyDescent="0.25">
      <c r="A20" s="10" t="s">
        <v>308</v>
      </c>
      <c r="B20" s="10"/>
      <c r="C20" s="10"/>
      <c r="D20" s="687" t="s">
        <v>176</v>
      </c>
      <c r="E20" s="205" t="s">
        <v>309</v>
      </c>
      <c r="F20" s="205" t="s">
        <v>310</v>
      </c>
      <c r="G20" s="454" t="s">
        <v>311</v>
      </c>
      <c r="H20" s="205" t="s">
        <v>312</v>
      </c>
      <c r="I20" s="12"/>
      <c r="J20" s="12"/>
      <c r="K20" s="12"/>
      <c r="L20" s="12"/>
      <c r="M20" s="10"/>
      <c r="O20" s="198"/>
      <c r="P20" s="198"/>
      <c r="Q20" s="198"/>
      <c r="R20" s="379"/>
      <c r="S20" s="13"/>
      <c r="T20" s="12"/>
      <c r="U20" s="12"/>
      <c r="V20" s="12"/>
      <c r="W20" s="12"/>
      <c r="X20" s="12"/>
      <c r="Y20" s="10"/>
    </row>
    <row r="21" spans="1:25" s="213" customFormat="1" ht="27.75" customHeight="1" x14ac:dyDescent="0.25">
      <c r="A21" s="455" t="s">
        <v>313</v>
      </c>
      <c r="B21" s="10"/>
      <c r="C21" s="10"/>
      <c r="D21" s="687" t="s">
        <v>176</v>
      </c>
      <c r="E21" s="205" t="s">
        <v>314</v>
      </c>
      <c r="F21" s="205" t="s">
        <v>315</v>
      </c>
      <c r="G21" s="454" t="s">
        <v>316</v>
      </c>
      <c r="H21" s="205" t="s">
        <v>317</v>
      </c>
      <c r="I21" s="12" t="s">
        <v>318</v>
      </c>
      <c r="J21" s="12"/>
      <c r="K21" s="12"/>
      <c r="L21" s="12"/>
      <c r="M21" s="10"/>
      <c r="O21" s="198"/>
      <c r="P21" s="198"/>
      <c r="Q21" s="198"/>
      <c r="R21" s="12"/>
      <c r="S21" s="13"/>
      <c r="T21" s="12"/>
      <c r="U21" s="12"/>
      <c r="V21" s="12"/>
      <c r="W21" s="12"/>
      <c r="X21" s="12"/>
      <c r="Y21" s="10"/>
    </row>
    <row r="22" spans="1:25" s="213" customFormat="1" x14ac:dyDescent="0.25">
      <c r="A22" s="10" t="s">
        <v>231</v>
      </c>
      <c r="B22" s="10"/>
      <c r="C22" s="10"/>
      <c r="D22" s="275">
        <v>82</v>
      </c>
      <c r="E22" s="12">
        <v>1.31</v>
      </c>
      <c r="F22" s="12">
        <v>1.07</v>
      </c>
      <c r="G22" s="13">
        <v>2308</v>
      </c>
      <c r="H22" s="12">
        <f>+E22*G22</f>
        <v>3023.48</v>
      </c>
      <c r="I22" s="12"/>
      <c r="J22" s="12"/>
      <c r="K22" s="12">
        <f t="shared" si="0"/>
        <v>3023.48</v>
      </c>
      <c r="L22" s="12"/>
      <c r="M22" s="12"/>
      <c r="O22" s="198"/>
      <c r="P22" s="30"/>
      <c r="Q22" s="700"/>
      <c r="R22" s="379"/>
      <c r="S22" s="13"/>
      <c r="T22" s="12"/>
      <c r="U22" s="12"/>
      <c r="V22" s="12"/>
      <c r="W22" s="12"/>
      <c r="X22" s="12"/>
      <c r="Y22" s="12"/>
    </row>
    <row r="23" spans="1:25" s="213" customFormat="1" x14ac:dyDescent="0.25">
      <c r="A23" s="10" t="s">
        <v>147</v>
      </c>
      <c r="B23" s="10"/>
      <c r="C23" s="10"/>
      <c r="D23" s="275">
        <v>72</v>
      </c>
      <c r="E23" s="261">
        <v>0.25</v>
      </c>
      <c r="F23" s="261">
        <v>0.21</v>
      </c>
      <c r="G23" s="261">
        <v>2000</v>
      </c>
      <c r="H23" s="12">
        <f>+E23*G23</f>
        <v>500</v>
      </c>
      <c r="I23" s="261">
        <v>2327</v>
      </c>
      <c r="J23" s="261"/>
      <c r="K23" s="12">
        <f>+H23+I23+J23</f>
        <v>2827</v>
      </c>
      <c r="L23" s="261">
        <v>1116</v>
      </c>
      <c r="M23" s="376"/>
      <c r="O23" s="198"/>
      <c r="R23" s="701"/>
      <c r="S23" s="275"/>
      <c r="T23" s="12"/>
      <c r="U23" s="261"/>
      <c r="V23" s="261"/>
      <c r="W23" s="12"/>
      <c r="X23" s="261"/>
      <c r="Y23" s="376"/>
    </row>
    <row r="24" spans="1:25" x14ac:dyDescent="0.25">
      <c r="A24" s="169" t="s">
        <v>34</v>
      </c>
      <c r="B24" s="169"/>
      <c r="C24" s="169"/>
      <c r="D24" s="263"/>
      <c r="E24" s="181"/>
      <c r="F24" s="181"/>
      <c r="G24" s="182"/>
      <c r="H24" s="31"/>
      <c r="I24" s="262"/>
      <c r="J24" s="262"/>
      <c r="K24" s="12">
        <v>4800</v>
      </c>
      <c r="L24" s="181"/>
      <c r="M24" s="181"/>
      <c r="O24" s="198"/>
      <c r="P24" s="30"/>
      <c r="Q24" s="702"/>
      <c r="R24" s="181"/>
      <c r="S24" s="263"/>
      <c r="T24" s="181"/>
      <c r="U24" s="181"/>
      <c r="V24" s="181"/>
      <c r="W24" s="31"/>
      <c r="X24" s="181"/>
      <c r="Y24" s="181"/>
    </row>
    <row r="25" spans="1:25" x14ac:dyDescent="0.25">
      <c r="A25" s="16" t="s">
        <v>134</v>
      </c>
      <c r="B25" s="16"/>
      <c r="C25" s="16"/>
      <c r="D25" s="17"/>
      <c r="E25" s="18">
        <f t="shared" ref="E25:J25" si="1">SUM(E9:E24)</f>
        <v>15.700000000000001</v>
      </c>
      <c r="F25" s="18">
        <f t="shared" si="1"/>
        <v>11.370000000000003</v>
      </c>
      <c r="G25" s="18">
        <f t="shared" si="1"/>
        <v>25622</v>
      </c>
      <c r="H25" s="18">
        <f t="shared" si="1"/>
        <v>37073.480000000003</v>
      </c>
      <c r="I25" s="264">
        <f t="shared" si="1"/>
        <v>43460</v>
      </c>
      <c r="J25" s="264">
        <f t="shared" si="1"/>
        <v>39872</v>
      </c>
      <c r="K25" s="264">
        <f>SUM(H25:J25)+K24</f>
        <v>125205.48000000001</v>
      </c>
      <c r="L25" s="264">
        <f>SUM(L9:L24)</f>
        <v>1116</v>
      </c>
      <c r="M25" s="264">
        <f>SUM(M9:M24)</f>
        <v>3728</v>
      </c>
      <c r="O25" s="172"/>
      <c r="P25" s="184"/>
      <c r="Q25" s="172"/>
      <c r="R25" s="172"/>
      <c r="S25" s="184"/>
    </row>
    <row r="26" spans="1:25" x14ac:dyDescent="0.25">
      <c r="A26" s="20" t="s">
        <v>135</v>
      </c>
      <c r="B26" s="20"/>
      <c r="C26" s="20"/>
      <c r="D26" s="21"/>
      <c r="E26" s="22">
        <f>+E25-F25</f>
        <v>4.3299999999999983</v>
      </c>
      <c r="F26" s="22"/>
      <c r="G26" s="22"/>
      <c r="H26" s="22">
        <f>+E35*G35</f>
        <v>9268</v>
      </c>
      <c r="I26" s="265">
        <f>+I25-L25</f>
        <v>42344</v>
      </c>
      <c r="J26" s="265">
        <f>+J25-M25</f>
        <v>36144</v>
      </c>
      <c r="K26" s="209">
        <f>+H26+I26+J26</f>
        <v>87756</v>
      </c>
      <c r="L26" s="209"/>
      <c r="M26" s="20"/>
      <c r="O26" s="172"/>
      <c r="P26" s="184"/>
      <c r="Q26" s="172"/>
      <c r="R26" s="172"/>
      <c r="S26" s="184"/>
    </row>
    <row r="27" spans="1:25" x14ac:dyDescent="0.25">
      <c r="A27" s="1"/>
      <c r="B27" s="1"/>
      <c r="C27" s="1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5" x14ac:dyDescent="0.25">
      <c r="A28" s="1"/>
      <c r="B28" s="1"/>
      <c r="C28" s="1"/>
      <c r="D28" s="1"/>
      <c r="E28" s="1"/>
      <c r="F28" s="1"/>
      <c r="G28" s="1"/>
      <c r="H28" s="1"/>
      <c r="I28" s="1"/>
      <c r="J28" s="187" t="s">
        <v>42</v>
      </c>
      <c r="K28" s="188" t="s">
        <v>95</v>
      </c>
      <c r="L28" s="1"/>
      <c r="M28" s="1"/>
    </row>
    <row r="29" spans="1:25" x14ac:dyDescent="0.25">
      <c r="A29" s="1" t="s">
        <v>96</v>
      </c>
      <c r="B29" s="1"/>
      <c r="C29" s="1"/>
      <c r="D29" s="1"/>
      <c r="E29" s="1"/>
      <c r="F29" s="1"/>
      <c r="G29" s="1"/>
      <c r="H29" s="1"/>
      <c r="I29" s="1"/>
      <c r="J29" s="703" t="s">
        <v>184</v>
      </c>
      <c r="K29" s="704">
        <v>0.34</v>
      </c>
      <c r="L29" s="1"/>
      <c r="M29" s="191"/>
      <c r="O29" s="184"/>
    </row>
    <row r="30" spans="1:25" x14ac:dyDescent="0.25">
      <c r="A30" s="25" t="s">
        <v>38</v>
      </c>
      <c r="B30" s="25"/>
      <c r="C30" s="25"/>
      <c r="D30" s="192" t="s">
        <v>39</v>
      </c>
      <c r="E30" s="192" t="s">
        <v>40</v>
      </c>
      <c r="F30" s="192"/>
      <c r="G30" s="192" t="s">
        <v>41</v>
      </c>
      <c r="H30" s="192"/>
      <c r="I30" s="1"/>
      <c r="J30" s="703" t="s">
        <v>185</v>
      </c>
      <c r="K30" s="704">
        <v>0.25</v>
      </c>
      <c r="L30" s="1"/>
      <c r="N30" s="184"/>
      <c r="O30" s="184"/>
    </row>
    <row r="31" spans="1:25" x14ac:dyDescent="0.25">
      <c r="A31" s="1" t="s">
        <v>43</v>
      </c>
      <c r="B31" s="1"/>
      <c r="C31" s="1"/>
      <c r="D31" s="196" t="s">
        <v>47</v>
      </c>
      <c r="E31" s="1"/>
      <c r="F31" s="1"/>
      <c r="G31" s="1"/>
      <c r="H31" s="1"/>
      <c r="I31" s="1"/>
      <c r="J31" s="703" t="s">
        <v>319</v>
      </c>
      <c r="K31" s="704">
        <v>0.19</v>
      </c>
      <c r="L31" s="1"/>
      <c r="N31" s="184"/>
      <c r="O31" s="184"/>
    </row>
    <row r="32" spans="1:25" x14ac:dyDescent="0.25">
      <c r="A32" s="1" t="s">
        <v>46</v>
      </c>
      <c r="B32" s="1"/>
      <c r="C32" s="1"/>
      <c r="D32" s="12">
        <v>39</v>
      </c>
      <c r="E32" s="444"/>
      <c r="F32" s="1"/>
      <c r="G32" s="12">
        <v>181</v>
      </c>
      <c r="H32" s="12"/>
      <c r="I32" s="1"/>
      <c r="J32" s="705" t="s">
        <v>98</v>
      </c>
      <c r="K32" s="706">
        <v>0.22</v>
      </c>
      <c r="L32" s="1"/>
      <c r="N32" s="184"/>
      <c r="O32" s="184"/>
    </row>
    <row r="33" spans="1:18" x14ac:dyDescent="0.25">
      <c r="A33" s="1"/>
      <c r="B33" s="1"/>
      <c r="C33" s="1"/>
      <c r="D33" s="31"/>
      <c r="E33" s="201"/>
      <c r="F33" s="1"/>
      <c r="G33" s="40"/>
      <c r="H33" s="40"/>
      <c r="I33" s="1"/>
      <c r="J33" s="194"/>
      <c r="K33" s="463"/>
      <c r="L33" s="1"/>
      <c r="N33" s="184"/>
      <c r="O33" s="184"/>
    </row>
    <row r="34" spans="1:18" x14ac:dyDescent="0.25">
      <c r="A34" s="1" t="s">
        <v>51</v>
      </c>
      <c r="B34" s="1"/>
      <c r="C34" s="1"/>
      <c r="D34" s="31"/>
      <c r="E34" s="1"/>
      <c r="F34" s="1"/>
      <c r="G34" s="1"/>
      <c r="H34" s="1"/>
      <c r="I34" s="1"/>
      <c r="J34" s="199" t="s">
        <v>99</v>
      </c>
      <c r="K34" s="290">
        <v>2.17</v>
      </c>
      <c r="L34" s="1"/>
      <c r="M34" s="194"/>
      <c r="N34" s="184"/>
    </row>
    <row r="35" spans="1:18" x14ac:dyDescent="0.25">
      <c r="A35" s="1" t="s">
        <v>233</v>
      </c>
      <c r="B35" s="1"/>
      <c r="C35" s="1"/>
      <c r="D35" s="1" t="s">
        <v>54</v>
      </c>
      <c r="E35" s="31">
        <v>4</v>
      </c>
      <c r="F35" s="1"/>
      <c r="G35" s="31">
        <v>2317</v>
      </c>
      <c r="H35" s="31"/>
      <c r="I35" s="202"/>
      <c r="J35" s="199" t="s">
        <v>100</v>
      </c>
      <c r="K35" s="290">
        <v>2</v>
      </c>
      <c r="L35" s="1"/>
      <c r="M35" s="194"/>
      <c r="R35" s="155" t="s">
        <v>152</v>
      </c>
    </row>
    <row r="36" spans="1:18" x14ac:dyDescent="0.25">
      <c r="A36" s="1" t="s">
        <v>234</v>
      </c>
      <c r="B36" s="1"/>
      <c r="C36" s="1"/>
      <c r="D36" s="1" t="s">
        <v>54</v>
      </c>
      <c r="E36" s="31">
        <v>12</v>
      </c>
      <c r="F36" s="1"/>
      <c r="G36" s="1"/>
      <c r="H36" s="1"/>
      <c r="I36" s="202"/>
      <c r="J36" s="1"/>
      <c r="K36" s="1"/>
      <c r="L36" s="1"/>
      <c r="M36" s="194"/>
    </row>
    <row r="37" spans="1:18" x14ac:dyDescent="0.25">
      <c r="A37" s="1" t="s">
        <v>8</v>
      </c>
      <c r="B37" s="1"/>
      <c r="C37" s="1"/>
      <c r="D37" s="1" t="s">
        <v>54</v>
      </c>
      <c r="E37" s="31">
        <v>16</v>
      </c>
      <c r="F37" s="1"/>
      <c r="G37" s="1"/>
      <c r="H37" s="1"/>
      <c r="I37" s="202"/>
      <c r="J37" s="202"/>
      <c r="K37" s="203"/>
      <c r="L37" s="1"/>
      <c r="M37" s="194"/>
      <c r="O37" s="184"/>
    </row>
    <row r="38" spans="1:18" x14ac:dyDescent="0.25">
      <c r="A38" s="1"/>
      <c r="B38" s="1"/>
      <c r="C38" s="1"/>
      <c r="D38" s="31"/>
      <c r="E38" s="1"/>
      <c r="F38" s="1"/>
      <c r="G38" s="1"/>
      <c r="H38" s="1"/>
      <c r="I38" s="202"/>
      <c r="L38" s="1"/>
      <c r="M38" s="194"/>
      <c r="N38" s="172"/>
      <c r="O38" s="184"/>
      <c r="P38" s="172"/>
      <c r="Q38" s="172"/>
    </row>
    <row r="39" spans="1:18" x14ac:dyDescent="0.25">
      <c r="A39" s="16" t="s">
        <v>58</v>
      </c>
      <c r="B39" s="16"/>
      <c r="C39" s="16" t="s">
        <v>59</v>
      </c>
      <c r="D39" s="16"/>
      <c r="E39" s="16"/>
      <c r="F39" s="16"/>
      <c r="G39" s="16"/>
      <c r="H39" s="16"/>
      <c r="I39" s="202"/>
      <c r="L39" s="1"/>
      <c r="M39" s="1"/>
      <c r="O39" s="184"/>
    </row>
    <row r="40" spans="1:18" s="213" customFormat="1" x14ac:dyDescent="0.25">
      <c r="A40" s="273" t="s">
        <v>60</v>
      </c>
      <c r="B40" s="10" t="s">
        <v>103</v>
      </c>
      <c r="C40" s="707">
        <v>56</v>
      </c>
      <c r="D40" s="288" t="s">
        <v>47</v>
      </c>
      <c r="E40" s="379">
        <v>199</v>
      </c>
      <c r="F40" s="198"/>
      <c r="G40" s="206">
        <v>0</v>
      </c>
      <c r="H40" s="198"/>
      <c r="I40" s="198"/>
      <c r="L40" s="10"/>
      <c r="M40" s="10"/>
    </row>
    <row r="41" spans="1:18" s="213" customFormat="1" x14ac:dyDescent="0.25">
      <c r="A41" s="273" t="s">
        <v>104</v>
      </c>
      <c r="B41" s="273" t="s">
        <v>295</v>
      </c>
      <c r="C41" s="707">
        <v>94</v>
      </c>
      <c r="D41" s="288" t="s">
        <v>47</v>
      </c>
      <c r="E41" s="379">
        <v>53</v>
      </c>
      <c r="F41" s="198"/>
      <c r="G41" s="198">
        <v>200</v>
      </c>
      <c r="H41" s="198"/>
      <c r="I41" s="198"/>
      <c r="J41" s="10"/>
      <c r="K41" s="10"/>
      <c r="L41" s="10"/>
      <c r="M41" s="10"/>
    </row>
    <row r="42" spans="1:18" s="213" customFormat="1" x14ac:dyDescent="0.25">
      <c r="A42" s="273"/>
      <c r="B42" s="273" t="s">
        <v>320</v>
      </c>
      <c r="C42" s="708">
        <v>25</v>
      </c>
      <c r="D42" s="288"/>
      <c r="E42" s="709">
        <v>30</v>
      </c>
      <c r="F42" s="198"/>
      <c r="G42" s="207">
        <v>379</v>
      </c>
      <c r="H42" s="198"/>
      <c r="I42" s="198"/>
      <c r="J42" s="10"/>
      <c r="K42" s="10"/>
      <c r="L42" s="10"/>
      <c r="M42" s="10"/>
    </row>
    <row r="43" spans="1:18" s="213" customFormat="1" x14ac:dyDescent="0.25">
      <c r="A43" s="273"/>
      <c r="B43" s="273" t="s">
        <v>65</v>
      </c>
      <c r="C43" s="708" t="s">
        <v>321</v>
      </c>
      <c r="D43" s="288" t="s">
        <v>47</v>
      </c>
      <c r="E43" s="709" t="s">
        <v>322</v>
      </c>
      <c r="F43" s="209"/>
      <c r="G43" s="710" t="s">
        <v>323</v>
      </c>
      <c r="H43" s="209"/>
      <c r="I43" s="198"/>
      <c r="J43" s="289"/>
      <c r="K43" s="10"/>
      <c r="L43" s="10"/>
      <c r="M43" s="10"/>
    </row>
    <row r="44" spans="1:18" x14ac:dyDescent="0.25">
      <c r="A44" s="16" t="s">
        <v>71</v>
      </c>
      <c r="B44" s="16"/>
      <c r="C44" s="16"/>
      <c r="D44" s="16"/>
      <c r="E44" s="16"/>
      <c r="F44" s="160" t="s">
        <v>72</v>
      </c>
      <c r="G44" s="34"/>
      <c r="H44" s="34" t="s">
        <v>73</v>
      </c>
      <c r="I44" s="1"/>
      <c r="J44" s="1"/>
      <c r="K44" s="1"/>
      <c r="L44" s="1"/>
      <c r="M44" s="1"/>
    </row>
    <row r="45" spans="1:18" x14ac:dyDescent="0.25">
      <c r="A45" s="34" t="s">
        <v>108</v>
      </c>
      <c r="B45" s="34"/>
      <c r="C45" s="34"/>
      <c r="D45" s="34"/>
      <c r="E45" s="34"/>
      <c r="F45" s="37">
        <v>1582</v>
      </c>
      <c r="G45" s="211"/>
      <c r="H45" s="211">
        <f>F45*2.471</f>
        <v>3909.1220000000003</v>
      </c>
      <c r="I45" s="1"/>
      <c r="J45" s="1"/>
      <c r="K45" s="1"/>
      <c r="L45" s="1"/>
      <c r="M45" s="1"/>
      <c r="N45" s="172"/>
    </row>
    <row r="46" spans="1:18" x14ac:dyDescent="0.25">
      <c r="A46" s="34" t="s">
        <v>109</v>
      </c>
      <c r="B46" s="34"/>
      <c r="C46" s="34"/>
      <c r="D46" s="34"/>
      <c r="E46" s="34"/>
      <c r="F46" s="37">
        <v>93</v>
      </c>
      <c r="G46" s="49"/>
      <c r="H46" s="49"/>
      <c r="I46" s="1"/>
      <c r="J46" s="1"/>
      <c r="K46" s="1"/>
      <c r="L46" s="1"/>
      <c r="M46" s="1"/>
      <c r="N46" s="172"/>
    </row>
    <row r="47" spans="1:18" x14ac:dyDescent="0.25">
      <c r="A47" s="34" t="s">
        <v>110</v>
      </c>
      <c r="B47" s="34"/>
      <c r="C47" s="34"/>
      <c r="D47" s="34"/>
      <c r="E47" s="34"/>
      <c r="F47" s="37">
        <f>+F45*F46</f>
        <v>147126</v>
      </c>
      <c r="G47" s="49"/>
      <c r="H47" s="49">
        <f>F47*2.471</f>
        <v>363548.34600000002</v>
      </c>
      <c r="I47" s="1"/>
      <c r="J47" s="1"/>
      <c r="K47" s="1"/>
      <c r="L47" s="1"/>
      <c r="M47" s="1"/>
    </row>
    <row r="48" spans="1:18" x14ac:dyDescent="0.25">
      <c r="A48" s="34" t="s">
        <v>111</v>
      </c>
      <c r="B48" s="34"/>
      <c r="C48" s="34"/>
      <c r="D48" s="34"/>
      <c r="E48" s="34"/>
      <c r="F48" s="37">
        <f>+F47-K25</f>
        <v>21920.51999999999</v>
      </c>
      <c r="G48" s="49"/>
      <c r="H48" s="49">
        <f>F48*2.471</f>
        <v>54165.604919999976</v>
      </c>
      <c r="I48" s="1"/>
      <c r="J48" s="31"/>
      <c r="K48" s="31"/>
      <c r="L48" s="1"/>
      <c r="M48" s="1"/>
    </row>
    <row r="49" spans="1:16" x14ac:dyDescent="0.25">
      <c r="A49" s="34" t="s">
        <v>112</v>
      </c>
      <c r="B49" s="34"/>
      <c r="C49" s="34"/>
      <c r="D49" s="34"/>
      <c r="E49" s="34"/>
      <c r="F49" s="37">
        <f>+F47-K26</f>
        <v>59370</v>
      </c>
      <c r="G49" s="49"/>
      <c r="H49" s="49">
        <f>F49*2.471</f>
        <v>146703.27000000002</v>
      </c>
      <c r="I49" s="1"/>
      <c r="J49" s="31"/>
      <c r="K49" s="1"/>
      <c r="L49" s="1"/>
      <c r="M49" s="1"/>
    </row>
    <row r="50" spans="1:16" x14ac:dyDescent="0.25">
      <c r="A50" s="34" t="s">
        <v>262</v>
      </c>
      <c r="B50" s="34"/>
      <c r="C50" s="34"/>
      <c r="D50" s="34"/>
      <c r="E50" s="34"/>
      <c r="F50" s="37">
        <f>+K25/F45</f>
        <v>79.143792667509487</v>
      </c>
      <c r="G50" s="49"/>
      <c r="H50" s="49"/>
      <c r="I50" s="1"/>
      <c r="J50" s="1"/>
      <c r="K50" s="385"/>
      <c r="L50" s="385"/>
      <c r="M50" s="1"/>
      <c r="P50" s="184"/>
    </row>
    <row r="51" spans="1:16" x14ac:dyDescent="0.25">
      <c r="A51" s="20" t="s">
        <v>263</v>
      </c>
      <c r="B51" s="20"/>
      <c r="C51" s="20"/>
      <c r="D51" s="20"/>
      <c r="E51" s="20"/>
      <c r="F51" s="22">
        <f>+K26/F45</f>
        <v>55.471554993678886</v>
      </c>
      <c r="G51" s="51"/>
      <c r="H51" s="51"/>
      <c r="I51" s="1"/>
      <c r="J51" s="1"/>
      <c r="K51" s="385"/>
      <c r="L51" s="385"/>
      <c r="M51" s="1"/>
      <c r="N51" s="184"/>
      <c r="P51" s="184"/>
    </row>
    <row r="52" spans="1:16" x14ac:dyDescent="0.25">
      <c r="A52" s="711" t="s">
        <v>324</v>
      </c>
      <c r="B52" s="1" t="s">
        <v>325</v>
      </c>
      <c r="I52" s="1"/>
      <c r="J52" s="1"/>
      <c r="K52" s="385"/>
      <c r="L52" s="385"/>
      <c r="M52" s="1"/>
      <c r="N52" s="184"/>
      <c r="P52" s="184"/>
    </row>
    <row r="53" spans="1:16" x14ac:dyDescent="0.25">
      <c r="K53" s="184"/>
      <c r="M53" s="1"/>
      <c r="N53" s="184"/>
      <c r="P53" s="184"/>
    </row>
    <row r="54" spans="1:16" x14ac:dyDescent="0.25">
      <c r="M54" s="1"/>
      <c r="N54" s="184"/>
    </row>
    <row r="55" spans="1:16" x14ac:dyDescent="0.25">
      <c r="C55" s="256"/>
    </row>
    <row r="56" spans="1:16" x14ac:dyDescent="0.25">
      <c r="C56" s="256"/>
    </row>
    <row r="57" spans="1:16" x14ac:dyDescent="0.25">
      <c r="A57" s="214"/>
      <c r="C57" s="256"/>
    </row>
  </sheetData>
  <mergeCells count="7">
    <mergeCell ref="L14:L15"/>
    <mergeCell ref="E14:E15"/>
    <mergeCell ref="F14:F15"/>
    <mergeCell ref="G14:G15"/>
    <mergeCell ref="H14:H15"/>
    <mergeCell ref="I14:I15"/>
    <mergeCell ref="K14:K15"/>
  </mergeCells>
  <pageMargins left="0.7" right="0.7" top="0.75" bottom="0.75" header="0.3" footer="0.3"/>
  <pageSetup paperSize="9" scale="49" fitToHeight="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1"/>
  <sheetViews>
    <sheetView topLeftCell="A22" workbookViewId="0">
      <selection activeCell="N39" sqref="N39"/>
    </sheetView>
  </sheetViews>
  <sheetFormatPr defaultRowHeight="15" x14ac:dyDescent="0.25"/>
  <cols>
    <col min="1" max="1" width="9.140625" style="410"/>
    <col min="2" max="2" width="13" style="410" customWidth="1"/>
    <col min="3" max="3" width="7" style="410" customWidth="1"/>
    <col min="4" max="4" width="6.7109375" style="410" customWidth="1"/>
    <col min="5" max="5" width="7" style="410" customWidth="1"/>
    <col min="6" max="6" width="11" style="410" customWidth="1"/>
    <col min="7" max="7" width="10.42578125" style="410" customWidth="1"/>
    <col min="8" max="8" width="11.85546875" style="410" customWidth="1"/>
    <col min="9" max="10" width="9.28515625" style="410" bestFit="1" customWidth="1"/>
    <col min="11" max="11" width="9.5703125" style="410" bestFit="1" customWidth="1"/>
    <col min="12" max="13" width="9.28515625" style="410" bestFit="1" customWidth="1"/>
    <col min="14" max="16384" width="9.140625" style="410"/>
  </cols>
  <sheetData>
    <row r="1" spans="1:25" x14ac:dyDescent="0.25">
      <c r="A1" s="24" t="s">
        <v>0</v>
      </c>
      <c r="B1" s="154" t="s">
        <v>385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25" x14ac:dyDescent="0.25">
      <c r="A2" s="24"/>
      <c r="B2" s="156" t="s">
        <v>386</v>
      </c>
      <c r="C2" s="156"/>
      <c r="D2" s="156"/>
      <c r="E2" s="156"/>
      <c r="F2" s="24"/>
      <c r="G2" s="24"/>
      <c r="H2" s="24"/>
      <c r="I2" s="24"/>
      <c r="J2" s="24"/>
      <c r="K2" s="24"/>
      <c r="L2" s="24"/>
      <c r="M2" s="24"/>
    </row>
    <row r="3" spans="1:25" x14ac:dyDescent="0.25">
      <c r="A3" s="24"/>
      <c r="B3" s="7" t="s">
        <v>629</v>
      </c>
      <c r="C3" s="7"/>
      <c r="D3" s="7"/>
      <c r="E3" s="7"/>
      <c r="F3" s="24"/>
      <c r="G3" s="24"/>
      <c r="H3" s="24"/>
      <c r="I3" s="24"/>
      <c r="J3" s="24"/>
      <c r="K3" s="24"/>
      <c r="L3" s="24"/>
      <c r="M3" s="24"/>
    </row>
    <row r="4" spans="1:25" x14ac:dyDescent="0.25">
      <c r="A4" s="16" t="s">
        <v>6</v>
      </c>
      <c r="B4" s="16"/>
      <c r="C4" s="16"/>
      <c r="D4" s="157" t="s">
        <v>7</v>
      </c>
      <c r="E4" s="157" t="s">
        <v>8</v>
      </c>
      <c r="F4" s="157" t="s">
        <v>9</v>
      </c>
      <c r="G4" s="157" t="s">
        <v>10</v>
      </c>
      <c r="H4" s="157" t="s">
        <v>86</v>
      </c>
      <c r="I4" s="158" t="s">
        <v>12</v>
      </c>
      <c r="J4" s="158" t="s">
        <v>13</v>
      </c>
      <c r="K4" s="158" t="s">
        <v>14</v>
      </c>
      <c r="L4" s="159" t="s">
        <v>15</v>
      </c>
      <c r="M4" s="157"/>
    </row>
    <row r="5" spans="1:25" x14ac:dyDescent="0.25">
      <c r="A5" s="34"/>
      <c r="B5" s="34"/>
      <c r="C5" s="34"/>
      <c r="D5" s="160" t="s">
        <v>16</v>
      </c>
      <c r="E5" s="160" t="s">
        <v>17</v>
      </c>
      <c r="F5" s="160" t="s">
        <v>17</v>
      </c>
      <c r="G5" s="160" t="s">
        <v>18</v>
      </c>
      <c r="H5" s="160" t="s">
        <v>87</v>
      </c>
      <c r="I5" s="27" t="s">
        <v>20</v>
      </c>
      <c r="J5" s="27" t="s">
        <v>19</v>
      </c>
      <c r="K5" s="27" t="s">
        <v>19</v>
      </c>
      <c r="L5" s="160" t="s">
        <v>12</v>
      </c>
      <c r="M5" s="160" t="s">
        <v>13</v>
      </c>
    </row>
    <row r="6" spans="1:25" x14ac:dyDescent="0.25">
      <c r="A6" s="34"/>
      <c r="B6" s="34"/>
      <c r="C6" s="34"/>
      <c r="D6" s="160" t="s">
        <v>21</v>
      </c>
      <c r="E6" s="160"/>
      <c r="F6" s="160"/>
      <c r="G6" s="160"/>
      <c r="H6" s="160"/>
      <c r="I6" s="27" t="s">
        <v>19</v>
      </c>
      <c r="J6" s="27" t="s">
        <v>22</v>
      </c>
      <c r="K6" s="27" t="s">
        <v>22</v>
      </c>
      <c r="L6" s="160"/>
      <c r="M6" s="160"/>
    </row>
    <row r="7" spans="1:25" x14ac:dyDescent="0.25">
      <c r="A7" s="20"/>
      <c r="B7" s="20"/>
      <c r="C7" s="20"/>
      <c r="D7" s="161"/>
      <c r="E7" s="161"/>
      <c r="F7" s="161"/>
      <c r="G7" s="161"/>
      <c r="H7" s="161"/>
      <c r="I7" s="162" t="s">
        <v>22</v>
      </c>
      <c r="J7" s="162"/>
      <c r="K7" s="162"/>
      <c r="L7" s="161"/>
      <c r="M7" s="161"/>
    </row>
    <row r="8" spans="1:25" x14ac:dyDescent="0.25">
      <c r="A8" s="1" t="s">
        <v>387</v>
      </c>
      <c r="B8" s="1"/>
      <c r="C8" s="1"/>
      <c r="D8" s="258" t="s">
        <v>388</v>
      </c>
      <c r="E8" s="31" t="s">
        <v>389</v>
      </c>
      <c r="F8" s="31" t="s">
        <v>390</v>
      </c>
      <c r="G8" s="168" t="s">
        <v>391</v>
      </c>
      <c r="H8" s="168" t="s">
        <v>392</v>
      </c>
      <c r="I8" s="10"/>
      <c r="J8" s="12"/>
      <c r="K8" s="12"/>
      <c r="L8" s="1"/>
      <c r="M8" s="1"/>
    </row>
    <row r="9" spans="1:25" ht="16.5" x14ac:dyDescent="0.3">
      <c r="A9" s="1" t="s">
        <v>88</v>
      </c>
      <c r="B9" s="1"/>
      <c r="C9" s="1"/>
      <c r="D9" s="258">
        <f>(30/30)*100</f>
        <v>100</v>
      </c>
      <c r="E9" s="31">
        <v>0.89</v>
      </c>
      <c r="F9" s="31">
        <v>0.7</v>
      </c>
      <c r="G9" s="624">
        <v>2417</v>
      </c>
      <c r="H9" s="253">
        <f>G9*E9</f>
        <v>2151.13</v>
      </c>
      <c r="I9" s="625"/>
      <c r="J9" s="626"/>
      <c r="K9" s="626">
        <f>H9+I9+J9</f>
        <v>2151.13</v>
      </c>
      <c r="L9" s="217"/>
      <c r="M9" s="218"/>
      <c r="P9" s="627"/>
      <c r="Q9" s="628"/>
      <c r="R9" s="628"/>
      <c r="S9" s="629"/>
      <c r="T9" s="628"/>
      <c r="U9" s="630"/>
      <c r="V9" s="628"/>
      <c r="W9" s="628"/>
      <c r="X9" s="630"/>
      <c r="Y9" s="630"/>
    </row>
    <row r="10" spans="1:25" ht="16.5" x14ac:dyDescent="0.3">
      <c r="A10" s="1" t="s">
        <v>214</v>
      </c>
      <c r="B10" s="169"/>
      <c r="C10" s="169"/>
      <c r="D10" s="258">
        <f>(22/30)*100</f>
        <v>73.333333333333329</v>
      </c>
      <c r="E10" s="31">
        <v>0.65</v>
      </c>
      <c r="F10" s="31">
        <v>0.54</v>
      </c>
      <c r="G10" s="624">
        <v>2000</v>
      </c>
      <c r="H10" s="253">
        <f>G10*E10</f>
        <v>1300</v>
      </c>
      <c r="I10" s="626">
        <v>22382</v>
      </c>
      <c r="J10" s="626"/>
      <c r="K10" s="626">
        <f>H10+I10+J10</f>
        <v>23682</v>
      </c>
      <c r="L10" s="253">
        <v>750</v>
      </c>
      <c r="M10" s="218"/>
      <c r="P10" s="627"/>
      <c r="Q10" s="628"/>
      <c r="R10" s="628"/>
      <c r="S10" s="629"/>
      <c r="T10" s="628"/>
      <c r="U10" s="628"/>
      <c r="V10" s="628"/>
      <c r="W10" s="628"/>
      <c r="X10" s="630"/>
      <c r="Y10" s="631"/>
    </row>
    <row r="11" spans="1:25" ht="16.5" x14ac:dyDescent="0.3">
      <c r="A11" s="1" t="s">
        <v>215</v>
      </c>
      <c r="B11" s="1"/>
      <c r="C11" s="632"/>
      <c r="D11" s="633" t="s">
        <v>393</v>
      </c>
      <c r="E11" s="634" t="s">
        <v>394</v>
      </c>
      <c r="F11" s="634" t="s">
        <v>395</v>
      </c>
      <c r="G11" s="635" t="s">
        <v>396</v>
      </c>
      <c r="H11" s="636" t="s">
        <v>268</v>
      </c>
      <c r="I11" s="637" t="s">
        <v>397</v>
      </c>
      <c r="J11" s="638"/>
      <c r="K11" s="638"/>
      <c r="L11" s="639"/>
      <c r="M11" s="640"/>
      <c r="P11" s="641"/>
      <c r="Q11" s="642"/>
      <c r="R11" s="642"/>
      <c r="S11" s="643"/>
      <c r="T11" s="642"/>
      <c r="U11" s="642"/>
      <c r="V11" s="642"/>
      <c r="W11" s="642"/>
      <c r="X11" s="642"/>
      <c r="Y11" s="631"/>
    </row>
    <row r="12" spans="1:25" ht="16.5" x14ac:dyDescent="0.3">
      <c r="A12" s="1" t="s">
        <v>219</v>
      </c>
      <c r="B12" s="1"/>
      <c r="C12" s="1"/>
      <c r="D12" s="258">
        <f>(30/30)*100</f>
        <v>100</v>
      </c>
      <c r="E12" s="31">
        <v>5.23</v>
      </c>
      <c r="F12" s="31">
        <v>2.71</v>
      </c>
      <c r="G12" s="624">
        <v>2085</v>
      </c>
      <c r="H12" s="217">
        <f>G12*E12</f>
        <v>10904.550000000001</v>
      </c>
      <c r="I12" s="625"/>
      <c r="J12" s="626"/>
      <c r="K12" s="626">
        <f>H12+I12+J12</f>
        <v>10904.550000000001</v>
      </c>
      <c r="L12" s="253"/>
      <c r="M12" s="640"/>
      <c r="P12" s="627"/>
      <c r="Q12" s="628"/>
      <c r="R12" s="628"/>
      <c r="S12" s="629"/>
      <c r="T12" s="628"/>
      <c r="U12" s="628"/>
      <c r="V12" s="628"/>
      <c r="W12" s="628"/>
      <c r="X12" s="628"/>
      <c r="Y12" s="628"/>
    </row>
    <row r="13" spans="1:25" ht="16.5" x14ac:dyDescent="0.3">
      <c r="A13" s="1" t="s">
        <v>46</v>
      </c>
      <c r="B13" s="1"/>
      <c r="C13" s="1"/>
      <c r="D13" s="258">
        <v>77</v>
      </c>
      <c r="E13" s="31">
        <v>3.55</v>
      </c>
      <c r="F13" s="31">
        <v>2.48</v>
      </c>
      <c r="G13" s="624">
        <v>1928</v>
      </c>
      <c r="H13" s="217">
        <f>G13*E13</f>
        <v>6844.4</v>
      </c>
      <c r="I13" s="625"/>
      <c r="J13" s="626">
        <f>E34*G34</f>
        <v>8492</v>
      </c>
      <c r="K13" s="626">
        <f>H13+I13+J13</f>
        <v>15336.4</v>
      </c>
      <c r="L13" s="253"/>
      <c r="M13" s="640">
        <v>2350</v>
      </c>
      <c r="P13" s="627"/>
      <c r="Q13" s="628"/>
      <c r="R13" s="628"/>
      <c r="S13" s="629"/>
      <c r="T13" s="628"/>
      <c r="U13" s="628"/>
      <c r="V13" s="628"/>
      <c r="W13" s="628"/>
      <c r="X13" s="630"/>
      <c r="Y13" s="628"/>
    </row>
    <row r="14" spans="1:25" ht="16.5" x14ac:dyDescent="0.3">
      <c r="A14" s="1" t="s">
        <v>150</v>
      </c>
      <c r="B14" s="1"/>
      <c r="C14" s="1"/>
      <c r="D14" s="258" t="s">
        <v>388</v>
      </c>
      <c r="E14" s="40" t="s">
        <v>398</v>
      </c>
      <c r="F14" s="40" t="s">
        <v>399</v>
      </c>
      <c r="G14" s="644" t="s">
        <v>400</v>
      </c>
      <c r="H14" s="217" t="s">
        <v>401</v>
      </c>
      <c r="I14" s="645"/>
      <c r="J14" s="646"/>
      <c r="K14" s="638"/>
      <c r="L14" s="647"/>
      <c r="M14" s="647"/>
      <c r="P14" s="641"/>
      <c r="Q14" s="648"/>
      <c r="R14" s="642"/>
      <c r="S14" s="643"/>
      <c r="T14" s="642"/>
      <c r="U14" s="642"/>
      <c r="V14" s="642"/>
      <c r="W14" s="642"/>
      <c r="X14" s="631"/>
      <c r="Y14" s="642"/>
    </row>
    <row r="15" spans="1:25" ht="16.5" x14ac:dyDescent="0.3">
      <c r="A15" s="1" t="s">
        <v>402</v>
      </c>
      <c r="B15" s="1"/>
      <c r="C15" s="1"/>
      <c r="D15" s="258" t="s">
        <v>403</v>
      </c>
      <c r="E15" s="649"/>
      <c r="F15" s="649"/>
      <c r="G15" s="650"/>
      <c r="H15" s="651"/>
      <c r="I15" s="652"/>
      <c r="J15" s="646"/>
      <c r="K15" s="638"/>
      <c r="L15" s="647"/>
      <c r="M15" s="647"/>
      <c r="P15" s="641"/>
      <c r="Q15" s="648"/>
      <c r="R15" s="642"/>
      <c r="S15" s="643"/>
      <c r="T15" s="642"/>
      <c r="U15" s="642"/>
      <c r="V15" s="642"/>
      <c r="W15" s="642"/>
      <c r="X15" s="631"/>
      <c r="Y15" s="642"/>
    </row>
    <row r="16" spans="1:25" ht="16.5" x14ac:dyDescent="0.3">
      <c r="A16" s="1" t="s">
        <v>270</v>
      </c>
      <c r="B16" s="1"/>
      <c r="C16" s="1"/>
      <c r="D16" s="258">
        <v>100</v>
      </c>
      <c r="E16" s="436">
        <f>'[2]MD fertilizer'!M4</f>
        <v>1.5281124497991967</v>
      </c>
      <c r="F16" s="436">
        <f>'[2]MD fertilizer'!M2</f>
        <v>1.5281124497991967</v>
      </c>
      <c r="G16" s="653">
        <v>2000</v>
      </c>
      <c r="H16" s="654">
        <f>G16*E16</f>
        <v>3056.2248995983932</v>
      </c>
      <c r="I16" s="625">
        <v>327</v>
      </c>
      <c r="J16" s="626">
        <f>E44*G44+E46*G46+E47*G47</f>
        <v>16532</v>
      </c>
      <c r="K16" s="655">
        <f>H16+I16+J16</f>
        <v>19915.224899598394</v>
      </c>
      <c r="L16" s="253"/>
      <c r="M16" s="253"/>
      <c r="N16" s="656"/>
      <c r="P16" s="627"/>
      <c r="Q16" s="628"/>
      <c r="R16" s="628"/>
      <c r="S16" s="629"/>
      <c r="T16" s="628"/>
      <c r="U16" s="628"/>
      <c r="V16" s="628"/>
      <c r="W16" s="628"/>
      <c r="X16" s="628"/>
      <c r="Y16" s="628"/>
    </row>
    <row r="17" spans="1:25" ht="16.5" x14ac:dyDescent="0.3">
      <c r="A17" s="1" t="s">
        <v>222</v>
      </c>
      <c r="B17" s="1"/>
      <c r="C17" s="1"/>
      <c r="D17" s="258">
        <f>(24/30)*100</f>
        <v>80</v>
      </c>
      <c r="E17" s="31">
        <f>'[2]Weedicide and Pesticide'!C40</f>
        <v>1.5533516483516485</v>
      </c>
      <c r="F17" s="31">
        <f>'[2]Weedicide and Pesticide'!C38</f>
        <v>0.52335164835164838</v>
      </c>
      <c r="G17" s="624">
        <f>'[2]Weedicide and Pesticide'!H34</f>
        <v>2166.6666666666665</v>
      </c>
      <c r="H17" s="253">
        <f>G17*E17</f>
        <v>3365.5952380952381</v>
      </c>
      <c r="I17" s="625"/>
      <c r="J17" s="626">
        <v>5037</v>
      </c>
      <c r="K17" s="626">
        <f>H17+I17+J17</f>
        <v>8402.5952380952385</v>
      </c>
      <c r="L17" s="253"/>
      <c r="M17" s="253"/>
      <c r="P17" s="627"/>
      <c r="Q17" s="628"/>
      <c r="R17" s="628"/>
      <c r="S17" s="629"/>
      <c r="T17" s="628"/>
      <c r="U17" s="628"/>
      <c r="V17" s="628"/>
      <c r="W17" s="628"/>
      <c r="X17" s="628"/>
      <c r="Y17" s="628"/>
    </row>
    <row r="18" spans="1:25" ht="16.5" x14ac:dyDescent="0.3">
      <c r="A18" s="1" t="s">
        <v>223</v>
      </c>
      <c r="B18" s="1"/>
      <c r="C18" s="1"/>
      <c r="D18" s="657">
        <f>(15/30)*100</f>
        <v>50</v>
      </c>
      <c r="E18" s="172">
        <v>0.85</v>
      </c>
      <c r="F18" s="172">
        <v>0.73</v>
      </c>
      <c r="G18" s="658">
        <v>2455</v>
      </c>
      <c r="H18" s="640">
        <f>G18*E18</f>
        <v>2086.75</v>
      </c>
      <c r="I18" s="659"/>
      <c r="J18" s="660">
        <v>4545</v>
      </c>
      <c r="K18" s="626">
        <f>H18+I18+J18</f>
        <v>6631.75</v>
      </c>
      <c r="L18" s="253"/>
      <c r="M18" s="253"/>
      <c r="P18" s="627"/>
      <c r="Q18" s="628"/>
      <c r="R18" s="628"/>
      <c r="S18" s="629"/>
      <c r="T18" s="628"/>
      <c r="U18" s="628"/>
      <c r="V18" s="628"/>
      <c r="W18" s="628"/>
      <c r="X18" s="628"/>
      <c r="Y18" s="628"/>
    </row>
    <row r="19" spans="1:25" ht="16.5" x14ac:dyDescent="0.3">
      <c r="A19" s="1" t="s">
        <v>224</v>
      </c>
      <c r="B19" s="1"/>
      <c r="C19" s="1"/>
      <c r="D19" s="275">
        <v>100</v>
      </c>
      <c r="E19" s="31">
        <v>2.99</v>
      </c>
      <c r="F19" s="31">
        <v>2.99</v>
      </c>
      <c r="G19" s="624">
        <v>1930</v>
      </c>
      <c r="H19" s="253">
        <f>G19*E19</f>
        <v>5770.7000000000007</v>
      </c>
      <c r="I19" s="625"/>
      <c r="J19" s="626"/>
      <c r="K19" s="626">
        <f>H19+I19+J19</f>
        <v>5770.7000000000007</v>
      </c>
      <c r="L19" s="253"/>
      <c r="M19" s="253"/>
      <c r="P19" s="627"/>
      <c r="Q19" s="628"/>
      <c r="R19" s="628"/>
      <c r="S19" s="629"/>
      <c r="T19" s="628"/>
      <c r="U19" s="628"/>
      <c r="V19" s="628"/>
      <c r="W19" s="628"/>
      <c r="X19" s="628"/>
      <c r="Y19" s="628"/>
    </row>
    <row r="20" spans="1:25" ht="16.5" x14ac:dyDescent="0.3">
      <c r="A20" s="1" t="s">
        <v>225</v>
      </c>
      <c r="B20" s="1"/>
      <c r="C20" s="1"/>
      <c r="D20" s="258">
        <f>(28/30)*100</f>
        <v>93.333333333333329</v>
      </c>
      <c r="E20" s="31">
        <v>1.77</v>
      </c>
      <c r="F20" s="31">
        <v>1.5</v>
      </c>
      <c r="G20" s="624">
        <v>2119</v>
      </c>
      <c r="H20" s="253">
        <f>G20*E20</f>
        <v>3750.63</v>
      </c>
      <c r="I20" s="625">
        <v>22636</v>
      </c>
      <c r="J20" s="626"/>
      <c r="K20" s="626">
        <f>H20+I20+J20</f>
        <v>26386.63</v>
      </c>
      <c r="L20" s="253"/>
      <c r="M20" s="253"/>
      <c r="P20" s="627"/>
      <c r="Q20" s="628"/>
      <c r="R20" s="628"/>
      <c r="S20" s="629"/>
      <c r="T20" s="628"/>
      <c r="U20" s="628"/>
      <c r="V20" s="628"/>
      <c r="W20" s="628"/>
      <c r="X20" s="628"/>
      <c r="Y20" s="630"/>
    </row>
    <row r="21" spans="1:25" ht="16.5" x14ac:dyDescent="0.3">
      <c r="A21" s="1" t="s">
        <v>404</v>
      </c>
      <c r="B21" s="1"/>
      <c r="C21" s="1"/>
      <c r="D21" s="258" t="s">
        <v>345</v>
      </c>
      <c r="E21" s="31" t="s">
        <v>405</v>
      </c>
      <c r="F21" s="31" t="s">
        <v>405</v>
      </c>
      <c r="G21" s="624" t="s">
        <v>396</v>
      </c>
      <c r="H21" s="217" t="s">
        <v>406</v>
      </c>
      <c r="I21" s="625"/>
      <c r="J21" s="626"/>
      <c r="K21" s="626"/>
      <c r="L21" s="253"/>
      <c r="M21" s="253"/>
      <c r="P21" s="627"/>
      <c r="Q21" s="628"/>
      <c r="R21" s="628"/>
      <c r="S21" s="629"/>
      <c r="T21" s="628"/>
      <c r="U21" s="628"/>
      <c r="V21" s="628"/>
      <c r="W21" s="628"/>
      <c r="X21" s="628"/>
      <c r="Y21" s="630"/>
    </row>
    <row r="22" spans="1:25" ht="16.5" x14ac:dyDescent="0.3">
      <c r="A22" s="1" t="s">
        <v>407</v>
      </c>
      <c r="B22" s="1"/>
      <c r="C22" s="1"/>
      <c r="D22" s="258" t="s">
        <v>345</v>
      </c>
      <c r="E22" s="31" t="s">
        <v>408</v>
      </c>
      <c r="F22" s="31" t="s">
        <v>408</v>
      </c>
      <c r="G22" s="624" t="s">
        <v>396</v>
      </c>
      <c r="H22" s="217" t="s">
        <v>409</v>
      </c>
      <c r="I22" s="625" t="s">
        <v>410</v>
      </c>
      <c r="J22" s="626"/>
      <c r="K22" s="626"/>
      <c r="L22" s="253"/>
      <c r="M22" s="253"/>
      <c r="P22" s="627"/>
      <c r="Q22" s="628"/>
      <c r="R22" s="628"/>
      <c r="S22" s="629"/>
      <c r="T22" s="628"/>
      <c r="U22" s="628"/>
      <c r="V22" s="628"/>
      <c r="W22" s="628"/>
      <c r="X22" s="628"/>
      <c r="Y22" s="630"/>
    </row>
    <row r="23" spans="1:25" ht="16.5" x14ac:dyDescent="0.3">
      <c r="A23" s="1" t="s">
        <v>231</v>
      </c>
      <c r="B23" s="1"/>
      <c r="C23" s="1"/>
      <c r="D23" s="258">
        <f>(27/30)*100</f>
        <v>90</v>
      </c>
      <c r="E23" s="31">
        <v>2.02</v>
      </c>
      <c r="F23" s="31">
        <v>1.9</v>
      </c>
      <c r="G23" s="624">
        <f>[2]Drying!F34</f>
        <v>2166.6666666666665</v>
      </c>
      <c r="H23" s="253">
        <f>G23*E23</f>
        <v>4376.6666666666661</v>
      </c>
      <c r="I23" s="625"/>
      <c r="J23" s="626"/>
      <c r="K23" s="626">
        <f>H23+I23+J23</f>
        <v>4376.6666666666661</v>
      </c>
      <c r="L23" s="253"/>
      <c r="M23" s="253"/>
      <c r="P23" s="627"/>
      <c r="Q23" s="628"/>
      <c r="R23" s="628"/>
      <c r="S23" s="629"/>
      <c r="T23" s="628"/>
      <c r="U23" s="628"/>
      <c r="V23" s="628"/>
      <c r="W23" s="628"/>
      <c r="X23" s="628"/>
      <c r="Y23" s="628"/>
    </row>
    <row r="24" spans="1:25" ht="16.5" x14ac:dyDescent="0.3">
      <c r="A24" s="1" t="s">
        <v>147</v>
      </c>
      <c r="B24" s="1"/>
      <c r="C24" s="1"/>
      <c r="D24" s="258">
        <f>(30/30)*100</f>
        <v>100</v>
      </c>
      <c r="E24" s="167">
        <f>'[2]Transport to produce'!D40</f>
        <v>0.35286307053941907</v>
      </c>
      <c r="F24" s="167">
        <f>'[2]Transport to produce'!D38</f>
        <v>0.28786307053941906</v>
      </c>
      <c r="G24" s="644">
        <v>2071</v>
      </c>
      <c r="H24" s="253">
        <f>G24*E24</f>
        <v>730.77941908713683</v>
      </c>
      <c r="I24" s="661">
        <v>1223</v>
      </c>
      <c r="J24" s="661"/>
      <c r="K24" s="626">
        <f>H24+I24+J24</f>
        <v>1953.7794190871368</v>
      </c>
      <c r="L24" s="662">
        <v>192</v>
      </c>
      <c r="M24" s="640"/>
      <c r="P24" s="627"/>
      <c r="Q24" s="663"/>
      <c r="R24" s="663"/>
      <c r="S24" s="663"/>
      <c r="T24" s="628"/>
      <c r="U24" s="663"/>
      <c r="V24" s="663"/>
      <c r="W24" s="628"/>
      <c r="X24" s="663"/>
      <c r="Y24" s="664"/>
    </row>
    <row r="25" spans="1:25" ht="16.5" x14ac:dyDescent="0.3">
      <c r="A25" s="1" t="s">
        <v>34</v>
      </c>
      <c r="B25" s="169"/>
      <c r="C25" s="169"/>
      <c r="D25" s="263"/>
      <c r="E25" s="181"/>
      <c r="F25" s="181"/>
      <c r="G25" s="665"/>
      <c r="H25" s="253"/>
      <c r="I25" s="666"/>
      <c r="J25" s="666"/>
      <c r="K25" s="626">
        <v>1500</v>
      </c>
      <c r="L25" s="647"/>
      <c r="M25" s="647"/>
      <c r="P25" s="667"/>
      <c r="Q25" s="642"/>
      <c r="R25" s="642"/>
      <c r="S25" s="643"/>
      <c r="T25" s="642"/>
      <c r="U25" s="642"/>
      <c r="V25" s="642"/>
      <c r="W25" s="628"/>
      <c r="X25" s="642"/>
      <c r="Y25" s="642"/>
    </row>
    <row r="26" spans="1:25" x14ac:dyDescent="0.25">
      <c r="A26" s="16" t="s">
        <v>134</v>
      </c>
      <c r="B26" s="16"/>
      <c r="C26" s="16"/>
      <c r="D26" s="17"/>
      <c r="E26" s="18">
        <f>E9+E10+E12+E13+E16+E17+E18+E19+E20+E23+E24</f>
        <v>21.384327168690266</v>
      </c>
      <c r="F26" s="18">
        <f>F9+F10+F12+F13+F16+F17+F18+F19+F20+F23+F24</f>
        <v>15.889327168690265</v>
      </c>
      <c r="G26" s="668"/>
      <c r="H26" s="669">
        <f>H9+H10+H12+H13+H16+H17+H18+H19+H20+H23+H24</f>
        <v>44337.42622344743</v>
      </c>
      <c r="I26" s="670">
        <f>I10+I16+I20+I24</f>
        <v>46568</v>
      </c>
      <c r="J26" s="670">
        <f>SUM(J8:J24)</f>
        <v>34606</v>
      </c>
      <c r="K26" s="670">
        <f>(H26+I26+J26)+K25</f>
        <v>127011.42622344743</v>
      </c>
      <c r="L26" s="669">
        <f>SUM(L9:L25)</f>
        <v>942</v>
      </c>
      <c r="M26" s="669">
        <f>SUM(M8:M25)</f>
        <v>2350</v>
      </c>
      <c r="O26" s="656"/>
      <c r="P26" s="656"/>
      <c r="Q26" s="671"/>
      <c r="R26" s="656"/>
    </row>
    <row r="27" spans="1:25" x14ac:dyDescent="0.25">
      <c r="A27" s="20" t="s">
        <v>135</v>
      </c>
      <c r="B27" s="20"/>
      <c r="C27" s="20"/>
      <c r="D27" s="21"/>
      <c r="E27" s="22">
        <f>E26-F26</f>
        <v>5.495000000000001</v>
      </c>
      <c r="F27" s="22"/>
      <c r="G27" s="672"/>
      <c r="H27" s="673">
        <f>E39*G39</f>
        <v>10555</v>
      </c>
      <c r="I27" s="674">
        <f>I26-L26</f>
        <v>45626</v>
      </c>
      <c r="J27" s="674">
        <f>J26-M26</f>
        <v>32256</v>
      </c>
      <c r="K27" s="675">
        <f>H27+I27+J27</f>
        <v>88437</v>
      </c>
      <c r="L27" s="672"/>
      <c r="M27" s="672"/>
      <c r="O27" s="656"/>
      <c r="P27" s="656"/>
      <c r="Q27" s="671"/>
      <c r="R27" s="656"/>
    </row>
    <row r="28" spans="1:2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5" x14ac:dyDescent="0.25">
      <c r="A29" s="1"/>
      <c r="B29" s="1"/>
      <c r="C29" s="1" t="s">
        <v>37</v>
      </c>
      <c r="D29" s="1"/>
      <c r="E29" s="1"/>
      <c r="F29" s="1"/>
      <c r="G29" s="1"/>
      <c r="H29" s="1">
        <f>+H26/E41</f>
        <v>2111.3060106403536</v>
      </c>
      <c r="I29" s="1"/>
      <c r="J29" s="1"/>
      <c r="K29" s="1"/>
      <c r="L29" s="1"/>
      <c r="M29" s="1"/>
    </row>
    <row r="30" spans="1:25" x14ac:dyDescent="0.25">
      <c r="A30" s="1"/>
      <c r="B30" s="1"/>
      <c r="C30" s="1"/>
      <c r="D30" s="1"/>
      <c r="E30" s="1"/>
      <c r="F30" s="1"/>
      <c r="G30" s="1"/>
      <c r="H30" s="1"/>
      <c r="I30" s="1"/>
      <c r="J30" s="187" t="s">
        <v>42</v>
      </c>
      <c r="K30" s="188" t="s">
        <v>95</v>
      </c>
      <c r="L30" s="1"/>
      <c r="M30" s="1"/>
    </row>
    <row r="31" spans="1:25" x14ac:dyDescent="0.25">
      <c r="A31" s="1" t="s">
        <v>96</v>
      </c>
      <c r="B31" s="1"/>
      <c r="C31" s="1"/>
      <c r="D31" s="1"/>
      <c r="E31" s="1"/>
      <c r="F31" s="1"/>
      <c r="G31" s="1"/>
      <c r="H31" s="1"/>
      <c r="I31" s="1"/>
      <c r="J31" s="397" t="s">
        <v>184</v>
      </c>
      <c r="K31" s="401">
        <v>36</v>
      </c>
      <c r="L31" s="1"/>
      <c r="M31" s="191"/>
    </row>
    <row r="32" spans="1:25" x14ac:dyDescent="0.25">
      <c r="A32" s="25" t="s">
        <v>38</v>
      </c>
      <c r="B32" s="25"/>
      <c r="C32" s="25"/>
      <c r="D32" s="192" t="s">
        <v>39</v>
      </c>
      <c r="E32" s="192" t="s">
        <v>40</v>
      </c>
      <c r="F32" s="192"/>
      <c r="G32" s="192" t="s">
        <v>41</v>
      </c>
      <c r="H32" s="192"/>
      <c r="I32" s="1"/>
      <c r="J32" s="397" t="s">
        <v>185</v>
      </c>
      <c r="K32" s="401">
        <v>24</v>
      </c>
      <c r="L32" s="1"/>
      <c r="M32" s="194"/>
    </row>
    <row r="33" spans="1:18" x14ac:dyDescent="0.25">
      <c r="A33" s="1" t="s">
        <v>43</v>
      </c>
      <c r="B33" s="1"/>
      <c r="C33" s="1"/>
      <c r="D33" s="196"/>
      <c r="E33" s="1"/>
      <c r="F33" s="1"/>
      <c r="G33" s="1"/>
      <c r="H33" s="1"/>
      <c r="I33" s="1"/>
      <c r="J33" s="397" t="s">
        <v>319</v>
      </c>
      <c r="K33" s="401">
        <v>16</v>
      </c>
      <c r="L33" s="1"/>
      <c r="M33" s="194"/>
    </row>
    <row r="34" spans="1:18" x14ac:dyDescent="0.25">
      <c r="A34" s="10" t="s">
        <v>46</v>
      </c>
      <c r="B34" s="10"/>
      <c r="C34" s="10">
        <v>77</v>
      </c>
      <c r="D34" s="10" t="s">
        <v>253</v>
      </c>
      <c r="E34" s="440">
        <v>44</v>
      </c>
      <c r="F34" s="10"/>
      <c r="G34" s="12">
        <v>193</v>
      </c>
      <c r="H34" s="12"/>
      <c r="I34" s="1"/>
      <c r="J34" s="397" t="s">
        <v>411</v>
      </c>
      <c r="K34" s="401">
        <v>12</v>
      </c>
      <c r="L34" s="1"/>
      <c r="M34" s="194"/>
    </row>
    <row r="35" spans="1:18" x14ac:dyDescent="0.25">
      <c r="A35" s="10" t="s">
        <v>150</v>
      </c>
      <c r="B35" s="10"/>
      <c r="C35" s="10" t="s">
        <v>388</v>
      </c>
      <c r="D35" s="12" t="s">
        <v>253</v>
      </c>
      <c r="E35" s="205" t="s">
        <v>412</v>
      </c>
      <c r="F35" s="10"/>
      <c r="G35" s="247"/>
      <c r="H35" s="247"/>
      <c r="I35" s="1"/>
      <c r="J35" s="397" t="s">
        <v>188</v>
      </c>
      <c r="K35" s="401">
        <v>5</v>
      </c>
      <c r="L35" s="1"/>
      <c r="M35" s="194"/>
    </row>
    <row r="36" spans="1:18" x14ac:dyDescent="0.25">
      <c r="A36" s="10" t="s">
        <v>151</v>
      </c>
      <c r="B36" s="10"/>
      <c r="C36" s="10" t="s">
        <v>403</v>
      </c>
      <c r="D36" s="12" t="s">
        <v>253</v>
      </c>
      <c r="E36" s="205" t="s">
        <v>412</v>
      </c>
      <c r="F36" s="10"/>
      <c r="G36" s="247"/>
      <c r="H36" s="247"/>
      <c r="I36" s="1"/>
      <c r="J36" s="619" t="s">
        <v>293</v>
      </c>
      <c r="K36" s="676">
        <v>7</v>
      </c>
      <c r="L36" s="1"/>
      <c r="M36" s="194"/>
    </row>
    <row r="37" spans="1:18" x14ac:dyDescent="0.25">
      <c r="A37" s="1"/>
      <c r="B37" s="1"/>
      <c r="C37" s="1"/>
      <c r="D37" s="31"/>
      <c r="E37" s="1"/>
      <c r="F37" s="1"/>
      <c r="G37" s="1"/>
      <c r="H37" s="1"/>
      <c r="I37" s="1"/>
      <c r="J37" s="397"/>
      <c r="K37" s="401"/>
      <c r="L37" s="1"/>
      <c r="M37" s="194"/>
      <c r="R37" s="410" t="s">
        <v>152</v>
      </c>
    </row>
    <row r="38" spans="1:18" x14ac:dyDescent="0.25">
      <c r="A38" s="1" t="s">
        <v>51</v>
      </c>
      <c r="B38" s="1"/>
      <c r="C38" s="1"/>
      <c r="D38" s="31"/>
      <c r="E38" s="1"/>
      <c r="F38" s="1"/>
      <c r="G38" s="1"/>
      <c r="H38" s="1"/>
      <c r="I38" s="1"/>
      <c r="J38" s="155"/>
      <c r="K38" s="155"/>
      <c r="L38" s="1"/>
      <c r="M38" s="194"/>
    </row>
    <row r="39" spans="1:18" x14ac:dyDescent="0.25">
      <c r="A39" s="1" t="s">
        <v>233</v>
      </c>
      <c r="B39" s="1"/>
      <c r="C39" s="1"/>
      <c r="D39" s="1" t="s">
        <v>54</v>
      </c>
      <c r="E39" s="31">
        <v>5</v>
      </c>
      <c r="F39" s="1"/>
      <c r="G39" s="31">
        <v>2111</v>
      </c>
      <c r="H39" s="31"/>
      <c r="I39" s="202"/>
      <c r="J39" s="620" t="s">
        <v>413</v>
      </c>
      <c r="K39" s="621">
        <v>2.0699999999999998</v>
      </c>
      <c r="L39" s="1"/>
      <c r="M39" s="202"/>
    </row>
    <row r="40" spans="1:18" x14ac:dyDescent="0.25">
      <c r="A40" s="1" t="s">
        <v>234</v>
      </c>
      <c r="B40" s="1"/>
      <c r="C40" s="1"/>
      <c r="D40" s="1" t="s">
        <v>54</v>
      </c>
      <c r="E40" s="31">
        <v>16</v>
      </c>
      <c r="F40" s="1"/>
      <c r="G40" s="1"/>
      <c r="H40" s="1"/>
      <c r="I40" s="202"/>
      <c r="J40" s="622" t="s">
        <v>414</v>
      </c>
      <c r="K40" s="623">
        <v>1</v>
      </c>
      <c r="L40" s="1"/>
      <c r="M40" s="194"/>
      <c r="N40" s="656"/>
      <c r="O40" s="656"/>
      <c r="P40" s="656"/>
      <c r="Q40" s="656"/>
    </row>
    <row r="41" spans="1:18" x14ac:dyDescent="0.25">
      <c r="A41" s="1" t="s">
        <v>8</v>
      </c>
      <c r="B41" s="1"/>
      <c r="C41" s="1"/>
      <c r="D41" s="1" t="s">
        <v>54</v>
      </c>
      <c r="E41" s="31">
        <f>SUM(E39:E40)</f>
        <v>21</v>
      </c>
      <c r="F41" s="1"/>
      <c r="G41" s="1"/>
      <c r="H41" s="1"/>
      <c r="I41" s="202"/>
      <c r="J41" s="202"/>
      <c r="K41" s="203"/>
      <c r="L41" s="1"/>
      <c r="M41" s="1"/>
    </row>
    <row r="42" spans="1:18" x14ac:dyDescent="0.25">
      <c r="A42" s="1"/>
      <c r="B42" s="1"/>
      <c r="C42" s="1"/>
      <c r="D42" s="31"/>
      <c r="E42" s="1"/>
      <c r="F42" s="1"/>
      <c r="G42" s="1"/>
      <c r="H42" s="1"/>
      <c r="I42" s="202"/>
      <c r="J42" s="677"/>
      <c r="K42" s="172"/>
      <c r="L42" s="1"/>
      <c r="M42" s="1"/>
    </row>
    <row r="43" spans="1:18" x14ac:dyDescent="0.25">
      <c r="A43" s="16" t="s">
        <v>58</v>
      </c>
      <c r="B43" s="16"/>
      <c r="C43" s="16" t="s">
        <v>59</v>
      </c>
      <c r="D43" s="16"/>
      <c r="E43" s="16" t="s">
        <v>415</v>
      </c>
      <c r="F43" s="16"/>
      <c r="G43" s="16"/>
      <c r="H43" s="16"/>
      <c r="I43" s="202"/>
      <c r="J43" s="677"/>
      <c r="K43" s="172"/>
      <c r="L43" s="1"/>
      <c r="M43" s="1"/>
    </row>
    <row r="44" spans="1:18" x14ac:dyDescent="0.25">
      <c r="A44" s="34" t="s">
        <v>60</v>
      </c>
      <c r="B44" s="1" t="s">
        <v>416</v>
      </c>
      <c r="C44" s="43">
        <v>60</v>
      </c>
      <c r="D44" s="196" t="s">
        <v>253</v>
      </c>
      <c r="E44" s="12">
        <v>172</v>
      </c>
      <c r="F44" s="198"/>
      <c r="G44" s="198">
        <v>10</v>
      </c>
      <c r="H44" s="198"/>
      <c r="I44" s="37"/>
      <c r="J44" s="1"/>
      <c r="K44" s="1"/>
      <c r="L44" s="1"/>
      <c r="M44" s="1"/>
    </row>
    <row r="45" spans="1:18" x14ac:dyDescent="0.25">
      <c r="A45" s="34"/>
      <c r="B45" s="34"/>
      <c r="C45" s="43"/>
      <c r="D45" s="196"/>
      <c r="E45" s="12"/>
      <c r="F45" s="198"/>
      <c r="G45" s="198"/>
      <c r="H45" s="198"/>
      <c r="I45" s="37"/>
      <c r="J45" s="1"/>
      <c r="K45" s="1"/>
      <c r="L45" s="1"/>
      <c r="M45" s="1"/>
    </row>
    <row r="46" spans="1:18" x14ac:dyDescent="0.25">
      <c r="A46" s="34" t="s">
        <v>104</v>
      </c>
      <c r="B46" s="34" t="s">
        <v>417</v>
      </c>
      <c r="C46" s="678">
        <v>83</v>
      </c>
      <c r="D46" s="196" t="s">
        <v>253</v>
      </c>
      <c r="E46" s="12">
        <v>35</v>
      </c>
      <c r="F46" s="198"/>
      <c r="G46" s="198">
        <v>200</v>
      </c>
      <c r="H46" s="198"/>
      <c r="I46" s="37"/>
      <c r="J46" s="1"/>
      <c r="K46" s="1"/>
      <c r="L46" s="1"/>
      <c r="M46" s="1"/>
    </row>
    <row r="47" spans="1:18" x14ac:dyDescent="0.25">
      <c r="A47" s="34"/>
      <c r="B47" s="34" t="s">
        <v>418</v>
      </c>
      <c r="C47" s="678">
        <v>37</v>
      </c>
      <c r="D47" s="196" t="s">
        <v>47</v>
      </c>
      <c r="E47" s="12">
        <v>18</v>
      </c>
      <c r="F47" s="198"/>
      <c r="G47" s="198">
        <v>434</v>
      </c>
      <c r="H47" s="198"/>
      <c r="I47" s="37"/>
      <c r="J47" s="1"/>
      <c r="K47" s="1"/>
      <c r="L47" s="1"/>
      <c r="M47" s="1"/>
    </row>
    <row r="48" spans="1:18" x14ac:dyDescent="0.25">
      <c r="A48" s="34"/>
      <c r="B48" s="34" t="s">
        <v>260</v>
      </c>
      <c r="C48" s="678">
        <f>'[2]Fertilizer top dressing'!E44</f>
        <v>63.333333333333329</v>
      </c>
      <c r="D48" s="196" t="s">
        <v>261</v>
      </c>
      <c r="E48" s="288" t="s">
        <v>419</v>
      </c>
      <c r="F48" s="209"/>
      <c r="G48" s="209" t="s">
        <v>199</v>
      </c>
      <c r="H48" s="209"/>
      <c r="I48" s="37"/>
      <c r="J48" s="202"/>
      <c r="K48" s="1"/>
      <c r="L48" s="1"/>
      <c r="M48" s="1"/>
    </row>
    <row r="49" spans="1:13" x14ac:dyDescent="0.25">
      <c r="A49" s="16" t="s">
        <v>71</v>
      </c>
      <c r="B49" s="16"/>
      <c r="C49" s="16"/>
      <c r="D49" s="16"/>
      <c r="E49" s="16"/>
      <c r="F49" s="157" t="s">
        <v>72</v>
      </c>
      <c r="G49" s="16"/>
      <c r="H49" s="46" t="s">
        <v>73</v>
      </c>
      <c r="I49" s="1"/>
      <c r="J49" s="1"/>
      <c r="K49" s="1"/>
      <c r="L49" s="1"/>
      <c r="M49" s="1"/>
    </row>
    <row r="50" spans="1:13" x14ac:dyDescent="0.25">
      <c r="A50" s="34" t="s">
        <v>108</v>
      </c>
      <c r="B50" s="34"/>
      <c r="C50" s="34"/>
      <c r="D50" s="34"/>
      <c r="E50" s="34"/>
      <c r="F50" s="679">
        <v>1587</v>
      </c>
      <c r="G50" s="680"/>
      <c r="H50" s="681">
        <f>F50*2.471</f>
        <v>3921.4770000000003</v>
      </c>
      <c r="I50" s="1"/>
      <c r="J50" s="1"/>
      <c r="K50" s="1"/>
      <c r="L50" s="1"/>
      <c r="M50" s="1"/>
    </row>
    <row r="51" spans="1:13" x14ac:dyDescent="0.25">
      <c r="A51" s="34" t="s">
        <v>109</v>
      </c>
      <c r="B51" s="34"/>
      <c r="C51" s="34"/>
      <c r="D51" s="34"/>
      <c r="E51" s="34"/>
      <c r="F51" s="679">
        <v>96</v>
      </c>
      <c r="G51" s="679"/>
      <c r="H51" s="682"/>
      <c r="I51" s="1"/>
      <c r="J51" s="1"/>
      <c r="K51" s="1"/>
      <c r="L51" s="1"/>
      <c r="M51" s="1"/>
    </row>
    <row r="52" spans="1:13" x14ac:dyDescent="0.25">
      <c r="A52" s="34" t="s">
        <v>110</v>
      </c>
      <c r="B52" s="34"/>
      <c r="C52" s="34"/>
      <c r="D52" s="34"/>
      <c r="E52" s="34"/>
      <c r="F52" s="682">
        <f>F50*F51</f>
        <v>152352</v>
      </c>
      <c r="G52" s="679"/>
      <c r="H52" s="682">
        <f>F52*2.471</f>
        <v>376461.79200000002</v>
      </c>
      <c r="I52" s="1"/>
      <c r="J52" s="1"/>
      <c r="K52" s="1"/>
      <c r="L52" s="1"/>
      <c r="M52" s="1"/>
    </row>
    <row r="53" spans="1:13" x14ac:dyDescent="0.25">
      <c r="A53" s="34" t="s">
        <v>111</v>
      </c>
      <c r="B53" s="34"/>
      <c r="C53" s="34"/>
      <c r="D53" s="34"/>
      <c r="E53" s="34"/>
      <c r="F53" s="682">
        <f>F52-K26</f>
        <v>25340.57377655257</v>
      </c>
      <c r="G53" s="679"/>
      <c r="H53" s="682">
        <f>F53*2.471</f>
        <v>62616.557801861403</v>
      </c>
      <c r="I53" s="1"/>
      <c r="J53" s="31"/>
      <c r="K53" s="31"/>
      <c r="L53" s="1"/>
      <c r="M53" s="1"/>
    </row>
    <row r="54" spans="1:13" x14ac:dyDescent="0.25">
      <c r="A54" s="34" t="s">
        <v>112</v>
      </c>
      <c r="B54" s="34"/>
      <c r="C54" s="34"/>
      <c r="D54" s="34"/>
      <c r="E54" s="34"/>
      <c r="F54" s="682">
        <f>F52-K27</f>
        <v>63915</v>
      </c>
      <c r="G54" s="679"/>
      <c r="H54" s="682">
        <f>F54*2.471</f>
        <v>157933.965</v>
      </c>
      <c r="I54" s="1"/>
      <c r="J54" s="31"/>
      <c r="K54" s="1"/>
      <c r="L54" s="1"/>
      <c r="M54" s="1"/>
    </row>
    <row r="55" spans="1:13" x14ac:dyDescent="0.25">
      <c r="A55" s="34" t="s">
        <v>262</v>
      </c>
      <c r="B55" s="34"/>
      <c r="C55" s="34"/>
      <c r="D55" s="34"/>
      <c r="E55" s="34"/>
      <c r="F55" s="37">
        <f>K26/F50</f>
        <v>80.032404677660637</v>
      </c>
      <c r="G55" s="49"/>
      <c r="H55" s="49"/>
      <c r="I55" s="1"/>
      <c r="J55" s="1"/>
      <c r="K55" s="1"/>
      <c r="L55" s="1"/>
      <c r="M55" s="1"/>
    </row>
    <row r="56" spans="1:13" x14ac:dyDescent="0.25">
      <c r="A56" s="20" t="s">
        <v>263</v>
      </c>
      <c r="B56" s="20"/>
      <c r="C56" s="20"/>
      <c r="D56" s="20"/>
      <c r="E56" s="20"/>
      <c r="F56" s="22">
        <f>K27/F50</f>
        <v>55.725897920604915</v>
      </c>
      <c r="G56" s="51"/>
      <c r="H56" s="51"/>
      <c r="I56" s="1"/>
      <c r="J56" s="1"/>
      <c r="K56" s="1"/>
      <c r="L56" s="1"/>
      <c r="M56" s="1"/>
    </row>
    <row r="59" spans="1:13" ht="16.5" x14ac:dyDescent="0.3">
      <c r="A59" s="683"/>
      <c r="C59" s="684"/>
    </row>
    <row r="60" spans="1:13" ht="16.5" x14ac:dyDescent="0.3">
      <c r="A60" s="683"/>
      <c r="C60" s="684"/>
    </row>
    <row r="61" spans="1:13" ht="16.5" x14ac:dyDescent="0.3">
      <c r="A61" s="685"/>
      <c r="C61" s="686"/>
    </row>
  </sheetData>
  <pageMargins left="0.7" right="0.7" top="0.75" bottom="0.75" header="0.3" footer="0.3"/>
  <pageSetup paperSize="9" scale="51" fitToHeight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6"/>
  <sheetViews>
    <sheetView topLeftCell="A12" zoomScale="78" zoomScaleNormal="78" workbookViewId="0">
      <selection sqref="A1:M52"/>
    </sheetView>
  </sheetViews>
  <sheetFormatPr defaultRowHeight="15.75" x14ac:dyDescent="0.25"/>
  <cols>
    <col min="1" max="1" width="16.7109375" style="307" customWidth="1"/>
    <col min="2" max="2" width="17" style="307" customWidth="1"/>
    <col min="3" max="3" width="8.140625" style="307" customWidth="1"/>
    <col min="4" max="4" width="6.7109375" style="307" customWidth="1"/>
    <col min="5" max="5" width="7" style="307" customWidth="1"/>
    <col min="6" max="6" width="11.28515625" style="307" customWidth="1"/>
    <col min="7" max="7" width="12.28515625" style="307" customWidth="1"/>
    <col min="8" max="8" width="13.5703125" style="307" customWidth="1"/>
    <col min="9" max="9" width="10.7109375" style="307" bestFit="1" customWidth="1"/>
    <col min="10" max="10" width="10.140625" style="307" customWidth="1"/>
    <col min="11" max="11" width="10.85546875" style="307" customWidth="1"/>
    <col min="12" max="12" width="10" style="307" bestFit="1" customWidth="1"/>
    <col min="13" max="13" width="9.28515625" style="307" bestFit="1" customWidth="1"/>
    <col min="14" max="14" width="12.140625" style="307" customWidth="1"/>
    <col min="15" max="16384" width="9.140625" style="307"/>
  </cols>
  <sheetData>
    <row r="1" spans="1:25" x14ac:dyDescent="0.25">
      <c r="A1" s="305" t="s">
        <v>0</v>
      </c>
      <c r="B1" s="306" t="s">
        <v>83</v>
      </c>
      <c r="C1" s="306"/>
      <c r="D1" s="306"/>
      <c r="E1" s="306"/>
      <c r="F1" s="306"/>
      <c r="G1" s="306"/>
      <c r="H1" s="306"/>
      <c r="I1" s="305"/>
      <c r="J1" s="305"/>
      <c r="K1" s="305"/>
      <c r="L1" s="305"/>
      <c r="M1" s="305"/>
    </row>
    <row r="2" spans="1:25" x14ac:dyDescent="0.25">
      <c r="A2" s="305"/>
      <c r="B2" s="308" t="s">
        <v>326</v>
      </c>
      <c r="C2" s="308"/>
      <c r="D2" s="308"/>
      <c r="E2" s="308"/>
      <c r="F2" s="305"/>
      <c r="G2" s="305"/>
      <c r="H2" s="305"/>
      <c r="I2" s="305"/>
      <c r="J2" s="305"/>
      <c r="K2" s="305"/>
      <c r="L2" s="305"/>
      <c r="M2" s="305"/>
    </row>
    <row r="3" spans="1:25" x14ac:dyDescent="0.25">
      <c r="A3" s="305"/>
      <c r="B3" s="7" t="s">
        <v>629</v>
      </c>
      <c r="C3" s="309"/>
      <c r="D3" s="309"/>
      <c r="E3" s="309"/>
      <c r="F3" s="305"/>
      <c r="G3" s="305"/>
      <c r="H3" s="305"/>
      <c r="I3" s="305"/>
      <c r="J3" s="305"/>
      <c r="K3" s="305"/>
      <c r="L3" s="305"/>
      <c r="M3" s="305"/>
    </row>
    <row r="4" spans="1:25" x14ac:dyDescent="0.25">
      <c r="A4" s="310" t="s">
        <v>6</v>
      </c>
      <c r="B4" s="310"/>
      <c r="C4" s="310"/>
      <c r="D4" s="311" t="s">
        <v>7</v>
      </c>
      <c r="E4" s="311" t="s">
        <v>8</v>
      </c>
      <c r="F4" s="311" t="s">
        <v>9</v>
      </c>
      <c r="G4" s="311" t="s">
        <v>10</v>
      </c>
      <c r="H4" s="311" t="s">
        <v>86</v>
      </c>
      <c r="I4" s="311" t="s">
        <v>12</v>
      </c>
      <c r="J4" s="311" t="s">
        <v>13</v>
      </c>
      <c r="K4" s="311" t="s">
        <v>14</v>
      </c>
      <c r="L4" s="312" t="s">
        <v>15</v>
      </c>
      <c r="M4" s="311"/>
    </row>
    <row r="5" spans="1:25" x14ac:dyDescent="0.25">
      <c r="A5" s="313"/>
      <c r="B5" s="313"/>
      <c r="C5" s="313"/>
      <c r="D5" s="314" t="s">
        <v>16</v>
      </c>
      <c r="E5" s="314" t="s">
        <v>17</v>
      </c>
      <c r="F5" s="314" t="s">
        <v>17</v>
      </c>
      <c r="G5" s="314" t="s">
        <v>18</v>
      </c>
      <c r="H5" s="314" t="s">
        <v>87</v>
      </c>
      <c r="I5" s="314" t="s">
        <v>20</v>
      </c>
      <c r="J5" s="314" t="s">
        <v>19</v>
      </c>
      <c r="K5" s="314" t="s">
        <v>19</v>
      </c>
      <c r="L5" s="314" t="s">
        <v>12</v>
      </c>
      <c r="M5" s="314" t="s">
        <v>13</v>
      </c>
    </row>
    <row r="6" spans="1:25" x14ac:dyDescent="0.25">
      <c r="A6" s="313"/>
      <c r="B6" s="313"/>
      <c r="C6" s="313"/>
      <c r="D6" s="314" t="s">
        <v>21</v>
      </c>
      <c r="E6" s="314"/>
      <c r="F6" s="314"/>
      <c r="G6" s="314"/>
      <c r="H6" s="314"/>
      <c r="I6" s="314" t="s">
        <v>19</v>
      </c>
      <c r="J6" s="314" t="s">
        <v>22</v>
      </c>
      <c r="K6" s="314" t="s">
        <v>22</v>
      </c>
      <c r="L6" s="314"/>
      <c r="M6" s="314"/>
    </row>
    <row r="7" spans="1:25" x14ac:dyDescent="0.25">
      <c r="A7" s="315"/>
      <c r="B7" s="315"/>
      <c r="C7" s="315"/>
      <c r="D7" s="316"/>
      <c r="E7" s="316"/>
      <c r="F7" s="316"/>
      <c r="G7" s="316"/>
      <c r="H7" s="316"/>
      <c r="I7" s="316" t="s">
        <v>22</v>
      </c>
      <c r="J7" s="316"/>
      <c r="K7" s="316"/>
      <c r="L7" s="316"/>
      <c r="M7" s="316"/>
    </row>
    <row r="8" spans="1:25" ht="19.5" x14ac:dyDescent="0.4">
      <c r="A8" s="317" t="s">
        <v>88</v>
      </c>
      <c r="B8" s="317"/>
      <c r="C8" s="317"/>
      <c r="D8" s="318">
        <f>'[3]Analized Sheet'!AS47</f>
        <v>86.666666666666671</v>
      </c>
      <c r="E8" s="319">
        <f>'[3]Analized Sheet'!AS55</f>
        <v>0.86363636363636354</v>
      </c>
      <c r="F8" s="319">
        <f>'[3]Analized Sheet'!AS51</f>
        <v>0.78099173553719003</v>
      </c>
      <c r="G8" s="320">
        <f>'[3]Analized Sheet'!AS56</f>
        <v>2500</v>
      </c>
      <c r="H8" s="319">
        <v>2159</v>
      </c>
      <c r="I8" s="317"/>
      <c r="J8" s="319"/>
      <c r="K8" s="319">
        <f>+J8+I8+H8</f>
        <v>2159</v>
      </c>
      <c r="L8" s="317"/>
      <c r="M8" s="317"/>
      <c r="N8" s="321"/>
      <c r="P8" s="322"/>
      <c r="Q8" s="323"/>
      <c r="R8" s="323"/>
      <c r="S8" s="324"/>
      <c r="T8" s="323"/>
      <c r="U8" s="325"/>
      <c r="V8" s="323"/>
      <c r="W8" s="323"/>
      <c r="X8" s="325"/>
      <c r="Y8" s="325"/>
    </row>
    <row r="9" spans="1:25" ht="19.5" x14ac:dyDescent="0.4">
      <c r="A9" s="317" t="s">
        <v>214</v>
      </c>
      <c r="B9" s="317"/>
      <c r="C9" s="317"/>
      <c r="D9" s="318">
        <f>'[3]Analized Sheet'!BD44</f>
        <v>66.666666666666657</v>
      </c>
      <c r="E9" s="319">
        <f>'[3]Analized Sheet'!BD52</f>
        <v>0.50507614213197971</v>
      </c>
      <c r="F9" s="319">
        <f>'[3]Analized Sheet'!BD48</f>
        <v>0.50507614213197971</v>
      </c>
      <c r="G9" s="320">
        <v>2500</v>
      </c>
      <c r="H9" s="319">
        <v>1263</v>
      </c>
      <c r="I9" s="319">
        <v>19487</v>
      </c>
      <c r="J9" s="319"/>
      <c r="K9" s="319">
        <f>+H9+I9+J9</f>
        <v>20750</v>
      </c>
      <c r="L9" s="319">
        <v>1978</v>
      </c>
      <c r="M9" s="317"/>
      <c r="N9" s="321"/>
      <c r="P9" s="322"/>
      <c r="Q9" s="323"/>
      <c r="R9" s="323"/>
      <c r="S9" s="324"/>
      <c r="T9" s="323"/>
      <c r="U9" s="323"/>
      <c r="V9" s="323"/>
      <c r="W9" s="323"/>
      <c r="X9" s="325"/>
      <c r="Y9" s="325"/>
    </row>
    <row r="10" spans="1:25" ht="19.5" x14ac:dyDescent="0.4">
      <c r="A10" s="317" t="s">
        <v>215</v>
      </c>
      <c r="B10" s="317"/>
      <c r="C10" s="317"/>
      <c r="D10" s="318" t="s">
        <v>327</v>
      </c>
      <c r="E10" s="326">
        <v>0.49</v>
      </c>
      <c r="F10" s="326">
        <f>'[3]Analized Sheet'!BG48</f>
        <v>1.0588235294117647</v>
      </c>
      <c r="G10" s="327">
        <v>2500</v>
      </c>
      <c r="H10" s="319" t="s">
        <v>328</v>
      </c>
      <c r="I10" s="328" t="s">
        <v>329</v>
      </c>
      <c r="J10" s="319"/>
      <c r="K10" s="319"/>
      <c r="L10" s="326"/>
      <c r="M10" s="317"/>
      <c r="N10" s="321"/>
      <c r="P10" s="322"/>
      <c r="Q10" s="323"/>
      <c r="R10" s="323"/>
      <c r="S10" s="324"/>
      <c r="T10" s="323"/>
      <c r="U10" s="323"/>
      <c r="V10" s="323"/>
      <c r="W10" s="323"/>
      <c r="X10" s="323"/>
      <c r="Y10" s="325"/>
    </row>
    <row r="11" spans="1:25" ht="19.5" x14ac:dyDescent="0.4">
      <c r="A11" s="317" t="s">
        <v>330</v>
      </c>
      <c r="B11" s="317"/>
      <c r="C11" s="317"/>
      <c r="D11" s="318">
        <f>'[3]Analized Sheet'!DR46</f>
        <v>86.666666666666671</v>
      </c>
      <c r="E11" s="319">
        <f>'[3]Analized Sheet'!DR54</f>
        <v>4.308943089430894</v>
      </c>
      <c r="F11" s="319">
        <f>'[3]Analized Sheet'!DR50</f>
        <v>2.2357723577235773</v>
      </c>
      <c r="G11" s="320">
        <v>2296</v>
      </c>
      <c r="H11" s="319">
        <v>9893</v>
      </c>
      <c r="I11" s="319"/>
      <c r="J11" s="319"/>
      <c r="K11" s="319">
        <f>+H11+I11+J11</f>
        <v>9893</v>
      </c>
      <c r="L11" s="319"/>
      <c r="M11" s="319"/>
      <c r="N11" s="321"/>
      <c r="P11" s="322"/>
      <c r="Q11" s="323"/>
      <c r="R11" s="323"/>
      <c r="S11" s="324"/>
      <c r="T11" s="323"/>
      <c r="U11" s="323"/>
      <c r="V11" s="323"/>
      <c r="W11" s="323"/>
      <c r="X11" s="323"/>
      <c r="Y11" s="323"/>
    </row>
    <row r="12" spans="1:25" ht="19.5" x14ac:dyDescent="0.4">
      <c r="A12" s="317" t="s">
        <v>331</v>
      </c>
      <c r="B12" s="317"/>
      <c r="C12" s="317"/>
      <c r="D12" s="318" t="s">
        <v>332</v>
      </c>
      <c r="E12" s="319"/>
      <c r="F12" s="319"/>
      <c r="G12" s="320"/>
      <c r="H12" s="319" t="s">
        <v>333</v>
      </c>
      <c r="I12" s="319"/>
      <c r="J12" s="319"/>
      <c r="K12" s="319"/>
      <c r="L12" s="319"/>
      <c r="M12" s="319"/>
      <c r="N12" s="321"/>
      <c r="P12" s="322"/>
      <c r="Q12" s="323"/>
      <c r="R12" s="323"/>
      <c r="S12" s="324"/>
      <c r="T12" s="323"/>
      <c r="U12" s="323"/>
      <c r="V12" s="323"/>
      <c r="W12" s="323"/>
      <c r="X12" s="323"/>
      <c r="Y12" s="323"/>
    </row>
    <row r="13" spans="1:25" ht="19.5" x14ac:dyDescent="0.4">
      <c r="A13" s="317" t="s">
        <v>46</v>
      </c>
      <c r="B13" s="317"/>
      <c r="C13" s="317"/>
      <c r="D13" s="318">
        <f>'[3]Analized Sheet'!EE46</f>
        <v>100</v>
      </c>
      <c r="E13" s="319">
        <f>'[3]Analized Sheet'!EE54</f>
        <v>2.2056737588652484</v>
      </c>
      <c r="F13" s="319">
        <f>'[3]Analized Sheet'!EE50</f>
        <v>0.6028368794326241</v>
      </c>
      <c r="G13" s="320">
        <v>2371</v>
      </c>
      <c r="H13" s="319">
        <v>5230</v>
      </c>
      <c r="I13" s="319"/>
      <c r="J13" s="319">
        <f>+E31*G31</f>
        <v>6825</v>
      </c>
      <c r="K13" s="319">
        <f>+H13+I13+J13</f>
        <v>12055</v>
      </c>
      <c r="L13" s="317"/>
      <c r="M13" s="319">
        <v>848</v>
      </c>
      <c r="N13" s="321"/>
      <c r="P13" s="322"/>
      <c r="Q13" s="323"/>
      <c r="R13" s="323"/>
      <c r="S13" s="324"/>
      <c r="T13" s="323"/>
      <c r="U13" s="323"/>
      <c r="V13" s="323"/>
      <c r="W13" s="323"/>
      <c r="X13" s="325"/>
      <c r="Y13" s="323"/>
    </row>
    <row r="14" spans="1:25" ht="19.5" x14ac:dyDescent="0.4">
      <c r="A14" s="317" t="s">
        <v>220</v>
      </c>
      <c r="B14" s="317"/>
      <c r="C14" s="317"/>
      <c r="D14" s="318">
        <f>'[3]Analized Sheet'!EO47</f>
        <v>66.666666666666657</v>
      </c>
      <c r="E14" s="1054">
        <f>'[3]Analized Sheet'!GY54</f>
        <v>0.68092198581560281</v>
      </c>
      <c r="F14" s="1054">
        <f>'[3]Analized Sheet'!GY50</f>
        <v>0.66496453900709218</v>
      </c>
      <c r="G14" s="1055">
        <f>'[3]Analized Sheet'!GY55</f>
        <v>2500</v>
      </c>
      <c r="H14" s="1056">
        <v>1702</v>
      </c>
      <c r="I14" s="319"/>
      <c r="J14" s="319"/>
      <c r="K14" s="319"/>
      <c r="L14" s="319"/>
      <c r="M14" s="319"/>
      <c r="N14" s="321"/>
      <c r="P14" s="322"/>
      <c r="Q14" s="323"/>
      <c r="R14" s="323"/>
      <c r="S14" s="324"/>
      <c r="T14" s="323"/>
      <c r="U14" s="323"/>
      <c r="V14" s="323"/>
      <c r="W14" s="323"/>
      <c r="X14" s="323"/>
      <c r="Y14" s="323"/>
    </row>
    <row r="15" spans="1:25" ht="19.5" x14ac:dyDescent="0.4">
      <c r="A15" s="317" t="s">
        <v>221</v>
      </c>
      <c r="B15" s="317"/>
      <c r="C15" s="317"/>
      <c r="D15" s="318">
        <f>'[3]Analized Sheet'!FV44</f>
        <v>93.333333333333329</v>
      </c>
      <c r="E15" s="1054"/>
      <c r="F15" s="1054"/>
      <c r="G15" s="1055"/>
      <c r="H15" s="1056"/>
      <c r="I15" s="317"/>
      <c r="J15" s="319">
        <f>E42*G42</f>
        <v>10000</v>
      </c>
      <c r="K15" s="319">
        <f>+J15+I15+H14</f>
        <v>11702</v>
      </c>
      <c r="L15" s="319"/>
      <c r="M15" s="319"/>
      <c r="N15" s="321"/>
      <c r="P15" s="322"/>
      <c r="Q15" s="323"/>
      <c r="R15" s="323"/>
      <c r="S15" s="324"/>
      <c r="T15" s="323"/>
      <c r="U15" s="323"/>
      <c r="V15" s="323"/>
      <c r="W15" s="323"/>
      <c r="X15" s="323"/>
      <c r="Y15" s="323"/>
    </row>
    <row r="16" spans="1:25" ht="19.5" x14ac:dyDescent="0.4">
      <c r="A16" s="317" t="s">
        <v>222</v>
      </c>
      <c r="B16" s="317"/>
      <c r="C16" s="317"/>
      <c r="D16" s="318">
        <f>'[3]Analized Sheet'!HV46</f>
        <v>96.666666666666671</v>
      </c>
      <c r="E16" s="319">
        <f>'[3]Analized Sheet'!HV54</f>
        <v>0.3362043795620438</v>
      </c>
      <c r="F16" s="319">
        <f>'[3]Analized Sheet'!HV50</f>
        <v>0.24306569343065693</v>
      </c>
      <c r="G16" s="320">
        <v>2530</v>
      </c>
      <c r="H16" s="319">
        <v>851</v>
      </c>
      <c r="I16" s="319"/>
      <c r="J16" s="319">
        <v>6384</v>
      </c>
      <c r="K16" s="319">
        <f t="shared" ref="K16:K21" si="0">+H16+I16+J16</f>
        <v>7235</v>
      </c>
      <c r="L16" s="319"/>
      <c r="M16" s="319"/>
      <c r="N16" s="321"/>
      <c r="P16" s="322"/>
      <c r="Q16" s="323"/>
      <c r="R16" s="323"/>
      <c r="S16" s="324"/>
      <c r="T16" s="323"/>
      <c r="U16" s="323"/>
      <c r="V16" s="323"/>
      <c r="W16" s="323"/>
      <c r="X16" s="323"/>
      <c r="Y16" s="323"/>
    </row>
    <row r="17" spans="1:25" ht="19.5" x14ac:dyDescent="0.4">
      <c r="A17" s="317" t="s">
        <v>223</v>
      </c>
      <c r="B17" s="317"/>
      <c r="C17" s="317"/>
      <c r="D17" s="318">
        <f>'[3]Analized Sheet'!IH46</f>
        <v>60</v>
      </c>
      <c r="E17" s="319">
        <f>'[3]Analized Sheet'!IH54</f>
        <v>0.40202247191011237</v>
      </c>
      <c r="F17" s="319">
        <f>'[3]Analized Sheet'!IH50</f>
        <v>0.34853932584269665</v>
      </c>
      <c r="G17" s="320">
        <f>'[3]Analized Sheet'!IH55</f>
        <v>3000</v>
      </c>
      <c r="H17" s="319">
        <v>1206</v>
      </c>
      <c r="I17" s="319"/>
      <c r="J17" s="319">
        <v>4989</v>
      </c>
      <c r="K17" s="319">
        <f t="shared" si="0"/>
        <v>6195</v>
      </c>
      <c r="L17" s="319"/>
      <c r="M17" s="319"/>
      <c r="N17" s="321"/>
      <c r="P17" s="322"/>
      <c r="Q17" s="323"/>
      <c r="R17" s="323"/>
      <c r="S17" s="324"/>
      <c r="T17" s="323"/>
      <c r="U17" s="323"/>
      <c r="V17" s="323"/>
      <c r="W17" s="323"/>
      <c r="X17" s="323"/>
      <c r="Y17" s="323"/>
    </row>
    <row r="18" spans="1:25" ht="19.5" x14ac:dyDescent="0.4">
      <c r="A18" s="317" t="s">
        <v>224</v>
      </c>
      <c r="B18" s="317"/>
      <c r="C18" s="317"/>
      <c r="D18" s="318">
        <f>'[3]Analized Sheet'!JB46</f>
        <v>100</v>
      </c>
      <c r="E18" s="319">
        <f>'[3]Analized Sheet'!JB54</f>
        <v>3.2358156028368796</v>
      </c>
      <c r="F18" s="319">
        <f>'[3]Analized Sheet'!JB50</f>
        <v>3.2358156028368796</v>
      </c>
      <c r="G18" s="320">
        <v>2500</v>
      </c>
      <c r="H18" s="319">
        <v>8090</v>
      </c>
      <c r="I18" s="319"/>
      <c r="J18" s="319"/>
      <c r="K18" s="319">
        <f t="shared" si="0"/>
        <v>8090</v>
      </c>
      <c r="L18" s="319"/>
      <c r="M18" s="319"/>
      <c r="N18" s="321"/>
      <c r="P18" s="322"/>
      <c r="Q18" s="323"/>
      <c r="R18" s="323"/>
      <c r="S18" s="324"/>
      <c r="T18" s="323"/>
      <c r="U18" s="323"/>
      <c r="V18" s="323"/>
      <c r="W18" s="323"/>
      <c r="X18" s="323"/>
      <c r="Y18" s="323"/>
    </row>
    <row r="19" spans="1:25" ht="19.5" x14ac:dyDescent="0.4">
      <c r="A19" s="317" t="s">
        <v>225</v>
      </c>
      <c r="B19" s="317"/>
      <c r="C19" s="317"/>
      <c r="D19" s="318">
        <f>'[3]Analized Sheet'!JO46</f>
        <v>100</v>
      </c>
      <c r="E19" s="319">
        <f>'[3]Analized Sheet'!JO54</f>
        <v>0.79971631205673765</v>
      </c>
      <c r="F19" s="319">
        <f>'[3]Analized Sheet'!JO50</f>
        <v>0.3475177304964539</v>
      </c>
      <c r="G19" s="320">
        <v>2312</v>
      </c>
      <c r="H19" s="319">
        <v>1849</v>
      </c>
      <c r="I19" s="319">
        <v>19135</v>
      </c>
      <c r="J19" s="319"/>
      <c r="K19" s="319">
        <f t="shared" si="0"/>
        <v>20984</v>
      </c>
      <c r="L19" s="319"/>
      <c r="M19" s="317"/>
      <c r="N19" s="321"/>
      <c r="P19" s="322"/>
      <c r="Q19" s="323"/>
      <c r="R19" s="323"/>
      <c r="S19" s="324"/>
      <c r="T19" s="323"/>
      <c r="U19" s="323"/>
      <c r="V19" s="323"/>
      <c r="W19" s="323"/>
      <c r="X19" s="323"/>
      <c r="Y19" s="325"/>
    </row>
    <row r="20" spans="1:25" ht="19.5" x14ac:dyDescent="0.4">
      <c r="A20" s="317" t="s">
        <v>231</v>
      </c>
      <c r="B20" s="317"/>
      <c r="C20" s="317"/>
      <c r="D20" s="318">
        <f>'[3]Analized Sheet'!LL46</f>
        <v>63.333333333333329</v>
      </c>
      <c r="E20" s="319">
        <f>'[3]Analized Sheet'!LL54</f>
        <v>1.8780487804878048</v>
      </c>
      <c r="F20" s="319">
        <f>'[3]Analized Sheet'!LL50</f>
        <v>1.024390243902439</v>
      </c>
      <c r="G20" s="320">
        <v>2271</v>
      </c>
      <c r="H20" s="319">
        <v>4265</v>
      </c>
      <c r="I20" s="319"/>
      <c r="J20" s="319"/>
      <c r="K20" s="319">
        <f t="shared" si="0"/>
        <v>4265</v>
      </c>
      <c r="L20" s="319"/>
      <c r="M20" s="319"/>
      <c r="N20" s="321"/>
      <c r="P20" s="322"/>
      <c r="Q20" s="323"/>
      <c r="R20" s="323"/>
      <c r="S20" s="324"/>
      <c r="T20" s="323"/>
      <c r="U20" s="323"/>
      <c r="V20" s="323"/>
      <c r="W20" s="323"/>
      <c r="X20" s="323"/>
      <c r="Y20" s="323"/>
    </row>
    <row r="21" spans="1:25" ht="19.5" x14ac:dyDescent="0.4">
      <c r="A21" s="317" t="s">
        <v>334</v>
      </c>
      <c r="B21" s="317"/>
      <c r="C21" s="317"/>
      <c r="D21" s="318">
        <f>'[3]Analized Sheet'!LU44</f>
        <v>83.333333333333343</v>
      </c>
      <c r="E21" s="329">
        <f>'[3]Analized Sheet'!LU52</f>
        <v>0.38359649122807016</v>
      </c>
      <c r="F21" s="329">
        <f>'[3]Analized Sheet'!LU48</f>
        <v>0.17307017543859651</v>
      </c>
      <c r="G21" s="329">
        <f>'[3]Analized Sheet'!LU53</f>
        <v>2125</v>
      </c>
      <c r="H21" s="319">
        <v>815</v>
      </c>
      <c r="I21" s="329">
        <v>2661</v>
      </c>
      <c r="J21" s="329"/>
      <c r="K21" s="319">
        <f t="shared" si="0"/>
        <v>3476</v>
      </c>
      <c r="L21" s="329">
        <v>117</v>
      </c>
      <c r="M21" s="330"/>
      <c r="N21" s="321"/>
      <c r="P21" s="322"/>
      <c r="Q21" s="331"/>
      <c r="R21" s="331"/>
      <c r="S21" s="331"/>
      <c r="T21" s="323"/>
      <c r="U21" s="331"/>
      <c r="V21" s="331"/>
      <c r="W21" s="323"/>
      <c r="X21" s="331"/>
      <c r="Y21" s="332"/>
    </row>
    <row r="22" spans="1:25" ht="19.5" x14ac:dyDescent="0.4">
      <c r="A22" s="317" t="s">
        <v>34</v>
      </c>
      <c r="B22" s="317"/>
      <c r="C22" s="317"/>
      <c r="D22" s="333"/>
      <c r="E22" s="319"/>
      <c r="F22" s="319"/>
      <c r="G22" s="320"/>
      <c r="H22" s="319"/>
      <c r="I22" s="319"/>
      <c r="J22" s="319"/>
      <c r="K22" s="319">
        <v>2500</v>
      </c>
      <c r="L22" s="319"/>
      <c r="M22" s="319"/>
      <c r="N22" s="321"/>
      <c r="P22" s="334"/>
      <c r="Q22" s="323"/>
      <c r="R22" s="323"/>
      <c r="S22" s="324"/>
      <c r="T22" s="323"/>
      <c r="U22" s="323"/>
      <c r="V22" s="323"/>
      <c r="W22" s="323"/>
      <c r="X22" s="323"/>
      <c r="Y22" s="323"/>
    </row>
    <row r="23" spans="1:25" x14ac:dyDescent="0.25">
      <c r="A23" s="310" t="s">
        <v>134</v>
      </c>
      <c r="B23" s="310"/>
      <c r="C23" s="310"/>
      <c r="D23" s="335"/>
      <c r="E23" s="336">
        <f t="shared" ref="E23:M23" si="1">SUM(E8:E22)</f>
        <v>16.089655377961737</v>
      </c>
      <c r="F23" s="336">
        <f t="shared" si="1"/>
        <v>11.220863955191952</v>
      </c>
      <c r="G23" s="336">
        <f t="shared" si="1"/>
        <v>29405</v>
      </c>
      <c r="H23" s="336">
        <f t="shared" si="1"/>
        <v>37323</v>
      </c>
      <c r="I23" s="336">
        <f t="shared" si="1"/>
        <v>41283</v>
      </c>
      <c r="J23" s="336">
        <f t="shared" si="1"/>
        <v>28198</v>
      </c>
      <c r="K23" s="336">
        <f t="shared" si="1"/>
        <v>109304</v>
      </c>
      <c r="L23" s="336">
        <f t="shared" si="1"/>
        <v>2095</v>
      </c>
      <c r="M23" s="336">
        <f t="shared" si="1"/>
        <v>848</v>
      </c>
      <c r="O23" s="321"/>
      <c r="P23" s="321"/>
      <c r="Q23" s="337"/>
      <c r="R23" s="321"/>
    </row>
    <row r="24" spans="1:25" ht="16.5" thickBot="1" x14ac:dyDescent="0.3">
      <c r="A24" s="338" t="s">
        <v>135</v>
      </c>
      <c r="B24" s="338"/>
      <c r="C24" s="338"/>
      <c r="D24" s="339"/>
      <c r="E24" s="340">
        <f>+E23-F23</f>
        <v>4.8687914227697853</v>
      </c>
      <c r="F24" s="340"/>
      <c r="G24" s="340"/>
      <c r="H24" s="340">
        <f>+E36*G36</f>
        <v>11665</v>
      </c>
      <c r="I24" s="340">
        <f>+I23-L23</f>
        <v>39188</v>
      </c>
      <c r="J24" s="340">
        <f>+J23-M23</f>
        <v>27350</v>
      </c>
      <c r="K24" s="340">
        <f>+H24+I24+J24</f>
        <v>78203</v>
      </c>
      <c r="L24" s="338"/>
      <c r="M24" s="338"/>
      <c r="O24" s="321"/>
      <c r="P24" s="321"/>
      <c r="Q24" s="337"/>
      <c r="R24" s="321"/>
    </row>
    <row r="25" spans="1:25" x14ac:dyDescent="0.25">
      <c r="A25" s="317"/>
      <c r="B25" s="317"/>
      <c r="C25" s="317"/>
      <c r="D25" s="317"/>
      <c r="E25" s="317"/>
      <c r="F25" s="317"/>
      <c r="G25" s="317"/>
      <c r="H25" s="317"/>
      <c r="I25" s="319"/>
      <c r="J25" s="317"/>
      <c r="K25" s="317"/>
      <c r="L25" s="317"/>
      <c r="M25" s="317"/>
      <c r="N25" s="321"/>
    </row>
    <row r="26" spans="1:25" ht="16.5" thickBot="1" x14ac:dyDescent="0.3">
      <c r="A26" s="317"/>
      <c r="B26" s="317"/>
      <c r="C26" s="317" t="s">
        <v>37</v>
      </c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21"/>
    </row>
    <row r="27" spans="1:25" x14ac:dyDescent="0.25">
      <c r="A27" s="317"/>
      <c r="B27" s="317"/>
      <c r="C27" s="317"/>
      <c r="D27" s="317"/>
      <c r="E27" s="317"/>
      <c r="F27" s="317"/>
      <c r="G27" s="317"/>
      <c r="H27" s="317"/>
      <c r="I27" s="317"/>
      <c r="J27" s="341" t="s">
        <v>42</v>
      </c>
      <c r="K27" s="342" t="s">
        <v>95</v>
      </c>
      <c r="L27" s="317"/>
      <c r="M27" s="317"/>
      <c r="N27" s="321"/>
    </row>
    <row r="28" spans="1:25" x14ac:dyDescent="0.25">
      <c r="A28" s="317" t="s">
        <v>96</v>
      </c>
      <c r="B28" s="317"/>
      <c r="C28" s="317"/>
      <c r="D28" s="317"/>
      <c r="E28" s="317"/>
      <c r="F28" s="317"/>
      <c r="G28" s="317"/>
      <c r="H28" s="317"/>
      <c r="I28" s="317"/>
      <c r="J28" s="343" t="s">
        <v>254</v>
      </c>
      <c r="K28" s="344">
        <f>13/30*100</f>
        <v>43.333333333333336</v>
      </c>
      <c r="L28" s="317"/>
      <c r="M28" s="345"/>
    </row>
    <row r="29" spans="1:25" x14ac:dyDescent="0.25">
      <c r="A29" s="346" t="s">
        <v>38</v>
      </c>
      <c r="B29" s="346"/>
      <c r="C29" s="346"/>
      <c r="D29" s="347" t="s">
        <v>39</v>
      </c>
      <c r="E29" s="347" t="s">
        <v>40</v>
      </c>
      <c r="F29" s="347"/>
      <c r="G29" s="347" t="s">
        <v>41</v>
      </c>
      <c r="H29" s="347"/>
      <c r="I29" s="317"/>
      <c r="J29" s="343" t="s">
        <v>335</v>
      </c>
      <c r="K29" s="348">
        <f>9/30*100</f>
        <v>30</v>
      </c>
      <c r="L29" s="317"/>
      <c r="M29" s="349"/>
    </row>
    <row r="30" spans="1:25" x14ac:dyDescent="0.25">
      <c r="A30" s="317" t="s">
        <v>43</v>
      </c>
      <c r="B30" s="317"/>
      <c r="C30" s="317"/>
      <c r="D30" s="350"/>
      <c r="E30" s="317"/>
      <c r="F30" s="317"/>
      <c r="G30" s="317"/>
      <c r="H30" s="317"/>
      <c r="I30" s="317"/>
      <c r="J30" s="343" t="s">
        <v>98</v>
      </c>
      <c r="K30" s="344">
        <f>8/30*100</f>
        <v>26.666666666666668</v>
      </c>
      <c r="L30" s="317"/>
      <c r="M30" s="349"/>
    </row>
    <row r="31" spans="1:25" ht="16.5" thickBot="1" x14ac:dyDescent="0.3">
      <c r="A31" s="317" t="s">
        <v>46</v>
      </c>
      <c r="B31" s="317"/>
      <c r="C31" s="317"/>
      <c r="D31" s="350" t="s">
        <v>47</v>
      </c>
      <c r="E31" s="351">
        <v>39</v>
      </c>
      <c r="F31" s="317"/>
      <c r="G31" s="319">
        <v>175</v>
      </c>
      <c r="H31" s="319"/>
      <c r="I31" s="317"/>
      <c r="J31" s="352" t="s">
        <v>8</v>
      </c>
      <c r="K31" s="353">
        <f>SUM(K28:K30)</f>
        <v>100.00000000000001</v>
      </c>
      <c r="L31" s="317"/>
      <c r="M31" s="349"/>
    </row>
    <row r="32" spans="1:25" ht="16.5" thickBot="1" x14ac:dyDescent="0.3">
      <c r="A32" s="317"/>
      <c r="B32" s="317"/>
      <c r="C32" s="317"/>
      <c r="D32" s="319"/>
      <c r="E32" s="354"/>
      <c r="F32" s="317"/>
      <c r="G32" s="326"/>
      <c r="H32" s="326"/>
      <c r="I32" s="317"/>
      <c r="J32" s="349"/>
      <c r="K32" s="355"/>
      <c r="L32" s="317"/>
      <c r="M32" s="349"/>
    </row>
    <row r="33" spans="1:18" x14ac:dyDescent="0.25">
      <c r="A33" s="317"/>
      <c r="B33" s="317"/>
      <c r="C33" s="317"/>
      <c r="D33" s="319"/>
      <c r="E33" s="354"/>
      <c r="F33" s="317"/>
      <c r="G33" s="326"/>
      <c r="H33" s="326"/>
      <c r="I33" s="317"/>
      <c r="J33" s="356" t="s">
        <v>99</v>
      </c>
      <c r="K33" s="357">
        <f>'[3]Analized Sheet'!N43</f>
        <v>2.35</v>
      </c>
      <c r="L33" s="317"/>
      <c r="M33" s="349"/>
    </row>
    <row r="34" spans="1:18" ht="16.5" thickBot="1" x14ac:dyDescent="0.3">
      <c r="A34" s="317"/>
      <c r="B34" s="317"/>
      <c r="C34" s="317"/>
      <c r="D34" s="319"/>
      <c r="E34" s="317"/>
      <c r="F34" s="317"/>
      <c r="G34" s="317"/>
      <c r="H34" s="317"/>
      <c r="I34" s="317"/>
      <c r="J34" s="358" t="s">
        <v>100</v>
      </c>
      <c r="K34" s="359">
        <f>'[3]Analized Sheet'!N44</f>
        <v>2.5</v>
      </c>
      <c r="L34" s="317"/>
      <c r="M34" s="349"/>
      <c r="R34" s="307" t="s">
        <v>152</v>
      </c>
    </row>
    <row r="35" spans="1:18" x14ac:dyDescent="0.25">
      <c r="A35" s="317" t="s">
        <v>51</v>
      </c>
      <c r="B35" s="317"/>
      <c r="C35" s="317"/>
      <c r="D35" s="319"/>
      <c r="E35" s="317"/>
      <c r="F35" s="317"/>
      <c r="G35" s="317"/>
      <c r="H35" s="317"/>
      <c r="I35" s="317"/>
      <c r="J35" s="349"/>
      <c r="K35" s="355"/>
      <c r="L35" s="317"/>
      <c r="M35" s="349"/>
    </row>
    <row r="36" spans="1:18" x14ac:dyDescent="0.25">
      <c r="A36" s="317" t="s">
        <v>233</v>
      </c>
      <c r="B36" s="317"/>
      <c r="C36" s="317"/>
      <c r="D36" s="317" t="s">
        <v>54</v>
      </c>
      <c r="E36" s="360">
        <v>5</v>
      </c>
      <c r="F36" s="317"/>
      <c r="G36" s="319">
        <v>2333</v>
      </c>
      <c r="H36" s="319"/>
      <c r="I36" s="313"/>
      <c r="J36" s="349"/>
      <c r="K36" s="355"/>
      <c r="L36" s="317"/>
      <c r="M36" s="349"/>
    </row>
    <row r="37" spans="1:18" x14ac:dyDescent="0.25">
      <c r="A37" s="317" t="s">
        <v>234</v>
      </c>
      <c r="B37" s="317"/>
      <c r="C37" s="317"/>
      <c r="D37" s="317" t="s">
        <v>54</v>
      </c>
      <c r="E37" s="360">
        <v>11</v>
      </c>
      <c r="F37" s="317"/>
      <c r="G37" s="317"/>
      <c r="H37" s="317"/>
      <c r="I37" s="313"/>
      <c r="J37" s="349"/>
      <c r="K37" s="355"/>
      <c r="L37" s="317"/>
      <c r="M37" s="349"/>
      <c r="N37" s="321"/>
      <c r="O37" s="321"/>
      <c r="P37" s="321"/>
      <c r="Q37" s="321"/>
    </row>
    <row r="38" spans="1:18" x14ac:dyDescent="0.25">
      <c r="A38" s="317" t="s">
        <v>8</v>
      </c>
      <c r="B38" s="317"/>
      <c r="C38" s="317"/>
      <c r="D38" s="317" t="s">
        <v>54</v>
      </c>
      <c r="E38" s="360">
        <f>E36+E37</f>
        <v>16</v>
      </c>
      <c r="F38" s="317"/>
      <c r="G38" s="317"/>
      <c r="H38" s="317"/>
      <c r="I38" s="313"/>
      <c r="J38" s="313"/>
      <c r="K38" s="361"/>
      <c r="L38" s="317"/>
      <c r="M38" s="317"/>
    </row>
    <row r="39" spans="1:18" x14ac:dyDescent="0.25">
      <c r="A39" s="317"/>
      <c r="B39" s="317"/>
      <c r="C39" s="317"/>
      <c r="D39" s="319"/>
      <c r="E39" s="317"/>
      <c r="F39" s="317"/>
      <c r="G39" s="317"/>
      <c r="H39" s="317"/>
      <c r="I39" s="313"/>
      <c r="J39" s="317"/>
      <c r="K39" s="317"/>
      <c r="L39" s="317"/>
      <c r="M39" s="317"/>
    </row>
    <row r="40" spans="1:18" x14ac:dyDescent="0.25">
      <c r="A40" s="310" t="s">
        <v>58</v>
      </c>
      <c r="B40" s="310"/>
      <c r="C40" s="310" t="s">
        <v>59</v>
      </c>
      <c r="D40" s="310"/>
      <c r="E40" s="310"/>
      <c r="F40" s="310"/>
      <c r="G40" s="310"/>
      <c r="H40" s="310"/>
      <c r="I40" s="313"/>
      <c r="J40" s="317"/>
      <c r="K40" s="317"/>
      <c r="L40" s="317"/>
      <c r="M40" s="317"/>
    </row>
    <row r="41" spans="1:18" x14ac:dyDescent="0.25">
      <c r="A41" s="313" t="s">
        <v>60</v>
      </c>
      <c r="B41" s="317" t="s">
        <v>103</v>
      </c>
      <c r="C41" s="362">
        <f>'[3]Analized Sheet'!EO47</f>
        <v>66.666666666666657</v>
      </c>
      <c r="D41" s="350" t="s">
        <v>47</v>
      </c>
      <c r="E41" s="319">
        <v>94</v>
      </c>
      <c r="F41" s="363"/>
      <c r="G41" s="785" t="s">
        <v>142</v>
      </c>
      <c r="H41" s="363"/>
      <c r="I41" s="363"/>
      <c r="J41" s="317"/>
      <c r="K41" s="317"/>
      <c r="L41" s="317"/>
      <c r="M41" s="317"/>
    </row>
    <row r="42" spans="1:18" x14ac:dyDescent="0.25">
      <c r="A42" s="313" t="s">
        <v>104</v>
      </c>
      <c r="B42" s="313" t="s">
        <v>106</v>
      </c>
      <c r="C42" s="362">
        <f>'[3]Analized Sheet'!FV44</f>
        <v>93.333333333333329</v>
      </c>
      <c r="D42" s="350" t="s">
        <v>47</v>
      </c>
      <c r="E42" s="319">
        <f>'[3]Analized Sheet'!FV45</f>
        <v>50</v>
      </c>
      <c r="F42" s="363"/>
      <c r="G42" s="363">
        <v>200</v>
      </c>
      <c r="H42" s="363"/>
      <c r="I42" s="363"/>
      <c r="J42" s="317"/>
      <c r="K42" s="317"/>
      <c r="L42" s="317"/>
      <c r="M42" s="317"/>
    </row>
    <row r="43" spans="1:18" x14ac:dyDescent="0.25">
      <c r="A43" s="313"/>
      <c r="F43" s="364"/>
      <c r="G43" s="784"/>
      <c r="H43" s="363"/>
      <c r="I43" s="363"/>
      <c r="J43" s="317"/>
      <c r="K43" s="317"/>
      <c r="L43" s="317"/>
      <c r="M43" s="317"/>
    </row>
    <row r="44" spans="1:18" x14ac:dyDescent="0.25">
      <c r="A44" s="310" t="s">
        <v>71</v>
      </c>
      <c r="B44" s="310"/>
      <c r="C44" s="310"/>
      <c r="D44" s="310"/>
      <c r="E44" s="310"/>
      <c r="F44" s="314" t="s">
        <v>72</v>
      </c>
      <c r="G44" s="313"/>
      <c r="H44" s="365" t="s">
        <v>73</v>
      </c>
      <c r="I44" s="317"/>
      <c r="J44" s="317"/>
      <c r="K44" s="317"/>
      <c r="L44" s="317"/>
      <c r="M44" s="317"/>
    </row>
    <row r="45" spans="1:18" x14ac:dyDescent="0.25">
      <c r="A45" s="313" t="s">
        <v>108</v>
      </c>
      <c r="B45" s="313"/>
      <c r="C45" s="313"/>
      <c r="D45" s="313"/>
      <c r="E45" s="313"/>
      <c r="F45" s="363">
        <v>1400</v>
      </c>
      <c r="G45" s="366"/>
      <c r="H45" s="712">
        <f>+F45*2.471</f>
        <v>3459.4</v>
      </c>
      <c r="I45" s="360"/>
      <c r="J45" s="317"/>
      <c r="K45" s="317"/>
      <c r="L45" s="317"/>
      <c r="M45" s="317"/>
    </row>
    <row r="46" spans="1:18" x14ac:dyDescent="0.25">
      <c r="A46" s="313" t="s">
        <v>109</v>
      </c>
      <c r="B46" s="313"/>
      <c r="C46" s="313"/>
      <c r="D46" s="313"/>
      <c r="E46" s="313"/>
      <c r="F46" s="363">
        <v>92</v>
      </c>
      <c r="G46" s="367"/>
      <c r="H46" s="712"/>
      <c r="I46" s="360"/>
      <c r="J46" s="317"/>
      <c r="K46" s="317"/>
      <c r="L46" s="317"/>
      <c r="M46" s="317"/>
    </row>
    <row r="47" spans="1:18" x14ac:dyDescent="0.25">
      <c r="A47" s="313" t="s">
        <v>110</v>
      </c>
      <c r="B47" s="313"/>
      <c r="C47" s="313"/>
      <c r="D47" s="313"/>
      <c r="E47" s="313"/>
      <c r="F47" s="363">
        <f>+F45*F46</f>
        <v>128800</v>
      </c>
      <c r="G47" s="367"/>
      <c r="H47" s="712">
        <f>+F47*2.471</f>
        <v>318264.8</v>
      </c>
      <c r="I47" s="360"/>
      <c r="J47" s="317"/>
      <c r="K47" s="317"/>
      <c r="L47" s="317"/>
      <c r="M47" s="317"/>
    </row>
    <row r="48" spans="1:18" x14ac:dyDescent="0.25">
      <c r="A48" s="313" t="s">
        <v>111</v>
      </c>
      <c r="B48" s="313"/>
      <c r="C48" s="313"/>
      <c r="D48" s="313"/>
      <c r="E48" s="313"/>
      <c r="F48" s="363">
        <f>+F47-K23</f>
        <v>19496</v>
      </c>
      <c r="G48" s="367"/>
      <c r="H48" s="712">
        <f>+F48*2.471</f>
        <v>48174.616000000002</v>
      </c>
      <c r="I48" s="360"/>
      <c r="J48" s="319"/>
      <c r="K48" s="319"/>
      <c r="L48" s="317"/>
      <c r="M48" s="317"/>
    </row>
    <row r="49" spans="1:13" x14ac:dyDescent="0.25">
      <c r="A49" s="313" t="s">
        <v>112</v>
      </c>
      <c r="B49" s="313"/>
      <c r="C49" s="313"/>
      <c r="D49" s="313"/>
      <c r="E49" s="313"/>
      <c r="F49" s="363">
        <f>+F47-K24</f>
        <v>50597</v>
      </c>
      <c r="G49" s="367"/>
      <c r="H49" s="712">
        <f>+F49*2.471</f>
        <v>125025.18700000001</v>
      </c>
      <c r="I49" s="360"/>
      <c r="J49" s="319"/>
      <c r="K49" s="317"/>
      <c r="L49" s="317"/>
      <c r="M49" s="317"/>
    </row>
    <row r="50" spans="1:13" x14ac:dyDescent="0.25">
      <c r="A50" s="313" t="s">
        <v>262</v>
      </c>
      <c r="B50" s="313"/>
      <c r="C50" s="313"/>
      <c r="D50" s="313"/>
      <c r="E50" s="313"/>
      <c r="F50" s="363">
        <f>+K23/F45</f>
        <v>78.074285714285708</v>
      </c>
      <c r="G50" s="367"/>
      <c r="H50" s="367"/>
      <c r="I50" s="317"/>
      <c r="J50" s="317"/>
      <c r="K50" s="319"/>
      <c r="L50" s="317"/>
      <c r="M50" s="317"/>
    </row>
    <row r="51" spans="1:13" x14ac:dyDescent="0.25">
      <c r="A51" s="315" t="s">
        <v>263</v>
      </c>
      <c r="B51" s="315"/>
      <c r="C51" s="315"/>
      <c r="D51" s="315"/>
      <c r="E51" s="315"/>
      <c r="F51" s="364">
        <f>+K24/F45</f>
        <v>55.859285714285711</v>
      </c>
      <c r="G51" s="368"/>
      <c r="H51" s="368"/>
      <c r="I51" s="317"/>
      <c r="J51" s="317"/>
      <c r="K51" s="317"/>
      <c r="L51" s="317"/>
      <c r="M51" s="317"/>
    </row>
    <row r="52" spans="1:13" x14ac:dyDescent="0.25">
      <c r="A52" s="345" t="s">
        <v>336</v>
      </c>
      <c r="B52" s="317"/>
      <c r="C52" s="317"/>
      <c r="D52" s="369" t="s">
        <v>337</v>
      </c>
      <c r="E52" s="317"/>
      <c r="F52" s="317"/>
      <c r="G52" s="317"/>
      <c r="H52" s="317"/>
      <c r="I52" s="317"/>
      <c r="J52" s="317"/>
      <c r="K52" s="317"/>
      <c r="L52" s="317"/>
      <c r="M52" s="317"/>
    </row>
    <row r="53" spans="1:13" x14ac:dyDescent="0.25">
      <c r="A53" s="345"/>
      <c r="B53" s="317"/>
      <c r="C53" s="317"/>
      <c r="D53" s="369"/>
      <c r="E53" s="317"/>
      <c r="F53" s="317"/>
      <c r="G53" s="317"/>
      <c r="H53" s="317"/>
      <c r="I53" s="317"/>
      <c r="J53" s="317"/>
      <c r="K53" s="317"/>
      <c r="L53" s="317"/>
      <c r="M53" s="317"/>
    </row>
    <row r="54" spans="1:13" x14ac:dyDescent="0.25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</row>
    <row r="55" spans="1:13" x14ac:dyDescent="0.2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</row>
    <row r="56" spans="1:13" x14ac:dyDescent="0.25">
      <c r="A56" s="370"/>
      <c r="B56" s="317"/>
      <c r="C56" s="1057"/>
      <c r="D56" s="1057"/>
      <c r="E56" s="317"/>
      <c r="F56" s="317"/>
      <c r="G56" s="317"/>
      <c r="H56" s="317"/>
      <c r="I56" s="317"/>
      <c r="J56" s="317"/>
      <c r="K56" s="317"/>
      <c r="L56" s="317"/>
      <c r="M56" s="317"/>
    </row>
  </sheetData>
  <mergeCells count="5">
    <mergeCell ref="E14:E15"/>
    <mergeCell ref="F14:F15"/>
    <mergeCell ref="G14:G15"/>
    <mergeCell ref="H14:H15"/>
    <mergeCell ref="C56:D56"/>
  </mergeCells>
  <pageMargins left="0.7" right="0.7" top="0.75" bottom="0.75" header="0.3" footer="0.3"/>
  <pageSetup paperSize="9" scale="45" fitToHeight="0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zoomScale="77" zoomScaleNormal="77" workbookViewId="0">
      <selection sqref="A1:M47"/>
    </sheetView>
  </sheetViews>
  <sheetFormatPr defaultRowHeight="15" x14ac:dyDescent="0.25"/>
  <cols>
    <col min="1" max="2" width="9.140625" style="1"/>
    <col min="3" max="3" width="13.28515625" style="1" customWidth="1"/>
    <col min="4" max="4" width="9.28515625" style="1" customWidth="1"/>
    <col min="5" max="5" width="8.140625" style="1" customWidth="1"/>
    <col min="6" max="6" width="5.28515625" style="1" customWidth="1"/>
    <col min="7" max="7" width="13.42578125" style="1" customWidth="1"/>
    <col min="8" max="8" width="15.42578125" style="1" customWidth="1"/>
    <col min="9" max="9" width="13.5703125" style="1" customWidth="1"/>
    <col min="10" max="10" width="9.5703125" style="1" customWidth="1"/>
    <col min="11" max="11" width="10.5703125" style="1" customWidth="1"/>
    <col min="12" max="12" width="12.42578125" style="1" customWidth="1"/>
    <col min="13" max="13" width="7.7109375" style="1" customWidth="1"/>
    <col min="14" max="16384" width="9.140625" style="1"/>
  </cols>
  <sheetData>
    <row r="1" spans="1:15" x14ac:dyDescent="0.25">
      <c r="A1" s="1" t="s">
        <v>0</v>
      </c>
      <c r="B1" s="1" t="s">
        <v>1</v>
      </c>
    </row>
    <row r="2" spans="1:15" x14ac:dyDescent="0.25">
      <c r="B2" s="1" t="s">
        <v>2</v>
      </c>
    </row>
    <row r="3" spans="1:15" ht="14.25" customHeight="1" x14ac:dyDescent="0.25">
      <c r="B3" s="1" t="s">
        <v>4</v>
      </c>
      <c r="C3" s="1" t="s">
        <v>5</v>
      </c>
    </row>
    <row r="4" spans="1:15" x14ac:dyDescent="0.25">
      <c r="A4" s="2" t="s">
        <v>6</v>
      </c>
      <c r="B4" s="2"/>
      <c r="C4" s="2"/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4" t="s">
        <v>15</v>
      </c>
      <c r="M4" s="3"/>
    </row>
    <row r="5" spans="1:15" x14ac:dyDescent="0.25">
      <c r="A5" s="5"/>
      <c r="B5" s="5"/>
      <c r="C5" s="5"/>
      <c r="D5" s="6" t="s">
        <v>16</v>
      </c>
      <c r="E5" s="6" t="s">
        <v>17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19</v>
      </c>
      <c r="K5" s="6" t="s">
        <v>19</v>
      </c>
      <c r="L5" s="7" t="s">
        <v>12</v>
      </c>
      <c r="M5" s="6" t="s">
        <v>13</v>
      </c>
    </row>
    <row r="6" spans="1:15" x14ac:dyDescent="0.25">
      <c r="A6" s="5"/>
      <c r="B6" s="5"/>
      <c r="C6" s="5"/>
      <c r="D6" s="6" t="s">
        <v>21</v>
      </c>
      <c r="E6" s="6"/>
      <c r="F6" s="6"/>
      <c r="G6" s="6"/>
      <c r="H6" s="6" t="s">
        <v>22</v>
      </c>
      <c r="I6" s="6" t="s">
        <v>19</v>
      </c>
      <c r="J6" s="6" t="s">
        <v>22</v>
      </c>
      <c r="K6" s="6" t="s">
        <v>22</v>
      </c>
      <c r="L6" s="6"/>
      <c r="M6" s="6"/>
    </row>
    <row r="7" spans="1:15" x14ac:dyDescent="0.25">
      <c r="A7" s="8"/>
      <c r="B7" s="8"/>
      <c r="C7" s="8"/>
      <c r="D7" s="9"/>
      <c r="E7" s="9"/>
      <c r="F7" s="9"/>
      <c r="G7" s="9"/>
      <c r="H7" s="9"/>
      <c r="I7" s="9" t="s">
        <v>22</v>
      </c>
      <c r="J7" s="9"/>
      <c r="K7" s="9"/>
      <c r="L7" s="9"/>
      <c r="M7" s="9"/>
    </row>
    <row r="8" spans="1:15" s="10" customFormat="1" x14ac:dyDescent="0.25">
      <c r="A8" s="10" t="s">
        <v>23</v>
      </c>
      <c r="D8" s="11">
        <v>93</v>
      </c>
      <c r="E8" s="12">
        <v>0.98</v>
      </c>
      <c r="F8" s="12">
        <v>0.87</v>
      </c>
      <c r="G8" s="13">
        <v>2423</v>
      </c>
      <c r="H8" s="14">
        <v>2375</v>
      </c>
      <c r="I8" s="14"/>
      <c r="J8" s="14"/>
      <c r="K8" s="14">
        <f>+H8+I8+J8</f>
        <v>2375</v>
      </c>
      <c r="L8" s="14"/>
      <c r="M8" s="14"/>
    </row>
    <row r="9" spans="1:15" s="10" customFormat="1" x14ac:dyDescent="0.25">
      <c r="A9" s="10" t="s">
        <v>24</v>
      </c>
      <c r="D9" s="11">
        <v>100</v>
      </c>
      <c r="E9" s="12">
        <v>1.1499999999999999</v>
      </c>
      <c r="F9" s="12">
        <v>1.02</v>
      </c>
      <c r="G9" s="13">
        <v>2031</v>
      </c>
      <c r="H9" s="14">
        <v>2336</v>
      </c>
      <c r="I9" s="14">
        <v>20474</v>
      </c>
      <c r="J9" s="14"/>
      <c r="K9" s="14">
        <f>+H9+I9+J9</f>
        <v>22810</v>
      </c>
      <c r="L9" s="14">
        <v>826</v>
      </c>
      <c r="M9" s="14"/>
      <c r="O9" s="12"/>
    </row>
    <row r="10" spans="1:15" s="10" customFormat="1" x14ac:dyDescent="0.25">
      <c r="A10" s="10" t="s">
        <v>25</v>
      </c>
      <c r="D10" s="11">
        <v>100</v>
      </c>
      <c r="E10" s="12">
        <v>6.72</v>
      </c>
      <c r="F10" s="12">
        <v>2.85</v>
      </c>
      <c r="G10" s="13">
        <v>2036</v>
      </c>
      <c r="H10" s="14">
        <v>13682</v>
      </c>
      <c r="I10" s="14"/>
      <c r="J10" s="14"/>
      <c r="K10" s="14">
        <f t="shared" ref="K10:K18" si="0">+H10+I10+J10</f>
        <v>13682</v>
      </c>
      <c r="L10" s="14"/>
      <c r="M10" s="14"/>
    </row>
    <row r="11" spans="1:15" s="10" customFormat="1" x14ac:dyDescent="0.25">
      <c r="A11" s="10" t="s">
        <v>26</v>
      </c>
      <c r="D11" s="11">
        <v>100</v>
      </c>
      <c r="E11" s="12">
        <v>2.61</v>
      </c>
      <c r="F11" s="12">
        <v>0.79</v>
      </c>
      <c r="G11" s="13">
        <v>2360</v>
      </c>
      <c r="H11" s="14">
        <v>6160</v>
      </c>
      <c r="I11" s="14"/>
      <c r="J11" s="15">
        <f>+E25*G25</f>
        <v>8016</v>
      </c>
      <c r="K11" s="14">
        <f t="shared" si="0"/>
        <v>14176</v>
      </c>
      <c r="L11" s="14"/>
      <c r="M11" s="14">
        <v>4008</v>
      </c>
    </row>
    <row r="12" spans="1:15" s="10" customFormat="1" x14ac:dyDescent="0.25">
      <c r="A12" s="10" t="s">
        <v>27</v>
      </c>
      <c r="D12" s="11">
        <v>100</v>
      </c>
      <c r="E12" s="12">
        <v>0.91</v>
      </c>
      <c r="F12" s="12">
        <v>0.71</v>
      </c>
      <c r="G12" s="13">
        <v>2250</v>
      </c>
      <c r="H12" s="14">
        <v>2048</v>
      </c>
      <c r="I12" s="14"/>
      <c r="J12" s="14">
        <f>+E32*G32+E36*G36+E37*G37</f>
        <v>27575</v>
      </c>
      <c r="K12" s="14">
        <f t="shared" si="0"/>
        <v>29623</v>
      </c>
      <c r="L12" s="14"/>
      <c r="M12" s="14"/>
    </row>
    <row r="13" spans="1:15" s="10" customFormat="1" x14ac:dyDescent="0.25">
      <c r="A13" s="10" t="s">
        <v>28</v>
      </c>
      <c r="D13" s="11">
        <v>100</v>
      </c>
      <c r="E13" s="12">
        <v>0.44</v>
      </c>
      <c r="F13" s="10">
        <v>0.31</v>
      </c>
      <c r="G13" s="13">
        <v>2898</v>
      </c>
      <c r="H13" s="14">
        <v>1275</v>
      </c>
      <c r="I13" s="14"/>
      <c r="J13" s="14">
        <v>9049</v>
      </c>
      <c r="K13" s="14">
        <f t="shared" si="0"/>
        <v>10324</v>
      </c>
      <c r="L13" s="14"/>
      <c r="M13" s="14"/>
    </row>
    <row r="14" spans="1:15" s="10" customFormat="1" x14ac:dyDescent="0.25">
      <c r="A14" s="10" t="s">
        <v>29</v>
      </c>
      <c r="D14" s="11">
        <v>50</v>
      </c>
      <c r="E14" s="12">
        <v>0.69</v>
      </c>
      <c r="F14" s="12">
        <v>0.15</v>
      </c>
      <c r="G14" s="13">
        <v>2750</v>
      </c>
      <c r="H14" s="14">
        <v>1898</v>
      </c>
      <c r="I14" s="14"/>
      <c r="J14" s="14">
        <v>2836</v>
      </c>
      <c r="K14" s="14">
        <f t="shared" si="0"/>
        <v>4734</v>
      </c>
      <c r="L14" s="14"/>
      <c r="M14" s="14"/>
    </row>
    <row r="15" spans="1:15" s="10" customFormat="1" x14ac:dyDescent="0.25">
      <c r="A15" s="10" t="s">
        <v>30</v>
      </c>
      <c r="D15" s="11">
        <v>100</v>
      </c>
      <c r="E15" s="12">
        <v>3.15</v>
      </c>
      <c r="F15" s="12">
        <v>0</v>
      </c>
      <c r="G15" s="13">
        <v>2000</v>
      </c>
      <c r="H15" s="14">
        <f>+E15*G15</f>
        <v>6300</v>
      </c>
      <c r="I15" s="14"/>
      <c r="J15" s="14"/>
      <c r="K15" s="14">
        <f t="shared" si="0"/>
        <v>6300</v>
      </c>
      <c r="L15" s="14"/>
      <c r="M15" s="14"/>
    </row>
    <row r="16" spans="1:15" s="10" customFormat="1" x14ac:dyDescent="0.25">
      <c r="A16" s="10" t="s">
        <v>31</v>
      </c>
      <c r="D16" s="11">
        <v>100</v>
      </c>
      <c r="E16" s="12">
        <v>0.99</v>
      </c>
      <c r="F16" s="12">
        <v>0.49</v>
      </c>
      <c r="G16" s="13">
        <v>2242</v>
      </c>
      <c r="H16" s="14">
        <v>2220</v>
      </c>
      <c r="I16" s="14">
        <v>20036</v>
      </c>
      <c r="J16" s="14"/>
      <c r="K16" s="14">
        <f t="shared" si="0"/>
        <v>22256</v>
      </c>
      <c r="L16" s="14"/>
      <c r="M16" s="14"/>
      <c r="N16" s="12"/>
    </row>
    <row r="17" spans="1:13" s="10" customFormat="1" x14ac:dyDescent="0.25">
      <c r="A17" s="10" t="s">
        <v>32</v>
      </c>
      <c r="D17" s="11">
        <v>93.33</v>
      </c>
      <c r="E17" s="12">
        <v>2.0499999999999998</v>
      </c>
      <c r="F17" s="12">
        <v>1.61</v>
      </c>
      <c r="G17" s="13">
        <v>2172</v>
      </c>
      <c r="H17" s="14">
        <v>4453</v>
      </c>
      <c r="I17" s="14"/>
      <c r="J17" s="14"/>
      <c r="K17" s="14">
        <f t="shared" si="0"/>
        <v>4453</v>
      </c>
      <c r="L17" s="14"/>
      <c r="M17" s="14"/>
    </row>
    <row r="18" spans="1:13" s="10" customFormat="1" x14ac:dyDescent="0.25">
      <c r="A18" s="10" t="s">
        <v>33</v>
      </c>
      <c r="D18" s="11">
        <v>100</v>
      </c>
      <c r="E18" s="12">
        <v>0.16</v>
      </c>
      <c r="F18" s="12">
        <v>0.14000000000000001</v>
      </c>
      <c r="G18" s="13">
        <v>2000</v>
      </c>
      <c r="H18" s="14">
        <f>+E18*G18</f>
        <v>320</v>
      </c>
      <c r="I18" s="14">
        <v>1642</v>
      </c>
      <c r="J18" s="14"/>
      <c r="K18" s="14">
        <f t="shared" si="0"/>
        <v>1962</v>
      </c>
      <c r="L18" s="14"/>
      <c r="M18" s="14"/>
    </row>
    <row r="19" spans="1:13" s="10" customFormat="1" x14ac:dyDescent="0.25">
      <c r="A19" s="10" t="s">
        <v>34</v>
      </c>
      <c r="D19" s="11"/>
      <c r="E19" s="12"/>
      <c r="F19" s="12"/>
      <c r="G19" s="13"/>
      <c r="H19" s="14"/>
      <c r="I19" s="14"/>
      <c r="J19" s="14"/>
      <c r="K19" s="14">
        <f>400*11</f>
        <v>4400</v>
      </c>
      <c r="L19" s="14"/>
      <c r="M19" s="14"/>
    </row>
    <row r="20" spans="1:13" x14ac:dyDescent="0.25">
      <c r="A20" s="16" t="s">
        <v>35</v>
      </c>
      <c r="B20" s="16"/>
      <c r="C20" s="16"/>
      <c r="D20" s="17"/>
      <c r="E20" s="18">
        <f>SUM(E8:E19)</f>
        <v>19.849999999999998</v>
      </c>
      <c r="F20" s="18">
        <f>SUM(F8:F19)</f>
        <v>8.9400000000000013</v>
      </c>
      <c r="G20" s="18">
        <v>25162</v>
      </c>
      <c r="H20" s="19">
        <f>SUM(H8:H18)</f>
        <v>43067</v>
      </c>
      <c r="I20" s="19">
        <f>SUM(I8:I18)</f>
        <v>42152</v>
      </c>
      <c r="J20" s="19">
        <f>SUM(J8:J18)</f>
        <v>47476</v>
      </c>
      <c r="K20" s="19">
        <f>SUM(K8:K19)</f>
        <v>137095</v>
      </c>
      <c r="L20" s="19">
        <f>SUM(L8:L19)</f>
        <v>826</v>
      </c>
      <c r="M20" s="19">
        <f>SUM(M8:M19)</f>
        <v>4008</v>
      </c>
    </row>
    <row r="21" spans="1:13" x14ac:dyDescent="0.25">
      <c r="A21" s="20" t="s">
        <v>36</v>
      </c>
      <c r="B21" s="20"/>
      <c r="C21" s="20"/>
      <c r="D21" s="21"/>
      <c r="E21" s="22">
        <v>10.909999999999997</v>
      </c>
      <c r="F21" s="22"/>
      <c r="G21" s="22"/>
      <c r="H21" s="23">
        <f>+E28*G28</f>
        <v>23683</v>
      </c>
      <c r="I21" s="23">
        <f>+I20-L20</f>
        <v>41326</v>
      </c>
      <c r="J21" s="23">
        <f>+J20-M20</f>
        <v>43468</v>
      </c>
      <c r="K21" s="23">
        <f>+J21+I21+H21</f>
        <v>108477</v>
      </c>
      <c r="L21" s="23"/>
      <c r="M21" s="23"/>
    </row>
    <row r="22" spans="1:13" s="24" customFormat="1" ht="14.25" x14ac:dyDescent="0.2">
      <c r="C22" s="24" t="s">
        <v>37</v>
      </c>
    </row>
    <row r="23" spans="1:13" x14ac:dyDescent="0.25">
      <c r="A23" s="25" t="s">
        <v>38</v>
      </c>
      <c r="B23" s="25"/>
      <c r="C23" s="25"/>
      <c r="D23" s="25" t="s">
        <v>39</v>
      </c>
      <c r="E23" s="25" t="s">
        <v>40</v>
      </c>
      <c r="F23" s="25"/>
      <c r="G23" s="25" t="s">
        <v>41</v>
      </c>
      <c r="H23" s="26" t="s">
        <v>42</v>
      </c>
    </row>
    <row r="24" spans="1:13" x14ac:dyDescent="0.25">
      <c r="A24" s="1" t="s">
        <v>43</v>
      </c>
      <c r="H24" s="27" t="s">
        <v>44</v>
      </c>
      <c r="K24" s="28" t="s">
        <v>45</v>
      </c>
    </row>
    <row r="25" spans="1:13" x14ac:dyDescent="0.25">
      <c r="A25" s="1" t="s">
        <v>46</v>
      </c>
      <c r="D25" s="1" t="s">
        <v>47</v>
      </c>
      <c r="E25" s="1">
        <v>48</v>
      </c>
      <c r="G25" s="1">
        <v>167</v>
      </c>
      <c r="H25" s="27" t="s">
        <v>48</v>
      </c>
      <c r="K25" s="29" t="s">
        <v>49</v>
      </c>
    </row>
    <row r="26" spans="1:13" x14ac:dyDescent="0.25">
      <c r="H26" s="27" t="s">
        <v>50</v>
      </c>
      <c r="J26" s="30"/>
    </row>
    <row r="27" spans="1:13" x14ac:dyDescent="0.25">
      <c r="A27" s="1" t="s">
        <v>51</v>
      </c>
      <c r="H27" s="27" t="s">
        <v>52</v>
      </c>
      <c r="J27" s="30"/>
    </row>
    <row r="28" spans="1:13" x14ac:dyDescent="0.25">
      <c r="A28" s="1" t="s">
        <v>53</v>
      </c>
      <c r="D28" s="1" t="s">
        <v>54</v>
      </c>
      <c r="E28" s="31">
        <v>11</v>
      </c>
      <c r="G28" s="31">
        <v>2153</v>
      </c>
      <c r="H28" s="27" t="s">
        <v>55</v>
      </c>
      <c r="J28" s="30"/>
    </row>
    <row r="29" spans="1:13" x14ac:dyDescent="0.25">
      <c r="A29" s="1" t="s">
        <v>56</v>
      </c>
      <c r="D29" s="1" t="s">
        <v>54</v>
      </c>
      <c r="E29" s="31">
        <v>9</v>
      </c>
      <c r="H29" s="27" t="s">
        <v>57</v>
      </c>
      <c r="K29" s="32"/>
      <c r="L29" s="33"/>
    </row>
    <row r="30" spans="1:13" x14ac:dyDescent="0.25">
      <c r="A30" s="1" t="s">
        <v>8</v>
      </c>
      <c r="D30" s="1" t="s">
        <v>54</v>
      </c>
      <c r="E30" s="31">
        <v>20</v>
      </c>
      <c r="K30" s="32"/>
      <c r="L30" s="33"/>
    </row>
    <row r="31" spans="1:13" x14ac:dyDescent="0.25">
      <c r="A31" s="16" t="s">
        <v>58</v>
      </c>
      <c r="B31" s="16"/>
      <c r="C31" s="16" t="s">
        <v>59</v>
      </c>
      <c r="D31" s="16"/>
      <c r="E31" s="16"/>
      <c r="F31" s="16"/>
      <c r="G31" s="16"/>
      <c r="J31" s="30"/>
    </row>
    <row r="32" spans="1:13" x14ac:dyDescent="0.25">
      <c r="A32" s="34" t="s">
        <v>60</v>
      </c>
      <c r="B32" s="35" t="s">
        <v>61</v>
      </c>
      <c r="C32" s="36">
        <v>67</v>
      </c>
      <c r="D32" s="34" t="s">
        <v>47</v>
      </c>
      <c r="E32" s="34">
        <v>36</v>
      </c>
      <c r="F32" s="34"/>
      <c r="G32" s="37">
        <v>246</v>
      </c>
      <c r="I32" s="38"/>
      <c r="J32" s="30"/>
    </row>
    <row r="33" spans="1:11" x14ac:dyDescent="0.25">
      <c r="A33" s="34"/>
      <c r="B33" s="35" t="s">
        <v>62</v>
      </c>
      <c r="C33" s="1">
        <v>10</v>
      </c>
      <c r="E33" s="39" t="s">
        <v>63</v>
      </c>
      <c r="G33" s="40" t="s">
        <v>64</v>
      </c>
      <c r="I33" s="41"/>
      <c r="J33" s="42"/>
    </row>
    <row r="34" spans="1:11" x14ac:dyDescent="0.25">
      <c r="A34" s="34"/>
      <c r="B34" s="35" t="s">
        <v>65</v>
      </c>
      <c r="C34" s="36">
        <v>10</v>
      </c>
      <c r="D34" s="34" t="s">
        <v>47</v>
      </c>
      <c r="E34" s="36" t="s">
        <v>66</v>
      </c>
      <c r="F34" s="34"/>
      <c r="G34" s="43" t="s">
        <v>67</v>
      </c>
      <c r="I34" s="44"/>
      <c r="J34" s="42"/>
    </row>
    <row r="35" spans="1:11" x14ac:dyDescent="0.25">
      <c r="B35" s="35"/>
      <c r="C35" s="36"/>
      <c r="D35" s="34"/>
      <c r="E35" s="34"/>
      <c r="F35" s="34"/>
      <c r="G35" s="37"/>
      <c r="I35" s="45"/>
      <c r="J35" s="45"/>
      <c r="K35" s="45"/>
    </row>
    <row r="36" spans="1:11" x14ac:dyDescent="0.25">
      <c r="A36" s="1" t="s">
        <v>68</v>
      </c>
      <c r="B36" s="35" t="s">
        <v>61</v>
      </c>
      <c r="C36" s="36">
        <v>100</v>
      </c>
      <c r="D36" s="34" t="s">
        <v>47</v>
      </c>
      <c r="E36" s="34">
        <v>49</v>
      </c>
      <c r="F36" s="34"/>
      <c r="G36" s="37">
        <v>223</v>
      </c>
    </row>
    <row r="37" spans="1:11" x14ac:dyDescent="0.25">
      <c r="A37" s="34"/>
      <c r="B37" s="35" t="s">
        <v>65</v>
      </c>
      <c r="C37" s="36">
        <v>46</v>
      </c>
      <c r="D37" s="34" t="s">
        <v>47</v>
      </c>
      <c r="E37" s="34">
        <v>16</v>
      </c>
      <c r="F37" s="34"/>
      <c r="G37" s="37">
        <v>487</v>
      </c>
    </row>
    <row r="38" spans="1:11" x14ac:dyDescent="0.25">
      <c r="B38" s="1" t="s">
        <v>69</v>
      </c>
      <c r="C38" s="1">
        <v>70</v>
      </c>
      <c r="D38" s="1" t="s">
        <v>47</v>
      </c>
      <c r="E38" s="1">
        <v>221</v>
      </c>
      <c r="G38" s="46" t="s">
        <v>70</v>
      </c>
    </row>
    <row r="39" spans="1:11" x14ac:dyDescent="0.25">
      <c r="A39" s="16" t="s">
        <v>71</v>
      </c>
      <c r="B39" s="16"/>
      <c r="C39" s="16"/>
      <c r="D39" s="16"/>
      <c r="E39" s="16"/>
      <c r="F39" s="16"/>
      <c r="G39" s="2" t="s">
        <v>72</v>
      </c>
      <c r="H39" s="2" t="s">
        <v>73</v>
      </c>
    </row>
    <row r="40" spans="1:11" x14ac:dyDescent="0.25">
      <c r="A40" s="34" t="s">
        <v>74</v>
      </c>
      <c r="B40" s="34"/>
      <c r="C40" s="34"/>
      <c r="D40" s="34"/>
      <c r="E40" s="34"/>
      <c r="F40" s="34"/>
      <c r="G40" s="47">
        <v>1976</v>
      </c>
      <c r="H40" s="48">
        <f>+G40*2.471</f>
        <v>4882.6959999999999</v>
      </c>
    </row>
    <row r="41" spans="1:11" x14ac:dyDescent="0.25">
      <c r="A41" s="34" t="s">
        <v>75</v>
      </c>
      <c r="B41" s="34"/>
      <c r="C41" s="34"/>
      <c r="D41" s="34"/>
      <c r="E41" s="34"/>
      <c r="F41" s="34"/>
      <c r="G41" s="49">
        <v>90</v>
      </c>
      <c r="H41" s="50"/>
    </row>
    <row r="42" spans="1:11" x14ac:dyDescent="0.25">
      <c r="A42" s="34" t="s">
        <v>76</v>
      </c>
      <c r="B42" s="34"/>
      <c r="C42" s="34"/>
      <c r="D42" s="34"/>
      <c r="E42" s="34"/>
      <c r="F42" s="34"/>
      <c r="G42" s="48">
        <f>+G40*G41</f>
        <v>177840</v>
      </c>
      <c r="H42" s="48">
        <f>+G42*2.471</f>
        <v>439442.64</v>
      </c>
    </row>
    <row r="43" spans="1:11" x14ac:dyDescent="0.25">
      <c r="A43" s="34" t="s">
        <v>77</v>
      </c>
      <c r="B43" s="34"/>
      <c r="C43" s="34"/>
      <c r="D43" s="34"/>
      <c r="E43" s="34"/>
      <c r="F43" s="34"/>
      <c r="G43" s="48">
        <f>+G42-K20</f>
        <v>40745</v>
      </c>
      <c r="H43" s="48">
        <f>+G43*2.471</f>
        <v>100680.895</v>
      </c>
    </row>
    <row r="44" spans="1:11" x14ac:dyDescent="0.25">
      <c r="A44" s="34" t="s">
        <v>78</v>
      </c>
      <c r="B44" s="34"/>
      <c r="C44" s="34"/>
      <c r="D44" s="34"/>
      <c r="E44" s="34"/>
      <c r="F44" s="34"/>
      <c r="G44" s="48">
        <f>+G42-K21</f>
        <v>69363</v>
      </c>
      <c r="H44" s="48">
        <f>+G44*2.471</f>
        <v>171395.973</v>
      </c>
    </row>
    <row r="45" spans="1:11" x14ac:dyDescent="0.25">
      <c r="A45" s="34" t="s">
        <v>79</v>
      </c>
      <c r="B45" s="34"/>
      <c r="C45" s="34"/>
      <c r="D45" s="34"/>
      <c r="E45" s="34"/>
      <c r="F45" s="34"/>
      <c r="G45" s="49">
        <f>+K20/G40</f>
        <v>69.380060728744937</v>
      </c>
      <c r="H45" s="34"/>
    </row>
    <row r="46" spans="1:11" x14ac:dyDescent="0.25">
      <c r="A46" s="20" t="s">
        <v>80</v>
      </c>
      <c r="B46" s="20"/>
      <c r="C46" s="20"/>
      <c r="D46" s="20"/>
      <c r="E46" s="20"/>
      <c r="F46" s="20"/>
      <c r="G46" s="51">
        <f>+K21/G40</f>
        <v>54.897267206477736</v>
      </c>
      <c r="H46" s="20"/>
    </row>
    <row r="47" spans="1:11" x14ac:dyDescent="0.25">
      <c r="A47" s="1" t="s">
        <v>81</v>
      </c>
      <c r="C47" s="52"/>
    </row>
    <row r="51" spans="7:9" x14ac:dyDescent="0.25">
      <c r="G51" s="52"/>
      <c r="H51" s="53"/>
      <c r="I51" s="53"/>
    </row>
    <row r="52" spans="7:9" x14ac:dyDescent="0.25">
      <c r="G52" s="52"/>
      <c r="H52" s="53"/>
      <c r="I52" s="53"/>
    </row>
    <row r="53" spans="7:9" x14ac:dyDescent="0.25">
      <c r="G53" s="52"/>
      <c r="H53" s="53"/>
      <c r="I53" s="53"/>
    </row>
    <row r="54" spans="7:9" x14ac:dyDescent="0.25">
      <c r="G54" s="53"/>
      <c r="H54" s="53"/>
      <c r="I54" s="53"/>
    </row>
    <row r="56" spans="7:9" x14ac:dyDescent="0.25">
      <c r="G56" s="1" t="s">
        <v>82</v>
      </c>
    </row>
  </sheetData>
  <pageMargins left="0.7" right="0.7" top="0.75" bottom="0.75" header="0.3" footer="0.3"/>
  <pageSetup paperSize="9" scale="63" fitToHeight="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4"/>
  <sheetViews>
    <sheetView topLeftCell="A8" zoomScale="73" zoomScaleNormal="73" workbookViewId="0">
      <selection sqref="A1:M54"/>
    </sheetView>
  </sheetViews>
  <sheetFormatPr defaultColWidth="9.140625" defaultRowHeight="15" x14ac:dyDescent="0.25"/>
  <cols>
    <col min="1" max="1" width="14" style="155" customWidth="1"/>
    <col min="2" max="2" width="12.28515625" style="155" customWidth="1"/>
    <col min="3" max="3" width="7" style="155" customWidth="1"/>
    <col min="4" max="4" width="6.7109375" style="155" customWidth="1"/>
    <col min="5" max="5" width="11.85546875" style="155" customWidth="1"/>
    <col min="6" max="6" width="13.28515625" style="155" customWidth="1"/>
    <col min="7" max="7" width="10.42578125" style="155" customWidth="1"/>
    <col min="8" max="8" width="13.85546875" style="155" customWidth="1"/>
    <col min="9" max="9" width="13.7109375" style="155" customWidth="1"/>
    <col min="10" max="10" width="13.5703125" style="155" customWidth="1"/>
    <col min="11" max="11" width="15.5703125" style="155" customWidth="1"/>
    <col min="12" max="13" width="9.28515625" style="155" bestFit="1" customWidth="1"/>
    <col min="14" max="14" width="9.140625" style="155"/>
    <col min="15" max="15" width="9.7109375" style="155" bestFit="1" customWidth="1"/>
    <col min="16" max="16" width="14.42578125" style="155" customWidth="1"/>
    <col min="17" max="16384" width="9.140625" style="155"/>
  </cols>
  <sheetData>
    <row r="1" spans="1:25" x14ac:dyDescent="0.25">
      <c r="A1" s="24" t="s">
        <v>0</v>
      </c>
      <c r="B1" s="154" t="s">
        <v>83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25" x14ac:dyDescent="0.25">
      <c r="A2" s="24"/>
      <c r="B2" s="156" t="s">
        <v>212</v>
      </c>
      <c r="C2" s="156"/>
      <c r="D2" s="156"/>
      <c r="E2" s="156"/>
      <c r="F2" s="24"/>
      <c r="G2" s="24"/>
      <c r="H2" s="24"/>
      <c r="I2" s="24"/>
      <c r="J2" s="24"/>
      <c r="K2" s="24"/>
      <c r="L2" s="24"/>
      <c r="M2" s="24"/>
    </row>
    <row r="3" spans="1:25" x14ac:dyDescent="0.25">
      <c r="A3" s="24"/>
      <c r="B3" s="7" t="s">
        <v>213</v>
      </c>
      <c r="C3" s="7"/>
      <c r="D3" s="7"/>
      <c r="E3" s="7"/>
      <c r="F3" s="24"/>
      <c r="G3" s="24"/>
      <c r="H3" s="24"/>
      <c r="I3" s="24"/>
      <c r="J3" s="24"/>
      <c r="K3" s="24"/>
      <c r="L3" s="24"/>
      <c r="M3" s="24"/>
    </row>
    <row r="4" spans="1:25" x14ac:dyDescent="0.25">
      <c r="A4" s="24"/>
      <c r="B4" s="7"/>
      <c r="C4" s="7"/>
      <c r="D4" s="7"/>
      <c r="E4" s="7"/>
      <c r="F4" s="24"/>
      <c r="G4" s="24"/>
      <c r="H4" s="24"/>
      <c r="I4" s="24"/>
      <c r="J4" s="24"/>
      <c r="K4" s="24"/>
      <c r="L4" s="24"/>
      <c r="M4" s="24"/>
    </row>
    <row r="5" spans="1:25" x14ac:dyDescent="0.25">
      <c r="A5" s="16" t="s">
        <v>6</v>
      </c>
      <c r="B5" s="16"/>
      <c r="C5" s="16"/>
      <c r="D5" s="157" t="s">
        <v>7</v>
      </c>
      <c r="E5" s="157" t="s">
        <v>8</v>
      </c>
      <c r="F5" s="157" t="s">
        <v>9</v>
      </c>
      <c r="G5" s="157" t="s">
        <v>10</v>
      </c>
      <c r="H5" s="157" t="s">
        <v>86</v>
      </c>
      <c r="I5" s="158" t="s">
        <v>12</v>
      </c>
      <c r="J5" s="158" t="s">
        <v>13</v>
      </c>
      <c r="K5" s="158" t="s">
        <v>14</v>
      </c>
      <c r="L5" s="159" t="s">
        <v>15</v>
      </c>
      <c r="M5" s="157"/>
    </row>
    <row r="6" spans="1:25" x14ac:dyDescent="0.25">
      <c r="A6" s="34"/>
      <c r="B6" s="34"/>
      <c r="C6" s="34"/>
      <c r="D6" s="160" t="s">
        <v>16</v>
      </c>
      <c r="E6" s="160" t="s">
        <v>17</v>
      </c>
      <c r="F6" s="160" t="s">
        <v>17</v>
      </c>
      <c r="G6" s="160" t="s">
        <v>18</v>
      </c>
      <c r="H6" s="160" t="s">
        <v>87</v>
      </c>
      <c r="I6" s="27" t="s">
        <v>20</v>
      </c>
      <c r="J6" s="27" t="s">
        <v>19</v>
      </c>
      <c r="K6" s="27" t="s">
        <v>19</v>
      </c>
      <c r="L6" s="160" t="s">
        <v>12</v>
      </c>
      <c r="M6" s="160" t="s">
        <v>13</v>
      </c>
    </row>
    <row r="7" spans="1:25" x14ac:dyDescent="0.25">
      <c r="A7" s="34"/>
      <c r="B7" s="34"/>
      <c r="C7" s="34"/>
      <c r="D7" s="160" t="s">
        <v>21</v>
      </c>
      <c r="E7" s="160"/>
      <c r="F7" s="160"/>
      <c r="G7" s="160"/>
      <c r="H7" s="160"/>
      <c r="I7" s="27" t="s">
        <v>19</v>
      </c>
      <c r="J7" s="27" t="s">
        <v>22</v>
      </c>
      <c r="K7" s="27" t="s">
        <v>22</v>
      </c>
      <c r="L7" s="160"/>
      <c r="M7" s="160"/>
    </row>
    <row r="8" spans="1:25" x14ac:dyDescent="0.25">
      <c r="A8" s="20"/>
      <c r="B8" s="20"/>
      <c r="C8" s="20"/>
      <c r="D8" s="161"/>
      <c r="E8" s="161"/>
      <c r="F8" s="161"/>
      <c r="G8" s="161"/>
      <c r="H8" s="161"/>
      <c r="I8" s="162" t="s">
        <v>22</v>
      </c>
      <c r="J8" s="162"/>
      <c r="K8" s="162"/>
      <c r="L8" s="161"/>
      <c r="M8" s="161"/>
    </row>
    <row r="9" spans="1:25" x14ac:dyDescent="0.25">
      <c r="A9" s="1" t="s">
        <v>88</v>
      </c>
      <c r="B9" s="1"/>
      <c r="C9" s="1"/>
      <c r="D9" s="163">
        <v>80</v>
      </c>
      <c r="E9" s="31">
        <v>0.72</v>
      </c>
      <c r="F9" s="31">
        <v>0.69</v>
      </c>
      <c r="G9" s="168">
        <v>2000</v>
      </c>
      <c r="H9" s="31">
        <f t="shared" ref="H9:H14" si="0">+E9*G9</f>
        <v>1440</v>
      </c>
      <c r="I9" s="10"/>
      <c r="J9" s="12"/>
      <c r="K9" s="12">
        <f>+H9+I9+J9</f>
        <v>1440</v>
      </c>
      <c r="L9" s="1"/>
      <c r="M9" s="1"/>
      <c r="O9" s="172"/>
      <c r="P9" s="258"/>
      <c r="Q9" s="31"/>
      <c r="R9" s="31"/>
      <c r="S9" s="168"/>
      <c r="T9" s="31"/>
      <c r="U9" s="1"/>
      <c r="V9" s="31"/>
      <c r="W9" s="31"/>
      <c r="X9" s="1"/>
      <c r="Y9" s="1"/>
    </row>
    <row r="10" spans="1:25" x14ac:dyDescent="0.25">
      <c r="A10" s="1" t="s">
        <v>214</v>
      </c>
      <c r="B10" s="169"/>
      <c r="C10" s="169"/>
      <c r="D10" s="163">
        <v>80</v>
      </c>
      <c r="E10" s="31">
        <v>0.48</v>
      </c>
      <c r="F10" s="31">
        <v>0.45</v>
      </c>
      <c r="G10" s="168">
        <v>2000</v>
      </c>
      <c r="H10" s="31">
        <f t="shared" si="0"/>
        <v>960</v>
      </c>
      <c r="I10" s="12">
        <v>24029</v>
      </c>
      <c r="J10" s="12"/>
      <c r="K10" s="12">
        <f>+H10+I10+J10</f>
        <v>24989</v>
      </c>
      <c r="L10" s="1">
        <v>987</v>
      </c>
      <c r="M10" s="169"/>
      <c r="O10" s="172"/>
      <c r="P10" s="258"/>
      <c r="Q10" s="31"/>
      <c r="R10" s="31"/>
      <c r="S10" s="168"/>
      <c r="T10" s="31"/>
      <c r="U10" s="31"/>
      <c r="V10" s="31"/>
      <c r="W10" s="31"/>
      <c r="X10" s="1"/>
      <c r="Y10" s="169"/>
    </row>
    <row r="11" spans="1:25" x14ac:dyDescent="0.25">
      <c r="A11" s="1" t="s">
        <v>215</v>
      </c>
      <c r="B11" s="1"/>
      <c r="C11" s="1"/>
      <c r="D11" s="163" t="s">
        <v>216</v>
      </c>
      <c r="E11" s="40"/>
      <c r="F11" s="40"/>
      <c r="G11" s="259"/>
      <c r="H11" s="201" t="s">
        <v>217</v>
      </c>
      <c r="I11" s="205" t="s">
        <v>218</v>
      </c>
      <c r="J11" s="12"/>
      <c r="K11" s="12"/>
      <c r="L11" s="40"/>
      <c r="M11" s="169"/>
      <c r="O11" s="172"/>
      <c r="P11" s="258"/>
      <c r="Q11" s="181"/>
      <c r="R11" s="181"/>
      <c r="S11" s="182"/>
      <c r="T11" s="181"/>
      <c r="U11" s="181"/>
      <c r="V11" s="181"/>
      <c r="W11" s="181"/>
      <c r="X11" s="181"/>
      <c r="Y11" s="169"/>
    </row>
    <row r="12" spans="1:25" x14ac:dyDescent="0.25">
      <c r="A12" s="1" t="s">
        <v>219</v>
      </c>
      <c r="B12" s="1"/>
      <c r="C12" s="1"/>
      <c r="D12" s="163">
        <v>100</v>
      </c>
      <c r="E12" s="31">
        <v>7.03</v>
      </c>
      <c r="F12" s="31">
        <v>2.13</v>
      </c>
      <c r="G12" s="168">
        <v>1991</v>
      </c>
      <c r="H12" s="31">
        <v>13997</v>
      </c>
      <c r="I12" s="12"/>
      <c r="J12" s="12"/>
      <c r="K12" s="12">
        <f>+H12+I12+J12</f>
        <v>13997</v>
      </c>
      <c r="L12" s="31"/>
      <c r="M12" s="31"/>
      <c r="O12" s="172"/>
      <c r="P12" s="258"/>
      <c r="Q12" s="31"/>
      <c r="R12" s="31"/>
      <c r="S12" s="168"/>
      <c r="T12" s="31"/>
      <c r="U12" s="31"/>
      <c r="V12" s="31"/>
      <c r="W12" s="31"/>
      <c r="X12" s="31"/>
      <c r="Y12" s="31"/>
    </row>
    <row r="13" spans="1:25" x14ac:dyDescent="0.25">
      <c r="A13" s="1" t="s">
        <v>46</v>
      </c>
      <c r="B13" s="1"/>
      <c r="C13" s="1"/>
      <c r="D13" s="163">
        <v>100</v>
      </c>
      <c r="E13" s="31">
        <v>3.15</v>
      </c>
      <c r="F13" s="31">
        <v>0.94</v>
      </c>
      <c r="G13" s="168">
        <v>1985</v>
      </c>
      <c r="H13" s="31">
        <v>6253</v>
      </c>
      <c r="I13" s="12"/>
      <c r="J13" s="12">
        <f>+E31*G31</f>
        <v>8272</v>
      </c>
      <c r="K13" s="12">
        <f>+H13+I13+J13</f>
        <v>14525</v>
      </c>
      <c r="L13" s="1"/>
      <c r="M13" s="31">
        <v>536</v>
      </c>
      <c r="O13" s="172"/>
      <c r="P13" s="258"/>
      <c r="Q13" s="31"/>
      <c r="R13" s="31"/>
      <c r="S13" s="168"/>
      <c r="T13" s="31"/>
      <c r="U13" s="31"/>
      <c r="V13" s="31"/>
      <c r="W13" s="31"/>
      <c r="X13" s="1"/>
      <c r="Y13" s="31"/>
    </row>
    <row r="14" spans="1:25" x14ac:dyDescent="0.25">
      <c r="A14" s="1" t="s">
        <v>220</v>
      </c>
      <c r="B14" s="1"/>
      <c r="C14" s="1"/>
      <c r="D14" s="163">
        <v>40</v>
      </c>
      <c r="E14" s="1058">
        <v>0.88</v>
      </c>
      <c r="F14" s="1058">
        <v>0.62</v>
      </c>
      <c r="G14" s="1059">
        <v>2000</v>
      </c>
      <c r="H14" s="1058">
        <f t="shared" si="0"/>
        <v>1760</v>
      </c>
      <c r="I14" s="12"/>
      <c r="J14" s="213"/>
      <c r="K14" s="1060">
        <f>+H14+I14+J15</f>
        <v>38399</v>
      </c>
      <c r="L14" s="31"/>
      <c r="M14" s="31"/>
      <c r="N14" s="172"/>
      <c r="O14" s="172"/>
      <c r="P14" s="258"/>
      <c r="Q14" s="31"/>
      <c r="R14" s="31"/>
      <c r="S14" s="168"/>
      <c r="T14" s="31"/>
      <c r="U14" s="31"/>
      <c r="V14" s="31"/>
      <c r="W14" s="31"/>
      <c r="X14" s="31"/>
      <c r="Y14" s="31"/>
    </row>
    <row r="15" spans="1:25" x14ac:dyDescent="0.25">
      <c r="A15" s="1" t="s">
        <v>221</v>
      </c>
      <c r="B15" s="1"/>
      <c r="C15" s="1"/>
      <c r="D15" s="163">
        <v>100</v>
      </c>
      <c r="E15" s="1058"/>
      <c r="F15" s="1058"/>
      <c r="G15" s="1059"/>
      <c r="H15" s="1058"/>
      <c r="I15" s="213"/>
      <c r="J15" s="12">
        <f>+E42*G42+E43*G43</f>
        <v>36639</v>
      </c>
      <c r="K15" s="1060"/>
      <c r="L15" s="31"/>
      <c r="M15" s="31"/>
      <c r="N15" s="172"/>
      <c r="O15" s="172"/>
      <c r="P15" s="258"/>
      <c r="Q15" s="31"/>
      <c r="R15" s="31"/>
      <c r="S15" s="168"/>
      <c r="T15" s="31"/>
      <c r="U15" s="31"/>
      <c r="V15" s="31"/>
      <c r="W15" s="31"/>
      <c r="X15" s="31"/>
      <c r="Y15" s="31"/>
    </row>
    <row r="16" spans="1:25" x14ac:dyDescent="0.25">
      <c r="A16" s="1" t="s">
        <v>222</v>
      </c>
      <c r="B16" s="1"/>
      <c r="C16" s="1"/>
      <c r="D16" s="163">
        <v>100</v>
      </c>
      <c r="E16" s="31">
        <v>0.44</v>
      </c>
      <c r="F16" s="31">
        <v>0.28000000000000003</v>
      </c>
      <c r="G16" s="168">
        <v>2431</v>
      </c>
      <c r="H16" s="31">
        <v>1070</v>
      </c>
      <c r="I16" s="12"/>
      <c r="J16" s="12">
        <v>7222</v>
      </c>
      <c r="K16" s="12">
        <f t="shared" ref="K16:K23" si="1">+H16+I16+J16</f>
        <v>8292</v>
      </c>
      <c r="L16" s="31"/>
      <c r="M16" s="31"/>
      <c r="O16" s="172"/>
      <c r="P16" s="258"/>
      <c r="Q16" s="31"/>
      <c r="R16" s="31"/>
      <c r="S16" s="168"/>
      <c r="T16" s="31"/>
      <c r="U16" s="31"/>
      <c r="V16" s="31"/>
      <c r="W16" s="31"/>
      <c r="X16" s="31"/>
      <c r="Y16" s="31"/>
    </row>
    <row r="17" spans="1:25" x14ac:dyDescent="0.25">
      <c r="A17" s="1" t="s">
        <v>223</v>
      </c>
      <c r="B17" s="1"/>
      <c r="C17" s="1"/>
      <c r="D17" s="163">
        <v>60</v>
      </c>
      <c r="E17" s="31">
        <v>0.43</v>
      </c>
      <c r="F17" s="31">
        <v>0.3</v>
      </c>
      <c r="G17" s="168">
        <v>2438</v>
      </c>
      <c r="H17" s="31">
        <v>1048</v>
      </c>
      <c r="I17" s="12"/>
      <c r="J17" s="12">
        <v>4828</v>
      </c>
      <c r="K17" s="12">
        <f t="shared" si="1"/>
        <v>5876</v>
      </c>
      <c r="L17" s="31"/>
      <c r="M17" s="31"/>
      <c r="O17" s="172"/>
      <c r="P17" s="258"/>
      <c r="Q17" s="31"/>
      <c r="R17" s="31"/>
      <c r="S17" s="168"/>
      <c r="T17" s="31"/>
      <c r="U17" s="31"/>
      <c r="V17" s="31"/>
      <c r="W17" s="31"/>
      <c r="X17" s="31"/>
      <c r="Y17" s="31"/>
    </row>
    <row r="18" spans="1:25" x14ac:dyDescent="0.25">
      <c r="A18" s="1" t="s">
        <v>224</v>
      </c>
      <c r="B18" s="1"/>
      <c r="C18" s="1"/>
      <c r="D18" s="163">
        <v>100</v>
      </c>
      <c r="E18" s="31">
        <v>4.12</v>
      </c>
      <c r="F18" s="31">
        <v>4.12</v>
      </c>
      <c r="G18" s="168">
        <v>1563</v>
      </c>
      <c r="H18" s="31">
        <v>6440</v>
      </c>
      <c r="I18" s="12"/>
      <c r="J18" s="12"/>
      <c r="K18" s="12">
        <f t="shared" si="1"/>
        <v>6440</v>
      </c>
      <c r="L18" s="31"/>
      <c r="M18" s="31"/>
      <c r="O18" s="172"/>
      <c r="P18" s="258"/>
      <c r="Q18" s="31"/>
      <c r="R18" s="31"/>
      <c r="S18" s="168"/>
      <c r="T18" s="31"/>
      <c r="U18" s="31"/>
      <c r="V18" s="31"/>
      <c r="W18" s="31"/>
      <c r="X18" s="31"/>
      <c r="Y18" s="31"/>
    </row>
    <row r="19" spans="1:25" x14ac:dyDescent="0.25">
      <c r="A19" s="1" t="s">
        <v>225</v>
      </c>
      <c r="B19" s="1"/>
      <c r="C19" s="1"/>
      <c r="D19" s="163">
        <v>73</v>
      </c>
      <c r="E19" s="31">
        <v>1.27</v>
      </c>
      <c r="F19" s="31">
        <v>0.68</v>
      </c>
      <c r="G19" s="168">
        <v>2077</v>
      </c>
      <c r="H19" s="31">
        <v>2638</v>
      </c>
      <c r="I19" s="12">
        <v>23538</v>
      </c>
      <c r="J19" s="12"/>
      <c r="K19" s="12">
        <f t="shared" si="1"/>
        <v>26176</v>
      </c>
      <c r="L19" s="31"/>
      <c r="M19" s="1"/>
      <c r="O19" s="172"/>
      <c r="P19" s="258"/>
      <c r="Q19" s="31"/>
      <c r="R19" s="31"/>
      <c r="S19" s="168"/>
      <c r="T19" s="31"/>
      <c r="U19" s="31"/>
      <c r="V19" s="31"/>
      <c r="W19" s="31"/>
      <c r="X19" s="31"/>
      <c r="Y19" s="1"/>
    </row>
    <row r="20" spans="1:25" x14ac:dyDescent="0.25">
      <c r="A20" s="1" t="s">
        <v>226</v>
      </c>
      <c r="B20" s="1"/>
      <c r="C20" s="1"/>
      <c r="D20" s="163" t="s">
        <v>63</v>
      </c>
      <c r="E20" s="31"/>
      <c r="F20" s="31"/>
      <c r="G20" s="168"/>
      <c r="H20" s="201" t="s">
        <v>227</v>
      </c>
      <c r="I20" s="382"/>
      <c r="J20" s="12"/>
      <c r="K20" s="12"/>
      <c r="L20" s="31"/>
      <c r="M20" s="1"/>
      <c r="O20" s="172"/>
      <c r="P20" s="258"/>
      <c r="Q20" s="31"/>
      <c r="R20" s="31"/>
      <c r="S20" s="168"/>
      <c r="T20" s="31"/>
      <c r="U20" s="31"/>
      <c r="V20" s="31"/>
      <c r="W20" s="31"/>
      <c r="X20" s="31"/>
      <c r="Y20" s="1"/>
    </row>
    <row r="21" spans="1:25" x14ac:dyDescent="0.25">
      <c r="A21" s="1" t="s">
        <v>228</v>
      </c>
      <c r="B21" s="1"/>
      <c r="C21" s="1"/>
      <c r="D21" s="163" t="s">
        <v>63</v>
      </c>
      <c r="E21" s="31"/>
      <c r="F21" s="31"/>
      <c r="G21" s="168"/>
      <c r="H21" s="201" t="s">
        <v>229</v>
      </c>
      <c r="I21" s="205" t="s">
        <v>230</v>
      </c>
      <c r="J21" s="12"/>
      <c r="K21" s="12"/>
      <c r="L21" s="31"/>
      <c r="M21" s="1"/>
      <c r="O21" s="172"/>
      <c r="P21" s="258"/>
      <c r="Q21" s="31"/>
      <c r="R21" s="31"/>
      <c r="S21" s="168"/>
      <c r="T21" s="31"/>
      <c r="U21" s="31"/>
      <c r="V21" s="31"/>
      <c r="W21" s="31"/>
      <c r="X21" s="31"/>
      <c r="Y21" s="1"/>
    </row>
    <row r="22" spans="1:25" x14ac:dyDescent="0.25">
      <c r="A22" s="1" t="s">
        <v>231</v>
      </c>
      <c r="B22" s="1"/>
      <c r="C22" s="1"/>
      <c r="D22" s="163">
        <v>73</v>
      </c>
      <c r="E22" s="31">
        <v>1.89</v>
      </c>
      <c r="F22" s="31">
        <v>1.26</v>
      </c>
      <c r="G22" s="168">
        <v>1563</v>
      </c>
      <c r="H22" s="31">
        <v>2954</v>
      </c>
      <c r="I22" s="12"/>
      <c r="J22" s="12"/>
      <c r="K22" s="12">
        <f t="shared" si="1"/>
        <v>2954</v>
      </c>
      <c r="L22" s="31"/>
      <c r="M22" s="31"/>
      <c r="O22" s="172"/>
      <c r="P22" s="258"/>
      <c r="Q22" s="31"/>
      <c r="R22" s="31"/>
      <c r="S22" s="168"/>
      <c r="T22" s="31"/>
      <c r="U22" s="31"/>
      <c r="V22" s="31"/>
      <c r="W22" s="31"/>
      <c r="X22" s="31"/>
      <c r="Y22" s="31"/>
    </row>
    <row r="23" spans="1:25" x14ac:dyDescent="0.25">
      <c r="A23" s="1" t="s">
        <v>147</v>
      </c>
      <c r="B23" s="1"/>
      <c r="C23" s="1"/>
      <c r="D23" s="163">
        <v>67</v>
      </c>
      <c r="E23" s="167">
        <v>0.32</v>
      </c>
      <c r="F23" s="167">
        <v>0.32</v>
      </c>
      <c r="G23" s="167">
        <v>1563</v>
      </c>
      <c r="H23" s="31">
        <v>500</v>
      </c>
      <c r="I23" s="261">
        <v>1378</v>
      </c>
      <c r="J23" s="261"/>
      <c r="K23" s="12">
        <f t="shared" si="1"/>
        <v>1878</v>
      </c>
      <c r="L23" s="167">
        <v>563</v>
      </c>
      <c r="M23" s="176"/>
      <c r="O23" s="172"/>
      <c r="P23" s="258"/>
      <c r="Q23" s="167"/>
      <c r="R23" s="167"/>
      <c r="S23" s="167"/>
      <c r="T23" s="31"/>
      <c r="U23" s="167"/>
      <c r="V23" s="167"/>
      <c r="W23" s="31"/>
      <c r="X23" s="167"/>
      <c r="Y23" s="176"/>
    </row>
    <row r="24" spans="1:25" x14ac:dyDescent="0.25">
      <c r="A24" s="169" t="s">
        <v>34</v>
      </c>
      <c r="B24" s="169"/>
      <c r="C24" s="169"/>
      <c r="D24" s="177"/>
      <c r="E24" s="181"/>
      <c r="F24" s="181"/>
      <c r="G24" s="182"/>
      <c r="H24" s="31"/>
      <c r="I24" s="262"/>
      <c r="J24" s="262"/>
      <c r="K24" s="12">
        <v>4050</v>
      </c>
      <c r="L24" s="181"/>
      <c r="M24" s="181"/>
      <c r="P24" s="258"/>
      <c r="Q24" s="181"/>
      <c r="R24" s="181"/>
      <c r="S24" s="182"/>
      <c r="T24" s="181"/>
      <c r="U24" s="181"/>
      <c r="V24" s="181"/>
      <c r="W24" s="31"/>
      <c r="X24" s="181"/>
      <c r="Y24" s="181"/>
    </row>
    <row r="25" spans="1:25" x14ac:dyDescent="0.25">
      <c r="A25" s="16" t="s">
        <v>134</v>
      </c>
      <c r="B25" s="16"/>
      <c r="C25" s="16"/>
      <c r="D25" s="17"/>
      <c r="E25" s="18">
        <f t="shared" ref="E25:K25" si="2">SUM(E9:E24)</f>
        <v>20.73</v>
      </c>
      <c r="F25" s="18">
        <f t="shared" si="2"/>
        <v>11.79</v>
      </c>
      <c r="G25" s="18">
        <f t="shared" si="2"/>
        <v>21611</v>
      </c>
      <c r="H25" s="18">
        <f t="shared" si="2"/>
        <v>39060</v>
      </c>
      <c r="I25" s="264">
        <f t="shared" si="2"/>
        <v>48945</v>
      </c>
      <c r="J25" s="264">
        <f t="shared" si="2"/>
        <v>56961</v>
      </c>
      <c r="K25" s="264">
        <f t="shared" si="2"/>
        <v>149016</v>
      </c>
      <c r="L25" s="264">
        <f>SUM(L9:L24)</f>
        <v>1550</v>
      </c>
      <c r="M25" s="264">
        <f>SUM(M9:M24)</f>
        <v>536</v>
      </c>
      <c r="O25" s="172"/>
      <c r="P25" s="172"/>
      <c r="Q25" s="184"/>
      <c r="R25" s="172"/>
    </row>
    <row r="26" spans="1:25" x14ac:dyDescent="0.25">
      <c r="A26" s="20" t="s">
        <v>135</v>
      </c>
      <c r="B26" s="20"/>
      <c r="C26" s="20"/>
      <c r="D26" s="21"/>
      <c r="E26" s="22">
        <f>+E25-F25</f>
        <v>8.9400000000000013</v>
      </c>
      <c r="F26" s="22"/>
      <c r="G26" s="22"/>
      <c r="H26" s="22">
        <f>+E36*G36</f>
        <v>16740</v>
      </c>
      <c r="I26" s="265">
        <f>+I25-L25</f>
        <v>47395</v>
      </c>
      <c r="J26" s="265">
        <f>+J25-M25</f>
        <v>56425</v>
      </c>
      <c r="K26" s="209">
        <f>+H26+I26+J26</f>
        <v>120560</v>
      </c>
      <c r="L26" s="20"/>
      <c r="M26" s="20"/>
      <c r="O26" s="172"/>
      <c r="P26" s="172"/>
      <c r="Q26" s="184"/>
      <c r="R26" s="172"/>
    </row>
    <row r="27" spans="1:25" x14ac:dyDescent="0.25">
      <c r="A27" s="1"/>
      <c r="B27" s="1"/>
      <c r="C27" s="1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5" x14ac:dyDescent="0.25">
      <c r="A28" s="1" t="s">
        <v>96</v>
      </c>
      <c r="B28" s="1"/>
      <c r="C28" s="1"/>
      <c r="D28" s="1"/>
      <c r="E28" s="1"/>
      <c r="F28" s="1"/>
      <c r="G28" s="1"/>
      <c r="H28" s="1"/>
      <c r="I28" s="1"/>
      <c r="L28" s="202"/>
      <c r="M28" s="195"/>
    </row>
    <row r="29" spans="1:25" x14ac:dyDescent="0.25">
      <c r="A29" s="25" t="s">
        <v>38</v>
      </c>
      <c r="B29" s="25"/>
      <c r="C29" s="25"/>
      <c r="D29" s="192" t="s">
        <v>39</v>
      </c>
      <c r="E29" s="192" t="s">
        <v>40</v>
      </c>
      <c r="F29" s="192"/>
      <c r="G29" s="192" t="s">
        <v>41</v>
      </c>
      <c r="H29" s="192" t="s">
        <v>232</v>
      </c>
      <c r="I29" s="1"/>
    </row>
    <row r="30" spans="1:25" x14ac:dyDescent="0.25">
      <c r="A30" s="1" t="s">
        <v>43</v>
      </c>
      <c r="B30" s="1"/>
      <c r="C30" s="1"/>
      <c r="D30" s="196" t="s">
        <v>47</v>
      </c>
      <c r="E30" s="1"/>
      <c r="F30" s="1"/>
      <c r="G30" s="1"/>
      <c r="I30" s="1"/>
      <c r="J30" s="411" t="s">
        <v>594</v>
      </c>
      <c r="K30" s="397">
        <v>57</v>
      </c>
    </row>
    <row r="31" spans="1:25" x14ac:dyDescent="0.25">
      <c r="A31" s="1" t="s">
        <v>46</v>
      </c>
      <c r="B31" s="1"/>
      <c r="C31" s="1"/>
      <c r="D31" s="10"/>
      <c r="E31" s="407">
        <v>47</v>
      </c>
      <c r="F31" s="1"/>
      <c r="G31" s="12">
        <v>176</v>
      </c>
      <c r="I31" s="1"/>
      <c r="J31" s="412" t="s">
        <v>450</v>
      </c>
      <c r="K31" s="397">
        <v>18</v>
      </c>
      <c r="M31" s="195"/>
    </row>
    <row r="32" spans="1:25" x14ac:dyDescent="0.25">
      <c r="A32" s="1"/>
      <c r="B32" s="1"/>
      <c r="C32" s="1"/>
      <c r="D32" s="31"/>
      <c r="E32" s="201"/>
      <c r="F32" s="1"/>
      <c r="G32" s="40"/>
      <c r="I32" s="1"/>
      <c r="J32" s="412" t="s">
        <v>451</v>
      </c>
      <c r="K32" s="397">
        <v>12</v>
      </c>
      <c r="M32" s="195"/>
    </row>
    <row r="33" spans="1:18" x14ac:dyDescent="0.25">
      <c r="A33" s="1"/>
      <c r="B33" s="1"/>
      <c r="C33" s="1"/>
      <c r="D33" s="31"/>
      <c r="E33" s="201"/>
      <c r="F33" s="1"/>
      <c r="G33" s="40"/>
      <c r="I33" s="1"/>
      <c r="J33" s="412" t="s">
        <v>452</v>
      </c>
      <c r="K33" s="397">
        <v>3</v>
      </c>
      <c r="M33" s="195"/>
    </row>
    <row r="34" spans="1:18" x14ac:dyDescent="0.25">
      <c r="A34" s="1"/>
      <c r="B34" s="1"/>
      <c r="C34" s="1"/>
      <c r="D34" s="31"/>
      <c r="E34" s="1"/>
      <c r="F34" s="1"/>
      <c r="G34" s="1"/>
      <c r="I34" s="1"/>
      <c r="J34" s="412" t="s">
        <v>453</v>
      </c>
      <c r="K34" s="397">
        <v>10</v>
      </c>
      <c r="M34" s="195"/>
      <c r="R34" s="155" t="s">
        <v>152</v>
      </c>
    </row>
    <row r="35" spans="1:18" x14ac:dyDescent="0.25">
      <c r="A35" s="1" t="s">
        <v>51</v>
      </c>
      <c r="B35" s="1"/>
      <c r="C35" s="1"/>
      <c r="D35" s="31"/>
      <c r="E35" s="1"/>
      <c r="F35" s="1"/>
      <c r="G35" s="1"/>
      <c r="H35" s="1"/>
      <c r="I35" s="1"/>
      <c r="L35" s="194"/>
      <c r="M35" s="195"/>
    </row>
    <row r="36" spans="1:18" x14ac:dyDescent="0.25">
      <c r="A36" s="1" t="s">
        <v>233</v>
      </c>
      <c r="B36" s="1"/>
      <c r="C36" s="1"/>
      <c r="D36" s="1" t="s">
        <v>54</v>
      </c>
      <c r="E36" s="31">
        <v>9</v>
      </c>
      <c r="F36" s="1"/>
      <c r="G36" s="31">
        <v>1860</v>
      </c>
      <c r="H36" s="31"/>
      <c r="I36" s="202"/>
      <c r="L36" s="194"/>
      <c r="M36" s="195"/>
    </row>
    <row r="37" spans="1:18" x14ac:dyDescent="0.25">
      <c r="A37" s="1" t="s">
        <v>234</v>
      </c>
      <c r="B37" s="1"/>
      <c r="C37" s="1"/>
      <c r="D37" s="1" t="s">
        <v>54</v>
      </c>
      <c r="E37" s="31">
        <v>12</v>
      </c>
      <c r="F37" s="1"/>
      <c r="G37" s="1"/>
      <c r="H37" s="1"/>
      <c r="I37" s="202"/>
      <c r="J37" s="199" t="s">
        <v>99</v>
      </c>
      <c r="K37" s="200">
        <v>1.5</v>
      </c>
      <c r="L37" s="194"/>
      <c r="M37" s="195"/>
      <c r="N37" s="172"/>
      <c r="O37" s="172"/>
      <c r="P37" s="172"/>
      <c r="Q37" s="172"/>
    </row>
    <row r="38" spans="1:18" x14ac:dyDescent="0.25">
      <c r="A38" s="1" t="s">
        <v>8</v>
      </c>
      <c r="B38" s="1"/>
      <c r="C38" s="1"/>
      <c r="D38" s="1" t="s">
        <v>54</v>
      </c>
      <c r="E38" s="31">
        <f>E36+E37</f>
        <v>21</v>
      </c>
      <c r="F38" s="1"/>
      <c r="G38" s="1"/>
      <c r="H38" s="1"/>
      <c r="I38" s="202"/>
      <c r="J38" s="199" t="s">
        <v>100</v>
      </c>
      <c r="K38" s="200">
        <v>2.5</v>
      </c>
      <c r="L38" s="34"/>
      <c r="M38" s="34"/>
    </row>
    <row r="39" spans="1:18" x14ac:dyDescent="0.25">
      <c r="A39" s="1"/>
      <c r="B39" s="1"/>
      <c r="C39" s="1"/>
      <c r="D39" s="31"/>
      <c r="E39" s="1"/>
      <c r="F39" s="1"/>
      <c r="G39" s="1"/>
      <c r="H39" s="1"/>
      <c r="I39" s="202"/>
      <c r="L39" s="1"/>
      <c r="M39" s="1"/>
    </row>
    <row r="40" spans="1:18" x14ac:dyDescent="0.25">
      <c r="A40" s="16" t="s">
        <v>58</v>
      </c>
      <c r="B40" s="16"/>
      <c r="C40" s="16" t="s">
        <v>59</v>
      </c>
      <c r="D40" s="16"/>
      <c r="E40" s="16"/>
      <c r="F40" s="16"/>
      <c r="G40" s="16"/>
      <c r="H40" s="16"/>
      <c r="I40" s="202"/>
      <c r="L40" s="1"/>
      <c r="M40" s="1"/>
    </row>
    <row r="41" spans="1:18" x14ac:dyDescent="0.25">
      <c r="A41" s="34" t="s">
        <v>60</v>
      </c>
      <c r="B41" s="1" t="s">
        <v>103</v>
      </c>
      <c r="C41" s="43">
        <v>40</v>
      </c>
      <c r="D41" s="196" t="s">
        <v>47</v>
      </c>
      <c r="E41" s="12">
        <v>105</v>
      </c>
      <c r="F41" s="198"/>
      <c r="G41" s="266" t="s">
        <v>142</v>
      </c>
      <c r="H41" s="198"/>
      <c r="I41" s="37"/>
      <c r="J41" s="1"/>
      <c r="K41" s="1"/>
      <c r="L41" s="1"/>
      <c r="M41" s="1"/>
    </row>
    <row r="42" spans="1:18" x14ac:dyDescent="0.25">
      <c r="A42" s="34" t="s">
        <v>104</v>
      </c>
      <c r="B42" s="34" t="s">
        <v>235</v>
      </c>
      <c r="C42" s="43">
        <v>77</v>
      </c>
      <c r="D42" s="196" t="s">
        <v>47</v>
      </c>
      <c r="E42" s="12">
        <v>77</v>
      </c>
      <c r="F42" s="198"/>
      <c r="G42" s="198">
        <v>200</v>
      </c>
      <c r="H42" s="198"/>
      <c r="I42" s="37"/>
      <c r="J42" s="1"/>
      <c r="K42" s="1"/>
      <c r="L42" s="1"/>
      <c r="M42" s="1"/>
    </row>
    <row r="43" spans="1:18" x14ac:dyDescent="0.25">
      <c r="A43" s="34"/>
      <c r="B43" s="34" t="s">
        <v>107</v>
      </c>
      <c r="C43" s="43">
        <v>40</v>
      </c>
      <c r="D43" s="196" t="s">
        <v>47</v>
      </c>
      <c r="E43" s="12">
        <v>67</v>
      </c>
      <c r="F43" s="198"/>
      <c r="G43" s="198">
        <v>317</v>
      </c>
      <c r="H43" s="198"/>
      <c r="I43" s="37"/>
      <c r="J43" s="1"/>
      <c r="K43" s="1"/>
      <c r="L43" s="1"/>
      <c r="M43" s="1"/>
    </row>
    <row r="44" spans="1:18" x14ac:dyDescent="0.25">
      <c r="A44" s="34"/>
      <c r="B44" s="34" t="s">
        <v>65</v>
      </c>
      <c r="C44" s="43" t="s">
        <v>155</v>
      </c>
      <c r="D44" s="196" t="s">
        <v>47</v>
      </c>
      <c r="E44" s="12" t="s">
        <v>454</v>
      </c>
      <c r="F44" s="209"/>
      <c r="G44" s="209" t="s">
        <v>455</v>
      </c>
      <c r="H44" s="209"/>
      <c r="I44" s="37"/>
      <c r="J44" s="202"/>
      <c r="K44" s="1"/>
      <c r="L44" s="1"/>
      <c r="M44" s="1"/>
    </row>
    <row r="45" spans="1:18" x14ac:dyDescent="0.25">
      <c r="A45" s="16" t="s">
        <v>71</v>
      </c>
      <c r="B45" s="16"/>
      <c r="C45" s="16"/>
      <c r="D45" s="16"/>
      <c r="E45" s="16"/>
      <c r="F45" s="160" t="s">
        <v>72</v>
      </c>
      <c r="G45" s="34"/>
      <c r="H45" s="34" t="s">
        <v>236</v>
      </c>
      <c r="I45" s="1"/>
      <c r="J45" s="1"/>
      <c r="K45" s="1"/>
      <c r="L45" s="1"/>
      <c r="M45" s="1"/>
    </row>
    <row r="46" spans="1:18" x14ac:dyDescent="0.25">
      <c r="A46" s="34" t="s">
        <v>108</v>
      </c>
      <c r="B46" s="34"/>
      <c r="C46" s="34"/>
      <c r="D46" s="34"/>
      <c r="E46" s="34"/>
      <c r="F46" s="37">
        <v>1842</v>
      </c>
      <c r="G46" s="211" t="s">
        <v>277</v>
      </c>
      <c r="H46" s="267">
        <f>+F46*2.471</f>
        <v>4551.5820000000003</v>
      </c>
      <c r="I46" s="1"/>
      <c r="J46" s="1"/>
      <c r="K46" s="1"/>
      <c r="L46" s="1"/>
      <c r="M46" s="1"/>
    </row>
    <row r="47" spans="1:18" x14ac:dyDescent="0.25">
      <c r="A47" s="34" t="s">
        <v>109</v>
      </c>
      <c r="B47" s="34"/>
      <c r="C47" s="34"/>
      <c r="D47" s="34"/>
      <c r="E47" s="34"/>
      <c r="F47" s="37">
        <v>92</v>
      </c>
      <c r="G47" s="49"/>
      <c r="H47" s="211"/>
      <c r="I47" s="1"/>
      <c r="J47" s="1"/>
      <c r="K47" s="1"/>
      <c r="L47" s="1"/>
      <c r="M47" s="1"/>
    </row>
    <row r="48" spans="1:18" x14ac:dyDescent="0.25">
      <c r="A48" s="34" t="s">
        <v>110</v>
      </c>
      <c r="B48" s="34"/>
      <c r="C48" s="34"/>
      <c r="D48" s="34"/>
      <c r="E48" s="34"/>
      <c r="F48" s="37">
        <f>+F46*F47</f>
        <v>169464</v>
      </c>
      <c r="G48" s="49"/>
      <c r="H48" s="267">
        <f>+F48*2.471</f>
        <v>418745.54399999999</v>
      </c>
      <c r="I48" s="1"/>
      <c r="J48" s="1"/>
      <c r="K48" s="1"/>
      <c r="L48" s="1"/>
      <c r="M48" s="1"/>
    </row>
    <row r="49" spans="1:13" x14ac:dyDescent="0.25">
      <c r="A49" s="34" t="s">
        <v>111</v>
      </c>
      <c r="B49" s="34"/>
      <c r="C49" s="34"/>
      <c r="D49" s="34"/>
      <c r="E49" s="34"/>
      <c r="F49" s="37">
        <f>+F48-K25</f>
        <v>20448</v>
      </c>
      <c r="G49" s="49"/>
      <c r="H49" s="267">
        <f>+F49*2.471</f>
        <v>50527.008000000002</v>
      </c>
      <c r="I49" s="1"/>
      <c r="J49" s="31"/>
      <c r="K49" s="31"/>
      <c r="L49" s="1"/>
      <c r="M49" s="1"/>
    </row>
    <row r="50" spans="1:13" x14ac:dyDescent="0.25">
      <c r="A50" s="34" t="s">
        <v>112</v>
      </c>
      <c r="B50" s="34"/>
      <c r="C50" s="34"/>
      <c r="D50" s="34"/>
      <c r="E50" s="34"/>
      <c r="F50" s="37">
        <f>+F48-K26</f>
        <v>48904</v>
      </c>
      <c r="G50" s="49"/>
      <c r="H50" s="267">
        <f>+F50*2.471</f>
        <v>120841.784</v>
      </c>
      <c r="I50" s="1"/>
      <c r="J50" s="31"/>
      <c r="K50" s="1"/>
      <c r="L50" s="1"/>
      <c r="M50" s="1"/>
    </row>
    <row r="51" spans="1:13" x14ac:dyDescent="0.25">
      <c r="A51" s="34" t="s">
        <v>237</v>
      </c>
      <c r="B51" s="34"/>
      <c r="C51" s="34"/>
      <c r="D51" s="34"/>
      <c r="E51" s="34"/>
      <c r="F51" s="37">
        <f>+K25/F46</f>
        <v>80.899022801302934</v>
      </c>
      <c r="G51" s="49"/>
      <c r="H51" s="49"/>
      <c r="I51" s="1"/>
      <c r="J51" s="1"/>
      <c r="K51" s="1"/>
      <c r="L51" s="1"/>
      <c r="M51" s="1"/>
    </row>
    <row r="52" spans="1:13" x14ac:dyDescent="0.25">
      <c r="A52" s="20" t="s">
        <v>238</v>
      </c>
      <c r="B52" s="20"/>
      <c r="C52" s="20"/>
      <c r="D52" s="20"/>
      <c r="E52" s="20"/>
      <c r="F52" s="22">
        <f>+K26/F46</f>
        <v>65.450597176981546</v>
      </c>
      <c r="G52" s="51"/>
      <c r="H52" s="51"/>
      <c r="I52" s="1"/>
      <c r="J52" s="1"/>
      <c r="K52" s="1"/>
      <c r="L52" s="1"/>
      <c r="M52" s="1"/>
    </row>
    <row r="54" spans="1:13" ht="15.75" x14ac:dyDescent="0.25">
      <c r="A54" s="414" t="s">
        <v>278</v>
      </c>
      <c r="B54" s="413"/>
      <c r="C54" s="413"/>
    </row>
  </sheetData>
  <mergeCells count="5">
    <mergeCell ref="E14:E15"/>
    <mergeCell ref="F14:F15"/>
    <mergeCell ref="G14:G15"/>
    <mergeCell ref="H14:H15"/>
    <mergeCell ref="K14:K15"/>
  </mergeCells>
  <pageMargins left="0.7" right="0.7" top="0.75" bottom="0.75" header="0.3" footer="0.3"/>
  <pageSetup paperSize="9" scale="43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zoomScale="86" zoomScaleNormal="86" workbookViewId="0">
      <selection activeCell="M38" sqref="M38"/>
    </sheetView>
  </sheetViews>
  <sheetFormatPr defaultColWidth="9.140625" defaultRowHeight="15" x14ac:dyDescent="0.25"/>
  <cols>
    <col min="1" max="1" width="9.140625" style="155"/>
    <col min="2" max="2" width="6.7109375" style="155" customWidth="1"/>
    <col min="3" max="3" width="8.85546875" style="155" customWidth="1"/>
    <col min="4" max="4" width="5.28515625" style="155" customWidth="1"/>
    <col min="5" max="5" width="9.7109375" style="155" customWidth="1"/>
    <col min="6" max="6" width="12" style="155" customWidth="1"/>
    <col min="7" max="7" width="14.5703125" style="155" customWidth="1"/>
    <col min="8" max="8" width="11.5703125" style="155" customWidth="1"/>
    <col min="9" max="9" width="10.5703125" style="155" customWidth="1"/>
    <col min="10" max="10" width="10.28515625" style="155" customWidth="1"/>
    <col min="11" max="11" width="11.7109375" style="155" customWidth="1"/>
    <col min="12" max="12" width="7.28515625" style="155" customWidth="1"/>
    <col min="13" max="14" width="9.140625" style="155"/>
    <col min="15" max="15" width="11.42578125" style="155" customWidth="1"/>
    <col min="16" max="16384" width="9.140625" style="155"/>
  </cols>
  <sheetData>
    <row r="1" spans="1:25" x14ac:dyDescent="0.25">
      <c r="A1" s="24" t="s">
        <v>0</v>
      </c>
      <c r="B1" s="154" t="s">
        <v>83</v>
      </c>
      <c r="C1" s="154"/>
      <c r="D1" s="154"/>
      <c r="E1" s="154"/>
      <c r="F1" s="154"/>
      <c r="G1" s="154"/>
      <c r="H1" s="24"/>
      <c r="I1" s="24"/>
      <c r="J1" s="24"/>
      <c r="K1" s="24"/>
      <c r="L1" s="24"/>
      <c r="M1" s="24"/>
      <c r="O1" s="1"/>
    </row>
    <row r="2" spans="1:25" x14ac:dyDescent="0.25">
      <c r="A2" s="24"/>
      <c r="B2" s="156" t="s">
        <v>420</v>
      </c>
      <c r="C2" s="156"/>
      <c r="D2" s="156"/>
      <c r="E2" s="156"/>
      <c r="F2" s="24"/>
      <c r="H2" s="24"/>
      <c r="I2" s="24"/>
      <c r="J2" s="24"/>
      <c r="K2" s="24"/>
      <c r="L2" s="24"/>
      <c r="M2" s="24"/>
    </row>
    <row r="3" spans="1:25" x14ac:dyDescent="0.25">
      <c r="A3" s="24"/>
      <c r="B3" s="7" t="s">
        <v>629</v>
      </c>
      <c r="C3" s="7"/>
      <c r="D3" s="7"/>
      <c r="E3" s="7"/>
      <c r="F3" s="24"/>
      <c r="H3" s="24"/>
      <c r="I3" s="24"/>
      <c r="J3" s="24"/>
      <c r="K3" s="24"/>
      <c r="L3" s="24"/>
      <c r="M3" s="24"/>
    </row>
    <row r="4" spans="1:25" x14ac:dyDescent="0.25">
      <c r="A4" s="16" t="s">
        <v>6</v>
      </c>
      <c r="B4" s="16"/>
      <c r="C4" s="16"/>
      <c r="D4" s="157" t="s">
        <v>7</v>
      </c>
      <c r="E4" s="157" t="s">
        <v>8</v>
      </c>
      <c r="F4" s="157" t="s">
        <v>9</v>
      </c>
      <c r="G4" s="157" t="s">
        <v>10</v>
      </c>
      <c r="H4" s="157" t="s">
        <v>11</v>
      </c>
      <c r="I4" s="157" t="s">
        <v>12</v>
      </c>
      <c r="J4" s="157" t="s">
        <v>13</v>
      </c>
      <c r="K4" s="157" t="s">
        <v>14</v>
      </c>
      <c r="L4" s="159" t="s">
        <v>15</v>
      </c>
      <c r="M4" s="157"/>
    </row>
    <row r="5" spans="1:25" x14ac:dyDescent="0.25">
      <c r="A5" s="34"/>
      <c r="B5" s="34"/>
      <c r="C5" s="34"/>
      <c r="D5" s="160" t="s">
        <v>16</v>
      </c>
      <c r="E5" s="160" t="s">
        <v>17</v>
      </c>
      <c r="F5" s="160" t="s">
        <v>17</v>
      </c>
      <c r="G5" s="160" t="s">
        <v>18</v>
      </c>
      <c r="H5" s="160" t="s">
        <v>19</v>
      </c>
      <c r="I5" s="160" t="s">
        <v>20</v>
      </c>
      <c r="J5" s="160" t="s">
        <v>19</v>
      </c>
      <c r="K5" s="160" t="s">
        <v>19</v>
      </c>
      <c r="L5" s="160" t="s">
        <v>12</v>
      </c>
      <c r="M5" s="160" t="s">
        <v>13</v>
      </c>
    </row>
    <row r="6" spans="1:25" x14ac:dyDescent="0.25">
      <c r="A6" s="34"/>
      <c r="B6" s="34"/>
      <c r="C6" s="34"/>
      <c r="D6" s="160" t="s">
        <v>21</v>
      </c>
      <c r="E6" s="160"/>
      <c r="F6" s="160"/>
      <c r="G6" s="160"/>
      <c r="H6" s="160" t="s">
        <v>22</v>
      </c>
      <c r="I6" s="160" t="s">
        <v>19</v>
      </c>
      <c r="J6" s="160" t="s">
        <v>22</v>
      </c>
      <c r="K6" s="160" t="s">
        <v>22</v>
      </c>
      <c r="L6" s="160"/>
      <c r="M6" s="160"/>
    </row>
    <row r="7" spans="1:25" x14ac:dyDescent="0.25">
      <c r="A7" s="20"/>
      <c r="B7" s="20"/>
      <c r="C7" s="20"/>
      <c r="D7" s="161"/>
      <c r="E7" s="161"/>
      <c r="F7" s="161"/>
      <c r="G7" s="161"/>
      <c r="H7" s="161"/>
      <c r="I7" s="161" t="s">
        <v>22</v>
      </c>
      <c r="J7" s="161"/>
      <c r="K7" s="161"/>
      <c r="L7" s="161"/>
      <c r="M7" s="161"/>
    </row>
    <row r="8" spans="1:25" x14ac:dyDescent="0.25">
      <c r="A8" s="1" t="s">
        <v>88</v>
      </c>
      <c r="B8" s="1"/>
      <c r="C8" s="1"/>
      <c r="D8" s="258">
        <v>63</v>
      </c>
      <c r="E8" s="31">
        <v>0.5</v>
      </c>
      <c r="F8" s="31">
        <v>0.41</v>
      </c>
      <c r="G8" s="384">
        <v>2417</v>
      </c>
      <c r="H8" s="31">
        <v>1208</v>
      </c>
      <c r="I8" s="385"/>
      <c r="J8" s="385"/>
      <c r="K8" s="31">
        <f>+H8+I8+J8</f>
        <v>1208</v>
      </c>
      <c r="L8" s="385"/>
      <c r="M8" s="385"/>
      <c r="N8" s="213"/>
      <c r="O8" s="713"/>
      <c r="P8" s="386"/>
      <c r="Q8" s="387"/>
      <c r="T8" s="387"/>
      <c r="U8" s="1"/>
      <c r="V8" s="31"/>
      <c r="W8" s="31"/>
      <c r="X8" s="1"/>
      <c r="Y8" s="1"/>
    </row>
    <row r="9" spans="1:25" x14ac:dyDescent="0.25">
      <c r="A9" s="1" t="s">
        <v>214</v>
      </c>
      <c r="B9" s="169"/>
      <c r="C9" s="169"/>
      <c r="D9" s="258">
        <v>72</v>
      </c>
      <c r="E9" s="31">
        <v>0.66</v>
      </c>
      <c r="F9" s="31">
        <v>0.63</v>
      </c>
      <c r="G9" s="384">
        <v>2500</v>
      </c>
      <c r="H9" s="31">
        <f>+E9*G9</f>
        <v>1650</v>
      </c>
      <c r="I9" s="31">
        <v>18996</v>
      </c>
      <c r="J9" s="385"/>
      <c r="K9" s="31">
        <f t="shared" ref="K9:K18" si="0">+H9+I9+J9</f>
        <v>20646</v>
      </c>
      <c r="L9" s="385">
        <v>4606</v>
      </c>
      <c r="M9" s="388"/>
      <c r="N9" s="213"/>
      <c r="O9" s="713"/>
      <c r="P9" s="386"/>
      <c r="Q9" s="389"/>
      <c r="R9" s="389"/>
      <c r="T9" s="389"/>
      <c r="U9" s="31"/>
      <c r="V9" s="31"/>
      <c r="W9" s="31"/>
      <c r="X9" s="1"/>
      <c r="Y9" s="169"/>
    </row>
    <row r="10" spans="1:25" x14ac:dyDescent="0.25">
      <c r="A10" s="1" t="s">
        <v>264</v>
      </c>
      <c r="B10" s="1"/>
      <c r="C10" s="1"/>
      <c r="D10" s="258" t="s">
        <v>265</v>
      </c>
      <c r="E10" s="40" t="s">
        <v>266</v>
      </c>
      <c r="F10" s="40" t="s">
        <v>267</v>
      </c>
      <c r="G10" s="390" t="s">
        <v>268</v>
      </c>
      <c r="H10" s="31"/>
      <c r="I10" s="391" t="s">
        <v>269</v>
      </c>
      <c r="J10" s="385"/>
      <c r="K10" s="31"/>
      <c r="L10" s="391"/>
      <c r="M10" s="388"/>
      <c r="N10" s="213"/>
      <c r="O10" s="713"/>
      <c r="P10" s="386"/>
      <c r="R10" s="387"/>
      <c r="U10" s="181"/>
      <c r="V10" s="181"/>
      <c r="W10" s="181"/>
      <c r="X10" s="181"/>
      <c r="Y10" s="169"/>
    </row>
    <row r="11" spans="1:25" x14ac:dyDescent="0.25">
      <c r="A11" s="1" t="s">
        <v>219</v>
      </c>
      <c r="B11" s="1"/>
      <c r="C11" s="1"/>
      <c r="D11" s="258">
        <v>100</v>
      </c>
      <c r="E11" s="31">
        <v>3.42</v>
      </c>
      <c r="F11" s="31">
        <v>0.52</v>
      </c>
      <c r="G11" s="384">
        <v>2536</v>
      </c>
      <c r="H11" s="31">
        <v>8673</v>
      </c>
      <c r="I11" s="385"/>
      <c r="J11" s="385"/>
      <c r="K11" s="31">
        <f t="shared" si="0"/>
        <v>8673</v>
      </c>
      <c r="L11" s="385"/>
      <c r="M11" s="385"/>
      <c r="N11" s="213"/>
      <c r="O11" s="713"/>
      <c r="P11" s="386"/>
      <c r="R11" s="387"/>
      <c r="U11" s="31"/>
      <c r="V11" s="31"/>
      <c r="W11" s="31"/>
      <c r="X11" s="31"/>
      <c r="Y11" s="31"/>
    </row>
    <row r="12" spans="1:25" x14ac:dyDescent="0.25">
      <c r="A12" s="1" t="s">
        <v>46</v>
      </c>
      <c r="B12" s="1"/>
      <c r="C12" s="1"/>
      <c r="D12" s="258">
        <v>100</v>
      </c>
      <c r="E12" s="31">
        <v>1.56</v>
      </c>
      <c r="F12" s="31">
        <v>0.45</v>
      </c>
      <c r="G12" s="384">
        <v>2505</v>
      </c>
      <c r="H12" s="31">
        <v>3908</v>
      </c>
      <c r="I12" s="385"/>
      <c r="J12" s="12">
        <f>+E28*G28</f>
        <v>9570</v>
      </c>
      <c r="K12" s="31">
        <f t="shared" si="0"/>
        <v>13478</v>
      </c>
      <c r="L12" s="385"/>
      <c r="M12" s="385">
        <v>5322</v>
      </c>
      <c r="N12" s="213"/>
      <c r="O12" s="713"/>
      <c r="P12" s="386"/>
      <c r="Q12" s="389"/>
      <c r="T12" s="389"/>
      <c r="U12" s="31"/>
      <c r="V12" s="31"/>
      <c r="W12" s="31"/>
      <c r="X12" s="1"/>
      <c r="Y12" s="31"/>
    </row>
    <row r="13" spans="1:25" x14ac:dyDescent="0.25">
      <c r="A13" s="1" t="s">
        <v>270</v>
      </c>
      <c r="B13" s="1"/>
      <c r="C13" s="1"/>
      <c r="D13" s="258">
        <v>100</v>
      </c>
      <c r="E13" s="31">
        <v>0.5</v>
      </c>
      <c r="F13" s="31">
        <v>0.42</v>
      </c>
      <c r="G13" s="384">
        <v>2500</v>
      </c>
      <c r="H13" s="31">
        <f>+E13*G13</f>
        <v>1250</v>
      </c>
      <c r="I13" s="385"/>
      <c r="J13" s="12">
        <f>+E35*G35</f>
        <v>8041</v>
      </c>
      <c r="K13" s="31">
        <f t="shared" si="0"/>
        <v>9291</v>
      </c>
      <c r="L13" s="385"/>
      <c r="M13" s="385"/>
      <c r="N13" s="281"/>
      <c r="O13" s="713"/>
      <c r="P13" s="386"/>
      <c r="Q13" s="387"/>
      <c r="U13" s="31"/>
      <c r="V13" s="31"/>
      <c r="W13" s="31"/>
      <c r="X13" s="31"/>
      <c r="Y13" s="31"/>
    </row>
    <row r="14" spans="1:25" x14ac:dyDescent="0.25">
      <c r="A14" s="1" t="s">
        <v>222</v>
      </c>
      <c r="B14" s="1"/>
      <c r="C14" s="1"/>
      <c r="D14" s="258">
        <v>100</v>
      </c>
      <c r="E14" s="31">
        <v>0.39</v>
      </c>
      <c r="F14" s="31">
        <v>0.26</v>
      </c>
      <c r="G14" s="384">
        <v>2650</v>
      </c>
      <c r="H14" s="31">
        <v>1034</v>
      </c>
      <c r="I14" s="385"/>
      <c r="J14" s="31">
        <v>8010</v>
      </c>
      <c r="K14" s="31">
        <f t="shared" si="0"/>
        <v>9044</v>
      </c>
      <c r="L14" s="385"/>
      <c r="M14" s="385"/>
      <c r="N14" s="213"/>
      <c r="O14" s="713"/>
      <c r="P14" s="386"/>
      <c r="Q14" s="389"/>
      <c r="S14" s="389"/>
      <c r="T14" s="389"/>
      <c r="U14" s="31"/>
      <c r="V14" s="31"/>
      <c r="W14" s="31"/>
      <c r="X14" s="31"/>
      <c r="Y14" s="31"/>
    </row>
    <row r="15" spans="1:25" x14ac:dyDescent="0.25">
      <c r="A15" s="1" t="s">
        <v>223</v>
      </c>
      <c r="B15" s="1"/>
      <c r="C15" s="1"/>
      <c r="D15" s="258">
        <v>69</v>
      </c>
      <c r="E15" s="31">
        <v>0.37</v>
      </c>
      <c r="F15" s="31">
        <v>0.27</v>
      </c>
      <c r="G15" s="384">
        <v>2792</v>
      </c>
      <c r="H15" s="31">
        <v>1033</v>
      </c>
      <c r="I15" s="385"/>
      <c r="J15" s="31">
        <v>3841</v>
      </c>
      <c r="K15" s="31">
        <f t="shared" si="0"/>
        <v>4874</v>
      </c>
      <c r="L15" s="385"/>
      <c r="M15" s="385"/>
      <c r="N15" s="213"/>
      <c r="O15" s="713"/>
      <c r="P15" s="386"/>
      <c r="Q15" s="389"/>
      <c r="R15" s="387"/>
      <c r="T15" s="389"/>
      <c r="U15" s="31"/>
      <c r="V15" s="31"/>
      <c r="W15" s="31"/>
      <c r="X15" s="31"/>
      <c r="Y15" s="31"/>
    </row>
    <row r="16" spans="1:25" x14ac:dyDescent="0.25">
      <c r="A16" s="1" t="s">
        <v>224</v>
      </c>
      <c r="B16" s="1"/>
      <c r="C16" s="1"/>
      <c r="D16" s="258">
        <v>100</v>
      </c>
      <c r="E16" s="31">
        <v>3.84</v>
      </c>
      <c r="F16" s="31">
        <v>3.84</v>
      </c>
      <c r="G16" s="384">
        <v>2500</v>
      </c>
      <c r="H16" s="31">
        <f>+E16*G16</f>
        <v>9600</v>
      </c>
      <c r="I16" s="385"/>
      <c r="J16" s="31"/>
      <c r="K16" s="31">
        <f t="shared" si="0"/>
        <v>9600</v>
      </c>
      <c r="L16" s="385"/>
      <c r="M16" s="385"/>
      <c r="N16" s="213"/>
      <c r="O16" s="713"/>
      <c r="P16" s="386"/>
      <c r="S16" s="389"/>
      <c r="T16" s="389"/>
      <c r="U16" s="31"/>
      <c r="V16" s="31"/>
      <c r="W16" s="31"/>
      <c r="X16" s="31"/>
      <c r="Y16" s="31"/>
    </row>
    <row r="17" spans="1:25" x14ac:dyDescent="0.25">
      <c r="A17" s="1" t="s">
        <v>225</v>
      </c>
      <c r="B17" s="1"/>
      <c r="C17" s="1"/>
      <c r="D17" s="258">
        <v>100</v>
      </c>
      <c r="E17" s="31">
        <v>1.08</v>
      </c>
      <c r="F17" s="31">
        <v>0.3</v>
      </c>
      <c r="G17" s="384">
        <v>2467</v>
      </c>
      <c r="H17" s="31">
        <v>2664</v>
      </c>
      <c r="I17" s="31">
        <v>19139</v>
      </c>
      <c r="J17" s="31"/>
      <c r="K17" s="31">
        <f t="shared" si="0"/>
        <v>21803</v>
      </c>
      <c r="L17" s="385"/>
      <c r="M17" s="385"/>
      <c r="N17" s="213"/>
      <c r="O17" s="713"/>
      <c r="P17" s="386"/>
      <c r="Q17" s="389"/>
      <c r="S17" s="389"/>
      <c r="T17" s="389"/>
      <c r="U17" s="31"/>
      <c r="V17" s="31"/>
      <c r="W17" s="31"/>
      <c r="X17" s="31"/>
      <c r="Y17" s="1"/>
    </row>
    <row r="18" spans="1:25" x14ac:dyDescent="0.25">
      <c r="A18" s="1" t="s">
        <v>147</v>
      </c>
      <c r="B18" s="1"/>
      <c r="C18" s="1"/>
      <c r="D18" s="258">
        <v>72</v>
      </c>
      <c r="E18" s="31">
        <v>0.16</v>
      </c>
      <c r="F18" s="31">
        <v>0.1</v>
      </c>
      <c r="G18" s="384">
        <v>2250</v>
      </c>
      <c r="H18" s="31">
        <f>+E18*G18</f>
        <v>360</v>
      </c>
      <c r="I18" s="31">
        <v>1661</v>
      </c>
      <c r="J18" s="385"/>
      <c r="K18" s="31">
        <f t="shared" si="0"/>
        <v>2021</v>
      </c>
      <c r="L18" s="385">
        <v>369</v>
      </c>
      <c r="M18" s="385"/>
      <c r="N18" s="213"/>
      <c r="O18" s="713"/>
      <c r="P18" s="386"/>
      <c r="Q18" s="387"/>
      <c r="S18" s="389"/>
      <c r="T18" s="389"/>
      <c r="U18" s="31"/>
      <c r="V18" s="31"/>
      <c r="W18" s="31"/>
      <c r="X18" s="31"/>
      <c r="Y18" s="31"/>
    </row>
    <row r="19" spans="1:25" ht="17.25" customHeight="1" x14ac:dyDescent="0.25">
      <c r="A19" s="1" t="s">
        <v>251</v>
      </c>
      <c r="B19" s="1"/>
      <c r="C19" s="1"/>
      <c r="D19" s="258"/>
      <c r="E19" s="167"/>
      <c r="F19" s="167"/>
      <c r="G19" s="390"/>
      <c r="H19" s="385"/>
      <c r="I19" s="390"/>
      <c r="J19" s="390"/>
      <c r="K19" s="31">
        <v>2500</v>
      </c>
      <c r="L19" s="390"/>
      <c r="M19" s="385"/>
      <c r="O19" s="713"/>
      <c r="P19" s="393"/>
      <c r="Q19" s="389"/>
      <c r="T19" s="389"/>
      <c r="U19" s="167"/>
      <c r="V19" s="167"/>
      <c r="W19" s="31"/>
      <c r="X19" s="167"/>
      <c r="Y19" s="176"/>
    </row>
    <row r="20" spans="1:25" x14ac:dyDescent="0.25">
      <c r="A20" s="16" t="s">
        <v>134</v>
      </c>
      <c r="B20" s="16"/>
      <c r="C20" s="16"/>
      <c r="D20" s="17"/>
      <c r="E20" s="18">
        <f t="shared" ref="E20:J20" si="1">SUM(E8:E19)</f>
        <v>12.48</v>
      </c>
      <c r="F20" s="18">
        <f t="shared" si="1"/>
        <v>7.2</v>
      </c>
      <c r="G20" s="394"/>
      <c r="H20" s="394">
        <f t="shared" si="1"/>
        <v>31380</v>
      </c>
      <c r="I20" s="394">
        <f t="shared" si="1"/>
        <v>39796</v>
      </c>
      <c r="J20" s="394">
        <f t="shared" si="1"/>
        <v>29462</v>
      </c>
      <c r="K20" s="394">
        <f>SUM(H20:J20)+K19</f>
        <v>103138</v>
      </c>
      <c r="L20" s="394">
        <f>SUM(L8:L19)</f>
        <v>4975</v>
      </c>
      <c r="M20" s="394">
        <f>SUM(M8:M19)</f>
        <v>5322</v>
      </c>
      <c r="O20" s="392"/>
      <c r="P20" s="393"/>
      <c r="Q20" s="387"/>
      <c r="R20" s="389"/>
      <c r="T20" s="389"/>
    </row>
    <row r="21" spans="1:25" x14ac:dyDescent="0.25">
      <c r="A21" s="20" t="s">
        <v>135</v>
      </c>
      <c r="B21" s="20"/>
      <c r="C21" s="20"/>
      <c r="D21" s="21"/>
      <c r="E21" s="22">
        <f>+E20-F20</f>
        <v>5.28</v>
      </c>
      <c r="F21" s="22"/>
      <c r="G21" s="395"/>
      <c r="H21" s="395">
        <f>+E30*G30</f>
        <v>13075</v>
      </c>
      <c r="I21" s="396">
        <f>+I20-L20</f>
        <v>34821</v>
      </c>
      <c r="J21" s="396">
        <f>+J20-M20</f>
        <v>24140</v>
      </c>
      <c r="K21" s="395">
        <f>+H21+I21+J21</f>
        <v>72036</v>
      </c>
      <c r="L21" s="395"/>
      <c r="M21" s="395"/>
      <c r="O21" s="392"/>
      <c r="T21" s="389"/>
    </row>
    <row r="22" spans="1: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72"/>
      <c r="P22" s="172"/>
      <c r="Q22" s="184"/>
      <c r="R22" s="172"/>
    </row>
    <row r="23" spans="1:25" x14ac:dyDescent="0.25">
      <c r="A23" s="1"/>
      <c r="B23" s="1"/>
      <c r="C23" s="1" t="s">
        <v>37</v>
      </c>
      <c r="D23" s="1"/>
      <c r="E23" s="1"/>
      <c r="F23" s="1"/>
      <c r="G23" s="1"/>
      <c r="H23" s="1"/>
      <c r="I23" s="1"/>
      <c r="J23" s="34"/>
      <c r="K23" s="34"/>
      <c r="L23" s="1"/>
      <c r="M23" s="1"/>
    </row>
    <row r="24" spans="1:25" x14ac:dyDescent="0.25">
      <c r="A24" s="1"/>
      <c r="B24" s="1"/>
      <c r="C24" s="1"/>
      <c r="D24" s="1"/>
      <c r="E24" s="1"/>
      <c r="F24" s="1"/>
      <c r="G24" s="1"/>
      <c r="H24" s="1"/>
      <c r="I24" s="1"/>
      <c r="J24" s="718"/>
      <c r="K24" s="460"/>
      <c r="L24" s="1"/>
      <c r="M24" s="1"/>
    </row>
    <row r="25" spans="1:25" x14ac:dyDescent="0.25">
      <c r="A25" s="1" t="s">
        <v>96</v>
      </c>
      <c r="B25" s="1"/>
      <c r="C25" s="1"/>
      <c r="D25" s="1"/>
      <c r="E25" s="1"/>
      <c r="F25" s="1"/>
      <c r="G25" s="1"/>
      <c r="H25" s="20"/>
      <c r="I25" s="1"/>
      <c r="J25" s="202"/>
      <c r="K25" s="202"/>
      <c r="L25" s="1"/>
      <c r="M25" s="191"/>
    </row>
    <row r="26" spans="1:25" x14ac:dyDescent="0.25">
      <c r="A26" s="25" t="s">
        <v>38</v>
      </c>
      <c r="B26" s="25"/>
      <c r="C26" s="25"/>
      <c r="D26" s="192" t="s">
        <v>39</v>
      </c>
      <c r="E26" s="192" t="s">
        <v>40</v>
      </c>
      <c r="F26" s="192"/>
      <c r="G26" s="192" t="s">
        <v>41</v>
      </c>
      <c r="H26" s="192" t="s">
        <v>232</v>
      </c>
      <c r="I26" s="1"/>
      <c r="J26" s="202"/>
      <c r="K26" s="202"/>
      <c r="L26" s="1"/>
      <c r="M26" s="194"/>
    </row>
    <row r="27" spans="1:25" x14ac:dyDescent="0.25">
      <c r="A27" s="1" t="s">
        <v>43</v>
      </c>
      <c r="B27" s="1"/>
      <c r="C27" s="1"/>
      <c r="D27" s="196" t="s">
        <v>47</v>
      </c>
      <c r="E27" s="1"/>
      <c r="F27" s="1"/>
      <c r="G27" s="1"/>
      <c r="H27" s="202" t="s">
        <v>593</v>
      </c>
      <c r="I27" s="1"/>
      <c r="K27" s="202"/>
      <c r="L27" s="1"/>
      <c r="M27" s="194"/>
    </row>
    <row r="28" spans="1:25" x14ac:dyDescent="0.25">
      <c r="A28" s="1" t="s">
        <v>46</v>
      </c>
      <c r="B28" s="1"/>
      <c r="C28" s="1"/>
      <c r="D28" s="10"/>
      <c r="E28" s="382">
        <v>58</v>
      </c>
      <c r="F28" s="1"/>
      <c r="G28" s="12">
        <v>165</v>
      </c>
      <c r="H28" s="202" t="s">
        <v>592</v>
      </c>
      <c r="I28" s="1"/>
      <c r="K28" s="202"/>
      <c r="L28" s="1"/>
      <c r="M28" s="194"/>
    </row>
    <row r="29" spans="1:25" x14ac:dyDescent="0.25">
      <c r="A29" s="24" t="s">
        <v>51</v>
      </c>
      <c r="B29" s="1"/>
      <c r="C29" s="1"/>
      <c r="D29" s="31"/>
      <c r="E29" s="1"/>
      <c r="F29" s="1"/>
      <c r="G29" s="1"/>
      <c r="H29" s="202" t="s">
        <v>591</v>
      </c>
      <c r="I29" s="1"/>
      <c r="K29" s="202"/>
      <c r="L29" s="1"/>
      <c r="M29" s="194"/>
    </row>
    <row r="30" spans="1:25" x14ac:dyDescent="0.25">
      <c r="A30" s="1" t="s">
        <v>233</v>
      </c>
      <c r="B30" s="1"/>
      <c r="C30" s="1"/>
      <c r="D30" s="1" t="s">
        <v>54</v>
      </c>
      <c r="E30" s="31">
        <v>5</v>
      </c>
      <c r="F30" s="1"/>
      <c r="G30" s="31">
        <v>2615</v>
      </c>
      <c r="H30" s="202" t="s">
        <v>590</v>
      </c>
      <c r="I30" s="202"/>
      <c r="L30" s="1"/>
      <c r="M30" s="194"/>
    </row>
    <row r="31" spans="1:25" x14ac:dyDescent="0.25">
      <c r="A31" s="1" t="s">
        <v>234</v>
      </c>
      <c r="B31" s="1"/>
      <c r="C31" s="1"/>
      <c r="D31" s="1" t="s">
        <v>54</v>
      </c>
      <c r="E31" s="31">
        <v>7</v>
      </c>
      <c r="F31" s="1"/>
      <c r="G31" s="1"/>
      <c r="H31" s="202" t="s">
        <v>589</v>
      </c>
      <c r="I31" s="202"/>
      <c r="L31" s="1"/>
      <c r="M31" s="194"/>
      <c r="N31" s="172"/>
      <c r="O31" s="172"/>
      <c r="P31" s="172"/>
      <c r="Q31" s="172"/>
    </row>
    <row r="32" spans="1:25" x14ac:dyDescent="0.25">
      <c r="A32" s="1" t="s">
        <v>8</v>
      </c>
      <c r="B32" s="1"/>
      <c r="C32" s="1"/>
      <c r="D32" s="1" t="s">
        <v>54</v>
      </c>
      <c r="E32" s="31">
        <f>SUM(E30:E31)</f>
        <v>12</v>
      </c>
      <c r="F32" s="1"/>
      <c r="G32" s="1"/>
      <c r="H32" s="1"/>
      <c r="I32" s="202"/>
      <c r="J32" s="199" t="s">
        <v>99</v>
      </c>
      <c r="K32" s="200">
        <v>3</v>
      </c>
      <c r="L32" s="1"/>
      <c r="M32" s="1"/>
    </row>
    <row r="33" spans="1:13" x14ac:dyDescent="0.25">
      <c r="A33" s="1"/>
      <c r="B33" s="1"/>
      <c r="C33" s="1"/>
      <c r="D33" s="31"/>
      <c r="E33" s="1"/>
      <c r="F33" s="1"/>
      <c r="G33" s="1"/>
      <c r="H33" s="20"/>
      <c r="I33" s="202"/>
      <c r="J33" s="199" t="s">
        <v>100</v>
      </c>
      <c r="K33" s="200">
        <v>3</v>
      </c>
      <c r="L33" s="1"/>
      <c r="M33" s="1"/>
    </row>
    <row r="34" spans="1:13" x14ac:dyDescent="0.25">
      <c r="A34" s="16" t="s">
        <v>58</v>
      </c>
      <c r="B34" s="16"/>
      <c r="C34" s="16" t="s">
        <v>59</v>
      </c>
      <c r="D34" s="16"/>
      <c r="E34" s="16"/>
      <c r="F34" s="16"/>
      <c r="G34" s="16"/>
      <c r="H34" s="1"/>
      <c r="I34" s="202"/>
      <c r="L34" s="1"/>
      <c r="M34" s="1"/>
    </row>
    <row r="35" spans="1:13" x14ac:dyDescent="0.25">
      <c r="A35" s="34" t="s">
        <v>104</v>
      </c>
      <c r="B35" s="34" t="s">
        <v>61</v>
      </c>
      <c r="C35" s="43">
        <v>91</v>
      </c>
      <c r="D35" s="196" t="s">
        <v>47</v>
      </c>
      <c r="E35" s="12">
        <v>43</v>
      </c>
      <c r="F35" s="37"/>
      <c r="G35" s="198">
        <v>187</v>
      </c>
      <c r="H35" s="1"/>
      <c r="I35" s="37"/>
      <c r="J35" s="1"/>
      <c r="K35" s="1"/>
      <c r="L35" s="1"/>
      <c r="M35" s="1"/>
    </row>
    <row r="36" spans="1:13" x14ac:dyDescent="0.25">
      <c r="A36" s="34"/>
      <c r="B36" s="34" t="s">
        <v>62</v>
      </c>
      <c r="C36" s="43" t="s">
        <v>271</v>
      </c>
      <c r="D36" s="196" t="s">
        <v>47</v>
      </c>
      <c r="E36" s="12" t="s">
        <v>272</v>
      </c>
      <c r="F36" s="37"/>
      <c r="G36" s="198" t="s">
        <v>273</v>
      </c>
      <c r="H36" s="1"/>
      <c r="I36" s="37"/>
      <c r="J36" s="1"/>
      <c r="K36" s="1"/>
      <c r="L36" s="1"/>
      <c r="M36" s="1"/>
    </row>
    <row r="37" spans="1:13" x14ac:dyDescent="0.25">
      <c r="A37" s="34"/>
      <c r="B37" s="34" t="s">
        <v>65</v>
      </c>
      <c r="C37" s="43" t="s">
        <v>274</v>
      </c>
      <c r="D37" s="196" t="s">
        <v>47</v>
      </c>
      <c r="E37" s="12" t="s">
        <v>275</v>
      </c>
      <c r="F37" s="37"/>
      <c r="G37" s="198" t="s">
        <v>276</v>
      </c>
      <c r="H37" s="1"/>
      <c r="I37" s="37"/>
      <c r="J37" s="1"/>
      <c r="K37" s="1"/>
      <c r="L37" s="1"/>
      <c r="M37" s="1"/>
    </row>
    <row r="38" spans="1:13" x14ac:dyDescent="0.25">
      <c r="A38" s="16" t="s">
        <v>71</v>
      </c>
      <c r="B38" s="16"/>
      <c r="C38" s="16"/>
      <c r="D38" s="16"/>
      <c r="E38" s="16"/>
      <c r="F38" s="157" t="s">
        <v>72</v>
      </c>
      <c r="G38" s="16"/>
      <c r="H38" s="46" t="s">
        <v>73</v>
      </c>
      <c r="I38" s="1"/>
      <c r="J38" s="1"/>
      <c r="K38" s="1"/>
      <c r="L38" s="1"/>
      <c r="M38" s="1"/>
    </row>
    <row r="39" spans="1:13" x14ac:dyDescent="0.25">
      <c r="A39" s="34" t="s">
        <v>108</v>
      </c>
      <c r="B39" s="34"/>
      <c r="C39" s="34"/>
      <c r="D39" s="34"/>
      <c r="E39" s="34"/>
      <c r="F39" s="37">
        <v>1316</v>
      </c>
      <c r="G39" s="211" t="s">
        <v>277</v>
      </c>
      <c r="H39" s="379">
        <f>+F39*2.471</f>
        <v>3251.8360000000002</v>
      </c>
      <c r="I39" s="1"/>
      <c r="J39" s="1"/>
      <c r="K39" s="1"/>
      <c r="L39" s="1"/>
      <c r="M39" s="1"/>
    </row>
    <row r="40" spans="1:13" x14ac:dyDescent="0.25">
      <c r="A40" s="34" t="s">
        <v>109</v>
      </c>
      <c r="B40" s="34"/>
      <c r="C40" s="34"/>
      <c r="D40" s="34"/>
      <c r="E40" s="34"/>
      <c r="F40" s="37">
        <v>82</v>
      </c>
      <c r="G40" s="49"/>
      <c r="H40" s="379"/>
      <c r="I40" s="1"/>
      <c r="J40" s="1"/>
      <c r="K40" s="1"/>
      <c r="L40" s="1"/>
      <c r="M40" s="1"/>
    </row>
    <row r="41" spans="1:13" x14ac:dyDescent="0.25">
      <c r="A41" s="34" t="s">
        <v>110</v>
      </c>
      <c r="B41" s="34"/>
      <c r="C41" s="34"/>
      <c r="D41" s="34"/>
      <c r="E41" s="34"/>
      <c r="F41" s="37">
        <f>+F39*F40</f>
        <v>107912</v>
      </c>
      <c r="G41" s="49"/>
      <c r="H41" s="379">
        <f>+F41*2.471</f>
        <v>266650.55200000003</v>
      </c>
      <c r="I41" s="1"/>
      <c r="J41" s="1"/>
      <c r="K41" s="1"/>
      <c r="L41" s="1"/>
      <c r="M41" s="1"/>
    </row>
    <row r="42" spans="1:13" x14ac:dyDescent="0.25">
      <c r="A42" s="34" t="s">
        <v>111</v>
      </c>
      <c r="B42" s="34"/>
      <c r="C42" s="34"/>
      <c r="D42" s="34"/>
      <c r="E42" s="34"/>
      <c r="F42" s="37">
        <f>+F41-K20</f>
        <v>4774</v>
      </c>
      <c r="G42" s="49"/>
      <c r="H42" s="379">
        <f>+F42*2.471</f>
        <v>11796.554</v>
      </c>
      <c r="I42" s="1"/>
      <c r="J42" s="31"/>
      <c r="K42" s="31"/>
      <c r="L42" s="1"/>
      <c r="M42" s="1"/>
    </row>
    <row r="43" spans="1:13" x14ac:dyDescent="0.25">
      <c r="A43" s="34" t="s">
        <v>112</v>
      </c>
      <c r="B43" s="34"/>
      <c r="C43" s="34"/>
      <c r="D43" s="34"/>
      <c r="E43" s="34"/>
      <c r="F43" s="37">
        <f>+F41-K21</f>
        <v>35876</v>
      </c>
      <c r="G43" s="49"/>
      <c r="H43" s="379">
        <f>+F43*2.471</f>
        <v>88649.596000000005</v>
      </c>
      <c r="I43" s="1"/>
      <c r="J43" s="31"/>
      <c r="K43" s="1"/>
      <c r="L43" s="1"/>
      <c r="M43" s="1"/>
    </row>
    <row r="44" spans="1:13" x14ac:dyDescent="0.25">
      <c r="A44" s="34"/>
      <c r="B44" s="34"/>
      <c r="C44" s="34"/>
      <c r="D44" s="34"/>
      <c r="E44" s="34"/>
      <c r="F44" s="37"/>
      <c r="G44" s="49"/>
      <c r="H44" s="1"/>
      <c r="I44" s="1"/>
      <c r="J44" s="1"/>
      <c r="K44" s="1"/>
      <c r="L44" s="1"/>
      <c r="M44" s="1"/>
    </row>
    <row r="45" spans="1:13" x14ac:dyDescent="0.25">
      <c r="A45" s="34" t="s">
        <v>262</v>
      </c>
      <c r="B45" s="34"/>
      <c r="C45" s="34"/>
      <c r="D45" s="34"/>
      <c r="E45" s="34"/>
      <c r="F45" s="37">
        <f>+K20/F39</f>
        <v>78.372340425531917</v>
      </c>
      <c r="G45" s="49"/>
      <c r="H45" s="1"/>
      <c r="I45" s="1"/>
      <c r="J45" s="1"/>
      <c r="K45" s="1"/>
      <c r="L45" s="1"/>
      <c r="M45" s="1"/>
    </row>
    <row r="46" spans="1:13" x14ac:dyDescent="0.25">
      <c r="A46" s="20" t="s">
        <v>263</v>
      </c>
      <c r="B46" s="20"/>
      <c r="C46" s="20"/>
      <c r="D46" s="20"/>
      <c r="E46" s="20"/>
      <c r="F46" s="209">
        <f>K21/F39</f>
        <v>54.738601823708208</v>
      </c>
      <c r="G46" s="51"/>
      <c r="H46" s="20"/>
      <c r="I46" s="1"/>
      <c r="J46" s="1"/>
      <c r="K46" s="1"/>
      <c r="L46" s="1"/>
      <c r="M46" s="1"/>
    </row>
    <row r="48" spans="1:13" x14ac:dyDescent="0.25">
      <c r="A48" s="297" t="s">
        <v>278</v>
      </c>
    </row>
    <row r="51" spans="1:1" x14ac:dyDescent="0.25">
      <c r="A51" s="214"/>
    </row>
  </sheetData>
  <pageMargins left="0.7" right="0.7" top="0.75" bottom="0.75" header="0.3" footer="0.3"/>
  <pageSetup paperSize="9" scale="68" fitToHeight="0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topLeftCell="A4" zoomScale="82" zoomScaleNormal="82" workbookViewId="0">
      <selection sqref="A1:L44"/>
    </sheetView>
  </sheetViews>
  <sheetFormatPr defaultColWidth="9.140625" defaultRowHeight="15" x14ac:dyDescent="0.25"/>
  <cols>
    <col min="1" max="1" width="7.140625" style="1" customWidth="1"/>
    <col min="2" max="2" width="10.7109375" style="1" customWidth="1"/>
    <col min="3" max="3" width="6.140625" style="1" customWidth="1"/>
    <col min="4" max="4" width="9.85546875" style="1" customWidth="1"/>
    <col min="5" max="5" width="7.42578125" style="1" customWidth="1"/>
    <col min="6" max="6" width="5.42578125" style="1" customWidth="1"/>
    <col min="7" max="7" width="9.42578125" style="1" customWidth="1"/>
    <col min="8" max="8" width="8.140625" style="1" customWidth="1"/>
    <col min="9" max="9" width="8.42578125" style="1" customWidth="1"/>
    <col min="10" max="11" width="9.5703125" style="1" customWidth="1"/>
    <col min="12" max="12" width="7.7109375" style="1" customWidth="1"/>
    <col min="13" max="13" width="8" style="1" customWidth="1"/>
    <col min="14" max="16384" width="9.140625" style="1"/>
  </cols>
  <sheetData>
    <row r="1" spans="1:15" x14ac:dyDescent="0.25">
      <c r="A1" s="1" t="s">
        <v>286</v>
      </c>
      <c r="B1" s="1" t="s">
        <v>287</v>
      </c>
      <c r="O1" s="1" t="s">
        <v>445</v>
      </c>
    </row>
    <row r="2" spans="1:15" x14ac:dyDescent="0.25">
      <c r="B2" s="1" t="s">
        <v>288</v>
      </c>
    </row>
    <row r="4" spans="1:15" x14ac:dyDescent="0.25">
      <c r="A4" s="16" t="s">
        <v>6</v>
      </c>
      <c r="B4" s="16"/>
      <c r="C4" s="16"/>
      <c r="D4" s="157" t="s">
        <v>7</v>
      </c>
      <c r="E4" s="157" t="s">
        <v>8</v>
      </c>
      <c r="F4" s="157" t="s">
        <v>9</v>
      </c>
      <c r="G4" s="157" t="s">
        <v>10</v>
      </c>
      <c r="H4" s="157" t="s">
        <v>11</v>
      </c>
      <c r="I4" s="157" t="s">
        <v>12</v>
      </c>
      <c r="J4" s="157" t="s">
        <v>13</v>
      </c>
      <c r="K4" s="157" t="s">
        <v>14</v>
      </c>
      <c r="L4" s="159" t="s">
        <v>15</v>
      </c>
      <c r="M4" s="157"/>
    </row>
    <row r="5" spans="1:15" x14ac:dyDescent="0.25">
      <c r="A5" s="34"/>
      <c r="B5" s="34"/>
      <c r="C5" s="34"/>
      <c r="D5" s="160" t="s">
        <v>16</v>
      </c>
      <c r="E5" s="160" t="s">
        <v>17</v>
      </c>
      <c r="F5" s="160" t="s">
        <v>17</v>
      </c>
      <c r="G5" s="160" t="s">
        <v>18</v>
      </c>
      <c r="H5" s="160" t="s">
        <v>19</v>
      </c>
      <c r="I5" s="160" t="s">
        <v>20</v>
      </c>
      <c r="J5" s="160" t="s">
        <v>19</v>
      </c>
      <c r="K5" s="160" t="s">
        <v>19</v>
      </c>
      <c r="L5" s="35" t="s">
        <v>12</v>
      </c>
      <c r="M5" s="160" t="s">
        <v>13</v>
      </c>
    </row>
    <row r="6" spans="1:15" x14ac:dyDescent="0.25">
      <c r="A6" s="34"/>
      <c r="B6" s="34"/>
      <c r="C6" s="34"/>
      <c r="D6" s="160" t="s">
        <v>21</v>
      </c>
      <c r="E6" s="160"/>
      <c r="F6" s="160"/>
      <c r="G6" s="160"/>
      <c r="H6" s="160" t="s">
        <v>22</v>
      </c>
      <c r="I6" s="160" t="s">
        <v>19</v>
      </c>
      <c r="J6" s="160" t="s">
        <v>22</v>
      </c>
      <c r="K6" s="160" t="s">
        <v>22</v>
      </c>
      <c r="L6" s="160"/>
      <c r="M6" s="160"/>
    </row>
    <row r="7" spans="1:15" x14ac:dyDescent="0.25">
      <c r="A7" s="20"/>
      <c r="B7" s="20"/>
      <c r="C7" s="20"/>
      <c r="D7" s="161"/>
      <c r="E7" s="161"/>
      <c r="F7" s="161"/>
      <c r="G7" s="161"/>
      <c r="H7" s="161"/>
      <c r="I7" s="161" t="s">
        <v>22</v>
      </c>
      <c r="J7" s="161"/>
      <c r="K7" s="161"/>
      <c r="L7" s="161"/>
      <c r="M7" s="161"/>
    </row>
    <row r="8" spans="1:15" x14ac:dyDescent="0.25">
      <c r="A8" s="719" t="s">
        <v>595</v>
      </c>
      <c r="B8" s="34"/>
      <c r="C8" s="34"/>
      <c r="D8" s="35">
        <v>40</v>
      </c>
      <c r="E8" s="160">
        <v>0.8</v>
      </c>
      <c r="F8" s="160">
        <v>0</v>
      </c>
      <c r="G8" s="160">
        <v>2000</v>
      </c>
      <c r="H8" s="14">
        <v>1250</v>
      </c>
      <c r="I8" s="160"/>
      <c r="J8" s="160"/>
      <c r="K8" s="14">
        <f>SUM(H8:J8)</f>
        <v>1250</v>
      </c>
      <c r="L8" s="160"/>
      <c r="M8" s="160"/>
    </row>
    <row r="9" spans="1:15" x14ac:dyDescent="0.25">
      <c r="A9" s="1" t="s">
        <v>289</v>
      </c>
      <c r="D9" s="720">
        <v>100</v>
      </c>
      <c r="E9" s="31">
        <v>1</v>
      </c>
      <c r="F9" s="31">
        <v>0.54</v>
      </c>
      <c r="G9" s="384">
        <v>2300</v>
      </c>
      <c r="H9" s="14">
        <f>SUM(E9*G9)</f>
        <v>2300</v>
      </c>
      <c r="I9" s="14">
        <v>14657</v>
      </c>
      <c r="J9" s="14"/>
      <c r="K9" s="14">
        <f>SUM(H9:J9)</f>
        <v>16957</v>
      </c>
      <c r="L9" s="1">
        <v>683</v>
      </c>
    </row>
    <row r="10" spans="1:15" x14ac:dyDescent="0.25">
      <c r="A10" s="1" t="s">
        <v>219</v>
      </c>
      <c r="D10" s="720">
        <v>100</v>
      </c>
      <c r="E10" s="31">
        <v>2</v>
      </c>
      <c r="F10" s="31">
        <v>0.56999999999999995</v>
      </c>
      <c r="G10" s="384">
        <v>2750</v>
      </c>
      <c r="H10" s="14">
        <f>SUM(E10*G10)</f>
        <v>5500</v>
      </c>
      <c r="I10" s="14"/>
      <c r="J10" s="14"/>
      <c r="K10" s="14">
        <f>SUM(H10:J10)</f>
        <v>5500</v>
      </c>
    </row>
    <row r="11" spans="1:15" x14ac:dyDescent="0.25">
      <c r="A11" s="1" t="s">
        <v>290</v>
      </c>
      <c r="D11" s="720">
        <v>100</v>
      </c>
      <c r="E11" s="31">
        <v>2.06</v>
      </c>
      <c r="F11" s="31">
        <v>0.39</v>
      </c>
      <c r="G11" s="384">
        <v>2500</v>
      </c>
      <c r="H11" s="14">
        <f>SUM(E11*G11)</f>
        <v>5150</v>
      </c>
      <c r="I11" s="14"/>
      <c r="J11" s="14">
        <f>E25*G25</f>
        <v>10268</v>
      </c>
      <c r="K11" s="14">
        <f>SUM(H11:J11)</f>
        <v>15418</v>
      </c>
    </row>
    <row r="12" spans="1:15" x14ac:dyDescent="0.25">
      <c r="A12" s="1" t="s">
        <v>220</v>
      </c>
      <c r="D12" s="720">
        <v>69</v>
      </c>
      <c r="E12" s="1061">
        <v>0.8</v>
      </c>
      <c r="F12" s="1062">
        <v>0.36</v>
      </c>
      <c r="G12" s="1063">
        <v>2740</v>
      </c>
      <c r="H12" s="1064">
        <f>SUM(E12*G12)</f>
        <v>2192</v>
      </c>
      <c r="I12" s="14"/>
      <c r="J12" s="14"/>
      <c r="K12" s="1064">
        <f>J13+J12+H12</f>
        <v>12203</v>
      </c>
    </row>
    <row r="13" spans="1:15" x14ac:dyDescent="0.25">
      <c r="A13" s="1" t="s">
        <v>221</v>
      </c>
      <c r="D13" s="720">
        <v>93</v>
      </c>
      <c r="E13" s="1061"/>
      <c r="F13" s="1062"/>
      <c r="G13" s="1063"/>
      <c r="H13" s="1064"/>
      <c r="I13" s="14"/>
      <c r="J13" s="14">
        <f>(E36*G36)</f>
        <v>10011</v>
      </c>
      <c r="K13" s="1064"/>
    </row>
    <row r="14" spans="1:15" x14ac:dyDescent="0.25">
      <c r="A14" s="721" t="s">
        <v>596</v>
      </c>
      <c r="D14" s="720">
        <v>40</v>
      </c>
      <c r="E14" s="722">
        <v>1</v>
      </c>
      <c r="F14" s="717">
        <v>0.5</v>
      </c>
      <c r="G14" s="723">
        <v>2785</v>
      </c>
      <c r="H14" s="14">
        <f>SUM(E14*G14)</f>
        <v>2785</v>
      </c>
      <c r="I14" s="14"/>
      <c r="J14" s="14">
        <v>1654</v>
      </c>
      <c r="K14" s="716">
        <f>+H14+I14+J14</f>
        <v>4439</v>
      </c>
    </row>
    <row r="15" spans="1:15" x14ac:dyDescent="0.25">
      <c r="A15" s="1" t="s">
        <v>291</v>
      </c>
      <c r="D15" s="720">
        <v>93</v>
      </c>
      <c r="E15" s="31">
        <v>1</v>
      </c>
      <c r="F15" s="31">
        <v>0.1</v>
      </c>
      <c r="G15" s="384">
        <v>2660</v>
      </c>
      <c r="H15" s="14">
        <f>SUM(E15*G15)</f>
        <v>2660</v>
      </c>
      <c r="I15" s="14"/>
      <c r="J15" s="14">
        <v>8050</v>
      </c>
      <c r="K15" s="14">
        <f>SUM(H15:J15)</f>
        <v>10710</v>
      </c>
    </row>
    <row r="16" spans="1:15" x14ac:dyDescent="0.25">
      <c r="A16" s="1" t="s">
        <v>597</v>
      </c>
      <c r="D16" s="720">
        <v>100</v>
      </c>
      <c r="E16" s="31">
        <v>1.7</v>
      </c>
      <c r="F16" s="31">
        <v>0.26</v>
      </c>
      <c r="G16" s="384">
        <v>1670</v>
      </c>
      <c r="H16" s="14">
        <v>2832</v>
      </c>
      <c r="I16" s="14">
        <v>15232</v>
      </c>
      <c r="J16" s="14"/>
      <c r="K16" s="14">
        <f>SUM(H16:J16)</f>
        <v>18064</v>
      </c>
    </row>
    <row r="17" spans="1:14" x14ac:dyDescent="0.25">
      <c r="A17" s="1" t="s">
        <v>598</v>
      </c>
      <c r="D17" s="720">
        <v>72</v>
      </c>
      <c r="E17" s="31">
        <v>0.4</v>
      </c>
      <c r="F17" s="31">
        <v>0.4</v>
      </c>
      <c r="G17" s="384">
        <v>2400</v>
      </c>
      <c r="H17" s="14">
        <v>1000</v>
      </c>
      <c r="I17" s="14">
        <v>2000</v>
      </c>
      <c r="J17" s="14"/>
      <c r="K17" s="14">
        <f>SUM(H17:J17)</f>
        <v>3000</v>
      </c>
    </row>
    <row r="18" spans="1:14" x14ac:dyDescent="0.25">
      <c r="A18" s="1" t="s">
        <v>599</v>
      </c>
      <c r="D18" s="720"/>
      <c r="K18" s="1">
        <v>3500</v>
      </c>
    </row>
    <row r="19" spans="1:14" x14ac:dyDescent="0.25">
      <c r="A19" s="16" t="s">
        <v>134</v>
      </c>
      <c r="B19" s="16"/>
      <c r="C19" s="16"/>
      <c r="D19" s="17"/>
      <c r="E19" s="18">
        <f>SUM(E8:E18)</f>
        <v>10.76</v>
      </c>
      <c r="F19" s="18">
        <f>SUM(F9:F17)</f>
        <v>3.1199999999999997</v>
      </c>
      <c r="G19" s="18"/>
      <c r="H19" s="19">
        <f>SUM(H8:H18)</f>
        <v>25669</v>
      </c>
      <c r="I19" s="19">
        <f>SUM(I8:I18)</f>
        <v>31889</v>
      </c>
      <c r="J19" s="19">
        <f>SUM(J8:J18)</f>
        <v>29983</v>
      </c>
      <c r="K19" s="19">
        <f>SUM(K8:K18)</f>
        <v>91041</v>
      </c>
      <c r="L19" s="16">
        <f>SUM(L9:L17)</f>
        <v>683</v>
      </c>
      <c r="M19" s="16">
        <f>SUM(M9:M17)</f>
        <v>0</v>
      </c>
    </row>
    <row r="20" spans="1:14" x14ac:dyDescent="0.25">
      <c r="A20" s="20" t="s">
        <v>135</v>
      </c>
      <c r="B20" s="20"/>
      <c r="C20" s="20"/>
      <c r="D20" s="21"/>
      <c r="E20" s="22">
        <f>SUM(E19-F19)</f>
        <v>7.6400000000000006</v>
      </c>
      <c r="F20" s="22"/>
      <c r="G20" s="22"/>
      <c r="H20" s="23">
        <f>SUM(E29*G29)</f>
        <v>18664</v>
      </c>
      <c r="I20" s="23">
        <f>I19-L19</f>
        <v>31206</v>
      </c>
      <c r="J20" s="23">
        <f>J19-M19</f>
        <v>29983</v>
      </c>
      <c r="K20" s="23">
        <f>SUM(H20:J20)</f>
        <v>79853</v>
      </c>
      <c r="L20" s="20"/>
      <c r="M20" s="20"/>
    </row>
    <row r="21" spans="1:14" x14ac:dyDescent="0.25">
      <c r="C21" s="1" t="s">
        <v>37</v>
      </c>
    </row>
    <row r="22" spans="1:14" x14ac:dyDescent="0.25">
      <c r="A22" s="1" t="s">
        <v>96</v>
      </c>
    </row>
    <row r="23" spans="1:14" x14ac:dyDescent="0.25">
      <c r="A23" s="25" t="s">
        <v>38</v>
      </c>
      <c r="B23" s="25"/>
      <c r="C23" s="25"/>
      <c r="D23" s="25" t="s">
        <v>39</v>
      </c>
      <c r="E23" s="25" t="s">
        <v>40</v>
      </c>
      <c r="F23" s="25"/>
      <c r="G23" s="25" t="s">
        <v>41</v>
      </c>
      <c r="K23" s="724"/>
      <c r="N23" s="725"/>
    </row>
    <row r="24" spans="1:14" x14ac:dyDescent="0.25">
      <c r="A24" s="1" t="s">
        <v>43</v>
      </c>
      <c r="J24" s="1" t="s">
        <v>292</v>
      </c>
      <c r="K24" s="724"/>
      <c r="N24" s="31"/>
    </row>
    <row r="25" spans="1:14" x14ac:dyDescent="0.25">
      <c r="A25" s="53" t="s">
        <v>600</v>
      </c>
      <c r="D25" s="1" t="s">
        <v>47</v>
      </c>
      <c r="E25" s="379">
        <v>68</v>
      </c>
      <c r="F25" s="10"/>
      <c r="G25" s="12">
        <v>151</v>
      </c>
      <c r="J25" s="726" t="s">
        <v>97</v>
      </c>
      <c r="K25" s="727">
        <v>0.53</v>
      </c>
    </row>
    <row r="26" spans="1:14" x14ac:dyDescent="0.25">
      <c r="E26" s="31"/>
      <c r="G26" s="385"/>
      <c r="J26" s="726" t="s">
        <v>187</v>
      </c>
      <c r="K26" s="727">
        <v>0.34</v>
      </c>
    </row>
    <row r="27" spans="1:14" x14ac:dyDescent="0.25">
      <c r="J27" s="726" t="s">
        <v>293</v>
      </c>
      <c r="K27" s="728">
        <v>0.13</v>
      </c>
    </row>
    <row r="28" spans="1:14" x14ac:dyDescent="0.25">
      <c r="A28" s="1" t="s">
        <v>51</v>
      </c>
    </row>
    <row r="29" spans="1:14" x14ac:dyDescent="0.25">
      <c r="A29" s="1" t="s">
        <v>233</v>
      </c>
      <c r="D29" s="1" t="s">
        <v>54</v>
      </c>
      <c r="E29" s="1">
        <v>8</v>
      </c>
      <c r="G29" s="31">
        <v>2333</v>
      </c>
    </row>
    <row r="30" spans="1:14" x14ac:dyDescent="0.25">
      <c r="A30" s="1" t="s">
        <v>234</v>
      </c>
      <c r="D30" s="1" t="s">
        <v>54</v>
      </c>
      <c r="E30" s="1">
        <v>3</v>
      </c>
      <c r="J30" s="726" t="s">
        <v>99</v>
      </c>
      <c r="K30" s="726">
        <v>3.74</v>
      </c>
    </row>
    <row r="31" spans="1:14" x14ac:dyDescent="0.25">
      <c r="A31" s="1" t="s">
        <v>8</v>
      </c>
      <c r="D31" s="1" t="s">
        <v>54</v>
      </c>
      <c r="E31" s="1">
        <v>11</v>
      </c>
      <c r="J31" s="726" t="s">
        <v>100</v>
      </c>
      <c r="K31" s="726">
        <v>5</v>
      </c>
    </row>
    <row r="33" spans="1:7" x14ac:dyDescent="0.25">
      <c r="A33" s="16" t="s">
        <v>58</v>
      </c>
      <c r="B33" s="16"/>
      <c r="C33" s="16" t="s">
        <v>59</v>
      </c>
      <c r="D33" s="16"/>
      <c r="E33" s="16"/>
      <c r="F33" s="16"/>
      <c r="G33" s="16"/>
    </row>
    <row r="34" spans="1:7" x14ac:dyDescent="0.25">
      <c r="A34" s="34" t="s">
        <v>60</v>
      </c>
      <c r="B34" s="35"/>
      <c r="C34" s="36"/>
      <c r="D34" s="34"/>
      <c r="E34" s="34"/>
      <c r="F34" s="34"/>
      <c r="G34" s="37"/>
    </row>
    <row r="35" spans="1:7" x14ac:dyDescent="0.25">
      <c r="A35" s="1" t="s">
        <v>516</v>
      </c>
      <c r="B35" s="273" t="s">
        <v>294</v>
      </c>
      <c r="C35" s="36">
        <v>69</v>
      </c>
      <c r="D35" s="34" t="s">
        <v>253</v>
      </c>
      <c r="E35" s="273">
        <v>106</v>
      </c>
      <c r="F35" s="273"/>
      <c r="G35" s="273" t="s">
        <v>70</v>
      </c>
    </row>
    <row r="36" spans="1:7" x14ac:dyDescent="0.25">
      <c r="A36" s="155"/>
      <c r="B36" s="729" t="s">
        <v>61</v>
      </c>
      <c r="C36" s="730">
        <v>76</v>
      </c>
      <c r="D36" s="202" t="s">
        <v>47</v>
      </c>
      <c r="E36" s="34">
        <v>47</v>
      </c>
      <c r="F36" s="34"/>
      <c r="G36" s="34">
        <v>213</v>
      </c>
    </row>
    <row r="37" spans="1:7" x14ac:dyDescent="0.25">
      <c r="A37" s="242" t="s">
        <v>71</v>
      </c>
      <c r="B37" s="242"/>
      <c r="C37" s="16"/>
      <c r="D37" s="271" t="s">
        <v>72</v>
      </c>
      <c r="E37" s="271"/>
      <c r="F37" s="271"/>
      <c r="G37" s="271" t="s">
        <v>73</v>
      </c>
    </row>
    <row r="38" spans="1:7" x14ac:dyDescent="0.25">
      <c r="A38" s="202" t="s">
        <v>108</v>
      </c>
      <c r="B38" s="202"/>
      <c r="C38" s="34"/>
      <c r="D38" s="273">
        <v>1180</v>
      </c>
      <c r="E38" s="273"/>
      <c r="F38" s="273"/>
      <c r="G38" s="293">
        <f>D38*2.471</f>
        <v>2915.78</v>
      </c>
    </row>
    <row r="39" spans="1:7" x14ac:dyDescent="0.25">
      <c r="A39" s="202" t="s">
        <v>109</v>
      </c>
      <c r="B39" s="202"/>
      <c r="C39" s="34"/>
      <c r="D39" s="273">
        <v>80</v>
      </c>
      <c r="E39" s="273"/>
      <c r="F39" s="273"/>
      <c r="G39" s="293"/>
    </row>
    <row r="40" spans="1:7" x14ac:dyDescent="0.25">
      <c r="A40" s="731" t="s">
        <v>110</v>
      </c>
      <c r="B40" s="731"/>
      <c r="C40" s="48"/>
      <c r="D40" s="210">
        <f>D38*D39</f>
        <v>94400</v>
      </c>
      <c r="E40" s="210"/>
      <c r="F40" s="210"/>
      <c r="G40" s="293">
        <f>D40*2.471</f>
        <v>233262.4</v>
      </c>
    </row>
    <row r="41" spans="1:7" x14ac:dyDescent="0.25">
      <c r="A41" s="731" t="s">
        <v>111</v>
      </c>
      <c r="B41" s="731"/>
      <c r="C41" s="48"/>
      <c r="D41" s="210">
        <f>D40-K19</f>
        <v>3359</v>
      </c>
      <c r="E41" s="210"/>
      <c r="F41" s="210"/>
      <c r="G41" s="293">
        <f>D41*2.471</f>
        <v>8300.0889999999999</v>
      </c>
    </row>
    <row r="42" spans="1:7" x14ac:dyDescent="0.25">
      <c r="A42" s="731" t="s">
        <v>112</v>
      </c>
      <c r="B42" s="731"/>
      <c r="C42" s="48"/>
      <c r="D42" s="210">
        <f>D40-K20</f>
        <v>14547</v>
      </c>
      <c r="E42" s="210"/>
      <c r="F42" s="210"/>
      <c r="G42" s="293">
        <f>D42*2.471</f>
        <v>35945.637000000002</v>
      </c>
    </row>
    <row r="43" spans="1:7" x14ac:dyDescent="0.25">
      <c r="A43" s="202" t="s">
        <v>262</v>
      </c>
      <c r="B43" s="202"/>
      <c r="C43" s="34"/>
      <c r="D43" s="198">
        <f>K19/D38</f>
        <v>77.153389830508473</v>
      </c>
      <c r="E43" s="273"/>
      <c r="F43" s="273"/>
      <c r="G43" s="294"/>
    </row>
    <row r="44" spans="1:7" x14ac:dyDescent="0.25">
      <c r="A44" s="240" t="s">
        <v>263</v>
      </c>
      <c r="B44" s="240"/>
      <c r="C44" s="20"/>
      <c r="D44" s="209">
        <f>K20/D38</f>
        <v>67.672033898305088</v>
      </c>
      <c r="E44" s="274"/>
      <c r="F44" s="274"/>
      <c r="G44" s="295"/>
    </row>
    <row r="45" spans="1:7" x14ac:dyDescent="0.25">
      <c r="D45" s="10"/>
      <c r="E45" s="10"/>
      <c r="F45" s="10"/>
      <c r="G45" s="10"/>
    </row>
    <row r="55" spans="7:7" x14ac:dyDescent="0.25">
      <c r="G55" s="1" t="s">
        <v>82</v>
      </c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  <pageSetup paperSize="9" scale="57" fitToHeight="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4"/>
  <sheetViews>
    <sheetView topLeftCell="A8" zoomScale="78" zoomScaleNormal="78" workbookViewId="0">
      <selection sqref="A1:M50"/>
    </sheetView>
  </sheetViews>
  <sheetFormatPr defaultColWidth="18.85546875" defaultRowHeight="15" x14ac:dyDescent="0.25"/>
  <cols>
    <col min="1" max="1" width="18.85546875" style="213"/>
    <col min="2" max="2" width="9.7109375" style="213" customWidth="1"/>
    <col min="3" max="3" width="10.140625" style="213" customWidth="1"/>
    <col min="4" max="4" width="15" style="213" customWidth="1"/>
    <col min="5" max="5" width="14.28515625" style="213" customWidth="1"/>
    <col min="6" max="6" width="14.42578125" style="213" customWidth="1"/>
    <col min="7" max="7" width="12.5703125" style="213" customWidth="1"/>
    <col min="8" max="8" width="14.85546875" style="213" customWidth="1"/>
    <col min="9" max="9" width="11.7109375" style="213" customWidth="1"/>
    <col min="10" max="10" width="12.85546875" style="213" customWidth="1"/>
    <col min="11" max="11" width="14.140625" style="213" customWidth="1"/>
    <col min="12" max="12" width="11.140625" style="213" customWidth="1"/>
    <col min="13" max="13" width="11" style="213" customWidth="1"/>
    <col min="14" max="16384" width="18.85546875" style="213"/>
  </cols>
  <sheetData>
    <row r="1" spans="1:25" ht="15.75" x14ac:dyDescent="0.25">
      <c r="A1" s="472" t="s">
        <v>0</v>
      </c>
      <c r="B1" s="473" t="s">
        <v>239</v>
      </c>
      <c r="C1" s="473"/>
      <c r="D1" s="473"/>
      <c r="E1" s="473"/>
      <c r="F1" s="473"/>
      <c r="G1" s="473"/>
      <c r="H1" s="473"/>
      <c r="I1" s="472"/>
      <c r="J1" s="472"/>
      <c r="K1" s="472"/>
      <c r="L1" s="472"/>
      <c r="M1" s="472"/>
      <c r="N1" s="213" t="s">
        <v>467</v>
      </c>
    </row>
    <row r="2" spans="1:25" ht="15.75" x14ac:dyDescent="0.25">
      <c r="A2" s="472"/>
      <c r="B2" s="474" t="s">
        <v>240</v>
      </c>
      <c r="C2" s="474"/>
      <c r="D2" s="474"/>
      <c r="E2" s="474"/>
      <c r="F2" s="472"/>
      <c r="G2" s="472"/>
      <c r="H2" s="472"/>
      <c r="I2" s="472"/>
      <c r="J2" s="472"/>
      <c r="K2" s="472"/>
      <c r="L2" s="472"/>
      <c r="M2" s="472"/>
    </row>
    <row r="3" spans="1:25" ht="15.75" x14ac:dyDescent="0.25">
      <c r="A3" s="472"/>
      <c r="B3" s="474" t="s">
        <v>3</v>
      </c>
      <c r="C3" s="474"/>
      <c r="D3" s="474"/>
      <c r="E3" s="474"/>
      <c r="F3" s="472"/>
      <c r="G3" s="472"/>
      <c r="H3" s="472"/>
      <c r="I3" s="472"/>
      <c r="J3" s="472"/>
      <c r="K3" s="472"/>
      <c r="L3" s="472"/>
      <c r="M3" s="472"/>
    </row>
    <row r="4" spans="1:25" ht="15.75" x14ac:dyDescent="0.25">
      <c r="A4" s="472"/>
      <c r="B4" s="474"/>
      <c r="C4" s="474"/>
      <c r="D4" s="474"/>
      <c r="E4" s="474"/>
      <c r="F4" s="472"/>
      <c r="G4" s="472"/>
      <c r="H4" s="472"/>
      <c r="I4" s="472"/>
      <c r="J4" s="472"/>
      <c r="K4" s="472"/>
      <c r="L4" s="472"/>
      <c r="M4" s="472"/>
    </row>
    <row r="5" spans="1:25" ht="15.75" x14ac:dyDescent="0.25">
      <c r="A5" s="475" t="s">
        <v>6</v>
      </c>
      <c r="B5" s="475"/>
      <c r="C5" s="475"/>
      <c r="D5" s="476" t="s">
        <v>7</v>
      </c>
      <c r="E5" s="476" t="s">
        <v>8</v>
      </c>
      <c r="F5" s="476" t="s">
        <v>9</v>
      </c>
      <c r="G5" s="476" t="s">
        <v>10</v>
      </c>
      <c r="H5" s="476" t="s">
        <v>86</v>
      </c>
      <c r="I5" s="476" t="s">
        <v>12</v>
      </c>
      <c r="J5" s="476" t="s">
        <v>13</v>
      </c>
      <c r="K5" s="476" t="s">
        <v>14</v>
      </c>
      <c r="L5" s="477" t="s">
        <v>15</v>
      </c>
      <c r="M5" s="476"/>
    </row>
    <row r="6" spans="1:25" ht="15.75" x14ac:dyDescent="0.25">
      <c r="A6" s="478"/>
      <c r="B6" s="478"/>
      <c r="C6" s="478"/>
      <c r="D6" s="479" t="s">
        <v>16</v>
      </c>
      <c r="E6" s="479" t="s">
        <v>17</v>
      </c>
      <c r="F6" s="479" t="s">
        <v>17</v>
      </c>
      <c r="G6" s="479" t="s">
        <v>18</v>
      </c>
      <c r="H6" s="479" t="s">
        <v>87</v>
      </c>
      <c r="I6" s="479" t="s">
        <v>20</v>
      </c>
      <c r="J6" s="479" t="s">
        <v>19</v>
      </c>
      <c r="K6" s="479" t="s">
        <v>19</v>
      </c>
      <c r="L6" s="479" t="s">
        <v>12</v>
      </c>
      <c r="M6" s="479" t="s">
        <v>13</v>
      </c>
    </row>
    <row r="7" spans="1:25" ht="15.75" x14ac:dyDescent="0.25">
      <c r="A7" s="478"/>
      <c r="B7" s="478"/>
      <c r="C7" s="478"/>
      <c r="D7" s="479" t="s">
        <v>21</v>
      </c>
      <c r="E7" s="479"/>
      <c r="F7" s="479"/>
      <c r="G7" s="479"/>
      <c r="H7" s="479"/>
      <c r="I7" s="479" t="s">
        <v>19</v>
      </c>
      <c r="J7" s="479" t="s">
        <v>22</v>
      </c>
      <c r="K7" s="479" t="s">
        <v>22</v>
      </c>
      <c r="L7" s="479"/>
      <c r="M7" s="479"/>
    </row>
    <row r="8" spans="1:25" ht="15.75" x14ac:dyDescent="0.25">
      <c r="A8" s="480"/>
      <c r="B8" s="480"/>
      <c r="C8" s="480"/>
      <c r="D8" s="481"/>
      <c r="E8" s="481"/>
      <c r="F8" s="481"/>
      <c r="G8" s="481"/>
      <c r="H8" s="481"/>
      <c r="I8" s="481" t="s">
        <v>22</v>
      </c>
      <c r="J8" s="481"/>
      <c r="K8" s="481"/>
      <c r="L8" s="481"/>
      <c r="M8" s="481"/>
    </row>
    <row r="9" spans="1:25" ht="15.75" x14ac:dyDescent="0.25">
      <c r="A9" s="482" t="s">
        <v>23</v>
      </c>
      <c r="B9" s="482"/>
      <c r="C9" s="482"/>
      <c r="D9" s="483">
        <v>83</v>
      </c>
      <c r="E9" s="484">
        <v>2.12</v>
      </c>
      <c r="F9" s="484">
        <v>1.89</v>
      </c>
      <c r="G9" s="485">
        <v>2438</v>
      </c>
      <c r="H9" s="486">
        <f>+E9*G9</f>
        <v>5168.5600000000004</v>
      </c>
      <c r="I9" s="487"/>
      <c r="J9" s="487"/>
      <c r="K9" s="487">
        <f t="shared" ref="K9:K15" si="0">+H9+I9+J9</f>
        <v>5168.5600000000004</v>
      </c>
      <c r="L9" s="482"/>
      <c r="M9" s="482"/>
      <c r="P9" s="275"/>
      <c r="Q9" s="12"/>
      <c r="R9" s="12"/>
      <c r="S9" s="13"/>
      <c r="T9" s="12"/>
      <c r="U9" s="10"/>
      <c r="V9" s="12"/>
      <c r="W9" s="12"/>
      <c r="X9" s="10"/>
      <c r="Y9" s="10"/>
    </row>
    <row r="10" spans="1:25" ht="15.75" x14ac:dyDescent="0.25">
      <c r="A10" s="482" t="s">
        <v>468</v>
      </c>
      <c r="B10" s="488"/>
      <c r="C10" s="488"/>
      <c r="D10" s="483">
        <v>57</v>
      </c>
      <c r="E10" s="484">
        <v>0.56000000000000005</v>
      </c>
      <c r="F10" s="484">
        <v>0.56000000000000005</v>
      </c>
      <c r="G10" s="485">
        <v>2000</v>
      </c>
      <c r="H10" s="486">
        <f>+E10*G10</f>
        <v>1120</v>
      </c>
      <c r="I10" s="487">
        <v>25781</v>
      </c>
      <c r="J10" s="487"/>
      <c r="K10" s="487">
        <f t="shared" si="0"/>
        <v>26901</v>
      </c>
      <c r="L10" s="482"/>
      <c r="M10" s="488"/>
      <c r="P10" s="275"/>
      <c r="Q10" s="12"/>
      <c r="R10" s="12"/>
      <c r="S10" s="13"/>
      <c r="T10" s="12"/>
      <c r="U10" s="12"/>
      <c r="V10" s="12"/>
      <c r="W10" s="12"/>
      <c r="X10" s="10"/>
      <c r="Y10" s="276"/>
    </row>
    <row r="11" spans="1:25" ht="15.75" x14ac:dyDescent="0.25">
      <c r="A11" s="482" t="s">
        <v>215</v>
      </c>
      <c r="B11" s="482"/>
      <c r="C11" s="482"/>
      <c r="D11" s="483" t="s">
        <v>216</v>
      </c>
      <c r="E11" s="489"/>
      <c r="F11" s="489"/>
      <c r="G11" s="490"/>
      <c r="H11" s="491" t="s">
        <v>241</v>
      </c>
      <c r="I11" s="492" t="s">
        <v>242</v>
      </c>
      <c r="J11" s="487"/>
      <c r="K11" s="487"/>
      <c r="L11" s="493"/>
      <c r="M11" s="488"/>
      <c r="O11" s="277"/>
      <c r="P11" s="278"/>
      <c r="Q11" s="262"/>
      <c r="R11" s="262"/>
      <c r="S11" s="279"/>
      <c r="T11" s="262"/>
      <c r="U11" s="262"/>
      <c r="V11" s="262"/>
      <c r="W11" s="262"/>
      <c r="X11" s="262"/>
      <c r="Y11" s="276"/>
    </row>
    <row r="12" spans="1:25" ht="15.75" x14ac:dyDescent="0.25">
      <c r="A12" s="482" t="s">
        <v>243</v>
      </c>
      <c r="B12" s="482"/>
      <c r="C12" s="482"/>
      <c r="D12" s="483" t="s">
        <v>244</v>
      </c>
      <c r="E12" s="489"/>
      <c r="F12" s="489"/>
      <c r="G12" s="490"/>
      <c r="H12" s="494" t="s">
        <v>245</v>
      </c>
      <c r="I12" s="492" t="s">
        <v>246</v>
      </c>
      <c r="J12" s="487"/>
      <c r="K12" s="495"/>
      <c r="L12" s="493"/>
      <c r="M12" s="488"/>
      <c r="O12" s="277"/>
      <c r="P12" s="278"/>
      <c r="Q12" s="262"/>
      <c r="R12" s="262"/>
      <c r="S12" s="279"/>
      <c r="T12" s="262"/>
      <c r="U12" s="262"/>
      <c r="V12" s="262"/>
      <c r="W12" s="262"/>
      <c r="X12" s="262"/>
      <c r="Y12" s="276"/>
    </row>
    <row r="13" spans="1:25" ht="15.75" x14ac:dyDescent="0.25">
      <c r="A13" s="482" t="s">
        <v>247</v>
      </c>
      <c r="B13" s="482"/>
      <c r="C13" s="482"/>
      <c r="D13" s="483" t="s">
        <v>123</v>
      </c>
      <c r="E13" s="489"/>
      <c r="F13" s="489"/>
      <c r="G13" s="490"/>
      <c r="H13" s="491"/>
      <c r="I13" s="495"/>
      <c r="J13" s="487"/>
      <c r="K13" s="487"/>
      <c r="L13" s="493"/>
      <c r="M13" s="488"/>
      <c r="O13" s="277"/>
      <c r="P13" s="278"/>
      <c r="Q13" s="262"/>
      <c r="R13" s="262"/>
      <c r="S13" s="279"/>
      <c r="T13" s="262"/>
      <c r="U13" s="262"/>
      <c r="V13" s="262"/>
      <c r="W13" s="262"/>
      <c r="X13" s="262"/>
      <c r="Y13" s="276"/>
    </row>
    <row r="14" spans="1:25" ht="15.75" x14ac:dyDescent="0.25">
      <c r="A14" s="482" t="s">
        <v>219</v>
      </c>
      <c r="B14" s="482"/>
      <c r="C14" s="482"/>
      <c r="D14" s="483">
        <v>100</v>
      </c>
      <c r="E14" s="484">
        <v>3.69</v>
      </c>
      <c r="F14" s="484">
        <v>2.36</v>
      </c>
      <c r="G14" s="485">
        <v>2258</v>
      </c>
      <c r="H14" s="486">
        <f>+E14*G14</f>
        <v>8332.02</v>
      </c>
      <c r="I14" s="487"/>
      <c r="J14" s="487"/>
      <c r="K14" s="487">
        <f t="shared" si="0"/>
        <v>8332.02</v>
      </c>
      <c r="L14" s="496"/>
      <c r="M14" s="496"/>
      <c r="P14" s="275"/>
      <c r="Q14" s="12"/>
      <c r="R14" s="12"/>
      <c r="S14" s="13"/>
      <c r="T14" s="12"/>
      <c r="U14" s="12"/>
      <c r="V14" s="12"/>
      <c r="W14" s="12"/>
      <c r="X14" s="12"/>
      <c r="Y14" s="12"/>
    </row>
    <row r="15" spans="1:25" ht="15.75" x14ac:dyDescent="0.25">
      <c r="A15" s="482" t="s">
        <v>46</v>
      </c>
      <c r="B15" s="482"/>
      <c r="C15" s="482"/>
      <c r="D15" s="483">
        <v>97</v>
      </c>
      <c r="E15" s="484">
        <v>4.76</v>
      </c>
      <c r="F15" s="484">
        <v>3.72</v>
      </c>
      <c r="G15" s="485">
        <v>2378</v>
      </c>
      <c r="H15" s="486">
        <f>+E15*G15</f>
        <v>11319.279999999999</v>
      </c>
      <c r="I15" s="487"/>
      <c r="J15" s="487">
        <f>+E32*G32</f>
        <v>7622</v>
      </c>
      <c r="K15" s="487">
        <f t="shared" si="0"/>
        <v>18941.28</v>
      </c>
      <c r="L15" s="482"/>
      <c r="M15" s="496">
        <v>1259</v>
      </c>
      <c r="P15" s="275"/>
      <c r="Q15" s="12"/>
      <c r="R15" s="12"/>
      <c r="S15" s="13"/>
      <c r="T15" s="12"/>
      <c r="U15" s="12"/>
      <c r="V15" s="12"/>
      <c r="W15" s="12"/>
      <c r="X15" s="10"/>
      <c r="Y15" s="12"/>
    </row>
    <row r="16" spans="1:25" ht="15.75" x14ac:dyDescent="0.25">
      <c r="A16" s="482" t="s">
        <v>150</v>
      </c>
      <c r="B16" s="482"/>
      <c r="C16" s="482"/>
      <c r="D16" s="483" t="s">
        <v>248</v>
      </c>
      <c r="E16" s="489"/>
      <c r="F16" s="489"/>
      <c r="G16" s="490"/>
      <c r="H16" s="491" t="s">
        <v>249</v>
      </c>
      <c r="I16" s="487"/>
      <c r="J16" s="495"/>
      <c r="K16" s="487"/>
      <c r="L16" s="488"/>
      <c r="M16" s="497"/>
      <c r="P16" s="278"/>
      <c r="Q16" s="280"/>
      <c r="R16" s="262"/>
      <c r="S16" s="279"/>
      <c r="T16" s="262"/>
      <c r="U16" s="262"/>
      <c r="V16" s="262"/>
      <c r="W16" s="262"/>
      <c r="X16" s="276"/>
      <c r="Y16" s="262"/>
    </row>
    <row r="17" spans="1:25" ht="15.75" x14ac:dyDescent="0.25">
      <c r="A17" s="482" t="s">
        <v>220</v>
      </c>
      <c r="B17" s="482"/>
      <c r="C17" s="482"/>
      <c r="D17" s="483">
        <v>100</v>
      </c>
      <c r="E17" s="1065">
        <v>1</v>
      </c>
      <c r="F17" s="1065">
        <v>0.98</v>
      </c>
      <c r="G17" s="1066">
        <v>2500</v>
      </c>
      <c r="H17" s="1067">
        <f>+E17*G17</f>
        <v>2500</v>
      </c>
      <c r="I17" s="487"/>
      <c r="J17" s="487">
        <f>+E39*G39</f>
        <v>3572</v>
      </c>
      <c r="K17" s="1068">
        <f>+J18+J17+H17</f>
        <v>15753</v>
      </c>
      <c r="L17" s="496"/>
      <c r="M17" s="496"/>
      <c r="N17" s="281"/>
      <c r="P17" s="275"/>
      <c r="Q17" s="12"/>
      <c r="R17" s="12"/>
      <c r="S17" s="13"/>
      <c r="T17" s="12"/>
      <c r="U17" s="12"/>
      <c r="V17" s="12"/>
      <c r="W17" s="12"/>
      <c r="X17" s="12"/>
      <c r="Y17" s="12"/>
    </row>
    <row r="18" spans="1:25" ht="15.75" x14ac:dyDescent="0.25">
      <c r="A18" s="482" t="s">
        <v>221</v>
      </c>
      <c r="B18" s="482"/>
      <c r="C18" s="482"/>
      <c r="D18" s="483">
        <v>97</v>
      </c>
      <c r="E18" s="1065"/>
      <c r="F18" s="1065"/>
      <c r="G18" s="1066"/>
      <c r="H18" s="1067"/>
      <c r="I18" s="498"/>
      <c r="J18" s="487">
        <f>+E40*G40+E41*G41</f>
        <v>9681</v>
      </c>
      <c r="K18" s="1068"/>
      <c r="L18" s="496"/>
      <c r="M18" s="496"/>
      <c r="N18" s="281"/>
      <c r="P18" s="275"/>
      <c r="Q18" s="12"/>
      <c r="R18" s="12"/>
      <c r="S18" s="13"/>
      <c r="T18" s="12"/>
      <c r="U18" s="12"/>
      <c r="V18" s="12"/>
      <c r="W18" s="12"/>
      <c r="X18" s="12"/>
      <c r="Y18" s="12"/>
    </row>
    <row r="19" spans="1:25" ht="15.75" x14ac:dyDescent="0.25">
      <c r="A19" s="482" t="s">
        <v>222</v>
      </c>
      <c r="B19" s="482"/>
      <c r="C19" s="482"/>
      <c r="D19" s="483">
        <v>77</v>
      </c>
      <c r="E19" s="484">
        <v>0.76</v>
      </c>
      <c r="F19" s="484">
        <v>0.21</v>
      </c>
      <c r="G19" s="485">
        <v>2578</v>
      </c>
      <c r="H19" s="486">
        <f>+E19*G19</f>
        <v>1959.28</v>
      </c>
      <c r="I19" s="487"/>
      <c r="J19" s="487">
        <v>5166</v>
      </c>
      <c r="K19" s="487">
        <f t="shared" ref="K19:K24" si="1">+H19+I19+J19</f>
        <v>7125.28</v>
      </c>
      <c r="L19" s="496"/>
      <c r="M19" s="496"/>
      <c r="P19" s="275"/>
      <c r="Q19" s="12"/>
      <c r="R19" s="12"/>
      <c r="S19" s="13"/>
      <c r="T19" s="12"/>
      <c r="U19" s="12"/>
      <c r="V19" s="12"/>
      <c r="W19" s="12"/>
      <c r="X19" s="12"/>
      <c r="Y19" s="12"/>
    </row>
    <row r="20" spans="1:25" ht="15.75" x14ac:dyDescent="0.25">
      <c r="A20" s="482" t="s">
        <v>223</v>
      </c>
      <c r="B20" s="482"/>
      <c r="C20" s="482"/>
      <c r="D20" s="483">
        <v>47</v>
      </c>
      <c r="E20" s="484">
        <v>0.53</v>
      </c>
      <c r="F20" s="484">
        <v>0.21</v>
      </c>
      <c r="G20" s="485">
        <v>2500</v>
      </c>
      <c r="H20" s="486">
        <f>+E20*G20</f>
        <v>1325</v>
      </c>
      <c r="I20" s="487"/>
      <c r="J20" s="487">
        <v>4021</v>
      </c>
      <c r="K20" s="487">
        <f t="shared" si="1"/>
        <v>5346</v>
      </c>
      <c r="L20" s="496"/>
      <c r="M20" s="496"/>
      <c r="P20" s="275"/>
      <c r="Q20" s="12"/>
      <c r="R20" s="12"/>
      <c r="S20" s="13"/>
      <c r="T20" s="12"/>
      <c r="U20" s="12"/>
      <c r="V20" s="12"/>
      <c r="W20" s="12"/>
      <c r="X20" s="12"/>
      <c r="Y20" s="12"/>
    </row>
    <row r="21" spans="1:25" ht="15.75" x14ac:dyDescent="0.25">
      <c r="A21" s="482" t="s">
        <v>225</v>
      </c>
      <c r="B21" s="482"/>
      <c r="C21" s="482"/>
      <c r="D21" s="483">
        <v>83</v>
      </c>
      <c r="E21" s="484">
        <v>1.56</v>
      </c>
      <c r="F21" s="484">
        <v>0.97</v>
      </c>
      <c r="G21" s="485">
        <v>2333</v>
      </c>
      <c r="H21" s="486">
        <f>+E21*G21</f>
        <v>3639.48</v>
      </c>
      <c r="I21" s="487">
        <v>20548</v>
      </c>
      <c r="J21" s="487"/>
      <c r="K21" s="487">
        <f t="shared" si="1"/>
        <v>24187.48</v>
      </c>
      <c r="L21" s="496"/>
      <c r="M21" s="482"/>
      <c r="P21" s="275"/>
      <c r="Q21" s="12"/>
      <c r="R21" s="12"/>
      <c r="S21" s="13"/>
      <c r="T21" s="12"/>
      <c r="U21" s="12"/>
      <c r="V21" s="12"/>
      <c r="W21" s="12"/>
      <c r="X21" s="12"/>
      <c r="Y21" s="10"/>
    </row>
    <row r="22" spans="1:25" ht="15.75" x14ac:dyDescent="0.25">
      <c r="A22" s="482" t="s">
        <v>250</v>
      </c>
      <c r="B22" s="482"/>
      <c r="C22" s="482"/>
      <c r="D22" s="483" t="s">
        <v>166</v>
      </c>
      <c r="E22" s="489"/>
      <c r="F22" s="489"/>
      <c r="G22" s="490"/>
      <c r="H22" s="494" t="s">
        <v>469</v>
      </c>
      <c r="I22" s="487"/>
      <c r="J22" s="487"/>
      <c r="K22" s="487"/>
      <c r="L22" s="496"/>
      <c r="M22" s="482"/>
      <c r="P22" s="275"/>
      <c r="Q22" s="12"/>
      <c r="R22" s="12"/>
      <c r="S22" s="13"/>
      <c r="T22" s="12"/>
      <c r="U22" s="12"/>
      <c r="V22" s="12"/>
      <c r="W22" s="12"/>
      <c r="X22" s="12"/>
      <c r="Y22" s="10"/>
    </row>
    <row r="23" spans="1:25" ht="15.75" x14ac:dyDescent="0.25">
      <c r="A23" s="482" t="s">
        <v>470</v>
      </c>
      <c r="B23" s="482"/>
      <c r="C23" s="482"/>
      <c r="D23" s="483" t="s">
        <v>166</v>
      </c>
      <c r="E23" s="489"/>
      <c r="F23" s="489"/>
      <c r="G23" s="490"/>
      <c r="H23" s="494" t="s">
        <v>471</v>
      </c>
      <c r="I23" s="487"/>
      <c r="J23" s="487"/>
      <c r="K23" s="487"/>
      <c r="L23" s="496"/>
      <c r="M23" s="482"/>
      <c r="P23" s="275"/>
      <c r="Q23" s="12"/>
      <c r="R23" s="12"/>
      <c r="S23" s="13"/>
      <c r="T23" s="12"/>
      <c r="U23" s="12"/>
      <c r="V23" s="12"/>
      <c r="W23" s="12"/>
      <c r="X23" s="12"/>
      <c r="Y23" s="10"/>
    </row>
    <row r="24" spans="1:25" ht="15.75" x14ac:dyDescent="0.25">
      <c r="A24" s="482" t="s">
        <v>231</v>
      </c>
      <c r="B24" s="482"/>
      <c r="C24" s="482"/>
      <c r="D24" s="483">
        <v>100</v>
      </c>
      <c r="E24" s="484">
        <v>1.45</v>
      </c>
      <c r="F24" s="484">
        <v>1.27</v>
      </c>
      <c r="G24" s="485">
        <v>2000</v>
      </c>
      <c r="H24" s="486">
        <f>+E24*G24</f>
        <v>2900</v>
      </c>
      <c r="I24" s="487"/>
      <c r="J24" s="487"/>
      <c r="K24" s="487">
        <f t="shared" si="1"/>
        <v>2900</v>
      </c>
      <c r="L24" s="496"/>
      <c r="M24" s="496"/>
      <c r="P24" s="275"/>
      <c r="Q24" s="12"/>
      <c r="R24" s="12"/>
      <c r="S24" s="13"/>
      <c r="T24" s="12"/>
      <c r="U24" s="12"/>
      <c r="V24" s="12"/>
      <c r="W24" s="12"/>
      <c r="X24" s="12"/>
      <c r="Y24" s="12"/>
    </row>
    <row r="25" spans="1:25" ht="15.75" x14ac:dyDescent="0.25">
      <c r="A25" s="482" t="s">
        <v>251</v>
      </c>
      <c r="B25" s="482"/>
      <c r="C25" s="482"/>
      <c r="D25" s="483"/>
      <c r="E25" s="484"/>
      <c r="F25" s="484"/>
      <c r="G25" s="485"/>
      <c r="H25" s="491"/>
      <c r="I25" s="487"/>
      <c r="J25" s="487"/>
      <c r="K25" s="487">
        <f>4*400</f>
        <v>1600</v>
      </c>
      <c r="L25" s="496"/>
      <c r="M25" s="496"/>
      <c r="P25" s="275"/>
      <c r="Q25" s="12"/>
      <c r="R25" s="12"/>
      <c r="S25" s="13"/>
      <c r="T25" s="12"/>
      <c r="U25" s="12"/>
      <c r="V25" s="12"/>
      <c r="W25" s="12"/>
      <c r="X25" s="12"/>
      <c r="Y25" s="12"/>
    </row>
    <row r="26" spans="1:25" ht="15.75" x14ac:dyDescent="0.25">
      <c r="A26" s="475" t="s">
        <v>134</v>
      </c>
      <c r="B26" s="475"/>
      <c r="C26" s="475"/>
      <c r="D26" s="499"/>
      <c r="E26" s="500">
        <f t="shared" ref="E26:M26" si="2">SUM(E9:E24)</f>
        <v>16.43</v>
      </c>
      <c r="F26" s="500">
        <f t="shared" si="2"/>
        <v>12.170000000000003</v>
      </c>
      <c r="G26" s="501">
        <f t="shared" si="2"/>
        <v>20985</v>
      </c>
      <c r="H26" s="501">
        <f>SUM(H9:H24)</f>
        <v>38263.620000000003</v>
      </c>
      <c r="I26" s="501">
        <f t="shared" si="2"/>
        <v>46329</v>
      </c>
      <c r="J26" s="501">
        <f t="shared" si="2"/>
        <v>30062</v>
      </c>
      <c r="K26" s="501">
        <f>SUM(K9:K25)</f>
        <v>116254.62</v>
      </c>
      <c r="L26" s="500">
        <f t="shared" si="2"/>
        <v>0</v>
      </c>
      <c r="M26" s="500">
        <f t="shared" si="2"/>
        <v>1259</v>
      </c>
      <c r="O26" s="281"/>
      <c r="P26" s="281"/>
      <c r="Q26" s="283"/>
      <c r="R26" s="281"/>
    </row>
    <row r="27" spans="1:25" ht="15.75" x14ac:dyDescent="0.25">
      <c r="A27" s="480" t="s">
        <v>135</v>
      </c>
      <c r="B27" s="480"/>
      <c r="C27" s="480"/>
      <c r="D27" s="502"/>
      <c r="E27" s="503">
        <f>+E26-F26</f>
        <v>4.2599999999999962</v>
      </c>
      <c r="F27" s="503"/>
      <c r="G27" s="504"/>
      <c r="H27" s="504">
        <f>+E35*G35</f>
        <v>9564</v>
      </c>
      <c r="I27" s="505">
        <f>+I26-L26</f>
        <v>46329</v>
      </c>
      <c r="J27" s="505">
        <f>+J26-M26</f>
        <v>28803</v>
      </c>
      <c r="K27" s="504">
        <f>+H27+I27+J27</f>
        <v>84696</v>
      </c>
      <c r="L27" s="480"/>
      <c r="M27" s="480"/>
      <c r="O27" s="281"/>
      <c r="P27" s="281"/>
      <c r="Q27" s="283"/>
      <c r="R27" s="281"/>
    </row>
    <row r="28" spans="1:25" ht="15.75" x14ac:dyDescent="0.25">
      <c r="A28" s="482"/>
      <c r="B28" s="482"/>
      <c r="C28" s="472" t="s">
        <v>37</v>
      </c>
      <c r="D28" s="482"/>
      <c r="E28" s="482"/>
      <c r="F28" s="482"/>
      <c r="G28" s="482"/>
      <c r="H28" s="482"/>
      <c r="I28" s="482"/>
      <c r="J28" s="482"/>
      <c r="K28" s="482"/>
      <c r="L28" s="482"/>
      <c r="M28" s="482"/>
    </row>
    <row r="29" spans="1:25" ht="15.75" x14ac:dyDescent="0.25">
      <c r="A29" s="482" t="s">
        <v>96</v>
      </c>
      <c r="B29" s="482"/>
      <c r="C29" s="482"/>
      <c r="D29" s="482"/>
      <c r="E29" s="482"/>
      <c r="F29" s="482"/>
      <c r="G29" s="482"/>
      <c r="H29" s="482"/>
      <c r="I29" s="482"/>
      <c r="J29" s="317"/>
      <c r="K29" s="317"/>
      <c r="L29" s="482"/>
      <c r="M29" s="506"/>
    </row>
    <row r="30" spans="1:25" ht="15.75" x14ac:dyDescent="0.25">
      <c r="A30" s="507" t="s">
        <v>38</v>
      </c>
      <c r="B30" s="507"/>
      <c r="C30" s="507"/>
      <c r="D30" s="508" t="s">
        <v>39</v>
      </c>
      <c r="E30" s="508" t="s">
        <v>40</v>
      </c>
      <c r="F30" s="508"/>
      <c r="G30" s="508" t="s">
        <v>41</v>
      </c>
      <c r="H30" s="508"/>
      <c r="I30" s="482"/>
      <c r="J30" s="509" t="s">
        <v>42</v>
      </c>
      <c r="K30" s="510" t="s">
        <v>95</v>
      </c>
      <c r="L30" s="482"/>
      <c r="M30" s="511"/>
    </row>
    <row r="31" spans="1:25" ht="15.75" x14ac:dyDescent="0.25">
      <c r="A31" s="482" t="s">
        <v>43</v>
      </c>
      <c r="B31" s="482"/>
      <c r="C31" s="482"/>
      <c r="D31" s="512" t="s">
        <v>47</v>
      </c>
      <c r="E31" s="482"/>
      <c r="F31" s="482"/>
      <c r="G31" s="482"/>
      <c r="H31" s="482"/>
      <c r="I31" s="482"/>
      <c r="J31" s="513" t="s">
        <v>252</v>
      </c>
      <c r="K31" s="514">
        <v>37</v>
      </c>
      <c r="L31" s="482"/>
      <c r="M31" s="511"/>
    </row>
    <row r="32" spans="1:25" ht="15.75" x14ac:dyDescent="0.25">
      <c r="A32" s="482" t="s">
        <v>46</v>
      </c>
      <c r="B32" s="482"/>
      <c r="C32" s="515">
        <v>0.97</v>
      </c>
      <c r="D32" s="482" t="s">
        <v>253</v>
      </c>
      <c r="E32" s="516">
        <v>37</v>
      </c>
      <c r="F32" s="482"/>
      <c r="G32" s="496">
        <v>206</v>
      </c>
      <c r="H32" s="496"/>
      <c r="I32" s="482"/>
      <c r="J32" s="513" t="s">
        <v>254</v>
      </c>
      <c r="K32" s="514">
        <v>17</v>
      </c>
      <c r="L32" s="482"/>
      <c r="M32" s="511"/>
    </row>
    <row r="33" spans="1:17" ht="15.75" x14ac:dyDescent="0.25">
      <c r="A33" s="482" t="s">
        <v>150</v>
      </c>
      <c r="B33" s="482"/>
      <c r="C33" s="517" t="s">
        <v>255</v>
      </c>
      <c r="D33" s="496" t="s">
        <v>253</v>
      </c>
      <c r="E33" s="518" t="s">
        <v>256</v>
      </c>
      <c r="F33" s="482"/>
      <c r="G33" s="496" t="s">
        <v>257</v>
      </c>
      <c r="H33" s="493"/>
      <c r="I33" s="482"/>
      <c r="J33" s="513" t="s">
        <v>258</v>
      </c>
      <c r="K33" s="514">
        <v>13</v>
      </c>
      <c r="L33" s="482"/>
      <c r="M33" s="511"/>
    </row>
    <row r="34" spans="1:17" ht="15.75" x14ac:dyDescent="0.25">
      <c r="A34" s="482" t="s">
        <v>51</v>
      </c>
      <c r="B34" s="482"/>
      <c r="C34" s="482"/>
      <c r="D34" s="496"/>
      <c r="E34" s="482"/>
      <c r="F34" s="482"/>
      <c r="G34" s="482"/>
      <c r="H34" s="482"/>
      <c r="I34" s="482"/>
      <c r="J34" s="513" t="s">
        <v>259</v>
      </c>
      <c r="K34" s="514">
        <v>13</v>
      </c>
      <c r="L34" s="482"/>
      <c r="M34" s="511"/>
    </row>
    <row r="35" spans="1:17" ht="15.75" x14ac:dyDescent="0.25">
      <c r="A35" s="482" t="s">
        <v>233</v>
      </c>
      <c r="B35" s="482"/>
      <c r="C35" s="482"/>
      <c r="D35" s="482" t="s">
        <v>54</v>
      </c>
      <c r="E35" s="496">
        <v>4</v>
      </c>
      <c r="F35" s="482"/>
      <c r="G35" s="496">
        <v>2391</v>
      </c>
      <c r="H35" s="496"/>
      <c r="I35" s="313"/>
      <c r="J35" s="513" t="s">
        <v>98</v>
      </c>
      <c r="K35" s="514">
        <v>20</v>
      </c>
      <c r="L35" s="482"/>
      <c r="M35" s="511"/>
    </row>
    <row r="36" spans="1:17" ht="15.75" x14ac:dyDescent="0.25">
      <c r="A36" s="482" t="s">
        <v>234</v>
      </c>
      <c r="B36" s="482"/>
      <c r="C36" s="482"/>
      <c r="D36" s="482" t="s">
        <v>54</v>
      </c>
      <c r="E36" s="496">
        <v>12</v>
      </c>
      <c r="F36" s="482"/>
      <c r="G36" s="482"/>
      <c r="H36" s="482"/>
      <c r="I36" s="313"/>
      <c r="J36" s="317"/>
      <c r="K36" s="317"/>
      <c r="L36" s="482"/>
      <c r="M36" s="511"/>
      <c r="N36" s="281"/>
      <c r="O36" s="281"/>
      <c r="P36" s="281"/>
      <c r="Q36" s="281"/>
    </row>
    <row r="37" spans="1:17" ht="15.75" x14ac:dyDescent="0.25">
      <c r="A37" s="482" t="s">
        <v>8</v>
      </c>
      <c r="B37" s="482"/>
      <c r="C37" s="482"/>
      <c r="D37" s="482" t="s">
        <v>54</v>
      </c>
      <c r="E37" s="496">
        <v>16</v>
      </c>
      <c r="F37" s="482"/>
      <c r="G37" s="482"/>
      <c r="H37" s="482"/>
      <c r="I37" s="313"/>
      <c r="J37" s="519" t="s">
        <v>99</v>
      </c>
      <c r="K37" s="520">
        <v>1.38</v>
      </c>
      <c r="L37" s="482"/>
      <c r="M37" s="482"/>
    </row>
    <row r="38" spans="1:17" ht="15.75" x14ac:dyDescent="0.25">
      <c r="A38" s="475" t="s">
        <v>58</v>
      </c>
      <c r="B38" s="475"/>
      <c r="C38" s="475" t="s">
        <v>59</v>
      </c>
      <c r="D38" s="475"/>
      <c r="E38" s="475"/>
      <c r="F38" s="475"/>
      <c r="G38" s="475"/>
      <c r="H38" s="475"/>
      <c r="I38" s="313"/>
      <c r="J38" s="519" t="s">
        <v>100</v>
      </c>
      <c r="K38" s="520">
        <v>1</v>
      </c>
      <c r="L38" s="482"/>
      <c r="M38" s="482"/>
    </row>
    <row r="39" spans="1:17" ht="15.75" x14ac:dyDescent="0.25">
      <c r="A39" s="478" t="s">
        <v>60</v>
      </c>
      <c r="B39" s="482" t="s">
        <v>103</v>
      </c>
      <c r="C39" s="521">
        <v>100</v>
      </c>
      <c r="D39" s="512" t="s">
        <v>47</v>
      </c>
      <c r="E39" s="496">
        <v>188</v>
      </c>
      <c r="F39" s="522"/>
      <c r="G39" s="522">
        <v>19</v>
      </c>
      <c r="H39" s="522"/>
      <c r="I39" s="522"/>
      <c r="J39" s="482"/>
      <c r="K39" s="482"/>
      <c r="L39" s="482"/>
      <c r="M39" s="482"/>
    </row>
    <row r="40" spans="1:17" ht="15.75" x14ac:dyDescent="0.25">
      <c r="A40" s="478" t="s">
        <v>104</v>
      </c>
      <c r="B40" s="478" t="s">
        <v>235</v>
      </c>
      <c r="C40" s="521">
        <v>93</v>
      </c>
      <c r="D40" s="512" t="s">
        <v>47</v>
      </c>
      <c r="E40" s="496">
        <v>15</v>
      </c>
      <c r="F40" s="522"/>
      <c r="G40" s="522">
        <v>205</v>
      </c>
      <c r="H40" s="522"/>
      <c r="I40" s="522"/>
      <c r="J40" s="482"/>
      <c r="K40" s="482"/>
      <c r="L40" s="482"/>
      <c r="M40" s="482"/>
    </row>
    <row r="41" spans="1:17" ht="15.75" x14ac:dyDescent="0.25">
      <c r="A41" s="478"/>
      <c r="B41" s="478" t="s">
        <v>65</v>
      </c>
      <c r="C41" s="521">
        <v>53</v>
      </c>
      <c r="D41" s="512" t="s">
        <v>47</v>
      </c>
      <c r="E41" s="496">
        <v>18</v>
      </c>
      <c r="F41" s="522"/>
      <c r="G41" s="522">
        <v>367</v>
      </c>
      <c r="H41" s="522"/>
      <c r="I41" s="522"/>
      <c r="J41" s="313"/>
      <c r="K41" s="482"/>
      <c r="L41" s="482"/>
      <c r="M41" s="482"/>
    </row>
    <row r="42" spans="1:17" ht="15.75" x14ac:dyDescent="0.25">
      <c r="A42" s="478"/>
      <c r="B42" s="478" t="s">
        <v>260</v>
      </c>
      <c r="C42" s="521">
        <v>83</v>
      </c>
      <c r="D42" s="512" t="s">
        <v>261</v>
      </c>
      <c r="E42" s="496">
        <v>2.65</v>
      </c>
      <c r="F42" s="503"/>
      <c r="G42" s="503">
        <v>0</v>
      </c>
      <c r="H42" s="503"/>
      <c r="I42" s="522"/>
      <c r="J42" s="313"/>
      <c r="K42" s="482"/>
      <c r="L42" s="482"/>
      <c r="M42" s="482"/>
    </row>
    <row r="43" spans="1:17" ht="15.75" x14ac:dyDescent="0.25">
      <c r="A43" s="475" t="s">
        <v>71</v>
      </c>
      <c r="B43" s="475"/>
      <c r="C43" s="475"/>
      <c r="D43" s="475"/>
      <c r="E43" s="475"/>
      <c r="F43" s="479" t="s">
        <v>72</v>
      </c>
      <c r="G43" s="478"/>
      <c r="H43" s="478" t="s">
        <v>73</v>
      </c>
      <c r="I43" s="482"/>
      <c r="J43" s="482"/>
      <c r="K43" s="482"/>
      <c r="L43" s="482"/>
      <c r="M43" s="482"/>
    </row>
    <row r="44" spans="1:17" ht="15.75" x14ac:dyDescent="0.25">
      <c r="A44" s="478" t="s">
        <v>108</v>
      </c>
      <c r="B44" s="478"/>
      <c r="C44" s="478"/>
      <c r="D44" s="478"/>
      <c r="E44" s="478"/>
      <c r="F44" s="522">
        <v>1373</v>
      </c>
      <c r="G44" s="523"/>
      <c r="H44" s="524">
        <f>F44*2.471</f>
        <v>3392.683</v>
      </c>
      <c r="I44" s="482"/>
      <c r="J44" s="482"/>
      <c r="K44" s="482"/>
      <c r="L44" s="482"/>
      <c r="M44" s="482"/>
    </row>
    <row r="45" spans="1:17" ht="15.75" x14ac:dyDescent="0.25">
      <c r="A45" s="478" t="s">
        <v>109</v>
      </c>
      <c r="B45" s="478"/>
      <c r="C45" s="478"/>
      <c r="D45" s="478"/>
      <c r="E45" s="478"/>
      <c r="F45" s="522">
        <v>87</v>
      </c>
      <c r="G45" s="525"/>
      <c r="H45" s="524"/>
      <c r="I45" s="482"/>
      <c r="J45" s="482"/>
      <c r="K45" s="482"/>
      <c r="L45" s="482"/>
      <c r="M45" s="482"/>
    </row>
    <row r="46" spans="1:17" ht="15.75" x14ac:dyDescent="0.25">
      <c r="A46" s="478" t="s">
        <v>110</v>
      </c>
      <c r="B46" s="478"/>
      <c r="C46" s="478"/>
      <c r="D46" s="478"/>
      <c r="E46" s="478"/>
      <c r="F46" s="522">
        <f>+F44*F45</f>
        <v>119451</v>
      </c>
      <c r="G46" s="525"/>
      <c r="H46" s="524">
        <f>F46*2.471</f>
        <v>295163.42100000003</v>
      </c>
      <c r="I46" s="482"/>
      <c r="J46" s="482"/>
      <c r="K46" s="482"/>
      <c r="L46" s="482"/>
      <c r="M46" s="482"/>
    </row>
    <row r="47" spans="1:17" ht="15.75" x14ac:dyDescent="0.25">
      <c r="A47" s="478" t="s">
        <v>111</v>
      </c>
      <c r="B47" s="478"/>
      <c r="C47" s="478"/>
      <c r="D47" s="478"/>
      <c r="E47" s="478"/>
      <c r="F47" s="522">
        <f>+F46-K26</f>
        <v>3196.3800000000047</v>
      </c>
      <c r="G47" s="525"/>
      <c r="H47" s="524">
        <f>F47*2.471</f>
        <v>7898.2549800000115</v>
      </c>
      <c r="I47" s="482"/>
      <c r="J47" s="496"/>
      <c r="K47" s="496"/>
      <c r="L47" s="482"/>
      <c r="M47" s="482"/>
    </row>
    <row r="48" spans="1:17" ht="15.75" x14ac:dyDescent="0.25">
      <c r="A48" s="478" t="s">
        <v>112</v>
      </c>
      <c r="B48" s="478"/>
      <c r="C48" s="478"/>
      <c r="D48" s="478"/>
      <c r="E48" s="478"/>
      <c r="F48" s="522">
        <f>+F46-K27</f>
        <v>34755</v>
      </c>
      <c r="G48" s="525"/>
      <c r="H48" s="524">
        <f>F48*2.471</f>
        <v>85879.604999999996</v>
      </c>
      <c r="I48" s="482"/>
      <c r="J48" s="496"/>
      <c r="K48" s="482"/>
      <c r="L48" s="482"/>
      <c r="M48" s="482"/>
    </row>
    <row r="49" spans="1:13" ht="15.75" x14ac:dyDescent="0.25">
      <c r="A49" s="478" t="s">
        <v>79</v>
      </c>
      <c r="B49" s="478"/>
      <c r="C49" s="478"/>
      <c r="D49" s="478"/>
      <c r="E49" s="478"/>
      <c r="F49" s="522">
        <f>+K26/F44</f>
        <v>84.6719737800437</v>
      </c>
      <c r="G49" s="525"/>
      <c r="H49" s="525"/>
      <c r="I49" s="482"/>
      <c r="J49" s="482"/>
      <c r="K49" s="482"/>
      <c r="L49" s="482"/>
      <c r="M49" s="482"/>
    </row>
    <row r="50" spans="1:13" ht="15.75" x14ac:dyDescent="0.25">
      <c r="A50" s="480" t="s">
        <v>80</v>
      </c>
      <c r="B50" s="480"/>
      <c r="C50" s="480"/>
      <c r="D50" s="480"/>
      <c r="E50" s="480"/>
      <c r="F50" s="503">
        <f>+K27/F44</f>
        <v>61.686817188638017</v>
      </c>
      <c r="G50" s="526"/>
      <c r="H50" s="526"/>
      <c r="I50" s="482"/>
      <c r="J50" s="482"/>
      <c r="K50" s="482"/>
      <c r="L50" s="482"/>
      <c r="M50" s="482"/>
    </row>
    <row r="52" spans="1:13" x14ac:dyDescent="0.25">
      <c r="A52" s="213" t="s">
        <v>461</v>
      </c>
      <c r="C52" s="213" t="s">
        <v>472</v>
      </c>
    </row>
    <row r="53" spans="1:13" x14ac:dyDescent="0.25">
      <c r="A53" s="213" t="s">
        <v>462</v>
      </c>
      <c r="C53" s="213" t="s">
        <v>472</v>
      </c>
    </row>
    <row r="54" spans="1:13" x14ac:dyDescent="0.25">
      <c r="A54" s="296" t="s">
        <v>463</v>
      </c>
      <c r="C54" s="213" t="s">
        <v>473</v>
      </c>
    </row>
  </sheetData>
  <mergeCells count="5">
    <mergeCell ref="E17:E18"/>
    <mergeCell ref="F17:F18"/>
    <mergeCell ref="G17:G18"/>
    <mergeCell ref="H17:H18"/>
    <mergeCell ref="K17:K18"/>
  </mergeCells>
  <pageMargins left="0.7" right="0.7" top="0.75" bottom="0.75" header="0.3" footer="0.3"/>
  <pageSetup paperSize="9" scale="46" fitToHeight="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63"/>
  <sheetViews>
    <sheetView topLeftCell="A17" zoomScale="78" zoomScaleNormal="78" workbookViewId="0">
      <selection sqref="A1:K62"/>
    </sheetView>
  </sheetViews>
  <sheetFormatPr defaultColWidth="10.7109375" defaultRowHeight="15" x14ac:dyDescent="0.25"/>
  <cols>
    <col min="1" max="1" width="30.28515625" style="213" customWidth="1"/>
    <col min="2" max="16384" width="10.7109375" style="213"/>
  </cols>
  <sheetData>
    <row r="1" spans="1:24" x14ac:dyDescent="0.25">
      <c r="A1" s="268" t="s">
        <v>0</v>
      </c>
      <c r="B1" s="269" t="s">
        <v>83</v>
      </c>
      <c r="C1" s="269"/>
      <c r="D1" s="269"/>
      <c r="E1" s="269"/>
      <c r="F1" s="269"/>
      <c r="G1" s="269"/>
      <c r="H1" s="268"/>
      <c r="I1" s="268"/>
      <c r="J1" s="268"/>
      <c r="K1" s="268"/>
      <c r="L1" s="268"/>
      <c r="M1" s="446" t="s">
        <v>550</v>
      </c>
    </row>
    <row r="2" spans="1:24" x14ac:dyDescent="0.25">
      <c r="A2" s="268"/>
      <c r="B2" s="447" t="s">
        <v>338</v>
      </c>
      <c r="C2" s="447"/>
      <c r="D2" s="447"/>
      <c r="E2" s="268"/>
      <c r="F2" s="268"/>
      <c r="G2" s="268"/>
      <c r="H2" s="268"/>
      <c r="I2" s="268"/>
      <c r="J2" s="268"/>
      <c r="K2" s="268"/>
      <c r="L2" s="268"/>
    </row>
    <row r="3" spans="1:24" x14ac:dyDescent="0.25">
      <c r="A3" s="268"/>
      <c r="B3" s="270" t="s">
        <v>116</v>
      </c>
      <c r="C3" s="270"/>
      <c r="D3" s="270"/>
      <c r="E3" s="268"/>
      <c r="F3" s="268"/>
      <c r="G3" s="268"/>
      <c r="H3" s="268"/>
      <c r="I3" s="268"/>
      <c r="J3" s="268"/>
      <c r="K3" s="268"/>
      <c r="L3" s="268"/>
      <c r="M3" s="213" t="s">
        <v>551</v>
      </c>
    </row>
    <row r="4" spans="1:24" x14ac:dyDescent="0.25">
      <c r="A4" s="268"/>
      <c r="B4" s="270"/>
      <c r="C4" s="270"/>
      <c r="D4" s="270"/>
      <c r="E4" s="268"/>
      <c r="F4" s="268"/>
      <c r="G4" s="268"/>
      <c r="H4" s="268"/>
      <c r="I4" s="268"/>
      <c r="J4" s="268"/>
      <c r="K4" s="268"/>
      <c r="L4" s="268"/>
      <c r="M4" s="213" t="s">
        <v>552</v>
      </c>
    </row>
    <row r="5" spans="1:24" x14ac:dyDescent="0.25">
      <c r="A5" s="271" t="s">
        <v>6</v>
      </c>
      <c r="B5" s="158" t="s">
        <v>7</v>
      </c>
      <c r="C5" s="158" t="s">
        <v>8</v>
      </c>
      <c r="D5" s="158" t="s">
        <v>9</v>
      </c>
      <c r="E5" s="158" t="s">
        <v>10</v>
      </c>
      <c r="F5" s="448" t="s">
        <v>339</v>
      </c>
      <c r="G5" s="448"/>
      <c r="H5" s="448"/>
      <c r="I5" s="158" t="s">
        <v>14</v>
      </c>
      <c r="J5" s="272" t="s">
        <v>15</v>
      </c>
      <c r="K5" s="158"/>
      <c r="M5" s="213" t="s">
        <v>553</v>
      </c>
    </row>
    <row r="6" spans="1:24" x14ac:dyDescent="0.25">
      <c r="A6" s="274"/>
      <c r="B6" s="162" t="s">
        <v>16</v>
      </c>
      <c r="C6" s="162" t="s">
        <v>17</v>
      </c>
      <c r="D6" s="162" t="s">
        <v>17</v>
      </c>
      <c r="E6" s="162" t="s">
        <v>18</v>
      </c>
      <c r="F6" s="162" t="s">
        <v>340</v>
      </c>
      <c r="G6" s="162" t="s">
        <v>12</v>
      </c>
      <c r="H6" s="162" t="s">
        <v>13</v>
      </c>
      <c r="I6" s="162" t="s">
        <v>19</v>
      </c>
      <c r="J6" s="162" t="s">
        <v>12</v>
      </c>
      <c r="K6" s="162" t="s">
        <v>13</v>
      </c>
    </row>
    <row r="7" spans="1:24" x14ac:dyDescent="0.25">
      <c r="A7" s="10" t="s">
        <v>341</v>
      </c>
      <c r="B7" s="275">
        <v>93</v>
      </c>
      <c r="C7" s="440">
        <v>2</v>
      </c>
      <c r="D7" s="440">
        <v>1.55</v>
      </c>
      <c r="E7" s="449">
        <v>2000</v>
      </c>
      <c r="F7" s="12">
        <f>+C7*E7</f>
        <v>4000</v>
      </c>
      <c r="G7" s="10"/>
      <c r="H7" s="12">
        <v>2624</v>
      </c>
      <c r="I7" s="12">
        <f>+F7+G7+H7</f>
        <v>6624</v>
      </c>
      <c r="J7" s="27"/>
      <c r="K7" s="27"/>
    </row>
    <row r="8" spans="1:24" x14ac:dyDescent="0.25">
      <c r="A8" s="10" t="s">
        <v>88</v>
      </c>
      <c r="B8" s="213">
        <v>100</v>
      </c>
      <c r="C8" s="451">
        <v>1.95</v>
      </c>
      <c r="D8" s="452">
        <v>1.59</v>
      </c>
      <c r="E8" s="451">
        <v>2379</v>
      </c>
      <c r="F8" s="12">
        <f>+C8*E8</f>
        <v>4639.05</v>
      </c>
      <c r="G8" s="10"/>
      <c r="H8" s="12"/>
      <c r="I8" s="614">
        <f>+F8+G8+H8</f>
        <v>4639.05</v>
      </c>
      <c r="J8" s="10"/>
      <c r="K8" s="10"/>
      <c r="N8" s="281"/>
      <c r="O8" s="275"/>
      <c r="P8" s="12"/>
      <c r="Q8" s="12"/>
      <c r="R8" s="13"/>
      <c r="S8" s="12"/>
      <c r="T8" s="10"/>
      <c r="U8" s="12"/>
      <c r="V8" s="12"/>
      <c r="W8" s="10"/>
      <c r="X8" s="10"/>
    </row>
    <row r="9" spans="1:24" x14ac:dyDescent="0.25">
      <c r="A9" s="10" t="s">
        <v>342</v>
      </c>
      <c r="B9" s="213">
        <v>46</v>
      </c>
      <c r="C9" s="451">
        <v>1.22</v>
      </c>
      <c r="D9" s="451">
        <v>1.22</v>
      </c>
      <c r="E9" s="451">
        <v>1500</v>
      </c>
      <c r="F9" s="12">
        <f>+C9*E9</f>
        <v>1830</v>
      </c>
      <c r="G9" s="213">
        <v>16387</v>
      </c>
      <c r="I9" s="12">
        <f>+F9+G9+H9</f>
        <v>18217</v>
      </c>
      <c r="J9" s="10">
        <v>1703</v>
      </c>
      <c r="K9" s="10"/>
      <c r="O9" s="275"/>
      <c r="P9" s="12"/>
      <c r="Q9" s="12"/>
      <c r="R9" s="13"/>
      <c r="S9" s="12"/>
      <c r="T9" s="10"/>
      <c r="U9" s="12"/>
      <c r="V9" s="12"/>
      <c r="W9" s="10"/>
      <c r="X9" s="10"/>
    </row>
    <row r="10" spans="1:24" x14ac:dyDescent="0.25">
      <c r="A10" s="10" t="s">
        <v>346</v>
      </c>
      <c r="B10" s="275" t="s">
        <v>569</v>
      </c>
      <c r="C10" s="440"/>
      <c r="D10" s="440"/>
      <c r="E10" s="453"/>
      <c r="F10" s="281" t="s">
        <v>558</v>
      </c>
      <c r="G10" s="12"/>
      <c r="H10" s="12"/>
      <c r="I10" s="12"/>
      <c r="J10" s="10"/>
      <c r="K10" s="276"/>
      <c r="O10" s="275"/>
      <c r="P10" s="12"/>
      <c r="Q10" s="12"/>
      <c r="R10" s="13"/>
      <c r="S10" s="12"/>
      <c r="T10" s="12"/>
      <c r="U10" s="12"/>
      <c r="V10" s="12"/>
      <c r="W10" s="10"/>
      <c r="X10" s="276"/>
    </row>
    <row r="11" spans="1:24" x14ac:dyDescent="0.25">
      <c r="A11" s="10" t="s">
        <v>343</v>
      </c>
      <c r="B11" s="275" t="s">
        <v>347</v>
      </c>
      <c r="C11" s="205"/>
      <c r="D11" s="205"/>
      <c r="E11" s="454"/>
      <c r="F11" s="12" t="s">
        <v>554</v>
      </c>
      <c r="G11" s="247" t="s">
        <v>555</v>
      </c>
      <c r="H11" s="12"/>
      <c r="I11" s="12"/>
      <c r="J11" s="247"/>
      <c r="K11" s="276"/>
      <c r="O11" s="278"/>
      <c r="P11" s="262"/>
      <c r="Q11" s="262"/>
      <c r="R11" s="279"/>
      <c r="S11" s="262"/>
      <c r="T11" s="262"/>
      <c r="U11" s="262"/>
      <c r="V11" s="262"/>
      <c r="W11" s="262"/>
      <c r="X11" s="276"/>
    </row>
    <row r="12" spans="1:24" x14ac:dyDescent="0.25">
      <c r="A12" s="10" t="s">
        <v>344</v>
      </c>
      <c r="B12" s="275" t="s">
        <v>345</v>
      </c>
      <c r="C12" s="205"/>
      <c r="D12" s="205"/>
      <c r="E12" s="454"/>
      <c r="F12" s="12" t="s">
        <v>556</v>
      </c>
      <c r="G12" s="247" t="s">
        <v>557</v>
      </c>
      <c r="H12" s="12"/>
      <c r="I12" s="12"/>
      <c r="J12" s="247"/>
      <c r="K12" s="276"/>
      <c r="O12" s="278"/>
      <c r="P12" s="262"/>
      <c r="Q12" s="262"/>
      <c r="R12" s="279"/>
      <c r="S12" s="262"/>
      <c r="T12" s="262"/>
      <c r="U12" s="262"/>
      <c r="V12" s="262"/>
      <c r="W12" s="262"/>
      <c r="X12" s="276"/>
    </row>
    <row r="13" spans="1:24" x14ac:dyDescent="0.25">
      <c r="A13" s="10" t="s">
        <v>219</v>
      </c>
      <c r="B13" s="275">
        <v>100</v>
      </c>
      <c r="C13" s="440">
        <v>6.6</v>
      </c>
      <c r="D13" s="440">
        <v>4.0999999999999996</v>
      </c>
      <c r="E13" s="453">
        <v>2205</v>
      </c>
      <c r="F13" s="12">
        <f>+C13*E13</f>
        <v>14553</v>
      </c>
      <c r="G13" s="12"/>
      <c r="H13" s="12"/>
      <c r="I13" s="12">
        <f>+F13+G13+H13</f>
        <v>14553</v>
      </c>
      <c r="J13" s="12"/>
      <c r="K13" s="12"/>
      <c r="O13" s="275"/>
      <c r="P13" s="12"/>
      <c r="Q13" s="12"/>
      <c r="R13" s="13"/>
      <c r="S13" s="12"/>
      <c r="T13" s="12"/>
      <c r="U13" s="12"/>
      <c r="V13" s="12"/>
      <c r="W13" s="12"/>
      <c r="X13" s="12"/>
    </row>
    <row r="14" spans="1:24" x14ac:dyDescent="0.25">
      <c r="A14" s="10" t="s">
        <v>348</v>
      </c>
      <c r="B14" s="275">
        <v>93</v>
      </c>
      <c r="C14" s="440">
        <v>5.44</v>
      </c>
      <c r="D14" s="440">
        <v>3.15</v>
      </c>
      <c r="E14" s="453">
        <v>1502</v>
      </c>
      <c r="F14" s="12">
        <f>+C14*E14</f>
        <v>8170.880000000001</v>
      </c>
      <c r="G14" s="12"/>
      <c r="H14" s="12">
        <f>D35*F35</f>
        <v>5670</v>
      </c>
      <c r="I14" s="12">
        <f>+F14+G14+H14</f>
        <v>13840.880000000001</v>
      </c>
      <c r="J14" s="12"/>
      <c r="K14" s="12">
        <v>2239</v>
      </c>
      <c r="O14" s="275"/>
      <c r="P14" s="12"/>
      <c r="Q14" s="12"/>
      <c r="R14" s="13"/>
      <c r="S14" s="12"/>
      <c r="T14" s="12"/>
      <c r="U14" s="12"/>
      <c r="V14" s="12"/>
      <c r="W14" s="12"/>
      <c r="X14" s="12"/>
    </row>
    <row r="15" spans="1:24" x14ac:dyDescent="0.25">
      <c r="A15" s="10" t="s">
        <v>349</v>
      </c>
      <c r="B15" s="275" t="s">
        <v>345</v>
      </c>
      <c r="C15" s="440"/>
      <c r="D15" s="440"/>
      <c r="E15" s="453"/>
      <c r="F15" s="12" t="s">
        <v>350</v>
      </c>
      <c r="G15" s="12"/>
      <c r="H15" s="12"/>
      <c r="I15" s="12"/>
      <c r="J15" s="12"/>
      <c r="K15" s="12"/>
      <c r="O15" s="275"/>
      <c r="P15" s="12"/>
      <c r="Q15" s="12"/>
      <c r="R15" s="13"/>
      <c r="S15" s="12"/>
      <c r="T15" s="12"/>
      <c r="U15" s="12"/>
      <c r="V15" s="12"/>
      <c r="W15" s="12"/>
      <c r="X15" s="12"/>
    </row>
    <row r="16" spans="1:24" x14ac:dyDescent="0.25">
      <c r="A16" s="10" t="s">
        <v>220</v>
      </c>
      <c r="B16" s="275">
        <v>67</v>
      </c>
      <c r="C16" s="1051">
        <v>1.47</v>
      </c>
      <c r="D16" s="1051">
        <v>1.34</v>
      </c>
      <c r="E16" s="1069">
        <v>2404</v>
      </c>
      <c r="F16" s="1053">
        <f>+C16*E16</f>
        <v>3533.88</v>
      </c>
      <c r="G16" s="12"/>
      <c r="H16" s="12"/>
      <c r="I16" s="1060">
        <f>+F16+H17</f>
        <v>13407.880000000001</v>
      </c>
      <c r="J16" s="12"/>
      <c r="K16" s="12"/>
      <c r="M16" s="281"/>
      <c r="O16" s="275"/>
      <c r="P16" s="12"/>
      <c r="Q16" s="12"/>
      <c r="R16" s="13"/>
      <c r="S16" s="12"/>
      <c r="T16" s="12"/>
      <c r="U16" s="12"/>
      <c r="V16" s="12"/>
      <c r="W16" s="12"/>
      <c r="X16" s="12"/>
    </row>
    <row r="17" spans="1:24" x14ac:dyDescent="0.25">
      <c r="A17" s="10" t="s">
        <v>221</v>
      </c>
      <c r="B17" s="275">
        <f>29/30*100</f>
        <v>96.666666666666671</v>
      </c>
      <c r="C17" s="1051"/>
      <c r="D17" s="1051"/>
      <c r="E17" s="1069"/>
      <c r="F17" s="1053"/>
      <c r="H17" s="12">
        <f>+D51*F51+D52*F52</f>
        <v>9874</v>
      </c>
      <c r="I17" s="1060"/>
      <c r="J17" s="12"/>
      <c r="K17" s="12"/>
      <c r="M17" s="281"/>
      <c r="O17" s="275"/>
      <c r="P17" s="12"/>
      <c r="Q17" s="12"/>
      <c r="R17" s="13"/>
      <c r="S17" s="12"/>
      <c r="T17" s="12"/>
      <c r="U17" s="12"/>
      <c r="V17" s="12"/>
      <c r="W17" s="12"/>
      <c r="X17" s="12"/>
    </row>
    <row r="18" spans="1:24" ht="12.95" customHeight="1" x14ac:dyDescent="0.25">
      <c r="A18" s="10" t="s">
        <v>351</v>
      </c>
      <c r="B18" s="687">
        <v>70</v>
      </c>
      <c r="C18" s="440">
        <v>3.08</v>
      </c>
      <c r="D18" s="440">
        <v>2.4300000000000002</v>
      </c>
      <c r="E18" s="453">
        <v>1643</v>
      </c>
      <c r="F18" s="12">
        <f>+E18*C18</f>
        <v>5060.4400000000005</v>
      </c>
      <c r="G18" s="12"/>
      <c r="H18" s="12"/>
      <c r="I18" s="12">
        <f>+F18+G18+H18</f>
        <v>5060.4400000000005</v>
      </c>
      <c r="J18" s="12"/>
      <c r="K18" s="12"/>
      <c r="O18" s="275"/>
      <c r="P18" s="12"/>
      <c r="Q18" s="12"/>
      <c r="R18" s="13"/>
      <c r="S18" s="12"/>
      <c r="T18" s="12"/>
      <c r="U18" s="12"/>
      <c r="V18" s="12"/>
      <c r="W18" s="12"/>
      <c r="X18" s="12"/>
    </row>
    <row r="19" spans="1:24" x14ac:dyDescent="0.25">
      <c r="A19" s="10" t="s">
        <v>223</v>
      </c>
      <c r="B19" s="688" t="s">
        <v>352</v>
      </c>
      <c r="C19" s="440"/>
      <c r="D19" s="440"/>
      <c r="E19" s="453"/>
      <c r="F19" s="12" t="s">
        <v>559</v>
      </c>
      <c r="G19" s="12"/>
      <c r="H19" s="12" t="s">
        <v>560</v>
      </c>
      <c r="I19" s="12"/>
      <c r="J19" s="12"/>
      <c r="K19" s="12"/>
      <c r="O19" s="275"/>
      <c r="P19" s="12"/>
      <c r="Q19" s="12"/>
      <c r="R19" s="13"/>
      <c r="S19" s="12"/>
      <c r="T19" s="12"/>
      <c r="U19" s="12"/>
      <c r="V19" s="12"/>
      <c r="W19" s="12"/>
      <c r="X19" s="12"/>
    </row>
    <row r="20" spans="1:24" x14ac:dyDescent="0.25">
      <c r="A20" s="10" t="s">
        <v>353</v>
      </c>
      <c r="B20" s="275">
        <v>80</v>
      </c>
      <c r="C20" s="440">
        <v>8.27</v>
      </c>
      <c r="D20" s="440">
        <v>5.51</v>
      </c>
      <c r="E20" s="453">
        <v>2122</v>
      </c>
      <c r="F20" s="12">
        <f>+E20*C20</f>
        <v>17548.939999999999</v>
      </c>
      <c r="G20" s="12"/>
      <c r="H20" s="12"/>
      <c r="I20" s="12">
        <f>+F20+G20+H20</f>
        <v>17548.939999999999</v>
      </c>
      <c r="J20" s="12"/>
      <c r="K20" s="12"/>
      <c r="O20" s="275"/>
      <c r="P20" s="12"/>
      <c r="Q20" s="12"/>
      <c r="R20" s="13"/>
      <c r="S20" s="12"/>
      <c r="T20" s="12"/>
      <c r="U20" s="12"/>
      <c r="V20" s="12"/>
      <c r="W20" s="12"/>
      <c r="X20" s="12"/>
    </row>
    <row r="21" spans="1:24" x14ac:dyDescent="0.25">
      <c r="A21" s="10" t="s">
        <v>570</v>
      </c>
      <c r="B21" s="688" t="s">
        <v>216</v>
      </c>
      <c r="C21" s="440"/>
      <c r="D21" s="440"/>
      <c r="E21" s="453"/>
      <c r="F21" s="12" t="s">
        <v>561</v>
      </c>
      <c r="G21" s="12" t="s">
        <v>562</v>
      </c>
      <c r="H21" s="12"/>
      <c r="I21" s="12"/>
      <c r="J21" s="12"/>
      <c r="K21" s="10"/>
      <c r="O21" s="275"/>
      <c r="P21" s="12"/>
      <c r="Q21" s="12"/>
      <c r="R21" s="13"/>
      <c r="S21" s="12"/>
      <c r="T21" s="12"/>
      <c r="U21" s="12"/>
      <c r="V21" s="12"/>
      <c r="W21" s="12"/>
      <c r="X21" s="10"/>
    </row>
    <row r="22" spans="1:24" ht="24" customHeight="1" x14ac:dyDescent="0.25">
      <c r="A22" s="455" t="s">
        <v>354</v>
      </c>
      <c r="B22" s="275">
        <v>53</v>
      </c>
      <c r="C22" s="440">
        <v>2.5</v>
      </c>
      <c r="D22" s="440">
        <v>1.76</v>
      </c>
      <c r="E22" s="453">
        <v>1913</v>
      </c>
      <c r="F22" s="12">
        <f>+C22*E22</f>
        <v>4782.5</v>
      </c>
      <c r="G22" s="12">
        <v>4657</v>
      </c>
      <c r="H22" s="12"/>
      <c r="I22" s="12">
        <f>+F22+G22+H22</f>
        <v>9439.5</v>
      </c>
      <c r="J22" s="12">
        <v>1421</v>
      </c>
      <c r="K22" s="10"/>
      <c r="O22" s="275"/>
      <c r="P22" s="12"/>
      <c r="Q22" s="12"/>
      <c r="R22" s="13"/>
      <c r="S22" s="12"/>
      <c r="T22" s="12"/>
      <c r="U22" s="12"/>
      <c r="V22" s="12"/>
      <c r="W22" s="12"/>
      <c r="X22" s="10"/>
    </row>
    <row r="23" spans="1:24" ht="18.75" customHeight="1" x14ac:dyDescent="0.25">
      <c r="A23" s="455" t="s">
        <v>355</v>
      </c>
      <c r="B23" s="275" t="s">
        <v>63</v>
      </c>
      <c r="C23" s="440"/>
      <c r="D23" s="440"/>
      <c r="E23" s="453"/>
      <c r="F23" s="247" t="s">
        <v>563</v>
      </c>
      <c r="G23" s="247" t="s">
        <v>564</v>
      </c>
      <c r="H23" s="12"/>
      <c r="I23" s="12"/>
      <c r="J23" s="12"/>
      <c r="K23" s="10"/>
      <c r="O23" s="275"/>
      <c r="P23" s="12"/>
      <c r="Q23" s="12"/>
      <c r="R23" s="13"/>
      <c r="S23" s="12"/>
      <c r="T23" s="12"/>
      <c r="U23" s="12"/>
      <c r="V23" s="12"/>
      <c r="W23" s="12"/>
      <c r="X23" s="10"/>
    </row>
    <row r="24" spans="1:24" x14ac:dyDescent="0.25">
      <c r="A24" s="10" t="s">
        <v>231</v>
      </c>
      <c r="B24" s="275">
        <v>93</v>
      </c>
      <c r="C24" s="440">
        <v>2.4</v>
      </c>
      <c r="D24" s="440">
        <v>2.8</v>
      </c>
      <c r="E24" s="453">
        <v>2200</v>
      </c>
      <c r="F24" s="12">
        <f>+C24*E24</f>
        <v>5280</v>
      </c>
      <c r="G24" s="12"/>
      <c r="H24" s="12"/>
      <c r="I24" s="12">
        <f>+F24+G24+H24</f>
        <v>5280</v>
      </c>
      <c r="J24" s="12"/>
      <c r="K24" s="12"/>
      <c r="O24" s="275"/>
      <c r="P24" s="12"/>
      <c r="Q24" s="12"/>
      <c r="R24" s="13"/>
      <c r="S24" s="12"/>
      <c r="T24" s="12"/>
      <c r="U24" s="12"/>
      <c r="V24" s="12"/>
      <c r="W24" s="12"/>
      <c r="X24" s="12"/>
    </row>
    <row r="25" spans="1:24" ht="18.75" customHeight="1" x14ac:dyDescent="0.25">
      <c r="A25" s="10" t="s">
        <v>147</v>
      </c>
      <c r="B25" s="275">
        <v>63</v>
      </c>
      <c r="C25" s="456">
        <v>0.32</v>
      </c>
      <c r="D25" s="456">
        <v>0.32</v>
      </c>
      <c r="E25" s="456">
        <v>1500</v>
      </c>
      <c r="F25" s="12">
        <f>+C25*E25</f>
        <v>480</v>
      </c>
      <c r="G25" s="261">
        <v>1234</v>
      </c>
      <c r="H25" s="261"/>
      <c r="I25" s="12">
        <f>+F25+G25+H25</f>
        <v>1714</v>
      </c>
      <c r="J25" s="261"/>
      <c r="K25" s="376"/>
      <c r="O25" s="275"/>
      <c r="P25" s="261"/>
      <c r="Q25" s="261"/>
      <c r="R25" s="261"/>
      <c r="S25" s="12"/>
      <c r="T25" s="261"/>
      <c r="U25" s="261"/>
      <c r="V25" s="12"/>
      <c r="W25" s="261"/>
      <c r="X25" s="376"/>
    </row>
    <row r="26" spans="1:24" x14ac:dyDescent="0.25">
      <c r="A26" s="276" t="s">
        <v>34</v>
      </c>
      <c r="B26" s="457"/>
      <c r="C26" s="458"/>
      <c r="D26" s="458"/>
      <c r="E26" s="459"/>
      <c r="F26" s="12"/>
      <c r="G26" s="262"/>
      <c r="H26" s="262"/>
      <c r="I26" s="12">
        <v>3000</v>
      </c>
      <c r="J26" s="262"/>
      <c r="K26" s="262"/>
      <c r="O26" s="457"/>
      <c r="P26" s="262"/>
      <c r="Q26" s="262"/>
      <c r="R26" s="279"/>
      <c r="S26" s="262"/>
      <c r="T26" s="262"/>
      <c r="U26" s="262"/>
      <c r="V26" s="12"/>
      <c r="W26" s="262"/>
      <c r="X26" s="262"/>
    </row>
    <row r="27" spans="1:24" x14ac:dyDescent="0.25">
      <c r="A27" s="271" t="s">
        <v>134</v>
      </c>
      <c r="B27" s="282"/>
      <c r="C27" s="264">
        <f>SUM(C7:C26)</f>
        <v>35.25</v>
      </c>
      <c r="D27" s="264">
        <f>SUM(D7:D26)</f>
        <v>25.770000000000003</v>
      </c>
      <c r="E27" s="264">
        <f>SUM(E7:E26)</f>
        <v>21368</v>
      </c>
      <c r="F27" s="689">
        <f>SUM(F7+F8+F9+F13+F14+F16+F18+F20+F22+F24+F25)</f>
        <v>69878.69</v>
      </c>
      <c r="G27" s="264">
        <f>SUM(G8:G26)</f>
        <v>22278</v>
      </c>
      <c r="H27" s="264">
        <f>SUM(H7:H26)</f>
        <v>18168</v>
      </c>
      <c r="I27" s="264">
        <f>SUM(I7:I26)</f>
        <v>113324.69000000002</v>
      </c>
      <c r="J27" s="264">
        <f>SUM(J7:J26)</f>
        <v>3124</v>
      </c>
      <c r="K27" s="264">
        <f>SUM(K7:K26)</f>
        <v>2239</v>
      </c>
      <c r="N27" s="281"/>
      <c r="O27" s="281"/>
      <c r="P27" s="283"/>
      <c r="Q27" s="281"/>
    </row>
    <row r="28" spans="1:24" x14ac:dyDescent="0.25">
      <c r="A28" s="274" t="s">
        <v>135</v>
      </c>
      <c r="B28" s="284"/>
      <c r="C28" s="209">
        <f>+C27-D27</f>
        <v>9.4799999999999969</v>
      </c>
      <c r="D28" s="209"/>
      <c r="E28" s="209"/>
      <c r="F28" s="209">
        <f>+D39*F39</f>
        <v>17973</v>
      </c>
      <c r="G28" s="265">
        <f>+G27-J27</f>
        <v>19154</v>
      </c>
      <c r="H28" s="265">
        <f>+H27-K27</f>
        <v>15929</v>
      </c>
      <c r="I28" s="209">
        <f>+F28+G28+H28</f>
        <v>53056</v>
      </c>
      <c r="J28" s="274"/>
      <c r="K28" s="274"/>
      <c r="N28" s="281"/>
      <c r="O28" s="281"/>
      <c r="P28" s="283"/>
      <c r="Q28" s="281"/>
    </row>
    <row r="29" spans="1:24" x14ac:dyDescent="0.25">
      <c r="A29" s="10"/>
      <c r="B29" s="10"/>
      <c r="C29" s="10"/>
      <c r="D29" s="10"/>
      <c r="E29" s="10"/>
      <c r="F29" s="10"/>
      <c r="G29" s="12"/>
      <c r="H29" s="10"/>
      <c r="I29" s="10"/>
      <c r="J29" s="10"/>
      <c r="K29" s="10"/>
      <c r="L29" s="10"/>
    </row>
    <row r="30" spans="1:24" x14ac:dyDescent="0.25">
      <c r="A30" s="10"/>
      <c r="B30" s="10" t="s">
        <v>37</v>
      </c>
      <c r="C30" s="10"/>
      <c r="D30" s="10"/>
      <c r="E30" s="10"/>
      <c r="F30" s="10"/>
      <c r="G30" s="10"/>
      <c r="H30" s="10"/>
      <c r="I30" s="273"/>
      <c r="J30" s="10"/>
      <c r="K30" s="10"/>
      <c r="L30" s="10"/>
    </row>
    <row r="31" spans="1:24" x14ac:dyDescent="0.25">
      <c r="A31" s="10"/>
      <c r="B31" s="10"/>
      <c r="C31" s="10"/>
      <c r="D31" s="10"/>
      <c r="E31" s="10"/>
      <c r="F31" s="10"/>
      <c r="G31" s="10"/>
      <c r="I31" s="460"/>
      <c r="K31" s="10"/>
      <c r="L31" s="10"/>
      <c r="M31" s="281"/>
    </row>
    <row r="32" spans="1:24" x14ac:dyDescent="0.25">
      <c r="A32" s="10" t="s">
        <v>96</v>
      </c>
      <c r="B32" s="10"/>
      <c r="C32" s="10"/>
      <c r="D32" s="10"/>
      <c r="E32" s="10"/>
      <c r="F32" s="10"/>
      <c r="G32" s="10"/>
      <c r="I32" s="30"/>
      <c r="J32" s="461" t="s">
        <v>99</v>
      </c>
      <c r="K32" s="290">
        <f>23.92/30</f>
        <v>0.79733333333333334</v>
      </c>
      <c r="L32" s="191"/>
    </row>
    <row r="33" spans="1:16" x14ac:dyDescent="0.25">
      <c r="A33" s="285" t="s">
        <v>38</v>
      </c>
      <c r="C33" s="286" t="s">
        <v>39</v>
      </c>
      <c r="D33" s="286" t="s">
        <v>40</v>
      </c>
      <c r="E33" s="286"/>
      <c r="F33" s="286" t="s">
        <v>41</v>
      </c>
      <c r="G33" s="462" t="s">
        <v>356</v>
      </c>
      <c r="I33" s="30"/>
      <c r="J33" s="199" t="s">
        <v>100</v>
      </c>
      <c r="K33" s="372">
        <v>0.5</v>
      </c>
      <c r="L33" s="194"/>
    </row>
    <row r="34" spans="1:16" x14ac:dyDescent="0.25">
      <c r="A34" s="10" t="s">
        <v>43</v>
      </c>
      <c r="C34" s="288"/>
      <c r="D34" s="10"/>
      <c r="E34" s="10"/>
      <c r="F34" s="10"/>
      <c r="G34" s="373" t="s">
        <v>565</v>
      </c>
      <c r="I34" s="30"/>
      <c r="K34" s="10"/>
      <c r="L34" s="194"/>
    </row>
    <row r="35" spans="1:16" x14ac:dyDescent="0.25">
      <c r="A35" s="10" t="s">
        <v>357</v>
      </c>
      <c r="C35" s="288" t="s">
        <v>47</v>
      </c>
      <c r="D35" s="440">
        <v>30</v>
      </c>
      <c r="E35" s="10"/>
      <c r="F35" s="12">
        <v>189</v>
      </c>
      <c r="G35" s="373" t="s">
        <v>566</v>
      </c>
      <c r="I35" s="30"/>
      <c r="K35" s="10"/>
      <c r="L35" s="194"/>
    </row>
    <row r="36" spans="1:16" x14ac:dyDescent="0.25">
      <c r="A36" s="10"/>
      <c r="C36" s="12"/>
      <c r="D36" s="205"/>
      <c r="E36" s="10"/>
      <c r="F36" s="247"/>
      <c r="G36" s="373" t="s">
        <v>567</v>
      </c>
      <c r="I36" s="30"/>
      <c r="K36" s="10"/>
      <c r="L36" s="194"/>
    </row>
    <row r="37" spans="1:16" x14ac:dyDescent="0.25">
      <c r="A37" s="10"/>
      <c r="C37" s="12"/>
      <c r="D37" s="205"/>
      <c r="E37" s="10"/>
      <c r="F37" s="247"/>
      <c r="G37" s="373" t="s">
        <v>568</v>
      </c>
      <c r="H37" s="194"/>
      <c r="I37" s="463"/>
      <c r="K37" s="10"/>
      <c r="L37" s="194"/>
    </row>
    <row r="38" spans="1:16" x14ac:dyDescent="0.25">
      <c r="A38" s="10" t="s">
        <v>51</v>
      </c>
      <c r="C38" s="12"/>
      <c r="D38" s="10"/>
      <c r="E38" s="10"/>
      <c r="F38" s="10"/>
      <c r="G38" s="373"/>
      <c r="K38" s="10"/>
      <c r="L38" s="194"/>
    </row>
    <row r="39" spans="1:16" x14ac:dyDescent="0.25">
      <c r="A39" s="10" t="s">
        <v>358</v>
      </c>
      <c r="C39" s="10" t="s">
        <v>54</v>
      </c>
      <c r="D39" s="379">
        <v>9</v>
      </c>
      <c r="E39" s="10"/>
      <c r="F39" s="12">
        <v>1997</v>
      </c>
      <c r="K39" s="10"/>
      <c r="L39" s="194"/>
    </row>
    <row r="40" spans="1:16" x14ac:dyDescent="0.25">
      <c r="A40" s="10" t="s">
        <v>101</v>
      </c>
      <c r="C40" s="10" t="s">
        <v>54</v>
      </c>
      <c r="D40" s="379">
        <v>26</v>
      </c>
      <c r="E40" s="10"/>
      <c r="F40" s="10"/>
      <c r="H40" s="289"/>
      <c r="I40" s="194"/>
      <c r="J40" s="463"/>
      <c r="K40" s="10"/>
      <c r="L40" s="194"/>
      <c r="M40" s="281"/>
      <c r="N40" s="281"/>
      <c r="O40" s="281"/>
      <c r="P40" s="281"/>
    </row>
    <row r="41" spans="1:16" x14ac:dyDescent="0.25">
      <c r="A41" s="10" t="s">
        <v>8</v>
      </c>
      <c r="C41" s="10" t="s">
        <v>54</v>
      </c>
      <c r="D41" s="379">
        <v>35</v>
      </c>
      <c r="E41" s="10"/>
      <c r="F41" s="10"/>
      <c r="H41" s="289"/>
      <c r="I41" s="289"/>
      <c r="J41" s="464"/>
      <c r="K41" s="10"/>
      <c r="L41" s="10"/>
    </row>
    <row r="42" spans="1:16" x14ac:dyDescent="0.25">
      <c r="A42" s="10"/>
      <c r="C42" s="12"/>
      <c r="D42" s="10"/>
      <c r="E42" s="10"/>
      <c r="F42" s="10"/>
      <c r="H42" s="289"/>
      <c r="K42" s="10"/>
      <c r="L42" s="10"/>
    </row>
    <row r="43" spans="1:16" x14ac:dyDescent="0.25">
      <c r="A43" s="271" t="s">
        <v>58</v>
      </c>
      <c r="B43" s="271" t="s">
        <v>359</v>
      </c>
      <c r="C43" s="213" t="s">
        <v>360</v>
      </c>
      <c r="D43" s="271" t="s">
        <v>40</v>
      </c>
      <c r="E43" s="271"/>
      <c r="F43" s="271" t="s">
        <v>183</v>
      </c>
      <c r="G43" s="271"/>
      <c r="H43" s="289"/>
      <c r="K43" s="10"/>
      <c r="L43" s="10"/>
    </row>
    <row r="44" spans="1:16" x14ac:dyDescent="0.25">
      <c r="A44" s="465" t="s">
        <v>60</v>
      </c>
      <c r="C44" s="273"/>
      <c r="D44" s="273"/>
      <c r="E44" s="273"/>
      <c r="F44" s="273"/>
      <c r="G44" s="273"/>
      <c r="H44" s="289"/>
      <c r="K44" s="10"/>
      <c r="L44" s="10"/>
    </row>
    <row r="45" spans="1:16" x14ac:dyDescent="0.25">
      <c r="A45" s="10" t="s">
        <v>103</v>
      </c>
      <c r="B45" s="291">
        <v>67</v>
      </c>
      <c r="C45" s="288" t="s">
        <v>47</v>
      </c>
      <c r="D45" s="12">
        <v>144</v>
      </c>
      <c r="E45" s="198"/>
      <c r="F45" s="198" t="s">
        <v>70</v>
      </c>
      <c r="G45" s="198"/>
      <c r="H45" s="198"/>
      <c r="I45" s="10"/>
      <c r="J45" s="10"/>
      <c r="K45" s="10"/>
      <c r="L45" s="10"/>
    </row>
    <row r="46" spans="1:16" x14ac:dyDescent="0.25">
      <c r="A46" s="273" t="s">
        <v>105</v>
      </c>
      <c r="B46" s="466" t="s">
        <v>244</v>
      </c>
      <c r="C46" s="450" t="s">
        <v>47</v>
      </c>
      <c r="D46" s="247" t="s">
        <v>545</v>
      </c>
      <c r="E46" s="198"/>
      <c r="F46" s="291" t="s">
        <v>585</v>
      </c>
      <c r="G46" s="198"/>
      <c r="H46" s="198"/>
      <c r="I46" s="10"/>
      <c r="J46" s="10"/>
      <c r="K46" s="10"/>
      <c r="L46" s="10"/>
    </row>
    <row r="47" spans="1:16" x14ac:dyDescent="0.25">
      <c r="A47" s="273" t="s">
        <v>106</v>
      </c>
      <c r="B47" s="466" t="s">
        <v>216</v>
      </c>
      <c r="C47" s="450" t="s">
        <v>47</v>
      </c>
      <c r="D47" s="247" t="s">
        <v>361</v>
      </c>
      <c r="E47" s="198"/>
      <c r="F47" s="291" t="s">
        <v>197</v>
      </c>
      <c r="G47" s="198"/>
      <c r="H47" s="198"/>
      <c r="I47" s="10"/>
      <c r="J47" s="10"/>
      <c r="K47" s="10"/>
      <c r="L47" s="10"/>
    </row>
    <row r="48" spans="1:16" x14ac:dyDescent="0.25">
      <c r="A48" s="273" t="s">
        <v>62</v>
      </c>
      <c r="B48" s="467" t="s">
        <v>155</v>
      </c>
      <c r="C48" s="288" t="s">
        <v>47</v>
      </c>
      <c r="D48" s="247" t="s">
        <v>584</v>
      </c>
      <c r="E48" s="198"/>
      <c r="F48" s="291" t="s">
        <v>586</v>
      </c>
      <c r="G48" s="198"/>
      <c r="H48" s="198"/>
      <c r="I48" s="10"/>
      <c r="J48" s="10"/>
      <c r="K48" s="10"/>
      <c r="L48" s="10"/>
    </row>
    <row r="49" spans="1:12" x14ac:dyDescent="0.25">
      <c r="A49" s="273" t="s">
        <v>65</v>
      </c>
      <c r="B49" s="467" t="s">
        <v>361</v>
      </c>
      <c r="C49" s="288" t="s">
        <v>47</v>
      </c>
      <c r="D49" s="247" t="s">
        <v>361</v>
      </c>
      <c r="E49" s="198"/>
      <c r="F49" s="291" t="s">
        <v>587</v>
      </c>
      <c r="G49" s="198"/>
      <c r="H49" s="198"/>
      <c r="I49" s="10"/>
      <c r="J49" s="10"/>
      <c r="K49" s="10"/>
      <c r="L49" s="10"/>
    </row>
    <row r="50" spans="1:12" x14ac:dyDescent="0.25">
      <c r="A50" s="465" t="s">
        <v>104</v>
      </c>
      <c r="B50" s="467"/>
      <c r="C50" s="288"/>
      <c r="D50" s="12"/>
      <c r="E50" s="198"/>
      <c r="F50" s="198"/>
      <c r="G50" s="198"/>
      <c r="H50" s="198"/>
      <c r="I50" s="10"/>
      <c r="J50" s="10"/>
      <c r="K50" s="10"/>
      <c r="L50" s="10"/>
    </row>
    <row r="51" spans="1:12" x14ac:dyDescent="0.25">
      <c r="A51" s="273" t="s">
        <v>106</v>
      </c>
      <c r="B51" s="467" t="s">
        <v>362</v>
      </c>
      <c r="C51" s="288" t="s">
        <v>47</v>
      </c>
      <c r="D51" s="12">
        <v>22</v>
      </c>
      <c r="E51" s="198"/>
      <c r="F51" s="198">
        <v>200</v>
      </c>
      <c r="G51" s="198"/>
      <c r="H51" s="198"/>
      <c r="I51" s="10"/>
      <c r="J51" s="10"/>
      <c r="K51" s="10"/>
      <c r="L51" s="10"/>
    </row>
    <row r="52" spans="1:12" x14ac:dyDescent="0.25">
      <c r="A52" s="273" t="s">
        <v>107</v>
      </c>
      <c r="B52" s="467" t="s">
        <v>216</v>
      </c>
      <c r="C52" s="288" t="s">
        <v>47</v>
      </c>
      <c r="D52" s="12">
        <v>14</v>
      </c>
      <c r="E52" s="198"/>
      <c r="F52" s="198">
        <v>391</v>
      </c>
      <c r="G52" s="198"/>
      <c r="H52" s="198"/>
      <c r="I52" s="10"/>
      <c r="J52" s="10"/>
      <c r="K52" s="10"/>
      <c r="L52" s="10"/>
    </row>
    <row r="53" spans="1:12" x14ac:dyDescent="0.25">
      <c r="A53" s="273" t="s">
        <v>65</v>
      </c>
      <c r="B53" s="467" t="s">
        <v>352</v>
      </c>
      <c r="C53" s="288" t="s">
        <v>47</v>
      </c>
      <c r="D53" s="247" t="s">
        <v>438</v>
      </c>
      <c r="E53" s="198"/>
      <c r="F53" s="291" t="s">
        <v>588</v>
      </c>
      <c r="G53" s="198"/>
      <c r="H53" s="198"/>
      <c r="I53" s="10"/>
      <c r="J53" s="10"/>
      <c r="K53" s="10"/>
      <c r="L53" s="10"/>
    </row>
    <row r="54" spans="1:12" x14ac:dyDescent="0.25">
      <c r="A54" s="273" t="s">
        <v>363</v>
      </c>
      <c r="B54" s="467" t="s">
        <v>146</v>
      </c>
      <c r="C54" s="468" t="s">
        <v>206</v>
      </c>
      <c r="D54" s="247" t="s">
        <v>372</v>
      </c>
      <c r="E54" s="198"/>
      <c r="F54" s="469" t="s">
        <v>70</v>
      </c>
      <c r="G54" s="198"/>
      <c r="H54" s="198"/>
      <c r="I54" s="289"/>
      <c r="J54" s="10"/>
      <c r="K54" s="10"/>
      <c r="L54" s="10"/>
    </row>
    <row r="55" spans="1:12" x14ac:dyDescent="0.25">
      <c r="A55" s="271" t="s">
        <v>71</v>
      </c>
      <c r="B55" s="271"/>
      <c r="C55" s="158" t="s">
        <v>72</v>
      </c>
      <c r="D55" s="271"/>
      <c r="E55" s="470" t="s">
        <v>364</v>
      </c>
      <c r="F55" s="273"/>
      <c r="G55" s="273"/>
      <c r="H55" s="10"/>
      <c r="I55" s="10"/>
      <c r="J55" s="10"/>
      <c r="K55" s="10"/>
      <c r="L55" s="10"/>
    </row>
    <row r="56" spans="1:12" x14ac:dyDescent="0.25">
      <c r="A56" s="273" t="s">
        <v>108</v>
      </c>
      <c r="B56" s="273"/>
      <c r="C56" s="198">
        <v>1076</v>
      </c>
      <c r="D56" s="273"/>
      <c r="E56" s="293">
        <f>+C56*2.471</f>
        <v>2658.7960000000003</v>
      </c>
      <c r="G56" s="292"/>
      <c r="H56" s="10"/>
      <c r="I56" s="10"/>
      <c r="J56" s="10"/>
      <c r="K56" s="10"/>
      <c r="L56" s="10"/>
    </row>
    <row r="57" spans="1:12" x14ac:dyDescent="0.25">
      <c r="A57" s="273" t="s">
        <v>109</v>
      </c>
      <c r="B57" s="273"/>
      <c r="C57" s="198">
        <v>90</v>
      </c>
      <c r="D57" s="273"/>
      <c r="E57" s="293"/>
      <c r="G57" s="294"/>
      <c r="H57" s="10"/>
      <c r="I57" s="10"/>
      <c r="J57" s="10"/>
      <c r="K57" s="10"/>
      <c r="L57" s="10"/>
    </row>
    <row r="58" spans="1:12" x14ac:dyDescent="0.25">
      <c r="A58" s="273" t="s">
        <v>110</v>
      </c>
      <c r="B58" s="273"/>
      <c r="C58" s="198">
        <f>+C56*C57</f>
        <v>96840</v>
      </c>
      <c r="D58" s="273"/>
      <c r="E58" s="293">
        <f>+C58*2.471</f>
        <v>239291.64</v>
      </c>
      <c r="G58" s="294"/>
      <c r="H58" s="10"/>
      <c r="I58" s="10"/>
      <c r="J58" s="10"/>
      <c r="K58" s="10"/>
      <c r="L58" s="10"/>
    </row>
    <row r="59" spans="1:12" x14ac:dyDescent="0.25">
      <c r="A59" s="273" t="s">
        <v>111</v>
      </c>
      <c r="B59" s="273"/>
      <c r="C59" s="198">
        <f>+C58-I27</f>
        <v>-16484.690000000017</v>
      </c>
      <c r="D59" s="273"/>
      <c r="E59" s="293">
        <f>+C59*2.471</f>
        <v>-40733.668990000042</v>
      </c>
      <c r="G59" s="294"/>
      <c r="H59" s="10"/>
      <c r="I59" s="12"/>
      <c r="J59" s="12"/>
    </row>
    <row r="60" spans="1:12" x14ac:dyDescent="0.25">
      <c r="A60" s="273" t="s">
        <v>112</v>
      </c>
      <c r="B60" s="273"/>
      <c r="C60" s="198">
        <f>+C58-I28</f>
        <v>43784</v>
      </c>
      <c r="D60" s="273"/>
      <c r="E60" s="293">
        <f>+C60*2.471</f>
        <v>108190.26400000001</v>
      </c>
      <c r="G60" s="294"/>
      <c r="H60" s="10"/>
      <c r="I60" s="12"/>
      <c r="J60" s="10"/>
    </row>
    <row r="61" spans="1:12" x14ac:dyDescent="0.25">
      <c r="A61" s="273" t="s">
        <v>113</v>
      </c>
      <c r="B61" s="273"/>
      <c r="C61" s="198">
        <f>+I27/C56</f>
        <v>105.32034386617102</v>
      </c>
      <c r="D61" s="273"/>
      <c r="E61" s="289"/>
      <c r="F61" s="294"/>
      <c r="G61" s="294"/>
      <c r="H61" s="10"/>
      <c r="I61" s="10"/>
      <c r="J61" s="10"/>
    </row>
    <row r="62" spans="1:12" x14ac:dyDescent="0.25">
      <c r="A62" s="274" t="s">
        <v>114</v>
      </c>
      <c r="B62" s="274"/>
      <c r="C62" s="209">
        <f>+I28/C56</f>
        <v>49.308550185873607</v>
      </c>
      <c r="D62" s="274"/>
      <c r="E62" s="471"/>
      <c r="F62" s="294"/>
      <c r="G62" s="294"/>
      <c r="H62" s="10"/>
      <c r="I62" s="10"/>
      <c r="J62" s="10"/>
    </row>
    <row r="63" spans="1:12" x14ac:dyDescent="0.25">
      <c r="A63" s="296"/>
      <c r="B63" s="296"/>
    </row>
  </sheetData>
  <mergeCells count="5">
    <mergeCell ref="C16:C17"/>
    <mergeCell ref="D16:D17"/>
    <mergeCell ref="E16:E17"/>
    <mergeCell ref="F16:F17"/>
    <mergeCell ref="I16:I17"/>
  </mergeCells>
  <pageMargins left="0.7" right="0.7" top="0.75" bottom="0.75" header="0.3" footer="0.3"/>
  <pageSetup paperSize="9" scale="48" fitToHeight="0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5"/>
  <sheetViews>
    <sheetView topLeftCell="A8" zoomScale="80" zoomScaleNormal="80" workbookViewId="0">
      <selection activeCell="F50" sqref="F50"/>
    </sheetView>
  </sheetViews>
  <sheetFormatPr defaultRowHeight="15" x14ac:dyDescent="0.25"/>
  <cols>
    <col min="1" max="1" width="18.85546875" style="155" customWidth="1"/>
    <col min="2" max="2" width="20.42578125" style="155" customWidth="1"/>
    <col min="3" max="3" width="16" style="155" customWidth="1"/>
    <col min="4" max="4" width="6.7109375" style="155" customWidth="1"/>
    <col min="5" max="5" width="7" style="155" customWidth="1"/>
    <col min="6" max="6" width="11.42578125" style="155" bestFit="1" customWidth="1"/>
    <col min="7" max="7" width="10.42578125" style="155" customWidth="1"/>
    <col min="8" max="8" width="12.7109375" style="155" customWidth="1"/>
    <col min="9" max="9" width="10.28515625" style="155" customWidth="1"/>
    <col min="10" max="10" width="11.5703125" style="155" customWidth="1"/>
    <col min="11" max="11" width="15.7109375" style="155" customWidth="1"/>
    <col min="12" max="13" width="11" style="155" customWidth="1"/>
    <col min="14" max="14" width="9.5703125" style="155" bestFit="1" customWidth="1"/>
    <col min="15" max="15" width="9.140625" style="155"/>
    <col min="16" max="16" width="9.5703125" style="155" bestFit="1" customWidth="1"/>
    <col min="17" max="21" width="9.140625" style="155"/>
    <col min="22" max="27" width="9.140625" style="155" customWidth="1"/>
    <col min="28" max="16384" width="9.140625" style="155"/>
  </cols>
  <sheetData>
    <row r="1" spans="1:36" x14ac:dyDescent="0.25">
      <c r="A1" s="24" t="s">
        <v>0</v>
      </c>
      <c r="B1" s="154" t="s">
        <v>365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36" x14ac:dyDescent="0.25">
      <c r="A2" s="24"/>
      <c r="B2" s="156" t="s">
        <v>366</v>
      </c>
      <c r="C2" s="156"/>
      <c r="D2" s="156"/>
      <c r="E2" s="156"/>
      <c r="F2" s="24"/>
      <c r="G2" s="24"/>
      <c r="H2" s="24"/>
      <c r="I2" s="24"/>
      <c r="J2" s="24"/>
      <c r="K2" s="24"/>
      <c r="L2" s="24"/>
      <c r="M2" s="24"/>
    </row>
    <row r="3" spans="1:36" x14ac:dyDescent="0.25">
      <c r="A3" s="24"/>
      <c r="B3" s="7" t="s">
        <v>627</v>
      </c>
      <c r="C3" s="7"/>
      <c r="D3" s="7"/>
      <c r="E3" s="7"/>
      <c r="F3" s="24"/>
      <c r="G3" s="24"/>
      <c r="H3" s="24"/>
      <c r="I3" s="24"/>
      <c r="J3" s="24"/>
      <c r="K3" s="24"/>
      <c r="L3" s="24"/>
      <c r="M3" s="24"/>
    </row>
    <row r="4" spans="1:36" x14ac:dyDescent="0.25">
      <c r="A4" s="16" t="s">
        <v>6</v>
      </c>
      <c r="B4" s="16"/>
      <c r="C4" s="16"/>
      <c r="D4" s="157" t="s">
        <v>7</v>
      </c>
      <c r="E4" s="157" t="s">
        <v>8</v>
      </c>
      <c r="F4" s="157" t="s">
        <v>9</v>
      </c>
      <c r="G4" s="157" t="s">
        <v>10</v>
      </c>
      <c r="H4" s="157" t="s">
        <v>86</v>
      </c>
      <c r="I4" s="415" t="s">
        <v>12</v>
      </c>
      <c r="J4" s="415" t="s">
        <v>13</v>
      </c>
      <c r="K4" s="415" t="s">
        <v>14</v>
      </c>
      <c r="L4" s="159" t="s">
        <v>15</v>
      </c>
      <c r="M4" s="157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</row>
    <row r="5" spans="1:36" x14ac:dyDescent="0.25">
      <c r="A5" s="34"/>
      <c r="B5" s="34"/>
      <c r="C5" s="34"/>
      <c r="D5" s="160" t="s">
        <v>16</v>
      </c>
      <c r="E5" s="160" t="s">
        <v>17</v>
      </c>
      <c r="F5" s="160" t="s">
        <v>17</v>
      </c>
      <c r="G5" s="160" t="s">
        <v>18</v>
      </c>
      <c r="H5" s="160" t="s">
        <v>87</v>
      </c>
      <c r="I5" s="416" t="s">
        <v>20</v>
      </c>
      <c r="J5" s="416" t="s">
        <v>19</v>
      </c>
      <c r="K5" s="416" t="s">
        <v>19</v>
      </c>
      <c r="L5" s="160" t="s">
        <v>12</v>
      </c>
      <c r="M5" s="160" t="s">
        <v>13</v>
      </c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</row>
    <row r="6" spans="1:36" x14ac:dyDescent="0.25">
      <c r="A6" s="34"/>
      <c r="B6" s="34"/>
      <c r="C6" s="34"/>
      <c r="D6" s="160" t="s">
        <v>21</v>
      </c>
      <c r="E6" s="160"/>
      <c r="F6" s="160"/>
      <c r="G6" s="160"/>
      <c r="H6" s="160"/>
      <c r="I6" s="416" t="s">
        <v>19</v>
      </c>
      <c r="J6" s="416" t="s">
        <v>22</v>
      </c>
      <c r="K6" s="416" t="s">
        <v>22</v>
      </c>
      <c r="L6" s="160"/>
      <c r="M6" s="160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</row>
    <row r="7" spans="1:36" x14ac:dyDescent="0.25">
      <c r="A7" s="20"/>
      <c r="B7" s="20"/>
      <c r="C7" s="20"/>
      <c r="D7" s="161"/>
      <c r="E7" s="161"/>
      <c r="F7" s="161"/>
      <c r="G7" s="161"/>
      <c r="H7" s="161"/>
      <c r="I7" s="417" t="s">
        <v>22</v>
      </c>
      <c r="J7" s="417"/>
      <c r="K7" s="417"/>
      <c r="L7" s="161"/>
      <c r="M7" s="161"/>
      <c r="R7" s="375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</row>
    <row r="8" spans="1:36" x14ac:dyDescent="0.25">
      <c r="A8" s="10" t="s">
        <v>88</v>
      </c>
      <c r="B8" s="10"/>
      <c r="C8" s="10"/>
      <c r="D8" s="275">
        <v>94</v>
      </c>
      <c r="E8" s="12">
        <v>1.78</v>
      </c>
      <c r="F8" s="12">
        <v>1.48</v>
      </c>
      <c r="G8" s="13">
        <v>2500</v>
      </c>
      <c r="H8" s="12">
        <f>+E8*G8</f>
        <v>4450</v>
      </c>
      <c r="I8" s="10"/>
      <c r="J8" s="12"/>
      <c r="K8" s="12">
        <f>+J8+I8+H8</f>
        <v>4450</v>
      </c>
      <c r="L8" s="10"/>
      <c r="M8" s="10"/>
      <c r="P8" s="258"/>
      <c r="Q8" s="31"/>
      <c r="R8" s="375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</row>
    <row r="9" spans="1:36" x14ac:dyDescent="0.25">
      <c r="A9" s="10" t="s">
        <v>367</v>
      </c>
      <c r="B9" s="276"/>
      <c r="C9" s="276"/>
      <c r="D9" s="275">
        <v>52</v>
      </c>
      <c r="E9" s="12">
        <v>0.68</v>
      </c>
      <c r="F9" s="12">
        <v>0.51</v>
      </c>
      <c r="G9" s="13">
        <v>2375</v>
      </c>
      <c r="H9" s="12">
        <f>+E9*G9</f>
        <v>1615.0000000000002</v>
      </c>
      <c r="I9" s="12">
        <v>17130</v>
      </c>
      <c r="J9" s="12"/>
      <c r="K9" s="12">
        <f t="shared" ref="K9:K23" si="0">+J9+I9+H9</f>
        <v>18745</v>
      </c>
      <c r="L9" s="10">
        <v>4719</v>
      </c>
      <c r="M9" s="276"/>
      <c r="P9" s="258"/>
      <c r="Q9" s="31"/>
      <c r="R9" s="375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</row>
    <row r="10" spans="1:36" x14ac:dyDescent="0.25">
      <c r="A10" s="10" t="s">
        <v>368</v>
      </c>
      <c r="B10" s="10"/>
      <c r="C10" s="10"/>
      <c r="D10" s="275" t="s">
        <v>369</v>
      </c>
      <c r="E10" s="247"/>
      <c r="F10" s="247"/>
      <c r="G10" s="380"/>
      <c r="H10" s="418" t="s">
        <v>456</v>
      </c>
      <c r="I10" s="12" t="s">
        <v>457</v>
      </c>
      <c r="J10" s="12"/>
      <c r="K10" s="12"/>
      <c r="L10" s="10"/>
      <c r="M10" s="276"/>
      <c r="P10" s="258"/>
      <c r="Q10" s="31"/>
      <c r="R10" s="375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</row>
    <row r="11" spans="1:36" x14ac:dyDescent="0.25">
      <c r="A11" s="10" t="s">
        <v>370</v>
      </c>
      <c r="B11" s="10"/>
      <c r="C11" s="10"/>
      <c r="D11" s="275" t="s">
        <v>371</v>
      </c>
      <c r="E11" s="247"/>
      <c r="F11" s="247"/>
      <c r="G11" s="380"/>
      <c r="H11" s="12"/>
      <c r="I11" s="12"/>
      <c r="J11" s="12"/>
      <c r="K11" s="12"/>
      <c r="L11" s="10"/>
      <c r="M11" s="276"/>
      <c r="P11" s="258"/>
      <c r="Q11" s="31"/>
      <c r="R11" s="375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</row>
    <row r="12" spans="1:36" x14ac:dyDescent="0.25">
      <c r="A12" s="10" t="s">
        <v>219</v>
      </c>
      <c r="B12" s="10"/>
      <c r="C12" s="10"/>
      <c r="D12" s="275">
        <v>100</v>
      </c>
      <c r="E12" s="12">
        <v>4.4000000000000004</v>
      </c>
      <c r="F12" s="12">
        <v>2.21</v>
      </c>
      <c r="G12" s="13">
        <v>2394</v>
      </c>
      <c r="H12" s="12">
        <f>+E12*G12</f>
        <v>10533.6</v>
      </c>
      <c r="I12" s="12"/>
      <c r="J12" s="12"/>
      <c r="K12" s="12">
        <f t="shared" si="0"/>
        <v>10533.6</v>
      </c>
      <c r="L12" s="12"/>
      <c r="M12" s="12"/>
      <c r="P12" s="258"/>
      <c r="Q12" s="31"/>
      <c r="R12" s="12"/>
      <c r="S12" s="13"/>
      <c r="T12" s="12"/>
      <c r="U12" s="12"/>
      <c r="V12" s="12"/>
      <c r="W12" s="12"/>
      <c r="X12" s="12"/>
      <c r="Y12" s="12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</row>
    <row r="13" spans="1:36" x14ac:dyDescent="0.25">
      <c r="A13" s="10" t="s">
        <v>46</v>
      </c>
      <c r="B13" s="10"/>
      <c r="C13" s="10"/>
      <c r="D13" s="275">
        <v>96</v>
      </c>
      <c r="E13" s="12">
        <v>3.95</v>
      </c>
      <c r="F13" s="12">
        <v>2.5099999999999998</v>
      </c>
      <c r="G13" s="13">
        <v>2780</v>
      </c>
      <c r="H13" s="12">
        <f>+E13*G13</f>
        <v>10981</v>
      </c>
      <c r="I13" s="12"/>
      <c r="J13" s="12">
        <v>7424</v>
      </c>
      <c r="K13" s="12">
        <f t="shared" si="0"/>
        <v>18405</v>
      </c>
      <c r="L13" s="10"/>
      <c r="M13" s="12"/>
      <c r="P13" s="258"/>
      <c r="Q13" s="31"/>
      <c r="R13" s="12"/>
      <c r="S13" s="13"/>
      <c r="T13" s="12"/>
      <c r="U13" s="12"/>
      <c r="V13" s="12"/>
      <c r="W13" s="12"/>
      <c r="X13" s="10"/>
      <c r="Y13" s="12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</row>
    <row r="14" spans="1:36" x14ac:dyDescent="0.25">
      <c r="A14" s="10" t="s">
        <v>150</v>
      </c>
      <c r="B14" s="10"/>
      <c r="C14" s="10"/>
      <c r="D14" s="275" t="s">
        <v>372</v>
      </c>
      <c r="E14" s="247"/>
      <c r="F14" s="247"/>
      <c r="G14" s="380"/>
      <c r="H14" s="12">
        <v>0</v>
      </c>
      <c r="I14" s="12"/>
      <c r="J14" s="247" t="s">
        <v>458</v>
      </c>
      <c r="K14" s="12"/>
      <c r="L14" s="276"/>
      <c r="M14" s="262"/>
      <c r="P14" s="260"/>
      <c r="Q14" s="227"/>
      <c r="R14" s="181"/>
      <c r="S14" s="182"/>
      <c r="T14" s="181"/>
      <c r="U14" s="181"/>
      <c r="V14" s="181"/>
      <c r="W14" s="181"/>
      <c r="X14" s="169"/>
      <c r="Y14" s="181"/>
    </row>
    <row r="15" spans="1:36" s="213" customFormat="1" x14ac:dyDescent="0.25">
      <c r="A15" s="10" t="s">
        <v>220</v>
      </c>
      <c r="B15" s="10"/>
      <c r="C15" s="10"/>
      <c r="D15" s="275">
        <v>76</v>
      </c>
      <c r="E15" s="1060">
        <v>1.1499999999999999</v>
      </c>
      <c r="F15" s="1060">
        <v>0.99</v>
      </c>
      <c r="G15" s="1071">
        <v>2500</v>
      </c>
      <c r="H15" s="1050">
        <f>+E15*G15</f>
        <v>2875</v>
      </c>
      <c r="I15" s="12"/>
      <c r="J15" s="1060">
        <v>25536</v>
      </c>
      <c r="K15" s="12">
        <f t="shared" si="0"/>
        <v>28411</v>
      </c>
      <c r="L15" s="12"/>
      <c r="M15" s="12"/>
      <c r="X15" s="12"/>
      <c r="Y15" s="12"/>
    </row>
    <row r="16" spans="1:36" s="213" customFormat="1" x14ac:dyDescent="0.25">
      <c r="A16" s="10" t="s">
        <v>221</v>
      </c>
      <c r="B16" s="10"/>
      <c r="C16" s="10"/>
      <c r="D16" s="275">
        <v>96</v>
      </c>
      <c r="E16" s="1060"/>
      <c r="F16" s="1060"/>
      <c r="G16" s="1071"/>
      <c r="H16" s="1050"/>
      <c r="J16" s="1060"/>
      <c r="K16" s="12">
        <f t="shared" si="0"/>
        <v>0</v>
      </c>
      <c r="L16" s="12"/>
      <c r="M16" s="12"/>
      <c r="X16" s="12"/>
      <c r="Y16" s="12"/>
    </row>
    <row r="17" spans="1:25" s="213" customFormat="1" x14ac:dyDescent="0.25">
      <c r="A17" s="10" t="s">
        <v>222</v>
      </c>
      <c r="B17" s="10"/>
      <c r="C17" s="10"/>
      <c r="D17" s="275">
        <v>86</v>
      </c>
      <c r="E17" s="12">
        <v>0.78</v>
      </c>
      <c r="F17" s="12">
        <v>0.42</v>
      </c>
      <c r="G17" s="13">
        <v>3260</v>
      </c>
      <c r="H17" s="12">
        <f>+E17*G17</f>
        <v>2542.8000000000002</v>
      </c>
      <c r="I17" s="12"/>
      <c r="J17" s="12">
        <v>4496</v>
      </c>
      <c r="K17" s="12">
        <f t="shared" si="0"/>
        <v>7038.8</v>
      </c>
      <c r="L17" s="12"/>
      <c r="M17" s="12"/>
      <c r="X17" s="12"/>
      <c r="Y17" s="12"/>
    </row>
    <row r="18" spans="1:25" s="213" customFormat="1" x14ac:dyDescent="0.25">
      <c r="A18" s="10" t="s">
        <v>225</v>
      </c>
      <c r="B18" s="10"/>
      <c r="C18" s="10"/>
      <c r="D18" s="275">
        <v>72</v>
      </c>
      <c r="E18" s="12">
        <v>0.93</v>
      </c>
      <c r="F18" s="12">
        <v>0.63</v>
      </c>
      <c r="G18" s="13">
        <v>2455</v>
      </c>
      <c r="H18" s="12">
        <f>+E18*G18</f>
        <v>2283.15</v>
      </c>
      <c r="I18" s="12">
        <v>22567</v>
      </c>
      <c r="J18" s="12"/>
      <c r="K18" s="12">
        <f t="shared" si="0"/>
        <v>24850.15</v>
      </c>
      <c r="L18" s="12"/>
      <c r="M18" s="10"/>
      <c r="X18" s="12"/>
      <c r="Y18" s="10"/>
    </row>
    <row r="19" spans="1:25" s="213" customFormat="1" x14ac:dyDescent="0.25">
      <c r="A19" s="10" t="s">
        <v>373</v>
      </c>
      <c r="B19" s="10"/>
      <c r="C19" s="10"/>
      <c r="D19" s="275" t="s">
        <v>216</v>
      </c>
      <c r="E19" s="247" t="s">
        <v>374</v>
      </c>
      <c r="F19" s="247" t="s">
        <v>375</v>
      </c>
      <c r="G19" s="380" t="s">
        <v>376</v>
      </c>
      <c r="H19" s="12"/>
      <c r="I19" s="12"/>
      <c r="J19" s="12"/>
      <c r="K19" s="12"/>
      <c r="L19" s="12"/>
      <c r="M19" s="10"/>
      <c r="X19" s="12"/>
      <c r="Y19" s="10"/>
    </row>
    <row r="20" spans="1:25" s="213" customFormat="1" x14ac:dyDescent="0.25">
      <c r="A20" s="10" t="s">
        <v>370</v>
      </c>
      <c r="B20" s="10"/>
      <c r="C20" s="10"/>
      <c r="D20" s="275" t="s">
        <v>66</v>
      </c>
      <c r="E20" s="247"/>
      <c r="F20" s="247"/>
      <c r="G20" s="380"/>
      <c r="H20" s="12"/>
      <c r="I20" s="247"/>
      <c r="J20" s="12"/>
      <c r="K20" s="12"/>
      <c r="L20" s="12"/>
      <c r="M20" s="10"/>
      <c r="X20" s="12"/>
      <c r="Y20" s="10"/>
    </row>
    <row r="21" spans="1:25" s="213" customFormat="1" x14ac:dyDescent="0.25">
      <c r="A21" s="10" t="s">
        <v>377</v>
      </c>
      <c r="B21" s="10"/>
      <c r="C21" s="10"/>
      <c r="D21" s="275" t="s">
        <v>321</v>
      </c>
      <c r="E21" s="247" t="s">
        <v>378</v>
      </c>
      <c r="F21" s="247" t="s">
        <v>379</v>
      </c>
      <c r="G21" s="380" t="s">
        <v>380</v>
      </c>
      <c r="H21" s="12"/>
      <c r="I21" s="247"/>
      <c r="J21" s="247"/>
      <c r="K21" s="12"/>
      <c r="L21" s="12"/>
      <c r="M21" s="10"/>
      <c r="X21" s="12"/>
      <c r="Y21" s="10"/>
    </row>
    <row r="22" spans="1:25" s="213" customFormat="1" x14ac:dyDescent="0.25">
      <c r="A22" s="10" t="s">
        <v>231</v>
      </c>
      <c r="B22" s="10"/>
      <c r="C22" s="10"/>
      <c r="D22" s="275">
        <v>100</v>
      </c>
      <c r="E22" s="12">
        <v>2.48</v>
      </c>
      <c r="F22" s="12">
        <v>2.37</v>
      </c>
      <c r="G22" s="13">
        <v>2273</v>
      </c>
      <c r="H22" s="12">
        <f>+E22*G22</f>
        <v>5637.04</v>
      </c>
      <c r="I22" s="12"/>
      <c r="J22" s="12"/>
      <c r="K22" s="12">
        <f t="shared" si="0"/>
        <v>5637.04</v>
      </c>
      <c r="L22" s="12"/>
      <c r="M22" s="12"/>
      <c r="X22" s="12"/>
      <c r="Y22" s="12"/>
    </row>
    <row r="23" spans="1:25" s="213" customFormat="1" x14ac:dyDescent="0.25">
      <c r="A23" s="10" t="s">
        <v>147</v>
      </c>
      <c r="B23" s="10"/>
      <c r="C23" s="10"/>
      <c r="D23" s="275">
        <v>48</v>
      </c>
      <c r="E23" s="261">
        <v>0.44</v>
      </c>
      <c r="F23" s="261">
        <v>0.44</v>
      </c>
      <c r="G23" s="261">
        <v>1500</v>
      </c>
      <c r="H23" s="12">
        <f>+E23*G23</f>
        <v>660</v>
      </c>
      <c r="I23" s="261">
        <v>1127</v>
      </c>
      <c r="J23" s="261"/>
      <c r="K23" s="12">
        <f t="shared" si="0"/>
        <v>1787</v>
      </c>
      <c r="L23" s="261"/>
      <c r="M23" s="376"/>
      <c r="P23" s="275"/>
      <c r="S23" s="261"/>
      <c r="T23" s="12"/>
      <c r="U23" s="261"/>
      <c r="V23" s="261"/>
      <c r="W23" s="12"/>
      <c r="X23" s="261"/>
      <c r="Y23" s="376"/>
    </row>
    <row r="24" spans="1:25" s="213" customFormat="1" x14ac:dyDescent="0.25">
      <c r="A24" s="10" t="s">
        <v>251</v>
      </c>
      <c r="B24" s="10"/>
      <c r="C24" s="10"/>
      <c r="D24" s="275"/>
      <c r="E24" s="261"/>
      <c r="F24" s="261"/>
      <c r="G24" s="261"/>
      <c r="H24" s="12"/>
      <c r="I24" s="261"/>
      <c r="J24" s="261"/>
      <c r="K24" s="12">
        <v>2000</v>
      </c>
      <c r="L24" s="261"/>
      <c r="M24" s="376"/>
      <c r="P24" s="275"/>
      <c r="S24" s="261"/>
      <c r="T24" s="12"/>
      <c r="U24" s="261"/>
      <c r="V24" s="261"/>
      <c r="W24" s="12"/>
      <c r="X24" s="261"/>
      <c r="Y24" s="376"/>
    </row>
    <row r="25" spans="1:25" s="213" customFormat="1" x14ac:dyDescent="0.25">
      <c r="A25" s="271" t="s">
        <v>134</v>
      </c>
      <c r="B25" s="271"/>
      <c r="C25" s="271"/>
      <c r="D25" s="282"/>
      <c r="E25" s="264">
        <f t="shared" ref="E25:J25" si="1">+E8+E9+E12+E13+E15+E17+E18+E22+E23</f>
        <v>16.59</v>
      </c>
      <c r="F25" s="264">
        <f t="shared" si="1"/>
        <v>11.56</v>
      </c>
      <c r="G25" s="264">
        <f t="shared" si="1"/>
        <v>22037</v>
      </c>
      <c r="H25" s="264">
        <f t="shared" si="1"/>
        <v>41577.590000000004</v>
      </c>
      <c r="I25" s="264">
        <f t="shared" si="1"/>
        <v>40824</v>
      </c>
      <c r="J25" s="264">
        <f t="shared" si="1"/>
        <v>37456</v>
      </c>
      <c r="K25" s="264">
        <f>+K8+K9+K12+K13+K15+K17+K18+K22+K23+K24</f>
        <v>121857.59000000001</v>
      </c>
      <c r="L25" s="264">
        <f>SUM(L8:L23)</f>
        <v>4719</v>
      </c>
      <c r="M25" s="264">
        <f>SUM(M8:M23)</f>
        <v>0</v>
      </c>
      <c r="O25" s="281"/>
      <c r="P25" s="281"/>
    </row>
    <row r="26" spans="1:25" s="213" customFormat="1" x14ac:dyDescent="0.25">
      <c r="A26" s="274" t="s">
        <v>135</v>
      </c>
      <c r="B26" s="274"/>
      <c r="C26" s="274"/>
      <c r="D26" s="284"/>
      <c r="E26" s="209">
        <f>+E25-F25</f>
        <v>5.0299999999999994</v>
      </c>
      <c r="F26" s="209"/>
      <c r="G26" s="209"/>
      <c r="H26" s="209">
        <f>+G34*E34</f>
        <v>12230</v>
      </c>
      <c r="I26" s="265">
        <f>+I25-L25</f>
        <v>36105</v>
      </c>
      <c r="J26" s="209">
        <f>SUM(J9:J24)</f>
        <v>37456</v>
      </c>
      <c r="K26" s="209">
        <f>+J26+I26+H26</f>
        <v>85791</v>
      </c>
      <c r="L26" s="274"/>
      <c r="M26" s="274"/>
      <c r="O26" s="281"/>
      <c r="P26" s="281"/>
      <c r="Q26" s="283"/>
      <c r="R26" s="281"/>
    </row>
    <row r="27" spans="1:25" s="213" customFormat="1" x14ac:dyDescent="0.25">
      <c r="A27" s="10"/>
      <c r="B27" s="10"/>
      <c r="C27" s="10" t="s">
        <v>37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25" s="213" customFormat="1" x14ac:dyDescent="0.25">
      <c r="A28" s="10" t="s">
        <v>96</v>
      </c>
      <c r="B28" s="10"/>
      <c r="C28" s="10"/>
      <c r="D28" s="10"/>
      <c r="E28" s="10"/>
      <c r="F28" s="10"/>
      <c r="G28" s="10"/>
      <c r="H28" s="10"/>
      <c r="I28" s="10"/>
      <c r="L28" s="10"/>
      <c r="M28" s="191"/>
    </row>
    <row r="29" spans="1:25" s="213" customFormat="1" x14ac:dyDescent="0.25">
      <c r="A29" s="285" t="s">
        <v>38</v>
      </c>
      <c r="B29" s="285"/>
      <c r="C29" s="285"/>
      <c r="D29" s="286" t="s">
        <v>39</v>
      </c>
      <c r="E29" s="286" t="s">
        <v>40</v>
      </c>
      <c r="F29" s="286"/>
      <c r="G29" s="286" t="s">
        <v>41</v>
      </c>
      <c r="H29" s="286"/>
      <c r="I29" s="10"/>
      <c r="L29" s="10"/>
      <c r="M29" s="194"/>
    </row>
    <row r="30" spans="1:25" s="213" customFormat="1" x14ac:dyDescent="0.25">
      <c r="A30" s="10" t="s">
        <v>43</v>
      </c>
      <c r="B30" s="10"/>
      <c r="C30" s="10"/>
      <c r="D30" s="288" t="s">
        <v>47</v>
      </c>
      <c r="E30" s="10"/>
      <c r="F30" s="10"/>
      <c r="G30" s="10"/>
      <c r="H30" s="10"/>
      <c r="J30" s="377" t="s">
        <v>42</v>
      </c>
      <c r="K30" s="287" t="s">
        <v>95</v>
      </c>
      <c r="L30" s="10"/>
      <c r="M30" s="194"/>
    </row>
    <row r="31" spans="1:25" s="213" customFormat="1" x14ac:dyDescent="0.25">
      <c r="A31" s="10" t="s">
        <v>46</v>
      </c>
      <c r="B31" s="10"/>
      <c r="C31" s="10"/>
      <c r="D31" s="10" t="s">
        <v>47</v>
      </c>
      <c r="E31" s="418">
        <v>32</v>
      </c>
      <c r="F31" s="10"/>
      <c r="G31" s="12">
        <v>232</v>
      </c>
      <c r="H31" s="12"/>
      <c r="J31" s="378" t="s">
        <v>381</v>
      </c>
      <c r="K31" s="372">
        <v>44</v>
      </c>
      <c r="L31" s="10"/>
      <c r="M31" s="194"/>
    </row>
    <row r="32" spans="1:25" s="213" customFormat="1" x14ac:dyDescent="0.25">
      <c r="A32" s="10" t="s">
        <v>150</v>
      </c>
      <c r="B32" s="10"/>
      <c r="C32" s="10"/>
      <c r="D32" s="10" t="s">
        <v>47</v>
      </c>
      <c r="E32" s="205" t="s">
        <v>382</v>
      </c>
      <c r="F32" s="10"/>
      <c r="G32" s="247"/>
      <c r="H32" s="247"/>
      <c r="J32" s="378" t="s">
        <v>252</v>
      </c>
      <c r="K32" s="372">
        <v>18</v>
      </c>
      <c r="L32" s="10"/>
      <c r="M32" s="194"/>
    </row>
    <row r="33" spans="1:17" s="213" customFormat="1" x14ac:dyDescent="0.25">
      <c r="A33" s="10" t="s">
        <v>51</v>
      </c>
      <c r="B33" s="10"/>
      <c r="C33" s="10"/>
      <c r="D33" s="12"/>
      <c r="E33" s="10"/>
      <c r="F33" s="10"/>
      <c r="G33" s="10"/>
      <c r="H33" s="10"/>
      <c r="J33" s="378" t="s">
        <v>383</v>
      </c>
      <c r="K33" s="372">
        <v>11</v>
      </c>
      <c r="L33" s="10"/>
      <c r="M33" s="194"/>
    </row>
    <row r="34" spans="1:17" s="213" customFormat="1" x14ac:dyDescent="0.25">
      <c r="A34" s="10" t="s">
        <v>233</v>
      </c>
      <c r="B34" s="10"/>
      <c r="C34" s="10"/>
      <c r="D34" s="10" t="s">
        <v>54</v>
      </c>
      <c r="E34" s="379">
        <v>5</v>
      </c>
      <c r="F34" s="10"/>
      <c r="G34" s="379">
        <v>2446</v>
      </c>
      <c r="H34" s="12"/>
      <c r="J34" s="378" t="s">
        <v>384</v>
      </c>
      <c r="K34" s="372">
        <v>10</v>
      </c>
      <c r="L34" s="10"/>
      <c r="M34" s="194"/>
      <c r="N34" s="281"/>
      <c r="P34" s="281"/>
    </row>
    <row r="35" spans="1:17" s="213" customFormat="1" x14ac:dyDescent="0.25">
      <c r="A35" s="10" t="s">
        <v>234</v>
      </c>
      <c r="B35" s="10"/>
      <c r="C35" s="10"/>
      <c r="D35" s="10" t="s">
        <v>54</v>
      </c>
      <c r="E35" s="379">
        <v>11</v>
      </c>
      <c r="F35" s="10"/>
      <c r="G35" s="10"/>
      <c r="H35" s="10"/>
      <c r="J35" s="378" t="s">
        <v>98</v>
      </c>
      <c r="K35" s="372">
        <v>17</v>
      </c>
      <c r="L35" s="10"/>
      <c r="M35" s="194"/>
      <c r="N35" s="281"/>
      <c r="O35" s="281"/>
      <c r="P35" s="281"/>
      <c r="Q35" s="281"/>
    </row>
    <row r="36" spans="1:17" s="213" customFormat="1" x14ac:dyDescent="0.25">
      <c r="A36" s="10" t="s">
        <v>8</v>
      </c>
      <c r="B36" s="10"/>
      <c r="C36" s="10"/>
      <c r="D36" s="10" t="s">
        <v>54</v>
      </c>
      <c r="E36" s="379">
        <v>17</v>
      </c>
      <c r="F36" s="10"/>
      <c r="G36" s="10"/>
      <c r="H36" s="10"/>
      <c r="L36" s="10"/>
      <c r="M36" s="10"/>
    </row>
    <row r="37" spans="1:17" s="213" customFormat="1" x14ac:dyDescent="0.25">
      <c r="A37" s="271" t="s">
        <v>58</v>
      </c>
      <c r="B37" s="271"/>
      <c r="C37" s="271" t="s">
        <v>59</v>
      </c>
      <c r="D37" s="271"/>
      <c r="E37" s="271"/>
      <c r="F37" s="271"/>
      <c r="G37" s="271"/>
      <c r="H37" s="271"/>
      <c r="J37" s="289"/>
      <c r="K37" s="213">
        <f>SUM(K31:K35)</f>
        <v>100</v>
      </c>
      <c r="L37" s="10"/>
      <c r="M37" s="10"/>
    </row>
    <row r="38" spans="1:17" s="213" customFormat="1" x14ac:dyDescent="0.25">
      <c r="A38" s="273" t="s">
        <v>60</v>
      </c>
      <c r="B38" s="10" t="s">
        <v>103</v>
      </c>
      <c r="C38" s="291">
        <v>76</v>
      </c>
      <c r="D38" s="288" t="s">
        <v>47</v>
      </c>
      <c r="E38" s="12">
        <v>114</v>
      </c>
      <c r="F38" s="198"/>
      <c r="G38" s="198">
        <v>18</v>
      </c>
      <c r="H38" s="198"/>
      <c r="J38" s="199" t="s">
        <v>99</v>
      </c>
      <c r="K38" s="290">
        <v>1.07</v>
      </c>
      <c r="L38" s="10"/>
      <c r="M38" s="10"/>
    </row>
    <row r="39" spans="1:17" s="213" customFormat="1" x14ac:dyDescent="0.25">
      <c r="A39" s="273" t="s">
        <v>104</v>
      </c>
      <c r="B39" s="273" t="s">
        <v>105</v>
      </c>
      <c r="C39" s="291">
        <v>10</v>
      </c>
      <c r="D39" s="288" t="s">
        <v>47</v>
      </c>
      <c r="E39" s="12">
        <v>10</v>
      </c>
      <c r="F39" s="198"/>
      <c r="G39" s="198">
        <v>521</v>
      </c>
      <c r="H39" s="198"/>
      <c r="J39" s="199" t="s">
        <v>100</v>
      </c>
      <c r="K39" s="290">
        <v>0.5</v>
      </c>
      <c r="L39" s="10"/>
      <c r="M39" s="10"/>
    </row>
    <row r="40" spans="1:17" s="213" customFormat="1" x14ac:dyDescent="0.25">
      <c r="A40" s="273"/>
      <c r="B40" s="273" t="s">
        <v>106</v>
      </c>
      <c r="C40" s="291">
        <v>86</v>
      </c>
      <c r="D40" s="288" t="s">
        <v>47</v>
      </c>
      <c r="E40" s="12">
        <v>20</v>
      </c>
      <c r="F40" s="198"/>
      <c r="G40" s="198">
        <v>200</v>
      </c>
      <c r="H40" s="198"/>
      <c r="I40" s="198"/>
      <c r="J40" s="10"/>
      <c r="K40" s="10"/>
      <c r="L40" s="10"/>
      <c r="M40" s="10"/>
    </row>
    <row r="41" spans="1:17" s="213" customFormat="1" x14ac:dyDescent="0.25">
      <c r="A41" s="273"/>
      <c r="B41" s="273" t="s">
        <v>107</v>
      </c>
      <c r="C41" s="291">
        <v>12</v>
      </c>
      <c r="D41" s="288" t="s">
        <v>47</v>
      </c>
      <c r="E41" s="12">
        <v>27</v>
      </c>
      <c r="F41" s="198"/>
      <c r="G41" s="198">
        <v>298</v>
      </c>
      <c r="H41" s="198"/>
      <c r="I41" s="198"/>
      <c r="J41" s="10"/>
      <c r="K41" s="10"/>
      <c r="L41" s="10"/>
      <c r="M41" s="10"/>
    </row>
    <row r="42" spans="1:17" s="213" customFormat="1" x14ac:dyDescent="0.25">
      <c r="A42" s="273"/>
      <c r="B42" s="273" t="s">
        <v>65</v>
      </c>
      <c r="C42" s="291">
        <v>88</v>
      </c>
      <c r="D42" s="288" t="s">
        <v>47</v>
      </c>
      <c r="E42" s="12">
        <v>18</v>
      </c>
      <c r="F42" s="209"/>
      <c r="G42" s="209">
        <v>346</v>
      </c>
      <c r="H42" s="209"/>
      <c r="I42" s="198"/>
      <c r="J42" s="289"/>
      <c r="K42" s="10"/>
      <c r="L42" s="10"/>
      <c r="M42" s="10"/>
    </row>
    <row r="43" spans="1:17" s="213" customFormat="1" x14ac:dyDescent="0.25">
      <c r="A43" s="271" t="s">
        <v>71</v>
      </c>
      <c r="B43" s="271"/>
      <c r="C43" s="271"/>
      <c r="D43" s="271"/>
      <c r="E43" s="271"/>
      <c r="F43" s="27" t="s">
        <v>72</v>
      </c>
      <c r="G43" s="273"/>
      <c r="H43" s="273" t="s">
        <v>73</v>
      </c>
      <c r="I43" s="10"/>
      <c r="J43" s="10"/>
      <c r="K43" s="10"/>
      <c r="L43" s="10"/>
      <c r="M43" s="10"/>
    </row>
    <row r="44" spans="1:17" s="213" customFormat="1" x14ac:dyDescent="0.25">
      <c r="A44" s="273" t="s">
        <v>108</v>
      </c>
      <c r="B44" s="273"/>
      <c r="C44" s="273"/>
      <c r="D44" s="273"/>
      <c r="E44" s="273"/>
      <c r="F44" s="210">
        <v>1425</v>
      </c>
      <c r="G44" s="383"/>
      <c r="H44" s="383">
        <f>+F44*2.471</f>
        <v>3521.1750000000002</v>
      </c>
      <c r="I44" s="379"/>
      <c r="J44" s="10"/>
      <c r="K44" s="10"/>
      <c r="L44" s="10"/>
      <c r="M44" s="10"/>
    </row>
    <row r="45" spans="1:17" s="213" customFormat="1" x14ac:dyDescent="0.25">
      <c r="A45" s="273" t="s">
        <v>109</v>
      </c>
      <c r="B45" s="273"/>
      <c r="C45" s="273"/>
      <c r="D45" s="273"/>
      <c r="E45" s="273"/>
      <c r="F45" s="198">
        <v>90</v>
      </c>
      <c r="G45" s="294"/>
      <c r="H45" s="383"/>
      <c r="I45" s="379"/>
      <c r="J45" s="10"/>
      <c r="K45" s="10"/>
      <c r="L45" s="10"/>
      <c r="M45" s="10"/>
    </row>
    <row r="46" spans="1:17" s="213" customFormat="1" x14ac:dyDescent="0.25">
      <c r="A46" s="273" t="s">
        <v>110</v>
      </c>
      <c r="B46" s="273"/>
      <c r="C46" s="273"/>
      <c r="D46" s="273"/>
      <c r="E46" s="273"/>
      <c r="F46" s="210">
        <f>+F44*F45</f>
        <v>128250</v>
      </c>
      <c r="G46" s="210"/>
      <c r="H46" s="383">
        <f>+F46*2.471</f>
        <v>316905.75</v>
      </c>
      <c r="J46" s="10"/>
      <c r="K46" s="10"/>
      <c r="L46" s="10"/>
      <c r="M46" s="10"/>
    </row>
    <row r="47" spans="1:17" s="213" customFormat="1" x14ac:dyDescent="0.25">
      <c r="A47" s="273" t="s">
        <v>111</v>
      </c>
      <c r="B47" s="273"/>
      <c r="C47" s="273"/>
      <c r="D47" s="273"/>
      <c r="E47" s="273"/>
      <c r="F47" s="210">
        <f>+F46-K25</f>
        <v>6392.4099999999889</v>
      </c>
      <c r="G47" s="210"/>
      <c r="H47" s="383">
        <f>+F47*2.471</f>
        <v>15795.645109999974</v>
      </c>
      <c r="J47" s="12"/>
      <c r="K47" s="12"/>
      <c r="L47" s="10"/>
      <c r="M47" s="10"/>
    </row>
    <row r="48" spans="1:17" s="213" customFormat="1" x14ac:dyDescent="0.25">
      <c r="A48" s="273" t="s">
        <v>112</v>
      </c>
      <c r="B48" s="273"/>
      <c r="C48" s="273"/>
      <c r="D48" s="273"/>
      <c r="E48" s="273"/>
      <c r="F48" s="210">
        <f>+F46-K26</f>
        <v>42459</v>
      </c>
      <c r="G48" s="210"/>
      <c r="H48" s="383">
        <f>+F48*2.471</f>
        <v>104916.189</v>
      </c>
      <c r="J48" s="12"/>
      <c r="K48" s="10"/>
      <c r="L48" s="10"/>
      <c r="M48" s="10"/>
    </row>
    <row r="49" spans="1:13" s="213" customFormat="1" x14ac:dyDescent="0.25">
      <c r="A49" s="273" t="s">
        <v>262</v>
      </c>
      <c r="B49" s="273"/>
      <c r="C49" s="273"/>
      <c r="D49" s="273"/>
      <c r="E49" s="273"/>
      <c r="F49" s="198">
        <f>+K25/F44</f>
        <v>85.514098245614036</v>
      </c>
      <c r="G49" s="294"/>
      <c r="H49" s="294"/>
      <c r="I49" s="10"/>
      <c r="J49" s="10"/>
      <c r="K49" s="10"/>
      <c r="L49" s="10"/>
      <c r="M49" s="10"/>
    </row>
    <row r="50" spans="1:13" s="213" customFormat="1" x14ac:dyDescent="0.25">
      <c r="A50" s="274" t="s">
        <v>263</v>
      </c>
      <c r="B50" s="274"/>
      <c r="C50" s="274"/>
      <c r="D50" s="274"/>
      <c r="E50" s="274"/>
      <c r="F50" s="209">
        <f>+K26/F44</f>
        <v>60.204210526315791</v>
      </c>
      <c r="G50" s="295"/>
      <c r="H50" s="295"/>
      <c r="I50" s="10"/>
      <c r="J50" s="10"/>
      <c r="K50" s="10"/>
      <c r="L50" s="10"/>
      <c r="M50" s="10"/>
    </row>
    <row r="51" spans="1:13" s="213" customFormat="1" x14ac:dyDescent="0.25"/>
    <row r="52" spans="1:13" s="213" customFormat="1" x14ac:dyDescent="0.25"/>
    <row r="53" spans="1:13" s="213" customFormat="1" x14ac:dyDescent="0.25"/>
    <row r="54" spans="1:13" s="213" customFormat="1" x14ac:dyDescent="0.25">
      <c r="A54" s="296"/>
      <c r="C54" s="1070"/>
      <c r="D54" s="1070"/>
    </row>
    <row r="55" spans="1:13" s="213" customFormat="1" x14ac:dyDescent="0.25"/>
  </sheetData>
  <mergeCells count="6">
    <mergeCell ref="J15:J16"/>
    <mergeCell ref="C54:D54"/>
    <mergeCell ref="E15:E16"/>
    <mergeCell ref="F15:F16"/>
    <mergeCell ref="G15:G16"/>
    <mergeCell ref="H15:H16"/>
  </mergeCells>
  <pageMargins left="0.7" right="0.7" top="0.75" bottom="0.75" header="0.3" footer="0.3"/>
  <pageSetup paperSize="9" scale="53" fitToHeight="0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1"/>
  <sheetViews>
    <sheetView topLeftCell="A7" zoomScale="75" zoomScaleNormal="75" workbookViewId="0">
      <selection activeCell="N52" sqref="N52"/>
    </sheetView>
  </sheetViews>
  <sheetFormatPr defaultRowHeight="15" x14ac:dyDescent="0.25"/>
  <cols>
    <col min="1" max="1" width="27.5703125" style="155" customWidth="1"/>
    <col min="2" max="2" width="6.7109375" style="155" customWidth="1"/>
    <col min="3" max="3" width="7" style="155" customWidth="1"/>
    <col min="4" max="4" width="12.42578125" style="155" customWidth="1"/>
    <col min="5" max="5" width="7" style="155" customWidth="1"/>
    <col min="6" max="6" width="11" style="155" customWidth="1"/>
    <col min="7" max="7" width="10.42578125" style="155" customWidth="1"/>
    <col min="8" max="8" width="11.42578125" style="155" bestFit="1" customWidth="1"/>
    <col min="9" max="10" width="10.42578125" style="155" bestFit="1" customWidth="1"/>
    <col min="11" max="11" width="11.42578125" style="155" bestFit="1" customWidth="1"/>
    <col min="12" max="13" width="9.42578125" style="155" bestFit="1" customWidth="1"/>
    <col min="14" max="16384" width="9.140625" style="155"/>
  </cols>
  <sheetData>
    <row r="1" spans="1:25" x14ac:dyDescent="0.25">
      <c r="A1" s="24" t="s">
        <v>0</v>
      </c>
      <c r="B1" s="154" t="s">
        <v>161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25" x14ac:dyDescent="0.25">
      <c r="A2" s="24"/>
      <c r="B2" s="156" t="s">
        <v>162</v>
      </c>
      <c r="C2" s="156"/>
      <c r="D2" s="156"/>
      <c r="E2" s="156"/>
      <c r="F2" s="24"/>
      <c r="G2" s="24"/>
      <c r="H2" s="24"/>
      <c r="I2" s="24"/>
      <c r="J2" s="24"/>
      <c r="K2" s="24"/>
      <c r="L2" s="24"/>
      <c r="M2" s="24"/>
      <c r="N2" s="169"/>
    </row>
    <row r="3" spans="1:25" x14ac:dyDescent="0.25">
      <c r="A3" s="24"/>
      <c r="B3" s="154" t="s">
        <v>163</v>
      </c>
      <c r="C3" s="154"/>
      <c r="D3" s="154"/>
      <c r="E3" s="154"/>
      <c r="F3" s="24"/>
      <c r="G3" s="24"/>
      <c r="H3" s="24"/>
      <c r="I3" s="24"/>
      <c r="J3" s="24"/>
      <c r="K3" s="24"/>
      <c r="L3" s="24"/>
      <c r="M3" s="24"/>
    </row>
    <row r="4" spans="1:25" x14ac:dyDescent="0.25">
      <c r="A4" s="24"/>
      <c r="B4" s="154"/>
      <c r="C4" s="154"/>
      <c r="D4" s="154"/>
      <c r="E4" s="154"/>
      <c r="F4" s="24"/>
      <c r="G4" s="24"/>
      <c r="H4" s="24"/>
      <c r="I4" s="24"/>
      <c r="J4" s="24"/>
      <c r="K4" s="24"/>
      <c r="L4" s="24"/>
      <c r="M4" s="24"/>
    </row>
    <row r="5" spans="1:25" x14ac:dyDescent="0.25">
      <c r="A5" s="16" t="s">
        <v>6</v>
      </c>
      <c r="B5" s="16"/>
      <c r="C5" s="157" t="s">
        <v>7</v>
      </c>
      <c r="D5" s="157" t="s">
        <v>8</v>
      </c>
      <c r="E5" s="157" t="s">
        <v>9</v>
      </c>
      <c r="F5" s="157" t="s">
        <v>10</v>
      </c>
      <c r="G5" s="157" t="s">
        <v>86</v>
      </c>
      <c r="H5" s="158" t="s">
        <v>12</v>
      </c>
      <c r="I5" s="158" t="s">
        <v>13</v>
      </c>
      <c r="J5" s="158" t="s">
        <v>14</v>
      </c>
      <c r="K5" s="159" t="s">
        <v>15</v>
      </c>
      <c r="L5" s="157"/>
    </row>
    <row r="6" spans="1:25" x14ac:dyDescent="0.25">
      <c r="A6" s="1"/>
      <c r="B6" s="1"/>
      <c r="C6" s="46" t="s">
        <v>16</v>
      </c>
      <c r="D6" s="46" t="s">
        <v>17</v>
      </c>
      <c r="E6" s="46" t="s">
        <v>17</v>
      </c>
      <c r="F6" s="46" t="s">
        <v>18</v>
      </c>
      <c r="G6" s="46" t="s">
        <v>87</v>
      </c>
      <c r="H6" s="215" t="s">
        <v>20</v>
      </c>
      <c r="I6" s="215" t="s">
        <v>19</v>
      </c>
      <c r="J6" s="215" t="s">
        <v>19</v>
      </c>
      <c r="K6" s="46" t="s">
        <v>12</v>
      </c>
      <c r="L6" s="46" t="s">
        <v>13</v>
      </c>
    </row>
    <row r="7" spans="1:25" x14ac:dyDescent="0.25">
      <c r="A7" s="1"/>
      <c r="B7" s="1"/>
      <c r="C7" s="46" t="s">
        <v>21</v>
      </c>
      <c r="D7" s="46"/>
      <c r="E7" s="46"/>
      <c r="F7" s="46"/>
      <c r="G7" s="46"/>
      <c r="H7" s="215" t="s">
        <v>19</v>
      </c>
      <c r="I7" s="215" t="s">
        <v>22</v>
      </c>
      <c r="J7" s="215" t="s">
        <v>22</v>
      </c>
      <c r="K7" s="46"/>
      <c r="L7" s="46"/>
    </row>
    <row r="8" spans="1:25" x14ac:dyDescent="0.25">
      <c r="A8" s="20"/>
      <c r="B8" s="20"/>
      <c r="C8" s="161"/>
      <c r="D8" s="161"/>
      <c r="E8" s="161"/>
      <c r="F8" s="161"/>
      <c r="G8" s="161"/>
      <c r="H8" s="162" t="s">
        <v>22</v>
      </c>
      <c r="I8" s="162"/>
      <c r="J8" s="162"/>
      <c r="K8" s="161"/>
      <c r="L8" s="161"/>
    </row>
    <row r="9" spans="1:25" x14ac:dyDescent="0.25">
      <c r="A9" s="1" t="s">
        <v>23</v>
      </c>
      <c r="B9" s="1"/>
      <c r="C9" s="216">
        <f>(31/32)*100</f>
        <v>96.875</v>
      </c>
      <c r="D9" s="31">
        <v>1.79</v>
      </c>
      <c r="E9" s="31">
        <v>1.72</v>
      </c>
      <c r="F9" s="171">
        <v>2265</v>
      </c>
      <c r="G9" s="615">
        <f>F9*D9</f>
        <v>4054.35</v>
      </c>
      <c r="H9" s="14"/>
      <c r="I9" s="14"/>
      <c r="J9" s="14">
        <f>G9+H9+I9</f>
        <v>4054.35</v>
      </c>
      <c r="K9" s="217"/>
      <c r="L9" s="218"/>
      <c r="P9" s="219"/>
      <c r="Q9" s="31"/>
      <c r="R9" s="31"/>
      <c r="S9" s="31"/>
      <c r="T9" s="31"/>
      <c r="U9" s="1"/>
      <c r="V9" s="31"/>
      <c r="W9" s="31"/>
      <c r="X9" s="1"/>
      <c r="Y9" s="1"/>
    </row>
    <row r="10" spans="1:25" ht="18" x14ac:dyDescent="0.25">
      <c r="A10" s="1" t="s">
        <v>164</v>
      </c>
      <c r="B10" s="169"/>
      <c r="C10" s="216">
        <v>83</v>
      </c>
      <c r="D10" s="31">
        <v>0.64</v>
      </c>
      <c r="E10" s="31">
        <v>0.54</v>
      </c>
      <c r="F10" s="171">
        <v>2000</v>
      </c>
      <c r="G10" s="615">
        <f>F10*D10</f>
        <v>1280</v>
      </c>
      <c r="H10" s="438">
        <v>23507</v>
      </c>
      <c r="I10" s="14"/>
      <c r="J10" s="14">
        <f>G10+H10+I10</f>
        <v>24787</v>
      </c>
      <c r="K10" s="171">
        <v>1285</v>
      </c>
      <c r="L10" s="220"/>
      <c r="P10" s="219"/>
      <c r="Q10" s="31"/>
      <c r="R10" s="31"/>
      <c r="S10" s="31"/>
      <c r="T10" s="31"/>
      <c r="U10" s="31"/>
      <c r="V10" s="31"/>
      <c r="W10" s="31"/>
      <c r="X10" s="1"/>
      <c r="Y10" s="169"/>
    </row>
    <row r="11" spans="1:25" x14ac:dyDescent="0.25">
      <c r="A11" s="1" t="s">
        <v>165</v>
      </c>
      <c r="B11" s="1"/>
      <c r="C11" s="216" t="s">
        <v>166</v>
      </c>
      <c r="D11" s="40"/>
      <c r="E11" s="40"/>
      <c r="F11" s="221"/>
      <c r="G11" s="616" t="s">
        <v>167</v>
      </c>
      <c r="H11" s="617"/>
      <c r="I11" s="222"/>
      <c r="J11" s="14"/>
      <c r="K11" s="223"/>
      <c r="L11" s="224"/>
      <c r="P11" s="225"/>
      <c r="Q11" s="181"/>
      <c r="R11" s="181"/>
      <c r="S11" s="181"/>
      <c r="T11" s="181"/>
      <c r="U11" s="181"/>
      <c r="V11" s="181"/>
      <c r="W11" s="181"/>
      <c r="X11" s="181"/>
      <c r="Y11" s="169"/>
    </row>
    <row r="12" spans="1:25" x14ac:dyDescent="0.25">
      <c r="A12" s="1" t="s">
        <v>25</v>
      </c>
      <c r="B12" s="1"/>
      <c r="C12" s="216">
        <f>32/32*100</f>
        <v>100</v>
      </c>
      <c r="D12" s="31">
        <v>3.47</v>
      </c>
      <c r="E12" s="31">
        <v>2.7</v>
      </c>
      <c r="F12" s="171">
        <v>2432</v>
      </c>
      <c r="G12" s="615">
        <f>F12*D12</f>
        <v>8439.0400000000009</v>
      </c>
      <c r="H12" s="438"/>
      <c r="I12" s="14"/>
      <c r="J12" s="14">
        <f>G12+H12+I12</f>
        <v>8439.0400000000009</v>
      </c>
      <c r="K12" s="171"/>
      <c r="L12" s="220"/>
      <c r="P12" s="219"/>
      <c r="Q12" s="31"/>
      <c r="R12" s="31"/>
      <c r="S12" s="31"/>
      <c r="T12" s="31"/>
      <c r="U12" s="31"/>
      <c r="V12" s="31"/>
      <c r="W12" s="31"/>
      <c r="X12" s="31"/>
      <c r="Y12" s="31"/>
    </row>
    <row r="13" spans="1:25" x14ac:dyDescent="0.25">
      <c r="A13" s="1" t="s">
        <v>126</v>
      </c>
      <c r="B13" s="1"/>
      <c r="C13" s="216">
        <f>(30/32)*100</f>
        <v>93.75</v>
      </c>
      <c r="D13" s="31">
        <v>2.61</v>
      </c>
      <c r="E13" s="31">
        <v>1.97</v>
      </c>
      <c r="F13" s="171">
        <v>2025</v>
      </c>
      <c r="G13" s="615">
        <f>F13*D13</f>
        <v>5285.25</v>
      </c>
      <c r="H13" s="438"/>
      <c r="I13" s="14">
        <f>D33*F33</f>
        <v>7178</v>
      </c>
      <c r="J13" s="14">
        <f>G13+H13+I13</f>
        <v>12463.25</v>
      </c>
      <c r="K13" s="171"/>
      <c r="L13" s="220">
        <v>2472</v>
      </c>
      <c r="P13" s="219"/>
      <c r="Q13" s="31"/>
      <c r="R13" s="31"/>
      <c r="S13" s="31"/>
      <c r="T13" s="31"/>
      <c r="U13" s="31"/>
      <c r="V13" s="31"/>
      <c r="W13" s="31"/>
      <c r="X13" s="1"/>
      <c r="Y13" s="31"/>
    </row>
    <row r="14" spans="1:25" x14ac:dyDescent="0.25">
      <c r="A14" s="1" t="s">
        <v>168</v>
      </c>
      <c r="B14" s="1"/>
      <c r="C14" s="216" t="s">
        <v>169</v>
      </c>
      <c r="D14" s="40"/>
      <c r="E14" s="40"/>
      <c r="F14" s="221"/>
      <c r="G14" s="616" t="s">
        <v>170</v>
      </c>
      <c r="H14" s="438"/>
      <c r="I14" s="226"/>
      <c r="J14" s="14"/>
      <c r="K14" s="224"/>
      <c r="L14" s="224"/>
      <c r="P14" s="225"/>
      <c r="Q14" s="227"/>
      <c r="R14" s="181"/>
      <c r="S14" s="181"/>
      <c r="T14" s="181"/>
      <c r="U14" s="181"/>
      <c r="V14" s="181"/>
      <c r="W14" s="181"/>
      <c r="X14" s="169"/>
      <c r="Y14" s="181"/>
    </row>
    <row r="15" spans="1:25" x14ac:dyDescent="0.25">
      <c r="A15" s="1" t="s">
        <v>91</v>
      </c>
      <c r="B15" s="1"/>
      <c r="C15" s="216">
        <f>(22/32)*100</f>
        <v>68.75</v>
      </c>
      <c r="D15" s="436">
        <v>1.08</v>
      </c>
      <c r="E15" s="436">
        <v>1.04</v>
      </c>
      <c r="F15" s="437">
        <v>2500</v>
      </c>
      <c r="G15" s="442">
        <f>F15*D15</f>
        <v>2700</v>
      </c>
      <c r="H15" s="441">
        <v>517</v>
      </c>
      <c r="I15" s="14"/>
      <c r="J15" s="443">
        <f>+G15+H15+I16</f>
        <v>12538</v>
      </c>
      <c r="K15" s="171"/>
      <c r="L15" s="171"/>
      <c r="N15" s="172"/>
      <c r="P15" s="219"/>
      <c r="Q15" s="31"/>
      <c r="R15" s="31"/>
      <c r="S15" s="31"/>
      <c r="T15" s="31"/>
      <c r="U15" s="31"/>
      <c r="V15" s="31"/>
      <c r="W15" s="31"/>
      <c r="X15" s="31"/>
      <c r="Y15" s="31"/>
    </row>
    <row r="16" spans="1:25" x14ac:dyDescent="0.25">
      <c r="A16" s="1" t="s">
        <v>92</v>
      </c>
      <c r="B16" s="1"/>
      <c r="C16" s="216">
        <f>(32/32)*100</f>
        <v>100</v>
      </c>
      <c r="D16" s="436"/>
      <c r="E16" s="436"/>
      <c r="F16" s="437"/>
      <c r="G16" s="442"/>
      <c r="H16" s="441"/>
      <c r="I16" s="14">
        <f>(D44*F44)+(D45*F45)</f>
        <v>9321</v>
      </c>
      <c r="J16" s="443"/>
      <c r="K16" s="171"/>
      <c r="L16" s="171"/>
      <c r="N16" s="172"/>
      <c r="P16" s="219"/>
      <c r="Q16" s="31"/>
      <c r="R16" s="31"/>
      <c r="S16" s="31"/>
      <c r="T16" s="31"/>
      <c r="U16" s="31"/>
      <c r="V16" s="31"/>
      <c r="W16" s="31"/>
      <c r="X16" s="31"/>
      <c r="Y16" s="31"/>
    </row>
    <row r="17" spans="1:25" x14ac:dyDescent="0.25">
      <c r="A17" s="1" t="s">
        <v>28</v>
      </c>
      <c r="B17" s="1"/>
      <c r="C17" s="216">
        <f>(31/32)*100</f>
        <v>96.875</v>
      </c>
      <c r="D17" s="31">
        <v>0.55000000000000004</v>
      </c>
      <c r="E17" s="31">
        <v>0.47</v>
      </c>
      <c r="F17" s="171">
        <v>2307</v>
      </c>
      <c r="G17" s="615">
        <f>F17*D17</f>
        <v>1268.8500000000001</v>
      </c>
      <c r="H17" s="438"/>
      <c r="I17" s="14">
        <v>5541</v>
      </c>
      <c r="J17" s="14">
        <f>+I17+H17+G17</f>
        <v>6809.85</v>
      </c>
      <c r="K17" s="171"/>
      <c r="L17" s="171"/>
      <c r="P17" s="219"/>
      <c r="Q17" s="31"/>
      <c r="R17" s="31"/>
      <c r="S17" s="31"/>
      <c r="T17" s="31"/>
      <c r="U17" s="31"/>
      <c r="V17" s="31"/>
      <c r="W17" s="31"/>
      <c r="X17" s="31"/>
      <c r="Y17" s="31"/>
    </row>
    <row r="18" spans="1:25" x14ac:dyDescent="0.25">
      <c r="A18" s="1" t="s">
        <v>171</v>
      </c>
      <c r="B18" s="1"/>
      <c r="C18" s="216" t="s">
        <v>172</v>
      </c>
      <c r="D18" s="31"/>
      <c r="E18" s="31"/>
      <c r="F18" s="171"/>
      <c r="G18" s="616" t="s">
        <v>173</v>
      </c>
      <c r="H18" s="438"/>
      <c r="I18" s="14"/>
      <c r="J18" s="14"/>
      <c r="K18" s="171"/>
      <c r="L18" s="171"/>
      <c r="P18" s="219"/>
      <c r="Q18" s="31"/>
      <c r="R18" s="31"/>
      <c r="S18" s="31"/>
      <c r="T18" s="31"/>
      <c r="U18" s="31"/>
      <c r="V18" s="31"/>
      <c r="W18" s="31"/>
      <c r="X18" s="31"/>
      <c r="Y18" s="31"/>
    </row>
    <row r="19" spans="1:25" x14ac:dyDescent="0.25">
      <c r="A19" s="1" t="s">
        <v>93</v>
      </c>
      <c r="B19" s="1"/>
      <c r="C19" s="216">
        <f>(16/32)*100</f>
        <v>50</v>
      </c>
      <c r="D19" s="31">
        <f>'[4]Weedicide Pest'!S41</f>
        <v>1.0341599190283399</v>
      </c>
      <c r="E19" s="31">
        <f>'[4]Weedicide Pest'!S39</f>
        <v>0.63942307692307676</v>
      </c>
      <c r="F19" s="171">
        <f>'[4]Weedicide Pest'!X37</f>
        <v>2250</v>
      </c>
      <c r="G19" s="615">
        <f>F19*D19</f>
        <v>2326.8598178137649</v>
      </c>
      <c r="H19" s="438"/>
      <c r="I19" s="14">
        <v>3875</v>
      </c>
      <c r="J19" s="14">
        <f t="shared" ref="J19:J24" si="0">+I19+H19+G19</f>
        <v>6201.8598178137654</v>
      </c>
      <c r="K19" s="171"/>
      <c r="L19" s="171"/>
      <c r="P19" s="219"/>
      <c r="Q19" s="31"/>
      <c r="R19" s="31"/>
      <c r="S19" s="31"/>
      <c r="T19" s="31"/>
      <c r="U19" s="31"/>
      <c r="V19" s="31"/>
      <c r="W19" s="31"/>
      <c r="X19" s="31"/>
      <c r="Y19" s="31"/>
    </row>
    <row r="20" spans="1:25" x14ac:dyDescent="0.25">
      <c r="A20" s="1" t="s">
        <v>174</v>
      </c>
      <c r="B20" s="1"/>
      <c r="C20" s="216">
        <f>(28/32)*100</f>
        <v>87.5</v>
      </c>
      <c r="D20" s="31">
        <v>1.01</v>
      </c>
      <c r="E20" s="31">
        <v>0.85</v>
      </c>
      <c r="F20" s="171">
        <v>2184</v>
      </c>
      <c r="G20" s="714">
        <f>+D20*F20</f>
        <v>2205.84</v>
      </c>
      <c r="H20" s="438">
        <v>19195</v>
      </c>
      <c r="I20" s="14"/>
      <c r="J20" s="14">
        <f t="shared" si="0"/>
        <v>21400.84</v>
      </c>
      <c r="K20" s="171"/>
      <c r="L20" s="171"/>
      <c r="P20" s="219"/>
      <c r="Q20" s="31"/>
      <c r="R20" s="31"/>
      <c r="S20" s="31"/>
      <c r="T20" s="31"/>
      <c r="U20" s="31"/>
      <c r="V20" s="31"/>
      <c r="W20" s="31"/>
      <c r="X20" s="31"/>
      <c r="Y20" s="1"/>
    </row>
    <row r="21" spans="1:25" x14ac:dyDescent="0.25">
      <c r="A21" s="1" t="s">
        <v>175</v>
      </c>
      <c r="B21" s="1"/>
      <c r="C21" s="216" t="s">
        <v>176</v>
      </c>
      <c r="D21" s="40"/>
      <c r="E21" s="40"/>
      <c r="F21" s="171"/>
      <c r="G21" s="616" t="s">
        <v>177</v>
      </c>
      <c r="H21" s="438"/>
      <c r="I21" s="222"/>
      <c r="J21" s="14"/>
      <c r="K21" s="171"/>
      <c r="L21" s="171"/>
      <c r="P21" s="219"/>
      <c r="Q21" s="31"/>
      <c r="R21" s="31"/>
      <c r="S21" s="31"/>
      <c r="T21" s="31"/>
      <c r="U21" s="31"/>
      <c r="V21" s="31"/>
      <c r="W21" s="31"/>
      <c r="X21" s="31"/>
      <c r="Y21" s="1"/>
    </row>
    <row r="22" spans="1:25" x14ac:dyDescent="0.25">
      <c r="A22" s="1" t="s">
        <v>178</v>
      </c>
      <c r="B22" s="1"/>
      <c r="C22" s="216" t="s">
        <v>176</v>
      </c>
      <c r="D22" s="31"/>
      <c r="E22" s="31"/>
      <c r="F22" s="171"/>
      <c r="G22" s="616" t="s">
        <v>179</v>
      </c>
      <c r="H22" s="618" t="s">
        <v>180</v>
      </c>
      <c r="I22" s="222"/>
      <c r="J22" s="14"/>
      <c r="K22" s="171"/>
      <c r="L22" s="171"/>
      <c r="P22" s="219"/>
      <c r="Q22" s="31"/>
      <c r="R22" s="31"/>
      <c r="S22" s="31"/>
      <c r="T22" s="31"/>
      <c r="U22" s="31"/>
      <c r="V22" s="31"/>
      <c r="W22" s="31"/>
      <c r="X22" s="31"/>
      <c r="Y22" s="1"/>
    </row>
    <row r="23" spans="1:25" x14ac:dyDescent="0.25">
      <c r="A23" s="1" t="s">
        <v>133</v>
      </c>
      <c r="B23" s="1"/>
      <c r="C23" s="216">
        <v>84</v>
      </c>
      <c r="D23" s="31">
        <v>2.04</v>
      </c>
      <c r="E23" s="31">
        <v>2</v>
      </c>
      <c r="F23" s="171">
        <v>2000</v>
      </c>
      <c r="G23" s="615">
        <f>F23*D23</f>
        <v>4080</v>
      </c>
      <c r="H23" s="438"/>
      <c r="I23" s="14"/>
      <c r="J23" s="14">
        <f t="shared" si="0"/>
        <v>4080</v>
      </c>
      <c r="K23" s="171"/>
      <c r="L23" s="171"/>
      <c r="P23" s="219"/>
      <c r="Q23" s="31"/>
      <c r="R23" s="31"/>
      <c r="S23" s="31"/>
      <c r="T23" s="31"/>
      <c r="U23" s="31"/>
      <c r="V23" s="31"/>
      <c r="W23" s="31"/>
      <c r="X23" s="31"/>
      <c r="Y23" s="31"/>
    </row>
    <row r="24" spans="1:25" x14ac:dyDescent="0.25">
      <c r="A24" s="1" t="s">
        <v>181</v>
      </c>
      <c r="B24" s="1"/>
      <c r="C24" s="216">
        <v>100</v>
      </c>
      <c r="D24" s="228">
        <v>0.15</v>
      </c>
      <c r="E24" s="228">
        <v>0.15</v>
      </c>
      <c r="F24" s="221">
        <v>2000</v>
      </c>
      <c r="G24" s="615">
        <f>F24*D24</f>
        <v>300</v>
      </c>
      <c r="H24" s="618">
        <v>1410</v>
      </c>
      <c r="I24" s="226"/>
      <c r="J24" s="14">
        <f t="shared" si="0"/>
        <v>1710</v>
      </c>
      <c r="K24" s="221">
        <v>176</v>
      </c>
      <c r="L24" s="220"/>
      <c r="P24" s="219"/>
      <c r="Q24" s="228"/>
      <c r="R24" s="228"/>
      <c r="S24" s="228"/>
      <c r="T24" s="31"/>
      <c r="U24" s="228"/>
      <c r="V24" s="228"/>
      <c r="W24" s="31"/>
      <c r="X24" s="228"/>
      <c r="Y24" s="176"/>
    </row>
    <row r="25" spans="1:25" x14ac:dyDescent="0.25">
      <c r="A25" s="169" t="s">
        <v>34</v>
      </c>
      <c r="B25" s="169"/>
      <c r="C25" s="229"/>
      <c r="D25" s="181"/>
      <c r="E25" s="181"/>
      <c r="F25" s="170"/>
      <c r="G25" s="615"/>
      <c r="H25" s="180"/>
      <c r="I25" s="180"/>
      <c r="J25" s="14">
        <v>900</v>
      </c>
      <c r="K25" s="170"/>
      <c r="L25" s="170"/>
      <c r="P25" s="229"/>
      <c r="Q25" s="181"/>
      <c r="R25" s="181"/>
      <c r="S25" s="181"/>
      <c r="T25" s="181"/>
      <c r="U25" s="181"/>
      <c r="V25" s="181"/>
      <c r="W25" s="31"/>
      <c r="X25" s="181"/>
      <c r="Y25" s="181"/>
    </row>
    <row r="26" spans="1:25" x14ac:dyDescent="0.25">
      <c r="A26" s="16" t="s">
        <v>35</v>
      </c>
      <c r="B26" s="16"/>
      <c r="C26" s="230"/>
      <c r="D26" s="18">
        <f>D9+D10+D12+D13+D15+D17+D19+D20+D23+D24</f>
        <v>14.374159919028342</v>
      </c>
      <c r="E26" s="18">
        <f>E9+E10+E12+E13+E15+E17+E19+E20+E23+E24</f>
        <v>12.079423076923076</v>
      </c>
      <c r="F26" s="19"/>
      <c r="G26" s="19">
        <f>SUM(G9:G25)</f>
        <v>31940.189817813764</v>
      </c>
      <c r="H26" s="19">
        <f>SUM(H9:H25)</f>
        <v>44629</v>
      </c>
      <c r="I26" s="19">
        <f>SUM(I9:I25)</f>
        <v>25915</v>
      </c>
      <c r="J26" s="19">
        <f>SUM(J9:J25)</f>
        <v>103384.18981781376</v>
      </c>
      <c r="K26" s="19">
        <f>SUM(K9:K25)</f>
        <v>1461</v>
      </c>
      <c r="L26" s="19">
        <f>L13</f>
        <v>2472</v>
      </c>
      <c r="O26" s="172"/>
      <c r="P26" s="172"/>
      <c r="Q26" s="184"/>
      <c r="R26" s="172"/>
    </row>
    <row r="27" spans="1:25" x14ac:dyDescent="0.25">
      <c r="A27" s="20" t="s">
        <v>36</v>
      </c>
      <c r="B27" s="20"/>
      <c r="C27" s="231"/>
      <c r="D27" s="22">
        <f>D26-E26</f>
        <v>2.2947368421052659</v>
      </c>
      <c r="E27" s="22"/>
      <c r="F27" s="23"/>
      <c r="G27" s="23">
        <f>D36*F36</f>
        <v>4560</v>
      </c>
      <c r="H27" s="185">
        <f>H26-K26</f>
        <v>43168</v>
      </c>
      <c r="I27" s="185">
        <f>I26-L26</f>
        <v>23443</v>
      </c>
      <c r="J27" s="186">
        <f>G27+H27+I27</f>
        <v>71171</v>
      </c>
      <c r="K27" s="23"/>
      <c r="L27" s="23"/>
      <c r="O27" s="172"/>
      <c r="P27" s="172"/>
      <c r="Q27" s="184"/>
      <c r="R27" s="172"/>
    </row>
    <row r="28" spans="1:2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5" x14ac:dyDescent="0.25">
      <c r="A29" s="1"/>
      <c r="B29" s="1"/>
      <c r="C29" s="1" t="s">
        <v>37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5" x14ac:dyDescent="0.25">
      <c r="A30" s="1" t="s">
        <v>96</v>
      </c>
      <c r="B30" s="1"/>
      <c r="C30" s="1"/>
      <c r="D30" s="1"/>
      <c r="E30" s="1"/>
      <c r="F30" s="1"/>
      <c r="G30" s="1"/>
      <c r="H30" s="34"/>
      <c r="I30" s="232" t="s">
        <v>42</v>
      </c>
      <c r="J30" s="233" t="s">
        <v>182</v>
      </c>
      <c r="L30" s="1"/>
      <c r="M30" s="234"/>
    </row>
    <row r="31" spans="1:25" x14ac:dyDescent="0.25">
      <c r="A31" s="25" t="s">
        <v>38</v>
      </c>
      <c r="B31" s="25"/>
      <c r="C31" s="25"/>
      <c r="D31" s="192"/>
      <c r="E31" s="192"/>
      <c r="F31" s="192" t="s">
        <v>183</v>
      </c>
      <c r="H31" s="193"/>
      <c r="I31" s="235" t="s">
        <v>184</v>
      </c>
      <c r="J31" s="236">
        <v>33</v>
      </c>
      <c r="M31" s="237"/>
    </row>
    <row r="32" spans="1:25" x14ac:dyDescent="0.25">
      <c r="A32" s="1" t="s">
        <v>43</v>
      </c>
      <c r="B32" s="1"/>
      <c r="C32" s="1"/>
      <c r="D32" s="196"/>
      <c r="E32" s="1"/>
      <c r="F32" s="1"/>
      <c r="H32" s="34"/>
      <c r="I32" s="155" t="s">
        <v>185</v>
      </c>
      <c r="J32" s="236">
        <v>14</v>
      </c>
      <c r="L32" s="1"/>
      <c r="M32" s="234"/>
    </row>
    <row r="33" spans="1:18" x14ac:dyDescent="0.25">
      <c r="A33" s="1" t="s">
        <v>46</v>
      </c>
      <c r="B33" s="1"/>
      <c r="C33" s="1" t="s">
        <v>47</v>
      </c>
      <c r="D33" s="12">
        <v>37</v>
      </c>
      <c r="E33" s="440"/>
      <c r="F33" s="12">
        <v>194</v>
      </c>
      <c r="H33" s="238"/>
      <c r="I33" s="235" t="s">
        <v>186</v>
      </c>
      <c r="J33" s="155">
        <v>13</v>
      </c>
      <c r="L33" s="1"/>
      <c r="M33" s="234"/>
    </row>
    <row r="34" spans="1:18" x14ac:dyDescent="0.25">
      <c r="A34" s="1"/>
      <c r="B34" s="1"/>
      <c r="C34" s="1"/>
      <c r="D34" s="239"/>
      <c r="E34" s="201"/>
      <c r="F34" s="40"/>
      <c r="H34" s="43"/>
      <c r="I34" s="235" t="s">
        <v>187</v>
      </c>
      <c r="J34" s="236">
        <v>10</v>
      </c>
      <c r="L34" s="1"/>
      <c r="M34" s="234"/>
    </row>
    <row r="35" spans="1:18" x14ac:dyDescent="0.25">
      <c r="A35" s="1" t="s">
        <v>51</v>
      </c>
      <c r="B35" s="1"/>
      <c r="C35" s="1"/>
      <c r="D35" s="31"/>
      <c r="E35" s="1"/>
      <c r="F35" s="1"/>
      <c r="H35" s="34"/>
      <c r="I35" s="235" t="s">
        <v>188</v>
      </c>
      <c r="J35" s="236">
        <v>10</v>
      </c>
      <c r="L35" s="1"/>
      <c r="M35" s="234"/>
    </row>
    <row r="36" spans="1:18" x14ac:dyDescent="0.25">
      <c r="A36" s="1" t="s">
        <v>53</v>
      </c>
      <c r="B36" s="1"/>
      <c r="C36" s="1" t="s">
        <v>54</v>
      </c>
      <c r="D36" s="31">
        <v>2</v>
      </c>
      <c r="E36" s="31"/>
      <c r="F36" s="31">
        <v>2280</v>
      </c>
      <c r="H36" s="37"/>
      <c r="I36" s="235" t="s">
        <v>189</v>
      </c>
      <c r="J36" s="236">
        <v>10</v>
      </c>
      <c r="L36" s="1"/>
      <c r="M36" s="234"/>
      <c r="R36" s="155" t="s">
        <v>152</v>
      </c>
    </row>
    <row r="37" spans="1:18" x14ac:dyDescent="0.25">
      <c r="A37" s="1" t="s">
        <v>56</v>
      </c>
      <c r="B37" s="1"/>
      <c r="C37" s="1" t="s">
        <v>54</v>
      </c>
      <c r="D37" s="31">
        <v>12</v>
      </c>
      <c r="E37" s="31"/>
      <c r="F37" s="1"/>
      <c r="H37" s="34"/>
      <c r="I37" s="240" t="s">
        <v>98</v>
      </c>
      <c r="J37" s="240">
        <v>10</v>
      </c>
      <c r="L37" s="1"/>
      <c r="M37" s="234"/>
    </row>
    <row r="38" spans="1:18" x14ac:dyDescent="0.25">
      <c r="A38" s="1" t="s">
        <v>8</v>
      </c>
      <c r="B38" s="1"/>
      <c r="C38" s="1" t="s">
        <v>54</v>
      </c>
      <c r="D38" s="31">
        <v>14</v>
      </c>
      <c r="E38" s="31"/>
      <c r="F38" s="1"/>
      <c r="H38" s="34"/>
      <c r="I38" s="241"/>
      <c r="J38" s="237"/>
      <c r="L38" s="1"/>
      <c r="M38" s="234"/>
    </row>
    <row r="39" spans="1:18" x14ac:dyDescent="0.25">
      <c r="A39" s="16" t="s">
        <v>141</v>
      </c>
      <c r="B39" s="16" t="s">
        <v>59</v>
      </c>
      <c r="C39" s="16"/>
      <c r="D39" s="16"/>
      <c r="E39" s="242"/>
      <c r="F39" s="16" t="s">
        <v>190</v>
      </c>
      <c r="H39" s="34"/>
      <c r="I39" s="243" t="s">
        <v>191</v>
      </c>
      <c r="J39" s="237"/>
      <c r="L39" s="1"/>
      <c r="M39" s="1"/>
    </row>
    <row r="40" spans="1:18" x14ac:dyDescent="0.25">
      <c r="A40" s="1" t="s">
        <v>192</v>
      </c>
      <c r="B40" s="196">
        <v>71</v>
      </c>
      <c r="C40" s="196" t="s">
        <v>47</v>
      </c>
      <c r="D40" s="12">
        <v>160</v>
      </c>
      <c r="F40" s="439" t="s">
        <v>193</v>
      </c>
      <c r="H40" s="198"/>
      <c r="I40" s="244" t="s">
        <v>194</v>
      </c>
      <c r="J40" s="245"/>
      <c r="K40" s="172"/>
      <c r="L40" s="1"/>
      <c r="M40" s="1"/>
    </row>
    <row r="41" spans="1:18" x14ac:dyDescent="0.25">
      <c r="A41" s="155" t="s">
        <v>195</v>
      </c>
      <c r="B41" s="246" t="s">
        <v>119</v>
      </c>
      <c r="C41" s="196" t="s">
        <v>47</v>
      </c>
      <c r="D41" s="247" t="s">
        <v>196</v>
      </c>
      <c r="F41" s="248" t="s">
        <v>197</v>
      </c>
      <c r="H41" s="202"/>
      <c r="J41" s="249"/>
      <c r="K41" s="172"/>
      <c r="L41" s="1"/>
      <c r="M41" s="1"/>
    </row>
    <row r="42" spans="1:18" x14ac:dyDescent="0.25">
      <c r="A42" s="250" t="s">
        <v>198</v>
      </c>
      <c r="B42" s="246" t="s">
        <v>123</v>
      </c>
      <c r="C42" s="196" t="s">
        <v>47</v>
      </c>
      <c r="D42" s="247" t="s">
        <v>123</v>
      </c>
      <c r="F42" s="439" t="s">
        <v>199</v>
      </c>
      <c r="H42" s="198"/>
      <c r="I42" s="31"/>
      <c r="J42" s="1"/>
      <c r="K42" s="1"/>
      <c r="L42" s="1"/>
      <c r="M42" s="1"/>
    </row>
    <row r="43" spans="1:18" x14ac:dyDescent="0.25">
      <c r="A43" s="250" t="s">
        <v>200</v>
      </c>
      <c r="B43" s="246" t="s">
        <v>172</v>
      </c>
      <c r="C43" s="196" t="s">
        <v>47</v>
      </c>
      <c r="D43" s="247" t="s">
        <v>201</v>
      </c>
      <c r="F43" s="248" t="s">
        <v>202</v>
      </c>
      <c r="H43" s="202"/>
      <c r="I43" s="31"/>
      <c r="J43" s="1"/>
      <c r="K43" s="1"/>
      <c r="L43" s="1"/>
      <c r="M43" s="1"/>
    </row>
    <row r="44" spans="1:18" x14ac:dyDescent="0.25">
      <c r="A44" s="1" t="s">
        <v>203</v>
      </c>
      <c r="B44" s="251">
        <f>(30/32)*100</f>
        <v>93.75</v>
      </c>
      <c r="C44" s="196" t="s">
        <v>47</v>
      </c>
      <c r="D44" s="12">
        <v>30</v>
      </c>
      <c r="F44" s="439">
        <v>203</v>
      </c>
      <c r="I44" s="31"/>
      <c r="J44" s="1"/>
      <c r="K44" s="1"/>
      <c r="L44" s="1"/>
      <c r="M44" s="1"/>
    </row>
    <row r="45" spans="1:18" x14ac:dyDescent="0.25">
      <c r="A45" s="1" t="s">
        <v>204</v>
      </c>
      <c r="B45" s="251">
        <v>58</v>
      </c>
      <c r="C45" s="196" t="s">
        <v>47</v>
      </c>
      <c r="D45" s="12">
        <v>9</v>
      </c>
      <c r="F45" s="439">
        <v>359</v>
      </c>
      <c r="I45" s="31"/>
      <c r="J45" s="1"/>
      <c r="K45" s="1"/>
      <c r="L45" s="1"/>
      <c r="M45" s="1"/>
    </row>
    <row r="46" spans="1:18" x14ac:dyDescent="0.25">
      <c r="A46" s="1" t="s">
        <v>205</v>
      </c>
      <c r="B46" s="251">
        <v>52</v>
      </c>
      <c r="C46" s="252" t="s">
        <v>206</v>
      </c>
      <c r="D46" s="12">
        <v>3</v>
      </c>
      <c r="F46" s="439" t="s">
        <v>199</v>
      </c>
      <c r="H46" s="12"/>
      <c r="I46" s="31"/>
      <c r="J46" s="1"/>
      <c r="K46" s="1"/>
      <c r="L46" s="1"/>
      <c r="M46" s="1"/>
    </row>
    <row r="47" spans="1:18" x14ac:dyDescent="0.25">
      <c r="A47" s="2" t="s">
        <v>71</v>
      </c>
      <c r="B47" s="2"/>
      <c r="C47" s="2"/>
      <c r="D47" s="3" t="s">
        <v>72</v>
      </c>
      <c r="E47" s="2"/>
      <c r="F47" s="2" t="s">
        <v>73</v>
      </c>
      <c r="I47" s="31"/>
      <c r="J47" s="1"/>
      <c r="K47" s="1"/>
      <c r="L47" s="1"/>
      <c r="M47" s="1"/>
    </row>
    <row r="48" spans="1:18" x14ac:dyDescent="0.25">
      <c r="A48" s="1" t="s">
        <v>207</v>
      </c>
      <c r="B48" s="1"/>
      <c r="C48" s="1"/>
      <c r="D48" s="253">
        <v>1234</v>
      </c>
      <c r="E48" s="253"/>
      <c r="F48" s="254">
        <f>D48*2.471</f>
        <v>3049.2139999999999</v>
      </c>
      <c r="I48" s="1"/>
      <c r="J48" s="1"/>
      <c r="K48" s="1"/>
      <c r="L48" s="1"/>
      <c r="M48" s="1"/>
    </row>
    <row r="49" spans="1:13" x14ac:dyDescent="0.25">
      <c r="A49" s="1" t="s">
        <v>109</v>
      </c>
      <c r="B49" s="1"/>
      <c r="C49" s="1"/>
      <c r="D49" s="217">
        <v>93</v>
      </c>
      <c r="E49" s="176"/>
      <c r="F49" s="254"/>
      <c r="I49" s="1"/>
      <c r="J49" s="1"/>
      <c r="K49" s="1"/>
      <c r="L49" s="1"/>
      <c r="M49" s="1"/>
    </row>
    <row r="50" spans="1:13" x14ac:dyDescent="0.25">
      <c r="A50" s="1" t="s">
        <v>208</v>
      </c>
      <c r="B50" s="1"/>
      <c r="C50" s="1"/>
      <c r="D50" s="171">
        <f>D48*D49</f>
        <v>114762</v>
      </c>
      <c r="E50" s="171"/>
      <c r="F50" s="255">
        <f>D50*2.471</f>
        <v>283576.902</v>
      </c>
      <c r="I50" s="1"/>
      <c r="J50" s="1"/>
      <c r="K50" s="1"/>
      <c r="L50" s="1"/>
      <c r="M50" s="1"/>
    </row>
    <row r="51" spans="1:13" x14ac:dyDescent="0.25">
      <c r="A51" s="1" t="s">
        <v>209</v>
      </c>
      <c r="B51" s="1"/>
      <c r="C51" s="1"/>
      <c r="D51" s="171">
        <f>D50-J26</f>
        <v>11377.810182186236</v>
      </c>
      <c r="E51" s="171"/>
      <c r="F51" s="255">
        <f>D51*2.471</f>
        <v>28114.56896018219</v>
      </c>
      <c r="I51" s="1"/>
      <c r="J51" s="1"/>
      <c r="K51" s="1"/>
      <c r="L51" s="1"/>
      <c r="M51" s="1"/>
    </row>
    <row r="52" spans="1:13" x14ac:dyDescent="0.25">
      <c r="A52" s="1" t="s">
        <v>210</v>
      </c>
      <c r="B52" s="1"/>
      <c r="C52" s="1"/>
      <c r="D52" s="171">
        <f>D50-J27</f>
        <v>43591</v>
      </c>
      <c r="E52" s="171"/>
      <c r="F52" s="255">
        <f>D52*2.471</f>
        <v>107713.361</v>
      </c>
      <c r="I52" s="1"/>
      <c r="J52" s="1"/>
      <c r="K52" s="1"/>
      <c r="L52" s="1"/>
      <c r="M52" s="1"/>
    </row>
    <row r="53" spans="1:13" x14ac:dyDescent="0.25">
      <c r="A53" s="1" t="s">
        <v>79</v>
      </c>
      <c r="B53" s="1"/>
      <c r="C53" s="1"/>
      <c r="D53" s="31">
        <f>J26/D48</f>
        <v>83.779732429346652</v>
      </c>
      <c r="E53" s="176"/>
      <c r="F53" s="176"/>
      <c r="I53" s="1"/>
      <c r="J53" s="31"/>
      <c r="K53" s="31"/>
      <c r="L53" s="1"/>
      <c r="M53" s="1"/>
    </row>
    <row r="54" spans="1:13" x14ac:dyDescent="0.25">
      <c r="A54" s="20" t="s">
        <v>211</v>
      </c>
      <c r="B54" s="20"/>
      <c r="C54" s="20"/>
      <c r="D54" s="22">
        <f>J27/D48</f>
        <v>57.675040518638575</v>
      </c>
      <c r="E54" s="51"/>
      <c r="F54" s="51"/>
      <c r="I54" s="1"/>
      <c r="J54" s="31"/>
      <c r="K54" s="1"/>
      <c r="L54" s="1"/>
      <c r="M54" s="1"/>
    </row>
    <row r="55" spans="1:13" x14ac:dyDescent="0.25">
      <c r="I55" s="1"/>
      <c r="J55" s="1"/>
      <c r="K55" s="1"/>
      <c r="L55" s="1"/>
      <c r="M55" s="1"/>
    </row>
    <row r="56" spans="1:13" x14ac:dyDescent="0.25">
      <c r="I56" s="1"/>
      <c r="J56" s="1"/>
      <c r="K56" s="1"/>
      <c r="L56" s="1"/>
      <c r="M56" s="1"/>
    </row>
    <row r="57" spans="1:13" hidden="1" x14ac:dyDescent="0.25"/>
    <row r="58" spans="1:13" hidden="1" x14ac:dyDescent="0.25"/>
    <row r="59" spans="1:13" x14ac:dyDescent="0.25">
      <c r="C59" s="256"/>
    </row>
    <row r="60" spans="1:13" x14ac:dyDescent="0.25">
      <c r="C60" s="256"/>
    </row>
    <row r="61" spans="1:13" x14ac:dyDescent="0.25">
      <c r="A61" s="214"/>
      <c r="C61" s="257"/>
    </row>
  </sheetData>
  <pageMargins left="0.7" right="0.7" top="0.75" bottom="0.75" header="0.3" footer="0.3"/>
  <pageSetup paperSize="9" scale="45" fitToHeight="0" orientation="portrait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63"/>
  <sheetViews>
    <sheetView topLeftCell="A14" zoomScale="84" zoomScaleNormal="84" workbookViewId="0">
      <selection activeCell="M39" sqref="M39"/>
    </sheetView>
  </sheetViews>
  <sheetFormatPr defaultRowHeight="15" x14ac:dyDescent="0.25"/>
  <cols>
    <col min="1" max="1" width="30.28515625" customWidth="1"/>
    <col min="2" max="2" width="11.28515625" customWidth="1"/>
    <col min="4" max="4" width="11.140625" customWidth="1"/>
    <col min="6" max="6" width="10.7109375" bestFit="1" customWidth="1"/>
    <col min="7" max="7" width="11.28515625" customWidth="1"/>
    <col min="10" max="10" width="10.28515625" customWidth="1"/>
  </cols>
  <sheetData>
    <row r="1" spans="1:14" ht="15.75" x14ac:dyDescent="0.25">
      <c r="A1" s="24" t="s">
        <v>0</v>
      </c>
      <c r="B1" s="398" t="s">
        <v>421</v>
      </c>
      <c r="C1" s="154"/>
      <c r="D1" s="154"/>
      <c r="E1" s="154"/>
      <c r="F1" s="154"/>
      <c r="G1" s="154"/>
      <c r="H1" s="154"/>
      <c r="I1" s="24"/>
      <c r="J1" s="24"/>
      <c r="K1" s="24"/>
      <c r="L1" s="24"/>
      <c r="M1" s="24"/>
    </row>
    <row r="2" spans="1:14" x14ac:dyDescent="0.25">
      <c r="A2" s="24"/>
      <c r="B2" s="154" t="s">
        <v>163</v>
      </c>
      <c r="C2" s="7"/>
      <c r="D2" s="7"/>
      <c r="E2" s="7"/>
      <c r="F2" s="24"/>
      <c r="G2" s="24"/>
      <c r="H2" s="24"/>
      <c r="I2" s="24"/>
      <c r="J2" s="24"/>
      <c r="K2" s="24"/>
      <c r="L2" s="24"/>
      <c r="M2" s="24"/>
    </row>
    <row r="3" spans="1:14" x14ac:dyDescent="0.25">
      <c r="A3" s="16" t="s">
        <v>6</v>
      </c>
      <c r="B3" s="16"/>
      <c r="C3" s="157" t="s">
        <v>7</v>
      </c>
      <c r="D3" s="157" t="s">
        <v>8</v>
      </c>
      <c r="E3" s="157" t="s">
        <v>9</v>
      </c>
      <c r="F3" s="157" t="s">
        <v>10</v>
      </c>
      <c r="G3" s="399" t="s">
        <v>86</v>
      </c>
      <c r="H3" s="158" t="s">
        <v>12</v>
      </c>
      <c r="I3" s="158" t="s">
        <v>13</v>
      </c>
      <c r="J3" s="158" t="s">
        <v>14</v>
      </c>
      <c r="K3" s="159" t="s">
        <v>15</v>
      </c>
      <c r="L3" s="157"/>
      <c r="M3" s="155"/>
    </row>
    <row r="4" spans="1:14" x14ac:dyDescent="0.25">
      <c r="A4" s="1"/>
      <c r="B4" s="1"/>
      <c r="C4" s="46" t="s">
        <v>16</v>
      </c>
      <c r="D4" s="46" t="s">
        <v>17</v>
      </c>
      <c r="E4" s="46" t="s">
        <v>17</v>
      </c>
      <c r="F4" s="46" t="s">
        <v>18</v>
      </c>
      <c r="G4" s="46"/>
      <c r="H4" s="215" t="s">
        <v>20</v>
      </c>
      <c r="I4" s="215" t="s">
        <v>19</v>
      </c>
      <c r="J4" s="215" t="s">
        <v>19</v>
      </c>
      <c r="K4" s="46" t="s">
        <v>12</v>
      </c>
      <c r="L4" s="46" t="s">
        <v>13</v>
      </c>
      <c r="M4" s="155"/>
    </row>
    <row r="5" spans="1:14" x14ac:dyDescent="0.25">
      <c r="A5" s="1"/>
      <c r="B5" s="1"/>
      <c r="C5" s="46" t="s">
        <v>21</v>
      </c>
      <c r="D5" s="46"/>
      <c r="E5" s="46"/>
      <c r="F5" s="46"/>
      <c r="G5" s="46"/>
      <c r="H5" s="215" t="s">
        <v>19</v>
      </c>
      <c r="I5" s="215" t="s">
        <v>22</v>
      </c>
      <c r="J5" s="215" t="s">
        <v>22</v>
      </c>
      <c r="K5" s="46"/>
      <c r="L5" s="46"/>
      <c r="M5" s="155"/>
    </row>
    <row r="6" spans="1:14" x14ac:dyDescent="0.25">
      <c r="A6" s="20"/>
      <c r="B6" s="20"/>
      <c r="C6" s="161"/>
      <c r="D6" s="161"/>
      <c r="E6" s="161"/>
      <c r="F6" s="161"/>
      <c r="G6" s="161"/>
      <c r="H6" s="162" t="s">
        <v>22</v>
      </c>
      <c r="I6" s="162"/>
      <c r="J6" s="162"/>
      <c r="K6" s="161"/>
      <c r="L6" s="161"/>
      <c r="M6" s="155"/>
    </row>
    <row r="7" spans="1:14" x14ac:dyDescent="0.25">
      <c r="A7" s="34" t="s">
        <v>387</v>
      </c>
      <c r="B7" s="34"/>
      <c r="C7" s="400" t="s">
        <v>201</v>
      </c>
      <c r="D7" s="400"/>
      <c r="E7" s="400"/>
      <c r="F7" s="400"/>
      <c r="G7" s="400" t="s">
        <v>422</v>
      </c>
      <c r="H7" s="27"/>
      <c r="I7" s="27"/>
      <c r="J7" s="27"/>
      <c r="K7" s="160"/>
      <c r="L7" s="160"/>
      <c r="M7" s="155"/>
      <c r="N7" s="299"/>
    </row>
    <row r="8" spans="1:14" x14ac:dyDescent="0.25">
      <c r="A8" s="1" t="s">
        <v>23</v>
      </c>
      <c r="B8" s="1"/>
      <c r="C8" s="216">
        <v>94</v>
      </c>
      <c r="D8" s="31">
        <v>1.66</v>
      </c>
      <c r="E8" s="31">
        <v>1.58</v>
      </c>
      <c r="F8" s="171">
        <v>2379</v>
      </c>
      <c r="G8" s="171">
        <f>F8*D8</f>
        <v>3949.14</v>
      </c>
      <c r="H8" s="14"/>
      <c r="I8" s="14"/>
      <c r="J8" s="14">
        <f>G8+H8+I8</f>
        <v>3949.14</v>
      </c>
      <c r="K8" s="217"/>
      <c r="L8" s="218"/>
      <c r="M8" s="155"/>
      <c r="N8" s="299"/>
    </row>
    <row r="9" spans="1:14" ht="18" x14ac:dyDescent="0.25">
      <c r="A9" s="1" t="s">
        <v>164</v>
      </c>
      <c r="B9" s="169"/>
      <c r="C9" s="216">
        <v>49</v>
      </c>
      <c r="D9" s="31">
        <v>0.68</v>
      </c>
      <c r="E9" s="31">
        <v>0.56999999999999995</v>
      </c>
      <c r="F9" s="171">
        <v>2000</v>
      </c>
      <c r="G9" s="171">
        <f>F9*D9</f>
        <v>1360</v>
      </c>
      <c r="H9" s="14">
        <v>23486</v>
      </c>
      <c r="I9" s="14"/>
      <c r="J9" s="14">
        <f>G9+H9+I9</f>
        <v>24846</v>
      </c>
      <c r="K9" s="171">
        <v>1307</v>
      </c>
      <c r="L9" s="220"/>
      <c r="M9" s="155"/>
      <c r="N9" s="299"/>
    </row>
    <row r="10" spans="1:14" ht="18" x14ac:dyDescent="0.25">
      <c r="A10" s="1" t="s">
        <v>423</v>
      </c>
      <c r="B10" s="169"/>
      <c r="C10" s="216" t="s">
        <v>166</v>
      </c>
      <c r="D10" s="40"/>
      <c r="E10" s="40"/>
      <c r="F10" s="221"/>
      <c r="G10" s="221" t="s">
        <v>424</v>
      </c>
      <c r="H10" s="226" t="s">
        <v>425</v>
      </c>
      <c r="I10" s="14"/>
      <c r="J10" s="14"/>
      <c r="K10" s="226" t="s">
        <v>426</v>
      </c>
      <c r="L10" s="220"/>
      <c r="M10" s="155"/>
      <c r="N10" s="299"/>
    </row>
    <row r="11" spans="1:14" x14ac:dyDescent="0.25">
      <c r="A11" s="1" t="s">
        <v>427</v>
      </c>
      <c r="B11" s="1"/>
      <c r="C11" s="216" t="s">
        <v>166</v>
      </c>
      <c r="D11" s="40"/>
      <c r="E11" s="40"/>
      <c r="F11" s="221"/>
      <c r="G11" s="221" t="s">
        <v>428</v>
      </c>
      <c r="H11" s="226" t="s">
        <v>429</v>
      </c>
      <c r="I11" s="222"/>
      <c r="J11" s="14"/>
      <c r="K11" s="223"/>
      <c r="L11" s="224"/>
      <c r="M11" s="155"/>
      <c r="N11" s="299"/>
    </row>
    <row r="12" spans="1:14" x14ac:dyDescent="0.25">
      <c r="A12" s="1" t="s">
        <v>344</v>
      </c>
      <c r="B12" s="1"/>
      <c r="C12" s="216" t="s">
        <v>166</v>
      </c>
      <c r="D12" s="40"/>
      <c r="E12" s="40"/>
      <c r="F12" s="221"/>
      <c r="G12" s="221" t="s">
        <v>430</v>
      </c>
      <c r="H12" s="226" t="s">
        <v>431</v>
      </c>
      <c r="I12" s="14"/>
      <c r="J12" s="14"/>
      <c r="K12" s="171"/>
      <c r="L12" s="220"/>
      <c r="M12" s="155"/>
      <c r="N12" s="299"/>
    </row>
    <row r="13" spans="1:14" x14ac:dyDescent="0.25">
      <c r="A13" s="1" t="s">
        <v>543</v>
      </c>
      <c r="B13" s="1"/>
      <c r="C13" s="216">
        <v>100</v>
      </c>
      <c r="D13" s="31">
        <v>3.75</v>
      </c>
      <c r="E13" s="31">
        <v>2.7</v>
      </c>
      <c r="F13" s="171">
        <v>2342</v>
      </c>
      <c r="G13" s="171">
        <f>D13*F13</f>
        <v>8782.5</v>
      </c>
      <c r="H13" s="14"/>
      <c r="I13" s="14"/>
      <c r="J13" s="14">
        <f>G13+H13+I13</f>
        <v>8782.5</v>
      </c>
      <c r="K13" s="171"/>
      <c r="L13" s="220"/>
      <c r="M13" s="155"/>
      <c r="N13" s="299"/>
    </row>
    <row r="14" spans="1:14" x14ac:dyDescent="0.25">
      <c r="A14" s="1" t="s">
        <v>126</v>
      </c>
      <c r="B14" s="1"/>
      <c r="C14" s="216">
        <v>89</v>
      </c>
      <c r="D14" s="31">
        <v>3.15</v>
      </c>
      <c r="E14" s="31">
        <v>2.11</v>
      </c>
      <c r="F14" s="171">
        <v>2279</v>
      </c>
      <c r="G14" s="171">
        <f>F14*D14</f>
        <v>7178.8499999999995</v>
      </c>
      <c r="H14" s="14"/>
      <c r="I14" s="14">
        <f>D33*F33</f>
        <v>6804</v>
      </c>
      <c r="J14" s="14">
        <f>G14+H14+I14</f>
        <v>13982.849999999999</v>
      </c>
      <c r="K14" s="171"/>
      <c r="L14" s="220">
        <v>2165</v>
      </c>
      <c r="M14" s="155"/>
      <c r="N14" s="299"/>
    </row>
    <row r="15" spans="1:14" x14ac:dyDescent="0.25">
      <c r="A15" s="1" t="s">
        <v>168</v>
      </c>
      <c r="B15" s="1"/>
      <c r="C15" s="216" t="s">
        <v>201</v>
      </c>
      <c r="D15" s="40"/>
      <c r="E15" s="40"/>
      <c r="F15" s="221"/>
      <c r="G15" s="221" t="s">
        <v>432</v>
      </c>
      <c r="H15" s="14"/>
      <c r="I15" s="226"/>
      <c r="J15" s="14"/>
      <c r="K15" s="224"/>
      <c r="L15" s="224"/>
      <c r="M15" s="155"/>
      <c r="N15" s="299"/>
    </row>
    <row r="16" spans="1:14" x14ac:dyDescent="0.25">
      <c r="A16" s="1" t="s">
        <v>91</v>
      </c>
      <c r="B16" s="1"/>
      <c r="C16" s="216">
        <v>43</v>
      </c>
      <c r="D16" s="1062">
        <v>0.97</v>
      </c>
      <c r="E16" s="1062">
        <v>0.92</v>
      </c>
      <c r="F16" s="1072">
        <v>1969</v>
      </c>
      <c r="G16" s="1072">
        <f>F16*D16</f>
        <v>1909.9299999999998</v>
      </c>
      <c r="H16" s="1064">
        <v>576</v>
      </c>
      <c r="I16" s="1064">
        <f>((D44*F44)+(D45*F45)+D46*F46)</f>
        <v>18536</v>
      </c>
      <c r="J16" s="1064">
        <f>+G16+H16+I16</f>
        <v>21021.93</v>
      </c>
      <c r="K16" s="171"/>
      <c r="L16" s="171"/>
      <c r="M16" s="155"/>
      <c r="N16" s="299"/>
    </row>
    <row r="17" spans="1:14" x14ac:dyDescent="0.25">
      <c r="A17" s="1" t="s">
        <v>92</v>
      </c>
      <c r="B17" s="1"/>
      <c r="C17" s="216">
        <f>(32/32)*100</f>
        <v>100</v>
      </c>
      <c r="D17" s="1062"/>
      <c r="E17" s="1062"/>
      <c r="F17" s="1072"/>
      <c r="G17" s="1072"/>
      <c r="H17" s="1064"/>
      <c r="I17" s="1064"/>
      <c r="J17" s="1064"/>
      <c r="K17" s="171"/>
      <c r="L17" s="171"/>
      <c r="M17" s="155"/>
      <c r="N17" s="299"/>
    </row>
    <row r="18" spans="1:14" x14ac:dyDescent="0.25">
      <c r="A18" s="1" t="s">
        <v>28</v>
      </c>
      <c r="B18" s="1"/>
      <c r="C18" s="216">
        <v>89</v>
      </c>
      <c r="D18" s="31">
        <v>0.66</v>
      </c>
      <c r="E18" s="31">
        <v>0.37</v>
      </c>
      <c r="F18" s="171">
        <v>2491</v>
      </c>
      <c r="G18" s="171">
        <f>F18*D18</f>
        <v>1644.0600000000002</v>
      </c>
      <c r="H18" s="14"/>
      <c r="I18" s="14">
        <v>5007</v>
      </c>
      <c r="J18" s="14">
        <f>+I18+H18+G18</f>
        <v>6651.06</v>
      </c>
      <c r="K18" s="171"/>
      <c r="L18" s="171"/>
      <c r="M18" s="155"/>
      <c r="N18" s="299"/>
    </row>
    <row r="19" spans="1:14" x14ac:dyDescent="0.25">
      <c r="A19" s="1" t="s">
        <v>93</v>
      </c>
      <c r="B19" s="1"/>
      <c r="C19" s="216">
        <v>44</v>
      </c>
      <c r="D19" s="31">
        <v>0.56999999999999995</v>
      </c>
      <c r="E19" s="31">
        <v>0.38</v>
      </c>
      <c r="F19" s="171">
        <v>2500</v>
      </c>
      <c r="G19" s="171">
        <f>F19*D19</f>
        <v>1424.9999999999998</v>
      </c>
      <c r="H19" s="14"/>
      <c r="I19" s="14">
        <v>3208</v>
      </c>
      <c r="J19" s="14">
        <f>+I19+H19+G19</f>
        <v>4633</v>
      </c>
      <c r="K19" s="171"/>
      <c r="L19" s="171"/>
      <c r="M19" s="155"/>
      <c r="N19" s="299"/>
    </row>
    <row r="20" spans="1:14" x14ac:dyDescent="0.25">
      <c r="A20" s="1" t="s">
        <v>174</v>
      </c>
      <c r="B20" s="1"/>
      <c r="C20" s="216">
        <v>80</v>
      </c>
      <c r="D20" s="31">
        <v>1.1599999999999999</v>
      </c>
      <c r="E20" s="31">
        <v>0.77</v>
      </c>
      <c r="F20" s="171">
        <v>2351</v>
      </c>
      <c r="G20" s="171">
        <f>F20*D20</f>
        <v>2727.16</v>
      </c>
      <c r="H20" s="14">
        <v>20737</v>
      </c>
      <c r="I20" s="14"/>
      <c r="J20" s="14">
        <f>+I20+H20+G20</f>
        <v>23464.16</v>
      </c>
      <c r="K20" s="171"/>
      <c r="L20" s="171"/>
      <c r="M20" s="155"/>
      <c r="N20" s="299"/>
    </row>
    <row r="21" spans="1:14" x14ac:dyDescent="0.25">
      <c r="A21" s="1" t="s">
        <v>175</v>
      </c>
      <c r="B21" s="1"/>
      <c r="C21" s="216" t="s">
        <v>216</v>
      </c>
      <c r="D21" s="40"/>
      <c r="E21" s="40"/>
      <c r="F21" s="221"/>
      <c r="G21" s="221" t="s">
        <v>433</v>
      </c>
      <c r="H21" s="14"/>
      <c r="I21" s="222"/>
      <c r="J21" s="14"/>
      <c r="K21" s="171"/>
      <c r="L21" s="171"/>
      <c r="M21" s="155"/>
      <c r="N21" s="299"/>
    </row>
    <row r="22" spans="1:14" x14ac:dyDescent="0.25">
      <c r="A22" s="1" t="s">
        <v>178</v>
      </c>
      <c r="B22" s="1"/>
      <c r="C22" s="216" t="s">
        <v>216</v>
      </c>
      <c r="D22" s="40"/>
      <c r="E22" s="40"/>
      <c r="F22" s="221"/>
      <c r="G22" s="221" t="s">
        <v>434</v>
      </c>
      <c r="H22" s="226" t="s">
        <v>435</v>
      </c>
      <c r="I22" s="222"/>
      <c r="J22" s="14"/>
      <c r="K22" s="171"/>
      <c r="L22" s="171"/>
      <c r="M22" s="155"/>
      <c r="N22" s="299"/>
    </row>
    <row r="23" spans="1:14" x14ac:dyDescent="0.25">
      <c r="A23" s="1" t="s">
        <v>133</v>
      </c>
      <c r="B23" s="1"/>
      <c r="C23" s="216">
        <v>87</v>
      </c>
      <c r="D23" s="31">
        <v>2.11</v>
      </c>
      <c r="E23" s="31">
        <v>2.04</v>
      </c>
      <c r="F23" s="171">
        <v>2125</v>
      </c>
      <c r="G23" s="171">
        <f>F23*D23</f>
        <v>4483.75</v>
      </c>
      <c r="H23" s="14"/>
      <c r="I23" s="14"/>
      <c r="J23" s="14">
        <f>+I23+H23+G23</f>
        <v>4483.75</v>
      </c>
      <c r="K23" s="171"/>
      <c r="L23" s="171"/>
      <c r="M23" s="155"/>
      <c r="N23" s="299"/>
    </row>
    <row r="24" spans="1:14" x14ac:dyDescent="0.25">
      <c r="A24" s="1" t="s">
        <v>181</v>
      </c>
      <c r="B24" s="1"/>
      <c r="C24" s="216">
        <v>87</v>
      </c>
      <c r="D24" s="228">
        <v>0.18</v>
      </c>
      <c r="E24" s="228">
        <v>0.16</v>
      </c>
      <c r="F24" s="221">
        <v>2500</v>
      </c>
      <c r="G24" s="171">
        <f>F24*D24</f>
        <v>450</v>
      </c>
      <c r="H24" s="226">
        <v>1010</v>
      </c>
      <c r="I24" s="226"/>
      <c r="J24" s="14">
        <f>+I24+H24+G24</f>
        <v>1460</v>
      </c>
      <c r="K24" s="221">
        <v>93</v>
      </c>
      <c r="L24" s="220"/>
      <c r="M24" s="155"/>
      <c r="N24" s="299"/>
    </row>
    <row r="25" spans="1:14" x14ac:dyDescent="0.25">
      <c r="A25" s="1" t="s">
        <v>34</v>
      </c>
      <c r="B25" s="169"/>
      <c r="C25" s="229"/>
      <c r="D25" s="181"/>
      <c r="E25" s="181"/>
      <c r="F25" s="170"/>
      <c r="G25" s="171"/>
      <c r="H25" s="180"/>
      <c r="I25" s="180"/>
      <c r="J25" s="14">
        <v>1200</v>
      </c>
      <c r="K25" s="170"/>
      <c r="L25" s="170"/>
      <c r="M25" s="155"/>
    </row>
    <row r="26" spans="1:14" x14ac:dyDescent="0.25">
      <c r="A26" s="16" t="s">
        <v>35</v>
      </c>
      <c r="B26" s="16"/>
      <c r="C26" s="230"/>
      <c r="D26" s="18">
        <f>D8+D9+D13+D14+D16+D18+D19+D20+D23+D24</f>
        <v>14.89</v>
      </c>
      <c r="E26" s="18">
        <f>E8+E9+E13+E14+E16+E18+E19+E20+E23+E24</f>
        <v>11.599999999999998</v>
      </c>
      <c r="F26" s="19"/>
      <c r="G26" s="19">
        <f>SUM(G7:G25)</f>
        <v>33910.39</v>
      </c>
      <c r="H26" s="19">
        <f>SUM(H7:H25)</f>
        <v>45809</v>
      </c>
      <c r="I26" s="19">
        <f>SUM(I7:I25)</f>
        <v>33555</v>
      </c>
      <c r="J26" s="19">
        <f>SUM(G26:I26)+J25</f>
        <v>114474.39</v>
      </c>
      <c r="K26" s="19">
        <f>SUM(K7:K25)</f>
        <v>1400</v>
      </c>
      <c r="L26" s="19">
        <f>L14</f>
        <v>2165</v>
      </c>
      <c r="M26" s="155"/>
    </row>
    <row r="27" spans="1:14" x14ac:dyDescent="0.25">
      <c r="A27" s="20" t="s">
        <v>36</v>
      </c>
      <c r="B27" s="20"/>
      <c r="C27" s="231"/>
      <c r="D27" s="22">
        <f>D26-E26</f>
        <v>3.2900000000000027</v>
      </c>
      <c r="E27" s="22"/>
      <c r="F27" s="23"/>
      <c r="G27" s="23">
        <f>D36*F36</f>
        <v>6783</v>
      </c>
      <c r="H27" s="185">
        <f>H26-K26</f>
        <v>44409</v>
      </c>
      <c r="I27" s="185">
        <f>I26-L26</f>
        <v>31390</v>
      </c>
      <c r="J27" s="186">
        <f>G27+H27+I27</f>
        <v>82582</v>
      </c>
      <c r="K27" s="23"/>
      <c r="L27" s="23"/>
      <c r="M27" s="155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25">
      <c r="A29" s="1"/>
      <c r="B29" s="1"/>
      <c r="C29" s="1" t="s">
        <v>37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25">
      <c r="A30" s="1" t="s">
        <v>96</v>
      </c>
      <c r="B30" s="1"/>
      <c r="C30" s="1"/>
      <c r="D30" s="1"/>
      <c r="E30" s="1"/>
      <c r="F30" s="1"/>
      <c r="G30" s="1"/>
      <c r="H30" s="34"/>
      <c r="I30" s="232" t="s">
        <v>42</v>
      </c>
      <c r="J30" s="233" t="s">
        <v>182</v>
      </c>
      <c r="K30" s="155"/>
      <c r="L30" s="1"/>
      <c r="M30" s="234"/>
    </row>
    <row r="31" spans="1:14" x14ac:dyDescent="0.25">
      <c r="A31" s="25" t="s">
        <v>38</v>
      </c>
      <c r="B31" s="25"/>
      <c r="C31" s="25"/>
      <c r="D31" s="192"/>
      <c r="E31" s="192"/>
      <c r="F31" s="192" t="s">
        <v>183</v>
      </c>
      <c r="G31" s="155"/>
      <c r="H31" s="193"/>
      <c r="I31" s="397" t="s">
        <v>185</v>
      </c>
      <c r="J31" s="401">
        <v>16</v>
      </c>
      <c r="K31" s="155"/>
      <c r="L31" s="155"/>
      <c r="M31" s="237"/>
    </row>
    <row r="32" spans="1:14" x14ac:dyDescent="0.25">
      <c r="A32" s="1" t="s">
        <v>43</v>
      </c>
      <c r="B32" s="1"/>
      <c r="C32" s="1"/>
      <c r="D32" s="196"/>
      <c r="E32" s="1"/>
      <c r="F32" s="1"/>
      <c r="G32" s="155"/>
      <c r="H32" s="34"/>
      <c r="I32" s="397" t="s">
        <v>184</v>
      </c>
      <c r="J32" s="401">
        <v>15</v>
      </c>
      <c r="K32" s="155"/>
      <c r="L32" s="1"/>
      <c r="M32" s="234"/>
    </row>
    <row r="33" spans="1:13" x14ac:dyDescent="0.25">
      <c r="A33" s="1" t="s">
        <v>46</v>
      </c>
      <c r="B33" s="1">
        <v>89</v>
      </c>
      <c r="C33" s="1" t="s">
        <v>47</v>
      </c>
      <c r="D33" s="12">
        <v>36</v>
      </c>
      <c r="E33" s="440"/>
      <c r="F33" s="12">
        <v>189</v>
      </c>
      <c r="G33" s="155"/>
      <c r="H33" s="238"/>
      <c r="I33" s="397" t="s">
        <v>436</v>
      </c>
      <c r="J33" s="401">
        <v>14</v>
      </c>
      <c r="K33" s="155"/>
      <c r="L33" s="1"/>
      <c r="M33" s="234"/>
    </row>
    <row r="34" spans="1:13" x14ac:dyDescent="0.25">
      <c r="A34" s="1" t="s">
        <v>437</v>
      </c>
      <c r="B34" s="39" t="s">
        <v>201</v>
      </c>
      <c r="C34" s="1" t="s">
        <v>47</v>
      </c>
      <c r="D34" s="40" t="s">
        <v>438</v>
      </c>
      <c r="E34" s="201"/>
      <c r="F34" s="40"/>
      <c r="G34" s="155"/>
      <c r="H34" s="43"/>
      <c r="I34" s="397" t="s">
        <v>189</v>
      </c>
      <c r="J34" s="401">
        <v>14</v>
      </c>
      <c r="K34" s="155"/>
      <c r="L34" s="1"/>
      <c r="M34" s="234"/>
    </row>
    <row r="35" spans="1:13" x14ac:dyDescent="0.25">
      <c r="A35" s="1" t="s">
        <v>51</v>
      </c>
      <c r="B35" s="1"/>
      <c r="C35" s="1"/>
      <c r="D35" s="31"/>
      <c r="E35" s="1"/>
      <c r="F35" s="1"/>
      <c r="G35" s="155"/>
      <c r="H35" s="34"/>
      <c r="I35" s="397" t="s">
        <v>439</v>
      </c>
      <c r="J35" s="401">
        <v>9</v>
      </c>
      <c r="K35" s="155"/>
      <c r="L35" s="1"/>
      <c r="M35" s="234"/>
    </row>
    <row r="36" spans="1:13" x14ac:dyDescent="0.25">
      <c r="A36" s="1" t="s">
        <v>53</v>
      </c>
      <c r="B36" s="1"/>
      <c r="C36" s="1" t="s">
        <v>54</v>
      </c>
      <c r="D36" s="385">
        <v>3</v>
      </c>
      <c r="E36" s="385"/>
      <c r="F36" s="385">
        <v>2261</v>
      </c>
      <c r="G36" s="155"/>
      <c r="H36" s="37"/>
      <c r="I36" s="397" t="s">
        <v>186</v>
      </c>
      <c r="J36" s="401">
        <v>8</v>
      </c>
      <c r="K36" s="155"/>
      <c r="L36" s="1"/>
      <c r="M36" s="234"/>
    </row>
    <row r="37" spans="1:13" x14ac:dyDescent="0.25">
      <c r="A37" s="1" t="s">
        <v>56</v>
      </c>
      <c r="B37" s="1"/>
      <c r="C37" s="1" t="s">
        <v>54</v>
      </c>
      <c r="D37" s="385">
        <v>12</v>
      </c>
      <c r="E37" s="385"/>
      <c r="F37" s="385"/>
      <c r="G37" s="155"/>
      <c r="H37" s="34"/>
      <c r="I37" s="397" t="s">
        <v>188</v>
      </c>
      <c r="J37" s="401">
        <v>7</v>
      </c>
      <c r="K37" s="155"/>
      <c r="L37" s="1"/>
      <c r="M37" s="234"/>
    </row>
    <row r="38" spans="1:13" x14ac:dyDescent="0.25">
      <c r="A38" s="1" t="s">
        <v>8</v>
      </c>
      <c r="B38" s="1"/>
      <c r="C38" s="1" t="s">
        <v>54</v>
      </c>
      <c r="D38" s="385">
        <v>15</v>
      </c>
      <c r="E38" s="385"/>
      <c r="F38" s="385"/>
      <c r="G38" s="155"/>
      <c r="H38" s="34"/>
      <c r="I38" s="397" t="s">
        <v>293</v>
      </c>
      <c r="J38" s="401">
        <v>17</v>
      </c>
      <c r="K38" s="155"/>
      <c r="L38" s="1"/>
      <c r="M38" s="234"/>
    </row>
    <row r="39" spans="1:13" x14ac:dyDescent="0.25">
      <c r="A39" s="16" t="s">
        <v>141</v>
      </c>
      <c r="B39" s="16" t="s">
        <v>59</v>
      </c>
      <c r="C39" s="16"/>
      <c r="D39" s="16"/>
      <c r="E39" s="242"/>
      <c r="F39" s="16" t="s">
        <v>190</v>
      </c>
      <c r="G39" s="155"/>
      <c r="H39" s="34"/>
      <c r="J39" s="237"/>
      <c r="K39" s="155"/>
      <c r="L39" s="1"/>
      <c r="M39" s="1"/>
    </row>
    <row r="40" spans="1:13" x14ac:dyDescent="0.25">
      <c r="A40" s="1" t="s">
        <v>192</v>
      </c>
      <c r="B40" s="196">
        <v>43</v>
      </c>
      <c r="C40" s="196" t="s">
        <v>47</v>
      </c>
      <c r="D40" s="12">
        <v>136</v>
      </c>
      <c r="E40" s="155"/>
      <c r="F40" s="439" t="s">
        <v>70</v>
      </c>
      <c r="G40" s="155"/>
      <c r="H40" s="198"/>
      <c r="I40" s="402" t="s">
        <v>100</v>
      </c>
      <c r="J40" s="403">
        <v>0.5</v>
      </c>
      <c r="K40" s="172"/>
      <c r="L40" s="1"/>
      <c r="M40" s="1"/>
    </row>
    <row r="41" spans="1:13" x14ac:dyDescent="0.25">
      <c r="A41" s="155" t="s">
        <v>544</v>
      </c>
      <c r="B41" s="246" t="s">
        <v>361</v>
      </c>
      <c r="C41" s="196" t="s">
        <v>47</v>
      </c>
      <c r="D41" s="247" t="s">
        <v>382</v>
      </c>
      <c r="E41" s="155"/>
      <c r="F41" s="248" t="s">
        <v>197</v>
      </c>
      <c r="G41" s="155"/>
      <c r="H41" s="202"/>
      <c r="I41" s="244" t="s">
        <v>440</v>
      </c>
      <c r="J41" s="404">
        <v>1.1100000000000001</v>
      </c>
      <c r="K41" s="172"/>
      <c r="L41" s="1"/>
      <c r="M41" s="1"/>
    </row>
    <row r="42" spans="1:13" x14ac:dyDescent="0.25">
      <c r="A42" s="250" t="s">
        <v>418</v>
      </c>
      <c r="B42" s="246" t="s">
        <v>545</v>
      </c>
      <c r="C42" s="196" t="s">
        <v>47</v>
      </c>
      <c r="D42" s="247" t="s">
        <v>172</v>
      </c>
      <c r="E42" s="155"/>
      <c r="F42" s="248" t="s">
        <v>546</v>
      </c>
      <c r="G42" s="155"/>
      <c r="H42" s="198"/>
      <c r="I42" s="31"/>
      <c r="J42" s="1"/>
      <c r="K42" s="1"/>
      <c r="L42" s="1"/>
      <c r="M42" s="1"/>
    </row>
    <row r="43" spans="1:13" x14ac:dyDescent="0.25">
      <c r="A43" s="250" t="s">
        <v>547</v>
      </c>
      <c r="B43" s="246" t="s">
        <v>166</v>
      </c>
      <c r="C43" s="196" t="s">
        <v>47</v>
      </c>
      <c r="D43" s="247" t="s">
        <v>244</v>
      </c>
      <c r="E43" s="155"/>
      <c r="F43" s="248" t="s">
        <v>548</v>
      </c>
      <c r="G43" s="155"/>
      <c r="H43" s="202"/>
      <c r="I43" s="31"/>
      <c r="J43" s="1"/>
      <c r="K43" s="1"/>
      <c r="L43" s="1"/>
      <c r="M43" s="1"/>
    </row>
    <row r="44" spans="1:13" x14ac:dyDescent="0.25">
      <c r="A44" s="1" t="s">
        <v>549</v>
      </c>
      <c r="B44" s="251">
        <f>(30/32)*100</f>
        <v>93.75</v>
      </c>
      <c r="C44" s="196" t="s">
        <v>47</v>
      </c>
      <c r="D44" s="379">
        <v>23</v>
      </c>
      <c r="E44" s="184"/>
      <c r="F44" s="405">
        <v>200</v>
      </c>
      <c r="G44" s="155"/>
      <c r="H44" s="155"/>
      <c r="I44" s="31"/>
      <c r="J44" s="1"/>
      <c r="K44" s="1"/>
      <c r="L44" s="1"/>
      <c r="M44" s="1"/>
    </row>
    <row r="45" spans="1:13" ht="16.5" customHeight="1" x14ac:dyDescent="0.25">
      <c r="A45" s="1" t="s">
        <v>441</v>
      </c>
      <c r="B45" s="251">
        <v>17</v>
      </c>
      <c r="C45" s="196" t="s">
        <v>47</v>
      </c>
      <c r="D45" s="379">
        <v>20</v>
      </c>
      <c r="E45" s="184"/>
      <c r="F45" s="405">
        <v>458</v>
      </c>
      <c r="G45" s="155"/>
      <c r="H45" s="155"/>
      <c r="I45" s="31"/>
      <c r="J45" s="1"/>
      <c r="K45" s="1"/>
      <c r="L45" s="1"/>
      <c r="M45" s="1"/>
    </row>
    <row r="46" spans="1:13" x14ac:dyDescent="0.25">
      <c r="A46" s="1" t="s">
        <v>442</v>
      </c>
      <c r="B46" s="251">
        <v>57</v>
      </c>
      <c r="C46" s="196" t="s">
        <v>47</v>
      </c>
      <c r="D46" s="379">
        <v>12</v>
      </c>
      <c r="E46" s="184"/>
      <c r="F46" s="405">
        <v>398</v>
      </c>
      <c r="G46" s="155"/>
      <c r="H46" s="12"/>
      <c r="I46" s="31"/>
      <c r="J46" s="1"/>
      <c r="K46" s="1"/>
      <c r="L46" s="1"/>
      <c r="M46" s="1"/>
    </row>
    <row r="47" spans="1:13" x14ac:dyDescent="0.25">
      <c r="A47" s="1" t="s">
        <v>205</v>
      </c>
      <c r="B47" s="251">
        <v>56</v>
      </c>
      <c r="C47" s="252" t="s">
        <v>443</v>
      </c>
      <c r="D47" s="12" t="s">
        <v>70</v>
      </c>
      <c r="E47" s="155"/>
      <c r="F47" s="439"/>
      <c r="G47" s="155"/>
      <c r="H47" s="12"/>
      <c r="I47" s="31"/>
      <c r="J47" s="1"/>
      <c r="K47" s="1"/>
      <c r="L47" s="1"/>
      <c r="M47" s="1"/>
    </row>
    <row r="48" spans="1:13" x14ac:dyDescent="0.25">
      <c r="A48" s="2" t="s">
        <v>71</v>
      </c>
      <c r="B48" s="2"/>
      <c r="C48" s="2"/>
      <c r="D48" s="3" t="s">
        <v>72</v>
      </c>
      <c r="E48" s="2"/>
      <c r="F48" s="2" t="s">
        <v>73</v>
      </c>
      <c r="G48" s="155"/>
      <c r="H48" s="155"/>
      <c r="I48" s="31"/>
      <c r="J48" s="1"/>
      <c r="K48" s="1"/>
      <c r="L48" s="1"/>
      <c r="M48" s="1"/>
    </row>
    <row r="49" spans="1:13" x14ac:dyDescent="0.25">
      <c r="A49" s="1" t="s">
        <v>207</v>
      </c>
      <c r="B49" s="1"/>
      <c r="C49" s="1"/>
      <c r="D49" s="253">
        <v>1353</v>
      </c>
      <c r="E49" s="253"/>
      <c r="F49" s="254">
        <f>D49*2.471</f>
        <v>3343.2629999999999</v>
      </c>
      <c r="G49" s="155"/>
      <c r="H49" s="155"/>
      <c r="I49" s="1"/>
      <c r="J49" s="1"/>
      <c r="K49" s="1"/>
      <c r="L49" s="1"/>
      <c r="M49" s="1"/>
    </row>
    <row r="50" spans="1:13" x14ac:dyDescent="0.25">
      <c r="A50" s="1" t="s">
        <v>109</v>
      </c>
      <c r="B50" s="1"/>
      <c r="C50" s="1"/>
      <c r="D50" s="253">
        <v>92</v>
      </c>
      <c r="E50" s="176"/>
      <c r="F50" s="254"/>
      <c r="G50" s="155"/>
      <c r="H50" s="155"/>
      <c r="I50" s="1"/>
      <c r="J50" s="1"/>
      <c r="K50" s="1"/>
      <c r="L50" s="1"/>
      <c r="M50" s="1"/>
    </row>
    <row r="51" spans="1:13" x14ac:dyDescent="0.25">
      <c r="A51" s="1" t="s">
        <v>208</v>
      </c>
      <c r="B51" s="1"/>
      <c r="C51" s="1"/>
      <c r="D51" s="171">
        <f>D49*D50</f>
        <v>124476</v>
      </c>
      <c r="E51" s="171"/>
      <c r="F51" s="255">
        <f>D51*2.471</f>
        <v>307580.196</v>
      </c>
      <c r="G51" s="155"/>
      <c r="H51" s="155"/>
      <c r="I51" s="1"/>
      <c r="J51" s="1"/>
      <c r="K51" s="1"/>
      <c r="L51" s="1"/>
      <c r="M51" s="1"/>
    </row>
    <row r="52" spans="1:13" x14ac:dyDescent="0.25">
      <c r="A52" s="1" t="s">
        <v>209</v>
      </c>
      <c r="B52" s="1"/>
      <c r="C52" s="1"/>
      <c r="D52" s="14">
        <f>D51-J26</f>
        <v>10001.61</v>
      </c>
      <c r="E52" s="406"/>
      <c r="F52" s="715">
        <f>D52*2.471</f>
        <v>24713.978310000002</v>
      </c>
      <c r="G52" s="155"/>
      <c r="H52" s="155"/>
      <c r="I52" s="1"/>
      <c r="J52" s="1"/>
      <c r="K52" s="1"/>
      <c r="M52" s="1"/>
    </row>
    <row r="53" spans="1:13" x14ac:dyDescent="0.25">
      <c r="A53" s="1" t="s">
        <v>210</v>
      </c>
      <c r="B53" s="1"/>
      <c r="C53" s="1"/>
      <c r="D53" s="171">
        <f>D51-J27</f>
        <v>41894</v>
      </c>
      <c r="E53" s="171"/>
      <c r="F53" s="255">
        <f>D53*2.471</f>
        <v>103520.07400000001</v>
      </c>
      <c r="G53" s="155"/>
      <c r="H53" s="155"/>
      <c r="I53" s="1"/>
      <c r="J53" s="1"/>
      <c r="K53" s="1"/>
      <c r="M53" s="1"/>
    </row>
    <row r="54" spans="1:13" x14ac:dyDescent="0.25">
      <c r="A54" s="1" t="s">
        <v>79</v>
      </c>
      <c r="B54" s="1"/>
      <c r="C54" s="1"/>
      <c r="D54" s="31">
        <f>J26/D49</f>
        <v>84.607827050997784</v>
      </c>
      <c r="E54" s="176"/>
      <c r="F54" s="176"/>
      <c r="G54" s="155"/>
      <c r="H54" s="155"/>
      <c r="I54" s="1"/>
      <c r="J54" s="31"/>
      <c r="K54" s="31"/>
      <c r="L54" s="155"/>
      <c r="M54" s="1"/>
    </row>
    <row r="55" spans="1:13" x14ac:dyDescent="0.25">
      <c r="A55" s="20" t="s">
        <v>211</v>
      </c>
      <c r="B55" s="20"/>
      <c r="C55" s="20"/>
      <c r="D55" s="22">
        <f>J27/D49</f>
        <v>61.036215816703624</v>
      </c>
      <c r="E55" s="51"/>
      <c r="F55" s="51"/>
      <c r="G55" s="155"/>
      <c r="H55" s="155"/>
      <c r="I55" s="1"/>
      <c r="J55" s="31"/>
      <c r="K55" s="1"/>
      <c r="L55" s="1"/>
      <c r="M55" s="1"/>
    </row>
    <row r="56" spans="1:13" x14ac:dyDescent="0.25">
      <c r="A56" s="155"/>
      <c r="B56" s="155"/>
      <c r="C56" s="155"/>
      <c r="D56" s="155"/>
      <c r="E56" s="155"/>
      <c r="F56" s="155"/>
      <c r="G56" s="155"/>
      <c r="H56" s="155"/>
      <c r="I56" s="1"/>
      <c r="J56" s="1"/>
      <c r="K56" s="1"/>
      <c r="L56" s="1"/>
      <c r="M56" s="1"/>
    </row>
    <row r="57" spans="1:13" x14ac:dyDescent="0.25">
      <c r="A57" s="155" t="s">
        <v>444</v>
      </c>
      <c r="B57" s="155"/>
      <c r="C57" s="155"/>
      <c r="D57" s="155"/>
      <c r="E57" s="155"/>
      <c r="F57" s="155"/>
      <c r="G57" s="155"/>
      <c r="H57" s="155"/>
      <c r="I57" s="1"/>
      <c r="J57" s="1"/>
      <c r="K57" s="1"/>
      <c r="L57" s="1"/>
      <c r="M57" s="1"/>
    </row>
    <row r="58" spans="1:13" x14ac:dyDescent="0.25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</row>
    <row r="59" spans="1:13" x14ac:dyDescent="0.25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</row>
    <row r="60" spans="1:13" x14ac:dyDescent="0.25">
      <c r="A60" s="155"/>
      <c r="B60" s="155"/>
      <c r="C60" s="256"/>
      <c r="D60" s="155"/>
      <c r="E60" s="155"/>
      <c r="F60" s="155"/>
      <c r="G60" s="155"/>
      <c r="H60" s="155"/>
      <c r="I60" s="155"/>
      <c r="J60" s="155"/>
      <c r="K60" s="155"/>
      <c r="L60" s="155"/>
      <c r="M60" s="155"/>
    </row>
    <row r="61" spans="1:13" x14ac:dyDescent="0.25">
      <c r="A61" s="155"/>
      <c r="B61" s="155"/>
      <c r="C61" s="256"/>
      <c r="D61" s="155"/>
      <c r="E61" s="155"/>
      <c r="F61" s="155"/>
      <c r="G61" s="155"/>
      <c r="H61" s="155"/>
      <c r="I61" s="155"/>
      <c r="J61" s="155"/>
      <c r="K61" s="155"/>
      <c r="L61" s="155"/>
      <c r="M61" s="155"/>
    </row>
    <row r="62" spans="1:13" x14ac:dyDescent="0.25">
      <c r="A62" s="214"/>
      <c r="B62" s="155"/>
      <c r="C62" s="257"/>
      <c r="D62" s="155"/>
      <c r="E62" s="155"/>
      <c r="F62" s="155"/>
      <c r="G62" s="155"/>
      <c r="H62" s="155"/>
      <c r="I62" s="155"/>
      <c r="J62" s="155"/>
      <c r="K62" s="155"/>
      <c r="L62" s="155"/>
      <c r="M62" s="155"/>
    </row>
    <row r="63" spans="1:13" x14ac:dyDescent="0.25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</row>
  </sheetData>
  <mergeCells count="7">
    <mergeCell ref="J16:J17"/>
    <mergeCell ref="D16:D17"/>
    <mergeCell ref="E16:E17"/>
    <mergeCell ref="F16:F17"/>
    <mergeCell ref="G16:G17"/>
    <mergeCell ref="H16:H17"/>
    <mergeCell ref="I16:I17"/>
  </mergeCells>
  <pageMargins left="0.7" right="0.7" top="0.75" bottom="0.75" header="0.3" footer="0.3"/>
  <pageSetup paperSize="9" scale="62" fitToHeight="0" orientation="portrait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abSelected="1" topLeftCell="A16" workbookViewId="0">
      <selection activeCell="P45" sqref="P45"/>
    </sheetView>
  </sheetViews>
  <sheetFormatPr defaultColWidth="9.140625" defaultRowHeight="12.75" x14ac:dyDescent="0.2"/>
  <cols>
    <col min="1" max="1" width="11.7109375" style="734" customWidth="1"/>
    <col min="2" max="2" width="11.140625" style="734" customWidth="1"/>
    <col min="3" max="3" width="4.42578125" style="734" customWidth="1"/>
    <col min="4" max="4" width="5.28515625" style="734" customWidth="1"/>
    <col min="5" max="5" width="5.85546875" style="734" customWidth="1"/>
    <col min="6" max="6" width="8.42578125" style="734" customWidth="1"/>
    <col min="7" max="7" width="8" style="734" customWidth="1"/>
    <col min="8" max="8" width="8.28515625" style="734" customWidth="1"/>
    <col min="9" max="9" width="7.5703125" style="734" customWidth="1"/>
    <col min="10" max="10" width="7.7109375" style="734" customWidth="1"/>
    <col min="11" max="11" width="8.28515625" style="734" customWidth="1"/>
    <col min="12" max="12" width="6.5703125" style="734" customWidth="1"/>
    <col min="13" max="13" width="7" style="734" customWidth="1"/>
    <col min="14" max="16384" width="9.140625" style="734"/>
  </cols>
  <sheetData>
    <row r="1" spans="1:25" x14ac:dyDescent="0.2">
      <c r="A1" s="732" t="s">
        <v>0</v>
      </c>
      <c r="B1" s="733" t="s">
        <v>83</v>
      </c>
      <c r="C1" s="733"/>
      <c r="D1" s="733"/>
      <c r="E1" s="733"/>
      <c r="F1" s="733"/>
      <c r="G1" s="733"/>
      <c r="H1" s="733"/>
      <c r="I1" s="732"/>
      <c r="J1" s="732"/>
      <c r="K1" s="732"/>
      <c r="L1" s="732"/>
      <c r="M1" s="732"/>
    </row>
    <row r="2" spans="1:25" x14ac:dyDescent="0.2">
      <c r="A2" s="732"/>
      <c r="B2" s="735" t="s">
        <v>601</v>
      </c>
      <c r="C2" s="735"/>
      <c r="D2" s="735"/>
      <c r="E2" s="735"/>
      <c r="F2" s="732"/>
      <c r="G2" s="732"/>
      <c r="H2" s="732"/>
      <c r="I2" s="732"/>
      <c r="J2" s="732"/>
      <c r="K2" s="732"/>
      <c r="L2" s="732"/>
      <c r="M2" s="732"/>
    </row>
    <row r="3" spans="1:25" x14ac:dyDescent="0.2">
      <c r="A3" s="736" t="s">
        <v>6</v>
      </c>
      <c r="B3" s="736"/>
      <c r="C3" s="736"/>
      <c r="D3" s="737" t="s">
        <v>7</v>
      </c>
      <c r="E3" s="737" t="s">
        <v>8</v>
      </c>
      <c r="F3" s="737" t="s">
        <v>9</v>
      </c>
      <c r="G3" s="737" t="s">
        <v>10</v>
      </c>
      <c r="H3" s="737" t="s">
        <v>86</v>
      </c>
      <c r="I3" s="737" t="s">
        <v>12</v>
      </c>
      <c r="J3" s="737" t="s">
        <v>13</v>
      </c>
      <c r="K3" s="737" t="s">
        <v>14</v>
      </c>
      <c r="L3" s="738" t="s">
        <v>15</v>
      </c>
      <c r="M3" s="737"/>
    </row>
    <row r="4" spans="1:25" x14ac:dyDescent="0.2">
      <c r="A4" s="56"/>
      <c r="B4" s="56"/>
      <c r="C4" s="56"/>
      <c r="D4" s="739" t="s">
        <v>16</v>
      </c>
      <c r="E4" s="739" t="s">
        <v>17</v>
      </c>
      <c r="F4" s="739" t="s">
        <v>17</v>
      </c>
      <c r="G4" s="739" t="s">
        <v>18</v>
      </c>
      <c r="H4" s="739" t="s">
        <v>87</v>
      </c>
      <c r="I4" s="739" t="s">
        <v>20</v>
      </c>
      <c r="J4" s="739" t="s">
        <v>19</v>
      </c>
      <c r="K4" s="739" t="s">
        <v>19</v>
      </c>
      <c r="L4" s="739" t="s">
        <v>12</v>
      </c>
      <c r="M4" s="739" t="s">
        <v>13</v>
      </c>
    </row>
    <row r="5" spans="1:25" x14ac:dyDescent="0.2">
      <c r="A5" s="56"/>
      <c r="B5" s="56"/>
      <c r="C5" s="56"/>
      <c r="D5" s="739" t="s">
        <v>21</v>
      </c>
      <c r="E5" s="739"/>
      <c r="F5" s="739"/>
      <c r="G5" s="739"/>
      <c r="H5" s="739"/>
      <c r="I5" s="739" t="s">
        <v>19</v>
      </c>
      <c r="J5" s="739" t="s">
        <v>22</v>
      </c>
      <c r="K5" s="739" t="s">
        <v>22</v>
      </c>
      <c r="L5" s="739"/>
      <c r="M5" s="739"/>
    </row>
    <row r="6" spans="1:25" x14ac:dyDescent="0.2">
      <c r="A6" s="153"/>
      <c r="B6" s="153"/>
      <c r="C6" s="153"/>
      <c r="D6" s="740"/>
      <c r="E6" s="740"/>
      <c r="F6" s="740"/>
      <c r="G6" s="740"/>
      <c r="H6" s="740"/>
      <c r="I6" s="740" t="s">
        <v>22</v>
      </c>
      <c r="J6" s="740"/>
      <c r="K6" s="740"/>
      <c r="L6" s="740"/>
      <c r="M6" s="740"/>
    </row>
    <row r="7" spans="1:25" ht="15" x14ac:dyDescent="0.3">
      <c r="A7" s="81" t="s">
        <v>88</v>
      </c>
      <c r="B7" s="81"/>
      <c r="C7" s="81"/>
      <c r="D7" s="741">
        <v>70</v>
      </c>
      <c r="E7" s="742">
        <v>0.79</v>
      </c>
      <c r="F7" s="742">
        <v>0.54</v>
      </c>
      <c r="G7" s="742">
        <v>2169</v>
      </c>
      <c r="H7" s="135">
        <f>+E7*G7</f>
        <v>1713.51</v>
      </c>
      <c r="I7" s="135"/>
      <c r="J7" s="135"/>
      <c r="K7" s="135">
        <f>+H7+I7+J7</f>
        <v>1713.51</v>
      </c>
      <c r="L7" s="135"/>
      <c r="M7" s="135"/>
      <c r="P7" s="743"/>
      <c r="Q7" s="744"/>
      <c r="R7" s="744"/>
      <c r="S7" s="744"/>
      <c r="T7" s="744"/>
      <c r="U7" s="745"/>
      <c r="V7" s="744"/>
      <c r="W7" s="744"/>
      <c r="X7" s="745"/>
      <c r="Y7" s="745"/>
    </row>
    <row r="8" spans="1:25" ht="15" x14ac:dyDescent="0.3">
      <c r="A8" s="81" t="s">
        <v>214</v>
      </c>
      <c r="B8" s="81"/>
      <c r="C8" s="81"/>
      <c r="D8" s="741">
        <v>66</v>
      </c>
      <c r="E8" s="742">
        <v>0.45</v>
      </c>
      <c r="F8" s="742">
        <v>0.43</v>
      </c>
      <c r="G8" s="742">
        <v>2147</v>
      </c>
      <c r="H8" s="135">
        <f>+E8*G8</f>
        <v>966.15</v>
      </c>
      <c r="I8" s="135">
        <v>19668</v>
      </c>
      <c r="J8" s="135"/>
      <c r="K8" s="135">
        <f>+H8+I8+J8</f>
        <v>20634.150000000001</v>
      </c>
      <c r="L8" s="135">
        <v>2309</v>
      </c>
      <c r="M8" s="135"/>
      <c r="P8" s="743"/>
      <c r="Q8" s="744"/>
      <c r="R8" s="744"/>
      <c r="S8" s="744"/>
      <c r="T8" s="744"/>
      <c r="U8" s="744"/>
      <c r="V8" s="744"/>
      <c r="W8" s="744"/>
      <c r="X8" s="745"/>
      <c r="Y8" s="745"/>
    </row>
    <row r="9" spans="1:25" ht="15" x14ac:dyDescent="0.3">
      <c r="A9" s="81" t="s">
        <v>602</v>
      </c>
      <c r="B9" s="81"/>
      <c r="C9" s="81"/>
      <c r="D9" s="741" t="s">
        <v>584</v>
      </c>
      <c r="E9" s="746"/>
      <c r="F9" s="746"/>
      <c r="G9" s="746"/>
      <c r="H9" s="747" t="s">
        <v>603</v>
      </c>
      <c r="I9" s="747" t="s">
        <v>604</v>
      </c>
      <c r="J9" s="135"/>
      <c r="K9" s="135"/>
      <c r="L9" s="747"/>
      <c r="M9" s="135"/>
      <c r="P9" s="743"/>
      <c r="Q9" s="744"/>
      <c r="R9" s="744"/>
      <c r="S9" s="744"/>
      <c r="T9" s="744"/>
      <c r="U9" s="744"/>
      <c r="V9" s="744"/>
      <c r="W9" s="744"/>
      <c r="X9" s="744"/>
      <c r="Y9" s="745"/>
    </row>
    <row r="10" spans="1:25" ht="15" x14ac:dyDescent="0.3">
      <c r="A10" s="81" t="s">
        <v>215</v>
      </c>
      <c r="B10" s="81"/>
      <c r="C10" s="81"/>
      <c r="D10" s="741" t="s">
        <v>244</v>
      </c>
      <c r="E10" s="746"/>
      <c r="F10" s="746"/>
      <c r="G10" s="746"/>
      <c r="H10" s="747" t="s">
        <v>605</v>
      </c>
      <c r="I10" s="747" t="s">
        <v>606</v>
      </c>
      <c r="J10" s="135"/>
      <c r="K10" s="135"/>
      <c r="L10" s="747"/>
      <c r="M10" s="135"/>
      <c r="P10" s="743"/>
      <c r="Q10" s="744"/>
      <c r="R10" s="744"/>
      <c r="S10" s="744"/>
      <c r="T10" s="744"/>
      <c r="U10" s="744"/>
      <c r="V10" s="744"/>
      <c r="W10" s="744"/>
      <c r="X10" s="744"/>
      <c r="Y10" s="745"/>
    </row>
    <row r="11" spans="1:25" ht="15" x14ac:dyDescent="0.3">
      <c r="A11" s="81" t="s">
        <v>954</v>
      </c>
      <c r="B11" s="81"/>
      <c r="C11" s="81"/>
      <c r="D11" s="741" t="s">
        <v>607</v>
      </c>
      <c r="E11" s="746"/>
      <c r="F11" s="746"/>
      <c r="G11" s="746"/>
      <c r="H11" s="747" t="s">
        <v>955</v>
      </c>
      <c r="I11" s="747" t="s">
        <v>956</v>
      </c>
      <c r="J11" s="135"/>
      <c r="K11" s="135"/>
      <c r="L11" s="747"/>
      <c r="M11" s="135"/>
      <c r="P11" s="743"/>
      <c r="Q11" s="744"/>
      <c r="R11" s="744"/>
      <c r="S11" s="744"/>
      <c r="T11" s="744"/>
      <c r="U11" s="744"/>
      <c r="V11" s="744"/>
      <c r="W11" s="744"/>
      <c r="X11" s="744"/>
      <c r="Y11" s="745"/>
    </row>
    <row r="12" spans="1:25" ht="15" x14ac:dyDescent="0.3">
      <c r="A12" s="81" t="s">
        <v>957</v>
      </c>
      <c r="B12" s="81"/>
      <c r="C12" s="81"/>
      <c r="D12" s="741" t="s">
        <v>248</v>
      </c>
      <c r="E12" s="746"/>
      <c r="F12" s="746"/>
      <c r="G12" s="746"/>
      <c r="H12" s="747" t="s">
        <v>958</v>
      </c>
      <c r="I12" s="747" t="s">
        <v>959</v>
      </c>
      <c r="J12" s="135"/>
      <c r="K12" s="135"/>
      <c r="L12" s="747" t="s">
        <v>960</v>
      </c>
      <c r="M12" s="135"/>
      <c r="P12" s="743"/>
      <c r="Q12" s="744"/>
      <c r="R12" s="744"/>
      <c r="S12" s="744"/>
      <c r="T12" s="744"/>
      <c r="U12" s="744"/>
      <c r="V12" s="744"/>
      <c r="W12" s="744"/>
      <c r="X12" s="744"/>
      <c r="Y12" s="745"/>
    </row>
    <row r="13" spans="1:25" ht="15" x14ac:dyDescent="0.3">
      <c r="A13" s="81" t="s">
        <v>330</v>
      </c>
      <c r="B13" s="81"/>
      <c r="C13" s="81"/>
      <c r="D13" s="741">
        <v>100</v>
      </c>
      <c r="E13" s="742">
        <v>3.78</v>
      </c>
      <c r="F13" s="742">
        <v>1.1000000000000001</v>
      </c>
      <c r="G13" s="742">
        <v>2364</v>
      </c>
      <c r="H13" s="135">
        <f t="shared" ref="H13:H14" si="0">+E13*G13</f>
        <v>8935.92</v>
      </c>
      <c r="I13" s="135"/>
      <c r="J13" s="135"/>
      <c r="K13" s="135">
        <f t="shared" ref="K13:K14" si="1">+H13+I13+J13</f>
        <v>8935.92</v>
      </c>
      <c r="L13" s="135"/>
      <c r="M13" s="135"/>
      <c r="P13" s="743"/>
      <c r="Q13" s="744"/>
      <c r="R13" s="744"/>
      <c r="S13" s="744"/>
      <c r="T13" s="744"/>
      <c r="U13" s="744"/>
      <c r="V13" s="744"/>
      <c r="W13" s="744"/>
      <c r="X13" s="744"/>
      <c r="Y13" s="744"/>
    </row>
    <row r="14" spans="1:25" ht="15" x14ac:dyDescent="0.3">
      <c r="A14" s="81" t="s">
        <v>46</v>
      </c>
      <c r="B14" s="81"/>
      <c r="C14" s="81"/>
      <c r="D14" s="741">
        <f>'[5]Analized Sheet'!EE46</f>
        <v>100</v>
      </c>
      <c r="E14" s="742">
        <v>2.11</v>
      </c>
      <c r="F14" s="742">
        <v>0.59</v>
      </c>
      <c r="G14" s="742">
        <v>2393</v>
      </c>
      <c r="H14" s="135">
        <f t="shared" si="0"/>
        <v>5049.2299999999996</v>
      </c>
      <c r="I14" s="135"/>
      <c r="J14" s="135">
        <f>E34*G34</f>
        <v>8957</v>
      </c>
      <c r="K14" s="135">
        <f t="shared" si="1"/>
        <v>14006.23</v>
      </c>
      <c r="L14" s="135"/>
      <c r="M14" s="135">
        <v>3798</v>
      </c>
      <c r="P14" s="743"/>
      <c r="Q14" s="744"/>
      <c r="R14" s="744"/>
      <c r="S14" s="744"/>
      <c r="T14" s="744"/>
      <c r="U14" s="744"/>
      <c r="V14" s="744"/>
      <c r="W14" s="744"/>
      <c r="X14" s="745"/>
      <c r="Y14" s="744"/>
    </row>
    <row r="15" spans="1:25" ht="15" x14ac:dyDescent="0.3">
      <c r="A15" s="81" t="s">
        <v>220</v>
      </c>
      <c r="B15" s="81"/>
      <c r="C15" s="81"/>
      <c r="D15" s="741">
        <v>45</v>
      </c>
      <c r="E15" s="1073">
        <v>0.77</v>
      </c>
      <c r="F15" s="1074">
        <v>0.57999999999999996</v>
      </c>
      <c r="G15" s="1073">
        <v>2296</v>
      </c>
      <c r="H15" s="1075">
        <f>+E15*G15</f>
        <v>1767.92</v>
      </c>
      <c r="I15" s="135"/>
      <c r="J15" s="135"/>
      <c r="K15" s="135"/>
      <c r="L15" s="135"/>
      <c r="M15" s="135"/>
      <c r="N15" s="748"/>
      <c r="P15" s="743"/>
      <c r="Q15" s="744"/>
      <c r="R15" s="744"/>
      <c r="S15" s="744"/>
      <c r="T15" s="744"/>
      <c r="U15" s="744"/>
      <c r="V15" s="744"/>
      <c r="W15" s="744"/>
      <c r="X15" s="744"/>
      <c r="Y15" s="744"/>
    </row>
    <row r="16" spans="1:25" ht="15" x14ac:dyDescent="0.3">
      <c r="A16" s="81" t="s">
        <v>221</v>
      </c>
      <c r="B16" s="81"/>
      <c r="C16" s="81"/>
      <c r="D16" s="741">
        <v>100</v>
      </c>
      <c r="E16" s="1073"/>
      <c r="F16" s="1074"/>
      <c r="G16" s="1073"/>
      <c r="H16" s="1075"/>
      <c r="I16" s="135"/>
      <c r="J16" s="133">
        <f>E43*G43+E44*G44</f>
        <v>38540</v>
      </c>
      <c r="K16" s="135">
        <f>+H15+J16</f>
        <v>40307.919999999998</v>
      </c>
      <c r="L16" s="135"/>
      <c r="M16" s="135"/>
      <c r="N16" s="748"/>
      <c r="O16" s="749"/>
      <c r="P16" s="743"/>
      <c r="Q16" s="744"/>
      <c r="R16" s="744"/>
      <c r="S16" s="744"/>
      <c r="T16" s="744"/>
      <c r="U16" s="744"/>
      <c r="V16" s="744"/>
      <c r="W16" s="744"/>
      <c r="X16" s="744"/>
      <c r="Y16" s="744"/>
    </row>
    <row r="17" spans="1:25" ht="15" x14ac:dyDescent="0.3">
      <c r="A17" s="81" t="s">
        <v>222</v>
      </c>
      <c r="B17" s="81"/>
      <c r="C17" s="81"/>
      <c r="D17" s="741">
        <v>95</v>
      </c>
      <c r="E17" s="742">
        <v>0.49</v>
      </c>
      <c r="F17" s="742">
        <v>0.21</v>
      </c>
      <c r="G17" s="742">
        <v>2401</v>
      </c>
      <c r="H17" s="135">
        <f t="shared" ref="H17:H23" si="2">+E17*G17</f>
        <v>1176.49</v>
      </c>
      <c r="I17" s="135"/>
      <c r="J17" s="135">
        <v>8279</v>
      </c>
      <c r="K17" s="135">
        <f t="shared" ref="K17:K24" si="3">+H17+I17+J17</f>
        <v>9455.49</v>
      </c>
      <c r="L17" s="135"/>
      <c r="M17" s="135"/>
      <c r="P17" s="743"/>
      <c r="Q17" s="744"/>
      <c r="R17" s="744"/>
      <c r="S17" s="744"/>
      <c r="T17" s="744"/>
      <c r="U17" s="744"/>
      <c r="V17" s="744"/>
      <c r="W17" s="744"/>
      <c r="X17" s="744"/>
      <c r="Y17" s="744"/>
    </row>
    <row r="18" spans="1:25" ht="15" x14ac:dyDescent="0.3">
      <c r="A18" s="81" t="s">
        <v>223</v>
      </c>
      <c r="B18" s="81"/>
      <c r="C18" s="81"/>
      <c r="D18" s="741">
        <v>63</v>
      </c>
      <c r="E18" s="742">
        <v>0.46</v>
      </c>
      <c r="F18" s="742">
        <v>0.24</v>
      </c>
      <c r="G18" s="742">
        <v>2303</v>
      </c>
      <c r="H18" s="135">
        <f t="shared" si="2"/>
        <v>1059.3800000000001</v>
      </c>
      <c r="I18" s="135"/>
      <c r="J18" s="135">
        <v>4491</v>
      </c>
      <c r="K18" s="135">
        <f t="shared" si="3"/>
        <v>5550.38</v>
      </c>
      <c r="L18" s="135"/>
      <c r="M18" s="135"/>
      <c r="P18" s="743"/>
      <c r="Q18" s="744"/>
      <c r="R18" s="744"/>
      <c r="S18" s="744"/>
      <c r="T18" s="744"/>
      <c r="U18" s="744"/>
      <c r="V18" s="744"/>
      <c r="W18" s="744"/>
      <c r="X18" s="744"/>
      <c r="Y18" s="744"/>
    </row>
    <row r="19" spans="1:25" ht="15" x14ac:dyDescent="0.3">
      <c r="A19" s="81" t="s">
        <v>224</v>
      </c>
      <c r="B19" s="81"/>
      <c r="C19" s="81"/>
      <c r="D19" s="741">
        <f>'[5]Analized Sheet'!JB46</f>
        <v>100</v>
      </c>
      <c r="E19" s="742">
        <v>3.12</v>
      </c>
      <c r="F19" s="742">
        <v>2.94</v>
      </c>
      <c r="G19" s="742">
        <v>2100</v>
      </c>
      <c r="H19" s="135">
        <f t="shared" si="2"/>
        <v>6552</v>
      </c>
      <c r="I19" s="135"/>
      <c r="J19" s="135"/>
      <c r="K19" s="135">
        <f t="shared" si="3"/>
        <v>6552</v>
      </c>
      <c r="L19" s="135"/>
      <c r="M19" s="135"/>
      <c r="P19" s="743"/>
      <c r="Q19" s="744"/>
      <c r="R19" s="744"/>
      <c r="S19" s="744"/>
      <c r="T19" s="744"/>
      <c r="U19" s="744"/>
      <c r="V19" s="744"/>
      <c r="W19" s="744"/>
      <c r="X19" s="744"/>
      <c r="Y19" s="744"/>
    </row>
    <row r="20" spans="1:25" ht="15" x14ac:dyDescent="0.3">
      <c r="A20" s="81" t="s">
        <v>225</v>
      </c>
      <c r="B20" s="81"/>
      <c r="C20" s="81"/>
      <c r="D20" s="741">
        <v>95</v>
      </c>
      <c r="E20" s="742">
        <v>1.1000000000000001</v>
      </c>
      <c r="F20" s="742">
        <v>0.4</v>
      </c>
      <c r="G20" s="742">
        <v>2348</v>
      </c>
      <c r="H20" s="135">
        <f t="shared" si="2"/>
        <v>2582.8000000000002</v>
      </c>
      <c r="I20" s="135">
        <v>18768</v>
      </c>
      <c r="J20" s="135"/>
      <c r="K20" s="135">
        <f t="shared" si="3"/>
        <v>21350.799999999999</v>
      </c>
      <c r="L20" s="135"/>
      <c r="M20" s="135"/>
      <c r="P20" s="743"/>
      <c r="Q20" s="744"/>
      <c r="R20" s="744"/>
      <c r="S20" s="744"/>
      <c r="T20" s="744"/>
      <c r="U20" s="744"/>
      <c r="V20" s="744"/>
      <c r="W20" s="744"/>
      <c r="X20" s="744"/>
      <c r="Y20" s="745"/>
    </row>
    <row r="21" spans="1:25" ht="15" x14ac:dyDescent="0.3">
      <c r="A21" s="81" t="s">
        <v>608</v>
      </c>
      <c r="B21" s="81"/>
      <c r="C21" s="81"/>
      <c r="D21" s="741" t="s">
        <v>607</v>
      </c>
      <c r="E21" s="746" t="s">
        <v>609</v>
      </c>
      <c r="F21" s="746" t="s">
        <v>610</v>
      </c>
      <c r="G21" s="746" t="s">
        <v>611</v>
      </c>
      <c r="H21" s="747" t="s">
        <v>612</v>
      </c>
      <c r="I21" s="135"/>
      <c r="J21" s="135"/>
      <c r="K21" s="135"/>
      <c r="L21" s="135"/>
      <c r="M21" s="135"/>
      <c r="P21" s="743"/>
      <c r="Q21" s="744"/>
      <c r="R21" s="744"/>
      <c r="S21" s="744"/>
      <c r="T21" s="744"/>
      <c r="U21" s="744"/>
      <c r="V21" s="744"/>
      <c r="W21" s="744"/>
      <c r="X21" s="744"/>
      <c r="Y21" s="745"/>
    </row>
    <row r="22" spans="1:25" ht="15" x14ac:dyDescent="0.3">
      <c r="A22" s="81" t="s">
        <v>613</v>
      </c>
      <c r="B22" s="81"/>
      <c r="C22" s="81"/>
      <c r="D22" s="741" t="s">
        <v>614</v>
      </c>
      <c r="E22" s="746" t="s">
        <v>615</v>
      </c>
      <c r="F22" s="746" t="s">
        <v>616</v>
      </c>
      <c r="G22" s="746" t="s">
        <v>617</v>
      </c>
      <c r="H22" s="747" t="s">
        <v>618</v>
      </c>
      <c r="I22" s="747" t="s">
        <v>619</v>
      </c>
      <c r="J22" s="135"/>
      <c r="K22" s="135"/>
      <c r="L22" s="747" t="s">
        <v>620</v>
      </c>
      <c r="M22" s="135"/>
      <c r="P22" s="743"/>
      <c r="Q22" s="744"/>
      <c r="R22" s="744"/>
      <c r="S22" s="744"/>
      <c r="T22" s="744"/>
      <c r="U22" s="744"/>
      <c r="V22" s="744"/>
      <c r="W22" s="744"/>
      <c r="X22" s="744"/>
      <c r="Y22" s="745"/>
    </row>
    <row r="23" spans="1:25" ht="15" x14ac:dyDescent="0.3">
      <c r="A23" s="81" t="s">
        <v>231</v>
      </c>
      <c r="B23" s="81"/>
      <c r="C23" s="81"/>
      <c r="D23" s="741">
        <v>65</v>
      </c>
      <c r="E23" s="742">
        <v>1.5</v>
      </c>
      <c r="F23" s="742">
        <v>1.0900000000000001</v>
      </c>
      <c r="G23" s="742">
        <v>2403</v>
      </c>
      <c r="H23" s="135">
        <f t="shared" si="2"/>
        <v>3604.5</v>
      </c>
      <c r="I23" s="135"/>
      <c r="J23" s="135"/>
      <c r="K23" s="135">
        <f t="shared" si="3"/>
        <v>3604.5</v>
      </c>
      <c r="L23" s="135"/>
      <c r="M23" s="135"/>
      <c r="P23" s="743"/>
      <c r="Q23" s="744"/>
      <c r="R23" s="744"/>
      <c r="S23" s="744"/>
      <c r="T23" s="744"/>
      <c r="U23" s="744"/>
      <c r="V23" s="744"/>
      <c r="W23" s="744"/>
      <c r="X23" s="744"/>
      <c r="Y23" s="744"/>
    </row>
    <row r="24" spans="1:25" ht="15" x14ac:dyDescent="0.3">
      <c r="A24" s="81" t="s">
        <v>621</v>
      </c>
      <c r="B24" s="81"/>
      <c r="C24" s="81"/>
      <c r="D24" s="741">
        <v>91</v>
      </c>
      <c r="E24" s="750">
        <v>0.2</v>
      </c>
      <c r="F24" s="750" t="s">
        <v>622</v>
      </c>
      <c r="G24" s="750">
        <v>2350</v>
      </c>
      <c r="H24" s="135">
        <f>+E24*G24</f>
        <v>470</v>
      </c>
      <c r="I24" s="747">
        <v>2325</v>
      </c>
      <c r="J24" s="747"/>
      <c r="K24" s="135">
        <f t="shared" si="3"/>
        <v>2795</v>
      </c>
      <c r="L24" s="747">
        <v>474</v>
      </c>
      <c r="M24" s="135"/>
      <c r="P24" s="743"/>
      <c r="Q24" s="751"/>
      <c r="R24" s="751"/>
      <c r="S24" s="751"/>
      <c r="T24" s="744"/>
      <c r="U24" s="751"/>
      <c r="V24" s="751"/>
      <c r="W24" s="744"/>
      <c r="X24" s="751"/>
      <c r="Y24" s="752"/>
    </row>
    <row r="25" spans="1:25" ht="15" x14ac:dyDescent="0.3">
      <c r="A25" s="56" t="s">
        <v>34</v>
      </c>
      <c r="B25" s="56"/>
      <c r="C25" s="56"/>
      <c r="D25" s="753"/>
      <c r="E25" s="80"/>
      <c r="F25" s="80"/>
      <c r="G25" s="80"/>
      <c r="H25" s="754"/>
      <c r="I25" s="755"/>
      <c r="J25" s="755"/>
      <c r="K25" s="756">
        <v>2800</v>
      </c>
      <c r="L25" s="754"/>
      <c r="M25" s="754"/>
      <c r="P25" s="757"/>
      <c r="Q25" s="744"/>
      <c r="R25" s="744"/>
      <c r="S25" s="744"/>
      <c r="T25" s="744"/>
      <c r="U25" s="744"/>
      <c r="V25" s="744"/>
      <c r="W25" s="744"/>
      <c r="X25" s="744"/>
      <c r="Y25" s="744"/>
    </row>
    <row r="26" spans="1:25" x14ac:dyDescent="0.2">
      <c r="A26" s="736" t="s">
        <v>134</v>
      </c>
      <c r="B26" s="736"/>
      <c r="C26" s="736"/>
      <c r="D26" s="758"/>
      <c r="E26" s="759">
        <f t="shared" ref="E26:M26" si="4">SUM(E7:E25)</f>
        <v>14.769999999999998</v>
      </c>
      <c r="F26" s="759">
        <f t="shared" si="4"/>
        <v>8.120000000000001</v>
      </c>
      <c r="G26" s="759">
        <f t="shared" si="4"/>
        <v>25274</v>
      </c>
      <c r="H26" s="760">
        <f t="shared" si="4"/>
        <v>33877.899999999994</v>
      </c>
      <c r="I26" s="754">
        <f>SUM(I7:I25)</f>
        <v>40761</v>
      </c>
      <c r="J26" s="754">
        <f>SUM(J7:J25)</f>
        <v>60267</v>
      </c>
      <c r="K26" s="754">
        <f>SUM(K7:K25)</f>
        <v>137705.90000000002</v>
      </c>
      <c r="L26" s="760">
        <f t="shared" si="4"/>
        <v>2783</v>
      </c>
      <c r="M26" s="760">
        <f t="shared" si="4"/>
        <v>3798</v>
      </c>
      <c r="O26" s="748"/>
      <c r="P26" s="748"/>
      <c r="Q26" s="761"/>
      <c r="R26" s="748"/>
    </row>
    <row r="27" spans="1:25" x14ac:dyDescent="0.2">
      <c r="A27" s="153" t="s">
        <v>135</v>
      </c>
      <c r="B27" s="153"/>
      <c r="C27" s="153"/>
      <c r="D27" s="762"/>
      <c r="E27" s="763">
        <f>+E26-F26</f>
        <v>6.6499999999999968</v>
      </c>
      <c r="F27" s="763"/>
      <c r="G27" s="763"/>
      <c r="H27" s="755">
        <f>+E37*G37</f>
        <v>15806</v>
      </c>
      <c r="I27" s="755">
        <f>+I26-L26</f>
        <v>37978</v>
      </c>
      <c r="J27" s="755">
        <f>+J26-M26</f>
        <v>56469</v>
      </c>
      <c r="K27" s="755">
        <f>+H27+I27+J27</f>
        <v>110253</v>
      </c>
      <c r="L27" s="755"/>
      <c r="M27" s="755"/>
      <c r="O27" s="748"/>
      <c r="P27" s="748"/>
      <c r="Q27" s="761"/>
      <c r="R27" s="748"/>
    </row>
    <row r="28" spans="1:25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25" ht="13.5" thickBot="1" x14ac:dyDescent="0.25">
      <c r="A29" s="56"/>
      <c r="B29" s="56"/>
      <c r="C29" s="56" t="s">
        <v>37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P29" s="749"/>
    </row>
    <row r="30" spans="1:25" x14ac:dyDescent="0.2">
      <c r="A30" s="56"/>
      <c r="B30" s="56"/>
      <c r="C30" s="56"/>
      <c r="D30" s="56"/>
      <c r="E30" s="56"/>
      <c r="F30" s="56"/>
      <c r="G30" s="56"/>
      <c r="H30" s="56"/>
      <c r="I30" s="56"/>
      <c r="J30" s="764" t="s">
        <v>99</v>
      </c>
      <c r="K30" s="765">
        <v>3.15</v>
      </c>
      <c r="L30" s="56"/>
      <c r="M30" s="56"/>
    </row>
    <row r="31" spans="1:25" ht="13.5" thickBot="1" x14ac:dyDescent="0.25">
      <c r="A31" s="56" t="s">
        <v>96</v>
      </c>
      <c r="B31" s="56"/>
      <c r="C31" s="56"/>
      <c r="D31" s="56"/>
      <c r="E31" s="56"/>
      <c r="F31" s="56"/>
      <c r="G31" s="56"/>
      <c r="H31" s="56"/>
      <c r="I31" s="56"/>
      <c r="J31" s="766" t="s">
        <v>100</v>
      </c>
      <c r="K31" s="767">
        <v>2.5</v>
      </c>
      <c r="L31" s="56"/>
      <c r="M31" s="768"/>
    </row>
    <row r="32" spans="1:25" x14ac:dyDescent="0.2">
      <c r="A32" s="769" t="s">
        <v>38</v>
      </c>
      <c r="B32" s="769"/>
      <c r="C32" s="769"/>
      <c r="D32" s="955" t="s">
        <v>39</v>
      </c>
      <c r="E32" s="955" t="s">
        <v>40</v>
      </c>
      <c r="F32" s="955"/>
      <c r="G32" s="955" t="s">
        <v>41</v>
      </c>
      <c r="H32" s="955"/>
      <c r="I32" s="56"/>
      <c r="J32" s="56"/>
      <c r="K32" s="92"/>
      <c r="L32" s="56"/>
      <c r="M32" s="768"/>
    </row>
    <row r="33" spans="1:18" x14ac:dyDescent="0.2">
      <c r="A33" s="56" t="s">
        <v>43</v>
      </c>
      <c r="B33" s="56"/>
      <c r="C33" s="56"/>
      <c r="D33" s="956"/>
      <c r="E33" s="56"/>
      <c r="F33" s="56"/>
      <c r="G33" s="56"/>
      <c r="H33" s="56"/>
      <c r="I33" s="56"/>
      <c r="J33" s="771" t="s">
        <v>623</v>
      </c>
      <c r="K33" s="771" t="s">
        <v>95</v>
      </c>
      <c r="L33" s="56"/>
      <c r="M33" s="768"/>
    </row>
    <row r="34" spans="1:18" x14ac:dyDescent="0.2">
      <c r="A34" s="56" t="s">
        <v>46</v>
      </c>
      <c r="B34" s="56"/>
      <c r="C34" s="56"/>
      <c r="D34" s="956" t="s">
        <v>47</v>
      </c>
      <c r="E34" s="772">
        <v>53</v>
      </c>
      <c r="F34" s="56"/>
      <c r="G34" s="80">
        <v>169</v>
      </c>
      <c r="H34" s="80"/>
      <c r="I34" s="56"/>
      <c r="J34" s="773" t="s">
        <v>97</v>
      </c>
      <c r="K34" s="774">
        <v>33</v>
      </c>
      <c r="L34" s="56"/>
    </row>
    <row r="35" spans="1:18" x14ac:dyDescent="0.2">
      <c r="A35" s="56"/>
      <c r="B35" s="56"/>
      <c r="C35" s="56"/>
      <c r="D35" s="80"/>
      <c r="E35" s="56"/>
      <c r="F35" s="56"/>
      <c r="G35" s="56"/>
      <c r="H35" s="56"/>
      <c r="I35" s="56"/>
      <c r="J35" s="775" t="s">
        <v>184</v>
      </c>
      <c r="K35" s="774">
        <v>17</v>
      </c>
      <c r="L35" s="56"/>
      <c r="N35" s="776"/>
      <c r="R35" s="734" t="s">
        <v>152</v>
      </c>
    </row>
    <row r="36" spans="1:18" x14ac:dyDescent="0.2">
      <c r="A36" s="56" t="s">
        <v>51</v>
      </c>
      <c r="B36" s="56"/>
      <c r="C36" s="56"/>
      <c r="D36" s="80"/>
      <c r="E36" s="56"/>
      <c r="F36" s="56"/>
      <c r="G36" s="56"/>
      <c r="H36" s="56"/>
      <c r="I36" s="56"/>
      <c r="J36" s="775" t="s">
        <v>185</v>
      </c>
      <c r="K36" s="774">
        <v>15</v>
      </c>
      <c r="L36" s="56"/>
      <c r="N36" s="776"/>
    </row>
    <row r="37" spans="1:18" x14ac:dyDescent="0.2">
      <c r="A37" s="56" t="s">
        <v>233</v>
      </c>
      <c r="B37" s="56"/>
      <c r="C37" s="56"/>
      <c r="D37" s="56" t="s">
        <v>54</v>
      </c>
      <c r="E37" s="80">
        <v>7</v>
      </c>
      <c r="F37" s="56"/>
      <c r="G37" s="80">
        <v>2258</v>
      </c>
      <c r="H37" s="80"/>
      <c r="I37" s="56"/>
      <c r="J37" s="773" t="s">
        <v>186</v>
      </c>
      <c r="K37" s="774">
        <v>14</v>
      </c>
      <c r="L37" s="56"/>
      <c r="N37" s="777"/>
    </row>
    <row r="38" spans="1:18" x14ac:dyDescent="0.2">
      <c r="A38" s="56" t="s">
        <v>234</v>
      </c>
      <c r="B38" s="56"/>
      <c r="C38" s="56"/>
      <c r="D38" s="56" t="s">
        <v>54</v>
      </c>
      <c r="E38" s="80">
        <v>8</v>
      </c>
      <c r="F38" s="56"/>
      <c r="G38" s="56"/>
      <c r="H38" s="56"/>
      <c r="I38" s="56"/>
      <c r="J38" s="775" t="s">
        <v>319</v>
      </c>
      <c r="K38" s="774">
        <v>5</v>
      </c>
      <c r="L38" s="56"/>
      <c r="N38" s="777"/>
      <c r="P38" s="748"/>
      <c r="Q38" s="748"/>
    </row>
    <row r="39" spans="1:18" x14ac:dyDescent="0.2">
      <c r="A39" s="56" t="s">
        <v>8</v>
      </c>
      <c r="B39" s="56"/>
      <c r="C39" s="56"/>
      <c r="D39" s="56" t="s">
        <v>54</v>
      </c>
      <c r="E39" s="80">
        <v>15</v>
      </c>
      <c r="F39" s="56"/>
      <c r="G39" s="56"/>
      <c r="H39" s="56"/>
      <c r="I39" s="56"/>
      <c r="J39" s="773" t="s">
        <v>624</v>
      </c>
      <c r="K39" s="774">
        <v>2</v>
      </c>
      <c r="L39" s="56"/>
      <c r="N39" s="777"/>
    </row>
    <row r="40" spans="1:18" x14ac:dyDescent="0.2">
      <c r="A40" s="56"/>
      <c r="B40" s="56"/>
      <c r="C40" s="56"/>
      <c r="D40" s="80"/>
      <c r="E40" s="56"/>
      <c r="F40" s="56"/>
      <c r="G40" s="56"/>
      <c r="H40" s="56"/>
      <c r="I40" s="56"/>
      <c r="J40" s="773" t="s">
        <v>187</v>
      </c>
      <c r="K40" s="774">
        <v>3</v>
      </c>
      <c r="L40" s="56"/>
      <c r="N40" s="777"/>
    </row>
    <row r="41" spans="1:18" x14ac:dyDescent="0.2">
      <c r="A41" s="736" t="s">
        <v>58</v>
      </c>
      <c r="B41" s="736"/>
      <c r="C41" s="736" t="s">
        <v>59</v>
      </c>
      <c r="D41" s="736"/>
      <c r="E41" s="736"/>
      <c r="F41" s="736"/>
      <c r="G41" s="736"/>
      <c r="H41" s="736"/>
      <c r="I41" s="56"/>
      <c r="J41" s="773" t="s">
        <v>188</v>
      </c>
      <c r="K41" s="774">
        <v>1</v>
      </c>
      <c r="N41" s="777"/>
    </row>
    <row r="42" spans="1:18" x14ac:dyDescent="0.2">
      <c r="A42" s="56" t="s">
        <v>60</v>
      </c>
      <c r="B42" s="56" t="s">
        <v>103</v>
      </c>
      <c r="C42" s="778">
        <v>45</v>
      </c>
      <c r="D42" s="739" t="s">
        <v>47</v>
      </c>
      <c r="E42" s="80">
        <v>145</v>
      </c>
      <c r="F42" s="80"/>
      <c r="G42" s="80" t="s">
        <v>70</v>
      </c>
      <c r="H42" s="80"/>
      <c r="I42" s="80"/>
      <c r="J42" s="773" t="s">
        <v>625</v>
      </c>
      <c r="K42" s="774">
        <v>1</v>
      </c>
      <c r="L42" s="56"/>
      <c r="N42" s="777"/>
    </row>
    <row r="43" spans="1:18" x14ac:dyDescent="0.2">
      <c r="A43" s="56" t="s">
        <v>104</v>
      </c>
      <c r="B43" s="56" t="s">
        <v>235</v>
      </c>
      <c r="C43" s="778">
        <v>81</v>
      </c>
      <c r="D43" s="739" t="s">
        <v>47</v>
      </c>
      <c r="E43" s="80">
        <v>58</v>
      </c>
      <c r="F43" s="80"/>
      <c r="G43" s="80">
        <v>215</v>
      </c>
      <c r="H43" s="80"/>
      <c r="I43" s="80"/>
      <c r="J43" s="773" t="s">
        <v>293</v>
      </c>
      <c r="K43" s="774">
        <v>9</v>
      </c>
      <c r="L43" s="56"/>
      <c r="N43" s="777"/>
    </row>
    <row r="44" spans="1:18" x14ac:dyDescent="0.2">
      <c r="A44" s="56"/>
      <c r="B44" s="56" t="s">
        <v>418</v>
      </c>
      <c r="C44" s="778">
        <v>32</v>
      </c>
      <c r="D44" s="739" t="s">
        <v>47</v>
      </c>
      <c r="E44" s="80">
        <v>66</v>
      </c>
      <c r="F44" s="80"/>
      <c r="G44" s="80">
        <v>395</v>
      </c>
      <c r="H44" s="80"/>
      <c r="I44" s="80"/>
      <c r="L44" s="56"/>
    </row>
    <row r="45" spans="1:18" x14ac:dyDescent="0.2">
      <c r="A45" s="56"/>
      <c r="H45" s="80"/>
      <c r="I45" s="80"/>
      <c r="L45" s="56"/>
      <c r="M45" s="56"/>
    </row>
    <row r="46" spans="1:18" x14ac:dyDescent="0.2">
      <c r="A46" s="56"/>
      <c r="B46" s="56" t="s">
        <v>65</v>
      </c>
      <c r="C46" s="778" t="s">
        <v>626</v>
      </c>
      <c r="D46" s="739" t="s">
        <v>47</v>
      </c>
      <c r="E46" s="779" t="s">
        <v>166</v>
      </c>
      <c r="F46" s="780"/>
      <c r="G46" s="763">
        <v>398</v>
      </c>
      <c r="H46" s="80"/>
      <c r="I46" s="80"/>
      <c r="L46" s="56"/>
      <c r="M46" s="56"/>
    </row>
    <row r="47" spans="1:18" x14ac:dyDescent="0.2">
      <c r="A47" s="736" t="s">
        <v>71</v>
      </c>
      <c r="B47" s="736"/>
      <c r="C47" s="736"/>
      <c r="D47" s="736"/>
      <c r="E47" s="736"/>
      <c r="F47" s="739" t="s">
        <v>72</v>
      </c>
      <c r="G47" s="56"/>
      <c r="H47" s="736" t="s">
        <v>73</v>
      </c>
      <c r="I47" s="56"/>
      <c r="L47" s="56"/>
      <c r="M47" s="56"/>
    </row>
    <row r="48" spans="1:18" x14ac:dyDescent="0.2">
      <c r="A48" s="56" t="s">
        <v>108</v>
      </c>
      <c r="B48" s="56"/>
      <c r="C48" s="56"/>
      <c r="D48" s="56"/>
      <c r="E48" s="56"/>
      <c r="F48" s="754">
        <v>1787</v>
      </c>
      <c r="G48" s="754"/>
      <c r="H48" s="754">
        <f>F48*2.471</f>
        <v>4415.6770000000006</v>
      </c>
      <c r="I48" s="56"/>
      <c r="L48" s="56"/>
      <c r="M48" s="56"/>
    </row>
    <row r="49" spans="1:13" x14ac:dyDescent="0.2">
      <c r="A49" s="56" t="s">
        <v>109</v>
      </c>
      <c r="B49" s="56"/>
      <c r="C49" s="56"/>
      <c r="D49" s="56"/>
      <c r="E49" s="56"/>
      <c r="F49" s="80">
        <v>90</v>
      </c>
      <c r="G49" s="781"/>
      <c r="H49" s="80"/>
      <c r="I49" s="56"/>
      <c r="L49" s="56"/>
      <c r="M49" s="56"/>
    </row>
    <row r="50" spans="1:13" x14ac:dyDescent="0.2">
      <c r="A50" s="56" t="s">
        <v>110</v>
      </c>
      <c r="B50" s="56"/>
      <c r="C50" s="56"/>
      <c r="D50" s="56"/>
      <c r="E50" s="56"/>
      <c r="F50" s="754">
        <f>+F48*F49</f>
        <v>160830</v>
      </c>
      <c r="G50" s="754"/>
      <c r="H50" s="754">
        <f>F50*2.471</f>
        <v>397410.93</v>
      </c>
      <c r="I50" s="56"/>
      <c r="L50" s="56"/>
      <c r="M50" s="56"/>
    </row>
    <row r="51" spans="1:13" x14ac:dyDescent="0.2">
      <c r="A51" s="56" t="s">
        <v>111</v>
      </c>
      <c r="B51" s="56"/>
      <c r="C51" s="56"/>
      <c r="D51" s="56"/>
      <c r="E51" s="56"/>
      <c r="F51" s="754">
        <f>+F50-K26</f>
        <v>23124.099999999977</v>
      </c>
      <c r="G51" s="754"/>
      <c r="H51" s="754">
        <f>F51*2.471</f>
        <v>57139.651099999945</v>
      </c>
      <c r="I51" s="56"/>
      <c r="L51" s="56"/>
      <c r="M51" s="56"/>
    </row>
    <row r="52" spans="1:13" x14ac:dyDescent="0.2">
      <c r="A52" s="56" t="s">
        <v>112</v>
      </c>
      <c r="B52" s="56"/>
      <c r="C52" s="56"/>
      <c r="D52" s="56"/>
      <c r="E52" s="56"/>
      <c r="F52" s="754">
        <f>+F50-K27</f>
        <v>50577</v>
      </c>
      <c r="G52" s="754"/>
      <c r="H52" s="754">
        <f>F52*2.471</f>
        <v>124975.76700000001</v>
      </c>
      <c r="I52" s="56"/>
      <c r="L52" s="56"/>
      <c r="M52" s="56"/>
    </row>
    <row r="53" spans="1:13" x14ac:dyDescent="0.2">
      <c r="A53" s="56" t="s">
        <v>262</v>
      </c>
      <c r="B53" s="56"/>
      <c r="C53" s="56"/>
      <c r="D53" s="56"/>
      <c r="E53" s="56"/>
      <c r="F53" s="80">
        <f>+K26/F48</f>
        <v>77.059820928931188</v>
      </c>
      <c r="G53" s="781"/>
      <c r="H53" s="781"/>
      <c r="I53" s="56"/>
      <c r="J53" s="56"/>
      <c r="K53" s="80"/>
      <c r="L53" s="56"/>
      <c r="M53" s="56"/>
    </row>
    <row r="54" spans="1:13" x14ac:dyDescent="0.2">
      <c r="A54" s="153" t="s">
        <v>263</v>
      </c>
      <c r="B54" s="153"/>
      <c r="C54" s="153"/>
      <c r="D54" s="153"/>
      <c r="E54" s="153"/>
      <c r="F54" s="763">
        <f>+K27/F48</f>
        <v>61.697257974258534</v>
      </c>
      <c r="G54" s="782"/>
      <c r="H54" s="782"/>
      <c r="I54" s="56"/>
      <c r="J54" s="56"/>
      <c r="K54" s="56"/>
      <c r="L54" s="56"/>
      <c r="M54" s="56"/>
    </row>
    <row r="55" spans="1:13" x14ac:dyDescent="0.2">
      <c r="A55" s="768"/>
      <c r="B55" s="56"/>
      <c r="C55" s="56"/>
      <c r="D55" s="783"/>
      <c r="E55" s="56"/>
      <c r="F55" s="56"/>
      <c r="G55" s="56"/>
      <c r="H55" s="56"/>
      <c r="I55" s="56"/>
      <c r="J55" s="56"/>
      <c r="K55" s="56"/>
      <c r="L55" s="56"/>
      <c r="M55" s="56"/>
    </row>
    <row r="56" spans="1:13" x14ac:dyDescent="0.2">
      <c r="A56" s="768"/>
      <c r="B56" s="56"/>
      <c r="C56" s="56"/>
      <c r="D56" s="783"/>
      <c r="E56" s="56"/>
      <c r="F56" s="56"/>
      <c r="G56" s="56"/>
      <c r="H56" s="56"/>
      <c r="I56" s="56"/>
      <c r="J56" s="56"/>
      <c r="K56" s="56"/>
      <c r="L56" s="56"/>
      <c r="M56" s="56"/>
    </row>
    <row r="57" spans="1:13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</row>
    <row r="58" spans="1:13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spans="1:13" x14ac:dyDescent="0.2">
      <c r="A59" s="130"/>
      <c r="B59" s="56"/>
      <c r="C59" s="1076"/>
      <c r="D59" s="1076"/>
      <c r="E59" s="56"/>
      <c r="F59" s="56"/>
      <c r="G59" s="56"/>
      <c r="H59" s="56"/>
      <c r="I59" s="56"/>
      <c r="J59" s="56"/>
      <c r="K59" s="56"/>
      <c r="L59" s="56"/>
      <c r="M59" s="56"/>
    </row>
  </sheetData>
  <mergeCells count="5">
    <mergeCell ref="E15:E16"/>
    <mergeCell ref="F15:F16"/>
    <mergeCell ref="G15:G16"/>
    <mergeCell ref="H15:H16"/>
    <mergeCell ref="C59:D5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8"/>
  <sheetViews>
    <sheetView topLeftCell="A13" workbookViewId="0">
      <selection activeCell="N50" sqref="N50"/>
    </sheetView>
  </sheetViews>
  <sheetFormatPr defaultColWidth="9.140625" defaultRowHeight="12.75" x14ac:dyDescent="0.2"/>
  <cols>
    <col min="1" max="1" width="11.7109375" style="734" customWidth="1"/>
    <col min="2" max="2" width="11.140625" style="734" customWidth="1"/>
    <col min="3" max="3" width="4.42578125" style="734" customWidth="1"/>
    <col min="4" max="4" width="5.28515625" style="734" customWidth="1"/>
    <col min="5" max="5" width="5.85546875" style="734" customWidth="1"/>
    <col min="6" max="6" width="8.42578125" style="734" customWidth="1"/>
    <col min="7" max="7" width="8" style="734" customWidth="1"/>
    <col min="8" max="8" width="8.28515625" style="734" customWidth="1"/>
    <col min="9" max="9" width="7.5703125" style="734" customWidth="1"/>
    <col min="10" max="10" width="7.7109375" style="734" customWidth="1"/>
    <col min="11" max="11" width="8.28515625" style="734" customWidth="1"/>
    <col min="12" max="12" width="6.5703125" style="734" customWidth="1"/>
    <col min="13" max="13" width="7" style="734" customWidth="1"/>
    <col min="14" max="16384" width="9.140625" style="734"/>
  </cols>
  <sheetData>
    <row r="1" spans="1:25" x14ac:dyDescent="0.2">
      <c r="A1" s="732" t="s">
        <v>0</v>
      </c>
      <c r="B1" s="733" t="s">
        <v>630</v>
      </c>
      <c r="C1" s="733"/>
      <c r="D1" s="733"/>
      <c r="E1" s="733"/>
      <c r="F1" s="733"/>
      <c r="G1" s="733"/>
      <c r="H1" s="733"/>
      <c r="I1" s="732"/>
      <c r="J1" s="732"/>
      <c r="K1" s="732"/>
      <c r="L1" s="732"/>
      <c r="M1" s="732"/>
    </row>
    <row r="2" spans="1:25" x14ac:dyDescent="0.2">
      <c r="A2" s="732"/>
      <c r="B2" s="735" t="s">
        <v>601</v>
      </c>
      <c r="C2" s="735"/>
      <c r="D2" s="735"/>
      <c r="E2" s="735"/>
      <c r="F2" s="732"/>
      <c r="G2" s="732"/>
      <c r="H2" s="732"/>
      <c r="I2" s="732"/>
      <c r="J2" s="732"/>
      <c r="K2" s="732"/>
      <c r="L2" s="732"/>
      <c r="M2" s="732"/>
    </row>
    <row r="3" spans="1:25" x14ac:dyDescent="0.2">
      <c r="A3" s="732"/>
      <c r="B3" s="786" t="s">
        <v>629</v>
      </c>
      <c r="C3" s="786"/>
      <c r="D3" s="786"/>
      <c r="E3" s="786"/>
      <c r="F3" s="732"/>
      <c r="G3" s="732"/>
      <c r="H3" s="732"/>
      <c r="I3" s="732"/>
      <c r="J3" s="732"/>
      <c r="K3" s="732"/>
      <c r="L3" s="732"/>
      <c r="M3" s="732"/>
    </row>
    <row r="4" spans="1:25" x14ac:dyDescent="0.2">
      <c r="A4" s="736" t="s">
        <v>6</v>
      </c>
      <c r="B4" s="736"/>
      <c r="C4" s="736"/>
      <c r="D4" s="737" t="s">
        <v>7</v>
      </c>
      <c r="E4" s="737" t="s">
        <v>8</v>
      </c>
      <c r="F4" s="737" t="s">
        <v>9</v>
      </c>
      <c r="G4" s="737" t="s">
        <v>10</v>
      </c>
      <c r="H4" s="737" t="s">
        <v>86</v>
      </c>
      <c r="I4" s="737" t="s">
        <v>12</v>
      </c>
      <c r="J4" s="737" t="s">
        <v>13</v>
      </c>
      <c r="K4" s="737" t="s">
        <v>14</v>
      </c>
      <c r="L4" s="738" t="s">
        <v>15</v>
      </c>
      <c r="M4" s="737"/>
    </row>
    <row r="5" spans="1:25" x14ac:dyDescent="0.2">
      <c r="A5" s="56"/>
      <c r="B5" s="56"/>
      <c r="C5" s="56"/>
      <c r="D5" s="739" t="s">
        <v>16</v>
      </c>
      <c r="E5" s="739" t="s">
        <v>17</v>
      </c>
      <c r="F5" s="739" t="s">
        <v>17</v>
      </c>
      <c r="G5" s="739" t="s">
        <v>18</v>
      </c>
      <c r="H5" s="739" t="s">
        <v>87</v>
      </c>
      <c r="I5" s="739" t="s">
        <v>20</v>
      </c>
      <c r="J5" s="739" t="s">
        <v>19</v>
      </c>
      <c r="K5" s="739" t="s">
        <v>19</v>
      </c>
      <c r="L5" s="739" t="s">
        <v>12</v>
      </c>
      <c r="M5" s="739" t="s">
        <v>13</v>
      </c>
    </row>
    <row r="6" spans="1:25" x14ac:dyDescent="0.2">
      <c r="A6" s="56"/>
      <c r="B6" s="56"/>
      <c r="C6" s="56"/>
      <c r="D6" s="739" t="s">
        <v>21</v>
      </c>
      <c r="E6" s="739"/>
      <c r="F6" s="739"/>
      <c r="G6" s="739"/>
      <c r="H6" s="739"/>
      <c r="I6" s="739" t="s">
        <v>19</v>
      </c>
      <c r="J6" s="739" t="s">
        <v>22</v>
      </c>
      <c r="K6" s="739" t="s">
        <v>22</v>
      </c>
      <c r="L6" s="739"/>
      <c r="M6" s="739"/>
    </row>
    <row r="7" spans="1:25" x14ac:dyDescent="0.2">
      <c r="A7" s="153"/>
      <c r="B7" s="153"/>
      <c r="C7" s="153"/>
      <c r="D7" s="740"/>
      <c r="E7" s="740"/>
      <c r="F7" s="740"/>
      <c r="G7" s="740"/>
      <c r="H7" s="740"/>
      <c r="I7" s="740" t="s">
        <v>22</v>
      </c>
      <c r="J7" s="740"/>
      <c r="K7" s="740"/>
      <c r="L7" s="740"/>
      <c r="M7" s="740"/>
    </row>
    <row r="8" spans="1:25" ht="15" x14ac:dyDescent="0.3">
      <c r="A8" s="81" t="s">
        <v>88</v>
      </c>
      <c r="B8" s="81"/>
      <c r="C8" s="81"/>
      <c r="D8" s="741">
        <v>70</v>
      </c>
      <c r="E8" s="742">
        <v>0.79</v>
      </c>
      <c r="F8" s="742">
        <v>0.54</v>
      </c>
      <c r="G8" s="742">
        <v>2169</v>
      </c>
      <c r="H8" s="135">
        <f>+E8*G8</f>
        <v>1713.51</v>
      </c>
      <c r="I8" s="135"/>
      <c r="J8" s="135"/>
      <c r="K8" s="135">
        <f>+H8+I8+J8</f>
        <v>1713.51</v>
      </c>
      <c r="L8" s="135"/>
      <c r="M8" s="135"/>
      <c r="P8" s="743"/>
      <c r="Q8" s="744"/>
      <c r="R8" s="744"/>
      <c r="S8" s="744"/>
      <c r="T8" s="744"/>
      <c r="U8" s="745"/>
      <c r="V8" s="744"/>
      <c r="W8" s="744"/>
      <c r="X8" s="745"/>
      <c r="Y8" s="745"/>
    </row>
    <row r="9" spans="1:25" ht="15" x14ac:dyDescent="0.3">
      <c r="A9" s="81" t="s">
        <v>214</v>
      </c>
      <c r="B9" s="81"/>
      <c r="C9" s="81"/>
      <c r="D9" s="741">
        <v>66</v>
      </c>
      <c r="E9" s="742">
        <v>0.45</v>
      </c>
      <c r="F9" s="742">
        <v>0.43</v>
      </c>
      <c r="G9" s="742">
        <v>2147</v>
      </c>
      <c r="H9" s="135">
        <f>+E9*G9</f>
        <v>966.15</v>
      </c>
      <c r="I9" s="135">
        <v>19668</v>
      </c>
      <c r="J9" s="135"/>
      <c r="K9" s="135">
        <f>+H9+I9+J9</f>
        <v>20634.150000000001</v>
      </c>
      <c r="L9" s="135">
        <v>2309</v>
      </c>
      <c r="M9" s="135"/>
      <c r="P9" s="743"/>
      <c r="Q9" s="744"/>
      <c r="R9" s="744"/>
      <c r="S9" s="744"/>
      <c r="T9" s="744"/>
      <c r="U9" s="744"/>
      <c r="V9" s="744"/>
      <c r="W9" s="744"/>
      <c r="X9" s="745"/>
      <c r="Y9" s="745"/>
    </row>
    <row r="10" spans="1:25" ht="15" x14ac:dyDescent="0.3">
      <c r="A10" s="81" t="s">
        <v>602</v>
      </c>
      <c r="B10" s="81"/>
      <c r="C10" s="81"/>
      <c r="D10" s="741" t="s">
        <v>438</v>
      </c>
      <c r="E10" s="746"/>
      <c r="F10" s="746"/>
      <c r="G10" s="746"/>
      <c r="H10" s="747" t="s">
        <v>603</v>
      </c>
      <c r="I10" s="747" t="s">
        <v>604</v>
      </c>
      <c r="J10" s="135"/>
      <c r="K10" s="135"/>
      <c r="L10" s="747"/>
      <c r="M10" s="135"/>
      <c r="P10" s="743"/>
      <c r="Q10" s="744"/>
      <c r="R10" s="744"/>
      <c r="S10" s="744"/>
      <c r="T10" s="744"/>
      <c r="U10" s="744"/>
      <c r="V10" s="744"/>
      <c r="W10" s="744"/>
      <c r="X10" s="744"/>
      <c r="Y10" s="745"/>
    </row>
    <row r="11" spans="1:25" ht="15" x14ac:dyDescent="0.3">
      <c r="A11" s="81" t="s">
        <v>215</v>
      </c>
      <c r="B11" s="81"/>
      <c r="C11" s="81"/>
      <c r="D11" s="741" t="s">
        <v>123</v>
      </c>
      <c r="E11" s="746"/>
      <c r="F11" s="746"/>
      <c r="G11" s="746"/>
      <c r="H11" s="747" t="s">
        <v>605</v>
      </c>
      <c r="I11" s="747" t="s">
        <v>606</v>
      </c>
      <c r="J11" s="135"/>
      <c r="K11" s="135"/>
      <c r="L11" s="747"/>
      <c r="M11" s="135"/>
      <c r="P11" s="743"/>
      <c r="Q11" s="744"/>
      <c r="R11" s="744"/>
      <c r="S11" s="744"/>
      <c r="T11" s="744"/>
      <c r="U11" s="744"/>
      <c r="V11" s="744"/>
      <c r="W11" s="744"/>
      <c r="X11" s="744"/>
      <c r="Y11" s="745"/>
    </row>
    <row r="12" spans="1:25" ht="15" x14ac:dyDescent="0.3">
      <c r="A12" s="81" t="s">
        <v>330</v>
      </c>
      <c r="B12" s="81"/>
      <c r="C12" s="81"/>
      <c r="D12" s="741">
        <v>100</v>
      </c>
      <c r="E12" s="742">
        <v>3.78</v>
      </c>
      <c r="F12" s="742">
        <v>1.1000000000000001</v>
      </c>
      <c r="G12" s="742">
        <v>2364</v>
      </c>
      <c r="H12" s="135">
        <f>+E12*G12</f>
        <v>8935.92</v>
      </c>
      <c r="I12" s="135"/>
      <c r="J12" s="135"/>
      <c r="K12" s="135">
        <f>+H12+I12+J12</f>
        <v>8935.92</v>
      </c>
      <c r="L12" s="135"/>
      <c r="M12" s="135"/>
      <c r="P12" s="743"/>
      <c r="Q12" s="744"/>
      <c r="R12" s="744"/>
      <c r="S12" s="744"/>
      <c r="T12" s="744"/>
      <c r="U12" s="744"/>
      <c r="V12" s="744"/>
      <c r="W12" s="744"/>
      <c r="X12" s="744"/>
      <c r="Y12" s="744"/>
    </row>
    <row r="13" spans="1:25" ht="15" x14ac:dyDescent="0.3">
      <c r="A13" s="81" t="s">
        <v>46</v>
      </c>
      <c r="B13" s="81"/>
      <c r="C13" s="81"/>
      <c r="D13" s="741">
        <f>'[5]Analized Sheet'!EE46</f>
        <v>100</v>
      </c>
      <c r="E13" s="742">
        <v>2.11</v>
      </c>
      <c r="F13" s="742">
        <v>0.59</v>
      </c>
      <c r="G13" s="742">
        <v>2393</v>
      </c>
      <c r="H13" s="135">
        <f>+E13*G13</f>
        <v>5049.2299999999996</v>
      </c>
      <c r="I13" s="135"/>
      <c r="J13" s="135">
        <f>E33*G33</f>
        <v>8957</v>
      </c>
      <c r="K13" s="135">
        <f>+H13+I13+J13</f>
        <v>14006.23</v>
      </c>
      <c r="L13" s="135"/>
      <c r="M13" s="135">
        <v>3798</v>
      </c>
      <c r="P13" s="743"/>
      <c r="Q13" s="744"/>
      <c r="R13" s="744"/>
      <c r="S13" s="744"/>
      <c r="T13" s="744"/>
      <c r="U13" s="744"/>
      <c r="V13" s="744"/>
      <c r="W13" s="744"/>
      <c r="X13" s="745"/>
      <c r="Y13" s="744"/>
    </row>
    <row r="14" spans="1:25" ht="15" x14ac:dyDescent="0.3">
      <c r="A14" s="81" t="s">
        <v>220</v>
      </c>
      <c r="B14" s="81"/>
      <c r="C14" s="81"/>
      <c r="D14" s="741">
        <v>45</v>
      </c>
      <c r="E14" s="1073">
        <v>0.77</v>
      </c>
      <c r="F14" s="1074">
        <v>0.57999999999999996</v>
      </c>
      <c r="G14" s="1073">
        <v>2296</v>
      </c>
      <c r="H14" s="1075">
        <f>+E14*G14</f>
        <v>1767.92</v>
      </c>
      <c r="I14" s="135"/>
      <c r="J14" s="135"/>
      <c r="K14" s="135"/>
      <c r="L14" s="135"/>
      <c r="M14" s="135"/>
      <c r="N14" s="748"/>
      <c r="P14" s="743"/>
      <c r="Q14" s="744"/>
      <c r="R14" s="744"/>
      <c r="S14" s="744"/>
      <c r="T14" s="744"/>
      <c r="U14" s="744"/>
      <c r="V14" s="744"/>
      <c r="W14" s="744"/>
      <c r="X14" s="744"/>
      <c r="Y14" s="744"/>
    </row>
    <row r="15" spans="1:25" ht="15" x14ac:dyDescent="0.3">
      <c r="A15" s="81" t="s">
        <v>221</v>
      </c>
      <c r="B15" s="81"/>
      <c r="C15" s="81"/>
      <c r="D15" s="741">
        <v>100</v>
      </c>
      <c r="E15" s="1073"/>
      <c r="F15" s="1074"/>
      <c r="G15" s="1073"/>
      <c r="H15" s="1075"/>
      <c r="I15" s="135"/>
      <c r="J15" s="133">
        <f>+E42*G42+E43*G43+E44*G44</f>
        <v>46890</v>
      </c>
      <c r="K15" s="135">
        <f>+H14+J15</f>
        <v>48657.919999999998</v>
      </c>
      <c r="L15" s="135"/>
      <c r="M15" s="135"/>
      <c r="N15" s="748"/>
      <c r="O15" s="749"/>
      <c r="P15" s="743"/>
      <c r="Q15" s="744"/>
      <c r="R15" s="744"/>
      <c r="S15" s="744"/>
      <c r="T15" s="744"/>
      <c r="U15" s="744"/>
      <c r="V15" s="744"/>
      <c r="W15" s="744"/>
      <c r="X15" s="744"/>
      <c r="Y15" s="744"/>
    </row>
    <row r="16" spans="1:25" ht="15" x14ac:dyDescent="0.3">
      <c r="A16" s="81" t="s">
        <v>222</v>
      </c>
      <c r="B16" s="81"/>
      <c r="C16" s="81"/>
      <c r="D16" s="741">
        <v>95</v>
      </c>
      <c r="E16" s="742">
        <v>0.49</v>
      </c>
      <c r="F16" s="742">
        <v>0.21</v>
      </c>
      <c r="G16" s="742">
        <v>2401</v>
      </c>
      <c r="H16" s="135">
        <f t="shared" ref="H16:H22" si="0">+E16*G16</f>
        <v>1176.49</v>
      </c>
      <c r="I16" s="135"/>
      <c r="J16" s="135">
        <v>8279</v>
      </c>
      <c r="K16" s="135">
        <f t="shared" ref="K16:K23" si="1">+H16+I16+J16</f>
        <v>9455.49</v>
      </c>
      <c r="L16" s="135"/>
      <c r="M16" s="135"/>
      <c r="P16" s="743"/>
      <c r="Q16" s="744"/>
      <c r="R16" s="744"/>
      <c r="S16" s="744"/>
      <c r="T16" s="744"/>
      <c r="U16" s="744"/>
      <c r="V16" s="744"/>
      <c r="W16" s="744"/>
      <c r="X16" s="744"/>
      <c r="Y16" s="744"/>
    </row>
    <row r="17" spans="1:25" ht="15" x14ac:dyDescent="0.3">
      <c r="A17" s="81" t="s">
        <v>223</v>
      </c>
      <c r="B17" s="81"/>
      <c r="C17" s="81"/>
      <c r="D17" s="741">
        <v>63</v>
      </c>
      <c r="E17" s="742">
        <v>0.46</v>
      </c>
      <c r="F17" s="742">
        <v>0.24</v>
      </c>
      <c r="G17" s="742">
        <v>2303</v>
      </c>
      <c r="H17" s="135">
        <f t="shared" si="0"/>
        <v>1059.3800000000001</v>
      </c>
      <c r="I17" s="135"/>
      <c r="J17" s="135">
        <v>4491</v>
      </c>
      <c r="K17" s="135">
        <f t="shared" si="1"/>
        <v>5550.38</v>
      </c>
      <c r="L17" s="135"/>
      <c r="M17" s="135"/>
      <c r="P17" s="743"/>
      <c r="Q17" s="744"/>
      <c r="R17" s="744"/>
      <c r="S17" s="744"/>
      <c r="T17" s="744"/>
      <c r="U17" s="744"/>
      <c r="V17" s="744"/>
      <c r="W17" s="744"/>
      <c r="X17" s="744"/>
      <c r="Y17" s="744"/>
    </row>
    <row r="18" spans="1:25" ht="15" x14ac:dyDescent="0.3">
      <c r="A18" s="81" t="s">
        <v>224</v>
      </c>
      <c r="B18" s="81"/>
      <c r="C18" s="81"/>
      <c r="D18" s="741">
        <f>'[5]Analized Sheet'!JB46</f>
        <v>100</v>
      </c>
      <c r="E18" s="742">
        <v>3.12</v>
      </c>
      <c r="F18" s="742">
        <v>2.94</v>
      </c>
      <c r="G18" s="742">
        <v>2100</v>
      </c>
      <c r="H18" s="135">
        <f t="shared" si="0"/>
        <v>6552</v>
      </c>
      <c r="I18" s="135"/>
      <c r="J18" s="135"/>
      <c r="K18" s="135">
        <f t="shared" si="1"/>
        <v>6552</v>
      </c>
      <c r="L18" s="135"/>
      <c r="M18" s="135"/>
      <c r="P18" s="743"/>
      <c r="Q18" s="744"/>
      <c r="R18" s="744"/>
      <c r="S18" s="744"/>
      <c r="T18" s="744"/>
      <c r="U18" s="744"/>
      <c r="V18" s="744"/>
      <c r="W18" s="744"/>
      <c r="X18" s="744"/>
      <c r="Y18" s="744"/>
    </row>
    <row r="19" spans="1:25" ht="15" x14ac:dyDescent="0.3">
      <c r="A19" s="81" t="s">
        <v>225</v>
      </c>
      <c r="B19" s="81"/>
      <c r="C19" s="81"/>
      <c r="D19" s="741">
        <v>95</v>
      </c>
      <c r="E19" s="742">
        <v>1.1000000000000001</v>
      </c>
      <c r="F19" s="742">
        <v>0.4</v>
      </c>
      <c r="G19" s="742">
        <v>2348</v>
      </c>
      <c r="H19" s="135">
        <f t="shared" si="0"/>
        <v>2582.8000000000002</v>
      </c>
      <c r="I19" s="135">
        <v>18768</v>
      </c>
      <c r="J19" s="135"/>
      <c r="K19" s="135">
        <f t="shared" si="1"/>
        <v>21350.799999999999</v>
      </c>
      <c r="L19" s="135"/>
      <c r="M19" s="135"/>
      <c r="P19" s="743"/>
      <c r="Q19" s="744"/>
      <c r="R19" s="744"/>
      <c r="S19" s="744"/>
      <c r="T19" s="744"/>
      <c r="U19" s="744"/>
      <c r="V19" s="744"/>
      <c r="W19" s="744"/>
      <c r="X19" s="744"/>
      <c r="Y19" s="745"/>
    </row>
    <row r="20" spans="1:25" ht="15" x14ac:dyDescent="0.3">
      <c r="A20" s="81" t="s">
        <v>608</v>
      </c>
      <c r="B20" s="81"/>
      <c r="C20" s="81"/>
      <c r="D20" s="741" t="s">
        <v>607</v>
      </c>
      <c r="E20" s="746" t="s">
        <v>609</v>
      </c>
      <c r="F20" s="746" t="s">
        <v>610</v>
      </c>
      <c r="G20" s="746" t="s">
        <v>611</v>
      </c>
      <c r="H20" s="747" t="s">
        <v>612</v>
      </c>
      <c r="I20" s="135"/>
      <c r="J20" s="135"/>
      <c r="K20" s="135"/>
      <c r="L20" s="135"/>
      <c r="M20" s="135"/>
      <c r="P20" s="743"/>
      <c r="Q20" s="744"/>
      <c r="R20" s="744"/>
      <c r="S20" s="744"/>
      <c r="T20" s="744"/>
      <c r="U20" s="744"/>
      <c r="V20" s="744"/>
      <c r="W20" s="744"/>
      <c r="X20" s="744"/>
      <c r="Y20" s="745"/>
    </row>
    <row r="21" spans="1:25" ht="15" x14ac:dyDescent="0.3">
      <c r="A21" s="81" t="s">
        <v>613</v>
      </c>
      <c r="B21" s="81"/>
      <c r="C21" s="81"/>
      <c r="D21" s="741" t="s">
        <v>614</v>
      </c>
      <c r="E21" s="746" t="s">
        <v>615</v>
      </c>
      <c r="F21" s="746" t="s">
        <v>616</v>
      </c>
      <c r="G21" s="746" t="s">
        <v>617</v>
      </c>
      <c r="H21" s="747" t="s">
        <v>618</v>
      </c>
      <c r="I21" s="747" t="s">
        <v>619</v>
      </c>
      <c r="J21" s="135"/>
      <c r="K21" s="135"/>
      <c r="L21" s="747" t="s">
        <v>620</v>
      </c>
      <c r="M21" s="135"/>
      <c r="P21" s="743"/>
      <c r="Q21" s="744"/>
      <c r="R21" s="744"/>
      <c r="S21" s="744"/>
      <c r="T21" s="744"/>
      <c r="U21" s="744"/>
      <c r="V21" s="744"/>
      <c r="W21" s="744"/>
      <c r="X21" s="744"/>
      <c r="Y21" s="745"/>
    </row>
    <row r="22" spans="1:25" ht="15" x14ac:dyDescent="0.3">
      <c r="A22" s="81" t="s">
        <v>231</v>
      </c>
      <c r="B22" s="81"/>
      <c r="C22" s="81"/>
      <c r="D22" s="741">
        <v>65</v>
      </c>
      <c r="E22" s="742">
        <v>1.5</v>
      </c>
      <c r="F22" s="742">
        <v>1.0900000000000001</v>
      </c>
      <c r="G22" s="742">
        <v>2403</v>
      </c>
      <c r="H22" s="135">
        <f t="shared" si="0"/>
        <v>3604.5</v>
      </c>
      <c r="I22" s="135"/>
      <c r="J22" s="135"/>
      <c r="K22" s="135">
        <f t="shared" si="1"/>
        <v>3604.5</v>
      </c>
      <c r="L22" s="135"/>
      <c r="M22" s="135"/>
      <c r="P22" s="743"/>
      <c r="Q22" s="744"/>
      <c r="R22" s="744"/>
      <c r="S22" s="744"/>
      <c r="T22" s="744"/>
      <c r="U22" s="744"/>
      <c r="V22" s="744"/>
      <c r="W22" s="744"/>
      <c r="X22" s="744"/>
      <c r="Y22" s="744"/>
    </row>
    <row r="23" spans="1:25" ht="15" x14ac:dyDescent="0.3">
      <c r="A23" s="81" t="s">
        <v>621</v>
      </c>
      <c r="B23" s="81"/>
      <c r="C23" s="81"/>
      <c r="D23" s="741">
        <v>91</v>
      </c>
      <c r="E23" s="750">
        <v>0.2</v>
      </c>
      <c r="F23" s="750" t="s">
        <v>622</v>
      </c>
      <c r="G23" s="750">
        <v>2350</v>
      </c>
      <c r="H23" s="135">
        <f>+E23*G23</f>
        <v>470</v>
      </c>
      <c r="I23" s="747">
        <v>2325</v>
      </c>
      <c r="J23" s="747"/>
      <c r="K23" s="135">
        <f t="shared" si="1"/>
        <v>2795</v>
      </c>
      <c r="L23" s="747">
        <v>474</v>
      </c>
      <c r="M23" s="135"/>
      <c r="P23" s="743"/>
      <c r="Q23" s="751"/>
      <c r="R23" s="751"/>
      <c r="S23" s="751"/>
      <c r="T23" s="744"/>
      <c r="U23" s="751"/>
      <c r="V23" s="751"/>
      <c r="W23" s="744"/>
      <c r="X23" s="751"/>
      <c r="Y23" s="752"/>
    </row>
    <row r="24" spans="1:25" ht="15" x14ac:dyDescent="0.3">
      <c r="A24" s="56" t="s">
        <v>34</v>
      </c>
      <c r="B24" s="56"/>
      <c r="C24" s="56"/>
      <c r="D24" s="753"/>
      <c r="E24" s="80"/>
      <c r="F24" s="80"/>
      <c r="G24" s="80"/>
      <c r="H24" s="754"/>
      <c r="I24" s="755"/>
      <c r="J24" s="755"/>
      <c r="K24" s="756">
        <v>2800</v>
      </c>
      <c r="L24" s="754"/>
      <c r="M24" s="754"/>
      <c r="P24" s="757"/>
      <c r="Q24" s="744"/>
      <c r="R24" s="744"/>
      <c r="S24" s="744"/>
      <c r="T24" s="744"/>
      <c r="U24" s="744"/>
      <c r="V24" s="744"/>
      <c r="W24" s="744"/>
      <c r="X24" s="744"/>
      <c r="Y24" s="744"/>
    </row>
    <row r="25" spans="1:25" x14ac:dyDescent="0.2">
      <c r="A25" s="736" t="s">
        <v>134</v>
      </c>
      <c r="B25" s="736"/>
      <c r="C25" s="736"/>
      <c r="D25" s="758"/>
      <c r="E25" s="759">
        <f t="shared" ref="E25:M25" si="2">SUM(E8:E24)</f>
        <v>14.769999999999998</v>
      </c>
      <c r="F25" s="759">
        <f t="shared" si="2"/>
        <v>8.120000000000001</v>
      </c>
      <c r="G25" s="759">
        <f t="shared" si="2"/>
        <v>25274</v>
      </c>
      <c r="H25" s="760">
        <f t="shared" si="2"/>
        <v>33877.899999999994</v>
      </c>
      <c r="I25" s="754">
        <f t="shared" si="2"/>
        <v>40761</v>
      </c>
      <c r="J25" s="754">
        <f t="shared" si="2"/>
        <v>68617</v>
      </c>
      <c r="K25" s="754">
        <f t="shared" si="2"/>
        <v>146055.9</v>
      </c>
      <c r="L25" s="760">
        <f t="shared" si="2"/>
        <v>2783</v>
      </c>
      <c r="M25" s="760">
        <f t="shared" si="2"/>
        <v>3798</v>
      </c>
      <c r="O25" s="748"/>
      <c r="P25" s="748"/>
      <c r="Q25" s="761"/>
      <c r="R25" s="748"/>
    </row>
    <row r="26" spans="1:25" x14ac:dyDescent="0.2">
      <c r="A26" s="153" t="s">
        <v>135</v>
      </c>
      <c r="B26" s="153"/>
      <c r="C26" s="153"/>
      <c r="D26" s="762"/>
      <c r="E26" s="763">
        <f>+E25-F25</f>
        <v>6.6499999999999968</v>
      </c>
      <c r="F26" s="763"/>
      <c r="G26" s="763"/>
      <c r="H26" s="755">
        <f>+E36*G36</f>
        <v>15806</v>
      </c>
      <c r="I26" s="755">
        <f>+I25-L25</f>
        <v>37978</v>
      </c>
      <c r="J26" s="755">
        <f>+J25-M25</f>
        <v>64819</v>
      </c>
      <c r="K26" s="755">
        <f>+H26+I26+J26</f>
        <v>118603</v>
      </c>
      <c r="L26" s="755"/>
      <c r="M26" s="755"/>
      <c r="O26" s="748"/>
      <c r="P26" s="748"/>
      <c r="Q26" s="761"/>
      <c r="R26" s="748"/>
    </row>
    <row r="27" spans="1:25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25" ht="13.5" thickBot="1" x14ac:dyDescent="0.25">
      <c r="A28" s="56"/>
      <c r="B28" s="56"/>
      <c r="C28" s="56" t="s">
        <v>37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P28" s="749"/>
    </row>
    <row r="29" spans="1:25" x14ac:dyDescent="0.2">
      <c r="A29" s="56"/>
      <c r="B29" s="56"/>
      <c r="C29" s="56"/>
      <c r="D29" s="56"/>
      <c r="E29" s="56"/>
      <c r="F29" s="56"/>
      <c r="G29" s="56"/>
      <c r="H29" s="56"/>
      <c r="I29" s="56"/>
      <c r="J29" s="764" t="s">
        <v>99</v>
      </c>
      <c r="K29" s="765">
        <v>3.15</v>
      </c>
      <c r="L29" s="56"/>
      <c r="M29" s="56"/>
    </row>
    <row r="30" spans="1:25" ht="13.5" thickBot="1" x14ac:dyDescent="0.25">
      <c r="A30" s="56" t="s">
        <v>96</v>
      </c>
      <c r="B30" s="56"/>
      <c r="C30" s="56"/>
      <c r="D30" s="56"/>
      <c r="E30" s="56"/>
      <c r="F30" s="56"/>
      <c r="G30" s="56"/>
      <c r="H30" s="56"/>
      <c r="I30" s="56"/>
      <c r="J30" s="766" t="s">
        <v>100</v>
      </c>
      <c r="K30" s="767">
        <v>2.5</v>
      </c>
      <c r="L30" s="56"/>
      <c r="M30" s="768"/>
    </row>
    <row r="31" spans="1:25" x14ac:dyDescent="0.2">
      <c r="A31" s="769" t="s">
        <v>38</v>
      </c>
      <c r="B31" s="769"/>
      <c r="C31" s="769"/>
      <c r="D31" s="770" t="s">
        <v>39</v>
      </c>
      <c r="E31" s="770" t="s">
        <v>40</v>
      </c>
      <c r="F31" s="770"/>
      <c r="G31" s="770" t="s">
        <v>41</v>
      </c>
      <c r="H31" s="770"/>
      <c r="I31" s="56"/>
      <c r="J31" s="56"/>
      <c r="K31" s="92"/>
      <c r="L31" s="56"/>
      <c r="M31" s="768"/>
    </row>
    <row r="32" spans="1:25" x14ac:dyDescent="0.2">
      <c r="A32" s="56" t="s">
        <v>43</v>
      </c>
      <c r="B32" s="56"/>
      <c r="C32" s="56"/>
      <c r="D32" s="408"/>
      <c r="E32" s="56"/>
      <c r="F32" s="56"/>
      <c r="G32" s="56"/>
      <c r="H32" s="56"/>
      <c r="I32" s="56"/>
      <c r="J32" s="771" t="s">
        <v>623</v>
      </c>
      <c r="K32" s="771" t="s">
        <v>95</v>
      </c>
      <c r="L32" s="56"/>
      <c r="M32" s="768"/>
    </row>
    <row r="33" spans="1:18" x14ac:dyDescent="0.2">
      <c r="A33" s="56" t="s">
        <v>46</v>
      </c>
      <c r="B33" s="56"/>
      <c r="C33" s="56"/>
      <c r="D33" s="408" t="s">
        <v>47</v>
      </c>
      <c r="E33" s="772">
        <v>53</v>
      </c>
      <c r="F33" s="56"/>
      <c r="G33" s="80">
        <v>169</v>
      </c>
      <c r="H33" s="80"/>
      <c r="I33" s="56"/>
      <c r="J33" s="773" t="s">
        <v>97</v>
      </c>
      <c r="K33" s="774">
        <v>33</v>
      </c>
      <c r="L33" s="56"/>
    </row>
    <row r="34" spans="1:18" x14ac:dyDescent="0.2">
      <c r="A34" s="56"/>
      <c r="B34" s="56"/>
      <c r="C34" s="56"/>
      <c r="D34" s="80"/>
      <c r="E34" s="56"/>
      <c r="F34" s="56"/>
      <c r="G34" s="56"/>
      <c r="H34" s="56"/>
      <c r="I34" s="56"/>
      <c r="J34" s="775" t="s">
        <v>184</v>
      </c>
      <c r="K34" s="774">
        <v>17</v>
      </c>
      <c r="L34" s="56"/>
      <c r="N34" s="776"/>
      <c r="R34" s="734" t="s">
        <v>152</v>
      </c>
    </row>
    <row r="35" spans="1:18" x14ac:dyDescent="0.2">
      <c r="A35" s="56" t="s">
        <v>51</v>
      </c>
      <c r="B35" s="56"/>
      <c r="C35" s="56"/>
      <c r="D35" s="80"/>
      <c r="E35" s="56"/>
      <c r="F35" s="56"/>
      <c r="G35" s="56"/>
      <c r="H35" s="56"/>
      <c r="I35" s="56"/>
      <c r="J35" s="775" t="s">
        <v>185</v>
      </c>
      <c r="K35" s="774">
        <v>15</v>
      </c>
      <c r="L35" s="56"/>
      <c r="N35" s="776"/>
    </row>
    <row r="36" spans="1:18" x14ac:dyDescent="0.2">
      <c r="A36" s="56" t="s">
        <v>233</v>
      </c>
      <c r="B36" s="56"/>
      <c r="C36" s="56"/>
      <c r="D36" s="56" t="s">
        <v>54</v>
      </c>
      <c r="E36" s="80">
        <v>7</v>
      </c>
      <c r="F36" s="56"/>
      <c r="G36" s="80">
        <v>2258</v>
      </c>
      <c r="H36" s="80"/>
      <c r="I36" s="56"/>
      <c r="J36" s="773" t="s">
        <v>186</v>
      </c>
      <c r="K36" s="774">
        <v>14</v>
      </c>
      <c r="L36" s="56"/>
      <c r="N36" s="777"/>
    </row>
    <row r="37" spans="1:18" x14ac:dyDescent="0.2">
      <c r="A37" s="56" t="s">
        <v>234</v>
      </c>
      <c r="B37" s="56"/>
      <c r="C37" s="56"/>
      <c r="D37" s="56" t="s">
        <v>54</v>
      </c>
      <c r="E37" s="80">
        <v>8</v>
      </c>
      <c r="F37" s="56"/>
      <c r="G37" s="56"/>
      <c r="H37" s="56"/>
      <c r="I37" s="56"/>
      <c r="J37" s="775" t="s">
        <v>319</v>
      </c>
      <c r="K37" s="774">
        <v>5</v>
      </c>
      <c r="L37" s="56"/>
      <c r="N37" s="777"/>
      <c r="P37" s="748"/>
      <c r="Q37" s="748"/>
    </row>
    <row r="38" spans="1:18" x14ac:dyDescent="0.2">
      <c r="A38" s="56" t="s">
        <v>8</v>
      </c>
      <c r="B38" s="56"/>
      <c r="C38" s="56"/>
      <c r="D38" s="56" t="s">
        <v>54</v>
      </c>
      <c r="E38" s="80">
        <v>15</v>
      </c>
      <c r="F38" s="56"/>
      <c r="G38" s="56"/>
      <c r="H38" s="56"/>
      <c r="I38" s="56"/>
      <c r="J38" s="773" t="s">
        <v>624</v>
      </c>
      <c r="K38" s="774">
        <v>2</v>
      </c>
      <c r="L38" s="56"/>
      <c r="N38" s="777"/>
    </row>
    <row r="39" spans="1:18" x14ac:dyDescent="0.2">
      <c r="A39" s="56"/>
      <c r="B39" s="56"/>
      <c r="C39" s="56"/>
      <c r="D39" s="80"/>
      <c r="E39" s="56"/>
      <c r="F39" s="56"/>
      <c r="G39" s="56"/>
      <c r="H39" s="56"/>
      <c r="I39" s="56"/>
      <c r="J39" s="773" t="s">
        <v>187</v>
      </c>
      <c r="K39" s="774">
        <v>3</v>
      </c>
      <c r="L39" s="56"/>
      <c r="N39" s="777"/>
    </row>
    <row r="40" spans="1:18" x14ac:dyDescent="0.2">
      <c r="A40" s="736" t="s">
        <v>58</v>
      </c>
      <c r="B40" s="736"/>
      <c r="C40" s="736" t="s">
        <v>59</v>
      </c>
      <c r="D40" s="736"/>
      <c r="E40" s="736"/>
      <c r="F40" s="736"/>
      <c r="G40" s="736"/>
      <c r="H40" s="736"/>
      <c r="I40" s="56"/>
      <c r="J40" s="773" t="s">
        <v>188</v>
      </c>
      <c r="K40" s="774">
        <v>1</v>
      </c>
      <c r="N40" s="777"/>
    </row>
    <row r="41" spans="1:18" x14ac:dyDescent="0.2">
      <c r="A41" s="56" t="s">
        <v>60</v>
      </c>
      <c r="B41" s="56" t="s">
        <v>103</v>
      </c>
      <c r="C41" s="778">
        <v>45</v>
      </c>
      <c r="D41" s="739" t="s">
        <v>47</v>
      </c>
      <c r="E41" s="80">
        <v>145</v>
      </c>
      <c r="F41" s="80"/>
      <c r="G41" s="80" t="s">
        <v>70</v>
      </c>
      <c r="H41" s="80"/>
      <c r="I41" s="80"/>
      <c r="J41" s="773" t="s">
        <v>625</v>
      </c>
      <c r="K41" s="774">
        <v>1</v>
      </c>
      <c r="L41" s="56"/>
      <c r="N41" s="777"/>
    </row>
    <row r="42" spans="1:18" x14ac:dyDescent="0.2">
      <c r="A42" s="56" t="s">
        <v>104</v>
      </c>
      <c r="B42" s="56" t="s">
        <v>105</v>
      </c>
      <c r="C42" s="778">
        <v>12</v>
      </c>
      <c r="D42" s="739" t="s">
        <v>47</v>
      </c>
      <c r="E42" s="80">
        <v>40</v>
      </c>
      <c r="F42" s="80"/>
      <c r="G42" s="80">
        <v>461</v>
      </c>
      <c r="H42" s="80"/>
      <c r="I42" s="80"/>
      <c r="J42" s="773" t="s">
        <v>293</v>
      </c>
      <c r="K42" s="774">
        <v>9</v>
      </c>
      <c r="L42" s="56"/>
      <c r="N42" s="777"/>
    </row>
    <row r="43" spans="1:18" x14ac:dyDescent="0.2">
      <c r="A43" s="56"/>
      <c r="B43" s="56" t="s">
        <v>235</v>
      </c>
      <c r="C43" s="778">
        <v>81</v>
      </c>
      <c r="D43" s="739" t="s">
        <v>47</v>
      </c>
      <c r="E43" s="80">
        <v>58</v>
      </c>
      <c r="F43" s="80"/>
      <c r="G43" s="80">
        <v>215</v>
      </c>
      <c r="H43" s="80"/>
      <c r="I43" s="80"/>
      <c r="L43" s="56"/>
    </row>
    <row r="44" spans="1:18" x14ac:dyDescent="0.2">
      <c r="A44" s="56"/>
      <c r="B44" s="56" t="s">
        <v>418</v>
      </c>
      <c r="C44" s="778">
        <v>19</v>
      </c>
      <c r="D44" s="739" t="s">
        <v>47</v>
      </c>
      <c r="E44" s="80">
        <v>47</v>
      </c>
      <c r="F44" s="80"/>
      <c r="G44" s="80">
        <v>340</v>
      </c>
      <c r="H44" s="80"/>
      <c r="I44" s="80"/>
      <c r="L44" s="56"/>
      <c r="M44" s="56"/>
    </row>
    <row r="45" spans="1:18" x14ac:dyDescent="0.2">
      <c r="A45" s="56"/>
      <c r="B45" s="56" t="s">
        <v>65</v>
      </c>
      <c r="C45" s="778" t="s">
        <v>626</v>
      </c>
      <c r="D45" s="739" t="s">
        <v>47</v>
      </c>
      <c r="E45" s="779" t="s">
        <v>166</v>
      </c>
      <c r="F45" s="780"/>
      <c r="G45" s="763">
        <v>398</v>
      </c>
      <c r="H45" s="80"/>
      <c r="I45" s="80"/>
      <c r="L45" s="56"/>
      <c r="M45" s="56"/>
    </row>
    <row r="46" spans="1:18" x14ac:dyDescent="0.2">
      <c r="A46" s="736" t="s">
        <v>71</v>
      </c>
      <c r="B46" s="736"/>
      <c r="C46" s="736"/>
      <c r="D46" s="736"/>
      <c r="E46" s="736"/>
      <c r="F46" s="739" t="s">
        <v>72</v>
      </c>
      <c r="G46" s="56"/>
      <c r="H46" s="736" t="s">
        <v>73</v>
      </c>
      <c r="I46" s="56"/>
      <c r="L46" s="56"/>
      <c r="M46" s="56"/>
    </row>
    <row r="47" spans="1:18" x14ac:dyDescent="0.2">
      <c r="A47" s="56" t="s">
        <v>108</v>
      </c>
      <c r="B47" s="56"/>
      <c r="C47" s="56"/>
      <c r="D47" s="56"/>
      <c r="E47" s="56"/>
      <c r="F47" s="754">
        <v>1787</v>
      </c>
      <c r="G47" s="754"/>
      <c r="H47" s="754">
        <f>F47*2.471</f>
        <v>4415.6770000000006</v>
      </c>
      <c r="I47" s="56"/>
      <c r="L47" s="56"/>
      <c r="M47" s="56"/>
    </row>
    <row r="48" spans="1:18" x14ac:dyDescent="0.2">
      <c r="A48" s="56" t="s">
        <v>109</v>
      </c>
      <c r="B48" s="56"/>
      <c r="C48" s="56"/>
      <c r="D48" s="56"/>
      <c r="E48" s="56"/>
      <c r="F48" s="80">
        <v>90</v>
      </c>
      <c r="G48" s="781"/>
      <c r="H48" s="80"/>
      <c r="I48" s="56"/>
      <c r="L48" s="56"/>
      <c r="M48" s="56"/>
    </row>
    <row r="49" spans="1:13" x14ac:dyDescent="0.2">
      <c r="A49" s="56" t="s">
        <v>110</v>
      </c>
      <c r="B49" s="56"/>
      <c r="C49" s="56"/>
      <c r="D49" s="56"/>
      <c r="E49" s="56"/>
      <c r="F49" s="754">
        <f>+F47*F48</f>
        <v>160830</v>
      </c>
      <c r="G49" s="754"/>
      <c r="H49" s="754">
        <f>F49*2.471</f>
        <v>397410.93</v>
      </c>
      <c r="I49" s="56"/>
      <c r="L49" s="56"/>
      <c r="M49" s="56"/>
    </row>
    <row r="50" spans="1:13" x14ac:dyDescent="0.2">
      <c r="A50" s="56" t="s">
        <v>111</v>
      </c>
      <c r="B50" s="56"/>
      <c r="C50" s="56"/>
      <c r="D50" s="56"/>
      <c r="E50" s="56"/>
      <c r="F50" s="754">
        <f>+F49-K25</f>
        <v>14774.100000000006</v>
      </c>
      <c r="G50" s="754"/>
      <c r="H50" s="754">
        <f>F50*2.471</f>
        <v>36506.801100000019</v>
      </c>
      <c r="I50" s="56"/>
      <c r="L50" s="56"/>
      <c r="M50" s="56"/>
    </row>
    <row r="51" spans="1:13" x14ac:dyDescent="0.2">
      <c r="A51" s="56" t="s">
        <v>112</v>
      </c>
      <c r="B51" s="56"/>
      <c r="C51" s="56"/>
      <c r="D51" s="56"/>
      <c r="E51" s="56"/>
      <c r="F51" s="754">
        <f>+F49-K26</f>
        <v>42227</v>
      </c>
      <c r="G51" s="754"/>
      <c r="H51" s="754">
        <f>F51*2.471</f>
        <v>104342.917</v>
      </c>
      <c r="I51" s="56"/>
      <c r="L51" s="56"/>
      <c r="M51" s="56"/>
    </row>
    <row r="52" spans="1:13" x14ac:dyDescent="0.2">
      <c r="A52" s="56" t="s">
        <v>262</v>
      </c>
      <c r="B52" s="56"/>
      <c r="C52" s="56"/>
      <c r="D52" s="56"/>
      <c r="E52" s="56"/>
      <c r="F52" s="80">
        <f>+K25/F47</f>
        <v>81.732456631225517</v>
      </c>
      <c r="G52" s="781"/>
      <c r="H52" s="781"/>
      <c r="I52" s="56"/>
      <c r="J52" s="56"/>
      <c r="K52" s="80"/>
      <c r="L52" s="56"/>
      <c r="M52" s="56"/>
    </row>
    <row r="53" spans="1:13" x14ac:dyDescent="0.2">
      <c r="A53" s="153" t="s">
        <v>263</v>
      </c>
      <c r="B53" s="153"/>
      <c r="C53" s="153"/>
      <c r="D53" s="153"/>
      <c r="E53" s="153"/>
      <c r="F53" s="763">
        <f>+K26/F47</f>
        <v>66.369893676552877</v>
      </c>
      <c r="G53" s="782"/>
      <c r="H53" s="782"/>
      <c r="I53" s="56"/>
      <c r="J53" s="56"/>
      <c r="K53" s="56"/>
      <c r="L53" s="56"/>
      <c r="M53" s="56"/>
    </row>
    <row r="54" spans="1:13" x14ac:dyDescent="0.2">
      <c r="A54" s="768"/>
      <c r="B54" s="56"/>
      <c r="C54" s="56"/>
      <c r="D54" s="783"/>
      <c r="E54" s="56"/>
      <c r="F54" s="56"/>
      <c r="G54" s="56"/>
      <c r="H54" s="56"/>
      <c r="I54" s="56"/>
      <c r="J54" s="56"/>
      <c r="K54" s="56"/>
      <c r="L54" s="56"/>
      <c r="M54" s="56"/>
    </row>
    <row r="55" spans="1:13" x14ac:dyDescent="0.2">
      <c r="A55" s="768"/>
      <c r="B55" s="56"/>
      <c r="C55" s="56"/>
      <c r="D55" s="783"/>
      <c r="E55" s="56"/>
      <c r="F55" s="56"/>
      <c r="G55" s="56"/>
      <c r="H55" s="56"/>
      <c r="I55" s="56"/>
      <c r="J55" s="56"/>
      <c r="K55" s="56"/>
      <c r="L55" s="56"/>
      <c r="M55" s="56"/>
    </row>
    <row r="56" spans="1:13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</row>
    <row r="57" spans="1:13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</row>
    <row r="58" spans="1:13" x14ac:dyDescent="0.2">
      <c r="A58" s="130"/>
      <c r="B58" s="56"/>
      <c r="C58" s="1076"/>
      <c r="D58" s="1076"/>
      <c r="E58" s="56"/>
      <c r="F58" s="56"/>
      <c r="G58" s="56"/>
      <c r="H58" s="56"/>
      <c r="I58" s="56"/>
      <c r="J58" s="56"/>
      <c r="K58" s="56"/>
      <c r="L58" s="56"/>
      <c r="M58" s="56"/>
    </row>
  </sheetData>
  <mergeCells count="5">
    <mergeCell ref="E14:E15"/>
    <mergeCell ref="F14:F15"/>
    <mergeCell ref="G14:G15"/>
    <mergeCell ref="H14:H15"/>
    <mergeCell ref="C58:D58"/>
  </mergeCells>
  <pageMargins left="0.7" right="0.7" top="0.75" bottom="0.75" header="0.3" footer="0.3"/>
  <pageSetup paperSize="9" scale="5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Sheet2</vt:lpstr>
      <vt:lpstr>Graphs</vt:lpstr>
      <vt:lpstr>Stat table</vt:lpstr>
      <vt:lpstr>Am-East</vt:lpstr>
      <vt:lpstr>Ampara wset</vt:lpstr>
      <vt:lpstr>A'pura</vt:lpstr>
      <vt:lpstr>Hambantota</vt:lpstr>
      <vt:lpstr>Polonnruwa</vt:lpstr>
      <vt:lpstr>Kuru (irr)</vt:lpstr>
      <vt:lpstr>SYS B</vt:lpstr>
      <vt:lpstr>Mahaweli C</vt:lpstr>
      <vt:lpstr>SYS H</vt:lpstr>
      <vt:lpstr>Trinco</vt:lpstr>
      <vt:lpstr>Batti</vt:lpstr>
      <vt:lpstr>GAmpaha</vt:lpstr>
      <vt:lpstr>Kandy</vt:lpstr>
      <vt:lpstr>Kalutara</vt:lpstr>
      <vt:lpstr>Kuru (Rf)</vt:lpstr>
      <vt:lpstr>WI (RF)</vt:lpstr>
      <vt:lpstr>WI(Irrigated)</vt:lpstr>
      <vt:lpstr>Sheet4</vt:lpstr>
      <vt:lpstr>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cp:lastPrinted>2024-03-06T07:05:45Z</cp:lastPrinted>
  <dcterms:created xsi:type="dcterms:W3CDTF">2023-08-11T16:29:43Z</dcterms:created>
  <dcterms:modified xsi:type="dcterms:W3CDTF">2024-06-12T06:34:16Z</dcterms:modified>
</cp:coreProperties>
</file>