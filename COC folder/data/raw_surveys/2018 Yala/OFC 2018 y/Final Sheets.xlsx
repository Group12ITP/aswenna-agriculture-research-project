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760" firstSheet="14" activeTab="16"/>
  </bookViews>
  <sheets>
    <sheet name="Maize-Badulla" sheetId="1" r:id="rId1"/>
    <sheet name="MAnioc-Gampaha" sheetId="2" r:id="rId2"/>
    <sheet name="Big Onion -MAtale" sheetId="3" r:id="rId3"/>
    <sheet name="Bitter goard-H'tota" sheetId="4" r:id="rId4"/>
    <sheet name="Brinjal-H'tota" sheetId="5" r:id="rId5"/>
    <sheet name="CAbbage nëliya" sheetId="6" r:id="rId6"/>
    <sheet name="Carrot NÉliya" sheetId="7" r:id="rId7"/>
    <sheet name="G. Chilli-A'pura" sheetId="8" r:id="rId8"/>
    <sheet name="Cowpea-Ampara" sheetId="9" r:id="rId9"/>
    <sheet name="Gingerlly-A'Pura" sheetId="10" r:id="rId10"/>
    <sheet name="MAize -Sys H" sheetId="11" r:id="rId11"/>
    <sheet name="POle Bean- Badulla" sheetId="12" r:id="rId12"/>
    <sheet name="Potato-Badulla" sheetId="13" r:id="rId13"/>
    <sheet name="POtato-NÉliya" sheetId="14" r:id="rId14"/>
    <sheet name="REd Onoin-Puttlam" sheetId="15" r:id="rId15"/>
    <sheet name="Soya Bean -Sys H" sheetId="16" r:id="rId16"/>
    <sheet name="Swet Potato-Matale" sheetId="17" r:id="rId17"/>
    <sheet name="Tomato-Badulla" sheetId="18" r:id="rId18"/>
    <sheet name="Tomato-KAndy" sheetId="19" r:id="rId19"/>
  </sheets>
  <calcPr calcId="124519"/>
</workbook>
</file>

<file path=xl/calcChain.xml><?xml version="1.0" encoding="utf-8"?>
<calcChain xmlns="http://schemas.openxmlformats.org/spreadsheetml/2006/main">
  <c r="I43" i="19"/>
  <c r="I42"/>
  <c r="I41"/>
  <c r="I39"/>
  <c r="E32"/>
  <c r="M20"/>
  <c r="J20"/>
  <c r="J21" s="1"/>
  <c r="K21" s="1"/>
  <c r="G46" s="1"/>
  <c r="H20"/>
  <c r="K19"/>
  <c r="K18"/>
  <c r="K17"/>
  <c r="K16"/>
  <c r="K15"/>
  <c r="K14"/>
  <c r="K13"/>
  <c r="K12"/>
  <c r="K10"/>
  <c r="K9"/>
  <c r="K8"/>
  <c r="K20" s="1"/>
  <c r="G45" s="1"/>
  <c r="I48" i="18" l="1"/>
  <c r="I47"/>
  <c r="I46"/>
  <c r="I44"/>
  <c r="E33"/>
  <c r="K22"/>
  <c r="G51" s="1"/>
  <c r="M21"/>
  <c r="L21"/>
  <c r="J21"/>
  <c r="I21"/>
  <c r="H21"/>
  <c r="K20"/>
  <c r="K19"/>
  <c r="K18"/>
  <c r="K17"/>
  <c r="K16"/>
  <c r="K15"/>
  <c r="K14"/>
  <c r="K13"/>
  <c r="K12"/>
  <c r="K11"/>
  <c r="K10"/>
  <c r="K9"/>
  <c r="K8"/>
  <c r="K21" s="1"/>
  <c r="G50" s="1"/>
  <c r="G46" i="17" l="1"/>
  <c r="G41"/>
  <c r="G43" s="1"/>
  <c r="E33"/>
  <c r="K22"/>
  <c r="M21"/>
  <c r="L21"/>
  <c r="J21"/>
  <c r="I21"/>
  <c r="H21"/>
  <c r="K20"/>
  <c r="K19"/>
  <c r="K18"/>
  <c r="K17"/>
  <c r="K16"/>
  <c r="K15"/>
  <c r="K14"/>
  <c r="K13"/>
  <c r="K11"/>
  <c r="K9"/>
  <c r="K8"/>
  <c r="K21" s="1"/>
  <c r="G45" l="1"/>
  <c r="G42"/>
  <c r="G30" i="16" l="1"/>
  <c r="M20"/>
  <c r="J21" s="1"/>
  <c r="L20"/>
  <c r="J20"/>
  <c r="I20"/>
  <c r="I21" s="1"/>
  <c r="K21" s="1"/>
  <c r="G49" s="1"/>
  <c r="H20"/>
  <c r="F20"/>
  <c r="E20"/>
  <c r="K19"/>
  <c r="K18"/>
  <c r="K17"/>
  <c r="K16"/>
  <c r="K15"/>
  <c r="K14"/>
  <c r="K13"/>
  <c r="K12"/>
  <c r="K11"/>
  <c r="K10"/>
  <c r="K9"/>
  <c r="K20" s="1"/>
  <c r="G48" s="1"/>
  <c r="I46" i="15" l="1"/>
  <c r="I45"/>
  <c r="I44"/>
  <c r="I42"/>
  <c r="E35"/>
  <c r="M21"/>
  <c r="L21"/>
  <c r="J21"/>
  <c r="J22" s="1"/>
  <c r="K22" s="1"/>
  <c r="G49" s="1"/>
  <c r="I21"/>
  <c r="H21"/>
  <c r="F21"/>
  <c r="E21"/>
  <c r="K20"/>
  <c r="K19"/>
  <c r="K18"/>
  <c r="K17"/>
  <c r="K16"/>
  <c r="K15"/>
  <c r="K14"/>
  <c r="K13"/>
  <c r="K12"/>
  <c r="K11"/>
  <c r="K10"/>
  <c r="K21" s="1"/>
  <c r="G48" s="1"/>
  <c r="K9"/>
  <c r="K8"/>
  <c r="J18" i="14" l="1"/>
  <c r="I18"/>
  <c r="K18" s="1"/>
  <c r="G43" s="1"/>
  <c r="M17"/>
  <c r="L17"/>
  <c r="J17"/>
  <c r="I17"/>
  <c r="H17"/>
  <c r="F17"/>
  <c r="E17"/>
  <c r="K16"/>
  <c r="K15"/>
  <c r="K14"/>
  <c r="K13"/>
  <c r="K12"/>
  <c r="K11"/>
  <c r="K10"/>
  <c r="K17" s="1"/>
  <c r="G42" s="1"/>
  <c r="K9"/>
  <c r="K8"/>
  <c r="G41" i="13" l="1"/>
  <c r="I41" s="1"/>
  <c r="I39"/>
  <c r="I20"/>
  <c r="M19"/>
  <c r="L19"/>
  <c r="J19"/>
  <c r="J20" s="1"/>
  <c r="I19"/>
  <c r="H19"/>
  <c r="K18"/>
  <c r="K17"/>
  <c r="K16"/>
  <c r="K15"/>
  <c r="K14"/>
  <c r="K13"/>
  <c r="K12"/>
  <c r="J12"/>
  <c r="K11"/>
  <c r="K10"/>
  <c r="K9"/>
  <c r="K8"/>
  <c r="K19" s="1"/>
  <c r="G45" s="1"/>
  <c r="K20" l="1"/>
  <c r="G46" s="1"/>
  <c r="G42"/>
  <c r="I42" s="1"/>
  <c r="G43" l="1"/>
  <c r="I43" s="1"/>
  <c r="I44" i="12" l="1"/>
  <c r="I43"/>
  <c r="I42"/>
  <c r="I40"/>
  <c r="I21"/>
  <c r="M20"/>
  <c r="L20"/>
  <c r="J20"/>
  <c r="J21" s="1"/>
  <c r="I20"/>
  <c r="K19"/>
  <c r="K18"/>
  <c r="H18"/>
  <c r="K17"/>
  <c r="K16"/>
  <c r="K15"/>
  <c r="K14"/>
  <c r="K13"/>
  <c r="H13"/>
  <c r="K12"/>
  <c r="H12"/>
  <c r="H20" s="1"/>
  <c r="K11"/>
  <c r="K9"/>
  <c r="K8"/>
  <c r="K20" s="1"/>
  <c r="G46" s="1"/>
  <c r="K21" l="1"/>
  <c r="G47" s="1"/>
  <c r="I39" i="11" l="1"/>
  <c r="E31"/>
  <c r="M19"/>
  <c r="L19"/>
  <c r="I20" s="1"/>
  <c r="K20" s="1"/>
  <c r="G46" s="1"/>
  <c r="J19"/>
  <c r="I19"/>
  <c r="H19"/>
  <c r="F19"/>
  <c r="E19"/>
  <c r="K18"/>
  <c r="K17"/>
  <c r="K16"/>
  <c r="K15"/>
  <c r="K14"/>
  <c r="K13"/>
  <c r="K12"/>
  <c r="K11"/>
  <c r="K10"/>
  <c r="K9"/>
  <c r="K8"/>
  <c r="K19" s="1"/>
  <c r="G45" s="1"/>
  <c r="I15" i="10" l="1"/>
  <c r="M14"/>
  <c r="L14"/>
  <c r="J14"/>
  <c r="J15" s="1"/>
  <c r="I14"/>
  <c r="H14"/>
  <c r="K13"/>
  <c r="K12"/>
  <c r="K11"/>
  <c r="K10"/>
  <c r="K9"/>
  <c r="K8"/>
  <c r="K14" s="1"/>
  <c r="G35" l="1"/>
  <c r="G32"/>
  <c r="K15"/>
  <c r="G36" l="1"/>
  <c r="G33"/>
  <c r="I40" i="9" l="1"/>
  <c r="I39"/>
  <c r="I38"/>
  <c r="I36"/>
  <c r="H20"/>
  <c r="K20" s="1"/>
  <c r="G43" s="1"/>
  <c r="M19"/>
  <c r="L19"/>
  <c r="I20" s="1"/>
  <c r="I19"/>
  <c r="H19"/>
  <c r="F19"/>
  <c r="E19"/>
  <c r="K18"/>
  <c r="K17"/>
  <c r="K16"/>
  <c r="K15"/>
  <c r="K14"/>
  <c r="K13"/>
  <c r="J13"/>
  <c r="J19" s="1"/>
  <c r="J20" s="1"/>
  <c r="K11"/>
  <c r="J11"/>
  <c r="K10"/>
  <c r="K9"/>
  <c r="K19" s="1"/>
  <c r="G42" s="1"/>
  <c r="K8"/>
  <c r="G50" i="8" l="1"/>
  <c r="I47"/>
  <c r="G47"/>
  <c r="I46"/>
  <c r="I45"/>
  <c r="I44"/>
  <c r="E35"/>
  <c r="K24"/>
  <c r="G51" s="1"/>
  <c r="M23"/>
  <c r="L23"/>
  <c r="I23"/>
  <c r="H23"/>
  <c r="K22"/>
  <c r="K21"/>
  <c r="K20"/>
  <c r="K19"/>
  <c r="K18"/>
  <c r="J17"/>
  <c r="J23" s="1"/>
  <c r="K16"/>
  <c r="K15"/>
  <c r="K13"/>
  <c r="K9"/>
  <c r="K8"/>
  <c r="G48" l="1"/>
  <c r="I48" s="1"/>
  <c r="K17"/>
  <c r="I42" i="7" l="1"/>
  <c r="G42"/>
  <c r="G43" s="1"/>
  <c r="I43" s="1"/>
  <c r="I40"/>
  <c r="E31"/>
  <c r="K20"/>
  <c r="G47" s="1"/>
  <c r="I20"/>
  <c r="H20"/>
  <c r="L19"/>
  <c r="K19"/>
  <c r="G46" s="1"/>
  <c r="I19"/>
  <c r="H19"/>
  <c r="J13"/>
  <c r="J19" s="1"/>
  <c r="G44" l="1"/>
  <c r="I44" s="1"/>
  <c r="I43" i="6" l="1"/>
  <c r="I42"/>
  <c r="I41"/>
  <c r="I39"/>
  <c r="E34"/>
  <c r="K21"/>
  <c r="G46" s="1"/>
  <c r="J20"/>
  <c r="I20"/>
  <c r="H20"/>
  <c r="K20" s="1"/>
  <c r="G45" s="1"/>
  <c r="E29" i="5" l="1"/>
  <c r="J17"/>
  <c r="J18" s="1"/>
  <c r="I17"/>
  <c r="I18" s="1"/>
  <c r="H17"/>
  <c r="K17" s="1"/>
  <c r="G41" s="1"/>
  <c r="K16"/>
  <c r="K15"/>
  <c r="K14"/>
  <c r="K13"/>
  <c r="K12"/>
  <c r="K11"/>
  <c r="K9"/>
  <c r="K8"/>
  <c r="K18" l="1"/>
  <c r="G42" s="1"/>
  <c r="I41" i="4" l="1"/>
  <c r="I40"/>
  <c r="I39"/>
  <c r="I37"/>
  <c r="M17"/>
  <c r="J17"/>
  <c r="J18" s="1"/>
  <c r="I17"/>
  <c r="I18" s="1"/>
  <c r="H17"/>
  <c r="K16"/>
  <c r="K15"/>
  <c r="K14"/>
  <c r="K13"/>
  <c r="K12"/>
  <c r="K17" s="1"/>
  <c r="G43" s="1"/>
  <c r="K11"/>
  <c r="K10"/>
  <c r="K8"/>
  <c r="K18" l="1"/>
  <c r="G44" s="1"/>
</calcChain>
</file>

<file path=xl/sharedStrings.xml><?xml version="1.0" encoding="utf-8"?>
<sst xmlns="http://schemas.openxmlformats.org/spreadsheetml/2006/main" count="1674" uniqueCount="322">
  <si>
    <t>Table:</t>
  </si>
  <si>
    <t>COST OF CULTIVATION PER ACRE OF  MAIZE (Irrigated)</t>
  </si>
  <si>
    <t>DISTRICT: --</t>
  </si>
  <si>
    <t>BADULLA</t>
  </si>
  <si>
    <t>2018 YALA SEASON</t>
  </si>
  <si>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</si>
  <si>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</si>
  <si>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</si>
  <si>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</si>
  <si>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</si>
  <si>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</si>
  <si>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</si>
  <si>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</si>
  <si>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</si>
  <si>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</si>
  <si>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</si>
  <si>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</si>
  <si>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</si>
  <si>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</si>
  <si>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</si>
  <si>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>Machinary</t>
  </si>
  <si>
    <t>Material</t>
  </si>
  <si>
    <t xml:space="preserve">  %</t>
  </si>
  <si>
    <t xml:space="preserve">  Rs/ac</t>
  </si>
  <si>
    <t>General Land Preparation</t>
  </si>
  <si>
    <t>"(29)</t>
  </si>
  <si>
    <t>(4432)</t>
  </si>
  <si>
    <t>1st plough with2wt</t>
  </si>
  <si>
    <t xml:space="preserve">   do Buffaloes</t>
  </si>
  <si>
    <t>(24)</t>
  </si>
  <si>
    <t>(3455.00)</t>
  </si>
  <si>
    <t>Digging holes &amp; Seeding</t>
  </si>
  <si>
    <t>Fertilizer Application</t>
  </si>
  <si>
    <t>Weed Control With Weedicides</t>
  </si>
  <si>
    <t>Weeding &amp; earthing up</t>
  </si>
  <si>
    <t>Pest &amp; Disease Control</t>
  </si>
  <si>
    <t>Water Management</t>
  </si>
  <si>
    <t>Harvesting &amp; drawing</t>
  </si>
  <si>
    <t>Thershing &amp; processing</t>
  </si>
  <si>
    <t xml:space="preserve">     engine powered threser</t>
  </si>
  <si>
    <t>( do manually)</t>
  </si>
  <si>
    <t>(6308)</t>
  </si>
  <si>
    <t xml:space="preserve"> Drying</t>
  </si>
  <si>
    <t>Transport produce to market</t>
  </si>
  <si>
    <t>Total Including Imputed Cost</t>
  </si>
  <si>
    <t xml:space="preserve">Total Excluding Imputed Cost </t>
  </si>
  <si>
    <t>RELATED INFORMATION</t>
  </si>
  <si>
    <t>Quantity and Price of Inputs</t>
  </si>
  <si>
    <t>Input</t>
  </si>
  <si>
    <t>Unit</t>
  </si>
  <si>
    <t>Quantity</t>
  </si>
  <si>
    <t>Unit Price (Rs)</t>
  </si>
  <si>
    <t>Variety</t>
  </si>
  <si>
    <t>%</t>
  </si>
  <si>
    <t>SEED</t>
  </si>
  <si>
    <t>Paciffic</t>
  </si>
  <si>
    <t>Seeding</t>
  </si>
  <si>
    <t>Kg.</t>
  </si>
  <si>
    <t>Other hybried</t>
  </si>
  <si>
    <t>LABOUR</t>
  </si>
  <si>
    <t>Hired Labour</t>
  </si>
  <si>
    <t>md</t>
  </si>
  <si>
    <t>Mean</t>
  </si>
  <si>
    <t>Family Labour</t>
  </si>
  <si>
    <t>Mode</t>
  </si>
  <si>
    <t>FIELD FERTILIZER</t>
  </si>
  <si>
    <t>% Reporting</t>
  </si>
  <si>
    <t>TSP</t>
  </si>
  <si>
    <t>kg</t>
  </si>
  <si>
    <t>Urea</t>
  </si>
  <si>
    <t xml:space="preserve">Mix fertilizer </t>
  </si>
  <si>
    <t>YIELD AND RETURNS</t>
  </si>
  <si>
    <t>Per hec.</t>
  </si>
  <si>
    <t>Average Yield (kg/ac)</t>
  </si>
  <si>
    <t>*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</si>
  <si>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</si>
  <si>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</si>
  <si>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</si>
  <si>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</si>
  <si>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</si>
  <si>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</si>
  <si>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*24%  of the farmer's sold their yield as green cobs</t>
  </si>
  <si>
    <t>Cost of cultivation per acre of Manioc (Rainfed)</t>
  </si>
  <si>
    <t>District - Gampaha</t>
  </si>
  <si>
    <t>2018 Yala Season</t>
  </si>
  <si>
    <t>1st 2nd  plough with 4wt</t>
  </si>
  <si>
    <t>Digging holes &amp; Planting</t>
  </si>
  <si>
    <t>(do with weedicide</t>
  </si>
  <si>
    <t>(13)</t>
  </si>
  <si>
    <t>(10556.00)</t>
  </si>
  <si>
    <t>Harvesting &amp; drawing by buyer</t>
  </si>
  <si>
    <t xml:space="preserve">  '( do  manually)</t>
  </si>
  <si>
    <t>(19)</t>
  </si>
  <si>
    <t>(12779)</t>
  </si>
  <si>
    <t>Kalu Peradeniya</t>
  </si>
  <si>
    <t>Planting material</t>
  </si>
  <si>
    <t>sticks</t>
  </si>
  <si>
    <t>Kirikawadi</t>
  </si>
  <si>
    <t>Coconut Mixture</t>
  </si>
  <si>
    <t>COST OF CULTIVATION PER ACRE OF  BIG ONION (IRRIGATED)</t>
  </si>
  <si>
    <t xml:space="preserve">DISTRICT: </t>
  </si>
  <si>
    <t>MATALE</t>
  </si>
  <si>
    <t>2018 yala season</t>
  </si>
  <si>
    <t>All Nursery Preperation</t>
  </si>
  <si>
    <t>1st&amp; 2nd  plough with 4WT</t>
  </si>
  <si>
    <t>1st &amp; 2nd  Plough with 2wt</t>
  </si>
  <si>
    <t>(17)</t>
  </si>
  <si>
    <t>(2.08)</t>
  </si>
  <si>
    <t>1st 2nd &amp; 3rd plough with 4wt</t>
  </si>
  <si>
    <t>(20)</t>
  </si>
  <si>
    <t>(12765.00)</t>
  </si>
  <si>
    <t>Prperation beds &amp; ridges</t>
  </si>
  <si>
    <t>Transplanting</t>
  </si>
  <si>
    <t>Processing</t>
  </si>
  <si>
    <t xml:space="preserve">   '(do on contract)</t>
  </si>
  <si>
    <t>(23)</t>
  </si>
  <si>
    <t>(18245.00)</t>
  </si>
  <si>
    <t>Transport produce to Stores</t>
  </si>
  <si>
    <t>Local</t>
  </si>
  <si>
    <t>Local seed</t>
  </si>
  <si>
    <t>kg.</t>
  </si>
  <si>
    <t>Imported</t>
  </si>
  <si>
    <t>Imported seed</t>
  </si>
  <si>
    <t>(3.00)</t>
  </si>
  <si>
    <t>(5000.00)</t>
  </si>
  <si>
    <t>Onion mixture</t>
  </si>
  <si>
    <t>**</t>
  </si>
  <si>
    <t xml:space="preserve">*   Big onion seed price subsidies by the government. </t>
  </si>
  <si>
    <t>**   Heavy rains prevailed in harvesting period</t>
  </si>
  <si>
    <t>Cost of cultivation Bitter Gourd ( Irrigated)</t>
  </si>
  <si>
    <t>District- Hambantota</t>
  </si>
  <si>
    <t>1st  plough with 4 wt</t>
  </si>
  <si>
    <t>( do with 2wt)</t>
  </si>
  <si>
    <t>(37)</t>
  </si>
  <si>
    <t>(6429.00)</t>
  </si>
  <si>
    <t>Digging holes &amp; seeding</t>
  </si>
  <si>
    <t>Trelising &amp; Training</t>
  </si>
  <si>
    <t>Seed</t>
  </si>
  <si>
    <t>(47)</t>
  </si>
  <si>
    <t>(0.99)</t>
  </si>
  <si>
    <t>(31059.00)</t>
  </si>
  <si>
    <t>Vegetable Mixture</t>
  </si>
  <si>
    <t>Yaharamila</t>
  </si>
  <si>
    <t xml:space="preserve"> * Low yield due to deseases  </t>
  </si>
  <si>
    <t>Cost of cultivation Brinjal ( Irrigated)</t>
  </si>
  <si>
    <t xml:space="preserve">  '( do manually)</t>
  </si>
  <si>
    <t>(30)</t>
  </si>
  <si>
    <t>(8.6)</t>
  </si>
  <si>
    <t>(12410)</t>
  </si>
  <si>
    <t>Digging holes &amp;  transplanting</t>
  </si>
  <si>
    <t xml:space="preserve">Harvesting &amp; drawing </t>
  </si>
  <si>
    <t>Hybrid</t>
  </si>
  <si>
    <t>Cost of cultivation Cabbage ( Irrigated)</t>
  </si>
  <si>
    <t>District- Nuwara Eliya</t>
  </si>
  <si>
    <t>(50)</t>
  </si>
  <si>
    <t>(6.20)</t>
  </si>
  <si>
    <t>(6200)</t>
  </si>
  <si>
    <t>(1877.00)</t>
  </si>
  <si>
    <t>1st  plough manually</t>
  </si>
  <si>
    <t>(44)</t>
  </si>
  <si>
    <t>(9467.00)</t>
  </si>
  <si>
    <t>Prperation beds, ridges &amp; adding lime</t>
  </si>
  <si>
    <t xml:space="preserve"> '(do manually)</t>
  </si>
  <si>
    <t>(19270)</t>
  </si>
  <si>
    <t>*Lime cost</t>
  </si>
  <si>
    <t>AS cross</t>
  </si>
  <si>
    <t>Plants</t>
  </si>
  <si>
    <t>plants</t>
  </si>
  <si>
    <t>Green coronet</t>
  </si>
  <si>
    <t>(Seed)</t>
  </si>
  <si>
    <t>(0.967)</t>
  </si>
  <si>
    <t>(86000.00)</t>
  </si>
  <si>
    <t>Super coronut</t>
  </si>
  <si>
    <t>other</t>
  </si>
  <si>
    <t>(Urea)</t>
  </si>
  <si>
    <t>(32)</t>
  </si>
  <si>
    <t>(81)</t>
  </si>
  <si>
    <t>(50.00)</t>
  </si>
  <si>
    <t>COST OF CULTIVATION PER ACRE OF  CARROT (IRRIGATED)</t>
  </si>
  <si>
    <t>NUWARA ELIYA</t>
  </si>
  <si>
    <t>1st  plough with 2wt</t>
  </si>
  <si>
    <t>(27)</t>
  </si>
  <si>
    <t>(22787.00)</t>
  </si>
  <si>
    <t>Weeding &amp; thinning out</t>
  </si>
  <si>
    <t xml:space="preserve">  '( by buyer)</t>
  </si>
  <si>
    <t>(45)</t>
  </si>
  <si>
    <t>Kuroda</t>
  </si>
  <si>
    <t>Turkish</t>
  </si>
  <si>
    <t>Terracotta</t>
  </si>
  <si>
    <t>Vilmoria</t>
  </si>
  <si>
    <t>Corojan</t>
  </si>
  <si>
    <t>Other</t>
  </si>
  <si>
    <t>Potato Mix</t>
  </si>
  <si>
    <t>Poultry Manure</t>
  </si>
  <si>
    <t>Cost of cultivation of Green Chilli (Irrigated)</t>
  </si>
  <si>
    <t>District - Anuradhapura</t>
  </si>
  <si>
    <t>(1st plough with 4wt)</t>
  </si>
  <si>
    <t>(891.48)</t>
  </si>
  <si>
    <t>(6447.00)</t>
  </si>
  <si>
    <t>(1st plough manually)</t>
  </si>
  <si>
    <t>(10)</t>
  </si>
  <si>
    <t>(29120)</t>
  </si>
  <si>
    <t>(1st plough with 2wt)</t>
  </si>
  <si>
    <t>(7)</t>
  </si>
  <si>
    <t>(650.00)</t>
  </si>
  <si>
    <t>1st &amp; 2nd  Plough with 4wt</t>
  </si>
  <si>
    <t>(1st 2nd plough with 2wt)</t>
  </si>
  <si>
    <t xml:space="preserve">MI2 </t>
  </si>
  <si>
    <t>Galkiriyagama</t>
  </si>
  <si>
    <t>KA 2</t>
  </si>
  <si>
    <t>MICH 1</t>
  </si>
  <si>
    <t>Chilli mixture</t>
  </si>
  <si>
    <t>(MOP)</t>
  </si>
  <si>
    <t>(56)</t>
  </si>
  <si>
    <t>(37.00)</t>
  </si>
  <si>
    <t>*low yield due to disease</t>
  </si>
  <si>
    <t>COST OF CULTIVATION PER ACRE OF  COWPEA (RAINFED)</t>
  </si>
  <si>
    <t>AMPARA</t>
  </si>
  <si>
    <t>1st plough with 4wt</t>
  </si>
  <si>
    <t>2 nd  Plough with 4wt</t>
  </si>
  <si>
    <t>( Seeding with buffaloes)</t>
  </si>
  <si>
    <t>(2400)</t>
  </si>
  <si>
    <t>(1152)</t>
  </si>
  <si>
    <t>Threshing &amp; processing manually</t>
  </si>
  <si>
    <t xml:space="preserve">Drying </t>
  </si>
  <si>
    <t>Red</t>
  </si>
  <si>
    <t>Liquid fertilizer</t>
  </si>
  <si>
    <t>Cost</t>
  </si>
  <si>
    <t>*Low yield due to driught</t>
  </si>
  <si>
    <t>Ccst of cultivation per of Ginge1ly (Rainfed)</t>
  </si>
  <si>
    <t>Anuradhapura</t>
  </si>
  <si>
    <t>1st plough with 4WT</t>
  </si>
  <si>
    <t>Broadcasting</t>
  </si>
  <si>
    <t>Transport produce to stores</t>
  </si>
  <si>
    <t>Black</t>
  </si>
  <si>
    <t>White</t>
  </si>
  <si>
    <t>Low yield due to drought</t>
  </si>
  <si>
    <t>COST OF CULTIVATION PER ACRE OF MAIZE (IRRIGATED)</t>
  </si>
  <si>
    <t>System H</t>
  </si>
  <si>
    <t>Threshing with 4w Thresher</t>
  </si>
  <si>
    <t>Pacific</t>
  </si>
  <si>
    <t>MOP</t>
  </si>
  <si>
    <t>COST OF CULTIVATION PER ACRE OF  POLE BEAN (IRRIGATED)</t>
  </si>
  <si>
    <t>General land preparation</t>
  </si>
  <si>
    <t>1st plough with 2wt</t>
  </si>
  <si>
    <t>(do  manually)</t>
  </si>
  <si>
    <t>(11476.00)</t>
  </si>
  <si>
    <t>Fertilizer application</t>
  </si>
  <si>
    <t>Pest &amp; disease control</t>
  </si>
  <si>
    <t>Fixing support &amp; training</t>
  </si>
  <si>
    <t>Water management</t>
  </si>
  <si>
    <t>Capri</t>
  </si>
  <si>
    <t>Vegetable mixture</t>
  </si>
  <si>
    <t>TDM</t>
  </si>
  <si>
    <t>Poultry manure</t>
  </si>
  <si>
    <t>Cost of cultivation of per acre of Potato</t>
  </si>
  <si>
    <t>District Badulla</t>
  </si>
  <si>
    <t>1st plough with 2WT</t>
  </si>
  <si>
    <t>Granola</t>
  </si>
  <si>
    <t>Potato Mixture</t>
  </si>
  <si>
    <t>Average Yield (kg)</t>
  </si>
  <si>
    <t>Gross Income (Rs)</t>
  </si>
  <si>
    <t>Profit Incl. Imputed Cost (Rs)</t>
  </si>
  <si>
    <t>Profit Excl. Imputed Cost (Rs)</t>
  </si>
  <si>
    <t>Cost of cultivation per acre of Potato (Irrigated)</t>
  </si>
  <si>
    <t>District</t>
  </si>
  <si>
    <t>Nuwara Eliya</t>
  </si>
  <si>
    <t>2018 Yala season</t>
  </si>
  <si>
    <t>Preparation beds &amp; ridges</t>
  </si>
  <si>
    <t>Cowdung</t>
  </si>
  <si>
    <t>(Poultry mixture)</t>
  </si>
  <si>
    <t>(1000.00)</t>
  </si>
  <si>
    <t>(5.00)</t>
  </si>
  <si>
    <t>** water management cost was low because of fevarouble  wether condition prevailed through out of the season</t>
  </si>
  <si>
    <t>COST OF CULTIVATION PER ACRE OF RED ONION (IRRIGATED)</t>
  </si>
  <si>
    <t>PUTTLAM</t>
  </si>
  <si>
    <t>Seed procecing</t>
  </si>
  <si>
    <t>Weeding &amp; Loossing soil</t>
  </si>
  <si>
    <t>New technology adoption(Sprnikler)</t>
  </si>
  <si>
    <t>* cajan cost</t>
  </si>
  <si>
    <t>Vedalan</t>
  </si>
  <si>
    <t>COST OF CULTIVATION PER ACRE OF   SOYA BEAN (IRRIGATED)</t>
  </si>
  <si>
    <t>"(33)</t>
  </si>
  <si>
    <t>(1624)</t>
  </si>
  <si>
    <t>1st&amp; 2nd  plough with 4wt</t>
  </si>
  <si>
    <t>Processing with 4w thresher</t>
  </si>
  <si>
    <t>PB 1</t>
  </si>
  <si>
    <t>Liquid Fertilizer</t>
  </si>
  <si>
    <t>(33)</t>
  </si>
  <si>
    <t>COST OF CULTIVATION PER ACRE OF SWEET POTATO (IRRIGATED)</t>
  </si>
  <si>
    <t>1st &amp; 2nd plough with 4wt</t>
  </si>
  <si>
    <t>(9)</t>
  </si>
  <si>
    <t>(4800)</t>
  </si>
  <si>
    <t xml:space="preserve">     '(do on contract)</t>
  </si>
  <si>
    <t>(22750)</t>
  </si>
  <si>
    <t>Material processing  and planting</t>
  </si>
  <si>
    <t>Harvesting &amp; processing</t>
  </si>
  <si>
    <t>Wariyapola</t>
  </si>
  <si>
    <t>Cuttings</t>
  </si>
  <si>
    <t>Potato mixture</t>
  </si>
  <si>
    <t>COST OF CULTIVATION PER ACRE OF  TOMATO (IRRIGATED)</t>
  </si>
  <si>
    <t>1 st plough with2 WT</t>
  </si>
  <si>
    <t>(17391)</t>
  </si>
  <si>
    <t>Digging holes &amp; transplanting</t>
  </si>
  <si>
    <t>Padma</t>
  </si>
  <si>
    <t>seed</t>
  </si>
  <si>
    <t xml:space="preserve">kg </t>
  </si>
  <si>
    <t>Thilina</t>
  </si>
  <si>
    <t>Nilketa</t>
  </si>
  <si>
    <t>COST OF CULTIVATION PER ACRE OF  TOMATO IRRIGATED</t>
  </si>
  <si>
    <t xml:space="preserve">DISTRICT: --Badulla------------------       </t>
  </si>
  <si>
    <t>Kandy</t>
  </si>
  <si>
    <t>1st plough with manu</t>
  </si>
  <si>
    <t>1  Plough with 2wt</t>
  </si>
  <si>
    <t>,(43)</t>
  </si>
  <si>
    <t>,(10250.00)</t>
  </si>
  <si>
    <t>Water Management (manu)</t>
  </si>
  <si>
    <t>Abiman</t>
  </si>
  <si>
    <t>Glory</t>
  </si>
  <si>
    <t>Dhana</t>
  </si>
  <si>
    <t>* Later part of the season  price was very  Low &amp; heavy rain also affect yield</t>
  </si>
  <si>
    <t>Per ac</t>
  </si>
</sst>
</file>

<file path=xl/styles.xml><?xml version="1.0" encoding="utf-8"?>
<styleSheet xmlns="http://schemas.openxmlformats.org/spreadsheetml/2006/main">
  <numFmts count="7">
    <numFmt numFmtId="164" formatCode="0_)"/>
    <numFmt numFmtId="165" formatCode="0.0"/>
    <numFmt numFmtId="166" formatCode="0.00_)"/>
    <numFmt numFmtId="167" formatCode="0.0000_)"/>
    <numFmt numFmtId="168" formatCode="0.0_)"/>
    <numFmt numFmtId="169" formatCode="0.000_)"/>
    <numFmt numFmtId="170" formatCode="0.000"/>
  </numFmts>
  <fonts count="15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sz val="10"/>
      <color theme="1"/>
      <name val="Times New Roman"/>
      <family val="1"/>
    </font>
    <font>
      <sz val="7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0" xfId="0" applyNumberFormat="1" applyFont="1" applyProtection="1"/>
    <xf numFmtId="2" fontId="1" fillId="0" borderId="0" xfId="0" applyNumberFormat="1" applyFont="1"/>
    <xf numFmtId="2" fontId="1" fillId="0" borderId="0" xfId="0" applyNumberFormat="1" applyFont="1" applyProtection="1"/>
    <xf numFmtId="2" fontId="1" fillId="0" borderId="0" xfId="0" quotePrefix="1" applyNumberFormat="1" applyFont="1"/>
    <xf numFmtId="165" fontId="1" fillId="0" borderId="0" xfId="0" applyNumberFormat="1" applyFont="1"/>
    <xf numFmtId="1" fontId="1" fillId="0" borderId="0" xfId="0" applyNumberFormat="1" applyFont="1" applyProtection="1"/>
    <xf numFmtId="1" fontId="1" fillId="0" borderId="0" xfId="0" applyNumberFormat="1" applyFont="1"/>
    <xf numFmtId="164" fontId="1" fillId="0" borderId="0" xfId="0" quotePrefix="1" applyNumberFormat="1" applyFont="1" applyProtection="1"/>
    <xf numFmtId="1" fontId="1" fillId="0" borderId="0" xfId="0" quotePrefix="1" applyNumberFormat="1" applyFont="1"/>
    <xf numFmtId="0" fontId="1" fillId="0" borderId="0" xfId="0" quotePrefix="1" applyFont="1"/>
    <xf numFmtId="0" fontId="1" fillId="0" borderId="1" xfId="0" applyFont="1" applyBorder="1"/>
    <xf numFmtId="164" fontId="1" fillId="0" borderId="1" xfId="0" applyNumberFormat="1" applyFont="1" applyBorder="1" applyProtection="1"/>
    <xf numFmtId="165" fontId="1" fillId="0" borderId="1" xfId="0" applyNumberFormat="1" applyFont="1" applyBorder="1"/>
    <xf numFmtId="1" fontId="1" fillId="0" borderId="1" xfId="0" applyNumberFormat="1" applyFont="1" applyBorder="1"/>
    <xf numFmtId="0" fontId="1" fillId="0" borderId="2" xfId="0" applyFont="1" applyBorder="1"/>
    <xf numFmtId="164" fontId="1" fillId="0" borderId="2" xfId="0" applyNumberFormat="1" applyFont="1" applyBorder="1" applyProtection="1"/>
    <xf numFmtId="165" fontId="1" fillId="0" borderId="2" xfId="0" applyNumberFormat="1" applyFont="1" applyBorder="1"/>
    <xf numFmtId="2" fontId="1" fillId="0" borderId="2" xfId="0" applyNumberFormat="1" applyFont="1" applyBorder="1"/>
    <xf numFmtId="1" fontId="1" fillId="0" borderId="2" xfId="0" applyNumberFormat="1" applyFont="1" applyBorder="1"/>
    <xf numFmtId="0" fontId="3" fillId="0" borderId="0" xfId="0" applyFont="1"/>
    <xf numFmtId="0" fontId="1" fillId="0" borderId="3" xfId="0" applyFont="1" applyBorder="1"/>
    <xf numFmtId="0" fontId="3" fillId="0" borderId="4" xfId="0" applyFont="1" applyBorder="1"/>
    <xf numFmtId="0" fontId="3" fillId="0" borderId="5" xfId="0" applyFont="1" applyBorder="1" applyAlignment="1">
      <alignment horizontal="right"/>
    </xf>
    <xf numFmtId="0" fontId="4" fillId="0" borderId="6" xfId="0" applyFont="1" applyBorder="1"/>
    <xf numFmtId="1" fontId="4" fillId="0" borderId="7" xfId="0" applyNumberFormat="1" applyFont="1" applyBorder="1"/>
    <xf numFmtId="0" fontId="4" fillId="0" borderId="8" xfId="0" applyFont="1" applyBorder="1"/>
    <xf numFmtId="1" fontId="4" fillId="0" borderId="9" xfId="0" applyNumberFormat="1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8" xfId="0" applyFont="1" applyBorder="1"/>
    <xf numFmtId="2" fontId="5" fillId="0" borderId="9" xfId="0" applyNumberFormat="1" applyFont="1" applyBorder="1"/>
    <xf numFmtId="0" fontId="1" fillId="0" borderId="0" xfId="0" applyFont="1" applyAlignment="1">
      <alignment horizontal="center"/>
    </xf>
    <xf numFmtId="0" fontId="1" fillId="0" borderId="0" xfId="0" quotePrefix="1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2" fontId="1" fillId="0" borderId="0" xfId="0" applyNumberFormat="1" applyFont="1" applyBorder="1"/>
    <xf numFmtId="166" fontId="1" fillId="0" borderId="0" xfId="0" applyNumberFormat="1" applyFont="1" applyBorder="1" applyProtection="1"/>
    <xf numFmtId="166" fontId="1" fillId="0" borderId="0" xfId="0" applyNumberFormat="1" applyFont="1"/>
    <xf numFmtId="164" fontId="1" fillId="0" borderId="0" xfId="0" applyNumberFormat="1" applyFont="1"/>
    <xf numFmtId="166" fontId="1" fillId="0" borderId="0" xfId="0" applyNumberFormat="1" applyFont="1" applyBorder="1"/>
    <xf numFmtId="164" fontId="1" fillId="0" borderId="0" xfId="0" applyNumberFormat="1" applyFont="1" applyBorder="1"/>
    <xf numFmtId="166" fontId="1" fillId="0" borderId="2" xfId="0" applyNumberFormat="1" applyFont="1" applyBorder="1"/>
    <xf numFmtId="0" fontId="6" fillId="0" borderId="0" xfId="0" applyFont="1" applyFill="1" applyAlignment="1">
      <alignment horizontal="left" vertical="top"/>
    </xf>
    <xf numFmtId="0" fontId="7" fillId="0" borderId="6" xfId="0" applyFont="1" applyBorder="1" applyAlignment="1">
      <alignment horizontal="left"/>
    </xf>
    <xf numFmtId="1" fontId="7" fillId="0" borderId="7" xfId="0" applyNumberFormat="1" applyFont="1" applyBorder="1"/>
    <xf numFmtId="0" fontId="7" fillId="0" borderId="8" xfId="0" applyFont="1" applyBorder="1" applyAlignment="1">
      <alignment horizontal="left"/>
    </xf>
    <xf numFmtId="1" fontId="7" fillId="0" borderId="9" xfId="0" applyNumberFormat="1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8" xfId="0" applyFont="1" applyBorder="1"/>
    <xf numFmtId="2" fontId="7" fillId="0" borderId="9" xfId="0" applyNumberFormat="1" applyFont="1" applyBorder="1"/>
    <xf numFmtId="0" fontId="1" fillId="0" borderId="0" xfId="0" quotePrefix="1" applyFont="1" applyBorder="1" applyAlignment="1">
      <alignment horizontal="center"/>
    </xf>
    <xf numFmtId="0" fontId="8" fillId="0" borderId="0" xfId="0" applyFont="1"/>
    <xf numFmtId="165" fontId="1" fillId="0" borderId="0" xfId="0" quotePrefix="1" applyNumberFormat="1" applyFont="1"/>
    <xf numFmtId="2" fontId="1" fillId="0" borderId="1" xfId="0" applyNumberFormat="1" applyFont="1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5" fillId="0" borderId="0" xfId="0" applyFont="1"/>
    <xf numFmtId="0" fontId="4" fillId="0" borderId="0" xfId="0" applyFont="1"/>
    <xf numFmtId="0" fontId="1" fillId="0" borderId="0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64" fontId="4" fillId="0" borderId="0" xfId="0" applyNumberFormat="1" applyFont="1" applyProtection="1"/>
    <xf numFmtId="165" fontId="4" fillId="0" borderId="0" xfId="0" applyNumberFormat="1" applyFont="1"/>
    <xf numFmtId="1" fontId="4" fillId="0" borderId="0" xfId="0" applyNumberFormat="1" applyFont="1" applyProtection="1"/>
    <xf numFmtId="1" fontId="4" fillId="0" borderId="0" xfId="0" applyNumberFormat="1" applyFont="1"/>
    <xf numFmtId="0" fontId="4" fillId="0" borderId="0" xfId="0" quotePrefix="1" applyFont="1"/>
    <xf numFmtId="164" fontId="4" fillId="0" borderId="0" xfId="0" quotePrefix="1" applyNumberFormat="1" applyFont="1" applyAlignment="1" applyProtection="1">
      <alignment horizontal="right"/>
    </xf>
    <xf numFmtId="165" fontId="4" fillId="0" borderId="0" xfId="0" quotePrefix="1" applyNumberFormat="1" applyFont="1"/>
    <xf numFmtId="1" fontId="4" fillId="0" borderId="0" xfId="0" quotePrefix="1" applyNumberFormat="1" applyFont="1" applyAlignment="1">
      <alignment horizontal="right"/>
    </xf>
    <xf numFmtId="2" fontId="4" fillId="0" borderId="0" xfId="0" applyNumberFormat="1" applyFont="1"/>
    <xf numFmtId="165" fontId="4" fillId="0" borderId="0" xfId="0" applyNumberFormat="1" applyFont="1" applyFill="1"/>
    <xf numFmtId="0" fontId="4" fillId="0" borderId="1" xfId="0" applyFont="1" applyBorder="1"/>
    <xf numFmtId="164" fontId="4" fillId="0" borderId="1" xfId="0" applyNumberFormat="1" applyFont="1" applyBorder="1" applyProtection="1"/>
    <xf numFmtId="165" fontId="4" fillId="0" borderId="1" xfId="0" applyNumberFormat="1" applyFont="1" applyBorder="1"/>
    <xf numFmtId="2" fontId="4" fillId="0" borderId="1" xfId="0" applyNumberFormat="1" applyFont="1" applyBorder="1"/>
    <xf numFmtId="1" fontId="4" fillId="0" borderId="1" xfId="0" applyNumberFormat="1" applyFont="1" applyBorder="1"/>
    <xf numFmtId="0" fontId="4" fillId="0" borderId="2" xfId="0" applyFont="1" applyBorder="1"/>
    <xf numFmtId="164" fontId="4" fillId="0" borderId="2" xfId="0" applyNumberFormat="1" applyFont="1" applyBorder="1" applyProtection="1"/>
    <xf numFmtId="165" fontId="4" fillId="0" borderId="2" xfId="0" applyNumberFormat="1" applyFont="1" applyBorder="1"/>
    <xf numFmtId="2" fontId="4" fillId="0" borderId="2" xfId="0" applyNumberFormat="1" applyFont="1" applyBorder="1"/>
    <xf numFmtId="1" fontId="4" fillId="0" borderId="2" xfId="0" applyNumberFormat="1" applyFont="1" applyBorder="1"/>
    <xf numFmtId="0" fontId="9" fillId="0" borderId="0" xfId="0" applyFont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9" fillId="0" borderId="3" xfId="0" applyFont="1" applyBorder="1"/>
    <xf numFmtId="0" fontId="9" fillId="0" borderId="3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4" fillId="0" borderId="0" xfId="0" quotePrefix="1" applyFont="1" applyAlignment="1">
      <alignment horizontal="center"/>
    </xf>
    <xf numFmtId="0" fontId="4" fillId="0" borderId="0" xfId="0" quotePrefix="1" applyFont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0" xfId="0" applyFont="1" applyBorder="1"/>
    <xf numFmtId="0" fontId="4" fillId="0" borderId="0" xfId="0" quotePrefix="1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2" fontId="4" fillId="0" borderId="0" xfId="0" applyNumberFormat="1" applyFont="1" applyBorder="1"/>
    <xf numFmtId="166" fontId="4" fillId="0" borderId="0" xfId="0" applyNumberFormat="1" applyFont="1" applyBorder="1" applyProtection="1"/>
    <xf numFmtId="1" fontId="4" fillId="0" borderId="0" xfId="0" applyNumberFormat="1" applyFont="1" applyBorder="1"/>
    <xf numFmtId="166" fontId="4" fillId="0" borderId="0" xfId="0" applyNumberFormat="1" applyFont="1" applyBorder="1"/>
    <xf numFmtId="164" fontId="4" fillId="0" borderId="0" xfId="0" applyNumberFormat="1" applyFont="1" applyBorder="1"/>
    <xf numFmtId="166" fontId="4" fillId="0" borderId="2" xfId="0" applyNumberFormat="1" applyFont="1" applyBorder="1"/>
    <xf numFmtId="0" fontId="10" fillId="0" borderId="0" xfId="0" applyFont="1" applyFill="1" applyAlignment="1">
      <alignment horizontal="left" vertical="top"/>
    </xf>
    <xf numFmtId="1" fontId="4" fillId="0" borderId="0" xfId="0" quotePrefix="1" applyNumberFormat="1" applyFont="1"/>
    <xf numFmtId="0" fontId="11" fillId="0" borderId="0" xfId="0" applyFont="1"/>
    <xf numFmtId="165" fontId="4" fillId="0" borderId="0" xfId="0" quotePrefix="1" applyNumberFormat="1" applyFont="1" applyAlignment="1">
      <alignment horizontal="right"/>
    </xf>
    <xf numFmtId="164" fontId="4" fillId="0" borderId="0" xfId="0" applyNumberFormat="1" applyFont="1" applyAlignment="1" applyProtection="1">
      <alignment horizontal="right"/>
    </xf>
    <xf numFmtId="0" fontId="9" fillId="0" borderId="10" xfId="0" applyFont="1" applyBorder="1"/>
    <xf numFmtId="0" fontId="9" fillId="0" borderId="11" xfId="0" applyFont="1" applyBorder="1" applyAlignment="1">
      <alignment horizontal="right"/>
    </xf>
    <xf numFmtId="0" fontId="4" fillId="0" borderId="0" xfId="0" quotePrefix="1" applyFont="1" applyBorder="1" applyAlignment="1"/>
    <xf numFmtId="0" fontId="4" fillId="0" borderId="0" xfId="0" quotePrefix="1" applyFont="1" applyBorder="1"/>
    <xf numFmtId="2" fontId="4" fillId="0" borderId="0" xfId="0" quotePrefix="1" applyNumberFormat="1" applyFont="1" applyBorder="1"/>
    <xf numFmtId="2" fontId="4" fillId="0" borderId="0" xfId="0" quotePrefix="1" applyNumberFormat="1" applyFont="1" applyAlignment="1">
      <alignment horizontal="right"/>
    </xf>
    <xf numFmtId="2" fontId="4" fillId="0" borderId="0" xfId="0" applyNumberFormat="1" applyFont="1" applyProtection="1"/>
    <xf numFmtId="164" fontId="4" fillId="0" borderId="0" xfId="0" quotePrefix="1" applyNumberFormat="1" applyFont="1" applyProtection="1"/>
    <xf numFmtId="1" fontId="9" fillId="0" borderId="0" xfId="0" applyNumberFormat="1" applyFont="1"/>
    <xf numFmtId="1" fontId="4" fillId="0" borderId="0" xfId="0" applyNumberFormat="1" applyFont="1" applyAlignment="1">
      <alignment horizontal="right"/>
    </xf>
    <xf numFmtId="0" fontId="4" fillId="0" borderId="0" xfId="0" quotePrefix="1" applyFont="1" applyBorder="1" applyAlignment="1">
      <alignment horizontal="right"/>
    </xf>
    <xf numFmtId="2" fontId="4" fillId="0" borderId="0" xfId="0" quotePrefix="1" applyNumberFormat="1" applyFont="1" applyBorder="1" applyAlignment="1">
      <alignment horizontal="right"/>
    </xf>
    <xf numFmtId="1" fontId="1" fillId="0" borderId="0" xfId="0" quotePrefix="1" applyNumberFormat="1" applyFont="1" applyAlignment="1">
      <alignment horizontal="right"/>
    </xf>
    <xf numFmtId="1" fontId="3" fillId="0" borderId="0" xfId="0" applyNumberFormat="1" applyFont="1"/>
    <xf numFmtId="1" fontId="1" fillId="0" borderId="0" xfId="0" applyNumberFormat="1" applyFont="1" applyBorder="1"/>
    <xf numFmtId="0" fontId="2" fillId="0" borderId="0" xfId="0" applyFont="1" applyBorder="1"/>
    <xf numFmtId="0" fontId="2" fillId="0" borderId="2" xfId="0" applyFont="1" applyBorder="1"/>
    <xf numFmtId="1" fontId="2" fillId="0" borderId="2" xfId="0" applyNumberFormat="1" applyFont="1" applyBorder="1"/>
    <xf numFmtId="1" fontId="1" fillId="0" borderId="0" xfId="0" applyNumberFormat="1" applyFont="1" applyAlignment="1">
      <alignment horizontal="center"/>
    </xf>
    <xf numFmtId="0" fontId="1" fillId="0" borderId="2" xfId="0" quotePrefix="1" applyFont="1" applyBorder="1"/>
    <xf numFmtId="1" fontId="2" fillId="0" borderId="0" xfId="0" applyNumberFormat="1" applyFont="1"/>
    <xf numFmtId="1" fontId="5" fillId="0" borderId="1" xfId="0" applyNumberFormat="1" applyFont="1" applyBorder="1"/>
    <xf numFmtId="1" fontId="5" fillId="0" borderId="0" xfId="0" applyNumberFormat="1" applyFont="1" applyBorder="1"/>
    <xf numFmtId="1" fontId="5" fillId="0" borderId="0" xfId="0" applyNumberFormat="1" applyFont="1"/>
    <xf numFmtId="0" fontId="5" fillId="0" borderId="0" xfId="0" applyFont="1" applyAlignment="1">
      <alignment horizontal="center"/>
    </xf>
    <xf numFmtId="2" fontId="5" fillId="0" borderId="1" xfId="0" applyNumberFormat="1" applyFont="1" applyBorder="1"/>
    <xf numFmtId="0" fontId="1" fillId="0" borderId="0" xfId="0" quotePrefix="1" applyFont="1" applyBorder="1" applyAlignment="1">
      <alignment horizontal="right"/>
    </xf>
    <xf numFmtId="1" fontId="2" fillId="0" borderId="0" xfId="0" applyNumberFormat="1" applyFont="1" applyBorder="1"/>
    <xf numFmtId="1" fontId="1" fillId="0" borderId="3" xfId="0" applyNumberFormat="1" applyFont="1" applyBorder="1"/>
    <xf numFmtId="1" fontId="1" fillId="0" borderId="0" xfId="0" applyNumberFormat="1" applyFont="1" applyFill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167" fontId="1" fillId="0" borderId="0" xfId="0" applyNumberFormat="1" applyFont="1"/>
    <xf numFmtId="168" fontId="1" fillId="0" borderId="0" xfId="0" applyNumberFormat="1" applyFont="1"/>
    <xf numFmtId="165" fontId="2" fillId="0" borderId="0" xfId="0" applyNumberFormat="1" applyFont="1"/>
    <xf numFmtId="0" fontId="1" fillId="0" borderId="0" xfId="0" applyFont="1" applyAlignment="1">
      <alignment horizontal="right"/>
    </xf>
    <xf numFmtId="168" fontId="1" fillId="0" borderId="0" xfId="0" quotePrefix="1" applyNumberFormat="1" applyFont="1" applyProtection="1"/>
    <xf numFmtId="168" fontId="1" fillId="0" borderId="0" xfId="0" quotePrefix="1" applyNumberFormat="1" applyFont="1"/>
    <xf numFmtId="1" fontId="1" fillId="0" borderId="0" xfId="0" quotePrefix="1" applyNumberFormat="1" applyFont="1" applyAlignment="1" applyProtection="1">
      <alignment horizontal="right"/>
    </xf>
    <xf numFmtId="168" fontId="1" fillId="0" borderId="0" xfId="0" applyNumberFormat="1" applyFont="1" applyFill="1"/>
    <xf numFmtId="0" fontId="1" fillId="0" borderId="1" xfId="0" applyFont="1" applyBorder="1" applyAlignment="1">
      <alignment horizontal="right"/>
    </xf>
    <xf numFmtId="2" fontId="1" fillId="0" borderId="0" xfId="0" quotePrefix="1" applyNumberFormat="1" applyFont="1" applyBorder="1"/>
    <xf numFmtId="0" fontId="12" fillId="0" borderId="0" xfId="0" applyFont="1"/>
    <xf numFmtId="0" fontId="5" fillId="0" borderId="1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5" fillId="0" borderId="0" xfId="0" quotePrefix="1" applyNumberFormat="1" applyFont="1" applyProtection="1"/>
    <xf numFmtId="165" fontId="5" fillId="0" borderId="0" xfId="0" quotePrefix="1" applyNumberFormat="1" applyFont="1"/>
    <xf numFmtId="165" fontId="5" fillId="0" borderId="0" xfId="0" applyNumberFormat="1" applyFont="1"/>
    <xf numFmtId="1" fontId="5" fillId="0" borderId="0" xfId="0" applyNumberFormat="1" applyFont="1" applyProtection="1"/>
    <xf numFmtId="164" fontId="5" fillId="0" borderId="0" xfId="0" applyNumberFormat="1" applyFont="1" applyProtection="1"/>
    <xf numFmtId="1" fontId="13" fillId="0" borderId="0" xfId="0" applyNumberFormat="1" applyFont="1"/>
    <xf numFmtId="0" fontId="5" fillId="0" borderId="1" xfId="0" applyFont="1" applyBorder="1"/>
    <xf numFmtId="164" fontId="5" fillId="0" borderId="1" xfId="0" applyNumberFormat="1" applyFont="1" applyBorder="1" applyProtection="1"/>
    <xf numFmtId="165" fontId="5" fillId="0" borderId="1" xfId="0" applyNumberFormat="1" applyFont="1" applyBorder="1"/>
    <xf numFmtId="0" fontId="5" fillId="0" borderId="2" xfId="0" applyFont="1" applyBorder="1"/>
    <xf numFmtId="164" fontId="5" fillId="0" borderId="2" xfId="0" applyNumberFormat="1" applyFont="1" applyBorder="1" applyProtection="1"/>
    <xf numFmtId="165" fontId="5" fillId="0" borderId="2" xfId="0" applyNumberFormat="1" applyFont="1" applyBorder="1"/>
    <xf numFmtId="2" fontId="5" fillId="0" borderId="2" xfId="0" applyNumberFormat="1" applyFont="1" applyBorder="1"/>
    <xf numFmtId="1" fontId="5" fillId="0" borderId="2" xfId="0" applyNumberFormat="1" applyFont="1" applyBorder="1"/>
    <xf numFmtId="0" fontId="13" fillId="0" borderId="0" xfId="0" applyFont="1"/>
    <xf numFmtId="2" fontId="5" fillId="0" borderId="0" xfId="0" applyNumberFormat="1" applyFont="1"/>
    <xf numFmtId="0" fontId="5" fillId="0" borderId="3" xfId="0" applyFont="1" applyBorder="1"/>
    <xf numFmtId="0" fontId="13" fillId="0" borderId="3" xfId="0" applyFont="1" applyBorder="1"/>
    <xf numFmtId="0" fontId="13" fillId="0" borderId="3" xfId="0" applyFont="1" applyBorder="1" applyAlignment="1">
      <alignment horizontal="right"/>
    </xf>
    <xf numFmtId="0" fontId="5" fillId="0" borderId="0" xfId="0" applyFont="1" applyAlignment="1">
      <alignment horizontal="right"/>
    </xf>
    <xf numFmtId="1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5" fillId="0" borderId="0" xfId="0" applyFont="1" applyBorder="1"/>
    <xf numFmtId="0" fontId="5" fillId="0" borderId="0" xfId="0" quotePrefix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2" fontId="5" fillId="0" borderId="0" xfId="0" applyNumberFormat="1" applyFont="1" applyBorder="1"/>
    <xf numFmtId="0" fontId="5" fillId="0" borderId="0" xfId="0" quotePrefix="1" applyFont="1" applyBorder="1"/>
    <xf numFmtId="2" fontId="5" fillId="0" borderId="0" xfId="0" quotePrefix="1" applyNumberFormat="1" applyFont="1" applyBorder="1" applyAlignment="1">
      <alignment horizontal="right"/>
    </xf>
    <xf numFmtId="166" fontId="5" fillId="0" borderId="0" xfId="0" applyNumberFormat="1" applyFont="1" applyBorder="1" applyProtection="1"/>
    <xf numFmtId="166" fontId="5" fillId="0" borderId="0" xfId="0" applyNumberFormat="1" applyFont="1" applyBorder="1"/>
    <xf numFmtId="164" fontId="5" fillId="0" borderId="0" xfId="0" applyNumberFormat="1" applyFont="1" applyBorder="1"/>
    <xf numFmtId="166" fontId="5" fillId="0" borderId="2" xfId="0" applyNumberFormat="1" applyFont="1" applyBorder="1"/>
    <xf numFmtId="0" fontId="14" fillId="0" borderId="0" xfId="0" applyFont="1" applyFill="1" applyAlignment="1">
      <alignment horizontal="left" vertical="top"/>
    </xf>
    <xf numFmtId="1" fontId="5" fillId="0" borderId="11" xfId="0" applyNumberFormat="1" applyFont="1" applyBorder="1"/>
    <xf numFmtId="1" fontId="5" fillId="0" borderId="9" xfId="0" applyNumberFormat="1" applyFont="1" applyBorder="1"/>
    <xf numFmtId="0" fontId="5" fillId="0" borderId="0" xfId="0" quotePrefix="1" applyFont="1"/>
    <xf numFmtId="0" fontId="2" fillId="0" borderId="0" xfId="0" applyFont="1" applyFill="1" applyBorder="1"/>
    <xf numFmtId="2" fontId="2" fillId="0" borderId="0" xfId="0" applyNumberFormat="1" applyFont="1" applyBorder="1"/>
    <xf numFmtId="168" fontId="1" fillId="0" borderId="0" xfId="0" applyNumberFormat="1" applyFont="1" applyBorder="1" applyProtection="1"/>
    <xf numFmtId="168" fontId="1" fillId="0" borderId="0" xfId="0" applyNumberFormat="1" applyFont="1" applyBorder="1"/>
    <xf numFmtId="169" fontId="1" fillId="0" borderId="0" xfId="0" applyNumberFormat="1" applyFont="1"/>
    <xf numFmtId="2" fontId="5" fillId="0" borderId="0" xfId="0" quotePrefix="1" applyNumberFormat="1" applyFont="1"/>
    <xf numFmtId="2" fontId="5" fillId="0" borderId="0" xfId="0" applyNumberFormat="1" applyFont="1" applyProtection="1"/>
    <xf numFmtId="1" fontId="5" fillId="0" borderId="0" xfId="0" quotePrefix="1" applyNumberFormat="1" applyFont="1"/>
    <xf numFmtId="2" fontId="5" fillId="0" borderId="0" xfId="0" quotePrefix="1" applyNumberFormat="1" applyFont="1" applyBorder="1"/>
    <xf numFmtId="165" fontId="5" fillId="0" borderId="0" xfId="0" applyNumberFormat="1" applyFont="1" applyFill="1"/>
    <xf numFmtId="0" fontId="5" fillId="0" borderId="0" xfId="0" applyFont="1" applyAlignment="1"/>
    <xf numFmtId="170" fontId="5" fillId="0" borderId="0" xfId="0" applyNumberFormat="1" applyFont="1"/>
    <xf numFmtId="0" fontId="5" fillId="0" borderId="1" xfId="0" applyFont="1" applyBorder="1" applyAlignment="1"/>
    <xf numFmtId="0" fontId="5" fillId="0" borderId="0" xfId="0" applyFont="1" applyBorder="1" applyAlignment="1"/>
    <xf numFmtId="0" fontId="5" fillId="0" borderId="0" xfId="0" applyFont="1" applyAlignment="1">
      <alignment horizontal="left"/>
    </xf>
    <xf numFmtId="0" fontId="5" fillId="0" borderId="2" xfId="0" quotePrefix="1" applyFont="1" applyBorder="1"/>
    <xf numFmtId="1" fontId="1" fillId="0" borderId="0" xfId="0" applyNumberFormat="1" applyFont="1" applyAlignment="1">
      <alignment horizontal="right"/>
    </xf>
    <xf numFmtId="165" fontId="1" fillId="0" borderId="0" xfId="0" applyNumberFormat="1" applyFont="1" applyFill="1"/>
    <xf numFmtId="170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workbookViewId="0">
      <selection activeCell="Q17" sqref="Q17"/>
    </sheetView>
  </sheetViews>
  <sheetFormatPr defaultRowHeight="15"/>
  <sheetData>
    <row r="1" spans="1:13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 t="s">
        <v>2</v>
      </c>
      <c r="C2" s="1" t="s">
        <v>3</v>
      </c>
      <c r="D2" s="2"/>
      <c r="E2" s="2"/>
      <c r="F2" s="2"/>
      <c r="G2" s="2"/>
      <c r="H2" s="1"/>
      <c r="I2" s="1" t="s">
        <v>4</v>
      </c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3" t="s">
        <v>5</v>
      </c>
      <c r="B4" s="3"/>
      <c r="C4" s="3"/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/>
    </row>
    <row r="5" spans="1:13">
      <c r="A5" s="4"/>
      <c r="B5" s="4"/>
      <c r="C5" s="4"/>
      <c r="D5" s="4" t="s">
        <v>15</v>
      </c>
      <c r="E5" s="4" t="s">
        <v>16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18</v>
      </c>
      <c r="K5" s="4" t="s">
        <v>18</v>
      </c>
      <c r="L5" s="4" t="s">
        <v>20</v>
      </c>
      <c r="M5" s="4" t="s">
        <v>21</v>
      </c>
    </row>
    <row r="6" spans="1:13">
      <c r="A6" s="4"/>
      <c r="B6" s="4"/>
      <c r="C6" s="4"/>
      <c r="D6" s="4" t="s">
        <v>22</v>
      </c>
      <c r="E6" s="4"/>
      <c r="F6" s="4"/>
      <c r="G6" s="4"/>
      <c r="H6" s="4" t="s">
        <v>23</v>
      </c>
      <c r="I6" s="4" t="s">
        <v>18</v>
      </c>
      <c r="J6" s="4" t="s">
        <v>23</v>
      </c>
      <c r="K6" s="4" t="s">
        <v>23</v>
      </c>
      <c r="L6" s="4"/>
      <c r="M6" s="4"/>
    </row>
    <row r="7" spans="1:13">
      <c r="A7" s="5"/>
      <c r="B7" s="5"/>
      <c r="C7" s="5"/>
      <c r="D7" s="5"/>
      <c r="E7" s="5"/>
      <c r="F7" s="5"/>
      <c r="G7" s="5"/>
      <c r="H7" s="5"/>
      <c r="I7" s="5" t="s">
        <v>23</v>
      </c>
      <c r="J7" s="5"/>
      <c r="K7" s="5"/>
      <c r="L7" s="5"/>
      <c r="M7" s="5"/>
    </row>
    <row r="8" spans="1:13">
      <c r="A8" s="1" t="s">
        <v>24</v>
      </c>
      <c r="B8" s="1"/>
      <c r="C8" s="1"/>
      <c r="D8" s="6" t="s">
        <v>25</v>
      </c>
      <c r="E8" s="7"/>
      <c r="F8" s="7"/>
      <c r="G8" s="8"/>
      <c r="H8" s="9" t="s">
        <v>26</v>
      </c>
      <c r="I8" s="1"/>
      <c r="J8" s="7"/>
      <c r="K8" s="7"/>
      <c r="L8" s="1"/>
      <c r="M8" s="1"/>
    </row>
    <row r="9" spans="1:13">
      <c r="A9" s="1" t="s">
        <v>27</v>
      </c>
      <c r="B9" s="1"/>
      <c r="C9" s="1"/>
      <c r="D9" s="6">
        <v>76</v>
      </c>
      <c r="E9" s="10">
        <v>1</v>
      </c>
      <c r="F9" s="10">
        <v>1</v>
      </c>
      <c r="G9" s="11">
        <v>1232</v>
      </c>
      <c r="H9" s="12">
        <v>1232</v>
      </c>
      <c r="I9" s="12">
        <v>4978</v>
      </c>
      <c r="J9" s="12"/>
      <c r="K9" s="12">
        <v>6210</v>
      </c>
      <c r="L9" s="12">
        <v>885</v>
      </c>
      <c r="M9" s="1"/>
    </row>
    <row r="10" spans="1:13">
      <c r="A10" s="1" t="s">
        <v>28</v>
      </c>
      <c r="B10" s="1"/>
      <c r="C10" s="1"/>
      <c r="D10" s="13" t="s">
        <v>29</v>
      </c>
      <c r="E10" s="10"/>
      <c r="F10" s="10"/>
      <c r="G10" s="11"/>
      <c r="H10" s="12"/>
      <c r="I10" s="14" t="s">
        <v>30</v>
      </c>
      <c r="J10" s="12"/>
      <c r="K10" s="12"/>
      <c r="L10" s="1"/>
      <c r="M10" s="1"/>
    </row>
    <row r="11" spans="1:13">
      <c r="A11" s="1" t="s">
        <v>31</v>
      </c>
      <c r="B11" s="1"/>
      <c r="C11" s="1"/>
      <c r="D11" s="6">
        <v>100</v>
      </c>
      <c r="E11" s="10">
        <v>6.8</v>
      </c>
      <c r="F11" s="10">
        <v>3</v>
      </c>
      <c r="G11" s="11">
        <v>1232</v>
      </c>
      <c r="H11" s="12">
        <v>8378</v>
      </c>
      <c r="I11" s="12"/>
      <c r="J11" s="12">
        <v>6440</v>
      </c>
      <c r="K11" s="12">
        <v>14818</v>
      </c>
      <c r="L11" s="1"/>
      <c r="M11" s="1"/>
    </row>
    <row r="12" spans="1:13">
      <c r="A12" s="1" t="s">
        <v>32</v>
      </c>
      <c r="B12" s="1"/>
      <c r="C12" s="1"/>
      <c r="D12" s="6">
        <v>100</v>
      </c>
      <c r="E12" s="10">
        <v>4.2</v>
      </c>
      <c r="F12" s="10">
        <v>3</v>
      </c>
      <c r="G12" s="11">
        <v>1134</v>
      </c>
      <c r="H12" s="12">
        <v>4763</v>
      </c>
      <c r="I12" s="12"/>
      <c r="J12" s="12">
        <v>7978</v>
      </c>
      <c r="K12" s="12">
        <v>12741</v>
      </c>
      <c r="L12" s="1"/>
      <c r="M12" s="7"/>
    </row>
    <row r="13" spans="1:13">
      <c r="A13" s="1" t="s">
        <v>33</v>
      </c>
      <c r="B13" s="1"/>
      <c r="C13" s="1"/>
      <c r="D13" s="6">
        <v>50</v>
      </c>
      <c r="E13" s="10">
        <v>0.7</v>
      </c>
      <c r="F13" s="10">
        <v>0.7</v>
      </c>
      <c r="G13" s="11">
        <v>1164</v>
      </c>
      <c r="H13" s="12">
        <v>815</v>
      </c>
      <c r="I13" s="12"/>
      <c r="J13" s="12">
        <v>1983</v>
      </c>
      <c r="K13" s="12">
        <v>2798</v>
      </c>
      <c r="L13" s="1"/>
      <c r="M13" s="12"/>
    </row>
    <row r="14" spans="1:13">
      <c r="A14" s="1" t="s">
        <v>34</v>
      </c>
      <c r="B14" s="1"/>
      <c r="C14" s="1"/>
      <c r="D14" s="6">
        <v>50</v>
      </c>
      <c r="E14" s="10">
        <v>7.4</v>
      </c>
      <c r="F14" s="10">
        <v>6</v>
      </c>
      <c r="G14" s="11">
        <v>845</v>
      </c>
      <c r="H14" s="12">
        <v>6253</v>
      </c>
      <c r="I14" s="12"/>
      <c r="J14" s="12"/>
      <c r="K14" s="12">
        <v>6253</v>
      </c>
      <c r="L14" s="1"/>
      <c r="M14" s="12"/>
    </row>
    <row r="15" spans="1:13">
      <c r="A15" s="1" t="s">
        <v>35</v>
      </c>
      <c r="B15" s="1"/>
      <c r="C15" s="1"/>
      <c r="D15" s="6">
        <v>62</v>
      </c>
      <c r="E15" s="10">
        <v>1.1000000000000001</v>
      </c>
      <c r="F15" s="10">
        <v>1</v>
      </c>
      <c r="G15" s="11">
        <v>1186</v>
      </c>
      <c r="H15" s="12">
        <v>1305</v>
      </c>
      <c r="I15" s="12"/>
      <c r="J15" s="12">
        <v>1216</v>
      </c>
      <c r="K15" s="12">
        <v>2521</v>
      </c>
      <c r="L15" s="1"/>
      <c r="M15" s="12"/>
    </row>
    <row r="16" spans="1:13">
      <c r="A16" s="1" t="s">
        <v>36</v>
      </c>
      <c r="B16" s="1"/>
      <c r="C16" s="1"/>
      <c r="D16" s="6">
        <v>100</v>
      </c>
      <c r="E16" s="10">
        <v>6</v>
      </c>
      <c r="F16" s="10">
        <v>6</v>
      </c>
      <c r="G16" s="11">
        <v>1088</v>
      </c>
      <c r="H16" s="12">
        <v>6528</v>
      </c>
      <c r="I16" s="12"/>
      <c r="J16" s="12"/>
      <c r="K16" s="12">
        <v>6528</v>
      </c>
      <c r="L16" s="1"/>
      <c r="M16" s="12"/>
    </row>
    <row r="17" spans="1:13">
      <c r="A17" s="1" t="s">
        <v>37</v>
      </c>
      <c r="B17" s="1"/>
      <c r="C17" s="1"/>
      <c r="D17" s="6">
        <v>100</v>
      </c>
      <c r="E17" s="10">
        <v>10.8</v>
      </c>
      <c r="F17" s="10">
        <v>4.2</v>
      </c>
      <c r="G17" s="11">
        <v>1088</v>
      </c>
      <c r="H17" s="12">
        <v>11750</v>
      </c>
      <c r="I17" s="12"/>
      <c r="J17" s="12"/>
      <c r="K17" s="12">
        <v>11750</v>
      </c>
      <c r="L17" s="1"/>
      <c r="M17" s="1"/>
    </row>
    <row r="18" spans="1:13">
      <c r="A18" s="1" t="s">
        <v>38</v>
      </c>
      <c r="B18" s="1"/>
      <c r="C18" s="1"/>
      <c r="D18" s="6"/>
      <c r="E18" s="10"/>
      <c r="F18" s="10"/>
      <c r="G18" s="11"/>
      <c r="H18" s="12"/>
      <c r="I18" s="12"/>
      <c r="J18" s="12"/>
      <c r="K18" s="12"/>
      <c r="L18" s="1"/>
      <c r="M18" s="1"/>
    </row>
    <row r="19" spans="1:13">
      <c r="A19" s="1" t="s">
        <v>39</v>
      </c>
      <c r="B19" s="1"/>
      <c r="C19" s="1"/>
      <c r="D19" s="6">
        <v>76</v>
      </c>
      <c r="E19" s="10">
        <v>2.4</v>
      </c>
      <c r="F19" s="10">
        <v>2.2000000000000002</v>
      </c>
      <c r="G19" s="11">
        <v>1200</v>
      </c>
      <c r="H19" s="12">
        <v>2880</v>
      </c>
      <c r="I19" s="12">
        <v>2070</v>
      </c>
      <c r="J19" s="12"/>
      <c r="K19" s="12">
        <v>4950</v>
      </c>
      <c r="L19" s="12">
        <v>484</v>
      </c>
      <c r="M19" s="1"/>
    </row>
    <row r="20" spans="1:13">
      <c r="A20" s="15" t="s">
        <v>40</v>
      </c>
      <c r="B20" s="1"/>
      <c r="C20" s="1"/>
      <c r="D20" s="13" t="s">
        <v>29</v>
      </c>
      <c r="E20" s="10"/>
      <c r="F20" s="10"/>
      <c r="G20" s="11"/>
      <c r="H20" s="14" t="s">
        <v>41</v>
      </c>
      <c r="I20" s="12"/>
      <c r="J20" s="12"/>
      <c r="K20" s="12"/>
      <c r="L20" s="12"/>
      <c r="M20" s="1"/>
    </row>
    <row r="21" spans="1:13">
      <c r="A21" s="1" t="s">
        <v>42</v>
      </c>
      <c r="B21" s="1"/>
      <c r="C21" s="1"/>
      <c r="D21" s="6">
        <v>75</v>
      </c>
      <c r="E21" s="10">
        <v>2.2000000000000002</v>
      </c>
      <c r="F21" s="10">
        <v>2</v>
      </c>
      <c r="G21" s="11">
        <v>1200</v>
      </c>
      <c r="H21" s="12">
        <v>2640</v>
      </c>
      <c r="I21" s="12"/>
      <c r="J21" s="12"/>
      <c r="K21" s="12">
        <v>2640</v>
      </c>
      <c r="L21" s="1"/>
      <c r="M21" s="1"/>
    </row>
    <row r="22" spans="1:13">
      <c r="A22" s="1" t="s">
        <v>43</v>
      </c>
      <c r="B22" s="1"/>
      <c r="C22" s="1"/>
      <c r="D22" s="6">
        <v>62</v>
      </c>
      <c r="E22" s="10">
        <v>1.1000000000000001</v>
      </c>
      <c r="F22" s="10">
        <v>0.5</v>
      </c>
      <c r="G22" s="11">
        <v>1028</v>
      </c>
      <c r="H22" s="12">
        <v>1131</v>
      </c>
      <c r="I22" s="12">
        <v>1338</v>
      </c>
      <c r="J22" s="12"/>
      <c r="K22" s="12">
        <v>2469</v>
      </c>
      <c r="L22" s="1">
        <v>0</v>
      </c>
      <c r="M22" s="1"/>
    </row>
    <row r="23" spans="1:13">
      <c r="A23" s="16" t="s">
        <v>44</v>
      </c>
      <c r="B23" s="16"/>
      <c r="C23" s="16"/>
      <c r="D23" s="17"/>
      <c r="E23" s="18">
        <v>43.7</v>
      </c>
      <c r="F23" s="18">
        <v>29.599999999999998</v>
      </c>
      <c r="G23" s="18"/>
      <c r="H23" s="19">
        <v>47675</v>
      </c>
      <c r="I23" s="19">
        <v>8386</v>
      </c>
      <c r="J23" s="19">
        <v>17617</v>
      </c>
      <c r="K23" s="19">
        <v>73678</v>
      </c>
      <c r="L23" s="19">
        <v>1369</v>
      </c>
      <c r="M23" s="19">
        <v>0</v>
      </c>
    </row>
    <row r="24" spans="1:13">
      <c r="A24" s="20" t="s">
        <v>45</v>
      </c>
      <c r="B24" s="20"/>
      <c r="C24" s="20"/>
      <c r="D24" s="21"/>
      <c r="E24" s="22">
        <v>14.100000000000005</v>
      </c>
      <c r="F24" s="22"/>
      <c r="G24" s="23"/>
      <c r="H24" s="24">
        <v>15176</v>
      </c>
      <c r="I24" s="24">
        <v>7017</v>
      </c>
      <c r="J24" s="24">
        <v>17617</v>
      </c>
      <c r="K24" s="24">
        <v>39810</v>
      </c>
      <c r="L24" s="20"/>
      <c r="M24" s="20"/>
    </row>
    <row r="25" spans="1:13">
      <c r="A25" s="25"/>
      <c r="B25" s="1"/>
      <c r="C25" s="1"/>
      <c r="D25" s="1"/>
      <c r="E25" s="1"/>
      <c r="F25" s="1"/>
      <c r="G25" s="1"/>
      <c r="H25" s="12"/>
      <c r="I25" s="12"/>
      <c r="J25" s="12"/>
      <c r="K25" s="10"/>
      <c r="L25" s="1"/>
      <c r="M25" s="1"/>
    </row>
    <row r="26" spans="1:13">
      <c r="A26" s="1"/>
      <c r="B26" s="1"/>
      <c r="C26" s="1" t="s">
        <v>46</v>
      </c>
      <c r="D26" s="1"/>
      <c r="E26" s="1"/>
      <c r="F26" s="1"/>
      <c r="G26" s="1"/>
      <c r="H26" s="12"/>
      <c r="I26" s="12"/>
      <c r="J26" s="12"/>
      <c r="K26" s="12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2"/>
      <c r="I27" s="12"/>
      <c r="J27" s="12"/>
      <c r="K27" s="12"/>
      <c r="L27" s="1"/>
      <c r="M27" s="1"/>
    </row>
    <row r="28" spans="1:13">
      <c r="A28" s="1" t="s">
        <v>47</v>
      </c>
      <c r="B28" s="1"/>
      <c r="C28" s="1"/>
      <c r="D28" s="1"/>
      <c r="E28" s="1"/>
      <c r="F28" s="1"/>
      <c r="G28" s="1"/>
      <c r="H28" s="1"/>
      <c r="I28" s="1"/>
      <c r="J28" s="2"/>
      <c r="K28" s="2"/>
      <c r="L28" s="1"/>
      <c r="M28" s="1"/>
    </row>
    <row r="29" spans="1:13">
      <c r="A29" s="26" t="s">
        <v>48</v>
      </c>
      <c r="B29" s="26"/>
      <c r="C29" s="26"/>
      <c r="D29" s="26" t="s">
        <v>49</v>
      </c>
      <c r="E29" s="26" t="s">
        <v>50</v>
      </c>
      <c r="F29" s="26"/>
      <c r="G29" s="26" t="s">
        <v>51</v>
      </c>
      <c r="H29" s="1"/>
      <c r="I29" s="1"/>
      <c r="J29" s="2"/>
      <c r="K29" s="27" t="s">
        <v>52</v>
      </c>
      <c r="L29" s="28" t="s">
        <v>53</v>
      </c>
      <c r="M29" s="1"/>
    </row>
    <row r="30" spans="1:13">
      <c r="A30" s="1" t="s">
        <v>54</v>
      </c>
      <c r="B30" s="1"/>
      <c r="C30" s="1"/>
      <c r="D30" s="1"/>
      <c r="E30" s="1"/>
      <c r="F30" s="1"/>
      <c r="G30" s="1"/>
      <c r="H30" s="1"/>
      <c r="I30" s="1"/>
      <c r="J30" s="2"/>
      <c r="K30" s="29" t="s">
        <v>55</v>
      </c>
      <c r="L30" s="30">
        <v>74</v>
      </c>
      <c r="M30" s="1"/>
    </row>
    <row r="31" spans="1:13">
      <c r="A31" s="1" t="s">
        <v>56</v>
      </c>
      <c r="B31" s="1"/>
      <c r="C31" s="1"/>
      <c r="D31" s="1" t="s">
        <v>57</v>
      </c>
      <c r="E31" s="7">
        <v>5.3</v>
      </c>
      <c r="F31" s="7"/>
      <c r="G31" s="7">
        <v>1215</v>
      </c>
      <c r="H31" s="1"/>
      <c r="I31" s="1"/>
      <c r="J31" s="2"/>
      <c r="K31" s="31" t="s">
        <v>58</v>
      </c>
      <c r="L31" s="32">
        <v>26</v>
      </c>
      <c r="M31" s="1"/>
    </row>
    <row r="32" spans="1:13">
      <c r="A32" s="1" t="s">
        <v>59</v>
      </c>
      <c r="B32" s="1"/>
      <c r="C32" s="1"/>
      <c r="D32" s="1"/>
      <c r="E32" s="1"/>
      <c r="F32" s="1"/>
      <c r="G32" s="1"/>
      <c r="H32" s="1"/>
      <c r="I32" s="1"/>
      <c r="J32" s="2"/>
      <c r="K32" s="1"/>
      <c r="L32" s="12"/>
      <c r="M32" s="1"/>
    </row>
    <row r="33" spans="1:13">
      <c r="A33" s="1" t="s">
        <v>60</v>
      </c>
      <c r="B33" s="1"/>
      <c r="C33" s="1"/>
      <c r="D33" s="1" t="s">
        <v>61</v>
      </c>
      <c r="E33" s="12">
        <v>14</v>
      </c>
      <c r="F33" s="7"/>
      <c r="G33" s="7">
        <v>1084</v>
      </c>
      <c r="H33" s="1"/>
      <c r="I33" s="1"/>
      <c r="J33" s="2"/>
      <c r="K33" s="33" t="s">
        <v>62</v>
      </c>
      <c r="L33" s="34">
        <v>1.97</v>
      </c>
      <c r="M33" s="1"/>
    </row>
    <row r="34" spans="1:13">
      <c r="A34" s="1" t="s">
        <v>63</v>
      </c>
      <c r="B34" s="1"/>
      <c r="C34" s="1"/>
      <c r="D34" s="1" t="s">
        <v>61</v>
      </c>
      <c r="E34" s="12">
        <v>30</v>
      </c>
      <c r="F34" s="7"/>
      <c r="G34" s="7"/>
      <c r="H34" s="1"/>
      <c r="I34" s="1"/>
      <c r="J34" s="2"/>
      <c r="K34" s="35" t="s">
        <v>64</v>
      </c>
      <c r="L34" s="36">
        <v>1</v>
      </c>
      <c r="M34" s="1"/>
    </row>
    <row r="35" spans="1:13">
      <c r="A35" s="1" t="s">
        <v>7</v>
      </c>
      <c r="B35" s="1"/>
      <c r="C35" s="1"/>
      <c r="D35" s="1"/>
      <c r="E35" s="12">
        <v>44</v>
      </c>
      <c r="F35" s="7"/>
      <c r="G35" s="7"/>
      <c r="H35" s="1"/>
      <c r="I35" s="1"/>
      <c r="J35" s="1"/>
      <c r="K35" s="37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1"/>
      <c r="M36" s="1"/>
    </row>
    <row r="37" spans="1:13">
      <c r="A37" s="16" t="s">
        <v>65</v>
      </c>
      <c r="B37" s="16"/>
      <c r="C37" s="16" t="s">
        <v>66</v>
      </c>
      <c r="D37" s="16"/>
      <c r="E37" s="16"/>
      <c r="F37" s="16"/>
      <c r="G37" s="16"/>
      <c r="H37" s="1"/>
      <c r="I37" s="1"/>
      <c r="J37" s="2"/>
      <c r="K37" s="2"/>
      <c r="L37" s="1"/>
      <c r="M37" s="1"/>
    </row>
    <row r="38" spans="1:13">
      <c r="A38" s="2" t="s">
        <v>67</v>
      </c>
      <c r="B38" s="4"/>
      <c r="C38" s="38">
        <v>44</v>
      </c>
      <c r="D38" s="39" t="s">
        <v>68</v>
      </c>
      <c r="E38" s="40">
        <v>46</v>
      </c>
      <c r="F38" s="40"/>
      <c r="G38" s="41">
        <v>38</v>
      </c>
      <c r="H38" s="1"/>
      <c r="I38" s="1"/>
      <c r="J38" s="1"/>
      <c r="K38" s="1"/>
      <c r="L38" s="1"/>
      <c r="M38" s="1"/>
    </row>
    <row r="39" spans="1:13">
      <c r="A39" s="40" t="s">
        <v>69</v>
      </c>
      <c r="B39" s="4"/>
      <c r="C39" s="38">
        <v>53</v>
      </c>
      <c r="D39" s="39" t="s">
        <v>68</v>
      </c>
      <c r="E39" s="40">
        <v>81</v>
      </c>
      <c r="F39" s="40"/>
      <c r="G39" s="41">
        <v>30</v>
      </c>
      <c r="H39" s="1"/>
      <c r="I39" s="1"/>
      <c r="J39" s="1"/>
      <c r="K39" s="1"/>
      <c r="L39" s="1"/>
      <c r="M39" s="1"/>
    </row>
    <row r="40" spans="1:13">
      <c r="A40" s="40" t="s">
        <v>70</v>
      </c>
      <c r="B40" s="4"/>
      <c r="C40" s="38">
        <v>62</v>
      </c>
      <c r="D40" s="39" t="s">
        <v>68</v>
      </c>
      <c r="E40" s="40">
        <v>95</v>
      </c>
      <c r="F40" s="40"/>
      <c r="G40" s="41">
        <v>40</v>
      </c>
      <c r="H40" s="1"/>
      <c r="I40" s="1"/>
      <c r="J40" s="1"/>
      <c r="K40" s="1"/>
      <c r="L40" s="1"/>
      <c r="M40" s="1"/>
    </row>
    <row r="41" spans="1:13">
      <c r="A41" s="40"/>
      <c r="B41" s="4"/>
      <c r="C41" s="38"/>
      <c r="D41" s="40"/>
      <c r="E41" s="40"/>
      <c r="F41" s="40"/>
      <c r="G41" s="41"/>
      <c r="H41" s="1"/>
      <c r="I41" s="1"/>
      <c r="J41" s="1"/>
      <c r="K41" s="1"/>
      <c r="L41" s="1"/>
      <c r="M41" s="1"/>
    </row>
    <row r="42" spans="1:13">
      <c r="A42" s="16" t="s">
        <v>71</v>
      </c>
      <c r="B42" s="16"/>
      <c r="C42" s="16"/>
      <c r="D42" s="16"/>
      <c r="E42" s="16"/>
      <c r="F42" s="16"/>
      <c r="G42" s="16"/>
      <c r="H42" s="1"/>
      <c r="I42" s="1" t="s">
        <v>72</v>
      </c>
      <c r="J42" s="1"/>
      <c r="K42" s="1"/>
      <c r="L42" s="1"/>
      <c r="M42" s="1"/>
    </row>
    <row r="43" spans="1:13">
      <c r="A43" s="40" t="s">
        <v>73</v>
      </c>
      <c r="B43" s="40"/>
      <c r="C43" s="40"/>
      <c r="D43" s="40"/>
      <c r="E43" s="40"/>
      <c r="F43" s="40"/>
      <c r="G43" s="42">
        <v>1890</v>
      </c>
      <c r="H43" s="43" t="s">
        <v>74</v>
      </c>
      <c r="I43" s="44">
        <v>4670.1900000000005</v>
      </c>
      <c r="J43" s="12"/>
      <c r="K43" s="1"/>
      <c r="L43" s="1"/>
      <c r="M43" s="1"/>
    </row>
    <row r="44" spans="1:13">
      <c r="A44" s="40" t="s">
        <v>75</v>
      </c>
      <c r="B44" s="40"/>
      <c r="C44" s="40"/>
      <c r="D44" s="40"/>
      <c r="E44" s="40"/>
      <c r="F44" s="40"/>
      <c r="G44" s="45">
        <v>49.7</v>
      </c>
      <c r="H44" s="43"/>
      <c r="I44" s="44"/>
      <c r="J44" s="12"/>
      <c r="K44" s="1"/>
      <c r="L44" s="1"/>
      <c r="M44" s="1"/>
    </row>
    <row r="45" spans="1:13">
      <c r="A45" s="40" t="s">
        <v>76</v>
      </c>
      <c r="B45" s="40"/>
      <c r="C45" s="40"/>
      <c r="D45" s="40"/>
      <c r="E45" s="40"/>
      <c r="F45" s="40"/>
      <c r="G45" s="46">
        <v>93933</v>
      </c>
      <c r="H45" s="43"/>
      <c r="I45" s="44">
        <v>232108</v>
      </c>
      <c r="J45" s="12"/>
      <c r="K45" s="1"/>
      <c r="L45" s="1"/>
      <c r="M45" s="1"/>
    </row>
    <row r="46" spans="1:13">
      <c r="A46" s="40" t="s">
        <v>77</v>
      </c>
      <c r="B46" s="40"/>
      <c r="C46" s="40"/>
      <c r="D46" s="40"/>
      <c r="E46" s="40"/>
      <c r="F46" s="40"/>
      <c r="G46" s="46">
        <v>20255</v>
      </c>
      <c r="H46" s="43"/>
      <c r="I46" s="44">
        <v>50050</v>
      </c>
      <c r="J46" s="12"/>
      <c r="K46" s="1"/>
      <c r="L46" s="1"/>
      <c r="M46" s="1"/>
    </row>
    <row r="47" spans="1:13">
      <c r="A47" s="40" t="s">
        <v>78</v>
      </c>
      <c r="B47" s="40"/>
      <c r="C47" s="40"/>
      <c r="D47" s="40"/>
      <c r="E47" s="40"/>
      <c r="F47" s="40"/>
      <c r="G47" s="46">
        <v>54123</v>
      </c>
      <c r="H47" s="43"/>
      <c r="I47" s="44">
        <v>133738</v>
      </c>
      <c r="J47" s="12"/>
      <c r="K47" s="1"/>
      <c r="L47" s="1"/>
      <c r="M47" s="1"/>
    </row>
    <row r="48" spans="1:13">
      <c r="A48" s="40"/>
      <c r="B48" s="40"/>
      <c r="C48" s="40"/>
      <c r="D48" s="40"/>
      <c r="E48" s="40"/>
      <c r="F48" s="40"/>
      <c r="G48" s="45"/>
      <c r="H48" s="43"/>
      <c r="I48" s="43"/>
      <c r="J48" s="1"/>
      <c r="K48" s="1"/>
      <c r="L48" s="1"/>
      <c r="M48" s="1"/>
    </row>
    <row r="49" spans="1:13">
      <c r="A49" s="40" t="s">
        <v>79</v>
      </c>
      <c r="B49" s="40"/>
      <c r="C49" s="40"/>
      <c r="D49" s="40"/>
      <c r="E49" s="40"/>
      <c r="F49" s="40"/>
      <c r="G49" s="45">
        <v>38.983068783068781</v>
      </c>
      <c r="H49" s="43"/>
      <c r="I49" s="43"/>
      <c r="J49" s="1"/>
      <c r="K49" s="1"/>
      <c r="L49" s="1"/>
      <c r="M49" s="1"/>
    </row>
    <row r="50" spans="1:13">
      <c r="A50" s="20" t="s">
        <v>80</v>
      </c>
      <c r="B50" s="20"/>
      <c r="C50" s="20"/>
      <c r="D50" s="20"/>
      <c r="E50" s="20"/>
      <c r="F50" s="20"/>
      <c r="G50" s="47">
        <v>21.063492063492063</v>
      </c>
      <c r="H50" s="43"/>
      <c r="I50" s="43"/>
      <c r="J50" s="1"/>
      <c r="K50" s="1"/>
      <c r="L50" s="1"/>
      <c r="M50" s="1"/>
    </row>
    <row r="51" spans="1:13">
      <c r="A51" s="48" t="s">
        <v>81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3"/>
  <sheetViews>
    <sheetView workbookViewId="0">
      <selection activeCell="E38" sqref="E38"/>
    </sheetView>
  </sheetViews>
  <sheetFormatPr defaultRowHeight="15"/>
  <sheetData>
    <row r="1" spans="1:13">
      <c r="A1" s="1" t="s">
        <v>0</v>
      </c>
      <c r="B1" s="1" t="s">
        <v>82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 t="s">
        <v>83</v>
      </c>
      <c r="C2" s="1"/>
      <c r="D2" s="2"/>
      <c r="E2" s="2"/>
      <c r="F2" s="2"/>
      <c r="G2" s="2"/>
      <c r="H2" s="1"/>
      <c r="I2" s="1" t="s">
        <v>84</v>
      </c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3" t="s">
        <v>5</v>
      </c>
      <c r="B4" s="3"/>
      <c r="C4" s="3"/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/>
    </row>
    <row r="5" spans="1:13">
      <c r="A5" s="4"/>
      <c r="B5" s="4"/>
      <c r="C5" s="4"/>
      <c r="D5" s="4" t="s">
        <v>15</v>
      </c>
      <c r="E5" s="4" t="s">
        <v>16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18</v>
      </c>
      <c r="K5" s="4" t="s">
        <v>18</v>
      </c>
      <c r="L5" s="4" t="s">
        <v>20</v>
      </c>
      <c r="M5" s="4" t="s">
        <v>21</v>
      </c>
    </row>
    <row r="6" spans="1:13">
      <c r="A6" s="4"/>
      <c r="B6" s="4"/>
      <c r="C6" s="4"/>
      <c r="D6" s="4" t="s">
        <v>22</v>
      </c>
      <c r="E6" s="4"/>
      <c r="F6" s="4"/>
      <c r="G6" s="4"/>
      <c r="H6" s="4" t="s">
        <v>23</v>
      </c>
      <c r="I6" s="4" t="s">
        <v>18</v>
      </c>
      <c r="J6" s="4" t="s">
        <v>23</v>
      </c>
      <c r="K6" s="4" t="s">
        <v>23</v>
      </c>
      <c r="L6" s="4"/>
      <c r="M6" s="4"/>
    </row>
    <row r="7" spans="1:13">
      <c r="A7" s="5"/>
      <c r="B7" s="5"/>
      <c r="C7" s="5"/>
      <c r="D7" s="5"/>
      <c r="E7" s="5"/>
      <c r="F7" s="5"/>
      <c r="G7" s="5"/>
      <c r="H7" s="5"/>
      <c r="I7" s="5" t="s">
        <v>23</v>
      </c>
      <c r="J7" s="5"/>
      <c r="K7" s="5"/>
      <c r="L7" s="5"/>
      <c r="M7" s="5"/>
    </row>
    <row r="8" spans="1:13">
      <c r="A8" s="1" t="s">
        <v>24</v>
      </c>
      <c r="B8" s="1"/>
      <c r="C8" s="1"/>
      <c r="D8" s="6">
        <v>55</v>
      </c>
      <c r="E8" s="10">
        <v>3.7</v>
      </c>
      <c r="F8" s="10">
        <v>1.8</v>
      </c>
      <c r="G8" s="11">
        <v>1456</v>
      </c>
      <c r="H8" s="14">
        <v>5387</v>
      </c>
      <c r="I8" s="12"/>
      <c r="J8" s="12"/>
      <c r="K8" s="12">
        <v>5387</v>
      </c>
      <c r="L8" s="12"/>
      <c r="M8" s="1"/>
    </row>
    <row r="9" spans="1:13">
      <c r="A9" s="1" t="s">
        <v>85</v>
      </c>
      <c r="B9" s="1"/>
      <c r="C9" s="1"/>
      <c r="D9" s="6">
        <v>100</v>
      </c>
      <c r="E9" s="10">
        <v>0.8</v>
      </c>
      <c r="F9" s="10">
        <v>0.8</v>
      </c>
      <c r="G9" s="11">
        <v>1377</v>
      </c>
      <c r="H9" s="14">
        <v>1102</v>
      </c>
      <c r="I9" s="12">
        <v>8047</v>
      </c>
      <c r="J9" s="12"/>
      <c r="K9" s="12">
        <v>9149</v>
      </c>
      <c r="L9" s="12">
        <v>1957</v>
      </c>
      <c r="M9" s="1"/>
    </row>
    <row r="10" spans="1:13">
      <c r="A10" s="1" t="s">
        <v>86</v>
      </c>
      <c r="B10" s="1"/>
      <c r="C10" s="1"/>
      <c r="D10" s="6">
        <v>100</v>
      </c>
      <c r="E10" s="10">
        <v>6.7</v>
      </c>
      <c r="F10" s="10">
        <v>2.9</v>
      </c>
      <c r="G10" s="11">
        <v>1377</v>
      </c>
      <c r="H10" s="14">
        <v>9226</v>
      </c>
      <c r="I10" s="12"/>
      <c r="J10" s="12"/>
      <c r="K10" s="12">
        <v>9226</v>
      </c>
      <c r="L10" s="12"/>
      <c r="M10" s="7"/>
    </row>
    <row r="11" spans="1:13">
      <c r="A11" s="1" t="s">
        <v>32</v>
      </c>
      <c r="B11" s="1"/>
      <c r="C11" s="1"/>
      <c r="D11" s="6">
        <v>100</v>
      </c>
      <c r="E11" s="10">
        <v>5.2</v>
      </c>
      <c r="F11" s="10">
        <v>1.8</v>
      </c>
      <c r="G11" s="11">
        <v>1304</v>
      </c>
      <c r="H11" s="14">
        <v>6781</v>
      </c>
      <c r="I11" s="12"/>
      <c r="J11" s="12">
        <v>19668</v>
      </c>
      <c r="K11" s="12">
        <v>26449</v>
      </c>
      <c r="L11" s="12"/>
      <c r="M11" s="12"/>
    </row>
    <row r="12" spans="1:13">
      <c r="A12" s="1" t="s">
        <v>34</v>
      </c>
      <c r="B12" s="1"/>
      <c r="C12" s="1"/>
      <c r="D12" s="6">
        <v>87</v>
      </c>
      <c r="E12" s="10">
        <v>7.3</v>
      </c>
      <c r="F12" s="10">
        <v>2</v>
      </c>
      <c r="G12" s="11">
        <v>1383</v>
      </c>
      <c r="H12" s="14">
        <v>10096</v>
      </c>
      <c r="I12" s="12"/>
      <c r="J12" s="12"/>
      <c r="K12" s="12">
        <v>10096</v>
      </c>
      <c r="L12" s="12"/>
      <c r="M12" s="12"/>
    </row>
    <row r="13" spans="1:13">
      <c r="A13" s="15" t="s">
        <v>87</v>
      </c>
      <c r="B13" s="1"/>
      <c r="C13" s="1"/>
      <c r="D13" s="13" t="s">
        <v>88</v>
      </c>
      <c r="E13" s="10"/>
      <c r="F13" s="10"/>
      <c r="G13" s="11"/>
      <c r="H13" s="14"/>
      <c r="I13" s="12"/>
      <c r="J13" s="14" t="s">
        <v>89</v>
      </c>
      <c r="K13" s="12"/>
      <c r="L13" s="12"/>
      <c r="M13" s="12"/>
    </row>
    <row r="14" spans="1:13">
      <c r="A14" s="1" t="s">
        <v>90</v>
      </c>
      <c r="B14" s="1"/>
      <c r="C14" s="1"/>
      <c r="D14" s="6">
        <v>81</v>
      </c>
      <c r="E14" s="10"/>
      <c r="F14" s="10"/>
      <c r="G14" s="11"/>
      <c r="H14" s="14"/>
      <c r="I14" s="12"/>
      <c r="J14" s="12"/>
      <c r="K14" s="12"/>
      <c r="L14" s="12"/>
      <c r="M14" s="1"/>
    </row>
    <row r="15" spans="1:13">
      <c r="A15" s="1" t="s">
        <v>91</v>
      </c>
      <c r="B15" s="1"/>
      <c r="C15" s="1"/>
      <c r="D15" s="13" t="s">
        <v>92</v>
      </c>
      <c r="E15" s="10"/>
      <c r="F15" s="10"/>
      <c r="G15" s="11"/>
      <c r="H15" s="14" t="s">
        <v>93</v>
      </c>
      <c r="I15" s="12"/>
      <c r="J15" s="12"/>
      <c r="K15" s="12"/>
      <c r="L15" s="12"/>
      <c r="M15" s="1"/>
    </row>
    <row r="16" spans="1:13">
      <c r="A16" s="16" t="s">
        <v>44</v>
      </c>
      <c r="B16" s="16"/>
      <c r="C16" s="16"/>
      <c r="D16" s="17"/>
      <c r="E16" s="18">
        <v>23.67</v>
      </c>
      <c r="F16" s="18">
        <v>9.27</v>
      </c>
      <c r="G16" s="19"/>
      <c r="H16" s="19">
        <v>32592</v>
      </c>
      <c r="I16" s="19">
        <v>8047</v>
      </c>
      <c r="J16" s="19">
        <v>19668</v>
      </c>
      <c r="K16" s="19">
        <v>60307</v>
      </c>
      <c r="L16" s="19">
        <v>1957</v>
      </c>
      <c r="M16" s="19">
        <v>0</v>
      </c>
    </row>
    <row r="17" spans="1:13">
      <c r="A17" s="20" t="s">
        <v>45</v>
      </c>
      <c r="B17" s="20"/>
      <c r="C17" s="20"/>
      <c r="D17" s="21"/>
      <c r="E17" s="22">
        <v>14.400000000000002</v>
      </c>
      <c r="F17" s="22"/>
      <c r="G17" s="24"/>
      <c r="H17" s="24">
        <v>20370</v>
      </c>
      <c r="I17" s="24">
        <v>6090</v>
      </c>
      <c r="J17" s="24">
        <v>19668</v>
      </c>
      <c r="K17" s="24">
        <v>46128</v>
      </c>
      <c r="L17" s="24"/>
      <c r="M17" s="20"/>
    </row>
    <row r="18" spans="1:13">
      <c r="A18" s="25"/>
      <c r="B18" s="1"/>
      <c r="C18" s="1"/>
      <c r="D18" s="1"/>
      <c r="E18" s="1"/>
      <c r="F18" s="1"/>
      <c r="G18" s="12"/>
      <c r="H18" s="12"/>
      <c r="I18" s="12"/>
      <c r="J18" s="12"/>
      <c r="K18" s="12"/>
      <c r="L18" s="12"/>
      <c r="M18" s="1"/>
    </row>
    <row r="19" spans="1:13">
      <c r="A19" s="1"/>
      <c r="B19" s="1"/>
      <c r="C19" s="1" t="s">
        <v>46</v>
      </c>
      <c r="D19" s="1"/>
      <c r="E19" s="1"/>
      <c r="F19" s="1"/>
      <c r="G19" s="1"/>
      <c r="H19" s="12"/>
      <c r="I19" s="1"/>
      <c r="J19" s="7"/>
      <c r="K19" s="10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2"/>
      <c r="K20" s="7"/>
      <c r="L20" s="1"/>
      <c r="M20" s="1"/>
    </row>
    <row r="21" spans="1:13">
      <c r="A21" s="1" t="s">
        <v>47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26" t="s">
        <v>48</v>
      </c>
      <c r="B22" s="26"/>
      <c r="C22" s="26"/>
      <c r="D22" s="26" t="s">
        <v>49</v>
      </c>
      <c r="E22" s="26" t="s">
        <v>50</v>
      </c>
      <c r="F22" s="26"/>
      <c r="G22" s="26" t="s">
        <v>51</v>
      </c>
      <c r="H22" s="1"/>
      <c r="I22" s="1"/>
      <c r="J22" s="2"/>
      <c r="K22" s="27" t="s">
        <v>52</v>
      </c>
      <c r="L22" s="28" t="s">
        <v>53</v>
      </c>
      <c r="M22" s="1"/>
    </row>
    <row r="23" spans="1:13">
      <c r="A23" s="1" t="s">
        <v>54</v>
      </c>
      <c r="B23" s="1"/>
      <c r="C23" s="1"/>
      <c r="D23" s="1"/>
      <c r="E23" s="1"/>
      <c r="F23" s="1"/>
      <c r="G23" s="1"/>
      <c r="H23" s="1"/>
      <c r="I23" s="1"/>
      <c r="J23" s="2"/>
      <c r="K23" s="49" t="s">
        <v>94</v>
      </c>
      <c r="L23" s="50">
        <v>97</v>
      </c>
      <c r="M23" s="1"/>
    </row>
    <row r="24" spans="1:13">
      <c r="A24" s="1" t="s">
        <v>95</v>
      </c>
      <c r="B24" s="1"/>
      <c r="C24" s="1"/>
      <c r="D24" s="1" t="s">
        <v>96</v>
      </c>
      <c r="E24" s="7">
        <v>3855</v>
      </c>
      <c r="F24" s="7"/>
      <c r="G24" s="7"/>
      <c r="H24" s="1"/>
      <c r="I24" s="1"/>
      <c r="J24" s="2"/>
      <c r="K24" s="51" t="s">
        <v>97</v>
      </c>
      <c r="L24" s="52">
        <v>3</v>
      </c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2"/>
      <c r="L25" s="1"/>
      <c r="M25" s="1"/>
    </row>
    <row r="26" spans="1:13">
      <c r="A26" s="1" t="s">
        <v>59</v>
      </c>
      <c r="B26" s="1"/>
      <c r="C26" s="1"/>
      <c r="D26" s="1"/>
      <c r="E26" s="1"/>
      <c r="F26" s="1"/>
      <c r="G26" s="1"/>
      <c r="H26" s="1"/>
      <c r="I26" s="1"/>
      <c r="J26" s="2"/>
      <c r="K26" s="53" t="s">
        <v>62</v>
      </c>
      <c r="L26" s="54">
        <v>1.3</v>
      </c>
      <c r="M26" s="1"/>
    </row>
    <row r="27" spans="1:13">
      <c r="A27" s="1" t="s">
        <v>60</v>
      </c>
      <c r="B27" s="1"/>
      <c r="C27" s="1"/>
      <c r="D27" s="1" t="s">
        <v>61</v>
      </c>
      <c r="E27" s="12">
        <v>15</v>
      </c>
      <c r="F27" s="7"/>
      <c r="G27" s="7">
        <v>1358</v>
      </c>
      <c r="H27" s="1"/>
      <c r="I27" s="1"/>
      <c r="J27" s="2"/>
      <c r="K27" s="55" t="s">
        <v>64</v>
      </c>
      <c r="L27" s="56">
        <v>1</v>
      </c>
      <c r="M27" s="1"/>
    </row>
    <row r="28" spans="1:13">
      <c r="A28" s="1" t="s">
        <v>63</v>
      </c>
      <c r="B28" s="1"/>
      <c r="C28" s="1"/>
      <c r="D28" s="1" t="s">
        <v>61</v>
      </c>
      <c r="E28" s="12">
        <v>9</v>
      </c>
      <c r="F28" s="7"/>
      <c r="G28" s="7"/>
      <c r="H28" s="1"/>
      <c r="I28" s="1"/>
      <c r="J28" s="2"/>
      <c r="K28" s="2"/>
      <c r="L28" s="1"/>
      <c r="M28" s="1"/>
    </row>
    <row r="29" spans="1:13">
      <c r="A29" s="1" t="s">
        <v>7</v>
      </c>
      <c r="B29" s="1"/>
      <c r="C29" s="1"/>
      <c r="D29" s="1"/>
      <c r="E29" s="12">
        <v>24</v>
      </c>
      <c r="F29" s="7"/>
      <c r="G29" s="7"/>
      <c r="H29" s="1"/>
      <c r="I29" s="1"/>
      <c r="J29" s="2"/>
      <c r="K29" s="2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1"/>
      <c r="M30" s="1"/>
    </row>
    <row r="31" spans="1:13">
      <c r="A31" s="16" t="s">
        <v>65</v>
      </c>
      <c r="B31" s="16"/>
      <c r="C31" s="16" t="s">
        <v>66</v>
      </c>
      <c r="D31" s="16"/>
      <c r="E31" s="16"/>
      <c r="F31" s="16"/>
      <c r="G31" s="16"/>
      <c r="H31" s="1"/>
      <c r="I31" s="1"/>
      <c r="J31" s="2"/>
      <c r="K31" s="2"/>
      <c r="L31" s="1"/>
      <c r="M31" s="1"/>
    </row>
    <row r="32" spans="1:13">
      <c r="A32" s="2" t="s">
        <v>98</v>
      </c>
      <c r="B32" s="4"/>
      <c r="C32" s="57">
        <v>77</v>
      </c>
      <c r="D32" s="39" t="s">
        <v>68</v>
      </c>
      <c r="E32" s="40">
        <v>440</v>
      </c>
      <c r="F32" s="40"/>
      <c r="G32" s="41">
        <v>44.7</v>
      </c>
      <c r="H32" s="1"/>
      <c r="I32" s="1"/>
      <c r="J32" s="1"/>
      <c r="K32" s="1"/>
      <c r="L32" s="1"/>
      <c r="M32" s="1"/>
    </row>
    <row r="33" spans="1:13">
      <c r="A33" s="2"/>
      <c r="B33" s="2"/>
      <c r="C33" s="2"/>
      <c r="D33" s="2"/>
      <c r="E33" s="2"/>
      <c r="F33" s="2"/>
      <c r="G33" s="2"/>
      <c r="H33" s="1"/>
      <c r="I33" s="1"/>
      <c r="J33" s="1"/>
      <c r="K33" s="1"/>
      <c r="L33" s="1"/>
      <c r="M33" s="1"/>
    </row>
    <row r="34" spans="1:13">
      <c r="A34" s="16" t="s">
        <v>71</v>
      </c>
      <c r="B34" s="16"/>
      <c r="C34" s="16"/>
      <c r="D34" s="16"/>
      <c r="E34" s="16"/>
      <c r="F34" s="16"/>
      <c r="G34" s="16"/>
      <c r="H34" s="1"/>
      <c r="I34" s="1" t="s">
        <v>72</v>
      </c>
      <c r="J34" s="1"/>
      <c r="K34" s="1"/>
      <c r="L34" s="1"/>
      <c r="M34" s="1"/>
    </row>
    <row r="35" spans="1:13">
      <c r="A35" s="40" t="s">
        <v>73</v>
      </c>
      <c r="B35" s="40"/>
      <c r="C35" s="40"/>
      <c r="D35" s="40"/>
      <c r="E35" s="40"/>
      <c r="F35" s="40"/>
      <c r="G35" s="42">
        <v>6312</v>
      </c>
      <c r="H35" s="43"/>
      <c r="I35" s="44">
        <v>15596.952000000001</v>
      </c>
      <c r="J35" s="12"/>
      <c r="K35" s="12"/>
      <c r="L35" s="1"/>
      <c r="M35" s="1"/>
    </row>
    <row r="36" spans="1:13">
      <c r="A36" s="40" t="s">
        <v>75</v>
      </c>
      <c r="B36" s="40"/>
      <c r="C36" s="40"/>
      <c r="D36" s="40"/>
      <c r="E36" s="40"/>
      <c r="F36" s="40"/>
      <c r="G36" s="45">
        <v>34.299999999999997</v>
      </c>
      <c r="H36" s="43"/>
      <c r="I36" s="44"/>
      <c r="J36" s="12"/>
      <c r="K36" s="12"/>
      <c r="L36" s="1"/>
      <c r="M36" s="1"/>
    </row>
    <row r="37" spans="1:13">
      <c r="A37" s="40" t="s">
        <v>76</v>
      </c>
      <c r="B37" s="40"/>
      <c r="C37" s="40"/>
      <c r="D37" s="40"/>
      <c r="E37" s="40"/>
      <c r="F37" s="40"/>
      <c r="G37" s="46">
        <v>216502</v>
      </c>
      <c r="H37" s="43"/>
      <c r="I37" s="44">
        <v>534976.44200000004</v>
      </c>
      <c r="J37" s="12"/>
      <c r="K37" s="12"/>
      <c r="L37" s="1"/>
      <c r="M37" s="1"/>
    </row>
    <row r="38" spans="1:13">
      <c r="A38" s="40" t="s">
        <v>77</v>
      </c>
      <c r="B38" s="40"/>
      <c r="C38" s="40"/>
      <c r="D38" s="40"/>
      <c r="E38" s="40"/>
      <c r="F38" s="40"/>
      <c r="G38" s="46">
        <v>156195</v>
      </c>
      <c r="H38" s="43"/>
      <c r="I38" s="44">
        <v>385957.84500000003</v>
      </c>
      <c r="J38" s="12"/>
      <c r="K38" s="12"/>
      <c r="L38" s="1"/>
      <c r="M38" s="1"/>
    </row>
    <row r="39" spans="1:13">
      <c r="A39" s="40" t="s">
        <v>78</v>
      </c>
      <c r="B39" s="40"/>
      <c r="C39" s="40"/>
      <c r="D39" s="40"/>
      <c r="E39" s="40"/>
      <c r="F39" s="40"/>
      <c r="G39" s="46">
        <v>170374</v>
      </c>
      <c r="H39" s="43"/>
      <c r="I39" s="44">
        <v>420994.15400000004</v>
      </c>
      <c r="J39" s="12"/>
      <c r="K39" s="12"/>
      <c r="L39" s="1"/>
      <c r="M39" s="1"/>
    </row>
    <row r="40" spans="1:13">
      <c r="A40" s="40"/>
      <c r="B40" s="40"/>
      <c r="C40" s="40"/>
      <c r="D40" s="40"/>
      <c r="E40" s="40"/>
      <c r="F40" s="40"/>
      <c r="G40" s="45"/>
      <c r="H40" s="43"/>
      <c r="I40" s="43"/>
      <c r="J40" s="1"/>
      <c r="K40" s="12"/>
      <c r="L40" s="1"/>
      <c r="M40" s="1"/>
    </row>
    <row r="41" spans="1:13">
      <c r="A41" s="40" t="s">
        <v>79</v>
      </c>
      <c r="B41" s="40"/>
      <c r="C41" s="40"/>
      <c r="D41" s="40"/>
      <c r="E41" s="40"/>
      <c r="F41" s="40"/>
      <c r="G41" s="45">
        <v>9.5543409378960718</v>
      </c>
      <c r="H41" s="43"/>
      <c r="I41" s="43"/>
      <c r="J41" s="1"/>
      <c r="K41" s="12"/>
      <c r="L41" s="1"/>
      <c r="M41" s="1"/>
    </row>
    <row r="42" spans="1:13">
      <c r="A42" s="20" t="s">
        <v>80</v>
      </c>
      <c r="B42" s="20"/>
      <c r="C42" s="20"/>
      <c r="D42" s="20"/>
      <c r="E42" s="20"/>
      <c r="F42" s="20"/>
      <c r="G42" s="47">
        <v>7.3079847908745244</v>
      </c>
      <c r="H42" s="43"/>
      <c r="I42" s="43"/>
      <c r="J42" s="1"/>
      <c r="K42" s="12"/>
      <c r="L42" s="1"/>
      <c r="M42" s="1"/>
    </row>
    <row r="43" spans="1:13">
      <c r="A43" s="48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1"/>
  <sheetViews>
    <sheetView workbookViewId="0">
      <selection sqref="A1:M51"/>
    </sheetView>
  </sheetViews>
  <sheetFormatPr defaultRowHeight="15"/>
  <sheetData>
    <row r="1" spans="1:13">
      <c r="A1" s="1" t="s">
        <v>0</v>
      </c>
      <c r="B1" s="1" t="s">
        <v>99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>
      <c r="A2" s="1"/>
      <c r="B2" s="1" t="s">
        <v>100</v>
      </c>
      <c r="C2" s="2"/>
      <c r="D2" s="1" t="s">
        <v>101</v>
      </c>
      <c r="E2" s="2"/>
      <c r="F2" s="2"/>
      <c r="G2" s="2"/>
      <c r="H2" s="58" t="s">
        <v>102</v>
      </c>
      <c r="I2" s="58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3" t="s">
        <v>5</v>
      </c>
      <c r="B4" s="3"/>
      <c r="C4" s="3"/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/>
    </row>
    <row r="5" spans="1:13">
      <c r="A5" s="4"/>
      <c r="B5" s="4"/>
      <c r="C5" s="4"/>
      <c r="D5" s="4" t="s">
        <v>15</v>
      </c>
      <c r="E5" s="4" t="s">
        <v>16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18</v>
      </c>
      <c r="K5" s="4" t="s">
        <v>18</v>
      </c>
      <c r="L5" s="4" t="s">
        <v>20</v>
      </c>
      <c r="M5" s="4" t="s">
        <v>21</v>
      </c>
    </row>
    <row r="6" spans="1:13">
      <c r="A6" s="4"/>
      <c r="B6" s="4"/>
      <c r="C6" s="4"/>
      <c r="D6" s="4" t="s">
        <v>22</v>
      </c>
      <c r="E6" s="4"/>
      <c r="F6" s="4"/>
      <c r="G6" s="4"/>
      <c r="H6" s="4" t="s">
        <v>23</v>
      </c>
      <c r="I6" s="4" t="s">
        <v>18</v>
      </c>
      <c r="J6" s="4" t="s">
        <v>23</v>
      </c>
      <c r="K6" s="4" t="s">
        <v>23</v>
      </c>
      <c r="L6" s="4"/>
      <c r="M6" s="4"/>
    </row>
    <row r="7" spans="1:13">
      <c r="A7" s="5"/>
      <c r="B7" s="5"/>
      <c r="C7" s="5"/>
      <c r="D7" s="5"/>
      <c r="E7" s="5"/>
      <c r="F7" s="5"/>
      <c r="G7" s="5"/>
      <c r="H7" s="5"/>
      <c r="I7" s="5" t="s">
        <v>23</v>
      </c>
      <c r="J7" s="5"/>
      <c r="K7" s="5"/>
      <c r="L7" s="5"/>
      <c r="M7" s="5"/>
    </row>
    <row r="8" spans="1:13">
      <c r="A8" s="1" t="s">
        <v>103</v>
      </c>
      <c r="B8" s="1"/>
      <c r="C8" s="1"/>
      <c r="D8" s="6">
        <v>100</v>
      </c>
      <c r="E8" s="10">
        <v>7.6</v>
      </c>
      <c r="F8" s="10">
        <v>6.4</v>
      </c>
      <c r="G8" s="11">
        <v>1200</v>
      </c>
      <c r="H8" s="12">
        <v>9120</v>
      </c>
      <c r="I8" s="1"/>
      <c r="J8" s="12">
        <v>3209</v>
      </c>
      <c r="K8" s="12">
        <v>12329</v>
      </c>
      <c r="L8" s="1"/>
      <c r="M8" s="1"/>
    </row>
    <row r="9" spans="1:13">
      <c r="A9" s="1" t="s">
        <v>104</v>
      </c>
      <c r="B9" s="1"/>
      <c r="C9" s="1"/>
      <c r="D9" s="6">
        <v>63</v>
      </c>
      <c r="E9" s="10">
        <v>0.9</v>
      </c>
      <c r="F9" s="10">
        <v>0.9</v>
      </c>
      <c r="G9" s="11">
        <v>1200</v>
      </c>
      <c r="H9" s="12">
        <v>1080</v>
      </c>
      <c r="I9" s="1">
        <v>10982</v>
      </c>
      <c r="J9" s="12"/>
      <c r="K9" s="12">
        <v>12062</v>
      </c>
      <c r="L9" s="12">
        <v>662</v>
      </c>
      <c r="M9" s="1"/>
    </row>
    <row r="10" spans="1:13">
      <c r="A10" s="1" t="s">
        <v>105</v>
      </c>
      <c r="B10" s="1"/>
      <c r="C10" s="1"/>
      <c r="D10" s="13" t="s">
        <v>106</v>
      </c>
      <c r="E10" s="59" t="s">
        <v>107</v>
      </c>
      <c r="F10" s="10"/>
      <c r="G10" s="11"/>
      <c r="H10" s="12"/>
      <c r="I10" s="1"/>
      <c r="J10" s="12"/>
      <c r="K10" s="12"/>
      <c r="L10" s="1"/>
      <c r="M10" s="1"/>
    </row>
    <row r="11" spans="1:13">
      <c r="A11" s="1" t="s">
        <v>108</v>
      </c>
      <c r="B11" s="1"/>
      <c r="C11" s="1"/>
      <c r="D11" s="13" t="s">
        <v>109</v>
      </c>
      <c r="E11" s="10"/>
      <c r="F11" s="10"/>
      <c r="G11" s="11"/>
      <c r="H11" s="12"/>
      <c r="I11" s="15" t="s">
        <v>110</v>
      </c>
      <c r="J11" s="12"/>
      <c r="K11" s="12"/>
      <c r="L11" s="1"/>
      <c r="M11" s="1"/>
    </row>
    <row r="12" spans="1:13">
      <c r="A12" s="1" t="s">
        <v>111</v>
      </c>
      <c r="B12" s="1"/>
      <c r="C12" s="1"/>
      <c r="D12" s="6">
        <v>100</v>
      </c>
      <c r="E12" s="10">
        <v>15.9</v>
      </c>
      <c r="F12" s="10">
        <v>1.8</v>
      </c>
      <c r="G12" s="11">
        <v>1386</v>
      </c>
      <c r="H12" s="12">
        <v>22037</v>
      </c>
      <c r="I12" s="1"/>
      <c r="J12" s="12"/>
      <c r="K12" s="12">
        <v>22037</v>
      </c>
      <c r="L12" s="1"/>
      <c r="M12" s="1"/>
    </row>
    <row r="13" spans="1:13">
      <c r="A13" s="1" t="s">
        <v>112</v>
      </c>
      <c r="B13" s="1"/>
      <c r="C13" s="1"/>
      <c r="D13" s="6">
        <v>100</v>
      </c>
      <c r="E13" s="10">
        <v>26.1</v>
      </c>
      <c r="F13" s="10">
        <v>2.6</v>
      </c>
      <c r="G13" s="11">
        <v>929</v>
      </c>
      <c r="H13" s="12">
        <v>24247</v>
      </c>
      <c r="I13" s="1"/>
      <c r="J13" s="12">
        <v>12235</v>
      </c>
      <c r="K13" s="12">
        <v>36482</v>
      </c>
      <c r="L13" s="1"/>
      <c r="M13" s="12">
        <v>3615</v>
      </c>
    </row>
    <row r="14" spans="1:13">
      <c r="A14" s="1" t="s">
        <v>32</v>
      </c>
      <c r="B14" s="1"/>
      <c r="C14" s="1"/>
      <c r="D14" s="6">
        <v>100</v>
      </c>
      <c r="E14" s="10">
        <v>6.5</v>
      </c>
      <c r="F14" s="10">
        <v>4.9000000000000004</v>
      </c>
      <c r="G14" s="11">
        <v>1200</v>
      </c>
      <c r="H14" s="12">
        <v>7800</v>
      </c>
      <c r="I14" s="1"/>
      <c r="J14" s="12">
        <v>17881</v>
      </c>
      <c r="K14" s="12">
        <v>25681</v>
      </c>
      <c r="L14" s="1"/>
      <c r="M14" s="12"/>
    </row>
    <row r="15" spans="1:13">
      <c r="A15" s="1" t="s">
        <v>33</v>
      </c>
      <c r="B15" s="1"/>
      <c r="C15" s="1"/>
      <c r="D15" s="6">
        <v>90</v>
      </c>
      <c r="E15" s="10">
        <v>1.2</v>
      </c>
      <c r="F15" s="10">
        <v>1.2</v>
      </c>
      <c r="G15" s="11">
        <v>1500</v>
      </c>
      <c r="H15" s="12">
        <v>1800</v>
      </c>
      <c r="I15" s="1"/>
      <c r="J15" s="12">
        <v>5209</v>
      </c>
      <c r="K15" s="12">
        <v>7009</v>
      </c>
      <c r="L15" s="1"/>
      <c r="M15" s="12"/>
    </row>
    <row r="16" spans="1:13">
      <c r="A16" s="1" t="s">
        <v>34</v>
      </c>
      <c r="B16" s="1"/>
      <c r="C16" s="1"/>
      <c r="D16" s="6">
        <v>74</v>
      </c>
      <c r="E16" s="10">
        <v>10.8</v>
      </c>
      <c r="F16" s="10">
        <v>2.1</v>
      </c>
      <c r="G16" s="11">
        <v>883</v>
      </c>
      <c r="H16" s="12">
        <v>9536</v>
      </c>
      <c r="I16" s="1"/>
      <c r="J16" s="12"/>
      <c r="K16" s="12">
        <v>9536</v>
      </c>
      <c r="L16" s="1"/>
      <c r="M16" s="12"/>
    </row>
    <row r="17" spans="1:13">
      <c r="A17" s="1" t="s">
        <v>35</v>
      </c>
      <c r="B17" s="1"/>
      <c r="C17" s="1"/>
      <c r="D17" s="6">
        <v>100</v>
      </c>
      <c r="E17" s="10">
        <v>7</v>
      </c>
      <c r="F17" s="10">
        <v>5.7</v>
      </c>
      <c r="G17" s="11">
        <v>1303</v>
      </c>
      <c r="H17" s="12">
        <v>9121</v>
      </c>
      <c r="I17" s="1"/>
      <c r="J17" s="12">
        <v>13275</v>
      </c>
      <c r="K17" s="12">
        <v>22396</v>
      </c>
      <c r="L17" s="1"/>
      <c r="M17" s="12"/>
    </row>
    <row r="18" spans="1:13">
      <c r="A18" s="1" t="s">
        <v>36</v>
      </c>
      <c r="B18" s="1"/>
      <c r="C18" s="1"/>
      <c r="D18" s="6">
        <v>100</v>
      </c>
      <c r="E18" s="10">
        <v>15.3</v>
      </c>
      <c r="F18" s="10">
        <v>14.8</v>
      </c>
      <c r="G18" s="11">
        <v>1500</v>
      </c>
      <c r="H18" s="12">
        <v>22950</v>
      </c>
      <c r="I18" s="1">
        <v>14506</v>
      </c>
      <c r="J18" s="12"/>
      <c r="K18" s="12">
        <v>37456</v>
      </c>
      <c r="L18" s="1"/>
      <c r="M18" s="1"/>
    </row>
    <row r="19" spans="1:13">
      <c r="A19" s="1" t="s">
        <v>37</v>
      </c>
      <c r="B19" s="1"/>
      <c r="C19" s="1"/>
      <c r="D19" s="6">
        <v>100</v>
      </c>
      <c r="E19" s="10">
        <v>19</v>
      </c>
      <c r="F19" s="10">
        <v>6</v>
      </c>
      <c r="G19" s="11">
        <v>1069</v>
      </c>
      <c r="H19" s="12">
        <v>20311</v>
      </c>
      <c r="I19" s="1"/>
      <c r="J19" s="12"/>
      <c r="K19" s="12">
        <v>20311</v>
      </c>
      <c r="L19" s="1"/>
      <c r="M19" s="1"/>
    </row>
    <row r="20" spans="1:13">
      <c r="A20" s="1" t="s">
        <v>113</v>
      </c>
      <c r="B20" s="1"/>
      <c r="C20" s="1"/>
      <c r="D20" s="6">
        <v>77</v>
      </c>
      <c r="E20" s="10">
        <v>13.6</v>
      </c>
      <c r="F20" s="10">
        <v>2.6</v>
      </c>
      <c r="G20" s="11">
        <v>1281</v>
      </c>
      <c r="H20" s="12">
        <v>17422</v>
      </c>
      <c r="I20" s="1"/>
      <c r="J20" s="12"/>
      <c r="K20" s="12">
        <v>17422</v>
      </c>
      <c r="L20" s="1"/>
      <c r="M20" s="1"/>
    </row>
    <row r="21" spans="1:13">
      <c r="A21" s="1" t="s">
        <v>114</v>
      </c>
      <c r="B21" s="1"/>
      <c r="C21" s="1"/>
      <c r="D21" s="13" t="s">
        <v>115</v>
      </c>
      <c r="E21" s="10"/>
      <c r="F21" s="10"/>
      <c r="G21" s="11"/>
      <c r="H21" s="14" t="s">
        <v>116</v>
      </c>
      <c r="I21" s="1"/>
      <c r="J21" s="12"/>
      <c r="K21" s="12"/>
      <c r="L21" s="1"/>
      <c r="M21" s="1"/>
    </row>
    <row r="22" spans="1:13">
      <c r="A22" s="1" t="s">
        <v>117</v>
      </c>
      <c r="B22" s="1"/>
      <c r="C22" s="1"/>
      <c r="D22" s="6">
        <v>70</v>
      </c>
      <c r="E22" s="10">
        <v>1.3</v>
      </c>
      <c r="F22" s="10">
        <v>1.2</v>
      </c>
      <c r="G22" s="11">
        <v>1500</v>
      </c>
      <c r="H22" s="12">
        <v>1950</v>
      </c>
      <c r="I22" s="1">
        <v>3970</v>
      </c>
      <c r="J22" s="12"/>
      <c r="K22" s="12">
        <v>5920</v>
      </c>
      <c r="L22" s="1"/>
      <c r="M22" s="1"/>
    </row>
    <row r="23" spans="1:13">
      <c r="A23" s="16" t="s">
        <v>44</v>
      </c>
      <c r="B23" s="16"/>
      <c r="C23" s="16"/>
      <c r="D23" s="17"/>
      <c r="E23" s="18">
        <v>125.19999999999999</v>
      </c>
      <c r="F23" s="18">
        <v>50.20000000000001</v>
      </c>
      <c r="G23" s="60"/>
      <c r="H23" s="19">
        <v>147374</v>
      </c>
      <c r="I23" s="19">
        <v>29458</v>
      </c>
      <c r="J23" s="19">
        <v>51809</v>
      </c>
      <c r="K23" s="19">
        <v>228641</v>
      </c>
      <c r="L23" s="60">
        <v>662</v>
      </c>
      <c r="M23" s="60">
        <v>3615</v>
      </c>
    </row>
    <row r="24" spans="1:13">
      <c r="A24" s="20" t="s">
        <v>45</v>
      </c>
      <c r="B24" s="20"/>
      <c r="C24" s="20"/>
      <c r="D24" s="21"/>
      <c r="E24" s="22"/>
      <c r="F24" s="22"/>
      <c r="G24" s="23"/>
      <c r="H24" s="24">
        <v>88425</v>
      </c>
      <c r="I24" s="24">
        <v>28796</v>
      </c>
      <c r="J24" s="24">
        <v>48194</v>
      </c>
      <c r="K24" s="24">
        <v>165415</v>
      </c>
      <c r="L24" s="20"/>
      <c r="M24" s="20"/>
    </row>
    <row r="25" spans="1:13">
      <c r="A25" s="25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 t="s">
        <v>46</v>
      </c>
      <c r="D26" s="1"/>
      <c r="E26" s="1"/>
      <c r="F26" s="1"/>
      <c r="G26" s="1"/>
      <c r="H26" s="1"/>
      <c r="I26" s="1"/>
      <c r="J26" s="7"/>
      <c r="K26" s="12"/>
      <c r="L26" s="1"/>
      <c r="M26" s="1"/>
    </row>
    <row r="27" spans="1:13">
      <c r="A27" s="1" t="s">
        <v>47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26" t="s">
        <v>48</v>
      </c>
      <c r="B28" s="26"/>
      <c r="C28" s="26"/>
      <c r="D28" s="26" t="s">
        <v>49</v>
      </c>
      <c r="E28" s="26" t="s">
        <v>50</v>
      </c>
      <c r="F28" s="26"/>
      <c r="G28" s="26" t="s">
        <v>51</v>
      </c>
      <c r="H28" s="1"/>
      <c r="I28" s="1"/>
      <c r="J28" s="61" t="s">
        <v>52</v>
      </c>
      <c r="K28" s="62" t="s">
        <v>53</v>
      </c>
      <c r="L28" s="1"/>
      <c r="M28" s="1"/>
    </row>
    <row r="29" spans="1:13">
      <c r="A29" s="1" t="s">
        <v>54</v>
      </c>
      <c r="B29" s="1"/>
      <c r="C29" s="1"/>
      <c r="D29" s="1"/>
      <c r="E29" s="1"/>
      <c r="F29" s="1"/>
      <c r="G29" s="1"/>
      <c r="H29" s="1"/>
      <c r="I29" s="10"/>
      <c r="J29" s="16" t="s">
        <v>118</v>
      </c>
      <c r="K29" s="19">
        <v>97</v>
      </c>
      <c r="L29" s="1"/>
      <c r="M29" s="1"/>
    </row>
    <row r="30" spans="1:13">
      <c r="A30" s="1" t="s">
        <v>112</v>
      </c>
      <c r="B30" s="1"/>
      <c r="C30" s="63" t="s">
        <v>119</v>
      </c>
      <c r="D30" s="37" t="s">
        <v>120</v>
      </c>
      <c r="E30" s="7">
        <v>2.13</v>
      </c>
      <c r="F30" s="7"/>
      <c r="G30" s="7">
        <v>5744</v>
      </c>
      <c r="H30" s="1" t="s">
        <v>74</v>
      </c>
      <c r="I30" s="1"/>
      <c r="J30" s="20" t="s">
        <v>121</v>
      </c>
      <c r="K30" s="24">
        <v>3</v>
      </c>
      <c r="L30" s="1"/>
      <c r="M30" s="1"/>
    </row>
    <row r="31" spans="1:13">
      <c r="A31" s="1"/>
      <c r="B31" s="1"/>
      <c r="C31" s="64" t="s">
        <v>122</v>
      </c>
      <c r="D31" s="37" t="s">
        <v>120</v>
      </c>
      <c r="E31" s="15" t="s">
        <v>123</v>
      </c>
      <c r="F31" s="1"/>
      <c r="G31" s="15" t="s">
        <v>124</v>
      </c>
      <c r="H31" s="1"/>
      <c r="I31" s="1"/>
      <c r="J31" s="1"/>
      <c r="K31" s="12"/>
      <c r="L31" s="1"/>
      <c r="M31" s="1"/>
    </row>
    <row r="32" spans="1:13">
      <c r="A32" s="1" t="s">
        <v>59</v>
      </c>
      <c r="B32" s="1"/>
      <c r="C32" s="1"/>
      <c r="D32" s="1"/>
      <c r="E32" s="1"/>
      <c r="F32" s="1"/>
      <c r="G32" s="1"/>
      <c r="H32" s="1"/>
      <c r="I32" s="1"/>
      <c r="J32" s="1"/>
      <c r="K32" s="12"/>
      <c r="L32" s="1"/>
      <c r="M32" s="1"/>
    </row>
    <row r="33" spans="1:13">
      <c r="A33" s="1" t="s">
        <v>60</v>
      </c>
      <c r="B33" s="1"/>
      <c r="C33" s="1"/>
      <c r="D33" s="37" t="s">
        <v>61</v>
      </c>
      <c r="E33" s="12">
        <v>75</v>
      </c>
      <c r="F33" s="12"/>
      <c r="G33" s="7">
        <v>1179</v>
      </c>
      <c r="H33" s="1"/>
      <c r="I33" s="1"/>
      <c r="J33" s="1"/>
      <c r="K33" s="12"/>
      <c r="L33" s="1"/>
      <c r="M33" s="1"/>
    </row>
    <row r="34" spans="1:13">
      <c r="A34" s="1" t="s">
        <v>63</v>
      </c>
      <c r="B34" s="1"/>
      <c r="C34" s="1"/>
      <c r="D34" s="37" t="s">
        <v>61</v>
      </c>
      <c r="E34" s="12">
        <v>50</v>
      </c>
      <c r="F34" s="12"/>
      <c r="G34" s="12"/>
      <c r="H34" s="1"/>
      <c r="I34" s="1"/>
      <c r="J34" s="1"/>
      <c r="K34" s="1"/>
      <c r="L34" s="1"/>
      <c r="M34" s="1"/>
    </row>
    <row r="35" spans="1:13">
      <c r="A35" s="1" t="s">
        <v>7</v>
      </c>
      <c r="B35" s="1"/>
      <c r="C35" s="1"/>
      <c r="D35" s="1"/>
      <c r="E35" s="12">
        <v>125</v>
      </c>
      <c r="F35" s="12"/>
      <c r="G35" s="12"/>
      <c r="H35" s="1"/>
      <c r="I35" s="1"/>
      <c r="J35" s="1"/>
      <c r="K35" s="37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6" t="s">
        <v>62</v>
      </c>
      <c r="K36" s="16">
        <v>1.1499999999999999</v>
      </c>
      <c r="L36" s="1"/>
      <c r="M36" s="1"/>
    </row>
    <row r="37" spans="1:13">
      <c r="A37" s="16" t="s">
        <v>65</v>
      </c>
      <c r="B37" s="16"/>
      <c r="C37" s="16" t="s">
        <v>66</v>
      </c>
      <c r="D37" s="16"/>
      <c r="E37" s="16"/>
      <c r="F37" s="16"/>
      <c r="G37" s="16"/>
      <c r="H37" s="1"/>
      <c r="I37" s="1"/>
      <c r="J37" s="20" t="s">
        <v>64</v>
      </c>
      <c r="K37" s="23">
        <v>1</v>
      </c>
      <c r="L37" s="1"/>
      <c r="M37" s="1"/>
    </row>
    <row r="38" spans="1:13">
      <c r="A38" s="1"/>
      <c r="B38" s="4"/>
      <c r="C38" s="38"/>
      <c r="D38" s="40"/>
      <c r="E38" s="40"/>
      <c r="F38" s="40"/>
      <c r="G38" s="40"/>
      <c r="H38" s="1"/>
      <c r="I38" s="1"/>
      <c r="J38" s="1"/>
      <c r="K38" s="1"/>
      <c r="L38" s="1"/>
      <c r="M38" s="1"/>
    </row>
    <row r="39" spans="1:13">
      <c r="A39" s="40" t="s">
        <v>67</v>
      </c>
      <c r="B39" s="4"/>
      <c r="C39" s="38">
        <v>87</v>
      </c>
      <c r="D39" s="65" t="s">
        <v>68</v>
      </c>
      <c r="E39" s="40">
        <v>139</v>
      </c>
      <c r="F39" s="40"/>
      <c r="G39" s="41">
        <v>34</v>
      </c>
      <c r="H39" s="1"/>
      <c r="I39" s="1"/>
      <c r="J39" s="1"/>
      <c r="K39" s="1"/>
      <c r="L39" s="1"/>
      <c r="M39" s="1"/>
    </row>
    <row r="40" spans="1:13">
      <c r="A40" s="40" t="s">
        <v>69</v>
      </c>
      <c r="B40" s="4"/>
      <c r="C40" s="38">
        <v>97</v>
      </c>
      <c r="D40" s="65" t="s">
        <v>68</v>
      </c>
      <c r="E40" s="40">
        <v>83</v>
      </c>
      <c r="F40" s="40"/>
      <c r="G40" s="41">
        <v>33</v>
      </c>
      <c r="H40" s="1"/>
      <c r="I40" s="1"/>
      <c r="J40" s="1"/>
      <c r="K40" s="1"/>
      <c r="L40" s="1"/>
      <c r="M40" s="1"/>
    </row>
    <row r="41" spans="1:13">
      <c r="A41" s="40" t="s">
        <v>125</v>
      </c>
      <c r="B41" s="4"/>
      <c r="C41" s="38">
        <v>70</v>
      </c>
      <c r="D41" s="65" t="s">
        <v>120</v>
      </c>
      <c r="E41" s="40">
        <v>217</v>
      </c>
      <c r="F41" s="40"/>
      <c r="G41" s="41">
        <v>48</v>
      </c>
      <c r="H41" s="1"/>
      <c r="I41" s="1"/>
      <c r="J41" s="1"/>
      <c r="K41" s="1"/>
      <c r="L41" s="1"/>
      <c r="M41" s="1"/>
    </row>
    <row r="42" spans="1:13">
      <c r="A42" s="16" t="s">
        <v>71</v>
      </c>
      <c r="B42" s="16"/>
      <c r="C42" s="16"/>
      <c r="D42" s="16"/>
      <c r="E42" s="16"/>
      <c r="F42" s="16"/>
      <c r="G42" s="16"/>
      <c r="H42" s="1"/>
      <c r="I42" s="1" t="s">
        <v>72</v>
      </c>
      <c r="J42" s="1"/>
      <c r="K42" s="1"/>
      <c r="L42" s="1"/>
      <c r="M42" s="1"/>
    </row>
    <row r="43" spans="1:13">
      <c r="A43" s="40" t="s">
        <v>73</v>
      </c>
      <c r="B43" s="40"/>
      <c r="C43" s="40"/>
      <c r="D43" s="40"/>
      <c r="E43" s="40"/>
      <c r="F43" s="40"/>
      <c r="G43" s="42">
        <v>6370</v>
      </c>
      <c r="H43" s="1" t="s">
        <v>126</v>
      </c>
      <c r="I43" s="12">
        <v>15740.27</v>
      </c>
      <c r="J43" s="1"/>
      <c r="K43" s="1"/>
      <c r="L43" s="1"/>
      <c r="M43" s="1"/>
    </row>
    <row r="44" spans="1:13">
      <c r="A44" s="40" t="s">
        <v>75</v>
      </c>
      <c r="B44" s="40"/>
      <c r="C44" s="40"/>
      <c r="D44" s="40"/>
      <c r="E44" s="40"/>
      <c r="F44" s="40"/>
      <c r="G44" s="45">
        <v>65</v>
      </c>
      <c r="H44" s="1"/>
      <c r="I44" s="12"/>
      <c r="J44" s="1"/>
      <c r="K44" s="7"/>
      <c r="L44" s="1"/>
      <c r="M44" s="1"/>
    </row>
    <row r="45" spans="1:13">
      <c r="A45" s="40" t="s">
        <v>76</v>
      </c>
      <c r="B45" s="40"/>
      <c r="C45" s="40"/>
      <c r="D45" s="40"/>
      <c r="E45" s="40"/>
      <c r="F45" s="40"/>
      <c r="G45" s="46">
        <v>414050</v>
      </c>
      <c r="H45" s="1"/>
      <c r="I45" s="12">
        <v>1023117.55</v>
      </c>
      <c r="J45" s="1"/>
      <c r="K45" s="7"/>
      <c r="L45" s="1"/>
      <c r="M45" s="1"/>
    </row>
    <row r="46" spans="1:13">
      <c r="A46" s="40" t="s">
        <v>77</v>
      </c>
      <c r="B46" s="40"/>
      <c r="C46" s="40"/>
      <c r="D46" s="40"/>
      <c r="E46" s="40"/>
      <c r="F46" s="40"/>
      <c r="G46" s="46">
        <v>185409</v>
      </c>
      <c r="H46" s="12"/>
      <c r="I46" s="12">
        <v>458145.63900000002</v>
      </c>
      <c r="J46" s="1"/>
      <c r="K46" s="1"/>
      <c r="L46" s="1"/>
      <c r="M46" s="1"/>
    </row>
    <row r="47" spans="1:13">
      <c r="A47" s="40" t="s">
        <v>78</v>
      </c>
      <c r="B47" s="40"/>
      <c r="C47" s="40"/>
      <c r="D47" s="40"/>
      <c r="E47" s="40"/>
      <c r="F47" s="40"/>
      <c r="G47" s="46">
        <v>248635</v>
      </c>
      <c r="H47" s="12"/>
      <c r="I47" s="12">
        <v>614377.08500000008</v>
      </c>
      <c r="J47" s="1"/>
      <c r="K47" s="1"/>
      <c r="L47" s="1"/>
      <c r="M47" s="1"/>
    </row>
    <row r="48" spans="1:13">
      <c r="A48" s="40" t="s">
        <v>79</v>
      </c>
      <c r="B48" s="40"/>
      <c r="C48" s="40"/>
      <c r="D48" s="40"/>
      <c r="E48" s="40"/>
      <c r="F48" s="40"/>
      <c r="G48" s="45">
        <v>35.893406593406596</v>
      </c>
      <c r="H48" s="1"/>
      <c r="I48" s="1"/>
      <c r="J48" s="1"/>
      <c r="K48" s="1"/>
      <c r="L48" s="1"/>
      <c r="M48" s="1"/>
    </row>
    <row r="49" spans="1:13">
      <c r="A49" s="20" t="s">
        <v>80</v>
      </c>
      <c r="B49" s="20"/>
      <c r="C49" s="20"/>
      <c r="D49" s="20"/>
      <c r="E49" s="20"/>
      <c r="F49" s="20"/>
      <c r="G49" s="47">
        <v>25.967817896389324</v>
      </c>
      <c r="H49" s="1"/>
      <c r="I49" s="1"/>
      <c r="J49" s="1"/>
      <c r="K49" s="1"/>
      <c r="L49" s="1"/>
      <c r="M49" s="1"/>
    </row>
    <row r="50" spans="1:13">
      <c r="A50" s="48" t="s">
        <v>127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 t="s">
        <v>128</v>
      </c>
      <c r="B51" s="48"/>
      <c r="C51" s="48"/>
      <c r="D51" s="48"/>
      <c r="E51" s="48"/>
      <c r="F51" s="1"/>
      <c r="G51" s="1"/>
      <c r="H51" s="1"/>
      <c r="I51" s="1"/>
      <c r="J51" s="1"/>
      <c r="K51" s="1"/>
      <c r="L51" s="1"/>
      <c r="M5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6"/>
  <sheetViews>
    <sheetView workbookViewId="0">
      <selection sqref="A1:M46"/>
    </sheetView>
  </sheetViews>
  <sheetFormatPr defaultRowHeight="15"/>
  <sheetData>
    <row r="1" spans="1:13">
      <c r="A1" s="64" t="s">
        <v>0</v>
      </c>
      <c r="B1" s="64" t="s">
        <v>129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>
      <c r="A2" s="64"/>
      <c r="B2" s="64" t="s">
        <v>130</v>
      </c>
      <c r="C2" s="64"/>
      <c r="D2" s="64"/>
      <c r="E2" s="64"/>
      <c r="F2" s="64"/>
      <c r="G2" s="64"/>
      <c r="H2" s="64" t="s">
        <v>102</v>
      </c>
      <c r="I2" s="64"/>
      <c r="J2" s="64"/>
      <c r="K2" s="64"/>
      <c r="L2" s="64"/>
      <c r="M2" s="64"/>
    </row>
    <row r="3" spans="1:13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>
      <c r="A4" s="66" t="s">
        <v>5</v>
      </c>
      <c r="B4" s="66"/>
      <c r="C4" s="66"/>
      <c r="D4" s="66" t="s">
        <v>6</v>
      </c>
      <c r="E4" s="66" t="s">
        <v>7</v>
      </c>
      <c r="F4" s="66" t="s">
        <v>8</v>
      </c>
      <c r="G4" s="66" t="s">
        <v>9</v>
      </c>
      <c r="H4" s="66" t="s">
        <v>10</v>
      </c>
      <c r="I4" s="66" t="s">
        <v>11</v>
      </c>
      <c r="J4" s="66" t="s">
        <v>12</v>
      </c>
      <c r="K4" s="66" t="s">
        <v>13</v>
      </c>
      <c r="L4" s="66" t="s">
        <v>14</v>
      </c>
      <c r="M4" s="66"/>
    </row>
    <row r="5" spans="1:13">
      <c r="A5" s="67"/>
      <c r="B5" s="67"/>
      <c r="C5" s="67"/>
      <c r="D5" s="67" t="s">
        <v>15</v>
      </c>
      <c r="E5" s="67" t="s">
        <v>16</v>
      </c>
      <c r="F5" s="67" t="s">
        <v>16</v>
      </c>
      <c r="G5" s="67" t="s">
        <v>17</v>
      </c>
      <c r="H5" s="67" t="s">
        <v>18</v>
      </c>
      <c r="I5" s="67" t="s">
        <v>19</v>
      </c>
      <c r="J5" s="67" t="s">
        <v>18</v>
      </c>
      <c r="K5" s="67" t="s">
        <v>18</v>
      </c>
      <c r="L5" s="67" t="s">
        <v>20</v>
      </c>
      <c r="M5" s="67" t="s">
        <v>21</v>
      </c>
    </row>
    <row r="6" spans="1:13">
      <c r="A6" s="67"/>
      <c r="B6" s="67"/>
      <c r="C6" s="67"/>
      <c r="D6" s="67" t="s">
        <v>22</v>
      </c>
      <c r="E6" s="67"/>
      <c r="F6" s="67"/>
      <c r="G6" s="67"/>
      <c r="H6" s="67" t="s">
        <v>23</v>
      </c>
      <c r="I6" s="67" t="s">
        <v>18</v>
      </c>
      <c r="J6" s="67" t="s">
        <v>23</v>
      </c>
      <c r="K6" s="67" t="s">
        <v>23</v>
      </c>
      <c r="L6" s="67"/>
      <c r="M6" s="67"/>
    </row>
    <row r="7" spans="1:13">
      <c r="A7" s="68"/>
      <c r="B7" s="68"/>
      <c r="C7" s="68"/>
      <c r="D7" s="68"/>
      <c r="E7" s="68"/>
      <c r="F7" s="68"/>
      <c r="G7" s="68"/>
      <c r="H7" s="68"/>
      <c r="I7" s="68" t="s">
        <v>23</v>
      </c>
      <c r="J7" s="68"/>
      <c r="K7" s="68"/>
      <c r="L7" s="68"/>
      <c r="M7" s="68"/>
    </row>
    <row r="8" spans="1:13">
      <c r="A8" s="64" t="s">
        <v>131</v>
      </c>
      <c r="B8" s="64"/>
      <c r="C8" s="64"/>
      <c r="D8" s="69">
        <v>63</v>
      </c>
      <c r="E8" s="70">
        <v>0.9</v>
      </c>
      <c r="F8" s="70">
        <v>0.1</v>
      </c>
      <c r="G8" s="71">
        <v>1400</v>
      </c>
      <c r="H8" s="72">
        <v>1260</v>
      </c>
      <c r="I8" s="72">
        <v>7021</v>
      </c>
      <c r="J8" s="72"/>
      <c r="K8" s="72">
        <f>+J8+I8+H8</f>
        <v>8281</v>
      </c>
      <c r="L8" s="72">
        <v>146</v>
      </c>
      <c r="M8" s="72"/>
    </row>
    <row r="9" spans="1:13">
      <c r="A9" s="73" t="s">
        <v>132</v>
      </c>
      <c r="B9" s="64"/>
      <c r="C9" s="64"/>
      <c r="D9" s="74" t="s">
        <v>133</v>
      </c>
      <c r="E9" s="75"/>
      <c r="F9" s="70"/>
      <c r="G9" s="71"/>
      <c r="H9" s="72"/>
      <c r="I9" s="76" t="s">
        <v>134</v>
      </c>
      <c r="J9" s="72"/>
      <c r="K9" s="72"/>
      <c r="L9" s="72"/>
      <c r="M9" s="72"/>
    </row>
    <row r="10" spans="1:13">
      <c r="A10" s="64" t="s">
        <v>135</v>
      </c>
      <c r="B10" s="64"/>
      <c r="C10" s="64"/>
      <c r="D10" s="69">
        <v>100</v>
      </c>
      <c r="E10" s="70">
        <v>8.3000000000000007</v>
      </c>
      <c r="F10" s="70">
        <v>4</v>
      </c>
      <c r="G10" s="71">
        <v>1220</v>
      </c>
      <c r="H10" s="72">
        <v>10126</v>
      </c>
      <c r="I10" s="72"/>
      <c r="J10" s="72">
        <v>7745</v>
      </c>
      <c r="K10" s="72">
        <f t="shared" ref="K10:K16" si="0">+J10+I10+H10</f>
        <v>17871</v>
      </c>
      <c r="L10" s="72"/>
      <c r="M10" s="72">
        <v>1927</v>
      </c>
    </row>
    <row r="11" spans="1:13">
      <c r="A11" s="64" t="s">
        <v>32</v>
      </c>
      <c r="B11" s="64"/>
      <c r="C11" s="64"/>
      <c r="D11" s="69">
        <v>100</v>
      </c>
      <c r="E11" s="70">
        <v>11.4</v>
      </c>
      <c r="F11" s="70">
        <v>6.2</v>
      </c>
      <c r="G11" s="71">
        <v>1406</v>
      </c>
      <c r="H11" s="72">
        <v>16028</v>
      </c>
      <c r="I11" s="72"/>
      <c r="J11" s="72">
        <v>23227</v>
      </c>
      <c r="K11" s="72">
        <f t="shared" si="0"/>
        <v>39255</v>
      </c>
      <c r="L11" s="77"/>
      <c r="M11" s="77"/>
    </row>
    <row r="12" spans="1:13">
      <c r="A12" s="64" t="s">
        <v>34</v>
      </c>
      <c r="B12" s="64"/>
      <c r="C12" s="64"/>
      <c r="D12" s="69">
        <v>100</v>
      </c>
      <c r="E12" s="70">
        <v>15.9</v>
      </c>
      <c r="F12" s="70">
        <v>6.5</v>
      </c>
      <c r="G12" s="71">
        <v>1374</v>
      </c>
      <c r="H12" s="72">
        <v>21847</v>
      </c>
      <c r="I12" s="72"/>
      <c r="J12" s="72"/>
      <c r="K12" s="72">
        <f t="shared" si="0"/>
        <v>21847</v>
      </c>
      <c r="L12" s="77"/>
      <c r="M12" s="77"/>
    </row>
    <row r="13" spans="1:13">
      <c r="A13" s="64" t="s">
        <v>35</v>
      </c>
      <c r="B13" s="64"/>
      <c r="C13" s="64"/>
      <c r="D13" s="69">
        <v>100</v>
      </c>
      <c r="E13" s="70">
        <v>11.3</v>
      </c>
      <c r="F13" s="70">
        <v>7.6</v>
      </c>
      <c r="G13" s="71">
        <v>1500</v>
      </c>
      <c r="H13" s="72">
        <v>16950</v>
      </c>
      <c r="I13" s="72"/>
      <c r="J13" s="72">
        <v>23283</v>
      </c>
      <c r="K13" s="72">
        <f t="shared" si="0"/>
        <v>40233</v>
      </c>
      <c r="L13" s="77"/>
      <c r="M13" s="77"/>
    </row>
    <row r="14" spans="1:13">
      <c r="A14" s="64" t="s">
        <v>136</v>
      </c>
      <c r="B14" s="64"/>
      <c r="C14" s="64"/>
      <c r="D14" s="69">
        <v>100</v>
      </c>
      <c r="E14" s="78">
        <v>20.2</v>
      </c>
      <c r="F14" s="70">
        <v>9</v>
      </c>
      <c r="G14" s="71">
        <v>1410</v>
      </c>
      <c r="H14" s="72">
        <v>28482</v>
      </c>
      <c r="I14" s="72"/>
      <c r="J14" s="72">
        <v>19530</v>
      </c>
      <c r="K14" s="72">
        <f t="shared" si="0"/>
        <v>48012</v>
      </c>
      <c r="L14" s="77"/>
      <c r="M14" s="77"/>
    </row>
    <row r="15" spans="1:13">
      <c r="A15" s="64" t="s">
        <v>36</v>
      </c>
      <c r="B15" s="64"/>
      <c r="C15" s="64"/>
      <c r="D15" s="69">
        <v>100</v>
      </c>
      <c r="E15" s="70">
        <v>11.9</v>
      </c>
      <c r="F15" s="70">
        <v>11.6</v>
      </c>
      <c r="G15" s="71">
        <v>1400</v>
      </c>
      <c r="H15" s="72">
        <v>16660</v>
      </c>
      <c r="I15" s="72">
        <v>10818</v>
      </c>
      <c r="J15" s="72"/>
      <c r="K15" s="72">
        <f t="shared" si="0"/>
        <v>27478</v>
      </c>
      <c r="L15" s="77"/>
      <c r="M15" s="77"/>
    </row>
    <row r="16" spans="1:13">
      <c r="A16" s="64" t="s">
        <v>37</v>
      </c>
      <c r="B16" s="64"/>
      <c r="C16" s="64"/>
      <c r="D16" s="69">
        <v>100</v>
      </c>
      <c r="E16" s="70">
        <v>32.200000000000003</v>
      </c>
      <c r="F16" s="70">
        <v>22.3</v>
      </c>
      <c r="G16" s="71">
        <v>1129</v>
      </c>
      <c r="H16" s="72">
        <v>36354</v>
      </c>
      <c r="I16" s="72"/>
      <c r="J16" s="72"/>
      <c r="K16" s="72">
        <f t="shared" si="0"/>
        <v>36354</v>
      </c>
      <c r="L16" s="77"/>
      <c r="M16" s="77"/>
    </row>
    <row r="17" spans="1:13">
      <c r="A17" s="79" t="s">
        <v>44</v>
      </c>
      <c r="B17" s="79"/>
      <c r="C17" s="79"/>
      <c r="D17" s="80"/>
      <c r="E17" s="81">
        <v>112.10000000000001</v>
      </c>
      <c r="F17" s="81">
        <v>67.3</v>
      </c>
      <c r="G17" s="82">
        <v>10839</v>
      </c>
      <c r="H17" s="83">
        <f>SUM(H8:H16)</f>
        <v>147707</v>
      </c>
      <c r="I17" s="83">
        <f t="shared" ref="I17:K17" si="1">SUM(I8:I16)</f>
        <v>17839</v>
      </c>
      <c r="J17" s="83">
        <f t="shared" si="1"/>
        <v>73785</v>
      </c>
      <c r="K17" s="83">
        <f t="shared" si="1"/>
        <v>239331</v>
      </c>
      <c r="L17" s="83">
        <v>146</v>
      </c>
      <c r="M17" s="83">
        <f t="shared" ref="M17" si="2">SUM(M8:M16)</f>
        <v>1927</v>
      </c>
    </row>
    <row r="18" spans="1:13">
      <c r="A18" s="84" t="s">
        <v>45</v>
      </c>
      <c r="B18" s="84"/>
      <c r="C18" s="84"/>
      <c r="D18" s="85"/>
      <c r="E18" s="86">
        <v>44.800000000000011</v>
      </c>
      <c r="F18" s="86"/>
      <c r="G18" s="87"/>
      <c r="H18" s="88">
        <v>59355</v>
      </c>
      <c r="I18" s="88">
        <f>+I17-L17</f>
        <v>17693</v>
      </c>
      <c r="J18" s="88">
        <f>+J17-M17</f>
        <v>71858</v>
      </c>
      <c r="K18" s="88">
        <f>SUM(H18:J18)</f>
        <v>148906</v>
      </c>
      <c r="L18" s="88"/>
      <c r="M18" s="88"/>
    </row>
    <row r="19" spans="1:13">
      <c r="A19" s="89"/>
      <c r="B19" s="64"/>
      <c r="C19" s="64"/>
      <c r="D19" s="64"/>
      <c r="E19" s="64"/>
      <c r="F19" s="64"/>
      <c r="G19" s="64"/>
      <c r="H19" s="64"/>
      <c r="I19" s="72"/>
      <c r="J19" s="72"/>
      <c r="K19" s="72"/>
      <c r="L19" s="64"/>
      <c r="M19" s="64"/>
    </row>
    <row r="20" spans="1:13">
      <c r="A20" s="64"/>
      <c r="B20" s="64"/>
      <c r="C20" s="64" t="s">
        <v>46</v>
      </c>
      <c r="D20" s="64"/>
      <c r="E20" s="64"/>
      <c r="F20" s="64"/>
      <c r="G20" s="64"/>
      <c r="H20" s="72"/>
      <c r="I20" s="72"/>
      <c r="J20" s="72"/>
      <c r="K20" s="72"/>
      <c r="L20" s="72"/>
      <c r="M20" s="72"/>
    </row>
    <row r="21" spans="1:13">
      <c r="A21" s="64"/>
      <c r="B21" s="64"/>
      <c r="C21" s="64"/>
      <c r="D21" s="64"/>
      <c r="E21" s="64"/>
      <c r="F21" s="64"/>
      <c r="G21" s="64"/>
      <c r="H21" s="72"/>
      <c r="I21" s="64"/>
      <c r="J21" s="70"/>
      <c r="K21" s="77"/>
      <c r="L21" s="64"/>
      <c r="M21" s="64"/>
    </row>
    <row r="22" spans="1:13">
      <c r="A22" s="64" t="s">
        <v>47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</row>
    <row r="23" spans="1:13">
      <c r="A23" s="90" t="s">
        <v>48</v>
      </c>
      <c r="B23" s="90"/>
      <c r="C23" s="91" t="s">
        <v>53</v>
      </c>
      <c r="D23" s="90" t="s">
        <v>49</v>
      </c>
      <c r="E23" s="90" t="s">
        <v>50</v>
      </c>
      <c r="F23" s="90"/>
      <c r="G23" s="90" t="s">
        <v>51</v>
      </c>
      <c r="H23" s="64"/>
      <c r="I23" s="64"/>
      <c r="J23" s="92" t="s">
        <v>52</v>
      </c>
      <c r="K23" s="93" t="s">
        <v>53</v>
      </c>
      <c r="L23" s="64"/>
      <c r="M23" s="64"/>
    </row>
    <row r="24" spans="1:13">
      <c r="A24" s="64" t="s">
        <v>54</v>
      </c>
      <c r="B24" s="64"/>
      <c r="C24" s="64"/>
      <c r="D24" s="64"/>
      <c r="E24" s="64"/>
      <c r="F24" s="64"/>
      <c r="G24" s="64"/>
      <c r="H24" s="64"/>
      <c r="I24" s="64"/>
      <c r="J24" s="79" t="s">
        <v>118</v>
      </c>
      <c r="K24" s="83">
        <v>97</v>
      </c>
      <c r="L24" s="64"/>
      <c r="M24" s="64"/>
    </row>
    <row r="25" spans="1:13">
      <c r="A25" s="64" t="s">
        <v>137</v>
      </c>
      <c r="B25" s="64" t="s">
        <v>119</v>
      </c>
      <c r="C25" s="94">
        <v>53</v>
      </c>
      <c r="D25" s="95" t="s">
        <v>57</v>
      </c>
      <c r="E25" s="96">
        <v>1.2</v>
      </c>
      <c r="F25" s="77"/>
      <c r="G25" s="96">
        <v>6454</v>
      </c>
      <c r="H25" s="64"/>
      <c r="I25" s="64"/>
      <c r="J25" s="84" t="s">
        <v>121</v>
      </c>
      <c r="K25" s="88">
        <v>3</v>
      </c>
      <c r="L25" s="64"/>
      <c r="M25" s="64"/>
    </row>
    <row r="26" spans="1:13">
      <c r="A26" s="64"/>
      <c r="B26" s="64" t="s">
        <v>122</v>
      </c>
      <c r="C26" s="97" t="s">
        <v>138</v>
      </c>
      <c r="D26" s="95" t="s">
        <v>57</v>
      </c>
      <c r="E26" s="98" t="s">
        <v>139</v>
      </c>
      <c r="F26" s="64"/>
      <c r="G26" s="98" t="s">
        <v>140</v>
      </c>
      <c r="H26" s="64"/>
      <c r="I26" s="64"/>
      <c r="J26" s="64"/>
      <c r="K26" s="72"/>
      <c r="L26" s="64"/>
      <c r="M26" s="64"/>
    </row>
    <row r="27" spans="1:13">
      <c r="A27" s="64" t="s">
        <v>59</v>
      </c>
      <c r="B27" s="64"/>
      <c r="C27" s="64"/>
      <c r="D27" s="95"/>
      <c r="E27" s="64"/>
      <c r="F27" s="64"/>
      <c r="G27" s="64"/>
      <c r="H27" s="64"/>
      <c r="I27" s="64"/>
      <c r="J27" s="79" t="s">
        <v>62</v>
      </c>
      <c r="K27" s="79">
        <v>1.1499999999999999</v>
      </c>
      <c r="L27" s="64"/>
      <c r="M27" s="64"/>
    </row>
    <row r="28" spans="1:13">
      <c r="A28" s="64" t="s">
        <v>60</v>
      </c>
      <c r="B28" s="64"/>
      <c r="C28" s="64"/>
      <c r="D28" s="95" t="s">
        <v>61</v>
      </c>
      <c r="E28" s="72">
        <v>45</v>
      </c>
      <c r="F28" s="72"/>
      <c r="G28" s="77">
        <v>1319</v>
      </c>
      <c r="H28" s="64"/>
      <c r="I28" s="64"/>
      <c r="J28" s="84" t="s">
        <v>64</v>
      </c>
      <c r="K28" s="87">
        <v>1</v>
      </c>
      <c r="L28" s="64"/>
      <c r="M28" s="64"/>
    </row>
    <row r="29" spans="1:13">
      <c r="A29" s="64" t="s">
        <v>63</v>
      </c>
      <c r="B29" s="64"/>
      <c r="C29" s="64"/>
      <c r="D29" s="95" t="s">
        <v>61</v>
      </c>
      <c r="E29" s="72">
        <v>67</v>
      </c>
      <c r="F29" s="72"/>
      <c r="G29" s="72"/>
      <c r="H29" s="64"/>
      <c r="I29" s="64"/>
      <c r="J29" s="64"/>
      <c r="K29" s="64"/>
      <c r="L29" s="64"/>
      <c r="M29" s="64"/>
    </row>
    <row r="30" spans="1:13">
      <c r="A30" s="64" t="s">
        <v>7</v>
      </c>
      <c r="B30" s="64"/>
      <c r="C30" s="64"/>
      <c r="D30" s="95"/>
      <c r="E30" s="72">
        <v>112</v>
      </c>
      <c r="F30" s="72"/>
      <c r="G30" s="72"/>
      <c r="H30" s="64"/>
      <c r="I30" s="64"/>
      <c r="J30" s="64"/>
      <c r="K30" s="94"/>
      <c r="L30" s="64"/>
      <c r="M30" s="64"/>
    </row>
    <row r="31" spans="1:13">
      <c r="A31" s="64"/>
      <c r="B31" s="64"/>
      <c r="C31" s="64"/>
      <c r="D31" s="95"/>
      <c r="E31" s="64"/>
      <c r="F31" s="64"/>
      <c r="G31" s="64"/>
      <c r="H31" s="64"/>
      <c r="I31" s="64"/>
      <c r="J31" s="2"/>
      <c r="K31" s="2"/>
      <c r="L31" s="64"/>
      <c r="M31" s="64"/>
    </row>
    <row r="32" spans="1:13">
      <c r="A32" s="79" t="s">
        <v>65</v>
      </c>
      <c r="B32" s="79"/>
      <c r="C32" s="79" t="s">
        <v>66</v>
      </c>
      <c r="D32" s="99"/>
      <c r="E32" s="79"/>
      <c r="F32" s="79"/>
      <c r="G32" s="79"/>
      <c r="H32" s="64"/>
      <c r="I32" s="64"/>
      <c r="J32" s="2"/>
      <c r="K32" s="2"/>
      <c r="L32" s="64"/>
      <c r="M32" s="64"/>
    </row>
    <row r="33" spans="1:13">
      <c r="A33" s="100" t="s">
        <v>67</v>
      </c>
      <c r="B33" s="67"/>
      <c r="C33" s="101">
        <v>60</v>
      </c>
      <c r="D33" s="102" t="s">
        <v>68</v>
      </c>
      <c r="E33" s="100">
        <v>95</v>
      </c>
      <c r="F33" s="100"/>
      <c r="G33" s="103">
        <v>41</v>
      </c>
      <c r="H33" s="64"/>
      <c r="I33" s="64"/>
      <c r="J33" s="64"/>
      <c r="K33" s="64"/>
      <c r="L33" s="64"/>
      <c r="M33" s="64"/>
    </row>
    <row r="34" spans="1:13">
      <c r="A34" s="100" t="s">
        <v>141</v>
      </c>
      <c r="B34" s="67"/>
      <c r="C34" s="101">
        <v>57</v>
      </c>
      <c r="D34" s="102" t="s">
        <v>68</v>
      </c>
      <c r="E34" s="100">
        <v>153</v>
      </c>
      <c r="F34" s="100"/>
      <c r="G34" s="103">
        <v>48</v>
      </c>
      <c r="H34" s="64"/>
      <c r="I34" s="64">
        <v>23702</v>
      </c>
      <c r="J34" s="64"/>
      <c r="K34" s="64"/>
      <c r="L34" s="64"/>
      <c r="M34" s="64"/>
    </row>
    <row r="35" spans="1:13">
      <c r="A35" s="100" t="s">
        <v>142</v>
      </c>
      <c r="B35" s="67"/>
      <c r="C35" s="101">
        <v>50</v>
      </c>
      <c r="D35" s="102" t="s">
        <v>120</v>
      </c>
      <c r="E35" s="100">
        <v>81</v>
      </c>
      <c r="F35" s="100"/>
      <c r="G35" s="103">
        <v>148</v>
      </c>
      <c r="H35" s="64"/>
      <c r="I35" s="64"/>
      <c r="J35" s="64"/>
      <c r="K35" s="64"/>
      <c r="L35" s="64"/>
      <c r="M35" s="64"/>
    </row>
    <row r="36" spans="1:13">
      <c r="A36" s="79" t="s">
        <v>71</v>
      </c>
      <c r="B36" s="79"/>
      <c r="C36" s="79"/>
      <c r="D36" s="79"/>
      <c r="E36" s="79"/>
      <c r="F36" s="79"/>
      <c r="G36" s="79"/>
      <c r="H36" s="64"/>
      <c r="I36" s="64" t="s">
        <v>72</v>
      </c>
      <c r="J36" s="64"/>
      <c r="K36" s="64"/>
      <c r="L36" s="64"/>
      <c r="M36" s="64"/>
    </row>
    <row r="37" spans="1:13">
      <c r="A37" s="100" t="s">
        <v>73</v>
      </c>
      <c r="B37" s="100"/>
      <c r="C37" s="100"/>
      <c r="D37" s="100"/>
      <c r="E37" s="100"/>
      <c r="F37" s="100"/>
      <c r="G37" s="104">
        <v>5995</v>
      </c>
      <c r="H37" s="64" t="s">
        <v>74</v>
      </c>
      <c r="I37" s="72">
        <f>+G37*2.471</f>
        <v>14813.645</v>
      </c>
      <c r="J37" s="64"/>
      <c r="K37" s="104"/>
      <c r="L37" s="100"/>
      <c r="M37" s="105"/>
    </row>
    <row r="38" spans="1:13">
      <c r="A38" s="100" t="s">
        <v>75</v>
      </c>
      <c r="B38" s="100"/>
      <c r="C38" s="100"/>
      <c r="D38" s="100"/>
      <c r="E38" s="100"/>
      <c r="F38" s="100"/>
      <c r="G38" s="106">
        <v>113.2</v>
      </c>
      <c r="H38" s="64"/>
      <c r="I38" s="72"/>
      <c r="J38" s="64"/>
      <c r="K38" s="106"/>
      <c r="L38" s="100"/>
      <c r="M38" s="105"/>
    </row>
    <row r="39" spans="1:13">
      <c r="A39" s="100" t="s">
        <v>76</v>
      </c>
      <c r="B39" s="100"/>
      <c r="C39" s="100"/>
      <c r="D39" s="100"/>
      <c r="E39" s="100"/>
      <c r="F39" s="100"/>
      <c r="G39" s="107">
        <v>678634</v>
      </c>
      <c r="H39" s="64"/>
      <c r="I39" s="72">
        <f t="shared" ref="I39:I41" si="3">+G39*2.471</f>
        <v>1676904.6140000001</v>
      </c>
      <c r="J39" s="64"/>
      <c r="K39" s="107"/>
      <c r="L39" s="100"/>
      <c r="M39" s="105"/>
    </row>
    <row r="40" spans="1:13">
      <c r="A40" s="100" t="s">
        <v>77</v>
      </c>
      <c r="B40" s="100"/>
      <c r="C40" s="100"/>
      <c r="D40" s="100"/>
      <c r="E40" s="100"/>
      <c r="F40" s="100"/>
      <c r="G40" s="107">
        <v>439303</v>
      </c>
      <c r="H40" s="70"/>
      <c r="I40" s="72">
        <f t="shared" si="3"/>
        <v>1085517.713</v>
      </c>
      <c r="J40" s="64"/>
      <c r="K40" s="107"/>
      <c r="L40" s="100"/>
      <c r="M40" s="105"/>
    </row>
    <row r="41" spans="1:13">
      <c r="A41" s="100" t="s">
        <v>78</v>
      </c>
      <c r="B41" s="100"/>
      <c r="C41" s="100"/>
      <c r="D41" s="100"/>
      <c r="E41" s="100"/>
      <c r="F41" s="100"/>
      <c r="G41" s="107">
        <v>529728</v>
      </c>
      <c r="H41" s="70"/>
      <c r="I41" s="72">
        <f t="shared" si="3"/>
        <v>1308957.888</v>
      </c>
      <c r="J41" s="64"/>
      <c r="K41" s="107"/>
      <c r="L41" s="100"/>
      <c r="M41" s="105"/>
    </row>
    <row r="42" spans="1:13">
      <c r="A42" s="100"/>
      <c r="B42" s="100"/>
      <c r="C42" s="100"/>
      <c r="D42" s="100"/>
      <c r="E42" s="100"/>
      <c r="F42" s="100"/>
      <c r="G42" s="106"/>
      <c r="H42" s="64"/>
      <c r="I42" s="64"/>
      <c r="J42" s="64"/>
      <c r="K42" s="106"/>
      <c r="L42" s="100"/>
      <c r="M42" s="100"/>
    </row>
    <row r="43" spans="1:13">
      <c r="A43" s="100" t="s">
        <v>79</v>
      </c>
      <c r="B43" s="100"/>
      <c r="C43" s="100"/>
      <c r="D43" s="100"/>
      <c r="E43" s="100"/>
      <c r="F43" s="100"/>
      <c r="G43" s="106">
        <f>+K17/G37</f>
        <v>39.921768140116761</v>
      </c>
      <c r="H43" s="64"/>
      <c r="I43" s="64"/>
      <c r="J43" s="64"/>
      <c r="K43" s="106"/>
      <c r="L43" s="100"/>
      <c r="M43" s="100"/>
    </row>
    <row r="44" spans="1:13">
      <c r="A44" s="84" t="s">
        <v>80</v>
      </c>
      <c r="B44" s="84"/>
      <c r="C44" s="84"/>
      <c r="D44" s="84"/>
      <c r="E44" s="84"/>
      <c r="F44" s="84"/>
      <c r="G44" s="108">
        <f>+K18/G37</f>
        <v>24.83836530442035</v>
      </c>
      <c r="H44" s="64"/>
      <c r="I44" s="64"/>
      <c r="J44" s="64"/>
      <c r="K44" s="106"/>
      <c r="L44" s="100"/>
      <c r="M44" s="100"/>
    </row>
    <row r="45" spans="1:13">
      <c r="A45" s="109" t="s">
        <v>143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</row>
    <row r="46" spans="1:13">
      <c r="A46" s="2"/>
      <c r="B46" s="2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3"/>
  <sheetViews>
    <sheetView workbookViewId="0">
      <selection sqref="A1:M43"/>
    </sheetView>
  </sheetViews>
  <sheetFormatPr defaultRowHeight="15"/>
  <sheetData>
    <row r="1" spans="1:13">
      <c r="A1" s="63" t="s">
        <v>0</v>
      </c>
      <c r="B1" s="63" t="s">
        <v>144</v>
      </c>
      <c r="C1" s="63"/>
      <c r="D1" s="63"/>
      <c r="E1" s="63"/>
      <c r="F1" s="63"/>
      <c r="G1" s="63"/>
      <c r="H1" s="63"/>
      <c r="I1" s="63"/>
      <c r="J1" s="64"/>
      <c r="K1" s="64"/>
      <c r="L1" s="64"/>
      <c r="M1" s="64"/>
    </row>
    <row r="2" spans="1:13">
      <c r="A2" s="63"/>
      <c r="B2" s="63" t="s">
        <v>130</v>
      </c>
      <c r="C2" s="63"/>
      <c r="D2" s="63"/>
      <c r="E2" s="63"/>
      <c r="F2" s="63"/>
      <c r="G2" s="63"/>
      <c r="H2" s="63" t="s">
        <v>102</v>
      </c>
      <c r="I2" s="63"/>
      <c r="J2" s="64"/>
      <c r="K2" s="64"/>
      <c r="L2" s="64"/>
      <c r="M2" s="64"/>
    </row>
    <row r="3" spans="1:13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>
      <c r="A4" s="66" t="s">
        <v>5</v>
      </c>
      <c r="B4" s="66"/>
      <c r="C4" s="66"/>
      <c r="D4" s="66" t="s">
        <v>6</v>
      </c>
      <c r="E4" s="66" t="s">
        <v>7</v>
      </c>
      <c r="F4" s="66" t="s">
        <v>8</v>
      </c>
      <c r="G4" s="66" t="s">
        <v>9</v>
      </c>
      <c r="H4" s="66" t="s">
        <v>10</v>
      </c>
      <c r="I4" s="66" t="s">
        <v>11</v>
      </c>
      <c r="J4" s="66" t="s">
        <v>12</v>
      </c>
      <c r="K4" s="66" t="s">
        <v>13</v>
      </c>
      <c r="L4" s="66" t="s">
        <v>14</v>
      </c>
      <c r="M4" s="66"/>
    </row>
    <row r="5" spans="1:13">
      <c r="A5" s="67"/>
      <c r="B5" s="67"/>
      <c r="C5" s="67"/>
      <c r="D5" s="67" t="s">
        <v>15</v>
      </c>
      <c r="E5" s="67" t="s">
        <v>16</v>
      </c>
      <c r="F5" s="67" t="s">
        <v>16</v>
      </c>
      <c r="G5" s="67" t="s">
        <v>17</v>
      </c>
      <c r="H5" s="67" t="s">
        <v>18</v>
      </c>
      <c r="I5" s="67" t="s">
        <v>19</v>
      </c>
      <c r="J5" s="67" t="s">
        <v>18</v>
      </c>
      <c r="K5" s="67" t="s">
        <v>18</v>
      </c>
      <c r="L5" s="67" t="s">
        <v>20</v>
      </c>
      <c r="M5" s="67" t="s">
        <v>21</v>
      </c>
    </row>
    <row r="6" spans="1:13">
      <c r="A6" s="67"/>
      <c r="B6" s="67"/>
      <c r="C6" s="67"/>
      <c r="D6" s="67" t="s">
        <v>22</v>
      </c>
      <c r="E6" s="67"/>
      <c r="F6" s="67"/>
      <c r="G6" s="67"/>
      <c r="H6" s="67" t="s">
        <v>23</v>
      </c>
      <c r="I6" s="67" t="s">
        <v>18</v>
      </c>
      <c r="J6" s="67" t="s">
        <v>23</v>
      </c>
      <c r="K6" s="67" t="s">
        <v>23</v>
      </c>
      <c r="L6" s="67"/>
      <c r="M6" s="67"/>
    </row>
    <row r="7" spans="1:13">
      <c r="A7" s="68"/>
      <c r="B7" s="68"/>
      <c r="C7" s="68"/>
      <c r="D7" s="68"/>
      <c r="E7" s="68"/>
      <c r="F7" s="68"/>
      <c r="G7" s="68"/>
      <c r="H7" s="68"/>
      <c r="I7" s="68" t="s">
        <v>23</v>
      </c>
      <c r="J7" s="68"/>
      <c r="K7" s="68"/>
      <c r="L7" s="68"/>
      <c r="M7" s="68"/>
    </row>
    <row r="8" spans="1:13">
      <c r="A8" s="64" t="s">
        <v>103</v>
      </c>
      <c r="B8" s="64"/>
      <c r="C8" s="64"/>
      <c r="D8" s="74">
        <v>100</v>
      </c>
      <c r="E8" s="75">
        <v>0.7</v>
      </c>
      <c r="F8" s="70">
        <v>0.6</v>
      </c>
      <c r="G8" s="71">
        <v>1400</v>
      </c>
      <c r="H8" s="110">
        <v>980</v>
      </c>
      <c r="I8" s="72"/>
      <c r="J8" s="110">
        <v>546</v>
      </c>
      <c r="K8" s="72">
        <f>+J8+I8+H8</f>
        <v>1526</v>
      </c>
      <c r="L8" s="64"/>
      <c r="M8" s="64"/>
    </row>
    <row r="9" spans="1:13">
      <c r="A9" s="64" t="s">
        <v>108</v>
      </c>
      <c r="B9" s="64"/>
      <c r="C9" s="64"/>
      <c r="D9" s="74">
        <v>70</v>
      </c>
      <c r="E9" s="70">
        <v>0.6</v>
      </c>
      <c r="F9" s="70">
        <v>0.6</v>
      </c>
      <c r="G9" s="71">
        <v>1443</v>
      </c>
      <c r="H9" s="110">
        <v>866</v>
      </c>
      <c r="I9" s="110">
        <v>7231</v>
      </c>
      <c r="J9" s="72"/>
      <c r="K9" s="72">
        <f t="shared" ref="K9:K16" si="0">+J9+I9+H9</f>
        <v>8097</v>
      </c>
      <c r="L9" s="64"/>
      <c r="M9" s="64"/>
    </row>
    <row r="10" spans="1:13">
      <c r="A10" s="111" t="s">
        <v>145</v>
      </c>
      <c r="B10" s="111"/>
      <c r="C10" s="64"/>
      <c r="D10" s="74" t="s">
        <v>146</v>
      </c>
      <c r="E10" s="112" t="s">
        <v>147</v>
      </c>
      <c r="F10" s="70"/>
      <c r="G10" s="71"/>
      <c r="H10" s="76" t="s">
        <v>148</v>
      </c>
      <c r="I10" s="72"/>
      <c r="J10" s="72"/>
      <c r="K10" s="72"/>
      <c r="L10" s="64"/>
      <c r="M10" s="64"/>
    </row>
    <row r="11" spans="1:13">
      <c r="A11" s="64" t="s">
        <v>149</v>
      </c>
      <c r="B11" s="64"/>
      <c r="C11" s="64"/>
      <c r="D11" s="113">
        <v>100</v>
      </c>
      <c r="E11" s="70">
        <v>6.5</v>
      </c>
      <c r="F11" s="70">
        <v>2.8</v>
      </c>
      <c r="G11" s="71">
        <v>1440</v>
      </c>
      <c r="H11" s="110">
        <v>9360</v>
      </c>
      <c r="I11" s="72"/>
      <c r="J11" s="72">
        <v>3620</v>
      </c>
      <c r="K11" s="72">
        <f t="shared" si="0"/>
        <v>12980</v>
      </c>
      <c r="L11" s="64"/>
      <c r="M11" s="72"/>
    </row>
    <row r="12" spans="1:13">
      <c r="A12" s="64" t="s">
        <v>32</v>
      </c>
      <c r="B12" s="64"/>
      <c r="C12" s="64"/>
      <c r="D12" s="113">
        <v>100</v>
      </c>
      <c r="E12" s="70">
        <v>8.1</v>
      </c>
      <c r="F12" s="70">
        <v>5.5</v>
      </c>
      <c r="G12" s="71">
        <v>1218</v>
      </c>
      <c r="H12" s="110">
        <v>9866</v>
      </c>
      <c r="I12" s="72"/>
      <c r="J12" s="72">
        <v>14835</v>
      </c>
      <c r="K12" s="72">
        <f t="shared" si="0"/>
        <v>24701</v>
      </c>
      <c r="L12" s="64"/>
      <c r="M12" s="72"/>
    </row>
    <row r="13" spans="1:13">
      <c r="A13" s="64" t="s">
        <v>34</v>
      </c>
      <c r="B13" s="64"/>
      <c r="C13" s="64"/>
      <c r="D13" s="113">
        <v>100</v>
      </c>
      <c r="E13" s="70">
        <v>13.4</v>
      </c>
      <c r="F13" s="70">
        <v>4.7</v>
      </c>
      <c r="G13" s="71">
        <v>1440</v>
      </c>
      <c r="H13" s="110">
        <v>19296</v>
      </c>
      <c r="I13" s="72"/>
      <c r="J13" s="72"/>
      <c r="K13" s="72">
        <f t="shared" si="0"/>
        <v>19296</v>
      </c>
      <c r="L13" s="64"/>
      <c r="M13" s="72"/>
    </row>
    <row r="14" spans="1:13">
      <c r="A14" s="64" t="s">
        <v>35</v>
      </c>
      <c r="B14" s="64"/>
      <c r="C14" s="64"/>
      <c r="D14" s="113">
        <v>100</v>
      </c>
      <c r="E14" s="70">
        <v>10</v>
      </c>
      <c r="F14" s="70">
        <v>9.3000000000000007</v>
      </c>
      <c r="G14" s="71">
        <v>1596</v>
      </c>
      <c r="H14" s="110">
        <v>15960</v>
      </c>
      <c r="I14" s="72"/>
      <c r="J14" s="72">
        <v>26101</v>
      </c>
      <c r="K14" s="72">
        <f t="shared" si="0"/>
        <v>42061</v>
      </c>
      <c r="L14" s="64"/>
      <c r="M14" s="72"/>
    </row>
    <row r="15" spans="1:13">
      <c r="A15" s="64" t="s">
        <v>36</v>
      </c>
      <c r="B15" s="64"/>
      <c r="C15" s="64"/>
      <c r="D15" s="113">
        <v>100</v>
      </c>
      <c r="E15" s="70">
        <v>11.3</v>
      </c>
      <c r="F15" s="70">
        <v>11.3</v>
      </c>
      <c r="G15" s="71">
        <v>1218</v>
      </c>
      <c r="H15" s="110">
        <v>13763</v>
      </c>
      <c r="I15" s="72">
        <v>12007</v>
      </c>
      <c r="J15" s="72"/>
      <c r="K15" s="72">
        <f t="shared" si="0"/>
        <v>25770</v>
      </c>
      <c r="L15" s="64"/>
      <c r="M15" s="64"/>
    </row>
    <row r="16" spans="1:13">
      <c r="A16" s="64" t="s">
        <v>150</v>
      </c>
      <c r="B16" s="64"/>
      <c r="C16" s="2"/>
      <c r="D16" s="98">
        <v>100</v>
      </c>
      <c r="E16" s="70">
        <v>34.200000000000003</v>
      </c>
      <c r="F16" s="70">
        <v>16.3</v>
      </c>
      <c r="G16" s="71">
        <v>1367</v>
      </c>
      <c r="H16" s="110">
        <v>46751</v>
      </c>
      <c r="I16" s="72"/>
      <c r="J16" s="72"/>
      <c r="K16" s="72">
        <f t="shared" si="0"/>
        <v>46751</v>
      </c>
      <c r="L16" s="64"/>
      <c r="M16" s="64"/>
    </row>
    <row r="17" spans="1:13">
      <c r="A17" s="79" t="s">
        <v>44</v>
      </c>
      <c r="B17" s="79"/>
      <c r="C17" s="79"/>
      <c r="D17" s="80"/>
      <c r="E17" s="81">
        <v>84.8</v>
      </c>
      <c r="F17" s="81">
        <v>51.099999999999994</v>
      </c>
      <c r="G17" s="83">
        <v>11122</v>
      </c>
      <c r="H17" s="83">
        <f>SUM(H8:H16)</f>
        <v>116842</v>
      </c>
      <c r="I17" s="83">
        <f>SUM(I8:I16)</f>
        <v>19238</v>
      </c>
      <c r="J17" s="83">
        <f>SUM(J8:J16)</f>
        <v>45102</v>
      </c>
      <c r="K17" s="83">
        <f>SUM(H17:J17)</f>
        <v>181182</v>
      </c>
      <c r="L17" s="81">
        <v>0</v>
      </c>
      <c r="M17" s="81">
        <v>0</v>
      </c>
    </row>
    <row r="18" spans="1:13">
      <c r="A18" s="84" t="s">
        <v>45</v>
      </c>
      <c r="B18" s="84"/>
      <c r="C18" s="84"/>
      <c r="D18" s="85"/>
      <c r="E18" s="86">
        <v>33.700000000000003</v>
      </c>
      <c r="F18" s="86"/>
      <c r="G18" s="88"/>
      <c r="H18" s="88">
        <v>46750</v>
      </c>
      <c r="I18" s="88">
        <f>+I17-L17</f>
        <v>19238</v>
      </c>
      <c r="J18" s="88">
        <f>+J17-M17</f>
        <v>45102</v>
      </c>
      <c r="K18" s="88">
        <f>SUM(H18:J18)</f>
        <v>111090</v>
      </c>
      <c r="L18" s="84"/>
      <c r="M18" s="84"/>
    </row>
    <row r="19" spans="1:13">
      <c r="A19" s="89"/>
      <c r="B19" s="64"/>
      <c r="C19" s="64"/>
      <c r="D19" s="64"/>
      <c r="E19" s="64"/>
      <c r="F19" s="64"/>
      <c r="G19" s="64"/>
      <c r="H19" s="64"/>
      <c r="I19" s="64"/>
      <c r="J19" s="77"/>
      <c r="K19" s="64"/>
      <c r="L19" s="64"/>
      <c r="M19" s="64"/>
    </row>
    <row r="20" spans="1:13">
      <c r="A20" s="64"/>
      <c r="B20" s="64"/>
      <c r="C20" s="64" t="s">
        <v>46</v>
      </c>
      <c r="D20" s="64"/>
      <c r="E20" s="64"/>
      <c r="F20" s="64"/>
      <c r="G20" s="64"/>
      <c r="H20" s="64"/>
      <c r="I20" s="77"/>
      <c r="J20" s="77"/>
      <c r="K20" s="70"/>
      <c r="L20" s="64"/>
      <c r="M20" s="64"/>
    </row>
    <row r="21" spans="1:13">
      <c r="A21" s="64"/>
      <c r="B21" s="64"/>
      <c r="C21" s="64"/>
      <c r="D21" s="64"/>
      <c r="E21" s="64"/>
      <c r="F21" s="64"/>
      <c r="G21" s="64"/>
      <c r="H21" s="64"/>
      <c r="I21" s="72"/>
      <c r="J21" s="64"/>
      <c r="K21" s="77"/>
      <c r="L21" s="64"/>
      <c r="M21" s="64"/>
    </row>
    <row r="22" spans="1:13">
      <c r="A22" s="64" t="s">
        <v>47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</row>
    <row r="23" spans="1:13">
      <c r="A23" s="90" t="s">
        <v>48</v>
      </c>
      <c r="B23" s="90"/>
      <c r="C23" s="91" t="s">
        <v>53</v>
      </c>
      <c r="D23" s="90" t="s">
        <v>49</v>
      </c>
      <c r="E23" s="90" t="s">
        <v>50</v>
      </c>
      <c r="F23" s="90"/>
      <c r="G23" s="90" t="s">
        <v>51</v>
      </c>
      <c r="H23" s="64"/>
      <c r="I23" s="64"/>
      <c r="J23" s="114" t="s">
        <v>52</v>
      </c>
      <c r="K23" s="115" t="s">
        <v>53</v>
      </c>
      <c r="L23" s="64"/>
      <c r="M23" s="64"/>
    </row>
    <row r="24" spans="1:13">
      <c r="A24" s="64" t="s">
        <v>54</v>
      </c>
      <c r="B24" s="64"/>
      <c r="C24" s="64"/>
      <c r="D24" s="64"/>
      <c r="E24" s="64"/>
      <c r="F24" s="64"/>
      <c r="G24" s="64"/>
      <c r="H24" s="64"/>
      <c r="I24" s="64"/>
      <c r="J24" s="79" t="s">
        <v>151</v>
      </c>
      <c r="K24" s="83">
        <v>90</v>
      </c>
      <c r="L24" s="64"/>
      <c r="M24" s="64"/>
    </row>
    <row r="25" spans="1:13">
      <c r="A25" s="64" t="s">
        <v>137</v>
      </c>
      <c r="B25" s="64"/>
      <c r="C25" s="94"/>
      <c r="D25" s="95" t="s">
        <v>120</v>
      </c>
      <c r="E25" s="77">
        <v>0.2</v>
      </c>
      <c r="F25" s="77"/>
      <c r="G25" s="77">
        <v>18098</v>
      </c>
      <c r="H25" s="64"/>
      <c r="I25" s="64"/>
      <c r="J25" s="84" t="s">
        <v>118</v>
      </c>
      <c r="K25" s="88">
        <v>10</v>
      </c>
      <c r="L25" s="64"/>
      <c r="M25" s="64"/>
    </row>
    <row r="26" spans="1:13">
      <c r="A26" s="64" t="s">
        <v>59</v>
      </c>
      <c r="B26" s="64"/>
      <c r="C26" s="64"/>
      <c r="D26" s="95"/>
      <c r="E26" s="64"/>
      <c r="F26" s="64"/>
      <c r="G26" s="64"/>
      <c r="H26" s="64"/>
      <c r="I26" s="64"/>
      <c r="J26" s="64"/>
      <c r="K26" s="72"/>
      <c r="L26" s="64"/>
      <c r="M26" s="64"/>
    </row>
    <row r="27" spans="1:13">
      <c r="A27" s="64" t="s">
        <v>60</v>
      </c>
      <c r="B27" s="64"/>
      <c r="C27" s="64"/>
      <c r="D27" s="95" t="s">
        <v>61</v>
      </c>
      <c r="E27" s="72">
        <v>34</v>
      </c>
      <c r="F27" s="72"/>
      <c r="G27" s="77">
        <v>1375</v>
      </c>
      <c r="H27" s="64"/>
      <c r="I27" s="64"/>
      <c r="J27" s="79" t="s">
        <v>62</v>
      </c>
      <c r="K27" s="82">
        <v>0.9</v>
      </c>
      <c r="L27" s="64"/>
      <c r="M27" s="64"/>
    </row>
    <row r="28" spans="1:13">
      <c r="A28" s="64" t="s">
        <v>63</v>
      </c>
      <c r="B28" s="64"/>
      <c r="C28" s="64"/>
      <c r="D28" s="95" t="s">
        <v>61</v>
      </c>
      <c r="E28" s="72">
        <v>51</v>
      </c>
      <c r="F28" s="72"/>
      <c r="G28" s="72"/>
      <c r="H28" s="64"/>
      <c r="I28" s="64"/>
      <c r="J28" s="84" t="s">
        <v>64</v>
      </c>
      <c r="K28" s="87">
        <v>1</v>
      </c>
      <c r="L28" s="64"/>
      <c r="M28" s="64"/>
    </row>
    <row r="29" spans="1:13">
      <c r="A29" s="64" t="s">
        <v>7</v>
      </c>
      <c r="B29" s="64"/>
      <c r="C29" s="64"/>
      <c r="D29" s="95"/>
      <c r="E29" s="72">
        <f>+E28+E27</f>
        <v>85</v>
      </c>
      <c r="F29" s="72"/>
      <c r="G29" s="72"/>
      <c r="H29" s="64"/>
      <c r="I29" s="64"/>
      <c r="J29" s="64"/>
      <c r="K29" s="94"/>
      <c r="L29" s="64"/>
      <c r="M29" s="64"/>
    </row>
    <row r="30" spans="1:13">
      <c r="A30" s="79" t="s">
        <v>65</v>
      </c>
      <c r="B30" s="79"/>
      <c r="C30" s="79" t="s">
        <v>66</v>
      </c>
      <c r="D30" s="99"/>
      <c r="E30" s="79"/>
      <c r="F30" s="79"/>
      <c r="G30" s="79"/>
      <c r="H30" s="64"/>
      <c r="I30" s="64"/>
      <c r="J30" s="2"/>
      <c r="K30" s="2"/>
      <c r="L30" s="64"/>
      <c r="M30" s="64"/>
    </row>
    <row r="31" spans="1:13">
      <c r="A31" s="100" t="s">
        <v>69</v>
      </c>
      <c r="B31" s="67"/>
      <c r="C31" s="116">
        <v>87</v>
      </c>
      <c r="D31" s="102" t="s">
        <v>120</v>
      </c>
      <c r="E31" s="100">
        <v>170</v>
      </c>
      <c r="F31" s="100"/>
      <c r="G31" s="103">
        <v>40</v>
      </c>
      <c r="H31" s="64"/>
      <c r="I31" s="64"/>
      <c r="J31" s="64"/>
      <c r="K31" s="64"/>
      <c r="L31" s="64"/>
      <c r="M31" s="64"/>
    </row>
    <row r="32" spans="1:13">
      <c r="A32" s="117" t="s">
        <v>67</v>
      </c>
      <c r="B32" s="67"/>
      <c r="C32" s="116">
        <v>50</v>
      </c>
      <c r="D32" s="102" t="s">
        <v>120</v>
      </c>
      <c r="E32" s="117">
        <v>43</v>
      </c>
      <c r="F32" s="100"/>
      <c r="G32" s="118">
        <v>41</v>
      </c>
      <c r="H32" s="64"/>
      <c r="I32" s="64"/>
      <c r="J32" s="64"/>
      <c r="K32" s="64"/>
      <c r="L32" s="64"/>
      <c r="M32" s="64"/>
    </row>
    <row r="33" spans="1:13">
      <c r="A33" s="117" t="s">
        <v>141</v>
      </c>
      <c r="B33" s="67"/>
      <c r="C33" s="116">
        <v>53</v>
      </c>
      <c r="D33" s="102" t="s">
        <v>120</v>
      </c>
      <c r="E33" s="117">
        <v>128</v>
      </c>
      <c r="F33" s="100"/>
      <c r="G33" s="118">
        <v>49</v>
      </c>
      <c r="H33" s="64"/>
      <c r="I33" s="64"/>
      <c r="J33" s="64"/>
      <c r="K33" s="64"/>
      <c r="L33" s="64"/>
      <c r="M33" s="64"/>
    </row>
    <row r="34" spans="1:13">
      <c r="A34" s="79" t="s">
        <v>71</v>
      </c>
      <c r="B34" s="79"/>
      <c r="C34" s="79"/>
      <c r="D34" s="79"/>
      <c r="E34" s="79"/>
      <c r="F34" s="79"/>
      <c r="G34" s="79"/>
      <c r="H34" s="64"/>
      <c r="I34" s="64" t="s">
        <v>72</v>
      </c>
      <c r="J34" s="64"/>
      <c r="K34" s="64"/>
      <c r="L34" s="64"/>
      <c r="M34" s="64"/>
    </row>
    <row r="35" spans="1:13">
      <c r="A35" s="100" t="s">
        <v>73</v>
      </c>
      <c r="B35" s="100"/>
      <c r="C35" s="100"/>
      <c r="D35" s="100"/>
      <c r="E35" s="100"/>
      <c r="F35" s="100"/>
      <c r="G35" s="104">
        <v>9124</v>
      </c>
      <c r="H35" s="64"/>
      <c r="I35" s="72">
        <v>22545</v>
      </c>
      <c r="J35" s="72"/>
      <c r="K35" s="64"/>
      <c r="L35" s="64"/>
      <c r="M35" s="64"/>
    </row>
    <row r="36" spans="1:13">
      <c r="A36" s="100" t="s">
        <v>75</v>
      </c>
      <c r="B36" s="100"/>
      <c r="C36" s="100"/>
      <c r="D36" s="100"/>
      <c r="E36" s="100"/>
      <c r="F36" s="100"/>
      <c r="G36" s="106">
        <v>89.4</v>
      </c>
      <c r="H36" s="64"/>
      <c r="I36" s="72"/>
      <c r="J36" s="72"/>
      <c r="K36" s="77"/>
      <c r="L36" s="64"/>
      <c r="M36" s="64"/>
    </row>
    <row r="37" spans="1:13">
      <c r="A37" s="100" t="s">
        <v>76</v>
      </c>
      <c r="B37" s="100"/>
      <c r="C37" s="100"/>
      <c r="D37" s="100"/>
      <c r="E37" s="100"/>
      <c r="F37" s="100"/>
      <c r="G37" s="107">
        <v>815686</v>
      </c>
      <c r="H37" s="72"/>
      <c r="I37" s="72">
        <v>2015560</v>
      </c>
      <c r="J37" s="72"/>
      <c r="K37" s="77"/>
      <c r="L37" s="64"/>
      <c r="M37" s="64"/>
    </row>
    <row r="38" spans="1:13">
      <c r="A38" s="100" t="s">
        <v>77</v>
      </c>
      <c r="B38" s="100"/>
      <c r="C38" s="100"/>
      <c r="D38" s="100"/>
      <c r="E38" s="100"/>
      <c r="F38" s="100"/>
      <c r="G38" s="107">
        <v>634504</v>
      </c>
      <c r="H38" s="72"/>
      <c r="I38" s="72">
        <v>1567859</v>
      </c>
      <c r="J38" s="72"/>
      <c r="K38" s="64"/>
      <c r="L38" s="64"/>
      <c r="M38" s="64"/>
    </row>
    <row r="39" spans="1:13">
      <c r="A39" s="100" t="s">
        <v>78</v>
      </c>
      <c r="B39" s="100"/>
      <c r="C39" s="100"/>
      <c r="D39" s="100"/>
      <c r="E39" s="100"/>
      <c r="F39" s="100"/>
      <c r="G39" s="107">
        <v>704596</v>
      </c>
      <c r="H39" s="72"/>
      <c r="I39" s="72">
        <v>1741057</v>
      </c>
      <c r="J39" s="72"/>
      <c r="K39" s="64"/>
      <c r="L39" s="64"/>
      <c r="M39" s="64"/>
    </row>
    <row r="40" spans="1:13">
      <c r="A40" s="100"/>
      <c r="B40" s="100"/>
      <c r="C40" s="100"/>
      <c r="D40" s="100"/>
      <c r="E40" s="100"/>
      <c r="F40" s="100"/>
      <c r="G40" s="106"/>
      <c r="H40" s="72"/>
      <c r="I40" s="64"/>
      <c r="J40" s="64"/>
      <c r="K40" s="64"/>
      <c r="L40" s="64"/>
      <c r="M40" s="64"/>
    </row>
    <row r="41" spans="1:13">
      <c r="A41" s="100" t="s">
        <v>79</v>
      </c>
      <c r="B41" s="100"/>
      <c r="C41" s="100"/>
      <c r="D41" s="100"/>
      <c r="E41" s="100"/>
      <c r="F41" s="100"/>
      <c r="G41" s="106">
        <f>+K17/G35</f>
        <v>19.85773783428321</v>
      </c>
      <c r="H41" s="77"/>
      <c r="I41" s="64"/>
      <c r="J41" s="64"/>
      <c r="K41" s="64"/>
      <c r="L41" s="64"/>
      <c r="M41" s="64"/>
    </row>
    <row r="42" spans="1:13">
      <c r="A42" s="84" t="s">
        <v>80</v>
      </c>
      <c r="B42" s="84"/>
      <c r="C42" s="84"/>
      <c r="D42" s="84"/>
      <c r="E42" s="84"/>
      <c r="F42" s="84"/>
      <c r="G42" s="108">
        <f>+K18/G35</f>
        <v>12.175580885576501</v>
      </c>
      <c r="H42" s="77"/>
      <c r="I42" s="64"/>
      <c r="J42" s="64"/>
      <c r="K42" s="64"/>
      <c r="L42" s="64"/>
      <c r="M42" s="64"/>
    </row>
    <row r="43" spans="1:1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7"/>
  <sheetViews>
    <sheetView workbookViewId="0">
      <selection sqref="A1:M47"/>
    </sheetView>
  </sheetViews>
  <sheetFormatPr defaultRowHeight="15"/>
  <sheetData>
    <row r="1" spans="1:13">
      <c r="A1" s="64" t="s">
        <v>0</v>
      </c>
      <c r="B1" s="64" t="s">
        <v>152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>
      <c r="A2" s="64"/>
      <c r="B2" s="64" t="s">
        <v>153</v>
      </c>
      <c r="C2" s="64"/>
      <c r="D2" s="64"/>
      <c r="E2" s="64"/>
      <c r="F2" s="64"/>
      <c r="G2" s="64"/>
      <c r="H2" s="64" t="s">
        <v>102</v>
      </c>
      <c r="I2" s="64"/>
      <c r="J2" s="64"/>
      <c r="K2" s="64"/>
      <c r="L2" s="64"/>
      <c r="M2" s="64"/>
    </row>
    <row r="3" spans="1:13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</row>
    <row r="4" spans="1:13">
      <c r="A4" s="66" t="s">
        <v>5</v>
      </c>
      <c r="B4" s="66"/>
      <c r="C4" s="66"/>
      <c r="D4" s="66" t="s">
        <v>6</v>
      </c>
      <c r="E4" s="66" t="s">
        <v>7</v>
      </c>
      <c r="F4" s="66" t="s">
        <v>8</v>
      </c>
      <c r="G4" s="66" t="s">
        <v>9</v>
      </c>
      <c r="H4" s="66" t="s">
        <v>10</v>
      </c>
      <c r="I4" s="66" t="s">
        <v>11</v>
      </c>
      <c r="J4" s="66" t="s">
        <v>12</v>
      </c>
      <c r="K4" s="66" t="s">
        <v>13</v>
      </c>
      <c r="L4" s="66" t="s">
        <v>14</v>
      </c>
      <c r="M4" s="66"/>
    </row>
    <row r="5" spans="1:13">
      <c r="A5" s="67"/>
      <c r="B5" s="67"/>
      <c r="C5" s="67"/>
      <c r="D5" s="67" t="s">
        <v>15</v>
      </c>
      <c r="E5" s="67" t="s">
        <v>16</v>
      </c>
      <c r="F5" s="67" t="s">
        <v>16</v>
      </c>
      <c r="G5" s="67" t="s">
        <v>17</v>
      </c>
      <c r="H5" s="67" t="s">
        <v>18</v>
      </c>
      <c r="I5" s="67" t="s">
        <v>19</v>
      </c>
      <c r="J5" s="67" t="s">
        <v>18</v>
      </c>
      <c r="K5" s="67" t="s">
        <v>18</v>
      </c>
      <c r="L5" s="67" t="s">
        <v>20</v>
      </c>
      <c r="M5" s="67" t="s">
        <v>21</v>
      </c>
    </row>
    <row r="6" spans="1:13">
      <c r="A6" s="67"/>
      <c r="B6" s="67"/>
      <c r="C6" s="67"/>
      <c r="D6" s="67" t="s">
        <v>22</v>
      </c>
      <c r="E6" s="67"/>
      <c r="F6" s="67"/>
      <c r="G6" s="67"/>
      <c r="H6" s="67" t="s">
        <v>23</v>
      </c>
      <c r="I6" s="67" t="s">
        <v>18</v>
      </c>
      <c r="J6" s="67" t="s">
        <v>23</v>
      </c>
      <c r="K6" s="67" t="s">
        <v>23</v>
      </c>
      <c r="L6" s="67"/>
      <c r="M6" s="67"/>
    </row>
    <row r="7" spans="1:13">
      <c r="A7" s="68"/>
      <c r="B7" s="68"/>
      <c r="C7" s="68"/>
      <c r="D7" s="68"/>
      <c r="E7" s="68"/>
      <c r="F7" s="68"/>
      <c r="G7" s="68"/>
      <c r="H7" s="68"/>
      <c r="I7" s="68" t="s">
        <v>23</v>
      </c>
      <c r="J7" s="68"/>
      <c r="K7" s="68"/>
      <c r="L7" s="68"/>
      <c r="M7" s="68"/>
    </row>
    <row r="8" spans="1:13">
      <c r="A8" s="64" t="s">
        <v>103</v>
      </c>
      <c r="B8" s="64"/>
      <c r="C8" s="64"/>
      <c r="D8" s="74" t="s">
        <v>154</v>
      </c>
      <c r="E8" s="119" t="s">
        <v>155</v>
      </c>
      <c r="F8" s="70"/>
      <c r="G8" s="120"/>
      <c r="H8" s="76" t="s">
        <v>156</v>
      </c>
      <c r="I8" s="64"/>
      <c r="J8" s="76" t="s">
        <v>157</v>
      </c>
      <c r="K8" s="72"/>
      <c r="L8" s="64"/>
      <c r="M8" s="64"/>
    </row>
    <row r="9" spans="1:13">
      <c r="A9" s="64" t="s">
        <v>24</v>
      </c>
      <c r="B9" s="64"/>
      <c r="C9" s="64"/>
      <c r="D9" s="121">
        <v>66</v>
      </c>
      <c r="E9" s="75">
        <v>10.3</v>
      </c>
      <c r="F9" s="70">
        <v>2.4</v>
      </c>
      <c r="G9" s="71">
        <v>1040</v>
      </c>
      <c r="H9" s="72">
        <v>10712</v>
      </c>
      <c r="I9" s="64"/>
      <c r="J9" s="72"/>
      <c r="K9" s="72">
        <v>10712</v>
      </c>
      <c r="L9" s="64"/>
      <c r="M9" s="64"/>
    </row>
    <row r="10" spans="1:13">
      <c r="A10" s="64" t="s">
        <v>158</v>
      </c>
      <c r="B10" s="64"/>
      <c r="C10" s="64"/>
      <c r="D10" s="69">
        <v>56</v>
      </c>
      <c r="E10" s="70">
        <v>14.7</v>
      </c>
      <c r="F10" s="70">
        <v>5.6</v>
      </c>
      <c r="G10" s="71">
        <v>1193</v>
      </c>
      <c r="H10" s="72">
        <v>17537</v>
      </c>
      <c r="I10" s="64"/>
      <c r="J10" s="72"/>
      <c r="K10" s="72">
        <v>17537</v>
      </c>
      <c r="L10" s="72"/>
      <c r="M10" s="64"/>
    </row>
    <row r="11" spans="1:13">
      <c r="A11" s="73" t="s">
        <v>132</v>
      </c>
      <c r="B11" s="64"/>
      <c r="C11" s="64"/>
      <c r="D11" s="74" t="s">
        <v>159</v>
      </c>
      <c r="E11" s="75"/>
      <c r="F11" s="70"/>
      <c r="G11" s="71"/>
      <c r="H11" s="72"/>
      <c r="I11" s="98" t="s">
        <v>160</v>
      </c>
      <c r="J11" s="72"/>
      <c r="K11" s="72"/>
      <c r="L11" s="64"/>
      <c r="M11" s="64"/>
    </row>
    <row r="12" spans="1:13">
      <c r="A12" s="64" t="s">
        <v>161</v>
      </c>
      <c r="B12" s="64"/>
      <c r="C12" s="64"/>
      <c r="D12" s="69">
        <v>100</v>
      </c>
      <c r="E12" s="70">
        <v>11.2</v>
      </c>
      <c r="F12" s="70">
        <v>4.5</v>
      </c>
      <c r="G12" s="71">
        <v>1294</v>
      </c>
      <c r="H12" s="72">
        <v>14493</v>
      </c>
      <c r="I12" s="64"/>
      <c r="J12" s="122">
        <v>4896</v>
      </c>
      <c r="K12" s="72">
        <v>19389</v>
      </c>
      <c r="L12" s="64"/>
      <c r="M12" s="64"/>
    </row>
    <row r="13" spans="1:13">
      <c r="A13" s="64" t="s">
        <v>149</v>
      </c>
      <c r="B13" s="64"/>
      <c r="C13" s="64"/>
      <c r="D13" s="69">
        <v>100</v>
      </c>
      <c r="E13" s="70">
        <v>15.7</v>
      </c>
      <c r="F13" s="70">
        <v>5.4</v>
      </c>
      <c r="G13" s="71">
        <v>1247</v>
      </c>
      <c r="H13" s="72">
        <v>19578</v>
      </c>
      <c r="I13" s="64"/>
      <c r="J13" s="72">
        <v>32335</v>
      </c>
      <c r="K13" s="72">
        <v>51913</v>
      </c>
      <c r="L13" s="64"/>
      <c r="M13" s="72"/>
    </row>
    <row r="14" spans="1:13">
      <c r="A14" s="64" t="s">
        <v>32</v>
      </c>
      <c r="B14" s="64"/>
      <c r="C14" s="64"/>
      <c r="D14" s="69">
        <v>100</v>
      </c>
      <c r="E14" s="70">
        <v>7.1</v>
      </c>
      <c r="F14" s="70">
        <v>4.3</v>
      </c>
      <c r="G14" s="71">
        <v>1076</v>
      </c>
      <c r="H14" s="72">
        <v>7640</v>
      </c>
      <c r="I14" s="64"/>
      <c r="J14" s="72">
        <v>14628</v>
      </c>
      <c r="K14" s="72">
        <v>22268</v>
      </c>
      <c r="L14" s="64"/>
      <c r="M14" s="72"/>
    </row>
    <row r="15" spans="1:13">
      <c r="A15" s="64" t="s">
        <v>34</v>
      </c>
      <c r="B15" s="64"/>
      <c r="C15" s="64"/>
      <c r="D15" s="69">
        <v>100</v>
      </c>
      <c r="E15" s="70">
        <v>13.1</v>
      </c>
      <c r="F15" s="70">
        <v>3.8</v>
      </c>
      <c r="G15" s="71">
        <v>1137</v>
      </c>
      <c r="H15" s="72">
        <v>14895</v>
      </c>
      <c r="I15" s="64"/>
      <c r="J15" s="72"/>
      <c r="K15" s="72">
        <v>14895</v>
      </c>
      <c r="L15" s="64"/>
      <c r="M15" s="72"/>
    </row>
    <row r="16" spans="1:13">
      <c r="A16" s="64" t="s">
        <v>35</v>
      </c>
      <c r="B16" s="64"/>
      <c r="C16" s="64"/>
      <c r="D16" s="69">
        <v>100</v>
      </c>
      <c r="E16" s="70">
        <v>9.1</v>
      </c>
      <c r="F16" s="70">
        <v>7.1</v>
      </c>
      <c r="G16" s="71">
        <v>1467</v>
      </c>
      <c r="H16" s="72">
        <v>13350</v>
      </c>
      <c r="I16" s="64"/>
      <c r="J16" s="72">
        <v>15032</v>
      </c>
      <c r="K16" s="72">
        <v>28382</v>
      </c>
      <c r="L16" s="64"/>
      <c r="M16" s="72"/>
    </row>
    <row r="17" spans="1:13">
      <c r="A17" s="64" t="s">
        <v>36</v>
      </c>
      <c r="B17" s="64"/>
      <c r="C17" s="64"/>
      <c r="D17" s="69">
        <v>100</v>
      </c>
      <c r="E17" s="70">
        <v>18.8</v>
      </c>
      <c r="F17" s="70">
        <v>18.600000000000001</v>
      </c>
      <c r="G17" s="71">
        <v>1147</v>
      </c>
      <c r="H17" s="72">
        <v>21564</v>
      </c>
      <c r="I17" s="72">
        <v>10471</v>
      </c>
      <c r="J17" s="72"/>
      <c r="K17" s="72">
        <v>32035</v>
      </c>
      <c r="L17" s="64"/>
      <c r="M17" s="64"/>
    </row>
    <row r="18" spans="1:13">
      <c r="A18" s="64" t="s">
        <v>90</v>
      </c>
      <c r="B18" s="64"/>
      <c r="C18" s="2"/>
      <c r="D18" s="73">
        <v>56</v>
      </c>
      <c r="E18" s="70"/>
      <c r="F18" s="70"/>
      <c r="G18" s="71"/>
      <c r="H18" s="72"/>
      <c r="I18" s="64"/>
      <c r="J18" s="72"/>
      <c r="K18" s="72"/>
      <c r="L18" s="64"/>
      <c r="M18" s="64"/>
    </row>
    <row r="19" spans="1:13">
      <c r="A19" s="64" t="s">
        <v>162</v>
      </c>
      <c r="B19" s="64"/>
      <c r="C19" s="64"/>
      <c r="D19" s="74" t="s">
        <v>159</v>
      </c>
      <c r="E19" s="70"/>
      <c r="F19" s="70"/>
      <c r="G19" s="120"/>
      <c r="H19" s="76" t="s">
        <v>163</v>
      </c>
      <c r="I19" s="64"/>
      <c r="J19" s="72"/>
      <c r="K19" s="72"/>
      <c r="L19" s="64"/>
      <c r="M19" s="64"/>
    </row>
    <row r="20" spans="1:13">
      <c r="A20" s="79" t="s">
        <v>44</v>
      </c>
      <c r="B20" s="79"/>
      <c r="C20" s="79"/>
      <c r="D20" s="80"/>
      <c r="E20" s="83">
        <v>100</v>
      </c>
      <c r="F20" s="81">
        <v>51.7</v>
      </c>
      <c r="G20" s="82"/>
      <c r="H20" s="83">
        <f>SUM(H9:H17)</f>
        <v>119769</v>
      </c>
      <c r="I20" s="83">
        <f>SUM(I9:I17)</f>
        <v>10471</v>
      </c>
      <c r="J20" s="83">
        <f>SUM(J9:J17)</f>
        <v>66891</v>
      </c>
      <c r="K20" s="83">
        <f>SUM(H20:J20)</f>
        <v>197131</v>
      </c>
      <c r="L20" s="83"/>
      <c r="M20" s="83"/>
    </row>
    <row r="21" spans="1:13">
      <c r="A21" s="84" t="s">
        <v>45</v>
      </c>
      <c r="B21" s="84"/>
      <c r="C21" s="84"/>
      <c r="D21" s="85"/>
      <c r="E21" s="86"/>
      <c r="F21" s="86"/>
      <c r="G21" s="87"/>
      <c r="H21" s="88">
        <v>57504</v>
      </c>
      <c r="I21" s="88">
        <v>10471</v>
      </c>
      <c r="J21" s="88">
        <v>66891</v>
      </c>
      <c r="K21" s="88">
        <f>SUM(H21:J21)</f>
        <v>134866</v>
      </c>
      <c r="L21" s="84"/>
      <c r="M21" s="84"/>
    </row>
    <row r="22" spans="1:13">
      <c r="A22" s="89" t="s">
        <v>164</v>
      </c>
      <c r="B22" s="64"/>
      <c r="C22" s="64"/>
      <c r="D22" s="64"/>
      <c r="E22" s="64"/>
      <c r="F22" s="64"/>
      <c r="G22" s="64"/>
      <c r="H22" s="64"/>
      <c r="I22" s="64"/>
      <c r="J22" s="72"/>
      <c r="K22" s="64"/>
      <c r="L22" s="64"/>
      <c r="M22" s="64"/>
    </row>
    <row r="23" spans="1:13">
      <c r="A23" s="64"/>
      <c r="B23" s="64"/>
      <c r="C23" s="64" t="s">
        <v>46</v>
      </c>
      <c r="D23" s="64"/>
      <c r="E23" s="64"/>
      <c r="F23" s="64"/>
      <c r="G23" s="64"/>
      <c r="H23" s="105"/>
      <c r="I23" s="105"/>
      <c r="J23" s="105"/>
      <c r="K23" s="105"/>
      <c r="L23" s="105"/>
      <c r="M23" s="105"/>
    </row>
    <row r="24" spans="1:13">
      <c r="A24" s="64"/>
      <c r="B24" s="64"/>
      <c r="C24" s="64"/>
      <c r="D24" s="64"/>
      <c r="E24" s="64"/>
      <c r="F24" s="64"/>
      <c r="G24" s="64"/>
      <c r="H24" s="64"/>
      <c r="I24" s="72"/>
      <c r="J24" s="64"/>
      <c r="K24" s="77"/>
      <c r="L24" s="64"/>
      <c r="M24" s="64"/>
    </row>
    <row r="25" spans="1:13">
      <c r="A25" s="64" t="s">
        <v>47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</row>
    <row r="26" spans="1:13">
      <c r="A26" s="90" t="s">
        <v>48</v>
      </c>
      <c r="B26" s="90"/>
      <c r="C26" s="91" t="s">
        <v>53</v>
      </c>
      <c r="D26" s="90" t="s">
        <v>49</v>
      </c>
      <c r="E26" s="90" t="s">
        <v>50</v>
      </c>
      <c r="F26" s="90"/>
      <c r="G26" s="90" t="s">
        <v>51</v>
      </c>
      <c r="H26" s="64"/>
      <c r="I26" s="64"/>
      <c r="J26" s="114" t="s">
        <v>52</v>
      </c>
      <c r="K26" s="115" t="s">
        <v>53</v>
      </c>
      <c r="L26" s="64"/>
      <c r="M26" s="64"/>
    </row>
    <row r="27" spans="1:13">
      <c r="A27" s="64" t="s">
        <v>54</v>
      </c>
      <c r="B27" s="64"/>
      <c r="C27" s="64"/>
      <c r="D27" s="64"/>
      <c r="E27" s="64"/>
      <c r="F27" s="64"/>
      <c r="G27" s="64"/>
      <c r="H27" s="64"/>
      <c r="I27" s="64"/>
      <c r="J27" s="79" t="s">
        <v>165</v>
      </c>
      <c r="K27" s="83">
        <v>32</v>
      </c>
      <c r="L27" s="64"/>
      <c r="M27" s="64"/>
    </row>
    <row r="28" spans="1:13">
      <c r="A28" s="64" t="s">
        <v>137</v>
      </c>
      <c r="B28" s="64" t="s">
        <v>166</v>
      </c>
      <c r="C28" s="94">
        <v>50</v>
      </c>
      <c r="D28" s="95" t="s">
        <v>167</v>
      </c>
      <c r="E28" s="96">
        <v>16331</v>
      </c>
      <c r="F28" s="77"/>
      <c r="G28" s="77">
        <v>1.98</v>
      </c>
      <c r="H28" s="64"/>
      <c r="I28" s="64"/>
      <c r="J28" s="100" t="s">
        <v>168</v>
      </c>
      <c r="K28" s="105">
        <v>27</v>
      </c>
      <c r="L28" s="64"/>
      <c r="M28" s="64"/>
    </row>
    <row r="29" spans="1:13">
      <c r="A29" s="64"/>
      <c r="B29" s="73" t="s">
        <v>169</v>
      </c>
      <c r="C29" s="97" t="s">
        <v>154</v>
      </c>
      <c r="D29" s="95" t="s">
        <v>68</v>
      </c>
      <c r="E29" s="98" t="s">
        <v>170</v>
      </c>
      <c r="F29" s="64"/>
      <c r="G29" s="73" t="s">
        <v>171</v>
      </c>
      <c r="H29" s="72"/>
      <c r="I29" s="64"/>
      <c r="J29" s="100" t="s">
        <v>172</v>
      </c>
      <c r="K29" s="105">
        <v>8</v>
      </c>
      <c r="L29" s="64"/>
      <c r="M29" s="64"/>
    </row>
    <row r="30" spans="1:13">
      <c r="A30" s="64"/>
      <c r="B30" s="64"/>
      <c r="C30" s="94"/>
      <c r="D30" s="95"/>
      <c r="E30" s="95"/>
      <c r="F30" s="64"/>
      <c r="G30" s="64"/>
      <c r="H30" s="64"/>
      <c r="I30" s="64"/>
      <c r="J30" s="84" t="s">
        <v>173</v>
      </c>
      <c r="K30" s="88">
        <v>33</v>
      </c>
      <c r="L30" s="64"/>
      <c r="M30" s="64"/>
    </row>
    <row r="31" spans="1:13">
      <c r="A31" s="64" t="s">
        <v>59</v>
      </c>
      <c r="B31" s="64"/>
      <c r="C31" s="94"/>
      <c r="D31" s="95"/>
      <c r="E31" s="95"/>
      <c r="F31" s="64"/>
      <c r="G31" s="64"/>
      <c r="H31" s="64"/>
      <c r="I31" s="64"/>
      <c r="J31" s="2"/>
      <c r="K31" s="2"/>
      <c r="L31" s="64"/>
      <c r="M31" s="64"/>
    </row>
    <row r="32" spans="1:13">
      <c r="A32" s="64" t="s">
        <v>60</v>
      </c>
      <c r="B32" s="64"/>
      <c r="C32" s="94"/>
      <c r="D32" s="95" t="s">
        <v>61</v>
      </c>
      <c r="E32" s="123">
        <v>48</v>
      </c>
      <c r="F32" s="72"/>
      <c r="G32" s="77">
        <v>1198</v>
      </c>
      <c r="H32" s="64"/>
      <c r="I32" s="64"/>
      <c r="J32" s="79" t="s">
        <v>62</v>
      </c>
      <c r="K32" s="82">
        <v>0.4</v>
      </c>
      <c r="L32" s="64"/>
      <c r="M32" s="64"/>
    </row>
    <row r="33" spans="1:13">
      <c r="A33" s="64" t="s">
        <v>63</v>
      </c>
      <c r="B33" s="64"/>
      <c r="C33" s="94"/>
      <c r="D33" s="95" t="s">
        <v>61</v>
      </c>
      <c r="E33" s="123">
        <v>52</v>
      </c>
      <c r="F33" s="72"/>
      <c r="G33" s="72"/>
      <c r="H33" s="64"/>
      <c r="I33" s="64"/>
      <c r="J33" s="84" t="s">
        <v>64</v>
      </c>
      <c r="K33" s="87">
        <v>0.3</v>
      </c>
      <c r="L33" s="64"/>
      <c r="M33" s="64"/>
    </row>
    <row r="34" spans="1:13">
      <c r="A34" s="64" t="s">
        <v>7</v>
      </c>
      <c r="B34" s="64"/>
      <c r="C34" s="64"/>
      <c r="D34" s="95"/>
      <c r="E34" s="123">
        <f>+E33+E32</f>
        <v>100</v>
      </c>
      <c r="F34" s="72"/>
      <c r="G34" s="72"/>
      <c r="H34" s="64"/>
      <c r="I34" s="64"/>
      <c r="J34" s="64"/>
      <c r="K34" s="94"/>
      <c r="L34" s="64"/>
      <c r="M34" s="64"/>
    </row>
    <row r="35" spans="1:13">
      <c r="A35" s="79" t="s">
        <v>65</v>
      </c>
      <c r="B35" s="79"/>
      <c r="C35" s="79" t="s">
        <v>66</v>
      </c>
      <c r="D35" s="99"/>
      <c r="E35" s="79"/>
      <c r="F35" s="79"/>
      <c r="G35" s="79"/>
      <c r="H35" s="64"/>
      <c r="I35" s="64"/>
      <c r="J35" s="2"/>
      <c r="K35" s="2"/>
      <c r="L35" s="64"/>
      <c r="M35" s="64"/>
    </row>
    <row r="36" spans="1:13">
      <c r="A36" s="100" t="s">
        <v>141</v>
      </c>
      <c r="B36" s="67"/>
      <c r="C36" s="101">
        <v>88</v>
      </c>
      <c r="D36" s="102" t="s">
        <v>68</v>
      </c>
      <c r="E36" s="102">
        <v>318</v>
      </c>
      <c r="F36" s="100"/>
      <c r="G36" s="103">
        <v>46</v>
      </c>
      <c r="H36" s="64"/>
      <c r="I36" s="64"/>
      <c r="J36" s="64"/>
      <c r="K36" s="64"/>
      <c r="L36" s="64"/>
      <c r="M36" s="64"/>
    </row>
    <row r="37" spans="1:13">
      <c r="A37" s="117" t="s">
        <v>174</v>
      </c>
      <c r="B37" s="67"/>
      <c r="C37" s="101" t="s">
        <v>175</v>
      </c>
      <c r="D37" s="102" t="s">
        <v>120</v>
      </c>
      <c r="E37" s="124" t="s">
        <v>176</v>
      </c>
      <c r="F37" s="100"/>
      <c r="G37" s="125" t="s">
        <v>177</v>
      </c>
      <c r="H37" s="64"/>
      <c r="I37" s="64"/>
      <c r="J37" s="64"/>
      <c r="K37" s="64"/>
      <c r="L37" s="64"/>
      <c r="M37" s="64"/>
    </row>
    <row r="38" spans="1:13">
      <c r="A38" s="79" t="s">
        <v>71</v>
      </c>
      <c r="B38" s="79"/>
      <c r="C38" s="79"/>
      <c r="D38" s="79"/>
      <c r="E38" s="79"/>
      <c r="F38" s="79"/>
      <c r="G38" s="79"/>
      <c r="H38" s="64"/>
      <c r="I38" s="64" t="s">
        <v>72</v>
      </c>
      <c r="J38" s="64"/>
      <c r="K38" s="64"/>
      <c r="L38" s="64"/>
      <c r="M38" s="64"/>
    </row>
    <row r="39" spans="1:13">
      <c r="A39" s="100" t="s">
        <v>73</v>
      </c>
      <c r="B39" s="100"/>
      <c r="C39" s="100"/>
      <c r="D39" s="100"/>
      <c r="E39" s="100"/>
      <c r="F39" s="100"/>
      <c r="G39" s="104">
        <v>9856</v>
      </c>
      <c r="H39" s="64"/>
      <c r="I39" s="72">
        <f>+G39*2.471</f>
        <v>24354.175999999999</v>
      </c>
      <c r="J39" s="72"/>
      <c r="K39" s="64"/>
      <c r="L39" s="64"/>
      <c r="M39" s="64"/>
    </row>
    <row r="40" spans="1:13">
      <c r="A40" s="100" t="s">
        <v>75</v>
      </c>
      <c r="B40" s="100"/>
      <c r="C40" s="100"/>
      <c r="D40" s="100"/>
      <c r="E40" s="100"/>
      <c r="F40" s="100"/>
      <c r="G40" s="106">
        <v>54</v>
      </c>
      <c r="H40" s="64"/>
      <c r="I40" s="72"/>
      <c r="J40" s="72"/>
      <c r="K40" s="77"/>
      <c r="L40" s="64"/>
      <c r="M40" s="64"/>
    </row>
    <row r="41" spans="1:13">
      <c r="A41" s="100" t="s">
        <v>76</v>
      </c>
      <c r="B41" s="100"/>
      <c r="C41" s="100"/>
      <c r="D41" s="100"/>
      <c r="E41" s="100"/>
      <c r="F41" s="100"/>
      <c r="G41" s="107">
        <v>532224</v>
      </c>
      <c r="H41" s="64"/>
      <c r="I41" s="72">
        <f t="shared" ref="I41:I43" si="0">+G41*2.471</f>
        <v>1315125.504</v>
      </c>
      <c r="J41" s="72"/>
      <c r="K41" s="77"/>
      <c r="L41" s="64"/>
      <c r="M41" s="64"/>
    </row>
    <row r="42" spans="1:13">
      <c r="A42" s="100" t="s">
        <v>77</v>
      </c>
      <c r="B42" s="100"/>
      <c r="C42" s="100"/>
      <c r="D42" s="100"/>
      <c r="E42" s="100"/>
      <c r="F42" s="100"/>
      <c r="G42" s="107">
        <v>335093</v>
      </c>
      <c r="H42" s="72"/>
      <c r="I42" s="72">
        <f t="shared" si="0"/>
        <v>828014.80300000007</v>
      </c>
      <c r="J42" s="72"/>
      <c r="K42" s="64"/>
      <c r="L42" s="64"/>
      <c r="M42" s="64"/>
    </row>
    <row r="43" spans="1:13">
      <c r="A43" s="100" t="s">
        <v>78</v>
      </c>
      <c r="B43" s="100"/>
      <c r="C43" s="100"/>
      <c r="D43" s="100"/>
      <c r="E43" s="100"/>
      <c r="F43" s="100"/>
      <c r="G43" s="107">
        <v>397358</v>
      </c>
      <c r="H43" s="72"/>
      <c r="I43" s="72">
        <f t="shared" si="0"/>
        <v>981871.61800000002</v>
      </c>
      <c r="J43" s="72"/>
      <c r="K43" s="64"/>
      <c r="L43" s="64"/>
      <c r="M43" s="64"/>
    </row>
    <row r="44" spans="1:13">
      <c r="A44" s="100"/>
      <c r="B44" s="100"/>
      <c r="C44" s="100"/>
      <c r="D44" s="100"/>
      <c r="E44" s="100"/>
      <c r="F44" s="100"/>
      <c r="G44" s="106"/>
      <c r="H44" s="64"/>
      <c r="I44" s="64"/>
      <c r="J44" s="64"/>
      <c r="K44" s="64"/>
      <c r="L44" s="64"/>
      <c r="M44" s="64"/>
    </row>
    <row r="45" spans="1:13">
      <c r="A45" s="100" t="s">
        <v>79</v>
      </c>
      <c r="B45" s="100"/>
      <c r="C45" s="100"/>
      <c r="D45" s="100"/>
      <c r="E45" s="100"/>
      <c r="F45" s="100"/>
      <c r="G45" s="106">
        <f>+K20/G39</f>
        <v>20.001116071428573</v>
      </c>
      <c r="H45" s="64"/>
      <c r="I45" s="64"/>
      <c r="J45" s="64"/>
      <c r="K45" s="64"/>
      <c r="L45" s="64"/>
      <c r="M45" s="64"/>
    </row>
    <row r="46" spans="1:13">
      <c r="A46" s="84" t="s">
        <v>80</v>
      </c>
      <c r="B46" s="84"/>
      <c r="C46" s="84"/>
      <c r="D46" s="84"/>
      <c r="E46" s="84"/>
      <c r="F46" s="84"/>
      <c r="G46" s="108">
        <f>+K21/G39</f>
        <v>13.683644480519481</v>
      </c>
      <c r="H46" s="64"/>
      <c r="I46" s="64"/>
      <c r="J46" s="64"/>
      <c r="K46" s="64"/>
      <c r="L46" s="64"/>
      <c r="M46" s="64"/>
    </row>
    <row r="47" spans="1:13">
      <c r="A47" s="89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8"/>
  <sheetViews>
    <sheetView workbookViewId="0">
      <selection sqref="A1:M48"/>
    </sheetView>
  </sheetViews>
  <sheetFormatPr defaultRowHeight="15"/>
  <sheetData>
    <row r="1" spans="1:13">
      <c r="A1" s="1" t="s">
        <v>0</v>
      </c>
      <c r="B1" s="1" t="s">
        <v>178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>
      <c r="A2" s="1"/>
      <c r="B2" s="1" t="s">
        <v>100</v>
      </c>
      <c r="C2" s="2"/>
      <c r="D2" s="1" t="s">
        <v>179</v>
      </c>
      <c r="E2" s="2"/>
      <c r="F2" s="2"/>
      <c r="G2" s="2"/>
      <c r="H2" s="58" t="s">
        <v>102</v>
      </c>
      <c r="I2" s="58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3" t="s">
        <v>5</v>
      </c>
      <c r="B4" s="3"/>
      <c r="C4" s="3"/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/>
    </row>
    <row r="5" spans="1:13">
      <c r="A5" s="4"/>
      <c r="B5" s="4"/>
      <c r="C5" s="4"/>
      <c r="D5" s="4" t="s">
        <v>15</v>
      </c>
      <c r="E5" s="4" t="s">
        <v>16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18</v>
      </c>
      <c r="K5" s="4" t="s">
        <v>18</v>
      </c>
      <c r="L5" s="4" t="s">
        <v>20</v>
      </c>
      <c r="M5" s="4" t="s">
        <v>21</v>
      </c>
    </row>
    <row r="6" spans="1:13">
      <c r="A6" s="4"/>
      <c r="B6" s="4"/>
      <c r="C6" s="4"/>
      <c r="D6" s="4" t="s">
        <v>22</v>
      </c>
      <c r="E6" s="4"/>
      <c r="F6" s="4"/>
      <c r="G6" s="4"/>
      <c r="H6" s="4" t="s">
        <v>23</v>
      </c>
      <c r="I6" s="4" t="s">
        <v>18</v>
      </c>
      <c r="J6" s="4" t="s">
        <v>23</v>
      </c>
      <c r="K6" s="4" t="s">
        <v>23</v>
      </c>
      <c r="L6" s="4"/>
      <c r="M6" s="4"/>
    </row>
    <row r="7" spans="1:13">
      <c r="A7" s="5"/>
      <c r="B7" s="5"/>
      <c r="C7" s="5"/>
      <c r="D7" s="5"/>
      <c r="E7" s="5"/>
      <c r="F7" s="5"/>
      <c r="G7" s="5"/>
      <c r="H7" s="5"/>
      <c r="I7" s="5" t="s">
        <v>23</v>
      </c>
      <c r="J7" s="5"/>
      <c r="K7" s="5"/>
      <c r="L7" s="5"/>
      <c r="M7" s="5"/>
    </row>
    <row r="8" spans="1:13">
      <c r="A8" s="1" t="s">
        <v>24</v>
      </c>
      <c r="B8" s="1"/>
      <c r="C8" s="1"/>
      <c r="D8" s="13">
        <v>91</v>
      </c>
      <c r="E8" s="59">
        <v>12.2</v>
      </c>
      <c r="F8" s="10">
        <v>3</v>
      </c>
      <c r="G8" s="11">
        <v>1192</v>
      </c>
      <c r="H8" s="12">
        <v>14542</v>
      </c>
      <c r="I8" s="12"/>
      <c r="J8" s="12"/>
      <c r="K8" s="12">
        <v>14542</v>
      </c>
      <c r="L8" s="12"/>
      <c r="M8" s="12"/>
    </row>
    <row r="9" spans="1:13">
      <c r="A9" s="1" t="s">
        <v>180</v>
      </c>
      <c r="B9" s="1"/>
      <c r="C9" s="1"/>
      <c r="D9" s="6">
        <v>72</v>
      </c>
      <c r="E9" s="10">
        <v>1.5</v>
      </c>
      <c r="F9" s="10">
        <v>1.2</v>
      </c>
      <c r="G9" s="11">
        <v>1500</v>
      </c>
      <c r="H9" s="12">
        <v>2250</v>
      </c>
      <c r="I9" s="12">
        <v>9325</v>
      </c>
      <c r="J9" s="12"/>
      <c r="K9" s="12">
        <v>11575</v>
      </c>
      <c r="L9" s="12">
        <v>562</v>
      </c>
      <c r="M9" s="12"/>
    </row>
    <row r="10" spans="1:13">
      <c r="A10" s="1" t="s">
        <v>162</v>
      </c>
      <c r="B10" s="1"/>
      <c r="C10" s="1"/>
      <c r="D10" s="13" t="s">
        <v>181</v>
      </c>
      <c r="E10" s="59"/>
      <c r="F10" s="10"/>
      <c r="G10" s="11"/>
      <c r="H10" s="126" t="s">
        <v>182</v>
      </c>
      <c r="I10" s="12"/>
      <c r="J10" s="12"/>
      <c r="K10" s="12"/>
      <c r="L10" s="12"/>
      <c r="M10" s="12"/>
    </row>
    <row r="11" spans="1:13">
      <c r="A11" s="1" t="s">
        <v>111</v>
      </c>
      <c r="B11" s="1"/>
      <c r="C11" s="1"/>
      <c r="D11" s="6">
        <v>100</v>
      </c>
      <c r="E11" s="10">
        <v>19.7</v>
      </c>
      <c r="F11" s="10">
        <v>5.5</v>
      </c>
      <c r="G11" s="11">
        <v>1176</v>
      </c>
      <c r="H11" s="12">
        <v>23167</v>
      </c>
      <c r="I11" s="12"/>
      <c r="J11" s="127">
        <v>5416</v>
      </c>
      <c r="K11" s="12">
        <v>28583</v>
      </c>
      <c r="L11" s="12"/>
      <c r="M11" s="12"/>
    </row>
    <row r="12" spans="1:13">
      <c r="A12" s="1" t="s">
        <v>56</v>
      </c>
      <c r="B12" s="1"/>
      <c r="C12" s="1"/>
      <c r="D12" s="6">
        <v>100</v>
      </c>
      <c r="E12" s="10">
        <v>13.4</v>
      </c>
      <c r="F12" s="10">
        <v>4.9000000000000004</v>
      </c>
      <c r="G12" s="11">
        <v>1071</v>
      </c>
      <c r="H12" s="12">
        <v>14351</v>
      </c>
      <c r="I12" s="12"/>
      <c r="J12" s="12">
        <v>11745</v>
      </c>
      <c r="K12" s="12">
        <v>26096</v>
      </c>
      <c r="L12" s="12"/>
      <c r="M12" s="12"/>
    </row>
    <row r="13" spans="1:13">
      <c r="A13" s="1" t="s">
        <v>32</v>
      </c>
      <c r="B13" s="1"/>
      <c r="C13" s="1"/>
      <c r="D13" s="6">
        <v>100</v>
      </c>
      <c r="E13" s="10">
        <v>19.2</v>
      </c>
      <c r="F13" s="10">
        <v>10.8</v>
      </c>
      <c r="G13" s="11">
        <v>1155</v>
      </c>
      <c r="H13" s="12">
        <v>22176</v>
      </c>
      <c r="I13" s="12"/>
      <c r="J13" s="12">
        <f>+G35*E35+G36*E36+G37*E37</f>
        <v>35993</v>
      </c>
      <c r="K13" s="12">
        <v>58169</v>
      </c>
      <c r="L13" s="12"/>
      <c r="M13" s="12"/>
    </row>
    <row r="14" spans="1:13">
      <c r="A14" s="1" t="s">
        <v>183</v>
      </c>
      <c r="B14" s="1"/>
      <c r="C14" s="1"/>
      <c r="D14" s="6">
        <v>100</v>
      </c>
      <c r="E14" s="10">
        <v>14.2</v>
      </c>
      <c r="F14" s="10">
        <v>4.7</v>
      </c>
      <c r="G14" s="11">
        <v>926</v>
      </c>
      <c r="H14" s="12">
        <v>13149</v>
      </c>
      <c r="I14" s="12"/>
      <c r="J14" s="12"/>
      <c r="K14" s="12">
        <v>13149</v>
      </c>
      <c r="L14" s="12"/>
      <c r="M14" s="12"/>
    </row>
    <row r="15" spans="1:13">
      <c r="A15" s="1" t="s">
        <v>35</v>
      </c>
      <c r="B15" s="1"/>
      <c r="C15" s="1"/>
      <c r="D15" s="6">
        <v>100</v>
      </c>
      <c r="E15" s="10">
        <v>6.3</v>
      </c>
      <c r="F15" s="10">
        <v>5.8</v>
      </c>
      <c r="G15" s="11">
        <v>1500</v>
      </c>
      <c r="H15" s="12">
        <v>9450</v>
      </c>
      <c r="I15" s="12"/>
      <c r="J15" s="12">
        <v>10701</v>
      </c>
      <c r="K15" s="12">
        <v>20151</v>
      </c>
      <c r="L15" s="12"/>
      <c r="M15" s="12"/>
    </row>
    <row r="16" spans="1:13">
      <c r="A16" s="1" t="s">
        <v>36</v>
      </c>
      <c r="B16" s="1"/>
      <c r="C16" s="1"/>
      <c r="D16" s="6">
        <v>100</v>
      </c>
      <c r="E16" s="10">
        <v>13</v>
      </c>
      <c r="F16" s="10">
        <v>13</v>
      </c>
      <c r="G16" s="11">
        <v>1155</v>
      </c>
      <c r="H16" s="12">
        <v>15015</v>
      </c>
      <c r="I16" s="12">
        <v>5210</v>
      </c>
      <c r="J16" s="12"/>
      <c r="K16" s="12">
        <v>20225</v>
      </c>
      <c r="L16" s="12"/>
      <c r="M16" s="12"/>
    </row>
    <row r="17" spans="1:13">
      <c r="A17" s="1" t="s">
        <v>37</v>
      </c>
      <c r="B17" s="1"/>
      <c r="C17" s="1"/>
      <c r="D17" s="6">
        <v>55</v>
      </c>
      <c r="E17" s="10">
        <v>17.399999999999999</v>
      </c>
      <c r="F17" s="10">
        <v>5.5</v>
      </c>
      <c r="G17" s="11">
        <v>1053</v>
      </c>
      <c r="H17" s="12">
        <v>18322</v>
      </c>
      <c r="I17" s="12"/>
      <c r="J17" s="12"/>
      <c r="K17" s="12">
        <v>18322</v>
      </c>
      <c r="L17" s="12"/>
      <c r="M17" s="12"/>
    </row>
    <row r="18" spans="1:13">
      <c r="A18" s="1" t="s">
        <v>184</v>
      </c>
      <c r="B18" s="1"/>
      <c r="C18" s="1"/>
      <c r="D18" s="13" t="s">
        <v>185</v>
      </c>
      <c r="E18" s="10"/>
      <c r="F18" s="10"/>
      <c r="G18" s="11"/>
      <c r="H18" s="10"/>
      <c r="I18" s="10"/>
      <c r="J18" s="10"/>
      <c r="K18" s="10"/>
      <c r="L18" s="12"/>
      <c r="M18" s="12"/>
    </row>
    <row r="19" spans="1:13">
      <c r="A19" s="16" t="s">
        <v>44</v>
      </c>
      <c r="B19" s="16"/>
      <c r="C19" s="16"/>
      <c r="D19" s="17"/>
      <c r="E19" s="18">
        <v>116.9</v>
      </c>
      <c r="F19" s="18">
        <v>54.4</v>
      </c>
      <c r="G19" s="60"/>
      <c r="H19" s="19">
        <f>SUM(H8:H18)</f>
        <v>132422</v>
      </c>
      <c r="I19" s="19">
        <f t="shared" ref="I19:J19" si="0">SUM(I8:I18)</f>
        <v>14535</v>
      </c>
      <c r="J19" s="19">
        <f t="shared" si="0"/>
        <v>63855</v>
      </c>
      <c r="K19" s="19">
        <f>SUM(K8:K18)</f>
        <v>210812</v>
      </c>
      <c r="L19" s="19">
        <f>SUM(L8:L18)</f>
        <v>562</v>
      </c>
      <c r="M19" s="19">
        <v>0</v>
      </c>
    </row>
    <row r="20" spans="1:13">
      <c r="A20" s="20" t="s">
        <v>45</v>
      </c>
      <c r="B20" s="20"/>
      <c r="C20" s="20"/>
      <c r="D20" s="21"/>
      <c r="E20" s="22">
        <v>62.500000000000007</v>
      </c>
      <c r="F20" s="22"/>
      <c r="G20" s="23"/>
      <c r="H20" s="24">
        <f>+G29*E29</f>
        <v>71316</v>
      </c>
      <c r="I20" s="24">
        <f>+I19-L19</f>
        <v>13973</v>
      </c>
      <c r="J20" s="24">
        <v>63855</v>
      </c>
      <c r="K20" s="24">
        <f>+J20+I20+H20</f>
        <v>149144</v>
      </c>
      <c r="L20" s="24"/>
      <c r="M20" s="24"/>
    </row>
    <row r="21" spans="1:13">
      <c r="A21" s="25" t="s">
        <v>164</v>
      </c>
      <c r="B21" s="1"/>
      <c r="C21" s="1"/>
      <c r="D21" s="1"/>
      <c r="E21" s="1"/>
      <c r="F21" s="1"/>
      <c r="G21" s="1"/>
      <c r="H21" s="1"/>
      <c r="I21" s="7"/>
      <c r="J21" s="12"/>
      <c r="K21" s="7"/>
      <c r="L21" s="12"/>
      <c r="M21" s="1"/>
    </row>
    <row r="22" spans="1:13">
      <c r="A22" s="1"/>
      <c r="B22" s="1"/>
      <c r="C22" s="1" t="s">
        <v>46</v>
      </c>
      <c r="D22" s="1"/>
      <c r="E22" s="1"/>
      <c r="F22" s="1"/>
      <c r="G22" s="1"/>
      <c r="H22" s="1"/>
      <c r="I22" s="1"/>
      <c r="J22" s="7"/>
      <c r="K22" s="12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2"/>
      <c r="I23" s="1"/>
      <c r="J23" s="1"/>
      <c r="K23" s="7"/>
      <c r="L23" s="1"/>
      <c r="M23" s="1"/>
    </row>
    <row r="24" spans="1:13">
      <c r="A24" s="1" t="s">
        <v>47</v>
      </c>
      <c r="B24" s="1"/>
      <c r="C24" s="1"/>
      <c r="D24" s="1"/>
      <c r="E24" s="1"/>
      <c r="F24" s="1"/>
      <c r="G24" s="1"/>
      <c r="H24" s="1"/>
      <c r="I24" s="12"/>
      <c r="J24" s="61" t="s">
        <v>52</v>
      </c>
      <c r="K24" s="62" t="s">
        <v>53</v>
      </c>
      <c r="L24" s="1"/>
      <c r="M24" s="1"/>
    </row>
    <row r="25" spans="1:13">
      <c r="A25" s="26" t="s">
        <v>48</v>
      </c>
      <c r="B25" s="26"/>
      <c r="C25" s="26"/>
      <c r="D25" s="26" t="s">
        <v>49</v>
      </c>
      <c r="E25" s="26" t="s">
        <v>50</v>
      </c>
      <c r="F25" s="26"/>
      <c r="G25" s="26" t="s">
        <v>51</v>
      </c>
      <c r="H25" s="1"/>
      <c r="I25" s="12"/>
      <c r="J25" s="40" t="s">
        <v>186</v>
      </c>
      <c r="K25" s="128">
        <v>41</v>
      </c>
      <c r="L25" s="1"/>
      <c r="M25" s="1"/>
    </row>
    <row r="26" spans="1:13">
      <c r="A26" s="1" t="s">
        <v>54</v>
      </c>
      <c r="B26" s="1"/>
      <c r="C26" s="1"/>
      <c r="D26" s="37"/>
      <c r="E26" s="1"/>
      <c r="F26" s="1"/>
      <c r="G26" s="1"/>
      <c r="H26" s="1"/>
      <c r="I26" s="1"/>
      <c r="J26" s="40" t="s">
        <v>187</v>
      </c>
      <c r="K26" s="128">
        <v>26</v>
      </c>
      <c r="L26" s="1"/>
      <c r="M26" s="1"/>
    </row>
    <row r="27" spans="1:13">
      <c r="A27" s="1" t="s">
        <v>56</v>
      </c>
      <c r="B27" s="1"/>
      <c r="C27" s="63"/>
      <c r="D27" s="37" t="s">
        <v>120</v>
      </c>
      <c r="E27" s="7">
        <v>1.7</v>
      </c>
      <c r="F27" s="7"/>
      <c r="G27" s="7">
        <v>6909</v>
      </c>
      <c r="H27" s="1"/>
      <c r="I27" s="1"/>
      <c r="J27" s="40" t="s">
        <v>188</v>
      </c>
      <c r="K27" s="128">
        <v>13</v>
      </c>
      <c r="L27" s="1"/>
      <c r="M27" s="1"/>
    </row>
    <row r="28" spans="1:13">
      <c r="A28" s="1" t="s">
        <v>59</v>
      </c>
      <c r="B28" s="1"/>
      <c r="C28" s="1"/>
      <c r="D28" s="37"/>
      <c r="E28" s="1"/>
      <c r="F28" s="1"/>
      <c r="G28" s="1"/>
      <c r="H28" s="1"/>
      <c r="I28" s="1"/>
      <c r="J28" s="40" t="s">
        <v>189</v>
      </c>
      <c r="K28" s="128">
        <v>3</v>
      </c>
      <c r="L28" s="1"/>
      <c r="M28" s="1"/>
    </row>
    <row r="29" spans="1:13">
      <c r="A29" s="1" t="s">
        <v>60</v>
      </c>
      <c r="B29" s="1"/>
      <c r="C29" s="1"/>
      <c r="D29" s="37" t="s">
        <v>61</v>
      </c>
      <c r="E29" s="12">
        <v>63</v>
      </c>
      <c r="F29" s="12"/>
      <c r="G29" s="7">
        <v>1132</v>
      </c>
      <c r="H29" s="1"/>
      <c r="I29" s="1"/>
      <c r="J29" s="129" t="s">
        <v>190</v>
      </c>
      <c r="K29" s="129">
        <v>2</v>
      </c>
      <c r="L29" s="1"/>
      <c r="M29" s="1"/>
    </row>
    <row r="30" spans="1:13">
      <c r="A30" s="1" t="s">
        <v>63</v>
      </c>
      <c r="B30" s="1"/>
      <c r="C30" s="1"/>
      <c r="D30" s="37" t="s">
        <v>61</v>
      </c>
      <c r="E30" s="12">
        <v>54</v>
      </c>
      <c r="F30" s="12"/>
      <c r="G30" s="12"/>
      <c r="H30" s="1"/>
      <c r="I30" s="1"/>
      <c r="J30" s="130" t="s">
        <v>191</v>
      </c>
      <c r="K30" s="131">
        <v>15</v>
      </c>
      <c r="L30" s="1"/>
      <c r="M30" s="1"/>
    </row>
    <row r="31" spans="1:13">
      <c r="A31" s="1" t="s">
        <v>7</v>
      </c>
      <c r="B31" s="1"/>
      <c r="C31" s="1"/>
      <c r="D31" s="37"/>
      <c r="E31" s="12">
        <f>SUM(E29:E30)</f>
        <v>117</v>
      </c>
      <c r="F31" s="12"/>
      <c r="G31" s="12"/>
      <c r="H31" s="1"/>
      <c r="I31" s="1"/>
      <c r="J31" s="1"/>
      <c r="K31" s="132"/>
      <c r="L31" s="1"/>
      <c r="M31" s="1"/>
    </row>
    <row r="32" spans="1:13">
      <c r="A32" s="1"/>
      <c r="B32" s="1"/>
      <c r="C32" s="1"/>
      <c r="D32" s="37"/>
      <c r="E32" s="1"/>
      <c r="F32" s="1"/>
      <c r="G32" s="1"/>
      <c r="H32" s="1"/>
      <c r="I32" s="1"/>
      <c r="J32" s="2"/>
      <c r="K32" s="2"/>
      <c r="L32" s="1"/>
      <c r="M32" s="1"/>
    </row>
    <row r="33" spans="1:13">
      <c r="A33" s="16" t="s">
        <v>65</v>
      </c>
      <c r="B33" s="16"/>
      <c r="C33" s="16" t="s">
        <v>66</v>
      </c>
      <c r="D33" s="16"/>
      <c r="E33" s="16"/>
      <c r="F33" s="16"/>
      <c r="G33" s="16"/>
      <c r="H33" s="1"/>
      <c r="I33" s="1"/>
      <c r="J33" s="16" t="s">
        <v>62</v>
      </c>
      <c r="K33" s="16">
        <v>0.45</v>
      </c>
      <c r="L33" s="1"/>
      <c r="M33" s="1"/>
    </row>
    <row r="34" spans="1:13">
      <c r="A34" s="1"/>
      <c r="B34" s="4"/>
      <c r="C34" s="38"/>
      <c r="D34" s="40"/>
      <c r="E34" s="40"/>
      <c r="F34" s="40"/>
      <c r="G34" s="40"/>
      <c r="H34" s="1"/>
      <c r="I34" s="1"/>
      <c r="J34" s="20" t="s">
        <v>64</v>
      </c>
      <c r="K34" s="23">
        <v>0.5</v>
      </c>
      <c r="L34" s="1"/>
      <c r="M34" s="1"/>
    </row>
    <row r="35" spans="1:13">
      <c r="A35" s="40" t="s">
        <v>192</v>
      </c>
      <c r="B35" s="4"/>
      <c r="C35" s="57">
        <v>79</v>
      </c>
      <c r="D35" s="65" t="s">
        <v>68</v>
      </c>
      <c r="E35" s="40">
        <v>369</v>
      </c>
      <c r="F35" s="40"/>
      <c r="G35" s="41">
        <v>49</v>
      </c>
      <c r="H35" s="1"/>
      <c r="I35" s="1"/>
      <c r="J35" s="1"/>
      <c r="K35" s="1"/>
      <c r="L35" s="1"/>
      <c r="M35" s="1"/>
    </row>
    <row r="36" spans="1:13">
      <c r="A36" s="40" t="s">
        <v>141</v>
      </c>
      <c r="B36" s="4"/>
      <c r="C36" s="57">
        <v>42</v>
      </c>
      <c r="D36" s="65" t="s">
        <v>68</v>
      </c>
      <c r="E36" s="40">
        <v>244</v>
      </c>
      <c r="F36" s="40"/>
      <c r="G36" s="41">
        <v>47</v>
      </c>
      <c r="H36" s="1"/>
      <c r="I36" s="1"/>
      <c r="J36" s="1"/>
      <c r="K36" s="1"/>
      <c r="L36" s="1"/>
      <c r="M36" s="1"/>
    </row>
    <row r="37" spans="1:13">
      <c r="A37" s="40" t="s">
        <v>193</v>
      </c>
      <c r="B37" s="4"/>
      <c r="C37" s="57">
        <v>58</v>
      </c>
      <c r="D37" s="65" t="s">
        <v>120</v>
      </c>
      <c r="E37" s="40">
        <v>1074</v>
      </c>
      <c r="F37" s="40"/>
      <c r="G37" s="41">
        <v>6</v>
      </c>
      <c r="H37" s="1"/>
      <c r="I37" s="1"/>
      <c r="J37" s="1"/>
      <c r="K37" s="1"/>
      <c r="L37" s="1"/>
      <c r="M37" s="1"/>
    </row>
    <row r="38" spans="1:13">
      <c r="A38" s="20"/>
      <c r="B38" s="4"/>
      <c r="C38" s="133"/>
      <c r="D38" s="20"/>
      <c r="E38" s="20"/>
      <c r="F38" s="20"/>
      <c r="G38" s="20"/>
      <c r="H38" s="1"/>
      <c r="I38" s="1"/>
      <c r="J38" s="1"/>
      <c r="K38" s="1"/>
      <c r="L38" s="1"/>
      <c r="M38" s="1"/>
    </row>
    <row r="39" spans="1:13">
      <c r="A39" s="16" t="s">
        <v>71</v>
      </c>
      <c r="B39" s="16"/>
      <c r="C39" s="16"/>
      <c r="D39" s="16"/>
      <c r="E39" s="16"/>
      <c r="F39" s="16"/>
      <c r="G39" s="16"/>
      <c r="H39" s="1"/>
      <c r="I39" s="1" t="s">
        <v>72</v>
      </c>
      <c r="J39" s="1"/>
      <c r="K39" s="1"/>
      <c r="L39" s="1"/>
      <c r="M39" s="1"/>
    </row>
    <row r="40" spans="1:13">
      <c r="A40" s="40" t="s">
        <v>73</v>
      </c>
      <c r="B40" s="40"/>
      <c r="C40" s="40"/>
      <c r="D40" s="40"/>
      <c r="E40" s="40"/>
      <c r="F40" s="40"/>
      <c r="G40" s="42">
        <v>5212</v>
      </c>
      <c r="H40" s="1"/>
      <c r="I40" s="12">
        <f>+G40*2.471</f>
        <v>12878.852000000001</v>
      </c>
      <c r="J40" s="12"/>
      <c r="K40" s="12"/>
      <c r="L40" s="1"/>
      <c r="M40" s="1"/>
    </row>
    <row r="41" spans="1:13">
      <c r="A41" s="40" t="s">
        <v>75</v>
      </c>
      <c r="B41" s="40"/>
      <c r="C41" s="40"/>
      <c r="D41" s="40"/>
      <c r="E41" s="40"/>
      <c r="F41" s="40"/>
      <c r="G41" s="45">
        <v>143.5</v>
      </c>
      <c r="H41" s="1"/>
      <c r="I41" s="12"/>
      <c r="J41" s="12"/>
      <c r="K41" s="12"/>
      <c r="L41" s="1"/>
      <c r="M41" s="1"/>
    </row>
    <row r="42" spans="1:13">
      <c r="A42" s="40" t="s">
        <v>76</v>
      </c>
      <c r="B42" s="40"/>
      <c r="C42" s="40"/>
      <c r="D42" s="40"/>
      <c r="E42" s="40"/>
      <c r="F42" s="40"/>
      <c r="G42" s="46">
        <f>+G40*G41</f>
        <v>747922</v>
      </c>
      <c r="H42" s="1"/>
      <c r="I42" s="12">
        <f t="shared" ref="I42:I44" si="1">+G42*2.471</f>
        <v>1848115.2620000001</v>
      </c>
      <c r="J42" s="12"/>
      <c r="K42" s="12"/>
      <c r="L42" s="1"/>
      <c r="M42" s="1"/>
    </row>
    <row r="43" spans="1:13">
      <c r="A43" s="40" t="s">
        <v>77</v>
      </c>
      <c r="B43" s="40"/>
      <c r="C43" s="40"/>
      <c r="D43" s="40"/>
      <c r="E43" s="40"/>
      <c r="F43" s="40"/>
      <c r="G43" s="46">
        <f>+G42-K19</f>
        <v>537110</v>
      </c>
      <c r="H43" s="12"/>
      <c r="I43" s="12">
        <f t="shared" si="1"/>
        <v>1327198.81</v>
      </c>
      <c r="J43" s="12"/>
      <c r="K43" s="12"/>
      <c r="L43" s="1"/>
      <c r="M43" s="1"/>
    </row>
    <row r="44" spans="1:13">
      <c r="A44" s="40" t="s">
        <v>78</v>
      </c>
      <c r="B44" s="40"/>
      <c r="C44" s="40"/>
      <c r="D44" s="40"/>
      <c r="E44" s="40"/>
      <c r="F44" s="40"/>
      <c r="G44" s="46">
        <f>+G42-K20</f>
        <v>598778</v>
      </c>
      <c r="H44" s="12"/>
      <c r="I44" s="12">
        <f t="shared" si="1"/>
        <v>1479580.4380000001</v>
      </c>
      <c r="J44" s="12"/>
      <c r="K44" s="12"/>
      <c r="L44" s="1"/>
      <c r="M44" s="1"/>
    </row>
    <row r="45" spans="1:13">
      <c r="A45" s="40"/>
      <c r="B45" s="40"/>
      <c r="C45" s="40"/>
      <c r="D45" s="40"/>
      <c r="E45" s="40"/>
      <c r="F45" s="40"/>
      <c r="G45" s="45"/>
      <c r="H45" s="1"/>
      <c r="I45" s="1"/>
      <c r="J45" s="12"/>
      <c r="K45" s="12"/>
      <c r="L45" s="1"/>
      <c r="M45" s="1"/>
    </row>
    <row r="46" spans="1:13">
      <c r="A46" s="40" t="s">
        <v>79</v>
      </c>
      <c r="B46" s="40"/>
      <c r="C46" s="40"/>
      <c r="D46" s="40"/>
      <c r="E46" s="40"/>
      <c r="F46" s="40"/>
      <c r="G46" s="45">
        <f>+K19/G40</f>
        <v>40.447429009976979</v>
      </c>
      <c r="H46" s="1"/>
      <c r="I46" s="1"/>
      <c r="J46" s="1"/>
      <c r="K46" s="1"/>
      <c r="L46" s="1"/>
      <c r="M46" s="1"/>
    </row>
    <row r="47" spans="1:13">
      <c r="A47" s="20" t="s">
        <v>80</v>
      </c>
      <c r="B47" s="20"/>
      <c r="C47" s="20"/>
      <c r="D47" s="20"/>
      <c r="E47" s="20"/>
      <c r="F47" s="20"/>
      <c r="G47" s="47">
        <f>+K20/G40</f>
        <v>28.615502686108979</v>
      </c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3"/>
  <sheetViews>
    <sheetView workbookViewId="0">
      <selection sqref="A1:M53"/>
    </sheetView>
  </sheetViews>
  <sheetFormatPr defaultRowHeight="15"/>
  <sheetData>
    <row r="1" spans="1:13">
      <c r="A1" s="1" t="s">
        <v>0</v>
      </c>
      <c r="B1" s="1" t="s">
        <v>194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>
      <c r="A2" s="1"/>
      <c r="B2" s="1" t="s">
        <v>195</v>
      </c>
      <c r="C2" s="2"/>
      <c r="D2" s="1"/>
      <c r="E2" s="2"/>
      <c r="F2" s="2"/>
      <c r="G2" s="2"/>
      <c r="H2" s="58" t="s">
        <v>84</v>
      </c>
      <c r="I2" s="58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3" t="s">
        <v>5</v>
      </c>
      <c r="B4" s="3"/>
      <c r="C4" s="3"/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/>
    </row>
    <row r="5" spans="1:13">
      <c r="A5" s="4"/>
      <c r="B5" s="4"/>
      <c r="C5" s="4"/>
      <c r="D5" s="4" t="s">
        <v>15</v>
      </c>
      <c r="E5" s="4" t="s">
        <v>16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18</v>
      </c>
      <c r="K5" s="4" t="s">
        <v>18</v>
      </c>
      <c r="L5" s="4" t="s">
        <v>20</v>
      </c>
      <c r="M5" s="4" t="s">
        <v>21</v>
      </c>
    </row>
    <row r="6" spans="1:13">
      <c r="A6" s="4"/>
      <c r="B6" s="4"/>
      <c r="C6" s="4"/>
      <c r="D6" s="4" t="s">
        <v>22</v>
      </c>
      <c r="E6" s="4"/>
      <c r="F6" s="4"/>
      <c r="G6" s="4"/>
      <c r="H6" s="4" t="s">
        <v>23</v>
      </c>
      <c r="I6" s="4" t="s">
        <v>18</v>
      </c>
      <c r="J6" s="4" t="s">
        <v>23</v>
      </c>
      <c r="K6" s="4" t="s">
        <v>23</v>
      </c>
      <c r="L6" s="4"/>
      <c r="M6" s="4"/>
    </row>
    <row r="7" spans="1:13">
      <c r="A7" s="5"/>
      <c r="B7" s="5"/>
      <c r="C7" s="5"/>
      <c r="D7" s="5"/>
      <c r="E7" s="5"/>
      <c r="F7" s="5"/>
      <c r="G7" s="5"/>
      <c r="H7" s="5"/>
      <c r="I7" s="5" t="s">
        <v>23</v>
      </c>
      <c r="J7" s="5"/>
      <c r="K7" s="5"/>
      <c r="L7" s="5"/>
      <c r="M7" s="5"/>
    </row>
    <row r="8" spans="1:13">
      <c r="A8" s="1" t="s">
        <v>103</v>
      </c>
      <c r="B8" s="1"/>
      <c r="C8" s="1"/>
      <c r="D8" s="6">
        <v>100</v>
      </c>
      <c r="E8" s="10">
        <v>5.6</v>
      </c>
      <c r="F8" s="10">
        <v>5.6</v>
      </c>
      <c r="G8" s="11">
        <v>1200</v>
      </c>
      <c r="H8" s="12">
        <v>6720</v>
      </c>
      <c r="I8" s="12"/>
      <c r="J8" s="12">
        <v>1180</v>
      </c>
      <c r="K8" s="12">
        <f>+J8+I8+H8</f>
        <v>7900</v>
      </c>
      <c r="L8" s="12"/>
      <c r="M8" s="12"/>
    </row>
    <row r="9" spans="1:13">
      <c r="A9" s="1" t="s">
        <v>24</v>
      </c>
      <c r="B9" s="1"/>
      <c r="C9" s="1"/>
      <c r="D9" s="13">
        <v>40</v>
      </c>
      <c r="E9" s="59">
        <v>6</v>
      </c>
      <c r="F9" s="10">
        <v>4.5999999999999996</v>
      </c>
      <c r="G9" s="11">
        <v>1300</v>
      </c>
      <c r="H9" s="12">
        <v>7800</v>
      </c>
      <c r="I9" s="12"/>
      <c r="J9" s="12"/>
      <c r="K9" s="12">
        <f t="shared" ref="K9:K22" si="0">+J9+I9+H9</f>
        <v>7800</v>
      </c>
      <c r="L9" s="12"/>
      <c r="M9" s="12"/>
    </row>
    <row r="10" spans="1:13">
      <c r="A10" s="1" t="s">
        <v>196</v>
      </c>
      <c r="B10" s="1"/>
      <c r="C10" s="1"/>
      <c r="D10" s="13" t="s">
        <v>146</v>
      </c>
      <c r="E10" s="10"/>
      <c r="F10" s="10"/>
      <c r="G10" s="11"/>
      <c r="H10" s="126" t="s">
        <v>197</v>
      </c>
      <c r="I10" s="126" t="s">
        <v>198</v>
      </c>
      <c r="J10" s="12"/>
      <c r="K10" s="12"/>
      <c r="L10" s="12"/>
      <c r="M10" s="12"/>
    </row>
    <row r="11" spans="1:13">
      <c r="A11" s="1" t="s">
        <v>199</v>
      </c>
      <c r="B11" s="1"/>
      <c r="C11" s="1"/>
      <c r="D11" s="13" t="s">
        <v>200</v>
      </c>
      <c r="E11" s="10"/>
      <c r="F11" s="10"/>
      <c r="G11" s="11"/>
      <c r="H11" s="126" t="s">
        <v>201</v>
      </c>
      <c r="I11" s="12"/>
      <c r="J11" s="12"/>
      <c r="K11" s="12"/>
      <c r="L11" s="12"/>
      <c r="M11" s="12"/>
    </row>
    <row r="12" spans="1:13">
      <c r="A12" s="1" t="s">
        <v>202</v>
      </c>
      <c r="B12" s="1"/>
      <c r="C12" s="1"/>
      <c r="D12" s="13" t="s">
        <v>203</v>
      </c>
      <c r="E12" s="10"/>
      <c r="F12" s="10"/>
      <c r="G12" s="11"/>
      <c r="H12" s="126" t="s">
        <v>204</v>
      </c>
      <c r="I12" s="12"/>
      <c r="J12" s="12"/>
      <c r="K12" s="12"/>
      <c r="L12" s="12"/>
      <c r="M12" s="12"/>
    </row>
    <row r="13" spans="1:13">
      <c r="A13" s="1" t="s">
        <v>205</v>
      </c>
      <c r="B13" s="1"/>
      <c r="C13" s="1"/>
      <c r="D13" s="13">
        <v>40</v>
      </c>
      <c r="E13" s="59">
        <v>1.4</v>
      </c>
      <c r="F13" s="10">
        <v>1.4</v>
      </c>
      <c r="G13" s="11">
        <v>1300</v>
      </c>
      <c r="H13" s="12">
        <v>1820</v>
      </c>
      <c r="I13" s="12">
        <v>10400</v>
      </c>
      <c r="J13" s="12"/>
      <c r="K13" s="12">
        <f t="shared" si="0"/>
        <v>12220</v>
      </c>
      <c r="L13" s="12">
        <v>1248</v>
      </c>
      <c r="M13" s="12"/>
    </row>
    <row r="14" spans="1:13">
      <c r="A14" s="1" t="s">
        <v>206</v>
      </c>
      <c r="B14" s="1"/>
      <c r="C14" s="1"/>
      <c r="D14" s="13" t="s">
        <v>88</v>
      </c>
      <c r="E14" s="10"/>
      <c r="F14" s="10"/>
      <c r="G14" s="11"/>
      <c r="H14" s="126" t="s">
        <v>204</v>
      </c>
      <c r="I14" s="14"/>
      <c r="J14" s="12"/>
      <c r="K14" s="12"/>
      <c r="L14" s="12"/>
      <c r="M14" s="12"/>
    </row>
    <row r="15" spans="1:13">
      <c r="A15" s="1" t="s">
        <v>111</v>
      </c>
      <c r="B15" s="1"/>
      <c r="C15" s="1"/>
      <c r="D15" s="6">
        <v>100</v>
      </c>
      <c r="E15" s="10">
        <v>15.3</v>
      </c>
      <c r="F15" s="10">
        <v>6.5</v>
      </c>
      <c r="G15" s="11">
        <v>1243</v>
      </c>
      <c r="H15" s="12">
        <v>19018</v>
      </c>
      <c r="I15" s="12"/>
      <c r="J15" s="12"/>
      <c r="K15" s="12">
        <f t="shared" si="0"/>
        <v>19018</v>
      </c>
      <c r="L15" s="12"/>
      <c r="M15" s="12"/>
    </row>
    <row r="16" spans="1:13">
      <c r="A16" s="1" t="s">
        <v>112</v>
      </c>
      <c r="B16" s="1"/>
      <c r="C16" s="1"/>
      <c r="D16" s="6">
        <v>100</v>
      </c>
      <c r="E16" s="10">
        <v>11.9</v>
      </c>
      <c r="F16" s="10">
        <v>6.8</v>
      </c>
      <c r="G16" s="11">
        <v>1014</v>
      </c>
      <c r="H16" s="12">
        <v>12067</v>
      </c>
      <c r="I16" s="12"/>
      <c r="J16" s="12">
        <v>2381</v>
      </c>
      <c r="K16" s="12">
        <f t="shared" si="0"/>
        <v>14448</v>
      </c>
      <c r="L16" s="12"/>
      <c r="M16" s="12">
        <v>423</v>
      </c>
    </row>
    <row r="17" spans="1:13">
      <c r="A17" s="1" t="s">
        <v>32</v>
      </c>
      <c r="B17" s="1"/>
      <c r="C17" s="1"/>
      <c r="D17" s="6">
        <v>100</v>
      </c>
      <c r="E17" s="10">
        <v>11.9</v>
      </c>
      <c r="F17" s="10">
        <v>9.4</v>
      </c>
      <c r="G17" s="11">
        <v>1460</v>
      </c>
      <c r="H17" s="12">
        <v>17374</v>
      </c>
      <c r="I17" s="12"/>
      <c r="J17" s="12">
        <f>+(E39*G39+E40*G40+E41*G41)</f>
        <v>17207</v>
      </c>
      <c r="K17" s="12">
        <f t="shared" si="0"/>
        <v>34581</v>
      </c>
      <c r="L17" s="12"/>
      <c r="M17" s="12"/>
    </row>
    <row r="18" spans="1:13">
      <c r="A18" s="1" t="s">
        <v>34</v>
      </c>
      <c r="B18" s="1"/>
      <c r="C18" s="1"/>
      <c r="D18" s="6">
        <v>100</v>
      </c>
      <c r="E18" s="10">
        <v>24.3</v>
      </c>
      <c r="F18" s="10">
        <v>15.6</v>
      </c>
      <c r="G18" s="11">
        <v>1099</v>
      </c>
      <c r="H18" s="12">
        <v>26706</v>
      </c>
      <c r="I18" s="12"/>
      <c r="J18" s="12"/>
      <c r="K18" s="12">
        <f t="shared" si="0"/>
        <v>26706</v>
      </c>
      <c r="L18" s="12"/>
      <c r="M18" s="12"/>
    </row>
    <row r="19" spans="1:13">
      <c r="A19" s="1" t="s">
        <v>35</v>
      </c>
      <c r="B19" s="1"/>
      <c r="C19" s="1"/>
      <c r="D19" s="6">
        <v>100</v>
      </c>
      <c r="E19" s="10">
        <v>14.7</v>
      </c>
      <c r="F19" s="10">
        <v>12.4</v>
      </c>
      <c r="G19" s="11">
        <v>1500</v>
      </c>
      <c r="H19" s="12">
        <v>22050</v>
      </c>
      <c r="I19" s="12"/>
      <c r="J19" s="12">
        <v>18579</v>
      </c>
      <c r="K19" s="12">
        <f t="shared" si="0"/>
        <v>40629</v>
      </c>
      <c r="L19" s="12"/>
      <c r="M19" s="12"/>
    </row>
    <row r="20" spans="1:13">
      <c r="A20" s="1" t="s">
        <v>36</v>
      </c>
      <c r="B20" s="1"/>
      <c r="C20" s="1"/>
      <c r="D20" s="6">
        <v>100</v>
      </c>
      <c r="E20" s="10">
        <v>26.9</v>
      </c>
      <c r="F20" s="10">
        <v>25.7</v>
      </c>
      <c r="G20" s="11">
        <v>1302</v>
      </c>
      <c r="H20" s="12">
        <v>35024</v>
      </c>
      <c r="I20" s="12">
        <v>11703</v>
      </c>
      <c r="J20" s="12"/>
      <c r="K20" s="12">
        <f t="shared" si="0"/>
        <v>46727</v>
      </c>
      <c r="L20" s="12"/>
      <c r="M20" s="12"/>
    </row>
    <row r="21" spans="1:13">
      <c r="A21" s="1" t="s">
        <v>37</v>
      </c>
      <c r="B21" s="1"/>
      <c r="C21" s="1"/>
      <c r="D21" s="6">
        <v>100</v>
      </c>
      <c r="E21" s="10">
        <v>39.1</v>
      </c>
      <c r="F21" s="10">
        <v>10.9</v>
      </c>
      <c r="G21" s="11">
        <v>993</v>
      </c>
      <c r="H21" s="12">
        <v>38826</v>
      </c>
      <c r="I21" s="12"/>
      <c r="J21" s="12"/>
      <c r="K21" s="12">
        <f t="shared" si="0"/>
        <v>38826</v>
      </c>
      <c r="L21" s="12"/>
      <c r="M21" s="12"/>
    </row>
    <row r="22" spans="1:13">
      <c r="A22" s="1" t="s">
        <v>43</v>
      </c>
      <c r="B22" s="1"/>
      <c r="C22" s="1"/>
      <c r="D22" s="6">
        <v>77</v>
      </c>
      <c r="E22" s="10">
        <v>3.4</v>
      </c>
      <c r="F22" s="10">
        <v>2.6</v>
      </c>
      <c r="G22" s="11">
        <v>1183</v>
      </c>
      <c r="H22" s="12">
        <v>4022</v>
      </c>
      <c r="I22" s="12">
        <v>4398</v>
      </c>
      <c r="J22" s="12"/>
      <c r="K22" s="12">
        <f t="shared" si="0"/>
        <v>8420</v>
      </c>
      <c r="L22" s="12"/>
      <c r="M22" s="12"/>
    </row>
    <row r="23" spans="1:13">
      <c r="A23" s="16" t="s">
        <v>44</v>
      </c>
      <c r="B23" s="16"/>
      <c r="C23" s="16"/>
      <c r="D23" s="17"/>
      <c r="E23" s="18">
        <v>160.5</v>
      </c>
      <c r="F23" s="18">
        <v>101.5</v>
      </c>
      <c r="G23" s="60"/>
      <c r="H23" s="19">
        <f>SUM(H8:H22)</f>
        <v>191427</v>
      </c>
      <c r="I23" s="19">
        <f t="shared" ref="I23:J23" si="1">SUM(I8:I22)</f>
        <v>26501</v>
      </c>
      <c r="J23" s="19">
        <f t="shared" si="1"/>
        <v>39347</v>
      </c>
      <c r="K23" s="19">
        <v>257275</v>
      </c>
      <c r="L23" s="19">
        <f t="shared" ref="L23:M23" si="2">SUM(L8:L22)</f>
        <v>1248</v>
      </c>
      <c r="M23" s="19">
        <f t="shared" si="2"/>
        <v>423</v>
      </c>
    </row>
    <row r="24" spans="1:13">
      <c r="A24" s="20" t="s">
        <v>45</v>
      </c>
      <c r="B24" s="20"/>
      <c r="C24" s="20"/>
      <c r="D24" s="21"/>
      <c r="E24" s="22">
        <v>59</v>
      </c>
      <c r="F24" s="22"/>
      <c r="G24" s="23"/>
      <c r="H24" s="24">
        <v>70151</v>
      </c>
      <c r="I24" s="24">
        <v>25253</v>
      </c>
      <c r="J24" s="24">
        <v>40993.869999999995</v>
      </c>
      <c r="K24" s="24">
        <f>SUM(H24:J24)</f>
        <v>136397.87</v>
      </c>
      <c r="L24" s="24"/>
      <c r="M24" s="24"/>
    </row>
    <row r="25" spans="1:13">
      <c r="A25" s="25"/>
      <c r="B25" s="1"/>
      <c r="C25" s="1"/>
      <c r="D25" s="1"/>
      <c r="E25" s="1"/>
      <c r="F25" s="1"/>
      <c r="G25" s="1"/>
      <c r="H25" s="1"/>
      <c r="I25" s="12"/>
      <c r="J25" s="2"/>
      <c r="K25" s="134"/>
      <c r="L25" s="1"/>
      <c r="M25" s="1"/>
    </row>
    <row r="26" spans="1:13">
      <c r="A26" s="1"/>
      <c r="B26" s="1"/>
      <c r="C26" s="1" t="s">
        <v>46</v>
      </c>
      <c r="D26" s="1"/>
      <c r="E26" s="1"/>
      <c r="F26" s="1"/>
      <c r="G26" s="1"/>
      <c r="H26" s="1"/>
      <c r="I26" s="12"/>
      <c r="J26" s="134"/>
      <c r="K26" s="134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34"/>
      <c r="K27" s="2"/>
      <c r="L27" s="1"/>
      <c r="M27" s="1"/>
    </row>
    <row r="28" spans="1:13">
      <c r="A28" s="1" t="s">
        <v>47</v>
      </c>
      <c r="B28" s="1"/>
      <c r="C28" s="1"/>
      <c r="D28" s="1"/>
      <c r="E28" s="1"/>
      <c r="F28" s="1"/>
      <c r="G28" s="1"/>
      <c r="H28" s="1"/>
      <c r="I28" s="12"/>
      <c r="J28" s="2"/>
      <c r="K28" s="2"/>
      <c r="L28" s="1"/>
      <c r="M28" s="1"/>
    </row>
    <row r="29" spans="1:13">
      <c r="A29" s="26" t="s">
        <v>48</v>
      </c>
      <c r="B29" s="26"/>
      <c r="C29" s="26"/>
      <c r="D29" s="26" t="s">
        <v>49</v>
      </c>
      <c r="E29" s="26" t="s">
        <v>50</v>
      </c>
      <c r="F29" s="26"/>
      <c r="G29" s="26" t="s">
        <v>51</v>
      </c>
      <c r="H29" s="1"/>
      <c r="I29" s="61" t="s">
        <v>52</v>
      </c>
      <c r="J29" s="62" t="s">
        <v>53</v>
      </c>
      <c r="K29" s="2"/>
      <c r="L29" s="1"/>
      <c r="M29" s="1"/>
    </row>
    <row r="30" spans="1:13">
      <c r="A30" s="1" t="s">
        <v>54</v>
      </c>
      <c r="B30" s="1"/>
      <c r="C30" s="1"/>
      <c r="D30" s="1"/>
      <c r="E30" s="1"/>
      <c r="F30" s="1"/>
      <c r="G30" s="1"/>
      <c r="H30" s="1"/>
      <c r="I30" s="79" t="s">
        <v>207</v>
      </c>
      <c r="J30" s="135">
        <v>36</v>
      </c>
      <c r="K30" s="2"/>
      <c r="L30" s="1"/>
      <c r="M30" s="1"/>
    </row>
    <row r="31" spans="1:13">
      <c r="A31" s="1" t="s">
        <v>112</v>
      </c>
      <c r="B31" s="1"/>
      <c r="C31" s="63"/>
      <c r="D31" s="37" t="s">
        <v>120</v>
      </c>
      <c r="E31" s="7">
        <v>0.41</v>
      </c>
      <c r="F31" s="7"/>
      <c r="G31" s="7">
        <v>5807</v>
      </c>
      <c r="H31" s="1"/>
      <c r="I31" s="100" t="s">
        <v>208</v>
      </c>
      <c r="J31" s="136">
        <v>18</v>
      </c>
      <c r="K31" s="2"/>
      <c r="L31" s="1"/>
      <c r="M31" s="1"/>
    </row>
    <row r="32" spans="1:13">
      <c r="A32" s="1" t="s">
        <v>59</v>
      </c>
      <c r="B32" s="1"/>
      <c r="C32" s="1"/>
      <c r="D32" s="37"/>
      <c r="E32" s="1"/>
      <c r="F32" s="1"/>
      <c r="G32" s="1"/>
      <c r="H32" s="1"/>
      <c r="I32" s="64" t="s">
        <v>209</v>
      </c>
      <c r="J32" s="137">
        <v>18</v>
      </c>
      <c r="K32" s="2"/>
      <c r="L32" s="1"/>
      <c r="M32" s="1"/>
    </row>
    <row r="33" spans="1:13">
      <c r="A33" s="1" t="s">
        <v>60</v>
      </c>
      <c r="B33" s="1"/>
      <c r="C33" s="1"/>
      <c r="D33" s="37" t="s">
        <v>61</v>
      </c>
      <c r="E33" s="12">
        <v>59</v>
      </c>
      <c r="F33" s="12"/>
      <c r="G33" s="7">
        <v>1189</v>
      </c>
      <c r="H33" s="1"/>
      <c r="I33" s="64" t="s">
        <v>210</v>
      </c>
      <c r="J33" s="137">
        <v>18</v>
      </c>
      <c r="K33" s="2"/>
      <c r="L33" s="1"/>
      <c r="M33" s="1"/>
    </row>
    <row r="34" spans="1:13">
      <c r="A34" s="1" t="s">
        <v>63</v>
      </c>
      <c r="B34" s="1"/>
      <c r="C34" s="1"/>
      <c r="D34" s="37" t="s">
        <v>61</v>
      </c>
      <c r="E34" s="12">
        <v>102</v>
      </c>
      <c r="F34" s="12"/>
      <c r="G34" s="12"/>
      <c r="H34" s="1"/>
      <c r="I34" s="64" t="s">
        <v>191</v>
      </c>
      <c r="J34" s="137">
        <v>10</v>
      </c>
      <c r="K34" s="2"/>
      <c r="L34" s="1"/>
      <c r="M34" s="1"/>
    </row>
    <row r="35" spans="1:13">
      <c r="A35" s="1" t="s">
        <v>7</v>
      </c>
      <c r="B35" s="1"/>
      <c r="C35" s="1"/>
      <c r="D35" s="1"/>
      <c r="E35" s="12">
        <f>+E34+E33</f>
        <v>161</v>
      </c>
      <c r="F35" s="12"/>
      <c r="G35" s="12"/>
      <c r="H35" s="1"/>
      <c r="I35" s="64"/>
      <c r="J35" s="138"/>
      <c r="K35" s="2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79" t="s">
        <v>62</v>
      </c>
      <c r="J36" s="139">
        <v>0.5</v>
      </c>
      <c r="K36" s="2"/>
      <c r="L36" s="1"/>
      <c r="M36" s="1"/>
    </row>
    <row r="37" spans="1:13">
      <c r="A37" s="16" t="s">
        <v>65</v>
      </c>
      <c r="B37" s="16"/>
      <c r="C37" s="16" t="s">
        <v>66</v>
      </c>
      <c r="D37" s="16"/>
      <c r="E37" s="16"/>
      <c r="F37" s="16"/>
      <c r="G37" s="16"/>
      <c r="H37" s="1"/>
      <c r="I37" s="84" t="s">
        <v>64</v>
      </c>
      <c r="J37" s="23">
        <v>0.45</v>
      </c>
      <c r="K37" s="2"/>
      <c r="L37" s="1"/>
      <c r="M37" s="1"/>
    </row>
    <row r="38" spans="1:13">
      <c r="A38" s="1"/>
      <c r="B38" s="4"/>
      <c r="C38" s="38"/>
      <c r="D38" s="40"/>
      <c r="E38" s="40"/>
      <c r="F38" s="40"/>
      <c r="G38" s="40"/>
      <c r="H38" s="1"/>
      <c r="I38" s="1"/>
      <c r="J38" s="1"/>
      <c r="K38" s="1"/>
      <c r="L38" s="1"/>
      <c r="M38" s="1"/>
    </row>
    <row r="39" spans="1:13">
      <c r="A39" s="40" t="s">
        <v>67</v>
      </c>
      <c r="B39" s="4"/>
      <c r="C39" s="38">
        <v>63</v>
      </c>
      <c r="D39" s="65" t="s">
        <v>68</v>
      </c>
      <c r="E39" s="40">
        <v>71</v>
      </c>
      <c r="F39" s="40"/>
      <c r="G39" s="41">
        <v>39</v>
      </c>
      <c r="H39" s="1"/>
      <c r="I39" s="1"/>
      <c r="J39" s="1"/>
      <c r="K39" s="1"/>
      <c r="L39" s="1"/>
      <c r="M39" s="1"/>
    </row>
    <row r="40" spans="1:13">
      <c r="A40" s="40" t="s">
        <v>69</v>
      </c>
      <c r="B40" s="4"/>
      <c r="C40" s="38">
        <v>67</v>
      </c>
      <c r="D40" s="65" t="s">
        <v>68</v>
      </c>
      <c r="E40" s="40">
        <v>127</v>
      </c>
      <c r="F40" s="40"/>
      <c r="G40" s="41">
        <v>34</v>
      </c>
      <c r="H40" s="1"/>
      <c r="I40" s="1"/>
      <c r="J40" s="1"/>
      <c r="K40" s="1"/>
      <c r="L40" s="1"/>
      <c r="M40" s="1"/>
    </row>
    <row r="41" spans="1:13">
      <c r="A41" s="40" t="s">
        <v>211</v>
      </c>
      <c r="B41" s="4"/>
      <c r="C41" s="38">
        <v>83</v>
      </c>
      <c r="D41" s="65" t="s">
        <v>120</v>
      </c>
      <c r="E41" s="40">
        <v>230</v>
      </c>
      <c r="F41" s="40"/>
      <c r="G41" s="41">
        <v>44</v>
      </c>
      <c r="H41" s="1"/>
      <c r="I41" s="1"/>
      <c r="J41" s="1"/>
      <c r="K41" s="1"/>
      <c r="L41" s="1"/>
      <c r="M41" s="1"/>
    </row>
    <row r="42" spans="1:13">
      <c r="A42" s="38" t="s">
        <v>212</v>
      </c>
      <c r="B42" s="4"/>
      <c r="C42" s="38" t="s">
        <v>181</v>
      </c>
      <c r="D42" s="65" t="s">
        <v>120</v>
      </c>
      <c r="E42" s="140" t="s">
        <v>213</v>
      </c>
      <c r="F42" s="40"/>
      <c r="G42" s="140" t="s">
        <v>214</v>
      </c>
      <c r="H42" s="1"/>
      <c r="I42" s="1"/>
      <c r="J42" s="1"/>
      <c r="K42" s="1"/>
      <c r="L42" s="1"/>
      <c r="M42" s="1"/>
    </row>
    <row r="43" spans="1:13">
      <c r="A43" s="16" t="s">
        <v>71</v>
      </c>
      <c r="B43" s="16"/>
      <c r="C43" s="16"/>
      <c r="D43" s="16"/>
      <c r="E43" s="16"/>
      <c r="F43" s="16"/>
      <c r="G43" s="16"/>
      <c r="H43" s="1"/>
      <c r="I43" s="1" t="s">
        <v>72</v>
      </c>
      <c r="J43" s="1"/>
      <c r="K43" s="1"/>
      <c r="L43" s="1"/>
      <c r="M43" s="1"/>
    </row>
    <row r="44" spans="1:13">
      <c r="A44" s="40" t="s">
        <v>73</v>
      </c>
      <c r="B44" s="40"/>
      <c r="C44" s="40"/>
      <c r="D44" s="40"/>
      <c r="E44" s="40"/>
      <c r="F44" s="40"/>
      <c r="G44" s="42">
        <v>4105</v>
      </c>
      <c r="H44" s="1" t="s">
        <v>74</v>
      </c>
      <c r="I44" s="12">
        <f>+G44*2.471</f>
        <v>10143.455</v>
      </c>
      <c r="J44" s="12"/>
      <c r="K44" s="1"/>
      <c r="L44" s="1"/>
      <c r="M44" s="1"/>
    </row>
    <row r="45" spans="1:13">
      <c r="A45" s="40" t="s">
        <v>75</v>
      </c>
      <c r="B45" s="40"/>
      <c r="C45" s="40"/>
      <c r="D45" s="40"/>
      <c r="E45" s="40"/>
      <c r="F45" s="40"/>
      <c r="G45" s="45">
        <v>214</v>
      </c>
      <c r="H45" s="1"/>
      <c r="I45" s="12">
        <f t="shared" ref="I45:I48" si="3">+G45*2.471</f>
        <v>528.79399999999998</v>
      </c>
      <c r="J45" s="12"/>
      <c r="K45" s="7"/>
      <c r="L45" s="1"/>
      <c r="M45" s="1"/>
    </row>
    <row r="46" spans="1:13">
      <c r="A46" s="40" t="s">
        <v>76</v>
      </c>
      <c r="B46" s="40"/>
      <c r="C46" s="40"/>
      <c r="D46" s="40"/>
      <c r="E46" s="40"/>
      <c r="F46" s="40"/>
      <c r="G46" s="46">
        <v>878470</v>
      </c>
      <c r="H46" s="1"/>
      <c r="I46" s="12">
        <f t="shared" si="3"/>
        <v>2170699.37</v>
      </c>
      <c r="J46" s="12"/>
      <c r="K46" s="7"/>
      <c r="L46" s="1"/>
      <c r="M46" s="1"/>
    </row>
    <row r="47" spans="1:13">
      <c r="A47" s="40" t="s">
        <v>77</v>
      </c>
      <c r="B47" s="40"/>
      <c r="C47" s="40"/>
      <c r="D47" s="40"/>
      <c r="E47" s="40"/>
      <c r="F47" s="40"/>
      <c r="G47" s="46">
        <f>+G46-K23</f>
        <v>621195</v>
      </c>
      <c r="H47" s="12"/>
      <c r="I47" s="12">
        <f t="shared" si="3"/>
        <v>1534972.845</v>
      </c>
      <c r="J47" s="12"/>
      <c r="K47" s="1"/>
      <c r="L47" s="1"/>
      <c r="M47" s="1"/>
    </row>
    <row r="48" spans="1:13">
      <c r="A48" s="40" t="s">
        <v>78</v>
      </c>
      <c r="B48" s="40"/>
      <c r="C48" s="40"/>
      <c r="D48" s="40"/>
      <c r="E48" s="40"/>
      <c r="F48" s="40"/>
      <c r="G48" s="46">
        <f>+G46-K24</f>
        <v>742072.13</v>
      </c>
      <c r="H48" s="12"/>
      <c r="I48" s="12">
        <f t="shared" si="3"/>
        <v>1833660.2332300001</v>
      </c>
      <c r="J48" s="12"/>
      <c r="K48" s="1"/>
      <c r="L48" s="1"/>
      <c r="M48" s="1"/>
    </row>
    <row r="49" spans="1:13">
      <c r="A49" s="40"/>
      <c r="B49" s="40"/>
      <c r="C49" s="40"/>
      <c r="D49" s="40"/>
      <c r="E49" s="40"/>
      <c r="F49" s="40"/>
      <c r="G49" s="45"/>
      <c r="H49" s="1"/>
      <c r="I49" s="1"/>
      <c r="J49" s="1"/>
      <c r="K49" s="1"/>
      <c r="L49" s="1"/>
      <c r="M49" s="1"/>
    </row>
    <row r="50" spans="1:13">
      <c r="A50" s="40" t="s">
        <v>79</v>
      </c>
      <c r="B50" s="40"/>
      <c r="C50" s="40"/>
      <c r="D50" s="40"/>
      <c r="E50" s="40"/>
      <c r="F50" s="40"/>
      <c r="G50" s="45">
        <f>+K23/G44</f>
        <v>62.673568818514006</v>
      </c>
      <c r="H50" s="1"/>
      <c r="I50" s="1"/>
      <c r="J50" s="1"/>
      <c r="K50" s="1"/>
      <c r="L50" s="1"/>
      <c r="M50" s="1"/>
    </row>
    <row r="51" spans="1:13">
      <c r="A51" s="20" t="s">
        <v>80</v>
      </c>
      <c r="B51" s="20"/>
      <c r="C51" s="20"/>
      <c r="D51" s="20"/>
      <c r="E51" s="20"/>
      <c r="F51" s="20"/>
      <c r="G51" s="47">
        <f>+K24/G44</f>
        <v>33.227252131546891</v>
      </c>
      <c r="H51" s="1"/>
      <c r="I51" s="1"/>
      <c r="J51" s="1"/>
      <c r="K51" s="1"/>
      <c r="L51" s="1"/>
      <c r="M51" s="1"/>
    </row>
    <row r="52" spans="1:13">
      <c r="A52" s="1" t="s">
        <v>215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sqref="A1:M45"/>
    </sheetView>
  </sheetViews>
  <sheetFormatPr defaultRowHeight="15"/>
  <sheetData>
    <row r="1" spans="1:13">
      <c r="A1" s="1" t="s">
        <v>0</v>
      </c>
      <c r="B1" s="1" t="s">
        <v>216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 t="s">
        <v>100</v>
      </c>
      <c r="C2" s="1" t="s">
        <v>217</v>
      </c>
      <c r="D2" s="2"/>
      <c r="E2" s="2"/>
      <c r="F2" s="2"/>
      <c r="G2" s="2"/>
      <c r="H2" s="1"/>
      <c r="I2" s="1" t="s">
        <v>4</v>
      </c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3" t="s">
        <v>5</v>
      </c>
      <c r="B4" s="3"/>
      <c r="C4" s="3"/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/>
    </row>
    <row r="5" spans="1:13">
      <c r="A5" s="4"/>
      <c r="B5" s="4"/>
      <c r="C5" s="4"/>
      <c r="D5" s="4" t="s">
        <v>15</v>
      </c>
      <c r="E5" s="4" t="s">
        <v>16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18</v>
      </c>
      <c r="K5" s="4" t="s">
        <v>18</v>
      </c>
      <c r="L5" s="4" t="s">
        <v>20</v>
      </c>
      <c r="M5" s="4" t="s">
        <v>21</v>
      </c>
    </row>
    <row r="6" spans="1:13">
      <c r="A6" s="4"/>
      <c r="B6" s="4"/>
      <c r="C6" s="4"/>
      <c r="D6" s="4" t="s">
        <v>22</v>
      </c>
      <c r="E6" s="4"/>
      <c r="F6" s="4"/>
      <c r="G6" s="4"/>
      <c r="H6" s="4" t="s">
        <v>23</v>
      </c>
      <c r="I6" s="4" t="s">
        <v>18</v>
      </c>
      <c r="J6" s="4" t="s">
        <v>23</v>
      </c>
      <c r="K6" s="4" t="s">
        <v>23</v>
      </c>
      <c r="L6" s="4"/>
      <c r="M6" s="4"/>
    </row>
    <row r="7" spans="1:13">
      <c r="A7" s="5"/>
      <c r="B7" s="5"/>
      <c r="C7" s="5"/>
      <c r="D7" s="5"/>
      <c r="E7" s="5"/>
      <c r="F7" s="5"/>
      <c r="G7" s="5"/>
      <c r="H7" s="5"/>
      <c r="I7" s="5" t="s">
        <v>23</v>
      </c>
      <c r="J7" s="5"/>
      <c r="K7" s="5"/>
      <c r="L7" s="5"/>
      <c r="M7" s="5"/>
    </row>
    <row r="8" spans="1:13">
      <c r="A8" s="1" t="s">
        <v>24</v>
      </c>
      <c r="B8" s="1"/>
      <c r="C8" s="1"/>
      <c r="D8" s="6">
        <v>60</v>
      </c>
      <c r="E8" s="10">
        <v>2.7</v>
      </c>
      <c r="F8" s="10">
        <v>1.6</v>
      </c>
      <c r="G8" s="11">
        <v>1200</v>
      </c>
      <c r="H8" s="12">
        <v>3240</v>
      </c>
      <c r="I8" s="12"/>
      <c r="J8" s="12"/>
      <c r="K8" s="12">
        <f>SUM(H8:J8)</f>
        <v>3240</v>
      </c>
      <c r="L8" s="12"/>
      <c r="M8" s="12"/>
    </row>
    <row r="9" spans="1:13">
      <c r="A9" s="1" t="s">
        <v>218</v>
      </c>
      <c r="B9" s="1"/>
      <c r="C9" s="1"/>
      <c r="D9" s="6">
        <v>100</v>
      </c>
      <c r="E9" s="10">
        <v>0.2</v>
      </c>
      <c r="F9" s="10">
        <v>0.2</v>
      </c>
      <c r="G9" s="11">
        <v>1200</v>
      </c>
      <c r="H9" s="12">
        <v>240</v>
      </c>
      <c r="I9" s="12">
        <v>3789</v>
      </c>
      <c r="J9" s="12"/>
      <c r="K9" s="12">
        <f t="shared" ref="K9:K18" si="0">SUM(H9:J9)</f>
        <v>4029</v>
      </c>
      <c r="L9" s="12">
        <v>171</v>
      </c>
      <c r="M9" s="12"/>
    </row>
    <row r="10" spans="1:13">
      <c r="A10" s="1" t="s">
        <v>219</v>
      </c>
      <c r="B10" s="1"/>
      <c r="C10" s="1"/>
      <c r="D10" s="6">
        <v>60</v>
      </c>
      <c r="E10" s="10">
        <v>0.4</v>
      </c>
      <c r="F10" s="10">
        <v>0.4</v>
      </c>
      <c r="G10" s="11">
        <v>1200</v>
      </c>
      <c r="H10" s="12">
        <v>480</v>
      </c>
      <c r="I10" s="12">
        <v>2105</v>
      </c>
      <c r="J10" s="12"/>
      <c r="K10" s="12">
        <f t="shared" si="0"/>
        <v>2585</v>
      </c>
      <c r="L10" s="12">
        <v>68</v>
      </c>
      <c r="M10" s="12"/>
    </row>
    <row r="11" spans="1:13">
      <c r="A11" s="1" t="s">
        <v>56</v>
      </c>
      <c r="B11" s="1"/>
      <c r="C11" s="1"/>
      <c r="D11" s="6">
        <v>76</v>
      </c>
      <c r="E11" s="10">
        <v>2.4</v>
      </c>
      <c r="F11" s="10">
        <v>1.7</v>
      </c>
      <c r="G11" s="11">
        <v>1200</v>
      </c>
      <c r="H11" s="12">
        <v>2880</v>
      </c>
      <c r="I11" s="12"/>
      <c r="J11" s="12">
        <f>+G27*E27</f>
        <v>3186</v>
      </c>
      <c r="K11" s="12">
        <f t="shared" si="0"/>
        <v>6066</v>
      </c>
      <c r="L11" s="12"/>
      <c r="M11" s="12">
        <v>172</v>
      </c>
    </row>
    <row r="12" spans="1:13">
      <c r="A12" s="1" t="s">
        <v>220</v>
      </c>
      <c r="B12" s="1"/>
      <c r="C12" s="1"/>
      <c r="D12" s="13" t="s">
        <v>29</v>
      </c>
      <c r="E12" s="10"/>
      <c r="F12" s="10"/>
      <c r="G12" s="11"/>
      <c r="H12" s="14" t="s">
        <v>221</v>
      </c>
      <c r="I12" s="14" t="s">
        <v>222</v>
      </c>
      <c r="J12" s="12"/>
      <c r="K12" s="12"/>
      <c r="L12" s="12"/>
      <c r="M12" s="12"/>
    </row>
    <row r="13" spans="1:13">
      <c r="A13" s="1" t="s">
        <v>32</v>
      </c>
      <c r="B13" s="1"/>
      <c r="C13" s="1"/>
      <c r="D13" s="6">
        <v>70</v>
      </c>
      <c r="E13" s="10">
        <v>0.4</v>
      </c>
      <c r="F13" s="10">
        <v>0.3</v>
      </c>
      <c r="G13" s="11">
        <v>1177</v>
      </c>
      <c r="H13" s="12">
        <v>471</v>
      </c>
      <c r="I13" s="12"/>
      <c r="J13" s="12">
        <f>+G33</f>
        <v>939</v>
      </c>
      <c r="K13" s="12">
        <f t="shared" si="0"/>
        <v>1410</v>
      </c>
      <c r="L13" s="12"/>
      <c r="M13" s="12"/>
    </row>
    <row r="14" spans="1:13">
      <c r="A14" s="1" t="s">
        <v>34</v>
      </c>
      <c r="B14" s="1"/>
      <c r="C14" s="1"/>
      <c r="D14" s="6">
        <v>100</v>
      </c>
      <c r="E14" s="10">
        <v>5.9</v>
      </c>
      <c r="F14" s="10">
        <v>2.8</v>
      </c>
      <c r="G14" s="11">
        <v>1217</v>
      </c>
      <c r="H14" s="12">
        <v>7180</v>
      </c>
      <c r="I14" s="12"/>
      <c r="J14" s="12"/>
      <c r="K14" s="12">
        <f t="shared" si="0"/>
        <v>7180</v>
      </c>
      <c r="L14" s="12"/>
      <c r="M14" s="12"/>
    </row>
    <row r="15" spans="1:13">
      <c r="A15" s="1" t="s">
        <v>35</v>
      </c>
      <c r="B15" s="1"/>
      <c r="C15" s="1"/>
      <c r="D15" s="6">
        <v>83</v>
      </c>
      <c r="E15" s="10">
        <v>0.4</v>
      </c>
      <c r="F15" s="10">
        <v>0.3</v>
      </c>
      <c r="G15" s="11">
        <v>1200</v>
      </c>
      <c r="H15" s="12">
        <v>480</v>
      </c>
      <c r="I15" s="12"/>
      <c r="J15" s="12">
        <v>817</v>
      </c>
      <c r="K15" s="12">
        <f t="shared" si="0"/>
        <v>1297</v>
      </c>
      <c r="L15" s="12"/>
      <c r="M15" s="12"/>
    </row>
    <row r="16" spans="1:13">
      <c r="A16" s="1" t="s">
        <v>37</v>
      </c>
      <c r="B16" s="1"/>
      <c r="C16" s="1"/>
      <c r="D16" s="6">
        <v>100</v>
      </c>
      <c r="E16" s="10">
        <v>7.5</v>
      </c>
      <c r="F16" s="10">
        <v>3.8</v>
      </c>
      <c r="G16" s="11">
        <v>1160</v>
      </c>
      <c r="H16" s="12">
        <v>8700</v>
      </c>
      <c r="I16" s="12"/>
      <c r="J16" s="12"/>
      <c r="K16" s="12">
        <f t="shared" si="0"/>
        <v>8700</v>
      </c>
      <c r="L16" s="12"/>
      <c r="M16" s="12"/>
    </row>
    <row r="17" spans="1:13">
      <c r="A17" s="1" t="s">
        <v>223</v>
      </c>
      <c r="B17" s="1"/>
      <c r="C17" s="1"/>
      <c r="D17" s="6">
        <v>100</v>
      </c>
      <c r="E17" s="10">
        <v>1.5</v>
      </c>
      <c r="F17" s="10">
        <v>1.5</v>
      </c>
      <c r="G17" s="11">
        <v>1207</v>
      </c>
      <c r="H17" s="12">
        <v>1811</v>
      </c>
      <c r="I17" s="12"/>
      <c r="J17" s="12"/>
      <c r="K17" s="12">
        <f t="shared" si="0"/>
        <v>1811</v>
      </c>
      <c r="L17" s="12"/>
      <c r="M17" s="12"/>
    </row>
    <row r="18" spans="1:13">
      <c r="A18" s="1" t="s">
        <v>224</v>
      </c>
      <c r="B18" s="1"/>
      <c r="C18" s="1"/>
      <c r="D18" s="6">
        <v>80</v>
      </c>
      <c r="E18" s="10">
        <v>0.7</v>
      </c>
      <c r="F18" s="10">
        <v>0.7</v>
      </c>
      <c r="G18" s="11">
        <v>1200</v>
      </c>
      <c r="H18" s="12">
        <v>840</v>
      </c>
      <c r="I18" s="12"/>
      <c r="J18" s="12"/>
      <c r="K18" s="12">
        <f t="shared" si="0"/>
        <v>840</v>
      </c>
      <c r="L18" s="12"/>
      <c r="M18" s="12"/>
    </row>
    <row r="19" spans="1:13">
      <c r="A19" s="16" t="s">
        <v>44</v>
      </c>
      <c r="B19" s="16"/>
      <c r="C19" s="16"/>
      <c r="D19" s="17"/>
      <c r="E19" s="18">
        <f t="shared" ref="E19:F19" si="1">SUM(E8:E18)</f>
        <v>22.099999999999998</v>
      </c>
      <c r="F19" s="18">
        <f t="shared" si="1"/>
        <v>13.299999999999999</v>
      </c>
      <c r="G19" s="19"/>
      <c r="H19" s="19">
        <f>SUM(H8:H18)</f>
        <v>26322</v>
      </c>
      <c r="I19" s="19">
        <f t="shared" ref="I19:M19" si="2">SUM(I8:I18)</f>
        <v>5894</v>
      </c>
      <c r="J19" s="19">
        <f t="shared" si="2"/>
        <v>4942</v>
      </c>
      <c r="K19" s="19">
        <f t="shared" si="2"/>
        <v>37158</v>
      </c>
      <c r="L19" s="19">
        <f t="shared" si="2"/>
        <v>239</v>
      </c>
      <c r="M19" s="19">
        <f t="shared" si="2"/>
        <v>172</v>
      </c>
    </row>
    <row r="20" spans="1:13">
      <c r="A20" s="20" t="s">
        <v>45</v>
      </c>
      <c r="B20" s="20"/>
      <c r="C20" s="20"/>
      <c r="D20" s="21"/>
      <c r="E20" s="22"/>
      <c r="F20" s="22"/>
      <c r="G20" s="24"/>
      <c r="H20" s="24">
        <f>SUM(E29*G29)</f>
        <v>10764</v>
      </c>
      <c r="I20" s="24">
        <f>I19-L19</f>
        <v>5655</v>
      </c>
      <c r="J20" s="24">
        <f>J19-M19</f>
        <v>4770</v>
      </c>
      <c r="K20" s="24">
        <f>SUM(H20:J20)</f>
        <v>21189</v>
      </c>
      <c r="L20" s="24"/>
      <c r="M20" s="24"/>
    </row>
    <row r="21" spans="1:13">
      <c r="A21" s="25"/>
      <c r="B21" s="1"/>
      <c r="C21" s="1"/>
      <c r="D21" s="1"/>
      <c r="E21" s="1"/>
      <c r="F21" s="1"/>
      <c r="G21" s="1"/>
      <c r="H21" s="12"/>
      <c r="I21" s="12"/>
      <c r="J21" s="12"/>
      <c r="K21" s="12"/>
      <c r="L21" s="1"/>
      <c r="M21" s="1"/>
    </row>
    <row r="22" spans="1:13">
      <c r="A22" s="1"/>
      <c r="B22" s="1"/>
      <c r="C22" s="1" t="s">
        <v>46</v>
      </c>
      <c r="D22" s="1"/>
      <c r="E22" s="1"/>
      <c r="F22" s="1"/>
      <c r="G22" s="1"/>
      <c r="H22" s="12"/>
      <c r="I22" s="141"/>
      <c r="J22" s="10"/>
      <c r="K22" s="12"/>
      <c r="L22" s="12"/>
      <c r="M22" s="1"/>
    </row>
    <row r="23" spans="1:13">
      <c r="A23" s="1"/>
      <c r="B23" s="1"/>
      <c r="C23" s="1"/>
      <c r="D23" s="1"/>
      <c r="E23" s="1"/>
      <c r="F23" s="1"/>
      <c r="G23" s="1"/>
      <c r="H23" s="10"/>
      <c r="I23" s="1"/>
      <c r="J23" s="1"/>
      <c r="K23" s="12"/>
      <c r="L23" s="1"/>
      <c r="M23" s="1"/>
    </row>
    <row r="24" spans="1:13">
      <c r="A24" s="1" t="s">
        <v>47</v>
      </c>
      <c r="B24" s="1"/>
      <c r="C24" s="1"/>
      <c r="D24" s="1"/>
      <c r="E24" s="1"/>
      <c r="F24" s="1"/>
      <c r="G24" s="1"/>
      <c r="H24" s="7"/>
      <c r="I24" s="1"/>
      <c r="J24" s="1"/>
      <c r="K24" s="1"/>
      <c r="L24" s="1"/>
      <c r="M24" s="1"/>
    </row>
    <row r="25" spans="1:13">
      <c r="A25" s="26" t="s">
        <v>48</v>
      </c>
      <c r="B25" s="26"/>
      <c r="C25" s="26"/>
      <c r="D25" s="26" t="s">
        <v>49</v>
      </c>
      <c r="E25" s="26" t="s">
        <v>50</v>
      </c>
      <c r="F25" s="26"/>
      <c r="G25" s="26" t="s">
        <v>51</v>
      </c>
      <c r="H25" s="1"/>
      <c r="I25" s="1"/>
      <c r="J25" s="61" t="s">
        <v>52</v>
      </c>
      <c r="K25" s="62" t="s">
        <v>53</v>
      </c>
      <c r="L25" s="1"/>
      <c r="M25" s="1"/>
    </row>
    <row r="26" spans="1:13">
      <c r="A26" s="1" t="s">
        <v>54</v>
      </c>
      <c r="B26" s="1"/>
      <c r="C26" s="1"/>
      <c r="D26" s="1"/>
      <c r="E26" s="1"/>
      <c r="F26" s="1"/>
      <c r="G26" s="1"/>
      <c r="H26" s="1"/>
      <c r="I26" s="1"/>
      <c r="J26" s="26" t="s">
        <v>225</v>
      </c>
      <c r="K26" s="142">
        <v>100</v>
      </c>
      <c r="L26" s="1"/>
      <c r="M26" s="1"/>
    </row>
    <row r="27" spans="1:13">
      <c r="A27" s="1" t="s">
        <v>56</v>
      </c>
      <c r="B27" s="1"/>
      <c r="C27" s="1"/>
      <c r="D27" s="1" t="s">
        <v>57</v>
      </c>
      <c r="E27" s="7">
        <v>13.5</v>
      </c>
      <c r="F27" s="7"/>
      <c r="G27" s="7">
        <v>236</v>
      </c>
      <c r="H27" s="1"/>
      <c r="I27" s="1"/>
      <c r="J27" s="1"/>
      <c r="K27" s="12"/>
      <c r="L27" s="1"/>
      <c r="M27" s="1"/>
    </row>
    <row r="28" spans="1:13">
      <c r="A28" s="1" t="s">
        <v>59</v>
      </c>
      <c r="B28" s="1"/>
      <c r="C28" s="1"/>
      <c r="D28" s="1"/>
      <c r="E28" s="1"/>
      <c r="F28" s="1"/>
      <c r="G28" s="1"/>
      <c r="H28" s="1"/>
      <c r="I28" s="1"/>
      <c r="J28" s="16" t="s">
        <v>62</v>
      </c>
      <c r="K28" s="16">
        <v>1.52</v>
      </c>
      <c r="L28" s="1"/>
      <c r="M28" s="1"/>
    </row>
    <row r="29" spans="1:13">
      <c r="A29" s="1" t="s">
        <v>60</v>
      </c>
      <c r="B29" s="1"/>
      <c r="C29" s="1"/>
      <c r="D29" s="1" t="s">
        <v>61</v>
      </c>
      <c r="E29" s="12">
        <v>9</v>
      </c>
      <c r="F29" s="12"/>
      <c r="G29" s="12">
        <v>1196</v>
      </c>
      <c r="H29" s="1"/>
      <c r="I29" s="1"/>
      <c r="J29" s="20" t="s">
        <v>64</v>
      </c>
      <c r="K29" s="23">
        <v>0.5</v>
      </c>
      <c r="L29" s="1"/>
      <c r="M29" s="1"/>
    </row>
    <row r="30" spans="1:13">
      <c r="A30" s="1" t="s">
        <v>63</v>
      </c>
      <c r="B30" s="1"/>
      <c r="C30" s="1"/>
      <c r="D30" s="1" t="s">
        <v>61</v>
      </c>
      <c r="E30" s="12">
        <v>13</v>
      </c>
      <c r="F30" s="12"/>
      <c r="G30" s="12"/>
      <c r="H30" s="1"/>
      <c r="I30" s="1"/>
      <c r="J30" s="129"/>
      <c r="K30" s="129"/>
      <c r="L30" s="1"/>
      <c r="M30" s="1"/>
    </row>
    <row r="31" spans="1:13">
      <c r="A31" s="1" t="s">
        <v>7</v>
      </c>
      <c r="B31" s="1"/>
      <c r="C31" s="1"/>
      <c r="D31" s="1"/>
      <c r="E31" s="12">
        <v>22</v>
      </c>
      <c r="F31" s="12"/>
      <c r="G31" s="12"/>
      <c r="H31" s="1"/>
      <c r="I31" s="1"/>
      <c r="J31" s="1"/>
      <c r="K31" s="37"/>
      <c r="L31" s="1"/>
      <c r="M31" s="1"/>
    </row>
    <row r="32" spans="1:13">
      <c r="A32" s="16" t="s">
        <v>65</v>
      </c>
      <c r="B32" s="16"/>
      <c r="C32" s="16" t="s">
        <v>66</v>
      </c>
      <c r="D32" s="16"/>
      <c r="E32" s="16"/>
      <c r="F32" s="16"/>
      <c r="G32" s="16"/>
      <c r="H32" s="1"/>
      <c r="I32" s="1"/>
      <c r="J32" s="129"/>
      <c r="K32" s="129"/>
      <c r="L32" s="1"/>
      <c r="M32" s="1"/>
    </row>
    <row r="33" spans="1:13">
      <c r="A33" s="40" t="s">
        <v>226</v>
      </c>
      <c r="B33" s="4"/>
      <c r="C33" s="57">
        <v>70</v>
      </c>
      <c r="D33" s="39" t="s">
        <v>227</v>
      </c>
      <c r="E33" s="40"/>
      <c r="F33" s="40"/>
      <c r="G33" s="128">
        <v>939</v>
      </c>
      <c r="H33" s="1"/>
      <c r="I33" s="1"/>
      <c r="J33" s="1"/>
      <c r="K33" s="1"/>
      <c r="L33" s="1"/>
      <c r="M33" s="1"/>
    </row>
    <row r="34" spans="1:13">
      <c r="A34" s="40"/>
      <c r="B34" s="4"/>
      <c r="C34" s="38"/>
      <c r="D34" s="40"/>
      <c r="E34" s="40"/>
      <c r="F34" s="40"/>
      <c r="G34" s="128"/>
      <c r="H34" s="1"/>
      <c r="I34" s="1"/>
      <c r="J34" s="1"/>
      <c r="K34" s="1"/>
      <c r="L34" s="1"/>
      <c r="M34" s="1"/>
    </row>
    <row r="35" spans="1:13">
      <c r="A35" s="16" t="s">
        <v>71</v>
      </c>
      <c r="B35" s="16"/>
      <c r="C35" s="16"/>
      <c r="D35" s="16"/>
      <c r="E35" s="16"/>
      <c r="F35" s="16"/>
      <c r="G35" s="16"/>
      <c r="H35" s="1"/>
      <c r="I35" s="1" t="s">
        <v>72</v>
      </c>
      <c r="J35" s="1"/>
      <c r="K35" s="1"/>
      <c r="L35" s="1"/>
      <c r="M35" s="1"/>
    </row>
    <row r="36" spans="1:13">
      <c r="A36" s="40" t="s">
        <v>73</v>
      </c>
      <c r="B36" s="40"/>
      <c r="C36" s="40"/>
      <c r="D36" s="40"/>
      <c r="E36" s="40"/>
      <c r="F36" s="40"/>
      <c r="G36" s="42">
        <v>238</v>
      </c>
      <c r="H36" s="43" t="s">
        <v>74</v>
      </c>
      <c r="I36" s="44">
        <f>+G36*2.471</f>
        <v>588.09800000000007</v>
      </c>
      <c r="J36" s="12"/>
      <c r="K36" s="12"/>
      <c r="L36" s="1"/>
      <c r="M36" s="1"/>
    </row>
    <row r="37" spans="1:13">
      <c r="A37" s="40" t="s">
        <v>75</v>
      </c>
      <c r="B37" s="40"/>
      <c r="C37" s="40"/>
      <c r="D37" s="40"/>
      <c r="E37" s="40"/>
      <c r="F37" s="40"/>
      <c r="G37" s="45">
        <v>153.1</v>
      </c>
      <c r="H37" s="43"/>
      <c r="I37" s="44"/>
      <c r="J37" s="12"/>
      <c r="K37" s="12"/>
      <c r="L37" s="1"/>
      <c r="M37" s="1"/>
    </row>
    <row r="38" spans="1:13">
      <c r="A38" s="40" t="s">
        <v>76</v>
      </c>
      <c r="B38" s="40"/>
      <c r="C38" s="40"/>
      <c r="D38" s="40"/>
      <c r="E38" s="40"/>
      <c r="F38" s="40"/>
      <c r="G38" s="45">
        <v>36438</v>
      </c>
      <c r="H38" s="43"/>
      <c r="I38" s="44">
        <f t="shared" ref="I38:I40" si="3">+G38*2.471</f>
        <v>90038.29800000001</v>
      </c>
      <c r="J38" s="12"/>
      <c r="K38" s="12"/>
      <c r="L38" s="1"/>
      <c r="M38" s="1"/>
    </row>
    <row r="39" spans="1:13">
      <c r="A39" s="40" t="s">
        <v>77</v>
      </c>
      <c r="B39" s="40"/>
      <c r="C39" s="40"/>
      <c r="D39" s="40"/>
      <c r="E39" s="40"/>
      <c r="F39" s="40"/>
      <c r="G39" s="45">
        <v>-720</v>
      </c>
      <c r="H39" s="44"/>
      <c r="I39" s="44">
        <f t="shared" si="3"/>
        <v>-1779.1200000000001</v>
      </c>
      <c r="J39" s="12"/>
      <c r="K39" s="12"/>
      <c r="L39" s="1"/>
      <c r="M39" s="1"/>
    </row>
    <row r="40" spans="1:13">
      <c r="A40" s="40" t="s">
        <v>78</v>
      </c>
      <c r="B40" s="40"/>
      <c r="C40" s="40"/>
      <c r="D40" s="40"/>
      <c r="E40" s="40"/>
      <c r="F40" s="40"/>
      <c r="G40" s="45">
        <v>15249</v>
      </c>
      <c r="H40" s="44"/>
      <c r="I40" s="44">
        <f t="shared" si="3"/>
        <v>37680.279000000002</v>
      </c>
      <c r="J40" s="12"/>
      <c r="K40" s="12"/>
      <c r="L40" s="1"/>
      <c r="M40" s="1"/>
    </row>
    <row r="41" spans="1:13">
      <c r="A41" s="40"/>
      <c r="B41" s="40"/>
      <c r="C41" s="40"/>
      <c r="D41" s="40"/>
      <c r="E41" s="40"/>
      <c r="F41" s="40"/>
      <c r="G41" s="45"/>
      <c r="H41" s="44"/>
      <c r="I41" s="43"/>
      <c r="J41" s="1"/>
      <c r="K41" s="10"/>
      <c r="L41" s="1"/>
      <c r="M41" s="1"/>
    </row>
    <row r="42" spans="1:13">
      <c r="A42" s="40" t="s">
        <v>79</v>
      </c>
      <c r="B42" s="40"/>
      <c r="C42" s="40"/>
      <c r="D42" s="40"/>
      <c r="E42" s="40"/>
      <c r="F42" s="40"/>
      <c r="G42" s="45">
        <f>+K19/G36</f>
        <v>156.12605042016807</v>
      </c>
      <c r="H42" s="43"/>
      <c r="I42" s="43"/>
      <c r="J42" s="1"/>
      <c r="K42" s="1"/>
      <c r="L42" s="1"/>
      <c r="M42" s="1"/>
    </row>
    <row r="43" spans="1:13">
      <c r="A43" s="20" t="s">
        <v>80</v>
      </c>
      <c r="B43" s="20"/>
      <c r="C43" s="20"/>
      <c r="D43" s="20"/>
      <c r="E43" s="20"/>
      <c r="F43" s="20"/>
      <c r="G43" s="47">
        <f>+K20/G36</f>
        <v>89.029411764705884</v>
      </c>
      <c r="H43" s="43"/>
      <c r="I43" s="43"/>
      <c r="J43" s="1"/>
      <c r="K43" s="1"/>
      <c r="L43" s="1"/>
      <c r="M43" s="1"/>
    </row>
    <row r="44" spans="1:13">
      <c r="A44" s="48" t="s">
        <v>228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4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7"/>
  <sheetViews>
    <sheetView workbookViewId="0">
      <selection sqref="A1:M37"/>
    </sheetView>
  </sheetViews>
  <sheetFormatPr defaultRowHeight="15"/>
  <sheetData>
    <row r="1" spans="1:13">
      <c r="A1" s="1" t="s">
        <v>0</v>
      </c>
      <c r="B1" s="1" t="s">
        <v>229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>
      <c r="A2" s="1"/>
      <c r="B2" s="1" t="s">
        <v>100</v>
      </c>
      <c r="C2" s="2"/>
      <c r="D2" s="1" t="s">
        <v>230</v>
      </c>
      <c r="E2" s="2"/>
      <c r="F2" s="2"/>
      <c r="G2" s="2"/>
      <c r="H2" s="58" t="s">
        <v>102</v>
      </c>
      <c r="I2" s="58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3" t="s">
        <v>5</v>
      </c>
      <c r="B4" s="3"/>
      <c r="C4" s="3"/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/>
    </row>
    <row r="5" spans="1:13">
      <c r="A5" s="4"/>
      <c r="B5" s="4"/>
      <c r="C5" s="4"/>
      <c r="D5" s="4" t="s">
        <v>15</v>
      </c>
      <c r="E5" s="4" t="s">
        <v>16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18</v>
      </c>
      <c r="K5" s="4" t="s">
        <v>18</v>
      </c>
      <c r="L5" s="4" t="s">
        <v>20</v>
      </c>
      <c r="M5" s="4" t="s">
        <v>21</v>
      </c>
    </row>
    <row r="6" spans="1:13">
      <c r="A6" s="4"/>
      <c r="B6" s="4"/>
      <c r="C6" s="4"/>
      <c r="D6" s="4" t="s">
        <v>22</v>
      </c>
      <c r="E6" s="4"/>
      <c r="F6" s="4"/>
      <c r="G6" s="4"/>
      <c r="H6" s="4" t="s">
        <v>23</v>
      </c>
      <c r="I6" s="4" t="s">
        <v>18</v>
      </c>
      <c r="J6" s="4" t="s">
        <v>23</v>
      </c>
      <c r="K6" s="4" t="s">
        <v>23</v>
      </c>
      <c r="L6" s="4"/>
      <c r="M6" s="4"/>
    </row>
    <row r="7" spans="1:13">
      <c r="A7" s="5"/>
      <c r="B7" s="5"/>
      <c r="C7" s="5"/>
      <c r="D7" s="5"/>
      <c r="E7" s="5"/>
      <c r="F7" s="5"/>
      <c r="G7" s="5"/>
      <c r="H7" s="5"/>
      <c r="I7" s="5" t="s">
        <v>23</v>
      </c>
      <c r="J7" s="5"/>
      <c r="K7" s="5"/>
      <c r="L7" s="5"/>
      <c r="M7" s="5"/>
    </row>
    <row r="8" spans="1:13">
      <c r="A8" s="1" t="s">
        <v>24</v>
      </c>
      <c r="B8" s="1"/>
      <c r="C8" s="1"/>
      <c r="D8" s="13">
        <v>71</v>
      </c>
      <c r="E8" s="59">
        <v>1.4</v>
      </c>
      <c r="F8" s="10">
        <v>0.8</v>
      </c>
      <c r="G8" s="11">
        <v>1263</v>
      </c>
      <c r="H8" s="12">
        <v>1768</v>
      </c>
      <c r="I8" s="1"/>
      <c r="J8" s="7"/>
      <c r="K8" s="12">
        <f>SUM(H8:J8)</f>
        <v>1768</v>
      </c>
      <c r="L8" s="1"/>
      <c r="M8" s="1"/>
    </row>
    <row r="9" spans="1:13">
      <c r="A9" s="1" t="s">
        <v>231</v>
      </c>
      <c r="B9" s="1"/>
      <c r="C9" s="1"/>
      <c r="D9" s="6">
        <v>100</v>
      </c>
      <c r="E9" s="10">
        <v>0.4</v>
      </c>
      <c r="F9" s="10">
        <v>0.4</v>
      </c>
      <c r="G9" s="11">
        <v>1200</v>
      </c>
      <c r="H9" s="12">
        <v>480</v>
      </c>
      <c r="I9" s="143">
        <v>5750</v>
      </c>
      <c r="J9" s="12"/>
      <c r="K9" s="12">
        <f t="shared" ref="K9:K13" si="0">SUM(H9:J9)</f>
        <v>6230</v>
      </c>
      <c r="L9" s="12">
        <v>469</v>
      </c>
      <c r="M9" s="12"/>
    </row>
    <row r="10" spans="1:13">
      <c r="A10" s="1" t="s">
        <v>232</v>
      </c>
      <c r="B10" s="1"/>
      <c r="C10" s="1"/>
      <c r="D10" s="6">
        <v>100</v>
      </c>
      <c r="E10" s="10">
        <v>0.4</v>
      </c>
      <c r="F10" s="10">
        <v>0.3</v>
      </c>
      <c r="G10" s="11">
        <v>1363</v>
      </c>
      <c r="H10" s="12">
        <v>545</v>
      </c>
      <c r="I10" s="12"/>
      <c r="J10" s="12">
        <v>1456</v>
      </c>
      <c r="K10" s="12">
        <f t="shared" si="0"/>
        <v>2001</v>
      </c>
      <c r="L10" s="12"/>
      <c r="M10" s="12">
        <v>795</v>
      </c>
    </row>
    <row r="11" spans="1:13">
      <c r="A11" s="1" t="s">
        <v>37</v>
      </c>
      <c r="B11" s="1"/>
      <c r="C11" s="1"/>
      <c r="D11" s="6">
        <v>100</v>
      </c>
      <c r="E11" s="10">
        <v>6.4</v>
      </c>
      <c r="F11" s="10">
        <v>0.9</v>
      </c>
      <c r="G11" s="11">
        <v>1138</v>
      </c>
      <c r="H11" s="12">
        <v>7283</v>
      </c>
      <c r="I11" s="12"/>
      <c r="J11" s="12"/>
      <c r="K11" s="12">
        <f t="shared" si="0"/>
        <v>7283</v>
      </c>
      <c r="L11" s="12"/>
      <c r="M11" s="12"/>
    </row>
    <row r="12" spans="1:13">
      <c r="A12" s="1" t="s">
        <v>113</v>
      </c>
      <c r="B12" s="1"/>
      <c r="C12" s="1"/>
      <c r="D12" s="6">
        <v>100</v>
      </c>
      <c r="E12" s="10">
        <v>1.6</v>
      </c>
      <c r="F12" s="10">
        <v>1.1000000000000001</v>
      </c>
      <c r="G12" s="11">
        <v>1138</v>
      </c>
      <c r="H12" s="12">
        <v>1821</v>
      </c>
      <c r="I12" s="12"/>
      <c r="J12" s="12"/>
      <c r="K12" s="12">
        <f t="shared" si="0"/>
        <v>1821</v>
      </c>
      <c r="L12" s="12"/>
      <c r="M12" s="12"/>
    </row>
    <row r="13" spans="1:13">
      <c r="A13" s="1" t="s">
        <v>233</v>
      </c>
      <c r="B13" s="1"/>
      <c r="C13" s="1"/>
      <c r="D13" s="6">
        <v>68</v>
      </c>
      <c r="E13" s="10">
        <v>0.1</v>
      </c>
      <c r="F13" s="10">
        <v>0.1</v>
      </c>
      <c r="G13" s="11">
        <v>1200</v>
      </c>
      <c r="H13" s="12">
        <v>120</v>
      </c>
      <c r="I13" s="12">
        <v>270</v>
      </c>
      <c r="J13" s="12"/>
      <c r="K13" s="12">
        <f t="shared" si="0"/>
        <v>390</v>
      </c>
      <c r="L13" s="12">
        <v>171</v>
      </c>
      <c r="M13" s="12"/>
    </row>
    <row r="14" spans="1:13">
      <c r="A14" s="16" t="s">
        <v>44</v>
      </c>
      <c r="B14" s="16"/>
      <c r="C14" s="16"/>
      <c r="D14" s="17"/>
      <c r="E14" s="18">
        <v>10.299999999999999</v>
      </c>
      <c r="F14" s="18">
        <v>3.6000000000000005</v>
      </c>
      <c r="G14" s="60"/>
      <c r="H14" s="19">
        <f t="shared" ref="H14:M14" si="1">SUM(H8:H13)</f>
        <v>12017</v>
      </c>
      <c r="I14" s="19">
        <f t="shared" si="1"/>
        <v>6020</v>
      </c>
      <c r="J14" s="19">
        <f t="shared" si="1"/>
        <v>1456</v>
      </c>
      <c r="K14" s="19">
        <f t="shared" si="1"/>
        <v>19493</v>
      </c>
      <c r="L14" s="19">
        <f t="shared" si="1"/>
        <v>640</v>
      </c>
      <c r="M14" s="19">
        <f t="shared" si="1"/>
        <v>795</v>
      </c>
    </row>
    <row r="15" spans="1:13">
      <c r="A15" s="20" t="s">
        <v>45</v>
      </c>
      <c r="B15" s="20"/>
      <c r="C15" s="20"/>
      <c r="D15" s="21"/>
      <c r="E15" s="22"/>
      <c r="F15" s="22"/>
      <c r="G15" s="23"/>
      <c r="H15" s="24">
        <v>8407</v>
      </c>
      <c r="I15" s="24">
        <f>+I14-L14</f>
        <v>5380</v>
      </c>
      <c r="J15" s="24">
        <f>+J14-M14</f>
        <v>661</v>
      </c>
      <c r="K15" s="24">
        <f>SUM(H15:J15)</f>
        <v>14448</v>
      </c>
      <c r="L15" s="20"/>
      <c r="M15" s="20"/>
    </row>
    <row r="16" spans="1:13">
      <c r="A16" s="25"/>
      <c r="B16" s="1"/>
      <c r="C16" s="1"/>
      <c r="D16" s="1"/>
      <c r="E16" s="1"/>
      <c r="F16" s="1"/>
      <c r="G16" s="1"/>
      <c r="H16" s="1"/>
      <c r="I16" s="7"/>
      <c r="J16" s="7"/>
      <c r="K16" s="1"/>
      <c r="L16" s="1"/>
      <c r="M16" s="1"/>
    </row>
    <row r="17" spans="1:13">
      <c r="A17" s="1"/>
      <c r="B17" s="1"/>
      <c r="C17" s="1" t="s">
        <v>46</v>
      </c>
      <c r="D17" s="1"/>
      <c r="E17" s="1"/>
      <c r="F17" s="1"/>
      <c r="G17" s="1"/>
      <c r="H17" s="1"/>
      <c r="I17" s="1"/>
      <c r="J17" s="7"/>
      <c r="K17" s="7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7"/>
      <c r="L18" s="1"/>
      <c r="M18" s="1"/>
    </row>
    <row r="19" spans="1:13">
      <c r="A19" s="1" t="s">
        <v>47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26" t="s">
        <v>48</v>
      </c>
      <c r="B20" s="26"/>
      <c r="C20" s="26"/>
      <c r="D20" s="26" t="s">
        <v>49</v>
      </c>
      <c r="E20" s="26" t="s">
        <v>50</v>
      </c>
      <c r="F20" s="26"/>
      <c r="G20" s="26" t="s">
        <v>51</v>
      </c>
      <c r="H20" s="1"/>
      <c r="I20" s="1"/>
      <c r="J20" s="144" t="s">
        <v>52</v>
      </c>
      <c r="K20" s="145" t="s">
        <v>53</v>
      </c>
      <c r="L20" s="1"/>
      <c r="M20" s="1"/>
    </row>
    <row r="21" spans="1:13">
      <c r="A21" s="1" t="s">
        <v>54</v>
      </c>
      <c r="B21" s="1"/>
      <c r="C21" s="1"/>
      <c r="D21" s="1"/>
      <c r="E21" s="1"/>
      <c r="F21" s="1"/>
      <c r="G21" s="1"/>
      <c r="H21" s="1"/>
      <c r="I21" s="1"/>
      <c r="J21" s="16" t="s">
        <v>234</v>
      </c>
      <c r="K21" s="19">
        <v>70</v>
      </c>
      <c r="L21" s="1"/>
      <c r="M21" s="1"/>
    </row>
    <row r="22" spans="1:13">
      <c r="A22" s="1" t="s">
        <v>137</v>
      </c>
      <c r="B22" s="1"/>
      <c r="C22" s="63"/>
      <c r="D22" s="146" t="s">
        <v>68</v>
      </c>
      <c r="E22" s="7">
        <v>5.8</v>
      </c>
      <c r="F22" s="7"/>
      <c r="G22" s="7">
        <v>251</v>
      </c>
      <c r="H22" s="1"/>
      <c r="I22" s="7"/>
      <c r="J22" s="40" t="s">
        <v>235</v>
      </c>
      <c r="K22" s="128">
        <v>24</v>
      </c>
      <c r="L22" s="1"/>
      <c r="M22" s="1"/>
    </row>
    <row r="23" spans="1:13">
      <c r="A23" s="1" t="s">
        <v>59</v>
      </c>
      <c r="B23" s="1"/>
      <c r="C23" s="1"/>
      <c r="D23" s="1"/>
      <c r="E23" s="10"/>
      <c r="F23" s="1"/>
      <c r="G23" s="1"/>
      <c r="H23" s="1"/>
      <c r="I23" s="1"/>
      <c r="J23" s="20" t="s">
        <v>191</v>
      </c>
      <c r="K23" s="24">
        <v>6</v>
      </c>
      <c r="L23" s="1"/>
      <c r="M23" s="1"/>
    </row>
    <row r="24" spans="1:13">
      <c r="A24" s="1" t="s">
        <v>60</v>
      </c>
      <c r="B24" s="1"/>
      <c r="C24" s="1"/>
      <c r="D24" s="1" t="s">
        <v>61</v>
      </c>
      <c r="E24" s="12">
        <v>7</v>
      </c>
      <c r="F24" s="12"/>
      <c r="G24" s="7">
        <v>1201</v>
      </c>
      <c r="H24" s="1"/>
      <c r="I24" s="1"/>
      <c r="J24" s="2"/>
      <c r="K24" s="2"/>
      <c r="L24" s="1"/>
      <c r="M24" s="1"/>
    </row>
    <row r="25" spans="1:13">
      <c r="A25" s="1" t="s">
        <v>63</v>
      </c>
      <c r="B25" s="1"/>
      <c r="C25" s="1"/>
      <c r="D25" s="1" t="s">
        <v>61</v>
      </c>
      <c r="E25" s="12">
        <v>3</v>
      </c>
      <c r="F25" s="12"/>
      <c r="G25" s="12"/>
      <c r="H25" s="1"/>
      <c r="I25" s="1"/>
      <c r="J25" s="16" t="s">
        <v>62</v>
      </c>
      <c r="K25" s="60">
        <v>3.2</v>
      </c>
      <c r="L25" s="1"/>
      <c r="M25" s="1"/>
    </row>
    <row r="26" spans="1:13">
      <c r="A26" s="1" t="s">
        <v>7</v>
      </c>
      <c r="B26" s="1"/>
      <c r="C26" s="1"/>
      <c r="D26" s="1"/>
      <c r="E26" s="12">
        <v>10</v>
      </c>
      <c r="F26" s="12"/>
      <c r="G26" s="12"/>
      <c r="H26" s="1"/>
      <c r="I26" s="1"/>
      <c r="J26" s="20" t="s">
        <v>64</v>
      </c>
      <c r="K26" s="23">
        <v>2</v>
      </c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1"/>
      <c r="M27" s="1"/>
    </row>
    <row r="28" spans="1:13">
      <c r="A28" s="16" t="s">
        <v>71</v>
      </c>
      <c r="B28" s="16"/>
      <c r="C28" s="16"/>
      <c r="D28" s="16"/>
      <c r="E28" s="16"/>
      <c r="F28" s="16"/>
      <c r="G28" s="1"/>
      <c r="H28" s="2"/>
      <c r="I28" s="1" t="s">
        <v>72</v>
      </c>
      <c r="J28" s="2"/>
      <c r="K28" s="1"/>
      <c r="L28" s="1"/>
      <c r="M28" s="1"/>
    </row>
    <row r="29" spans="1:13">
      <c r="A29" s="40" t="s">
        <v>73</v>
      </c>
      <c r="B29" s="40"/>
      <c r="C29" s="40"/>
      <c r="D29" s="40"/>
      <c r="E29" s="40"/>
      <c r="F29" s="40"/>
      <c r="G29" s="42">
        <v>225</v>
      </c>
      <c r="H29" s="1" t="s">
        <v>74</v>
      </c>
      <c r="I29" s="12">
        <v>556</v>
      </c>
      <c r="J29" s="2"/>
      <c r="K29" s="1"/>
      <c r="L29" s="1"/>
      <c r="M29" s="1"/>
    </row>
    <row r="30" spans="1:13">
      <c r="A30" s="40" t="s">
        <v>75</v>
      </c>
      <c r="B30" s="40"/>
      <c r="C30" s="40"/>
      <c r="D30" s="40"/>
      <c r="E30" s="40"/>
      <c r="F30" s="40"/>
      <c r="G30" s="45">
        <v>168</v>
      </c>
      <c r="H30" s="147"/>
      <c r="I30" s="12"/>
      <c r="J30" s="2"/>
      <c r="K30" s="7"/>
      <c r="L30" s="1"/>
      <c r="M30" s="1"/>
    </row>
    <row r="31" spans="1:13">
      <c r="A31" s="40" t="s">
        <v>76</v>
      </c>
      <c r="B31" s="40"/>
      <c r="C31" s="40"/>
      <c r="D31" s="40"/>
      <c r="E31" s="40"/>
      <c r="F31" s="40"/>
      <c r="G31" s="45">
        <v>37800</v>
      </c>
      <c r="H31" s="148"/>
      <c r="I31" s="12">
        <v>93404</v>
      </c>
      <c r="J31" s="2"/>
      <c r="K31" s="7"/>
      <c r="L31" s="1"/>
      <c r="M31" s="1"/>
    </row>
    <row r="32" spans="1:13">
      <c r="A32" s="40" t="s">
        <v>77</v>
      </c>
      <c r="B32" s="40"/>
      <c r="C32" s="40"/>
      <c r="D32" s="40"/>
      <c r="E32" s="40"/>
      <c r="F32" s="40"/>
      <c r="G32" s="45">
        <f>+G31-K14</f>
        <v>18307</v>
      </c>
      <c r="H32" s="148"/>
      <c r="I32" s="12">
        <v>45237</v>
      </c>
      <c r="J32" s="2"/>
      <c r="K32" s="1"/>
      <c r="L32" s="1"/>
      <c r="M32" s="1"/>
    </row>
    <row r="33" spans="1:13">
      <c r="A33" s="40" t="s">
        <v>78</v>
      </c>
      <c r="B33" s="40"/>
      <c r="C33" s="40"/>
      <c r="D33" s="40"/>
      <c r="E33" s="40"/>
      <c r="F33" s="40"/>
      <c r="G33" s="45">
        <f>+G31-K15</f>
        <v>23352</v>
      </c>
      <c r="H33" s="148"/>
      <c r="I33" s="12">
        <v>57703</v>
      </c>
      <c r="J33" s="2"/>
      <c r="K33" s="1"/>
      <c r="L33" s="1"/>
      <c r="M33" s="1"/>
    </row>
    <row r="34" spans="1:13">
      <c r="A34" s="40"/>
      <c r="B34" s="40"/>
      <c r="C34" s="40"/>
      <c r="D34" s="40"/>
      <c r="E34" s="40"/>
      <c r="F34" s="40"/>
      <c r="G34" s="45"/>
      <c r="H34" s="1"/>
      <c r="I34" s="1"/>
      <c r="J34" s="1"/>
      <c r="K34" s="1"/>
      <c r="L34" s="1"/>
      <c r="M34" s="1"/>
    </row>
    <row r="35" spans="1:13">
      <c r="A35" s="40" t="s">
        <v>79</v>
      </c>
      <c r="B35" s="40"/>
      <c r="C35" s="40"/>
      <c r="D35" s="40"/>
      <c r="E35" s="40"/>
      <c r="F35" s="40"/>
      <c r="G35" s="45">
        <f>+K14/G29</f>
        <v>86.635555555555555</v>
      </c>
      <c r="H35" s="1"/>
      <c r="I35" s="1"/>
      <c r="J35" s="1"/>
      <c r="K35" s="1"/>
      <c r="L35" s="1"/>
      <c r="M35" s="1"/>
    </row>
    <row r="36" spans="1:13">
      <c r="A36" s="20" t="s">
        <v>80</v>
      </c>
      <c r="B36" s="20"/>
      <c r="C36" s="20"/>
      <c r="D36" s="20"/>
      <c r="E36" s="20"/>
      <c r="F36" s="20"/>
      <c r="G36" s="47">
        <f>+K15/G29</f>
        <v>64.213333333333338</v>
      </c>
      <c r="H36" s="1"/>
      <c r="I36" s="1"/>
      <c r="J36" s="1"/>
      <c r="K36" s="1"/>
      <c r="L36" s="1"/>
      <c r="M36" s="1"/>
    </row>
    <row r="37" spans="1:13">
      <c r="A37" s="1" t="s">
        <v>236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7"/>
  <sheetViews>
    <sheetView workbookViewId="0">
      <selection sqref="A1:M47"/>
    </sheetView>
  </sheetViews>
  <sheetFormatPr defaultRowHeight="15"/>
  <sheetData>
    <row r="1" spans="1:13">
      <c r="A1" s="1" t="s">
        <v>0</v>
      </c>
      <c r="B1" s="1" t="s">
        <v>237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>
      <c r="A2" s="1"/>
      <c r="B2" s="1" t="s">
        <v>100</v>
      </c>
      <c r="C2" s="2"/>
      <c r="D2" s="1" t="s">
        <v>238</v>
      </c>
      <c r="E2" s="2"/>
      <c r="F2" s="2"/>
      <c r="G2" s="2"/>
      <c r="H2" s="58" t="s">
        <v>102</v>
      </c>
      <c r="I2" s="58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3" t="s">
        <v>5</v>
      </c>
      <c r="B4" s="3"/>
      <c r="C4" s="3"/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/>
    </row>
    <row r="5" spans="1:13">
      <c r="A5" s="4"/>
      <c r="B5" s="4"/>
      <c r="C5" s="4"/>
      <c r="D5" s="4" t="s">
        <v>15</v>
      </c>
      <c r="E5" s="4" t="s">
        <v>16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18</v>
      </c>
      <c r="K5" s="4" t="s">
        <v>18</v>
      </c>
      <c r="L5" s="4" t="s">
        <v>20</v>
      </c>
      <c r="M5" s="4" t="s">
        <v>21</v>
      </c>
    </row>
    <row r="6" spans="1:13">
      <c r="A6" s="4"/>
      <c r="B6" s="4"/>
      <c r="C6" s="4"/>
      <c r="D6" s="4" t="s">
        <v>22</v>
      </c>
      <c r="E6" s="4"/>
      <c r="F6" s="4"/>
      <c r="G6" s="4"/>
      <c r="H6" s="4" t="s">
        <v>23</v>
      </c>
      <c r="I6" s="4" t="s">
        <v>18</v>
      </c>
      <c r="J6" s="4" t="s">
        <v>23</v>
      </c>
      <c r="K6" s="4" t="s">
        <v>23</v>
      </c>
      <c r="L6" s="4"/>
      <c r="M6" s="4"/>
    </row>
    <row r="7" spans="1:13">
      <c r="A7" s="5"/>
      <c r="B7" s="5"/>
      <c r="C7" s="5"/>
      <c r="D7" s="5"/>
      <c r="E7" s="5"/>
      <c r="F7" s="5"/>
      <c r="G7" s="5"/>
      <c r="H7" s="5"/>
      <c r="I7" s="5" t="s">
        <v>23</v>
      </c>
      <c r="J7" s="5"/>
      <c r="K7" s="5"/>
      <c r="L7" s="5"/>
      <c r="M7" s="5"/>
    </row>
    <row r="8" spans="1:13">
      <c r="A8" s="1" t="s">
        <v>24</v>
      </c>
      <c r="B8" s="1"/>
      <c r="C8" s="1"/>
      <c r="D8" s="13">
        <v>41</v>
      </c>
      <c r="E8" s="59">
        <v>2.2999999999999998</v>
      </c>
      <c r="F8" s="10">
        <v>2.2999999999999998</v>
      </c>
      <c r="G8" s="11">
        <v>1200</v>
      </c>
      <c r="H8" s="12">
        <v>2760</v>
      </c>
      <c r="I8" s="12"/>
      <c r="J8" s="12"/>
      <c r="K8" s="12">
        <f>+J8+I8+H8</f>
        <v>2760</v>
      </c>
      <c r="L8" s="10"/>
      <c r="M8" s="10"/>
    </row>
    <row r="9" spans="1:13">
      <c r="A9" s="1" t="s">
        <v>104</v>
      </c>
      <c r="B9" s="1"/>
      <c r="C9" s="1"/>
      <c r="D9" s="6">
        <v>100</v>
      </c>
      <c r="E9" s="10">
        <v>0.4</v>
      </c>
      <c r="F9" s="10">
        <v>0.4</v>
      </c>
      <c r="G9" s="11">
        <v>1200</v>
      </c>
      <c r="H9" s="12">
        <v>480</v>
      </c>
      <c r="I9" s="12">
        <v>6950</v>
      </c>
      <c r="J9" s="12"/>
      <c r="K9" s="12">
        <f t="shared" ref="K9:K18" si="0">+J9+I9+H9</f>
        <v>7430</v>
      </c>
      <c r="L9" s="12">
        <v>507</v>
      </c>
      <c r="M9" s="10"/>
    </row>
    <row r="10" spans="1:13">
      <c r="A10" s="1" t="s">
        <v>111</v>
      </c>
      <c r="B10" s="1"/>
      <c r="C10" s="1"/>
      <c r="D10" s="6">
        <v>100</v>
      </c>
      <c r="E10" s="10">
        <v>5</v>
      </c>
      <c r="F10" s="10">
        <v>1.6</v>
      </c>
      <c r="G10" s="11">
        <v>1200</v>
      </c>
      <c r="H10" s="12">
        <v>6000</v>
      </c>
      <c r="I10" s="12"/>
      <c r="J10" s="12"/>
      <c r="K10" s="12">
        <f t="shared" si="0"/>
        <v>6000</v>
      </c>
      <c r="L10" s="10"/>
      <c r="M10" s="10"/>
    </row>
    <row r="11" spans="1:13">
      <c r="A11" s="1" t="s">
        <v>56</v>
      </c>
      <c r="B11" s="1"/>
      <c r="C11" s="1"/>
      <c r="D11" s="6">
        <v>100</v>
      </c>
      <c r="E11" s="10">
        <v>5.3</v>
      </c>
      <c r="F11" s="10">
        <v>1.8</v>
      </c>
      <c r="G11" s="11">
        <v>1200</v>
      </c>
      <c r="H11" s="12">
        <v>6360</v>
      </c>
      <c r="I11" s="12"/>
      <c r="J11" s="12">
        <v>6666</v>
      </c>
      <c r="K11" s="12">
        <f t="shared" si="0"/>
        <v>13026</v>
      </c>
      <c r="L11" s="10"/>
      <c r="M11" s="10"/>
    </row>
    <row r="12" spans="1:13">
      <c r="A12" s="1" t="s">
        <v>32</v>
      </c>
      <c r="B12" s="1"/>
      <c r="C12" s="1"/>
      <c r="D12" s="6">
        <v>100</v>
      </c>
      <c r="E12" s="10">
        <v>4.3</v>
      </c>
      <c r="F12" s="10">
        <v>2.4</v>
      </c>
      <c r="G12" s="11">
        <v>1200</v>
      </c>
      <c r="H12" s="12">
        <v>5160</v>
      </c>
      <c r="I12" s="12"/>
      <c r="J12" s="12">
        <v>7063</v>
      </c>
      <c r="K12" s="12">
        <f t="shared" si="0"/>
        <v>12223</v>
      </c>
      <c r="L12" s="10"/>
      <c r="M12" s="10"/>
    </row>
    <row r="13" spans="1:13">
      <c r="A13" s="1" t="s">
        <v>34</v>
      </c>
      <c r="B13" s="1"/>
      <c r="C13" s="1"/>
      <c r="D13" s="6">
        <v>100</v>
      </c>
      <c r="E13" s="10">
        <v>9.1999999999999993</v>
      </c>
      <c r="F13" s="10">
        <v>3.7</v>
      </c>
      <c r="G13" s="11">
        <v>1200</v>
      </c>
      <c r="H13" s="12">
        <v>11040</v>
      </c>
      <c r="I13" s="12"/>
      <c r="J13" s="12"/>
      <c r="K13" s="12">
        <f t="shared" si="0"/>
        <v>11040</v>
      </c>
      <c r="L13" s="10"/>
      <c r="M13" s="10"/>
    </row>
    <row r="14" spans="1:13">
      <c r="A14" s="1" t="s">
        <v>35</v>
      </c>
      <c r="B14" s="1"/>
      <c r="C14" s="1"/>
      <c r="D14" s="6">
        <v>91</v>
      </c>
      <c r="E14" s="10">
        <v>1.7</v>
      </c>
      <c r="F14" s="10">
        <v>1</v>
      </c>
      <c r="G14" s="11">
        <v>1256</v>
      </c>
      <c r="H14" s="12">
        <v>2135</v>
      </c>
      <c r="I14" s="12"/>
      <c r="J14" s="12">
        <v>1434</v>
      </c>
      <c r="K14" s="12">
        <f t="shared" si="0"/>
        <v>3569</v>
      </c>
      <c r="L14" s="10"/>
      <c r="M14" s="10"/>
    </row>
    <row r="15" spans="1:13">
      <c r="A15" s="1" t="s">
        <v>36</v>
      </c>
      <c r="B15" s="1"/>
      <c r="C15" s="1"/>
      <c r="D15" s="6">
        <v>100</v>
      </c>
      <c r="E15" s="149">
        <v>4.5</v>
      </c>
      <c r="F15" s="149">
        <v>4.5</v>
      </c>
      <c r="G15" s="134">
        <v>1200</v>
      </c>
      <c r="H15" s="12">
        <v>5400</v>
      </c>
      <c r="I15" s="12"/>
      <c r="J15" s="12"/>
      <c r="K15" s="12">
        <f t="shared" si="0"/>
        <v>5400</v>
      </c>
      <c r="L15" s="10"/>
      <c r="M15" s="10"/>
    </row>
    <row r="16" spans="1:13">
      <c r="A16" s="1" t="s">
        <v>37</v>
      </c>
      <c r="B16" s="1"/>
      <c r="C16" s="1"/>
      <c r="D16" s="6">
        <v>100</v>
      </c>
      <c r="E16" s="10">
        <v>7</v>
      </c>
      <c r="F16" s="10">
        <v>3</v>
      </c>
      <c r="G16" s="11">
        <v>1236</v>
      </c>
      <c r="H16" s="12">
        <v>8652</v>
      </c>
      <c r="I16" s="12"/>
      <c r="J16" s="12"/>
      <c r="K16" s="12">
        <f t="shared" si="0"/>
        <v>8652</v>
      </c>
      <c r="L16" s="10"/>
      <c r="M16" s="10"/>
    </row>
    <row r="17" spans="1:13">
      <c r="A17" s="1" t="s">
        <v>239</v>
      </c>
      <c r="B17" s="1"/>
      <c r="C17" s="1"/>
      <c r="D17" s="6">
        <v>100</v>
      </c>
      <c r="E17" s="10">
        <v>1.3</v>
      </c>
      <c r="F17" s="10">
        <v>0.7</v>
      </c>
      <c r="G17" s="11">
        <v>1271</v>
      </c>
      <c r="H17" s="12">
        <v>1652</v>
      </c>
      <c r="I17" s="12">
        <v>3266</v>
      </c>
      <c r="J17" s="12"/>
      <c r="K17" s="12">
        <f t="shared" si="0"/>
        <v>4918</v>
      </c>
      <c r="L17" s="12">
        <v>78</v>
      </c>
      <c r="M17" s="10"/>
    </row>
    <row r="18" spans="1:13">
      <c r="A18" s="1" t="s">
        <v>43</v>
      </c>
      <c r="B18" s="1"/>
      <c r="C18" s="1"/>
      <c r="D18" s="6">
        <v>53</v>
      </c>
      <c r="E18" s="10">
        <v>0.6</v>
      </c>
      <c r="F18" s="10">
        <v>0.3</v>
      </c>
      <c r="G18" s="11">
        <v>1200</v>
      </c>
      <c r="H18" s="12">
        <v>720</v>
      </c>
      <c r="I18" s="12">
        <v>676</v>
      </c>
      <c r="J18" s="12"/>
      <c r="K18" s="12">
        <f t="shared" si="0"/>
        <v>1396</v>
      </c>
      <c r="L18" s="12">
        <v>247</v>
      </c>
      <c r="M18" s="10"/>
    </row>
    <row r="19" spans="1:13">
      <c r="A19" s="16" t="s">
        <v>44</v>
      </c>
      <c r="B19" s="16"/>
      <c r="C19" s="16"/>
      <c r="D19" s="17"/>
      <c r="E19" s="18">
        <f>SUM(E8:E18)</f>
        <v>41.6</v>
      </c>
      <c r="F19" s="18">
        <f>SUM(F8:F18)</f>
        <v>21.7</v>
      </c>
      <c r="G19" s="18"/>
      <c r="H19" s="19">
        <f t="shared" ref="H19:M19" si="1">SUM(H8:H18)</f>
        <v>50359</v>
      </c>
      <c r="I19" s="19">
        <f t="shared" si="1"/>
        <v>10892</v>
      </c>
      <c r="J19" s="19">
        <f t="shared" si="1"/>
        <v>15163</v>
      </c>
      <c r="K19" s="19">
        <f t="shared" si="1"/>
        <v>76414</v>
      </c>
      <c r="L19" s="19">
        <f t="shared" si="1"/>
        <v>832</v>
      </c>
      <c r="M19" s="19">
        <f t="shared" si="1"/>
        <v>0</v>
      </c>
    </row>
    <row r="20" spans="1:13">
      <c r="A20" s="20" t="s">
        <v>45</v>
      </c>
      <c r="B20" s="20"/>
      <c r="C20" s="20"/>
      <c r="D20" s="21"/>
      <c r="E20" s="22"/>
      <c r="F20" s="22"/>
      <c r="G20" s="24"/>
      <c r="H20" s="24">
        <v>23980</v>
      </c>
      <c r="I20" s="24">
        <f>+I19-L19</f>
        <v>10060</v>
      </c>
      <c r="J20" s="24">
        <v>15163</v>
      </c>
      <c r="K20" s="24">
        <f>SUM(H20:J20)</f>
        <v>49203</v>
      </c>
      <c r="L20" s="22"/>
      <c r="M20" s="22"/>
    </row>
    <row r="21" spans="1:13">
      <c r="A21" s="25" t="s">
        <v>164</v>
      </c>
      <c r="B21" s="1"/>
      <c r="C21" s="1"/>
      <c r="D21" s="1"/>
      <c r="E21" s="1"/>
      <c r="F21" s="1"/>
      <c r="G21" s="1"/>
      <c r="H21" s="1"/>
      <c r="I21" s="1"/>
      <c r="J21" s="12"/>
      <c r="K21" s="12"/>
      <c r="L21" s="1"/>
      <c r="M21" s="1"/>
    </row>
    <row r="22" spans="1:13">
      <c r="A22" s="1"/>
      <c r="B22" s="1"/>
      <c r="C22" s="1" t="s">
        <v>46</v>
      </c>
      <c r="D22" s="1"/>
      <c r="E22" s="1"/>
      <c r="F22" s="1"/>
      <c r="G22" s="10"/>
      <c r="H22" s="7"/>
      <c r="I22" s="1"/>
      <c r="J22" s="7"/>
      <c r="K22" s="12"/>
      <c r="L22" s="1"/>
      <c r="M22" s="1"/>
    </row>
    <row r="23" spans="1:13">
      <c r="A23" s="1"/>
      <c r="B23" s="1"/>
      <c r="C23" s="1"/>
      <c r="D23" s="1"/>
      <c r="E23" s="1"/>
      <c r="F23" s="1"/>
      <c r="G23" s="10"/>
      <c r="H23" s="7"/>
      <c r="I23" s="1"/>
      <c r="J23" s="1"/>
      <c r="K23" s="7"/>
      <c r="L23" s="1"/>
      <c r="M23" s="1"/>
    </row>
    <row r="24" spans="1:13">
      <c r="A24" s="1" t="s">
        <v>47</v>
      </c>
      <c r="B24" s="1"/>
      <c r="C24" s="1"/>
      <c r="D24" s="1"/>
      <c r="E24" s="1"/>
      <c r="F24" s="1"/>
      <c r="G24" s="1"/>
      <c r="H24" s="12"/>
      <c r="I24" s="1"/>
      <c r="J24" s="1"/>
      <c r="K24" s="1"/>
      <c r="L24" s="1"/>
      <c r="M24" s="1"/>
    </row>
    <row r="25" spans="1:13">
      <c r="A25" s="26" t="s">
        <v>48</v>
      </c>
      <c r="B25" s="26"/>
      <c r="C25" s="26"/>
      <c r="D25" s="26" t="s">
        <v>49</v>
      </c>
      <c r="E25" s="26" t="s">
        <v>50</v>
      </c>
      <c r="F25" s="26"/>
      <c r="G25" s="26" t="s">
        <v>51</v>
      </c>
      <c r="H25" s="1"/>
      <c r="I25" s="1"/>
      <c r="J25" s="61" t="s">
        <v>52</v>
      </c>
      <c r="K25" s="62" t="s">
        <v>53</v>
      </c>
      <c r="L25" s="1"/>
      <c r="M25" s="1"/>
    </row>
    <row r="26" spans="1:13">
      <c r="A26" s="1" t="s">
        <v>54</v>
      </c>
      <c r="B26" s="1"/>
      <c r="C26" s="1"/>
      <c r="D26" s="1"/>
      <c r="E26" s="1"/>
      <c r="F26" s="1"/>
      <c r="G26" s="1"/>
      <c r="H26" s="1"/>
      <c r="I26" s="1"/>
      <c r="J26" s="16" t="s">
        <v>240</v>
      </c>
      <c r="K26" s="19">
        <v>86</v>
      </c>
      <c r="L26" s="1"/>
      <c r="M26" s="1"/>
    </row>
    <row r="27" spans="1:13">
      <c r="A27" s="1" t="s">
        <v>56</v>
      </c>
      <c r="B27" s="1"/>
      <c r="C27" s="63"/>
      <c r="D27" s="150" t="s">
        <v>57</v>
      </c>
      <c r="E27" s="7">
        <v>5.5</v>
      </c>
      <c r="F27" s="7"/>
      <c r="G27" s="7">
        <v>1212</v>
      </c>
      <c r="H27" s="1"/>
      <c r="I27" s="1"/>
      <c r="J27" s="20" t="s">
        <v>173</v>
      </c>
      <c r="K27" s="24">
        <v>14</v>
      </c>
      <c r="L27" s="1"/>
      <c r="M27" s="1"/>
    </row>
    <row r="28" spans="1:13">
      <c r="A28" s="1" t="s">
        <v>59</v>
      </c>
      <c r="B28" s="1"/>
      <c r="C28" s="1"/>
      <c r="D28" s="1"/>
      <c r="E28" s="1"/>
      <c r="F28" s="1"/>
      <c r="G28" s="1"/>
      <c r="H28" s="1"/>
      <c r="I28" s="1"/>
      <c r="J28" s="1"/>
      <c r="K28" s="12"/>
      <c r="L28" s="1"/>
      <c r="M28" s="1"/>
    </row>
    <row r="29" spans="1:13">
      <c r="A29" s="1" t="s">
        <v>60</v>
      </c>
      <c r="B29" s="1"/>
      <c r="C29" s="1"/>
      <c r="D29" s="1" t="s">
        <v>61</v>
      </c>
      <c r="E29" s="12">
        <v>20</v>
      </c>
      <c r="F29" s="12"/>
      <c r="G29" s="7">
        <v>1199</v>
      </c>
      <c r="H29" s="1"/>
      <c r="I29" s="1"/>
      <c r="J29" s="1"/>
      <c r="K29" s="37"/>
      <c r="L29" s="1"/>
      <c r="M29" s="1"/>
    </row>
    <row r="30" spans="1:13">
      <c r="A30" s="1" t="s">
        <v>63</v>
      </c>
      <c r="B30" s="1"/>
      <c r="C30" s="1"/>
      <c r="D30" s="1" t="s">
        <v>61</v>
      </c>
      <c r="E30" s="12">
        <v>22</v>
      </c>
      <c r="F30" s="12"/>
      <c r="G30" s="12"/>
      <c r="H30" s="1"/>
      <c r="I30" s="1"/>
      <c r="J30" s="16" t="s">
        <v>62</v>
      </c>
      <c r="K30" s="16">
        <v>1.24</v>
      </c>
      <c r="L30" s="1"/>
      <c r="M30" s="1"/>
    </row>
    <row r="31" spans="1:13">
      <c r="A31" s="1" t="s">
        <v>7</v>
      </c>
      <c r="B31" s="1"/>
      <c r="C31" s="1"/>
      <c r="D31" s="1"/>
      <c r="E31" s="12">
        <f>+E30+E29</f>
        <v>42</v>
      </c>
      <c r="F31" s="12"/>
      <c r="G31" s="12"/>
      <c r="H31" s="1"/>
      <c r="I31" s="1"/>
      <c r="J31" s="20" t="s">
        <v>64</v>
      </c>
      <c r="K31" s="23">
        <v>1</v>
      </c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1"/>
      <c r="M32" s="1"/>
    </row>
    <row r="33" spans="1:13">
      <c r="A33" s="16" t="s">
        <v>65</v>
      </c>
      <c r="B33" s="16"/>
      <c r="C33" s="16" t="s">
        <v>66</v>
      </c>
      <c r="D33" s="16"/>
      <c r="E33" s="16"/>
      <c r="F33" s="16"/>
      <c r="G33" s="16"/>
      <c r="H33" s="1"/>
      <c r="I33" s="1"/>
      <c r="J33" s="2"/>
      <c r="K33" s="2"/>
      <c r="L33" s="1"/>
      <c r="M33" s="1"/>
    </row>
    <row r="34" spans="1:13">
      <c r="A34" s="1"/>
      <c r="B34" s="4"/>
      <c r="C34" s="38"/>
      <c r="D34" s="40"/>
      <c r="E34" s="40"/>
      <c r="F34" s="40"/>
      <c r="G34" s="40"/>
      <c r="H34" s="1"/>
      <c r="I34" s="1"/>
      <c r="J34" s="1"/>
      <c r="K34" s="1"/>
      <c r="L34" s="1"/>
      <c r="M34" s="1"/>
    </row>
    <row r="35" spans="1:13">
      <c r="A35" s="40" t="s">
        <v>67</v>
      </c>
      <c r="B35" s="4"/>
      <c r="C35" s="38">
        <v>75</v>
      </c>
      <c r="D35" s="40" t="s">
        <v>68</v>
      </c>
      <c r="E35" s="40">
        <v>51</v>
      </c>
      <c r="F35" s="40"/>
      <c r="G35" s="41">
        <v>37</v>
      </c>
      <c r="H35" s="1"/>
      <c r="I35" s="1"/>
      <c r="J35" s="1"/>
      <c r="K35" s="1"/>
      <c r="L35" s="1"/>
      <c r="M35" s="1"/>
    </row>
    <row r="36" spans="1:13">
      <c r="A36" s="40" t="s">
        <v>69</v>
      </c>
      <c r="B36" s="4"/>
      <c r="C36" s="38">
        <v>97</v>
      </c>
      <c r="D36" s="40" t="s">
        <v>68</v>
      </c>
      <c r="E36" s="40">
        <v>110</v>
      </c>
      <c r="F36" s="40"/>
      <c r="G36" s="41">
        <v>36</v>
      </c>
      <c r="H36" s="1"/>
      <c r="I36" s="1"/>
      <c r="J36" s="1"/>
      <c r="K36" s="1"/>
      <c r="L36" s="1"/>
      <c r="M36" s="1"/>
    </row>
    <row r="37" spans="1:13">
      <c r="A37" s="40" t="s">
        <v>241</v>
      </c>
      <c r="B37" s="4"/>
      <c r="C37" s="38">
        <v>63</v>
      </c>
      <c r="D37" s="40" t="s">
        <v>120</v>
      </c>
      <c r="E37" s="40">
        <v>38</v>
      </c>
      <c r="F37" s="40"/>
      <c r="G37" s="41">
        <v>32</v>
      </c>
      <c r="H37" s="1"/>
      <c r="I37" s="1"/>
      <c r="J37" s="1"/>
      <c r="K37" s="1"/>
      <c r="L37" s="1"/>
      <c r="M37" s="1"/>
    </row>
    <row r="38" spans="1:13">
      <c r="A38" s="16" t="s">
        <v>71</v>
      </c>
      <c r="B38" s="16"/>
      <c r="C38" s="16"/>
      <c r="D38" s="16"/>
      <c r="E38" s="16"/>
      <c r="F38" s="16"/>
      <c r="G38" s="16"/>
      <c r="H38" s="1"/>
      <c r="I38" s="1" t="s">
        <v>72</v>
      </c>
      <c r="J38" s="1"/>
      <c r="K38" s="1"/>
      <c r="L38" s="1"/>
      <c r="M38" s="1"/>
    </row>
    <row r="39" spans="1:13">
      <c r="A39" s="40" t="s">
        <v>73</v>
      </c>
      <c r="B39" s="40"/>
      <c r="C39" s="40"/>
      <c r="D39" s="40"/>
      <c r="E39" s="40"/>
      <c r="F39" s="40"/>
      <c r="G39" s="42">
        <v>2040</v>
      </c>
      <c r="H39" s="1"/>
      <c r="I39" s="12">
        <f>+G39*2.471</f>
        <v>5040.84</v>
      </c>
      <c r="J39" s="12"/>
      <c r="K39" s="1"/>
      <c r="L39" s="1"/>
      <c r="M39" s="1"/>
    </row>
    <row r="40" spans="1:13">
      <c r="A40" s="40" t="s">
        <v>75</v>
      </c>
      <c r="B40" s="40"/>
      <c r="C40" s="40"/>
      <c r="D40" s="40"/>
      <c r="E40" s="40"/>
      <c r="F40" s="40"/>
      <c r="G40" s="45">
        <v>44.1</v>
      </c>
      <c r="H40" s="1"/>
      <c r="I40" s="12"/>
      <c r="J40" s="12"/>
      <c r="K40" s="7"/>
      <c r="L40" s="1"/>
      <c r="M40" s="1"/>
    </row>
    <row r="41" spans="1:13">
      <c r="A41" s="40" t="s">
        <v>76</v>
      </c>
      <c r="B41" s="40"/>
      <c r="C41" s="40"/>
      <c r="D41" s="40"/>
      <c r="E41" s="40"/>
      <c r="F41" s="40"/>
      <c r="G41" s="46">
        <v>89964</v>
      </c>
      <c r="H41" s="1"/>
      <c r="I41" s="12">
        <v>222301</v>
      </c>
      <c r="J41" s="12"/>
      <c r="K41" s="7"/>
      <c r="L41" s="1"/>
      <c r="M41" s="1"/>
    </row>
    <row r="42" spans="1:13">
      <c r="A42" s="40" t="s">
        <v>77</v>
      </c>
      <c r="B42" s="40"/>
      <c r="C42" s="40"/>
      <c r="D42" s="40"/>
      <c r="E42" s="40"/>
      <c r="F42" s="40"/>
      <c r="G42" s="46">
        <v>13550</v>
      </c>
      <c r="H42" s="12"/>
      <c r="I42" s="12">
        <v>33482</v>
      </c>
      <c r="J42" s="12"/>
      <c r="K42" s="1"/>
      <c r="L42" s="1"/>
      <c r="M42" s="1"/>
    </row>
    <row r="43" spans="1:13">
      <c r="A43" s="40" t="s">
        <v>78</v>
      </c>
      <c r="B43" s="40"/>
      <c r="C43" s="40"/>
      <c r="D43" s="40"/>
      <c r="E43" s="40"/>
      <c r="F43" s="40"/>
      <c r="G43" s="46">
        <v>40761</v>
      </c>
      <c r="H43" s="12"/>
      <c r="I43" s="12">
        <v>100720</v>
      </c>
      <c r="J43" s="12"/>
      <c r="K43" s="1"/>
      <c r="L43" s="1"/>
      <c r="M43" s="1"/>
    </row>
    <row r="44" spans="1:13">
      <c r="A44" s="40"/>
      <c r="B44" s="40"/>
      <c r="C44" s="40"/>
      <c r="D44" s="40"/>
      <c r="E44" s="40"/>
      <c r="F44" s="40"/>
      <c r="G44" s="45"/>
      <c r="H44" s="1"/>
      <c r="I44" s="1"/>
      <c r="J44" s="1"/>
      <c r="K44" s="1"/>
      <c r="L44" s="1"/>
      <c r="M44" s="1"/>
    </row>
    <row r="45" spans="1:13">
      <c r="A45" s="40" t="s">
        <v>79</v>
      </c>
      <c r="B45" s="40"/>
      <c r="C45" s="40"/>
      <c r="D45" s="40"/>
      <c r="E45" s="40"/>
      <c r="F45" s="40"/>
      <c r="G45" s="45">
        <f>+K19/G39</f>
        <v>37.457843137254905</v>
      </c>
      <c r="H45" s="1"/>
      <c r="I45" s="1"/>
      <c r="J45" s="1"/>
      <c r="K45" s="1"/>
      <c r="L45" s="1"/>
      <c r="M45" s="1"/>
    </row>
    <row r="46" spans="1:13">
      <c r="A46" s="20" t="s">
        <v>80</v>
      </c>
      <c r="B46" s="20"/>
      <c r="C46" s="20"/>
      <c r="D46" s="20"/>
      <c r="E46" s="20"/>
      <c r="F46" s="20"/>
      <c r="G46" s="47">
        <f>+K20/G39</f>
        <v>24.119117647058822</v>
      </c>
      <c r="H46" s="1"/>
      <c r="I46" s="1"/>
      <c r="J46" s="1"/>
      <c r="K46" s="1"/>
      <c r="L46" s="1"/>
      <c r="M46" s="1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8"/>
  <sheetViews>
    <sheetView workbookViewId="0">
      <selection sqref="A1:M48"/>
    </sheetView>
  </sheetViews>
  <sheetFormatPr defaultRowHeight="15"/>
  <sheetData>
    <row r="1" spans="1:13">
      <c r="A1" s="1" t="s">
        <v>0</v>
      </c>
      <c r="B1" s="1" t="s">
        <v>242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>
      <c r="A2" s="1"/>
      <c r="B2" s="1" t="s">
        <v>100</v>
      </c>
      <c r="C2" s="2"/>
      <c r="D2" s="1" t="s">
        <v>3</v>
      </c>
      <c r="E2" s="2"/>
      <c r="F2" s="2"/>
      <c r="G2" s="2"/>
      <c r="H2" s="58" t="s">
        <v>102</v>
      </c>
      <c r="I2" s="58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3" t="s">
        <v>5</v>
      </c>
      <c r="B4" s="3"/>
      <c r="C4" s="3"/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/>
    </row>
    <row r="5" spans="1:13">
      <c r="A5" s="4"/>
      <c r="B5" s="4"/>
      <c r="C5" s="4"/>
      <c r="D5" s="4" t="s">
        <v>15</v>
      </c>
      <c r="E5" s="4" t="s">
        <v>16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18</v>
      </c>
      <c r="K5" s="4" t="s">
        <v>18</v>
      </c>
      <c r="L5" s="4" t="s">
        <v>20</v>
      </c>
      <c r="M5" s="4" t="s">
        <v>21</v>
      </c>
    </row>
    <row r="6" spans="1:13">
      <c r="A6" s="4"/>
      <c r="B6" s="4"/>
      <c r="C6" s="4"/>
      <c r="D6" s="4" t="s">
        <v>22</v>
      </c>
      <c r="E6" s="4"/>
      <c r="F6" s="4"/>
      <c r="G6" s="4"/>
      <c r="H6" s="4" t="s">
        <v>23</v>
      </c>
      <c r="I6" s="4" t="s">
        <v>18</v>
      </c>
      <c r="J6" s="4" t="s">
        <v>23</v>
      </c>
      <c r="K6" s="4" t="s">
        <v>23</v>
      </c>
      <c r="L6" s="4"/>
      <c r="M6" s="4"/>
    </row>
    <row r="7" spans="1:13">
      <c r="A7" s="5"/>
      <c r="B7" s="5"/>
      <c r="C7" s="5"/>
      <c r="D7" s="5"/>
      <c r="E7" s="5"/>
      <c r="F7" s="5"/>
      <c r="G7" s="5"/>
      <c r="H7" s="5"/>
      <c r="I7" s="5" t="s">
        <v>23</v>
      </c>
      <c r="J7" s="5"/>
      <c r="K7" s="5"/>
      <c r="L7" s="5"/>
      <c r="M7" s="5"/>
    </row>
    <row r="8" spans="1:13">
      <c r="A8" s="1" t="s">
        <v>243</v>
      </c>
      <c r="B8" s="1"/>
      <c r="C8" s="1"/>
      <c r="D8" s="134">
        <v>77</v>
      </c>
      <c r="E8" s="151">
        <v>7</v>
      </c>
      <c r="F8" s="152">
        <v>3.1</v>
      </c>
      <c r="G8" s="11">
        <v>1250</v>
      </c>
      <c r="H8" s="12">
        <v>8750</v>
      </c>
      <c r="I8" s="12"/>
      <c r="J8" s="12"/>
      <c r="K8" s="12">
        <f>+J8+I8+H8</f>
        <v>8750</v>
      </c>
      <c r="L8" s="12"/>
      <c r="M8" s="12"/>
    </row>
    <row r="9" spans="1:13">
      <c r="A9" s="1" t="s">
        <v>244</v>
      </c>
      <c r="B9" s="1"/>
      <c r="C9" s="1"/>
      <c r="D9" s="11">
        <v>70</v>
      </c>
      <c r="E9" s="148">
        <v>1.1000000000000001</v>
      </c>
      <c r="F9" s="148">
        <v>1.1000000000000001</v>
      </c>
      <c r="G9" s="11">
        <v>1250</v>
      </c>
      <c r="H9" s="12">
        <v>1375</v>
      </c>
      <c r="I9" s="12">
        <v>9269</v>
      </c>
      <c r="J9" s="12"/>
      <c r="K9" s="12">
        <f t="shared" ref="K9:K19" si="0">+J9+I9+H9</f>
        <v>10644</v>
      </c>
      <c r="L9" s="12">
        <v>2640</v>
      </c>
      <c r="M9" s="12"/>
    </row>
    <row r="10" spans="1:13">
      <c r="A10" s="15" t="s">
        <v>245</v>
      </c>
      <c r="B10" s="1"/>
      <c r="C10" s="1"/>
      <c r="D10" s="153" t="s">
        <v>146</v>
      </c>
      <c r="E10" s="152"/>
      <c r="F10" s="148"/>
      <c r="G10" s="11"/>
      <c r="H10" s="14" t="s">
        <v>246</v>
      </c>
      <c r="I10" s="12"/>
      <c r="J10" s="12"/>
      <c r="K10" s="12"/>
      <c r="L10" s="12"/>
      <c r="M10" s="12"/>
    </row>
    <row r="11" spans="1:13">
      <c r="A11" s="1" t="s">
        <v>111</v>
      </c>
      <c r="B11" s="1"/>
      <c r="C11" s="1"/>
      <c r="D11" s="11">
        <v>100</v>
      </c>
      <c r="E11" s="148">
        <v>10.199999999999999</v>
      </c>
      <c r="F11" s="148">
        <v>4.8</v>
      </c>
      <c r="G11" s="11">
        <v>1250</v>
      </c>
      <c r="H11" s="12">
        <v>12750</v>
      </c>
      <c r="I11" s="12"/>
      <c r="J11" s="127">
        <v>1950</v>
      </c>
      <c r="K11" s="12">
        <f t="shared" si="0"/>
        <v>14700</v>
      </c>
      <c r="L11" s="12"/>
      <c r="M11" s="12"/>
    </row>
    <row r="12" spans="1:13">
      <c r="A12" s="1" t="s">
        <v>135</v>
      </c>
      <c r="B12" s="1"/>
      <c r="C12" s="1"/>
      <c r="D12" s="11">
        <v>100</v>
      </c>
      <c r="E12" s="148">
        <v>13.1</v>
      </c>
      <c r="F12" s="148">
        <v>8.5</v>
      </c>
      <c r="G12" s="11">
        <v>1250</v>
      </c>
      <c r="H12" s="12">
        <f t="shared" ref="H12:H18" si="1">+G12*E12</f>
        <v>16375</v>
      </c>
      <c r="I12" s="12"/>
      <c r="J12" s="12">
        <v>19474</v>
      </c>
      <c r="K12" s="12">
        <f t="shared" si="0"/>
        <v>35849</v>
      </c>
      <c r="L12" s="12"/>
      <c r="M12" s="12"/>
    </row>
    <row r="13" spans="1:13">
      <c r="A13" s="1" t="s">
        <v>247</v>
      </c>
      <c r="B13" s="1"/>
      <c r="C13" s="1"/>
      <c r="D13" s="11">
        <v>100</v>
      </c>
      <c r="E13" s="148">
        <v>7.8</v>
      </c>
      <c r="F13" s="148">
        <v>7</v>
      </c>
      <c r="G13" s="11">
        <v>1250</v>
      </c>
      <c r="H13" s="12">
        <f t="shared" si="1"/>
        <v>9750</v>
      </c>
      <c r="I13" s="12"/>
      <c r="J13" s="12">
        <v>19050</v>
      </c>
      <c r="K13" s="12">
        <f t="shared" si="0"/>
        <v>28800</v>
      </c>
      <c r="L13" s="12"/>
      <c r="M13" s="12"/>
    </row>
    <row r="14" spans="1:13">
      <c r="A14" s="1" t="s">
        <v>34</v>
      </c>
      <c r="B14" s="1"/>
      <c r="C14" s="1"/>
      <c r="D14" s="11">
        <v>100</v>
      </c>
      <c r="E14" s="148">
        <v>11.4</v>
      </c>
      <c r="F14" s="148">
        <v>6.2</v>
      </c>
      <c r="G14" s="11">
        <v>1249</v>
      </c>
      <c r="H14" s="12">
        <v>14239</v>
      </c>
      <c r="I14" s="12"/>
      <c r="J14" s="12"/>
      <c r="K14" s="12">
        <f t="shared" si="0"/>
        <v>14239</v>
      </c>
      <c r="L14" s="12"/>
      <c r="M14" s="12"/>
    </row>
    <row r="15" spans="1:13">
      <c r="A15" s="1" t="s">
        <v>248</v>
      </c>
      <c r="B15" s="1"/>
      <c r="C15" s="1"/>
      <c r="D15" s="11">
        <v>100</v>
      </c>
      <c r="E15" s="148">
        <v>10.1</v>
      </c>
      <c r="F15" s="148">
        <v>9.9</v>
      </c>
      <c r="G15" s="11">
        <v>1291</v>
      </c>
      <c r="H15" s="12">
        <v>13039</v>
      </c>
      <c r="I15" s="12"/>
      <c r="J15" s="12">
        <v>11852</v>
      </c>
      <c r="K15" s="12">
        <f t="shared" si="0"/>
        <v>24891</v>
      </c>
      <c r="L15" s="12"/>
      <c r="M15" s="12"/>
    </row>
    <row r="16" spans="1:13">
      <c r="A16" s="1" t="s">
        <v>249</v>
      </c>
      <c r="B16" s="1"/>
      <c r="C16" s="1"/>
      <c r="D16" s="11">
        <v>100</v>
      </c>
      <c r="E16" s="154">
        <v>8.9</v>
      </c>
      <c r="F16" s="148">
        <v>7.6</v>
      </c>
      <c r="G16" s="11">
        <v>1249</v>
      </c>
      <c r="H16" s="12">
        <v>11116</v>
      </c>
      <c r="I16" s="12"/>
      <c r="J16" s="12">
        <v>24793</v>
      </c>
      <c r="K16" s="12">
        <f t="shared" si="0"/>
        <v>35909</v>
      </c>
      <c r="L16" s="12"/>
      <c r="M16" s="12">
        <v>8033</v>
      </c>
    </row>
    <row r="17" spans="1:13">
      <c r="A17" s="1" t="s">
        <v>250</v>
      </c>
      <c r="B17" s="1"/>
      <c r="C17" s="1"/>
      <c r="D17" s="11">
        <v>100</v>
      </c>
      <c r="E17" s="148">
        <v>9.9</v>
      </c>
      <c r="F17" s="148">
        <v>9.9</v>
      </c>
      <c r="G17" s="11">
        <v>1018</v>
      </c>
      <c r="H17" s="12">
        <v>10078</v>
      </c>
      <c r="I17" s="12"/>
      <c r="J17" s="12"/>
      <c r="K17" s="12">
        <f t="shared" si="0"/>
        <v>10078</v>
      </c>
      <c r="L17" s="12"/>
      <c r="M17" s="12"/>
    </row>
    <row r="18" spans="1:13">
      <c r="A18" s="1" t="s">
        <v>37</v>
      </c>
      <c r="B18" s="1"/>
      <c r="C18" s="1"/>
      <c r="D18" s="11">
        <v>100</v>
      </c>
      <c r="E18" s="148">
        <v>23.5</v>
      </c>
      <c r="F18" s="148">
        <v>13.6</v>
      </c>
      <c r="G18" s="11">
        <v>1018</v>
      </c>
      <c r="H18" s="12">
        <f t="shared" si="1"/>
        <v>23923</v>
      </c>
      <c r="I18" s="12"/>
      <c r="J18" s="12"/>
      <c r="K18" s="12">
        <f t="shared" si="0"/>
        <v>23923</v>
      </c>
      <c r="L18" s="12"/>
      <c r="M18" s="12"/>
    </row>
    <row r="19" spans="1:13">
      <c r="A19" s="1" t="s">
        <v>43</v>
      </c>
      <c r="B19" s="1"/>
      <c r="C19" s="1"/>
      <c r="D19" s="11">
        <v>83</v>
      </c>
      <c r="E19" s="148">
        <v>1.1000000000000001</v>
      </c>
      <c r="F19" s="148">
        <v>1.1000000000000001</v>
      </c>
      <c r="G19" s="11">
        <v>1018</v>
      </c>
      <c r="H19" s="12">
        <v>1120</v>
      </c>
      <c r="I19" s="12">
        <v>3729</v>
      </c>
      <c r="J19" s="12"/>
      <c r="K19" s="12">
        <f t="shared" si="0"/>
        <v>4849</v>
      </c>
      <c r="L19" s="12">
        <v>529</v>
      </c>
      <c r="M19" s="12"/>
    </row>
    <row r="20" spans="1:13">
      <c r="A20" s="16" t="s">
        <v>44</v>
      </c>
      <c r="B20" s="16"/>
      <c r="C20" s="16"/>
      <c r="D20" s="17"/>
      <c r="E20" s="60">
        <v>104.1</v>
      </c>
      <c r="F20" s="60">
        <v>72.8</v>
      </c>
      <c r="G20" s="19">
        <v>13093</v>
      </c>
      <c r="H20" s="19">
        <f t="shared" ref="H20:M20" si="2">SUM(H8:H19)</f>
        <v>122515</v>
      </c>
      <c r="I20" s="19">
        <f t="shared" si="2"/>
        <v>12998</v>
      </c>
      <c r="J20" s="19">
        <f t="shared" si="2"/>
        <v>77119</v>
      </c>
      <c r="K20" s="19">
        <f>SUM(K8:K19)</f>
        <v>212632</v>
      </c>
      <c r="L20" s="19">
        <f t="shared" si="2"/>
        <v>3169</v>
      </c>
      <c r="M20" s="19">
        <f t="shared" si="2"/>
        <v>8033</v>
      </c>
    </row>
    <row r="21" spans="1:13">
      <c r="A21" s="20" t="s">
        <v>45</v>
      </c>
      <c r="B21" s="20"/>
      <c r="C21" s="20"/>
      <c r="D21" s="21"/>
      <c r="E21" s="23">
        <v>31.299999999999997</v>
      </c>
      <c r="F21" s="23"/>
      <c r="G21" s="24"/>
      <c r="H21" s="24">
        <v>36518</v>
      </c>
      <c r="I21" s="24">
        <f>+I20-L20</f>
        <v>9829</v>
      </c>
      <c r="J21" s="24">
        <f>+J20-M20</f>
        <v>69086</v>
      </c>
      <c r="K21" s="24">
        <f>SUM(H21:J21)</f>
        <v>115433</v>
      </c>
      <c r="L21" s="24"/>
      <c r="M21" s="24"/>
    </row>
    <row r="22" spans="1:13">
      <c r="A22" s="25" t="s">
        <v>164</v>
      </c>
      <c r="B22" s="1"/>
      <c r="C22" s="1"/>
      <c r="D22" s="1"/>
      <c r="E22" s="1"/>
      <c r="F22" s="1"/>
      <c r="G22" s="1"/>
      <c r="H22" s="10"/>
      <c r="I22" s="10"/>
      <c r="J22" s="10"/>
      <c r="K22" s="10"/>
      <c r="L22" s="1"/>
      <c r="M22" s="1"/>
    </row>
    <row r="23" spans="1:13">
      <c r="A23" s="1"/>
      <c r="B23" s="1"/>
      <c r="C23" s="1" t="s">
        <v>46</v>
      </c>
      <c r="D23" s="1"/>
      <c r="E23" s="1"/>
      <c r="F23" s="1"/>
      <c r="G23" s="1"/>
      <c r="H23" s="1"/>
      <c r="I23" s="1"/>
      <c r="J23" s="12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2"/>
      <c r="I24" s="1"/>
      <c r="J24" s="1"/>
      <c r="K24" s="7"/>
      <c r="L24" s="1"/>
      <c r="M24" s="1"/>
    </row>
    <row r="25" spans="1:13">
      <c r="A25" s="1" t="s">
        <v>47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26" t="s">
        <v>48</v>
      </c>
      <c r="B26" s="26"/>
      <c r="C26" s="26"/>
      <c r="D26" s="26" t="s">
        <v>49</v>
      </c>
      <c r="E26" s="26" t="s">
        <v>50</v>
      </c>
      <c r="F26" s="26"/>
      <c r="G26" s="26" t="s">
        <v>51</v>
      </c>
      <c r="H26" s="1"/>
      <c r="I26" s="1"/>
      <c r="J26" s="61" t="s">
        <v>52</v>
      </c>
      <c r="K26" s="62" t="s">
        <v>53</v>
      </c>
      <c r="L26" s="1"/>
      <c r="M26" s="1"/>
    </row>
    <row r="27" spans="1:13">
      <c r="A27" s="1" t="s">
        <v>54</v>
      </c>
      <c r="B27" s="1"/>
      <c r="C27" s="1"/>
      <c r="D27" s="1"/>
      <c r="E27" s="1"/>
      <c r="F27" s="1"/>
      <c r="G27" s="1"/>
      <c r="H27" s="1"/>
      <c r="I27" s="1"/>
      <c r="J27" s="16" t="s">
        <v>251</v>
      </c>
      <c r="K27" s="19">
        <v>90</v>
      </c>
      <c r="L27" s="1"/>
      <c r="M27" s="1"/>
    </row>
    <row r="28" spans="1:13">
      <c r="A28" s="1" t="s">
        <v>56</v>
      </c>
      <c r="B28" s="1"/>
      <c r="C28" s="63"/>
      <c r="D28" s="150" t="s">
        <v>120</v>
      </c>
      <c r="E28" s="7">
        <v>13</v>
      </c>
      <c r="F28" s="7"/>
      <c r="G28" s="7">
        <v>1498</v>
      </c>
      <c r="H28" s="1"/>
      <c r="I28" s="1"/>
      <c r="J28" s="20" t="s">
        <v>191</v>
      </c>
      <c r="K28" s="24">
        <v>10</v>
      </c>
      <c r="L28" s="1"/>
      <c r="M28" s="1"/>
    </row>
    <row r="29" spans="1:13">
      <c r="A29" s="1" t="s">
        <v>59</v>
      </c>
      <c r="B29" s="1"/>
      <c r="C29" s="1"/>
      <c r="D29" s="150"/>
      <c r="E29" s="1"/>
      <c r="F29" s="1"/>
      <c r="G29" s="1"/>
      <c r="H29" s="1"/>
      <c r="I29" s="1"/>
      <c r="J29" s="1"/>
      <c r="K29" s="12"/>
      <c r="L29" s="1"/>
      <c r="M29" s="1"/>
    </row>
    <row r="30" spans="1:13">
      <c r="A30" s="1" t="s">
        <v>60</v>
      </c>
      <c r="B30" s="1"/>
      <c r="C30" s="1"/>
      <c r="D30" s="150" t="s">
        <v>61</v>
      </c>
      <c r="E30" s="12">
        <v>31</v>
      </c>
      <c r="F30" s="12"/>
      <c r="G30" s="7">
        <v>1178</v>
      </c>
      <c r="H30" s="1"/>
      <c r="I30" s="1"/>
      <c r="J30" s="16" t="s">
        <v>62</v>
      </c>
      <c r="K30" s="16">
        <v>0.48</v>
      </c>
      <c r="L30" s="1"/>
      <c r="M30" s="1"/>
    </row>
    <row r="31" spans="1:13">
      <c r="A31" s="1" t="s">
        <v>63</v>
      </c>
      <c r="B31" s="1"/>
      <c r="C31" s="1"/>
      <c r="D31" s="150" t="s">
        <v>61</v>
      </c>
      <c r="E31" s="12">
        <v>73</v>
      </c>
      <c r="F31" s="12"/>
      <c r="G31" s="12"/>
      <c r="H31" s="1"/>
      <c r="I31" s="1"/>
      <c r="J31" s="20" t="s">
        <v>64</v>
      </c>
      <c r="K31" s="23">
        <v>0.25</v>
      </c>
      <c r="L31" s="1"/>
      <c r="M31" s="1"/>
    </row>
    <row r="32" spans="1:13">
      <c r="A32" s="1" t="s">
        <v>7</v>
      </c>
      <c r="B32" s="1"/>
      <c r="C32" s="1"/>
      <c r="D32" s="150"/>
      <c r="E32" s="12">
        <v>104</v>
      </c>
      <c r="F32" s="12"/>
      <c r="G32" s="12"/>
      <c r="H32" s="1"/>
      <c r="I32" s="1"/>
      <c r="J32" s="1"/>
      <c r="K32" s="37"/>
      <c r="L32" s="1"/>
      <c r="M32" s="1"/>
    </row>
    <row r="33" spans="1:13">
      <c r="A33" s="1"/>
      <c r="B33" s="1"/>
      <c r="C33" s="1"/>
      <c r="D33" s="150"/>
      <c r="E33" s="1"/>
      <c r="F33" s="1"/>
      <c r="G33" s="1"/>
      <c r="H33" s="1"/>
      <c r="I33" s="1"/>
      <c r="J33" s="2"/>
      <c r="K33" s="2"/>
      <c r="L33" s="1"/>
      <c r="M33" s="1"/>
    </row>
    <row r="34" spans="1:13">
      <c r="A34" s="16" t="s">
        <v>65</v>
      </c>
      <c r="B34" s="16"/>
      <c r="C34" s="16" t="s">
        <v>66</v>
      </c>
      <c r="D34" s="155"/>
      <c r="E34" s="16"/>
      <c r="F34" s="16"/>
      <c r="G34" s="16"/>
      <c r="H34" s="1"/>
      <c r="I34" s="1"/>
      <c r="J34" s="2"/>
      <c r="K34" s="2"/>
      <c r="L34" s="1"/>
      <c r="M34" s="1"/>
    </row>
    <row r="35" spans="1:13">
      <c r="A35" s="1"/>
      <c r="B35" s="4"/>
      <c r="C35" s="38"/>
      <c r="D35" s="39"/>
      <c r="E35" s="40"/>
      <c r="F35" s="40"/>
      <c r="G35" s="40"/>
      <c r="H35" s="1"/>
      <c r="I35" s="1"/>
      <c r="J35" s="1"/>
      <c r="K35" s="1"/>
      <c r="L35" s="1"/>
      <c r="M35" s="1"/>
    </row>
    <row r="36" spans="1:13">
      <c r="A36" s="40" t="s">
        <v>252</v>
      </c>
      <c r="B36" s="4"/>
      <c r="C36" s="57">
        <v>80</v>
      </c>
      <c r="D36" s="39" t="s">
        <v>120</v>
      </c>
      <c r="E36" s="40">
        <v>181</v>
      </c>
      <c r="F36" s="40"/>
      <c r="G36" s="41">
        <v>48</v>
      </c>
      <c r="H36" s="1"/>
      <c r="I36" s="1"/>
      <c r="J36" s="1"/>
      <c r="K36" s="1"/>
      <c r="L36" s="1"/>
      <c r="M36" s="1"/>
    </row>
    <row r="37" spans="1:13">
      <c r="A37" s="40" t="s">
        <v>253</v>
      </c>
      <c r="B37" s="4"/>
      <c r="C37" s="57">
        <v>80</v>
      </c>
      <c r="D37" s="39" t="s">
        <v>120</v>
      </c>
      <c r="E37" s="40">
        <v>150</v>
      </c>
      <c r="F37" s="40"/>
      <c r="G37" s="41">
        <v>47</v>
      </c>
      <c r="H37" s="1"/>
      <c r="I37" s="1"/>
      <c r="J37" s="1"/>
      <c r="K37" s="1"/>
      <c r="L37" s="1"/>
      <c r="M37" s="1"/>
    </row>
    <row r="38" spans="1:13">
      <c r="A38" s="40" t="s">
        <v>254</v>
      </c>
      <c r="B38" s="4"/>
      <c r="C38" s="57">
        <v>60</v>
      </c>
      <c r="D38" s="39" t="s">
        <v>120</v>
      </c>
      <c r="E38" s="40">
        <v>552</v>
      </c>
      <c r="F38" s="40"/>
      <c r="G38" s="41">
        <v>6</v>
      </c>
      <c r="H38" s="1"/>
      <c r="I38" s="1"/>
      <c r="J38" s="1"/>
      <c r="K38" s="1"/>
      <c r="L38" s="1"/>
      <c r="M38" s="1"/>
    </row>
    <row r="39" spans="1:13">
      <c r="A39" s="16" t="s">
        <v>71</v>
      </c>
      <c r="B39" s="16"/>
      <c r="C39" s="16"/>
      <c r="D39" s="16"/>
      <c r="E39" s="16"/>
      <c r="F39" s="16"/>
      <c r="G39" s="16"/>
      <c r="H39" s="1"/>
      <c r="I39" s="1" t="s">
        <v>72</v>
      </c>
      <c r="J39" s="1"/>
      <c r="K39" s="1"/>
      <c r="L39" s="1"/>
      <c r="M39" s="1"/>
    </row>
    <row r="40" spans="1:13">
      <c r="A40" s="40" t="s">
        <v>73</v>
      </c>
      <c r="B40" s="40"/>
      <c r="C40" s="40"/>
      <c r="D40" s="40"/>
      <c r="E40" s="40"/>
      <c r="F40" s="40"/>
      <c r="G40" s="42">
        <v>3025</v>
      </c>
      <c r="H40" s="1"/>
      <c r="I40" s="12">
        <f>+G40*2.471</f>
        <v>7474.7750000000005</v>
      </c>
      <c r="J40" s="12"/>
      <c r="K40" s="1"/>
      <c r="L40" s="1"/>
      <c r="M40" s="1"/>
    </row>
    <row r="41" spans="1:13">
      <c r="A41" s="40" t="s">
        <v>75</v>
      </c>
      <c r="B41" s="40"/>
      <c r="C41" s="40"/>
      <c r="D41" s="40"/>
      <c r="E41" s="40"/>
      <c r="F41" s="40"/>
      <c r="G41" s="45">
        <v>134</v>
      </c>
      <c r="H41" s="1"/>
      <c r="I41" s="12"/>
      <c r="J41" s="12"/>
      <c r="K41" s="7"/>
      <c r="L41" s="1"/>
      <c r="M41" s="1"/>
    </row>
    <row r="42" spans="1:13">
      <c r="A42" s="40" t="s">
        <v>76</v>
      </c>
      <c r="B42" s="40"/>
      <c r="C42" s="40"/>
      <c r="D42" s="40"/>
      <c r="E42" s="40"/>
      <c r="F42" s="40"/>
      <c r="G42" s="46">
        <v>405350</v>
      </c>
      <c r="H42" s="1"/>
      <c r="I42" s="12">
        <f t="shared" ref="I42:I44" si="3">+G42*2.471</f>
        <v>1001619.85</v>
      </c>
      <c r="J42" s="12"/>
      <c r="K42" s="7"/>
      <c r="L42" s="1"/>
      <c r="M42" s="1"/>
    </row>
    <row r="43" spans="1:13">
      <c r="A43" s="40" t="s">
        <v>77</v>
      </c>
      <c r="B43" s="40"/>
      <c r="C43" s="40"/>
      <c r="D43" s="40"/>
      <c r="E43" s="40"/>
      <c r="F43" s="40"/>
      <c r="G43" s="46">
        <v>192718</v>
      </c>
      <c r="H43" s="10"/>
      <c r="I43" s="12">
        <f t="shared" si="3"/>
        <v>476206.17800000001</v>
      </c>
      <c r="J43" s="12"/>
      <c r="K43" s="1"/>
      <c r="L43" s="1"/>
      <c r="M43" s="1"/>
    </row>
    <row r="44" spans="1:13">
      <c r="A44" s="40" t="s">
        <v>78</v>
      </c>
      <c r="B44" s="40"/>
      <c r="C44" s="40"/>
      <c r="D44" s="40"/>
      <c r="E44" s="40"/>
      <c r="F44" s="40"/>
      <c r="G44" s="46">
        <v>289917</v>
      </c>
      <c r="H44" s="10"/>
      <c r="I44" s="12">
        <f t="shared" si="3"/>
        <v>716384.90700000001</v>
      </c>
      <c r="J44" s="12"/>
      <c r="K44" s="1"/>
      <c r="L44" s="1"/>
      <c r="M44" s="1"/>
    </row>
    <row r="45" spans="1:13">
      <c r="A45" s="40"/>
      <c r="B45" s="40"/>
      <c r="C45" s="40"/>
      <c r="D45" s="40"/>
      <c r="E45" s="40"/>
      <c r="F45" s="40"/>
      <c r="G45" s="45"/>
      <c r="H45" s="1"/>
      <c r="I45" s="1"/>
      <c r="J45" s="1"/>
      <c r="K45" s="1"/>
      <c r="L45" s="1"/>
      <c r="M45" s="1"/>
    </row>
    <row r="46" spans="1:13">
      <c r="A46" s="40" t="s">
        <v>79</v>
      </c>
      <c r="B46" s="40"/>
      <c r="C46" s="40"/>
      <c r="D46" s="40"/>
      <c r="E46" s="40"/>
      <c r="F46" s="40"/>
      <c r="G46" s="45">
        <f>+K20/G40</f>
        <v>70.29157024793389</v>
      </c>
      <c r="H46" s="7"/>
      <c r="I46" s="1"/>
      <c r="J46" s="1"/>
      <c r="K46" s="1"/>
      <c r="L46" s="1"/>
      <c r="M46" s="1"/>
    </row>
    <row r="47" spans="1:13">
      <c r="A47" s="20" t="s">
        <v>80</v>
      </c>
      <c r="B47" s="20"/>
      <c r="C47" s="20"/>
      <c r="D47" s="20"/>
      <c r="E47" s="20"/>
      <c r="F47" s="20"/>
      <c r="G47" s="47">
        <f>+K21/G40</f>
        <v>38.159669421487607</v>
      </c>
      <c r="H47" s="7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7"/>
  <sheetViews>
    <sheetView workbookViewId="0">
      <selection sqref="A1:M47"/>
    </sheetView>
  </sheetViews>
  <sheetFormatPr defaultRowHeight="15"/>
  <sheetData>
    <row r="1" spans="1:13">
      <c r="A1" s="1" t="s">
        <v>0</v>
      </c>
      <c r="B1" s="1" t="s">
        <v>255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 t="s">
        <v>256</v>
      </c>
      <c r="C2" s="2"/>
      <c r="D2" s="1"/>
      <c r="E2" s="2"/>
      <c r="F2" s="2"/>
      <c r="G2" s="2"/>
      <c r="H2" s="1" t="s">
        <v>84</v>
      </c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3" t="s">
        <v>5</v>
      </c>
      <c r="B4" s="3"/>
      <c r="C4" s="3"/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/>
    </row>
    <row r="5" spans="1:13">
      <c r="A5" s="4"/>
      <c r="B5" s="4"/>
      <c r="C5" s="4"/>
      <c r="D5" s="4" t="s">
        <v>15</v>
      </c>
      <c r="E5" s="4" t="s">
        <v>16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18</v>
      </c>
      <c r="K5" s="4" t="s">
        <v>18</v>
      </c>
      <c r="L5" s="4" t="s">
        <v>20</v>
      </c>
      <c r="M5" s="4" t="s">
        <v>21</v>
      </c>
    </row>
    <row r="6" spans="1:13">
      <c r="A6" s="4"/>
      <c r="B6" s="4"/>
      <c r="C6" s="4"/>
      <c r="D6" s="4" t="s">
        <v>22</v>
      </c>
      <c r="E6" s="4"/>
      <c r="F6" s="4"/>
      <c r="G6" s="4"/>
      <c r="H6" s="4" t="s">
        <v>23</v>
      </c>
      <c r="I6" s="4" t="s">
        <v>18</v>
      </c>
      <c r="J6" s="4" t="s">
        <v>23</v>
      </c>
      <c r="K6" s="4" t="s">
        <v>23</v>
      </c>
      <c r="L6" s="4"/>
      <c r="M6" s="4"/>
    </row>
    <row r="7" spans="1:13">
      <c r="A7" s="5"/>
      <c r="B7" s="5"/>
      <c r="C7" s="5"/>
      <c r="D7" s="5"/>
      <c r="E7" s="5"/>
      <c r="F7" s="5"/>
      <c r="G7" s="5"/>
      <c r="H7" s="5"/>
      <c r="I7" s="5" t="s">
        <v>23</v>
      </c>
      <c r="J7" s="5"/>
      <c r="K7" s="5"/>
      <c r="L7" s="5"/>
      <c r="M7" s="5"/>
    </row>
    <row r="8" spans="1:13">
      <c r="A8" s="1" t="s">
        <v>24</v>
      </c>
      <c r="B8" s="1"/>
      <c r="C8" s="1"/>
      <c r="D8" s="13">
        <v>67</v>
      </c>
      <c r="E8" s="59">
        <v>9.1</v>
      </c>
      <c r="F8" s="10">
        <v>2</v>
      </c>
      <c r="G8" s="11">
        <v>1238</v>
      </c>
      <c r="H8" s="12">
        <v>11266</v>
      </c>
      <c r="I8" s="12"/>
      <c r="J8" s="12"/>
      <c r="K8" s="12">
        <f>+J8+I8+H8</f>
        <v>11266</v>
      </c>
      <c r="L8" s="12"/>
      <c r="M8" s="12"/>
    </row>
    <row r="9" spans="1:13">
      <c r="A9" s="1" t="s">
        <v>257</v>
      </c>
      <c r="B9" s="1"/>
      <c r="C9" s="1"/>
      <c r="D9" s="6">
        <v>100</v>
      </c>
      <c r="E9" s="10">
        <v>1.3</v>
      </c>
      <c r="F9" s="10">
        <v>1.1000000000000001</v>
      </c>
      <c r="G9" s="11">
        <v>1200</v>
      </c>
      <c r="H9" s="12">
        <v>1560</v>
      </c>
      <c r="I9" s="12">
        <v>10787</v>
      </c>
      <c r="J9" s="12"/>
      <c r="K9" s="12">
        <f t="shared" ref="K9:K18" si="0">+J9+I9+H9</f>
        <v>12347</v>
      </c>
      <c r="L9" s="12">
        <v>6138</v>
      </c>
      <c r="M9" s="12"/>
    </row>
    <row r="10" spans="1:13">
      <c r="A10" s="1" t="s">
        <v>111</v>
      </c>
      <c r="B10" s="1"/>
      <c r="C10" s="1"/>
      <c r="D10" s="6">
        <v>100</v>
      </c>
      <c r="E10" s="10">
        <v>12.5</v>
      </c>
      <c r="F10" s="10">
        <v>3.4</v>
      </c>
      <c r="G10" s="11">
        <v>1268</v>
      </c>
      <c r="H10" s="12">
        <v>15850</v>
      </c>
      <c r="I10" s="12"/>
      <c r="J10" s="127">
        <v>2907</v>
      </c>
      <c r="K10" s="12">
        <f t="shared" si="0"/>
        <v>18757</v>
      </c>
      <c r="L10" s="12"/>
      <c r="M10" s="12"/>
    </row>
    <row r="11" spans="1:13">
      <c r="A11" s="1" t="s">
        <v>135</v>
      </c>
      <c r="B11" s="1"/>
      <c r="C11" s="1"/>
      <c r="D11" s="6">
        <v>100</v>
      </c>
      <c r="E11" s="10">
        <v>13.4</v>
      </c>
      <c r="F11" s="10">
        <v>3.5</v>
      </c>
      <c r="G11" s="11">
        <v>1245</v>
      </c>
      <c r="H11" s="12">
        <v>16683</v>
      </c>
      <c r="I11" s="12"/>
      <c r="J11" s="12">
        <v>131406</v>
      </c>
      <c r="K11" s="12">
        <f t="shared" si="0"/>
        <v>148089</v>
      </c>
      <c r="L11" s="12"/>
      <c r="M11" s="12">
        <v>56113</v>
      </c>
    </row>
    <row r="12" spans="1:13">
      <c r="A12" s="1" t="s">
        <v>32</v>
      </c>
      <c r="B12" s="1"/>
      <c r="C12" s="1"/>
      <c r="D12" s="6">
        <v>100</v>
      </c>
      <c r="E12" s="10">
        <v>4.2</v>
      </c>
      <c r="F12" s="10">
        <v>2.4</v>
      </c>
      <c r="G12" s="11">
        <v>1204</v>
      </c>
      <c r="H12" s="12">
        <v>5057</v>
      </c>
      <c r="I12" s="12"/>
      <c r="J12" s="12">
        <f>+G35*E35+G36*E36</f>
        <v>29927</v>
      </c>
      <c r="K12" s="12">
        <f t="shared" si="0"/>
        <v>34984</v>
      </c>
      <c r="L12" s="12"/>
      <c r="M12" s="12"/>
    </row>
    <row r="13" spans="1:13">
      <c r="A13" s="1" t="s">
        <v>33</v>
      </c>
      <c r="B13" s="1"/>
      <c r="C13" s="1"/>
      <c r="D13" s="6">
        <v>50</v>
      </c>
      <c r="E13" s="10">
        <v>0.5</v>
      </c>
      <c r="F13" s="10">
        <v>0.3</v>
      </c>
      <c r="G13" s="11">
        <v>1167</v>
      </c>
      <c r="H13" s="12">
        <v>584</v>
      </c>
      <c r="I13" s="12"/>
      <c r="J13" s="12">
        <v>1490</v>
      </c>
      <c r="K13" s="12">
        <f t="shared" si="0"/>
        <v>2074</v>
      </c>
      <c r="L13" s="12"/>
      <c r="M13" s="12"/>
    </row>
    <row r="14" spans="1:13">
      <c r="A14" s="1" t="s">
        <v>34</v>
      </c>
      <c r="B14" s="1"/>
      <c r="C14" s="1"/>
      <c r="D14" s="6">
        <v>100</v>
      </c>
      <c r="E14" s="10">
        <v>13.5</v>
      </c>
      <c r="F14" s="10">
        <v>3.6</v>
      </c>
      <c r="G14" s="11">
        <v>1224</v>
      </c>
      <c r="H14" s="12">
        <v>16524</v>
      </c>
      <c r="I14" s="12"/>
      <c r="J14" s="12"/>
      <c r="K14" s="12">
        <f t="shared" si="0"/>
        <v>16524</v>
      </c>
      <c r="L14" s="12"/>
      <c r="M14" s="12"/>
    </row>
    <row r="15" spans="1:13">
      <c r="A15" s="1" t="s">
        <v>35</v>
      </c>
      <c r="B15" s="1"/>
      <c r="C15" s="1"/>
      <c r="D15" s="6">
        <v>100</v>
      </c>
      <c r="E15" s="10">
        <v>10</v>
      </c>
      <c r="F15" s="10">
        <v>9</v>
      </c>
      <c r="G15" s="11">
        <v>1230</v>
      </c>
      <c r="H15" s="12">
        <v>12300</v>
      </c>
      <c r="I15" s="12"/>
      <c r="J15" s="12">
        <v>17722</v>
      </c>
      <c r="K15" s="12">
        <f t="shared" si="0"/>
        <v>30022</v>
      </c>
      <c r="L15" s="12"/>
      <c r="M15" s="12"/>
    </row>
    <row r="16" spans="1:13">
      <c r="A16" s="1" t="s">
        <v>36</v>
      </c>
      <c r="B16" s="1"/>
      <c r="C16" s="1"/>
      <c r="D16" s="6">
        <v>100</v>
      </c>
      <c r="E16" s="10">
        <v>17.100000000000001</v>
      </c>
      <c r="F16" s="10">
        <v>16.600000000000001</v>
      </c>
      <c r="G16" s="11">
        <v>1000</v>
      </c>
      <c r="H16" s="12">
        <v>17100</v>
      </c>
      <c r="I16" s="12">
        <v>5304</v>
      </c>
      <c r="J16" s="12"/>
      <c r="K16" s="12">
        <f t="shared" si="0"/>
        <v>22404</v>
      </c>
      <c r="L16" s="12"/>
      <c r="M16" s="12"/>
    </row>
    <row r="17" spans="1:13">
      <c r="A17" s="1" t="s">
        <v>37</v>
      </c>
      <c r="B17" s="1"/>
      <c r="C17" s="1"/>
      <c r="D17" s="6">
        <v>100</v>
      </c>
      <c r="E17" s="10">
        <v>27.6</v>
      </c>
      <c r="F17" s="10">
        <v>7.2</v>
      </c>
      <c r="G17" s="11">
        <v>1375</v>
      </c>
      <c r="H17" s="12">
        <v>37950</v>
      </c>
      <c r="I17" s="12"/>
      <c r="J17" s="12"/>
      <c r="K17" s="12">
        <f t="shared" si="0"/>
        <v>37950</v>
      </c>
      <c r="L17" s="12"/>
      <c r="M17" s="12"/>
    </row>
    <row r="18" spans="1:13">
      <c r="A18" s="1" t="s">
        <v>43</v>
      </c>
      <c r="B18" s="1"/>
      <c r="C18" s="1"/>
      <c r="D18" s="6">
        <v>83</v>
      </c>
      <c r="E18" s="10">
        <v>2</v>
      </c>
      <c r="F18" s="10">
        <v>1</v>
      </c>
      <c r="G18" s="11">
        <v>1471</v>
      </c>
      <c r="H18" s="12">
        <v>2942</v>
      </c>
      <c r="I18" s="12">
        <v>3442</v>
      </c>
      <c r="J18" s="12"/>
      <c r="K18" s="12">
        <f t="shared" si="0"/>
        <v>6384</v>
      </c>
      <c r="L18" s="12">
        <v>710</v>
      </c>
      <c r="M18" s="12"/>
    </row>
    <row r="19" spans="1:13">
      <c r="A19" s="16" t="s">
        <v>44</v>
      </c>
      <c r="B19" s="16"/>
      <c r="C19" s="16"/>
      <c r="D19" s="17"/>
      <c r="E19" s="60">
        <v>111.19999999999999</v>
      </c>
      <c r="F19" s="60">
        <v>50.100000000000009</v>
      </c>
      <c r="G19" s="19">
        <v>13622</v>
      </c>
      <c r="H19" s="19">
        <f>SUM(H8:H18)</f>
        <v>137816</v>
      </c>
      <c r="I19" s="19">
        <f t="shared" ref="I19:M19" si="1">SUM(I8:I18)</f>
        <v>19533</v>
      </c>
      <c r="J19" s="19">
        <f t="shared" si="1"/>
        <v>183452</v>
      </c>
      <c r="K19" s="19">
        <f t="shared" si="1"/>
        <v>340801</v>
      </c>
      <c r="L19" s="19">
        <f t="shared" si="1"/>
        <v>6848</v>
      </c>
      <c r="M19" s="19">
        <f t="shared" si="1"/>
        <v>56113</v>
      </c>
    </row>
    <row r="20" spans="1:13">
      <c r="A20" s="20" t="s">
        <v>45</v>
      </c>
      <c r="B20" s="20"/>
      <c r="C20" s="20"/>
      <c r="D20" s="21"/>
      <c r="E20" s="23"/>
      <c r="F20" s="23"/>
      <c r="G20" s="24"/>
      <c r="H20" s="24">
        <v>75762</v>
      </c>
      <c r="I20" s="24">
        <f>+I19-L19</f>
        <v>12685</v>
      </c>
      <c r="J20" s="24">
        <f>+J19-M19</f>
        <v>127339</v>
      </c>
      <c r="K20" s="24">
        <f>SUM(H20:J20)</f>
        <v>215786</v>
      </c>
      <c r="L20" s="24"/>
      <c r="M20" s="24"/>
    </row>
    <row r="21" spans="1:13">
      <c r="A21" s="25" t="s">
        <v>164</v>
      </c>
      <c r="B21" s="1"/>
      <c r="C21" s="1"/>
      <c r="D21" s="1"/>
      <c r="E21" s="1"/>
      <c r="F21" s="1"/>
      <c r="G21" s="1"/>
      <c r="H21" s="1"/>
      <c r="I21" s="12"/>
      <c r="J21" s="12"/>
      <c r="K21" s="7"/>
      <c r="L21" s="1"/>
      <c r="M21" s="1"/>
    </row>
    <row r="22" spans="1:13">
      <c r="A22" s="1"/>
      <c r="B22" s="1"/>
      <c r="C22" s="1" t="s">
        <v>46</v>
      </c>
      <c r="D22" s="1"/>
      <c r="E22" s="1"/>
      <c r="F22" s="1"/>
      <c r="G22" s="1"/>
      <c r="H22" s="10"/>
      <c r="I22" s="1"/>
      <c r="J22" s="7"/>
      <c r="K22" s="7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2"/>
      <c r="I23" s="12"/>
      <c r="J23" s="12"/>
      <c r="K23" s="7"/>
      <c r="L23" s="1"/>
      <c r="M23" s="1"/>
    </row>
    <row r="24" spans="1:13">
      <c r="A24" s="1" t="s">
        <v>47</v>
      </c>
      <c r="B24" s="1"/>
      <c r="C24" s="1"/>
      <c r="D24" s="1"/>
      <c r="E24" s="1"/>
      <c r="F24" s="1"/>
      <c r="G24" s="1"/>
      <c r="H24" s="12"/>
      <c r="I24" s="1"/>
      <c r="J24" s="1"/>
      <c r="K24" s="1"/>
      <c r="L24" s="1"/>
      <c r="M24" s="1"/>
    </row>
    <row r="25" spans="1:13">
      <c r="A25" s="26" t="s">
        <v>48</v>
      </c>
      <c r="B25" s="26"/>
      <c r="C25" s="26"/>
      <c r="D25" s="26" t="s">
        <v>49</v>
      </c>
      <c r="E25" s="26" t="s">
        <v>50</v>
      </c>
      <c r="F25" s="26"/>
      <c r="G25" s="26" t="s">
        <v>51</v>
      </c>
      <c r="H25" s="1"/>
      <c r="I25" s="1"/>
      <c r="J25" s="61" t="s">
        <v>52</v>
      </c>
      <c r="K25" s="62" t="s">
        <v>53</v>
      </c>
      <c r="L25" s="1"/>
      <c r="M25" s="1"/>
    </row>
    <row r="26" spans="1:13">
      <c r="A26" s="1" t="s">
        <v>54</v>
      </c>
      <c r="B26" s="1"/>
      <c r="C26" s="1"/>
      <c r="D26" s="1"/>
      <c r="E26" s="1"/>
      <c r="F26" s="1"/>
      <c r="G26" s="1"/>
      <c r="H26" s="1"/>
      <c r="I26" s="1"/>
      <c r="J26" s="16" t="s">
        <v>258</v>
      </c>
      <c r="K26" s="19">
        <v>100</v>
      </c>
      <c r="L26" s="1"/>
      <c r="M26" s="1"/>
    </row>
    <row r="27" spans="1:13">
      <c r="A27" s="1" t="s">
        <v>137</v>
      </c>
      <c r="B27" s="1"/>
      <c r="C27" s="63"/>
      <c r="D27" s="150" t="s">
        <v>57</v>
      </c>
      <c r="E27" s="7">
        <v>724</v>
      </c>
      <c r="F27" s="7"/>
      <c r="G27" s="7">
        <v>181.5</v>
      </c>
      <c r="H27" s="1"/>
      <c r="I27" s="1"/>
      <c r="J27" s="20"/>
      <c r="K27" s="24"/>
      <c r="L27" s="1"/>
      <c r="M27" s="1"/>
    </row>
    <row r="28" spans="1:13">
      <c r="A28" s="1" t="s">
        <v>59</v>
      </c>
      <c r="B28" s="1"/>
      <c r="C28" s="1"/>
      <c r="D28" s="1"/>
      <c r="E28" s="1"/>
      <c r="F28" s="1"/>
      <c r="G28" s="1"/>
      <c r="H28" s="1"/>
      <c r="I28" s="1"/>
      <c r="J28" s="2"/>
      <c r="K28" s="2"/>
      <c r="L28" s="1"/>
      <c r="M28" s="1"/>
    </row>
    <row r="29" spans="1:13">
      <c r="A29" s="1" t="s">
        <v>60</v>
      </c>
      <c r="B29" s="1"/>
      <c r="C29" s="1"/>
      <c r="D29" s="1" t="s">
        <v>61</v>
      </c>
      <c r="E29" s="12">
        <v>61</v>
      </c>
      <c r="F29" s="12"/>
      <c r="G29" s="7">
        <v>1242</v>
      </c>
      <c r="H29" s="1"/>
      <c r="I29" s="1"/>
      <c r="J29" s="16" t="s">
        <v>62</v>
      </c>
      <c r="K29" s="60">
        <v>0.7</v>
      </c>
      <c r="L29" s="1"/>
      <c r="M29" s="1"/>
    </row>
    <row r="30" spans="1:13">
      <c r="A30" s="1" t="s">
        <v>63</v>
      </c>
      <c r="B30" s="1"/>
      <c r="C30" s="1"/>
      <c r="D30" s="1" t="s">
        <v>61</v>
      </c>
      <c r="E30" s="12">
        <v>50</v>
      </c>
      <c r="F30" s="12"/>
      <c r="G30" s="12"/>
      <c r="H30" s="1"/>
      <c r="I30" s="1"/>
      <c r="J30" s="20" t="s">
        <v>64</v>
      </c>
      <c r="K30" s="23">
        <v>0.5</v>
      </c>
      <c r="L30" s="1"/>
      <c r="M30" s="1"/>
    </row>
    <row r="31" spans="1:13">
      <c r="A31" s="1" t="s">
        <v>7</v>
      </c>
      <c r="B31" s="1"/>
      <c r="C31" s="1"/>
      <c r="D31" s="1"/>
      <c r="E31" s="12">
        <v>111</v>
      </c>
      <c r="F31" s="12"/>
      <c r="G31" s="12"/>
      <c r="H31" s="1"/>
      <c r="I31" s="1"/>
      <c r="J31" s="1"/>
      <c r="K31" s="37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1"/>
      <c r="M32" s="1"/>
    </row>
    <row r="33" spans="1:13">
      <c r="A33" s="16" t="s">
        <v>65</v>
      </c>
      <c r="B33" s="16"/>
      <c r="C33" s="16" t="s">
        <v>66</v>
      </c>
      <c r="D33" s="16"/>
      <c r="E33" s="16"/>
      <c r="F33" s="16"/>
      <c r="G33" s="16"/>
      <c r="H33" s="1"/>
      <c r="I33" s="1"/>
      <c r="J33" s="2"/>
      <c r="K33" s="2"/>
      <c r="L33" s="1"/>
      <c r="M33" s="1"/>
    </row>
    <row r="34" spans="1:13">
      <c r="A34" s="1"/>
      <c r="B34" s="4"/>
      <c r="C34" s="38" t="s">
        <v>53</v>
      </c>
      <c r="D34" s="40"/>
      <c r="E34" s="40"/>
      <c r="F34" s="40"/>
      <c r="G34" s="40"/>
      <c r="H34" s="1"/>
      <c r="I34" s="1"/>
      <c r="J34" s="1"/>
      <c r="K34" s="1"/>
      <c r="L34" s="1"/>
      <c r="M34" s="1"/>
    </row>
    <row r="35" spans="1:13">
      <c r="A35" s="38" t="s">
        <v>259</v>
      </c>
      <c r="B35" s="4"/>
      <c r="C35" s="38">
        <v>100</v>
      </c>
      <c r="D35" s="65" t="s">
        <v>120</v>
      </c>
      <c r="E35" s="156">
        <v>539</v>
      </c>
      <c r="F35" s="41"/>
      <c r="G35" s="156">
        <v>49</v>
      </c>
      <c r="H35" s="1"/>
      <c r="I35" s="1"/>
      <c r="J35" s="1"/>
      <c r="K35" s="1"/>
      <c r="L35" s="1"/>
      <c r="M35" s="1"/>
    </row>
    <row r="36" spans="1:13">
      <c r="A36" s="1" t="s">
        <v>254</v>
      </c>
      <c r="B36" s="146"/>
      <c r="C36" s="38">
        <v>67</v>
      </c>
      <c r="D36" s="65" t="s">
        <v>120</v>
      </c>
      <c r="E36" s="41">
        <v>586</v>
      </c>
      <c r="F36" s="41"/>
      <c r="G36" s="41">
        <v>6</v>
      </c>
      <c r="H36" s="1"/>
      <c r="I36" s="1"/>
      <c r="J36" s="1"/>
      <c r="K36" s="1"/>
      <c r="L36" s="1"/>
      <c r="M36" s="1"/>
    </row>
    <row r="37" spans="1:13">
      <c r="A37" s="20"/>
      <c r="B37" s="4"/>
      <c r="C37" s="133"/>
      <c r="D37" s="20"/>
      <c r="E37" s="20"/>
      <c r="F37" s="20"/>
      <c r="G37" s="20"/>
      <c r="H37" s="1"/>
      <c r="I37" s="1"/>
      <c r="J37" s="1"/>
      <c r="K37" s="1"/>
      <c r="L37" s="1"/>
      <c r="M37" s="1"/>
    </row>
    <row r="38" spans="1:13">
      <c r="A38" s="16" t="s">
        <v>71</v>
      </c>
      <c r="B38" s="16"/>
      <c r="C38" s="16"/>
      <c r="D38" s="16"/>
      <c r="E38" s="16"/>
      <c r="F38" s="16"/>
      <c r="G38" s="16"/>
      <c r="H38" s="1"/>
      <c r="I38" s="1" t="s">
        <v>72</v>
      </c>
      <c r="J38" s="1"/>
      <c r="K38" s="1"/>
      <c r="L38" s="1"/>
      <c r="M38" s="1"/>
    </row>
    <row r="39" spans="1:13">
      <c r="A39" s="40" t="s">
        <v>260</v>
      </c>
      <c r="B39" s="40"/>
      <c r="C39" s="40"/>
      <c r="D39" s="40"/>
      <c r="E39" s="40"/>
      <c r="F39" s="40"/>
      <c r="G39" s="42">
        <v>5744</v>
      </c>
      <c r="H39" s="1"/>
      <c r="I39" s="12">
        <f>+G39*2.471</f>
        <v>14193.424000000001</v>
      </c>
      <c r="J39" s="12"/>
      <c r="K39" s="1"/>
      <c r="L39" s="1"/>
      <c r="M39" s="1"/>
    </row>
    <row r="40" spans="1:13">
      <c r="A40" s="40" t="s">
        <v>75</v>
      </c>
      <c r="B40" s="40"/>
      <c r="C40" s="40"/>
      <c r="D40" s="40"/>
      <c r="E40" s="40"/>
      <c r="F40" s="40"/>
      <c r="G40" s="45">
        <v>90</v>
      </c>
      <c r="H40" s="1"/>
      <c r="I40" s="12"/>
      <c r="J40" s="12"/>
      <c r="K40" s="7"/>
      <c r="L40" s="1"/>
      <c r="M40" s="1"/>
    </row>
    <row r="41" spans="1:13">
      <c r="A41" s="40" t="s">
        <v>261</v>
      </c>
      <c r="B41" s="40"/>
      <c r="C41" s="40"/>
      <c r="D41" s="40"/>
      <c r="E41" s="40"/>
      <c r="F41" s="40"/>
      <c r="G41" s="46">
        <f>+G40*G39</f>
        <v>516960</v>
      </c>
      <c r="H41" s="7"/>
      <c r="I41" s="12">
        <f t="shared" ref="I41:I43" si="2">+G41*2.471</f>
        <v>1277408.1600000001</v>
      </c>
      <c r="J41" s="12"/>
      <c r="K41" s="7"/>
      <c r="L41" s="1"/>
      <c r="M41" s="1"/>
    </row>
    <row r="42" spans="1:13">
      <c r="A42" s="40" t="s">
        <v>262</v>
      </c>
      <c r="B42" s="40"/>
      <c r="C42" s="40"/>
      <c r="D42" s="40"/>
      <c r="E42" s="40"/>
      <c r="F42" s="40"/>
      <c r="G42" s="46">
        <f>+G41-K19</f>
        <v>176159</v>
      </c>
      <c r="H42" s="7"/>
      <c r="I42" s="12">
        <f t="shared" si="2"/>
        <v>435288.88900000002</v>
      </c>
      <c r="J42" s="12"/>
      <c r="K42" s="1"/>
      <c r="L42" s="1"/>
      <c r="M42" s="1"/>
    </row>
    <row r="43" spans="1:13">
      <c r="A43" s="40" t="s">
        <v>263</v>
      </c>
      <c r="B43" s="40"/>
      <c r="C43" s="40"/>
      <c r="D43" s="40"/>
      <c r="E43" s="40"/>
      <c r="F43" s="40"/>
      <c r="G43" s="46">
        <f>+G41-K20</f>
        <v>301174</v>
      </c>
      <c r="H43" s="1"/>
      <c r="I43" s="12">
        <f t="shared" si="2"/>
        <v>744200.95400000003</v>
      </c>
      <c r="J43" s="12"/>
      <c r="K43" s="1"/>
      <c r="L43" s="1"/>
      <c r="M43" s="1"/>
    </row>
    <row r="44" spans="1:13">
      <c r="A44" s="40"/>
      <c r="B44" s="40"/>
      <c r="C44" s="40"/>
      <c r="D44" s="40"/>
      <c r="E44" s="40"/>
      <c r="F44" s="40"/>
      <c r="G44" s="45"/>
      <c r="H44" s="1"/>
      <c r="I44" s="1"/>
      <c r="J44" s="1"/>
      <c r="K44" s="1"/>
      <c r="L44" s="1"/>
      <c r="M44" s="1"/>
    </row>
    <row r="45" spans="1:13">
      <c r="A45" s="40" t="s">
        <v>79</v>
      </c>
      <c r="B45" s="40"/>
      <c r="C45" s="40"/>
      <c r="D45" s="40"/>
      <c r="E45" s="40"/>
      <c r="F45" s="40"/>
      <c r="G45" s="45">
        <f>+K19/G39</f>
        <v>59.331650417827298</v>
      </c>
      <c r="H45" s="1"/>
      <c r="I45" s="1"/>
      <c r="J45" s="1"/>
      <c r="K45" s="1"/>
      <c r="L45" s="1"/>
      <c r="M45" s="1"/>
    </row>
    <row r="46" spans="1:13">
      <c r="A46" s="20" t="s">
        <v>80</v>
      </c>
      <c r="B46" s="20"/>
      <c r="C46" s="20"/>
      <c r="D46" s="20"/>
      <c r="E46" s="20"/>
      <c r="F46" s="20"/>
      <c r="G46" s="47">
        <f>+K20/G39</f>
        <v>37.567200557103064</v>
      </c>
      <c r="H46" s="1"/>
      <c r="I46" s="1"/>
      <c r="J46" s="1"/>
      <c r="K46" s="1"/>
      <c r="L46" s="1"/>
      <c r="M46" s="1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5"/>
  <sheetViews>
    <sheetView workbookViewId="0">
      <selection sqref="A1:M45"/>
    </sheetView>
  </sheetViews>
  <sheetFormatPr defaultRowHeight="15"/>
  <sheetData>
    <row r="1" spans="1:13">
      <c r="A1" s="63" t="s">
        <v>0</v>
      </c>
      <c r="B1" s="63" t="s">
        <v>264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>
      <c r="A2" s="63"/>
      <c r="B2" s="63" t="s">
        <v>265</v>
      </c>
      <c r="C2" s="157"/>
      <c r="D2" s="63" t="s">
        <v>266</v>
      </c>
      <c r="E2" s="157"/>
      <c r="F2" s="157"/>
      <c r="G2" s="157"/>
      <c r="H2" s="63" t="s">
        <v>267</v>
      </c>
      <c r="I2" s="63"/>
      <c r="J2" s="63"/>
      <c r="K2" s="63"/>
      <c r="L2" s="63"/>
      <c r="M2" s="63"/>
    </row>
    <row r="3" spans="1:13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</row>
    <row r="4" spans="1:13">
      <c r="A4" s="158" t="s">
        <v>5</v>
      </c>
      <c r="B4" s="158"/>
      <c r="C4" s="158"/>
      <c r="D4" s="158" t="s">
        <v>6</v>
      </c>
      <c r="E4" s="158" t="s">
        <v>7</v>
      </c>
      <c r="F4" s="158" t="s">
        <v>8</v>
      </c>
      <c r="G4" s="158" t="s">
        <v>9</v>
      </c>
      <c r="H4" s="158" t="s">
        <v>10</v>
      </c>
      <c r="I4" s="158" t="s">
        <v>11</v>
      </c>
      <c r="J4" s="158" t="s">
        <v>12</v>
      </c>
      <c r="K4" s="158" t="s">
        <v>13</v>
      </c>
      <c r="L4" s="158" t="s">
        <v>14</v>
      </c>
      <c r="M4" s="158"/>
    </row>
    <row r="5" spans="1:13">
      <c r="A5" s="159"/>
      <c r="B5" s="159"/>
      <c r="C5" s="159"/>
      <c r="D5" s="159" t="s">
        <v>15</v>
      </c>
      <c r="E5" s="159" t="s">
        <v>16</v>
      </c>
      <c r="F5" s="159" t="s">
        <v>16</v>
      </c>
      <c r="G5" s="159" t="s">
        <v>17</v>
      </c>
      <c r="H5" s="159" t="s">
        <v>18</v>
      </c>
      <c r="I5" s="159" t="s">
        <v>19</v>
      </c>
      <c r="J5" s="159" t="s">
        <v>18</v>
      </c>
      <c r="K5" s="159" t="s">
        <v>18</v>
      </c>
      <c r="L5" s="159" t="s">
        <v>20</v>
      </c>
      <c r="M5" s="159" t="s">
        <v>21</v>
      </c>
    </row>
    <row r="6" spans="1:13">
      <c r="A6" s="159"/>
      <c r="B6" s="159"/>
      <c r="C6" s="159"/>
      <c r="D6" s="159" t="s">
        <v>22</v>
      </c>
      <c r="E6" s="159"/>
      <c r="F6" s="159"/>
      <c r="G6" s="159"/>
      <c r="H6" s="159" t="s">
        <v>23</v>
      </c>
      <c r="I6" s="159" t="s">
        <v>18</v>
      </c>
      <c r="J6" s="159" t="s">
        <v>23</v>
      </c>
      <c r="K6" s="159" t="s">
        <v>23</v>
      </c>
      <c r="L6" s="159"/>
      <c r="M6" s="159"/>
    </row>
    <row r="7" spans="1:13">
      <c r="A7" s="160"/>
      <c r="B7" s="160"/>
      <c r="C7" s="160"/>
      <c r="D7" s="160"/>
      <c r="E7" s="160"/>
      <c r="F7" s="160"/>
      <c r="G7" s="160"/>
      <c r="H7" s="160"/>
      <c r="I7" s="160" t="s">
        <v>23</v>
      </c>
      <c r="J7" s="160"/>
      <c r="K7" s="160"/>
      <c r="L7" s="160"/>
      <c r="M7" s="160"/>
    </row>
    <row r="8" spans="1:13">
      <c r="A8" s="63" t="s">
        <v>243</v>
      </c>
      <c r="B8" s="63"/>
      <c r="C8" s="63"/>
      <c r="D8" s="161">
        <v>87</v>
      </c>
      <c r="E8" s="162">
        <v>11.4</v>
      </c>
      <c r="F8" s="163">
        <v>2.7</v>
      </c>
      <c r="G8" s="164">
        <v>1200</v>
      </c>
      <c r="H8" s="137">
        <v>13680</v>
      </c>
      <c r="I8" s="137"/>
      <c r="J8" s="137"/>
      <c r="K8" s="137">
        <f>+J8+I8+H8</f>
        <v>13680</v>
      </c>
      <c r="L8" s="137"/>
      <c r="M8" s="137"/>
    </row>
    <row r="9" spans="1:13">
      <c r="A9" s="63" t="s">
        <v>257</v>
      </c>
      <c r="B9" s="63"/>
      <c r="C9" s="63"/>
      <c r="D9" s="165">
        <v>100</v>
      </c>
      <c r="E9" s="163">
        <v>0.7</v>
      </c>
      <c r="F9" s="163">
        <v>0.6</v>
      </c>
      <c r="G9" s="164">
        <v>1240</v>
      </c>
      <c r="H9" s="137">
        <v>868</v>
      </c>
      <c r="I9" s="137">
        <v>9150</v>
      </c>
      <c r="J9" s="137"/>
      <c r="K9" s="137">
        <f t="shared" ref="K9:K16" si="0">+J9+I9+H9</f>
        <v>10018</v>
      </c>
      <c r="L9" s="137">
        <v>285</v>
      </c>
      <c r="M9" s="137"/>
    </row>
    <row r="10" spans="1:13">
      <c r="A10" s="63" t="s">
        <v>268</v>
      </c>
      <c r="B10" s="63"/>
      <c r="C10" s="63"/>
      <c r="D10" s="165">
        <v>100</v>
      </c>
      <c r="E10" s="163">
        <v>14.3</v>
      </c>
      <c r="F10" s="163">
        <v>3.7</v>
      </c>
      <c r="G10" s="164">
        <v>1240</v>
      </c>
      <c r="H10" s="137">
        <v>17732</v>
      </c>
      <c r="I10" s="137"/>
      <c r="J10" s="166">
        <v>3308</v>
      </c>
      <c r="K10" s="137">
        <f t="shared" si="0"/>
        <v>21040</v>
      </c>
      <c r="L10" s="137"/>
      <c r="M10" s="137"/>
    </row>
    <row r="11" spans="1:13">
      <c r="A11" s="63" t="s">
        <v>56</v>
      </c>
      <c r="B11" s="63"/>
      <c r="C11" s="63"/>
      <c r="D11" s="165">
        <v>100</v>
      </c>
      <c r="E11" s="163">
        <v>14.4</v>
      </c>
      <c r="F11" s="163">
        <v>5.4</v>
      </c>
      <c r="G11" s="164">
        <v>1365</v>
      </c>
      <c r="H11" s="137">
        <v>19656</v>
      </c>
      <c r="I11" s="137"/>
      <c r="J11" s="137">
        <v>137472</v>
      </c>
      <c r="K11" s="137">
        <f t="shared" si="0"/>
        <v>157128</v>
      </c>
      <c r="L11" s="137"/>
      <c r="M11" s="137">
        <v>22084</v>
      </c>
    </row>
    <row r="12" spans="1:13">
      <c r="A12" s="63" t="s">
        <v>247</v>
      </c>
      <c r="B12" s="63"/>
      <c r="C12" s="63"/>
      <c r="D12" s="165">
        <v>100</v>
      </c>
      <c r="E12" s="163">
        <v>11.5</v>
      </c>
      <c r="F12" s="163">
        <v>6.1</v>
      </c>
      <c r="G12" s="164">
        <v>1200</v>
      </c>
      <c r="H12" s="137">
        <v>13800</v>
      </c>
      <c r="I12" s="137"/>
      <c r="J12" s="137">
        <v>43098</v>
      </c>
      <c r="K12" s="137">
        <f t="shared" si="0"/>
        <v>56898</v>
      </c>
      <c r="L12" s="137"/>
      <c r="M12" s="137"/>
    </row>
    <row r="13" spans="1:13">
      <c r="A13" s="63" t="s">
        <v>34</v>
      </c>
      <c r="B13" s="63"/>
      <c r="C13" s="63"/>
      <c r="D13" s="165">
        <v>100</v>
      </c>
      <c r="E13" s="163">
        <v>12.7</v>
      </c>
      <c r="F13" s="163">
        <v>5.4</v>
      </c>
      <c r="G13" s="164">
        <v>1200</v>
      </c>
      <c r="H13" s="137">
        <v>15240</v>
      </c>
      <c r="I13" s="137"/>
      <c r="J13" s="137"/>
      <c r="K13" s="137">
        <f t="shared" si="0"/>
        <v>15240</v>
      </c>
      <c r="L13" s="137"/>
      <c r="M13" s="137"/>
    </row>
    <row r="14" spans="1:13">
      <c r="A14" s="63" t="s">
        <v>248</v>
      </c>
      <c r="B14" s="63"/>
      <c r="C14" s="63"/>
      <c r="D14" s="165">
        <v>100</v>
      </c>
      <c r="E14" s="163">
        <v>11.6</v>
      </c>
      <c r="F14" s="163">
        <v>8.3000000000000007</v>
      </c>
      <c r="G14" s="164">
        <v>1243</v>
      </c>
      <c r="H14" s="137">
        <v>14419</v>
      </c>
      <c r="I14" s="137"/>
      <c r="J14" s="137">
        <v>21316</v>
      </c>
      <c r="K14" s="137">
        <f t="shared" si="0"/>
        <v>35735</v>
      </c>
      <c r="L14" s="137"/>
      <c r="M14" s="137"/>
    </row>
    <row r="15" spans="1:13">
      <c r="A15" s="63" t="s">
        <v>250</v>
      </c>
      <c r="B15" s="63"/>
      <c r="C15" s="63"/>
      <c r="D15" s="165">
        <v>100</v>
      </c>
      <c r="E15" s="163">
        <v>17.899999999999999</v>
      </c>
      <c r="F15" s="163">
        <v>17.3</v>
      </c>
      <c r="G15" s="164">
        <v>1290</v>
      </c>
      <c r="H15" s="137">
        <v>23091</v>
      </c>
      <c r="I15" s="137">
        <v>6984</v>
      </c>
      <c r="J15" s="137"/>
      <c r="K15" s="137">
        <f t="shared" si="0"/>
        <v>30075</v>
      </c>
      <c r="L15" s="137"/>
      <c r="M15" s="137"/>
    </row>
    <row r="16" spans="1:13">
      <c r="A16" s="63" t="s">
        <v>37</v>
      </c>
      <c r="B16" s="63"/>
      <c r="C16" s="63"/>
      <c r="D16" s="165">
        <v>100</v>
      </c>
      <c r="E16" s="163">
        <v>19.3</v>
      </c>
      <c r="F16" s="163">
        <v>3.4</v>
      </c>
      <c r="G16" s="164">
        <v>1205</v>
      </c>
      <c r="H16" s="137">
        <v>23257</v>
      </c>
      <c r="I16" s="137"/>
      <c r="J16" s="137"/>
      <c r="K16" s="137">
        <f t="shared" si="0"/>
        <v>23257</v>
      </c>
      <c r="L16" s="137"/>
      <c r="M16" s="137"/>
    </row>
    <row r="17" spans="1:13">
      <c r="A17" s="167" t="s">
        <v>44</v>
      </c>
      <c r="B17" s="167"/>
      <c r="C17" s="167"/>
      <c r="D17" s="168"/>
      <c r="E17" s="169">
        <f>SUM(E8:E16)</f>
        <v>113.8</v>
      </c>
      <c r="F17" s="169">
        <f>SUM(F8:F16)</f>
        <v>52.9</v>
      </c>
      <c r="G17" s="139"/>
      <c r="H17" s="135">
        <f>SUM(H8:H16)</f>
        <v>141743</v>
      </c>
      <c r="I17" s="135">
        <f t="shared" ref="I17:M17" si="1">SUM(I8:I16)</f>
        <v>16134</v>
      </c>
      <c r="J17" s="135">
        <f t="shared" si="1"/>
        <v>205194</v>
      </c>
      <c r="K17" s="135">
        <f t="shared" si="1"/>
        <v>363071</v>
      </c>
      <c r="L17" s="135">
        <f t="shared" si="1"/>
        <v>285</v>
      </c>
      <c r="M17" s="135">
        <f t="shared" si="1"/>
        <v>22084</v>
      </c>
    </row>
    <row r="18" spans="1:13">
      <c r="A18" s="170" t="s">
        <v>45</v>
      </c>
      <c r="B18" s="170"/>
      <c r="C18" s="170"/>
      <c r="D18" s="171"/>
      <c r="E18" s="172"/>
      <c r="F18" s="173"/>
      <c r="G18" s="173"/>
      <c r="H18" s="174">
        <v>75823</v>
      </c>
      <c r="I18" s="174">
        <f>+I17-L17</f>
        <v>15849</v>
      </c>
      <c r="J18" s="174">
        <f>+J17-M17</f>
        <v>183110</v>
      </c>
      <c r="K18" s="174">
        <f>SUM(H18:J18)</f>
        <v>274782</v>
      </c>
      <c r="L18" s="174"/>
      <c r="M18" s="174"/>
    </row>
    <row r="19" spans="1:13">
      <c r="A19" s="175" t="s">
        <v>164</v>
      </c>
      <c r="B19" s="63"/>
      <c r="C19" s="63"/>
      <c r="D19" s="63"/>
      <c r="E19" s="63"/>
      <c r="F19" s="63"/>
      <c r="G19" s="63"/>
      <c r="H19" s="63"/>
      <c r="I19" s="137"/>
      <c r="J19" s="137"/>
      <c r="K19" s="137"/>
      <c r="L19" s="63"/>
      <c r="M19" s="63"/>
    </row>
    <row r="20" spans="1:13">
      <c r="A20" s="63"/>
      <c r="B20" s="63"/>
      <c r="C20" s="63" t="s">
        <v>46</v>
      </c>
      <c r="D20" s="63"/>
      <c r="E20" s="63"/>
      <c r="F20" s="63"/>
      <c r="G20" s="63"/>
      <c r="H20" s="137"/>
      <c r="I20" s="63"/>
      <c r="J20" s="137"/>
      <c r="K20" s="137"/>
      <c r="L20" s="63"/>
      <c r="M20" s="63"/>
    </row>
    <row r="21" spans="1:13">
      <c r="A21" s="63"/>
      <c r="B21" s="63"/>
      <c r="C21" s="63"/>
      <c r="D21" s="63"/>
      <c r="E21" s="63"/>
      <c r="F21" s="63"/>
      <c r="G21" s="63"/>
      <c r="H21" s="137"/>
      <c r="I21" s="163"/>
      <c r="J21" s="137"/>
      <c r="K21" s="176"/>
      <c r="L21" s="63"/>
      <c r="M21" s="63"/>
    </row>
    <row r="22" spans="1:13">
      <c r="A22" s="63" t="s">
        <v>47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</row>
    <row r="23" spans="1:13">
      <c r="A23" s="177" t="s">
        <v>48</v>
      </c>
      <c r="B23" s="177"/>
      <c r="C23" s="177"/>
      <c r="D23" s="177" t="s">
        <v>49</v>
      </c>
      <c r="E23" s="177" t="s">
        <v>50</v>
      </c>
      <c r="F23" s="177"/>
      <c r="G23" s="177" t="s">
        <v>51</v>
      </c>
      <c r="H23" s="63"/>
      <c r="I23" s="63"/>
      <c r="J23" s="178" t="s">
        <v>52</v>
      </c>
      <c r="K23" s="179" t="s">
        <v>53</v>
      </c>
      <c r="L23" s="63"/>
      <c r="M23" s="63"/>
    </row>
    <row r="24" spans="1:13">
      <c r="A24" s="63" t="s">
        <v>54</v>
      </c>
      <c r="B24" s="63"/>
      <c r="C24" s="63"/>
      <c r="D24" s="63"/>
      <c r="E24" s="63"/>
      <c r="F24" s="63"/>
      <c r="G24" s="63"/>
      <c r="H24" s="63"/>
      <c r="I24" s="63"/>
      <c r="J24" s="167" t="s">
        <v>258</v>
      </c>
      <c r="K24" s="135">
        <v>97</v>
      </c>
      <c r="L24" s="63"/>
      <c r="M24" s="63"/>
    </row>
    <row r="25" spans="1:13">
      <c r="A25" s="63" t="s">
        <v>137</v>
      </c>
      <c r="B25" s="63"/>
      <c r="C25" s="63"/>
      <c r="D25" s="180" t="s">
        <v>57</v>
      </c>
      <c r="E25" s="176">
        <v>716</v>
      </c>
      <c r="F25" s="176"/>
      <c r="G25" s="176">
        <v>192</v>
      </c>
      <c r="H25" s="63"/>
      <c r="I25" s="63"/>
      <c r="J25" s="170" t="s">
        <v>173</v>
      </c>
      <c r="K25" s="174">
        <v>3</v>
      </c>
      <c r="L25" s="63"/>
      <c r="M25" s="63"/>
    </row>
    <row r="26" spans="1:13">
      <c r="A26" s="63" t="s">
        <v>59</v>
      </c>
      <c r="B26" s="63"/>
      <c r="C26" s="63"/>
      <c r="D26" s="63"/>
      <c r="E26" s="63"/>
      <c r="F26" s="63"/>
      <c r="G26" s="63"/>
      <c r="H26" s="63"/>
      <c r="I26" s="63"/>
      <c r="J26" s="63"/>
      <c r="K26" s="137"/>
      <c r="L26" s="63"/>
      <c r="M26" s="63"/>
    </row>
    <row r="27" spans="1:13">
      <c r="A27" s="63" t="s">
        <v>60</v>
      </c>
      <c r="B27" s="63"/>
      <c r="C27" s="63"/>
      <c r="D27" s="180" t="s">
        <v>61</v>
      </c>
      <c r="E27" s="181">
        <v>61</v>
      </c>
      <c r="F27" s="181"/>
      <c r="G27" s="182">
        <v>1243</v>
      </c>
      <c r="H27" s="63"/>
      <c r="I27" s="63"/>
      <c r="J27" s="167" t="s">
        <v>62</v>
      </c>
      <c r="K27" s="167">
        <v>0.56000000000000005</v>
      </c>
      <c r="L27" s="63"/>
      <c r="M27" s="63"/>
    </row>
    <row r="28" spans="1:13">
      <c r="A28" s="63" t="s">
        <v>63</v>
      </c>
      <c r="B28" s="63"/>
      <c r="C28" s="63"/>
      <c r="D28" s="180" t="s">
        <v>61</v>
      </c>
      <c r="E28" s="181">
        <v>53</v>
      </c>
      <c r="F28" s="181"/>
      <c r="G28" s="181"/>
      <c r="H28" s="63"/>
      <c r="I28" s="63"/>
      <c r="J28" s="170" t="s">
        <v>64</v>
      </c>
      <c r="K28" s="173">
        <v>0.25</v>
      </c>
      <c r="L28" s="63"/>
      <c r="M28" s="63"/>
    </row>
    <row r="29" spans="1:13">
      <c r="A29" s="63" t="s">
        <v>7</v>
      </c>
      <c r="B29" s="63"/>
      <c r="C29" s="63"/>
      <c r="D29" s="63"/>
      <c r="E29" s="181">
        <v>114</v>
      </c>
      <c r="F29" s="181"/>
      <c r="G29" s="181"/>
      <c r="H29" s="63"/>
      <c r="I29" s="63"/>
      <c r="J29" s="63"/>
      <c r="K29" s="138"/>
      <c r="L29" s="63"/>
      <c r="M29" s="63"/>
    </row>
    <row r="30" spans="1:13">
      <c r="A30" s="63"/>
      <c r="B30" s="63"/>
      <c r="C30" s="63"/>
      <c r="D30" s="63"/>
      <c r="E30" s="63"/>
      <c r="F30" s="63"/>
      <c r="G30" s="63"/>
      <c r="H30" s="63"/>
      <c r="I30" s="63"/>
      <c r="J30" s="2"/>
      <c r="K30" s="2"/>
      <c r="L30" s="63"/>
      <c r="M30" s="63"/>
    </row>
    <row r="31" spans="1:13">
      <c r="A31" s="167" t="s">
        <v>65</v>
      </c>
      <c r="B31" s="167"/>
      <c r="C31" s="167" t="s">
        <v>66</v>
      </c>
      <c r="D31" s="167"/>
      <c r="E31" s="167"/>
      <c r="F31" s="167"/>
      <c r="G31" s="167"/>
      <c r="H31" s="63"/>
      <c r="I31" s="63"/>
      <c r="J31" s="2"/>
      <c r="K31" s="2"/>
      <c r="L31" s="63"/>
      <c r="M31" s="63"/>
    </row>
    <row r="32" spans="1:13">
      <c r="A32" s="183" t="s">
        <v>259</v>
      </c>
      <c r="B32" s="159"/>
      <c r="C32" s="184">
        <v>100</v>
      </c>
      <c r="D32" s="185" t="s">
        <v>68</v>
      </c>
      <c r="E32" s="186">
        <v>499</v>
      </c>
      <c r="F32" s="183"/>
      <c r="G32" s="187">
        <v>45</v>
      </c>
      <c r="H32" s="63"/>
      <c r="I32" s="63"/>
      <c r="J32" s="63"/>
      <c r="K32" s="63"/>
      <c r="L32" s="63"/>
      <c r="M32" s="63"/>
    </row>
    <row r="33" spans="1:13">
      <c r="A33" s="183" t="s">
        <v>269</v>
      </c>
      <c r="B33" s="159"/>
      <c r="C33" s="184">
        <v>47</v>
      </c>
      <c r="D33" s="185" t="s">
        <v>68</v>
      </c>
      <c r="E33" s="186">
        <v>6881</v>
      </c>
      <c r="F33" s="183"/>
      <c r="G33" s="187">
        <v>3</v>
      </c>
      <c r="H33" s="63"/>
      <c r="I33" s="63"/>
      <c r="J33" s="63"/>
      <c r="K33" s="63"/>
      <c r="L33" s="63"/>
      <c r="M33" s="63"/>
    </row>
    <row r="34" spans="1:13">
      <c r="A34" s="188" t="s">
        <v>270</v>
      </c>
      <c r="B34" s="159"/>
      <c r="C34" s="184" t="s">
        <v>109</v>
      </c>
      <c r="D34" s="185" t="s">
        <v>120</v>
      </c>
      <c r="E34" s="184" t="s">
        <v>271</v>
      </c>
      <c r="F34" s="183"/>
      <c r="G34" s="189" t="s">
        <v>272</v>
      </c>
      <c r="H34" s="63"/>
      <c r="I34" s="63"/>
      <c r="J34" s="63"/>
      <c r="K34" s="63"/>
      <c r="L34" s="63"/>
      <c r="M34" s="63"/>
    </row>
    <row r="35" spans="1:13">
      <c r="A35" s="167" t="s">
        <v>71</v>
      </c>
      <c r="B35" s="167"/>
      <c r="C35" s="167"/>
      <c r="D35" s="167"/>
      <c r="E35" s="167"/>
      <c r="F35" s="167"/>
      <c r="G35" s="167"/>
      <c r="H35" s="63"/>
      <c r="I35" s="63" t="s">
        <v>72</v>
      </c>
      <c r="J35" s="63"/>
      <c r="K35" s="63"/>
      <c r="L35" s="63"/>
      <c r="M35" s="63"/>
    </row>
    <row r="36" spans="1:13">
      <c r="A36" s="183" t="s">
        <v>73</v>
      </c>
      <c r="B36" s="183"/>
      <c r="C36" s="183"/>
      <c r="D36" s="183"/>
      <c r="E36" s="183"/>
      <c r="F36" s="183"/>
      <c r="G36" s="190">
        <v>6207</v>
      </c>
      <c r="H36" s="63"/>
      <c r="I36" s="137">
        <v>15337</v>
      </c>
      <c r="J36" s="137"/>
      <c r="K36" s="137"/>
      <c r="L36" s="63"/>
      <c r="M36" s="63"/>
    </row>
    <row r="37" spans="1:13">
      <c r="A37" s="183" t="s">
        <v>75</v>
      </c>
      <c r="B37" s="183"/>
      <c r="C37" s="183"/>
      <c r="D37" s="183"/>
      <c r="E37" s="183"/>
      <c r="F37" s="183"/>
      <c r="G37" s="191">
        <v>90.8</v>
      </c>
      <c r="H37" s="63"/>
      <c r="I37" s="137"/>
      <c r="J37" s="137"/>
      <c r="K37" s="137"/>
      <c r="L37" s="63"/>
      <c r="M37" s="63"/>
    </row>
    <row r="38" spans="1:13">
      <c r="A38" s="183" t="s">
        <v>76</v>
      </c>
      <c r="B38" s="183"/>
      <c r="C38" s="183"/>
      <c r="D38" s="183"/>
      <c r="E38" s="183"/>
      <c r="F38" s="183"/>
      <c r="G38" s="192">
        <v>563596</v>
      </c>
      <c r="H38" s="137"/>
      <c r="I38" s="137">
        <v>1392646</v>
      </c>
      <c r="J38" s="137"/>
      <c r="K38" s="137"/>
      <c r="L38" s="63"/>
      <c r="M38" s="63"/>
    </row>
    <row r="39" spans="1:13">
      <c r="A39" s="183" t="s">
        <v>77</v>
      </c>
      <c r="B39" s="183"/>
      <c r="C39" s="183"/>
      <c r="D39" s="183"/>
      <c r="E39" s="183"/>
      <c r="F39" s="183"/>
      <c r="G39" s="192">
        <v>200525</v>
      </c>
      <c r="H39" s="137"/>
      <c r="I39" s="137">
        <v>495497</v>
      </c>
      <c r="J39" s="137"/>
      <c r="K39" s="137"/>
      <c r="L39" s="63"/>
      <c r="M39" s="63"/>
    </row>
    <row r="40" spans="1:13">
      <c r="A40" s="183" t="s">
        <v>78</v>
      </c>
      <c r="B40" s="183"/>
      <c r="C40" s="183"/>
      <c r="D40" s="183"/>
      <c r="E40" s="183"/>
      <c r="F40" s="183"/>
      <c r="G40" s="192">
        <v>288814</v>
      </c>
      <c r="H40" s="137"/>
      <c r="I40" s="137">
        <v>713659</v>
      </c>
      <c r="J40" s="137"/>
      <c r="K40" s="137"/>
      <c r="L40" s="63"/>
      <c r="M40" s="63"/>
    </row>
    <row r="41" spans="1:13">
      <c r="A41" s="183"/>
      <c r="B41" s="183"/>
      <c r="C41" s="183"/>
      <c r="D41" s="183"/>
      <c r="E41" s="183"/>
      <c r="F41" s="183"/>
      <c r="G41" s="192"/>
      <c r="H41" s="63"/>
      <c r="I41" s="63"/>
      <c r="J41" s="63"/>
      <c r="K41" s="63"/>
      <c r="L41" s="63"/>
      <c r="M41" s="63"/>
    </row>
    <row r="42" spans="1:13">
      <c r="A42" s="183" t="s">
        <v>79</v>
      </c>
      <c r="B42" s="183"/>
      <c r="C42" s="183"/>
      <c r="D42" s="183"/>
      <c r="E42" s="183"/>
      <c r="F42" s="183"/>
      <c r="G42" s="191">
        <f>+K17/G36</f>
        <v>58.493797325600127</v>
      </c>
      <c r="H42" s="176"/>
      <c r="I42" s="63"/>
      <c r="J42" s="63"/>
      <c r="K42" s="63"/>
      <c r="L42" s="63"/>
      <c r="M42" s="63"/>
    </row>
    <row r="43" spans="1:13">
      <c r="A43" s="170" t="s">
        <v>80</v>
      </c>
      <c r="B43" s="170"/>
      <c r="C43" s="170"/>
      <c r="D43" s="170"/>
      <c r="E43" s="170"/>
      <c r="F43" s="170"/>
      <c r="G43" s="193">
        <f>+K18/G36</f>
        <v>44.269695505074914</v>
      </c>
      <c r="H43" s="176"/>
      <c r="I43" s="63"/>
      <c r="J43" s="63"/>
      <c r="K43" s="63"/>
      <c r="L43" s="63"/>
      <c r="M43" s="63"/>
    </row>
    <row r="44" spans="1:13">
      <c r="A44" s="63" t="s">
        <v>273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spans="1:13">
      <c r="A45" s="194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2"/>
      <c r="M45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0"/>
  <sheetViews>
    <sheetView workbookViewId="0">
      <selection sqref="A1:M50"/>
    </sheetView>
  </sheetViews>
  <sheetFormatPr defaultRowHeight="15"/>
  <sheetData>
    <row r="1" spans="1:13">
      <c r="A1" s="63" t="s">
        <v>0</v>
      </c>
      <c r="B1" s="63" t="s">
        <v>274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>
      <c r="A2" s="63"/>
      <c r="B2" s="63" t="s">
        <v>100</v>
      </c>
      <c r="C2" s="157"/>
      <c r="D2" s="63" t="s">
        <v>275</v>
      </c>
      <c r="E2" s="157"/>
      <c r="F2" s="157"/>
      <c r="G2" s="157"/>
      <c r="H2" s="63" t="s">
        <v>102</v>
      </c>
      <c r="I2" s="63"/>
      <c r="J2" s="63"/>
      <c r="K2" s="63"/>
      <c r="L2" s="63"/>
      <c r="M2" s="63"/>
    </row>
    <row r="3" spans="1:13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</row>
    <row r="4" spans="1:13">
      <c r="A4" s="158" t="s">
        <v>5</v>
      </c>
      <c r="B4" s="158"/>
      <c r="C4" s="158"/>
      <c r="D4" s="158" t="s">
        <v>6</v>
      </c>
      <c r="E4" s="158" t="s">
        <v>7</v>
      </c>
      <c r="F4" s="158" t="s">
        <v>8</v>
      </c>
      <c r="G4" s="158" t="s">
        <v>9</v>
      </c>
      <c r="H4" s="158" t="s">
        <v>10</v>
      </c>
      <c r="I4" s="158" t="s">
        <v>11</v>
      </c>
      <c r="J4" s="158" t="s">
        <v>12</v>
      </c>
      <c r="K4" s="158" t="s">
        <v>13</v>
      </c>
      <c r="L4" s="158" t="s">
        <v>14</v>
      </c>
      <c r="M4" s="158"/>
    </row>
    <row r="5" spans="1:13">
      <c r="A5" s="159"/>
      <c r="B5" s="159"/>
      <c r="C5" s="159"/>
      <c r="D5" s="159" t="s">
        <v>15</v>
      </c>
      <c r="E5" s="159" t="s">
        <v>16</v>
      </c>
      <c r="F5" s="159" t="s">
        <v>16</v>
      </c>
      <c r="G5" s="159" t="s">
        <v>17</v>
      </c>
      <c r="H5" s="159" t="s">
        <v>18</v>
      </c>
      <c r="I5" s="159" t="s">
        <v>19</v>
      </c>
      <c r="J5" s="159" t="s">
        <v>18</v>
      </c>
      <c r="K5" s="159" t="s">
        <v>18</v>
      </c>
      <c r="L5" s="159" t="s">
        <v>20</v>
      </c>
      <c r="M5" s="159" t="s">
        <v>21</v>
      </c>
    </row>
    <row r="6" spans="1:13">
      <c r="A6" s="159"/>
      <c r="B6" s="159"/>
      <c r="C6" s="159"/>
      <c r="D6" s="159" t="s">
        <v>22</v>
      </c>
      <c r="E6" s="159"/>
      <c r="F6" s="159"/>
      <c r="G6" s="159"/>
      <c r="H6" s="159" t="s">
        <v>23</v>
      </c>
      <c r="I6" s="159" t="s">
        <v>18</v>
      </c>
      <c r="J6" s="159" t="s">
        <v>23</v>
      </c>
      <c r="K6" s="159" t="s">
        <v>23</v>
      </c>
      <c r="L6" s="159"/>
      <c r="M6" s="159"/>
    </row>
    <row r="7" spans="1:13">
      <c r="A7" s="160"/>
      <c r="B7" s="160"/>
      <c r="C7" s="160"/>
      <c r="D7" s="160"/>
      <c r="E7" s="160"/>
      <c r="F7" s="160"/>
      <c r="G7" s="160"/>
      <c r="H7" s="160"/>
      <c r="I7" s="160" t="s">
        <v>23</v>
      </c>
      <c r="J7" s="160"/>
      <c r="K7" s="160"/>
      <c r="L7" s="160"/>
      <c r="M7" s="160"/>
    </row>
    <row r="8" spans="1:13">
      <c r="A8" s="63" t="s">
        <v>24</v>
      </c>
      <c r="B8" s="63"/>
      <c r="C8" s="63"/>
      <c r="D8" s="161">
        <v>67</v>
      </c>
      <c r="E8" s="162">
        <v>2.7</v>
      </c>
      <c r="F8" s="163">
        <v>1</v>
      </c>
      <c r="G8" s="164">
        <v>1255</v>
      </c>
      <c r="H8" s="137">
        <v>3389</v>
      </c>
      <c r="I8" s="137"/>
      <c r="J8" s="137"/>
      <c r="K8" s="137">
        <f>+J8+I8+H8</f>
        <v>3389</v>
      </c>
      <c r="L8" s="63"/>
      <c r="M8" s="63"/>
    </row>
    <row r="9" spans="1:13">
      <c r="A9" s="63" t="s">
        <v>231</v>
      </c>
      <c r="B9" s="63"/>
      <c r="C9" s="63"/>
      <c r="D9" s="165">
        <v>100</v>
      </c>
      <c r="E9" s="163">
        <v>0.3</v>
      </c>
      <c r="F9" s="163">
        <v>0.3</v>
      </c>
      <c r="G9" s="164">
        <v>1255</v>
      </c>
      <c r="H9" s="137">
        <v>377</v>
      </c>
      <c r="I9" s="137">
        <v>3588</v>
      </c>
      <c r="J9" s="137"/>
      <c r="K9" s="137">
        <f t="shared" ref="K9:K20" si="0">+J9+I9+H9</f>
        <v>3965</v>
      </c>
      <c r="L9" s="63"/>
      <c r="M9" s="63"/>
    </row>
    <row r="10" spans="1:13">
      <c r="A10" s="63" t="s">
        <v>276</v>
      </c>
      <c r="B10" s="63"/>
      <c r="C10" s="63"/>
      <c r="D10" s="165">
        <v>100</v>
      </c>
      <c r="E10" s="163">
        <v>4.5999999999999996</v>
      </c>
      <c r="F10" s="163">
        <v>0.1</v>
      </c>
      <c r="G10" s="164">
        <v>675</v>
      </c>
      <c r="H10" s="137">
        <v>3105</v>
      </c>
      <c r="I10" s="137"/>
      <c r="J10" s="137"/>
      <c r="K10" s="137">
        <f t="shared" si="0"/>
        <v>3105</v>
      </c>
      <c r="L10" s="63"/>
      <c r="M10" s="63"/>
    </row>
    <row r="11" spans="1:13">
      <c r="A11" s="63" t="s">
        <v>56</v>
      </c>
      <c r="B11" s="63"/>
      <c r="C11" s="63"/>
      <c r="D11" s="165">
        <v>100</v>
      </c>
      <c r="E11" s="163">
        <v>9.8000000000000007</v>
      </c>
      <c r="F11" s="163">
        <v>1</v>
      </c>
      <c r="G11" s="164">
        <v>744</v>
      </c>
      <c r="H11" s="137">
        <v>7291</v>
      </c>
      <c r="I11" s="137"/>
      <c r="J11" s="137">
        <v>134775</v>
      </c>
      <c r="K11" s="137">
        <f t="shared" si="0"/>
        <v>142066</v>
      </c>
      <c r="L11" s="63"/>
      <c r="M11" s="163"/>
    </row>
    <row r="12" spans="1:13">
      <c r="A12" s="63" t="s">
        <v>32</v>
      </c>
      <c r="B12" s="63"/>
      <c r="C12" s="63"/>
      <c r="D12" s="165">
        <v>100</v>
      </c>
      <c r="E12" s="163">
        <v>3.7</v>
      </c>
      <c r="F12" s="163">
        <v>0.8</v>
      </c>
      <c r="G12" s="164">
        <v>1274</v>
      </c>
      <c r="H12" s="137">
        <v>4714</v>
      </c>
      <c r="I12" s="137"/>
      <c r="J12" s="137">
        <v>23186</v>
      </c>
      <c r="K12" s="137">
        <f t="shared" si="0"/>
        <v>27900</v>
      </c>
      <c r="L12" s="63"/>
      <c r="M12" s="137"/>
    </row>
    <row r="13" spans="1:13">
      <c r="A13" s="63" t="s">
        <v>33</v>
      </c>
      <c r="B13" s="63"/>
      <c r="C13" s="63"/>
      <c r="D13" s="165">
        <v>90</v>
      </c>
      <c r="E13" s="163">
        <v>0.5</v>
      </c>
      <c r="F13" s="163">
        <v>0.2</v>
      </c>
      <c r="G13" s="164">
        <v>1309</v>
      </c>
      <c r="H13" s="137">
        <v>655</v>
      </c>
      <c r="I13" s="137"/>
      <c r="J13" s="137">
        <v>1593</v>
      </c>
      <c r="K13" s="137">
        <f t="shared" si="0"/>
        <v>2248</v>
      </c>
      <c r="L13" s="63"/>
      <c r="M13" s="137"/>
    </row>
    <row r="14" spans="1:13">
      <c r="A14" s="63" t="s">
        <v>277</v>
      </c>
      <c r="B14" s="63"/>
      <c r="C14" s="63"/>
      <c r="D14" s="165">
        <v>43</v>
      </c>
      <c r="E14" s="163">
        <v>9.6999999999999993</v>
      </c>
      <c r="F14" s="163">
        <v>0.2</v>
      </c>
      <c r="G14" s="164">
        <v>768</v>
      </c>
      <c r="H14" s="137">
        <v>7450</v>
      </c>
      <c r="I14" s="137"/>
      <c r="J14" s="137"/>
      <c r="K14" s="137">
        <f t="shared" si="0"/>
        <v>7450</v>
      </c>
      <c r="L14" s="63"/>
      <c r="M14" s="137"/>
    </row>
    <row r="15" spans="1:13">
      <c r="A15" s="63" t="s">
        <v>35</v>
      </c>
      <c r="B15" s="63"/>
      <c r="C15" s="63"/>
      <c r="D15" s="165">
        <v>80</v>
      </c>
      <c r="E15" s="163">
        <v>1.2</v>
      </c>
      <c r="F15" s="163">
        <v>0.2</v>
      </c>
      <c r="G15" s="164">
        <v>1338</v>
      </c>
      <c r="H15" s="137">
        <v>1606</v>
      </c>
      <c r="I15" s="137"/>
      <c r="J15" s="137">
        <v>3042</v>
      </c>
      <c r="K15" s="137">
        <f t="shared" si="0"/>
        <v>4648</v>
      </c>
      <c r="L15" s="63"/>
      <c r="M15" s="137"/>
    </row>
    <row r="16" spans="1:13">
      <c r="A16" s="63" t="s">
        <v>36</v>
      </c>
      <c r="B16" s="63"/>
      <c r="C16" s="63"/>
      <c r="D16" s="165">
        <v>57</v>
      </c>
      <c r="E16" s="163">
        <v>25.1</v>
      </c>
      <c r="F16" s="163">
        <v>14.5</v>
      </c>
      <c r="G16" s="164">
        <v>1390</v>
      </c>
      <c r="H16" s="137">
        <v>34889</v>
      </c>
      <c r="I16" s="137">
        <v>8944</v>
      </c>
      <c r="J16" s="137"/>
      <c r="K16" s="137">
        <f t="shared" si="0"/>
        <v>43833</v>
      </c>
      <c r="L16" s="63"/>
      <c r="M16" s="63"/>
    </row>
    <row r="17" spans="1:13">
      <c r="A17" s="63" t="s">
        <v>278</v>
      </c>
      <c r="B17" s="63"/>
      <c r="C17" s="63"/>
      <c r="D17" s="165">
        <v>43</v>
      </c>
      <c r="E17" s="163">
        <v>0.6</v>
      </c>
      <c r="F17" s="163">
        <v>0.1</v>
      </c>
      <c r="G17" s="164">
        <v>1182</v>
      </c>
      <c r="H17" s="137">
        <v>709</v>
      </c>
      <c r="I17" s="137">
        <v>525</v>
      </c>
      <c r="J17" s="137"/>
      <c r="K17" s="137">
        <f t="shared" si="0"/>
        <v>1234</v>
      </c>
      <c r="L17" s="63"/>
      <c r="M17" s="63"/>
    </row>
    <row r="18" spans="1:13">
      <c r="A18" s="63" t="s">
        <v>37</v>
      </c>
      <c r="B18" s="63"/>
      <c r="C18" s="63"/>
      <c r="D18" s="165">
        <v>100</v>
      </c>
      <c r="E18" s="163">
        <v>11.3</v>
      </c>
      <c r="F18" s="163">
        <v>0.7</v>
      </c>
      <c r="G18" s="164">
        <v>740</v>
      </c>
      <c r="H18" s="137">
        <v>8362</v>
      </c>
      <c r="I18" s="137"/>
      <c r="J18" s="137"/>
      <c r="K18" s="137">
        <f t="shared" si="0"/>
        <v>8362</v>
      </c>
      <c r="L18" s="63"/>
      <c r="M18" s="63"/>
    </row>
    <row r="19" spans="1:13">
      <c r="A19" s="63" t="s">
        <v>113</v>
      </c>
      <c r="B19" s="63"/>
      <c r="C19" s="63"/>
      <c r="D19" s="165">
        <v>100</v>
      </c>
      <c r="E19" s="163">
        <v>17.8</v>
      </c>
      <c r="F19" s="163">
        <v>0.6</v>
      </c>
      <c r="G19" s="164">
        <v>684</v>
      </c>
      <c r="H19" s="137">
        <v>12175</v>
      </c>
      <c r="I19" s="137"/>
      <c r="J19" s="166">
        <v>2568</v>
      </c>
      <c r="K19" s="137">
        <f t="shared" si="0"/>
        <v>14743</v>
      </c>
      <c r="L19" s="63"/>
      <c r="M19" s="63"/>
    </row>
    <row r="20" spans="1:13">
      <c r="A20" s="63" t="s">
        <v>43</v>
      </c>
      <c r="B20" s="63"/>
      <c r="C20" s="63"/>
      <c r="D20" s="165">
        <v>93</v>
      </c>
      <c r="E20" s="163">
        <v>0.4</v>
      </c>
      <c r="F20" s="163">
        <v>0.4</v>
      </c>
      <c r="G20" s="164">
        <v>1200</v>
      </c>
      <c r="H20" s="137">
        <v>480</v>
      </c>
      <c r="I20" s="137">
        <v>2698</v>
      </c>
      <c r="J20" s="137"/>
      <c r="K20" s="137">
        <f t="shared" si="0"/>
        <v>3178</v>
      </c>
      <c r="L20" s="63"/>
      <c r="M20" s="63"/>
    </row>
    <row r="21" spans="1:13">
      <c r="A21" s="167" t="s">
        <v>44</v>
      </c>
      <c r="B21" s="167"/>
      <c r="C21" s="167"/>
      <c r="D21" s="168"/>
      <c r="E21" s="169">
        <f>SUM(E8:E20)</f>
        <v>87.7</v>
      </c>
      <c r="F21" s="169">
        <f>SUM(F8:F20)</f>
        <v>20.100000000000001</v>
      </c>
      <c r="G21" s="135"/>
      <c r="H21" s="135">
        <f>SUM(H8:H20)</f>
        <v>85202</v>
      </c>
      <c r="I21" s="135">
        <f t="shared" ref="I21:M21" si="1">SUM(I8:I20)</f>
        <v>15755</v>
      </c>
      <c r="J21" s="135">
        <f t="shared" si="1"/>
        <v>165164</v>
      </c>
      <c r="K21" s="135">
        <f t="shared" si="1"/>
        <v>266121</v>
      </c>
      <c r="L21" s="135">
        <f t="shared" si="1"/>
        <v>0</v>
      </c>
      <c r="M21" s="135">
        <f t="shared" si="1"/>
        <v>0</v>
      </c>
    </row>
    <row r="22" spans="1:13">
      <c r="A22" s="170" t="s">
        <v>45</v>
      </c>
      <c r="B22" s="170"/>
      <c r="C22" s="170"/>
      <c r="D22" s="171"/>
      <c r="E22" s="172">
        <v>67.599999999999994</v>
      </c>
      <c r="F22" s="172"/>
      <c r="G22" s="174"/>
      <c r="H22" s="174">
        <v>65824</v>
      </c>
      <c r="I22" s="174">
        <v>15755</v>
      </c>
      <c r="J22" s="174">
        <f>+J21-M21</f>
        <v>165164</v>
      </c>
      <c r="K22" s="174">
        <f>SUM(H22:J22)</f>
        <v>246743</v>
      </c>
      <c r="L22" s="170"/>
      <c r="M22" s="170"/>
    </row>
    <row r="23" spans="1:13">
      <c r="A23" s="175" t="s">
        <v>279</v>
      </c>
      <c r="B23" s="63"/>
      <c r="C23" s="63"/>
      <c r="D23" s="63"/>
      <c r="E23" s="63"/>
      <c r="F23" s="63"/>
      <c r="G23" s="176"/>
      <c r="H23" s="137"/>
      <c r="I23" s="137"/>
      <c r="J23" s="137"/>
      <c r="K23" s="137"/>
      <c r="L23" s="63"/>
      <c r="M23" s="63"/>
    </row>
    <row r="24" spans="1:13">
      <c r="A24" s="63"/>
      <c r="B24" s="63"/>
      <c r="C24" s="63" t="s">
        <v>46</v>
      </c>
      <c r="D24" s="63"/>
      <c r="E24" s="63"/>
      <c r="F24" s="63"/>
      <c r="G24" s="63"/>
      <c r="H24" s="137"/>
      <c r="I24" s="63"/>
      <c r="J24" s="137"/>
      <c r="K24" s="176"/>
      <c r="L24" s="63"/>
      <c r="M24" s="63"/>
    </row>
    <row r="25" spans="1:13">
      <c r="A25" s="63"/>
      <c r="B25" s="63"/>
      <c r="C25" s="63"/>
      <c r="D25" s="63"/>
      <c r="E25" s="63"/>
      <c r="F25" s="63"/>
      <c r="G25" s="63"/>
      <c r="H25" s="63"/>
      <c r="I25" s="63"/>
      <c r="J25" s="137"/>
      <c r="K25" s="176"/>
      <c r="L25" s="63"/>
      <c r="M25" s="63"/>
    </row>
    <row r="26" spans="1:13">
      <c r="A26" s="63" t="s">
        <v>47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</row>
    <row r="27" spans="1:13">
      <c r="A27" s="177" t="s">
        <v>48</v>
      </c>
      <c r="B27" s="177"/>
      <c r="C27" s="177"/>
      <c r="D27" s="177" t="s">
        <v>49</v>
      </c>
      <c r="E27" s="177" t="s">
        <v>50</v>
      </c>
      <c r="F27" s="177"/>
      <c r="G27" s="177" t="s">
        <v>51</v>
      </c>
      <c r="H27" s="63"/>
      <c r="I27" s="178" t="s">
        <v>52</v>
      </c>
      <c r="J27" s="179" t="s">
        <v>53</v>
      </c>
      <c r="K27" s="2"/>
      <c r="L27" s="63"/>
      <c r="M27" s="63"/>
    </row>
    <row r="28" spans="1:13">
      <c r="A28" s="63" t="s">
        <v>54</v>
      </c>
      <c r="B28" s="63"/>
      <c r="C28" s="63"/>
      <c r="D28" s="63"/>
      <c r="E28" s="63"/>
      <c r="F28" s="63"/>
      <c r="G28" s="63"/>
      <c r="H28" s="63"/>
      <c r="I28" s="33" t="s">
        <v>280</v>
      </c>
      <c r="J28" s="195">
        <v>94</v>
      </c>
      <c r="K28" s="2"/>
      <c r="L28" s="63"/>
      <c r="M28" s="63"/>
    </row>
    <row r="29" spans="1:13">
      <c r="A29" s="63" t="s">
        <v>56</v>
      </c>
      <c r="B29" s="63"/>
      <c r="C29" s="63"/>
      <c r="D29" s="180" t="s">
        <v>57</v>
      </c>
      <c r="E29" s="176">
        <v>599</v>
      </c>
      <c r="F29" s="176"/>
      <c r="G29" s="176">
        <v>225</v>
      </c>
      <c r="H29" s="63"/>
      <c r="I29" s="35" t="s">
        <v>191</v>
      </c>
      <c r="J29" s="196">
        <v>6</v>
      </c>
      <c r="K29" s="2"/>
      <c r="L29" s="63"/>
      <c r="M29" s="63"/>
    </row>
    <row r="30" spans="1:13">
      <c r="A30" s="63"/>
      <c r="B30" s="63"/>
      <c r="C30" s="63"/>
      <c r="D30" s="180"/>
      <c r="E30" s="197"/>
      <c r="F30" s="63"/>
      <c r="G30" s="197"/>
      <c r="H30" s="63"/>
      <c r="I30" s="2"/>
      <c r="J30" s="2"/>
      <c r="K30" s="2"/>
      <c r="L30" s="63"/>
      <c r="M30" s="63"/>
    </row>
    <row r="31" spans="1:13">
      <c r="A31" s="63"/>
      <c r="B31" s="63"/>
      <c r="C31" s="63"/>
      <c r="D31" s="180"/>
      <c r="E31" s="63"/>
      <c r="F31" s="63"/>
      <c r="G31" s="63"/>
      <c r="H31" s="63"/>
      <c r="I31" s="63"/>
      <c r="J31" s="63"/>
      <c r="K31" s="137"/>
      <c r="L31" s="63"/>
      <c r="M31" s="63"/>
    </row>
    <row r="32" spans="1:13">
      <c r="A32" s="63" t="s">
        <v>59</v>
      </c>
      <c r="B32" s="63"/>
      <c r="C32" s="63"/>
      <c r="D32" s="180"/>
      <c r="E32" s="63"/>
      <c r="F32" s="63"/>
      <c r="G32" s="63"/>
      <c r="H32" s="63"/>
      <c r="I32" s="167" t="s">
        <v>62</v>
      </c>
      <c r="J32" s="139">
        <v>2.2000000000000002</v>
      </c>
      <c r="K32" s="137"/>
      <c r="L32" s="63"/>
      <c r="M32" s="63"/>
    </row>
    <row r="33" spans="1:13">
      <c r="A33" s="63" t="s">
        <v>60</v>
      </c>
      <c r="B33" s="63"/>
      <c r="C33" s="63"/>
      <c r="D33" s="180" t="s">
        <v>61</v>
      </c>
      <c r="E33" s="137">
        <v>68</v>
      </c>
      <c r="F33" s="137"/>
      <c r="G33" s="176">
        <v>968</v>
      </c>
      <c r="H33" s="63"/>
      <c r="I33" s="170" t="s">
        <v>64</v>
      </c>
      <c r="J33" s="173">
        <v>2</v>
      </c>
      <c r="K33" s="137"/>
      <c r="L33" s="63"/>
      <c r="M33" s="63"/>
    </row>
    <row r="34" spans="1:13">
      <c r="A34" s="63" t="s">
        <v>63</v>
      </c>
      <c r="B34" s="63"/>
      <c r="C34" s="63"/>
      <c r="D34" s="180" t="s">
        <v>61</v>
      </c>
      <c r="E34" s="137">
        <v>20</v>
      </c>
      <c r="F34" s="137"/>
      <c r="G34" s="137"/>
      <c r="H34" s="63"/>
      <c r="I34" s="63"/>
      <c r="J34" s="63"/>
      <c r="K34" s="63"/>
      <c r="L34" s="63"/>
      <c r="M34" s="63"/>
    </row>
    <row r="35" spans="1:13">
      <c r="A35" s="63" t="s">
        <v>7</v>
      </c>
      <c r="B35" s="63"/>
      <c r="C35" s="63"/>
      <c r="D35" s="63"/>
      <c r="E35" s="137">
        <f>+E34+E33</f>
        <v>88</v>
      </c>
      <c r="F35" s="137"/>
      <c r="G35" s="137"/>
      <c r="H35" s="63"/>
      <c r="I35" s="63"/>
      <c r="J35" s="63"/>
      <c r="K35" s="138"/>
      <c r="L35" s="63"/>
      <c r="M35" s="63"/>
    </row>
    <row r="36" spans="1:13">
      <c r="A36" s="167" t="s">
        <v>65</v>
      </c>
      <c r="B36" s="167"/>
      <c r="C36" s="167" t="s">
        <v>66</v>
      </c>
      <c r="D36" s="167"/>
      <c r="E36" s="167"/>
      <c r="F36" s="167"/>
      <c r="G36" s="167"/>
      <c r="H36" s="63"/>
      <c r="I36" s="63"/>
      <c r="J36" s="2"/>
      <c r="K36" s="2"/>
      <c r="L36" s="63"/>
      <c r="M36" s="63"/>
    </row>
    <row r="37" spans="1:13">
      <c r="A37" s="183" t="s">
        <v>67</v>
      </c>
      <c r="B37" s="159"/>
      <c r="C37" s="184">
        <v>80</v>
      </c>
      <c r="D37" s="186" t="s">
        <v>68</v>
      </c>
      <c r="E37" s="183">
        <v>89</v>
      </c>
      <c r="F37" s="183"/>
      <c r="G37" s="136">
        <v>38</v>
      </c>
      <c r="H37" s="63"/>
      <c r="I37" s="2"/>
      <c r="J37" s="2"/>
      <c r="K37" s="63"/>
      <c r="L37" s="63"/>
      <c r="M37" s="63"/>
    </row>
    <row r="38" spans="1:13">
      <c r="A38" s="183" t="s">
        <v>69</v>
      </c>
      <c r="B38" s="159"/>
      <c r="C38" s="184">
        <v>40</v>
      </c>
      <c r="D38" s="186" t="s">
        <v>68</v>
      </c>
      <c r="E38" s="183">
        <v>40</v>
      </c>
      <c r="F38" s="183"/>
      <c r="G38" s="136">
        <v>38</v>
      </c>
      <c r="H38" s="63"/>
      <c r="I38" s="63"/>
      <c r="J38" s="63"/>
      <c r="K38" s="63"/>
      <c r="L38" s="63"/>
      <c r="M38" s="63"/>
    </row>
    <row r="39" spans="1:13">
      <c r="A39" s="183" t="s">
        <v>125</v>
      </c>
      <c r="B39" s="159"/>
      <c r="C39" s="184">
        <v>100</v>
      </c>
      <c r="D39" s="186" t="s">
        <v>120</v>
      </c>
      <c r="E39" s="183">
        <v>109</v>
      </c>
      <c r="F39" s="183"/>
      <c r="G39" s="136">
        <v>48</v>
      </c>
      <c r="H39" s="63"/>
      <c r="I39" s="63"/>
      <c r="J39" s="63"/>
      <c r="K39" s="63"/>
      <c r="L39" s="63"/>
      <c r="M39" s="63"/>
    </row>
    <row r="40" spans="1:13">
      <c r="A40" s="188" t="s">
        <v>269</v>
      </c>
      <c r="B40" s="159"/>
      <c r="C40" s="184">
        <v>73</v>
      </c>
      <c r="D40" s="186" t="s">
        <v>120</v>
      </c>
      <c r="E40" s="188">
        <v>3263</v>
      </c>
      <c r="F40" s="183"/>
      <c r="G40" s="188">
        <v>4</v>
      </c>
      <c r="H40" s="63"/>
      <c r="I40" s="63"/>
      <c r="J40" s="63"/>
      <c r="K40" s="63"/>
      <c r="L40" s="63"/>
      <c r="M40" s="63"/>
    </row>
    <row r="41" spans="1:13">
      <c r="A41" s="167" t="s">
        <v>71</v>
      </c>
      <c r="B41" s="167"/>
      <c r="C41" s="167"/>
      <c r="D41" s="167"/>
      <c r="E41" s="167"/>
      <c r="F41" s="167"/>
      <c r="G41" s="167"/>
      <c r="H41" s="63"/>
      <c r="I41" s="63" t="s">
        <v>72</v>
      </c>
      <c r="J41" s="63"/>
      <c r="K41" s="63"/>
      <c r="L41" s="63"/>
      <c r="M41" s="63"/>
    </row>
    <row r="42" spans="1:13">
      <c r="A42" s="183" t="s">
        <v>73</v>
      </c>
      <c r="B42" s="183"/>
      <c r="C42" s="183"/>
      <c r="D42" s="183"/>
      <c r="E42" s="183"/>
      <c r="F42" s="183"/>
      <c r="G42" s="190">
        <v>4980</v>
      </c>
      <c r="H42" s="63"/>
      <c r="I42" s="137">
        <f>+G42*2.471</f>
        <v>12305.58</v>
      </c>
      <c r="J42" s="137"/>
      <c r="K42" s="63"/>
      <c r="L42" s="63"/>
      <c r="M42" s="63"/>
    </row>
    <row r="43" spans="1:13">
      <c r="A43" s="183" t="s">
        <v>75</v>
      </c>
      <c r="B43" s="183"/>
      <c r="C43" s="183"/>
      <c r="D43" s="183"/>
      <c r="E43" s="183"/>
      <c r="F43" s="183"/>
      <c r="G43" s="191">
        <v>86</v>
      </c>
      <c r="H43" s="63"/>
      <c r="I43" s="137"/>
      <c r="J43" s="137"/>
      <c r="K43" s="176"/>
      <c r="L43" s="63"/>
      <c r="M43" s="63"/>
    </row>
    <row r="44" spans="1:13">
      <c r="A44" s="183" t="s">
        <v>76</v>
      </c>
      <c r="B44" s="183"/>
      <c r="C44" s="183"/>
      <c r="D44" s="183"/>
      <c r="E44" s="183"/>
      <c r="F44" s="183"/>
      <c r="G44" s="192">
        <v>428280</v>
      </c>
      <c r="H44" s="63"/>
      <c r="I44" s="137">
        <f t="shared" ref="I44:I46" si="2">+G44*2.471</f>
        <v>1058279.8800000001</v>
      </c>
      <c r="J44" s="137"/>
      <c r="K44" s="176"/>
      <c r="L44" s="63"/>
      <c r="M44" s="63"/>
    </row>
    <row r="45" spans="1:13">
      <c r="A45" s="183" t="s">
        <v>77</v>
      </c>
      <c r="B45" s="183"/>
      <c r="C45" s="183"/>
      <c r="D45" s="183"/>
      <c r="E45" s="183"/>
      <c r="F45" s="183"/>
      <c r="G45" s="192">
        <v>162159</v>
      </c>
      <c r="H45" s="137"/>
      <c r="I45" s="137">
        <f t="shared" si="2"/>
        <v>400694.88900000002</v>
      </c>
      <c r="J45" s="137"/>
      <c r="K45" s="63"/>
      <c r="L45" s="63"/>
      <c r="M45" s="63"/>
    </row>
    <row r="46" spans="1:13">
      <c r="A46" s="183" t="s">
        <v>78</v>
      </c>
      <c r="B46" s="183"/>
      <c r="C46" s="183"/>
      <c r="D46" s="183"/>
      <c r="E46" s="183"/>
      <c r="F46" s="183"/>
      <c r="G46" s="192">
        <v>181537</v>
      </c>
      <c r="H46" s="137"/>
      <c r="I46" s="137">
        <f t="shared" si="2"/>
        <v>448577.92700000003</v>
      </c>
      <c r="J46" s="137"/>
      <c r="K46" s="63"/>
      <c r="L46" s="63"/>
      <c r="M46" s="63"/>
    </row>
    <row r="47" spans="1:13">
      <c r="A47" s="183"/>
      <c r="B47" s="183"/>
      <c r="C47" s="183"/>
      <c r="D47" s="183"/>
      <c r="E47" s="183"/>
      <c r="F47" s="183"/>
      <c r="G47" s="191"/>
      <c r="H47" s="63"/>
      <c r="I47" s="63"/>
      <c r="J47" s="63"/>
      <c r="K47" s="63"/>
      <c r="L47" s="63"/>
      <c r="M47" s="63"/>
    </row>
    <row r="48" spans="1:13">
      <c r="A48" s="183" t="s">
        <v>79</v>
      </c>
      <c r="B48" s="183"/>
      <c r="C48" s="183"/>
      <c r="D48" s="183"/>
      <c r="E48" s="183"/>
      <c r="F48" s="183"/>
      <c r="G48" s="191">
        <f>+K21/G42</f>
        <v>53.437951807228913</v>
      </c>
      <c r="H48" s="176"/>
      <c r="I48" s="63"/>
      <c r="J48" s="63"/>
      <c r="K48" s="63"/>
      <c r="L48" s="63"/>
      <c r="M48" s="63"/>
    </row>
    <row r="49" spans="1:13">
      <c r="A49" s="170" t="s">
        <v>80</v>
      </c>
      <c r="B49" s="170"/>
      <c r="C49" s="170"/>
      <c r="D49" s="170"/>
      <c r="E49" s="170"/>
      <c r="F49" s="170"/>
      <c r="G49" s="193">
        <f>+K22/G42</f>
        <v>49.546787148594376</v>
      </c>
      <c r="H49" s="176"/>
      <c r="I49" s="63"/>
      <c r="J49" s="63"/>
      <c r="K49" s="63"/>
      <c r="L49" s="63"/>
      <c r="M49" s="63"/>
    </row>
    <row r="50" spans="1:13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52"/>
  <sheetViews>
    <sheetView workbookViewId="0">
      <selection activeCell="L36" sqref="L36"/>
    </sheetView>
  </sheetViews>
  <sheetFormatPr defaultRowHeight="15"/>
  <sheetData>
    <row r="1" spans="1:14">
      <c r="A1" s="1" t="s">
        <v>0</v>
      </c>
      <c r="B1" s="1" t="s">
        <v>281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15.75">
      <c r="A2" s="1"/>
      <c r="B2" s="1" t="s">
        <v>100</v>
      </c>
      <c r="C2" s="2"/>
      <c r="D2" s="1" t="s">
        <v>238</v>
      </c>
      <c r="E2" s="2"/>
      <c r="F2" s="2"/>
      <c r="G2" s="2"/>
      <c r="H2" s="58" t="s">
        <v>102</v>
      </c>
      <c r="I2" s="58"/>
      <c r="J2" s="1"/>
      <c r="K2" s="1"/>
      <c r="L2" s="1"/>
      <c r="M2" s="1"/>
      <c r="N2" s="198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40"/>
    </row>
    <row r="4" spans="1:14">
      <c r="A4" s="3" t="s">
        <v>5</v>
      </c>
      <c r="B4" s="3"/>
      <c r="C4" s="3"/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/>
      <c r="N4" s="40"/>
    </row>
    <row r="5" spans="1:14">
      <c r="A5" s="4"/>
      <c r="B5" s="4"/>
      <c r="C5" s="4"/>
      <c r="D5" s="4" t="s">
        <v>15</v>
      </c>
      <c r="E5" s="4" t="s">
        <v>16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18</v>
      </c>
      <c r="K5" s="4" t="s">
        <v>18</v>
      </c>
      <c r="L5" s="4" t="s">
        <v>20</v>
      </c>
      <c r="M5" s="4" t="s">
        <v>21</v>
      </c>
      <c r="N5" s="40"/>
    </row>
    <row r="6" spans="1:14">
      <c r="A6" s="4"/>
      <c r="B6" s="4"/>
      <c r="C6" s="4"/>
      <c r="D6" s="4" t="s">
        <v>22</v>
      </c>
      <c r="E6" s="4"/>
      <c r="F6" s="4"/>
      <c r="G6" s="4"/>
      <c r="H6" s="4" t="s">
        <v>23</v>
      </c>
      <c r="I6" s="4" t="s">
        <v>18</v>
      </c>
      <c r="J6" s="4" t="s">
        <v>23</v>
      </c>
      <c r="K6" s="4" t="s">
        <v>23</v>
      </c>
      <c r="L6" s="4"/>
      <c r="M6" s="4"/>
      <c r="N6" s="4"/>
    </row>
    <row r="7" spans="1:14">
      <c r="A7" s="5"/>
      <c r="B7" s="5"/>
      <c r="C7" s="5"/>
      <c r="D7" s="5"/>
      <c r="E7" s="5"/>
      <c r="F7" s="5"/>
      <c r="G7" s="5"/>
      <c r="H7" s="5"/>
      <c r="I7" s="5" t="s">
        <v>23</v>
      </c>
      <c r="J7" s="5"/>
      <c r="K7" s="5"/>
      <c r="L7" s="5"/>
      <c r="M7" s="5"/>
      <c r="N7" s="4"/>
    </row>
    <row r="8" spans="1:14">
      <c r="A8" s="1" t="s">
        <v>24</v>
      </c>
      <c r="B8" s="1"/>
      <c r="C8" s="1"/>
      <c r="D8" s="13" t="s">
        <v>282</v>
      </c>
      <c r="E8" s="9"/>
      <c r="F8" s="7"/>
      <c r="G8" s="8"/>
      <c r="H8" s="59" t="s">
        <v>283</v>
      </c>
      <c r="I8" s="10"/>
      <c r="J8" s="10"/>
      <c r="K8" s="10"/>
      <c r="L8" s="1"/>
      <c r="M8" s="1"/>
      <c r="N8" s="40"/>
    </row>
    <row r="9" spans="1:14">
      <c r="A9" s="1" t="s">
        <v>284</v>
      </c>
      <c r="B9" s="1"/>
      <c r="C9" s="1"/>
      <c r="D9" s="6">
        <v>100</v>
      </c>
      <c r="E9" s="10">
        <v>0.7</v>
      </c>
      <c r="F9" s="10">
        <v>0.7</v>
      </c>
      <c r="G9" s="11">
        <v>1200</v>
      </c>
      <c r="H9" s="12">
        <v>840</v>
      </c>
      <c r="I9" s="143">
        <v>7180</v>
      </c>
      <c r="J9" s="12"/>
      <c r="K9" s="12">
        <f t="shared" ref="K9:K19" si="0">+J9+I9+H9</f>
        <v>8020</v>
      </c>
      <c r="L9" s="12">
        <v>370</v>
      </c>
      <c r="M9" s="12"/>
      <c r="N9" s="40"/>
    </row>
    <row r="10" spans="1:14">
      <c r="A10" s="1" t="s">
        <v>111</v>
      </c>
      <c r="B10" s="1"/>
      <c r="C10" s="1"/>
      <c r="D10" s="6">
        <v>100</v>
      </c>
      <c r="E10" s="10">
        <v>5.7</v>
      </c>
      <c r="F10" s="10">
        <v>2</v>
      </c>
      <c r="G10" s="11">
        <v>1243</v>
      </c>
      <c r="H10" s="12">
        <v>7085</v>
      </c>
      <c r="I10" s="12"/>
      <c r="J10" s="12"/>
      <c r="K10" s="12">
        <f t="shared" si="0"/>
        <v>7085</v>
      </c>
      <c r="L10" s="12"/>
      <c r="M10" s="12"/>
      <c r="N10" s="40"/>
    </row>
    <row r="11" spans="1:14">
      <c r="A11" s="1" t="s">
        <v>56</v>
      </c>
      <c r="B11" s="1"/>
      <c r="C11" s="1"/>
      <c r="D11" s="6">
        <v>100</v>
      </c>
      <c r="E11" s="10">
        <v>7.5</v>
      </c>
      <c r="F11" s="10">
        <v>2</v>
      </c>
      <c r="G11" s="11">
        <v>1083</v>
      </c>
      <c r="H11" s="12">
        <v>8123</v>
      </c>
      <c r="I11" s="12"/>
      <c r="J11" s="12">
        <v>3102</v>
      </c>
      <c r="K11" s="12">
        <f t="shared" si="0"/>
        <v>11225</v>
      </c>
      <c r="L11" s="12"/>
      <c r="M11" s="12">
        <v>64</v>
      </c>
      <c r="N11" s="40"/>
    </row>
    <row r="12" spans="1:14">
      <c r="A12" s="1" t="s">
        <v>32</v>
      </c>
      <c r="B12" s="1"/>
      <c r="C12" s="1"/>
      <c r="D12" s="6">
        <v>93</v>
      </c>
      <c r="E12" s="10">
        <v>1</v>
      </c>
      <c r="F12" s="10">
        <v>1</v>
      </c>
      <c r="G12" s="11">
        <v>1200</v>
      </c>
      <c r="H12" s="12">
        <v>1200</v>
      </c>
      <c r="I12" s="12"/>
      <c r="J12" s="12">
        <v>2760</v>
      </c>
      <c r="K12" s="12">
        <f t="shared" si="0"/>
        <v>3960</v>
      </c>
      <c r="L12" s="12"/>
      <c r="M12" s="12"/>
      <c r="N12" s="40"/>
    </row>
    <row r="13" spans="1:14">
      <c r="A13" s="1" t="s">
        <v>33</v>
      </c>
      <c r="B13" s="1"/>
      <c r="C13" s="1"/>
      <c r="D13" s="6">
        <v>43</v>
      </c>
      <c r="E13" s="10">
        <v>0.7</v>
      </c>
      <c r="F13" s="10">
        <v>0.5</v>
      </c>
      <c r="G13" s="11">
        <v>1283</v>
      </c>
      <c r="H13" s="12">
        <v>898</v>
      </c>
      <c r="I13" s="12"/>
      <c r="J13" s="12">
        <v>1781</v>
      </c>
      <c r="K13" s="12">
        <f t="shared" si="0"/>
        <v>2679</v>
      </c>
      <c r="L13" s="12"/>
      <c r="M13" s="12"/>
      <c r="N13" s="40"/>
    </row>
    <row r="14" spans="1:14">
      <c r="A14" s="1" t="s">
        <v>34</v>
      </c>
      <c r="B14" s="1"/>
      <c r="C14" s="1"/>
      <c r="D14" s="6">
        <v>100</v>
      </c>
      <c r="E14" s="10">
        <v>8.1</v>
      </c>
      <c r="F14" s="10">
        <v>1.6</v>
      </c>
      <c r="G14" s="11">
        <v>1055</v>
      </c>
      <c r="H14" s="12">
        <v>8546</v>
      </c>
      <c r="I14" s="12"/>
      <c r="J14" s="12"/>
      <c r="K14" s="12">
        <f t="shared" si="0"/>
        <v>8546</v>
      </c>
      <c r="L14" s="12"/>
      <c r="M14" s="12"/>
      <c r="N14" s="40"/>
    </row>
    <row r="15" spans="1:14">
      <c r="A15" s="1" t="s">
        <v>35</v>
      </c>
      <c r="B15" s="1"/>
      <c r="C15" s="1"/>
      <c r="D15" s="6">
        <v>100</v>
      </c>
      <c r="E15" s="10">
        <v>1</v>
      </c>
      <c r="F15" s="10">
        <v>0.7</v>
      </c>
      <c r="G15" s="11">
        <v>1282</v>
      </c>
      <c r="H15" s="12">
        <v>1282</v>
      </c>
      <c r="I15" s="12"/>
      <c r="J15" s="12">
        <v>2587</v>
      </c>
      <c r="K15" s="12">
        <f t="shared" si="0"/>
        <v>3869</v>
      </c>
      <c r="L15" s="12"/>
      <c r="M15" s="12"/>
      <c r="N15" s="40"/>
    </row>
    <row r="16" spans="1:14">
      <c r="A16" s="1" t="s">
        <v>36</v>
      </c>
      <c r="B16" s="1"/>
      <c r="C16" s="1"/>
      <c r="D16" s="6">
        <v>100</v>
      </c>
      <c r="E16" s="10">
        <v>3.4</v>
      </c>
      <c r="F16" s="10">
        <v>3.4</v>
      </c>
      <c r="G16" s="11">
        <v>1056</v>
      </c>
      <c r="H16" s="12">
        <v>3590</v>
      </c>
      <c r="I16" s="12"/>
      <c r="J16" s="12"/>
      <c r="K16" s="12">
        <f t="shared" si="0"/>
        <v>3590</v>
      </c>
      <c r="L16" s="12"/>
      <c r="M16" s="12"/>
      <c r="N16" s="40"/>
    </row>
    <row r="17" spans="1:14">
      <c r="A17" s="1" t="s">
        <v>37</v>
      </c>
      <c r="B17" s="1"/>
      <c r="C17" s="1"/>
      <c r="D17" s="6">
        <v>100</v>
      </c>
      <c r="E17" s="10">
        <v>9.1999999999999993</v>
      </c>
      <c r="F17" s="10">
        <v>2.8</v>
      </c>
      <c r="G17" s="11">
        <v>1056</v>
      </c>
      <c r="H17" s="12">
        <v>9715</v>
      </c>
      <c r="I17" s="12"/>
      <c r="J17" s="12"/>
      <c r="K17" s="12">
        <f t="shared" si="0"/>
        <v>9715</v>
      </c>
      <c r="L17" s="12"/>
      <c r="M17" s="12"/>
      <c r="N17" s="40"/>
    </row>
    <row r="18" spans="1:14">
      <c r="A18" s="1" t="s">
        <v>285</v>
      </c>
      <c r="B18" s="1"/>
      <c r="C18" s="1"/>
      <c r="D18" s="6">
        <v>100</v>
      </c>
      <c r="E18" s="10">
        <v>2.1</v>
      </c>
      <c r="F18" s="10">
        <v>1.2</v>
      </c>
      <c r="G18" s="11">
        <v>1050</v>
      </c>
      <c r="H18" s="12">
        <v>2205</v>
      </c>
      <c r="I18" s="12">
        <v>3328</v>
      </c>
      <c r="J18" s="12"/>
      <c r="K18" s="12">
        <f t="shared" si="0"/>
        <v>5533</v>
      </c>
      <c r="L18" s="12"/>
      <c r="M18" s="12"/>
      <c r="N18" s="40"/>
    </row>
    <row r="19" spans="1:14">
      <c r="A19" s="1" t="s">
        <v>233</v>
      </c>
      <c r="B19" s="1"/>
      <c r="C19" s="1"/>
      <c r="D19" s="6">
        <v>70</v>
      </c>
      <c r="E19" s="10">
        <v>0.2</v>
      </c>
      <c r="F19" s="10">
        <v>0.2</v>
      </c>
      <c r="G19" s="11">
        <v>1200</v>
      </c>
      <c r="H19" s="12">
        <v>240</v>
      </c>
      <c r="I19" s="12">
        <v>464</v>
      </c>
      <c r="J19" s="12"/>
      <c r="K19" s="12">
        <f t="shared" si="0"/>
        <v>704</v>
      </c>
      <c r="L19" s="12">
        <v>203</v>
      </c>
      <c r="M19" s="12"/>
      <c r="N19" s="40"/>
    </row>
    <row r="20" spans="1:14">
      <c r="A20" s="16" t="s">
        <v>44</v>
      </c>
      <c r="B20" s="16"/>
      <c r="C20" s="16"/>
      <c r="D20" s="17"/>
      <c r="E20" s="18">
        <f>SUM(E8:E19)</f>
        <v>39.6</v>
      </c>
      <c r="F20" s="18">
        <f>SUM(F8:F19)</f>
        <v>16.099999999999998</v>
      </c>
      <c r="G20" s="19"/>
      <c r="H20" s="19">
        <f t="shared" ref="H20:M20" si="1">SUM(H8:H19)</f>
        <v>43724</v>
      </c>
      <c r="I20" s="19">
        <f t="shared" si="1"/>
        <v>10972</v>
      </c>
      <c r="J20" s="19">
        <f t="shared" si="1"/>
        <v>10230</v>
      </c>
      <c r="K20" s="19">
        <f t="shared" si="1"/>
        <v>64926</v>
      </c>
      <c r="L20" s="19">
        <f t="shared" si="1"/>
        <v>573</v>
      </c>
      <c r="M20" s="19">
        <f t="shared" si="1"/>
        <v>64</v>
      </c>
      <c r="N20" s="40"/>
    </row>
    <row r="21" spans="1:14">
      <c r="A21" s="20" t="s">
        <v>45</v>
      </c>
      <c r="B21" s="20"/>
      <c r="C21" s="20"/>
      <c r="D21" s="21"/>
      <c r="E21" s="22"/>
      <c r="F21" s="22"/>
      <c r="G21" s="24"/>
      <c r="H21" s="24">
        <v>26232</v>
      </c>
      <c r="I21" s="24">
        <f>I20-L20</f>
        <v>10399</v>
      </c>
      <c r="J21" s="24">
        <f>J20-M20</f>
        <v>10166</v>
      </c>
      <c r="K21" s="24">
        <f>SUM(H21:J21)</f>
        <v>46797</v>
      </c>
      <c r="L21" s="24"/>
      <c r="M21" s="24"/>
      <c r="N21" s="40"/>
    </row>
    <row r="22" spans="1:14">
      <c r="A22" s="25" t="s">
        <v>164</v>
      </c>
      <c r="B22" s="1"/>
      <c r="C22" s="1"/>
      <c r="D22" s="1"/>
      <c r="E22" s="1"/>
      <c r="F22" s="1"/>
      <c r="G22" s="1"/>
      <c r="H22" s="1"/>
      <c r="I22" s="12"/>
      <c r="J22" s="12"/>
      <c r="K22" s="12"/>
      <c r="L22" s="1"/>
      <c r="M22" s="1"/>
      <c r="N22" s="40"/>
    </row>
    <row r="23" spans="1:14">
      <c r="A23" s="1"/>
      <c r="B23" s="1"/>
      <c r="C23" s="1" t="s">
        <v>46</v>
      </c>
      <c r="D23" s="1"/>
      <c r="E23" s="1"/>
      <c r="F23" s="1"/>
      <c r="G23" s="1"/>
      <c r="H23" s="1"/>
      <c r="I23" s="12"/>
      <c r="J23" s="7"/>
      <c r="K23" s="12"/>
      <c r="L23" s="1"/>
      <c r="M23" s="1"/>
      <c r="N23" s="40"/>
    </row>
    <row r="24" spans="1:14">
      <c r="A24" s="1"/>
      <c r="B24" s="1"/>
      <c r="C24" s="1"/>
      <c r="D24" s="1"/>
      <c r="E24" s="1"/>
      <c r="F24" s="1"/>
      <c r="G24" s="1"/>
      <c r="H24" s="1"/>
      <c r="I24" s="1"/>
      <c r="J24" s="1"/>
      <c r="K24" s="7"/>
      <c r="L24" s="1"/>
      <c r="M24" s="1"/>
      <c r="N24" s="40"/>
    </row>
    <row r="25" spans="1:14">
      <c r="A25" s="1" t="s">
        <v>47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40"/>
    </row>
    <row r="26" spans="1:14">
      <c r="A26" s="26" t="s">
        <v>48</v>
      </c>
      <c r="B26" s="26"/>
      <c r="C26" s="26"/>
      <c r="D26" s="26" t="s">
        <v>49</v>
      </c>
      <c r="E26" s="26" t="s">
        <v>50</v>
      </c>
      <c r="F26" s="26"/>
      <c r="G26" s="26" t="s">
        <v>51</v>
      </c>
      <c r="H26" s="1"/>
      <c r="I26" s="1"/>
      <c r="J26" s="61" t="s">
        <v>52</v>
      </c>
      <c r="K26" s="62" t="s">
        <v>53</v>
      </c>
      <c r="L26" s="1"/>
      <c r="M26" s="1"/>
      <c r="N26" s="40"/>
    </row>
    <row r="27" spans="1:14">
      <c r="A27" s="1" t="s">
        <v>54</v>
      </c>
      <c r="B27" s="1"/>
      <c r="C27" s="1"/>
      <c r="D27" s="1"/>
      <c r="E27" s="1"/>
      <c r="F27" s="1"/>
      <c r="G27" s="1"/>
      <c r="H27" s="1"/>
      <c r="I27" s="1"/>
      <c r="J27" s="16" t="s">
        <v>286</v>
      </c>
      <c r="K27" s="19">
        <v>91</v>
      </c>
      <c r="L27" s="1"/>
      <c r="M27" s="1"/>
      <c r="N27" s="40"/>
    </row>
    <row r="28" spans="1:14">
      <c r="A28" s="1" t="s">
        <v>137</v>
      </c>
      <c r="B28" s="1"/>
      <c r="C28" s="63"/>
      <c r="D28" s="150" t="s">
        <v>57</v>
      </c>
      <c r="E28" s="7">
        <v>22</v>
      </c>
      <c r="F28" s="7"/>
      <c r="G28" s="7">
        <v>141</v>
      </c>
      <c r="H28" s="1"/>
      <c r="I28" s="1"/>
      <c r="J28" s="20" t="s">
        <v>191</v>
      </c>
      <c r="K28" s="24">
        <v>9</v>
      </c>
      <c r="L28" s="1"/>
      <c r="M28" s="1"/>
      <c r="N28" s="40"/>
    </row>
    <row r="29" spans="1:14">
      <c r="A29" s="1" t="s">
        <v>59</v>
      </c>
      <c r="B29" s="1"/>
      <c r="C29" s="1"/>
      <c r="D29" s="1"/>
      <c r="E29" s="1"/>
      <c r="F29" s="1"/>
      <c r="G29" s="1"/>
      <c r="H29" s="1"/>
      <c r="I29" s="1"/>
      <c r="J29" s="1"/>
      <c r="K29" s="12"/>
      <c r="L29" s="1"/>
      <c r="M29" s="1"/>
      <c r="N29" s="129"/>
    </row>
    <row r="30" spans="1:14">
      <c r="A30" s="1" t="s">
        <v>60</v>
      </c>
      <c r="B30" s="1"/>
      <c r="C30" s="1"/>
      <c r="D30" s="1" t="s">
        <v>61</v>
      </c>
      <c r="E30" s="10">
        <v>24</v>
      </c>
      <c r="F30" s="12"/>
      <c r="G30" s="12">
        <f>+H20/E32</f>
        <v>1093.0999999999999</v>
      </c>
      <c r="H30" s="1"/>
      <c r="I30" s="1"/>
      <c r="J30" s="16" t="s">
        <v>62</v>
      </c>
      <c r="K30" s="16">
        <v>1.6</v>
      </c>
      <c r="L30" s="1"/>
      <c r="M30" s="1"/>
      <c r="N30" s="129"/>
    </row>
    <row r="31" spans="1:14">
      <c r="A31" s="1" t="s">
        <v>63</v>
      </c>
      <c r="B31" s="1"/>
      <c r="C31" s="1"/>
      <c r="D31" s="1" t="s">
        <v>61</v>
      </c>
      <c r="E31" s="10">
        <v>16</v>
      </c>
      <c r="F31" s="12"/>
      <c r="G31" s="12"/>
      <c r="H31" s="1"/>
      <c r="I31" s="1"/>
      <c r="J31" s="20" t="s">
        <v>64</v>
      </c>
      <c r="K31" s="22">
        <v>1</v>
      </c>
      <c r="L31" s="1"/>
      <c r="M31" s="1"/>
      <c r="N31" s="129"/>
    </row>
    <row r="32" spans="1:14">
      <c r="A32" s="1" t="s">
        <v>7</v>
      </c>
      <c r="B32" s="1"/>
      <c r="C32" s="1"/>
      <c r="D32" s="1"/>
      <c r="E32" s="10">
        <v>40</v>
      </c>
      <c r="F32" s="12"/>
      <c r="G32" s="12"/>
      <c r="H32" s="1"/>
      <c r="I32" s="1"/>
      <c r="J32" s="1"/>
      <c r="K32" s="37"/>
      <c r="L32" s="1"/>
      <c r="M32" s="1"/>
      <c r="N32" s="129"/>
    </row>
    <row r="33" spans="1:14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1"/>
      <c r="M33" s="1"/>
      <c r="N33" s="129"/>
    </row>
    <row r="34" spans="1:14">
      <c r="A34" s="16" t="s">
        <v>65</v>
      </c>
      <c r="B34" s="16"/>
      <c r="C34" s="16" t="s">
        <v>66</v>
      </c>
      <c r="D34" s="16"/>
      <c r="E34" s="16"/>
      <c r="F34" s="16"/>
      <c r="G34" s="16"/>
      <c r="H34" s="1"/>
      <c r="I34" s="1"/>
      <c r="J34" s="2"/>
      <c r="K34" s="2"/>
      <c r="L34" s="1"/>
      <c r="M34" s="1"/>
      <c r="N34" s="129"/>
    </row>
    <row r="35" spans="1:14">
      <c r="A35" s="1"/>
      <c r="B35" s="4"/>
      <c r="C35" s="38"/>
      <c r="D35" s="40"/>
      <c r="E35" s="40"/>
      <c r="F35" s="40"/>
      <c r="G35" s="40"/>
      <c r="H35" s="1"/>
      <c r="I35" s="1"/>
      <c r="J35" s="1"/>
      <c r="K35" s="1"/>
      <c r="L35" s="1"/>
      <c r="M35" s="1"/>
      <c r="N35" s="129"/>
    </row>
    <row r="36" spans="1:14">
      <c r="A36" s="40" t="s">
        <v>67</v>
      </c>
      <c r="B36" s="4"/>
      <c r="C36" s="57">
        <v>53</v>
      </c>
      <c r="D36" s="40" t="s">
        <v>68</v>
      </c>
      <c r="E36" s="40">
        <v>31</v>
      </c>
      <c r="F36" s="40"/>
      <c r="G36" s="41">
        <v>30</v>
      </c>
      <c r="H36" s="1"/>
      <c r="I36" s="1"/>
      <c r="J36" s="1"/>
      <c r="K36" s="1"/>
      <c r="L36" s="1"/>
      <c r="M36" s="1"/>
      <c r="N36" s="199"/>
    </row>
    <row r="37" spans="1:14">
      <c r="A37" s="40" t="s">
        <v>69</v>
      </c>
      <c r="B37" s="4"/>
      <c r="C37" s="57">
        <v>80</v>
      </c>
      <c r="D37" s="40" t="s">
        <v>68</v>
      </c>
      <c r="E37" s="40">
        <v>30</v>
      </c>
      <c r="F37" s="40"/>
      <c r="G37" s="41">
        <v>30</v>
      </c>
      <c r="H37" s="1"/>
      <c r="I37" s="1"/>
      <c r="J37" s="1"/>
      <c r="K37" s="1"/>
      <c r="L37" s="1"/>
      <c r="M37" s="1"/>
      <c r="N37" s="199"/>
    </row>
    <row r="38" spans="1:14">
      <c r="A38" s="40" t="s">
        <v>287</v>
      </c>
      <c r="B38" s="4"/>
      <c r="C38" s="57">
        <v>53</v>
      </c>
      <c r="D38" s="40" t="s">
        <v>227</v>
      </c>
      <c r="E38" s="40">
        <v>1</v>
      </c>
      <c r="F38" s="40"/>
      <c r="G38" s="41">
        <v>930</v>
      </c>
      <c r="H38" s="1"/>
      <c r="I38" s="1"/>
      <c r="J38" s="1"/>
      <c r="K38" s="1"/>
      <c r="L38" s="1"/>
      <c r="M38" s="1"/>
      <c r="N38" s="129"/>
    </row>
    <row r="39" spans="1:14">
      <c r="A39" s="40" t="s">
        <v>241</v>
      </c>
      <c r="B39" s="4"/>
      <c r="C39" s="38" t="s">
        <v>288</v>
      </c>
      <c r="D39" s="40" t="s">
        <v>120</v>
      </c>
      <c r="E39" s="38" t="s">
        <v>109</v>
      </c>
      <c r="F39" s="40"/>
      <c r="G39" s="156" t="s">
        <v>146</v>
      </c>
      <c r="H39" s="1"/>
      <c r="I39" s="1"/>
      <c r="J39" s="1"/>
      <c r="K39" s="1"/>
      <c r="L39" s="1"/>
      <c r="M39" s="1"/>
      <c r="N39" s="129"/>
    </row>
    <row r="40" spans="1:14">
      <c r="A40" s="20"/>
      <c r="B40" s="4"/>
      <c r="C40" s="133"/>
      <c r="D40" s="20"/>
      <c r="E40" s="20"/>
      <c r="F40" s="20"/>
      <c r="G40" s="20"/>
      <c r="H40" s="1"/>
      <c r="I40" s="1"/>
      <c r="J40" s="1"/>
      <c r="K40" s="1"/>
      <c r="L40" s="1"/>
      <c r="M40" s="1"/>
      <c r="N40" s="129"/>
    </row>
    <row r="41" spans="1:14">
      <c r="A41" s="16" t="s">
        <v>71</v>
      </c>
      <c r="B41" s="16"/>
      <c r="C41" s="16"/>
      <c r="D41" s="16"/>
      <c r="E41" s="16"/>
      <c r="F41" s="16"/>
      <c r="G41" s="1"/>
      <c r="H41" s="2"/>
      <c r="I41" s="1" t="s">
        <v>72</v>
      </c>
      <c r="J41" s="2"/>
      <c r="K41" s="1"/>
      <c r="L41" s="1"/>
      <c r="M41" s="1"/>
      <c r="N41" s="129"/>
    </row>
    <row r="42" spans="1:14">
      <c r="A42" s="40" t="s">
        <v>73</v>
      </c>
      <c r="B42" s="40"/>
      <c r="C42" s="40"/>
      <c r="D42" s="40"/>
      <c r="E42" s="40"/>
      <c r="F42" s="40"/>
      <c r="G42" s="200">
        <v>912</v>
      </c>
      <c r="H42" s="1"/>
      <c r="I42" s="12">
        <v>2254</v>
      </c>
      <c r="J42" s="2"/>
      <c r="K42" s="1"/>
      <c r="L42" s="1"/>
      <c r="M42" s="1"/>
      <c r="N42" s="129"/>
    </row>
    <row r="43" spans="1:14">
      <c r="A43" s="40" t="s">
        <v>75</v>
      </c>
      <c r="B43" s="40"/>
      <c r="C43" s="40"/>
      <c r="D43" s="40"/>
      <c r="E43" s="40"/>
      <c r="F43" s="40"/>
      <c r="G43" s="201">
        <v>106.3</v>
      </c>
      <c r="H43" s="147"/>
      <c r="I43" s="12"/>
      <c r="J43" s="2"/>
      <c r="K43" s="7"/>
      <c r="L43" s="1"/>
      <c r="M43" s="1"/>
      <c r="N43" s="129"/>
    </row>
    <row r="44" spans="1:14">
      <c r="A44" s="40" t="s">
        <v>76</v>
      </c>
      <c r="B44" s="40"/>
      <c r="C44" s="40"/>
      <c r="D44" s="40"/>
      <c r="E44" s="40"/>
      <c r="F44" s="40"/>
      <c r="G44" s="46">
        <v>96946</v>
      </c>
      <c r="H44" s="44"/>
      <c r="I44" s="12">
        <v>239554</v>
      </c>
      <c r="J44" s="2"/>
      <c r="K44" s="7"/>
      <c r="L44" s="1"/>
      <c r="M44" s="1"/>
      <c r="N44" s="129"/>
    </row>
    <row r="45" spans="1:14">
      <c r="A45" s="40" t="s">
        <v>77</v>
      </c>
      <c r="B45" s="40"/>
      <c r="C45" s="40"/>
      <c r="D45" s="40"/>
      <c r="E45" s="40"/>
      <c r="F45" s="40"/>
      <c r="G45" s="46">
        <v>32020</v>
      </c>
      <c r="H45" s="44"/>
      <c r="I45" s="12">
        <v>79121</v>
      </c>
      <c r="J45" s="2"/>
      <c r="K45" s="1"/>
      <c r="L45" s="1"/>
      <c r="M45" s="1"/>
      <c r="N45" s="129"/>
    </row>
    <row r="46" spans="1:14">
      <c r="A46" s="40" t="s">
        <v>78</v>
      </c>
      <c r="B46" s="40"/>
      <c r="C46" s="40"/>
      <c r="D46" s="40"/>
      <c r="E46" s="40"/>
      <c r="F46" s="40"/>
      <c r="G46" s="46">
        <v>50149</v>
      </c>
      <c r="H46" s="44"/>
      <c r="I46" s="12">
        <v>123918</v>
      </c>
      <c r="J46" s="134"/>
      <c r="K46" s="1"/>
      <c r="L46" s="1"/>
      <c r="M46" s="1"/>
      <c r="N46" s="129"/>
    </row>
    <row r="47" spans="1:14">
      <c r="A47" s="40"/>
      <c r="B47" s="40"/>
      <c r="C47" s="40"/>
      <c r="D47" s="40"/>
      <c r="E47" s="40"/>
      <c r="F47" s="40"/>
      <c r="G47" s="45"/>
      <c r="H47" s="202"/>
      <c r="I47" s="1"/>
      <c r="J47" s="1"/>
      <c r="K47" s="1"/>
      <c r="L47" s="1"/>
      <c r="M47" s="1"/>
      <c r="N47" s="129"/>
    </row>
    <row r="48" spans="1:14">
      <c r="A48" s="40" t="s">
        <v>79</v>
      </c>
      <c r="B48" s="40"/>
      <c r="C48" s="40"/>
      <c r="D48" s="40"/>
      <c r="E48" s="40"/>
      <c r="F48" s="40"/>
      <c r="G48" s="45">
        <f>+K20/G42</f>
        <v>71.190789473684205</v>
      </c>
      <c r="H48" s="148"/>
      <c r="I48" s="1"/>
      <c r="J48" s="1"/>
      <c r="K48" s="1"/>
      <c r="L48" s="1"/>
      <c r="M48" s="1"/>
      <c r="N48" s="129"/>
    </row>
    <row r="49" spans="1:14">
      <c r="A49" s="20" t="s">
        <v>80</v>
      </c>
      <c r="B49" s="20"/>
      <c r="C49" s="20"/>
      <c r="D49" s="20"/>
      <c r="E49" s="20"/>
      <c r="F49" s="20"/>
      <c r="G49" s="47">
        <f>+K21/G42</f>
        <v>51.3125</v>
      </c>
      <c r="H49" s="148"/>
      <c r="I49" s="1"/>
      <c r="J49" s="1"/>
      <c r="K49" s="1"/>
      <c r="L49" s="1"/>
      <c r="M49" s="1"/>
      <c r="N49" s="129"/>
    </row>
    <row r="50" spans="1:1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29"/>
    </row>
    <row r="51" spans="1:14">
      <c r="A51" s="48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29"/>
    </row>
    <row r="52" spans="1:14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7"/>
  <sheetViews>
    <sheetView tabSelected="1" topLeftCell="A10" workbookViewId="0">
      <selection activeCell="H42" sqref="H42"/>
    </sheetView>
  </sheetViews>
  <sheetFormatPr defaultRowHeight="15"/>
  <sheetData>
    <row r="1" spans="1:13">
      <c r="A1" s="63" t="s">
        <v>0</v>
      </c>
      <c r="B1" s="63" t="s">
        <v>289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</row>
    <row r="2" spans="1:13">
      <c r="A2" s="63"/>
      <c r="B2" s="63" t="s">
        <v>100</v>
      </c>
      <c r="C2" s="157"/>
      <c r="D2" s="63" t="s">
        <v>101</v>
      </c>
      <c r="E2" s="157"/>
      <c r="F2" s="157"/>
      <c r="G2" s="157"/>
      <c r="H2" s="63" t="s">
        <v>102</v>
      </c>
      <c r="I2" s="63"/>
      <c r="J2" s="63"/>
      <c r="K2" s="63"/>
      <c r="L2" s="63"/>
      <c r="M2" s="63"/>
    </row>
    <row r="3" spans="1:13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</row>
    <row r="4" spans="1:13">
      <c r="A4" s="158" t="s">
        <v>5</v>
      </c>
      <c r="B4" s="158"/>
      <c r="C4" s="158"/>
      <c r="D4" s="158" t="s">
        <v>6</v>
      </c>
      <c r="E4" s="158" t="s">
        <v>7</v>
      </c>
      <c r="F4" s="158" t="s">
        <v>8</v>
      </c>
      <c r="G4" s="158" t="s">
        <v>9</v>
      </c>
      <c r="H4" s="158" t="s">
        <v>10</v>
      </c>
      <c r="I4" s="158" t="s">
        <v>11</v>
      </c>
      <c r="J4" s="158" t="s">
        <v>12</v>
      </c>
      <c r="K4" s="158" t="s">
        <v>13</v>
      </c>
      <c r="L4" s="158" t="s">
        <v>14</v>
      </c>
      <c r="M4" s="158"/>
    </row>
    <row r="5" spans="1:13">
      <c r="A5" s="159"/>
      <c r="B5" s="159"/>
      <c r="C5" s="159"/>
      <c r="D5" s="159" t="s">
        <v>15</v>
      </c>
      <c r="E5" s="159" t="s">
        <v>16</v>
      </c>
      <c r="F5" s="159" t="s">
        <v>16</v>
      </c>
      <c r="G5" s="159" t="s">
        <v>17</v>
      </c>
      <c r="H5" s="159" t="s">
        <v>18</v>
      </c>
      <c r="I5" s="159" t="s">
        <v>19</v>
      </c>
      <c r="J5" s="159" t="s">
        <v>18</v>
      </c>
      <c r="K5" s="159" t="s">
        <v>18</v>
      </c>
      <c r="L5" s="159" t="s">
        <v>20</v>
      </c>
      <c r="M5" s="159" t="s">
        <v>21</v>
      </c>
    </row>
    <row r="6" spans="1:13">
      <c r="A6" s="159"/>
      <c r="B6" s="159"/>
      <c r="C6" s="159"/>
      <c r="D6" s="159" t="s">
        <v>22</v>
      </c>
      <c r="E6" s="159"/>
      <c r="F6" s="159"/>
      <c r="G6" s="159"/>
      <c r="H6" s="159" t="s">
        <v>23</v>
      </c>
      <c r="I6" s="159" t="s">
        <v>18</v>
      </c>
      <c r="J6" s="159" t="s">
        <v>23</v>
      </c>
      <c r="K6" s="159" t="s">
        <v>23</v>
      </c>
      <c r="L6" s="159"/>
      <c r="M6" s="159"/>
    </row>
    <row r="7" spans="1:13">
      <c r="A7" s="160"/>
      <c r="B7" s="160"/>
      <c r="C7" s="160"/>
      <c r="D7" s="160"/>
      <c r="E7" s="160"/>
      <c r="F7" s="160"/>
      <c r="G7" s="160"/>
      <c r="H7" s="160"/>
      <c r="I7" s="160" t="s">
        <v>23</v>
      </c>
      <c r="J7" s="160"/>
      <c r="K7" s="160"/>
      <c r="L7" s="160"/>
      <c r="M7" s="160"/>
    </row>
    <row r="8" spans="1:13">
      <c r="A8" s="63" t="s">
        <v>24</v>
      </c>
      <c r="B8" s="63"/>
      <c r="C8" s="63"/>
      <c r="D8" s="161">
        <v>40</v>
      </c>
      <c r="E8" s="203">
        <v>2.2000000000000002</v>
      </c>
      <c r="F8" s="176">
        <v>2</v>
      </c>
      <c r="G8" s="204">
        <v>1200</v>
      </c>
      <c r="H8" s="137">
        <v>2640</v>
      </c>
      <c r="I8" s="137"/>
      <c r="J8" s="137"/>
      <c r="K8" s="137">
        <f>+J8+I8+H8</f>
        <v>2640</v>
      </c>
      <c r="L8" s="137"/>
      <c r="M8" s="137"/>
    </row>
    <row r="9" spans="1:13">
      <c r="A9" s="63" t="s">
        <v>105</v>
      </c>
      <c r="B9" s="63"/>
      <c r="C9" s="63"/>
      <c r="D9" s="161">
        <v>91</v>
      </c>
      <c r="E9" s="203">
        <v>0.6</v>
      </c>
      <c r="F9" s="176">
        <v>0.1</v>
      </c>
      <c r="G9" s="204">
        <v>1200</v>
      </c>
      <c r="H9" s="137">
        <v>720</v>
      </c>
      <c r="I9" s="137">
        <v>7780</v>
      </c>
      <c r="J9" s="137"/>
      <c r="K9" s="137">
        <f t="shared" ref="K9:K20" si="0">+J9+I9+H9</f>
        <v>8500</v>
      </c>
      <c r="L9" s="137">
        <v>973</v>
      </c>
      <c r="M9" s="137"/>
    </row>
    <row r="10" spans="1:13">
      <c r="A10" s="63" t="s">
        <v>290</v>
      </c>
      <c r="B10" s="63"/>
      <c r="C10" s="63"/>
      <c r="D10" s="161" t="s">
        <v>291</v>
      </c>
      <c r="E10" s="176"/>
      <c r="F10" s="176"/>
      <c r="G10" s="204"/>
      <c r="H10" s="137"/>
      <c r="I10" s="205" t="s">
        <v>292</v>
      </c>
      <c r="J10" s="137"/>
      <c r="K10" s="137"/>
      <c r="L10" s="137"/>
      <c r="M10" s="137"/>
    </row>
    <row r="11" spans="1:13">
      <c r="A11" s="63" t="s">
        <v>111</v>
      </c>
      <c r="B11" s="63"/>
      <c r="C11" s="63"/>
      <c r="D11" s="165">
        <v>56</v>
      </c>
      <c r="E11" s="176">
        <v>13.9</v>
      </c>
      <c r="F11" s="176">
        <v>1.7</v>
      </c>
      <c r="G11" s="204">
        <v>1235</v>
      </c>
      <c r="H11" s="137">
        <v>17167</v>
      </c>
      <c r="I11" s="137"/>
      <c r="J11" s="137"/>
      <c r="K11" s="137">
        <f t="shared" si="0"/>
        <v>17167</v>
      </c>
      <c r="L11" s="137"/>
      <c r="M11" s="137"/>
    </row>
    <row r="12" spans="1:13">
      <c r="A12" s="63" t="s">
        <v>293</v>
      </c>
      <c r="B12" s="63"/>
      <c r="C12" s="63"/>
      <c r="D12" s="161" t="s">
        <v>159</v>
      </c>
      <c r="E12" s="176"/>
      <c r="F12" s="176"/>
      <c r="G12" s="204"/>
      <c r="H12" s="205" t="s">
        <v>294</v>
      </c>
      <c r="I12" s="137"/>
      <c r="J12" s="166"/>
      <c r="K12" s="137"/>
      <c r="L12" s="137"/>
      <c r="M12" s="137"/>
    </row>
    <row r="13" spans="1:13">
      <c r="A13" s="63" t="s">
        <v>295</v>
      </c>
      <c r="B13" s="63"/>
      <c r="C13" s="63"/>
      <c r="D13" s="165">
        <v>100</v>
      </c>
      <c r="E13" s="176">
        <v>12.2</v>
      </c>
      <c r="F13" s="176">
        <v>2.2000000000000002</v>
      </c>
      <c r="G13" s="204">
        <v>1050</v>
      </c>
      <c r="H13" s="137">
        <v>12810</v>
      </c>
      <c r="I13" s="137"/>
      <c r="J13" s="137">
        <v>0</v>
      </c>
      <c r="K13" s="137">
        <f t="shared" si="0"/>
        <v>12810</v>
      </c>
      <c r="L13" s="137"/>
      <c r="M13" s="137"/>
    </row>
    <row r="14" spans="1:13">
      <c r="A14" s="63" t="s">
        <v>32</v>
      </c>
      <c r="B14" s="63"/>
      <c r="C14" s="63"/>
      <c r="D14" s="165">
        <v>100</v>
      </c>
      <c r="E14" s="176">
        <v>1.3</v>
      </c>
      <c r="F14" s="176">
        <v>1.3</v>
      </c>
      <c r="G14" s="204">
        <v>1050</v>
      </c>
      <c r="H14" s="137">
        <v>1365</v>
      </c>
      <c r="I14" s="137"/>
      <c r="J14" s="137">
        <v>8713</v>
      </c>
      <c r="K14" s="137">
        <f t="shared" si="0"/>
        <v>10078</v>
      </c>
      <c r="L14" s="137"/>
      <c r="M14" s="137"/>
    </row>
    <row r="15" spans="1:13">
      <c r="A15" s="63" t="s">
        <v>33</v>
      </c>
      <c r="B15" s="63"/>
      <c r="C15" s="63"/>
      <c r="D15" s="165">
        <v>75</v>
      </c>
      <c r="E15" s="176">
        <v>1</v>
      </c>
      <c r="F15" s="176">
        <v>0.6</v>
      </c>
      <c r="G15" s="204">
        <v>1298</v>
      </c>
      <c r="H15" s="137">
        <v>1298</v>
      </c>
      <c r="I15" s="137"/>
      <c r="J15" s="137">
        <v>4159</v>
      </c>
      <c r="K15" s="137">
        <f t="shared" si="0"/>
        <v>5457</v>
      </c>
      <c r="L15" s="137"/>
      <c r="M15" s="137"/>
    </row>
    <row r="16" spans="1:13">
      <c r="A16" s="63" t="s">
        <v>34</v>
      </c>
      <c r="B16" s="63"/>
      <c r="C16" s="63"/>
      <c r="D16" s="165">
        <v>59</v>
      </c>
      <c r="E16" s="176">
        <v>9.1</v>
      </c>
      <c r="F16" s="176">
        <v>3.7</v>
      </c>
      <c r="G16" s="204">
        <v>996</v>
      </c>
      <c r="H16" s="137">
        <v>9064</v>
      </c>
      <c r="I16" s="137"/>
      <c r="J16" s="137"/>
      <c r="K16" s="137">
        <f t="shared" si="0"/>
        <v>9064</v>
      </c>
      <c r="L16" s="137"/>
      <c r="M16" s="137"/>
    </row>
    <row r="17" spans="1:13">
      <c r="A17" s="63" t="s">
        <v>35</v>
      </c>
      <c r="B17" s="63"/>
      <c r="C17" s="63"/>
      <c r="D17" s="165">
        <v>97</v>
      </c>
      <c r="E17" s="176">
        <v>3.2</v>
      </c>
      <c r="F17" s="176">
        <v>2.5</v>
      </c>
      <c r="G17" s="204">
        <v>1174</v>
      </c>
      <c r="H17" s="137">
        <v>3757</v>
      </c>
      <c r="I17" s="137"/>
      <c r="J17" s="137">
        <v>5591</v>
      </c>
      <c r="K17" s="137">
        <f t="shared" si="0"/>
        <v>9348</v>
      </c>
      <c r="L17" s="137"/>
      <c r="M17" s="137"/>
    </row>
    <row r="18" spans="1:13">
      <c r="A18" s="63" t="s">
        <v>36</v>
      </c>
      <c r="B18" s="63"/>
      <c r="C18" s="63"/>
      <c r="D18" s="165">
        <v>100</v>
      </c>
      <c r="E18" s="176">
        <v>4.7</v>
      </c>
      <c r="F18" s="176">
        <v>4.7</v>
      </c>
      <c r="G18" s="204">
        <v>1121</v>
      </c>
      <c r="H18" s="137">
        <v>5269</v>
      </c>
      <c r="I18" s="137"/>
      <c r="J18" s="137"/>
      <c r="K18" s="137">
        <f t="shared" si="0"/>
        <v>5269</v>
      </c>
      <c r="L18" s="137"/>
      <c r="M18" s="137"/>
    </row>
    <row r="19" spans="1:13">
      <c r="A19" s="63" t="s">
        <v>296</v>
      </c>
      <c r="B19" s="63"/>
      <c r="C19" s="63"/>
      <c r="D19" s="165">
        <v>100</v>
      </c>
      <c r="E19" s="176">
        <v>22.6</v>
      </c>
      <c r="F19" s="176">
        <v>4.5</v>
      </c>
      <c r="G19" s="204">
        <v>1121</v>
      </c>
      <c r="H19" s="137">
        <v>25335</v>
      </c>
      <c r="I19" s="137"/>
      <c r="J19" s="137"/>
      <c r="K19" s="137">
        <f t="shared" si="0"/>
        <v>25335</v>
      </c>
      <c r="L19" s="137"/>
      <c r="M19" s="137"/>
    </row>
    <row r="20" spans="1:13">
      <c r="A20" s="63" t="s">
        <v>43</v>
      </c>
      <c r="B20" s="63"/>
      <c r="C20" s="63"/>
      <c r="D20" s="165">
        <v>87</v>
      </c>
      <c r="E20" s="176">
        <v>2.6</v>
      </c>
      <c r="F20" s="176">
        <v>2.6</v>
      </c>
      <c r="G20" s="204">
        <v>1121</v>
      </c>
      <c r="H20" s="137">
        <v>2915</v>
      </c>
      <c r="I20" s="137">
        <v>5735</v>
      </c>
      <c r="J20" s="137"/>
      <c r="K20" s="137">
        <f t="shared" si="0"/>
        <v>8650</v>
      </c>
      <c r="L20" s="137">
        <v>2156</v>
      </c>
      <c r="M20" s="137"/>
    </row>
    <row r="21" spans="1:13">
      <c r="A21" s="167" t="s">
        <v>44</v>
      </c>
      <c r="B21" s="167"/>
      <c r="C21" s="167"/>
      <c r="D21" s="168"/>
      <c r="E21" s="139">
        <v>73.400000000000006</v>
      </c>
      <c r="F21" s="139">
        <v>25.900000000000002</v>
      </c>
      <c r="G21" s="139"/>
      <c r="H21" s="135">
        <f t="shared" ref="H21:M21" si="1">SUM(H8:H20)</f>
        <v>82340</v>
      </c>
      <c r="I21" s="135">
        <f t="shared" si="1"/>
        <v>13515</v>
      </c>
      <c r="J21" s="135">
        <f t="shared" si="1"/>
        <v>18463</v>
      </c>
      <c r="K21" s="135">
        <f t="shared" si="1"/>
        <v>114318</v>
      </c>
      <c r="L21" s="135">
        <f t="shared" si="1"/>
        <v>3129</v>
      </c>
      <c r="M21" s="135">
        <f t="shared" si="1"/>
        <v>0</v>
      </c>
    </row>
    <row r="22" spans="1:13">
      <c r="A22" s="170" t="s">
        <v>45</v>
      </c>
      <c r="B22" s="170"/>
      <c r="C22" s="170"/>
      <c r="D22" s="171"/>
      <c r="E22" s="173">
        <v>47.5</v>
      </c>
      <c r="F22" s="173"/>
      <c r="G22" s="173"/>
      <c r="H22" s="174">
        <v>53424</v>
      </c>
      <c r="I22" s="174">
        <v>10386</v>
      </c>
      <c r="J22" s="174">
        <v>18463</v>
      </c>
      <c r="K22" s="174">
        <f>SUM(H22:J22)</f>
        <v>82273</v>
      </c>
      <c r="L22" s="174"/>
      <c r="M22" s="174"/>
    </row>
    <row r="23" spans="1:13">
      <c r="A23" s="175"/>
      <c r="B23" s="63"/>
      <c r="C23" s="63"/>
      <c r="D23" s="63"/>
      <c r="E23" s="63"/>
      <c r="F23" s="63"/>
      <c r="G23" s="63"/>
      <c r="H23" s="63"/>
      <c r="I23" s="137"/>
      <c r="J23" s="137"/>
      <c r="K23" s="176"/>
      <c r="L23" s="63"/>
      <c r="M23" s="63"/>
    </row>
    <row r="24" spans="1:13">
      <c r="A24" s="63"/>
      <c r="B24" s="63"/>
      <c r="C24" s="63" t="s">
        <v>46</v>
      </c>
      <c r="D24" s="63"/>
      <c r="E24" s="63"/>
      <c r="F24" s="63"/>
      <c r="G24" s="63"/>
      <c r="H24" s="137"/>
      <c r="I24" s="63"/>
      <c r="J24" s="137"/>
      <c r="K24" s="63"/>
      <c r="L24" s="63"/>
      <c r="M24" s="63"/>
    </row>
    <row r="25" spans="1:13">
      <c r="A25" s="63"/>
      <c r="B25" s="63"/>
      <c r="C25" s="63"/>
      <c r="D25" s="63"/>
      <c r="E25" s="63"/>
      <c r="F25" s="63"/>
      <c r="G25" s="63"/>
      <c r="H25" s="137"/>
      <c r="I25" s="63"/>
      <c r="J25" s="137"/>
      <c r="K25" s="176"/>
      <c r="L25" s="63"/>
      <c r="M25" s="63"/>
    </row>
    <row r="26" spans="1:13">
      <c r="A26" s="63" t="s">
        <v>47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</row>
    <row r="27" spans="1:13">
      <c r="A27" s="177" t="s">
        <v>48</v>
      </c>
      <c r="B27" s="177"/>
      <c r="C27" s="177"/>
      <c r="D27" s="177" t="s">
        <v>49</v>
      </c>
      <c r="E27" s="177" t="s">
        <v>50</v>
      </c>
      <c r="F27" s="177"/>
      <c r="G27" s="177" t="s">
        <v>51</v>
      </c>
      <c r="H27" s="63"/>
      <c r="I27" s="178" t="s">
        <v>52</v>
      </c>
      <c r="J27" s="179" t="s">
        <v>53</v>
      </c>
      <c r="K27" s="2"/>
      <c r="L27" s="63"/>
      <c r="M27" s="63"/>
    </row>
    <row r="28" spans="1:13">
      <c r="A28" s="63" t="s">
        <v>54</v>
      </c>
      <c r="B28" s="63"/>
      <c r="C28" s="63"/>
      <c r="D28" s="63"/>
      <c r="E28" s="63"/>
      <c r="F28" s="63"/>
      <c r="G28" s="63"/>
      <c r="H28" s="63"/>
      <c r="I28" s="167" t="s">
        <v>297</v>
      </c>
      <c r="J28" s="135">
        <v>100</v>
      </c>
      <c r="K28" s="2"/>
      <c r="L28" s="63"/>
      <c r="M28" s="63"/>
    </row>
    <row r="29" spans="1:13">
      <c r="A29" s="63" t="s">
        <v>298</v>
      </c>
      <c r="B29" s="63"/>
      <c r="C29" s="63"/>
      <c r="D29" s="180" t="s">
        <v>68</v>
      </c>
      <c r="E29" s="163">
        <v>1068</v>
      </c>
      <c r="F29" s="176"/>
      <c r="G29" s="176"/>
      <c r="H29" s="63"/>
      <c r="I29" s="100"/>
      <c r="J29" s="136"/>
      <c r="K29" s="2"/>
      <c r="L29" s="63"/>
      <c r="M29" s="63"/>
    </row>
    <row r="30" spans="1:13">
      <c r="A30" s="63" t="s">
        <v>59</v>
      </c>
      <c r="B30" s="63"/>
      <c r="C30" s="63"/>
      <c r="D30" s="63"/>
      <c r="E30" s="63"/>
      <c r="F30" s="63"/>
      <c r="G30" s="63"/>
      <c r="H30" s="63"/>
      <c r="I30" s="167" t="s">
        <v>62</v>
      </c>
      <c r="J30" s="167">
        <v>1.1200000000000001</v>
      </c>
      <c r="K30" s="137"/>
      <c r="L30" s="63"/>
      <c r="M30" s="63"/>
    </row>
    <row r="31" spans="1:13">
      <c r="A31" s="63" t="s">
        <v>60</v>
      </c>
      <c r="B31" s="63"/>
      <c r="C31" s="63"/>
      <c r="D31" s="180" t="s">
        <v>61</v>
      </c>
      <c r="E31" s="137">
        <v>48</v>
      </c>
      <c r="F31" s="137"/>
      <c r="G31" s="176">
        <v>1113</v>
      </c>
      <c r="H31" s="63"/>
      <c r="I31" s="170" t="s">
        <v>64</v>
      </c>
      <c r="J31" s="173">
        <v>1</v>
      </c>
      <c r="K31" s="137"/>
      <c r="L31" s="63"/>
      <c r="M31" s="63"/>
    </row>
    <row r="32" spans="1:13">
      <c r="A32" s="63" t="s">
        <v>63</v>
      </c>
      <c r="B32" s="63"/>
      <c r="C32" s="63"/>
      <c r="D32" s="180" t="s">
        <v>61</v>
      </c>
      <c r="E32" s="137">
        <v>26</v>
      </c>
      <c r="F32" s="137"/>
      <c r="G32" s="137"/>
      <c r="H32" s="63"/>
      <c r="I32" s="63"/>
      <c r="J32" s="63"/>
      <c r="K32" s="63"/>
      <c r="L32" s="63"/>
      <c r="M32" s="63"/>
    </row>
    <row r="33" spans="1:13">
      <c r="A33" s="63" t="s">
        <v>7</v>
      </c>
      <c r="B33" s="63"/>
      <c r="C33" s="63"/>
      <c r="D33" s="63"/>
      <c r="E33" s="137">
        <f>+E32+E31</f>
        <v>74</v>
      </c>
      <c r="F33" s="137"/>
      <c r="G33" s="137"/>
      <c r="H33" s="63"/>
      <c r="I33" s="63"/>
      <c r="J33" s="63"/>
      <c r="K33" s="138"/>
      <c r="L33" s="63"/>
      <c r="M33" s="63"/>
    </row>
    <row r="34" spans="1:13">
      <c r="A34" s="167" t="s">
        <v>65</v>
      </c>
      <c r="B34" s="167"/>
      <c r="C34" s="167" t="s">
        <v>66</v>
      </c>
      <c r="D34" s="167"/>
      <c r="E34" s="167"/>
      <c r="F34" s="167"/>
      <c r="G34" s="167"/>
      <c r="H34" s="63"/>
      <c r="I34" s="63"/>
      <c r="J34" s="2"/>
      <c r="K34" s="2"/>
      <c r="L34" s="63"/>
      <c r="M34" s="63"/>
    </row>
    <row r="35" spans="1:13">
      <c r="A35" s="183" t="s">
        <v>67</v>
      </c>
      <c r="B35" s="159"/>
      <c r="C35" s="184">
        <v>44</v>
      </c>
      <c r="D35" s="186" t="s">
        <v>68</v>
      </c>
      <c r="E35" s="183">
        <v>73</v>
      </c>
      <c r="F35" s="183"/>
      <c r="G35" s="187">
        <v>49</v>
      </c>
      <c r="H35" s="63"/>
      <c r="I35" s="2"/>
      <c r="J35" s="2"/>
      <c r="K35" s="63"/>
      <c r="L35" s="63"/>
      <c r="M35" s="63"/>
    </row>
    <row r="36" spans="1:13">
      <c r="A36" s="183" t="s">
        <v>69</v>
      </c>
      <c r="B36" s="159"/>
      <c r="C36" s="184">
        <v>50</v>
      </c>
      <c r="D36" s="186" t="s">
        <v>68</v>
      </c>
      <c r="E36" s="183">
        <v>39</v>
      </c>
      <c r="F36" s="183"/>
      <c r="G36" s="187">
        <v>32</v>
      </c>
      <c r="H36" s="63"/>
      <c r="I36" s="63"/>
      <c r="J36" s="63"/>
      <c r="K36" s="63"/>
      <c r="L36" s="63"/>
      <c r="M36" s="63"/>
    </row>
    <row r="37" spans="1:13">
      <c r="A37" s="183" t="s">
        <v>299</v>
      </c>
      <c r="B37" s="159"/>
      <c r="C37" s="184">
        <v>50</v>
      </c>
      <c r="D37" s="186" t="s">
        <v>120</v>
      </c>
      <c r="E37" s="183">
        <v>81</v>
      </c>
      <c r="F37" s="183"/>
      <c r="G37" s="187">
        <v>48</v>
      </c>
      <c r="H37" s="63"/>
      <c r="I37" s="63"/>
      <c r="J37" s="63"/>
      <c r="K37" s="63"/>
      <c r="L37" s="63"/>
      <c r="M37" s="63"/>
    </row>
    <row r="38" spans="1:13">
      <c r="A38" s="167" t="s">
        <v>71</v>
      </c>
      <c r="B38" s="167"/>
      <c r="C38" s="167"/>
      <c r="D38" s="167"/>
      <c r="E38" s="167"/>
      <c r="F38" s="167"/>
      <c r="G38" s="167" t="s">
        <v>321</v>
      </c>
      <c r="H38" s="63"/>
      <c r="I38" s="63" t="s">
        <v>72</v>
      </c>
      <c r="J38" s="63"/>
      <c r="K38" s="63"/>
      <c r="L38" s="63"/>
      <c r="M38" s="63"/>
    </row>
    <row r="39" spans="1:13">
      <c r="A39" s="183" t="s">
        <v>73</v>
      </c>
      <c r="B39" s="183"/>
      <c r="C39" s="183"/>
      <c r="D39" s="183"/>
      <c r="E39" s="183"/>
      <c r="F39" s="183"/>
      <c r="G39" s="190">
        <v>6356</v>
      </c>
      <c r="H39" s="63"/>
      <c r="I39" s="137">
        <v>15706</v>
      </c>
      <c r="J39" s="137"/>
      <c r="K39" s="63"/>
      <c r="L39" s="63"/>
      <c r="M39" s="63"/>
    </row>
    <row r="40" spans="1:13">
      <c r="A40" s="183" t="s">
        <v>75</v>
      </c>
      <c r="B40" s="183"/>
      <c r="C40" s="183"/>
      <c r="D40" s="183"/>
      <c r="E40" s="183"/>
      <c r="F40" s="183"/>
      <c r="G40" s="191">
        <v>38.18</v>
      </c>
      <c r="H40" s="63"/>
      <c r="I40" s="137"/>
      <c r="J40" s="137"/>
      <c r="K40" s="176"/>
      <c r="L40" s="63"/>
      <c r="M40" s="63"/>
    </row>
    <row r="41" spans="1:13">
      <c r="A41" s="183" t="s">
        <v>76</v>
      </c>
      <c r="B41" s="183"/>
      <c r="C41" s="183"/>
      <c r="D41" s="183"/>
      <c r="E41" s="183"/>
      <c r="F41" s="183"/>
      <c r="G41" s="192">
        <f>+G40*G39</f>
        <v>242672.08</v>
      </c>
      <c r="H41" s="63"/>
      <c r="I41" s="137">
        <v>599643</v>
      </c>
      <c r="J41" s="137"/>
      <c r="K41" s="176"/>
      <c r="L41" s="63"/>
      <c r="M41" s="63"/>
    </row>
    <row r="42" spans="1:13">
      <c r="A42" s="183" t="s">
        <v>77</v>
      </c>
      <c r="B42" s="183"/>
      <c r="C42" s="183"/>
      <c r="D42" s="183"/>
      <c r="E42" s="183"/>
      <c r="F42" s="183"/>
      <c r="G42" s="192">
        <f>+G41-K21</f>
        <v>128354.07999999999</v>
      </c>
      <c r="H42" s="63"/>
      <c r="I42" s="137">
        <v>317163</v>
      </c>
      <c r="J42" s="137"/>
      <c r="K42" s="63"/>
      <c r="L42" s="63"/>
      <c r="M42" s="63"/>
    </row>
    <row r="43" spans="1:13">
      <c r="A43" s="183" t="s">
        <v>78</v>
      </c>
      <c r="B43" s="183"/>
      <c r="C43" s="183"/>
      <c r="D43" s="183"/>
      <c r="E43" s="183"/>
      <c r="F43" s="183"/>
      <c r="G43" s="192">
        <f>+G41-K22</f>
        <v>160399.07999999999</v>
      </c>
      <c r="H43" s="63"/>
      <c r="I43" s="137">
        <v>396346</v>
      </c>
      <c r="J43" s="137"/>
      <c r="K43" s="63"/>
      <c r="L43" s="63"/>
      <c r="M43" s="63"/>
    </row>
    <row r="44" spans="1:13">
      <c r="A44" s="183"/>
      <c r="B44" s="183"/>
      <c r="C44" s="183"/>
      <c r="D44" s="183"/>
      <c r="E44" s="183"/>
      <c r="F44" s="183"/>
      <c r="G44" s="191"/>
      <c r="H44" s="63"/>
      <c r="I44" s="63"/>
      <c r="J44" s="63"/>
      <c r="K44" s="63"/>
      <c r="L44" s="63"/>
      <c r="M44" s="63"/>
    </row>
    <row r="45" spans="1:13">
      <c r="A45" s="183" t="s">
        <v>79</v>
      </c>
      <c r="B45" s="183"/>
      <c r="C45" s="183"/>
      <c r="D45" s="183"/>
      <c r="E45" s="183"/>
      <c r="F45" s="183"/>
      <c r="G45" s="191">
        <f>+K21/G39</f>
        <v>17.985840151038389</v>
      </c>
      <c r="H45" s="63"/>
      <c r="I45" s="63"/>
      <c r="J45" s="63"/>
      <c r="K45" s="63"/>
      <c r="L45" s="63"/>
      <c r="M45" s="63"/>
    </row>
    <row r="46" spans="1:13">
      <c r="A46" s="170" t="s">
        <v>80</v>
      </c>
      <c r="B46" s="170"/>
      <c r="C46" s="170"/>
      <c r="D46" s="170"/>
      <c r="E46" s="170"/>
      <c r="F46" s="170"/>
      <c r="G46" s="193">
        <f>+K22/G39</f>
        <v>12.944147262429201</v>
      </c>
      <c r="H46" s="63"/>
      <c r="I46" s="63"/>
      <c r="J46" s="63"/>
      <c r="K46" s="63"/>
      <c r="L46" s="63"/>
      <c r="M46" s="63"/>
    </row>
    <row r="47" spans="1:13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N51"/>
  <sheetViews>
    <sheetView topLeftCell="A13" workbookViewId="0">
      <selection activeCell="H45" sqref="H45"/>
    </sheetView>
  </sheetViews>
  <sheetFormatPr defaultRowHeight="15"/>
  <sheetData>
    <row r="1" spans="1:14">
      <c r="A1" s="63" t="s">
        <v>0</v>
      </c>
      <c r="B1" s="63" t="s">
        <v>300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129"/>
    </row>
    <row r="2" spans="1:14">
      <c r="A2" s="63"/>
      <c r="B2" s="63" t="s">
        <v>100</v>
      </c>
      <c r="C2" s="157"/>
      <c r="D2" s="63" t="s">
        <v>3</v>
      </c>
      <c r="E2" s="157"/>
      <c r="F2" s="157"/>
      <c r="G2" s="157"/>
      <c r="H2" s="63" t="s">
        <v>102</v>
      </c>
      <c r="I2" s="63"/>
      <c r="J2" s="63"/>
      <c r="K2" s="63"/>
      <c r="L2" s="63"/>
      <c r="M2" s="63"/>
      <c r="N2" s="129"/>
    </row>
    <row r="3" spans="1:14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129"/>
    </row>
    <row r="4" spans="1:14">
      <c r="A4" s="158" t="s">
        <v>5</v>
      </c>
      <c r="B4" s="158"/>
      <c r="C4" s="158"/>
      <c r="D4" s="158" t="s">
        <v>6</v>
      </c>
      <c r="E4" s="158" t="s">
        <v>7</v>
      </c>
      <c r="F4" s="158" t="s">
        <v>8</v>
      </c>
      <c r="G4" s="158" t="s">
        <v>9</v>
      </c>
      <c r="H4" s="158" t="s">
        <v>10</v>
      </c>
      <c r="I4" s="158" t="s">
        <v>11</v>
      </c>
      <c r="J4" s="158" t="s">
        <v>12</v>
      </c>
      <c r="K4" s="158" t="s">
        <v>13</v>
      </c>
      <c r="L4" s="158" t="s">
        <v>14</v>
      </c>
      <c r="M4" s="158"/>
      <c r="N4" s="129"/>
    </row>
    <row r="5" spans="1:14">
      <c r="A5" s="159"/>
      <c r="B5" s="159"/>
      <c r="C5" s="159"/>
      <c r="D5" s="159" t="s">
        <v>15</v>
      </c>
      <c r="E5" s="159" t="s">
        <v>16</v>
      </c>
      <c r="F5" s="159" t="s">
        <v>16</v>
      </c>
      <c r="G5" s="159" t="s">
        <v>17</v>
      </c>
      <c r="H5" s="159" t="s">
        <v>18</v>
      </c>
      <c r="I5" s="159" t="s">
        <v>19</v>
      </c>
      <c r="J5" s="159" t="s">
        <v>18</v>
      </c>
      <c r="K5" s="159" t="s">
        <v>18</v>
      </c>
      <c r="L5" s="159" t="s">
        <v>20</v>
      </c>
      <c r="M5" s="159" t="s">
        <v>21</v>
      </c>
      <c r="N5" s="129"/>
    </row>
    <row r="6" spans="1:14">
      <c r="A6" s="159"/>
      <c r="B6" s="159"/>
      <c r="C6" s="159"/>
      <c r="D6" s="159" t="s">
        <v>22</v>
      </c>
      <c r="E6" s="159"/>
      <c r="F6" s="159"/>
      <c r="G6" s="159"/>
      <c r="H6" s="159" t="s">
        <v>23</v>
      </c>
      <c r="I6" s="159" t="s">
        <v>18</v>
      </c>
      <c r="J6" s="159" t="s">
        <v>23</v>
      </c>
      <c r="K6" s="159" t="s">
        <v>23</v>
      </c>
      <c r="L6" s="159"/>
      <c r="M6" s="159"/>
      <c r="N6" s="129"/>
    </row>
    <row r="7" spans="1:14">
      <c r="A7" s="160"/>
      <c r="B7" s="160"/>
      <c r="C7" s="160"/>
      <c r="D7" s="160"/>
      <c r="E7" s="160"/>
      <c r="F7" s="160"/>
      <c r="G7" s="160"/>
      <c r="H7" s="160"/>
      <c r="I7" s="160" t="s">
        <v>23</v>
      </c>
      <c r="J7" s="160"/>
      <c r="K7" s="160"/>
      <c r="L7" s="160"/>
      <c r="M7" s="160"/>
      <c r="N7" s="129"/>
    </row>
    <row r="8" spans="1:14">
      <c r="A8" s="63" t="s">
        <v>103</v>
      </c>
      <c r="B8" s="63"/>
      <c r="C8" s="63"/>
      <c r="D8" s="165">
        <v>93</v>
      </c>
      <c r="E8" s="163">
        <v>4.8</v>
      </c>
      <c r="F8" s="163">
        <v>4.8</v>
      </c>
      <c r="G8" s="204">
        <v>850</v>
      </c>
      <c r="H8" s="137">
        <v>4080</v>
      </c>
      <c r="I8" s="137"/>
      <c r="J8" s="137">
        <v>840</v>
      </c>
      <c r="K8" s="176">
        <f>SUM(H8:J8)</f>
        <v>4920</v>
      </c>
      <c r="L8" s="63"/>
      <c r="M8" s="63"/>
      <c r="N8" s="187"/>
    </row>
    <row r="9" spans="1:14">
      <c r="A9" s="63" t="s">
        <v>24</v>
      </c>
      <c r="B9" s="63"/>
      <c r="C9" s="63"/>
      <c r="D9" s="161">
        <v>93</v>
      </c>
      <c r="E9" s="162">
        <v>8</v>
      </c>
      <c r="F9" s="163">
        <v>3.6</v>
      </c>
      <c r="G9" s="204">
        <v>1200</v>
      </c>
      <c r="H9" s="137">
        <v>9600</v>
      </c>
      <c r="I9" s="137"/>
      <c r="J9" s="137"/>
      <c r="K9" s="176">
        <f t="shared" ref="K9:K20" si="0">SUM(H9:J9)</f>
        <v>9600</v>
      </c>
      <c r="L9" s="63"/>
      <c r="M9" s="63"/>
      <c r="N9" s="206"/>
    </row>
    <row r="10" spans="1:14">
      <c r="A10" s="63" t="s">
        <v>301</v>
      </c>
      <c r="B10" s="63"/>
      <c r="C10" s="63"/>
      <c r="D10" s="165">
        <v>53</v>
      </c>
      <c r="E10" s="163">
        <v>1.7</v>
      </c>
      <c r="F10" s="163">
        <v>1.7</v>
      </c>
      <c r="G10" s="204">
        <v>1122</v>
      </c>
      <c r="H10" s="137">
        <v>1907</v>
      </c>
      <c r="I10" s="137">
        <v>9831</v>
      </c>
      <c r="J10" s="137"/>
      <c r="K10" s="176">
        <f t="shared" si="0"/>
        <v>11738</v>
      </c>
      <c r="L10" s="163">
        <v>2577</v>
      </c>
      <c r="M10" s="63"/>
      <c r="N10" s="187"/>
    </row>
    <row r="11" spans="1:14">
      <c r="A11" s="197" t="s">
        <v>40</v>
      </c>
      <c r="B11" s="63"/>
      <c r="C11" s="63"/>
      <c r="D11" s="161" t="s">
        <v>138</v>
      </c>
      <c r="E11" s="162"/>
      <c r="F11" s="163"/>
      <c r="G11" s="204"/>
      <c r="H11" s="205" t="s">
        <v>302</v>
      </c>
      <c r="I11" s="137"/>
      <c r="J11" s="137"/>
      <c r="K11" s="176">
        <f t="shared" si="0"/>
        <v>0</v>
      </c>
      <c r="L11" s="63"/>
      <c r="M11" s="63"/>
      <c r="N11" s="187"/>
    </row>
    <row r="12" spans="1:14">
      <c r="A12" s="63" t="s">
        <v>111</v>
      </c>
      <c r="B12" s="63"/>
      <c r="C12" s="63"/>
      <c r="D12" s="165">
        <v>100</v>
      </c>
      <c r="E12" s="163">
        <v>11.7</v>
      </c>
      <c r="F12" s="163">
        <v>4.0999999999999996</v>
      </c>
      <c r="G12" s="204">
        <v>1171</v>
      </c>
      <c r="H12" s="137">
        <v>13701</v>
      </c>
      <c r="I12" s="137"/>
      <c r="J12" s="166">
        <v>2676</v>
      </c>
      <c r="K12" s="176">
        <f t="shared" si="0"/>
        <v>16377</v>
      </c>
      <c r="L12" s="63"/>
      <c r="M12" s="63"/>
      <c r="N12" s="187"/>
    </row>
    <row r="13" spans="1:14">
      <c r="A13" s="63" t="s">
        <v>303</v>
      </c>
      <c r="B13" s="63"/>
      <c r="C13" s="63"/>
      <c r="D13" s="165">
        <v>100</v>
      </c>
      <c r="E13" s="163">
        <v>16.399999999999999</v>
      </c>
      <c r="F13" s="163">
        <v>9.1999999999999993</v>
      </c>
      <c r="G13" s="204">
        <v>1016</v>
      </c>
      <c r="H13" s="137">
        <v>16662</v>
      </c>
      <c r="I13" s="137"/>
      <c r="J13" s="137">
        <v>8556</v>
      </c>
      <c r="K13" s="176">
        <f t="shared" si="0"/>
        <v>25218</v>
      </c>
      <c r="L13" s="63"/>
      <c r="M13" s="176">
        <v>326</v>
      </c>
      <c r="N13" s="187"/>
    </row>
    <row r="14" spans="1:14">
      <c r="A14" s="63" t="s">
        <v>32</v>
      </c>
      <c r="B14" s="63"/>
      <c r="C14" s="63"/>
      <c r="D14" s="165">
        <v>100</v>
      </c>
      <c r="E14" s="163">
        <v>6.7</v>
      </c>
      <c r="F14" s="163">
        <v>6</v>
      </c>
      <c r="G14" s="204">
        <v>1016</v>
      </c>
      <c r="H14" s="137">
        <v>6807</v>
      </c>
      <c r="I14" s="137"/>
      <c r="J14" s="137">
        <v>25315</v>
      </c>
      <c r="K14" s="176">
        <f t="shared" si="0"/>
        <v>32122</v>
      </c>
      <c r="L14" s="63"/>
      <c r="M14" s="137"/>
      <c r="N14" s="187"/>
    </row>
    <row r="15" spans="1:14">
      <c r="A15" s="63" t="s">
        <v>34</v>
      </c>
      <c r="B15" s="63"/>
      <c r="C15" s="63"/>
      <c r="D15" s="165">
        <v>100</v>
      </c>
      <c r="E15" s="163">
        <v>14.8</v>
      </c>
      <c r="F15" s="163">
        <v>6.9</v>
      </c>
      <c r="G15" s="204">
        <v>1165</v>
      </c>
      <c r="H15" s="137">
        <v>17242</v>
      </c>
      <c r="I15" s="137"/>
      <c r="J15" s="137"/>
      <c r="K15" s="176">
        <f t="shared" si="0"/>
        <v>17242</v>
      </c>
      <c r="L15" s="63"/>
      <c r="M15" s="137"/>
      <c r="N15" s="187"/>
    </row>
    <row r="16" spans="1:14">
      <c r="A16" s="63" t="s">
        <v>35</v>
      </c>
      <c r="B16" s="63"/>
      <c r="C16" s="63"/>
      <c r="D16" s="165">
        <v>100</v>
      </c>
      <c r="E16" s="163">
        <v>19.399999999999999</v>
      </c>
      <c r="F16" s="163">
        <v>18.899999999999999</v>
      </c>
      <c r="G16" s="204">
        <v>1200</v>
      </c>
      <c r="H16" s="137">
        <v>23280</v>
      </c>
      <c r="I16" s="137"/>
      <c r="J16" s="137">
        <v>23076</v>
      </c>
      <c r="K16" s="176">
        <f t="shared" si="0"/>
        <v>46356</v>
      </c>
      <c r="L16" s="63"/>
      <c r="M16" s="137"/>
      <c r="N16" s="129"/>
    </row>
    <row r="17" spans="1:14">
      <c r="A17" s="63" t="s">
        <v>249</v>
      </c>
      <c r="B17" s="63"/>
      <c r="C17" s="63"/>
      <c r="D17" s="165">
        <v>100</v>
      </c>
      <c r="E17" s="207">
        <v>9.3000000000000007</v>
      </c>
      <c r="F17" s="163">
        <v>5.4</v>
      </c>
      <c r="G17" s="204">
        <v>1172</v>
      </c>
      <c r="H17" s="137">
        <v>10900</v>
      </c>
      <c r="I17" s="137"/>
      <c r="J17" s="137">
        <v>17297</v>
      </c>
      <c r="K17" s="176">
        <f t="shared" si="0"/>
        <v>28197</v>
      </c>
      <c r="L17" s="63"/>
      <c r="M17" s="137">
        <v>7246</v>
      </c>
      <c r="N17" s="129"/>
    </row>
    <row r="18" spans="1:14">
      <c r="A18" s="63" t="s">
        <v>36</v>
      </c>
      <c r="B18" s="63"/>
      <c r="C18" s="63"/>
      <c r="D18" s="165">
        <v>100</v>
      </c>
      <c r="E18" s="163">
        <v>22.2</v>
      </c>
      <c r="F18" s="163">
        <v>22.2</v>
      </c>
      <c r="G18" s="204">
        <v>1022</v>
      </c>
      <c r="H18" s="137">
        <v>22688</v>
      </c>
      <c r="I18" s="137"/>
      <c r="J18" s="137"/>
      <c r="K18" s="176">
        <f t="shared" si="0"/>
        <v>22688</v>
      </c>
      <c r="L18" s="63"/>
      <c r="M18" s="63"/>
      <c r="N18" s="129"/>
    </row>
    <row r="19" spans="1:14">
      <c r="A19" s="63" t="s">
        <v>37</v>
      </c>
      <c r="B19" s="63"/>
      <c r="C19" s="63"/>
      <c r="D19" s="165">
        <v>100</v>
      </c>
      <c r="E19" s="163">
        <v>36.9</v>
      </c>
      <c r="F19" s="163">
        <v>20.7</v>
      </c>
      <c r="G19" s="204">
        <v>1022</v>
      </c>
      <c r="H19" s="137">
        <v>37712</v>
      </c>
      <c r="I19" s="137"/>
      <c r="J19" s="137"/>
      <c r="K19" s="176">
        <f t="shared" si="0"/>
        <v>37712</v>
      </c>
      <c r="L19" s="63"/>
      <c r="M19" s="63"/>
      <c r="N19" s="129"/>
    </row>
    <row r="20" spans="1:14">
      <c r="A20" s="63" t="s">
        <v>43</v>
      </c>
      <c r="B20" s="63"/>
      <c r="C20" s="63"/>
      <c r="D20" s="165">
        <v>70</v>
      </c>
      <c r="E20" s="163">
        <v>9.1999999999999993</v>
      </c>
      <c r="F20" s="163">
        <v>9.1999999999999993</v>
      </c>
      <c r="G20" s="204">
        <v>1022</v>
      </c>
      <c r="H20" s="137">
        <v>9402</v>
      </c>
      <c r="I20" s="137">
        <v>5747</v>
      </c>
      <c r="J20" s="137"/>
      <c r="K20" s="176">
        <f t="shared" si="0"/>
        <v>15149</v>
      </c>
      <c r="L20" s="163">
        <v>586</v>
      </c>
      <c r="M20" s="63"/>
      <c r="N20" s="129"/>
    </row>
    <row r="21" spans="1:14">
      <c r="A21" s="167" t="s">
        <v>44</v>
      </c>
      <c r="B21" s="167"/>
      <c r="C21" s="167"/>
      <c r="D21" s="168"/>
      <c r="E21" s="139">
        <v>161.1</v>
      </c>
      <c r="F21" s="135">
        <v>112.7</v>
      </c>
      <c r="G21" s="139"/>
      <c r="H21" s="135">
        <f t="shared" ref="H21:M21" si="1">SUM(H8:H20)</f>
        <v>173981</v>
      </c>
      <c r="I21" s="135">
        <f t="shared" si="1"/>
        <v>15578</v>
      </c>
      <c r="J21" s="135">
        <f t="shared" si="1"/>
        <v>77760</v>
      </c>
      <c r="K21" s="135">
        <f t="shared" si="1"/>
        <v>267319</v>
      </c>
      <c r="L21" s="135">
        <f t="shared" si="1"/>
        <v>3163</v>
      </c>
      <c r="M21" s="135">
        <f t="shared" si="1"/>
        <v>7572</v>
      </c>
      <c r="N21" s="129"/>
    </row>
    <row r="22" spans="1:14">
      <c r="A22" s="170" t="s">
        <v>45</v>
      </c>
      <c r="B22" s="170"/>
      <c r="C22" s="170"/>
      <c r="D22" s="171"/>
      <c r="E22" s="173">
        <v>48.399999999999991</v>
      </c>
      <c r="F22" s="173"/>
      <c r="G22" s="173"/>
      <c r="H22" s="174">
        <v>51840</v>
      </c>
      <c r="I22" s="174">
        <v>12415</v>
      </c>
      <c r="J22" s="174">
        <v>70188</v>
      </c>
      <c r="K22" s="174">
        <f>SUM(H22:J22)</f>
        <v>134443</v>
      </c>
      <c r="L22" s="170"/>
      <c r="M22" s="170"/>
      <c r="N22" s="129"/>
    </row>
    <row r="23" spans="1:14">
      <c r="A23" s="175" t="s">
        <v>164</v>
      </c>
      <c r="B23" s="63"/>
      <c r="C23" s="63"/>
      <c r="D23" s="63"/>
      <c r="E23" s="63"/>
      <c r="F23" s="63"/>
      <c r="G23" s="63"/>
      <c r="H23" s="63"/>
      <c r="I23" s="176"/>
      <c r="J23" s="176"/>
      <c r="K23" s="176"/>
      <c r="L23" s="63"/>
      <c r="M23" s="63"/>
      <c r="N23" s="129"/>
    </row>
    <row r="24" spans="1:14">
      <c r="A24" s="63"/>
      <c r="B24" s="63"/>
      <c r="C24" s="63" t="s">
        <v>46</v>
      </c>
      <c r="D24" s="63"/>
      <c r="E24" s="63"/>
      <c r="F24" s="63"/>
      <c r="G24" s="63"/>
      <c r="H24" s="137"/>
      <c r="I24" s="137"/>
      <c r="J24" s="137"/>
      <c r="K24" s="176"/>
      <c r="L24" s="63"/>
      <c r="M24" s="63"/>
      <c r="N24" s="129"/>
    </row>
    <row r="25" spans="1:14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176"/>
      <c r="L25" s="63"/>
      <c r="M25" s="63"/>
      <c r="N25" s="129"/>
    </row>
    <row r="26" spans="1:14">
      <c r="A26" s="63" t="s">
        <v>47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129"/>
    </row>
    <row r="27" spans="1:14">
      <c r="A27" s="177" t="s">
        <v>48</v>
      </c>
      <c r="B27" s="177"/>
      <c r="C27" s="177"/>
      <c r="D27" s="177" t="s">
        <v>49</v>
      </c>
      <c r="E27" s="177" t="s">
        <v>50</v>
      </c>
      <c r="F27" s="177"/>
      <c r="G27" s="177" t="s">
        <v>51</v>
      </c>
      <c r="H27" s="63"/>
      <c r="I27" s="63"/>
      <c r="J27" s="178" t="s">
        <v>52</v>
      </c>
      <c r="K27" s="179" t="s">
        <v>53</v>
      </c>
      <c r="L27" s="63"/>
      <c r="M27" s="63"/>
      <c r="N27" s="129"/>
    </row>
    <row r="28" spans="1:14">
      <c r="A28" s="63" t="s">
        <v>54</v>
      </c>
      <c r="B28" s="63"/>
      <c r="C28" s="63"/>
      <c r="D28" s="63"/>
      <c r="E28" s="63"/>
      <c r="F28" s="63"/>
      <c r="G28" s="63"/>
      <c r="H28" s="63"/>
      <c r="I28" s="63"/>
      <c r="J28" s="167" t="s">
        <v>304</v>
      </c>
      <c r="K28" s="135">
        <v>83</v>
      </c>
      <c r="L28" s="63"/>
      <c r="M28" s="63"/>
      <c r="N28" s="129"/>
    </row>
    <row r="29" spans="1:14">
      <c r="A29" s="63" t="s">
        <v>305</v>
      </c>
      <c r="B29" s="63"/>
      <c r="C29" s="63"/>
      <c r="D29" s="208" t="s">
        <v>306</v>
      </c>
      <c r="E29" s="209">
        <v>7.9000000000000001E-2</v>
      </c>
      <c r="F29" s="176"/>
      <c r="G29" s="176">
        <v>108300</v>
      </c>
      <c r="H29" s="63"/>
      <c r="I29" s="63"/>
      <c r="J29" s="170" t="s">
        <v>307</v>
      </c>
      <c r="K29" s="174">
        <v>17</v>
      </c>
      <c r="L29" s="63"/>
      <c r="M29" s="63"/>
      <c r="N29" s="129"/>
    </row>
    <row r="30" spans="1:14">
      <c r="A30" s="63" t="s">
        <v>59</v>
      </c>
      <c r="B30" s="63"/>
      <c r="C30" s="63"/>
      <c r="D30" s="208"/>
      <c r="E30" s="63"/>
      <c r="F30" s="63"/>
      <c r="G30" s="63"/>
      <c r="H30" s="63"/>
      <c r="I30" s="63"/>
      <c r="J30" s="63"/>
      <c r="K30" s="137"/>
      <c r="L30" s="63"/>
      <c r="M30" s="63"/>
      <c r="N30" s="129"/>
    </row>
    <row r="31" spans="1:14">
      <c r="A31" s="63" t="s">
        <v>60</v>
      </c>
      <c r="B31" s="63"/>
      <c r="C31" s="63"/>
      <c r="D31" s="208" t="s">
        <v>61</v>
      </c>
      <c r="E31" s="137">
        <v>48</v>
      </c>
      <c r="F31" s="137"/>
      <c r="G31" s="176">
        <v>1080</v>
      </c>
      <c r="H31" s="63"/>
      <c r="I31" s="63"/>
      <c r="J31" s="167" t="s">
        <v>62</v>
      </c>
      <c r="K31" s="167">
        <v>0.44</v>
      </c>
      <c r="L31" s="63"/>
      <c r="M31" s="63"/>
      <c r="N31" s="129"/>
    </row>
    <row r="32" spans="1:14">
      <c r="A32" s="63" t="s">
        <v>63</v>
      </c>
      <c r="B32" s="63"/>
      <c r="C32" s="63"/>
      <c r="D32" s="208" t="s">
        <v>61</v>
      </c>
      <c r="E32" s="137">
        <v>113</v>
      </c>
      <c r="F32" s="137"/>
      <c r="G32" s="137"/>
      <c r="H32" s="63"/>
      <c r="I32" s="63"/>
      <c r="J32" s="170" t="s">
        <v>64</v>
      </c>
      <c r="K32" s="173">
        <v>0.25</v>
      </c>
      <c r="L32" s="63"/>
      <c r="M32" s="63"/>
      <c r="N32" s="129"/>
    </row>
    <row r="33" spans="1:14">
      <c r="A33" s="63" t="s">
        <v>7</v>
      </c>
      <c r="B33" s="63"/>
      <c r="C33" s="63"/>
      <c r="D33" s="208"/>
      <c r="E33" s="137">
        <f>SUM(E31:E32)</f>
        <v>161</v>
      </c>
      <c r="F33" s="137"/>
      <c r="G33" s="137"/>
      <c r="H33" s="63"/>
      <c r="I33" s="63"/>
      <c r="J33" s="63"/>
      <c r="K33" s="138"/>
      <c r="L33" s="63"/>
      <c r="M33" s="63"/>
      <c r="N33" s="129"/>
    </row>
    <row r="34" spans="1:14">
      <c r="A34" s="63"/>
      <c r="B34" s="63"/>
      <c r="C34" s="63"/>
      <c r="D34" s="208"/>
      <c r="E34" s="63"/>
      <c r="F34" s="63"/>
      <c r="G34" s="63"/>
      <c r="H34" s="63"/>
      <c r="I34" s="63"/>
      <c r="J34" s="157"/>
      <c r="K34" s="157"/>
      <c r="L34" s="63"/>
      <c r="M34" s="63"/>
      <c r="N34" s="129"/>
    </row>
    <row r="35" spans="1:14">
      <c r="A35" s="167" t="s">
        <v>65</v>
      </c>
      <c r="B35" s="167"/>
      <c r="C35" s="167"/>
      <c r="D35" s="210"/>
      <c r="E35" s="167"/>
      <c r="F35" s="167"/>
      <c r="G35" s="167"/>
      <c r="H35" s="63"/>
      <c r="I35" s="63"/>
      <c r="J35" s="157"/>
      <c r="K35" s="157"/>
      <c r="L35" s="63"/>
      <c r="M35" s="63"/>
      <c r="N35" s="129"/>
    </row>
    <row r="36" spans="1:14">
      <c r="A36" s="63"/>
      <c r="B36" s="159"/>
      <c r="C36" s="184" t="s">
        <v>53</v>
      </c>
      <c r="D36" s="211"/>
      <c r="E36" s="183"/>
      <c r="F36" s="183"/>
      <c r="G36" s="183"/>
      <c r="H36" s="63"/>
      <c r="I36" s="63"/>
      <c r="J36" s="63"/>
      <c r="K36" s="63"/>
      <c r="L36" s="63"/>
      <c r="M36" s="63"/>
      <c r="N36" s="129"/>
    </row>
    <row r="37" spans="1:14">
      <c r="A37" s="183" t="s">
        <v>69</v>
      </c>
      <c r="B37" s="159"/>
      <c r="C37" s="184">
        <v>73</v>
      </c>
      <c r="D37" s="211" t="s">
        <v>68</v>
      </c>
      <c r="E37" s="183">
        <v>66</v>
      </c>
      <c r="F37" s="183"/>
      <c r="G37" s="187">
        <v>43</v>
      </c>
      <c r="H37" s="63"/>
      <c r="I37" s="63"/>
      <c r="J37" s="63"/>
      <c r="K37" s="63"/>
      <c r="L37" s="63"/>
      <c r="M37" s="63"/>
      <c r="N37" s="129"/>
    </row>
    <row r="38" spans="1:14">
      <c r="A38" s="183" t="s">
        <v>252</v>
      </c>
      <c r="B38" s="159"/>
      <c r="C38" s="184">
        <v>70</v>
      </c>
      <c r="D38" s="211" t="s">
        <v>68</v>
      </c>
      <c r="E38" s="183">
        <v>299</v>
      </c>
      <c r="F38" s="183"/>
      <c r="G38" s="187">
        <v>43</v>
      </c>
      <c r="H38" s="63"/>
      <c r="I38" s="63"/>
      <c r="J38" s="63"/>
      <c r="K38" s="63"/>
      <c r="L38" s="63"/>
      <c r="M38" s="63"/>
      <c r="N38" s="129"/>
    </row>
    <row r="39" spans="1:14">
      <c r="A39" s="183" t="s">
        <v>308</v>
      </c>
      <c r="B39" s="159"/>
      <c r="C39" s="184">
        <v>63</v>
      </c>
      <c r="D39" s="211" t="s">
        <v>68</v>
      </c>
      <c r="E39" s="183">
        <v>34</v>
      </c>
      <c r="F39" s="183"/>
      <c r="G39" s="187">
        <v>116</v>
      </c>
      <c r="H39" s="63"/>
      <c r="I39" s="63"/>
      <c r="J39" s="63"/>
      <c r="K39" s="63"/>
      <c r="L39" s="63"/>
      <c r="M39" s="63"/>
      <c r="N39" s="129"/>
    </row>
    <row r="40" spans="1:14">
      <c r="A40" s="188" t="s">
        <v>254</v>
      </c>
      <c r="B40" s="159"/>
      <c r="C40" s="184">
        <v>93</v>
      </c>
      <c r="D40" s="211" t="s">
        <v>68</v>
      </c>
      <c r="E40" s="188">
        <v>946</v>
      </c>
      <c r="F40" s="183"/>
      <c r="G40" s="206">
        <v>6</v>
      </c>
      <c r="H40" s="63"/>
      <c r="I40" s="63"/>
      <c r="J40" s="63"/>
      <c r="K40" s="63"/>
      <c r="L40" s="63"/>
      <c r="M40" s="63"/>
      <c r="N40" s="129"/>
    </row>
    <row r="41" spans="1:14">
      <c r="A41" s="197"/>
      <c r="B41" s="212"/>
      <c r="C41" s="188"/>
      <c r="D41" s="183"/>
      <c r="E41" s="188"/>
      <c r="F41" s="183"/>
      <c r="G41" s="188"/>
      <c r="H41" s="63"/>
      <c r="I41" s="63"/>
      <c r="J41" s="63"/>
      <c r="K41" s="63"/>
      <c r="L41" s="63"/>
      <c r="M41" s="63"/>
      <c r="N41" s="129"/>
    </row>
    <row r="42" spans="1:14">
      <c r="A42" s="170"/>
      <c r="B42" s="159"/>
      <c r="C42" s="213"/>
      <c r="D42" s="170"/>
      <c r="E42" s="170"/>
      <c r="F42" s="170"/>
      <c r="G42" s="170"/>
      <c r="H42" s="63"/>
      <c r="I42" s="63"/>
      <c r="J42" s="63"/>
      <c r="K42" s="63"/>
      <c r="L42" s="63"/>
      <c r="M42" s="63"/>
      <c r="N42" s="129"/>
    </row>
    <row r="43" spans="1:14">
      <c r="A43" s="167" t="s">
        <v>71</v>
      </c>
      <c r="B43" s="167"/>
      <c r="C43" s="167"/>
      <c r="D43" s="167"/>
      <c r="E43" s="167"/>
      <c r="F43" s="167"/>
      <c r="G43" s="167" t="s">
        <v>321</v>
      </c>
      <c r="H43" s="63"/>
      <c r="I43" s="63" t="s">
        <v>72</v>
      </c>
      <c r="J43" s="63"/>
      <c r="K43" s="63"/>
      <c r="L43" s="63"/>
      <c r="M43" s="63"/>
      <c r="N43" s="129"/>
    </row>
    <row r="44" spans="1:14">
      <c r="A44" s="183" t="s">
        <v>73</v>
      </c>
      <c r="B44" s="183"/>
      <c r="C44" s="183"/>
      <c r="D44" s="183"/>
      <c r="E44" s="183"/>
      <c r="F44" s="183"/>
      <c r="G44" s="190">
        <v>8442</v>
      </c>
      <c r="H44" s="63"/>
      <c r="I44" s="137">
        <f>+G44*2.471</f>
        <v>20860.182000000001</v>
      </c>
      <c r="J44" s="63"/>
      <c r="K44" s="63"/>
      <c r="L44" s="63"/>
      <c r="M44" s="63"/>
      <c r="N44" s="129"/>
    </row>
    <row r="45" spans="1:14">
      <c r="A45" s="183" t="s">
        <v>75</v>
      </c>
      <c r="B45" s="183"/>
      <c r="C45" s="183"/>
      <c r="D45" s="183"/>
      <c r="E45" s="183"/>
      <c r="F45" s="183"/>
      <c r="G45" s="191">
        <v>90.3</v>
      </c>
      <c r="H45" s="63"/>
      <c r="I45" s="137"/>
      <c r="J45" s="63"/>
      <c r="K45" s="176"/>
      <c r="L45" s="63"/>
      <c r="M45" s="63"/>
      <c r="N45" s="129"/>
    </row>
    <row r="46" spans="1:14">
      <c r="A46" s="183" t="s">
        <v>76</v>
      </c>
      <c r="B46" s="183"/>
      <c r="C46" s="183"/>
      <c r="D46" s="183"/>
      <c r="E46" s="183"/>
      <c r="F46" s="183"/>
      <c r="G46" s="192">
        <v>762313</v>
      </c>
      <c r="H46" s="137"/>
      <c r="I46" s="137">
        <f t="shared" ref="I46:I48" si="2">+G46*2.471</f>
        <v>1883675.423</v>
      </c>
      <c r="J46" s="63"/>
      <c r="K46" s="176"/>
      <c r="L46" s="63"/>
      <c r="M46" s="63"/>
      <c r="N46" s="129"/>
    </row>
    <row r="47" spans="1:14">
      <c r="A47" s="183" t="s">
        <v>77</v>
      </c>
      <c r="B47" s="183"/>
      <c r="C47" s="183"/>
      <c r="D47" s="183"/>
      <c r="E47" s="183"/>
      <c r="F47" s="183"/>
      <c r="G47" s="192">
        <v>494994</v>
      </c>
      <c r="H47" s="137"/>
      <c r="I47" s="137">
        <f t="shared" si="2"/>
        <v>1223130.1740000001</v>
      </c>
      <c r="J47" s="63"/>
      <c r="K47" s="63"/>
      <c r="L47" s="63"/>
      <c r="M47" s="63"/>
      <c r="N47" s="129"/>
    </row>
    <row r="48" spans="1:14">
      <c r="A48" s="183" t="s">
        <v>78</v>
      </c>
      <c r="B48" s="183"/>
      <c r="C48" s="183"/>
      <c r="D48" s="183"/>
      <c r="E48" s="183"/>
      <c r="F48" s="183"/>
      <c r="G48" s="192">
        <v>627870</v>
      </c>
      <c r="H48" s="137"/>
      <c r="I48" s="137">
        <f t="shared" si="2"/>
        <v>1551466.77</v>
      </c>
      <c r="J48" s="63"/>
      <c r="K48" s="63"/>
      <c r="L48" s="63"/>
      <c r="M48" s="63"/>
      <c r="N48" s="129"/>
    </row>
    <row r="49" spans="1:14">
      <c r="A49" s="183"/>
      <c r="B49" s="183"/>
      <c r="C49" s="183"/>
      <c r="D49" s="183"/>
      <c r="E49" s="183"/>
      <c r="F49" s="183"/>
      <c r="G49" s="191"/>
      <c r="H49" s="176"/>
      <c r="I49" s="63"/>
      <c r="J49" s="63"/>
      <c r="K49" s="63"/>
      <c r="L49" s="63"/>
      <c r="M49" s="63"/>
      <c r="N49" s="129"/>
    </row>
    <row r="50" spans="1:14">
      <c r="A50" s="183" t="s">
        <v>79</v>
      </c>
      <c r="B50" s="183"/>
      <c r="C50" s="183"/>
      <c r="D50" s="183"/>
      <c r="E50" s="183"/>
      <c r="F50" s="183"/>
      <c r="G50" s="191">
        <f>+K21/G44</f>
        <v>31.665363657900972</v>
      </c>
      <c r="H50" s="176"/>
      <c r="I50" s="63"/>
      <c r="J50" s="63"/>
      <c r="K50" s="63"/>
      <c r="L50" s="63"/>
      <c r="M50" s="63"/>
      <c r="N50" s="129"/>
    </row>
    <row r="51" spans="1:14">
      <c r="A51" s="170" t="s">
        <v>80</v>
      </c>
      <c r="B51" s="170"/>
      <c r="C51" s="170"/>
      <c r="D51" s="170"/>
      <c r="E51" s="170"/>
      <c r="F51" s="170"/>
      <c r="G51" s="193">
        <f>+K22/G44</f>
        <v>15.925491589670694</v>
      </c>
      <c r="H51" s="176"/>
      <c r="I51" s="63"/>
      <c r="J51" s="63"/>
      <c r="K51" s="63"/>
      <c r="L51" s="63"/>
      <c r="M51" s="63"/>
      <c r="N51" s="12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7"/>
  <sheetViews>
    <sheetView topLeftCell="A16" workbookViewId="0">
      <selection activeCell="H43" sqref="H43"/>
    </sheetView>
  </sheetViews>
  <sheetFormatPr defaultRowHeight="15"/>
  <sheetData>
    <row r="1" spans="1:13">
      <c r="A1" s="1" t="s">
        <v>0</v>
      </c>
      <c r="B1" s="1" t="s">
        <v>309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 t="s">
        <v>310</v>
      </c>
      <c r="C2" s="1" t="s">
        <v>311</v>
      </c>
      <c r="D2" s="1" t="s">
        <v>102</v>
      </c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3" t="s">
        <v>5</v>
      </c>
      <c r="B4" s="3"/>
      <c r="C4" s="3"/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/>
    </row>
    <row r="5" spans="1:13">
      <c r="A5" s="4"/>
      <c r="B5" s="4"/>
      <c r="C5" s="4"/>
      <c r="D5" s="4" t="s">
        <v>15</v>
      </c>
      <c r="E5" s="4" t="s">
        <v>16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18</v>
      </c>
      <c r="K5" s="4" t="s">
        <v>18</v>
      </c>
      <c r="L5" s="4" t="s">
        <v>20</v>
      </c>
      <c r="M5" s="4" t="s">
        <v>21</v>
      </c>
    </row>
    <row r="6" spans="1:13">
      <c r="A6" s="4"/>
      <c r="B6" s="4"/>
      <c r="C6" s="4"/>
      <c r="D6" s="4" t="s">
        <v>22</v>
      </c>
      <c r="E6" s="4"/>
      <c r="F6" s="4"/>
      <c r="G6" s="4"/>
      <c r="H6" s="4" t="s">
        <v>23</v>
      </c>
      <c r="I6" s="4" t="s">
        <v>18</v>
      </c>
      <c r="J6" s="4" t="s">
        <v>23</v>
      </c>
      <c r="K6" s="4" t="s">
        <v>23</v>
      </c>
      <c r="L6" s="4"/>
      <c r="M6" s="4"/>
    </row>
    <row r="7" spans="1:13">
      <c r="A7" s="5"/>
      <c r="B7" s="5"/>
      <c r="C7" s="5"/>
      <c r="D7" s="5"/>
      <c r="E7" s="5"/>
      <c r="F7" s="5"/>
      <c r="G7" s="5"/>
      <c r="H7" s="5"/>
      <c r="I7" s="5" t="s">
        <v>23</v>
      </c>
      <c r="J7" s="5"/>
      <c r="K7" s="5"/>
      <c r="L7" s="5"/>
      <c r="M7" s="5"/>
    </row>
    <row r="8" spans="1:13">
      <c r="A8" s="1" t="s">
        <v>103</v>
      </c>
      <c r="B8" s="1"/>
      <c r="C8" s="1"/>
      <c r="D8" s="6">
        <v>100</v>
      </c>
      <c r="E8" s="10">
        <v>8.4</v>
      </c>
      <c r="F8" s="10">
        <v>7.1</v>
      </c>
      <c r="G8" s="11">
        <v>1200</v>
      </c>
      <c r="H8" s="12">
        <v>10080</v>
      </c>
      <c r="I8" s="12"/>
      <c r="J8" s="12">
        <v>1351</v>
      </c>
      <c r="K8" s="12">
        <f>+J8+I8+H8</f>
        <v>11431</v>
      </c>
      <c r="L8" s="12"/>
      <c r="M8" s="12"/>
    </row>
    <row r="9" spans="1:13">
      <c r="A9" s="1" t="s">
        <v>24</v>
      </c>
      <c r="B9" s="1"/>
      <c r="C9" s="1"/>
      <c r="D9" s="6">
        <v>57</v>
      </c>
      <c r="E9" s="10">
        <v>6.7</v>
      </c>
      <c r="F9" s="10">
        <v>2.6</v>
      </c>
      <c r="G9" s="11">
        <v>1300</v>
      </c>
      <c r="H9" s="12">
        <v>8710</v>
      </c>
      <c r="I9" s="12"/>
      <c r="J9" s="12"/>
      <c r="K9" s="12">
        <f t="shared" ref="K9:K19" si="0">+J9+I9+H9</f>
        <v>8710</v>
      </c>
      <c r="L9" s="12"/>
      <c r="M9" s="12"/>
    </row>
    <row r="10" spans="1:13">
      <c r="A10" s="1" t="s">
        <v>312</v>
      </c>
      <c r="B10" s="1"/>
      <c r="C10" s="1"/>
      <c r="D10" s="6">
        <v>57</v>
      </c>
      <c r="E10" s="10">
        <v>11.4</v>
      </c>
      <c r="F10" s="10">
        <v>3</v>
      </c>
      <c r="G10" s="11">
        <v>1300</v>
      </c>
      <c r="H10" s="12">
        <v>14820</v>
      </c>
      <c r="I10" s="12"/>
      <c r="J10" s="12"/>
      <c r="K10" s="12">
        <f t="shared" si="0"/>
        <v>14820</v>
      </c>
      <c r="L10" s="12"/>
      <c r="M10" s="12"/>
    </row>
    <row r="11" spans="1:13">
      <c r="A11" s="1" t="s">
        <v>313</v>
      </c>
      <c r="B11" s="1"/>
      <c r="C11" s="1"/>
      <c r="D11" s="6" t="s">
        <v>314</v>
      </c>
      <c r="E11" s="10"/>
      <c r="F11" s="10"/>
      <c r="G11" s="11"/>
      <c r="H11" s="12"/>
      <c r="I11" s="214" t="s">
        <v>315</v>
      </c>
      <c r="J11" s="12"/>
      <c r="K11" s="12"/>
      <c r="L11" s="12"/>
      <c r="M11" s="12"/>
    </row>
    <row r="12" spans="1:13">
      <c r="A12" s="1" t="s">
        <v>111</v>
      </c>
      <c r="B12" s="1"/>
      <c r="C12" s="1"/>
      <c r="D12" s="6">
        <v>100</v>
      </c>
      <c r="E12" s="10">
        <v>10.6</v>
      </c>
      <c r="F12" s="10">
        <v>3.8</v>
      </c>
      <c r="G12" s="11">
        <v>1293</v>
      </c>
      <c r="H12" s="12">
        <v>13706</v>
      </c>
      <c r="I12" s="12"/>
      <c r="J12" s="127">
        <v>2788</v>
      </c>
      <c r="K12" s="12">
        <f t="shared" si="0"/>
        <v>16494</v>
      </c>
      <c r="L12" s="12"/>
      <c r="M12" s="12"/>
    </row>
    <row r="13" spans="1:13">
      <c r="A13" s="1" t="s">
        <v>303</v>
      </c>
      <c r="B13" s="1"/>
      <c r="C13" s="1"/>
      <c r="D13" s="6">
        <v>100</v>
      </c>
      <c r="E13" s="10">
        <v>9.4</v>
      </c>
      <c r="F13" s="10">
        <v>3.3</v>
      </c>
      <c r="G13" s="11">
        <v>1246</v>
      </c>
      <c r="H13" s="12">
        <v>11712</v>
      </c>
      <c r="I13" s="12"/>
      <c r="J13" s="12">
        <v>12155</v>
      </c>
      <c r="K13" s="12">
        <f t="shared" si="0"/>
        <v>23867</v>
      </c>
      <c r="L13" s="12"/>
      <c r="M13" s="12">
        <v>380</v>
      </c>
    </row>
    <row r="14" spans="1:13">
      <c r="A14" s="1" t="s">
        <v>32</v>
      </c>
      <c r="B14" s="1"/>
      <c r="C14" s="1"/>
      <c r="D14" s="6">
        <v>100</v>
      </c>
      <c r="E14" s="10">
        <v>8.4</v>
      </c>
      <c r="F14" s="10">
        <v>7</v>
      </c>
      <c r="G14" s="11">
        <v>1200</v>
      </c>
      <c r="H14" s="12">
        <v>10080</v>
      </c>
      <c r="I14" s="12"/>
      <c r="J14" s="12">
        <v>17911</v>
      </c>
      <c r="K14" s="12">
        <f t="shared" si="0"/>
        <v>27991</v>
      </c>
      <c r="L14" s="12"/>
      <c r="M14" s="12"/>
    </row>
    <row r="15" spans="1:13">
      <c r="A15" s="1" t="s">
        <v>34</v>
      </c>
      <c r="B15" s="1"/>
      <c r="C15" s="1"/>
      <c r="D15" s="6">
        <v>100</v>
      </c>
      <c r="E15" s="10">
        <v>13.8</v>
      </c>
      <c r="F15" s="10">
        <v>5.9</v>
      </c>
      <c r="G15" s="11">
        <v>1294</v>
      </c>
      <c r="H15" s="12">
        <v>17857</v>
      </c>
      <c r="I15" s="12"/>
      <c r="J15" s="12"/>
      <c r="K15" s="12">
        <f t="shared" si="0"/>
        <v>17857</v>
      </c>
      <c r="L15" s="12"/>
      <c r="M15" s="12"/>
    </row>
    <row r="16" spans="1:13">
      <c r="A16" s="1" t="s">
        <v>35</v>
      </c>
      <c r="B16" s="1"/>
      <c r="C16" s="1"/>
      <c r="D16" s="6">
        <v>100</v>
      </c>
      <c r="E16" s="10">
        <v>8.6999999999999993</v>
      </c>
      <c r="F16" s="10">
        <v>7.4</v>
      </c>
      <c r="G16" s="11">
        <v>1397</v>
      </c>
      <c r="H16" s="12">
        <v>12154</v>
      </c>
      <c r="I16" s="12"/>
      <c r="J16" s="12">
        <v>16555</v>
      </c>
      <c r="K16" s="12">
        <f t="shared" si="0"/>
        <v>28709</v>
      </c>
      <c r="L16" s="12"/>
      <c r="M16" s="12"/>
    </row>
    <row r="17" spans="1:13">
      <c r="A17" s="1" t="s">
        <v>249</v>
      </c>
      <c r="B17" s="1"/>
      <c r="C17" s="1"/>
      <c r="D17" s="6">
        <v>100</v>
      </c>
      <c r="E17" s="215">
        <v>14.3</v>
      </c>
      <c r="F17" s="10">
        <v>6.5</v>
      </c>
      <c r="G17" s="11">
        <v>1338</v>
      </c>
      <c r="H17" s="12">
        <v>19133</v>
      </c>
      <c r="I17" s="12"/>
      <c r="J17" s="12">
        <v>20009</v>
      </c>
      <c r="K17" s="12">
        <f t="shared" si="0"/>
        <v>39142</v>
      </c>
      <c r="L17" s="12"/>
      <c r="M17" s="12">
        <v>6253</v>
      </c>
    </row>
    <row r="18" spans="1:13">
      <c r="A18" s="1" t="s">
        <v>316</v>
      </c>
      <c r="B18" s="1"/>
      <c r="C18" s="1"/>
      <c r="D18" s="6">
        <v>100</v>
      </c>
      <c r="E18" s="10">
        <v>9.6</v>
      </c>
      <c r="F18" s="10">
        <v>9.4</v>
      </c>
      <c r="G18" s="11">
        <v>1338</v>
      </c>
      <c r="H18" s="12">
        <v>12845</v>
      </c>
      <c r="I18" s="12"/>
      <c r="J18" s="12"/>
      <c r="K18" s="12">
        <f t="shared" si="0"/>
        <v>12845</v>
      </c>
      <c r="L18" s="12"/>
      <c r="M18" s="12"/>
    </row>
    <row r="19" spans="1:13">
      <c r="A19" s="1" t="s">
        <v>37</v>
      </c>
      <c r="B19" s="1"/>
      <c r="C19" s="1"/>
      <c r="D19" s="6">
        <v>100</v>
      </c>
      <c r="E19" s="10">
        <v>31.7</v>
      </c>
      <c r="F19" s="10">
        <v>16</v>
      </c>
      <c r="G19" s="11">
        <v>899</v>
      </c>
      <c r="H19" s="12">
        <v>28498</v>
      </c>
      <c r="I19" s="12"/>
      <c r="J19" s="12"/>
      <c r="K19" s="12">
        <f t="shared" si="0"/>
        <v>28498</v>
      </c>
      <c r="L19" s="12"/>
      <c r="M19" s="12"/>
    </row>
    <row r="20" spans="1:13">
      <c r="A20" s="16" t="s">
        <v>44</v>
      </c>
      <c r="B20" s="16"/>
      <c r="C20" s="16"/>
      <c r="D20" s="17"/>
      <c r="E20" s="18">
        <v>133.04</v>
      </c>
      <c r="F20" s="18">
        <v>72.009999999999991</v>
      </c>
      <c r="G20" s="19"/>
      <c r="H20" s="19">
        <f>SUM(H8:H19)</f>
        <v>159595</v>
      </c>
      <c r="I20" s="19"/>
      <c r="J20" s="19">
        <f>SUM(J8:J19)</f>
        <v>70769</v>
      </c>
      <c r="K20" s="19">
        <f>SUM(K8:K19)</f>
        <v>230364</v>
      </c>
      <c r="L20" s="19"/>
      <c r="M20" s="19">
        <f>SUM(M8:M19)</f>
        <v>6633</v>
      </c>
    </row>
    <row r="21" spans="1:13">
      <c r="A21" s="20" t="s">
        <v>45</v>
      </c>
      <c r="B21" s="20"/>
      <c r="C21" s="20"/>
      <c r="D21" s="21"/>
      <c r="E21" s="22">
        <v>61.03</v>
      </c>
      <c r="F21" s="22"/>
      <c r="G21" s="24"/>
      <c r="H21" s="24">
        <v>73200</v>
      </c>
      <c r="I21" s="24"/>
      <c r="J21" s="24">
        <f>+J20-M20</f>
        <v>64136</v>
      </c>
      <c r="K21" s="24">
        <f>SUM(H21:J21)</f>
        <v>137336</v>
      </c>
      <c r="L21" s="24"/>
      <c r="M21" s="24"/>
    </row>
    <row r="22" spans="1:13">
      <c r="A22" s="25" t="s">
        <v>164</v>
      </c>
      <c r="B22" s="1"/>
      <c r="C22" s="1"/>
      <c r="D22" s="1"/>
      <c r="E22" s="1"/>
      <c r="F22" s="1"/>
      <c r="G22" s="1"/>
      <c r="H22" s="1"/>
      <c r="I22" s="1"/>
      <c r="J22" s="12"/>
      <c r="K22" s="12"/>
      <c r="L22" s="1"/>
      <c r="M22" s="1"/>
    </row>
    <row r="23" spans="1:13">
      <c r="A23" s="1"/>
      <c r="B23" s="1"/>
      <c r="C23" s="1" t="s">
        <v>46</v>
      </c>
      <c r="D23" s="1"/>
      <c r="E23" s="1"/>
      <c r="F23" s="1"/>
      <c r="G23" s="1"/>
      <c r="H23" s="12"/>
      <c r="I23" s="1"/>
      <c r="J23" s="134"/>
      <c r="K23" s="134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0"/>
      <c r="I24" s="1"/>
      <c r="J24" s="2"/>
      <c r="K24" s="2"/>
      <c r="L24" s="1"/>
      <c r="M24" s="1"/>
    </row>
    <row r="25" spans="1:13">
      <c r="A25" s="1" t="s">
        <v>47</v>
      </c>
      <c r="B25" s="1"/>
      <c r="C25" s="1"/>
      <c r="D25" s="1"/>
      <c r="E25" s="1"/>
      <c r="F25" s="1"/>
      <c r="G25" s="1"/>
      <c r="H25" s="1"/>
      <c r="I25" s="1"/>
      <c r="J25" s="2"/>
      <c r="K25" s="2"/>
      <c r="L25" s="1"/>
      <c r="M25" s="1"/>
    </row>
    <row r="26" spans="1:13">
      <c r="A26" s="26" t="s">
        <v>48</v>
      </c>
      <c r="B26" s="26"/>
      <c r="C26" s="26"/>
      <c r="D26" s="26" t="s">
        <v>49</v>
      </c>
      <c r="E26" s="26" t="s">
        <v>50</v>
      </c>
      <c r="F26" s="26"/>
      <c r="G26" s="26" t="s">
        <v>51</v>
      </c>
      <c r="H26" s="1"/>
      <c r="I26" s="1"/>
      <c r="J26" s="61" t="s">
        <v>52</v>
      </c>
      <c r="K26" s="62" t="s">
        <v>53</v>
      </c>
      <c r="L26" s="1"/>
      <c r="M26" s="1"/>
    </row>
    <row r="27" spans="1:13">
      <c r="A27" s="1" t="s">
        <v>54</v>
      </c>
      <c r="B27" s="1"/>
      <c r="C27" s="1"/>
      <c r="D27" s="1"/>
      <c r="E27" s="37"/>
      <c r="F27" s="1"/>
      <c r="G27" s="1"/>
      <c r="H27" s="1"/>
      <c r="I27" s="1"/>
      <c r="J27" s="16" t="s">
        <v>317</v>
      </c>
      <c r="K27" s="19">
        <v>64.0625</v>
      </c>
      <c r="L27" s="1"/>
      <c r="M27" s="1"/>
    </row>
    <row r="28" spans="1:13">
      <c r="A28" s="1" t="s">
        <v>137</v>
      </c>
      <c r="B28" s="1"/>
      <c r="C28" s="1"/>
      <c r="D28" s="37" t="s">
        <v>68</v>
      </c>
      <c r="E28" s="216">
        <v>0.10199999999999999</v>
      </c>
      <c r="F28" s="1"/>
      <c r="G28" s="7">
        <v>119170</v>
      </c>
      <c r="H28" s="1"/>
      <c r="I28" s="1"/>
      <c r="J28" s="40" t="s">
        <v>304</v>
      </c>
      <c r="K28" s="128">
        <v>25</v>
      </c>
      <c r="L28" s="1"/>
      <c r="M28" s="1"/>
    </row>
    <row r="29" spans="1:13">
      <c r="A29" s="1" t="s">
        <v>59</v>
      </c>
      <c r="B29" s="1"/>
      <c r="C29" s="1"/>
      <c r="D29" s="37"/>
      <c r="E29" s="150"/>
      <c r="F29" s="1"/>
      <c r="G29" s="1"/>
      <c r="H29" s="1"/>
      <c r="I29" s="1"/>
      <c r="J29" s="40" t="s">
        <v>318</v>
      </c>
      <c r="K29" s="128">
        <v>6.25</v>
      </c>
      <c r="L29" s="1"/>
      <c r="M29" s="1"/>
    </row>
    <row r="30" spans="1:13">
      <c r="A30" s="1" t="s">
        <v>60</v>
      </c>
      <c r="B30" s="1"/>
      <c r="C30" s="1"/>
      <c r="D30" s="37" t="s">
        <v>61</v>
      </c>
      <c r="E30" s="214">
        <v>61</v>
      </c>
      <c r="F30" s="12"/>
      <c r="G30" s="12">
        <v>1200</v>
      </c>
      <c r="H30" s="1"/>
      <c r="I30" s="1"/>
      <c r="J30" s="40" t="s">
        <v>319</v>
      </c>
      <c r="K30" s="128">
        <v>1.5625</v>
      </c>
      <c r="L30" s="1"/>
      <c r="M30" s="1"/>
    </row>
    <row r="31" spans="1:13">
      <c r="A31" s="1" t="s">
        <v>63</v>
      </c>
      <c r="B31" s="1"/>
      <c r="C31" s="1"/>
      <c r="D31" s="37" t="s">
        <v>61</v>
      </c>
      <c r="E31" s="214">
        <v>72</v>
      </c>
      <c r="F31" s="12"/>
      <c r="G31" s="12"/>
      <c r="H31" s="1"/>
      <c r="I31" s="1"/>
      <c r="J31" s="20" t="s">
        <v>118</v>
      </c>
      <c r="K31" s="24">
        <v>3.125</v>
      </c>
      <c r="L31" s="1"/>
      <c r="M31" s="1"/>
    </row>
    <row r="32" spans="1:13">
      <c r="A32" s="1" t="s">
        <v>7</v>
      </c>
      <c r="B32" s="1"/>
      <c r="C32" s="1"/>
      <c r="D32" s="1"/>
      <c r="E32" s="214">
        <f>+E31+E30</f>
        <v>133</v>
      </c>
      <c r="F32" s="12"/>
      <c r="G32" s="12"/>
      <c r="H32" s="1"/>
      <c r="I32" s="1"/>
      <c r="J32" s="2"/>
      <c r="K32" s="2"/>
      <c r="L32" s="1"/>
      <c r="M32" s="1"/>
    </row>
    <row r="33" spans="1:13">
      <c r="A33" s="16" t="s">
        <v>65</v>
      </c>
      <c r="B33" s="16"/>
      <c r="C33" s="16" t="s">
        <v>66</v>
      </c>
      <c r="D33" s="16"/>
      <c r="E33" s="16"/>
      <c r="F33" s="16"/>
      <c r="G33" s="16"/>
      <c r="H33" s="1"/>
      <c r="I33" s="1"/>
      <c r="J33" s="16" t="s">
        <v>62</v>
      </c>
      <c r="K33" s="16">
        <v>0.53</v>
      </c>
      <c r="L33" s="1"/>
      <c r="M33" s="1"/>
    </row>
    <row r="34" spans="1:13">
      <c r="A34" s="1"/>
      <c r="B34" s="4"/>
      <c r="C34" s="38"/>
      <c r="D34" s="40"/>
      <c r="E34" s="40"/>
      <c r="F34" s="40"/>
      <c r="G34" s="40"/>
      <c r="H34" s="1"/>
      <c r="I34" s="1"/>
      <c r="J34" s="20" t="s">
        <v>64</v>
      </c>
      <c r="K34" s="23">
        <v>0.5</v>
      </c>
      <c r="L34" s="1"/>
      <c r="M34" s="1"/>
    </row>
    <row r="35" spans="1:13">
      <c r="A35" s="40" t="s">
        <v>308</v>
      </c>
      <c r="B35" s="4"/>
      <c r="C35" s="57">
        <v>73</v>
      </c>
      <c r="D35" s="65" t="s">
        <v>68</v>
      </c>
      <c r="E35" s="40">
        <v>56</v>
      </c>
      <c r="F35" s="40"/>
      <c r="G35" s="41">
        <v>101</v>
      </c>
      <c r="H35" s="1"/>
      <c r="I35" s="1"/>
      <c r="J35" s="1"/>
      <c r="K35" s="1"/>
      <c r="L35" s="1"/>
      <c r="M35" s="1"/>
    </row>
    <row r="36" spans="1:13">
      <c r="A36" s="40" t="s">
        <v>141</v>
      </c>
      <c r="B36" s="4"/>
      <c r="C36" s="57">
        <v>100</v>
      </c>
      <c r="D36" s="65" t="s">
        <v>68</v>
      </c>
      <c r="E36" s="40">
        <v>285</v>
      </c>
      <c r="F36" s="40"/>
      <c r="G36" s="41">
        <v>43</v>
      </c>
      <c r="H36" s="1"/>
      <c r="I36" s="1"/>
      <c r="J36" s="1"/>
      <c r="K36" s="1"/>
      <c r="L36" s="1"/>
      <c r="M36" s="1"/>
    </row>
    <row r="37" spans="1:13">
      <c r="A37" s="20"/>
      <c r="B37" s="4"/>
      <c r="C37" s="133"/>
      <c r="D37" s="20"/>
      <c r="E37" s="20"/>
      <c r="F37" s="20"/>
      <c r="G37" s="20"/>
      <c r="H37" s="1"/>
      <c r="I37" s="1"/>
      <c r="J37" s="1"/>
      <c r="K37" s="1"/>
      <c r="L37" s="1"/>
      <c r="M37" s="1"/>
    </row>
    <row r="38" spans="1:13">
      <c r="A38" s="16" t="s">
        <v>71</v>
      </c>
      <c r="B38" s="16"/>
      <c r="C38" s="16"/>
      <c r="D38" s="16"/>
      <c r="E38" s="16"/>
      <c r="F38" s="16"/>
      <c r="G38" s="16" t="s">
        <v>321</v>
      </c>
      <c r="H38" s="1"/>
      <c r="I38" s="1" t="s">
        <v>72</v>
      </c>
      <c r="J38" s="1"/>
      <c r="K38" s="1"/>
      <c r="L38" s="1"/>
      <c r="M38" s="1"/>
    </row>
    <row r="39" spans="1:13">
      <c r="A39" s="40" t="s">
        <v>73</v>
      </c>
      <c r="B39" s="40"/>
      <c r="C39" s="40"/>
      <c r="D39" s="40"/>
      <c r="E39" s="40"/>
      <c r="F39" s="40"/>
      <c r="G39" s="42">
        <v>7016</v>
      </c>
      <c r="H39" s="1"/>
      <c r="I39" s="12">
        <f>+G39*2.471</f>
        <v>17336.536</v>
      </c>
      <c r="J39" s="12"/>
      <c r="K39" s="12"/>
      <c r="L39" s="1"/>
      <c r="M39" s="1"/>
    </row>
    <row r="40" spans="1:13">
      <c r="A40" s="40" t="s">
        <v>75</v>
      </c>
      <c r="B40" s="40"/>
      <c r="C40" s="40"/>
      <c r="D40" s="40"/>
      <c r="E40" s="40"/>
      <c r="F40" s="40"/>
      <c r="G40" s="45">
        <v>51.8</v>
      </c>
      <c r="H40" s="1"/>
      <c r="I40" s="12"/>
      <c r="J40" s="12"/>
      <c r="K40" s="12"/>
      <c r="L40" s="1"/>
      <c r="M40" s="1"/>
    </row>
    <row r="41" spans="1:13">
      <c r="A41" s="40" t="s">
        <v>76</v>
      </c>
      <c r="B41" s="40"/>
      <c r="C41" s="40"/>
      <c r="D41" s="40"/>
      <c r="E41" s="40"/>
      <c r="F41" s="40"/>
      <c r="G41" s="46">
        <v>363429</v>
      </c>
      <c r="H41" s="1"/>
      <c r="I41" s="12">
        <f t="shared" ref="I41:I43" si="1">+G41*2.471</f>
        <v>898033.05900000001</v>
      </c>
      <c r="J41" s="12"/>
      <c r="K41" s="12"/>
      <c r="L41" s="1"/>
      <c r="M41" s="1"/>
    </row>
    <row r="42" spans="1:13">
      <c r="A42" s="40" t="s">
        <v>77</v>
      </c>
      <c r="B42" s="40"/>
      <c r="C42" s="40"/>
      <c r="D42" s="40"/>
      <c r="E42" s="40"/>
      <c r="F42" s="40"/>
      <c r="G42" s="46">
        <v>133065</v>
      </c>
      <c r="H42" s="12"/>
      <c r="I42" s="12">
        <f t="shared" si="1"/>
        <v>328803.61499999999</v>
      </c>
      <c r="J42" s="12"/>
      <c r="K42" s="12"/>
      <c r="L42" s="1"/>
      <c r="M42" s="1"/>
    </row>
    <row r="43" spans="1:13">
      <c r="A43" s="40" t="s">
        <v>78</v>
      </c>
      <c r="B43" s="40"/>
      <c r="C43" s="40"/>
      <c r="D43" s="40"/>
      <c r="E43" s="40"/>
      <c r="F43" s="40"/>
      <c r="G43" s="46">
        <v>226093</v>
      </c>
      <c r="H43" s="12"/>
      <c r="I43" s="12">
        <f t="shared" si="1"/>
        <v>558675.80300000007</v>
      </c>
      <c r="J43" s="12"/>
      <c r="K43" s="12"/>
      <c r="L43" s="1"/>
      <c r="M43" s="1"/>
    </row>
    <row r="44" spans="1:13">
      <c r="A44" s="40"/>
      <c r="B44" s="40"/>
      <c r="C44" s="40"/>
      <c r="D44" s="40"/>
      <c r="E44" s="40"/>
      <c r="F44" s="40"/>
      <c r="G44" s="45"/>
      <c r="H44" s="1"/>
      <c r="I44" s="1"/>
      <c r="J44" s="1"/>
      <c r="K44" s="1"/>
      <c r="L44" s="1"/>
      <c r="M44" s="1"/>
    </row>
    <row r="45" spans="1:13">
      <c r="A45" s="40" t="s">
        <v>79</v>
      </c>
      <c r="B45" s="40"/>
      <c r="C45" s="40"/>
      <c r="D45" s="40"/>
      <c r="E45" s="40"/>
      <c r="F45" s="40"/>
      <c r="G45" s="45">
        <f>+K20/G39</f>
        <v>32.834093500570127</v>
      </c>
      <c r="H45" s="1"/>
      <c r="I45" s="1"/>
      <c r="J45" s="1"/>
      <c r="K45" s="1"/>
      <c r="L45" s="1"/>
      <c r="M45" s="1"/>
    </row>
    <row r="46" spans="1:13">
      <c r="A46" s="20" t="s">
        <v>80</v>
      </c>
      <c r="B46" s="20"/>
      <c r="C46" s="20"/>
      <c r="D46" s="20"/>
      <c r="E46" s="20"/>
      <c r="F46" s="20"/>
      <c r="G46" s="47">
        <f>+K21/G39</f>
        <v>19.574686431014822</v>
      </c>
      <c r="H46" s="1"/>
      <c r="I46" s="1"/>
      <c r="J46" s="1"/>
      <c r="K46" s="1"/>
      <c r="L46" s="1"/>
      <c r="M46" s="1"/>
    </row>
    <row r="47" spans="1:13">
      <c r="A47" s="48" t="s">
        <v>320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Maize-Badulla</vt:lpstr>
      <vt:lpstr>MAnioc-Gampaha</vt:lpstr>
      <vt:lpstr>Big Onion -MAtale</vt:lpstr>
      <vt:lpstr>Bitter goard-H'tota</vt:lpstr>
      <vt:lpstr>Brinjal-H'tota</vt:lpstr>
      <vt:lpstr>CAbbage nëliya</vt:lpstr>
      <vt:lpstr>Carrot NÉliya</vt:lpstr>
      <vt:lpstr>G. Chilli-A'pura</vt:lpstr>
      <vt:lpstr>Cowpea-Ampara</vt:lpstr>
      <vt:lpstr>Gingerlly-A'Pura</vt:lpstr>
      <vt:lpstr>MAize -Sys H</vt:lpstr>
      <vt:lpstr>POle Bean- Badulla</vt:lpstr>
      <vt:lpstr>Potato-Badulla</vt:lpstr>
      <vt:lpstr>POtato-NÉliya</vt:lpstr>
      <vt:lpstr>REd Onoin-Puttlam</vt:lpstr>
      <vt:lpstr>Soya Bean -Sys H</vt:lpstr>
      <vt:lpstr>Swet Potato-Matale</vt:lpstr>
      <vt:lpstr>Tomato-Badulla</vt:lpstr>
      <vt:lpstr>Tomato-KAndy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2019-05-21T08:57:54Z</dcterms:created>
  <dcterms:modified xsi:type="dcterms:W3CDTF">2019-09-20T05:47:24Z</dcterms:modified>
</cp:coreProperties>
</file>